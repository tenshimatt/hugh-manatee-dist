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T:\01 QUOTES\!Customer Quotes\000 Template Folder\Estimator\"/>
    </mc:Choice>
  </mc:AlternateContent>
  <xr:revisionPtr revIDLastSave="0" documentId="13_ncr:1_{E293E66A-1A4F-4EEC-A7E8-BE8A650459E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B Laser" sheetId="1" r:id="rId1"/>
    <sheet name="Tube Laser" sheetId="4" r:id="rId2"/>
    <sheet name="Notes" sheetId="15" r:id="rId3"/>
    <sheet name="Forming" sheetId="9" r:id="rId4"/>
    <sheet name="Tube Bending" sheetId="13" r:id="rId5"/>
    <sheet name="Welding" sheetId="10" r:id="rId6"/>
    <sheet name="Machining" sheetId="16" r:id="rId7"/>
    <sheet name="Hardware Install" sheetId="11" r:id="rId8"/>
    <sheet name="Finishing" sheetId="17" r:id="rId9"/>
    <sheet name="Quote Info" sheetId="7" r:id="rId10"/>
    <sheet name="Phase Codes" sheetId="14" r:id="rId11"/>
    <sheet name="FB Data" sheetId="2" r:id="rId12"/>
    <sheet name="TL Data" sheetId="5" r:id="rId13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B Laser_e08f1c66-1ca4-4901-a501-57bce42fb4a0" name="FB Laser" connection="Query - FB Laser"/>
          <x15:modelTable id="Tube Laser_f90021c3-c80c-4685-8903-dff8310a8486" name="Tube Laser" connection="Query - Tube Lase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" i="1" l="1"/>
  <c r="AB7" i="4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M11" i="4" l="1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I12" i="17"/>
  <c r="I13" i="17"/>
  <c r="I15" i="17"/>
  <c r="I16" i="17"/>
  <c r="I17" i="17"/>
  <c r="I18" i="17"/>
  <c r="I19" i="17"/>
  <c r="I22" i="17"/>
  <c r="I23" i="17"/>
  <c r="I24" i="17"/>
  <c r="I25" i="17"/>
  <c r="I26" i="17"/>
  <c r="I27" i="17"/>
  <c r="I28" i="17"/>
  <c r="I29" i="17"/>
  <c r="I30" i="17"/>
  <c r="I31" i="17"/>
  <c r="I34" i="17"/>
  <c r="I35" i="17"/>
  <c r="I36" i="17"/>
  <c r="I37" i="17"/>
  <c r="I38" i="17"/>
  <c r="I39" i="17"/>
  <c r="I40" i="17"/>
  <c r="I41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3" i="17"/>
  <c r="I64" i="17"/>
  <c r="I65" i="17"/>
  <c r="I66" i="17"/>
  <c r="I67" i="17"/>
  <c r="I68" i="17"/>
  <c r="I71" i="17"/>
  <c r="I72" i="17"/>
  <c r="I73" i="17"/>
  <c r="I74" i="17"/>
  <c r="I75" i="17"/>
  <c r="I76" i="17"/>
  <c r="I77" i="17"/>
  <c r="I78" i="17"/>
  <c r="I79" i="17"/>
  <c r="I81" i="17"/>
  <c r="I82" i="17"/>
  <c r="I83" i="17"/>
  <c r="I84" i="17"/>
  <c r="I85" i="17"/>
  <c r="I86" i="17"/>
  <c r="I87" i="17"/>
  <c r="I88" i="17"/>
  <c r="I89" i="17"/>
  <c r="I91" i="17"/>
  <c r="I92" i="17"/>
  <c r="I93" i="17"/>
  <c r="I94" i="17"/>
  <c r="I95" i="17"/>
  <c r="I96" i="17"/>
  <c r="I97" i="17"/>
  <c r="I98" i="17"/>
  <c r="I99" i="17"/>
  <c r="I100" i="17"/>
  <c r="I14" i="17"/>
  <c r="I42" i="17"/>
  <c r="I43" i="17"/>
  <c r="I20" i="17"/>
  <c r="I21" i="17"/>
  <c r="I32" i="17"/>
  <c r="I33" i="17"/>
  <c r="I62" i="17"/>
  <c r="I69" i="17"/>
  <c r="I70" i="17"/>
  <c r="I80" i="17"/>
  <c r="I90" i="17"/>
  <c r="I56" i="14" l="1"/>
  <c r="I57" i="14"/>
  <c r="I55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R10" i="7" l="1"/>
  <c r="K7" i="7" l="1"/>
  <c r="D19" i="14" s="1"/>
  <c r="O17" i="7" l="1"/>
  <c r="J10" i="4" l="1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" i="4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" i="1"/>
  <c r="AU100" i="2" l="1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T100" i="2"/>
  <c r="AT101" i="2"/>
  <c r="AT102" i="2"/>
  <c r="AT103" i="2"/>
  <c r="AT104" i="2"/>
  <c r="AT105" i="2"/>
  <c r="AT106" i="2"/>
  <c r="AT107" i="2"/>
  <c r="AT108" i="2"/>
  <c r="AT109" i="2"/>
  <c r="AT110" i="2"/>
  <c r="AT111" i="2"/>
  <c r="AT112" i="2"/>
  <c r="AT113" i="2"/>
  <c r="AT114" i="2"/>
  <c r="AT115" i="2"/>
  <c r="AT116" i="2"/>
  <c r="AT117" i="2"/>
  <c r="O13" i="7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" i="2"/>
  <c r="K9" i="2" a="1"/>
  <c r="K9" i="2" l="1"/>
  <c r="A10" i="17" s="1"/>
  <c r="B10" i="17" l="1"/>
  <c r="A10" i="16"/>
  <c r="K10" i="2" a="1"/>
  <c r="B10" i="16" l="1"/>
  <c r="G10" i="16" s="1"/>
  <c r="H10" i="16" s="1"/>
  <c r="K10" i="2"/>
  <c r="A11" i="17" s="1"/>
  <c r="K11" i="2" a="1"/>
  <c r="I10" i="16" l="1"/>
  <c r="B11" i="17"/>
  <c r="A11" i="16"/>
  <c r="K11" i="2"/>
  <c r="A12" i="17" s="1"/>
  <c r="B11" i="16" l="1"/>
  <c r="G11" i="16" s="1"/>
  <c r="H11" i="16" s="1"/>
  <c r="B12" i="17"/>
  <c r="A12" i="16"/>
  <c r="K12" i="2" a="1"/>
  <c r="B12" i="16" l="1"/>
  <c r="G12" i="16" s="1"/>
  <c r="H12" i="16" s="1"/>
  <c r="I11" i="16"/>
  <c r="K12" i="2"/>
  <c r="A13" i="17" s="1"/>
  <c r="O15" i="7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J99" i="2"/>
  <c r="AJ100" i="2"/>
  <c r="AK100" i="2" s="1"/>
  <c r="AJ101" i="2"/>
  <c r="AK101" i="2" s="1"/>
  <c r="AJ102" i="2"/>
  <c r="AK102" i="2" s="1"/>
  <c r="AJ103" i="2"/>
  <c r="AK103" i="2" s="1"/>
  <c r="AJ104" i="2"/>
  <c r="AK104" i="2" s="1"/>
  <c r="AJ105" i="2"/>
  <c r="AK105" i="2" s="1"/>
  <c r="AJ106" i="2"/>
  <c r="AK106" i="2" s="1"/>
  <c r="AJ107" i="2"/>
  <c r="AK107" i="2" s="1"/>
  <c r="AJ108" i="2"/>
  <c r="AK108" i="2" s="1"/>
  <c r="AJ109" i="2"/>
  <c r="AK109" i="2" s="1"/>
  <c r="AJ110" i="2"/>
  <c r="AK110" i="2" s="1"/>
  <c r="AJ111" i="2"/>
  <c r="AK111" i="2" s="1"/>
  <c r="AJ112" i="2"/>
  <c r="AK112" i="2" s="1"/>
  <c r="AJ113" i="2"/>
  <c r="AK113" i="2" s="1"/>
  <c r="AJ114" i="2"/>
  <c r="AK114" i="2" s="1"/>
  <c r="AJ115" i="2"/>
  <c r="AK115" i="2" s="1"/>
  <c r="AJ116" i="2"/>
  <c r="AK116" i="2" s="1"/>
  <c r="AJ117" i="2"/>
  <c r="AK117" i="2" s="1"/>
  <c r="I12" i="16" l="1"/>
  <c r="B13" i="17"/>
  <c r="AP110" i="2"/>
  <c r="AQ110" i="2" s="1"/>
  <c r="AR110" i="2" s="1"/>
  <c r="AP108" i="2"/>
  <c r="AQ108" i="2" s="1"/>
  <c r="AR108" i="2" s="1"/>
  <c r="AP109" i="2"/>
  <c r="AQ109" i="2" s="1"/>
  <c r="AR109" i="2" s="1"/>
  <c r="AP106" i="2"/>
  <c r="AQ106" i="2" s="1"/>
  <c r="AR106" i="2" s="1"/>
  <c r="AP117" i="2"/>
  <c r="AQ117" i="2" s="1"/>
  <c r="AR117" i="2" s="1"/>
  <c r="AP105" i="2"/>
  <c r="AQ105" i="2" s="1"/>
  <c r="AR105" i="2" s="1"/>
  <c r="AP107" i="2"/>
  <c r="AQ107" i="2" s="1"/>
  <c r="AR107" i="2" s="1"/>
  <c r="AP116" i="2"/>
  <c r="AQ116" i="2" s="1"/>
  <c r="AR116" i="2" s="1"/>
  <c r="AP104" i="2"/>
  <c r="AQ104" i="2" s="1"/>
  <c r="AR104" i="2" s="1"/>
  <c r="AP115" i="2"/>
  <c r="AQ115" i="2" s="1"/>
  <c r="AR115" i="2" s="1"/>
  <c r="AP103" i="2"/>
  <c r="AQ103" i="2" s="1"/>
  <c r="AR103" i="2" s="1"/>
  <c r="AP114" i="2"/>
  <c r="AQ114" i="2" s="1"/>
  <c r="AR114" i="2" s="1"/>
  <c r="AP102" i="2"/>
  <c r="AQ102" i="2" s="1"/>
  <c r="AR102" i="2" s="1"/>
  <c r="AP113" i="2"/>
  <c r="AQ113" i="2" s="1"/>
  <c r="AR113" i="2" s="1"/>
  <c r="AP101" i="2"/>
  <c r="AQ101" i="2" s="1"/>
  <c r="AR101" i="2" s="1"/>
  <c r="AP112" i="2"/>
  <c r="AQ112" i="2" s="1"/>
  <c r="AR112" i="2" s="1"/>
  <c r="AP100" i="2"/>
  <c r="AQ100" i="2" s="1"/>
  <c r="AR100" i="2" s="1"/>
  <c r="AP111" i="2"/>
  <c r="AQ111" i="2" s="1"/>
  <c r="AR111" i="2" s="1"/>
  <c r="AP99" i="2"/>
  <c r="AQ99" i="2" s="1"/>
  <c r="AL99" i="2"/>
  <c r="AK99" i="2"/>
  <c r="A13" i="16"/>
  <c r="AL108" i="2"/>
  <c r="AM108" i="2" s="1"/>
  <c r="AL117" i="2"/>
  <c r="AM117" i="2" s="1"/>
  <c r="AL105" i="2"/>
  <c r="AM105" i="2" s="1"/>
  <c r="AL116" i="2"/>
  <c r="AM116" i="2" s="1"/>
  <c r="AL104" i="2"/>
  <c r="AM104" i="2" s="1"/>
  <c r="AL115" i="2"/>
  <c r="AM115" i="2" s="1"/>
  <c r="AL103" i="2"/>
  <c r="AM103" i="2" s="1"/>
  <c r="AL114" i="2"/>
  <c r="AM114" i="2" s="1"/>
  <c r="AL102" i="2"/>
  <c r="AM102" i="2" s="1"/>
  <c r="AL107" i="2"/>
  <c r="AM107" i="2" s="1"/>
  <c r="AL113" i="2"/>
  <c r="AM113" i="2" s="1"/>
  <c r="AL101" i="2"/>
  <c r="AM101" i="2" s="1"/>
  <c r="AL112" i="2"/>
  <c r="AM112" i="2" s="1"/>
  <c r="AL100" i="2"/>
  <c r="AM100" i="2" s="1"/>
  <c r="AL106" i="2"/>
  <c r="AM106" i="2" s="1"/>
  <c r="AL110" i="2"/>
  <c r="AM110" i="2" s="1"/>
  <c r="AL111" i="2"/>
  <c r="AM111" i="2" s="1"/>
  <c r="AL109" i="2"/>
  <c r="AM109" i="2" s="1"/>
  <c r="E12" i="14"/>
  <c r="D12" i="14" s="1"/>
  <c r="I6" i="14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K13" i="2" a="1"/>
  <c r="B13" i="16" l="1"/>
  <c r="G13" i="16" s="1"/>
  <c r="H13" i="16" s="1"/>
  <c r="K13" i="2"/>
  <c r="A14" i="17" s="1"/>
  <c r="I2" i="14"/>
  <c r="P9" i="2"/>
  <c r="O9" i="2" a="1"/>
  <c r="I13" i="16" l="1"/>
  <c r="B14" i="17"/>
  <c r="A14" i="16"/>
  <c r="O9" i="2"/>
  <c r="A5" i="15" s="1"/>
  <c r="H6" i="14" s="1"/>
  <c r="K14" i="2" a="1"/>
  <c r="B14" i="16" l="1"/>
  <c r="G14" i="16" s="1"/>
  <c r="H14" i="16" s="1"/>
  <c r="K14" i="2"/>
  <c r="A15" i="17" s="1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O14" i="7"/>
  <c r="E4" i="14" s="1"/>
  <c r="O12" i="7"/>
  <c r="E23" i="14" s="1"/>
  <c r="K15" i="2" a="1"/>
  <c r="I14" i="16" l="1"/>
  <c r="B15" i="17"/>
  <c r="A15" i="16"/>
  <c r="K15" i="2"/>
  <c r="A16" i="17" s="1"/>
  <c r="E5" i="14"/>
  <c r="D5" i="14" s="1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9" i="2"/>
  <c r="K16" i="2" a="1"/>
  <c r="B15" i="16" l="1"/>
  <c r="G15" i="16" s="1"/>
  <c r="H15" i="16" s="1"/>
  <c r="B16" i="17"/>
  <c r="A16" i="16"/>
  <c r="K16" i="2"/>
  <c r="A17" i="17" s="1"/>
  <c r="E5" i="10"/>
  <c r="C5" i="11"/>
  <c r="K17" i="2" a="1"/>
  <c r="I15" i="16" l="1"/>
  <c r="B16" i="16"/>
  <c r="G16" i="16" s="1"/>
  <c r="H16" i="16" s="1"/>
  <c r="B17" i="17"/>
  <c r="A17" i="16"/>
  <c r="K17" i="2"/>
  <c r="A18" i="17" s="1"/>
  <c r="AG10" i="2"/>
  <c r="AH10" i="2"/>
  <c r="AG11" i="2"/>
  <c r="AH11" i="2"/>
  <c r="AG12" i="2"/>
  <c r="AH12" i="2"/>
  <c r="AG13" i="2"/>
  <c r="AH13" i="2"/>
  <c r="AG14" i="2"/>
  <c r="AH14" i="2"/>
  <c r="AG15" i="2"/>
  <c r="AH15" i="2"/>
  <c r="AG16" i="2"/>
  <c r="AH16" i="2"/>
  <c r="AG17" i="2"/>
  <c r="AH17" i="2"/>
  <c r="AG18" i="2"/>
  <c r="AH18" i="2"/>
  <c r="AG19" i="2"/>
  <c r="AH19" i="2"/>
  <c r="AG20" i="2"/>
  <c r="AH20" i="2"/>
  <c r="AG21" i="2"/>
  <c r="AH21" i="2"/>
  <c r="AG22" i="2"/>
  <c r="AH22" i="2"/>
  <c r="AG23" i="2"/>
  <c r="AH23" i="2"/>
  <c r="AG24" i="2"/>
  <c r="AH24" i="2"/>
  <c r="AG25" i="2"/>
  <c r="AH25" i="2"/>
  <c r="AG26" i="2"/>
  <c r="AH26" i="2"/>
  <c r="AG27" i="2"/>
  <c r="AH27" i="2"/>
  <c r="AG28" i="2"/>
  <c r="AH28" i="2"/>
  <c r="AG29" i="2"/>
  <c r="AH29" i="2"/>
  <c r="AG30" i="2"/>
  <c r="AH30" i="2"/>
  <c r="AG31" i="2"/>
  <c r="AH31" i="2"/>
  <c r="AG32" i="2"/>
  <c r="AH32" i="2"/>
  <c r="AG33" i="2"/>
  <c r="AH33" i="2"/>
  <c r="AG34" i="2"/>
  <c r="AH34" i="2"/>
  <c r="AG35" i="2"/>
  <c r="AH35" i="2"/>
  <c r="AG36" i="2"/>
  <c r="AH36" i="2"/>
  <c r="AG37" i="2"/>
  <c r="AH37" i="2"/>
  <c r="AG38" i="2"/>
  <c r="AH38" i="2"/>
  <c r="AG39" i="2"/>
  <c r="AH39" i="2"/>
  <c r="AG40" i="2"/>
  <c r="AH40" i="2"/>
  <c r="AG41" i="2"/>
  <c r="AH41" i="2"/>
  <c r="AG42" i="2"/>
  <c r="AH42" i="2"/>
  <c r="AG43" i="2"/>
  <c r="AH43" i="2"/>
  <c r="AG44" i="2"/>
  <c r="AH44" i="2"/>
  <c r="AG45" i="2"/>
  <c r="AH45" i="2"/>
  <c r="AG46" i="2"/>
  <c r="AH46" i="2"/>
  <c r="AG47" i="2"/>
  <c r="AH47" i="2"/>
  <c r="AG48" i="2"/>
  <c r="AH48" i="2"/>
  <c r="AG49" i="2"/>
  <c r="AH49" i="2"/>
  <c r="AG50" i="2"/>
  <c r="AH50" i="2"/>
  <c r="AG51" i="2"/>
  <c r="AH51" i="2"/>
  <c r="AG52" i="2"/>
  <c r="AH52" i="2"/>
  <c r="AG53" i="2"/>
  <c r="AH53" i="2"/>
  <c r="AG54" i="2"/>
  <c r="AH54" i="2"/>
  <c r="AG55" i="2"/>
  <c r="AH55" i="2"/>
  <c r="AG56" i="2"/>
  <c r="AH56" i="2"/>
  <c r="AG57" i="2"/>
  <c r="AH57" i="2"/>
  <c r="AG58" i="2"/>
  <c r="AH58" i="2"/>
  <c r="AG59" i="2"/>
  <c r="AH59" i="2"/>
  <c r="AG60" i="2"/>
  <c r="AH60" i="2"/>
  <c r="AG61" i="2"/>
  <c r="AH61" i="2"/>
  <c r="AG62" i="2"/>
  <c r="AH62" i="2"/>
  <c r="AG63" i="2"/>
  <c r="AH63" i="2"/>
  <c r="AG64" i="2"/>
  <c r="AH64" i="2"/>
  <c r="AG65" i="2"/>
  <c r="AH65" i="2"/>
  <c r="AG66" i="2"/>
  <c r="AH66" i="2"/>
  <c r="AG67" i="2"/>
  <c r="AH67" i="2"/>
  <c r="AG68" i="2"/>
  <c r="AH68" i="2"/>
  <c r="AG69" i="2"/>
  <c r="AH69" i="2"/>
  <c r="AG70" i="2"/>
  <c r="AH70" i="2"/>
  <c r="AG71" i="2"/>
  <c r="AH71" i="2"/>
  <c r="AG72" i="2"/>
  <c r="AH72" i="2"/>
  <c r="AG73" i="2"/>
  <c r="AH73" i="2"/>
  <c r="AG74" i="2"/>
  <c r="AH74" i="2"/>
  <c r="AG75" i="2"/>
  <c r="AH75" i="2"/>
  <c r="AG76" i="2"/>
  <c r="AH76" i="2"/>
  <c r="AG77" i="2"/>
  <c r="AH77" i="2"/>
  <c r="AG78" i="2"/>
  <c r="AH78" i="2"/>
  <c r="AG79" i="2"/>
  <c r="AH79" i="2"/>
  <c r="AG80" i="2"/>
  <c r="AH80" i="2"/>
  <c r="AG81" i="2"/>
  <c r="AH81" i="2"/>
  <c r="AG82" i="2"/>
  <c r="AH82" i="2"/>
  <c r="AG83" i="2"/>
  <c r="AH83" i="2"/>
  <c r="AG84" i="2"/>
  <c r="AH84" i="2"/>
  <c r="AG85" i="2"/>
  <c r="AH85" i="2"/>
  <c r="AG86" i="2"/>
  <c r="AH86" i="2"/>
  <c r="AG87" i="2"/>
  <c r="AH87" i="2"/>
  <c r="AG88" i="2"/>
  <c r="AH88" i="2"/>
  <c r="AG89" i="2"/>
  <c r="AH89" i="2"/>
  <c r="AG90" i="2"/>
  <c r="AH90" i="2"/>
  <c r="AG91" i="2"/>
  <c r="AH91" i="2"/>
  <c r="AG92" i="2"/>
  <c r="AH92" i="2"/>
  <c r="AG93" i="2"/>
  <c r="AH93" i="2"/>
  <c r="AG94" i="2"/>
  <c r="AH94" i="2"/>
  <c r="AG95" i="2"/>
  <c r="AH95" i="2"/>
  <c r="AG96" i="2"/>
  <c r="AH96" i="2"/>
  <c r="AG97" i="2"/>
  <c r="AH97" i="2"/>
  <c r="AG98" i="2"/>
  <c r="AH98" i="2"/>
  <c r="AG99" i="2"/>
  <c r="AH99" i="2"/>
  <c r="AG100" i="2"/>
  <c r="AH100" i="2"/>
  <c r="AG101" i="2"/>
  <c r="AH101" i="2"/>
  <c r="AG102" i="2"/>
  <c r="AH102" i="2"/>
  <c r="AG103" i="2"/>
  <c r="AH103" i="2"/>
  <c r="AG104" i="2"/>
  <c r="AH104" i="2"/>
  <c r="AG105" i="2"/>
  <c r="AH105" i="2"/>
  <c r="AG106" i="2"/>
  <c r="AH106" i="2"/>
  <c r="AG107" i="2"/>
  <c r="AH107" i="2"/>
  <c r="AG108" i="2"/>
  <c r="AH108" i="2"/>
  <c r="AG109" i="2"/>
  <c r="AH109" i="2"/>
  <c r="AG110" i="2"/>
  <c r="AH110" i="2"/>
  <c r="AG111" i="2"/>
  <c r="AH111" i="2"/>
  <c r="AG112" i="2"/>
  <c r="AH112" i="2"/>
  <c r="AG113" i="2"/>
  <c r="AH113" i="2"/>
  <c r="AG114" i="2"/>
  <c r="AH114" i="2"/>
  <c r="AG115" i="2"/>
  <c r="AH115" i="2"/>
  <c r="AG116" i="2"/>
  <c r="AH116" i="2"/>
  <c r="AG117" i="2"/>
  <c r="AH117" i="2"/>
  <c r="AH9" i="2"/>
  <c r="AG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9" i="2"/>
  <c r="AE10" i="2"/>
  <c r="U10" i="2" s="1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9" i="2"/>
  <c r="U9" i="2" s="1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" i="13"/>
  <c r="K18" i="2" a="1"/>
  <c r="I16" i="16" l="1"/>
  <c r="B17" i="16"/>
  <c r="G17" i="16" s="1"/>
  <c r="H17" i="16" s="1"/>
  <c r="B18" i="17"/>
  <c r="A18" i="16"/>
  <c r="F3" i="7"/>
  <c r="D9" i="14" s="1"/>
  <c r="K8" i="7"/>
  <c r="K18" i="2"/>
  <c r="A19" i="17" s="1"/>
  <c r="U102" i="2"/>
  <c r="V102" i="2"/>
  <c r="U66" i="2"/>
  <c r="U30" i="2"/>
  <c r="U101" i="2"/>
  <c r="V101" i="2"/>
  <c r="U90" i="2"/>
  <c r="U54" i="2"/>
  <c r="U18" i="2"/>
  <c r="U113" i="2"/>
  <c r="V113" i="2"/>
  <c r="U77" i="2"/>
  <c r="U53" i="2"/>
  <c r="U29" i="2"/>
  <c r="U112" i="2"/>
  <c r="V112" i="2"/>
  <c r="U100" i="2"/>
  <c r="V100" i="2"/>
  <c r="U88" i="2"/>
  <c r="U76" i="2"/>
  <c r="U64" i="2"/>
  <c r="U52" i="2"/>
  <c r="U40" i="2"/>
  <c r="U28" i="2"/>
  <c r="U16" i="2"/>
  <c r="U114" i="2"/>
  <c r="V114" i="2"/>
  <c r="U78" i="2"/>
  <c r="U42" i="2"/>
  <c r="U89" i="2"/>
  <c r="U65" i="2"/>
  <c r="U41" i="2"/>
  <c r="U17" i="2"/>
  <c r="U111" i="2"/>
  <c r="V111" i="2"/>
  <c r="U87" i="2"/>
  <c r="U75" i="2"/>
  <c r="U63" i="2"/>
  <c r="U51" i="2"/>
  <c r="U39" i="2"/>
  <c r="U27" i="2"/>
  <c r="U15" i="2"/>
  <c r="U98" i="2"/>
  <c r="U38" i="2"/>
  <c r="U25" i="2"/>
  <c r="U62" i="2"/>
  <c r="U13" i="2"/>
  <c r="U108" i="2"/>
  <c r="V108" i="2"/>
  <c r="U96" i="2"/>
  <c r="U84" i="2"/>
  <c r="U72" i="2"/>
  <c r="U60" i="2"/>
  <c r="U48" i="2"/>
  <c r="U36" i="2"/>
  <c r="U24" i="2"/>
  <c r="U12" i="2"/>
  <c r="U86" i="2"/>
  <c r="U26" i="2"/>
  <c r="U61" i="2"/>
  <c r="U107" i="2"/>
  <c r="V107" i="2"/>
  <c r="U95" i="2"/>
  <c r="U83" i="2"/>
  <c r="U71" i="2"/>
  <c r="U59" i="2"/>
  <c r="U47" i="2"/>
  <c r="U35" i="2"/>
  <c r="U23" i="2"/>
  <c r="U11" i="2"/>
  <c r="U74" i="2"/>
  <c r="U14" i="2"/>
  <c r="U109" i="2"/>
  <c r="V109" i="2"/>
  <c r="U85" i="2"/>
  <c r="U49" i="2"/>
  <c r="U106" i="2"/>
  <c r="V106" i="2"/>
  <c r="U70" i="2"/>
  <c r="U22" i="2"/>
  <c r="U117" i="2"/>
  <c r="V117" i="2"/>
  <c r="U105" i="2"/>
  <c r="V105" i="2"/>
  <c r="U93" i="2"/>
  <c r="U81" i="2"/>
  <c r="U69" i="2"/>
  <c r="U57" i="2"/>
  <c r="U45" i="2"/>
  <c r="U33" i="2"/>
  <c r="U21" i="2"/>
  <c r="U110" i="2"/>
  <c r="V110" i="2"/>
  <c r="U73" i="2"/>
  <c r="U82" i="2"/>
  <c r="U46" i="2"/>
  <c r="U116" i="2"/>
  <c r="V116" i="2"/>
  <c r="U104" i="2"/>
  <c r="V104" i="2"/>
  <c r="U92" i="2"/>
  <c r="U80" i="2"/>
  <c r="U68" i="2"/>
  <c r="U56" i="2"/>
  <c r="U44" i="2"/>
  <c r="U32" i="2"/>
  <c r="U20" i="2"/>
  <c r="U50" i="2"/>
  <c r="U97" i="2"/>
  <c r="U37" i="2"/>
  <c r="U94" i="2"/>
  <c r="U58" i="2"/>
  <c r="U34" i="2"/>
  <c r="U115" i="2"/>
  <c r="V115" i="2"/>
  <c r="U103" i="2"/>
  <c r="V103" i="2"/>
  <c r="U91" i="2"/>
  <c r="U79" i="2"/>
  <c r="U67" i="2"/>
  <c r="U55" i="2"/>
  <c r="U43" i="2"/>
  <c r="U31" i="2"/>
  <c r="U19" i="2"/>
  <c r="G72" i="13"/>
  <c r="E72" i="13"/>
  <c r="F72" i="13" s="1"/>
  <c r="E24" i="13"/>
  <c r="F24" i="13" s="1"/>
  <c r="G24" i="13"/>
  <c r="E92" i="13"/>
  <c r="F92" i="13" s="1"/>
  <c r="G92" i="13"/>
  <c r="E80" i="13"/>
  <c r="F80" i="13" s="1"/>
  <c r="G80" i="13"/>
  <c r="E68" i="13"/>
  <c r="F68" i="13" s="1"/>
  <c r="G68" i="13"/>
  <c r="E56" i="13"/>
  <c r="F56" i="13" s="1"/>
  <c r="G56" i="13"/>
  <c r="E44" i="13"/>
  <c r="F44" i="13" s="1"/>
  <c r="G44" i="13"/>
  <c r="E32" i="13"/>
  <c r="F32" i="13" s="1"/>
  <c r="G32" i="13"/>
  <c r="G20" i="13"/>
  <c r="E20" i="13"/>
  <c r="F20" i="13" s="1"/>
  <c r="E91" i="13"/>
  <c r="F91" i="13" s="1"/>
  <c r="G91" i="13"/>
  <c r="E90" i="13"/>
  <c r="F90" i="13" s="1"/>
  <c r="G90" i="13"/>
  <c r="E78" i="13"/>
  <c r="F78" i="13" s="1"/>
  <c r="G78" i="13"/>
  <c r="G66" i="13"/>
  <c r="E66" i="13"/>
  <c r="F66" i="13" s="1"/>
  <c r="E54" i="13"/>
  <c r="F54" i="13" s="1"/>
  <c r="G54" i="13"/>
  <c r="G42" i="13"/>
  <c r="E42" i="13"/>
  <c r="F42" i="13" s="1"/>
  <c r="G30" i="13"/>
  <c r="E30" i="13"/>
  <c r="F30" i="13" s="1"/>
  <c r="G18" i="13"/>
  <c r="E18" i="13"/>
  <c r="F18" i="13" s="1"/>
  <c r="G88" i="13"/>
  <c r="E88" i="13"/>
  <c r="F88" i="13" s="1"/>
  <c r="G76" i="13"/>
  <c r="E76" i="13"/>
  <c r="F76" i="13" s="1"/>
  <c r="G64" i="13"/>
  <c r="E64" i="13"/>
  <c r="F64" i="13" s="1"/>
  <c r="E52" i="13"/>
  <c r="F52" i="13" s="1"/>
  <c r="G52" i="13"/>
  <c r="G40" i="13"/>
  <c r="E40" i="13"/>
  <c r="F40" i="13" s="1"/>
  <c r="G28" i="13"/>
  <c r="E28" i="13"/>
  <c r="F28" i="13" s="1"/>
  <c r="G16" i="13"/>
  <c r="E16" i="13"/>
  <c r="F16" i="13" s="1"/>
  <c r="G89" i="13"/>
  <c r="E89" i="13"/>
  <c r="F89" i="13" s="1"/>
  <c r="G53" i="13"/>
  <c r="E53" i="13"/>
  <c r="F53" i="13" s="1"/>
  <c r="E17" i="13"/>
  <c r="F17" i="13" s="1"/>
  <c r="G17" i="13"/>
  <c r="G87" i="13"/>
  <c r="E87" i="13"/>
  <c r="F87" i="13" s="1"/>
  <c r="G75" i="13"/>
  <c r="E75" i="13"/>
  <c r="F75" i="13" s="1"/>
  <c r="G63" i="13"/>
  <c r="E63" i="13"/>
  <c r="F63" i="13" s="1"/>
  <c r="G51" i="13"/>
  <c r="E51" i="13"/>
  <c r="F51" i="13" s="1"/>
  <c r="G39" i="13"/>
  <c r="E39" i="13"/>
  <c r="F39" i="13" s="1"/>
  <c r="G27" i="13"/>
  <c r="E27" i="13"/>
  <c r="F27" i="13" s="1"/>
  <c r="G15" i="13"/>
  <c r="E15" i="13"/>
  <c r="F15" i="13" s="1"/>
  <c r="G29" i="13"/>
  <c r="E29" i="13"/>
  <c r="F29" i="13" s="1"/>
  <c r="E98" i="13"/>
  <c r="F98" i="13" s="1"/>
  <c r="G98" i="13"/>
  <c r="E86" i="13"/>
  <c r="F86" i="13" s="1"/>
  <c r="G86" i="13"/>
  <c r="E74" i="13"/>
  <c r="F74" i="13" s="1"/>
  <c r="G74" i="13"/>
  <c r="G62" i="13"/>
  <c r="E62" i="13"/>
  <c r="F62" i="13" s="1"/>
  <c r="E50" i="13"/>
  <c r="F50" i="13" s="1"/>
  <c r="G50" i="13"/>
  <c r="G38" i="13"/>
  <c r="E38" i="13"/>
  <c r="F38" i="13" s="1"/>
  <c r="G26" i="13"/>
  <c r="E26" i="13"/>
  <c r="F26" i="13" s="1"/>
  <c r="E14" i="13"/>
  <c r="F14" i="13" s="1"/>
  <c r="G14" i="13"/>
  <c r="G67" i="13"/>
  <c r="E67" i="13"/>
  <c r="F67" i="13" s="1"/>
  <c r="G31" i="13"/>
  <c r="E31" i="13"/>
  <c r="F31" i="13" s="1"/>
  <c r="G77" i="13"/>
  <c r="E77" i="13"/>
  <c r="F77" i="13" s="1"/>
  <c r="G97" i="13"/>
  <c r="E97" i="13"/>
  <c r="F97" i="13" s="1"/>
  <c r="G85" i="13"/>
  <c r="E85" i="13"/>
  <c r="F85" i="13" s="1"/>
  <c r="E73" i="13"/>
  <c r="F73" i="13" s="1"/>
  <c r="G73" i="13"/>
  <c r="G61" i="13"/>
  <c r="E61" i="13"/>
  <c r="F61" i="13" s="1"/>
  <c r="G49" i="13"/>
  <c r="E49" i="13"/>
  <c r="F49" i="13" s="1"/>
  <c r="E37" i="13"/>
  <c r="F37" i="13" s="1"/>
  <c r="G37" i="13"/>
  <c r="E25" i="13"/>
  <c r="F25" i="13" s="1"/>
  <c r="G25" i="13"/>
  <c r="E13" i="13"/>
  <c r="F13" i="13" s="1"/>
  <c r="G13" i="13"/>
  <c r="E79" i="13"/>
  <c r="F79" i="13" s="1"/>
  <c r="G79" i="13"/>
  <c r="G43" i="13"/>
  <c r="E43" i="13"/>
  <c r="F43" i="13" s="1"/>
  <c r="E84" i="13"/>
  <c r="F84" i="13" s="1"/>
  <c r="G84" i="13"/>
  <c r="E36" i="13"/>
  <c r="F36" i="13" s="1"/>
  <c r="G36" i="13"/>
  <c r="G95" i="13"/>
  <c r="E95" i="13"/>
  <c r="F95" i="13" s="1"/>
  <c r="G83" i="13"/>
  <c r="E83" i="13"/>
  <c r="F83" i="13" s="1"/>
  <c r="E71" i="13"/>
  <c r="F71" i="13" s="1"/>
  <c r="G71" i="13"/>
  <c r="G59" i="13"/>
  <c r="E59" i="13"/>
  <c r="F59" i="13" s="1"/>
  <c r="E47" i="13"/>
  <c r="F47" i="13" s="1"/>
  <c r="G47" i="13"/>
  <c r="E35" i="13"/>
  <c r="F35" i="13" s="1"/>
  <c r="G35" i="13"/>
  <c r="E23" i="13"/>
  <c r="F23" i="13" s="1"/>
  <c r="G23" i="13"/>
  <c r="G11" i="13"/>
  <c r="E11" i="13"/>
  <c r="F11" i="13" s="1"/>
  <c r="G55" i="13"/>
  <c r="E55" i="13"/>
  <c r="F55" i="13" s="1"/>
  <c r="G19" i="13"/>
  <c r="E19" i="13"/>
  <c r="F19" i="13" s="1"/>
  <c r="G65" i="13"/>
  <c r="E65" i="13"/>
  <c r="F65" i="13" s="1"/>
  <c r="G60" i="13"/>
  <c r="E60" i="13"/>
  <c r="F60" i="13" s="1"/>
  <c r="E94" i="13"/>
  <c r="F94" i="13" s="1"/>
  <c r="G94" i="13"/>
  <c r="E82" i="13"/>
  <c r="F82" i="13" s="1"/>
  <c r="G82" i="13"/>
  <c r="G70" i="13"/>
  <c r="E70" i="13"/>
  <c r="F70" i="13" s="1"/>
  <c r="E58" i="13"/>
  <c r="F58" i="13" s="1"/>
  <c r="G58" i="13"/>
  <c r="E46" i="13"/>
  <c r="F46" i="13" s="1"/>
  <c r="G46" i="13"/>
  <c r="E34" i="13"/>
  <c r="F34" i="13" s="1"/>
  <c r="G34" i="13"/>
  <c r="E22" i="13"/>
  <c r="F22" i="13" s="1"/>
  <c r="G22" i="13"/>
  <c r="E10" i="13"/>
  <c r="F10" i="13" s="1"/>
  <c r="G10" i="13"/>
  <c r="G41" i="13"/>
  <c r="E41" i="13"/>
  <c r="F41" i="13" s="1"/>
  <c r="E96" i="13"/>
  <c r="F96" i="13" s="1"/>
  <c r="G96" i="13"/>
  <c r="G48" i="13"/>
  <c r="E48" i="13"/>
  <c r="F48" i="13" s="1"/>
  <c r="E12" i="13"/>
  <c r="F12" i="13" s="1"/>
  <c r="G12" i="13"/>
  <c r="E93" i="13"/>
  <c r="F93" i="13" s="1"/>
  <c r="G93" i="13"/>
  <c r="E81" i="13"/>
  <c r="F81" i="13" s="1"/>
  <c r="G81" i="13"/>
  <c r="G69" i="13"/>
  <c r="E69" i="13"/>
  <c r="F69" i="13" s="1"/>
  <c r="E57" i="13"/>
  <c r="F57" i="13" s="1"/>
  <c r="G57" i="13"/>
  <c r="E45" i="13"/>
  <c r="F45" i="13" s="1"/>
  <c r="G45" i="13"/>
  <c r="E33" i="13"/>
  <c r="F33" i="13" s="1"/>
  <c r="G33" i="13"/>
  <c r="G21" i="13"/>
  <c r="E21" i="13"/>
  <c r="F21" i="13" s="1"/>
  <c r="E9" i="13"/>
  <c r="F9" i="13" s="1"/>
  <c r="G9" i="13"/>
  <c r="K37" i="4"/>
  <c r="K25" i="4"/>
  <c r="K16" i="4"/>
  <c r="K98" i="4"/>
  <c r="K50" i="4"/>
  <c r="K19" i="2" a="1"/>
  <c r="K90" i="4" l="1"/>
  <c r="K20" i="4"/>
  <c r="K68" i="4"/>
  <c r="K87" i="4"/>
  <c r="K24" i="4"/>
  <c r="K88" i="4"/>
  <c r="K63" i="4"/>
  <c r="I17" i="16"/>
  <c r="B18" i="16"/>
  <c r="G18" i="16" s="1"/>
  <c r="H18" i="16" s="1"/>
  <c r="E9" i="14"/>
  <c r="E19" i="14"/>
  <c r="B19" i="17"/>
  <c r="A19" i="16"/>
  <c r="K19" i="2"/>
  <c r="A20" i="17" s="1"/>
  <c r="K59" i="4"/>
  <c r="K84" i="4"/>
  <c r="K65" i="4"/>
  <c r="K17" i="4"/>
  <c r="K18" i="4"/>
  <c r="K52" i="4"/>
  <c r="K76" i="4"/>
  <c r="K77" i="4"/>
  <c r="K30" i="4"/>
  <c r="K66" i="4"/>
  <c r="K89" i="4"/>
  <c r="K91" i="4"/>
  <c r="K44" i="4"/>
  <c r="K15" i="4"/>
  <c r="K40" i="4"/>
  <c r="K32" i="4"/>
  <c r="K74" i="4"/>
  <c r="K80" i="4"/>
  <c r="K31" i="4"/>
  <c r="K48" i="4"/>
  <c r="K58" i="4"/>
  <c r="K96" i="4"/>
  <c r="K23" i="4"/>
  <c r="K86" i="4"/>
  <c r="K79" i="4"/>
  <c r="K60" i="4"/>
  <c r="K28" i="4"/>
  <c r="K72" i="4"/>
  <c r="K94" i="4"/>
  <c r="K21" i="4"/>
  <c r="K55" i="4"/>
  <c r="K47" i="4"/>
  <c r="K69" i="4"/>
  <c r="K67" i="4"/>
  <c r="K11" i="4"/>
  <c r="K64" i="4"/>
  <c r="K92" i="4"/>
  <c r="K61" i="4"/>
  <c r="K56" i="4"/>
  <c r="K97" i="4"/>
  <c r="K42" i="4"/>
  <c r="K85" i="4"/>
  <c r="K49" i="4"/>
  <c r="K54" i="4"/>
  <c r="K83" i="4"/>
  <c r="K95" i="4"/>
  <c r="K78" i="4"/>
  <c r="K13" i="4"/>
  <c r="K14" i="4"/>
  <c r="K26" i="4"/>
  <c r="K73" i="4"/>
  <c r="K34" i="4"/>
  <c r="K38" i="4"/>
  <c r="K12" i="4"/>
  <c r="K46" i="4"/>
  <c r="K75" i="4"/>
  <c r="K62" i="4"/>
  <c r="K36" i="4"/>
  <c r="K9" i="4"/>
  <c r="K71" i="4"/>
  <c r="K27" i="4"/>
  <c r="K43" i="4"/>
  <c r="K35" i="4"/>
  <c r="K10" i="4"/>
  <c r="K22" i="4"/>
  <c r="K39" i="4"/>
  <c r="K51" i="4"/>
  <c r="K19" i="4"/>
  <c r="K29" i="4"/>
  <c r="K70" i="4"/>
  <c r="K41" i="4"/>
  <c r="K82" i="4"/>
  <c r="K53" i="4"/>
  <c r="K93" i="4"/>
  <c r="K81" i="4"/>
  <c r="K33" i="4"/>
  <c r="K45" i="4"/>
  <c r="K57" i="4"/>
  <c r="N7" i="7"/>
  <c r="AA14" i="4" a="1"/>
  <c r="AA14" i="4" s="1"/>
  <c r="K20" i="2" a="1"/>
  <c r="I18" i="16" l="1"/>
  <c r="B19" i="16"/>
  <c r="G19" i="16" s="1"/>
  <c r="H19" i="16" s="1"/>
  <c r="B20" i="17"/>
  <c r="A20" i="16"/>
  <c r="F8" i="7"/>
  <c r="N8" i="7"/>
  <c r="K20" i="2"/>
  <c r="A21" i="17" s="1"/>
  <c r="F10" i="10"/>
  <c r="O7" i="7" s="1"/>
  <c r="D10" i="10"/>
  <c r="K21" i="2" a="1"/>
  <c r="I19" i="16" l="1"/>
  <c r="B20" i="16"/>
  <c r="G20" i="16" s="1"/>
  <c r="H20" i="16" s="1"/>
  <c r="B21" i="17"/>
  <c r="O8" i="7"/>
  <c r="A21" i="16"/>
  <c r="AK4" i="2"/>
  <c r="AL4" i="2" s="1"/>
  <c r="K21" i="2"/>
  <c r="A22" i="17" s="1"/>
  <c r="F12" i="7"/>
  <c r="E10" i="10"/>
  <c r="B11" i="11"/>
  <c r="G11" i="11" s="1"/>
  <c r="B12" i="11"/>
  <c r="G12" i="11" s="1"/>
  <c r="B13" i="11"/>
  <c r="E13" i="11" s="1"/>
  <c r="B14" i="11"/>
  <c r="G14" i="11" s="1"/>
  <c r="B15" i="11"/>
  <c r="G15" i="11" s="1"/>
  <c r="B16" i="11"/>
  <c r="E16" i="11" s="1"/>
  <c r="I16" i="1" s="1"/>
  <c r="B17" i="11"/>
  <c r="G17" i="11" s="1"/>
  <c r="B18" i="11"/>
  <c r="G18" i="11" s="1"/>
  <c r="B19" i="11"/>
  <c r="G19" i="11" s="1"/>
  <c r="B20" i="11"/>
  <c r="G20" i="11" s="1"/>
  <c r="B21" i="11"/>
  <c r="G21" i="11" s="1"/>
  <c r="B22" i="11"/>
  <c r="E22" i="11" s="1"/>
  <c r="B23" i="11"/>
  <c r="G23" i="11" s="1"/>
  <c r="B24" i="11"/>
  <c r="G24" i="11" s="1"/>
  <c r="B25" i="11"/>
  <c r="E25" i="11" s="1"/>
  <c r="B26" i="11"/>
  <c r="G26" i="11" s="1"/>
  <c r="B27" i="11"/>
  <c r="G27" i="11" s="1"/>
  <c r="B28" i="11"/>
  <c r="E28" i="11" s="1"/>
  <c r="B29" i="11"/>
  <c r="G29" i="11" s="1"/>
  <c r="B30" i="11"/>
  <c r="G30" i="11" s="1"/>
  <c r="B31" i="11"/>
  <c r="G31" i="11" s="1"/>
  <c r="B32" i="11"/>
  <c r="G32" i="11" s="1"/>
  <c r="B33" i="11"/>
  <c r="G33" i="11" s="1"/>
  <c r="B34" i="11"/>
  <c r="E34" i="11" s="1"/>
  <c r="B35" i="11"/>
  <c r="G35" i="11" s="1"/>
  <c r="B36" i="11"/>
  <c r="G36" i="11" s="1"/>
  <c r="B37" i="11"/>
  <c r="E37" i="11" s="1"/>
  <c r="B38" i="11"/>
  <c r="G38" i="11" s="1"/>
  <c r="B39" i="11"/>
  <c r="G39" i="11" s="1"/>
  <c r="B40" i="11"/>
  <c r="G40" i="11" s="1"/>
  <c r="B41" i="11"/>
  <c r="G41" i="11" s="1"/>
  <c r="B42" i="11"/>
  <c r="E42" i="11" s="1"/>
  <c r="B43" i="11"/>
  <c r="G43" i="11" s="1"/>
  <c r="B44" i="11"/>
  <c r="G44" i="11" s="1"/>
  <c r="B45" i="11"/>
  <c r="G45" i="11" s="1"/>
  <c r="B46" i="11"/>
  <c r="E46" i="11" s="1"/>
  <c r="B47" i="11"/>
  <c r="G47" i="11" s="1"/>
  <c r="B48" i="11"/>
  <c r="G48" i="11" s="1"/>
  <c r="B49" i="11"/>
  <c r="E49" i="11" s="1"/>
  <c r="B50" i="11"/>
  <c r="G50" i="11" s="1"/>
  <c r="B51" i="11"/>
  <c r="G51" i="11" s="1"/>
  <c r="B52" i="11"/>
  <c r="E52" i="11" s="1"/>
  <c r="F52" i="11" s="1"/>
  <c r="B53" i="11"/>
  <c r="G53" i="11" s="1"/>
  <c r="B54" i="11"/>
  <c r="G54" i="11" s="1"/>
  <c r="B55" i="11"/>
  <c r="G55" i="11" s="1"/>
  <c r="B56" i="11"/>
  <c r="G56" i="11" s="1"/>
  <c r="B57" i="11"/>
  <c r="G57" i="11" s="1"/>
  <c r="B58" i="11"/>
  <c r="E58" i="11" s="1"/>
  <c r="B59" i="11"/>
  <c r="G59" i="11" s="1"/>
  <c r="B60" i="11"/>
  <c r="G60" i="11" s="1"/>
  <c r="B61" i="11"/>
  <c r="E61" i="11" s="1"/>
  <c r="B62" i="11"/>
  <c r="G62" i="11" s="1"/>
  <c r="B63" i="11"/>
  <c r="G63" i="11" s="1"/>
  <c r="B64" i="11"/>
  <c r="E64" i="11" s="1"/>
  <c r="B65" i="11"/>
  <c r="G65" i="11" s="1"/>
  <c r="B66" i="11"/>
  <c r="G66" i="11" s="1"/>
  <c r="B67" i="11"/>
  <c r="G67" i="11" s="1"/>
  <c r="B68" i="11"/>
  <c r="G68" i="11" s="1"/>
  <c r="B69" i="11"/>
  <c r="G69" i="11" s="1"/>
  <c r="B70" i="11"/>
  <c r="E70" i="11" s="1"/>
  <c r="B71" i="11"/>
  <c r="G71" i="11" s="1"/>
  <c r="B72" i="11"/>
  <c r="G72" i="11" s="1"/>
  <c r="B73" i="11"/>
  <c r="E73" i="11" s="1"/>
  <c r="B74" i="11"/>
  <c r="G74" i="11" s="1"/>
  <c r="B75" i="11"/>
  <c r="G75" i="11" s="1"/>
  <c r="B76" i="11"/>
  <c r="G76" i="11" s="1"/>
  <c r="B77" i="11"/>
  <c r="G77" i="11" s="1"/>
  <c r="B78" i="11"/>
  <c r="E78" i="11" s="1"/>
  <c r="F78" i="11" s="1"/>
  <c r="B79" i="11"/>
  <c r="G79" i="11" s="1"/>
  <c r="B80" i="11"/>
  <c r="G80" i="11" s="1"/>
  <c r="B81" i="11"/>
  <c r="G81" i="11" s="1"/>
  <c r="B82" i="11"/>
  <c r="E82" i="11" s="1"/>
  <c r="B83" i="11"/>
  <c r="G83" i="11" s="1"/>
  <c r="B84" i="11"/>
  <c r="G84" i="11" s="1"/>
  <c r="B85" i="11"/>
  <c r="E85" i="11" s="1"/>
  <c r="B86" i="11"/>
  <c r="G86" i="11" s="1"/>
  <c r="B87" i="11"/>
  <c r="G87" i="11" s="1"/>
  <c r="B88" i="11"/>
  <c r="G88" i="11" s="1"/>
  <c r="B89" i="11"/>
  <c r="G89" i="11" s="1"/>
  <c r="B90" i="11"/>
  <c r="G90" i="11" s="1"/>
  <c r="B91" i="11"/>
  <c r="G91" i="11" s="1"/>
  <c r="B92" i="11"/>
  <c r="G92" i="11" s="1"/>
  <c r="B93" i="11"/>
  <c r="G93" i="11" s="1"/>
  <c r="B94" i="11"/>
  <c r="E94" i="11" s="1"/>
  <c r="B95" i="11"/>
  <c r="G95" i="11" s="1"/>
  <c r="B96" i="11"/>
  <c r="G96" i="11" s="1"/>
  <c r="B97" i="11"/>
  <c r="E97" i="11" s="1"/>
  <c r="B98" i="11"/>
  <c r="G98" i="11" s="1"/>
  <c r="B99" i="11"/>
  <c r="G99" i="11" s="1"/>
  <c r="B10" i="11"/>
  <c r="G10" i="11" s="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" i="11"/>
  <c r="K22" i="2" a="1"/>
  <c r="I20" i="16" l="1"/>
  <c r="B21" i="16"/>
  <c r="G21" i="16" s="1"/>
  <c r="H21" i="16" s="1"/>
  <c r="E8" i="14"/>
  <c r="D8" i="14"/>
  <c r="B22" i="17"/>
  <c r="AB5" i="4"/>
  <c r="Z4" i="1"/>
  <c r="A22" i="16"/>
  <c r="K22" i="2"/>
  <c r="A23" i="17" s="1"/>
  <c r="E89" i="11"/>
  <c r="I89" i="1" s="1"/>
  <c r="E53" i="11"/>
  <c r="F53" i="11" s="1"/>
  <c r="G64" i="11"/>
  <c r="G52" i="11"/>
  <c r="E88" i="11"/>
  <c r="F88" i="11" s="1"/>
  <c r="E76" i="11"/>
  <c r="F76" i="11" s="1"/>
  <c r="E40" i="11"/>
  <c r="I40" i="1" s="1"/>
  <c r="G28" i="11"/>
  <c r="G22" i="11"/>
  <c r="G16" i="11"/>
  <c r="G46" i="11"/>
  <c r="G34" i="11"/>
  <c r="E17" i="11"/>
  <c r="F17" i="11" s="1"/>
  <c r="G94" i="11"/>
  <c r="G82" i="11"/>
  <c r="G70" i="11"/>
  <c r="G58" i="11"/>
  <c r="I64" i="1"/>
  <c r="F64" i="11"/>
  <c r="F28" i="11"/>
  <c r="I28" i="1"/>
  <c r="I42" i="1"/>
  <c r="F42" i="11"/>
  <c r="E31" i="11"/>
  <c r="E30" i="11"/>
  <c r="F30" i="11" s="1"/>
  <c r="F16" i="11"/>
  <c r="E29" i="11"/>
  <c r="G42" i="11"/>
  <c r="E92" i="11"/>
  <c r="I92" i="1" s="1"/>
  <c r="E67" i="11"/>
  <c r="E66" i="11"/>
  <c r="F66" i="11" s="1"/>
  <c r="E65" i="11"/>
  <c r="I65" i="1" s="1"/>
  <c r="G78" i="11"/>
  <c r="E91" i="11"/>
  <c r="F91" i="11" s="1"/>
  <c r="E55" i="11"/>
  <c r="E19" i="11"/>
  <c r="G73" i="11"/>
  <c r="G37" i="11"/>
  <c r="E90" i="11"/>
  <c r="I90" i="1" s="1"/>
  <c r="E54" i="11"/>
  <c r="F54" i="11" s="1"/>
  <c r="E18" i="11"/>
  <c r="F18" i="11" s="1"/>
  <c r="I52" i="1"/>
  <c r="E79" i="11"/>
  <c r="E43" i="11"/>
  <c r="G97" i="11"/>
  <c r="G61" i="11"/>
  <c r="G25" i="11"/>
  <c r="E77" i="11"/>
  <c r="I77" i="1" s="1"/>
  <c r="E41" i="11"/>
  <c r="G49" i="11"/>
  <c r="G85" i="11"/>
  <c r="G13" i="11"/>
  <c r="E10" i="11"/>
  <c r="I97" i="1"/>
  <c r="F97" i="11"/>
  <c r="I61" i="1"/>
  <c r="F61" i="11"/>
  <c r="I25" i="1"/>
  <c r="F25" i="11"/>
  <c r="I94" i="1"/>
  <c r="F94" i="11"/>
  <c r="F58" i="11"/>
  <c r="I58" i="1"/>
  <c r="F34" i="11"/>
  <c r="I34" i="1"/>
  <c r="I85" i="1"/>
  <c r="F85" i="11"/>
  <c r="I49" i="1"/>
  <c r="F49" i="11"/>
  <c r="F37" i="11"/>
  <c r="I37" i="1"/>
  <c r="F70" i="11"/>
  <c r="I70" i="1"/>
  <c r="F22" i="11"/>
  <c r="I22" i="1"/>
  <c r="I73" i="1"/>
  <c r="F73" i="11"/>
  <c r="F13" i="11"/>
  <c r="I13" i="1"/>
  <c r="I82" i="1"/>
  <c r="F82" i="11"/>
  <c r="F46" i="11"/>
  <c r="I46" i="1"/>
  <c r="E99" i="11"/>
  <c r="E87" i="11"/>
  <c r="E75" i="11"/>
  <c r="E63" i="11"/>
  <c r="E51" i="11"/>
  <c r="E39" i="11"/>
  <c r="E27" i="11"/>
  <c r="E15" i="11"/>
  <c r="E86" i="11"/>
  <c r="E98" i="11"/>
  <c r="E74" i="11"/>
  <c r="E62" i="11"/>
  <c r="E50" i="11"/>
  <c r="E38" i="11"/>
  <c r="E26" i="11"/>
  <c r="E14" i="11"/>
  <c r="E96" i="11"/>
  <c r="E84" i="11"/>
  <c r="E72" i="11"/>
  <c r="E60" i="11"/>
  <c r="E48" i="11"/>
  <c r="E36" i="11"/>
  <c r="E24" i="11"/>
  <c r="E12" i="11"/>
  <c r="E95" i="11"/>
  <c r="E59" i="11"/>
  <c r="E23" i="11"/>
  <c r="E83" i="11"/>
  <c r="E71" i="11"/>
  <c r="E47" i="11"/>
  <c r="E35" i="11"/>
  <c r="I78" i="1"/>
  <c r="E93" i="11"/>
  <c r="E81" i="11"/>
  <c r="E69" i="11"/>
  <c r="E57" i="11"/>
  <c r="E45" i="11"/>
  <c r="E33" i="11"/>
  <c r="E21" i="11"/>
  <c r="E80" i="11"/>
  <c r="E68" i="11"/>
  <c r="E56" i="11"/>
  <c r="E44" i="11"/>
  <c r="E32" i="11"/>
  <c r="E20" i="11"/>
  <c r="E11" i="11"/>
  <c r="K23" i="2" a="1"/>
  <c r="I21" i="16" l="1"/>
  <c r="B22" i="16"/>
  <c r="G22" i="16" s="1"/>
  <c r="H22" i="16" s="1"/>
  <c r="B23" i="17"/>
  <c r="A23" i="16"/>
  <c r="K23" i="2"/>
  <c r="A24" i="17" s="1"/>
  <c r="I18" i="1"/>
  <c r="F89" i="11"/>
  <c r="P7" i="7"/>
  <c r="F10" i="11"/>
  <c r="I10" i="1"/>
  <c r="I53" i="1"/>
  <c r="I76" i="1"/>
  <c r="F40" i="11"/>
  <c r="I88" i="1"/>
  <c r="F90" i="11"/>
  <c r="I30" i="1"/>
  <c r="F65" i="11"/>
  <c r="I54" i="1"/>
  <c r="I17" i="1"/>
  <c r="F77" i="11"/>
  <c r="I41" i="1"/>
  <c r="F41" i="11"/>
  <c r="I55" i="1"/>
  <c r="F55" i="11"/>
  <c r="I67" i="1"/>
  <c r="F67" i="11"/>
  <c r="I66" i="1"/>
  <c r="I29" i="1"/>
  <c r="F29" i="11"/>
  <c r="F19" i="11"/>
  <c r="I19" i="1"/>
  <c r="I91" i="1"/>
  <c r="I31" i="1"/>
  <c r="F31" i="11"/>
  <c r="F92" i="11"/>
  <c r="I43" i="1"/>
  <c r="F43" i="11"/>
  <c r="F79" i="11"/>
  <c r="I79" i="1"/>
  <c r="I72" i="1"/>
  <c r="F72" i="11"/>
  <c r="I84" i="1"/>
  <c r="F84" i="11"/>
  <c r="F57" i="11"/>
  <c r="I57" i="1"/>
  <c r="I15" i="1"/>
  <c r="F15" i="11"/>
  <c r="F69" i="11"/>
  <c r="I69" i="1"/>
  <c r="F81" i="11"/>
  <c r="I81" i="1"/>
  <c r="F44" i="11"/>
  <c r="I44" i="1"/>
  <c r="I93" i="1"/>
  <c r="F93" i="11"/>
  <c r="F59" i="11"/>
  <c r="I59" i="1"/>
  <c r="F14" i="11"/>
  <c r="I14" i="1"/>
  <c r="I51" i="1"/>
  <c r="F51" i="11"/>
  <c r="F56" i="11"/>
  <c r="I56" i="1"/>
  <c r="F95" i="11"/>
  <c r="I95" i="1"/>
  <c r="F26" i="11"/>
  <c r="I26" i="1"/>
  <c r="I63" i="1"/>
  <c r="F63" i="11"/>
  <c r="F47" i="11"/>
  <c r="I47" i="1"/>
  <c r="F45" i="11"/>
  <c r="I45" i="1"/>
  <c r="F86" i="11"/>
  <c r="I86" i="1"/>
  <c r="I96" i="1"/>
  <c r="F96" i="11"/>
  <c r="F20" i="11"/>
  <c r="I20" i="1"/>
  <c r="F27" i="11"/>
  <c r="I27" i="1"/>
  <c r="F23" i="11"/>
  <c r="I23" i="1"/>
  <c r="I68" i="1"/>
  <c r="F68" i="11"/>
  <c r="F38" i="11"/>
  <c r="I38" i="1"/>
  <c r="I75" i="1"/>
  <c r="F75" i="11"/>
  <c r="I24" i="1"/>
  <c r="F24" i="11"/>
  <c r="F50" i="11"/>
  <c r="I50" i="1"/>
  <c r="I87" i="1"/>
  <c r="F87" i="11"/>
  <c r="I36" i="1"/>
  <c r="F36" i="11"/>
  <c r="F62" i="11"/>
  <c r="I62" i="1"/>
  <c r="I99" i="1"/>
  <c r="F99" i="11"/>
  <c r="F33" i="11"/>
  <c r="I33" i="1"/>
  <c r="F71" i="11"/>
  <c r="I71" i="1"/>
  <c r="F83" i="11"/>
  <c r="I83" i="1"/>
  <c r="F32" i="11"/>
  <c r="I32" i="1"/>
  <c r="I39" i="1"/>
  <c r="F39" i="11"/>
  <c r="F12" i="11"/>
  <c r="I12" i="1"/>
  <c r="I80" i="1"/>
  <c r="F80" i="11"/>
  <c r="I48" i="1"/>
  <c r="F48" i="11"/>
  <c r="F74" i="11"/>
  <c r="I74" i="1"/>
  <c r="F21" i="11"/>
  <c r="I21" i="1"/>
  <c r="F35" i="11"/>
  <c r="I35" i="1"/>
  <c r="I60" i="1"/>
  <c r="F60" i="11"/>
  <c r="F98" i="11"/>
  <c r="I98" i="1"/>
  <c r="F11" i="11"/>
  <c r="I11" i="1"/>
  <c r="K24" i="2" a="1"/>
  <c r="I22" i="16" l="1"/>
  <c r="B23" i="16"/>
  <c r="G23" i="16" s="1"/>
  <c r="H23" i="16" s="1"/>
  <c r="B24" i="17"/>
  <c r="A24" i="16"/>
  <c r="F18" i="7"/>
  <c r="P8" i="7"/>
  <c r="K24" i="2"/>
  <c r="A25" i="17" s="1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K25" i="2" a="1"/>
  <c r="B24" i="16" l="1"/>
  <c r="G24" i="16" s="1"/>
  <c r="H24" i="16" s="1"/>
  <c r="I23" i="16"/>
  <c r="B25" i="17"/>
  <c r="A25" i="16"/>
  <c r="AK3" i="2"/>
  <c r="AL3" i="2" s="1"/>
  <c r="K25" i="2"/>
  <c r="A26" i="17" s="1"/>
  <c r="C11" i="9"/>
  <c r="D11" i="9" s="1"/>
  <c r="J11" i="9" s="1"/>
  <c r="C12" i="9"/>
  <c r="D12" i="9" s="1"/>
  <c r="J12" i="9" s="1"/>
  <c r="C13" i="9"/>
  <c r="D13" i="9" s="1"/>
  <c r="J13" i="9" s="1"/>
  <c r="C14" i="9"/>
  <c r="D14" i="9" s="1"/>
  <c r="J14" i="9" s="1"/>
  <c r="C15" i="9"/>
  <c r="D15" i="9" s="1"/>
  <c r="J15" i="9" s="1"/>
  <c r="C16" i="9"/>
  <c r="D16" i="9" s="1"/>
  <c r="J16" i="9" s="1"/>
  <c r="C17" i="9"/>
  <c r="D17" i="9" s="1"/>
  <c r="J17" i="9" s="1"/>
  <c r="C18" i="9"/>
  <c r="D18" i="9" s="1"/>
  <c r="J18" i="9" s="1"/>
  <c r="C19" i="9"/>
  <c r="D19" i="9" s="1"/>
  <c r="J19" i="9" s="1"/>
  <c r="C20" i="9"/>
  <c r="D20" i="9" s="1"/>
  <c r="J20" i="9" s="1"/>
  <c r="C21" i="9"/>
  <c r="D21" i="9" s="1"/>
  <c r="J21" i="9" s="1"/>
  <c r="C22" i="9"/>
  <c r="D22" i="9" s="1"/>
  <c r="J22" i="9" s="1"/>
  <c r="C23" i="9"/>
  <c r="D23" i="9" s="1"/>
  <c r="J23" i="9" s="1"/>
  <c r="C24" i="9"/>
  <c r="D24" i="9" s="1"/>
  <c r="J24" i="9" s="1"/>
  <c r="C25" i="9"/>
  <c r="D25" i="9" s="1"/>
  <c r="J25" i="9" s="1"/>
  <c r="C26" i="9"/>
  <c r="D26" i="9" s="1"/>
  <c r="J26" i="9" s="1"/>
  <c r="C27" i="9"/>
  <c r="D27" i="9" s="1"/>
  <c r="J27" i="9" s="1"/>
  <c r="C28" i="9"/>
  <c r="D28" i="9" s="1"/>
  <c r="J28" i="9" s="1"/>
  <c r="C29" i="9"/>
  <c r="D29" i="9" s="1"/>
  <c r="J29" i="9" s="1"/>
  <c r="C30" i="9"/>
  <c r="D30" i="9" s="1"/>
  <c r="J30" i="9" s="1"/>
  <c r="C31" i="9"/>
  <c r="D31" i="9" s="1"/>
  <c r="J31" i="9" s="1"/>
  <c r="C32" i="9"/>
  <c r="D32" i="9" s="1"/>
  <c r="J32" i="9" s="1"/>
  <c r="C33" i="9"/>
  <c r="D33" i="9" s="1"/>
  <c r="J33" i="9" s="1"/>
  <c r="C34" i="9"/>
  <c r="D34" i="9" s="1"/>
  <c r="J34" i="9" s="1"/>
  <c r="C35" i="9"/>
  <c r="D35" i="9" s="1"/>
  <c r="J35" i="9" s="1"/>
  <c r="C36" i="9"/>
  <c r="D36" i="9" s="1"/>
  <c r="J36" i="9" s="1"/>
  <c r="C37" i="9"/>
  <c r="D37" i="9" s="1"/>
  <c r="J37" i="9" s="1"/>
  <c r="C38" i="9"/>
  <c r="D38" i="9" s="1"/>
  <c r="J38" i="9" s="1"/>
  <c r="C39" i="9"/>
  <c r="D39" i="9" s="1"/>
  <c r="J39" i="9" s="1"/>
  <c r="C40" i="9"/>
  <c r="D40" i="9" s="1"/>
  <c r="J40" i="9" s="1"/>
  <c r="C41" i="9"/>
  <c r="D41" i="9" s="1"/>
  <c r="J41" i="9" s="1"/>
  <c r="C42" i="9"/>
  <c r="D42" i="9" s="1"/>
  <c r="J42" i="9" s="1"/>
  <c r="C43" i="9"/>
  <c r="D43" i="9" s="1"/>
  <c r="J43" i="9" s="1"/>
  <c r="C44" i="9"/>
  <c r="D44" i="9" s="1"/>
  <c r="J44" i="9" s="1"/>
  <c r="C45" i="9"/>
  <c r="D45" i="9" s="1"/>
  <c r="J45" i="9" s="1"/>
  <c r="C46" i="9"/>
  <c r="D46" i="9" s="1"/>
  <c r="J46" i="9" s="1"/>
  <c r="C47" i="9"/>
  <c r="D47" i="9" s="1"/>
  <c r="J47" i="9" s="1"/>
  <c r="C48" i="9"/>
  <c r="D48" i="9" s="1"/>
  <c r="J48" i="9" s="1"/>
  <c r="C49" i="9"/>
  <c r="D49" i="9" s="1"/>
  <c r="J49" i="9" s="1"/>
  <c r="C50" i="9"/>
  <c r="D50" i="9" s="1"/>
  <c r="J50" i="9" s="1"/>
  <c r="C51" i="9"/>
  <c r="D51" i="9" s="1"/>
  <c r="J51" i="9" s="1"/>
  <c r="C52" i="9"/>
  <c r="D52" i="9" s="1"/>
  <c r="J52" i="9" s="1"/>
  <c r="C53" i="9"/>
  <c r="D53" i="9" s="1"/>
  <c r="J53" i="9" s="1"/>
  <c r="C54" i="9"/>
  <c r="D54" i="9" s="1"/>
  <c r="J54" i="9" s="1"/>
  <c r="C55" i="9"/>
  <c r="D55" i="9" s="1"/>
  <c r="J55" i="9" s="1"/>
  <c r="C56" i="9"/>
  <c r="D56" i="9" s="1"/>
  <c r="J56" i="9" s="1"/>
  <c r="C57" i="9"/>
  <c r="D57" i="9" s="1"/>
  <c r="J57" i="9" s="1"/>
  <c r="C58" i="9"/>
  <c r="D58" i="9" s="1"/>
  <c r="J58" i="9" s="1"/>
  <c r="C59" i="9"/>
  <c r="D59" i="9" s="1"/>
  <c r="J59" i="9" s="1"/>
  <c r="C60" i="9"/>
  <c r="D60" i="9" s="1"/>
  <c r="J60" i="9" s="1"/>
  <c r="C61" i="9"/>
  <c r="D61" i="9" s="1"/>
  <c r="J61" i="9" s="1"/>
  <c r="C62" i="9"/>
  <c r="D62" i="9" s="1"/>
  <c r="J62" i="9" s="1"/>
  <c r="C63" i="9"/>
  <c r="D63" i="9" s="1"/>
  <c r="J63" i="9" s="1"/>
  <c r="C64" i="9"/>
  <c r="D64" i="9" s="1"/>
  <c r="J64" i="9" s="1"/>
  <c r="C65" i="9"/>
  <c r="D65" i="9" s="1"/>
  <c r="J65" i="9" s="1"/>
  <c r="C66" i="9"/>
  <c r="D66" i="9" s="1"/>
  <c r="J66" i="9" s="1"/>
  <c r="C67" i="9"/>
  <c r="D67" i="9" s="1"/>
  <c r="J67" i="9" s="1"/>
  <c r="C68" i="9"/>
  <c r="D68" i="9" s="1"/>
  <c r="J68" i="9" s="1"/>
  <c r="C69" i="9"/>
  <c r="D69" i="9" s="1"/>
  <c r="J69" i="9" s="1"/>
  <c r="C70" i="9"/>
  <c r="D70" i="9" s="1"/>
  <c r="J70" i="9" s="1"/>
  <c r="C71" i="9"/>
  <c r="D71" i="9" s="1"/>
  <c r="J71" i="9" s="1"/>
  <c r="C72" i="9"/>
  <c r="D72" i="9" s="1"/>
  <c r="J72" i="9" s="1"/>
  <c r="C73" i="9"/>
  <c r="D73" i="9" s="1"/>
  <c r="J73" i="9" s="1"/>
  <c r="C74" i="9"/>
  <c r="D74" i="9" s="1"/>
  <c r="J74" i="9" s="1"/>
  <c r="C75" i="9"/>
  <c r="D75" i="9" s="1"/>
  <c r="J75" i="9" s="1"/>
  <c r="C76" i="9"/>
  <c r="D76" i="9" s="1"/>
  <c r="J76" i="9" s="1"/>
  <c r="C77" i="9"/>
  <c r="D77" i="9" s="1"/>
  <c r="J77" i="9" s="1"/>
  <c r="C78" i="9"/>
  <c r="D78" i="9" s="1"/>
  <c r="J78" i="9" s="1"/>
  <c r="C79" i="9"/>
  <c r="D79" i="9" s="1"/>
  <c r="J79" i="9" s="1"/>
  <c r="C80" i="9"/>
  <c r="D80" i="9" s="1"/>
  <c r="J80" i="9" s="1"/>
  <c r="C81" i="9"/>
  <c r="D81" i="9" s="1"/>
  <c r="J81" i="9" s="1"/>
  <c r="C82" i="9"/>
  <c r="D82" i="9" s="1"/>
  <c r="J82" i="9" s="1"/>
  <c r="C83" i="9"/>
  <c r="D83" i="9" s="1"/>
  <c r="J83" i="9" s="1"/>
  <c r="C84" i="9"/>
  <c r="D84" i="9" s="1"/>
  <c r="J84" i="9" s="1"/>
  <c r="C85" i="9"/>
  <c r="D85" i="9" s="1"/>
  <c r="J85" i="9" s="1"/>
  <c r="C86" i="9"/>
  <c r="D86" i="9" s="1"/>
  <c r="J86" i="9" s="1"/>
  <c r="C87" i="9"/>
  <c r="D87" i="9" s="1"/>
  <c r="J87" i="9" s="1"/>
  <c r="C88" i="9"/>
  <c r="D88" i="9" s="1"/>
  <c r="J88" i="9" s="1"/>
  <c r="C89" i="9"/>
  <c r="D89" i="9" s="1"/>
  <c r="J89" i="9" s="1"/>
  <c r="C90" i="9"/>
  <c r="D90" i="9" s="1"/>
  <c r="J90" i="9" s="1"/>
  <c r="C91" i="9"/>
  <c r="D91" i="9" s="1"/>
  <c r="J91" i="9" s="1"/>
  <c r="C92" i="9"/>
  <c r="D92" i="9" s="1"/>
  <c r="J92" i="9" s="1"/>
  <c r="C93" i="9"/>
  <c r="D93" i="9" s="1"/>
  <c r="J93" i="9" s="1"/>
  <c r="C94" i="9"/>
  <c r="D94" i="9" s="1"/>
  <c r="J94" i="9" s="1"/>
  <c r="C95" i="9"/>
  <c r="D95" i="9" s="1"/>
  <c r="J95" i="9" s="1"/>
  <c r="C96" i="9"/>
  <c r="D96" i="9" s="1"/>
  <c r="J96" i="9" s="1"/>
  <c r="C97" i="9"/>
  <c r="D97" i="9" s="1"/>
  <c r="J97" i="9" s="1"/>
  <c r="C98" i="9"/>
  <c r="D98" i="9" s="1"/>
  <c r="J98" i="9" s="1"/>
  <c r="C99" i="9"/>
  <c r="D99" i="9" s="1"/>
  <c r="J99" i="9" s="1"/>
  <c r="C10" i="9"/>
  <c r="D10" i="9" s="1"/>
  <c r="B11" i="9"/>
  <c r="I11" i="9" s="1"/>
  <c r="B12" i="9"/>
  <c r="I12" i="9" s="1"/>
  <c r="B13" i="9"/>
  <c r="I13" i="9" s="1"/>
  <c r="B14" i="9"/>
  <c r="I14" i="9" s="1"/>
  <c r="B15" i="9"/>
  <c r="I15" i="9" s="1"/>
  <c r="B16" i="9"/>
  <c r="I16" i="9" s="1"/>
  <c r="B17" i="9"/>
  <c r="I17" i="9" s="1"/>
  <c r="B18" i="9"/>
  <c r="I18" i="9" s="1"/>
  <c r="B19" i="9"/>
  <c r="I19" i="9" s="1"/>
  <c r="B20" i="9"/>
  <c r="I20" i="9" s="1"/>
  <c r="B21" i="9"/>
  <c r="I21" i="9" s="1"/>
  <c r="B22" i="9"/>
  <c r="I22" i="9" s="1"/>
  <c r="B23" i="9"/>
  <c r="I23" i="9" s="1"/>
  <c r="B24" i="9"/>
  <c r="I24" i="9" s="1"/>
  <c r="B25" i="9"/>
  <c r="I25" i="9" s="1"/>
  <c r="B26" i="9"/>
  <c r="I26" i="9" s="1"/>
  <c r="B27" i="9"/>
  <c r="I27" i="9" s="1"/>
  <c r="B28" i="9"/>
  <c r="I28" i="9" s="1"/>
  <c r="B29" i="9"/>
  <c r="I29" i="9" s="1"/>
  <c r="B30" i="9"/>
  <c r="I30" i="9" s="1"/>
  <c r="B31" i="9"/>
  <c r="I31" i="9" s="1"/>
  <c r="B32" i="9"/>
  <c r="I32" i="9" s="1"/>
  <c r="B33" i="9"/>
  <c r="I33" i="9" s="1"/>
  <c r="B34" i="9"/>
  <c r="I34" i="9" s="1"/>
  <c r="B35" i="9"/>
  <c r="I35" i="9" s="1"/>
  <c r="B36" i="9"/>
  <c r="I36" i="9" s="1"/>
  <c r="B37" i="9"/>
  <c r="I37" i="9" s="1"/>
  <c r="B38" i="9"/>
  <c r="I38" i="9" s="1"/>
  <c r="B39" i="9"/>
  <c r="I39" i="9" s="1"/>
  <c r="B40" i="9"/>
  <c r="I40" i="9" s="1"/>
  <c r="B41" i="9"/>
  <c r="I41" i="9" s="1"/>
  <c r="B42" i="9"/>
  <c r="I42" i="9" s="1"/>
  <c r="B43" i="9"/>
  <c r="I43" i="9" s="1"/>
  <c r="B44" i="9"/>
  <c r="I44" i="9" s="1"/>
  <c r="B45" i="9"/>
  <c r="I45" i="9" s="1"/>
  <c r="B46" i="9"/>
  <c r="I46" i="9" s="1"/>
  <c r="B47" i="9"/>
  <c r="I47" i="9" s="1"/>
  <c r="B48" i="9"/>
  <c r="I48" i="9" s="1"/>
  <c r="B49" i="9"/>
  <c r="I49" i="9" s="1"/>
  <c r="B50" i="9"/>
  <c r="I50" i="9" s="1"/>
  <c r="B51" i="9"/>
  <c r="I51" i="9" s="1"/>
  <c r="B52" i="9"/>
  <c r="I52" i="9" s="1"/>
  <c r="B53" i="9"/>
  <c r="I53" i="9" s="1"/>
  <c r="B54" i="9"/>
  <c r="I54" i="9" s="1"/>
  <c r="B55" i="9"/>
  <c r="I55" i="9" s="1"/>
  <c r="B56" i="9"/>
  <c r="I56" i="9" s="1"/>
  <c r="B57" i="9"/>
  <c r="I57" i="9" s="1"/>
  <c r="B58" i="9"/>
  <c r="I58" i="9" s="1"/>
  <c r="B59" i="9"/>
  <c r="I59" i="9" s="1"/>
  <c r="B60" i="9"/>
  <c r="I60" i="9" s="1"/>
  <c r="B61" i="9"/>
  <c r="I61" i="9" s="1"/>
  <c r="B62" i="9"/>
  <c r="I62" i="9" s="1"/>
  <c r="B63" i="9"/>
  <c r="I63" i="9" s="1"/>
  <c r="B64" i="9"/>
  <c r="I64" i="9" s="1"/>
  <c r="B65" i="9"/>
  <c r="I65" i="9" s="1"/>
  <c r="B66" i="9"/>
  <c r="I66" i="9" s="1"/>
  <c r="B67" i="9"/>
  <c r="I67" i="9" s="1"/>
  <c r="B68" i="9"/>
  <c r="I68" i="9" s="1"/>
  <c r="B69" i="9"/>
  <c r="I69" i="9" s="1"/>
  <c r="B70" i="9"/>
  <c r="I70" i="9" s="1"/>
  <c r="B71" i="9"/>
  <c r="I71" i="9" s="1"/>
  <c r="B72" i="9"/>
  <c r="I72" i="9" s="1"/>
  <c r="B73" i="9"/>
  <c r="I73" i="9" s="1"/>
  <c r="B74" i="9"/>
  <c r="I74" i="9" s="1"/>
  <c r="B75" i="9"/>
  <c r="I75" i="9" s="1"/>
  <c r="B76" i="9"/>
  <c r="I76" i="9" s="1"/>
  <c r="B77" i="9"/>
  <c r="I77" i="9" s="1"/>
  <c r="B78" i="9"/>
  <c r="I78" i="9" s="1"/>
  <c r="B79" i="9"/>
  <c r="I79" i="9" s="1"/>
  <c r="B80" i="9"/>
  <c r="I80" i="9" s="1"/>
  <c r="B81" i="9"/>
  <c r="I81" i="9" s="1"/>
  <c r="B82" i="9"/>
  <c r="I82" i="9" s="1"/>
  <c r="B83" i="9"/>
  <c r="I83" i="9" s="1"/>
  <c r="B84" i="9"/>
  <c r="I84" i="9" s="1"/>
  <c r="B85" i="9"/>
  <c r="I85" i="9" s="1"/>
  <c r="B86" i="9"/>
  <c r="I86" i="9" s="1"/>
  <c r="B87" i="9"/>
  <c r="I87" i="9" s="1"/>
  <c r="B88" i="9"/>
  <c r="I88" i="9" s="1"/>
  <c r="B89" i="9"/>
  <c r="I89" i="9" s="1"/>
  <c r="B90" i="9"/>
  <c r="I90" i="9" s="1"/>
  <c r="B91" i="9"/>
  <c r="I91" i="9" s="1"/>
  <c r="B92" i="9"/>
  <c r="I92" i="9" s="1"/>
  <c r="B93" i="9"/>
  <c r="I93" i="9" s="1"/>
  <c r="B94" i="9"/>
  <c r="I94" i="9" s="1"/>
  <c r="B95" i="9"/>
  <c r="I95" i="9" s="1"/>
  <c r="B96" i="9"/>
  <c r="I96" i="9" s="1"/>
  <c r="B97" i="9"/>
  <c r="I97" i="9" s="1"/>
  <c r="B98" i="9"/>
  <c r="I98" i="9" s="1"/>
  <c r="B99" i="9"/>
  <c r="I99" i="9" s="1"/>
  <c r="B10" i="9"/>
  <c r="I10" i="9" s="1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O10" i="4"/>
  <c r="AO10" i="2" s="1"/>
  <c r="O11" i="4"/>
  <c r="AO11" i="2" s="1"/>
  <c r="AP11" i="2" s="1"/>
  <c r="AQ11" i="2" s="1"/>
  <c r="AR11" i="2" s="1"/>
  <c r="O12" i="4"/>
  <c r="AO12" i="2" s="1"/>
  <c r="AP12" i="2" s="1"/>
  <c r="AQ12" i="2" s="1"/>
  <c r="AR12" i="2" s="1"/>
  <c r="O13" i="4"/>
  <c r="AO13" i="2" s="1"/>
  <c r="AP13" i="2" s="1"/>
  <c r="AQ13" i="2" s="1"/>
  <c r="AR13" i="2" s="1"/>
  <c r="O14" i="4"/>
  <c r="AO14" i="2" s="1"/>
  <c r="AP14" i="2" s="1"/>
  <c r="AQ14" i="2" s="1"/>
  <c r="AR14" i="2" s="1"/>
  <c r="O15" i="4"/>
  <c r="AO15" i="2" s="1"/>
  <c r="AP15" i="2" s="1"/>
  <c r="AQ15" i="2" s="1"/>
  <c r="AR15" i="2" s="1"/>
  <c r="O16" i="4"/>
  <c r="AO16" i="2" s="1"/>
  <c r="AP16" i="2" s="1"/>
  <c r="AQ16" i="2" s="1"/>
  <c r="AR16" i="2" s="1"/>
  <c r="O17" i="4"/>
  <c r="AO17" i="2" s="1"/>
  <c r="AP17" i="2" s="1"/>
  <c r="AQ17" i="2" s="1"/>
  <c r="AR17" i="2" s="1"/>
  <c r="O18" i="4"/>
  <c r="AO18" i="2" s="1"/>
  <c r="AP18" i="2" s="1"/>
  <c r="AQ18" i="2" s="1"/>
  <c r="AR18" i="2" s="1"/>
  <c r="O19" i="4"/>
  <c r="AO19" i="2" s="1"/>
  <c r="AP19" i="2" s="1"/>
  <c r="AQ19" i="2" s="1"/>
  <c r="AR19" i="2" s="1"/>
  <c r="O20" i="4"/>
  <c r="AO20" i="2" s="1"/>
  <c r="AP20" i="2" s="1"/>
  <c r="AQ20" i="2" s="1"/>
  <c r="AR20" i="2" s="1"/>
  <c r="O21" i="4"/>
  <c r="AO21" i="2" s="1"/>
  <c r="AP21" i="2" s="1"/>
  <c r="AQ21" i="2" s="1"/>
  <c r="AR21" i="2" s="1"/>
  <c r="O22" i="4"/>
  <c r="AO22" i="2" s="1"/>
  <c r="AP22" i="2" s="1"/>
  <c r="AQ22" i="2" s="1"/>
  <c r="AR22" i="2" s="1"/>
  <c r="O23" i="4"/>
  <c r="AO23" i="2" s="1"/>
  <c r="AP23" i="2" s="1"/>
  <c r="AQ23" i="2" s="1"/>
  <c r="AR23" i="2" s="1"/>
  <c r="O24" i="4"/>
  <c r="AO24" i="2" s="1"/>
  <c r="AP24" i="2" s="1"/>
  <c r="AQ24" i="2" s="1"/>
  <c r="AR24" i="2" s="1"/>
  <c r="O25" i="4"/>
  <c r="AO25" i="2" s="1"/>
  <c r="AP25" i="2" s="1"/>
  <c r="AQ25" i="2" s="1"/>
  <c r="AR25" i="2" s="1"/>
  <c r="O26" i="4"/>
  <c r="AO26" i="2" s="1"/>
  <c r="AP26" i="2" s="1"/>
  <c r="AQ26" i="2" s="1"/>
  <c r="AR26" i="2" s="1"/>
  <c r="O27" i="4"/>
  <c r="AO27" i="2" s="1"/>
  <c r="AP27" i="2" s="1"/>
  <c r="AQ27" i="2" s="1"/>
  <c r="AR27" i="2" s="1"/>
  <c r="O28" i="4"/>
  <c r="AO28" i="2" s="1"/>
  <c r="AP28" i="2" s="1"/>
  <c r="AQ28" i="2" s="1"/>
  <c r="AR28" i="2" s="1"/>
  <c r="O29" i="4"/>
  <c r="AO29" i="2" s="1"/>
  <c r="AP29" i="2" s="1"/>
  <c r="AQ29" i="2" s="1"/>
  <c r="AR29" i="2" s="1"/>
  <c r="O30" i="4"/>
  <c r="AO30" i="2" s="1"/>
  <c r="AP30" i="2" s="1"/>
  <c r="AQ30" i="2" s="1"/>
  <c r="AR30" i="2" s="1"/>
  <c r="O31" i="4"/>
  <c r="AO31" i="2" s="1"/>
  <c r="AP31" i="2" s="1"/>
  <c r="AQ31" i="2" s="1"/>
  <c r="AR31" i="2" s="1"/>
  <c r="O32" i="4"/>
  <c r="AO32" i="2" s="1"/>
  <c r="AP32" i="2" s="1"/>
  <c r="AQ32" i="2" s="1"/>
  <c r="AR32" i="2" s="1"/>
  <c r="O33" i="4"/>
  <c r="AO33" i="2" s="1"/>
  <c r="AP33" i="2" s="1"/>
  <c r="AQ33" i="2" s="1"/>
  <c r="AR33" i="2" s="1"/>
  <c r="O34" i="4"/>
  <c r="AO34" i="2" s="1"/>
  <c r="AP34" i="2" s="1"/>
  <c r="AQ34" i="2" s="1"/>
  <c r="AR34" i="2" s="1"/>
  <c r="O35" i="4"/>
  <c r="AO35" i="2" s="1"/>
  <c r="AP35" i="2" s="1"/>
  <c r="AQ35" i="2" s="1"/>
  <c r="AR35" i="2" s="1"/>
  <c r="O36" i="4"/>
  <c r="AO36" i="2" s="1"/>
  <c r="AP36" i="2" s="1"/>
  <c r="AQ36" i="2" s="1"/>
  <c r="AR36" i="2" s="1"/>
  <c r="O37" i="4"/>
  <c r="AO37" i="2" s="1"/>
  <c r="AP37" i="2" s="1"/>
  <c r="AQ37" i="2" s="1"/>
  <c r="AR37" i="2" s="1"/>
  <c r="O38" i="4"/>
  <c r="AO38" i="2" s="1"/>
  <c r="AP38" i="2" s="1"/>
  <c r="AQ38" i="2" s="1"/>
  <c r="AR38" i="2" s="1"/>
  <c r="O39" i="4"/>
  <c r="AO39" i="2" s="1"/>
  <c r="AP39" i="2" s="1"/>
  <c r="AQ39" i="2" s="1"/>
  <c r="AR39" i="2" s="1"/>
  <c r="O40" i="4"/>
  <c r="AO40" i="2" s="1"/>
  <c r="AP40" i="2" s="1"/>
  <c r="AQ40" i="2" s="1"/>
  <c r="AR40" i="2" s="1"/>
  <c r="O41" i="4"/>
  <c r="AO41" i="2" s="1"/>
  <c r="AP41" i="2" s="1"/>
  <c r="AQ41" i="2" s="1"/>
  <c r="AR41" i="2" s="1"/>
  <c r="O42" i="4"/>
  <c r="AO42" i="2" s="1"/>
  <c r="AP42" i="2" s="1"/>
  <c r="AQ42" i="2" s="1"/>
  <c r="AR42" i="2" s="1"/>
  <c r="O43" i="4"/>
  <c r="AO43" i="2" s="1"/>
  <c r="AP43" i="2" s="1"/>
  <c r="AQ43" i="2" s="1"/>
  <c r="AR43" i="2" s="1"/>
  <c r="O44" i="4"/>
  <c r="AO44" i="2" s="1"/>
  <c r="AP44" i="2" s="1"/>
  <c r="AQ44" i="2" s="1"/>
  <c r="AR44" i="2" s="1"/>
  <c r="O45" i="4"/>
  <c r="AO45" i="2" s="1"/>
  <c r="AP45" i="2" s="1"/>
  <c r="AQ45" i="2" s="1"/>
  <c r="AR45" i="2" s="1"/>
  <c r="O46" i="4"/>
  <c r="AO46" i="2" s="1"/>
  <c r="AP46" i="2" s="1"/>
  <c r="AQ46" i="2" s="1"/>
  <c r="AR46" i="2" s="1"/>
  <c r="O47" i="4"/>
  <c r="AO47" i="2" s="1"/>
  <c r="AP47" i="2" s="1"/>
  <c r="AQ47" i="2" s="1"/>
  <c r="AR47" i="2" s="1"/>
  <c r="O48" i="4"/>
  <c r="AO48" i="2" s="1"/>
  <c r="AP48" i="2" s="1"/>
  <c r="AQ48" i="2" s="1"/>
  <c r="AR48" i="2" s="1"/>
  <c r="O49" i="4"/>
  <c r="AO49" i="2" s="1"/>
  <c r="AP49" i="2" s="1"/>
  <c r="AQ49" i="2" s="1"/>
  <c r="AR49" i="2" s="1"/>
  <c r="O50" i="4"/>
  <c r="AO50" i="2" s="1"/>
  <c r="AP50" i="2" s="1"/>
  <c r="AQ50" i="2" s="1"/>
  <c r="AR50" i="2" s="1"/>
  <c r="O51" i="4"/>
  <c r="AO51" i="2" s="1"/>
  <c r="AP51" i="2" s="1"/>
  <c r="AQ51" i="2" s="1"/>
  <c r="AR51" i="2" s="1"/>
  <c r="O52" i="4"/>
  <c r="AO52" i="2" s="1"/>
  <c r="AP52" i="2" s="1"/>
  <c r="AQ52" i="2" s="1"/>
  <c r="AR52" i="2" s="1"/>
  <c r="O53" i="4"/>
  <c r="AO53" i="2" s="1"/>
  <c r="AP53" i="2" s="1"/>
  <c r="AQ53" i="2" s="1"/>
  <c r="AR53" i="2" s="1"/>
  <c r="O54" i="4"/>
  <c r="AO54" i="2" s="1"/>
  <c r="AP54" i="2" s="1"/>
  <c r="AQ54" i="2" s="1"/>
  <c r="AR54" i="2" s="1"/>
  <c r="O55" i="4"/>
  <c r="AO55" i="2" s="1"/>
  <c r="AP55" i="2" s="1"/>
  <c r="AQ55" i="2" s="1"/>
  <c r="AR55" i="2" s="1"/>
  <c r="O56" i="4"/>
  <c r="AO56" i="2" s="1"/>
  <c r="AP56" i="2" s="1"/>
  <c r="AQ56" i="2" s="1"/>
  <c r="AR56" i="2" s="1"/>
  <c r="O57" i="4"/>
  <c r="AO57" i="2" s="1"/>
  <c r="AP57" i="2" s="1"/>
  <c r="AQ57" i="2" s="1"/>
  <c r="AR57" i="2" s="1"/>
  <c r="O58" i="4"/>
  <c r="AO58" i="2" s="1"/>
  <c r="AP58" i="2" s="1"/>
  <c r="AQ58" i="2" s="1"/>
  <c r="AR58" i="2" s="1"/>
  <c r="O59" i="4"/>
  <c r="AO59" i="2" s="1"/>
  <c r="AP59" i="2" s="1"/>
  <c r="AQ59" i="2" s="1"/>
  <c r="AR59" i="2" s="1"/>
  <c r="O60" i="4"/>
  <c r="AO60" i="2" s="1"/>
  <c r="AP60" i="2" s="1"/>
  <c r="AQ60" i="2" s="1"/>
  <c r="AR60" i="2" s="1"/>
  <c r="O61" i="4"/>
  <c r="AO61" i="2" s="1"/>
  <c r="AP61" i="2" s="1"/>
  <c r="AQ61" i="2" s="1"/>
  <c r="AR61" i="2" s="1"/>
  <c r="O62" i="4"/>
  <c r="AO62" i="2" s="1"/>
  <c r="AP62" i="2" s="1"/>
  <c r="AQ62" i="2" s="1"/>
  <c r="AR62" i="2" s="1"/>
  <c r="O63" i="4"/>
  <c r="AO63" i="2" s="1"/>
  <c r="AP63" i="2" s="1"/>
  <c r="AQ63" i="2" s="1"/>
  <c r="AR63" i="2" s="1"/>
  <c r="O64" i="4"/>
  <c r="AO64" i="2" s="1"/>
  <c r="AP64" i="2" s="1"/>
  <c r="AQ64" i="2" s="1"/>
  <c r="AR64" i="2" s="1"/>
  <c r="O65" i="4"/>
  <c r="AO65" i="2" s="1"/>
  <c r="AP65" i="2" s="1"/>
  <c r="AQ65" i="2" s="1"/>
  <c r="AR65" i="2" s="1"/>
  <c r="O66" i="4"/>
  <c r="AO66" i="2" s="1"/>
  <c r="AP66" i="2" s="1"/>
  <c r="AQ66" i="2" s="1"/>
  <c r="AR66" i="2" s="1"/>
  <c r="O67" i="4"/>
  <c r="AO67" i="2" s="1"/>
  <c r="AP67" i="2" s="1"/>
  <c r="AQ67" i="2" s="1"/>
  <c r="AR67" i="2" s="1"/>
  <c r="O68" i="4"/>
  <c r="AO68" i="2" s="1"/>
  <c r="AP68" i="2" s="1"/>
  <c r="AQ68" i="2" s="1"/>
  <c r="AR68" i="2" s="1"/>
  <c r="O69" i="4"/>
  <c r="AO69" i="2" s="1"/>
  <c r="AP69" i="2" s="1"/>
  <c r="AQ69" i="2" s="1"/>
  <c r="AR69" i="2" s="1"/>
  <c r="O70" i="4"/>
  <c r="AO70" i="2" s="1"/>
  <c r="AP70" i="2" s="1"/>
  <c r="AQ70" i="2" s="1"/>
  <c r="AR70" i="2" s="1"/>
  <c r="O71" i="4"/>
  <c r="AO71" i="2" s="1"/>
  <c r="AP71" i="2" s="1"/>
  <c r="AQ71" i="2" s="1"/>
  <c r="AR71" i="2" s="1"/>
  <c r="O72" i="4"/>
  <c r="AO72" i="2" s="1"/>
  <c r="AP72" i="2" s="1"/>
  <c r="AQ72" i="2" s="1"/>
  <c r="AR72" i="2" s="1"/>
  <c r="O73" i="4"/>
  <c r="AO73" i="2" s="1"/>
  <c r="AP73" i="2" s="1"/>
  <c r="AQ73" i="2" s="1"/>
  <c r="AR73" i="2" s="1"/>
  <c r="O74" i="4"/>
  <c r="AO74" i="2" s="1"/>
  <c r="AP74" i="2" s="1"/>
  <c r="AQ74" i="2" s="1"/>
  <c r="AR74" i="2" s="1"/>
  <c r="O75" i="4"/>
  <c r="AO75" i="2" s="1"/>
  <c r="AP75" i="2" s="1"/>
  <c r="AQ75" i="2" s="1"/>
  <c r="AR75" i="2" s="1"/>
  <c r="O76" i="4"/>
  <c r="AO76" i="2" s="1"/>
  <c r="AP76" i="2" s="1"/>
  <c r="AQ76" i="2" s="1"/>
  <c r="AR76" i="2" s="1"/>
  <c r="O77" i="4"/>
  <c r="AO77" i="2" s="1"/>
  <c r="AP77" i="2" s="1"/>
  <c r="AQ77" i="2" s="1"/>
  <c r="AR77" i="2" s="1"/>
  <c r="O78" i="4"/>
  <c r="AO78" i="2" s="1"/>
  <c r="AP78" i="2" s="1"/>
  <c r="AQ78" i="2" s="1"/>
  <c r="AR78" i="2" s="1"/>
  <c r="O79" i="4"/>
  <c r="AO79" i="2" s="1"/>
  <c r="AP79" i="2" s="1"/>
  <c r="AQ79" i="2" s="1"/>
  <c r="AR79" i="2" s="1"/>
  <c r="O80" i="4"/>
  <c r="AO80" i="2" s="1"/>
  <c r="AP80" i="2" s="1"/>
  <c r="AQ80" i="2" s="1"/>
  <c r="AR80" i="2" s="1"/>
  <c r="O81" i="4"/>
  <c r="AO81" i="2" s="1"/>
  <c r="AP81" i="2" s="1"/>
  <c r="AQ81" i="2" s="1"/>
  <c r="AR81" i="2" s="1"/>
  <c r="O82" i="4"/>
  <c r="AO82" i="2" s="1"/>
  <c r="AP82" i="2" s="1"/>
  <c r="AQ82" i="2" s="1"/>
  <c r="AR82" i="2" s="1"/>
  <c r="O83" i="4"/>
  <c r="AO83" i="2" s="1"/>
  <c r="AP83" i="2" s="1"/>
  <c r="AQ83" i="2" s="1"/>
  <c r="AR83" i="2" s="1"/>
  <c r="O84" i="4"/>
  <c r="AO84" i="2" s="1"/>
  <c r="AP84" i="2" s="1"/>
  <c r="AQ84" i="2" s="1"/>
  <c r="AR84" i="2" s="1"/>
  <c r="O85" i="4"/>
  <c r="AO85" i="2" s="1"/>
  <c r="AP85" i="2" s="1"/>
  <c r="AQ85" i="2" s="1"/>
  <c r="AR85" i="2" s="1"/>
  <c r="O86" i="4"/>
  <c r="AO86" i="2" s="1"/>
  <c r="AP86" i="2" s="1"/>
  <c r="AQ86" i="2" s="1"/>
  <c r="AR86" i="2" s="1"/>
  <c r="O87" i="4"/>
  <c r="AO87" i="2" s="1"/>
  <c r="AP87" i="2" s="1"/>
  <c r="AQ87" i="2" s="1"/>
  <c r="AR87" i="2" s="1"/>
  <c r="O88" i="4"/>
  <c r="AO88" i="2" s="1"/>
  <c r="AP88" i="2" s="1"/>
  <c r="AQ88" i="2" s="1"/>
  <c r="AR88" i="2" s="1"/>
  <c r="O89" i="4"/>
  <c r="AO89" i="2" s="1"/>
  <c r="AP89" i="2" s="1"/>
  <c r="AQ89" i="2" s="1"/>
  <c r="AR89" i="2" s="1"/>
  <c r="O90" i="4"/>
  <c r="AO90" i="2" s="1"/>
  <c r="AP90" i="2" s="1"/>
  <c r="AQ90" i="2" s="1"/>
  <c r="AR90" i="2" s="1"/>
  <c r="O91" i="4"/>
  <c r="AO91" i="2" s="1"/>
  <c r="AP91" i="2" s="1"/>
  <c r="AQ91" i="2" s="1"/>
  <c r="AR91" i="2" s="1"/>
  <c r="O92" i="4"/>
  <c r="AO92" i="2" s="1"/>
  <c r="AP92" i="2" s="1"/>
  <c r="AQ92" i="2" s="1"/>
  <c r="AR92" i="2" s="1"/>
  <c r="O93" i="4"/>
  <c r="AO93" i="2" s="1"/>
  <c r="AP93" i="2" s="1"/>
  <c r="AQ93" i="2" s="1"/>
  <c r="AR93" i="2" s="1"/>
  <c r="O94" i="4"/>
  <c r="AO94" i="2" s="1"/>
  <c r="AP94" i="2" s="1"/>
  <c r="AQ94" i="2" s="1"/>
  <c r="AR94" i="2" s="1"/>
  <c r="O95" i="4"/>
  <c r="AO95" i="2" s="1"/>
  <c r="AP95" i="2" s="1"/>
  <c r="AQ95" i="2" s="1"/>
  <c r="AR95" i="2" s="1"/>
  <c r="O96" i="4"/>
  <c r="AO96" i="2" s="1"/>
  <c r="AP96" i="2" s="1"/>
  <c r="AQ96" i="2" s="1"/>
  <c r="AR96" i="2" s="1"/>
  <c r="O97" i="4"/>
  <c r="AO97" i="2" s="1"/>
  <c r="AP97" i="2" s="1"/>
  <c r="AQ97" i="2" s="1"/>
  <c r="AR97" i="2" s="1"/>
  <c r="O98" i="4"/>
  <c r="AO98" i="2" s="1"/>
  <c r="AP98" i="2" s="1"/>
  <c r="AQ98" i="2" s="1"/>
  <c r="AR98" i="2" s="1"/>
  <c r="B99" i="4"/>
  <c r="AU99" i="2" s="1"/>
  <c r="M11" i="1"/>
  <c r="AJ10" i="2" s="1"/>
  <c r="AK10" i="2" s="1"/>
  <c r="M12" i="1"/>
  <c r="AJ11" i="2" s="1"/>
  <c r="AK11" i="2" s="1"/>
  <c r="M13" i="1"/>
  <c r="AJ12" i="2" s="1"/>
  <c r="AK12" i="2" s="1"/>
  <c r="M14" i="1"/>
  <c r="AJ13" i="2" s="1"/>
  <c r="AK13" i="2" s="1"/>
  <c r="M15" i="1"/>
  <c r="AJ14" i="2" s="1"/>
  <c r="AK14" i="2" s="1"/>
  <c r="M16" i="1"/>
  <c r="AJ15" i="2" s="1"/>
  <c r="AK15" i="2" s="1"/>
  <c r="M17" i="1"/>
  <c r="AJ16" i="2" s="1"/>
  <c r="AK16" i="2" s="1"/>
  <c r="M18" i="1"/>
  <c r="AJ17" i="2" s="1"/>
  <c r="AK17" i="2" s="1"/>
  <c r="M19" i="1"/>
  <c r="AJ18" i="2" s="1"/>
  <c r="AK18" i="2" s="1"/>
  <c r="M20" i="1"/>
  <c r="AJ19" i="2" s="1"/>
  <c r="AK19" i="2" s="1"/>
  <c r="M21" i="1"/>
  <c r="AJ20" i="2" s="1"/>
  <c r="AK20" i="2" s="1"/>
  <c r="M22" i="1"/>
  <c r="AJ21" i="2" s="1"/>
  <c r="AK21" i="2" s="1"/>
  <c r="M23" i="1"/>
  <c r="AJ22" i="2" s="1"/>
  <c r="AK22" i="2" s="1"/>
  <c r="M24" i="1"/>
  <c r="AJ23" i="2" s="1"/>
  <c r="AK23" i="2" s="1"/>
  <c r="M25" i="1"/>
  <c r="AJ24" i="2" s="1"/>
  <c r="AK24" i="2" s="1"/>
  <c r="M26" i="1"/>
  <c r="AJ25" i="2" s="1"/>
  <c r="AK25" i="2" s="1"/>
  <c r="M27" i="1"/>
  <c r="AJ26" i="2" s="1"/>
  <c r="AK26" i="2" s="1"/>
  <c r="M28" i="1"/>
  <c r="AJ27" i="2" s="1"/>
  <c r="AK27" i="2" s="1"/>
  <c r="M29" i="1"/>
  <c r="AJ28" i="2" s="1"/>
  <c r="AK28" i="2" s="1"/>
  <c r="M30" i="1"/>
  <c r="AJ29" i="2" s="1"/>
  <c r="AK29" i="2" s="1"/>
  <c r="M31" i="1"/>
  <c r="AJ30" i="2" s="1"/>
  <c r="AK30" i="2" s="1"/>
  <c r="M32" i="1"/>
  <c r="AJ31" i="2" s="1"/>
  <c r="AK31" i="2" s="1"/>
  <c r="M33" i="1"/>
  <c r="AJ32" i="2" s="1"/>
  <c r="AK32" i="2" s="1"/>
  <c r="M34" i="1"/>
  <c r="AJ33" i="2" s="1"/>
  <c r="AK33" i="2" s="1"/>
  <c r="M35" i="1"/>
  <c r="AJ34" i="2" s="1"/>
  <c r="AK34" i="2" s="1"/>
  <c r="M36" i="1"/>
  <c r="AJ35" i="2" s="1"/>
  <c r="AK35" i="2" s="1"/>
  <c r="M37" i="1"/>
  <c r="AJ36" i="2" s="1"/>
  <c r="AK36" i="2" s="1"/>
  <c r="M38" i="1"/>
  <c r="AJ37" i="2" s="1"/>
  <c r="AK37" i="2" s="1"/>
  <c r="M39" i="1"/>
  <c r="AJ38" i="2" s="1"/>
  <c r="AK38" i="2" s="1"/>
  <c r="M40" i="1"/>
  <c r="AJ39" i="2" s="1"/>
  <c r="AK39" i="2" s="1"/>
  <c r="M41" i="1"/>
  <c r="AJ40" i="2" s="1"/>
  <c r="AK40" i="2" s="1"/>
  <c r="M42" i="1"/>
  <c r="AJ41" i="2" s="1"/>
  <c r="AK41" i="2" s="1"/>
  <c r="M43" i="1"/>
  <c r="AJ42" i="2" s="1"/>
  <c r="AK42" i="2" s="1"/>
  <c r="M44" i="1"/>
  <c r="AJ43" i="2" s="1"/>
  <c r="AK43" i="2" s="1"/>
  <c r="M45" i="1"/>
  <c r="AJ44" i="2" s="1"/>
  <c r="AK44" i="2" s="1"/>
  <c r="M46" i="1"/>
  <c r="AJ45" i="2" s="1"/>
  <c r="AK45" i="2" s="1"/>
  <c r="M47" i="1"/>
  <c r="AJ46" i="2" s="1"/>
  <c r="AK46" i="2" s="1"/>
  <c r="M48" i="1"/>
  <c r="AJ47" i="2" s="1"/>
  <c r="AK47" i="2" s="1"/>
  <c r="M49" i="1"/>
  <c r="AJ48" i="2" s="1"/>
  <c r="AK48" i="2" s="1"/>
  <c r="M50" i="1"/>
  <c r="AJ49" i="2" s="1"/>
  <c r="AK49" i="2" s="1"/>
  <c r="M51" i="1"/>
  <c r="AJ50" i="2" s="1"/>
  <c r="AK50" i="2" s="1"/>
  <c r="M52" i="1"/>
  <c r="AJ51" i="2" s="1"/>
  <c r="AK51" i="2" s="1"/>
  <c r="M53" i="1"/>
  <c r="AJ52" i="2" s="1"/>
  <c r="AK52" i="2" s="1"/>
  <c r="M54" i="1"/>
  <c r="AJ53" i="2" s="1"/>
  <c r="AK53" i="2" s="1"/>
  <c r="M55" i="1"/>
  <c r="AJ54" i="2" s="1"/>
  <c r="AK54" i="2" s="1"/>
  <c r="M56" i="1"/>
  <c r="AJ55" i="2" s="1"/>
  <c r="AK55" i="2" s="1"/>
  <c r="M57" i="1"/>
  <c r="AJ56" i="2" s="1"/>
  <c r="AK56" i="2" s="1"/>
  <c r="M58" i="1"/>
  <c r="AJ57" i="2" s="1"/>
  <c r="AK57" i="2" s="1"/>
  <c r="M59" i="1"/>
  <c r="AJ58" i="2" s="1"/>
  <c r="AK58" i="2" s="1"/>
  <c r="M60" i="1"/>
  <c r="AJ59" i="2" s="1"/>
  <c r="AK59" i="2" s="1"/>
  <c r="M61" i="1"/>
  <c r="AJ60" i="2" s="1"/>
  <c r="AK60" i="2" s="1"/>
  <c r="M62" i="1"/>
  <c r="AJ61" i="2" s="1"/>
  <c r="AK61" i="2" s="1"/>
  <c r="M63" i="1"/>
  <c r="AJ62" i="2" s="1"/>
  <c r="AK62" i="2" s="1"/>
  <c r="M64" i="1"/>
  <c r="AJ63" i="2" s="1"/>
  <c r="AK63" i="2" s="1"/>
  <c r="M65" i="1"/>
  <c r="AJ64" i="2" s="1"/>
  <c r="AK64" i="2" s="1"/>
  <c r="M66" i="1"/>
  <c r="AJ65" i="2" s="1"/>
  <c r="AK65" i="2" s="1"/>
  <c r="M67" i="1"/>
  <c r="AJ66" i="2" s="1"/>
  <c r="AK66" i="2" s="1"/>
  <c r="M68" i="1"/>
  <c r="AJ67" i="2" s="1"/>
  <c r="AK67" i="2" s="1"/>
  <c r="M69" i="1"/>
  <c r="AJ68" i="2" s="1"/>
  <c r="AK68" i="2" s="1"/>
  <c r="M70" i="1"/>
  <c r="AJ69" i="2" s="1"/>
  <c r="AK69" i="2" s="1"/>
  <c r="M71" i="1"/>
  <c r="AJ70" i="2" s="1"/>
  <c r="AK70" i="2" s="1"/>
  <c r="M72" i="1"/>
  <c r="AJ71" i="2" s="1"/>
  <c r="AK71" i="2" s="1"/>
  <c r="M73" i="1"/>
  <c r="AJ72" i="2" s="1"/>
  <c r="AK72" i="2" s="1"/>
  <c r="M74" i="1"/>
  <c r="AJ73" i="2" s="1"/>
  <c r="AK73" i="2" s="1"/>
  <c r="M75" i="1"/>
  <c r="AJ74" i="2" s="1"/>
  <c r="AK74" i="2" s="1"/>
  <c r="M76" i="1"/>
  <c r="AJ75" i="2" s="1"/>
  <c r="AK75" i="2" s="1"/>
  <c r="M77" i="1"/>
  <c r="AJ76" i="2" s="1"/>
  <c r="AK76" i="2" s="1"/>
  <c r="M78" i="1"/>
  <c r="AJ77" i="2" s="1"/>
  <c r="AK77" i="2" s="1"/>
  <c r="M79" i="1"/>
  <c r="AJ78" i="2" s="1"/>
  <c r="AK78" i="2" s="1"/>
  <c r="M80" i="1"/>
  <c r="AJ79" i="2" s="1"/>
  <c r="AK79" i="2" s="1"/>
  <c r="M81" i="1"/>
  <c r="AJ80" i="2" s="1"/>
  <c r="AK80" i="2" s="1"/>
  <c r="M82" i="1"/>
  <c r="AJ81" i="2" s="1"/>
  <c r="AK81" i="2" s="1"/>
  <c r="M83" i="1"/>
  <c r="AJ82" i="2" s="1"/>
  <c r="AK82" i="2" s="1"/>
  <c r="M84" i="1"/>
  <c r="AJ83" i="2" s="1"/>
  <c r="AK83" i="2" s="1"/>
  <c r="M85" i="1"/>
  <c r="AJ84" i="2" s="1"/>
  <c r="AK84" i="2" s="1"/>
  <c r="M86" i="1"/>
  <c r="AJ85" i="2" s="1"/>
  <c r="AK85" i="2" s="1"/>
  <c r="M87" i="1"/>
  <c r="AJ86" i="2" s="1"/>
  <c r="AK86" i="2" s="1"/>
  <c r="M88" i="1"/>
  <c r="AJ87" i="2" s="1"/>
  <c r="AK87" i="2" s="1"/>
  <c r="M89" i="1"/>
  <c r="AJ88" i="2" s="1"/>
  <c r="AK88" i="2" s="1"/>
  <c r="M90" i="1"/>
  <c r="AJ89" i="2" s="1"/>
  <c r="AK89" i="2" s="1"/>
  <c r="M91" i="1"/>
  <c r="AJ90" i="2" s="1"/>
  <c r="AK90" i="2" s="1"/>
  <c r="M92" i="1"/>
  <c r="AJ91" i="2" s="1"/>
  <c r="AK91" i="2" s="1"/>
  <c r="M93" i="1"/>
  <c r="AJ92" i="2" s="1"/>
  <c r="AK92" i="2" s="1"/>
  <c r="M94" i="1"/>
  <c r="AJ93" i="2" s="1"/>
  <c r="AK93" i="2" s="1"/>
  <c r="M95" i="1"/>
  <c r="AJ94" i="2" s="1"/>
  <c r="AK94" i="2" s="1"/>
  <c r="M96" i="1"/>
  <c r="AJ95" i="2" s="1"/>
  <c r="AK95" i="2" s="1"/>
  <c r="M97" i="1"/>
  <c r="AJ96" i="2" s="1"/>
  <c r="AK96" i="2" s="1"/>
  <c r="M98" i="1"/>
  <c r="AJ97" i="2" s="1"/>
  <c r="AK97" i="2" s="1"/>
  <c r="M99" i="1"/>
  <c r="AJ98" i="2" s="1"/>
  <c r="AK98" i="2" s="1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B100" i="1"/>
  <c r="AT99" i="2" s="1"/>
  <c r="K26" i="2" a="1"/>
  <c r="I24" i="16" l="1"/>
  <c r="B25" i="16"/>
  <c r="G25" i="16" s="1"/>
  <c r="H25" i="16" s="1"/>
  <c r="C10" i="17"/>
  <c r="D10" i="17" s="1"/>
  <c r="G10" i="17" s="1"/>
  <c r="C11" i="17"/>
  <c r="D11" i="17" s="1"/>
  <c r="C12" i="17"/>
  <c r="D12" i="17" s="1"/>
  <c r="C13" i="17"/>
  <c r="D13" i="17" s="1"/>
  <c r="C14" i="17"/>
  <c r="D14" i="17" s="1"/>
  <c r="C15" i="17"/>
  <c r="D15" i="17" s="1"/>
  <c r="C16" i="17"/>
  <c r="D16" i="17" s="1"/>
  <c r="C17" i="17"/>
  <c r="D17" i="17" s="1"/>
  <c r="C18" i="17"/>
  <c r="D18" i="17" s="1"/>
  <c r="C19" i="17"/>
  <c r="D19" i="17" s="1"/>
  <c r="C20" i="17"/>
  <c r="D20" i="17" s="1"/>
  <c r="C21" i="17"/>
  <c r="D21" i="17" s="1"/>
  <c r="C22" i="17"/>
  <c r="D22" i="17" s="1"/>
  <c r="C23" i="17"/>
  <c r="D23" i="17" s="1"/>
  <c r="C24" i="17"/>
  <c r="D24" i="17" s="1"/>
  <c r="C26" i="17"/>
  <c r="D26" i="17" s="1"/>
  <c r="C25" i="17"/>
  <c r="D25" i="17" s="1"/>
  <c r="B26" i="17"/>
  <c r="AP10" i="2"/>
  <c r="AQ10" i="2" s="1"/>
  <c r="AR10" i="2" s="1"/>
  <c r="A26" i="16"/>
  <c r="K26" i="2"/>
  <c r="A27" i="17" s="1"/>
  <c r="C27" i="17" s="1"/>
  <c r="D27" i="17" s="1"/>
  <c r="AL64" i="2"/>
  <c r="AM64" i="2" s="1"/>
  <c r="AL51" i="2"/>
  <c r="AM51" i="2" s="1"/>
  <c r="AL89" i="2"/>
  <c r="AM89" i="2" s="1"/>
  <c r="AL77" i="2"/>
  <c r="AM77" i="2" s="1"/>
  <c r="AL65" i="2"/>
  <c r="AM65" i="2" s="1"/>
  <c r="AM53" i="2"/>
  <c r="AL53" i="2"/>
  <c r="AL41" i="2"/>
  <c r="AM41" i="2" s="1"/>
  <c r="AL29" i="2"/>
  <c r="AM29" i="2" s="1"/>
  <c r="AL17" i="2"/>
  <c r="AM17" i="2" s="1"/>
  <c r="AM75" i="2"/>
  <c r="AL75" i="2"/>
  <c r="AL98" i="2"/>
  <c r="AM98" i="2" s="1"/>
  <c r="AL86" i="2"/>
  <c r="AM86" i="2" s="1"/>
  <c r="AL74" i="2"/>
  <c r="AM74" i="2" s="1"/>
  <c r="AL62" i="2"/>
  <c r="AM62" i="2" s="1"/>
  <c r="AL50" i="2"/>
  <c r="AM50" i="2" s="1"/>
  <c r="AL38" i="2"/>
  <c r="AM38" i="2" s="1"/>
  <c r="AL26" i="2"/>
  <c r="AM26" i="2" s="1"/>
  <c r="AL14" i="2"/>
  <c r="AM14" i="2" s="1"/>
  <c r="AL97" i="2"/>
  <c r="AM97" i="2" s="1"/>
  <c r="AL85" i="2"/>
  <c r="AM85" i="2" s="1"/>
  <c r="AL73" i="2"/>
  <c r="AM73" i="2" s="1"/>
  <c r="AL61" i="2"/>
  <c r="AM61" i="2" s="1"/>
  <c r="AL49" i="2"/>
  <c r="AM49" i="2" s="1"/>
  <c r="AL37" i="2"/>
  <c r="AM37" i="2" s="1"/>
  <c r="AL25" i="2"/>
  <c r="AM25" i="2" s="1"/>
  <c r="AL13" i="2"/>
  <c r="AM13" i="2" s="1"/>
  <c r="AL16" i="2"/>
  <c r="AM16" i="2" s="1"/>
  <c r="AL39" i="2"/>
  <c r="AM39" i="2" s="1"/>
  <c r="AL96" i="2"/>
  <c r="AM96" i="2" s="1"/>
  <c r="AL84" i="2"/>
  <c r="AM84" i="2" s="1"/>
  <c r="AL72" i="2"/>
  <c r="AM72" i="2" s="1"/>
  <c r="AM60" i="2"/>
  <c r="AL60" i="2"/>
  <c r="AL48" i="2"/>
  <c r="AM48" i="2" s="1"/>
  <c r="AL36" i="2"/>
  <c r="AM36" i="2" s="1"/>
  <c r="AL24" i="2"/>
  <c r="AM24" i="2" s="1"/>
  <c r="AL12" i="2"/>
  <c r="AM12" i="2" s="1"/>
  <c r="AL28" i="2"/>
  <c r="AM28" i="2" s="1"/>
  <c r="AL95" i="2"/>
  <c r="AM95" i="2" s="1"/>
  <c r="AL83" i="2"/>
  <c r="AM83" i="2" s="1"/>
  <c r="AL71" i="2"/>
  <c r="AM71" i="2" s="1"/>
  <c r="AL59" i="2"/>
  <c r="AM59" i="2" s="1"/>
  <c r="AM47" i="2"/>
  <c r="AL47" i="2"/>
  <c r="AL35" i="2"/>
  <c r="AM35" i="2" s="1"/>
  <c r="AL23" i="2"/>
  <c r="AM23" i="2" s="1"/>
  <c r="AL11" i="2"/>
  <c r="AM11" i="2" s="1"/>
  <c r="AL88" i="2"/>
  <c r="AM88" i="2" s="1"/>
  <c r="AL87" i="2"/>
  <c r="AM87" i="2" s="1"/>
  <c r="AL94" i="2"/>
  <c r="AM94" i="2" s="1"/>
  <c r="AL82" i="2"/>
  <c r="AM82" i="2" s="1"/>
  <c r="AL70" i="2"/>
  <c r="AM70" i="2" s="1"/>
  <c r="AL58" i="2"/>
  <c r="AM58" i="2" s="1"/>
  <c r="AL46" i="2"/>
  <c r="AM46" i="2" s="1"/>
  <c r="AL34" i="2"/>
  <c r="AM34" i="2" s="1"/>
  <c r="AL22" i="2"/>
  <c r="AM22" i="2" s="1"/>
  <c r="AL10" i="2"/>
  <c r="AM10" i="2" s="1"/>
  <c r="AL76" i="2"/>
  <c r="AM76" i="2" s="1"/>
  <c r="AL27" i="2"/>
  <c r="AM27" i="2" s="1"/>
  <c r="AL93" i="2"/>
  <c r="AM93" i="2" s="1"/>
  <c r="AL81" i="2"/>
  <c r="AM81" i="2" s="1"/>
  <c r="AL69" i="2"/>
  <c r="AM69" i="2" s="1"/>
  <c r="AL57" i="2"/>
  <c r="AM57" i="2" s="1"/>
  <c r="AL45" i="2"/>
  <c r="AM45" i="2" s="1"/>
  <c r="AL33" i="2"/>
  <c r="AM33" i="2" s="1"/>
  <c r="AM21" i="2"/>
  <c r="AL21" i="2"/>
  <c r="AL92" i="2"/>
  <c r="AM92" i="2" s="1"/>
  <c r="AL80" i="2"/>
  <c r="AM80" i="2" s="1"/>
  <c r="AL68" i="2"/>
  <c r="AM68" i="2" s="1"/>
  <c r="AL56" i="2"/>
  <c r="AM56" i="2" s="1"/>
  <c r="AL44" i="2"/>
  <c r="AM44" i="2" s="1"/>
  <c r="AL32" i="2"/>
  <c r="AM32" i="2" s="1"/>
  <c r="AL20" i="2"/>
  <c r="AM20" i="2" s="1"/>
  <c r="AL52" i="2"/>
  <c r="AM52" i="2" s="1"/>
  <c r="AL63" i="2"/>
  <c r="AM63" i="2" s="1"/>
  <c r="AL91" i="2"/>
  <c r="AM91" i="2" s="1"/>
  <c r="AL79" i="2"/>
  <c r="AM79" i="2" s="1"/>
  <c r="AL67" i="2"/>
  <c r="AM67" i="2" s="1"/>
  <c r="AL55" i="2"/>
  <c r="AM55" i="2" s="1"/>
  <c r="AL43" i="2"/>
  <c r="AM43" i="2" s="1"/>
  <c r="AL31" i="2"/>
  <c r="AM31" i="2" s="1"/>
  <c r="AL19" i="2"/>
  <c r="AM19" i="2" s="1"/>
  <c r="AL40" i="2"/>
  <c r="AM40" i="2" s="1"/>
  <c r="AL15" i="2"/>
  <c r="AM15" i="2" s="1"/>
  <c r="AL90" i="2"/>
  <c r="AM90" i="2" s="1"/>
  <c r="AL78" i="2"/>
  <c r="AM78" i="2" s="1"/>
  <c r="AL66" i="2"/>
  <c r="AM66" i="2" s="1"/>
  <c r="AL54" i="2"/>
  <c r="AM54" i="2" s="1"/>
  <c r="AL42" i="2"/>
  <c r="AM42" i="2" s="1"/>
  <c r="AL30" i="2"/>
  <c r="AM30" i="2" s="1"/>
  <c r="AL18" i="2"/>
  <c r="AM18" i="2" s="1"/>
  <c r="U99" i="2"/>
  <c r="U118" i="2" s="1"/>
  <c r="AR99" i="2"/>
  <c r="R99" i="2"/>
  <c r="AM99" i="2"/>
  <c r="J10" i="9"/>
  <c r="L14" i="7" s="1"/>
  <c r="X99" i="2"/>
  <c r="X118" i="2" s="1"/>
  <c r="L7" i="7" s="1"/>
  <c r="D20" i="14" s="1"/>
  <c r="V99" i="2"/>
  <c r="G97" i="9"/>
  <c r="H97" i="9" s="1"/>
  <c r="G85" i="9"/>
  <c r="H85" i="9" s="1"/>
  <c r="G73" i="9"/>
  <c r="H73" i="9" s="1"/>
  <c r="G61" i="9"/>
  <c r="H61" i="9" s="1"/>
  <c r="G49" i="9"/>
  <c r="H49" i="9" s="1"/>
  <c r="G37" i="9"/>
  <c r="H37" i="9" s="1"/>
  <c r="G25" i="9"/>
  <c r="H25" i="9" s="1"/>
  <c r="G13" i="9"/>
  <c r="H13" i="9" s="1"/>
  <c r="G75" i="9"/>
  <c r="H75" i="9" s="1"/>
  <c r="G39" i="9"/>
  <c r="H39" i="9" s="1"/>
  <c r="G15" i="9"/>
  <c r="H15" i="9" s="1"/>
  <c r="G98" i="9"/>
  <c r="H98" i="9" s="1"/>
  <c r="G86" i="9"/>
  <c r="H86" i="9" s="1"/>
  <c r="G74" i="9"/>
  <c r="H74" i="9" s="1"/>
  <c r="G62" i="9"/>
  <c r="H62" i="9" s="1"/>
  <c r="G50" i="9"/>
  <c r="H50" i="9" s="1"/>
  <c r="G38" i="9"/>
  <c r="H38" i="9" s="1"/>
  <c r="G26" i="9"/>
  <c r="H26" i="9" s="1"/>
  <c r="G14" i="9"/>
  <c r="H14" i="9" s="1"/>
  <c r="G96" i="9"/>
  <c r="H96" i="9" s="1"/>
  <c r="G84" i="9"/>
  <c r="H84" i="9" s="1"/>
  <c r="G72" i="9"/>
  <c r="H72" i="9" s="1"/>
  <c r="G60" i="9"/>
  <c r="H60" i="9" s="1"/>
  <c r="G48" i="9"/>
  <c r="H48" i="9" s="1"/>
  <c r="G36" i="9"/>
  <c r="H36" i="9" s="1"/>
  <c r="G24" i="9"/>
  <c r="H24" i="9" s="1"/>
  <c r="G12" i="9"/>
  <c r="H12" i="9" s="1"/>
  <c r="G88" i="9"/>
  <c r="H88" i="9" s="1"/>
  <c r="G52" i="9"/>
  <c r="H52" i="9" s="1"/>
  <c r="G99" i="9"/>
  <c r="H99" i="9" s="1"/>
  <c r="G63" i="9"/>
  <c r="H63" i="9" s="1"/>
  <c r="G27" i="9"/>
  <c r="H27" i="9" s="1"/>
  <c r="G95" i="9"/>
  <c r="H95" i="9" s="1"/>
  <c r="G71" i="9"/>
  <c r="H71" i="9" s="1"/>
  <c r="G35" i="9"/>
  <c r="H35" i="9" s="1"/>
  <c r="G93" i="9"/>
  <c r="H93" i="9" s="1"/>
  <c r="G81" i="9"/>
  <c r="H81" i="9" s="1"/>
  <c r="G69" i="9"/>
  <c r="H69" i="9" s="1"/>
  <c r="G57" i="9"/>
  <c r="H57" i="9" s="1"/>
  <c r="G45" i="9"/>
  <c r="H45" i="9" s="1"/>
  <c r="G33" i="9"/>
  <c r="H33" i="9" s="1"/>
  <c r="G21" i="9"/>
  <c r="H21" i="9" s="1"/>
  <c r="G76" i="9"/>
  <c r="H76" i="9" s="1"/>
  <c r="G64" i="9"/>
  <c r="H64" i="9" s="1"/>
  <c r="G40" i="9"/>
  <c r="H40" i="9" s="1"/>
  <c r="G28" i="9"/>
  <c r="H28" i="9" s="1"/>
  <c r="G16" i="9"/>
  <c r="H16" i="9" s="1"/>
  <c r="G87" i="9"/>
  <c r="H87" i="9" s="1"/>
  <c r="G51" i="9"/>
  <c r="H51" i="9" s="1"/>
  <c r="G83" i="9"/>
  <c r="H83" i="9" s="1"/>
  <c r="G47" i="9"/>
  <c r="H47" i="9" s="1"/>
  <c r="G23" i="9"/>
  <c r="H23" i="9" s="1"/>
  <c r="G11" i="9"/>
  <c r="H11" i="9" s="1"/>
  <c r="G94" i="9"/>
  <c r="H94" i="9" s="1"/>
  <c r="G82" i="9"/>
  <c r="H82" i="9" s="1"/>
  <c r="G58" i="9"/>
  <c r="H58" i="9" s="1"/>
  <c r="G46" i="9"/>
  <c r="H46" i="9" s="1"/>
  <c r="G34" i="9"/>
  <c r="H34" i="9" s="1"/>
  <c r="G22" i="9"/>
  <c r="H22" i="9" s="1"/>
  <c r="G92" i="9"/>
  <c r="H92" i="9" s="1"/>
  <c r="G80" i="9"/>
  <c r="H80" i="9" s="1"/>
  <c r="G68" i="9"/>
  <c r="H68" i="9" s="1"/>
  <c r="G56" i="9"/>
  <c r="H56" i="9" s="1"/>
  <c r="G44" i="9"/>
  <c r="H44" i="9" s="1"/>
  <c r="G32" i="9"/>
  <c r="H32" i="9" s="1"/>
  <c r="G20" i="9"/>
  <c r="H20" i="9" s="1"/>
  <c r="G91" i="9"/>
  <c r="H91" i="9" s="1"/>
  <c r="G79" i="9"/>
  <c r="H79" i="9" s="1"/>
  <c r="G67" i="9"/>
  <c r="H67" i="9" s="1"/>
  <c r="G55" i="9"/>
  <c r="H55" i="9" s="1"/>
  <c r="G43" i="9"/>
  <c r="H43" i="9" s="1"/>
  <c r="G31" i="9"/>
  <c r="H31" i="9" s="1"/>
  <c r="G19" i="9"/>
  <c r="H19" i="9" s="1"/>
  <c r="G59" i="9"/>
  <c r="H59" i="9" s="1"/>
  <c r="G70" i="9"/>
  <c r="H70" i="9" s="1"/>
  <c r="G90" i="9"/>
  <c r="H90" i="9" s="1"/>
  <c r="G78" i="9"/>
  <c r="H78" i="9" s="1"/>
  <c r="G66" i="9"/>
  <c r="H66" i="9" s="1"/>
  <c r="G54" i="9"/>
  <c r="H54" i="9" s="1"/>
  <c r="G42" i="9"/>
  <c r="H42" i="9" s="1"/>
  <c r="G30" i="9"/>
  <c r="H30" i="9" s="1"/>
  <c r="G18" i="9"/>
  <c r="H18" i="9" s="1"/>
  <c r="G89" i="9"/>
  <c r="H89" i="9" s="1"/>
  <c r="G77" i="9"/>
  <c r="H77" i="9" s="1"/>
  <c r="G65" i="9"/>
  <c r="H65" i="9" s="1"/>
  <c r="G53" i="9"/>
  <c r="H53" i="9" s="1"/>
  <c r="G41" i="9"/>
  <c r="H41" i="9" s="1"/>
  <c r="G29" i="9"/>
  <c r="H29" i="9" s="1"/>
  <c r="G17" i="9"/>
  <c r="H17" i="9" s="1"/>
  <c r="G10" i="9"/>
  <c r="H10" i="9" s="1"/>
  <c r="S99" i="2"/>
  <c r="AC40" i="1"/>
  <c r="AD40" i="1" s="1"/>
  <c r="AC41" i="1"/>
  <c r="AD41" i="1" s="1"/>
  <c r="AC42" i="1"/>
  <c r="AD42" i="1" s="1"/>
  <c r="AC43" i="1"/>
  <c r="AD43" i="1" s="1"/>
  <c r="AC44" i="1"/>
  <c r="AD44" i="1" s="1"/>
  <c r="AC45" i="1"/>
  <c r="AD45" i="1" s="1"/>
  <c r="AC46" i="1"/>
  <c r="AD46" i="1" s="1"/>
  <c r="AC47" i="1"/>
  <c r="AD47" i="1" s="1"/>
  <c r="AC48" i="1"/>
  <c r="AD48" i="1" s="1"/>
  <c r="AC49" i="1"/>
  <c r="AD49" i="1" s="1"/>
  <c r="AC50" i="1"/>
  <c r="AD50" i="1" s="1"/>
  <c r="AC51" i="1"/>
  <c r="AD51" i="1" s="1"/>
  <c r="AC52" i="1"/>
  <c r="AD52" i="1" s="1"/>
  <c r="AC53" i="1"/>
  <c r="AD53" i="1" s="1"/>
  <c r="AC54" i="1"/>
  <c r="AD54" i="1" s="1"/>
  <c r="AC55" i="1"/>
  <c r="AD55" i="1" s="1"/>
  <c r="AC56" i="1"/>
  <c r="AD56" i="1" s="1"/>
  <c r="AC57" i="1"/>
  <c r="AD57" i="1" s="1"/>
  <c r="AC58" i="1"/>
  <c r="AD58" i="1" s="1"/>
  <c r="AC59" i="1"/>
  <c r="AD59" i="1" s="1"/>
  <c r="AC60" i="1"/>
  <c r="AD60" i="1" s="1"/>
  <c r="AC61" i="1"/>
  <c r="AD61" i="1" s="1"/>
  <c r="AC62" i="1"/>
  <c r="AD62" i="1" s="1"/>
  <c r="AC63" i="1"/>
  <c r="AD63" i="1" s="1"/>
  <c r="AC64" i="1"/>
  <c r="AD64" i="1" s="1"/>
  <c r="AC65" i="1"/>
  <c r="AD65" i="1" s="1"/>
  <c r="AC39" i="1"/>
  <c r="AD39" i="1" s="1"/>
  <c r="M10" i="1"/>
  <c r="AJ9" i="2" s="1"/>
  <c r="AK9" i="2" s="1"/>
  <c r="AL9" i="2" s="1"/>
  <c r="R9" i="2"/>
  <c r="K27" i="2" a="1"/>
  <c r="I25" i="16" l="1"/>
  <c r="B26" i="16"/>
  <c r="G26" i="16" s="1"/>
  <c r="H26" i="16" s="1"/>
  <c r="H21" i="17"/>
  <c r="H20" i="17"/>
  <c r="H18" i="17"/>
  <c r="H16" i="17"/>
  <c r="H15" i="17"/>
  <c r="H19" i="17"/>
  <c r="H25" i="17"/>
  <c r="H14" i="17"/>
  <c r="H13" i="17"/>
  <c r="H24" i="17"/>
  <c r="H12" i="17"/>
  <c r="H23" i="17"/>
  <c r="H22" i="17"/>
  <c r="H26" i="17"/>
  <c r="H17" i="17"/>
  <c r="B27" i="17"/>
  <c r="E20" i="14"/>
  <c r="A27" i="16"/>
  <c r="F4" i="7"/>
  <c r="D10" i="14" s="1"/>
  <c r="E10" i="14" s="1"/>
  <c r="L8" i="7"/>
  <c r="K27" i="2"/>
  <c r="A28" i="17" s="1"/>
  <c r="C28" i="17" s="1"/>
  <c r="D28" i="17" s="1"/>
  <c r="AL118" i="2"/>
  <c r="L12" i="7" s="1"/>
  <c r="L10" i="7"/>
  <c r="M7" i="7"/>
  <c r="D18" i="14" s="1"/>
  <c r="E18" i="14" s="1"/>
  <c r="H10" i="1"/>
  <c r="H76" i="1"/>
  <c r="H57" i="1"/>
  <c r="H23" i="1"/>
  <c r="H60" i="1"/>
  <c r="H92" i="1"/>
  <c r="H79" i="1"/>
  <c r="H37" i="1"/>
  <c r="H31" i="1"/>
  <c r="H74" i="1"/>
  <c r="H51" i="1"/>
  <c r="H16" i="1"/>
  <c r="H88" i="1"/>
  <c r="H65" i="1"/>
  <c r="H54" i="1"/>
  <c r="H25" i="1"/>
  <c r="H35" i="1"/>
  <c r="H32" i="1"/>
  <c r="H49" i="1"/>
  <c r="H14" i="1"/>
  <c r="H86" i="1"/>
  <c r="H63" i="1"/>
  <c r="H28" i="1"/>
  <c r="H19" i="1"/>
  <c r="H77" i="1"/>
  <c r="H66" i="1"/>
  <c r="H81" i="1"/>
  <c r="H58" i="1"/>
  <c r="H47" i="1"/>
  <c r="H12" i="1"/>
  <c r="H84" i="1"/>
  <c r="H44" i="1"/>
  <c r="H97" i="1"/>
  <c r="H46" i="1"/>
  <c r="H75" i="1"/>
  <c r="H39" i="1"/>
  <c r="H72" i="1"/>
  <c r="H40" i="1"/>
  <c r="H78" i="1"/>
  <c r="H93" i="1"/>
  <c r="H96" i="1"/>
  <c r="H43" i="1"/>
  <c r="H91" i="1"/>
  <c r="H73" i="1"/>
  <c r="H15" i="1"/>
  <c r="H87" i="1"/>
  <c r="H52" i="1"/>
  <c r="H29" i="1"/>
  <c r="H18" i="1"/>
  <c r="H90" i="1"/>
  <c r="H55" i="1"/>
  <c r="H26" i="1"/>
  <c r="H70" i="1"/>
  <c r="H82" i="1"/>
  <c r="H71" i="1"/>
  <c r="H36" i="1"/>
  <c r="H38" i="1"/>
  <c r="H68" i="1"/>
  <c r="H69" i="1"/>
  <c r="H98" i="1"/>
  <c r="H89" i="1"/>
  <c r="H59" i="1"/>
  <c r="H56" i="1"/>
  <c r="H33" i="1"/>
  <c r="H13" i="1"/>
  <c r="H85" i="1"/>
  <c r="H50" i="1"/>
  <c r="H27" i="1"/>
  <c r="H99" i="1"/>
  <c r="H64" i="1"/>
  <c r="H41" i="1"/>
  <c r="H30" i="1"/>
  <c r="H67" i="1"/>
  <c r="H53" i="1"/>
  <c r="H61" i="1"/>
  <c r="H17" i="1"/>
  <c r="H21" i="1"/>
  <c r="H24" i="1"/>
  <c r="H45" i="1"/>
  <c r="H22" i="1"/>
  <c r="H94" i="1"/>
  <c r="H83" i="1"/>
  <c r="H48" i="1"/>
  <c r="H80" i="1"/>
  <c r="H42" i="1"/>
  <c r="H62" i="1"/>
  <c r="H34" i="1"/>
  <c r="H95" i="1"/>
  <c r="H20" i="1"/>
  <c r="H11" i="1"/>
  <c r="R118" i="2"/>
  <c r="K28" i="2" a="1"/>
  <c r="I26" i="16" l="1"/>
  <c r="B27" i="16"/>
  <c r="G27" i="16" s="1"/>
  <c r="H27" i="16" s="1"/>
  <c r="I11" i="17"/>
  <c r="I10" i="17"/>
  <c r="H11" i="17"/>
  <c r="H10" i="17"/>
  <c r="H27" i="17"/>
  <c r="B28" i="17"/>
  <c r="A28" i="16"/>
  <c r="F11" i="7"/>
  <c r="D7" i="14" s="1"/>
  <c r="E7" i="14" s="1"/>
  <c r="M8" i="7"/>
  <c r="K28" i="2"/>
  <c r="A29" i="17" s="1"/>
  <c r="C29" i="17" s="1"/>
  <c r="D29" i="17" s="1"/>
  <c r="S81" i="2"/>
  <c r="S11" i="2"/>
  <c r="S31" i="2"/>
  <c r="S91" i="2"/>
  <c r="S19" i="2"/>
  <c r="S32" i="2"/>
  <c r="S92" i="2"/>
  <c r="S57" i="2"/>
  <c r="S24" i="2"/>
  <c r="S22" i="2"/>
  <c r="S84" i="2"/>
  <c r="S20" i="2"/>
  <c r="S25" i="2"/>
  <c r="S52" i="2"/>
  <c r="S39" i="2"/>
  <c r="S65" i="2"/>
  <c r="S64" i="2"/>
  <c r="S75" i="2"/>
  <c r="S42" i="2"/>
  <c r="S16" i="2"/>
  <c r="S87" i="2"/>
  <c r="S23" i="2"/>
  <c r="S69" i="2"/>
  <c r="S94" i="2"/>
  <c r="S60" i="2"/>
  <c r="S58" i="2"/>
  <c r="S34" i="2"/>
  <c r="S80" i="2"/>
  <c r="S88" i="2"/>
  <c r="S29" i="2"/>
  <c r="S50" i="2"/>
  <c r="S12" i="2"/>
  <c r="S55" i="2"/>
  <c r="S56" i="2"/>
  <c r="S41" i="2"/>
  <c r="S71" i="2"/>
  <c r="S79" i="2"/>
  <c r="S28" i="2"/>
  <c r="S38" i="2"/>
  <c r="S40" i="2"/>
  <c r="S74" i="2"/>
  <c r="S86" i="2"/>
  <c r="S62" i="2"/>
  <c r="S73" i="2"/>
  <c r="S95" i="2"/>
  <c r="S33" i="2"/>
  <c r="S77" i="2"/>
  <c r="S89" i="2"/>
  <c r="S17" i="2"/>
  <c r="S97" i="2"/>
  <c r="S15" i="2"/>
  <c r="S47" i="2"/>
  <c r="S51" i="2"/>
  <c r="S27" i="2"/>
  <c r="S82" i="2"/>
  <c r="S63" i="2"/>
  <c r="S67" i="2"/>
  <c r="S45" i="2"/>
  <c r="S93" i="2"/>
  <c r="S98" i="2"/>
  <c r="S37" i="2"/>
  <c r="S14" i="2"/>
  <c r="S96" i="2"/>
  <c r="S85" i="2"/>
  <c r="S30" i="2"/>
  <c r="S59" i="2"/>
  <c r="S53" i="2"/>
  <c r="S66" i="2"/>
  <c r="S76" i="2"/>
  <c r="S18" i="2"/>
  <c r="S68" i="2"/>
  <c r="S21" i="2"/>
  <c r="S26" i="2"/>
  <c r="S35" i="2"/>
  <c r="S72" i="2"/>
  <c r="S43" i="2"/>
  <c r="S13" i="2"/>
  <c r="S36" i="2"/>
  <c r="S46" i="2"/>
  <c r="S54" i="2"/>
  <c r="S61" i="2"/>
  <c r="S44" i="2"/>
  <c r="S49" i="2"/>
  <c r="S70" i="2"/>
  <c r="S90" i="2"/>
  <c r="S83" i="2"/>
  <c r="S48" i="2"/>
  <c r="S78" i="2"/>
  <c r="S9" i="2"/>
  <c r="AM9" i="2"/>
  <c r="R7" i="7"/>
  <c r="S10" i="2"/>
  <c r="K29" i="2" a="1"/>
  <c r="I101" i="17" l="1"/>
  <c r="I27" i="16"/>
  <c r="B28" i="16"/>
  <c r="G28" i="16" s="1"/>
  <c r="H28" i="16" s="1"/>
  <c r="H28" i="17"/>
  <c r="B29" i="17"/>
  <c r="A29" i="16"/>
  <c r="K29" i="2"/>
  <c r="A30" i="17" s="1"/>
  <c r="S118" i="2"/>
  <c r="K30" i="2" a="1"/>
  <c r="I28" i="16" l="1"/>
  <c r="B29" i="16"/>
  <c r="G29" i="16" s="1"/>
  <c r="H29" i="16" s="1"/>
  <c r="C30" i="17"/>
  <c r="D30" i="17" s="1"/>
  <c r="H29" i="17"/>
  <c r="B30" i="17"/>
  <c r="A30" i="16"/>
  <c r="K30" i="2"/>
  <c r="A31" i="17" s="1"/>
  <c r="C31" i="17" s="1"/>
  <c r="D31" i="17" s="1"/>
  <c r="Y15" i="1" a="1"/>
  <c r="Y15" i="1" s="1"/>
  <c r="K31" i="2" a="1"/>
  <c r="B30" i="16" l="1"/>
  <c r="G30" i="16" s="1"/>
  <c r="H30" i="16" s="1"/>
  <c r="I29" i="16"/>
  <c r="H30" i="17"/>
  <c r="B31" i="17"/>
  <c r="A31" i="16"/>
  <c r="K31" i="2"/>
  <c r="A32" i="17" s="1"/>
  <c r="C32" i="17" s="1"/>
  <c r="D32" i="17" s="1"/>
  <c r="Y16" i="1" a="1"/>
  <c r="Y16" i="1" s="1"/>
  <c r="Y17" i="1" s="1" a="1"/>
  <c r="Y17" i="1" s="1"/>
  <c r="Z15" i="1"/>
  <c r="AB15" i="1"/>
  <c r="AA15" i="4" a="1"/>
  <c r="AA15" i="4" s="1"/>
  <c r="K32" i="2" a="1"/>
  <c r="I30" i="16" l="1"/>
  <c r="B31" i="16"/>
  <c r="G31" i="16" s="1"/>
  <c r="H31" i="16" s="1"/>
  <c r="H31" i="17"/>
  <c r="B32" i="17"/>
  <c r="A32" i="16"/>
  <c r="K32" i="2"/>
  <c r="A33" i="17" s="1"/>
  <c r="C33" i="17" s="1"/>
  <c r="D33" i="17" s="1"/>
  <c r="Z17" i="1"/>
  <c r="AB17" i="1"/>
  <c r="Y18" i="1" a="1"/>
  <c r="Y18" i="1" s="1"/>
  <c r="Z16" i="1"/>
  <c r="AB16" i="1"/>
  <c r="AA16" i="4" a="1"/>
  <c r="AA16" i="4" s="1"/>
  <c r="K33" i="2" a="1"/>
  <c r="B32" i="16" l="1"/>
  <c r="G32" i="16" s="1"/>
  <c r="H32" i="16" s="1"/>
  <c r="I31" i="16"/>
  <c r="H32" i="17"/>
  <c r="B33" i="17"/>
  <c r="A33" i="16"/>
  <c r="K33" i="2"/>
  <c r="A34" i="17" s="1"/>
  <c r="C34" i="17" s="1"/>
  <c r="D34" i="17" s="1"/>
  <c r="Y19" i="1" a="1"/>
  <c r="Y19" i="1" s="1"/>
  <c r="Z18" i="1"/>
  <c r="AB18" i="1"/>
  <c r="AA17" i="4" a="1"/>
  <c r="AA17" i="4" s="1"/>
  <c r="O9" i="4"/>
  <c r="AO9" i="2" s="1"/>
  <c r="AD31" i="4"/>
  <c r="AE31" i="4" s="1"/>
  <c r="AD32" i="4"/>
  <c r="AE32" i="4" s="1"/>
  <c r="AD33" i="4"/>
  <c r="AE33" i="4" s="1"/>
  <c r="AD34" i="4"/>
  <c r="AE34" i="4" s="1"/>
  <c r="AD35" i="4"/>
  <c r="AE35" i="4" s="1"/>
  <c r="AD36" i="4"/>
  <c r="AE36" i="4" s="1"/>
  <c r="AD37" i="4"/>
  <c r="AE37" i="4" s="1"/>
  <c r="AD38" i="4"/>
  <c r="AE38" i="4" s="1"/>
  <c r="AD39" i="4"/>
  <c r="AE39" i="4" s="1"/>
  <c r="AD40" i="4"/>
  <c r="AE40" i="4" s="1"/>
  <c r="AD41" i="4"/>
  <c r="AE41" i="4" s="1"/>
  <c r="AD42" i="4"/>
  <c r="AE42" i="4" s="1"/>
  <c r="AD43" i="4"/>
  <c r="AE43" i="4" s="1"/>
  <c r="AD44" i="4"/>
  <c r="AE44" i="4" s="1"/>
  <c r="AD45" i="4"/>
  <c r="AE45" i="4" s="1"/>
  <c r="AD46" i="4"/>
  <c r="AE46" i="4" s="1"/>
  <c r="AD47" i="4"/>
  <c r="AE47" i="4" s="1"/>
  <c r="AD48" i="4"/>
  <c r="AE48" i="4" s="1"/>
  <c r="AD49" i="4"/>
  <c r="AE49" i="4" s="1"/>
  <c r="AD50" i="4"/>
  <c r="AE50" i="4" s="1"/>
  <c r="AD51" i="4"/>
  <c r="AE51" i="4" s="1"/>
  <c r="AD52" i="4"/>
  <c r="AE52" i="4" s="1"/>
  <c r="AD53" i="4"/>
  <c r="AE53" i="4" s="1"/>
  <c r="AD54" i="4"/>
  <c r="AE54" i="4" s="1"/>
  <c r="AD55" i="4"/>
  <c r="AE55" i="4" s="1"/>
  <c r="AD56" i="4"/>
  <c r="AE56" i="4" s="1"/>
  <c r="AD30" i="4"/>
  <c r="AE30" i="4" s="1"/>
  <c r="K34" i="2" a="1"/>
  <c r="I32" i="16" l="1"/>
  <c r="B33" i="16"/>
  <c r="G33" i="16" s="1"/>
  <c r="H33" i="16" s="1"/>
  <c r="H33" i="17"/>
  <c r="B34" i="17"/>
  <c r="A34" i="16"/>
  <c r="K34" i="2"/>
  <c r="A35" i="17" s="1"/>
  <c r="C35" i="17" s="1"/>
  <c r="D35" i="17" s="1"/>
  <c r="AP9" i="2"/>
  <c r="AQ9" i="2" s="1"/>
  <c r="L11" i="7"/>
  <c r="Z19" i="1"/>
  <c r="AB19" i="1"/>
  <c r="Y20" i="1" a="1"/>
  <c r="Y20" i="1" s="1"/>
  <c r="AD14" i="4"/>
  <c r="AA18" i="4" a="1"/>
  <c r="AA18" i="4" s="1"/>
  <c r="AD17" i="4"/>
  <c r="AD15" i="4"/>
  <c r="AD16" i="4"/>
  <c r="AB15" i="4"/>
  <c r="AB16" i="4"/>
  <c r="AB17" i="4"/>
  <c r="AB14" i="4"/>
  <c r="K35" i="2" a="1"/>
  <c r="I33" i="16" l="1"/>
  <c r="B34" i="16"/>
  <c r="G34" i="16" s="1"/>
  <c r="H34" i="16" s="1"/>
  <c r="H34" i="17"/>
  <c r="B35" i="17"/>
  <c r="A35" i="16"/>
  <c r="K35" i="2"/>
  <c r="A36" i="17" s="1"/>
  <c r="C36" i="17" s="1"/>
  <c r="D36" i="17" s="1"/>
  <c r="AR9" i="2"/>
  <c r="AQ118" i="2"/>
  <c r="L13" i="7" s="1"/>
  <c r="AK2" i="2" s="1"/>
  <c r="AL2" i="2" s="1"/>
  <c r="AL5" i="2" s="1"/>
  <c r="D11" i="14" s="1"/>
  <c r="E3" i="14"/>
  <c r="Z20" i="1"/>
  <c r="AB20" i="1"/>
  <c r="Y21" i="1" a="1"/>
  <c r="Y21" i="1" s="1"/>
  <c r="AA19" i="4" a="1"/>
  <c r="AA19" i="4" s="1"/>
  <c r="AD19" i="4" s="1"/>
  <c r="AB18" i="4"/>
  <c r="AD18" i="4"/>
  <c r="K36" i="2" a="1"/>
  <c r="I34" i="16" l="1"/>
  <c r="B35" i="16"/>
  <c r="G35" i="16" s="1"/>
  <c r="H35" i="16" s="1"/>
  <c r="H35" i="17"/>
  <c r="B36" i="17"/>
  <c r="A36" i="16"/>
  <c r="K36" i="2"/>
  <c r="A37" i="17" s="1"/>
  <c r="C37" i="17" s="1"/>
  <c r="D37" i="17" s="1"/>
  <c r="AK5" i="2"/>
  <c r="E11" i="14" s="1"/>
  <c r="AB21" i="1"/>
  <c r="Z21" i="1"/>
  <c r="Y22" i="1" a="1"/>
  <c r="Y22" i="1" s="1"/>
  <c r="AA20" i="4" a="1"/>
  <c r="AA20" i="4" s="1"/>
  <c r="AA21" i="4" s="1" a="1"/>
  <c r="AA21" i="4" s="1"/>
  <c r="AB19" i="4"/>
  <c r="K37" i="2" a="1"/>
  <c r="I35" i="16" l="1"/>
  <c r="B36" i="16"/>
  <c r="G36" i="16" s="1"/>
  <c r="H36" i="16" s="1"/>
  <c r="H36" i="17"/>
  <c r="B37" i="17"/>
  <c r="A37" i="16"/>
  <c r="K37" i="2"/>
  <c r="A38" i="17" s="1"/>
  <c r="C38" i="17" s="1"/>
  <c r="D38" i="17" s="1"/>
  <c r="AB22" i="1"/>
  <c r="Z22" i="1"/>
  <c r="Y23" i="1" a="1"/>
  <c r="Y23" i="1" s="1"/>
  <c r="AB20" i="4"/>
  <c r="AD20" i="4"/>
  <c r="AD21" i="4"/>
  <c r="AB21" i="4"/>
  <c r="AA22" i="4" a="1"/>
  <c r="AA22" i="4" s="1"/>
  <c r="K38" i="2" a="1"/>
  <c r="I36" i="16" l="1"/>
  <c r="B37" i="16"/>
  <c r="G37" i="16" s="1"/>
  <c r="H37" i="16" s="1"/>
  <c r="H37" i="17"/>
  <c r="B38" i="17"/>
  <c r="A38" i="16"/>
  <c r="K38" i="2"/>
  <c r="A39" i="17" s="1"/>
  <c r="C39" i="17" s="1"/>
  <c r="D39" i="17" s="1"/>
  <c r="AB23" i="1"/>
  <c r="Z23" i="1"/>
  <c r="Y24" i="1" a="1"/>
  <c r="Y24" i="1" s="1"/>
  <c r="AB22" i="4"/>
  <c r="AD22" i="4"/>
  <c r="AA23" i="4" a="1"/>
  <c r="AA23" i="4" s="1"/>
  <c r="K39" i="2" a="1"/>
  <c r="B38" i="16" l="1"/>
  <c r="G38" i="16" s="1"/>
  <c r="H38" i="16" s="1"/>
  <c r="I37" i="16"/>
  <c r="H38" i="17"/>
  <c r="B39" i="17"/>
  <c r="A39" i="16"/>
  <c r="K39" i="2"/>
  <c r="A40" i="17" s="1"/>
  <c r="C40" i="17" s="1"/>
  <c r="D40" i="17" s="1"/>
  <c r="Z24" i="1"/>
  <c r="AB24" i="1"/>
  <c r="Y25" i="1" a="1"/>
  <c r="Y25" i="1" s="1"/>
  <c r="AD23" i="4"/>
  <c r="AB23" i="4"/>
  <c r="AA24" i="4" a="1"/>
  <c r="AA24" i="4" s="1"/>
  <c r="K40" i="2" a="1"/>
  <c r="B39" i="16" l="1"/>
  <c r="G39" i="16" s="1"/>
  <c r="H39" i="16" s="1"/>
  <c r="I38" i="16"/>
  <c r="H39" i="17"/>
  <c r="B40" i="17"/>
  <c r="A40" i="16"/>
  <c r="K40" i="2"/>
  <c r="A41" i="17" s="1"/>
  <c r="C41" i="17" s="1"/>
  <c r="D41" i="17" s="1"/>
  <c r="Z25" i="1"/>
  <c r="AB25" i="1"/>
  <c r="Y26" i="1" a="1"/>
  <c r="Y26" i="1" s="1"/>
  <c r="AD24" i="4"/>
  <c r="Q9" i="4" s="1"/>
  <c r="AB24" i="4"/>
  <c r="K41" i="2" a="1"/>
  <c r="I39" i="16" l="1"/>
  <c r="B40" i="16"/>
  <c r="G40" i="16" s="1"/>
  <c r="H40" i="16" s="1"/>
  <c r="H40" i="17"/>
  <c r="B41" i="17"/>
  <c r="A41" i="16"/>
  <c r="K41" i="2"/>
  <c r="A42" i="17" s="1"/>
  <c r="C42" i="17" s="1"/>
  <c r="D42" i="17" s="1"/>
  <c r="AB26" i="1"/>
  <c r="Z26" i="1"/>
  <c r="Y27" i="1" a="1"/>
  <c r="Y27" i="1" s="1"/>
  <c r="Q53" i="4"/>
  <c r="Q89" i="4"/>
  <c r="R89" i="4" s="1"/>
  <c r="S89" i="4" s="1"/>
  <c r="Q67" i="4"/>
  <c r="R67" i="4" s="1"/>
  <c r="S67" i="4" s="1"/>
  <c r="Q22" i="4"/>
  <c r="Q26" i="4"/>
  <c r="Q70" i="4"/>
  <c r="R70" i="4" s="1"/>
  <c r="S70" i="4" s="1"/>
  <c r="Q59" i="4"/>
  <c r="R59" i="4" s="1"/>
  <c r="S59" i="4" s="1"/>
  <c r="Q34" i="4"/>
  <c r="Q66" i="4"/>
  <c r="R66" i="4" s="1"/>
  <c r="S66" i="4" s="1"/>
  <c r="Q43" i="4"/>
  <c r="Q63" i="4"/>
  <c r="R63" i="4" s="1"/>
  <c r="S63" i="4" s="1"/>
  <c r="Q91" i="4"/>
  <c r="R91" i="4" s="1"/>
  <c r="S91" i="4" s="1"/>
  <c r="Q14" i="4"/>
  <c r="Q15" i="4"/>
  <c r="Q82" i="4"/>
  <c r="R82" i="4" s="1"/>
  <c r="S82" i="4" s="1"/>
  <c r="Q39" i="4"/>
  <c r="Q19" i="4"/>
  <c r="Q30" i="4"/>
  <c r="Q35" i="4"/>
  <c r="Q11" i="4"/>
  <c r="Q75" i="4"/>
  <c r="R75" i="4" s="1"/>
  <c r="S75" i="4" s="1"/>
  <c r="Q42" i="4"/>
  <c r="Q18" i="4"/>
  <c r="Q90" i="4"/>
  <c r="R90" i="4" s="1"/>
  <c r="S90" i="4" s="1"/>
  <c r="Q47" i="4"/>
  <c r="Q27" i="4"/>
  <c r="Q51" i="4"/>
  <c r="Q79" i="4"/>
  <c r="R79" i="4" s="1"/>
  <c r="S79" i="4" s="1"/>
  <c r="Q50" i="4"/>
  <c r="Q95" i="4"/>
  <c r="R95" i="4" s="1"/>
  <c r="S95" i="4" s="1"/>
  <c r="Q74" i="4"/>
  <c r="R74" i="4" s="1"/>
  <c r="S74" i="4" s="1"/>
  <c r="Q62" i="4"/>
  <c r="R62" i="4" s="1"/>
  <c r="S62" i="4" s="1"/>
  <c r="Q46" i="4"/>
  <c r="Q86" i="4"/>
  <c r="R86" i="4" s="1"/>
  <c r="S86" i="4" s="1"/>
  <c r="Q98" i="4"/>
  <c r="R98" i="4" s="1"/>
  <c r="S98" i="4" s="1"/>
  <c r="Q78" i="4"/>
  <c r="R78" i="4" s="1"/>
  <c r="S78" i="4" s="1"/>
  <c r="Q55" i="4"/>
  <c r="Q58" i="4"/>
  <c r="Q83" i="4"/>
  <c r="R83" i="4" s="1"/>
  <c r="S83" i="4" s="1"/>
  <c r="Q54" i="4"/>
  <c r="Q23" i="4"/>
  <c r="Q94" i="4"/>
  <c r="R94" i="4" s="1"/>
  <c r="S94" i="4" s="1"/>
  <c r="Q10" i="4"/>
  <c r="Q87" i="4"/>
  <c r="R87" i="4" s="1"/>
  <c r="S87" i="4" s="1"/>
  <c r="Q71" i="4"/>
  <c r="R71" i="4" s="1"/>
  <c r="S71" i="4" s="1"/>
  <c r="Q31" i="4"/>
  <c r="Q38" i="4"/>
  <c r="Q76" i="4"/>
  <c r="R76" i="4" s="1"/>
  <c r="S76" i="4" s="1"/>
  <c r="Q29" i="4"/>
  <c r="Q12" i="4"/>
  <c r="Q84" i="4"/>
  <c r="R84" i="4" s="1"/>
  <c r="S84" i="4" s="1"/>
  <c r="Q60" i="4"/>
  <c r="R60" i="4" s="1"/>
  <c r="S60" i="4" s="1"/>
  <c r="Q81" i="4"/>
  <c r="R81" i="4" s="1"/>
  <c r="S81" i="4" s="1"/>
  <c r="Q61" i="4"/>
  <c r="R61" i="4" s="1"/>
  <c r="S61" i="4" s="1"/>
  <c r="Q96" i="4"/>
  <c r="R96" i="4" s="1"/>
  <c r="S96" i="4" s="1"/>
  <c r="Q21" i="4"/>
  <c r="Q44" i="4"/>
  <c r="Q24" i="4"/>
  <c r="Q40" i="4"/>
  <c r="Q37" i="4"/>
  <c r="Q93" i="4"/>
  <c r="R93" i="4" s="1"/>
  <c r="S93" i="4" s="1"/>
  <c r="Q32" i="4"/>
  <c r="Q16" i="4"/>
  <c r="Q17" i="4"/>
  <c r="Q20" i="4"/>
  <c r="Q68" i="4"/>
  <c r="R68" i="4" s="1"/>
  <c r="S68" i="4" s="1"/>
  <c r="Q85" i="4"/>
  <c r="R85" i="4" s="1"/>
  <c r="S85" i="4" s="1"/>
  <c r="Q77" i="4"/>
  <c r="R77" i="4" s="1"/>
  <c r="S77" i="4" s="1"/>
  <c r="Q64" i="4"/>
  <c r="R64" i="4" s="1"/>
  <c r="S64" i="4" s="1"/>
  <c r="Q36" i="4"/>
  <c r="Q41" i="4"/>
  <c r="Q69" i="4"/>
  <c r="R69" i="4" s="1"/>
  <c r="S69" i="4" s="1"/>
  <c r="Q80" i="4"/>
  <c r="R80" i="4" s="1"/>
  <c r="S80" i="4" s="1"/>
  <c r="Q48" i="4"/>
  <c r="Q97" i="4"/>
  <c r="R97" i="4" s="1"/>
  <c r="S97" i="4" s="1"/>
  <c r="Q25" i="4"/>
  <c r="Q57" i="4"/>
  <c r="Q52" i="4"/>
  <c r="Q28" i="4"/>
  <c r="Q88" i="4"/>
  <c r="R88" i="4" s="1"/>
  <c r="S88" i="4" s="1"/>
  <c r="Q49" i="4"/>
  <c r="Q13" i="4"/>
  <c r="Q45" i="4"/>
  <c r="Q73" i="4"/>
  <c r="R73" i="4" s="1"/>
  <c r="S73" i="4" s="1"/>
  <c r="Q92" i="4"/>
  <c r="R92" i="4" s="1"/>
  <c r="S92" i="4" s="1"/>
  <c r="Q56" i="4"/>
  <c r="Q72" i="4"/>
  <c r="R72" i="4" s="1"/>
  <c r="S72" i="4" s="1"/>
  <c r="Q33" i="4"/>
  <c r="Q65" i="4"/>
  <c r="R65" i="4" s="1"/>
  <c r="S65" i="4" s="1"/>
  <c r="K42" i="2" a="1"/>
  <c r="I40" i="16" l="1"/>
  <c r="B41" i="16"/>
  <c r="G41" i="16" s="1"/>
  <c r="H41" i="16" s="1"/>
  <c r="H41" i="17"/>
  <c r="B42" i="17"/>
  <c r="A42" i="16"/>
  <c r="K42" i="2"/>
  <c r="A43" i="17" s="1"/>
  <c r="C43" i="17" s="1"/>
  <c r="D43" i="17" s="1"/>
  <c r="AB27" i="1"/>
  <c r="Z27" i="1"/>
  <c r="Y28" i="1" a="1"/>
  <c r="Y28" i="1" s="1"/>
  <c r="AC14" i="4"/>
  <c r="AE14" i="4" s="1"/>
  <c r="AC15" i="4"/>
  <c r="AE15" i="4" s="1"/>
  <c r="AC18" i="4"/>
  <c r="AE18" i="4" s="1"/>
  <c r="AC22" i="4"/>
  <c r="AE22" i="4" s="1"/>
  <c r="AC17" i="4"/>
  <c r="AE17" i="4" s="1"/>
  <c r="AC19" i="4"/>
  <c r="AE19" i="4" s="1"/>
  <c r="AC23" i="4"/>
  <c r="AE23" i="4" s="1"/>
  <c r="AC24" i="4"/>
  <c r="AE24" i="4" s="1"/>
  <c r="AC20" i="4"/>
  <c r="AE20" i="4" s="1"/>
  <c r="AC21" i="4"/>
  <c r="AE21" i="4" s="1"/>
  <c r="AC16" i="4"/>
  <c r="AE16" i="4" s="1"/>
  <c r="K43" i="2" a="1"/>
  <c r="B42" i="16" l="1"/>
  <c r="G42" i="16" s="1"/>
  <c r="H42" i="16" s="1"/>
  <c r="I41" i="16"/>
  <c r="H42" i="17"/>
  <c r="B43" i="17"/>
  <c r="A43" i="16"/>
  <c r="K43" i="2"/>
  <c r="A44" i="17" s="1"/>
  <c r="C44" i="17" s="1"/>
  <c r="D44" i="17" s="1"/>
  <c r="Z28" i="1"/>
  <c r="AB28" i="1"/>
  <c r="Y29" i="1" a="1"/>
  <c r="Y29" i="1" s="1"/>
  <c r="R39" i="4"/>
  <c r="S39" i="4" s="1"/>
  <c r="R49" i="4"/>
  <c r="S49" i="4" s="1"/>
  <c r="R54" i="4"/>
  <c r="S54" i="4" s="1"/>
  <c r="R53" i="4"/>
  <c r="S53" i="4" s="1"/>
  <c r="R50" i="4"/>
  <c r="S50" i="4" s="1"/>
  <c r="R47" i="4"/>
  <c r="S47" i="4" s="1"/>
  <c r="R57" i="4"/>
  <c r="S57" i="4" s="1"/>
  <c r="R55" i="4"/>
  <c r="S55" i="4" s="1"/>
  <c r="R41" i="4"/>
  <c r="S41" i="4" s="1"/>
  <c r="R52" i="4"/>
  <c r="S52" i="4" s="1"/>
  <c r="R44" i="4"/>
  <c r="S44" i="4" s="1"/>
  <c r="R40" i="4"/>
  <c r="S40" i="4" s="1"/>
  <c r="R46" i="4"/>
  <c r="S46" i="4" s="1"/>
  <c r="R58" i="4"/>
  <c r="S58" i="4" s="1"/>
  <c r="R43" i="4"/>
  <c r="S43" i="4" s="1"/>
  <c r="R48" i="4"/>
  <c r="S48" i="4" s="1"/>
  <c r="R42" i="4"/>
  <c r="S42" i="4" s="1"/>
  <c r="R51" i="4"/>
  <c r="S51" i="4" s="1"/>
  <c r="R56" i="4"/>
  <c r="S56" i="4" s="1"/>
  <c r="R45" i="4"/>
  <c r="S45" i="4" s="1"/>
  <c r="R38" i="4"/>
  <c r="S38" i="4" s="1"/>
  <c r="R35" i="4"/>
  <c r="S35" i="4" s="1"/>
  <c r="R37" i="4"/>
  <c r="S37" i="4" s="1"/>
  <c r="R34" i="4"/>
  <c r="S34" i="4" s="1"/>
  <c r="R36" i="4"/>
  <c r="S36" i="4" s="1"/>
  <c r="R32" i="4"/>
  <c r="S32" i="4" s="1"/>
  <c r="R33" i="4"/>
  <c r="S33" i="4" s="1"/>
  <c r="R30" i="4"/>
  <c r="S30" i="4" s="1"/>
  <c r="R31" i="4"/>
  <c r="S31" i="4" s="1"/>
  <c r="R16" i="4"/>
  <c r="S16" i="4" s="1"/>
  <c r="R22" i="4"/>
  <c r="S22" i="4" s="1"/>
  <c r="R17" i="4"/>
  <c r="S17" i="4" s="1"/>
  <c r="R25" i="4"/>
  <c r="S25" i="4" s="1"/>
  <c r="R26" i="4"/>
  <c r="S26" i="4" s="1"/>
  <c r="R19" i="4"/>
  <c r="S19" i="4" s="1"/>
  <c r="R23" i="4"/>
  <c r="S23" i="4" s="1"/>
  <c r="R14" i="4"/>
  <c r="S14" i="4" s="1"/>
  <c r="R20" i="4"/>
  <c r="S20" i="4" s="1"/>
  <c r="R29" i="4"/>
  <c r="S29" i="4" s="1"/>
  <c r="R21" i="4"/>
  <c r="S21" i="4" s="1"/>
  <c r="R15" i="4"/>
  <c r="S15" i="4" s="1"/>
  <c r="R24" i="4"/>
  <c r="S24" i="4" s="1"/>
  <c r="R27" i="4"/>
  <c r="S27" i="4" s="1"/>
  <c r="R13" i="4"/>
  <c r="S13" i="4" s="1"/>
  <c r="R28" i="4"/>
  <c r="S28" i="4" s="1"/>
  <c r="R18" i="4"/>
  <c r="S18" i="4" s="1"/>
  <c r="R10" i="4"/>
  <c r="S10" i="4" s="1"/>
  <c r="R11" i="4"/>
  <c r="S11" i="4" s="1"/>
  <c r="R12" i="4"/>
  <c r="S12" i="4" s="1"/>
  <c r="R9" i="4"/>
  <c r="S9" i="4" s="1"/>
  <c r="AE25" i="4"/>
  <c r="K44" i="2" a="1"/>
  <c r="AB8" i="4" l="1"/>
  <c r="I42" i="16"/>
  <c r="B43" i="16"/>
  <c r="G43" i="16" s="1"/>
  <c r="H43" i="16" s="1"/>
  <c r="H43" i="17"/>
  <c r="B44" i="17"/>
  <c r="A44" i="16"/>
  <c r="K44" i="2"/>
  <c r="A45" i="17" s="1"/>
  <c r="C45" i="17" s="1"/>
  <c r="D45" i="17" s="1"/>
  <c r="Z29" i="1"/>
  <c r="AB29" i="1"/>
  <c r="Y30" i="1" a="1"/>
  <c r="Y30" i="1" s="1"/>
  <c r="K45" i="2" a="1"/>
  <c r="I43" i="16" l="1"/>
  <c r="B44" i="16"/>
  <c r="G44" i="16" s="1"/>
  <c r="H44" i="16" s="1"/>
  <c r="H44" i="17"/>
  <c r="B45" i="17"/>
  <c r="A45" i="16"/>
  <c r="K45" i="2"/>
  <c r="A46" i="17" s="1"/>
  <c r="C46" i="17" s="1"/>
  <c r="D46" i="17" s="1"/>
  <c r="Z30" i="1"/>
  <c r="AB30" i="1"/>
  <c r="Y31" i="1" a="1"/>
  <c r="Y31" i="1" s="1"/>
  <c r="K46" i="2" a="1"/>
  <c r="B45" i="16" l="1"/>
  <c r="G45" i="16" s="1"/>
  <c r="H45" i="16" s="1"/>
  <c r="I44" i="16"/>
  <c r="H45" i="17"/>
  <c r="B46" i="17"/>
  <c r="A46" i="16"/>
  <c r="K46" i="2"/>
  <c r="A47" i="17" s="1"/>
  <c r="C47" i="17" s="1"/>
  <c r="D47" i="17" s="1"/>
  <c r="AB31" i="1"/>
  <c r="Z31" i="1"/>
  <c r="Y32" i="1" a="1"/>
  <c r="Y32" i="1" s="1"/>
  <c r="K47" i="2" a="1"/>
  <c r="I45" i="16" l="1"/>
  <c r="B46" i="16"/>
  <c r="G46" i="16" s="1"/>
  <c r="H46" i="16" s="1"/>
  <c r="H46" i="17"/>
  <c r="B47" i="17"/>
  <c r="A47" i="16"/>
  <c r="K47" i="2"/>
  <c r="A48" i="17" s="1"/>
  <c r="C48" i="17" s="1"/>
  <c r="D48" i="17" s="1"/>
  <c r="Z32" i="1"/>
  <c r="AB32" i="1"/>
  <c r="Y33" i="1" a="1"/>
  <c r="Y33" i="1" s="1"/>
  <c r="K48" i="2" a="1"/>
  <c r="I46" i="16" l="1"/>
  <c r="B47" i="16"/>
  <c r="G47" i="16" s="1"/>
  <c r="H47" i="16" s="1"/>
  <c r="H47" i="17"/>
  <c r="B48" i="17"/>
  <c r="A48" i="16"/>
  <c r="K48" i="2"/>
  <c r="A49" i="17" s="1"/>
  <c r="C49" i="17" s="1"/>
  <c r="D49" i="17" s="1"/>
  <c r="Z33" i="1"/>
  <c r="AB33" i="1"/>
  <c r="AC9" i="4"/>
  <c r="C5" i="9"/>
  <c r="AA10" i="1"/>
  <c r="K49" i="2" a="1"/>
  <c r="B48" i="16" l="1"/>
  <c r="G48" i="16" s="1"/>
  <c r="H48" i="16" s="1"/>
  <c r="I47" i="16"/>
  <c r="H48" i="17"/>
  <c r="B49" i="17"/>
  <c r="A49" i="16"/>
  <c r="O17" i="1"/>
  <c r="P17" i="1" s="1"/>
  <c r="Q17" i="1" s="1"/>
  <c r="O42" i="1"/>
  <c r="P42" i="1" s="1"/>
  <c r="Q42" i="1" s="1"/>
  <c r="O35" i="1"/>
  <c r="P35" i="1" s="1"/>
  <c r="Q35" i="1" s="1"/>
  <c r="O67" i="1"/>
  <c r="P67" i="1" s="1"/>
  <c r="Q67" i="1" s="1"/>
  <c r="O21" i="1"/>
  <c r="P21" i="1" s="1"/>
  <c r="Q21" i="1" s="1"/>
  <c r="O61" i="1"/>
  <c r="P61" i="1" s="1"/>
  <c r="Q61" i="1" s="1"/>
  <c r="O83" i="1"/>
  <c r="P83" i="1" s="1"/>
  <c r="Q83" i="1" s="1"/>
  <c r="O81" i="1"/>
  <c r="P81" i="1" s="1"/>
  <c r="Q81" i="1" s="1"/>
  <c r="O40" i="1"/>
  <c r="P40" i="1" s="1"/>
  <c r="Q40" i="1" s="1"/>
  <c r="O99" i="1"/>
  <c r="P99" i="1" s="1"/>
  <c r="Q99" i="1" s="1"/>
  <c r="O82" i="1"/>
  <c r="P82" i="1" s="1"/>
  <c r="Q82" i="1" s="1"/>
  <c r="O31" i="1"/>
  <c r="P31" i="1" s="1"/>
  <c r="Q31" i="1" s="1"/>
  <c r="O14" i="1"/>
  <c r="P14" i="1" s="1"/>
  <c r="Q14" i="1" s="1"/>
  <c r="O74" i="1"/>
  <c r="P74" i="1" s="1"/>
  <c r="Q74" i="1" s="1"/>
  <c r="O84" i="1"/>
  <c r="P84" i="1" s="1"/>
  <c r="Q84" i="1" s="1"/>
  <c r="O98" i="1"/>
  <c r="P98" i="1" s="1"/>
  <c r="Q98" i="1" s="1"/>
  <c r="O79" i="1"/>
  <c r="P79" i="1" s="1"/>
  <c r="Q79" i="1" s="1"/>
  <c r="O95" i="1"/>
  <c r="P95" i="1" s="1"/>
  <c r="Q95" i="1" s="1"/>
  <c r="O12" i="1"/>
  <c r="P12" i="1" s="1"/>
  <c r="Q12" i="1" s="1"/>
  <c r="O96" i="1"/>
  <c r="P96" i="1" s="1"/>
  <c r="Q96" i="1" s="1"/>
  <c r="O16" i="1"/>
  <c r="P16" i="1" s="1"/>
  <c r="Q16" i="1" s="1"/>
  <c r="O37" i="1"/>
  <c r="P37" i="1" s="1"/>
  <c r="Q37" i="1" s="1"/>
  <c r="O13" i="1"/>
  <c r="P13" i="1" s="1"/>
  <c r="Q13" i="1" s="1"/>
  <c r="O93" i="1"/>
  <c r="P93" i="1" s="1"/>
  <c r="Q93" i="1" s="1"/>
  <c r="O49" i="1"/>
  <c r="P49" i="1" s="1"/>
  <c r="Q49" i="1" s="1"/>
  <c r="O38" i="1"/>
  <c r="P38" i="1" s="1"/>
  <c r="Q38" i="1" s="1"/>
  <c r="O26" i="1"/>
  <c r="P26" i="1" s="1"/>
  <c r="Q26" i="1" s="1"/>
  <c r="O32" i="1"/>
  <c r="P32" i="1" s="1"/>
  <c r="Q32" i="1" s="1"/>
  <c r="O43" i="1"/>
  <c r="P43" i="1" s="1"/>
  <c r="Q43" i="1" s="1"/>
  <c r="O30" i="1"/>
  <c r="P30" i="1" s="1"/>
  <c r="Q30" i="1" s="1"/>
  <c r="O27" i="1"/>
  <c r="P27" i="1" s="1"/>
  <c r="Q27" i="1" s="1"/>
  <c r="O34" i="1"/>
  <c r="P34" i="1" s="1"/>
  <c r="Q34" i="1" s="1"/>
  <c r="O60" i="1"/>
  <c r="P60" i="1" s="1"/>
  <c r="Q60" i="1" s="1"/>
  <c r="O65" i="1"/>
  <c r="P65" i="1" s="1"/>
  <c r="Q65" i="1" s="1"/>
  <c r="O53" i="1"/>
  <c r="P53" i="1" s="1"/>
  <c r="Q53" i="1" s="1"/>
  <c r="O94" i="1"/>
  <c r="P94" i="1" s="1"/>
  <c r="Q94" i="1" s="1"/>
  <c r="O29" i="1"/>
  <c r="P29" i="1" s="1"/>
  <c r="Q29" i="1" s="1"/>
  <c r="O47" i="1"/>
  <c r="P47" i="1" s="1"/>
  <c r="Q47" i="1" s="1"/>
  <c r="O41" i="1"/>
  <c r="P41" i="1" s="1"/>
  <c r="Q41" i="1" s="1"/>
  <c r="O59" i="1"/>
  <c r="P59" i="1" s="1"/>
  <c r="Q59" i="1" s="1"/>
  <c r="O44" i="1"/>
  <c r="P44" i="1" s="1"/>
  <c r="Q44" i="1" s="1"/>
  <c r="O75" i="1"/>
  <c r="P75" i="1" s="1"/>
  <c r="Q75" i="1" s="1"/>
  <c r="O70" i="1"/>
  <c r="P70" i="1" s="1"/>
  <c r="Q70" i="1" s="1"/>
  <c r="O55" i="1"/>
  <c r="P55" i="1" s="1"/>
  <c r="Q55" i="1" s="1"/>
  <c r="O23" i="1"/>
  <c r="P23" i="1" s="1"/>
  <c r="Q23" i="1" s="1"/>
  <c r="O36" i="1"/>
  <c r="P36" i="1" s="1"/>
  <c r="Q36" i="1" s="1"/>
  <c r="O62" i="1"/>
  <c r="P62" i="1" s="1"/>
  <c r="Q62" i="1" s="1"/>
  <c r="O72" i="1"/>
  <c r="P72" i="1" s="1"/>
  <c r="Q72" i="1" s="1"/>
  <c r="O45" i="1"/>
  <c r="P45" i="1" s="1"/>
  <c r="Q45" i="1" s="1"/>
  <c r="O18" i="1"/>
  <c r="P18" i="1" s="1"/>
  <c r="Q18" i="1" s="1"/>
  <c r="O86" i="1"/>
  <c r="P86" i="1" s="1"/>
  <c r="Q86" i="1" s="1"/>
  <c r="O50" i="1"/>
  <c r="P50" i="1" s="1"/>
  <c r="Q50" i="1" s="1"/>
  <c r="O58" i="1"/>
  <c r="P58" i="1" s="1"/>
  <c r="Q58" i="1" s="1"/>
  <c r="O97" i="1"/>
  <c r="P97" i="1" s="1"/>
  <c r="Q97" i="1" s="1"/>
  <c r="O91" i="1"/>
  <c r="P91" i="1" s="1"/>
  <c r="Q91" i="1" s="1"/>
  <c r="O51" i="1"/>
  <c r="P51" i="1" s="1"/>
  <c r="Q51" i="1" s="1"/>
  <c r="O90" i="1"/>
  <c r="P90" i="1" s="1"/>
  <c r="Q90" i="1" s="1"/>
  <c r="O20" i="1"/>
  <c r="P20" i="1" s="1"/>
  <c r="Q20" i="1" s="1"/>
  <c r="O52" i="1"/>
  <c r="P52" i="1" s="1"/>
  <c r="Q52" i="1" s="1"/>
  <c r="O57" i="1"/>
  <c r="P57" i="1" s="1"/>
  <c r="Q57" i="1" s="1"/>
  <c r="O66" i="1"/>
  <c r="P66" i="1" s="1"/>
  <c r="Q66" i="1" s="1"/>
  <c r="O48" i="1"/>
  <c r="P48" i="1" s="1"/>
  <c r="Q48" i="1" s="1"/>
  <c r="O64" i="1"/>
  <c r="P64" i="1" s="1"/>
  <c r="Q64" i="1" s="1"/>
  <c r="O25" i="1"/>
  <c r="P25" i="1" s="1"/>
  <c r="Q25" i="1" s="1"/>
  <c r="O19" i="1"/>
  <c r="P19" i="1" s="1"/>
  <c r="Q19" i="1" s="1"/>
  <c r="O54" i="1"/>
  <c r="P54" i="1" s="1"/>
  <c r="Q54" i="1" s="1"/>
  <c r="O85" i="1"/>
  <c r="P85" i="1" s="1"/>
  <c r="Q85" i="1" s="1"/>
  <c r="O71" i="1"/>
  <c r="P71" i="1" s="1"/>
  <c r="Q71" i="1" s="1"/>
  <c r="O92" i="1"/>
  <c r="P92" i="1" s="1"/>
  <c r="Q92" i="1" s="1"/>
  <c r="O80" i="1"/>
  <c r="P80" i="1" s="1"/>
  <c r="Q80" i="1" s="1"/>
  <c r="O63" i="1"/>
  <c r="P63" i="1" s="1"/>
  <c r="Q63" i="1" s="1"/>
  <c r="O46" i="1"/>
  <c r="P46" i="1" s="1"/>
  <c r="Q46" i="1" s="1"/>
  <c r="O11" i="1"/>
  <c r="O56" i="1"/>
  <c r="P56" i="1" s="1"/>
  <c r="Q56" i="1" s="1"/>
  <c r="O10" i="1"/>
  <c r="O39" i="1"/>
  <c r="P39" i="1" s="1"/>
  <c r="Q39" i="1" s="1"/>
  <c r="O22" i="1"/>
  <c r="P22" i="1" s="1"/>
  <c r="Q22" i="1" s="1"/>
  <c r="O89" i="1"/>
  <c r="P89" i="1" s="1"/>
  <c r="Q89" i="1" s="1"/>
  <c r="O15" i="1"/>
  <c r="P15" i="1" s="1"/>
  <c r="Q15" i="1" s="1"/>
  <c r="O73" i="1"/>
  <c r="P73" i="1" s="1"/>
  <c r="Q73" i="1" s="1"/>
  <c r="O69" i="1"/>
  <c r="P69" i="1" s="1"/>
  <c r="Q69" i="1" s="1"/>
  <c r="O78" i="1"/>
  <c r="P78" i="1" s="1"/>
  <c r="Q78" i="1" s="1"/>
  <c r="O68" i="1"/>
  <c r="P68" i="1" s="1"/>
  <c r="Q68" i="1" s="1"/>
  <c r="O77" i="1"/>
  <c r="P77" i="1" s="1"/>
  <c r="Q77" i="1" s="1"/>
  <c r="O88" i="1"/>
  <c r="P88" i="1" s="1"/>
  <c r="Q88" i="1" s="1"/>
  <c r="O33" i="1"/>
  <c r="P33" i="1" s="1"/>
  <c r="Q33" i="1" s="1"/>
  <c r="O76" i="1"/>
  <c r="P76" i="1" s="1"/>
  <c r="Q76" i="1" s="1"/>
  <c r="O87" i="1"/>
  <c r="P87" i="1" s="1"/>
  <c r="Q87" i="1" s="1"/>
  <c r="O24" i="1"/>
  <c r="P24" i="1" s="1"/>
  <c r="Q24" i="1" s="1"/>
  <c r="O28" i="1"/>
  <c r="P28" i="1" s="1"/>
  <c r="Q28" i="1" s="1"/>
  <c r="K49" i="2"/>
  <c r="A50" i="17" s="1"/>
  <c r="C50" i="17" s="1"/>
  <c r="D50" i="17" s="1"/>
  <c r="K50" i="2" a="1"/>
  <c r="O10" i="2" a="1"/>
  <c r="I48" i="16" l="1"/>
  <c r="B49" i="16"/>
  <c r="G49" i="16" s="1"/>
  <c r="H49" i="16" s="1"/>
  <c r="H49" i="17"/>
  <c r="B50" i="17"/>
  <c r="A50" i="16"/>
  <c r="AA15" i="1"/>
  <c r="AC15" i="1" s="1"/>
  <c r="AA21" i="1"/>
  <c r="AC21" i="1" s="1"/>
  <c r="AA27" i="1"/>
  <c r="AC27" i="1" s="1"/>
  <c r="AA20" i="1"/>
  <c r="AC20" i="1" s="1"/>
  <c r="AA17" i="1"/>
  <c r="AC17" i="1" s="1"/>
  <c r="AA19" i="1"/>
  <c r="AC19" i="1" s="1"/>
  <c r="AA16" i="1"/>
  <c r="AC16" i="1" s="1"/>
  <c r="AA26" i="1"/>
  <c r="AC26" i="1" s="1"/>
  <c r="AA25" i="1"/>
  <c r="AC25" i="1" s="1"/>
  <c r="AA24" i="1"/>
  <c r="AC24" i="1" s="1"/>
  <c r="AA23" i="1"/>
  <c r="AC23" i="1" s="1"/>
  <c r="AA22" i="1"/>
  <c r="AC22" i="1" s="1"/>
  <c r="AA18" i="1"/>
  <c r="AC18" i="1" s="1"/>
  <c r="AA28" i="1"/>
  <c r="AC28" i="1" s="1"/>
  <c r="AA29" i="1"/>
  <c r="AC29" i="1" s="1"/>
  <c r="AA30" i="1"/>
  <c r="AC30" i="1" s="1"/>
  <c r="AA31" i="1"/>
  <c r="AC31" i="1" s="1"/>
  <c r="AA32" i="1"/>
  <c r="AC32" i="1" s="1"/>
  <c r="AA33" i="1"/>
  <c r="AC33" i="1" s="1"/>
  <c r="K50" i="2"/>
  <c r="A51" i="17" s="1"/>
  <c r="C51" i="17" s="1"/>
  <c r="D51" i="17" s="1"/>
  <c r="O10" i="2"/>
  <c r="K51" i="2" a="1"/>
  <c r="B50" i="16" l="1"/>
  <c r="G50" i="16" s="1"/>
  <c r="H50" i="16" s="1"/>
  <c r="I49" i="16"/>
  <c r="H50" i="17"/>
  <c r="B51" i="17"/>
  <c r="P11" i="1"/>
  <c r="Q11" i="1" s="1"/>
  <c r="A51" i="16"/>
  <c r="P10" i="1"/>
  <c r="Q10" i="1" s="1"/>
  <c r="AC34" i="1"/>
  <c r="Z8" i="1" s="1"/>
  <c r="K51" i="2"/>
  <c r="A52" i="17" s="1"/>
  <c r="C52" i="17" s="1"/>
  <c r="D52" i="17" s="1"/>
  <c r="A6" i="15"/>
  <c r="H7" i="14" s="1"/>
  <c r="O11" i="2" a="1"/>
  <c r="K52" i="2" a="1"/>
  <c r="I50" i="16" l="1"/>
  <c r="B51" i="16"/>
  <c r="G51" i="16" s="1"/>
  <c r="H51" i="16" s="1"/>
  <c r="H51" i="17"/>
  <c r="B52" i="17"/>
  <c r="A52" i="16"/>
  <c r="O10" i="7"/>
  <c r="E6" i="14" s="1"/>
  <c r="D6" i="14" s="1"/>
  <c r="K52" i="2"/>
  <c r="A53" i="17" s="1"/>
  <c r="C53" i="17" s="1"/>
  <c r="D53" i="17" s="1"/>
  <c r="O11" i="2"/>
  <c r="K53" i="2" a="1"/>
  <c r="I51" i="16" l="1"/>
  <c r="B52" i="16"/>
  <c r="G52" i="16" s="1"/>
  <c r="H52" i="16" s="1"/>
  <c r="H52" i="17"/>
  <c r="B53" i="17"/>
  <c r="A53" i="16"/>
  <c r="O11" i="7"/>
  <c r="E15" i="14" s="1"/>
  <c r="K53" i="2"/>
  <c r="A54" i="17" s="1"/>
  <c r="C54" i="17" s="1"/>
  <c r="D54" i="17" s="1"/>
  <c r="A7" i="15"/>
  <c r="H8" i="14" s="1"/>
  <c r="O12" i="2" a="1"/>
  <c r="K54" i="2" a="1"/>
  <c r="I52" i="16" l="1"/>
  <c r="B53" i="16"/>
  <c r="G53" i="16" s="1"/>
  <c r="H53" i="16" s="1"/>
  <c r="H53" i="17"/>
  <c r="B54" i="17"/>
  <c r="A54" i="16"/>
  <c r="K54" i="2"/>
  <c r="A55" i="17" s="1"/>
  <c r="C55" i="17" s="1"/>
  <c r="D55" i="17" s="1"/>
  <c r="O12" i="2"/>
  <c r="K55" i="2" a="1"/>
  <c r="I53" i="16" l="1"/>
  <c r="B54" i="16"/>
  <c r="G54" i="16" s="1"/>
  <c r="H54" i="16" s="1"/>
  <c r="H54" i="17"/>
  <c r="B55" i="17"/>
  <c r="A55" i="16"/>
  <c r="K55" i="2"/>
  <c r="A56" i="17" s="1"/>
  <c r="C56" i="17" s="1"/>
  <c r="D56" i="17" s="1"/>
  <c r="A8" i="15"/>
  <c r="H9" i="14" s="1"/>
  <c r="O13" i="2" a="1"/>
  <c r="K56" i="2" a="1"/>
  <c r="B55" i="16" l="1"/>
  <c r="G55" i="16" s="1"/>
  <c r="H55" i="16" s="1"/>
  <c r="I54" i="16"/>
  <c r="H55" i="17"/>
  <c r="B56" i="17"/>
  <c r="A56" i="16"/>
  <c r="K56" i="2"/>
  <c r="A57" i="17" s="1"/>
  <c r="C57" i="17" s="1"/>
  <c r="D57" i="17" s="1"/>
  <c r="O13" i="2"/>
  <c r="K57" i="2" a="1"/>
  <c r="B56" i="16" l="1"/>
  <c r="G56" i="16" s="1"/>
  <c r="H56" i="16" s="1"/>
  <c r="I55" i="16"/>
  <c r="H56" i="17"/>
  <c r="B57" i="17"/>
  <c r="A57" i="16"/>
  <c r="K57" i="2"/>
  <c r="A58" i="17" s="1"/>
  <c r="C58" i="17" s="1"/>
  <c r="D58" i="17" s="1"/>
  <c r="A9" i="15"/>
  <c r="H10" i="14" s="1"/>
  <c r="K58" i="2" a="1"/>
  <c r="O14" i="2" a="1"/>
  <c r="B57" i="16" l="1"/>
  <c r="G57" i="16" s="1"/>
  <c r="H57" i="16" s="1"/>
  <c r="I56" i="16"/>
  <c r="H57" i="17"/>
  <c r="B58" i="17"/>
  <c r="A58" i="16"/>
  <c r="K58" i="2"/>
  <c r="A59" i="17" s="1"/>
  <c r="C59" i="17" s="1"/>
  <c r="D59" i="17" s="1"/>
  <c r="O14" i="2"/>
  <c r="K59" i="2" a="1"/>
  <c r="I57" i="16" l="1"/>
  <c r="B58" i="16"/>
  <c r="G58" i="16" s="1"/>
  <c r="H58" i="16" s="1"/>
  <c r="H58" i="17"/>
  <c r="B59" i="17"/>
  <c r="A59" i="16"/>
  <c r="K59" i="2"/>
  <c r="A60" i="17" s="1"/>
  <c r="C60" i="17" s="1"/>
  <c r="D60" i="17" s="1"/>
  <c r="A10" i="15"/>
  <c r="H11" i="14" s="1"/>
  <c r="O15" i="2" a="1"/>
  <c r="K60" i="2" a="1"/>
  <c r="I58" i="16" l="1"/>
  <c r="B59" i="16"/>
  <c r="G59" i="16" s="1"/>
  <c r="H59" i="16" s="1"/>
  <c r="H59" i="17"/>
  <c r="B60" i="17"/>
  <c r="A60" i="16"/>
  <c r="K60" i="2"/>
  <c r="A61" i="17" s="1"/>
  <c r="C61" i="17" s="1"/>
  <c r="D61" i="17" s="1"/>
  <c r="O15" i="2"/>
  <c r="K61" i="2" a="1"/>
  <c r="I59" i="16" l="1"/>
  <c r="B60" i="16"/>
  <c r="G60" i="16" s="1"/>
  <c r="H60" i="16" s="1"/>
  <c r="H60" i="17"/>
  <c r="B61" i="17"/>
  <c r="A61" i="16"/>
  <c r="K61" i="2"/>
  <c r="A62" i="17" s="1"/>
  <c r="C62" i="17" s="1"/>
  <c r="D62" i="17" s="1"/>
  <c r="A11" i="15"/>
  <c r="H12" i="14" s="1"/>
  <c r="O16" i="2" a="1"/>
  <c r="K62" i="2" a="1"/>
  <c r="I60" i="16" l="1"/>
  <c r="B61" i="16"/>
  <c r="G61" i="16" s="1"/>
  <c r="H61" i="16" s="1"/>
  <c r="H61" i="17"/>
  <c r="B62" i="17"/>
  <c r="A62" i="16"/>
  <c r="K62" i="2"/>
  <c r="A63" i="17" s="1"/>
  <c r="C63" i="17" s="1"/>
  <c r="D63" i="17" s="1"/>
  <c r="O16" i="2"/>
  <c r="K63" i="2" a="1"/>
  <c r="I61" i="16" l="1"/>
  <c r="B62" i="16"/>
  <c r="G62" i="16" s="1"/>
  <c r="H62" i="16" s="1"/>
  <c r="H62" i="17"/>
  <c r="B63" i="17"/>
  <c r="A63" i="16"/>
  <c r="K63" i="2"/>
  <c r="A64" i="17" s="1"/>
  <c r="C64" i="17" s="1"/>
  <c r="D64" i="17" s="1"/>
  <c r="A12" i="15"/>
  <c r="H13" i="14" s="1"/>
  <c r="K64" i="2" a="1"/>
  <c r="O17" i="2" a="1"/>
  <c r="I62" i="16" l="1"/>
  <c r="B63" i="16"/>
  <c r="G63" i="16" s="1"/>
  <c r="H63" i="16" s="1"/>
  <c r="H63" i="17"/>
  <c r="B64" i="17"/>
  <c r="A64" i="16"/>
  <c r="K64" i="2"/>
  <c r="A65" i="17" s="1"/>
  <c r="C65" i="17" s="1"/>
  <c r="D65" i="17" s="1"/>
  <c r="O17" i="2"/>
  <c r="K65" i="2" a="1"/>
  <c r="I63" i="16" l="1"/>
  <c r="B64" i="16"/>
  <c r="G64" i="16" s="1"/>
  <c r="H64" i="16" s="1"/>
  <c r="H64" i="17"/>
  <c r="B65" i="17"/>
  <c r="A65" i="16"/>
  <c r="K65" i="2"/>
  <c r="A66" i="17" s="1"/>
  <c r="C66" i="17" s="1"/>
  <c r="D66" i="17" s="1"/>
  <c r="A13" i="15"/>
  <c r="H14" i="14" s="1"/>
  <c r="O18" i="2" a="1"/>
  <c r="K66" i="2" a="1"/>
  <c r="I64" i="16" l="1"/>
  <c r="B65" i="16"/>
  <c r="G65" i="16" s="1"/>
  <c r="H65" i="16" s="1"/>
  <c r="H65" i="17"/>
  <c r="B66" i="17"/>
  <c r="A66" i="16"/>
  <c r="K66" i="2"/>
  <c r="A67" i="17" s="1"/>
  <c r="C67" i="17" s="1"/>
  <c r="D67" i="17" s="1"/>
  <c r="O18" i="2"/>
  <c r="K67" i="2" a="1"/>
  <c r="I65" i="16" l="1"/>
  <c r="B66" i="16"/>
  <c r="G66" i="16" s="1"/>
  <c r="H66" i="16" s="1"/>
  <c r="H66" i="17"/>
  <c r="B67" i="17"/>
  <c r="A67" i="16"/>
  <c r="K67" i="2"/>
  <c r="A68" i="17" s="1"/>
  <c r="C68" i="17" s="1"/>
  <c r="D68" i="17" s="1"/>
  <c r="A14" i="15"/>
  <c r="H15" i="14" s="1"/>
  <c r="O19" i="2" a="1"/>
  <c r="K68" i="2" a="1"/>
  <c r="I66" i="16" l="1"/>
  <c r="B67" i="16"/>
  <c r="G67" i="16" s="1"/>
  <c r="H67" i="16" s="1"/>
  <c r="H67" i="17"/>
  <c r="B68" i="17"/>
  <c r="A68" i="16"/>
  <c r="K68" i="2"/>
  <c r="A69" i="17" s="1"/>
  <c r="C69" i="17" s="1"/>
  <c r="D69" i="17" s="1"/>
  <c r="O19" i="2"/>
  <c r="K69" i="2" a="1"/>
  <c r="I67" i="16" l="1"/>
  <c r="B68" i="16"/>
  <c r="G68" i="16" s="1"/>
  <c r="H68" i="16" s="1"/>
  <c r="H68" i="17"/>
  <c r="B69" i="17"/>
  <c r="A69" i="16"/>
  <c r="K69" i="2"/>
  <c r="A70" i="17" s="1"/>
  <c r="C70" i="17" s="1"/>
  <c r="D70" i="17" s="1"/>
  <c r="A15" i="15"/>
  <c r="H16" i="14" s="1"/>
  <c r="K70" i="2" a="1"/>
  <c r="O20" i="2" a="1"/>
  <c r="I68" i="16" l="1"/>
  <c r="B69" i="16"/>
  <c r="G69" i="16" s="1"/>
  <c r="H69" i="16" s="1"/>
  <c r="H69" i="17"/>
  <c r="B70" i="17"/>
  <c r="A70" i="16"/>
  <c r="K70" i="2"/>
  <c r="A71" i="17" s="1"/>
  <c r="C71" i="17" s="1"/>
  <c r="D71" i="17" s="1"/>
  <c r="O20" i="2"/>
  <c r="K71" i="2" a="1"/>
  <c r="I69" i="16" l="1"/>
  <c r="B70" i="16"/>
  <c r="G70" i="16" s="1"/>
  <c r="H70" i="16" s="1"/>
  <c r="H70" i="17"/>
  <c r="B71" i="17"/>
  <c r="A71" i="16"/>
  <c r="K71" i="2"/>
  <c r="A72" i="17" s="1"/>
  <c r="C72" i="17" s="1"/>
  <c r="D72" i="17" s="1"/>
  <c r="A16" i="15"/>
  <c r="H17" i="14" s="1"/>
  <c r="K72" i="2" a="1"/>
  <c r="O21" i="2" a="1"/>
  <c r="I70" i="16" l="1"/>
  <c r="B71" i="16"/>
  <c r="G71" i="16" s="1"/>
  <c r="H71" i="16" s="1"/>
  <c r="H71" i="17"/>
  <c r="B72" i="17"/>
  <c r="A72" i="16"/>
  <c r="K72" i="2"/>
  <c r="A73" i="17" s="1"/>
  <c r="C73" i="17" s="1"/>
  <c r="D73" i="17" s="1"/>
  <c r="O21" i="2"/>
  <c r="K73" i="2" a="1"/>
  <c r="I71" i="16" l="1"/>
  <c r="B72" i="16"/>
  <c r="G72" i="16" s="1"/>
  <c r="H72" i="16" s="1"/>
  <c r="H72" i="17"/>
  <c r="B73" i="17"/>
  <c r="A73" i="16"/>
  <c r="K73" i="2"/>
  <c r="A74" i="17" s="1"/>
  <c r="C74" i="17" s="1"/>
  <c r="D74" i="17" s="1"/>
  <c r="A17" i="15"/>
  <c r="H18" i="14" s="1"/>
  <c r="O22" i="2" a="1"/>
  <c r="K74" i="2" a="1"/>
  <c r="I72" i="16" l="1"/>
  <c r="B73" i="16"/>
  <c r="G73" i="16" s="1"/>
  <c r="H73" i="16" s="1"/>
  <c r="H73" i="17"/>
  <c r="B74" i="17"/>
  <c r="A74" i="16"/>
  <c r="K74" i="2"/>
  <c r="A75" i="17" s="1"/>
  <c r="C75" i="17" s="1"/>
  <c r="D75" i="17" s="1"/>
  <c r="O22" i="2"/>
  <c r="K75" i="2" a="1"/>
  <c r="I73" i="16" l="1"/>
  <c r="B74" i="16"/>
  <c r="G74" i="16" s="1"/>
  <c r="H74" i="16" s="1"/>
  <c r="H74" i="17"/>
  <c r="B75" i="17"/>
  <c r="A75" i="16"/>
  <c r="K75" i="2"/>
  <c r="A76" i="17" s="1"/>
  <c r="C76" i="17" s="1"/>
  <c r="D76" i="17" s="1"/>
  <c r="A18" i="15"/>
  <c r="H19" i="14" s="1"/>
  <c r="K76" i="2" a="1"/>
  <c r="O23" i="2" a="1"/>
  <c r="B75" i="16" l="1"/>
  <c r="G75" i="16" s="1"/>
  <c r="H75" i="16" s="1"/>
  <c r="I74" i="16"/>
  <c r="H75" i="17"/>
  <c r="B76" i="17"/>
  <c r="A76" i="16"/>
  <c r="K76" i="2"/>
  <c r="A77" i="17" s="1"/>
  <c r="C77" i="17" s="1"/>
  <c r="D77" i="17" s="1"/>
  <c r="O23" i="2"/>
  <c r="K77" i="2" a="1"/>
  <c r="I75" i="16" l="1"/>
  <c r="B76" i="16"/>
  <c r="G76" i="16" s="1"/>
  <c r="H76" i="16" s="1"/>
  <c r="H76" i="17"/>
  <c r="B77" i="17"/>
  <c r="A77" i="16"/>
  <c r="K77" i="2"/>
  <c r="A78" i="17" s="1"/>
  <c r="C78" i="17" s="1"/>
  <c r="D78" i="17" s="1"/>
  <c r="A19" i="15"/>
  <c r="H20" i="14" s="1"/>
  <c r="O24" i="2" a="1"/>
  <c r="K78" i="2" a="1"/>
  <c r="B77" i="16" l="1"/>
  <c r="G77" i="16" s="1"/>
  <c r="H77" i="16" s="1"/>
  <c r="I76" i="16"/>
  <c r="H77" i="17"/>
  <c r="B78" i="17"/>
  <c r="A78" i="16"/>
  <c r="K78" i="2"/>
  <c r="A79" i="17" s="1"/>
  <c r="C79" i="17" s="1"/>
  <c r="D79" i="17" s="1"/>
  <c r="O24" i="2"/>
  <c r="K79" i="2" a="1"/>
  <c r="I77" i="16" l="1"/>
  <c r="B78" i="16"/>
  <c r="G78" i="16" s="1"/>
  <c r="H78" i="16" s="1"/>
  <c r="H78" i="17"/>
  <c r="B79" i="17"/>
  <c r="A79" i="16"/>
  <c r="K79" i="2"/>
  <c r="A80" i="17" s="1"/>
  <c r="C80" i="17" s="1"/>
  <c r="D80" i="17" s="1"/>
  <c r="A20" i="15"/>
  <c r="H21" i="14" s="1"/>
  <c r="K80" i="2" a="1"/>
  <c r="O25" i="2" a="1"/>
  <c r="I78" i="16" l="1"/>
  <c r="B79" i="16"/>
  <c r="G79" i="16" s="1"/>
  <c r="H79" i="16" s="1"/>
  <c r="H79" i="17"/>
  <c r="B80" i="17"/>
  <c r="A80" i="16"/>
  <c r="K80" i="2"/>
  <c r="A81" i="17" s="1"/>
  <c r="C81" i="17" s="1"/>
  <c r="D81" i="17" s="1"/>
  <c r="O25" i="2"/>
  <c r="K81" i="2" a="1"/>
  <c r="I79" i="16" l="1"/>
  <c r="B80" i="16"/>
  <c r="G80" i="16" s="1"/>
  <c r="H80" i="16" s="1"/>
  <c r="H80" i="17"/>
  <c r="B81" i="17"/>
  <c r="A81" i="16"/>
  <c r="K81" i="2"/>
  <c r="A82" i="17" s="1"/>
  <c r="C82" i="17" s="1"/>
  <c r="D82" i="17" s="1"/>
  <c r="A21" i="15"/>
  <c r="H22" i="14" s="1"/>
  <c r="K82" i="2" a="1"/>
  <c r="O26" i="2" a="1"/>
  <c r="I80" i="16" l="1"/>
  <c r="B81" i="16"/>
  <c r="G81" i="16" s="1"/>
  <c r="H81" i="16" s="1"/>
  <c r="H81" i="17"/>
  <c r="B82" i="17"/>
  <c r="A82" i="16"/>
  <c r="K82" i="2"/>
  <c r="A83" i="17" s="1"/>
  <c r="C83" i="17" s="1"/>
  <c r="D83" i="17" s="1"/>
  <c r="O26" i="2"/>
  <c r="K83" i="2" a="1"/>
  <c r="B82" i="16" l="1"/>
  <c r="G82" i="16" s="1"/>
  <c r="H82" i="16" s="1"/>
  <c r="I81" i="16"/>
  <c r="H82" i="17"/>
  <c r="B83" i="17"/>
  <c r="A83" i="16"/>
  <c r="K83" i="2"/>
  <c r="A84" i="17" s="1"/>
  <c r="C84" i="17" s="1"/>
  <c r="D84" i="17" s="1"/>
  <c r="A22" i="15"/>
  <c r="H23" i="14" s="1"/>
  <c r="O27" i="2" a="1"/>
  <c r="K84" i="2" a="1"/>
  <c r="I82" i="16" l="1"/>
  <c r="B83" i="16"/>
  <c r="G83" i="16" s="1"/>
  <c r="H83" i="16" s="1"/>
  <c r="H83" i="17"/>
  <c r="B84" i="17"/>
  <c r="A84" i="16"/>
  <c r="K84" i="2"/>
  <c r="A85" i="17" s="1"/>
  <c r="C85" i="17" s="1"/>
  <c r="D85" i="17" s="1"/>
  <c r="O27" i="2"/>
  <c r="K85" i="2" a="1"/>
  <c r="I83" i="16" l="1"/>
  <c r="B84" i="16"/>
  <c r="G84" i="16" s="1"/>
  <c r="H84" i="16" s="1"/>
  <c r="H84" i="17"/>
  <c r="B85" i="17"/>
  <c r="A85" i="16"/>
  <c r="K85" i="2"/>
  <c r="A86" i="17" s="1"/>
  <c r="C86" i="17" s="1"/>
  <c r="D86" i="17" s="1"/>
  <c r="A23" i="15"/>
  <c r="H24" i="14" s="1"/>
  <c r="O28" i="2" a="1"/>
  <c r="K86" i="2" a="1"/>
  <c r="I84" i="16" l="1"/>
  <c r="B85" i="16"/>
  <c r="G85" i="16" s="1"/>
  <c r="H85" i="16" s="1"/>
  <c r="H85" i="17"/>
  <c r="B86" i="17"/>
  <c r="A86" i="16"/>
  <c r="K86" i="2"/>
  <c r="A87" i="17" s="1"/>
  <c r="C87" i="17" s="1"/>
  <c r="D87" i="17" s="1"/>
  <c r="O28" i="2"/>
  <c r="K87" i="2" a="1"/>
  <c r="B86" i="16" l="1"/>
  <c r="G86" i="16" s="1"/>
  <c r="H86" i="16" s="1"/>
  <c r="I85" i="16"/>
  <c r="H86" i="17"/>
  <c r="B87" i="17"/>
  <c r="A87" i="16"/>
  <c r="K87" i="2"/>
  <c r="A88" i="17" s="1"/>
  <c r="C88" i="17" s="1"/>
  <c r="D88" i="17" s="1"/>
  <c r="A24" i="15"/>
  <c r="H25" i="14" s="1"/>
  <c r="O29" i="2" a="1"/>
  <c r="K88" i="2" a="1"/>
  <c r="I86" i="16" l="1"/>
  <c r="B87" i="16"/>
  <c r="G87" i="16" s="1"/>
  <c r="H87" i="16" s="1"/>
  <c r="H87" i="17"/>
  <c r="B88" i="17"/>
  <c r="A88" i="16"/>
  <c r="K88" i="2"/>
  <c r="A89" i="17" s="1"/>
  <c r="C89" i="17" s="1"/>
  <c r="D89" i="17" s="1"/>
  <c r="O29" i="2"/>
  <c r="K89" i="2" a="1"/>
  <c r="I87" i="16" l="1"/>
  <c r="B88" i="16"/>
  <c r="G88" i="16" s="1"/>
  <c r="H88" i="16" s="1"/>
  <c r="H88" i="17"/>
  <c r="B89" i="17"/>
  <c r="A89" i="16"/>
  <c r="K89" i="2"/>
  <c r="A90" i="17" s="1"/>
  <c r="C90" i="17" s="1"/>
  <c r="D90" i="17" s="1"/>
  <c r="A25" i="15"/>
  <c r="H26" i="14" s="1"/>
  <c r="K90" i="2" a="1"/>
  <c r="O30" i="2" a="1"/>
  <c r="I88" i="16" l="1"/>
  <c r="B89" i="16"/>
  <c r="G89" i="16" s="1"/>
  <c r="H89" i="16" s="1"/>
  <c r="H89" i="17"/>
  <c r="B90" i="17"/>
  <c r="A90" i="16"/>
  <c r="K90" i="2"/>
  <c r="A91" i="17" s="1"/>
  <c r="C91" i="17" s="1"/>
  <c r="D91" i="17" s="1"/>
  <c r="O30" i="2"/>
  <c r="K91" i="2" a="1"/>
  <c r="I89" i="16" l="1"/>
  <c r="B90" i="16"/>
  <c r="G90" i="16" s="1"/>
  <c r="H90" i="16" s="1"/>
  <c r="H90" i="17"/>
  <c r="B91" i="17"/>
  <c r="A91" i="16"/>
  <c r="K91" i="2"/>
  <c r="A92" i="17" s="1"/>
  <c r="C92" i="17" s="1"/>
  <c r="D92" i="17" s="1"/>
  <c r="A26" i="15"/>
  <c r="H27" i="14" s="1"/>
  <c r="O31" i="2" a="1"/>
  <c r="K92" i="2" a="1"/>
  <c r="I90" i="16" l="1"/>
  <c r="B91" i="16"/>
  <c r="G91" i="16" s="1"/>
  <c r="H91" i="16" s="1"/>
  <c r="H91" i="17"/>
  <c r="B92" i="17"/>
  <c r="A92" i="16"/>
  <c r="K92" i="2"/>
  <c r="A93" i="17" s="1"/>
  <c r="C93" i="17" s="1"/>
  <c r="D93" i="17" s="1"/>
  <c r="O31" i="2"/>
  <c r="K93" i="2" a="1"/>
  <c r="I91" i="16" l="1"/>
  <c r="B92" i="16"/>
  <c r="G92" i="16" s="1"/>
  <c r="H92" i="16" s="1"/>
  <c r="H92" i="17"/>
  <c r="B93" i="17"/>
  <c r="A93" i="16"/>
  <c r="K93" i="2"/>
  <c r="A94" i="17" s="1"/>
  <c r="C94" i="17" s="1"/>
  <c r="D94" i="17" s="1"/>
  <c r="A27" i="15"/>
  <c r="H28" i="14" s="1"/>
  <c r="O32" i="2" a="1"/>
  <c r="K94" i="2" a="1"/>
  <c r="I92" i="16" l="1"/>
  <c r="B93" i="16"/>
  <c r="G93" i="16" s="1"/>
  <c r="H93" i="16" s="1"/>
  <c r="H93" i="17"/>
  <c r="B94" i="17"/>
  <c r="A94" i="16"/>
  <c r="K94" i="2"/>
  <c r="A95" i="17" s="1"/>
  <c r="C95" i="17" s="1"/>
  <c r="D95" i="17" s="1"/>
  <c r="O32" i="2"/>
  <c r="K95" i="2" a="1"/>
  <c r="I93" i="16" l="1"/>
  <c r="B94" i="16"/>
  <c r="G94" i="16" s="1"/>
  <c r="H94" i="16" s="1"/>
  <c r="H94" i="17"/>
  <c r="B95" i="17"/>
  <c r="A95" i="16"/>
  <c r="K95" i="2"/>
  <c r="A96" i="17" s="1"/>
  <c r="C96" i="17" s="1"/>
  <c r="D96" i="17" s="1"/>
  <c r="A28" i="15"/>
  <c r="H29" i="14" s="1"/>
  <c r="O33" i="2" a="1"/>
  <c r="K96" i="2" a="1"/>
  <c r="I94" i="16" l="1"/>
  <c r="B95" i="16"/>
  <c r="G95" i="16" s="1"/>
  <c r="H95" i="16" s="1"/>
  <c r="H95" i="17"/>
  <c r="B96" i="17"/>
  <c r="A96" i="16"/>
  <c r="K96" i="2"/>
  <c r="A97" i="17" s="1"/>
  <c r="C97" i="17" s="1"/>
  <c r="D97" i="17" s="1"/>
  <c r="O33" i="2"/>
  <c r="K97" i="2" a="1"/>
  <c r="B96" i="16" l="1"/>
  <c r="G96" i="16" s="1"/>
  <c r="H96" i="16" s="1"/>
  <c r="I95" i="16"/>
  <c r="H96" i="17"/>
  <c r="B97" i="17"/>
  <c r="A97" i="16"/>
  <c r="K97" i="2"/>
  <c r="A98" i="17" s="1"/>
  <c r="C98" i="17" s="1"/>
  <c r="D98" i="17" s="1"/>
  <c r="A29" i="15"/>
  <c r="H30" i="14" s="1"/>
  <c r="K98" i="2" a="1"/>
  <c r="O34" i="2" a="1"/>
  <c r="I96" i="16" l="1"/>
  <c r="B97" i="16"/>
  <c r="G97" i="16" s="1"/>
  <c r="H97" i="16" s="1"/>
  <c r="H97" i="17"/>
  <c r="B98" i="17"/>
  <c r="A98" i="16"/>
  <c r="K98" i="2"/>
  <c r="A99" i="17" s="1"/>
  <c r="C99" i="17" s="1"/>
  <c r="D99" i="17" s="1"/>
  <c r="O34" i="2"/>
  <c r="K99" i="2" a="1"/>
  <c r="I97" i="16" l="1"/>
  <c r="B98" i="16"/>
  <c r="G98" i="16" s="1"/>
  <c r="H98" i="16" s="1"/>
  <c r="H98" i="17"/>
  <c r="B99" i="17"/>
  <c r="A99" i="16"/>
  <c r="K99" i="2"/>
  <c r="A100" i="17" s="1"/>
  <c r="C100" i="17" s="1"/>
  <c r="D100" i="17" s="1"/>
  <c r="M9" i="4" s="1"/>
  <c r="A30" i="15"/>
  <c r="H31" i="14" s="1"/>
  <c r="O35" i="2" a="1"/>
  <c r="K100" i="2" a="1"/>
  <c r="B99" i="16" l="1"/>
  <c r="G99" i="16" s="1"/>
  <c r="H99" i="16" s="1"/>
  <c r="I98" i="16"/>
  <c r="K10" i="1"/>
  <c r="K11" i="1"/>
  <c r="M10" i="4"/>
  <c r="H99" i="17"/>
  <c r="B100" i="17"/>
  <c r="A100" i="16"/>
  <c r="L98" i="4" s="1"/>
  <c r="K100" i="2"/>
  <c r="O35" i="2"/>
  <c r="L94" i="4" l="1"/>
  <c r="N94" i="4" s="1"/>
  <c r="L95" i="4"/>
  <c r="N95" i="4" s="1"/>
  <c r="L96" i="4"/>
  <c r="AU96" i="2" s="1"/>
  <c r="L97" i="4"/>
  <c r="L92" i="4"/>
  <c r="N92" i="4" s="1"/>
  <c r="J95" i="1"/>
  <c r="I99" i="16"/>
  <c r="J98" i="1"/>
  <c r="J96" i="1"/>
  <c r="J97" i="1"/>
  <c r="J99" i="1"/>
  <c r="H100" i="17"/>
  <c r="H101" i="17" s="1"/>
  <c r="R11" i="7" s="1"/>
  <c r="B100" i="16"/>
  <c r="G100" i="16" s="1"/>
  <c r="L9" i="4" s="1"/>
  <c r="A31" i="15"/>
  <c r="H32" i="14" s="1"/>
  <c r="O36" i="2" a="1"/>
  <c r="N96" i="4" l="1"/>
  <c r="U96" i="4" s="1"/>
  <c r="J10" i="1"/>
  <c r="AT9" i="2" s="1"/>
  <c r="J11" i="1"/>
  <c r="L11" i="1" s="1"/>
  <c r="S11" i="1" s="1"/>
  <c r="L10" i="4"/>
  <c r="N10" i="4" s="1"/>
  <c r="U10" i="4" s="1"/>
  <c r="L11" i="4"/>
  <c r="N11" i="4" s="1"/>
  <c r="L12" i="4"/>
  <c r="N12" i="4" s="1"/>
  <c r="U12" i="4" s="1"/>
  <c r="L13" i="4"/>
  <c r="N13" i="4" s="1"/>
  <c r="V13" i="2" s="1"/>
  <c r="L14" i="4"/>
  <c r="N14" i="4" s="1"/>
  <c r="L15" i="4"/>
  <c r="N15" i="4" s="1"/>
  <c r="U15" i="4" s="1"/>
  <c r="L16" i="4"/>
  <c r="N16" i="4" s="1"/>
  <c r="U16" i="4" s="1"/>
  <c r="L19" i="4"/>
  <c r="N19" i="4" s="1"/>
  <c r="L17" i="4"/>
  <c r="N17" i="4" s="1"/>
  <c r="L18" i="4"/>
  <c r="N18" i="4" s="1"/>
  <c r="U18" i="4" s="1"/>
  <c r="L20" i="4"/>
  <c r="N20" i="4" s="1"/>
  <c r="U20" i="4" s="1"/>
  <c r="L21" i="4"/>
  <c r="N21" i="4" s="1"/>
  <c r="U21" i="4" s="1"/>
  <c r="L22" i="4"/>
  <c r="AU22" i="2" s="1"/>
  <c r="L23" i="4"/>
  <c r="N23" i="4" s="1"/>
  <c r="U23" i="4" s="1"/>
  <c r="L24" i="4"/>
  <c r="N24" i="4" s="1"/>
  <c r="U24" i="4" s="1"/>
  <c r="L25" i="4"/>
  <c r="N25" i="4" s="1"/>
  <c r="U25" i="4" s="1"/>
  <c r="L26" i="4"/>
  <c r="AU26" i="2" s="1"/>
  <c r="L27" i="4"/>
  <c r="N27" i="4" s="1"/>
  <c r="L28" i="4"/>
  <c r="N28" i="4" s="1"/>
  <c r="L30" i="4"/>
  <c r="N30" i="4" s="1"/>
  <c r="L29" i="4"/>
  <c r="N29" i="4" s="1"/>
  <c r="U29" i="4" s="1"/>
  <c r="L31" i="4"/>
  <c r="N31" i="4" s="1"/>
  <c r="L32" i="4"/>
  <c r="N32" i="4" s="1"/>
  <c r="U32" i="4" s="1"/>
  <c r="L33" i="4"/>
  <c r="N33" i="4" s="1"/>
  <c r="U33" i="4" s="1"/>
  <c r="L35" i="4"/>
  <c r="N35" i="4" s="1"/>
  <c r="U35" i="4" s="1"/>
  <c r="L34" i="4"/>
  <c r="L36" i="4"/>
  <c r="N36" i="4" s="1"/>
  <c r="U36" i="4" s="1"/>
  <c r="L38" i="4"/>
  <c r="N38" i="4" s="1"/>
  <c r="L37" i="4"/>
  <c r="AU37" i="2" s="1"/>
  <c r="L40" i="4"/>
  <c r="N40" i="4" s="1"/>
  <c r="L39" i="4"/>
  <c r="N39" i="4" s="1"/>
  <c r="L42" i="4"/>
  <c r="N42" i="4" s="1"/>
  <c r="L41" i="4"/>
  <c r="N41" i="4" s="1"/>
  <c r="U41" i="4" s="1"/>
  <c r="L43" i="4"/>
  <c r="N43" i="4" s="1"/>
  <c r="U43" i="4" s="1"/>
  <c r="L44" i="4"/>
  <c r="N44" i="4" s="1"/>
  <c r="U44" i="4" s="1"/>
  <c r="L45" i="4"/>
  <c r="N45" i="4" s="1"/>
  <c r="U45" i="4" s="1"/>
  <c r="L46" i="4"/>
  <c r="N46" i="4" s="1"/>
  <c r="U46" i="4" s="1"/>
  <c r="L48" i="4"/>
  <c r="N48" i="4" s="1"/>
  <c r="U48" i="4" s="1"/>
  <c r="L47" i="4"/>
  <c r="N47" i="4" s="1"/>
  <c r="U47" i="4" s="1"/>
  <c r="L49" i="4"/>
  <c r="N49" i="4" s="1"/>
  <c r="V49" i="2" s="1"/>
  <c r="L50" i="4"/>
  <c r="N50" i="4" s="1"/>
  <c r="L51" i="4"/>
  <c r="N51" i="4" s="1"/>
  <c r="U51" i="4" s="1"/>
  <c r="L52" i="4"/>
  <c r="N52" i="4" s="1"/>
  <c r="L53" i="4"/>
  <c r="N53" i="4" s="1"/>
  <c r="U53" i="4" s="1"/>
  <c r="L54" i="4"/>
  <c r="N54" i="4" s="1"/>
  <c r="U54" i="4" s="1"/>
  <c r="L55" i="4"/>
  <c r="N55" i="4" s="1"/>
  <c r="L56" i="4"/>
  <c r="N56" i="4" s="1"/>
  <c r="L57" i="4"/>
  <c r="N57" i="4" s="1"/>
  <c r="L58" i="4"/>
  <c r="AU58" i="2" s="1"/>
  <c r="L59" i="4"/>
  <c r="N59" i="4" s="1"/>
  <c r="L60" i="4"/>
  <c r="N60" i="4" s="1"/>
  <c r="L61" i="4"/>
  <c r="N61" i="4" s="1"/>
  <c r="U61" i="4" s="1"/>
  <c r="L62" i="4"/>
  <c r="N62" i="4" s="1"/>
  <c r="U62" i="4" s="1"/>
  <c r="L63" i="4"/>
  <c r="AU63" i="2" s="1"/>
  <c r="L64" i="4"/>
  <c r="N64" i="4" s="1"/>
  <c r="L65" i="4"/>
  <c r="N65" i="4" s="1"/>
  <c r="L66" i="4"/>
  <c r="N66" i="4" s="1"/>
  <c r="U66" i="4" s="1"/>
  <c r="L67" i="4"/>
  <c r="AU67" i="2" s="1"/>
  <c r="L68" i="4"/>
  <c r="N68" i="4" s="1"/>
  <c r="L69" i="4"/>
  <c r="AU69" i="2" s="1"/>
  <c r="L70" i="4"/>
  <c r="N70" i="4" s="1"/>
  <c r="U70" i="4" s="1"/>
  <c r="L71" i="4"/>
  <c r="N71" i="4" s="1"/>
  <c r="U71" i="4" s="1"/>
  <c r="L72" i="4"/>
  <c r="N72" i="4" s="1"/>
  <c r="L73" i="4"/>
  <c r="N73" i="4" s="1"/>
  <c r="U73" i="4" s="1"/>
  <c r="L74" i="4"/>
  <c r="N74" i="4" s="1"/>
  <c r="L75" i="4"/>
  <c r="N75" i="4" s="1"/>
  <c r="U75" i="4" s="1"/>
  <c r="L76" i="4"/>
  <c r="N76" i="4" s="1"/>
  <c r="U76" i="4" s="1"/>
  <c r="L77" i="4"/>
  <c r="AU77" i="2" s="1"/>
  <c r="L78" i="4"/>
  <c r="N78" i="4" s="1"/>
  <c r="L79" i="4"/>
  <c r="N79" i="4" s="1"/>
  <c r="U79" i="4" s="1"/>
  <c r="L80" i="4"/>
  <c r="N80" i="4" s="1"/>
  <c r="U80" i="4" s="1"/>
  <c r="L82" i="4"/>
  <c r="AU82" i="2" s="1"/>
  <c r="L81" i="4"/>
  <c r="N81" i="4" s="1"/>
  <c r="U81" i="4" s="1"/>
  <c r="L84" i="4"/>
  <c r="N84" i="4" s="1"/>
  <c r="U84" i="4" s="1"/>
  <c r="L83" i="4"/>
  <c r="N83" i="4" s="1"/>
  <c r="L85" i="4"/>
  <c r="N85" i="4" s="1"/>
  <c r="U85" i="4" s="1"/>
  <c r="L86" i="4"/>
  <c r="AU86" i="2" s="1"/>
  <c r="L87" i="4"/>
  <c r="N87" i="4" s="1"/>
  <c r="L89" i="4"/>
  <c r="N89" i="4" s="1"/>
  <c r="L90" i="4"/>
  <c r="N90" i="4" s="1"/>
  <c r="U90" i="4" s="1"/>
  <c r="L91" i="4"/>
  <c r="AU91" i="2" s="1"/>
  <c r="L88" i="4"/>
  <c r="N88" i="4" s="1"/>
  <c r="L93" i="4"/>
  <c r="N93" i="4" s="1"/>
  <c r="U93" i="4" s="1"/>
  <c r="H100" i="16"/>
  <c r="H101" i="16" s="1"/>
  <c r="J12" i="1"/>
  <c r="L12" i="1" s="1"/>
  <c r="J14" i="1"/>
  <c r="L14" i="1" s="1"/>
  <c r="J13" i="1"/>
  <c r="AT12" i="2" s="1"/>
  <c r="J16" i="1"/>
  <c r="AT15" i="2" s="1"/>
  <c r="J15" i="1"/>
  <c r="L15" i="1" s="1"/>
  <c r="J17" i="1"/>
  <c r="AT16" i="2" s="1"/>
  <c r="J18" i="1"/>
  <c r="AT17" i="2" s="1"/>
  <c r="J19" i="1"/>
  <c r="AT18" i="2" s="1"/>
  <c r="J21" i="1"/>
  <c r="AT20" i="2" s="1"/>
  <c r="J20" i="1"/>
  <c r="AT19" i="2" s="1"/>
  <c r="J23" i="1"/>
  <c r="L23" i="1" s="1"/>
  <c r="J22" i="1"/>
  <c r="L22" i="1" s="1"/>
  <c r="S22" i="1" s="1"/>
  <c r="J24" i="1"/>
  <c r="AT23" i="2" s="1"/>
  <c r="J25" i="1"/>
  <c r="AT24" i="2" s="1"/>
  <c r="J26" i="1"/>
  <c r="AT25" i="2" s="1"/>
  <c r="J28" i="1"/>
  <c r="AT27" i="2" s="1"/>
  <c r="J27" i="1"/>
  <c r="AT26" i="2" s="1"/>
  <c r="J29" i="1"/>
  <c r="L29" i="1" s="1"/>
  <c r="J30" i="1"/>
  <c r="L30" i="1" s="1"/>
  <c r="S30" i="1" s="1"/>
  <c r="J31" i="1"/>
  <c r="AT30" i="2" s="1"/>
  <c r="J32" i="1"/>
  <c r="AT31" i="2" s="1"/>
  <c r="J33" i="1"/>
  <c r="AT32" i="2" s="1"/>
  <c r="J34" i="1"/>
  <c r="L34" i="1" s="1"/>
  <c r="J36" i="1"/>
  <c r="AT35" i="2" s="1"/>
  <c r="J35" i="1"/>
  <c r="AT34" i="2" s="1"/>
  <c r="J37" i="1"/>
  <c r="AT36" i="2" s="1"/>
  <c r="J38" i="1"/>
  <c r="AT37" i="2" s="1"/>
  <c r="J39" i="1"/>
  <c r="L39" i="1" s="1"/>
  <c r="S39" i="1" s="1"/>
  <c r="J40" i="1"/>
  <c r="AT39" i="2" s="1"/>
  <c r="J41" i="1"/>
  <c r="L41" i="1" s="1"/>
  <c r="J42" i="1"/>
  <c r="L42" i="1" s="1"/>
  <c r="J44" i="1"/>
  <c r="L44" i="1" s="1"/>
  <c r="J43" i="1"/>
  <c r="L43" i="1" s="1"/>
  <c r="J45" i="1"/>
  <c r="AT44" i="2" s="1"/>
  <c r="J46" i="1"/>
  <c r="AT45" i="2" s="1"/>
  <c r="J47" i="1"/>
  <c r="L47" i="1" s="1"/>
  <c r="J48" i="1"/>
  <c r="L48" i="1" s="1"/>
  <c r="J50" i="1"/>
  <c r="AT49" i="2" s="1"/>
  <c r="J49" i="1"/>
  <c r="L49" i="1" s="1"/>
  <c r="J51" i="1"/>
  <c r="AT50" i="2" s="1"/>
  <c r="J53" i="1"/>
  <c r="AT52" i="2" s="1"/>
  <c r="J52" i="1"/>
  <c r="AT51" i="2" s="1"/>
  <c r="J54" i="1"/>
  <c r="AT53" i="2" s="1"/>
  <c r="J55" i="1"/>
  <c r="AT54" i="2" s="1"/>
  <c r="J56" i="1"/>
  <c r="AT55" i="2" s="1"/>
  <c r="J57" i="1"/>
  <c r="AT56" i="2" s="1"/>
  <c r="J58" i="1"/>
  <c r="L58" i="1" s="1"/>
  <c r="J59" i="1"/>
  <c r="L59" i="1" s="1"/>
  <c r="J60" i="1"/>
  <c r="AT59" i="2" s="1"/>
  <c r="J61" i="1"/>
  <c r="L61" i="1" s="1"/>
  <c r="J62" i="1"/>
  <c r="L62" i="1" s="1"/>
  <c r="J63" i="1"/>
  <c r="AT62" i="2" s="1"/>
  <c r="J64" i="1"/>
  <c r="AT63" i="2" s="1"/>
  <c r="J65" i="1"/>
  <c r="AT64" i="2" s="1"/>
  <c r="J66" i="1"/>
  <c r="AT65" i="2" s="1"/>
  <c r="J67" i="1"/>
  <c r="AT66" i="2" s="1"/>
  <c r="J68" i="1"/>
  <c r="L68" i="1" s="1"/>
  <c r="S68" i="1" s="1"/>
  <c r="J69" i="1"/>
  <c r="AT68" i="2" s="1"/>
  <c r="J70" i="1"/>
  <c r="AT69" i="2" s="1"/>
  <c r="J71" i="1"/>
  <c r="AT70" i="2" s="1"/>
  <c r="J72" i="1"/>
  <c r="AT71" i="2" s="1"/>
  <c r="J73" i="1"/>
  <c r="AT72" i="2" s="1"/>
  <c r="J74" i="1"/>
  <c r="AT73" i="2" s="1"/>
  <c r="J75" i="1"/>
  <c r="L75" i="1" s="1"/>
  <c r="S75" i="1" s="1"/>
  <c r="J76" i="1"/>
  <c r="AT75" i="2" s="1"/>
  <c r="J77" i="1"/>
  <c r="AT76" i="2" s="1"/>
  <c r="J78" i="1"/>
  <c r="L78" i="1" s="1"/>
  <c r="J79" i="1"/>
  <c r="AT78" i="2" s="1"/>
  <c r="J80" i="1"/>
  <c r="L80" i="1" s="1"/>
  <c r="J81" i="1"/>
  <c r="AT80" i="2" s="1"/>
  <c r="J82" i="1"/>
  <c r="AT81" i="2" s="1"/>
  <c r="J83" i="1"/>
  <c r="AT82" i="2" s="1"/>
  <c r="J84" i="1"/>
  <c r="AT83" i="2" s="1"/>
  <c r="J85" i="1"/>
  <c r="L85" i="1" s="1"/>
  <c r="J86" i="1"/>
  <c r="L86" i="1" s="1"/>
  <c r="S86" i="1" s="1"/>
  <c r="J87" i="1"/>
  <c r="AT86" i="2" s="1"/>
  <c r="J88" i="1"/>
  <c r="L88" i="1" s="1"/>
  <c r="J89" i="1"/>
  <c r="L89" i="1" s="1"/>
  <c r="J90" i="1"/>
  <c r="AT89" i="2" s="1"/>
  <c r="J91" i="1"/>
  <c r="AT90" i="2" s="1"/>
  <c r="J92" i="1"/>
  <c r="L92" i="1" s="1"/>
  <c r="J93" i="1"/>
  <c r="AT92" i="2" s="1"/>
  <c r="J94" i="1"/>
  <c r="AT93" i="2" s="1"/>
  <c r="D14" i="14"/>
  <c r="E14" i="14" s="1"/>
  <c r="F15" i="7"/>
  <c r="L50" i="1"/>
  <c r="AT97" i="2"/>
  <c r="L98" i="1"/>
  <c r="AT96" i="2"/>
  <c r="L97" i="1"/>
  <c r="AT94" i="2"/>
  <c r="L95" i="1"/>
  <c r="AT98" i="2"/>
  <c r="L99" i="1"/>
  <c r="AT95" i="2"/>
  <c r="L96" i="1"/>
  <c r="N97" i="4"/>
  <c r="U97" i="4" s="1"/>
  <c r="N86" i="4"/>
  <c r="U86" i="4" s="1"/>
  <c r="N34" i="4"/>
  <c r="U34" i="4" s="1"/>
  <c r="N98" i="4"/>
  <c r="V98" i="2" s="1"/>
  <c r="N9" i="4"/>
  <c r="U9" i="4" s="1"/>
  <c r="V95" i="2"/>
  <c r="U95" i="4"/>
  <c r="V95" i="4" s="1"/>
  <c r="X95" i="4" s="1"/>
  <c r="I100" i="16"/>
  <c r="I101" i="16" s="1"/>
  <c r="Q7" i="7" s="1"/>
  <c r="D22" i="14" s="1"/>
  <c r="AU98" i="2"/>
  <c r="AU95" i="2"/>
  <c r="AU97" i="2"/>
  <c r="AU55" i="2"/>
  <c r="U55" i="4"/>
  <c r="U31" i="4"/>
  <c r="AU42" i="2"/>
  <c r="U42" i="4"/>
  <c r="AU19" i="2"/>
  <c r="U72" i="4"/>
  <c r="AU59" i="2"/>
  <c r="AU71" i="2"/>
  <c r="AU94" i="2"/>
  <c r="U94" i="4"/>
  <c r="AU92" i="2"/>
  <c r="U92" i="4"/>
  <c r="AU34" i="2"/>
  <c r="AU48" i="2"/>
  <c r="AU23" i="2"/>
  <c r="AU24" i="2"/>
  <c r="AU73" i="2"/>
  <c r="AU16" i="2"/>
  <c r="AU9" i="2"/>
  <c r="O36" i="2"/>
  <c r="AT43" i="2" l="1"/>
  <c r="N77" i="4"/>
  <c r="U77" i="4" s="1"/>
  <c r="N67" i="4"/>
  <c r="U67" i="4" s="1"/>
  <c r="L27" i="1"/>
  <c r="S27" i="1" s="1"/>
  <c r="V96" i="2"/>
  <c r="AT13" i="2"/>
  <c r="AU53" i="2"/>
  <c r="AU11" i="2"/>
  <c r="L37" i="1"/>
  <c r="N82" i="4"/>
  <c r="U82" i="4" s="1"/>
  <c r="AU36" i="2"/>
  <c r="AU18" i="2"/>
  <c r="AU43" i="2"/>
  <c r="L16" i="1"/>
  <c r="AU39" i="2"/>
  <c r="AU85" i="2"/>
  <c r="AU44" i="2"/>
  <c r="AU72" i="2"/>
  <c r="AT74" i="2"/>
  <c r="AT10" i="2"/>
  <c r="AU81" i="2"/>
  <c r="AU51" i="2"/>
  <c r="AT85" i="2"/>
  <c r="AU60" i="2"/>
  <c r="L77" i="1"/>
  <c r="S77" i="1" s="1"/>
  <c r="U77" i="1" s="1"/>
  <c r="AU65" i="2"/>
  <c r="N26" i="4"/>
  <c r="U26" i="4" s="1"/>
  <c r="V26" i="4" s="1"/>
  <c r="X26" i="4" s="1"/>
  <c r="L28" i="1"/>
  <c r="S28" i="1" s="1"/>
  <c r="U28" i="1" s="1"/>
  <c r="L40" i="1"/>
  <c r="S40" i="1" s="1"/>
  <c r="T40" i="1" s="1"/>
  <c r="V40" i="1" s="1"/>
  <c r="AU61" i="2"/>
  <c r="AU90" i="2"/>
  <c r="N69" i="4"/>
  <c r="U69" i="4" s="1"/>
  <c r="Y69" i="4" s="1"/>
  <c r="AT87" i="2"/>
  <c r="L64" i="1"/>
  <c r="AT14" i="2"/>
  <c r="AU38" i="2"/>
  <c r="AU33" i="2"/>
  <c r="AU74" i="2"/>
  <c r="L53" i="1"/>
  <c r="S53" i="1" s="1"/>
  <c r="W53" i="1" s="1"/>
  <c r="AU15" i="2"/>
  <c r="AU35" i="2"/>
  <c r="AU12" i="2"/>
  <c r="AU28" i="2"/>
  <c r="AU79" i="2"/>
  <c r="N22" i="4"/>
  <c r="U22" i="4" s="1"/>
  <c r="AU57" i="2"/>
  <c r="L20" i="1"/>
  <c r="AU89" i="2"/>
  <c r="AT61" i="2"/>
  <c r="AT40" i="2"/>
  <c r="AU80" i="2"/>
  <c r="AT21" i="2"/>
  <c r="AU14" i="2"/>
  <c r="AU76" i="2"/>
  <c r="AU27" i="2"/>
  <c r="N58" i="4"/>
  <c r="U58" i="4" s="1"/>
  <c r="V58" i="4" s="1"/>
  <c r="X58" i="4" s="1"/>
  <c r="AT47" i="2"/>
  <c r="N37" i="4"/>
  <c r="U37" i="4" s="1"/>
  <c r="AT46" i="2"/>
  <c r="AT28" i="2"/>
  <c r="AU78" i="2"/>
  <c r="L36" i="1"/>
  <c r="S36" i="1" s="1"/>
  <c r="U36" i="1" s="1"/>
  <c r="AT11" i="2"/>
  <c r="L76" i="1"/>
  <c r="S76" i="1" s="1"/>
  <c r="W76" i="1" s="1"/>
  <c r="N63" i="4"/>
  <c r="V63" i="2" s="1"/>
  <c r="AT41" i="2"/>
  <c r="AT88" i="2"/>
  <c r="AU10" i="2"/>
  <c r="AU13" i="2"/>
  <c r="AU25" i="2"/>
  <c r="AU40" i="2"/>
  <c r="AU31" i="2"/>
  <c r="AT29" i="2"/>
  <c r="AT58" i="2"/>
  <c r="AT77" i="2"/>
  <c r="AT38" i="2"/>
  <c r="L51" i="1"/>
  <c r="S51" i="1" s="1"/>
  <c r="W51" i="1" s="1"/>
  <c r="AU46" i="2"/>
  <c r="AU88" i="2"/>
  <c r="L87" i="1"/>
  <c r="S87" i="1" s="1"/>
  <c r="W87" i="1" s="1"/>
  <c r="AT22" i="2"/>
  <c r="L83" i="1"/>
  <c r="S83" i="1" s="1"/>
  <c r="W83" i="1" s="1"/>
  <c r="AU49" i="2"/>
  <c r="AU45" i="2"/>
  <c r="AU83" i="2"/>
  <c r="L10" i="1"/>
  <c r="S10" i="1" s="1"/>
  <c r="T10" i="1" s="1"/>
  <c r="V10" i="1" s="1"/>
  <c r="L63" i="1"/>
  <c r="S63" i="1" s="1"/>
  <c r="T63" i="1" s="1"/>
  <c r="V63" i="1" s="1"/>
  <c r="AT79" i="2"/>
  <c r="AU62" i="2"/>
  <c r="AU21" i="2"/>
  <c r="AU50" i="2"/>
  <c r="L35" i="1"/>
  <c r="S35" i="1" s="1"/>
  <c r="T35" i="1" s="1"/>
  <c r="V35" i="1" s="1"/>
  <c r="N91" i="4"/>
  <c r="U91" i="4" s="1"/>
  <c r="V91" i="4" s="1"/>
  <c r="X91" i="4" s="1"/>
  <c r="AT42" i="2"/>
  <c r="AT91" i="2"/>
  <c r="AU17" i="2"/>
  <c r="AT67" i="2"/>
  <c r="AU41" i="2"/>
  <c r="AU75" i="2"/>
  <c r="L65" i="1"/>
  <c r="S65" i="1" s="1"/>
  <c r="T65" i="1" s="1"/>
  <c r="V65" i="1" s="1"/>
  <c r="L17" i="1"/>
  <c r="S17" i="1" s="1"/>
  <c r="T17" i="1" s="1"/>
  <c r="V17" i="1" s="1"/>
  <c r="AU70" i="2"/>
  <c r="AU87" i="2"/>
  <c r="AU30" i="2"/>
  <c r="L52" i="1"/>
  <c r="L91" i="1"/>
  <c r="L21" i="1"/>
  <c r="S21" i="1" s="1"/>
  <c r="T21" i="1" s="1"/>
  <c r="V21" i="1" s="1"/>
  <c r="AU29" i="2"/>
  <c r="AU66" i="2"/>
  <c r="AU54" i="2"/>
  <c r="L71" i="1"/>
  <c r="S71" i="1" s="1"/>
  <c r="U71" i="1" s="1"/>
  <c r="L32" i="1"/>
  <c r="S32" i="1" s="1"/>
  <c r="T32" i="1" s="1"/>
  <c r="V32" i="1" s="1"/>
  <c r="AU56" i="2"/>
  <c r="AU84" i="2"/>
  <c r="AU68" i="2"/>
  <c r="AU52" i="2"/>
  <c r="AT84" i="2"/>
  <c r="L24" i="1"/>
  <c r="S24" i="1" s="1"/>
  <c r="U24" i="1" s="1"/>
  <c r="L25" i="1"/>
  <c r="S25" i="1" s="1"/>
  <c r="W25" i="1" s="1"/>
  <c r="AT60" i="2"/>
  <c r="L54" i="1"/>
  <c r="S54" i="1" s="1"/>
  <c r="W54" i="1" s="1"/>
  <c r="AT33" i="2"/>
  <c r="AT48" i="2"/>
  <c r="AU20" i="2"/>
  <c r="AT57" i="2"/>
  <c r="AU93" i="2"/>
  <c r="AU64" i="2"/>
  <c r="L55" i="1"/>
  <c r="S55" i="1" s="1"/>
  <c r="U55" i="1" s="1"/>
  <c r="L60" i="1"/>
  <c r="S60" i="1" s="1"/>
  <c r="W60" i="1" s="1"/>
  <c r="L18" i="1"/>
  <c r="L72" i="1"/>
  <c r="S72" i="1" s="1"/>
  <c r="T72" i="1" s="1"/>
  <c r="V72" i="1" s="1"/>
  <c r="AU32" i="2"/>
  <c r="AU47" i="2"/>
  <c r="L84" i="1"/>
  <c r="S84" i="1" s="1"/>
  <c r="T84" i="1" s="1"/>
  <c r="V84" i="1" s="1"/>
  <c r="L70" i="1"/>
  <c r="S70" i="1" s="1"/>
  <c r="T70" i="1" s="1"/>
  <c r="V70" i="1" s="1"/>
  <c r="L74" i="1"/>
  <c r="S74" i="1" s="1"/>
  <c r="T74" i="1" s="1"/>
  <c r="V74" i="1" s="1"/>
  <c r="L46" i="1"/>
  <c r="S46" i="1" s="1"/>
  <c r="T46" i="1" s="1"/>
  <c r="V46" i="1" s="1"/>
  <c r="V24" i="2"/>
  <c r="L73" i="1"/>
  <c r="S73" i="1" s="1"/>
  <c r="W73" i="1" s="1"/>
  <c r="L56" i="1"/>
  <c r="S56" i="1" s="1"/>
  <c r="T56" i="1" s="1"/>
  <c r="V56" i="1" s="1"/>
  <c r="L38" i="1"/>
  <c r="L19" i="1"/>
  <c r="L13" i="1"/>
  <c r="S13" i="1" s="1"/>
  <c r="W13" i="1" s="1"/>
  <c r="L26" i="1"/>
  <c r="S26" i="1" s="1"/>
  <c r="T26" i="1" s="1"/>
  <c r="V26" i="1" s="1"/>
  <c r="L31" i="1"/>
  <c r="S31" i="1" s="1"/>
  <c r="T31" i="1" s="1"/>
  <c r="V31" i="1" s="1"/>
  <c r="L79" i="1"/>
  <c r="S79" i="1" s="1"/>
  <c r="T79" i="1" s="1"/>
  <c r="V79" i="1" s="1"/>
  <c r="L67" i="1"/>
  <c r="S67" i="1" s="1"/>
  <c r="T67" i="1" s="1"/>
  <c r="V67" i="1" s="1"/>
  <c r="L69" i="1"/>
  <c r="S69" i="1" s="1"/>
  <c r="U69" i="1" s="1"/>
  <c r="L93" i="1"/>
  <c r="S93" i="1" s="1"/>
  <c r="T93" i="1" s="1"/>
  <c r="V93" i="1" s="1"/>
  <c r="L81" i="1"/>
  <c r="S81" i="1" s="1"/>
  <c r="W81" i="1" s="1"/>
  <c r="L45" i="1"/>
  <c r="S45" i="1" s="1"/>
  <c r="T45" i="1" s="1"/>
  <c r="V45" i="1" s="1"/>
  <c r="L90" i="1"/>
  <c r="S90" i="1" s="1"/>
  <c r="T90" i="1" s="1"/>
  <c r="V90" i="1" s="1"/>
  <c r="L57" i="1"/>
  <c r="L33" i="1"/>
  <c r="S33" i="1" s="1"/>
  <c r="U33" i="1" s="1"/>
  <c r="L94" i="1"/>
  <c r="S94" i="1" s="1"/>
  <c r="U94" i="1" s="1"/>
  <c r="L66" i="1"/>
  <c r="S66" i="1" s="1"/>
  <c r="W66" i="1" s="1"/>
  <c r="L82" i="1"/>
  <c r="S82" i="1" s="1"/>
  <c r="U82" i="1" s="1"/>
  <c r="V66" i="2"/>
  <c r="V84" i="2"/>
  <c r="V16" i="2"/>
  <c r="V73" i="2"/>
  <c r="V77" i="2"/>
  <c r="V29" i="2"/>
  <c r="V62" i="2"/>
  <c r="U13" i="4"/>
  <c r="V13" i="4" s="1"/>
  <c r="X13" i="4" s="1"/>
  <c r="V33" i="2"/>
  <c r="V35" i="2"/>
  <c r="V81" i="2"/>
  <c r="V80" i="2"/>
  <c r="V43" i="2"/>
  <c r="W68" i="1"/>
  <c r="T68" i="1"/>
  <c r="V68" i="1" s="1"/>
  <c r="U68" i="1"/>
  <c r="T27" i="1"/>
  <c r="V27" i="1" s="1"/>
  <c r="W27" i="1"/>
  <c r="U27" i="1"/>
  <c r="T86" i="1"/>
  <c r="V86" i="1" s="1"/>
  <c r="U86" i="1"/>
  <c r="W86" i="1"/>
  <c r="V53" i="2"/>
  <c r="V76" i="2"/>
  <c r="V23" i="2"/>
  <c r="V97" i="2"/>
  <c r="V18" i="2"/>
  <c r="V45" i="2"/>
  <c r="T22" i="1"/>
  <c r="V22" i="1" s="1"/>
  <c r="W22" i="1"/>
  <c r="U22" i="1"/>
  <c r="T75" i="1"/>
  <c r="V75" i="1" s="1"/>
  <c r="U75" i="1"/>
  <c r="W75" i="1"/>
  <c r="T39" i="1"/>
  <c r="V39" i="1" s="1"/>
  <c r="U39" i="1"/>
  <c r="W39" i="1"/>
  <c r="T30" i="1"/>
  <c r="V30" i="1" s="1"/>
  <c r="U30" i="1"/>
  <c r="W30" i="1"/>
  <c r="V67" i="2"/>
  <c r="V91" i="2"/>
  <c r="V82" i="2"/>
  <c r="U49" i="4"/>
  <c r="W49" i="4" s="1"/>
  <c r="V85" i="2"/>
  <c r="V70" i="2"/>
  <c r="V41" i="2"/>
  <c r="V48" i="2"/>
  <c r="U98" i="4"/>
  <c r="Y98" i="4" s="1"/>
  <c r="V46" i="2"/>
  <c r="V34" i="2"/>
  <c r="V37" i="2"/>
  <c r="V86" i="2"/>
  <c r="D13" i="14"/>
  <c r="D21" i="14"/>
  <c r="E21" i="14" s="1"/>
  <c r="V11" i="2"/>
  <c r="U11" i="4"/>
  <c r="W11" i="4" s="1"/>
  <c r="V59" i="2"/>
  <c r="U59" i="4"/>
  <c r="V59" i="4" s="1"/>
  <c r="X59" i="4" s="1"/>
  <c r="V38" i="2"/>
  <c r="U38" i="4"/>
  <c r="V38" i="4" s="1"/>
  <c r="X38" i="4" s="1"/>
  <c r="V65" i="2"/>
  <c r="U65" i="4"/>
  <c r="V65" i="4" s="1"/>
  <c r="X65" i="4" s="1"/>
  <c r="V50" i="2"/>
  <c r="U50" i="4"/>
  <c r="V50" i="4" s="1"/>
  <c r="X50" i="4" s="1"/>
  <c r="V28" i="2"/>
  <c r="U28" i="4"/>
  <c r="Y28" i="4" s="1"/>
  <c r="V89" i="2"/>
  <c r="U89" i="4"/>
  <c r="W89" i="4" s="1"/>
  <c r="V60" i="2"/>
  <c r="U60" i="4"/>
  <c r="V60" i="4" s="1"/>
  <c r="X60" i="4" s="1"/>
  <c r="V74" i="2"/>
  <c r="U74" i="4"/>
  <c r="W74" i="4" s="1"/>
  <c r="V40" i="2"/>
  <c r="U40" i="4"/>
  <c r="Y40" i="4" s="1"/>
  <c r="V17" i="2"/>
  <c r="U17" i="4"/>
  <c r="Y17" i="4" s="1"/>
  <c r="V78" i="2"/>
  <c r="U78" i="4"/>
  <c r="V78" i="4" s="1"/>
  <c r="X78" i="4" s="1"/>
  <c r="V57" i="2"/>
  <c r="U57" i="4"/>
  <c r="W57" i="4" s="1"/>
  <c r="V83" i="2"/>
  <c r="U83" i="4"/>
  <c r="W83" i="4" s="1"/>
  <c r="V39" i="2"/>
  <c r="U39" i="4"/>
  <c r="V39" i="4" s="1"/>
  <c r="X39" i="4" s="1"/>
  <c r="V52" i="2"/>
  <c r="U52" i="4"/>
  <c r="V52" i="4" s="1"/>
  <c r="X52" i="4" s="1"/>
  <c r="V56" i="2"/>
  <c r="U56" i="4"/>
  <c r="Y56" i="4" s="1"/>
  <c r="V14" i="2"/>
  <c r="U14" i="4"/>
  <c r="V14" i="4" s="1"/>
  <c r="X14" i="4" s="1"/>
  <c r="V64" i="2"/>
  <c r="U64" i="4"/>
  <c r="V64" i="4" s="1"/>
  <c r="X64" i="4" s="1"/>
  <c r="V19" i="2"/>
  <c r="U19" i="4"/>
  <c r="W19" i="4" s="1"/>
  <c r="V68" i="2"/>
  <c r="U68" i="4"/>
  <c r="Y68" i="4" s="1"/>
  <c r="V27" i="2"/>
  <c r="U27" i="4"/>
  <c r="W27" i="4" s="1"/>
  <c r="V87" i="2"/>
  <c r="U87" i="4"/>
  <c r="V87" i="4" s="1"/>
  <c r="X87" i="4" s="1"/>
  <c r="V88" i="2"/>
  <c r="U88" i="4"/>
  <c r="V88" i="4" s="1"/>
  <c r="X88" i="4" s="1"/>
  <c r="V30" i="2"/>
  <c r="U30" i="4"/>
  <c r="V30" i="4" s="1"/>
  <c r="X30" i="4" s="1"/>
  <c r="S34" i="1"/>
  <c r="T34" i="1" s="1"/>
  <c r="V34" i="1" s="1"/>
  <c r="S43" i="1"/>
  <c r="T43" i="1" s="1"/>
  <c r="V43" i="1" s="1"/>
  <c r="S62" i="1"/>
  <c r="W62" i="1" s="1"/>
  <c r="S95" i="1"/>
  <c r="U95" i="1" s="1"/>
  <c r="S52" i="1"/>
  <c r="U52" i="1" s="1"/>
  <c r="S20" i="1"/>
  <c r="W20" i="1" s="1"/>
  <c r="S98" i="1"/>
  <c r="U98" i="1" s="1"/>
  <c r="S41" i="1"/>
  <c r="U41" i="1" s="1"/>
  <c r="S19" i="1"/>
  <c r="W19" i="1" s="1"/>
  <c r="S80" i="1"/>
  <c r="W80" i="1" s="1"/>
  <c r="S58" i="1"/>
  <c r="W58" i="1" s="1"/>
  <c r="S48" i="1"/>
  <c r="W48" i="1" s="1"/>
  <c r="S59" i="1"/>
  <c r="T59" i="1" s="1"/>
  <c r="V59" i="1" s="1"/>
  <c r="S92" i="1"/>
  <c r="U92" i="1" s="1"/>
  <c r="S49" i="1"/>
  <c r="W49" i="1" s="1"/>
  <c r="S91" i="1"/>
  <c r="U91" i="1" s="1"/>
  <c r="S37" i="1"/>
  <c r="U37" i="1" s="1"/>
  <c r="S50" i="1"/>
  <c r="T50" i="1" s="1"/>
  <c r="V50" i="1" s="1"/>
  <c r="S47" i="1"/>
  <c r="S29" i="1"/>
  <c r="T29" i="1" s="1"/>
  <c r="V29" i="1" s="1"/>
  <c r="S14" i="1"/>
  <c r="T14" i="1" s="1"/>
  <c r="V14" i="1" s="1"/>
  <c r="S88" i="1"/>
  <c r="W88" i="1" s="1"/>
  <c r="S85" i="1"/>
  <c r="T85" i="1" s="1"/>
  <c r="V85" i="1" s="1"/>
  <c r="S44" i="1"/>
  <c r="T44" i="1" s="1"/>
  <c r="V44" i="1" s="1"/>
  <c r="S18" i="1"/>
  <c r="T18" i="1" s="1"/>
  <c r="V18" i="1" s="1"/>
  <c r="S38" i="1"/>
  <c r="T38" i="1" s="1"/>
  <c r="V38" i="1" s="1"/>
  <c r="S15" i="1"/>
  <c r="U15" i="1" s="1"/>
  <c r="S89" i="1"/>
  <c r="W89" i="1" s="1"/>
  <c r="S16" i="1"/>
  <c r="W16" i="1" s="1"/>
  <c r="S61" i="1"/>
  <c r="T61" i="1" s="1"/>
  <c r="V61" i="1" s="1"/>
  <c r="S12" i="1"/>
  <c r="U12" i="1" s="1"/>
  <c r="S42" i="1"/>
  <c r="T42" i="1" s="1"/>
  <c r="V42" i="1" s="1"/>
  <c r="S99" i="1"/>
  <c r="T99" i="1" s="1"/>
  <c r="V99" i="1" s="1"/>
  <c r="S57" i="1"/>
  <c r="T57" i="1" s="1"/>
  <c r="V57" i="1" s="1"/>
  <c r="S78" i="1"/>
  <c r="T78" i="1" s="1"/>
  <c r="V78" i="1" s="1"/>
  <c r="S97" i="1"/>
  <c r="T97" i="1" s="1"/>
  <c r="V97" i="1" s="1"/>
  <c r="S23" i="1"/>
  <c r="U23" i="1" s="1"/>
  <c r="S64" i="1"/>
  <c r="T64" i="1" s="1"/>
  <c r="V64" i="1" s="1"/>
  <c r="S96" i="1"/>
  <c r="U96" i="1" s="1"/>
  <c r="V94" i="2"/>
  <c r="V31" i="2"/>
  <c r="V15" i="2"/>
  <c r="V20" i="2"/>
  <c r="V51" i="2"/>
  <c r="V25" i="2"/>
  <c r="V61" i="2"/>
  <c r="V36" i="2"/>
  <c r="V72" i="2"/>
  <c r="W95" i="4"/>
  <c r="V42" i="2"/>
  <c r="V55" i="2"/>
  <c r="V12" i="2"/>
  <c r="V93" i="2"/>
  <c r="V21" i="2"/>
  <c r="V54" i="2"/>
  <c r="V32" i="2"/>
  <c r="Y95" i="4"/>
  <c r="V75" i="2"/>
  <c r="V47" i="2"/>
  <c r="V79" i="2"/>
  <c r="V44" i="2"/>
  <c r="V90" i="2"/>
  <c r="V92" i="2"/>
  <c r="V9" i="2"/>
  <c r="V10" i="2"/>
  <c r="V71" i="2"/>
  <c r="T11" i="1"/>
  <c r="V11" i="1" s="1"/>
  <c r="U11" i="1"/>
  <c r="W11" i="1"/>
  <c r="V77" i="4"/>
  <c r="X77" i="4" s="1"/>
  <c r="Y77" i="4"/>
  <c r="W77" i="4"/>
  <c r="V43" i="4"/>
  <c r="X43" i="4" s="1"/>
  <c r="Y43" i="4"/>
  <c r="W43" i="4"/>
  <c r="V92" i="4"/>
  <c r="X92" i="4" s="1"/>
  <c r="Y92" i="4"/>
  <c r="W92" i="4"/>
  <c r="V75" i="4"/>
  <c r="X75" i="4" s="1"/>
  <c r="W75" i="4"/>
  <c r="Y75" i="4"/>
  <c r="V46" i="4"/>
  <c r="X46" i="4" s="1"/>
  <c r="Y46" i="4"/>
  <c r="W46" i="4"/>
  <c r="V41" i="4"/>
  <c r="X41" i="4" s="1"/>
  <c r="W41" i="4"/>
  <c r="Y41" i="4"/>
  <c r="V96" i="4"/>
  <c r="X96" i="4" s="1"/>
  <c r="W96" i="4"/>
  <c r="Y96" i="4"/>
  <c r="V90" i="4"/>
  <c r="X90" i="4" s="1"/>
  <c r="W90" i="4"/>
  <c r="Y90" i="4"/>
  <c r="V61" i="4"/>
  <c r="X61" i="4" s="1"/>
  <c r="W61" i="4"/>
  <c r="Y61" i="4"/>
  <c r="V25" i="4"/>
  <c r="X25" i="4" s="1"/>
  <c r="Y25" i="4"/>
  <c r="W25" i="4"/>
  <c r="V20" i="4"/>
  <c r="X20" i="4" s="1"/>
  <c r="Y20" i="4"/>
  <c r="W20" i="4"/>
  <c r="V53" i="4"/>
  <c r="X53" i="4" s="1"/>
  <c r="Y53" i="4"/>
  <c r="W53" i="4"/>
  <c r="V23" i="4"/>
  <c r="X23" i="4" s="1"/>
  <c r="Y23" i="4"/>
  <c r="W23" i="4"/>
  <c r="V18" i="4"/>
  <c r="X18" i="4" s="1"/>
  <c r="Y18" i="4"/>
  <c r="W18" i="4"/>
  <c r="V72" i="4"/>
  <c r="X72" i="4" s="1"/>
  <c r="Y72" i="4"/>
  <c r="W72" i="4"/>
  <c r="V67" i="4"/>
  <c r="X67" i="4" s="1"/>
  <c r="Y67" i="4"/>
  <c r="W67" i="4"/>
  <c r="V33" i="4"/>
  <c r="X33" i="4" s="1"/>
  <c r="Y33" i="4"/>
  <c r="W33" i="4"/>
  <c r="V16" i="4"/>
  <c r="X16" i="4" s="1"/>
  <c r="W16" i="4"/>
  <c r="Y16" i="4"/>
  <c r="V70" i="4"/>
  <c r="X70" i="4" s="1"/>
  <c r="W70" i="4"/>
  <c r="Y70" i="4"/>
  <c r="V36" i="4"/>
  <c r="X36" i="4" s="1"/>
  <c r="W36" i="4"/>
  <c r="Y36" i="4"/>
  <c r="V31" i="4"/>
  <c r="X31" i="4" s="1"/>
  <c r="W31" i="4"/>
  <c r="Y31" i="4"/>
  <c r="V85" i="4"/>
  <c r="X85" i="4" s="1"/>
  <c r="W85" i="4"/>
  <c r="Y85" i="4"/>
  <c r="V80" i="4"/>
  <c r="X80" i="4" s="1"/>
  <c r="W80" i="4"/>
  <c r="Y80" i="4"/>
  <c r="V34" i="4"/>
  <c r="X34" i="4" s="1"/>
  <c r="Y34" i="4"/>
  <c r="W34" i="4"/>
  <c r="V48" i="4"/>
  <c r="X48" i="4" s="1"/>
  <c r="Y48" i="4"/>
  <c r="W48" i="4"/>
  <c r="V44" i="4"/>
  <c r="X44" i="4" s="1"/>
  <c r="Y44" i="4"/>
  <c r="W44" i="4"/>
  <c r="V93" i="4"/>
  <c r="X93" i="4" s="1"/>
  <c r="W93" i="4"/>
  <c r="Y93" i="4"/>
  <c r="V76" i="4"/>
  <c r="X76" i="4" s="1"/>
  <c r="W76" i="4"/>
  <c r="Y76" i="4"/>
  <c r="V47" i="4"/>
  <c r="X47" i="4" s="1"/>
  <c r="W47" i="4"/>
  <c r="Y47" i="4"/>
  <c r="V42" i="4"/>
  <c r="X42" i="4" s="1"/>
  <c r="W42" i="4"/>
  <c r="Y42" i="4"/>
  <c r="V97" i="4"/>
  <c r="X97" i="4" s="1"/>
  <c r="Y97" i="4"/>
  <c r="W97" i="4"/>
  <c r="Y91" i="4"/>
  <c r="W91" i="4"/>
  <c r="V62" i="4"/>
  <c r="X62" i="4" s="1"/>
  <c r="W62" i="4"/>
  <c r="Y62" i="4"/>
  <c r="V94" i="4"/>
  <c r="X94" i="4" s="1"/>
  <c r="W94" i="4"/>
  <c r="Y94" i="4"/>
  <c r="V55" i="4"/>
  <c r="X55" i="4" s="1"/>
  <c r="W55" i="4"/>
  <c r="Y55" i="4"/>
  <c r="Y26" i="4"/>
  <c r="V21" i="4"/>
  <c r="X21" i="4" s="1"/>
  <c r="W21" i="4"/>
  <c r="Y21" i="4"/>
  <c r="V54" i="4"/>
  <c r="X54" i="4" s="1"/>
  <c r="W54" i="4"/>
  <c r="Y54" i="4"/>
  <c r="V24" i="4"/>
  <c r="X24" i="4" s="1"/>
  <c r="W24" i="4"/>
  <c r="Y24" i="4"/>
  <c r="V73" i="4"/>
  <c r="X73" i="4" s="1"/>
  <c r="Y73" i="4"/>
  <c r="W73" i="4"/>
  <c r="V51" i="4"/>
  <c r="X51" i="4" s="1"/>
  <c r="W51" i="4"/>
  <c r="Y51" i="4"/>
  <c r="V22" i="4"/>
  <c r="X22" i="4" s="1"/>
  <c r="Y22" i="4"/>
  <c r="W22" i="4"/>
  <c r="V71" i="4"/>
  <c r="X71" i="4" s="1"/>
  <c r="Y71" i="4"/>
  <c r="W71" i="4"/>
  <c r="V66" i="4"/>
  <c r="X66" i="4" s="1"/>
  <c r="W66" i="4"/>
  <c r="Y66" i="4"/>
  <c r="V37" i="4"/>
  <c r="X37" i="4" s="1"/>
  <c r="Y37" i="4"/>
  <c r="W37" i="4"/>
  <c r="V32" i="4"/>
  <c r="X32" i="4" s="1"/>
  <c r="W32" i="4"/>
  <c r="Y32" i="4"/>
  <c r="V86" i="4"/>
  <c r="X86" i="4" s="1"/>
  <c r="W86" i="4"/>
  <c r="Y86" i="4"/>
  <c r="V81" i="4"/>
  <c r="X81" i="4" s="1"/>
  <c r="W81" i="4"/>
  <c r="Y81" i="4"/>
  <c r="V35" i="4"/>
  <c r="X35" i="4" s="1"/>
  <c r="W35" i="4"/>
  <c r="Y35" i="4"/>
  <c r="V29" i="4"/>
  <c r="X29" i="4" s="1"/>
  <c r="Y29" i="4"/>
  <c r="W29" i="4"/>
  <c r="V84" i="4"/>
  <c r="X84" i="4" s="1"/>
  <c r="Y84" i="4"/>
  <c r="W84" i="4"/>
  <c r="V79" i="4"/>
  <c r="X79" i="4" s="1"/>
  <c r="Y79" i="4"/>
  <c r="W79" i="4"/>
  <c r="V45" i="4"/>
  <c r="X45" i="4" s="1"/>
  <c r="W45" i="4"/>
  <c r="Y45" i="4"/>
  <c r="V82" i="4"/>
  <c r="X82" i="4" s="1"/>
  <c r="Y82" i="4"/>
  <c r="W82" i="4"/>
  <c r="V15" i="4"/>
  <c r="X15" i="4" s="1"/>
  <c r="W15" i="4"/>
  <c r="Y15" i="4"/>
  <c r="V12" i="4"/>
  <c r="X12" i="4" s="1"/>
  <c r="W12" i="4"/>
  <c r="Y12" i="4"/>
  <c r="A32" i="15"/>
  <c r="H33" i="14" s="1"/>
  <c r="O37" i="2" a="1"/>
  <c r="V22" i="2" l="1"/>
  <c r="U63" i="1"/>
  <c r="U51" i="1"/>
  <c r="U63" i="4"/>
  <c r="V63" i="4" s="1"/>
  <c r="X63" i="4" s="1"/>
  <c r="U26" i="1"/>
  <c r="T51" i="1"/>
  <c r="V51" i="1" s="1"/>
  <c r="W63" i="1"/>
  <c r="W26" i="4"/>
  <c r="T33" i="1"/>
  <c r="V33" i="1" s="1"/>
  <c r="V26" i="2"/>
  <c r="W33" i="1"/>
  <c r="V69" i="2"/>
  <c r="W69" i="4"/>
  <c r="V69" i="4"/>
  <c r="X69" i="4" s="1"/>
  <c r="Y58" i="4"/>
  <c r="W26" i="1"/>
  <c r="W58" i="4"/>
  <c r="U87" i="1"/>
  <c r="T87" i="1"/>
  <c r="V87" i="1" s="1"/>
  <c r="U60" i="1"/>
  <c r="W32" i="1"/>
  <c r="U32" i="1"/>
  <c r="V58" i="2"/>
  <c r="T36" i="1"/>
  <c r="V36" i="1" s="1"/>
  <c r="U10" i="1"/>
  <c r="W10" i="1"/>
  <c r="U74" i="1"/>
  <c r="W36" i="1"/>
  <c r="AT118" i="2"/>
  <c r="AU118" i="2"/>
  <c r="T60" i="1"/>
  <c r="V60" i="1" s="1"/>
  <c r="W74" i="1"/>
  <c r="W70" i="1"/>
  <c r="U70" i="1"/>
  <c r="Y13" i="4"/>
  <c r="W13" i="4"/>
  <c r="V49" i="4"/>
  <c r="X49" i="4" s="1"/>
  <c r="W98" i="4"/>
  <c r="V98" i="4"/>
  <c r="X98" i="4" s="1"/>
  <c r="Y49" i="4"/>
  <c r="E13" i="14"/>
  <c r="E22" i="14"/>
  <c r="U54" i="1"/>
  <c r="U58" i="1"/>
  <c r="T71" i="1"/>
  <c r="V71" i="1" s="1"/>
  <c r="U43" i="1"/>
  <c r="W77" i="1"/>
  <c r="U76" i="1"/>
  <c r="W43" i="1"/>
  <c r="U38" i="1"/>
  <c r="W50" i="1"/>
  <c r="W46" i="1"/>
  <c r="W40" i="1"/>
  <c r="U99" i="1"/>
  <c r="W99" i="1"/>
  <c r="U34" i="1"/>
  <c r="U44" i="1"/>
  <c r="T20" i="1"/>
  <c r="V20" i="1" s="1"/>
  <c r="T80" i="1"/>
  <c r="V80" i="1" s="1"/>
  <c r="W41" i="1"/>
  <c r="U66" i="1"/>
  <c r="U88" i="1"/>
  <c r="U16" i="1"/>
  <c r="T94" i="1"/>
  <c r="V94" i="1" s="1"/>
  <c r="U67" i="1"/>
  <c r="W94" i="1"/>
  <c r="W12" i="1"/>
  <c r="U59" i="1"/>
  <c r="W34" i="1"/>
  <c r="T98" i="1"/>
  <c r="V98" i="1" s="1"/>
  <c r="W44" i="1"/>
  <c r="W28" i="1"/>
  <c r="T41" i="1"/>
  <c r="V41" i="1" s="1"/>
  <c r="W38" i="1"/>
  <c r="T82" i="1"/>
  <c r="V82" i="1" s="1"/>
  <c r="W55" i="1"/>
  <c r="T54" i="1"/>
  <c r="V54" i="1" s="1"/>
  <c r="T66" i="1"/>
  <c r="V66" i="1" s="1"/>
  <c r="U85" i="1"/>
  <c r="T16" i="1"/>
  <c r="V16" i="1" s="1"/>
  <c r="W35" i="1"/>
  <c r="W15" i="1"/>
  <c r="W23" i="1"/>
  <c r="W85" i="1"/>
  <c r="T69" i="1"/>
  <c r="V69" i="1" s="1"/>
  <c r="W97" i="1"/>
  <c r="U73" i="1"/>
  <c r="T62" i="1"/>
  <c r="V62" i="1" s="1"/>
  <c r="T23" i="1"/>
  <c r="V23" i="1" s="1"/>
  <c r="W64" i="1"/>
  <c r="U18" i="1"/>
  <c r="U78" i="1"/>
  <c r="U80" i="1"/>
  <c r="W92" i="1"/>
  <c r="T53" i="1"/>
  <c r="V53" i="1" s="1"/>
  <c r="U42" i="1"/>
  <c r="U13" i="1"/>
  <c r="T52" i="1"/>
  <c r="V52" i="1" s="1"/>
  <c r="U97" i="1"/>
  <c r="T19" i="1"/>
  <c r="V19" i="1" s="1"/>
  <c r="W52" i="1"/>
  <c r="U72" i="1"/>
  <c r="W42" i="1"/>
  <c r="T28" i="1"/>
  <c r="V28" i="1" s="1"/>
  <c r="U25" i="1"/>
  <c r="W98" i="1"/>
  <c r="W37" i="1"/>
  <c r="W78" i="1"/>
  <c r="U19" i="1"/>
  <c r="W57" i="1"/>
  <c r="T48" i="1"/>
  <c r="V48" i="1" s="1"/>
  <c r="U48" i="1"/>
  <c r="T92" i="1"/>
  <c r="V92" i="1" s="1"/>
  <c r="T88" i="1"/>
  <c r="V88" i="1" s="1"/>
  <c r="T25" i="1"/>
  <c r="V25" i="1" s="1"/>
  <c r="W93" i="1"/>
  <c r="U35" i="1"/>
  <c r="U90" i="1"/>
  <c r="U84" i="1"/>
  <c r="U45" i="1"/>
  <c r="T15" i="1"/>
  <c r="V15" i="1" s="1"/>
  <c r="T24" i="1"/>
  <c r="V24" i="1" s="1"/>
  <c r="T49" i="1"/>
  <c r="V49" i="1" s="1"/>
  <c r="U21" i="1"/>
  <c r="U56" i="1"/>
  <c r="W31" i="1"/>
  <c r="W95" i="1"/>
  <c r="U83" i="1"/>
  <c r="W56" i="1"/>
  <c r="W59" i="1"/>
  <c r="W14" i="1"/>
  <c r="T89" i="1"/>
  <c r="V89" i="1" s="1"/>
  <c r="U89" i="1"/>
  <c r="W72" i="1"/>
  <c r="T55" i="1"/>
  <c r="V55" i="1" s="1"/>
  <c r="T95" i="1"/>
  <c r="V95" i="1" s="1"/>
  <c r="U31" i="1"/>
  <c r="W45" i="1"/>
  <c r="W84" i="1"/>
  <c r="W24" i="1"/>
  <c r="T13" i="1"/>
  <c r="V13" i="1" s="1"/>
  <c r="U20" i="1"/>
  <c r="U17" i="1"/>
  <c r="U93" i="1"/>
  <c r="U49" i="1"/>
  <c r="W69" i="1"/>
  <c r="W61" i="1"/>
  <c r="T37" i="1"/>
  <c r="V37" i="1" s="1"/>
  <c r="T77" i="1"/>
  <c r="V77" i="1" s="1"/>
  <c r="W17" i="1"/>
  <c r="W90" i="1"/>
  <c r="U57" i="1"/>
  <c r="U64" i="1"/>
  <c r="T91" i="1"/>
  <c r="V91" i="1" s="1"/>
  <c r="W21" i="1"/>
  <c r="W29" i="1"/>
  <c r="T83" i="1"/>
  <c r="V83" i="1" s="1"/>
  <c r="W91" i="1"/>
  <c r="T73" i="1"/>
  <c r="V73" i="1" s="1"/>
  <c r="U53" i="1"/>
  <c r="U29" i="1"/>
  <c r="W18" i="1"/>
  <c r="U61" i="1"/>
  <c r="W67" i="1"/>
  <c r="T81" i="1"/>
  <c r="V81" i="1" s="1"/>
  <c r="U81" i="1"/>
  <c r="U40" i="1"/>
  <c r="W96" i="1"/>
  <c r="W82" i="1"/>
  <c r="W65" i="1"/>
  <c r="T58" i="1"/>
  <c r="V58" i="1" s="1"/>
  <c r="U62" i="1"/>
  <c r="W47" i="1"/>
  <c r="T47" i="1"/>
  <c r="V47" i="1" s="1"/>
  <c r="T12" i="1"/>
  <c r="V12" i="1" s="1"/>
  <c r="U79" i="1"/>
  <c r="T76" i="1"/>
  <c r="V76" i="1" s="1"/>
  <c r="U65" i="1"/>
  <c r="T96" i="1"/>
  <c r="V96" i="1" s="1"/>
  <c r="W79" i="1"/>
  <c r="U47" i="1"/>
  <c r="W71" i="1"/>
  <c r="U50" i="1"/>
  <c r="U46" i="1"/>
  <c r="U14" i="1"/>
  <c r="Y14" i="4"/>
  <c r="W50" i="4"/>
  <c r="W14" i="4"/>
  <c r="Y50" i="4"/>
  <c r="W17" i="4"/>
  <c r="V40" i="4"/>
  <c r="X40" i="4" s="1"/>
  <c r="Y19" i="4"/>
  <c r="W68" i="4"/>
  <c r="W78" i="4"/>
  <c r="Y83" i="4"/>
  <c r="V17" i="4"/>
  <c r="X17" i="4" s="1"/>
  <c r="V57" i="4"/>
  <c r="X57" i="4" s="1"/>
  <c r="V83" i="4"/>
  <c r="X83" i="4" s="1"/>
  <c r="V74" i="4"/>
  <c r="X74" i="4" s="1"/>
  <c r="V89" i="4"/>
  <c r="X89" i="4" s="1"/>
  <c r="W40" i="4"/>
  <c r="V28" i="4"/>
  <c r="X28" i="4" s="1"/>
  <c r="V27" i="4"/>
  <c r="X27" i="4" s="1"/>
  <c r="Y27" i="4"/>
  <c r="Y30" i="4"/>
  <c r="Y89" i="4"/>
  <c r="V68" i="4"/>
  <c r="X68" i="4" s="1"/>
  <c r="Y57" i="4"/>
  <c r="W28" i="4"/>
  <c r="Y11" i="4"/>
  <c r="V11" i="4"/>
  <c r="X11" i="4" s="1"/>
  <c r="Y59" i="4"/>
  <c r="V19" i="4"/>
  <c r="X19" i="4" s="1"/>
  <c r="W59" i="4"/>
  <c r="Y74" i="4"/>
  <c r="W88" i="4"/>
  <c r="W87" i="4"/>
  <c r="Y87" i="4"/>
  <c r="W38" i="4"/>
  <c r="Y88" i="4"/>
  <c r="W30" i="4"/>
  <c r="Y78" i="4"/>
  <c r="W64" i="4"/>
  <c r="Y38" i="4"/>
  <c r="Y64" i="4"/>
  <c r="Y52" i="4"/>
  <c r="W52" i="4"/>
  <c r="W65" i="4"/>
  <c r="Y65" i="4"/>
  <c r="Y60" i="4"/>
  <c r="W39" i="4"/>
  <c r="W60" i="4"/>
  <c r="Y39" i="4"/>
  <c r="W56" i="4"/>
  <c r="V10" i="4"/>
  <c r="X10" i="4" s="1"/>
  <c r="W10" i="4"/>
  <c r="Y10" i="4"/>
  <c r="V9" i="4"/>
  <c r="X9" i="4" s="1"/>
  <c r="Y9" i="4"/>
  <c r="W9" i="4"/>
  <c r="V56" i="4"/>
  <c r="X56" i="4" s="1"/>
  <c r="O37" i="2"/>
  <c r="W63" i="4" l="1"/>
  <c r="W99" i="4" s="1"/>
  <c r="Y99" i="4" s="1"/>
  <c r="V118" i="2"/>
  <c r="Y63" i="4"/>
  <c r="O16" i="7"/>
  <c r="L4" i="7" s="1"/>
  <c r="U100" i="1"/>
  <c r="W100" i="1" s="1"/>
  <c r="V100" i="1"/>
  <c r="X99" i="4"/>
  <c r="A33" i="15"/>
  <c r="H34" i="14" s="1"/>
  <c r="O38" i="2" a="1"/>
  <c r="K4" i="7" l="1"/>
  <c r="M4" i="7" s="1"/>
  <c r="N4" i="7" s="1"/>
  <c r="O38" i="2"/>
  <c r="F13" i="7" l="1"/>
  <c r="E25" i="14"/>
  <c r="A34" i="15"/>
  <c r="H35" i="14" s="1"/>
  <c r="O39" i="2" a="1"/>
  <c r="O39" i="2" l="1"/>
  <c r="A35" i="15" l="1"/>
  <c r="H36" i="14" s="1"/>
  <c r="O40" i="2" a="1"/>
  <c r="O40" i="2" l="1"/>
  <c r="A36" i="15" l="1"/>
  <c r="H37" i="14" s="1"/>
  <c r="O41" i="2" a="1"/>
  <c r="O41" i="2" l="1"/>
  <c r="A37" i="15" l="1"/>
  <c r="H38" i="14" s="1"/>
  <c r="O42" i="2" a="1"/>
  <c r="O42" i="2" l="1"/>
  <c r="A38" i="15" l="1"/>
  <c r="H39" i="14" s="1"/>
  <c r="O43" i="2" a="1"/>
  <c r="O43" i="2" l="1"/>
  <c r="A39" i="15" l="1"/>
  <c r="H40" i="14" s="1"/>
  <c r="O44" i="2" a="1"/>
  <c r="O44" i="2" l="1"/>
  <c r="A40" i="15" l="1"/>
  <c r="H41" i="14" s="1"/>
  <c r="O45" i="2" a="1"/>
  <c r="O45" i="2" l="1"/>
  <c r="A41" i="15" l="1"/>
  <c r="H42" i="14" s="1"/>
  <c r="O46" i="2" a="1"/>
  <c r="O46" i="2" l="1"/>
  <c r="A42" i="15" l="1"/>
  <c r="H43" i="14" s="1"/>
  <c r="O47" i="2" a="1"/>
  <c r="O47" i="2" l="1"/>
  <c r="A43" i="15" l="1"/>
  <c r="H44" i="14" s="1"/>
  <c r="O48" i="2" a="1"/>
  <c r="O48" i="2" l="1"/>
  <c r="A44" i="15" l="1"/>
  <c r="H45" i="14" s="1"/>
  <c r="O49" i="2" a="1"/>
  <c r="O49" i="2" l="1"/>
  <c r="A45" i="15" l="1"/>
  <c r="H46" i="14" s="1"/>
  <c r="O50" i="2" a="1"/>
  <c r="O50" i="2" l="1"/>
  <c r="A46" i="15" l="1"/>
  <c r="H47" i="14" s="1"/>
  <c r="O51" i="2" a="1"/>
  <c r="O51" i="2" l="1"/>
  <c r="A47" i="15" l="1"/>
  <c r="H48" i="14" s="1"/>
  <c r="O52" i="2" a="1"/>
  <c r="O52" i="2" l="1"/>
  <c r="A48" i="15" l="1"/>
  <c r="O53" i="2" a="1"/>
  <c r="H49" i="14" l="1"/>
  <c r="O53" i="2"/>
  <c r="A49" i="15" l="1"/>
  <c r="O54" i="2" a="1"/>
  <c r="H50" i="14" l="1"/>
  <c r="O54" i="2"/>
  <c r="A50" i="15" l="1"/>
  <c r="O55" i="2" a="1"/>
  <c r="H51" i="14" l="1"/>
  <c r="O55" i="2"/>
  <c r="A51" i="15" l="1"/>
  <c r="O56" i="2" a="1"/>
  <c r="H52" i="14" l="1"/>
  <c r="O56" i="2"/>
  <c r="A52" i="15" l="1"/>
  <c r="O57" i="2" a="1"/>
  <c r="H53" i="14" l="1"/>
  <c r="O57" i="2"/>
  <c r="A53" i="15" l="1"/>
  <c r="O58" i="2" a="1"/>
  <c r="H54" i="14" l="1"/>
  <c r="O58" i="2"/>
  <c r="A54" i="15" l="1"/>
  <c r="O59" i="2" a="1"/>
  <c r="H55" i="14" l="1"/>
  <c r="O59" i="2"/>
  <c r="A55" i="15" l="1"/>
  <c r="H56" i="14" s="1"/>
  <c r="O60" i="2" a="1"/>
  <c r="O60" i="2" l="1"/>
  <c r="A56" i="15" l="1"/>
  <c r="H57" i="14" s="1"/>
  <c r="O61" i="2" a="1"/>
  <c r="O61" i="2" l="1"/>
  <c r="O62" i="2" a="1"/>
  <c r="O62" i="2" l="1"/>
  <c r="O63" i="2" a="1"/>
  <c r="O63" i="2" l="1"/>
  <c r="O64" i="2" a="1"/>
  <c r="O64" i="2" l="1"/>
  <c r="O65" i="2" a="1"/>
  <c r="O65" i="2" l="1"/>
  <c r="O66" i="2" a="1"/>
  <c r="O66" i="2" l="1"/>
  <c r="O67" i="2" a="1"/>
  <c r="O67" i="2" l="1"/>
  <c r="O68" i="2" a="1"/>
  <c r="O68" i="2" l="1"/>
  <c r="O69" i="2" a="1"/>
  <c r="O69" i="2" l="1"/>
  <c r="O70" i="2" a="1"/>
  <c r="O70" i="2" l="1"/>
  <c r="O71" i="2" a="1"/>
  <c r="O71" i="2" l="1"/>
  <c r="O72" i="2" a="1"/>
  <c r="O72" i="2" l="1"/>
  <c r="O73" i="2" a="1"/>
  <c r="O73" i="2" l="1"/>
  <c r="O74" i="2" a="1"/>
  <c r="O74" i="2" l="1"/>
  <c r="O75" i="2" a="1"/>
  <c r="O75" i="2" l="1"/>
  <c r="O76" i="2" a="1"/>
  <c r="O76" i="2" l="1"/>
  <c r="O77" i="2" a="1"/>
  <c r="O77" i="2" l="1"/>
  <c r="O78" i="2" a="1"/>
  <c r="O78" i="2" l="1"/>
  <c r="O79" i="2" a="1"/>
  <c r="O79" i="2" l="1"/>
  <c r="O80" i="2" a="1"/>
  <c r="O80" i="2" l="1"/>
  <c r="O81" i="2" a="1"/>
  <c r="O81" i="2" l="1"/>
  <c r="O82" i="2" a="1"/>
  <c r="O82" i="2" l="1"/>
  <c r="O83" i="2" a="1"/>
  <c r="O83" i="2" l="1"/>
  <c r="O84" i="2" a="1"/>
  <c r="O84" i="2" l="1"/>
  <c r="O85" i="2" a="1"/>
  <c r="O85" i="2" l="1"/>
  <c r="O86" i="2" a="1"/>
  <c r="O86" i="2" l="1"/>
  <c r="O87" i="2" a="1"/>
  <c r="O87" i="2" l="1"/>
  <c r="O88" i="2" a="1"/>
  <c r="O88" i="2" l="1"/>
  <c r="O89" i="2" a="1"/>
  <c r="O89" i="2" l="1"/>
  <c r="O90" i="2" a="1"/>
  <c r="O90" i="2" l="1"/>
  <c r="O91" i="2" a="1"/>
  <c r="O91" i="2" l="1"/>
  <c r="O92" i="2" a="1"/>
  <c r="O92" i="2" l="1"/>
  <c r="O93" i="2" a="1"/>
  <c r="O93" i="2" l="1"/>
  <c r="O94" i="2" a="1"/>
  <c r="O94" i="2" l="1"/>
  <c r="O95" i="2" a="1"/>
  <c r="O95" i="2" l="1"/>
  <c r="O96" i="2" a="1"/>
  <c r="O96" i="2" l="1"/>
  <c r="O97" i="2" a="1"/>
  <c r="O97" i="2" l="1"/>
  <c r="O98" i="2" a="1"/>
  <c r="O98" i="2" l="1"/>
  <c r="O99" i="2" a="1"/>
  <c r="O99" i="2" l="1"/>
  <c r="O100" i="2" a="1"/>
  <c r="O100" i="2" l="1"/>
  <c r="O101" i="2" a="1"/>
  <c r="O101" i="2" l="1"/>
  <c r="O102" i="2" a="1"/>
  <c r="O102" i="2" l="1"/>
  <c r="O103" i="2" a="1"/>
  <c r="O103" i="2" l="1"/>
  <c r="O104" i="2" a="1"/>
  <c r="O104" i="2" l="1"/>
  <c r="O105" i="2" a="1"/>
  <c r="O105" i="2" l="1"/>
  <c r="O106" i="2" a="1"/>
  <c r="O106" i="2" l="1"/>
  <c r="O107" i="2" a="1"/>
  <c r="O107" i="2" l="1"/>
  <c r="O108" i="2" a="1"/>
  <c r="O108" i="2" l="1"/>
  <c r="O109" i="2" a="1"/>
  <c r="O109" i="2" l="1"/>
  <c r="O110" i="2" a="1"/>
  <c r="O110" i="2" l="1"/>
  <c r="O111" i="2" a="1"/>
  <c r="O111" i="2" l="1"/>
  <c r="O112" i="2" a="1"/>
  <c r="O112" i="2" l="1"/>
  <c r="O113" i="2" a="1"/>
  <c r="O113" i="2" l="1"/>
  <c r="O114" i="2" a="1"/>
  <c r="O114" i="2" l="1"/>
  <c r="O115" i="2" a="1"/>
  <c r="O115" i="2" l="1"/>
  <c r="O116" i="2" a="1"/>
  <c r="O116" i="2" l="1"/>
  <c r="O117" i="2" a="1"/>
  <c r="O117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FB Laser" description="Connection to the 'FB Laser' query in the workbook." type="100" refreshedVersion="6" minRefreshableVersion="5">
    <extLst>
      <ext xmlns:x15="http://schemas.microsoft.com/office/spreadsheetml/2010/11/main" uri="{DE250136-89BD-433C-8126-D09CA5730AF9}">
        <x15:connection id="ce483dea-e880-4a4a-89ed-e8b92b1a115b"/>
      </ext>
    </extLst>
  </connection>
  <connection id="2" xr16:uid="{00000000-0015-0000-FFFF-FFFF01000000}" name="Query - Tube Laser" description="Connection to the 'Tube Laser' query in the workbook." type="100" refreshedVersion="6" minRefreshableVersion="5">
    <extLst>
      <ext xmlns:x15="http://schemas.microsoft.com/office/spreadsheetml/2010/11/main" uri="{DE250136-89BD-433C-8126-D09CA5730AF9}">
        <x15:connection id="b4bf4693-4aed-4fab-9788-d1e3f2c34d9c"/>
      </ext>
    </extLst>
  </connection>
  <connection id="3" xr16:uid="{00000000-0015-0000-FFFF-FFFF02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<sst xmlns="http://schemas.openxmlformats.org/spreadsheetml/2006/main" count="4456" uniqueCount="2967">
  <si>
    <t>Qty</t>
  </si>
  <si>
    <t>Laser Cost (Each)</t>
  </si>
  <si>
    <t>sqft (Each)</t>
  </si>
  <si>
    <t>Total Price (Each)</t>
  </si>
  <si>
    <t>Lot</t>
  </si>
  <si>
    <t>Length (in)</t>
  </si>
  <si>
    <t>Width (in)</t>
  </si>
  <si>
    <t>Material Mark-Up</t>
  </si>
  <si>
    <t>% Material Used</t>
  </si>
  <si>
    <t>Material Cost</t>
  </si>
  <si>
    <t>Material Cost (LOT)</t>
  </si>
  <si>
    <t>Material PRICE (EACH)</t>
  </si>
  <si>
    <t>Yield %</t>
  </si>
  <si>
    <t>PL14A36</t>
  </si>
  <si>
    <t>PL316A36</t>
  </si>
  <si>
    <t>HRSH10GA</t>
  </si>
  <si>
    <t>HRSH14GA</t>
  </si>
  <si>
    <t>Item ID</t>
  </si>
  <si>
    <t>Name</t>
  </si>
  <si>
    <t>Unit Weight</t>
  </si>
  <si>
    <t>APL123003</t>
  </si>
  <si>
    <t>AL PL 1/2"  3003</t>
  </si>
  <si>
    <t>LBS/SQFT</t>
  </si>
  <si>
    <t>APL125052</t>
  </si>
  <si>
    <t>AL PL 1/2"  5052</t>
  </si>
  <si>
    <t>APL126061</t>
  </si>
  <si>
    <t>AL PL 1/2" 6061</t>
  </si>
  <si>
    <t>APL143003</t>
  </si>
  <si>
    <t>AL PL 1/4"  3003</t>
  </si>
  <si>
    <t>APL145052</t>
  </si>
  <si>
    <t>AL PL 1/4"  5052</t>
  </si>
  <si>
    <t>APL146061</t>
  </si>
  <si>
    <t>AL PL 1/4"  6061</t>
  </si>
  <si>
    <t>APL16061</t>
  </si>
  <si>
    <t>AL PL 1"  6061</t>
  </si>
  <si>
    <t>APL346061</t>
  </si>
  <si>
    <t>AL PL 3/4" 6061</t>
  </si>
  <si>
    <t>APL383003</t>
  </si>
  <si>
    <t>AL PL 3/8"  3003</t>
  </si>
  <si>
    <t>APL385052</t>
  </si>
  <si>
    <t>AL PL 3/8"  5052</t>
  </si>
  <si>
    <t>APL386061</t>
  </si>
  <si>
    <t>AL PL 3/8"  6061</t>
  </si>
  <si>
    <t>APL5166061</t>
  </si>
  <si>
    <t>AL PL 5/16" 6061</t>
  </si>
  <si>
    <t>APL586061</t>
  </si>
  <si>
    <t>AL PL 5/8"  6061</t>
  </si>
  <si>
    <t>APL786061</t>
  </si>
  <si>
    <t>AL PL 7/8" 6061</t>
  </si>
  <si>
    <t>ASH0503003</t>
  </si>
  <si>
    <t>AL SHEET .050" 3003</t>
  </si>
  <si>
    <t>ASH0505052</t>
  </si>
  <si>
    <t>AL SHEET .050" 5052</t>
  </si>
  <si>
    <t>ASH0506061</t>
  </si>
  <si>
    <t>AL SHEET .050" 6061</t>
  </si>
  <si>
    <t>ASH0633003</t>
  </si>
  <si>
    <t>AL SHEET .063" 3003</t>
  </si>
  <si>
    <t>ASH0635052</t>
  </si>
  <si>
    <t>AL SHEET .063" 5052</t>
  </si>
  <si>
    <t>ASH0636061</t>
  </si>
  <si>
    <t>AL SHEET .063" 6061</t>
  </si>
  <si>
    <t>ASH0803003</t>
  </si>
  <si>
    <t>AL SHEET .080" 3003</t>
  </si>
  <si>
    <t>ASH0805052</t>
  </si>
  <si>
    <t>AL SHEET .080" 5052</t>
  </si>
  <si>
    <t>ASH0806061</t>
  </si>
  <si>
    <t>AL SHEET .080" 6061</t>
  </si>
  <si>
    <t>ASH0903003</t>
  </si>
  <si>
    <t>AL SHEET .090" 3003</t>
  </si>
  <si>
    <t>ASH0905052</t>
  </si>
  <si>
    <t>AL SHEET .090" 5052</t>
  </si>
  <si>
    <t>ASH0906061</t>
  </si>
  <si>
    <t>AL SHEET .090" 6061</t>
  </si>
  <si>
    <t>ASH1003003</t>
  </si>
  <si>
    <t>AL SHEET .100" 3003</t>
  </si>
  <si>
    <t>ASH1005052</t>
  </si>
  <si>
    <t>AL SHEET .100" 5052</t>
  </si>
  <si>
    <t>ASH1006061</t>
  </si>
  <si>
    <t>AL SHEET .100" 6061</t>
  </si>
  <si>
    <t>ASH1253003</t>
  </si>
  <si>
    <t>AL SHEET .125" 3003</t>
  </si>
  <si>
    <t>ASH1255052</t>
  </si>
  <si>
    <t>AL SHEET .125" 5052</t>
  </si>
  <si>
    <t>ASH1256061</t>
  </si>
  <si>
    <t>AL SHEET .125" 6061</t>
  </si>
  <si>
    <t>ASH1903003</t>
  </si>
  <si>
    <t>AL SHEET .190" 3003</t>
  </si>
  <si>
    <t>ASH1905052</t>
  </si>
  <si>
    <t>AL SHEET .190" 5052</t>
  </si>
  <si>
    <t>ASH1906061</t>
  </si>
  <si>
    <t>AL SHEET .190" 6061</t>
  </si>
  <si>
    <t>CPL1</t>
  </si>
  <si>
    <t>CAST AL PL 1"</t>
  </si>
  <si>
    <t>CPL12</t>
  </si>
  <si>
    <t>CAST AL PL 1/2"</t>
  </si>
  <si>
    <t>CPL14</t>
  </si>
  <si>
    <t>CAST AL PL 1/4"</t>
  </si>
  <si>
    <t>CPL34</t>
  </si>
  <si>
    <t>CAST AL PL 3/4"</t>
  </si>
  <si>
    <t>CPL38</t>
  </si>
  <si>
    <t>CAST AL PL 3/8"</t>
  </si>
  <si>
    <t>CPL58</t>
  </si>
  <si>
    <t>CAST AL PL 5/8"</t>
  </si>
  <si>
    <t>CPL78</t>
  </si>
  <si>
    <t>CAST AL PL 7/8"</t>
  </si>
  <si>
    <t>CRSH10GA</t>
  </si>
  <si>
    <t>CR SHEET 10GA</t>
  </si>
  <si>
    <t>CRSH11GA</t>
  </si>
  <si>
    <t>CR SHEET 11GA</t>
  </si>
  <si>
    <t>CRSH12GA</t>
  </si>
  <si>
    <t>CR SHEET 12GA</t>
  </si>
  <si>
    <t>CRSH14GA</t>
  </si>
  <si>
    <t>CR SHEET 14GA</t>
  </si>
  <si>
    <t>CRSH16GA</t>
  </si>
  <si>
    <t>CR SHEET 16GA</t>
  </si>
  <si>
    <t>CRSH18GA</t>
  </si>
  <si>
    <t>CR SHEET 18GA</t>
  </si>
  <si>
    <t>CRSH20GA</t>
  </si>
  <si>
    <t>CR SHEET 20GA</t>
  </si>
  <si>
    <t>CRSH24GA</t>
  </si>
  <si>
    <t>CR SHEET 24GA</t>
  </si>
  <si>
    <t>FPL11GA</t>
  </si>
  <si>
    <t>FPL516</t>
  </si>
  <si>
    <t>HRPL1121045</t>
  </si>
  <si>
    <t>HR PL 1-1/2" 1045</t>
  </si>
  <si>
    <t>HRPL781045</t>
  </si>
  <si>
    <t>HR PL 7/8" 1045</t>
  </si>
  <si>
    <t>HRPOSH11GA</t>
  </si>
  <si>
    <t>HRPOSH16GA</t>
  </si>
  <si>
    <t>HR P&amp;O SHEET 16GA</t>
  </si>
  <si>
    <t>HR SHEET 10GA</t>
  </si>
  <si>
    <t>HRSH11GA</t>
  </si>
  <si>
    <t>HR SHEET 11GA</t>
  </si>
  <si>
    <t>HRSH11GAA606-4</t>
  </si>
  <si>
    <t>HR SHEET 11 GA A606-4 (COR-TEN)</t>
  </si>
  <si>
    <t>HRSH12GA</t>
  </si>
  <si>
    <t>HR SHEET 12GA</t>
  </si>
  <si>
    <t>HR SHEET 14GA</t>
  </si>
  <si>
    <t>HRSH16GA</t>
  </si>
  <si>
    <t>HR SHEET 16GA</t>
  </si>
  <si>
    <t>HRSH18GA</t>
  </si>
  <si>
    <t>HR SHEET 18GA</t>
  </si>
  <si>
    <t>HRSH20GA</t>
  </si>
  <si>
    <t>HR SHEET 20GA</t>
  </si>
  <si>
    <t>HRSH7GA</t>
  </si>
  <si>
    <t>HR SHEET 7GA</t>
  </si>
  <si>
    <t>PL1121045</t>
  </si>
  <si>
    <t>PL 1-1/2" 1045</t>
  </si>
  <si>
    <t>PL112A36</t>
  </si>
  <si>
    <t>PL 1-1/2"  A36</t>
  </si>
  <si>
    <t>PL114A36</t>
  </si>
  <si>
    <t>PL 1-1/4"  A36</t>
  </si>
  <si>
    <t>PL118A36</t>
  </si>
  <si>
    <t>PL 1-1/8"  A36</t>
  </si>
  <si>
    <t>PL12A36</t>
  </si>
  <si>
    <t>PL 1/2"  A36</t>
  </si>
  <si>
    <t>PL12A57250</t>
  </si>
  <si>
    <t>PL 1/2" A572-50</t>
  </si>
  <si>
    <t>PL138A36</t>
  </si>
  <si>
    <t>PL 1-3/8"  A36</t>
  </si>
  <si>
    <t>PL 1/4" A36</t>
  </si>
  <si>
    <t>PL14A57250</t>
  </si>
  <si>
    <t>PL 1/4" A572-50</t>
  </si>
  <si>
    <t>PL14A588</t>
  </si>
  <si>
    <t>PL 1/4" A588</t>
  </si>
  <si>
    <t>PL1A36</t>
  </si>
  <si>
    <t>PL 1"  A36</t>
  </si>
  <si>
    <t>PL2A514</t>
  </si>
  <si>
    <t>PL 2" A514</t>
  </si>
  <si>
    <t>PL 3/16" A36</t>
  </si>
  <si>
    <t>PL316A57250</t>
  </si>
  <si>
    <t>PL 3/16" A572-50</t>
  </si>
  <si>
    <t>PL34A36</t>
  </si>
  <si>
    <t>PL 3/4"  A36</t>
  </si>
  <si>
    <t>PL38A36</t>
  </si>
  <si>
    <t>PL 3/8"  A36</t>
  </si>
  <si>
    <t>PL38A57250</t>
  </si>
  <si>
    <t>PL 3/8" A572-50</t>
  </si>
  <si>
    <t>PL38A588</t>
  </si>
  <si>
    <t>PL 3/8" A588</t>
  </si>
  <si>
    <t>PL516A36</t>
  </si>
  <si>
    <t>PL 5/16"  A36</t>
  </si>
  <si>
    <t>PL516A57250</t>
  </si>
  <si>
    <t>PL 5/16" A572-50</t>
  </si>
  <si>
    <t>PL58A36</t>
  </si>
  <si>
    <t>PL 5/8"  A36</t>
  </si>
  <si>
    <t>PL58A57250</t>
  </si>
  <si>
    <t>PL 5/8" A572-50</t>
  </si>
  <si>
    <t>PL781045</t>
  </si>
  <si>
    <t>PL 7/8" 1045</t>
  </si>
  <si>
    <t>PL78A36</t>
  </si>
  <si>
    <t>PL 7/8"  A36</t>
  </si>
  <si>
    <t>POPL12A36</t>
  </si>
  <si>
    <t>P&amp;O PL 1/2" A36</t>
  </si>
  <si>
    <t>POPL14A36</t>
  </si>
  <si>
    <t>P&amp;O PL 1/4" A36</t>
  </si>
  <si>
    <t>POPL316A36</t>
  </si>
  <si>
    <t>P&amp;O PL 3/16" A36</t>
  </si>
  <si>
    <t>POPL38A36</t>
  </si>
  <si>
    <t>P&amp;O PL 3/8" A36</t>
  </si>
  <si>
    <t>POPL516A36</t>
  </si>
  <si>
    <t>P&amp;O PL 5/16" A36</t>
  </si>
  <si>
    <t>POPL58A36</t>
  </si>
  <si>
    <t>SPL12304</t>
  </si>
  <si>
    <t>SS PL 1/2"  304L</t>
  </si>
  <si>
    <t>SPL12316</t>
  </si>
  <si>
    <t>SS PL 1/2"  316L</t>
  </si>
  <si>
    <t>SPL1304</t>
  </si>
  <si>
    <t>SS PL 1"  304L</t>
  </si>
  <si>
    <t>SPL1316</t>
  </si>
  <si>
    <t>SS PL 1"  316L</t>
  </si>
  <si>
    <t>SPL14304</t>
  </si>
  <si>
    <t>SS PL 1/4"  304L</t>
  </si>
  <si>
    <t>SPL14304#3</t>
  </si>
  <si>
    <t>SS PL 1/4"  304L W/ #3 POLISH</t>
  </si>
  <si>
    <t>SPL14316</t>
  </si>
  <si>
    <t>SS PL 1/4"  316L</t>
  </si>
  <si>
    <t>SPL316304</t>
  </si>
  <si>
    <t>SS PL 3/16"  304L</t>
  </si>
  <si>
    <t>SPL316316</t>
  </si>
  <si>
    <t>SS PL 3/16"  316L</t>
  </si>
  <si>
    <t>SPL34304</t>
  </si>
  <si>
    <t>SS PL 3/4"  304L</t>
  </si>
  <si>
    <t>SPL34316</t>
  </si>
  <si>
    <t>SS PL 3/4"  316L</t>
  </si>
  <si>
    <t>SPL38304</t>
  </si>
  <si>
    <t>SS PL 3/8"  304L</t>
  </si>
  <si>
    <t>SPL38316</t>
  </si>
  <si>
    <t>SS PL 3/8"  316L</t>
  </si>
  <si>
    <t>SPL516304</t>
  </si>
  <si>
    <t>SS PL 5/16"  304L</t>
  </si>
  <si>
    <t>SPL516316</t>
  </si>
  <si>
    <t>SS PL 5/16"  316L</t>
  </si>
  <si>
    <t>SPL58304</t>
  </si>
  <si>
    <t>SS PL 5/8"  304L</t>
  </si>
  <si>
    <t>SPL58316</t>
  </si>
  <si>
    <t>SS PL 5/8"  316L</t>
  </si>
  <si>
    <t>SPL78304</t>
  </si>
  <si>
    <t>SS PL 7/8"  304L</t>
  </si>
  <si>
    <t>SPL78316</t>
  </si>
  <si>
    <t>SS PL 7/8"  316L</t>
  </si>
  <si>
    <t>SSSH10GA304</t>
  </si>
  <si>
    <t>SS SHEET 10GA 304L</t>
  </si>
  <si>
    <t>SSSH10GA316</t>
  </si>
  <si>
    <t>SS SHEET 10GA 316L</t>
  </si>
  <si>
    <t>SSSH11GA304</t>
  </si>
  <si>
    <t>SS SHEET 11GA 304L</t>
  </si>
  <si>
    <t>SSSH11GA316</t>
  </si>
  <si>
    <t>SS SHEET 11GA 316L</t>
  </si>
  <si>
    <t>SSSH12GA304</t>
  </si>
  <si>
    <t>SS SHEET 12GA 304L</t>
  </si>
  <si>
    <t>SSSH12GA316</t>
  </si>
  <si>
    <t>SS SHEET 12GA 316L</t>
  </si>
  <si>
    <t>SSSH14GA304</t>
  </si>
  <si>
    <t>SS SHEET 14GA 304L</t>
  </si>
  <si>
    <t>SSSH14GA316</t>
  </si>
  <si>
    <t>SS SHEET 14GA 316L</t>
  </si>
  <si>
    <t>SSSH16GA304</t>
  </si>
  <si>
    <t>SS SHEET 16GA 304L</t>
  </si>
  <si>
    <t>SSSH16GA304P#3</t>
  </si>
  <si>
    <t>SS SHEET 16GA 304L W/ #3 POLISH</t>
  </si>
  <si>
    <t>SSSH16GA316</t>
  </si>
  <si>
    <t>SS SHEET 16GA 316L</t>
  </si>
  <si>
    <t>SSSH18GA304</t>
  </si>
  <si>
    <t>SS SHEET 18GA 304L</t>
  </si>
  <si>
    <t>SSSH18GA316</t>
  </si>
  <si>
    <t>SS SHEET 18GA 316L</t>
  </si>
  <si>
    <t>SSSH24GA304</t>
  </si>
  <si>
    <t>SS SHEET 24GA 304L</t>
  </si>
  <si>
    <t>SSSH7GA304</t>
  </si>
  <si>
    <t>SS SHEET 7GA 304L</t>
  </si>
  <si>
    <t>SSSH7GA316</t>
  </si>
  <si>
    <t>SS SHEET 7GA 316L</t>
  </si>
  <si>
    <t>dwg#</t>
  </si>
  <si>
    <t>Material Required</t>
  </si>
  <si>
    <t>Total Sqft</t>
  </si>
  <si>
    <t>Material ID</t>
  </si>
  <si>
    <t>Laser Time Lot (min)</t>
  </si>
  <si>
    <t>Forming Cost (Each)</t>
  </si>
  <si>
    <t>Price/Lbs</t>
  </si>
  <si>
    <t>Pallet Charge</t>
  </si>
  <si>
    <t>Delivery Charge</t>
  </si>
  <si>
    <t>Total Qty-</t>
  </si>
  <si>
    <t>Total Cost</t>
  </si>
  <si>
    <t>Total Weight (lbs)</t>
  </si>
  <si>
    <t>Delivery</t>
  </si>
  <si>
    <t>Will-Call</t>
  </si>
  <si>
    <t>Default</t>
  </si>
  <si>
    <t>Choose Method</t>
  </si>
  <si>
    <t>User Defined</t>
  </si>
  <si>
    <t>linear ft (Each)</t>
  </si>
  <si>
    <t>Lot Price</t>
  </si>
  <si>
    <t>Total Linear ft</t>
  </si>
  <si>
    <t>Material Source</t>
  </si>
  <si>
    <t>JWMCD</t>
  </si>
  <si>
    <t>Customer Supplied</t>
  </si>
  <si>
    <t>Tube Laser Each (sec)</t>
  </si>
  <si>
    <t>Revenue</t>
  </si>
  <si>
    <t>Cost</t>
  </si>
  <si>
    <t>Profit</t>
  </si>
  <si>
    <t>Margin</t>
  </si>
  <si>
    <t>Total</t>
  </si>
  <si>
    <t>Tube Laser</t>
  </si>
  <si>
    <t>Tube Laser Cost</t>
  </si>
  <si>
    <t>Tube Laser Revenue</t>
  </si>
  <si>
    <t>Bending Cost</t>
  </si>
  <si>
    <t>Laser Revenue</t>
  </si>
  <si>
    <t>Job Total</t>
  </si>
  <si>
    <t>AAN11146061</t>
  </si>
  <si>
    <t>1" X 1" X 1/4" 6061 ANGLE</t>
  </si>
  <si>
    <t>LBS/FT</t>
  </si>
  <si>
    <t>AAN11186061</t>
  </si>
  <si>
    <t>1" X 1" X 1/8" 6061 ANGLE</t>
  </si>
  <si>
    <t>AAN11186063</t>
  </si>
  <si>
    <t>1" X 1" X 1/8" 6063 ANGLE</t>
  </si>
  <si>
    <t>AAN112112146061</t>
  </si>
  <si>
    <t>1-1/2" X 1-1/2" X 1/4" 6061 ANGLE</t>
  </si>
  <si>
    <t>AAN112112146063</t>
  </si>
  <si>
    <t>1-1/2" X 1-1/2" X 1/4" 6063 ANGLE</t>
  </si>
  <si>
    <t>AAN112112186061</t>
  </si>
  <si>
    <t>1-1/2" X 1-1/2" X 1/8" 6061 ANGLE</t>
  </si>
  <si>
    <t>AAN112112186063</t>
  </si>
  <si>
    <t>1-1/2" X 1-1/2" X 1/8" 6063 ANGLE</t>
  </si>
  <si>
    <t>AAN1121123166061</t>
  </si>
  <si>
    <t>1-1/2" X 1-1/2" X 3/16" 6061 ANGLE</t>
  </si>
  <si>
    <t>AAN1121123166063</t>
  </si>
  <si>
    <t>1-1/2" X 1-1/2" X 3/16" 6063 ANGLE</t>
  </si>
  <si>
    <t>AAN112114186061</t>
  </si>
  <si>
    <t>1-1/2" X 1-1/4" X 1/8" 6061 ANGLE</t>
  </si>
  <si>
    <t>AAN1121143166061</t>
  </si>
  <si>
    <t>1-1/2" X 1-1/4" X 3/16" 6061 ANGLE</t>
  </si>
  <si>
    <t>AAN1121186063</t>
  </si>
  <si>
    <t>1-1/2" X 1" X 1/8" 6063 ANGLE</t>
  </si>
  <si>
    <t>AAN112186063</t>
  </si>
  <si>
    <t>1" X 1/2" X 1/8" 6063 ANGLE</t>
  </si>
  <si>
    <t>AAN1123418</t>
  </si>
  <si>
    <t>1-1/2" X 3/4" X 1/8" 6063 ANGLE</t>
  </si>
  <si>
    <t>AAN113166061</t>
  </si>
  <si>
    <t>1" X 1" X 3/16" 6061 ANGLE</t>
  </si>
  <si>
    <t>AAN113166063</t>
  </si>
  <si>
    <t>1" X 1" X 3/16" 6063 ANGLE</t>
  </si>
  <si>
    <t>AAN114114146061</t>
  </si>
  <si>
    <t>1-1/4" X 1-1/4" X 1/4" 6061 ANGLE</t>
  </si>
  <si>
    <t>AAN114114186061</t>
  </si>
  <si>
    <t>1-1/4" X 1-1/4" X 1/8" 6061 ANGLE</t>
  </si>
  <si>
    <t>AAN114114186063</t>
  </si>
  <si>
    <t>1-1/4" X 1-1/4" X 1/8" 6063 ANGLE</t>
  </si>
  <si>
    <t>AAN1141143166061</t>
  </si>
  <si>
    <t>1-1/4" X 1-1/4" X 3/16" 6061 ANGLE</t>
  </si>
  <si>
    <t>AAN1141143166063</t>
  </si>
  <si>
    <t>1-1/4" X 1-1/4" X 3/16" 6063 ANGLE</t>
  </si>
  <si>
    <t>AAN11412186063</t>
  </si>
  <si>
    <t>1-1/4" X 1/2" X 1/8" 6063 ANGLE</t>
  </si>
  <si>
    <t>AAN134114186061</t>
  </si>
  <si>
    <t>1-3/4" X 1-1/4" X 1/8" 6061 ANGLE</t>
  </si>
  <si>
    <t>AAN134134146061</t>
  </si>
  <si>
    <t>1-3/4" X 1-3/4" X 1/4" 6061 ANGLE</t>
  </si>
  <si>
    <t>AAN134134186061</t>
  </si>
  <si>
    <t>1-3/4" X 1-3/4" X 1/8" 6061 ANGLE</t>
  </si>
  <si>
    <t>AAN134134186063</t>
  </si>
  <si>
    <t>1-3/4" X 1-3/4" X 1/8" 6063 ANGLE</t>
  </si>
  <si>
    <t>AAN1341343166061</t>
  </si>
  <si>
    <t>1-3/4" X 1-3/4" X 3/16" 6061 ANGLE</t>
  </si>
  <si>
    <t>AAN134186063</t>
  </si>
  <si>
    <t>1" X 3/4" X 1/8" 6063 ANGLE</t>
  </si>
  <si>
    <t>AAN2112146061</t>
  </si>
  <si>
    <t>2" X 1-1/2" X 1/4" 6061 ANGLE</t>
  </si>
  <si>
    <t>AAN2112186061</t>
  </si>
  <si>
    <t>2" X 1-1/2" X 1/8" 6061 ANGLE</t>
  </si>
  <si>
    <t>AAN21123166061</t>
  </si>
  <si>
    <t>2" X 1-1/2" X 3/16" 6061 ANGLE</t>
  </si>
  <si>
    <t>AAN21186061</t>
  </si>
  <si>
    <t>2" X 1" X 1/8" 6061 ANGLE</t>
  </si>
  <si>
    <t>AAN21186063</t>
  </si>
  <si>
    <t>2" X 1" X 1/8" 6063 ANGLE</t>
  </si>
  <si>
    <t>AAN212112186063</t>
  </si>
  <si>
    <t>2-1/2" X 1-1/2" X 1/8" 6063 ANGLE</t>
  </si>
  <si>
    <t>AAN2121123166061</t>
  </si>
  <si>
    <t>2-1/2" X 1-1/2" X 3/16" 6061 ANGLE</t>
  </si>
  <si>
    <t>AAN212212146061</t>
  </si>
  <si>
    <t>2-1/2" X 2-1/2" X 1/4" 6061 ANGLE</t>
  </si>
  <si>
    <t>AAN212212186063</t>
  </si>
  <si>
    <t>2-1/2" X 2-1/2" X 1/8" 6063 ANGLE</t>
  </si>
  <si>
    <t>AAN2122123166061</t>
  </si>
  <si>
    <t>2-1/2" X 2-1/2" X 3/16" 6061 ANGLE</t>
  </si>
  <si>
    <t>AAN212212386061</t>
  </si>
  <si>
    <t>2-1/2" X 2-1/2" X 3/8" 6061 ANGLE</t>
  </si>
  <si>
    <t>AAN2122125166061</t>
  </si>
  <si>
    <t>2-1/2" X 2-1/2" X 5/16" 6061 ANGLE</t>
  </si>
  <si>
    <t>AAN2122146061</t>
  </si>
  <si>
    <t>2-1/2" X 2" X 1/4" 6061 ANGLE</t>
  </si>
  <si>
    <t>AAN21223166061</t>
  </si>
  <si>
    <t>2-1/2" X 2" X 3/16" 6061 ANGLE</t>
  </si>
  <si>
    <t>AAN22146061</t>
  </si>
  <si>
    <t>2" X 2" X 1/4" 6061 ANGLE</t>
  </si>
  <si>
    <t>AAN22146063</t>
  </si>
  <si>
    <t>2" X 2" X 1/4" 6063 ANGLE</t>
  </si>
  <si>
    <t>AAN22186061</t>
  </si>
  <si>
    <t>2" X 2" X 1/8" 6061 ANGLE</t>
  </si>
  <si>
    <t>AAN22186063</t>
  </si>
  <si>
    <t>2" X 2" X 1/8" 6063 ANGLE</t>
  </si>
  <si>
    <t>AAN223166061</t>
  </si>
  <si>
    <t>2" X 2" X 3/16" 6061 ANGLE</t>
  </si>
  <si>
    <t>AAN223166063</t>
  </si>
  <si>
    <t>2" X 2" X 3/16" 6063 ANGLE</t>
  </si>
  <si>
    <t>AAN22386061</t>
  </si>
  <si>
    <t>2" X 2" X 3/8" 6061 ANGLE</t>
  </si>
  <si>
    <t>AAN225166061</t>
  </si>
  <si>
    <t>2" X 2" X 5/16" 6061 ANGLE</t>
  </si>
  <si>
    <t>AAN31186061</t>
  </si>
  <si>
    <t>3" X 1" X 1/8" 6061 ANGLE</t>
  </si>
  <si>
    <t>AAN312212146061</t>
  </si>
  <si>
    <t>3-1/2" X 2-1/2" X 1/4" 6061 ANGLE</t>
  </si>
  <si>
    <t>AAN312312126061</t>
  </si>
  <si>
    <t>3-1/2" X 3-1/2" X 1/2" 6061 ANGLE</t>
  </si>
  <si>
    <t>AAN312312146061</t>
  </si>
  <si>
    <t>3-1/2" X 3-1/2" X 1/4" 6061 ANGLE</t>
  </si>
  <si>
    <t>AAN312312386061</t>
  </si>
  <si>
    <t>3-1/2" X 3-1/2" X 3/8" 6061 ANGLE</t>
  </si>
  <si>
    <t>AAN3212146061</t>
  </si>
  <si>
    <t>3" X 2-1/2" X 1/4" 6061 ANGLE</t>
  </si>
  <si>
    <t>AAN32146061</t>
  </si>
  <si>
    <t>3" X 2" X 1/4" 6061 ANGLE</t>
  </si>
  <si>
    <t>AAN32186063</t>
  </si>
  <si>
    <t>3" X 2" X 1/8" 6063 ANGLE</t>
  </si>
  <si>
    <t>AAN323166061</t>
  </si>
  <si>
    <t>3" X 2" X 3/16" 6061 ANGLE</t>
  </si>
  <si>
    <t>AAN32386061</t>
  </si>
  <si>
    <t>3" X 2" X 3/8" 6061 ANGLE</t>
  </si>
  <si>
    <t>AAN33126061</t>
  </si>
  <si>
    <t>3" X 3" X 1/2" 6061 ANGLE</t>
  </si>
  <si>
    <t>AAN33146061</t>
  </si>
  <si>
    <t>3" X 3" X 1/4" 6061 ANGLE</t>
  </si>
  <si>
    <t>AAN33146063</t>
  </si>
  <si>
    <t>3" X 3" X 1/4" 6063 ANGLE</t>
  </si>
  <si>
    <t>AAN333166061</t>
  </si>
  <si>
    <t>3" X 3" X 3/16" 6061 ANGLE</t>
  </si>
  <si>
    <t>AAN333166063</t>
  </si>
  <si>
    <t>3" X 3" X 3/16" 6063 ANGLE</t>
  </si>
  <si>
    <t>AAN33386061</t>
  </si>
  <si>
    <t>3" X 3" X 3/8" 6061 ANGLE</t>
  </si>
  <si>
    <t>AAN335166061</t>
  </si>
  <si>
    <t>3" X 3" X 5/16" 6061 ANGLE</t>
  </si>
  <si>
    <t>AAN3434186061</t>
  </si>
  <si>
    <t>3/4" X 3/4" X 1/8" 6061 ANGLE</t>
  </si>
  <si>
    <t>AAN3434186063</t>
  </si>
  <si>
    <t>3/4" X 3/4" X 1/8" 6063 ANGLE</t>
  </si>
  <si>
    <t>AAN43146061</t>
  </si>
  <si>
    <t>4" X 3" X 1/4" 6061 ANGLE</t>
  </si>
  <si>
    <t>AAN43386061</t>
  </si>
  <si>
    <t>4" X 3" X 3/8" 6061 ANGLE</t>
  </si>
  <si>
    <t>AAN44126061</t>
  </si>
  <si>
    <t>4" X 4" X 1/2" 6061 ANGLE</t>
  </si>
  <si>
    <t>AAN44146061</t>
  </si>
  <si>
    <t>4" X 4" X 1/4" 6061 ANGLE</t>
  </si>
  <si>
    <t>AAN44386061</t>
  </si>
  <si>
    <t>4" X 4" X 3/8" 6061 ANGLE</t>
  </si>
  <si>
    <t>AAN5312126061</t>
  </si>
  <si>
    <t>5" X 3-1/2" X 1/2" 6061 ANGLE</t>
  </si>
  <si>
    <t>AAN53146061</t>
  </si>
  <si>
    <t>5" X 3" X 1/4" 6061 ANGLE</t>
  </si>
  <si>
    <t>AAN53386061</t>
  </si>
  <si>
    <t>5" X 3" X 3/8" 6061 ANGLE</t>
  </si>
  <si>
    <t>AAN55386061</t>
  </si>
  <si>
    <t>5" X 5" X 3/8" 6061 ANGLE</t>
  </si>
  <si>
    <t>AAN64386061</t>
  </si>
  <si>
    <t>6" X 4" X 3/8" 6061 ANGLE</t>
  </si>
  <si>
    <t>AAN66386061</t>
  </si>
  <si>
    <t>6" X 6" X 3/8" 6061 ANGLE</t>
  </si>
  <si>
    <t>ACH11186063</t>
  </si>
  <si>
    <t>CH 1" X 1" X 1/8" 6063</t>
  </si>
  <si>
    <t>ACH1121186063</t>
  </si>
  <si>
    <t>CH 1-1/2" X 1" X 1/8" 6063</t>
  </si>
  <si>
    <t>ACH11212186063</t>
  </si>
  <si>
    <t>CH 1-1/2" X 1/2" X 1/8" 6063</t>
  </si>
  <si>
    <t>ACH112186063</t>
  </si>
  <si>
    <t>CH 1" X 1/2" X 1/8" 6063</t>
  </si>
  <si>
    <t>ACH21186063</t>
  </si>
  <si>
    <t>CH 2" X 1" X 1/8" 6063</t>
  </si>
  <si>
    <t>ACH22186063</t>
  </si>
  <si>
    <t>CH 2" X 2" X 1/8" 6063</t>
  </si>
  <si>
    <t>ACH31416061</t>
  </si>
  <si>
    <t>CH 3" X 1.41" X .170" 6061</t>
  </si>
  <si>
    <t>ACH314986061</t>
  </si>
  <si>
    <t>CH 3" X 1.498" X .258" 6061</t>
  </si>
  <si>
    <t>ACH41586061</t>
  </si>
  <si>
    <t>CH 4" X 1.58" X .180" 6061</t>
  </si>
  <si>
    <t>ACH416476061</t>
  </si>
  <si>
    <t>CH 4" X 1.647" X .247" 6061</t>
  </si>
  <si>
    <t>ACH426061</t>
  </si>
  <si>
    <t>CH 4" X 2.0" X .150" 6061</t>
  </si>
  <si>
    <t>ACH518856061</t>
  </si>
  <si>
    <t>CH 5" X 1.885" X .325" 6061</t>
  </si>
  <si>
    <t>ACH61926061</t>
  </si>
  <si>
    <t>CH 6" X 1.92" X .200" 6061</t>
  </si>
  <si>
    <t>ACH619456061</t>
  </si>
  <si>
    <t>CH 6" X 1.945" X .225" 6061</t>
  </si>
  <si>
    <t>ACH620346061</t>
  </si>
  <si>
    <t>CH 6" X 2.034" X .314" 6061</t>
  </si>
  <si>
    <t>ACH6256061</t>
  </si>
  <si>
    <t>CH 6" X 2.5" X .170" 6061</t>
  </si>
  <si>
    <t>ACH63256061</t>
  </si>
  <si>
    <t>CH 6" X 3.25" X .210" 6061</t>
  </si>
  <si>
    <t>AFL141126061</t>
  </si>
  <si>
    <t>AL FLAT BAR 1/4" X 1-1/2" 6061</t>
  </si>
  <si>
    <t>AFL141126063</t>
  </si>
  <si>
    <t>AL FLAT BAR 1/4" X 1-1/2" 6063</t>
  </si>
  <si>
    <t>AFL141146061</t>
  </si>
  <si>
    <t>AL FLAT BAR 1/4" X 1-1/4" 6061</t>
  </si>
  <si>
    <t>AFL141146063</t>
  </si>
  <si>
    <t>AL FLAT BAR 1/4" X 1-1/4" 6063</t>
  </si>
  <si>
    <t>AFL14126061</t>
  </si>
  <si>
    <t>AL FLAT BAR 1/4" X 1/2" 6061</t>
  </si>
  <si>
    <t>AFL14126063</t>
  </si>
  <si>
    <t>AL FLAT BAR 1/4" X 1/2" 6063</t>
  </si>
  <si>
    <t>AFL141346061</t>
  </si>
  <si>
    <t>AL FLAT BAR 1/4" X 1-3/4" 6061</t>
  </si>
  <si>
    <t>AFL141346063</t>
  </si>
  <si>
    <t>AL FLAT BAR 1/4" X 1-3/4" 6063</t>
  </si>
  <si>
    <t>AFL1416061</t>
  </si>
  <si>
    <t>AL FLAT BAR 1/4" X 1" 6061</t>
  </si>
  <si>
    <t>AFL1416063</t>
  </si>
  <si>
    <t>AL FLAT BAR 1/4" X 1" 6063</t>
  </si>
  <si>
    <t>AFL142126061</t>
  </si>
  <si>
    <t>AL FLAT BAR 1/4" X 2-1/2" 6061</t>
  </si>
  <si>
    <t>AFL142126063</t>
  </si>
  <si>
    <t>AL FLAT BAR 1/4" X 2-1/2" 6063</t>
  </si>
  <si>
    <t>AFL142346061</t>
  </si>
  <si>
    <t>AL FLAT BAR 1/4" X 2-3/4" 6061</t>
  </si>
  <si>
    <t>AFL1426061</t>
  </si>
  <si>
    <t>AL FLAT BAR 1/4" X 2" 6061</t>
  </si>
  <si>
    <t>AFL1426063</t>
  </si>
  <si>
    <t>AL FLAT BAR 1/4" X 2" 6063</t>
  </si>
  <si>
    <t>AFL143126061</t>
  </si>
  <si>
    <t>AL FLAT BAR 1/4" X 3-1/2" 6061</t>
  </si>
  <si>
    <t>AFL143146061</t>
  </si>
  <si>
    <t>AL FLAT BAR 1/4" X 3-1/4" 6061</t>
  </si>
  <si>
    <t>AFL14346061</t>
  </si>
  <si>
    <t>AL FLAT BAR 1/4" X 3/4" 6061</t>
  </si>
  <si>
    <t>AFL14346063</t>
  </si>
  <si>
    <t>AL FLAT BAR 1/4" X 3/4" 6063</t>
  </si>
  <si>
    <t>AFL1436061</t>
  </si>
  <si>
    <t>AL FLAT BAR 1/4" X 3" 6061</t>
  </si>
  <si>
    <t>AFL1436063</t>
  </si>
  <si>
    <t>AL FLAT BAR 1/4" X 3" 6063</t>
  </si>
  <si>
    <t>AFL144126061</t>
  </si>
  <si>
    <t>AL FLAT BAR 1/4" X 4-1/2" 6061</t>
  </si>
  <si>
    <t>AFL1446061</t>
  </si>
  <si>
    <t>AL FLAT BAR 1/4" X 4" 6061</t>
  </si>
  <si>
    <t>AFL1456061</t>
  </si>
  <si>
    <t>AL FLAT BAR 1/4" X 5" 6061</t>
  </si>
  <si>
    <t>AFL14586063</t>
  </si>
  <si>
    <t>AL FLAT BAR 1/4" X 5/8" 6063</t>
  </si>
  <si>
    <t>AFL1466061</t>
  </si>
  <si>
    <t>AL FLAT BAR 1/4" X 6" 6061</t>
  </si>
  <si>
    <t>AFL1486061</t>
  </si>
  <si>
    <t>AL FLAT BAR 1/4" X 8" 6061</t>
  </si>
  <si>
    <t>AFL181126061</t>
  </si>
  <si>
    <t>AL FLAT BAR 1/8" X 1-1/2" 6061</t>
  </si>
  <si>
    <t>AFL181126063</t>
  </si>
  <si>
    <t>AL FLAT BAR 1/8" X 1-1/2" 6063</t>
  </si>
  <si>
    <t>AFL181146061</t>
  </si>
  <si>
    <t>AL FLAT BAR 1/8" X 1-1/4" 6061</t>
  </si>
  <si>
    <t>AFL181146063</t>
  </si>
  <si>
    <t>AL FLAT BAR 1/8" X 1-1/4" 6063</t>
  </si>
  <si>
    <t>AFL18126061</t>
  </si>
  <si>
    <t>AL FLAT BAR 1/8" X 1/2" 6061</t>
  </si>
  <si>
    <t>AFL18126063</t>
  </si>
  <si>
    <t>AL FLAT BAR 1/8" X 1/2" 6063</t>
  </si>
  <si>
    <t>AFL1816061</t>
  </si>
  <si>
    <t>AL FLAT BAR 1/8" X 1" 6061</t>
  </si>
  <si>
    <t>AFL1816063</t>
  </si>
  <si>
    <t>AL FLAT BAR 1/8" X 1" 6063</t>
  </si>
  <si>
    <t>AFL182126061</t>
  </si>
  <si>
    <t>AL FLAT BAR 1/8" X 2-1/2" 6061</t>
  </si>
  <si>
    <t>AFL182126063</t>
  </si>
  <si>
    <t>AL FLAT BAR 1/8" X 2-1/2" 6063</t>
  </si>
  <si>
    <t>AFL1826061</t>
  </si>
  <si>
    <t>AL FLAT BAR 1/8" X 2" 6061</t>
  </si>
  <si>
    <t>AFL1826063</t>
  </si>
  <si>
    <t>AL FLAT BAR 1/8" X 2" 6063</t>
  </si>
  <si>
    <t>AFL18346061</t>
  </si>
  <si>
    <t>AL FLAT BAR 1/8" X 3/4" 6061</t>
  </si>
  <si>
    <t>AFL18346063</t>
  </si>
  <si>
    <t>AL FLAT BAR 1/8" X 3/4" 6063</t>
  </si>
  <si>
    <t>AFL18586061</t>
  </si>
  <si>
    <t>AL FLAT BAR 1/8" X 5/8" 6061</t>
  </si>
  <si>
    <t>AFL18586063</t>
  </si>
  <si>
    <t>AL FLAT BAR 1/8" X 5/8" 6063</t>
  </si>
  <si>
    <t>AFL3161126061</t>
  </si>
  <si>
    <t>AL FLAT BAR 3/16" X 1-1/2" 6061</t>
  </si>
  <si>
    <t>AFL3161126063</t>
  </si>
  <si>
    <t>AL FLAT BAR 3/16" X 1-1/2" 6063</t>
  </si>
  <si>
    <t>AFL3161146061</t>
  </si>
  <si>
    <t>AL FLAT BAR 3/16" X 1-1/4" 6061</t>
  </si>
  <si>
    <t>AFL3161146063</t>
  </si>
  <si>
    <t>AL FLAT BAR 3/16" X 1-1/4" 6063</t>
  </si>
  <si>
    <t>AFL316126061</t>
  </si>
  <si>
    <t>AL FLAT BAR 3/16" X 1/2" 6061</t>
  </si>
  <si>
    <t>AFL316126063</t>
  </si>
  <si>
    <t>AL FLAT BAR 3/16" X 1/2" 6063</t>
  </si>
  <si>
    <t>AFL3161346061</t>
  </si>
  <si>
    <t>AL FLAT BAR 3/16" X 1-3/4" 6061</t>
  </si>
  <si>
    <t>AFL31616061</t>
  </si>
  <si>
    <t>AL FAT BAR 3/16" X 1" 6061</t>
  </si>
  <si>
    <t>AFL31616063</t>
  </si>
  <si>
    <t>AL FAT BAR 3/16" X 1" 6063</t>
  </si>
  <si>
    <t>AFL3162126061</t>
  </si>
  <si>
    <t>AL FLAT BAR 3/16" X 2-1/2" 6061</t>
  </si>
  <si>
    <t>AFL3162126063</t>
  </si>
  <si>
    <t>AL FLAT BAR 3/16" X 2-1/2" 6063</t>
  </si>
  <si>
    <t>AFL31626061</t>
  </si>
  <si>
    <t>AL FLAT BAR 3/16" X 2" 6061</t>
  </si>
  <si>
    <t>AFL31626063</t>
  </si>
  <si>
    <t>AL FLAT BAR 3/16" X 2" 6063</t>
  </si>
  <si>
    <t>AFL3163126061</t>
  </si>
  <si>
    <t>AL FLAT BAR 3/16" X 3-1/2" 6061</t>
  </si>
  <si>
    <t>AFL316346061</t>
  </si>
  <si>
    <t>AL FLAT BAR 3/16" X 3/4" 6061</t>
  </si>
  <si>
    <t>AFL316346063</t>
  </si>
  <si>
    <t>AL FLAT BAR 3/16" X 3/4" 6063</t>
  </si>
  <si>
    <t>AFL31636061</t>
  </si>
  <si>
    <t>AL FLAT BAR 3/16" X 3" 6061</t>
  </si>
  <si>
    <t>AFL31646061</t>
  </si>
  <si>
    <t>AL FLAT BAR 3/16" X 4" 6061</t>
  </si>
  <si>
    <t>AFL381126061</t>
  </si>
  <si>
    <t>AL FLAT BAR 3/8" X 1-1/2" 6061</t>
  </si>
  <si>
    <t>AFL381126063</t>
  </si>
  <si>
    <t>AL FLAT BAR 3/8" X 1-1/2" 6063</t>
  </si>
  <si>
    <t>AFL381146061</t>
  </si>
  <si>
    <t>AL FLAT BAR 3/8" X 1-1/4" 6061</t>
  </si>
  <si>
    <t>AFL381146063</t>
  </si>
  <si>
    <t>AL FLAT BAR 3/8" X 1-1/4" 6063</t>
  </si>
  <si>
    <t>AFL38126061</t>
  </si>
  <si>
    <t>AL FLAT BAR 3/8" X 1/2" 6061</t>
  </si>
  <si>
    <t>AFL38126063</t>
  </si>
  <si>
    <t>AL FLAT BAR 3/8" X 1/2" 6063</t>
  </si>
  <si>
    <t>AFL381346061</t>
  </si>
  <si>
    <t>AL FLAT BAR 3/8" X 1-3/4" 6061</t>
  </si>
  <si>
    <t>AFL3816061</t>
  </si>
  <si>
    <t>AL FLAT BAR 3/8" X 1" 6061</t>
  </si>
  <si>
    <t>AFL3816063</t>
  </si>
  <si>
    <t>AL FLAT BAR 3/8" X 1" 6063</t>
  </si>
  <si>
    <t>AFL382126061</t>
  </si>
  <si>
    <t>AL FLAT BAR 3/8" X 2-1/2" 6061</t>
  </si>
  <si>
    <t>AFL3826061</t>
  </si>
  <si>
    <t>AL FLAT BAR 3/8" X 2" 6061</t>
  </si>
  <si>
    <t>AFL3826063</t>
  </si>
  <si>
    <t>AL FLAT BAR 3/8" X 2" 6063</t>
  </si>
  <si>
    <t>AFL383126061</t>
  </si>
  <si>
    <t>AL FLAT BAR 3/8" X 3-1/2" 6061</t>
  </si>
  <si>
    <t>AFL3834601</t>
  </si>
  <si>
    <t>AL FLAT BAR 3/8" X 3/4" 6061</t>
  </si>
  <si>
    <t>AFL3834603</t>
  </si>
  <si>
    <t>AL FLAT BAR 3/8" X 3/4" 6063</t>
  </si>
  <si>
    <t>AFL3836061</t>
  </si>
  <si>
    <t>AL FLAT BAR 3/8" X 3" 6061</t>
  </si>
  <si>
    <t>AFL3836063</t>
  </si>
  <si>
    <t>AL FLAT BAR 3/8" X 3" 6063</t>
  </si>
  <si>
    <t>AFL384126061</t>
  </si>
  <si>
    <t>AL FLAT BAR 3/8" X 4-1/2" 6061</t>
  </si>
  <si>
    <t>AFL3846061</t>
  </si>
  <si>
    <t>AL FLAT BAR 3/8" X 4" 6061</t>
  </si>
  <si>
    <t>AFL3856061</t>
  </si>
  <si>
    <t>AL FLAT BAR 3/8" X 5" 6061</t>
  </si>
  <si>
    <t>AFL38586063</t>
  </si>
  <si>
    <t>AL FLAT BAR 3/8" X 5/8" 6063</t>
  </si>
  <si>
    <t>AFL3866061</t>
  </si>
  <si>
    <t>AL FLAT BAR 3/8" X 6" 6061</t>
  </si>
  <si>
    <t>AFL5161126061</t>
  </si>
  <si>
    <t>AL FLAT BAR 5/16" X 1-1/2" X 6061</t>
  </si>
  <si>
    <t>AFL5161146061</t>
  </si>
  <si>
    <t>AL FLAT BAR 5/16" X 1-1/4" 6061</t>
  </si>
  <si>
    <t>AFL516126061</t>
  </si>
  <si>
    <t>AL FLAT BAR 5/16" X 1/2" 6061</t>
  </si>
  <si>
    <t>AFL51616061</t>
  </si>
  <si>
    <t>AL FLAT BAR 5/16" X 1" 6061</t>
  </si>
  <si>
    <t>AFL51626061</t>
  </si>
  <si>
    <t>AL FLAT BAR 5/16" X 2" 6061</t>
  </si>
  <si>
    <t>AFL516346061</t>
  </si>
  <si>
    <t>AL FLAT BAR 5/16" X 3/4" 6061</t>
  </si>
  <si>
    <t>AFL51636061</t>
  </si>
  <si>
    <t>AL FLAT BAR 5/16" X 3" 6061</t>
  </si>
  <si>
    <t>AN1114</t>
  </si>
  <si>
    <t>1" X 1" X 1/4" A36 ANGLE</t>
  </si>
  <si>
    <t>AN1118</t>
  </si>
  <si>
    <t>1" X 1" X 1/8" A36 ANGLE</t>
  </si>
  <si>
    <t>AN11211214</t>
  </si>
  <si>
    <t>1-1/2" X 1-1/2" X 1/4" A36 ANGLE</t>
  </si>
  <si>
    <t>AN11211218</t>
  </si>
  <si>
    <t>1-1/2" X 1-1/2" X 1/8" A36 ANGLE</t>
  </si>
  <si>
    <t>AN112112316</t>
  </si>
  <si>
    <t>1-1/2" X 1-1/2" X 3/16" A36 ANGLE</t>
  </si>
  <si>
    <t>AN11316</t>
  </si>
  <si>
    <t>1" X 1" X 3/16" A36 ANGLE</t>
  </si>
  <si>
    <t>AN11411414</t>
  </si>
  <si>
    <t>1-1/4" X 1-1/4" X 1/4" A36 ANGLE</t>
  </si>
  <si>
    <t>AN11411418</t>
  </si>
  <si>
    <t>1-1/4" X 1-1/4" X 1/8" A36 ANGLE</t>
  </si>
  <si>
    <t>AN114114316</t>
  </si>
  <si>
    <t>1-1/4" X 1-1/4" X 3/16" A36 ANGLE</t>
  </si>
  <si>
    <t>AN121218</t>
  </si>
  <si>
    <t>1/2" X 1/2" X 1/8" A36 ANGLE</t>
  </si>
  <si>
    <t>AN13413418</t>
  </si>
  <si>
    <t>1-3/4" X 1-3/4" X 1/8" A36 ANGLE</t>
  </si>
  <si>
    <t>AN134134316</t>
  </si>
  <si>
    <t>1-3/4" X 1-3/4" X 3/16" A36 ANGLE</t>
  </si>
  <si>
    <t>AN211218</t>
  </si>
  <si>
    <t>2" X 1-1/2" X 1/8"</t>
  </si>
  <si>
    <t>AN21211214</t>
  </si>
  <si>
    <t>2-1/2" X 1-1/2" X 1/4" A36 Angle</t>
  </si>
  <si>
    <t>AN21221214</t>
  </si>
  <si>
    <t>2-1/2" X 2-1/2" X 1/4" A36 ANGLE</t>
  </si>
  <si>
    <t>AN212212316</t>
  </si>
  <si>
    <t>2-1/2" X 2-1/2" X 3/16" A36 ANGLE</t>
  </si>
  <si>
    <t>AN21221238</t>
  </si>
  <si>
    <t>2-1/2" X 2-1/2" X 3/8" A36 ANGLE</t>
  </si>
  <si>
    <t>AN212212516</t>
  </si>
  <si>
    <t>2-1/2" X 2-1/2" X 5/16" A36 ANGLE</t>
  </si>
  <si>
    <t>AN212214</t>
  </si>
  <si>
    <t>2-1/2" X 2" X 1/4" A36 ANGLE</t>
  </si>
  <si>
    <t>AN2122316</t>
  </si>
  <si>
    <t>2-1/2" X 2" X 3/16" A36 ANGLE</t>
  </si>
  <si>
    <t>AN2214</t>
  </si>
  <si>
    <t>2" X 2" X 1/4" A36 ANGLE</t>
  </si>
  <si>
    <t>AN2218</t>
  </si>
  <si>
    <t>2" X 2" X 1/8" A36 ANGLE</t>
  </si>
  <si>
    <t>AN22316</t>
  </si>
  <si>
    <t>2" X 2" X 3/16" A36 ANGLE</t>
  </si>
  <si>
    <t>AN2238</t>
  </si>
  <si>
    <t>2" X 2" X 3/8" A36 ANGLE</t>
  </si>
  <si>
    <t>AN22516</t>
  </si>
  <si>
    <t>2" X 2" X 5/16" A36 ANGLE</t>
  </si>
  <si>
    <t>AN31221214</t>
  </si>
  <si>
    <t>3-1/2" X 2-1/2" X 1/4" A36 ANGLE</t>
  </si>
  <si>
    <t>AN31231214</t>
  </si>
  <si>
    <t>3-1/2" X 3-1/2" X 1/4" A36 ANGLE</t>
  </si>
  <si>
    <t>AN31231238</t>
  </si>
  <si>
    <t>3-1/2" X 3-1/2" X 3/8" A36 ANGLE</t>
  </si>
  <si>
    <t>AN312312516</t>
  </si>
  <si>
    <t>3-1/2" X 3-1/2" X 5/16" A36 ANGLE</t>
  </si>
  <si>
    <t>AN312314</t>
  </si>
  <si>
    <t>3-1/2" X 3" X 1/4" A36 ANGLE</t>
  </si>
  <si>
    <t>AN312338</t>
  </si>
  <si>
    <t>3-1/2" X 3" X 3/8" A36 ANGLE</t>
  </si>
  <si>
    <t>AN3123516</t>
  </si>
  <si>
    <t>3-1/2" X 3" X 5/16" A36 ANGLE</t>
  </si>
  <si>
    <t>AN321214</t>
  </si>
  <si>
    <t>3" X 2-1/2" X 1/4" A36 ANGLE</t>
  </si>
  <si>
    <t>AN3212316</t>
  </si>
  <si>
    <t>3" X 2-1/2" X 3/16" A36 ANGLE</t>
  </si>
  <si>
    <t>AN321238</t>
  </si>
  <si>
    <t>3" X 2-1/2" X 3/8" A36 ANGLE</t>
  </si>
  <si>
    <t>AN3212516</t>
  </si>
  <si>
    <t>3" X 2-1/2" X 5/16" A36 ANGLE</t>
  </si>
  <si>
    <t>AN3214</t>
  </si>
  <si>
    <t>3" X 2" X 1/4" A36 ANGLE</t>
  </si>
  <si>
    <t>AN32316</t>
  </si>
  <si>
    <t>3" X 2" X 3/16" A36 ANGLE</t>
  </si>
  <si>
    <t>AN3238</t>
  </si>
  <si>
    <t>3" X 2" X 3/8" A36 ANGLE</t>
  </si>
  <si>
    <t>AN32516</t>
  </si>
  <si>
    <t>3" X 2" X 5/16" A36 ANGLE</t>
  </si>
  <si>
    <t>AN3312</t>
  </si>
  <si>
    <t>3" X 3" X 1/2" A36 ANGLE</t>
  </si>
  <si>
    <t>AN3314</t>
  </si>
  <si>
    <t>3" X 3" X 1/4" A36 ANGLE</t>
  </si>
  <si>
    <t>AN33316</t>
  </si>
  <si>
    <t>3" X 3" X 3/16" A36 ANGLE</t>
  </si>
  <si>
    <t>AN3338</t>
  </si>
  <si>
    <t>3" X 3" X 3/8" A36 ANGLE</t>
  </si>
  <si>
    <t>AN33516</t>
  </si>
  <si>
    <t>3" X 3" X 5/16" A36 ANGLE</t>
  </si>
  <si>
    <t>AN343418</t>
  </si>
  <si>
    <t>3/4" X 3/4" X 1/8" A36 ANGLE</t>
  </si>
  <si>
    <t>AN412338</t>
  </si>
  <si>
    <t>4-1/2" X 3" X 3/8" A36 ANGLE</t>
  </si>
  <si>
    <t>AN4312</t>
  </si>
  <si>
    <t>4" X 3" X 1/2" A36 ANGLE</t>
  </si>
  <si>
    <t>AN431214</t>
  </si>
  <si>
    <t>4" X 3-1/2" X 1/4" A36 ANGLE</t>
  </si>
  <si>
    <t>AN431238</t>
  </si>
  <si>
    <t>4" X 3-1/2" X 3/8" A36 ANGLE</t>
  </si>
  <si>
    <t>AN4312516</t>
  </si>
  <si>
    <t>4" X 3-1/2" X 5/16" A36 ANGLE</t>
  </si>
  <si>
    <t>AN4314</t>
  </si>
  <si>
    <t>4" X 3" X 1/4" A36 ANGLE</t>
  </si>
  <si>
    <t>AN4338</t>
  </si>
  <si>
    <t>4" X 3" X 3/8" A36 ANGLE</t>
  </si>
  <si>
    <t>AN43516</t>
  </si>
  <si>
    <t>4" X 3" X 5/16" A36 ANGLE</t>
  </si>
  <si>
    <t>AN4412</t>
  </si>
  <si>
    <t>4" X 4" X 1/2" A36 ANGLE</t>
  </si>
  <si>
    <t>AN4414</t>
  </si>
  <si>
    <t>4" X 4" X 1/4" A36 ANGLE</t>
  </si>
  <si>
    <t>AN4438</t>
  </si>
  <si>
    <t>4" X 4" X 3/8" A36 ANGLE</t>
  </si>
  <si>
    <t>AN44516</t>
  </si>
  <si>
    <t>4" X 4" X 5/16" A36 ANGLE</t>
  </si>
  <si>
    <t>AN531214</t>
  </si>
  <si>
    <t>5" X 3-1/2" X 1/4" A36 ANGLE</t>
  </si>
  <si>
    <t>AN531238</t>
  </si>
  <si>
    <t>5" X 3-1/2" X 3/8" A36 ANGLE</t>
  </si>
  <si>
    <t>AN5312516</t>
  </si>
  <si>
    <t>5" X 3-1/2" X 5/16" A36 ANGLE</t>
  </si>
  <si>
    <t>AN5314</t>
  </si>
  <si>
    <t>5" X 3" X 1/4" A36 ANGLE</t>
  </si>
  <si>
    <t>AN5338</t>
  </si>
  <si>
    <t>5" X 3" X 3/8" A36 ANGLE</t>
  </si>
  <si>
    <t>AN53516</t>
  </si>
  <si>
    <t>5" X 3" X 5/16" A36 ANGLE</t>
  </si>
  <si>
    <t>AN5512</t>
  </si>
  <si>
    <t>5" X 5" X 1/2" A36 ANGLE</t>
  </si>
  <si>
    <t>AN5538</t>
  </si>
  <si>
    <t>5" X 5" X 3/8" A36 ANGLE</t>
  </si>
  <si>
    <t>AN55516</t>
  </si>
  <si>
    <t>5" X 5" X 5/16" A36 ANGLE</t>
  </si>
  <si>
    <t>AN585818</t>
  </si>
  <si>
    <t>5/8" X 5/8" X 1/8" A36 ANGLE</t>
  </si>
  <si>
    <t>AN631214</t>
  </si>
  <si>
    <t>6" X 3-1/2" X 1/4" A36 ANGLE</t>
  </si>
  <si>
    <t>AN631238</t>
  </si>
  <si>
    <t>6" X 3-1/2" X 3/8" A36 ANGLE</t>
  </si>
  <si>
    <t>AN6312516</t>
  </si>
  <si>
    <t>6" X 3-1/2" X 5/16" A36 ANGLE</t>
  </si>
  <si>
    <t>AN6438</t>
  </si>
  <si>
    <t>6" X 4" X 3/8" A36 ANGLE</t>
  </si>
  <si>
    <t>AN64516</t>
  </si>
  <si>
    <t>6" X 4" X 5/16" A36 ANGLE</t>
  </si>
  <si>
    <t>AN6638</t>
  </si>
  <si>
    <t>6" X 6" X 3/8" A36 ANGLE</t>
  </si>
  <si>
    <t>AN66516</t>
  </si>
  <si>
    <t>6" X 6" X 5/16" A36 ANGLE</t>
  </si>
  <si>
    <t>AP112S406061</t>
  </si>
  <si>
    <t>AL PIPE 1-1/2" SCH 40 6061</t>
  </si>
  <si>
    <t>AP112S406063</t>
  </si>
  <si>
    <t>AL PIPE 1-1/2" SCH 40 6063</t>
  </si>
  <si>
    <t>AP114S406061</t>
  </si>
  <si>
    <t>AL PIPE 1-1/4" SCH 40 6061</t>
  </si>
  <si>
    <t>AP114S406063</t>
  </si>
  <si>
    <t>AL PIPE 1-1/4" SCH 40 6063</t>
  </si>
  <si>
    <t>AP12S406061</t>
  </si>
  <si>
    <t>AL PIPE 1/2" SCH 40 6061</t>
  </si>
  <si>
    <t>AP12S406063</t>
  </si>
  <si>
    <t>AL PIPE 1/2" SCH 40 6063</t>
  </si>
  <si>
    <t>AP1S406061</t>
  </si>
  <si>
    <t>AL PIPE 1" SCH 40 6061</t>
  </si>
  <si>
    <t>AP1S406063</t>
  </si>
  <si>
    <t>AL PIPE 1" SCH 40 6063</t>
  </si>
  <si>
    <t>AP212S406061</t>
  </si>
  <si>
    <t>AL PIPE 2-1/2" SCH 40 6061</t>
  </si>
  <si>
    <t>AP212S406063</t>
  </si>
  <si>
    <t>AL PIPE 2-1/2" SCH 40 6063</t>
  </si>
  <si>
    <t>AP2S406061</t>
  </si>
  <si>
    <t>AL PIPE 2" SCH 40 6061</t>
  </si>
  <si>
    <t>AP2S406063</t>
  </si>
  <si>
    <t>AL PIPE 2" SCH 40 6063</t>
  </si>
  <si>
    <t>AP312S406061</t>
  </si>
  <si>
    <t>AL PIPE 3-1/2" SCH 40 6061</t>
  </si>
  <si>
    <t>AP312S406063</t>
  </si>
  <si>
    <t>AL PIPE 3-1/2" SCH 40 6063</t>
  </si>
  <si>
    <t>AP34S406061</t>
  </si>
  <si>
    <t>AL PIPE 3/4" SCH 40 6061</t>
  </si>
  <si>
    <t>AP34S406063</t>
  </si>
  <si>
    <t>AL PIPE 3/4" SCH 40 6063</t>
  </si>
  <si>
    <t>AP3S406061</t>
  </si>
  <si>
    <t>AL PIPE 3" SCH 40 6061</t>
  </si>
  <si>
    <t>AP3S406063</t>
  </si>
  <si>
    <t>AL PIPE 3" SCH 40 6063</t>
  </si>
  <si>
    <t>AP4S406061</t>
  </si>
  <si>
    <t>AL PIPE 4" SCH 40 6061</t>
  </si>
  <si>
    <t>AP4S406063</t>
  </si>
  <si>
    <t>AL PIPE 4" SCH 40 6063</t>
  </si>
  <si>
    <t>AP5S406061</t>
  </si>
  <si>
    <t>AL PIPE 5" SCH 40 6061</t>
  </si>
  <si>
    <t>AP5S406063</t>
  </si>
  <si>
    <t>AL PIPE 5" SCH 40 6063</t>
  </si>
  <si>
    <t>AP6S406061</t>
  </si>
  <si>
    <t>AL PIPE 6" SCH 40 6061</t>
  </si>
  <si>
    <t>AP6S406063</t>
  </si>
  <si>
    <t>AL PIPE 6" SCH 40 6063</t>
  </si>
  <si>
    <t>AP8S406061</t>
  </si>
  <si>
    <t>AL PIPE 8" SCH 40 6061</t>
  </si>
  <si>
    <t>AP8S406063</t>
  </si>
  <si>
    <t>AL PIPE 8" SCH 40 6063</t>
  </si>
  <si>
    <t>ARDT11211GA6061</t>
  </si>
  <si>
    <t>AL RND TUBE 1-1/2" OD X 11GA 6061</t>
  </si>
  <si>
    <t>ARDT11211GA6063</t>
  </si>
  <si>
    <t>AL RND TUBE 1-1/2" OD X 11GA 6063</t>
  </si>
  <si>
    <t>ARDT112146061</t>
  </si>
  <si>
    <t>AL RND TUBE 1-1/2" OD X 1/4" 6061</t>
  </si>
  <si>
    <t>ARDT112146063</t>
  </si>
  <si>
    <t>AL RND TUBE 1-1/2" OD X 1/4" 6063</t>
  </si>
  <si>
    <t>ARDT211GA6061</t>
  </si>
  <si>
    <t>AL RND TUBE 2" OD X 11GA 6061</t>
  </si>
  <si>
    <t>ARDT211GA6063</t>
  </si>
  <si>
    <t>AL RND TUBE 2" OD X 11GA 6063</t>
  </si>
  <si>
    <t>ARDT212126061</t>
  </si>
  <si>
    <t>AL RND TUBE 2-1/2" OD X 1/2" 6061</t>
  </si>
  <si>
    <t>ARDT212126063</t>
  </si>
  <si>
    <t>AL RND TUBE 2-1/2" OD X 1/2" 6063</t>
  </si>
  <si>
    <t>ARDT212146061</t>
  </si>
  <si>
    <t>AL RND TUBE 2-1/2" OD X 1/4" 6061</t>
  </si>
  <si>
    <t>ARDT212146063</t>
  </si>
  <si>
    <t>AL RND TUBE 2-1/2" OD X 1/4" 6063</t>
  </si>
  <si>
    <t>ARDT212386061</t>
  </si>
  <si>
    <t>AL RND TUBE 2-1/2" OD X 3/8" 6061</t>
  </si>
  <si>
    <t>ARDT212386063</t>
  </si>
  <si>
    <t>AL RND TUBE 2-1/2" OD X 3/8" 6063</t>
  </si>
  <si>
    <t>ARDT214146061</t>
  </si>
  <si>
    <t>AL RND TUBE 2-1/4" OD X 1/4" 6061</t>
  </si>
  <si>
    <t>ARDT214146063</t>
  </si>
  <si>
    <t>AL RND TUBE 2-1/4" OD X 1/4" 6063</t>
  </si>
  <si>
    <t>ARDT2146061</t>
  </si>
  <si>
    <t>AL RND TUBE 2" OD X 1/4" 6061</t>
  </si>
  <si>
    <t>ARDT2146063</t>
  </si>
  <si>
    <t>AL RND TUBE 2" OD X 1/4" 6063</t>
  </si>
  <si>
    <t>ARDT234146061</t>
  </si>
  <si>
    <t>AL RND TUBE 2-3/4" OD X 1/4" 6061</t>
  </si>
  <si>
    <t>ARDT234146063</t>
  </si>
  <si>
    <t>AL RND TUBE 2-3/4" OD X 1/4" 6063</t>
  </si>
  <si>
    <t>ARDT2386061</t>
  </si>
  <si>
    <t>AL RND TUBE 2" OD X 3/8" 6061</t>
  </si>
  <si>
    <t>ARDT2386063</t>
  </si>
  <si>
    <t>AL RND TUBE 2" OD X 3/8" 6063</t>
  </si>
  <si>
    <t>ARDT311GA6061</t>
  </si>
  <si>
    <t>AL RND TUBE 3" OD X 11GA 6061</t>
  </si>
  <si>
    <t>ARDT311GA6063</t>
  </si>
  <si>
    <t>AL RND TUBE 3" OD X 11GA 6063</t>
  </si>
  <si>
    <t>ARDT312126061</t>
  </si>
  <si>
    <t>AL RND TUBE 3-1/2" OD X 1/2" 6061</t>
  </si>
  <si>
    <t>ARDT312126063</t>
  </si>
  <si>
    <t>AL RND TUBE 3-1/2" OD X 1/2" 6063</t>
  </si>
  <si>
    <t>ARDT312146061</t>
  </si>
  <si>
    <t>AL RND TUBE 3-1/2" OD X 1/4" 6061</t>
  </si>
  <si>
    <t>ARDT312146063</t>
  </si>
  <si>
    <t>AL RND TUBE 3-1/2" OD X 1/4" 6063</t>
  </si>
  <si>
    <t>ARDT3126061</t>
  </si>
  <si>
    <t>AL RND TUBE 3" OD X 1/2" 6061</t>
  </si>
  <si>
    <t>ARDT3126063</t>
  </si>
  <si>
    <t>AL RND TUBE 3" OD X 1/2" 6063</t>
  </si>
  <si>
    <t>ARDT314386061</t>
  </si>
  <si>
    <t>AL RND TUBE 3-1/4" OD X 3/8" 6061</t>
  </si>
  <si>
    <t>ARDT314386063</t>
  </si>
  <si>
    <t>AL RND TUBE 3-1/4" OD X 3/8" 6063</t>
  </si>
  <si>
    <t>ARDT3146061</t>
  </si>
  <si>
    <t>AL RND TUBE 3" OD X 1/4" 6061</t>
  </si>
  <si>
    <t>ARDT3146063</t>
  </si>
  <si>
    <t>AL RND TUBE 3" OD X 1/4" 6063</t>
  </si>
  <si>
    <t>ARDT334126061</t>
  </si>
  <si>
    <t>AL RND TUBE 3-3/4" OD X 1/2" 6061</t>
  </si>
  <si>
    <t>ARDT334126063</t>
  </si>
  <si>
    <t>AL RND TUBE 3-3/4" OD X 1/2" 6063</t>
  </si>
  <si>
    <t>ARDT411GA6061</t>
  </si>
  <si>
    <t>AL RND TUBE 4" OD X 11GA 6061</t>
  </si>
  <si>
    <t>ARDT411GA6063</t>
  </si>
  <si>
    <t>AL RND TUBE 4" OD X 11GA 6063</t>
  </si>
  <si>
    <t>ARDT412126061</t>
  </si>
  <si>
    <t>AL RND TUBE 4-1/2" OD X 1/2" 6061</t>
  </si>
  <si>
    <t>ARDT412126063</t>
  </si>
  <si>
    <t>AL RND TUBE 4-1/2" OD X 1/2" 6063</t>
  </si>
  <si>
    <t>ARDT4126061</t>
  </si>
  <si>
    <t>AL RND TUBE 4" OD X 1/2" 6061</t>
  </si>
  <si>
    <t>ARDT4126063</t>
  </si>
  <si>
    <t>AL RND TUBE 4" OD X 1/2" 6063</t>
  </si>
  <si>
    <t>ARDT4146061</t>
  </si>
  <si>
    <t>AL RND TUBE 4" OD X 1/4" 6061</t>
  </si>
  <si>
    <t>ARDT4146063</t>
  </si>
  <si>
    <t>AL RND TUBE 4" OD X 1/4" 6063</t>
  </si>
  <si>
    <t>ARDT512126061</t>
  </si>
  <si>
    <t>AL RND TUBE 5-1/2" OD X 1/2" 6061</t>
  </si>
  <si>
    <t>ARDT512126063</t>
  </si>
  <si>
    <t>AL RND TUBE 5-1/2" OD X 1/2" 6063</t>
  </si>
  <si>
    <t>ARDT5126061</t>
  </si>
  <si>
    <t>AL RND TUBE 5" OD X 1/2" 6061</t>
  </si>
  <si>
    <t>ARDT5126063</t>
  </si>
  <si>
    <t>AL RND TUBE 5" OD X 1/2" 6063</t>
  </si>
  <si>
    <t>ARDT5146061</t>
  </si>
  <si>
    <t>AL RND TUBE 5" OD X 1/4" 6061</t>
  </si>
  <si>
    <t>ARDT5146063</t>
  </si>
  <si>
    <t>AL RND TUBE 5" OD X 1/4" 6063</t>
  </si>
  <si>
    <t>ARDT611GA6061</t>
  </si>
  <si>
    <t>AL RND TUBE 6" OD X 11GA 6061</t>
  </si>
  <si>
    <t>ARDT611GA6063</t>
  </si>
  <si>
    <t>AL RND TUBE 6" OD X 11GA 6063</t>
  </si>
  <si>
    <t>ARDT612126061</t>
  </si>
  <si>
    <t>AL RND TUBE 6-1/2" OD X 1/2" 6061</t>
  </si>
  <si>
    <t>ARDT612126063</t>
  </si>
  <si>
    <t>AL RND TUBE 6-1/2" OD X 1/2" 6063</t>
  </si>
  <si>
    <t>ARDT6126061</t>
  </si>
  <si>
    <t>AL RND TUBE 6" OD X 1/2" 6061</t>
  </si>
  <si>
    <t>ARDT6126063</t>
  </si>
  <si>
    <t>AL RND TUBE 6" OD X 1/2" 6063</t>
  </si>
  <si>
    <t>ARDT6146061</t>
  </si>
  <si>
    <t>AL RND TUBE 6" OD X 1/4" 6061</t>
  </si>
  <si>
    <t>ARDT6146063</t>
  </si>
  <si>
    <t>AL RND TUBE 6" OD X 1/4" 6063</t>
  </si>
  <si>
    <t>ARDT614GA6061</t>
  </si>
  <si>
    <t>AL RND TUBE 6" OD X 14GA 6061</t>
  </si>
  <si>
    <t>ARDT614GA6063</t>
  </si>
  <si>
    <t>AL RND TUBE 6" OD X 14GA 6063</t>
  </si>
  <si>
    <t>ARDT7126061</t>
  </si>
  <si>
    <t>AL RND TUBE 7" OD X 1/2" 6061</t>
  </si>
  <si>
    <t>ARDT7126063</t>
  </si>
  <si>
    <t>AL RND TUBE 7" OD X 1/2" 6063</t>
  </si>
  <si>
    <t>ARDT8386061</t>
  </si>
  <si>
    <t>AL RND TUBE 8" OD X 3/8" 6061</t>
  </si>
  <si>
    <t>ARDT8386063</t>
  </si>
  <si>
    <t>AL RND TUBE 8" OD X 3/8" 6063</t>
  </si>
  <si>
    <t>ART111211GA6061</t>
  </si>
  <si>
    <t>AL RECT TUBE 1" X 1-1/2" X 11GA 6061</t>
  </si>
  <si>
    <t>ART111211GA6063</t>
  </si>
  <si>
    <t>AL RECT TUBE 1" X 1-1/2" X 11GA 6063</t>
  </si>
  <si>
    <t>ART112211GA6063</t>
  </si>
  <si>
    <t>AL RECT TUBE 1-1/2" X 2" X 11GA 6063</t>
  </si>
  <si>
    <t>ART11221211GA6061</t>
  </si>
  <si>
    <t>AL RECT TUBE 1-1/2" X 2-1/2" X 11GA 6061</t>
  </si>
  <si>
    <t>ART11221211GA6063</t>
  </si>
  <si>
    <t>AL RECT TUBE 1-1/2" X 2-1/2" X 11GA 6063</t>
  </si>
  <si>
    <t>ART112311GA6061</t>
  </si>
  <si>
    <t>AL RECT TUBE 1-1/2" X 3" X 11GA 6061</t>
  </si>
  <si>
    <t>ART11233166063</t>
  </si>
  <si>
    <t>AL RECT TUBE 1-1/2" X 3" X 3/16" 6063</t>
  </si>
  <si>
    <t>ART1211GA6061</t>
  </si>
  <si>
    <t>AL RECT TUBE 1" X 2" X 11GA 6061</t>
  </si>
  <si>
    <t>ART1211GA6063</t>
  </si>
  <si>
    <t>AL RECT TUBE 1" X 2" X 11GA 6063</t>
  </si>
  <si>
    <t>ART1311GA6063</t>
  </si>
  <si>
    <t>AL RECT TUBE 1" X 3" X 11GA 6063</t>
  </si>
  <si>
    <t>ART134311GA6063</t>
  </si>
  <si>
    <t>AL RECT TUBE 1-3/4" X 3" X 11GA 6063</t>
  </si>
  <si>
    <t>ART1411GA6063</t>
  </si>
  <si>
    <t>AL RECT TUBE 1" X 4" X 11GA 6063</t>
  </si>
  <si>
    <t>ART1611GA6061</t>
  </si>
  <si>
    <t>AL RECT TUBE 1" X 6" X 11GA 6061</t>
  </si>
  <si>
    <t>ART2311GA6061</t>
  </si>
  <si>
    <t>AL RECT TUBE 2" X 3" X 11GA 6061</t>
  </si>
  <si>
    <t>ART2311GA6063</t>
  </si>
  <si>
    <t>AL RECT TUBE 2" X 3" X 11GA 6063</t>
  </si>
  <si>
    <t>ART23146061</t>
  </si>
  <si>
    <t>AL RECT TUBE 2" X 3" X 1/4" 6061</t>
  </si>
  <si>
    <t>ART2411GA6061</t>
  </si>
  <si>
    <t>AL RECT TUBE 2" X 4" X 11GA 6061</t>
  </si>
  <si>
    <t>ART2411GA6063</t>
  </si>
  <si>
    <t>AL RECT TUBE 2" X 4" X 11GA 6063</t>
  </si>
  <si>
    <t>ART24386061</t>
  </si>
  <si>
    <t>AL RECT TUBE 2" X 4" X 3/8" 6061</t>
  </si>
  <si>
    <t>ART2511GA6061</t>
  </si>
  <si>
    <t>AL RECT TUBE 2" X 5" X 11GA 6061</t>
  </si>
  <si>
    <t>ART2511GA6063</t>
  </si>
  <si>
    <t>AL RECT TUBE 2" X 5" X 11GA 6063</t>
  </si>
  <si>
    <t>ART2611GA6061</t>
  </si>
  <si>
    <t>AL RECT TUBE 2" X 6" X 11GA 6061</t>
  </si>
  <si>
    <t>ART2611GA6063</t>
  </si>
  <si>
    <t>AL RECT TUBE 2" X 6" X 11GA 6063</t>
  </si>
  <si>
    <t>ART26146061</t>
  </si>
  <si>
    <t>AL RECT TUBE 2" X 6" X 1/4" 6061</t>
  </si>
  <si>
    <t>ART2811GA6061</t>
  </si>
  <si>
    <t>AL RECT TUBE 2" X 8" X 11GA 6061</t>
  </si>
  <si>
    <t>ART28146061</t>
  </si>
  <si>
    <t>AL RECT TUBE 2" X 8" X 1/4" 6061</t>
  </si>
  <si>
    <t>ART3411211GA6063</t>
  </si>
  <si>
    <t>AL RECT TUBE 3/4" X 1-1/2" X 11GA 6063</t>
  </si>
  <si>
    <t>ART34146061</t>
  </si>
  <si>
    <t>AL RECT TUBE 3" X 4" X 1/4" 6061</t>
  </si>
  <si>
    <t>ART353166061</t>
  </si>
  <si>
    <t>AL RECT TUBE 3" X 5" X 3/16" 6061</t>
  </si>
  <si>
    <t>ART36146061</t>
  </si>
  <si>
    <t>AL RECT TUBE 3" X 6" X 1/4" 6061</t>
  </si>
  <si>
    <t>ART363166061</t>
  </si>
  <si>
    <t>AL RECT TUBE 3" X 6" X 3/16" 6061</t>
  </si>
  <si>
    <t>ART46146061</t>
  </si>
  <si>
    <t>AL RECT TUBE 4" X 6" X 1/4" 6061</t>
  </si>
  <si>
    <t>ART48146061</t>
  </si>
  <si>
    <t>AL RECT TUBE 4" X 8" X 1/4" 6061</t>
  </si>
  <si>
    <t>ART48386061</t>
  </si>
  <si>
    <t>AL RECT TUBE 4" X 8" X 3/8" 6061</t>
  </si>
  <si>
    <t>ART58386061</t>
  </si>
  <si>
    <t>AL RECT TUBE 5" X 8" X 3/8" 6061</t>
  </si>
  <si>
    <t>ART68386061</t>
  </si>
  <si>
    <t>AL RECT TUBE 6" X 8" X 3/8" 6061</t>
  </si>
  <si>
    <t>AST1111GA6063</t>
  </si>
  <si>
    <t>AL SQ TUBE 1" X 1" X 11GA 6063</t>
  </si>
  <si>
    <t>AST1116GA</t>
  </si>
  <si>
    <t>AL SQ TUBE 1" X 1" X 16GA</t>
  </si>
  <si>
    <t>AST11211211GA6063</t>
  </si>
  <si>
    <t>AL SQ TUBE 1-1/2" X 1-1/2" X 11GA 6063</t>
  </si>
  <si>
    <t>AST11411411GA6063</t>
  </si>
  <si>
    <t>AL SQ TUBE 1-1/4" X 1-1/4" X 11GA 6063</t>
  </si>
  <si>
    <t>AST13413411GA6063</t>
  </si>
  <si>
    <t>AL SQ TUBE 1-3/4" X 1-3/4" X 11GA 6063</t>
  </si>
  <si>
    <t>AST2211GA6063</t>
  </si>
  <si>
    <t>AL SQ TUBE 2" X 2" X 11GA 6063</t>
  </si>
  <si>
    <t>AST22146063</t>
  </si>
  <si>
    <t>AL SQ TUBE 2" X 2" X 1/4" 6063</t>
  </si>
  <si>
    <t>AST3311GA6063</t>
  </si>
  <si>
    <t>AL SQ TUBE 3" X 3" X 11GA 6063</t>
  </si>
  <si>
    <t>AST33146063</t>
  </si>
  <si>
    <t>AL SQ TUBE 3" X 3" X 1/4" 6063</t>
  </si>
  <si>
    <t>AST343411GA6063</t>
  </si>
  <si>
    <t>AL SQ TUBE 3/4" X 3/4" X 11GA 6063</t>
  </si>
  <si>
    <t>AST4411GA6063</t>
  </si>
  <si>
    <t>AL SQ TUBE 4" X 4" X 11GA 6063</t>
  </si>
  <si>
    <t>AST44146063</t>
  </si>
  <si>
    <t>AL SQ TUBE 4" X 4" X 1/4" 6063</t>
  </si>
  <si>
    <t>AWF443136061</t>
  </si>
  <si>
    <t>WF 4" X 4" X .313" 6061</t>
  </si>
  <si>
    <t>AWF642306061</t>
  </si>
  <si>
    <t>WF 6" X 4" X .230" 6061</t>
  </si>
  <si>
    <t>CFFL141</t>
  </si>
  <si>
    <t>CF FLAT BAR 1/4" X 1"</t>
  </si>
  <si>
    <t>CFFL14112</t>
  </si>
  <si>
    <t>CF FLAT BAR 1/4" X 1-1/2"</t>
  </si>
  <si>
    <t>CFFL14114</t>
  </si>
  <si>
    <t>CF FLAT BAR 1/4" X 1-1/4"</t>
  </si>
  <si>
    <t>CFFL1412</t>
  </si>
  <si>
    <t>CF FLAT BAR 1/4" X 1/2"</t>
  </si>
  <si>
    <t>CFFL14134</t>
  </si>
  <si>
    <t>CF FLAT BAR 1/4" X 1-3/4"</t>
  </si>
  <si>
    <t>CFFL142</t>
  </si>
  <si>
    <t>CF FLAT BAR 1/4" X 2"</t>
  </si>
  <si>
    <t>CFFL14212</t>
  </si>
  <si>
    <t>CF FLAT BAR 1/4" X 2-1/2"</t>
  </si>
  <si>
    <t>CFFL14234</t>
  </si>
  <si>
    <t>CF FLAT BAR 1/4" X 2-3/4"</t>
  </si>
  <si>
    <t>CFFL143</t>
  </si>
  <si>
    <t>CF FLAT BAR 1/4" X 3"</t>
  </si>
  <si>
    <t>CFFL14312</t>
  </si>
  <si>
    <t>CF FLAT BAR 1/4" X 3-1/2"</t>
  </si>
  <si>
    <t>CFFL1434</t>
  </si>
  <si>
    <t>CF FLAT BAR 1/4" X 3/4"</t>
  </si>
  <si>
    <t>CFFL144</t>
  </si>
  <si>
    <t>CF FLAT BAR 1/4" X 4"</t>
  </si>
  <si>
    <t>CFFL14412</t>
  </si>
  <si>
    <t>CF FLAT BAR 1/4" X 4-1/2"</t>
  </si>
  <si>
    <t>CFFL145</t>
  </si>
  <si>
    <t>CF FLAT BAR 1/4" X 5"</t>
  </si>
  <si>
    <t>CFFL14512</t>
  </si>
  <si>
    <t>CF FLAT BAR 1/4" X 5-1/2"</t>
  </si>
  <si>
    <t>CFFL1458</t>
  </si>
  <si>
    <t>CF  FLAT BAR 1/4" X 5/8"</t>
  </si>
  <si>
    <t>CFFL146</t>
  </si>
  <si>
    <t>CF FLAT BAR 1/4" X 6"</t>
  </si>
  <si>
    <t>CFFL147</t>
  </si>
  <si>
    <t>CF FLAT BAR 1/4" X 7"</t>
  </si>
  <si>
    <t>CFFL148</t>
  </si>
  <si>
    <t>CF FLAT BAR 1/4" X 8"</t>
  </si>
  <si>
    <t>CFFL181</t>
  </si>
  <si>
    <t>CF FLAT BAR 1/8" X 1"</t>
  </si>
  <si>
    <t>CFFL18112</t>
  </si>
  <si>
    <t>CF FLAT BAR 1/8" X 1-1/2"</t>
  </si>
  <si>
    <t>CFFL18114</t>
  </si>
  <si>
    <t>CF FLAT BAR 1/8" X 1-1/4"</t>
  </si>
  <si>
    <t>CFFL1812</t>
  </si>
  <si>
    <t>CF FLAT BAR 1/8" X 1/2"</t>
  </si>
  <si>
    <t>CFFL18134</t>
  </si>
  <si>
    <t>CF FLAT BAR 1/8" X 1-3/4"</t>
  </si>
  <si>
    <t>CFFL182</t>
  </si>
  <si>
    <t>CF FLAT BAR 1/8" X 2"</t>
  </si>
  <si>
    <t>CFFL18212</t>
  </si>
  <si>
    <t>CF FLAT BAR 1/8" X 2-1/2"</t>
  </si>
  <si>
    <t>CFFL183</t>
  </si>
  <si>
    <t>CF FLAT BAR 1/8" X 3"</t>
  </si>
  <si>
    <t>CFFL1834</t>
  </si>
  <si>
    <t>CF FLAT BAR 1/8" X 3/4"</t>
  </si>
  <si>
    <t>CFFL184</t>
  </si>
  <si>
    <t>CF FLAT BAR 1/8" X 4"</t>
  </si>
  <si>
    <t>CFFL185</t>
  </si>
  <si>
    <t>CF FLAT BAR 1/8" X 5"</t>
  </si>
  <si>
    <t>CFFL1858</t>
  </si>
  <si>
    <t>CF FLAT BAR 1/8" X 5/8"</t>
  </si>
  <si>
    <t>CFFL186</t>
  </si>
  <si>
    <t>CF FLAT BAR 1/8" X 6"</t>
  </si>
  <si>
    <t>CFFL3161</t>
  </si>
  <si>
    <t>CF FLAT BAR 3/16" X 1"</t>
  </si>
  <si>
    <t>CFFL316112</t>
  </si>
  <si>
    <t>CF FLAT BAR 3/16" X 1-1/2"</t>
  </si>
  <si>
    <t>CFFL316114</t>
  </si>
  <si>
    <t>CF FLAT BAR 3/16" X 1-1/4"</t>
  </si>
  <si>
    <t>CFFL31612</t>
  </si>
  <si>
    <t>CF FLAT BAR 3/16" X 1/2"</t>
  </si>
  <si>
    <t>CFFL316134</t>
  </si>
  <si>
    <t>CF FLAT BAR 3/16" X 1-3/4"</t>
  </si>
  <si>
    <t>CFFL3162</t>
  </si>
  <si>
    <t>CF FLAT BAR 3/16" X 2"</t>
  </si>
  <si>
    <t>CFFL316212</t>
  </si>
  <si>
    <t>CF FLAT BAR 3/16" X 2-1/2"</t>
  </si>
  <si>
    <t>CFFL3163</t>
  </si>
  <si>
    <t>CF FLAT BAR 3/16" X 3"</t>
  </si>
  <si>
    <t>CFFL31634</t>
  </si>
  <si>
    <t>CF FLAT BAR 3/16" X 3/4"</t>
  </si>
  <si>
    <t>CFFL3164</t>
  </si>
  <si>
    <t>CF FLAT BAR 3/16" X 4"</t>
  </si>
  <si>
    <t>CFFL3165</t>
  </si>
  <si>
    <t>CF FLAT BAR 3/16" X 5"</t>
  </si>
  <si>
    <t>CFFL31658</t>
  </si>
  <si>
    <t>CF FLAT BAR 3/16" X 5/8"</t>
  </si>
  <si>
    <t>CFFL3166</t>
  </si>
  <si>
    <t>CF FLAT BAR 3/16" X 6"</t>
  </si>
  <si>
    <t>CFFL3167</t>
  </si>
  <si>
    <t>CF FLAT BAR 3/16" X 7"</t>
  </si>
  <si>
    <t>CFFL3168</t>
  </si>
  <si>
    <t>CF FLAT BAR 3/16" X 8"</t>
  </si>
  <si>
    <t>CFFL381</t>
  </si>
  <si>
    <t>CF FLAT BAR 3/8" X 1"</t>
  </si>
  <si>
    <t>CFFL38112</t>
  </si>
  <si>
    <t>CF FLAT BAR 3/8" X 1-1/2"</t>
  </si>
  <si>
    <t>CFFL38114</t>
  </si>
  <si>
    <t>CF FLAT BAR 3/8" X 1-1/4"</t>
  </si>
  <si>
    <t>CFFL3812</t>
  </si>
  <si>
    <t>CF FLAT BAR 3/8" X 1/2"</t>
  </si>
  <si>
    <t>CFFL382</t>
  </si>
  <si>
    <t>CF FLAT BAR 3/8" X 2"</t>
  </si>
  <si>
    <t>CFFL38212</t>
  </si>
  <si>
    <t>CF FLAT BAR 3/8" X 2-1/2"</t>
  </si>
  <si>
    <t>CFFL383</t>
  </si>
  <si>
    <t>CF FLAT BAR 3/8" X 3"</t>
  </si>
  <si>
    <t>CFFL38312</t>
  </si>
  <si>
    <t>CF FLAT BAR 3/8" X 3-1/2"</t>
  </si>
  <si>
    <t>CFFL3834</t>
  </si>
  <si>
    <t>CF FLAT BAR 3/8" X 3/4"</t>
  </si>
  <si>
    <t>CFFL384</t>
  </si>
  <si>
    <t>CF FLAT BAR 3/8" X 4"</t>
  </si>
  <si>
    <t>CFFL38412</t>
  </si>
  <si>
    <t>CF FLAT BAR 3/8" X 4-1/2"</t>
  </si>
  <si>
    <t>CFFL385</t>
  </si>
  <si>
    <t>CF FLAT BAR 3/8" X 5"</t>
  </si>
  <si>
    <t>CFFL38512</t>
  </si>
  <si>
    <t>CF FLAT BAR 3/8" X 5-1/2"</t>
  </si>
  <si>
    <t>CFFL386</t>
  </si>
  <si>
    <t>CF FLAT BAR 3/8" X 6"</t>
  </si>
  <si>
    <t>CFFL387</t>
  </si>
  <si>
    <t>CF FLAT BAR 3/8" X 7"</t>
  </si>
  <si>
    <t>CFFL388</t>
  </si>
  <si>
    <t>CF FLAT BAR 3/8" X 8"</t>
  </si>
  <si>
    <t>CFFL5161</t>
  </si>
  <si>
    <t>CF FLAT BAR 5/16" X 1"</t>
  </si>
  <si>
    <t>CFFL516112</t>
  </si>
  <si>
    <t>CF FLAT BAR 5/16" X 1-1/2"</t>
  </si>
  <si>
    <t>CFFL516114</t>
  </si>
  <si>
    <t>CF FLAT BAR 5/16" X 1-1/4"</t>
  </si>
  <si>
    <t>CFFL51612</t>
  </si>
  <si>
    <t>CF FLAT BAR 5/16" X 1/2"</t>
  </si>
  <si>
    <t>CFFL516134</t>
  </si>
  <si>
    <t>CF FLAT BAR 5/16" X 1-3/4"</t>
  </si>
  <si>
    <t>CFFL5162</t>
  </si>
  <si>
    <t>CF FLAT BAR 5/16" X 2"</t>
  </si>
  <si>
    <t>CFFL516212</t>
  </si>
  <si>
    <t>CF FLAT BAR 5/16" X 2-1/2"</t>
  </si>
  <si>
    <t>CFFL5163</t>
  </si>
  <si>
    <t>CF FLAT BAR 5/16" X 3"</t>
  </si>
  <si>
    <t>CFFL516312</t>
  </si>
  <si>
    <t>CF FLAT BAR 5/16" X 3-1/2"</t>
  </si>
  <si>
    <t>CFFL51634</t>
  </si>
  <si>
    <t>CF FLAT BAR 5/16" X 3/4"</t>
  </si>
  <si>
    <t>CFFL5164</t>
  </si>
  <si>
    <t>CF FLAT BAR 5/16" X 4"</t>
  </si>
  <si>
    <t>CFFL516412</t>
  </si>
  <si>
    <t>CF FLAT BAR 5/16" X 4-1/2"</t>
  </si>
  <si>
    <t>CFFL5165</t>
  </si>
  <si>
    <t>CF FLAT BAR 5/16" X 5"</t>
  </si>
  <si>
    <t>CFFL516512</t>
  </si>
  <si>
    <t>CF FLAT BAR 5/16" X 5-1/2"</t>
  </si>
  <si>
    <t>CFFL51658</t>
  </si>
  <si>
    <t>CF FLAT BAR 5/16" X 5/8"</t>
  </si>
  <si>
    <t>CFFL5166</t>
  </si>
  <si>
    <t>CF FLAT BAR 5/16" X 6"</t>
  </si>
  <si>
    <t>CH112112316</t>
  </si>
  <si>
    <t>CH 1-1/2" X 1-1/2" X 3/16"</t>
  </si>
  <si>
    <t>CH11218</t>
  </si>
  <si>
    <t>CH 1" X 1/2" X 1/8"</t>
  </si>
  <si>
    <t>CH1123418</t>
  </si>
  <si>
    <t>CH 1-1/2" X 3/4" X 1/8"</t>
  </si>
  <si>
    <t>CH1141218</t>
  </si>
  <si>
    <t>CH 1-1/4" X 1/2" X 1/8"</t>
  </si>
  <si>
    <t>CH13412316</t>
  </si>
  <si>
    <t>CH 1-3/4" X 1/2" X 3/16"</t>
  </si>
  <si>
    <t>CH2118</t>
  </si>
  <si>
    <t>CH 2" X 1" X 1/8"</t>
  </si>
  <si>
    <t>CH21218</t>
  </si>
  <si>
    <t>CH 2" X 1/2" X 1/8"</t>
  </si>
  <si>
    <t>CH21316</t>
  </si>
  <si>
    <t>CH 2" X 1" X 3/16"</t>
  </si>
  <si>
    <t>CH341</t>
  </si>
  <si>
    <t>CH 3 X 4.1</t>
  </si>
  <si>
    <t>CH35</t>
  </si>
  <si>
    <t>CH 3 X 5</t>
  </si>
  <si>
    <t>CH36</t>
  </si>
  <si>
    <t>CH 3 X 6</t>
  </si>
  <si>
    <t>CH445</t>
  </si>
  <si>
    <t>CH 4 X 4.5</t>
  </si>
  <si>
    <t>CH454</t>
  </si>
  <si>
    <t>CH 4 X 5.4</t>
  </si>
  <si>
    <t>CH4725</t>
  </si>
  <si>
    <t>CH 4 X 7.25</t>
  </si>
  <si>
    <t>CH567</t>
  </si>
  <si>
    <t>CH 5 X 6.7</t>
  </si>
  <si>
    <t>CH59</t>
  </si>
  <si>
    <t>CH 5 X 9</t>
  </si>
  <si>
    <t>CH6105</t>
  </si>
  <si>
    <t>CH 6 X 10.5</t>
  </si>
  <si>
    <t>CH613</t>
  </si>
  <si>
    <t>CH 6 X 13</t>
  </si>
  <si>
    <t>CH682</t>
  </si>
  <si>
    <t>CH 6 X 8.2</t>
  </si>
  <si>
    <t>CH71225</t>
  </si>
  <si>
    <t>CH 7 X 12.25</t>
  </si>
  <si>
    <t>CH71475</t>
  </si>
  <si>
    <t>CH 7 X 14.75</t>
  </si>
  <si>
    <t>CH798</t>
  </si>
  <si>
    <t>CH 7 X 9.8</t>
  </si>
  <si>
    <t>CH8115</t>
  </si>
  <si>
    <t>CH 8 X 11.5</t>
  </si>
  <si>
    <t>CH81375</t>
  </si>
  <si>
    <t>CH 8 X 13.75</t>
  </si>
  <si>
    <t>CH81875</t>
  </si>
  <si>
    <t>CH 8 X 18.75</t>
  </si>
  <si>
    <t>HRFL12</t>
  </si>
  <si>
    <t>HR FLAT BAR 1" X 2"</t>
  </si>
  <si>
    <t>HRFL124</t>
  </si>
  <si>
    <t>HR FLAT BAR 1/2" X 4"</t>
  </si>
  <si>
    <t>HRFL13</t>
  </si>
  <si>
    <t>HR FLAT BAR 1" X 3"</t>
  </si>
  <si>
    <t>HRFL141</t>
  </si>
  <si>
    <t>HR FLAT BAR 1/4" X 1"</t>
  </si>
  <si>
    <t>HRFL14112</t>
  </si>
  <si>
    <t>HR FLAT BAR 1/4" X 1-1/2"</t>
  </si>
  <si>
    <t>HRFL14114</t>
  </si>
  <si>
    <t>HR FLAT BAR 1/4" X 1-1/4"</t>
  </si>
  <si>
    <t>HRFL1412</t>
  </si>
  <si>
    <t>HR FLAT BAR 1/4" X 1/2"</t>
  </si>
  <si>
    <t>HRFL14134</t>
  </si>
  <si>
    <t>HR FLAT BAR 1/4" X 1-3/4"</t>
  </si>
  <si>
    <t>HRFL142</t>
  </si>
  <si>
    <t>HR FLAT BAR 1/4" X 2"</t>
  </si>
  <si>
    <t>HRFL14212</t>
  </si>
  <si>
    <t>HR FLAT BAR 1/4" X 2-1/2"</t>
  </si>
  <si>
    <t>HRFL14234</t>
  </si>
  <si>
    <t>HR FLAT BAR 1/4" X 2-3/4"</t>
  </si>
  <si>
    <t>HRFL143</t>
  </si>
  <si>
    <t>HR FLAT BAR 1/4" X 3"</t>
  </si>
  <si>
    <t>HRFL14312</t>
  </si>
  <si>
    <t>HR FLAT BAR 1/4" X 3-1/2"</t>
  </si>
  <si>
    <t>HRFL1434</t>
  </si>
  <si>
    <t>HR FLAT BAR 1/4" X 3/4"</t>
  </si>
  <si>
    <t>HRFL144</t>
  </si>
  <si>
    <t>HR FLAT BAR 1/4" X 4"</t>
  </si>
  <si>
    <t>HRFL14412</t>
  </si>
  <si>
    <t>HR FLAT BAR 1/4" X 4-1/2"</t>
  </si>
  <si>
    <t>HRFL145</t>
  </si>
  <si>
    <t>HR FLAT BAR 1/4" X 5"</t>
  </si>
  <si>
    <t>HRFL14512</t>
  </si>
  <si>
    <t>HR FLAT BAR 1/4" X 5-1/2"</t>
  </si>
  <si>
    <t>HRFL1458</t>
  </si>
  <si>
    <t>HR  FLAT BAR 1/4" X 5/8"</t>
  </si>
  <si>
    <t>HRFL146</t>
  </si>
  <si>
    <t>HR FLAT BAR 1/4" X 6"</t>
  </si>
  <si>
    <t>HRFL147</t>
  </si>
  <si>
    <t>HR FLAT BAR 1/4" X 7"</t>
  </si>
  <si>
    <t>HRFL148</t>
  </si>
  <si>
    <t>HR FLAT BAR 1/4" X 8"</t>
  </si>
  <si>
    <t>HRFL18</t>
  </si>
  <si>
    <t>HR FLAT BAR 1" X 8"</t>
  </si>
  <si>
    <t>HRFL181</t>
  </si>
  <si>
    <t>HR FLAT BAR 1/8" X 1"</t>
  </si>
  <si>
    <t>HRFL18112</t>
  </si>
  <si>
    <t>HR FLAT BAR 1/8" X 1-1/2"</t>
  </si>
  <si>
    <t>HRFL18114</t>
  </si>
  <si>
    <t>HR FLAT BAR 1/8" X 1-1/4"</t>
  </si>
  <si>
    <t>HRFL1812</t>
  </si>
  <si>
    <t>HR FLAT BAR 1/8" X 1/2"</t>
  </si>
  <si>
    <t>HRFL18134</t>
  </si>
  <si>
    <t>HR FLAT BAR 1/8" X 1-3/4"</t>
  </si>
  <si>
    <t>HRFL182</t>
  </si>
  <si>
    <t>HR FLAT BAR 1/8" X 2"</t>
  </si>
  <si>
    <t>HRFL18212</t>
  </si>
  <si>
    <t>HR FLAT BAR 1/8" X 2-1/2"</t>
  </si>
  <si>
    <t>HRFL183</t>
  </si>
  <si>
    <t>HR FLAT BAR 1/8" X 3"</t>
  </si>
  <si>
    <t>HRFL1834</t>
  </si>
  <si>
    <t>HR FLAT BAR 1/8" X 3/4"</t>
  </si>
  <si>
    <t>HRFL184</t>
  </si>
  <si>
    <t>HR FLAT BAR 1/8" X 4"</t>
  </si>
  <si>
    <t>HRFL185</t>
  </si>
  <si>
    <t>HR FLAT BAR 1/8" X 5"</t>
  </si>
  <si>
    <t>HRFL1858</t>
  </si>
  <si>
    <t>HR FLAT BAR 1/8" X 5/8"</t>
  </si>
  <si>
    <t>HRFL186</t>
  </si>
  <si>
    <t>HR FLAT BAR 1/8" X 6"</t>
  </si>
  <si>
    <t>HRFL187</t>
  </si>
  <si>
    <t>HR FLAT BAR 1/8" X 7"</t>
  </si>
  <si>
    <t>HRFL188</t>
  </si>
  <si>
    <t>HR FLAT BAR 1/8" X 8"</t>
  </si>
  <si>
    <t>HRFL3161</t>
  </si>
  <si>
    <t>HR FLAT BAR 3/16" X 1"</t>
  </si>
  <si>
    <t>HRFL316112</t>
  </si>
  <si>
    <t>HR FLAT BAR 3/16" X 1-1/2"</t>
  </si>
  <si>
    <t>HRFL316114</t>
  </si>
  <si>
    <t>HR FLAT BAR 3/16" X 1-1/4"</t>
  </si>
  <si>
    <t>HRFL31612</t>
  </si>
  <si>
    <t>HR FLAT BAR 3/16" X 1/2"</t>
  </si>
  <si>
    <t>HRFL316134</t>
  </si>
  <si>
    <t>HR FLAT BAR 3/16" X 1-3/4"</t>
  </si>
  <si>
    <t>HRFL3162</t>
  </si>
  <si>
    <t>HR FLAT BAR 3/16" X 2"</t>
  </si>
  <si>
    <t>HRFL316212</t>
  </si>
  <si>
    <t>HR FLAT BAR 3/16" X 2-1/2"</t>
  </si>
  <si>
    <t>HRFL3163</t>
  </si>
  <si>
    <t>HR FLAT BAR 3/16" X 3"</t>
  </si>
  <si>
    <t>HRFL31634</t>
  </si>
  <si>
    <t>HR FLAT BAR 3/16" X 3/4"</t>
  </si>
  <si>
    <t>HRFL3164</t>
  </si>
  <si>
    <t>HR FLAT BAR 3/16" X 4"</t>
  </si>
  <si>
    <t>HRFL3165</t>
  </si>
  <si>
    <t>HR FLAT BAR 3/16" X 5"</t>
  </si>
  <si>
    <t>HRFL31658</t>
  </si>
  <si>
    <t>HR FLAT BAR 3/16" X 5/8"</t>
  </si>
  <si>
    <t>HRFL3166</t>
  </si>
  <si>
    <t>HR FLAT BAR 3/16" X 6"</t>
  </si>
  <si>
    <t>HRFL3167</t>
  </si>
  <si>
    <t>HR FLAT BAR 3/16" X 7"</t>
  </si>
  <si>
    <t>HRFL3168</t>
  </si>
  <si>
    <t>HR FLAT BAR 3/16" X 8"</t>
  </si>
  <si>
    <t>HRFL381</t>
  </si>
  <si>
    <t>HR FLAT BAR 3/8" X 1"</t>
  </si>
  <si>
    <t>HRFL38112</t>
  </si>
  <si>
    <t>HR FLAT BAR 3/8" X 1-1/2"</t>
  </si>
  <si>
    <t>HRFL38114</t>
  </si>
  <si>
    <t>HR FLAT BAR 3/8" X 1-1/4"</t>
  </si>
  <si>
    <t>HRFL3812</t>
  </si>
  <si>
    <t>HR FLAT BAR 3/8" X 1/2"</t>
  </si>
  <si>
    <t>HRFL382</t>
  </si>
  <si>
    <t>HR FLAT BAR 3/8" X 2"</t>
  </si>
  <si>
    <t>HRFL38212</t>
  </si>
  <si>
    <t>HR FLAT BAR 3/8" X 2-1/2"</t>
  </si>
  <si>
    <t>HRFL383</t>
  </si>
  <si>
    <t>HR FLAT BAR 3/8" X 3"</t>
  </si>
  <si>
    <t>HRFL38312</t>
  </si>
  <si>
    <t>HR FLAT BAR 3/8" X 3-1/2"</t>
  </si>
  <si>
    <t>HRFL3834</t>
  </si>
  <si>
    <t>HR FLAT BAR 3/8" X 3/4"</t>
  </si>
  <si>
    <t>HRFL384</t>
  </si>
  <si>
    <t>HR FLAT BAR 3/8" X 4"</t>
  </si>
  <si>
    <t>HRFL38412</t>
  </si>
  <si>
    <t>HR FLAT BAR 3/8" X 4-1/2"</t>
  </si>
  <si>
    <t>HRFL385</t>
  </si>
  <si>
    <t>HR FLAT BAR 3/8" X 5"</t>
  </si>
  <si>
    <t>HRFL38512</t>
  </si>
  <si>
    <t>HR FLAT BAR 3/8" X 5-1/2"</t>
  </si>
  <si>
    <t>HRFL386</t>
  </si>
  <si>
    <t>HR FLAT BAR 3/8" X 6"</t>
  </si>
  <si>
    <t>HRFL387</t>
  </si>
  <si>
    <t>HR FLAT BAR 3/8" X 7"</t>
  </si>
  <si>
    <t>HRFL388</t>
  </si>
  <si>
    <t>HR FLAT BAR 3/8" X 8"</t>
  </si>
  <si>
    <t>HRFL5161</t>
  </si>
  <si>
    <t>HR FLAT BAR 5/16" X 1"</t>
  </si>
  <si>
    <t>HRFL516112</t>
  </si>
  <si>
    <t>HR FLAT BAR 5/16" X 1-1/2"</t>
  </si>
  <si>
    <t>HRFL516114</t>
  </si>
  <si>
    <t>HR FLAT BAR 5/16" X 1-1/4"</t>
  </si>
  <si>
    <t>HRFL51612</t>
  </si>
  <si>
    <t>HR FLAT BAR 5/16" X 1/2"</t>
  </si>
  <si>
    <t>HRFL516134</t>
  </si>
  <si>
    <t>HR FLAT BAR 5/16" X 1-3/4"</t>
  </si>
  <si>
    <t>HRFL5162</t>
  </si>
  <si>
    <t>HR FLAT BAR 5/16" X 2"</t>
  </si>
  <si>
    <t>HRFL516212</t>
  </si>
  <si>
    <t>HR FLAT BAR 5/16" X 2-1/2"</t>
  </si>
  <si>
    <t>HRFL5163</t>
  </si>
  <si>
    <t>HR FLAT BAR 5/16" X 3"</t>
  </si>
  <si>
    <t>HRFL516312</t>
  </si>
  <si>
    <t>HR FLAT BAR 5/16" X 3-1/2"</t>
  </si>
  <si>
    <t>HRFL51634</t>
  </si>
  <si>
    <t>HR FLAT BAR 5/16" X 3/4"</t>
  </si>
  <si>
    <t>HRFL5164</t>
  </si>
  <si>
    <t>HR FLAT BAR 5/16" X 4"</t>
  </si>
  <si>
    <t>HRFL516412</t>
  </si>
  <si>
    <t>HR FLAT BAR 5/16" X 4-1/2"</t>
  </si>
  <si>
    <t>HRFL5165</t>
  </si>
  <si>
    <t>HR FLAT BAR 5/16" X 5"</t>
  </si>
  <si>
    <t>HRFL516512</t>
  </si>
  <si>
    <t>HR FLAT BAR 5/16" X 5-1/2"</t>
  </si>
  <si>
    <t>HRFL51658</t>
  </si>
  <si>
    <t>HR FLAT BAR 5/16" X 5/8"</t>
  </si>
  <si>
    <t>HRFL5166</t>
  </si>
  <si>
    <t>HR FLAT BAR 5/16" X 6"</t>
  </si>
  <si>
    <t>HRFL5167</t>
  </si>
  <si>
    <t>HR FLAT BAR 5/16" X 7"</t>
  </si>
  <si>
    <t>HRFL5168</t>
  </si>
  <si>
    <t>HR FLAT BAR 5/16" X 8"</t>
  </si>
  <si>
    <t>HRRND1</t>
  </si>
  <si>
    <t>HR ROUND 1"</t>
  </si>
  <si>
    <t>HRRND38</t>
  </si>
  <si>
    <t>HR RND 3/8"</t>
  </si>
  <si>
    <t>HRRND78</t>
  </si>
  <si>
    <t>HR ROUND 7/8"</t>
  </si>
  <si>
    <t>MC371</t>
  </si>
  <si>
    <t>MC 3 X 7.1</t>
  </si>
  <si>
    <t>MC4138</t>
  </si>
  <si>
    <t>MC 4 X 13.8</t>
  </si>
  <si>
    <t>MC612</t>
  </si>
  <si>
    <t>MC 6 X 12</t>
  </si>
  <si>
    <t>MC6151</t>
  </si>
  <si>
    <t>MC 6 X 15.1</t>
  </si>
  <si>
    <t>MC6153</t>
  </si>
  <si>
    <t>MC 6 X 15.3</t>
  </si>
  <si>
    <t>MC6163</t>
  </si>
  <si>
    <t>MC 6 X 16.3</t>
  </si>
  <si>
    <t>MC618</t>
  </si>
  <si>
    <t>MC 6 X 18</t>
  </si>
  <si>
    <t>MC7227</t>
  </si>
  <si>
    <t>MC 7 X 22.7</t>
  </si>
  <si>
    <t>MC8187</t>
  </si>
  <si>
    <t>MC 8 X 18.7</t>
  </si>
  <si>
    <t>MC885</t>
  </si>
  <si>
    <t>MC 8 X 8.5</t>
  </si>
  <si>
    <t>P112S40</t>
  </si>
  <si>
    <t>PIPE 1-1/2" SCH 40</t>
  </si>
  <si>
    <t>P114S40</t>
  </si>
  <si>
    <t>PIPE 1-1/4" SCH 40</t>
  </si>
  <si>
    <t>P1S40</t>
  </si>
  <si>
    <t>PIPE 1" SCH 40</t>
  </si>
  <si>
    <t>P212S40</t>
  </si>
  <si>
    <t>PIPE 2-1/2" SCH 40</t>
  </si>
  <si>
    <t>P2S40</t>
  </si>
  <si>
    <t>PIPE 2" SCH 40</t>
  </si>
  <si>
    <t>P312S40</t>
  </si>
  <si>
    <t>PIPE 3-1/2" SCH 40</t>
  </si>
  <si>
    <t>P312S80</t>
  </si>
  <si>
    <t>PIPE 3-1/2" SCH 80</t>
  </si>
  <si>
    <t>P34S40</t>
  </si>
  <si>
    <t>PIPE 3/4" SCH 40</t>
  </si>
  <si>
    <t>P3S40</t>
  </si>
  <si>
    <t>PIPE 3" SCH 40</t>
  </si>
  <si>
    <t>P4S40</t>
  </si>
  <si>
    <t>PIPE 4" SCH 40</t>
  </si>
  <si>
    <t>P5S40</t>
  </si>
  <si>
    <t>PIPE 5" SCH 40</t>
  </si>
  <si>
    <t>P6S40</t>
  </si>
  <si>
    <t>PIPE 6" SCH 40</t>
  </si>
  <si>
    <t>P4S120</t>
  </si>
  <si>
    <t>Pipe 4" SCH 120</t>
  </si>
  <si>
    <t>P8S40</t>
  </si>
  <si>
    <t>PIPE 8" SCH 40</t>
  </si>
  <si>
    <t>RDT111GA</t>
  </si>
  <si>
    <t>RND TUBE 1" OD X 11GA</t>
  </si>
  <si>
    <t>RDT11211GA</t>
  </si>
  <si>
    <t>RND TUBE 1-1/2" OD X 11GA</t>
  </si>
  <si>
    <t>RDT11212GA</t>
  </si>
  <si>
    <t>RND TUBE 1-1/2" OD X 12GA</t>
  </si>
  <si>
    <t>RDT11214</t>
  </si>
  <si>
    <t>RND TUBE 1-1/2" OD X 1/4"</t>
  </si>
  <si>
    <t>RDT11214GA</t>
  </si>
  <si>
    <t>RND TUBE 1-1/2" OD X 14GA</t>
  </si>
  <si>
    <t>RDT11216GA</t>
  </si>
  <si>
    <t>RND TUBE 1-1/2" OD X 16GA</t>
  </si>
  <si>
    <t>RDT11218GA</t>
  </si>
  <si>
    <t>RND TUBE 1-1/2" OD X 18GA</t>
  </si>
  <si>
    <t>RDT112316</t>
  </si>
  <si>
    <t>RND TUBE 1-1/2" OD X 3/16"</t>
  </si>
  <si>
    <t>RDT112516</t>
  </si>
  <si>
    <t>RND TUBE 1-1/2" OD X 5/16"</t>
  </si>
  <si>
    <t>RDT112GA</t>
  </si>
  <si>
    <t>RND TUBE 1" OD X 12GA</t>
  </si>
  <si>
    <t>RDT11411GA</t>
  </si>
  <si>
    <t>RND TUBE 1-1/4" OD X 11GA</t>
  </si>
  <si>
    <t>RDT11412GA</t>
  </si>
  <si>
    <t>RND TUBE 1-1/4" OD X 12GA</t>
  </si>
  <si>
    <t>RDT11414</t>
  </si>
  <si>
    <t>RND TUBE 1-1/4" OD X 1/4"</t>
  </si>
  <si>
    <t>RDT11414GA</t>
  </si>
  <si>
    <t>RND TUBE 1-1/4" OD X 14GA</t>
  </si>
  <si>
    <t>RDT11416GA</t>
  </si>
  <si>
    <t>RND TUBE 1-1/4" OD X 16GA</t>
  </si>
  <si>
    <t>RDT11418GA</t>
  </si>
  <si>
    <t>RND TUBE 1-1/4" OD X 18GA</t>
  </si>
  <si>
    <t>RDT114316</t>
  </si>
  <si>
    <t>RND TUBE 1-1/4" OD X 3/16"</t>
  </si>
  <si>
    <t>RDT114GA</t>
  </si>
  <si>
    <t>RND TUBE 1" OD X 14GA</t>
  </si>
  <si>
    <t>RDT116GA</t>
  </si>
  <si>
    <t>RND TUBE 1" OD X 16GA</t>
  </si>
  <si>
    <t>RDT11811GA</t>
  </si>
  <si>
    <t>RND TUBE 1-1/8" OD X 11GA</t>
  </si>
  <si>
    <t>RDT11812GA</t>
  </si>
  <si>
    <t>RND TUBE 1-1/8" OD X 12GA</t>
  </si>
  <si>
    <t>RDT11814GA</t>
  </si>
  <si>
    <t>RND TUBE 1-1/8" OD X 14GA</t>
  </si>
  <si>
    <t>RDT11816GA</t>
  </si>
  <si>
    <t>RND TUBE 1-1/8" OD X 16GA</t>
  </si>
  <si>
    <t>RDT11818GA</t>
  </si>
  <si>
    <t>RND TUBE 1-1/8" OD X 18GA</t>
  </si>
  <si>
    <t>RDT118316</t>
  </si>
  <si>
    <t>RND TUBE 1-1/8" OD X 3/16"</t>
  </si>
  <si>
    <t>RDT118GA</t>
  </si>
  <si>
    <t>RND TUBE 1" OD X 18GA</t>
  </si>
  <si>
    <t>RDT1316</t>
  </si>
  <si>
    <t>RND TUBE 1" OD X 3/16"</t>
  </si>
  <si>
    <t>RDT13411GA</t>
  </si>
  <si>
    <t>RND TUBE 1-3/4" OD X 11GA</t>
  </si>
  <si>
    <t>RDT13412GA</t>
  </si>
  <si>
    <t>RND TUBE 1-3/4" OD X 12GA</t>
  </si>
  <si>
    <t>RDT13414</t>
  </si>
  <si>
    <t>RND TUBE 1-3/4" OD X 1/4"</t>
  </si>
  <si>
    <t>RDT13414GA</t>
  </si>
  <si>
    <t>RND TUBE 1-3/4" OD X 14GA</t>
  </si>
  <si>
    <t>RDT13416GA</t>
  </si>
  <si>
    <t>RND TUBE 1-3/4" OD X 16GA</t>
  </si>
  <si>
    <t>RDT13418GA</t>
  </si>
  <si>
    <t>RND TUBE 1-3/4" OD X 18GA</t>
  </si>
  <si>
    <t>RDT134316</t>
  </si>
  <si>
    <t>RND TUBE 1-3/4" OD X 3/16"</t>
  </si>
  <si>
    <t>RDT13438</t>
  </si>
  <si>
    <t>RND TUBE 1-3/4" OD X 3/8"</t>
  </si>
  <si>
    <t>RDT134516</t>
  </si>
  <si>
    <t>RND TUBE 1-3/4" OD X 5/16"</t>
  </si>
  <si>
    <t>RDT13811GA</t>
  </si>
  <si>
    <t>RND TUBE 1-3/8" OD X 11GA</t>
  </si>
  <si>
    <t>RDT13812GA</t>
  </si>
  <si>
    <t>RND TUBE 1-3/8" OD X 12GA</t>
  </si>
  <si>
    <t>RDT13814</t>
  </si>
  <si>
    <t>RND TUBE 1-3/8" OD X 1/4"</t>
  </si>
  <si>
    <t>RDT13814GA</t>
  </si>
  <si>
    <t>RND TUBE 1-3/8" OD X 14GA</t>
  </si>
  <si>
    <t>RDT13816GA</t>
  </si>
  <si>
    <t>RND TUBE 1-3/8" OD X 16GA</t>
  </si>
  <si>
    <t>RDT13818GA</t>
  </si>
  <si>
    <t>RND TUBE 1-3/8" OD X 18GA</t>
  </si>
  <si>
    <t>RDT138316</t>
  </si>
  <si>
    <t>RND TUBE 1-3/8" OD X 3/16"</t>
  </si>
  <si>
    <t>RDT15811GA</t>
  </si>
  <si>
    <t>RND TUBE 1-5/8" OD X 11GA</t>
  </si>
  <si>
    <t>RDT15812GA</t>
  </si>
  <si>
    <t>RND TUBE 1-5/8" OD X 12GA</t>
  </si>
  <si>
    <t>RDT15814</t>
  </si>
  <si>
    <t>RND TUBE 1-5/8" OD X 1/4"</t>
  </si>
  <si>
    <t>RDT15814GA</t>
  </si>
  <si>
    <t>RND TUBE 1-5/8" OD X 14GA</t>
  </si>
  <si>
    <t>RDT15816GA</t>
  </si>
  <si>
    <t>RND TUBE 1-5/8" OD X 16GA</t>
  </si>
  <si>
    <t>RDT15818GA</t>
  </si>
  <si>
    <t>RND TUBE 1-5/8" OD X 18GA</t>
  </si>
  <si>
    <t>RDT158316</t>
  </si>
  <si>
    <t>RND TUBE 1-5/8" OD X 3/16"</t>
  </si>
  <si>
    <t>RDT158516</t>
  </si>
  <si>
    <t>RND TUBE 1-5/8" OD X 5/16"</t>
  </si>
  <si>
    <t>RDT17811GA</t>
  </si>
  <si>
    <t>RND TUBE 1-7/8" OD X 11GA</t>
  </si>
  <si>
    <t>RDT17812GA</t>
  </si>
  <si>
    <t>RND TUBE 1-7/8" OD X 12GA</t>
  </si>
  <si>
    <t>RDT17814</t>
  </si>
  <si>
    <t>RND TUBE 1-7/8" OD X 1/4"</t>
  </si>
  <si>
    <t>RDT17814GA</t>
  </si>
  <si>
    <t>RND TUBE 1-7/8" OD X 14GA</t>
  </si>
  <si>
    <t>RDT17816GA</t>
  </si>
  <si>
    <t>RND TUBE 1-7/8" OD X 16GA</t>
  </si>
  <si>
    <t>RDT17818GA</t>
  </si>
  <si>
    <t>RND TUBE 1-7/8" OD X 18GA</t>
  </si>
  <si>
    <t>RDT178316</t>
  </si>
  <si>
    <t>RND TUBE 1-7/8" OD X 3/16"</t>
  </si>
  <si>
    <t>RDT178516</t>
  </si>
  <si>
    <t>RND TUBE 1-7/8" OD X 5/16"</t>
  </si>
  <si>
    <t>RDT211GA</t>
  </si>
  <si>
    <t>RND TUBE 2" OD X 11GA</t>
  </si>
  <si>
    <t>RDT21211GA</t>
  </si>
  <si>
    <t>RND TUBE 2-1/2" OD X 11GA</t>
  </si>
  <si>
    <t>RDT21212</t>
  </si>
  <si>
    <t>RND TUBE 2-1/2" OD X 1/2"</t>
  </si>
  <si>
    <t>RDT21212GA</t>
  </si>
  <si>
    <t>RND TUBE 2-1/2" OD X 12GA</t>
  </si>
  <si>
    <t>RDT21214</t>
  </si>
  <si>
    <t>RND TUBE 2-1/2" OD X 1/4"</t>
  </si>
  <si>
    <t>RDT21214GA</t>
  </si>
  <si>
    <t>RND TUBE 2-1/2" OD X 14GA</t>
  </si>
  <si>
    <t>RDT21216GA</t>
  </si>
  <si>
    <t>RND TUBE 2-1/2" OD X 16GA</t>
  </si>
  <si>
    <t>RDT21218GA</t>
  </si>
  <si>
    <t>RND TUBE 2-1/2" OD X 18GA</t>
  </si>
  <si>
    <t>RDT212316</t>
  </si>
  <si>
    <t>RND TUBE 2-1/2" OD X 3/16"</t>
  </si>
  <si>
    <t>RDT21238</t>
  </si>
  <si>
    <t>RND TUBE 2-1/2" OD X 3/8"</t>
  </si>
  <si>
    <t>RDT212516</t>
  </si>
  <si>
    <t>RND TUBE 2-1/2" OD X 5/16"</t>
  </si>
  <si>
    <t>RDT212GA</t>
  </si>
  <si>
    <t>RND TUBE 2" OD X 12GA</t>
  </si>
  <si>
    <t>RDT214</t>
  </si>
  <si>
    <t>RND TUBE 2" OD X 1/4"</t>
  </si>
  <si>
    <t>RDT21411GA</t>
  </si>
  <si>
    <t>RND TUBE 2-1/4" OD X 11GA</t>
  </si>
  <si>
    <t>RDT21412GA</t>
  </si>
  <si>
    <t>RND TUBE 2-1/4" OD X 12GA</t>
  </si>
  <si>
    <t>RDT21414</t>
  </si>
  <si>
    <t>RND TUBE 2-1/4" OD X 1/4"</t>
  </si>
  <si>
    <t>RDT21414GA</t>
  </si>
  <si>
    <t>RND TUBE 2-1/4" OD X 14GA</t>
  </si>
  <si>
    <t>RDT21416GA</t>
  </si>
  <si>
    <t>RND TUBE 2-1/4" OD X 16GA</t>
  </si>
  <si>
    <t>RDT21418GA</t>
  </si>
  <si>
    <t>RND TUBE 2-1/4" OD X 18GA</t>
  </si>
  <si>
    <t>RDT214316</t>
  </si>
  <si>
    <t>RND TUBE 2-1/4" OD X 3/16"</t>
  </si>
  <si>
    <t>RDT21438</t>
  </si>
  <si>
    <t>RND TUBE 2-1/4" OD X 3/8"</t>
  </si>
  <si>
    <t>RDT214516</t>
  </si>
  <si>
    <t>RND TUBE 2-1/4" OD X 5/16"</t>
  </si>
  <si>
    <t>RDT214GA</t>
  </si>
  <si>
    <t>RND TUBE 2" OD X 14GA</t>
  </si>
  <si>
    <t>RDT216GA</t>
  </si>
  <si>
    <t>RND TUBE 2" OD X 16GA</t>
  </si>
  <si>
    <t>RDT21811GA</t>
  </si>
  <si>
    <t>RND TUBE 2-1/8" OD X 11GA</t>
  </si>
  <si>
    <t>RDT21816GA</t>
  </si>
  <si>
    <t>RND TUBE 2-1/8" OD X 16GA</t>
  </si>
  <si>
    <t>RDT21818GA</t>
  </si>
  <si>
    <t>RND TUBE 2-1/8" OD X 18GA</t>
  </si>
  <si>
    <t>RDT218316</t>
  </si>
  <si>
    <t>RND TUBE 2-1/8" OD X 3/16"</t>
  </si>
  <si>
    <t>RDT218GA</t>
  </si>
  <si>
    <t>RND TUBE 2" OD X 18GA</t>
  </si>
  <si>
    <t>RDT2316</t>
  </si>
  <si>
    <t>RND TUBE 2" OD X 3/16"</t>
  </si>
  <si>
    <t>RDT23411GA</t>
  </si>
  <si>
    <t>RND TUBE 2-3/4" OD X 11GA</t>
  </si>
  <si>
    <t>RDT23412</t>
  </si>
  <si>
    <t>RND TUBE 2-3/4" OD X 1/2"</t>
  </si>
  <si>
    <t>RDT23414</t>
  </si>
  <si>
    <t>RND TUBE 2-3/4" OD X 1/4"</t>
  </si>
  <si>
    <t>RDT23414GA</t>
  </si>
  <si>
    <t>RND TUBE 2-3/4" OD X 14GA</t>
  </si>
  <si>
    <t>RDT23416GA</t>
  </si>
  <si>
    <t>RND TUBE 2-3/4" OD X 16GA</t>
  </si>
  <si>
    <t>RDT23418GA</t>
  </si>
  <si>
    <t>RND TUBE 2-3/4" OD X 18GA</t>
  </si>
  <si>
    <t>RDT234316</t>
  </si>
  <si>
    <t>RND TUBE 2-3/4" OD X 3/16"</t>
  </si>
  <si>
    <t>RDT23438</t>
  </si>
  <si>
    <t>RND TUBE 2-3/4" OD X 3/8"</t>
  </si>
  <si>
    <t>RDT234516</t>
  </si>
  <si>
    <t>RND TUBE 2-3/4" OD X 5/16"</t>
  </si>
  <si>
    <t>RDT238</t>
  </si>
  <si>
    <t>RND TUBE 2" OD X 3/8"</t>
  </si>
  <si>
    <t>RDT23811GA</t>
  </si>
  <si>
    <t>RND TUBE 2-3/8" OD X 11GA</t>
  </si>
  <si>
    <t>RDT23814</t>
  </si>
  <si>
    <t>RND TUBE 2-3/8" OD X 1/4"</t>
  </si>
  <si>
    <t>RDT23814GA</t>
  </si>
  <si>
    <t>RND TUBE 2-3/8" OD X 14GA</t>
  </si>
  <si>
    <t>RDT23816GA</t>
  </si>
  <si>
    <t>RND TUBE 2-3/8" OD X16GA</t>
  </si>
  <si>
    <t>RDT238316</t>
  </si>
  <si>
    <t>RND TUBE 2-3/8" OD X 3/16"</t>
  </si>
  <si>
    <t>RDT238516</t>
  </si>
  <si>
    <t>RND TUBE 2-3/8" OD X 5/16"</t>
  </si>
  <si>
    <t>RDT2516</t>
  </si>
  <si>
    <t>RND TUBE 2" OD X 5/16"</t>
  </si>
  <si>
    <t>RDT25811GA</t>
  </si>
  <si>
    <t>RND TUBE 2-5/8" OD X 11GA</t>
  </si>
  <si>
    <t>RDT25812GA</t>
  </si>
  <si>
    <t>RND TUBE 2-5/8" OD X 12GA</t>
  </si>
  <si>
    <t>RDT25816GA</t>
  </si>
  <si>
    <t>RND TUBE 2-5/8" OD X 16GA</t>
  </si>
  <si>
    <t>RDT25818GA</t>
  </si>
  <si>
    <t>RND TUBE 2-5/8" OD X 18GA</t>
  </si>
  <si>
    <t>RDT258316</t>
  </si>
  <si>
    <t>RND TUBE 2-5/8" OD X 3/16"</t>
  </si>
  <si>
    <t>RDT27811GA</t>
  </si>
  <si>
    <t>RND TUBE 2-7/8" OD X 11GA</t>
  </si>
  <si>
    <t>RDT27814GA</t>
  </si>
  <si>
    <t>RND TUBE 2-7/8" OD X 14GA</t>
  </si>
  <si>
    <t>RDT27816GA</t>
  </si>
  <si>
    <t>RND TUBE 2-7/8" OD X 16GA</t>
  </si>
  <si>
    <t>RDT311GA</t>
  </si>
  <si>
    <t>RND TUBE 3" OD X 11GA</t>
  </si>
  <si>
    <t>RDT312</t>
  </si>
  <si>
    <t>RND TUBE 3" OD X 1/2"</t>
  </si>
  <si>
    <t>RDT31211GA</t>
  </si>
  <si>
    <t>RND TUBE 3-1/2" OD X 11GA</t>
  </si>
  <si>
    <t>RDT31214</t>
  </si>
  <si>
    <t>RND TUBE 3-1/2" OD X 1/4"</t>
  </si>
  <si>
    <t>RDT31214GA</t>
  </si>
  <si>
    <t>RND TUBE 3-1/2" OD X 14GA</t>
  </si>
  <si>
    <t>RDT31216GA</t>
  </si>
  <si>
    <t>RND TUBE 3-1/2" OD X 16GA</t>
  </si>
  <si>
    <t>RDT312316</t>
  </si>
  <si>
    <t>RND TUBE 3-1/2" OD X 3/16"</t>
  </si>
  <si>
    <t>RDT31238</t>
  </si>
  <si>
    <t>RND TUBE 3-1/2" OD X 3/8"</t>
  </si>
  <si>
    <t>RDT312516</t>
  </si>
  <si>
    <t>RND TUBE 3-1/2" OD X 5/16"</t>
  </si>
  <si>
    <t>RDT312GA</t>
  </si>
  <si>
    <t>RND TUBE 3" OD X 12GA</t>
  </si>
  <si>
    <t>RDT314</t>
  </si>
  <si>
    <t>RND TUBE 3" OD X 1/4"</t>
  </si>
  <si>
    <t>RDT31411GA</t>
  </si>
  <si>
    <t>RND TUBE 3-1/4" OD X 11GA</t>
  </si>
  <si>
    <t>RDT31414</t>
  </si>
  <si>
    <t>RND TUBE 3-1/4" OD X 1/4"</t>
  </si>
  <si>
    <t>RDT31416GA</t>
  </si>
  <si>
    <t>RND TUBE 3-1/4" OD X 16GA</t>
  </si>
  <si>
    <t>RDT314316</t>
  </si>
  <si>
    <t>RND TUBE 3-1/4" OD X 3/16"</t>
  </si>
  <si>
    <t>RDT31438</t>
  </si>
  <si>
    <t>RND TUBE 3-1/4" OD X 3/8"</t>
  </si>
  <si>
    <t>RDT314516</t>
  </si>
  <si>
    <t>RND TUBE 3-1/4" OD X 5/16"</t>
  </si>
  <si>
    <t>RDT314GA</t>
  </si>
  <si>
    <t>RND TUBE 3" OD X 14GA</t>
  </si>
  <si>
    <t>RDT316GA</t>
  </si>
  <si>
    <t>RND TUBE 3" OD X 16GA</t>
  </si>
  <si>
    <t>RDT31811GA</t>
  </si>
  <si>
    <t>RND TUBE 3-1/8" OD X 11GA</t>
  </si>
  <si>
    <t>RDT31816GA</t>
  </si>
  <si>
    <t>RND TUBE 3-1/8" OD X 16GA</t>
  </si>
  <si>
    <t>RDT3316</t>
  </si>
  <si>
    <t>RND TUBE 3" OD X 3/16"</t>
  </si>
  <si>
    <t>RDT33411GA</t>
  </si>
  <si>
    <t>RND TUBE 3-3/4" OD X 11GA</t>
  </si>
  <si>
    <t>RDT33414</t>
  </si>
  <si>
    <t>RND TUBE 3-3/4" OD X 1/4"</t>
  </si>
  <si>
    <t>RDT33416GA</t>
  </si>
  <si>
    <t>RND TUBE 3-3/4" OD X 16GA</t>
  </si>
  <si>
    <t>RDT334316</t>
  </si>
  <si>
    <t>RND TUBE 3-3/4" OD X 3/16"</t>
  </si>
  <si>
    <t>RDT33438</t>
  </si>
  <si>
    <t>RND TUBE 3-3/4" OD X 3/8"</t>
  </si>
  <si>
    <t>RDT334516</t>
  </si>
  <si>
    <t>RND TUBE 3-3/4" OD X 5/16"</t>
  </si>
  <si>
    <t>RDT338</t>
  </si>
  <si>
    <t>RND TUBE 3" OD X 3/8"</t>
  </si>
  <si>
    <t>RDT33811GA</t>
  </si>
  <si>
    <t>RND TUBE 3-3/8" OD X 11GA</t>
  </si>
  <si>
    <t>RDT33814</t>
  </si>
  <si>
    <t>RND TUBE 3-3/8" OD X 1/4"</t>
  </si>
  <si>
    <t>RDT338316</t>
  </si>
  <si>
    <t>RND TUBE 3-3/8" OD X 3/16"</t>
  </si>
  <si>
    <t>RDT33838</t>
  </si>
  <si>
    <t>RND TUBE 3-3/8" OD X 3/8"</t>
  </si>
  <si>
    <t>RDT338516</t>
  </si>
  <si>
    <t>RND TUBE 3-3/8" OD X 5/16"</t>
  </si>
  <si>
    <t>RDT3411GA</t>
  </si>
  <si>
    <t>RND TUBE 3/4" OD X 11GA</t>
  </si>
  <si>
    <t>RDT3412GA</t>
  </si>
  <si>
    <t>RND TUBE 3/4" OD X 12GA</t>
  </si>
  <si>
    <t>RDT3414GA</t>
  </si>
  <si>
    <t>RND TUBE 3/4" OD X 14GA</t>
  </si>
  <si>
    <t>RDT3416GA</t>
  </si>
  <si>
    <t>RND TUBE 3/4" OD X 16GA</t>
  </si>
  <si>
    <t>RDT3418GA</t>
  </si>
  <si>
    <t>RND TUBE 3/4" OD X 18GA</t>
  </si>
  <si>
    <t>RDT3516</t>
  </si>
  <si>
    <t>RND TUBE 3" OD X 5/16"</t>
  </si>
  <si>
    <t>RDT35811GA</t>
  </si>
  <si>
    <t>RND TUBE 3-5/8" OD X 11GA</t>
  </si>
  <si>
    <t>RDT35814</t>
  </si>
  <si>
    <t>RND TUBE 3-5/8" OD X 1/4"</t>
  </si>
  <si>
    <t>RDT35816GA</t>
  </si>
  <si>
    <t>RND TUBE 3-5/8" OD X 16GA</t>
  </si>
  <si>
    <t>RDT358316</t>
  </si>
  <si>
    <t>RND TUBE 3-5/8" OD X 3/16"</t>
  </si>
  <si>
    <t>RDT358516</t>
  </si>
  <si>
    <t>RND TUBE 3-5/8" OD X 5/16"</t>
  </si>
  <si>
    <t>RDT37814</t>
  </si>
  <si>
    <t>RND TUBE 3-7/8" OD X 1/4"</t>
  </si>
  <si>
    <t>RDT378516</t>
  </si>
  <si>
    <t>RND TUBE 3-7/8" OD X 5/16"</t>
  </si>
  <si>
    <t>RDT3818GA</t>
  </si>
  <si>
    <t>RND TUBE 3/8" OD X 18GA</t>
  </si>
  <si>
    <t>RDT411GA</t>
  </si>
  <si>
    <t>RND TUBE 4" OD X 11GA</t>
  </si>
  <si>
    <t>RDT41211GA</t>
  </si>
  <si>
    <t>RND TUBE 4-1/2" OD X 11GA</t>
  </si>
  <si>
    <t>RDT41214</t>
  </si>
  <si>
    <t>RND TUBE 4-1/2" OD X 1/4"</t>
  </si>
  <si>
    <t>RDT412316</t>
  </si>
  <si>
    <t>RND TUBE 4-1/2" OD X 3/16"</t>
  </si>
  <si>
    <t>RDT41238</t>
  </si>
  <si>
    <t>RND TUBE 4-1/2" OD X 3/8"</t>
  </si>
  <si>
    <t>RDT412516</t>
  </si>
  <si>
    <t>RND TUBE 4-1/2" OD X 5/16"</t>
  </si>
  <si>
    <t>RDT412GA</t>
  </si>
  <si>
    <t>RND TUBE 4" OD X 12GA</t>
  </si>
  <si>
    <t>RDT414</t>
  </si>
  <si>
    <t>RND TUBE 4" OD X 1/4"</t>
  </si>
  <si>
    <t>RDT41411GA</t>
  </si>
  <si>
    <t>RND TUBE 4-1/4" OD X 11GA</t>
  </si>
  <si>
    <t>RDT41414</t>
  </si>
  <si>
    <t>RND TUBE 4-1/4" OD X 1/4"</t>
  </si>
  <si>
    <t>RDT414316</t>
  </si>
  <si>
    <t>RND TUBE 4-1/4" OD X 3/16"</t>
  </si>
  <si>
    <t>RDT414GA</t>
  </si>
  <si>
    <t>RND TUBE 4" OD X 14GA</t>
  </si>
  <si>
    <t>RDT416GA</t>
  </si>
  <si>
    <t>RND TUBE 4" OD X 16GA</t>
  </si>
  <si>
    <t>RDT4316</t>
  </si>
  <si>
    <t>RND TUBE 4" OD X 3/16"</t>
  </si>
  <si>
    <t>RDT43411GA</t>
  </si>
  <si>
    <t>RND TUBE 4-3/4" OD X 11GA</t>
  </si>
  <si>
    <t>RDT43414</t>
  </si>
  <si>
    <t>RND TUBE 4-3/4" OD X 1/4"</t>
  </si>
  <si>
    <t>RDT434316</t>
  </si>
  <si>
    <t>RND TUBE 4-3/4" OD X 3/16"</t>
  </si>
  <si>
    <t>RDT43438</t>
  </si>
  <si>
    <t>RND TUBE 4-3/4" OD X 3/8"</t>
  </si>
  <si>
    <t>RDT434516</t>
  </si>
  <si>
    <t>RND TUBE 4-3/4" OD X 5/16"</t>
  </si>
  <si>
    <t>RDT438</t>
  </si>
  <si>
    <t>RND TUBE 4" OD X 3/8"</t>
  </si>
  <si>
    <t>RDT43814</t>
  </si>
  <si>
    <t>RND TUBE 4-3/8" OD X 1/4"</t>
  </si>
  <si>
    <t>RDT438316</t>
  </si>
  <si>
    <t>RND TUBE 4-3/8" OD X 3/16"</t>
  </si>
  <si>
    <t>RDT43838</t>
  </si>
  <si>
    <t>RND TUBE 4-3/8" OD X 3/8"</t>
  </si>
  <si>
    <t>RDT4516</t>
  </si>
  <si>
    <t>RND TUBE 4" OD X 5/16"</t>
  </si>
  <si>
    <t>RDT45814</t>
  </si>
  <si>
    <t>RNDTUBE  4-5/8" OD X 1/4"</t>
  </si>
  <si>
    <t>RDT458316</t>
  </si>
  <si>
    <t>RND TUBE 4-5/8" OD X 3/16"</t>
  </si>
  <si>
    <t>RDT511GA</t>
  </si>
  <si>
    <t>RND TUBE 5" OD X 11GA</t>
  </si>
  <si>
    <t>RDT51211GA</t>
  </si>
  <si>
    <t>RND TUBE 5-1/2" OD X 11GA</t>
  </si>
  <si>
    <t>RDT51214</t>
  </si>
  <si>
    <t>RND TUBE 5-1/2" OD X 1/4"</t>
  </si>
  <si>
    <t>RDT51216GA</t>
  </si>
  <si>
    <t>RND TUBE 5-1/2" OD X 16GA</t>
  </si>
  <si>
    <t>RDT512316</t>
  </si>
  <si>
    <t>RND TUBE 5-1/2" OD X 3/16"</t>
  </si>
  <si>
    <t>RDT51238</t>
  </si>
  <si>
    <t>RND TUBE 5-1/2" OD X 3/8"</t>
  </si>
  <si>
    <t>RDT512516</t>
  </si>
  <si>
    <t>RND TUBE 5-1/2" OD X 5/16"</t>
  </si>
  <si>
    <t>RDT514</t>
  </si>
  <si>
    <t>RND TUBE 5" OD X 1/4"</t>
  </si>
  <si>
    <t>RDT51411GA</t>
  </si>
  <si>
    <t>RND TUBE 5-1/4" OD X 11GA</t>
  </si>
  <si>
    <t>RDT51414</t>
  </si>
  <si>
    <t>RND TUBE 5-1/4" OD X 1/4"</t>
  </si>
  <si>
    <t>RDT514316</t>
  </si>
  <si>
    <t>RND TUBE 5-1/4" OD X 3/16"</t>
  </si>
  <si>
    <t>RDT51438</t>
  </si>
  <si>
    <t>RND TUBE 5-1/4" OD X 3/8"</t>
  </si>
  <si>
    <t>RDT514516</t>
  </si>
  <si>
    <t>RND TUBE 5-1/4" OD X 5/16"</t>
  </si>
  <si>
    <t>RDT514GA</t>
  </si>
  <si>
    <t>RND TUBE 5" OD X 14GA</t>
  </si>
  <si>
    <t>RDT516GA</t>
  </si>
  <si>
    <t>RND TUBE 5" OD X 16GA</t>
  </si>
  <si>
    <t>RDT5316</t>
  </si>
  <si>
    <t>RND TUBE 5" OD X 3/16"</t>
  </si>
  <si>
    <t>RDT53411GA</t>
  </si>
  <si>
    <t>RND TUBE 5-3/4" OD X 11GA</t>
  </si>
  <si>
    <t>RDT53414</t>
  </si>
  <si>
    <t>RND TUBE 5-3/4" OD X 1/4"</t>
  </si>
  <si>
    <t>RDT534316</t>
  </si>
  <si>
    <t>RND TUBE 5-3/4" OD X 3/16"</t>
  </si>
  <si>
    <t>RDT53438</t>
  </si>
  <si>
    <t>RND TUBE 5-3/4" OD X 3/8"</t>
  </si>
  <si>
    <t>RDT53516</t>
  </si>
  <si>
    <t>RND TUBE 5" OD X 5/16"</t>
  </si>
  <si>
    <t>RDT538</t>
  </si>
  <si>
    <t>RND TUBE 5" OD X 3/8"</t>
  </si>
  <si>
    <t>RDT611GA</t>
  </si>
  <si>
    <t>RND TUBE 6" OD X 11GA</t>
  </si>
  <si>
    <t>RDT61214</t>
  </si>
  <si>
    <t>RND TUBE 6-1/2" OD X 1/4"</t>
  </si>
  <si>
    <t>RDT612316</t>
  </si>
  <si>
    <t>RND TUBE 6-1/2" OD X 3/16"</t>
  </si>
  <si>
    <t>RDT61238</t>
  </si>
  <si>
    <t>RND TUBE 6-1/2" OD X 3/8"</t>
  </si>
  <si>
    <t>RDT614</t>
  </si>
  <si>
    <t>RND TUBE 6" OD X 1/4"</t>
  </si>
  <si>
    <t>RDT61411GA</t>
  </si>
  <si>
    <t>RND TUBE 6-1/4" OD X 11GA</t>
  </si>
  <si>
    <t>RDT61414</t>
  </si>
  <si>
    <t>RND TUBE 6-1/4" OD X 1/4"</t>
  </si>
  <si>
    <t>RDT614316</t>
  </si>
  <si>
    <t>RND TUBE 6-1/4" OD X 3/16"</t>
  </si>
  <si>
    <t>RDT614GA</t>
  </si>
  <si>
    <t>RND TUBE 6" OD X 14GA</t>
  </si>
  <si>
    <t>RDT616GA</t>
  </si>
  <si>
    <t>RND TUBE 6" OD X 16GA</t>
  </si>
  <si>
    <t>RDT6316</t>
  </si>
  <si>
    <t>RND TUBE 6" OD X 3/16"</t>
  </si>
  <si>
    <t>RDT63414</t>
  </si>
  <si>
    <t>RND TUBE 6-3/4" OD X 1/4"</t>
  </si>
  <si>
    <t>RDT63438</t>
  </si>
  <si>
    <t>RND TUBE 6-3/4" OD X 3/8"</t>
  </si>
  <si>
    <t>RDT638</t>
  </si>
  <si>
    <t>RND TUBE 6" OD X 3/8"</t>
  </si>
  <si>
    <t>RDT6516</t>
  </si>
  <si>
    <t>RND TUBE 6" OD X 5/16"</t>
  </si>
  <si>
    <t>RDT71214</t>
  </si>
  <si>
    <t>RND TUBE 7-1/2" OD X 1/4"</t>
  </si>
  <si>
    <t>RDT71238</t>
  </si>
  <si>
    <t>RND TUBE 7-1/2" OD X 3/8"</t>
  </si>
  <si>
    <t>RDT714</t>
  </si>
  <si>
    <t>RND TUBE 7" OD X 1/4"</t>
  </si>
  <si>
    <t>RDT7316</t>
  </si>
  <si>
    <t>RND TUBE 7" OD X 3/16"</t>
  </si>
  <si>
    <t>RDT7814GA</t>
  </si>
  <si>
    <t>RND TUBE 7/8" OD X 14GA</t>
  </si>
  <si>
    <t>RDT7816GA</t>
  </si>
  <si>
    <t>RND TUBE 7/8" OD X 16GA</t>
  </si>
  <si>
    <t>RDT7818GA</t>
  </si>
  <si>
    <t>RND TUBE 7/8" OD X 18GA</t>
  </si>
  <si>
    <t>RDT811GA</t>
  </si>
  <si>
    <t>RND TUBE 8" OD X 11GA</t>
  </si>
  <si>
    <t>RDT81214</t>
  </si>
  <si>
    <t>RND TUBE 8-1/2" OD X 1/4"</t>
  </si>
  <si>
    <t>RDT81238</t>
  </si>
  <si>
    <t>RND TUBE 8-1/2" OD X 3/8"</t>
  </si>
  <si>
    <t>RDT814</t>
  </si>
  <si>
    <t>RND TUBE 8" OD X 1/4"</t>
  </si>
  <si>
    <t>RDT818</t>
  </si>
  <si>
    <t>RND TUBE 8" OD X 1/8"</t>
  </si>
  <si>
    <t>RDT838</t>
  </si>
  <si>
    <t>RND TUBE 8" OD X 3/8"</t>
  </si>
  <si>
    <t>RT112111GA</t>
  </si>
  <si>
    <t>RECT TUBE 1-1/2" X 1" X 11GA</t>
  </si>
  <si>
    <t>RT112114GA</t>
  </si>
  <si>
    <t>RECT TUBE 1-1/2" X 1" X 14GA</t>
  </si>
  <si>
    <t>RT112116GA</t>
  </si>
  <si>
    <t>RECT TUBE 1-1/2" X 1" X 16GA</t>
  </si>
  <si>
    <t>RT1121216GA</t>
  </si>
  <si>
    <t>RECT TUBE 1-1/2" X 1/2" X 16GA</t>
  </si>
  <si>
    <t>RT2111GA</t>
  </si>
  <si>
    <t>RECT TUBE 2" X 1" X 11GA</t>
  </si>
  <si>
    <t>RT211211GA</t>
  </si>
  <si>
    <t>RECT TUBE 2" X 1-1/2" X 11GA</t>
  </si>
  <si>
    <t>RT211214GA</t>
  </si>
  <si>
    <t>RECT TUBE 2" X 1-1/2" X 14GA</t>
  </si>
  <si>
    <t>RT211414GA</t>
  </si>
  <si>
    <t>RECT TUBE 2" X 1-1/4" X 14GA</t>
  </si>
  <si>
    <t>RT2114GA</t>
  </si>
  <si>
    <t>RECT TUBE 2" X 1" X 14GA</t>
  </si>
  <si>
    <t>RT2116GA</t>
  </si>
  <si>
    <t>RECT TUBE 2" X 1" X 16GA</t>
  </si>
  <si>
    <t>RT21211214GA</t>
  </si>
  <si>
    <t>RECT TUBE 2-1/2" X 1-1/2" X 14GA</t>
  </si>
  <si>
    <t>RT2121127GA</t>
  </si>
  <si>
    <t>RECT TUBE 2-1/2" X 1-1/2" X 7GA</t>
  </si>
  <si>
    <t>RT21211414GA</t>
  </si>
  <si>
    <t>RECT TUBE 2-1/2" X 1-1/4" X 14GA</t>
  </si>
  <si>
    <t>RT212114GA</t>
  </si>
  <si>
    <t>RECT TUBE 2-1/2" X 1" X 14GA</t>
  </si>
  <si>
    <t>RT311211GA</t>
  </si>
  <si>
    <t>RECT TUBE 3" X 1-1/2" X 11GA</t>
  </si>
  <si>
    <t>RT311214GA</t>
  </si>
  <si>
    <t>RECT TUBE 3" X 1-1/2" X 14GA</t>
  </si>
  <si>
    <t>RT311216GA</t>
  </si>
  <si>
    <t>RECT TUBE 3" X 1-1/2" X 16GA</t>
  </si>
  <si>
    <t>RT3112316</t>
  </si>
  <si>
    <t>RECT TUBE 3" X 1-1/2" X 3/16"</t>
  </si>
  <si>
    <t>RT31127GA</t>
  </si>
  <si>
    <t>RECT TUBE 3" X 1-1/2" X 7GA</t>
  </si>
  <si>
    <t>RT3114GA</t>
  </si>
  <si>
    <t>RECT TUBE 3" X 1" X 14GA</t>
  </si>
  <si>
    <t>RT3211GA</t>
  </si>
  <si>
    <t>RECT TUBE 3" X 2" X 11GA</t>
  </si>
  <si>
    <t>RT3214</t>
  </si>
  <si>
    <t>RECT TUBE 3" X 2" X 1/4"</t>
  </si>
  <si>
    <t>RT3214GA</t>
  </si>
  <si>
    <t>RECT TUBE 3" X 2" X 14GA</t>
  </si>
  <si>
    <t>RT32316</t>
  </si>
  <si>
    <t>RECT TUBE 3" X 2" X 3/16"</t>
  </si>
  <si>
    <t>RT4211GA</t>
  </si>
  <si>
    <t>RECT TUBE 4" X 2" X 11GA</t>
  </si>
  <si>
    <t>RT421211GA</t>
  </si>
  <si>
    <t>RECT TUBE 4" X 2-1/2" X 11GA</t>
  </si>
  <si>
    <t>RT4214</t>
  </si>
  <si>
    <t>RECT TUBE 4" X 2" X 1/4"</t>
  </si>
  <si>
    <t>RT42316</t>
  </si>
  <si>
    <t>RECT TUBE 4" X 2" X 3/16"</t>
  </si>
  <si>
    <t>RT4311GA</t>
  </si>
  <si>
    <t>RECT TUBE 4" X 3" X 11GA</t>
  </si>
  <si>
    <t>RT4314</t>
  </si>
  <si>
    <t>RECT TUBE 4" X 3" X 1/4"</t>
  </si>
  <si>
    <t>RT43316</t>
  </si>
  <si>
    <t>RECT TUBE 4" X 3" X 3/16"</t>
  </si>
  <si>
    <t>RT52127GA</t>
  </si>
  <si>
    <t>RECT TUBE 5" X 2-1/2" X 7GA</t>
  </si>
  <si>
    <t>RT5214</t>
  </si>
  <si>
    <t>RECT TUBE 5" X 2" X 1/4"</t>
  </si>
  <si>
    <t>RT52316</t>
  </si>
  <si>
    <t>RECT TUBE 5" X 2" X 3/16"</t>
  </si>
  <si>
    <t>RT5312</t>
  </si>
  <si>
    <t>RECT TUBE 5" X 3" X 1/2"</t>
  </si>
  <si>
    <t>RT5314</t>
  </si>
  <si>
    <t>RECT TUBE 5" X 3" X 1/4"</t>
  </si>
  <si>
    <t>RT53316</t>
  </si>
  <si>
    <t>RECT TUBE 5" X 3" X 3/16"</t>
  </si>
  <si>
    <t>RT5338</t>
  </si>
  <si>
    <t>RECT TUBE 5" X 3" X 3/8"</t>
  </si>
  <si>
    <t>RT53516</t>
  </si>
  <si>
    <t>RECT TUBE 5" X 3" X 5/16"</t>
  </si>
  <si>
    <t>RT6214</t>
  </si>
  <si>
    <t>RECT TUBE 6" X 2" X 1/4"</t>
  </si>
  <si>
    <t>RT62316</t>
  </si>
  <si>
    <t>RECT TUBE 6" X 2" X 3/16"</t>
  </si>
  <si>
    <t>RT6312</t>
  </si>
  <si>
    <t>RECT TUBE 6" X 3" X 1/2"</t>
  </si>
  <si>
    <t>RT6314</t>
  </si>
  <si>
    <t>RECT TUBE 6" X 3" X 1/4"</t>
  </si>
  <si>
    <t>RT63316</t>
  </si>
  <si>
    <t>RECT TUBE 6" X 3" X 3/16"</t>
  </si>
  <si>
    <t>RT6338</t>
  </si>
  <si>
    <t>RECT TUBE 6" X 3" X 3/8"</t>
  </si>
  <si>
    <t>RT63516</t>
  </si>
  <si>
    <t>RECT TUBE 6" X 3" X 5/16"</t>
  </si>
  <si>
    <t>RT6412</t>
  </si>
  <si>
    <t>RECT TUBE 6" X 4" X 1/2"</t>
  </si>
  <si>
    <t>RT6414</t>
  </si>
  <si>
    <t>RECT TUBE 6" X 4" X 1/4"</t>
  </si>
  <si>
    <t>RT64316</t>
  </si>
  <si>
    <t>RECT TUBE 6" X 4" X 3/16"</t>
  </si>
  <si>
    <t>RT6438</t>
  </si>
  <si>
    <t>RECT TUBE 6" X 4" X 3/8"</t>
  </si>
  <si>
    <t>RT64516</t>
  </si>
  <si>
    <t>RECT TUBE 6" X 4" X 5/16"</t>
  </si>
  <si>
    <t>RT7414</t>
  </si>
  <si>
    <t>RECT TUBE 7" X 4" X 1/4"</t>
  </si>
  <si>
    <t>RT7438</t>
  </si>
  <si>
    <t>RECT TUBE 7" X 4" X 3/8"</t>
  </si>
  <si>
    <t>RT7514</t>
  </si>
  <si>
    <t>RECT TUBE 7" X 5" X 1/4"</t>
  </si>
  <si>
    <t>RT75316</t>
  </si>
  <si>
    <t>RECT TUBE 7" X 5" X 3/16"</t>
  </si>
  <si>
    <t>RT7538</t>
  </si>
  <si>
    <t>RECT TUBE 7" X 5" X 3/8"</t>
  </si>
  <si>
    <t>RT75516</t>
  </si>
  <si>
    <t>RECT TUBE 7" X 5" X 5/16"</t>
  </si>
  <si>
    <t>RT82316</t>
  </si>
  <si>
    <t>RECT TUBE 8" X 2" X 3/16"</t>
  </si>
  <si>
    <t>RT8311GA</t>
  </si>
  <si>
    <t>RECT TUBE 8" X 3" X 11GA</t>
  </si>
  <si>
    <t>RT8314</t>
  </si>
  <si>
    <t>RECT TUBE 8" X 3" X 1/4"</t>
  </si>
  <si>
    <t>RT83316</t>
  </si>
  <si>
    <t>RECT TUBE 8" X 3" X 3/16"</t>
  </si>
  <si>
    <t>RT8412</t>
  </si>
  <si>
    <t>RECT TUBE 8" X 4" X 1/2"</t>
  </si>
  <si>
    <t>RT8414</t>
  </si>
  <si>
    <t>RECT TUBE 8" X 4" X 1/4"</t>
  </si>
  <si>
    <t>RT84316</t>
  </si>
  <si>
    <t>RECT TUBE 8" X 4" X 3/16"</t>
  </si>
  <si>
    <t>RT8438</t>
  </si>
  <si>
    <t>RECT TUBE 8" X 4" X 3/8"</t>
  </si>
  <si>
    <t>RT84516</t>
  </si>
  <si>
    <t>RECT TUBE 8" X 4" X 5/16"</t>
  </si>
  <si>
    <t>RT8614</t>
  </si>
  <si>
    <t>RECT TUBE 8" X 6" X 1/4"</t>
  </si>
  <si>
    <t>RT86316</t>
  </si>
  <si>
    <t>RECT TUBE 8" X 6" X 3/16"</t>
  </si>
  <si>
    <t>RT8638</t>
  </si>
  <si>
    <t>RECT TUBE 8" X 6" X 3/8"</t>
  </si>
  <si>
    <t>RT86516</t>
  </si>
  <si>
    <t>RECT TUBE 8" X 6" X 5/16"</t>
  </si>
  <si>
    <t>SAN1114304</t>
  </si>
  <si>
    <t>1" X 1" X 1/4" 304L ANGLE</t>
  </si>
  <si>
    <t>SAN1114316</t>
  </si>
  <si>
    <t>1" X 1" X 1/4" 316L ANGLE</t>
  </si>
  <si>
    <t>SAN1118304</t>
  </si>
  <si>
    <t>1" X 1" X 1/8" 304L ANGLE</t>
  </si>
  <si>
    <t>SAN1118316</t>
  </si>
  <si>
    <t>1" X 1" X 1/8" 316L ANGLE</t>
  </si>
  <si>
    <t>SAN11211214304</t>
  </si>
  <si>
    <t>1-1/2" X 1-1/2" X 1/4" 304L ANGLE</t>
  </si>
  <si>
    <t>SAN11211214316</t>
  </si>
  <si>
    <t>1-1/2" X 1-1/2" X 1/4" 316L ANGLE</t>
  </si>
  <si>
    <t>SAN11211218304</t>
  </si>
  <si>
    <t>1-1/2" X 1-1/2" X 1/8" 304L ANGLE</t>
  </si>
  <si>
    <t>SAN11211218316</t>
  </si>
  <si>
    <t>1-1/2" X 1-1/2" X 1/8" 316L ANGLE</t>
  </si>
  <si>
    <t>SAN112112316304</t>
  </si>
  <si>
    <t>1-1/2" X 1-1/2" X 3/16" 304L ANGLE</t>
  </si>
  <si>
    <t>SAN112112316316</t>
  </si>
  <si>
    <t>1-1/2" X 1-1/2" X 3/16" 316L ANGLE</t>
  </si>
  <si>
    <t>SAN11316304</t>
  </si>
  <si>
    <t>1" X 1" X 3/16" 304L ANGLE</t>
  </si>
  <si>
    <t>SAN11316316</t>
  </si>
  <si>
    <t>1" X 1" X 3/16" 316L ANGLE</t>
  </si>
  <si>
    <t>SAN11411414304</t>
  </si>
  <si>
    <t>1-1/4" X 1-1/4" X 1/4" 304L ANGLE</t>
  </si>
  <si>
    <t>SAN11411414316</t>
  </si>
  <si>
    <t>1-1/4" X 1-1/4" X 1/4" 316L ANGLE</t>
  </si>
  <si>
    <t>SAN11411418304</t>
  </si>
  <si>
    <t>1-1/4" X 1-1/4" X 1/8" 304L ANGLE</t>
  </si>
  <si>
    <t>SAN11411418316</t>
  </si>
  <si>
    <t>1-1/4" X 1-1/4" X 1/8" 316L ANGLE</t>
  </si>
  <si>
    <t>SAN114114316304</t>
  </si>
  <si>
    <t>1-1/4" X 1-1/4" X 3/16" 304L ANGLE</t>
  </si>
  <si>
    <t>SAN114114316316</t>
  </si>
  <si>
    <t>1-1/4" X 1-1/4" X 3/16" 316L ANGLE</t>
  </si>
  <si>
    <t>SAN21221214304</t>
  </si>
  <si>
    <t>2-1/2" X 2-1/2" X 1/4" 304L ANGLE</t>
  </si>
  <si>
    <t>SAN21221214316</t>
  </si>
  <si>
    <t>2-1/2" X 2-1/2" X 1/4" 316L ANGLE</t>
  </si>
  <si>
    <t>SAN212212316304</t>
  </si>
  <si>
    <t>2-1/2" X 2-1/2" X 3/16" 304L ANGLE</t>
  </si>
  <si>
    <t>SAN212212316316</t>
  </si>
  <si>
    <t>2-1/2" X 2-1/2" X 3/16" 316L ANGLE</t>
  </si>
  <si>
    <t>SAN21221238304</t>
  </si>
  <si>
    <t>2-1/2" X 2-1/2" X 3/8" 304L ANGLE</t>
  </si>
  <si>
    <t>SAN21221238316</t>
  </si>
  <si>
    <t>2-1/2" X 2-1/2" X 3/8" 316L ANGLE</t>
  </si>
  <si>
    <t>SAN2214304</t>
  </si>
  <si>
    <t>2" X 2" X 1/4" 304L ANGLE</t>
  </si>
  <si>
    <t>SAN2214316</t>
  </si>
  <si>
    <t>2" X 2" X 1/4" 316L ANGLE</t>
  </si>
  <si>
    <t>SAN2218304</t>
  </si>
  <si>
    <t>2" X 2" X 1/8" 304L ANGLE</t>
  </si>
  <si>
    <t>SAN2218316</t>
  </si>
  <si>
    <t>2" X 2" X 1/8" 316L ANGLE</t>
  </si>
  <si>
    <t>SAN22316304</t>
  </si>
  <si>
    <t>2" X 2" X 3/16" 304L ANGLE</t>
  </si>
  <si>
    <t>SAN22316316</t>
  </si>
  <si>
    <t>2" X 2" X 3/16" 316L ANGLE</t>
  </si>
  <si>
    <t>SAN2238304</t>
  </si>
  <si>
    <t>2" X 2" X 3/8" 304L ANGLE</t>
  </si>
  <si>
    <t>SAN2238316</t>
  </si>
  <si>
    <t>2" X 2" X 3/8" 316L ANGLE</t>
  </si>
  <si>
    <t>SAN31231214304</t>
  </si>
  <si>
    <t>3-1/2" X 3-1/2" X 1/4" 304L ANGLE</t>
  </si>
  <si>
    <t>SAN31231214316</t>
  </si>
  <si>
    <t>3-1/2" X 3-1/2" X 1/4" 316L ANGLE</t>
  </si>
  <si>
    <t>SAN3214304</t>
  </si>
  <si>
    <t>3" X 2" X 1/4" 304L ANGLE</t>
  </si>
  <si>
    <t>SAN3214316</t>
  </si>
  <si>
    <t>3" X 2" X 1/4" 316L ANGLE</t>
  </si>
  <si>
    <t>SAN32316304</t>
  </si>
  <si>
    <t>3" X 2" X 3/16" 304L ANGLE</t>
  </si>
  <si>
    <t>SAN32316316</t>
  </si>
  <si>
    <t>3" X 2" X 3/16" 316L ANGLE</t>
  </si>
  <si>
    <t>SAN3314304</t>
  </si>
  <si>
    <t>3" X 3" X 1/4" 304L ANGLE</t>
  </si>
  <si>
    <t>SAN3314316</t>
  </si>
  <si>
    <t>3" X 3" X 1/4" 316L ANGLE</t>
  </si>
  <si>
    <t>SAN3338304</t>
  </si>
  <si>
    <t>3" X 3" X 3/8" 304L ANGLE</t>
  </si>
  <si>
    <t>SAN3338316</t>
  </si>
  <si>
    <t>3" X 3" X 3/8" 316L ANGLE</t>
  </si>
  <si>
    <t>SAN33516304</t>
  </si>
  <si>
    <t>3" X 3" X 5/16" 304L ANGLE</t>
  </si>
  <si>
    <t>SAN33516316</t>
  </si>
  <si>
    <t>3" X 3" X 5/16" 316L ANGLE</t>
  </si>
  <si>
    <t>SAN343418304</t>
  </si>
  <si>
    <t>3/4" X 3/4" X 1/8" 304L ANGLE</t>
  </si>
  <si>
    <t>SAN343418316</t>
  </si>
  <si>
    <t>3/4" X 3/4" X 1/8" 316L ANGLE</t>
  </si>
  <si>
    <t>SAN4314304</t>
  </si>
  <si>
    <t>4" X 3" X 1/4" 304L ANGLE</t>
  </si>
  <si>
    <t>SAN4314316</t>
  </si>
  <si>
    <t>4" X 3" X 1/4" 316L ANGLE</t>
  </si>
  <si>
    <t>SAN4338304</t>
  </si>
  <si>
    <t>4" X 3" X 3/8" 304L ANGLE</t>
  </si>
  <si>
    <t>SAN4338316</t>
  </si>
  <si>
    <t>4" X 3" X 3/8" 316L ANGLE</t>
  </si>
  <si>
    <t>SAN4414304</t>
  </si>
  <si>
    <t>4" X 4" X 1/4" 304L ANGLE</t>
  </si>
  <si>
    <t>SAN4414316</t>
  </si>
  <si>
    <t>4" X 4" X 1/4" 316L ANGLE</t>
  </si>
  <si>
    <t>SAN4438304</t>
  </si>
  <si>
    <t>4" X 4" X 3/8" 304L ANGLE</t>
  </si>
  <si>
    <t>SAN4438316</t>
  </si>
  <si>
    <t>4" X 4" X 3/8" 316L ANGLE</t>
  </si>
  <si>
    <t>SAN5338304</t>
  </si>
  <si>
    <t>5" X 3" X 3/8" 304L ANGLE</t>
  </si>
  <si>
    <t>SAN5338316</t>
  </si>
  <si>
    <t>5" X 3" X 3/8" 316L ANGLE</t>
  </si>
  <si>
    <t>SCH1123418304</t>
  </si>
  <si>
    <t>CH 1-1/2" X 3/4" X 1/8" 304L</t>
  </si>
  <si>
    <t>SCH2114304</t>
  </si>
  <si>
    <t>CH 2" X 1" X 1/4" 304L</t>
  </si>
  <si>
    <t>SCH2118304</t>
  </si>
  <si>
    <t>CH 2" X 1" X 1/8" 304L</t>
  </si>
  <si>
    <t>SCH311214304</t>
  </si>
  <si>
    <t>CH 3" X 1-1/2" X 1/4" 304L</t>
  </si>
  <si>
    <t>SFL14112304</t>
  </si>
  <si>
    <t>SS FLAT BAR 1/4" X 1-1/2" 304L</t>
  </si>
  <si>
    <t>SFL14114304</t>
  </si>
  <si>
    <t>SS FLAT BAR 1/4" X 1-1/4" 304L</t>
  </si>
  <si>
    <t>SFL1412304</t>
  </si>
  <si>
    <t>SS FLAT BAR 1/4" X 1/2" 304L</t>
  </si>
  <si>
    <t>SFL141304</t>
  </si>
  <si>
    <t>SS FLAT BAR 1/4" X 1" 304L</t>
  </si>
  <si>
    <t>SFL14134304</t>
  </si>
  <si>
    <t>SS FLAT BAR 1/4" X 1-3/4" 304L</t>
  </si>
  <si>
    <t>SFL14212304</t>
  </si>
  <si>
    <t>SS FLAT BAR 1/4" X 2-1/2" 304L</t>
  </si>
  <si>
    <t>SFL142304</t>
  </si>
  <si>
    <t>SS FLAT BAR 1/4" X 2" 304L</t>
  </si>
  <si>
    <t>SFL143304</t>
  </si>
  <si>
    <t>SS FLAT BAR 1/4" X 3" 304L</t>
  </si>
  <si>
    <t>SFL1434304</t>
  </si>
  <si>
    <t>SS FLAT BAR 1/4" X 3/4" 304L</t>
  </si>
  <si>
    <t>SFL144304</t>
  </si>
  <si>
    <t>SS FLAT BAR 1/4" X 4" 304L</t>
  </si>
  <si>
    <t>SFL1458304</t>
  </si>
  <si>
    <t>SS FLAT BAR 1/4" X 5/8" 304L</t>
  </si>
  <si>
    <t>SFL146304</t>
  </si>
  <si>
    <t>SS FLAT BAR 1/4" X 6" 304L</t>
  </si>
  <si>
    <t>SFL18112304</t>
  </si>
  <si>
    <t>SS FLAT BAR 1/8" X 1-1/2" 304L</t>
  </si>
  <si>
    <t>SFL18114304</t>
  </si>
  <si>
    <t>SS FLAT BAR 1/8" X 1-1/4" 304L</t>
  </si>
  <si>
    <t>SFL1812304</t>
  </si>
  <si>
    <t>SS FLAT BAR 1/8" X 1/2" 304L</t>
  </si>
  <si>
    <t>SFL181304</t>
  </si>
  <si>
    <t>SS FLAT BAR 1/8" X 1" 304L</t>
  </si>
  <si>
    <t>SFL18212304</t>
  </si>
  <si>
    <t>SS FLAT BAR 1/8" X 2-1/2" 304L</t>
  </si>
  <si>
    <t>SFL182304</t>
  </si>
  <si>
    <t>SS FLAT BAR 1/8" X 2" 304L</t>
  </si>
  <si>
    <t>SFL183304</t>
  </si>
  <si>
    <t>SS FLAT BAR 1/8" X 3" 304L</t>
  </si>
  <si>
    <t>SFL1834304</t>
  </si>
  <si>
    <t>SS FLAT BAR 1/8" X 3/4" 304L</t>
  </si>
  <si>
    <t>SFL1858304</t>
  </si>
  <si>
    <t>SS FLAT BAR 1/8" X 5/8" 304L</t>
  </si>
  <si>
    <t>SFL316112304</t>
  </si>
  <si>
    <t>SS FLAT BAR 3/16" X 1-1/2" 304L</t>
  </si>
  <si>
    <t>SFL316114304</t>
  </si>
  <si>
    <t>SS FLAT BAR 3/16" X 1-1/4" 304L</t>
  </si>
  <si>
    <t>SFL31612304</t>
  </si>
  <si>
    <t>SS FLAT BAR 3/16" X 1/2" 304L</t>
  </si>
  <si>
    <t>SFL3161304</t>
  </si>
  <si>
    <t>SS FLAT BAR 3/16" X 1" 304L</t>
  </si>
  <si>
    <t>SFL316134304</t>
  </si>
  <si>
    <t>SS FLAT BAR 3/16" X 1-3/4" 304L</t>
  </si>
  <si>
    <t>SFL316212304</t>
  </si>
  <si>
    <t>SS FLAT BAR 3/16" X 2-1/2" 304L</t>
  </si>
  <si>
    <t>SFL3162304</t>
  </si>
  <si>
    <t>SS FLAT BAR 3/16" X 2" 304L</t>
  </si>
  <si>
    <t>SFL3163304</t>
  </si>
  <si>
    <t>SS FLAT BAR 3/16" X 3" 304L</t>
  </si>
  <si>
    <t>SFL31634304</t>
  </si>
  <si>
    <t>SS FLAT BAR 3/16" X 3/4" 304L</t>
  </si>
  <si>
    <t>SFL31658304</t>
  </si>
  <si>
    <t>SS FLAT BAR 3/16" X 5/8" 304L</t>
  </si>
  <si>
    <t>SFL38112304</t>
  </si>
  <si>
    <t>SS FLAT BAR 3/8" X 1-1/2" 304L</t>
  </si>
  <si>
    <t>SFL38114304</t>
  </si>
  <si>
    <t>SS FLAT BAR 3/8" X 1-1/4" 304L</t>
  </si>
  <si>
    <t>SFL3812304</t>
  </si>
  <si>
    <t>SS FLAT BAR 3/8" X 1/2" 304L</t>
  </si>
  <si>
    <t>SFL381304</t>
  </si>
  <si>
    <t>SS FLAT BAR 3/8" X 1" 304L</t>
  </si>
  <si>
    <t>SFL38134304</t>
  </si>
  <si>
    <t>SS FLAT BAR 3/8" X 1-3/4" 304L</t>
  </si>
  <si>
    <t>SFL38212304</t>
  </si>
  <si>
    <t>SS FLAT BAR 3/8" X 2-1/2" 304L</t>
  </si>
  <si>
    <t>SFL382304</t>
  </si>
  <si>
    <t>SS FLAT BAR 3/8" X 2" 304L</t>
  </si>
  <si>
    <t>SFL383304</t>
  </si>
  <si>
    <t>SS FLAT BAR 3/8" X 3" 304L</t>
  </si>
  <si>
    <t>SFL3834304</t>
  </si>
  <si>
    <t>SS FLAT BAR 3/8" X 3/4" 304L</t>
  </si>
  <si>
    <t>SFL384304</t>
  </si>
  <si>
    <t>SS FLAT BAR 3/8" X 4" 304L</t>
  </si>
  <si>
    <t>SFL385304</t>
  </si>
  <si>
    <t>SS FLAT BAR 3/8" X 5" 304L</t>
  </si>
  <si>
    <t>SFL386304</t>
  </si>
  <si>
    <t>SS FLAT BAR 3/8" X 6" 304L</t>
  </si>
  <si>
    <t>SP112S40304</t>
  </si>
  <si>
    <t>SS PIPE 1-1/2" SCH 40 304</t>
  </si>
  <si>
    <t>SP114S40304</t>
  </si>
  <si>
    <t>SS PIPE 1-1/4" SCH 40 304</t>
  </si>
  <si>
    <t>SP12S40304</t>
  </si>
  <si>
    <t>SS PIPE 1/2" SCH 40 304</t>
  </si>
  <si>
    <t>SP1S40304</t>
  </si>
  <si>
    <t>SS PIPE 1" SCH 40 304</t>
  </si>
  <si>
    <t>SP212S40304</t>
  </si>
  <si>
    <t>SS PIPE 2-1/2" SCH 40 304</t>
  </si>
  <si>
    <t>SP2S40304</t>
  </si>
  <si>
    <t>SS PIPE 2" SCH 40 304</t>
  </si>
  <si>
    <t>SP312S40304</t>
  </si>
  <si>
    <t>SS PIPE 3-1/2" SCH 40 304</t>
  </si>
  <si>
    <t>SP34S40304</t>
  </si>
  <si>
    <t>SS PIPE 3/4" SCH 40 304</t>
  </si>
  <si>
    <t>SP3S40304</t>
  </si>
  <si>
    <t>SS PIPE 3" SCH 40 304</t>
  </si>
  <si>
    <t>SP4S40304</t>
  </si>
  <si>
    <t>SS PIPE 4" SCH 40 304</t>
  </si>
  <si>
    <t>SP5S40304</t>
  </si>
  <si>
    <t>SS PIPE 5" SCH 40 304</t>
  </si>
  <si>
    <t>SP6S40304</t>
  </si>
  <si>
    <t>SS PIPE 6" SCH 40 304</t>
  </si>
  <si>
    <t>SRDT111GA304</t>
  </si>
  <si>
    <t>SS RND TUBE 1" OD X 11GA 304</t>
  </si>
  <si>
    <t>SRDT11211GA304</t>
  </si>
  <si>
    <t>SS RND TUBE 1-1/2" OD X 11GA 304</t>
  </si>
  <si>
    <t>SRDT11214304</t>
  </si>
  <si>
    <t>SS RND TUBE 1-1/2" OD X 1/4" 304</t>
  </si>
  <si>
    <t>SRDT11214GA304</t>
  </si>
  <si>
    <t>SS RND TUBE 1-1/2" OD X 14GA 304</t>
  </si>
  <si>
    <t>SRDT11216GA304</t>
  </si>
  <si>
    <t>SS RND TUBE 1-1/2" OD X 16GA 304</t>
  </si>
  <si>
    <t>SRDT11216GA304#3</t>
  </si>
  <si>
    <t>SS RND TUBE 1-1/2" OD X 16GA 304 W/ #3 POLISH</t>
  </si>
  <si>
    <t>SRDT11218GA304</t>
  </si>
  <si>
    <t>SS RND TUBE 1-1/2" OD X 18GA 304</t>
  </si>
  <si>
    <t>SRDT112316304</t>
  </si>
  <si>
    <t>SS RND TUBE 1-1/2" OD X 3/16" 304</t>
  </si>
  <si>
    <t>SRDT11411GA304</t>
  </si>
  <si>
    <t>SS RND TUBE 1-1/4" OD X 11GA 304</t>
  </si>
  <si>
    <t>SRDT11414304</t>
  </si>
  <si>
    <t>SS RND TUBE 1-1/4" OD X 1/4" 304</t>
  </si>
  <si>
    <t>SRDT11414GA304</t>
  </si>
  <si>
    <t>SS RND TUBE 1-1/4" OD X 14GA 304</t>
  </si>
  <si>
    <t>SRDT11416GA304</t>
  </si>
  <si>
    <t>SS RND TUBE 1-1/4" OD X 16GA 304</t>
  </si>
  <si>
    <t>SRDT11418GA304</t>
  </si>
  <si>
    <t>SS RND TUBE 1-1/4" OD X 18GA 304</t>
  </si>
  <si>
    <t>SRDT114304</t>
  </si>
  <si>
    <t>SS RND TUBE 1" OD X 1/4" 304</t>
  </si>
  <si>
    <t>SRDT114316304</t>
  </si>
  <si>
    <t>SS RND TUBE 1-1/4" OD X 3/16" 304</t>
  </si>
  <si>
    <t>SRDT114GA304</t>
  </si>
  <si>
    <t>SS RND TUBE 1" OD X 14GA 304</t>
  </si>
  <si>
    <t>SRDT116GA304</t>
  </si>
  <si>
    <t>SS RND TUBE 1" OD X 16GA 304</t>
  </si>
  <si>
    <t>SRDT116GA304#3</t>
  </si>
  <si>
    <t>SS RND TUBE 1" OD X 16GA 304 W/ #3 POLISH</t>
  </si>
  <si>
    <t>SRDT118GA304</t>
  </si>
  <si>
    <t>SS RND TUBE 1" OD X 18GA 304</t>
  </si>
  <si>
    <t>SRDT1316304</t>
  </si>
  <si>
    <t>SS RND TUBE 1" OD X 3/16" 304</t>
  </si>
  <si>
    <t>SRDT13411GA304</t>
  </si>
  <si>
    <t>SS RND TUBE 1-3/4" OD X 11GA 304</t>
  </si>
  <si>
    <t>SRDT13416GA304</t>
  </si>
  <si>
    <t>SS RND TUBE 1-3/4" OD X 16GA 304</t>
  </si>
  <si>
    <t>SRDT13418GA304</t>
  </si>
  <si>
    <t>SS RND TUBE 1-3/4" OD X 18GA 304</t>
  </si>
  <si>
    <t>SRDT134316304</t>
  </si>
  <si>
    <t>SS RND TUBE 1-3/4" OD X 3/16" 304</t>
  </si>
  <si>
    <t>SRDT211GA304</t>
  </si>
  <si>
    <t>SS RND TUBE 2" OD X 11GA 304</t>
  </si>
  <si>
    <t>SRDT21211GA304</t>
  </si>
  <si>
    <t>SS RND TUBE 2-1/2" OD X 11GA 304</t>
  </si>
  <si>
    <t>SRDT21214304</t>
  </si>
  <si>
    <t>SS RND TUBE 2-1/2" OD X 1/4" 304</t>
  </si>
  <si>
    <t>SRDT21214GA304</t>
  </si>
  <si>
    <t>SS RND TUBE 2-1/2" OD X 14GA 304</t>
  </si>
  <si>
    <t>SRDT21216GA304</t>
  </si>
  <si>
    <t>SS RND TUBE 2-1/2" OD X 16GA 304</t>
  </si>
  <si>
    <t>SRDT21218GA304</t>
  </si>
  <si>
    <t>SS RND TUBE 2-1/2" OD X 18GA 304</t>
  </si>
  <si>
    <t>SRDT214304</t>
  </si>
  <si>
    <t>SS RND TUBE 2" OD X 1/4" 304</t>
  </si>
  <si>
    <t>SRDT214GA304</t>
  </si>
  <si>
    <t>SS RND TUBE 2" OD X 14GA 304</t>
  </si>
  <si>
    <t>SRDT216GA304</t>
  </si>
  <si>
    <t>SS RND TUBE 2" OD X 16GA 304</t>
  </si>
  <si>
    <t>SRDT218GA304</t>
  </si>
  <si>
    <t>SS RND TUBE 2" OD X 18GA 304</t>
  </si>
  <si>
    <t>SRDT2316304</t>
  </si>
  <si>
    <t>SS RND TUBE 2" OD X 3/16" 304</t>
  </si>
  <si>
    <t>SRDT23411GA304</t>
  </si>
  <si>
    <t>SS RND TUBE 2-3/4" OD X 11GA 304</t>
  </si>
  <si>
    <t>SRDT311GA304</t>
  </si>
  <si>
    <t>SS RND TUBE 3" OD X 11GA 304</t>
  </si>
  <si>
    <t>SRDT31211GA304</t>
  </si>
  <si>
    <t>SS RND TUBE 3-1/2" OD X 11GA 304</t>
  </si>
  <si>
    <t>SRDT31216GA304</t>
  </si>
  <si>
    <t>SS RND TUBE 3-1/2" OD X 16GA 304</t>
  </si>
  <si>
    <t>SRDT31411GA304</t>
  </si>
  <si>
    <t>SS RND TUBE 3-1/4" OD X 11GA 304</t>
  </si>
  <si>
    <t>SRDT314304</t>
  </si>
  <si>
    <t>SS RND TUBE 3" OD X 1/4" 304</t>
  </si>
  <si>
    <t>SRDT314GA304</t>
  </si>
  <si>
    <t>SS RND TUBE 3" OD X 14GA 304</t>
  </si>
  <si>
    <t>SRDT316GA304</t>
  </si>
  <si>
    <t>SS RND TUBE 3" OD X 16GA 304</t>
  </si>
  <si>
    <t>SRDT3316304</t>
  </si>
  <si>
    <t>SS RND TUBE 3" OD X 3/16" 304</t>
  </si>
  <si>
    <t>SRDT3411GA304</t>
  </si>
  <si>
    <t>SS RND TUBE 3/4" OD X 11GA 304</t>
  </si>
  <si>
    <t>SRDT3416GA304</t>
  </si>
  <si>
    <t>SS RND TUBE 3/4" OD X 16GA 304</t>
  </si>
  <si>
    <t>SRDT3418GA304</t>
  </si>
  <si>
    <t>SS RND TUBE 3/4" OD X 18GA 304</t>
  </si>
  <si>
    <t>SRDT411GA304</t>
  </si>
  <si>
    <t>SS RND TUBE 4" OD X 11GA 304</t>
  </si>
  <si>
    <t>SRDT414GA304</t>
  </si>
  <si>
    <t>SS RND TUBE 4" OD X 14GA 304</t>
  </si>
  <si>
    <t>SRDT416GA304</t>
  </si>
  <si>
    <t>SS RND TUBE 4" OD X 16GA 304</t>
  </si>
  <si>
    <t>SRDT511GA304</t>
  </si>
  <si>
    <t>SS RND TUBE 5" OD X 11GA 304</t>
  </si>
  <si>
    <t>SRDT611GA304</t>
  </si>
  <si>
    <t>SS RND TUBE 6" OD X 11GA 304</t>
  </si>
  <si>
    <t>SRDT7811GA304</t>
  </si>
  <si>
    <t>SS RND TUBE 7/8" OD X 11GA 304</t>
  </si>
  <si>
    <t>SRDT7816GA304</t>
  </si>
  <si>
    <t>SS RND TUBE 7/8" OD X 16GA 304</t>
  </si>
  <si>
    <t>SRDT7818GA304</t>
  </si>
  <si>
    <t>SS RND TUBE 7/8" OD X 18GA 304</t>
  </si>
  <si>
    <t>SRT112111GA304</t>
  </si>
  <si>
    <t>SS RECT TUBE 1-1/2" X 1" X 11GA 304L</t>
  </si>
  <si>
    <t>SRT2111GA304</t>
  </si>
  <si>
    <t>SS RECT TUBE 2" X 1" X 11GA 304L</t>
  </si>
  <si>
    <t>SRT2116GA304</t>
  </si>
  <si>
    <t>SS RECT TUBE 2" X 1" X 16GA 304L</t>
  </si>
  <si>
    <t>SRT3211GA304</t>
  </si>
  <si>
    <t>SS RECT TUBE 3" X 2" X 11GA 304L</t>
  </si>
  <si>
    <t>SRT327GA304</t>
  </si>
  <si>
    <t>SS RECT TUBE 3" X 2" X 7GA 304L</t>
  </si>
  <si>
    <t>SRT4211GA304</t>
  </si>
  <si>
    <t>SS RECT TUBE 4" X 2" X 11GA 304L</t>
  </si>
  <si>
    <t>SRT4214304</t>
  </si>
  <si>
    <t>SS RECT TUBE 4" X 2" X 1/4" 304L</t>
  </si>
  <si>
    <t>SRT427GA304</t>
  </si>
  <si>
    <t>SS RECT TUBE 4" X 2" X 7GA 304L</t>
  </si>
  <si>
    <t>SRT4314304</t>
  </si>
  <si>
    <t>SS RECT TUBE 4" X 3" X 1/4" 304L</t>
  </si>
  <si>
    <t>SRT437GA304</t>
  </si>
  <si>
    <t>SS RECT TUBE 4" X 3" X 7GA 304L</t>
  </si>
  <si>
    <t>SRT5314304</t>
  </si>
  <si>
    <t>SS RECT TUBE 5" X 3" X 1/4" 304L</t>
  </si>
  <si>
    <t>SRT537GA304</t>
  </si>
  <si>
    <t>SS RECT TUBE 5" X 3" X 7GA 304L</t>
  </si>
  <si>
    <t>SRT6214304</t>
  </si>
  <si>
    <t>SS RECT TUBE 6" X 2" X 1/4" 304L</t>
  </si>
  <si>
    <t>SRT627GA304</t>
  </si>
  <si>
    <t>SS RECT TUBE 6" X 2" X 7GA 304L</t>
  </si>
  <si>
    <t>SRT637GA304</t>
  </si>
  <si>
    <t>SS RECT TUBE 6" X 3" X 7GA 304L</t>
  </si>
  <si>
    <t>SRT6414304</t>
  </si>
  <si>
    <t>SS RECT TUBE 6" X 4" X 1/4" 304L</t>
  </si>
  <si>
    <t>SRT6438304</t>
  </si>
  <si>
    <t>SS RECT TUBE 6" X 4" X 3/8 304L</t>
  </si>
  <si>
    <t>SRT647GA304</t>
  </si>
  <si>
    <t>SS RECT TUBE 6" X 4" X 7GA 304L</t>
  </si>
  <si>
    <t>SST1111GA304</t>
  </si>
  <si>
    <t>SS SQ TUBE 1" X 1" X 11GA 304L</t>
  </si>
  <si>
    <t>SST1116GA304</t>
  </si>
  <si>
    <t>SS SQ TUBE 1" X 1" X 16GA 304L</t>
  </si>
  <si>
    <t>SST11211211GA304</t>
  </si>
  <si>
    <t>SS SQ TUBE 1-1/2" X 1-1/2" X 11GA 304L</t>
  </si>
  <si>
    <t>SST11211214GA304</t>
  </si>
  <si>
    <t>SS SQ TUBE 1-1/2" X 1-1/2" X 14GA 304L</t>
  </si>
  <si>
    <t>SST11211216GA304</t>
  </si>
  <si>
    <t>SS SQ TUBE 1-1/2" X 1-1/2" X 16GA 304L</t>
  </si>
  <si>
    <t>SST1121127GA304</t>
  </si>
  <si>
    <t>SS SQ TUBE 1-1/2" X 1-1/2" X 7GA 304L</t>
  </si>
  <si>
    <t>SST11411411GA304</t>
  </si>
  <si>
    <t>SS SQ TUBE 1-1/4" X 1-1/4" X 11GA 304L</t>
  </si>
  <si>
    <t>SST11411414GA304</t>
  </si>
  <si>
    <t>SS SQ TUBE 1-1/4" X 1-1/4" X 14GA 304L</t>
  </si>
  <si>
    <t>SST11411416GA304</t>
  </si>
  <si>
    <t>SS SQ TUBE 1-1/4" X 1-1/4" X 16GA 304L</t>
  </si>
  <si>
    <t>SST13413414GA304</t>
  </si>
  <si>
    <t>SS SQ TUBE 1-3/4" X 1-3/4" X 14GA 304L</t>
  </si>
  <si>
    <t>SST2122127GA304</t>
  </si>
  <si>
    <t>SS SQ TUBE 2-1/2' X 2-1/2" X 7GA 304L</t>
  </si>
  <si>
    <t>SST2211GA304</t>
  </si>
  <si>
    <t>SS SQ TUBE 2" X 2" X 11GA 304L</t>
  </si>
  <si>
    <t>SST2214304</t>
  </si>
  <si>
    <t>SS SQ TUBE 2" X 2" X 1/4" 304L</t>
  </si>
  <si>
    <t>SST2214GA304</t>
  </si>
  <si>
    <t>SS SQ TUBE 2" X 2" X 14GA 304L</t>
  </si>
  <si>
    <t>SST2216GA304</t>
  </si>
  <si>
    <t>SS SQ TUBE 2" X 2" X 16GA 304L</t>
  </si>
  <si>
    <t>SST22316304</t>
  </si>
  <si>
    <t>SS SQ TUBE 2" X 2" X 3/16" 304L</t>
  </si>
  <si>
    <t>SST227GA304</t>
  </si>
  <si>
    <t>SS SQ TUBE 2" X 2" X 7GA 304L</t>
  </si>
  <si>
    <t>SST3311GA304</t>
  </si>
  <si>
    <t>SS SQ TUBE 3" X 3" X 11GA 304L</t>
  </si>
  <si>
    <t>SST3314304</t>
  </si>
  <si>
    <t>SS SQ TUBE 3" X 3" X 1/4" 304L</t>
  </si>
  <si>
    <t>SST3314GA304</t>
  </si>
  <si>
    <t>SS SQ TUBE 3" X 3" X 14GA 304L</t>
  </si>
  <si>
    <t>SST33316304</t>
  </si>
  <si>
    <t>SS SQ TUBE 3" X 3" X 3/16" 304L</t>
  </si>
  <si>
    <t>SST337GA304</t>
  </si>
  <si>
    <t>SS SQ TUBE 3" X 3" X 7GA 304L</t>
  </si>
  <si>
    <t>SST4411GA304</t>
  </si>
  <si>
    <t>SS SQ TUBE 4" X 4" X 11GA 304L</t>
  </si>
  <si>
    <t>SST4414304</t>
  </si>
  <si>
    <t>SS SQ TUBE 4" X 4" X 1/4" 304L</t>
  </si>
  <si>
    <t>SST44316304</t>
  </si>
  <si>
    <t>SS SQ TUBE 4" X 4" X 3/16" 304L</t>
  </si>
  <si>
    <t>SST447GA304</t>
  </si>
  <si>
    <t>SS SQ TUBE 4" X 4" X 7GA 304L</t>
  </si>
  <si>
    <t>SST6614304</t>
  </si>
  <si>
    <t>SS SQ TUBE 6" X 6" X 1/4" 304L</t>
  </si>
  <si>
    <t>ST1111GA</t>
  </si>
  <si>
    <t>SQ TUBE 1" X 1" X 11GA</t>
  </si>
  <si>
    <t>ST1114GA</t>
  </si>
  <si>
    <t>SQ TUBE 1" X 1" X 14GA</t>
  </si>
  <si>
    <t>ST1116GA</t>
  </si>
  <si>
    <t>SQ TUBE 1" X 1" X 16GA</t>
  </si>
  <si>
    <t>ST11211211GA</t>
  </si>
  <si>
    <t>SQ TUBE 1-1/2" X 1-1/2" X 11GA</t>
  </si>
  <si>
    <t>ST11211214</t>
  </si>
  <si>
    <t>SQ TUBE 1-1/2" X 1-1/2" X 1/4"</t>
  </si>
  <si>
    <t>ST11211214GA</t>
  </si>
  <si>
    <t>SQ TUBE 1-1/2" X 1-1/2" X 14GA</t>
  </si>
  <si>
    <t>ST11211216GA</t>
  </si>
  <si>
    <t>SQ TUBE 1-1/2" X 1-1/2" X 16GA</t>
  </si>
  <si>
    <t>ST112112316</t>
  </si>
  <si>
    <t>SQ TUBE 1-1/2" X 1-1/2" X 3/16"</t>
  </si>
  <si>
    <t>ST11411411GA</t>
  </si>
  <si>
    <t>SQ TUBE 1-1/4" X 1-1/4" X 11GA</t>
  </si>
  <si>
    <t>ST11411414GA</t>
  </si>
  <si>
    <t>SQ TUBE 1-1/4" X 1-1/4" X 14GA</t>
  </si>
  <si>
    <t>ST11411416GA</t>
  </si>
  <si>
    <t>SQ TUBE 1-1/4" X 1-1/4" X 16GA</t>
  </si>
  <si>
    <t>ST114114316</t>
  </si>
  <si>
    <t>SQ TUBE 1-1/4" X 1-1/4" X 3/16"</t>
  </si>
  <si>
    <t>ST13413413GA</t>
  </si>
  <si>
    <t>SQ TUBE 1-3/4" X 1-3/4" X 13GA</t>
  </si>
  <si>
    <t>ST21221211GA</t>
  </si>
  <si>
    <t>SQ TUBE 2-1/2" X 2-1/2" X 11GA</t>
  </si>
  <si>
    <t>ST2122121316</t>
  </si>
  <si>
    <t>SQ TUBE 2-1/2" X 2-1/2" X 3/16"</t>
  </si>
  <si>
    <t>ST21221214</t>
  </si>
  <si>
    <t>SQ TUBE 2-1/2" X 2-1/2" X 1/4"</t>
  </si>
  <si>
    <t>ST212212516</t>
  </si>
  <si>
    <t>SQ TUBE 2-1/2" X 2-1/2" X 5/16"</t>
  </si>
  <si>
    <t>ST2211GA</t>
  </si>
  <si>
    <t>SQ TUBE 2" X 2" X 11GA</t>
  </si>
  <si>
    <t>ST2213GA</t>
  </si>
  <si>
    <t>SQ TUBE 2" X 2" X 13GA</t>
  </si>
  <si>
    <t>ST2214</t>
  </si>
  <si>
    <t>SQ TUBE 2" X 2" X 1/4"</t>
  </si>
  <si>
    <t>ST22316</t>
  </si>
  <si>
    <t>SQ TUBE 2" X 2" X 3/16"</t>
  </si>
  <si>
    <t>ST22516</t>
  </si>
  <si>
    <t>SQ TUBE 2" X 2" X 5/16"</t>
  </si>
  <si>
    <t>ST31231211GA</t>
  </si>
  <si>
    <t>SQ TUBE 3-1/2" X 3-1/2" X 11GA</t>
  </si>
  <si>
    <t>ST31231214</t>
  </si>
  <si>
    <t>SQ TUBE 3-1/2" X 3-1/2" X 1/4"</t>
  </si>
  <si>
    <t>ST312312316</t>
  </si>
  <si>
    <t>SQ TUBE 3-1/2" X 3-1/2" X 3/16"</t>
  </si>
  <si>
    <t>ST31231238</t>
  </si>
  <si>
    <t>SQ TUBE 3-1/2" X 3-1/2" X 3/8"</t>
  </si>
  <si>
    <t>ST312312516</t>
  </si>
  <si>
    <t>SQ TUBE 3-1/2" X 3-1/2" X 5/16"</t>
  </si>
  <si>
    <t>ST3311GA</t>
  </si>
  <si>
    <t>SQ TUBE 3" X 3" X 11GA</t>
  </si>
  <si>
    <t>ST3314</t>
  </si>
  <si>
    <t>SQ TUBE 3" X 3" X 1/4"</t>
  </si>
  <si>
    <t>ST33316</t>
  </si>
  <si>
    <t>SQ TUBE 3" X 3" X 3/16"</t>
  </si>
  <si>
    <t>ST3338</t>
  </si>
  <si>
    <t>SQ TUBE 3" X 3" X 3/8"</t>
  </si>
  <si>
    <t>ST33516</t>
  </si>
  <si>
    <t>SQ TUBE 3" X 3" X 5/16"</t>
  </si>
  <si>
    <t>ST343411GA</t>
  </si>
  <si>
    <t>SQ TUBE 3/4" X 3/4" X 11GA</t>
  </si>
  <si>
    <t>ST343416GA</t>
  </si>
  <si>
    <t>SQ TUBE 3/4" X 3/4" X 16GA</t>
  </si>
  <si>
    <t>ST41241214</t>
  </si>
  <si>
    <t>SQ TUBE 4-1/2" X 4-1/2" X 1/4"</t>
  </si>
  <si>
    <t>ST412412316</t>
  </si>
  <si>
    <t>SQ TUBE 4-1/2" X 4-1/2" X 3/16"</t>
  </si>
  <si>
    <t>ST41241238</t>
  </si>
  <si>
    <t>SQ TUBE 4-1/2" X 4-1/2" X 3/8"</t>
  </si>
  <si>
    <t>ST412412516</t>
  </si>
  <si>
    <t>SQ TUBE 4-1/2" X 4-1/2" X 5/16"</t>
  </si>
  <si>
    <t>ST4411GA</t>
  </si>
  <si>
    <t>SQ TUBE 4" X 4" X 11GA</t>
  </si>
  <si>
    <t>ST4412</t>
  </si>
  <si>
    <t>SQ TUBE 4" X 4" X 1/2"</t>
  </si>
  <si>
    <t>ST4414</t>
  </si>
  <si>
    <t>SQ TUBE 4" X 4" X 1/4"</t>
  </si>
  <si>
    <t>ST44316</t>
  </si>
  <si>
    <t>SQ TUBE 4" X 4" X 3/16"</t>
  </si>
  <si>
    <t>ST4438</t>
  </si>
  <si>
    <t>SQ TUBE 4" X 4" X 3/8"</t>
  </si>
  <si>
    <t>ST44516</t>
  </si>
  <si>
    <t>SQ TUBE 4" X 4" X 5/16"</t>
  </si>
  <si>
    <t>ST51251214</t>
  </si>
  <si>
    <t>SQ TUBE 5-1/2" X 5-1/2" X 1/4"</t>
  </si>
  <si>
    <t>ST51251238</t>
  </si>
  <si>
    <t>SQ TUBE 5-1/2" X 5-1/2" X 3/8"</t>
  </si>
  <si>
    <t>ST5512</t>
  </si>
  <si>
    <t>SQ TUBE 5" X 5" X 1/2"</t>
  </si>
  <si>
    <t>ST5514</t>
  </si>
  <si>
    <t>SQ TUBE 5" X 5" X 1/4"</t>
  </si>
  <si>
    <t>ST55316</t>
  </si>
  <si>
    <t>SQ TUBE 5" X 5" X 3/16"</t>
  </si>
  <si>
    <t>ST5538</t>
  </si>
  <si>
    <t>SQ TUBE 5" X 5" X 3/8"</t>
  </si>
  <si>
    <t>ST55516</t>
  </si>
  <si>
    <t>SQ TUBE 5" X 5" X 5/16"</t>
  </si>
  <si>
    <t>ST6612</t>
  </si>
  <si>
    <t>SQ TUBE 6" X 6" X 1/2"</t>
  </si>
  <si>
    <t>ST6614</t>
  </si>
  <si>
    <t>SQ TUBE 6" X 6" X 1/4"</t>
  </si>
  <si>
    <t>ST66316</t>
  </si>
  <si>
    <t>SQ TUBE 6" X 6" X 3/16"</t>
  </si>
  <si>
    <t>ST6638</t>
  </si>
  <si>
    <t>SQ TUBE 6" X 6" X 3/8"</t>
  </si>
  <si>
    <t>ST66516</t>
  </si>
  <si>
    <t>SQ TUBE 6" X 6" X 5/16"</t>
  </si>
  <si>
    <t>ST7714</t>
  </si>
  <si>
    <t>SQ TUBE 7" X 7" X 1/4"</t>
  </si>
  <si>
    <t>ST7738</t>
  </si>
  <si>
    <t>SQ TUBE 7" X 7" X 3/8"</t>
  </si>
  <si>
    <t>ST77516</t>
  </si>
  <si>
    <t>SQ TUBE 7" X 7" X 5/16"</t>
  </si>
  <si>
    <t>SWF413304</t>
  </si>
  <si>
    <t>WF 4 X 13 304L</t>
  </si>
  <si>
    <t>SWF516304</t>
  </si>
  <si>
    <t>WF 5 X 16 304L</t>
  </si>
  <si>
    <t>SWF519304</t>
  </si>
  <si>
    <t>WF 5 X 19 304L</t>
  </si>
  <si>
    <t>SWF612304</t>
  </si>
  <si>
    <t>WF 6 X 12 304L</t>
  </si>
  <si>
    <t>SWF615304</t>
  </si>
  <si>
    <t>WF 6 X 15 304L</t>
  </si>
  <si>
    <t>SWF616304</t>
  </si>
  <si>
    <t>WF 6 X 16 304L</t>
  </si>
  <si>
    <t>SWF620304</t>
  </si>
  <si>
    <t>WF 6 X 20 304L</t>
  </si>
  <si>
    <t>SWF69304</t>
  </si>
  <si>
    <t>WF 6 X 9 304L</t>
  </si>
  <si>
    <t>WF1214</t>
  </si>
  <si>
    <t>WF 12 X 14</t>
  </si>
  <si>
    <t>WF413</t>
  </si>
  <si>
    <t>WF 4 X 13</t>
  </si>
  <si>
    <t>WF516</t>
  </si>
  <si>
    <t>WF 5 X 16</t>
  </si>
  <si>
    <t>WF519</t>
  </si>
  <si>
    <t>WF 5 X 19</t>
  </si>
  <si>
    <t>WF612</t>
  </si>
  <si>
    <t>WF 6 X 12</t>
  </si>
  <si>
    <t>WF615</t>
  </si>
  <si>
    <t>WF 6 X 15</t>
  </si>
  <si>
    <t>WF616</t>
  </si>
  <si>
    <t>WF 6 X 16</t>
  </si>
  <si>
    <t>WF620</t>
  </si>
  <si>
    <t>WF 6 X 20</t>
  </si>
  <si>
    <t>WF625</t>
  </si>
  <si>
    <t>WF 6 X 25</t>
  </si>
  <si>
    <t>WF69</t>
  </si>
  <si>
    <t>WF 6 X 9</t>
  </si>
  <si>
    <t>WF810</t>
  </si>
  <si>
    <t>WF 8 X 10</t>
  </si>
  <si>
    <t>WF813</t>
  </si>
  <si>
    <t>WF 8 X 13</t>
  </si>
  <si>
    <t>WF815</t>
  </si>
  <si>
    <t>WF 8 X 15</t>
  </si>
  <si>
    <t>WF818</t>
  </si>
  <si>
    <t>WF 8 X 18</t>
  </si>
  <si>
    <t>Run Time</t>
  </si>
  <si>
    <t>Flat Laser (hr)</t>
  </si>
  <si>
    <t>Tube Laser (hr)</t>
  </si>
  <si>
    <t>Total (hr)</t>
  </si>
  <si>
    <t>Tube Laser Run Time</t>
  </si>
  <si>
    <t>Process</t>
  </si>
  <si>
    <t>Outsourced?</t>
  </si>
  <si>
    <t>Vendor</t>
  </si>
  <si>
    <t>Estimated Hours</t>
  </si>
  <si>
    <t>Flatbed Laser</t>
  </si>
  <si>
    <t>Forming</t>
  </si>
  <si>
    <t>Welding</t>
  </si>
  <si>
    <t>Plasma</t>
  </si>
  <si>
    <t>Trumatic</t>
  </si>
  <si>
    <t>Machining</t>
  </si>
  <si>
    <t>Hardware Install</t>
  </si>
  <si>
    <t>Special Packaging</t>
  </si>
  <si>
    <t>Special Delivery</t>
  </si>
  <si>
    <t>Trubend</t>
  </si>
  <si>
    <t>Notes</t>
  </si>
  <si>
    <t>Powder Coating/Paint</t>
  </si>
  <si>
    <t>Shear</t>
  </si>
  <si>
    <t>Saw Cutting</t>
  </si>
  <si>
    <t>Tube Bending</t>
  </si>
  <si>
    <t>Leveling</t>
  </si>
  <si>
    <t>Finishing</t>
  </si>
  <si>
    <t>Assembly</t>
  </si>
  <si>
    <t>Setup (min)</t>
  </si>
  <si>
    <t>Outsource Lead Time (Days)</t>
  </si>
  <si>
    <t>Longest Dim</t>
  </si>
  <si>
    <t>Men</t>
  </si>
  <si>
    <t>Price (Each)</t>
  </si>
  <si>
    <t>Forming Mark-Up</t>
  </si>
  <si>
    <t>Outsource</t>
  </si>
  <si>
    <t>Run Time Lot (min)</t>
  </si>
  <si>
    <t>Forming (hr)</t>
  </si>
  <si>
    <t>FPL14GA</t>
  </si>
  <si>
    <t>FLOOR PLATE 14GA</t>
  </si>
  <si>
    <t>FLOOR PLATE 1/4"</t>
  </si>
  <si>
    <t>FPL14</t>
  </si>
  <si>
    <t>FPL38</t>
  </si>
  <si>
    <t>FLOOR PLATE 3/8"</t>
  </si>
  <si>
    <t>GALVSH12GA</t>
  </si>
  <si>
    <t>GALVANIZED SHEET 12GA</t>
  </si>
  <si>
    <t>GALVSH14GA</t>
  </si>
  <si>
    <t>GALVANIZED SHEET 14GA</t>
  </si>
  <si>
    <t>GALVANIZED SHEET 16GA</t>
  </si>
  <si>
    <t>GALVANIZED SHEET 18GA</t>
  </si>
  <si>
    <t>GALVANIZED SHEET 20GA</t>
  </si>
  <si>
    <t>GALVANIZED SHEET 22GA</t>
  </si>
  <si>
    <t>GALVSH16GA</t>
  </si>
  <si>
    <t>GALVSH18GA</t>
  </si>
  <si>
    <t>GALVSH20GA</t>
  </si>
  <si>
    <t>GALVSH22GA</t>
  </si>
  <si>
    <t>GAPL14A36</t>
  </si>
  <si>
    <t>GALVANIZED PLATE 1/4"</t>
  </si>
  <si>
    <t>GALVANNEAL SHEET 12GA</t>
  </si>
  <si>
    <t>GALVNSH12GA</t>
  </si>
  <si>
    <t>GALVANNEAL SHEET 14GA</t>
  </si>
  <si>
    <t>GALVANNEAL SHEET 16GA</t>
  </si>
  <si>
    <t>GALVNSH14GA</t>
  </si>
  <si>
    <t>GALVNSH16GA</t>
  </si>
  <si>
    <t>FLOOR PLATE 11GA</t>
  </si>
  <si>
    <t>FLOOR PLATE 5/16"</t>
  </si>
  <si>
    <t>HR P&amp;O SHEET 11GA</t>
  </si>
  <si>
    <t>HRPOSH10GA</t>
  </si>
  <si>
    <t>HR P&amp;O SHEET 10GA</t>
  </si>
  <si>
    <t>HRPOSH12GA</t>
  </si>
  <si>
    <t>HRPOSH14GA</t>
  </si>
  <si>
    <t>HR P&amp;O SHEET 12GA</t>
  </si>
  <si>
    <t>HR P&amp;O SHEET 14GA</t>
  </si>
  <si>
    <t>HRPOSH7GA</t>
  </si>
  <si>
    <t>HRPOSH8GA</t>
  </si>
  <si>
    <t>HR P&amp;O SHEET 7GA</t>
  </si>
  <si>
    <t>HR P&amp;O SHEET 8GA</t>
  </si>
  <si>
    <t>HRSH13GA</t>
  </si>
  <si>
    <t>HR SHEET 13GA</t>
  </si>
  <si>
    <t>P&amp;O PL 5/8" A36</t>
  </si>
  <si>
    <t>In-House?</t>
  </si>
  <si>
    <t>Estimated Lead Time -</t>
  </si>
  <si>
    <t>Days</t>
  </si>
  <si>
    <t>PPH</t>
  </si>
  <si>
    <t>RDT238154</t>
  </si>
  <si>
    <t>RND TUBE 2-3/8" OD X .154"</t>
  </si>
  <si>
    <t>Assembly Name</t>
  </si>
  <si>
    <t>Price (each)</t>
  </si>
  <si>
    <t>Price (lot)</t>
  </si>
  <si>
    <t>Weld Time Lot (hrs)</t>
  </si>
  <si>
    <t>Welding (in-house)</t>
  </si>
  <si>
    <t>Welding (hr)</t>
  </si>
  <si>
    <t>Hardware Install (Each)</t>
  </si>
  <si>
    <t>Hardware</t>
  </si>
  <si>
    <t># of PEMS</t>
  </si>
  <si>
    <t>Hardware Install (hr)</t>
  </si>
  <si>
    <t>Hardware Required (Notes)</t>
  </si>
  <si>
    <t>min/assembly</t>
  </si>
  <si>
    <t>CFRND58</t>
  </si>
  <si>
    <t>CF ROUND BAR 5/8" Diameter</t>
  </si>
  <si>
    <t>HRFL122</t>
  </si>
  <si>
    <t>HR FLAT BAR 1/2" x 2"</t>
  </si>
  <si>
    <t>SP8S10304</t>
  </si>
  <si>
    <t>SS PIPE 8" SCH 10 304</t>
  </si>
  <si>
    <t>Tube Bending (Each)</t>
  </si>
  <si>
    <t>Tube Bending Rate</t>
  </si>
  <si>
    <t>Price (Lot)</t>
  </si>
  <si>
    <t>Tube Bending (hr)</t>
  </si>
  <si>
    <t>Machining (Each)</t>
  </si>
  <si>
    <t>Bevel</t>
  </si>
  <si>
    <t>Etch</t>
  </si>
  <si>
    <t>Tap</t>
  </si>
  <si>
    <t>Seam</t>
  </si>
  <si>
    <t>One Side</t>
  </si>
  <si>
    <t>Both Sides</t>
  </si>
  <si>
    <t>Yes</t>
  </si>
  <si>
    <t>Tap Holes</t>
  </si>
  <si>
    <t>Tube Laser/Hr (Cost)</t>
  </si>
  <si>
    <t>Laser/Hr (Cost)</t>
  </si>
  <si>
    <t>Forming Cost</t>
  </si>
  <si>
    <t>Welding Cost</t>
  </si>
  <si>
    <t>Fixture Cost</t>
  </si>
  <si>
    <t>Pallet Cost</t>
  </si>
  <si>
    <t>Delivery Cost</t>
  </si>
  <si>
    <t>Total Cost (Each)</t>
  </si>
  <si>
    <t>Cost Lot</t>
  </si>
  <si>
    <t>Price Lot</t>
  </si>
  <si>
    <t>Lot Cost</t>
  </si>
  <si>
    <t>Cost/Lbs</t>
  </si>
  <si>
    <t>Labor Cost</t>
  </si>
  <si>
    <t>Flat Material</t>
  </si>
  <si>
    <t>Tube Material</t>
  </si>
  <si>
    <t>Packaging Cost</t>
  </si>
  <si>
    <t>Outsource Cost</t>
  </si>
  <si>
    <t>Hardware Cost</t>
  </si>
  <si>
    <t>Programming</t>
  </si>
  <si>
    <t>Programming Fee</t>
  </si>
  <si>
    <t>Phase Code</t>
  </si>
  <si>
    <t>Description</t>
  </si>
  <si>
    <t>Materials</t>
  </si>
  <si>
    <t>Shop Materials (toolcrib)</t>
  </si>
  <si>
    <t>Coding/Programming</t>
  </si>
  <si>
    <t>Driving Labor</t>
  </si>
  <si>
    <t>Forming Labor</t>
  </si>
  <si>
    <t>Welding Labor</t>
  </si>
  <si>
    <t>Flat Laser Labor</t>
  </si>
  <si>
    <t>Tube laser Labor</t>
  </si>
  <si>
    <t>Labor</t>
  </si>
  <si>
    <t>Crating Lumber</t>
  </si>
  <si>
    <t>Crate Fab/Assembly</t>
  </si>
  <si>
    <t>Outbound Freight</t>
  </si>
  <si>
    <t>Outsourced Processing</t>
  </si>
  <si>
    <t>Contingency</t>
  </si>
  <si>
    <t>Hours</t>
  </si>
  <si>
    <t>GO VOLS!!!</t>
  </si>
  <si>
    <t>Job Notes</t>
  </si>
  <si>
    <t>Notes?</t>
  </si>
  <si>
    <t>No</t>
  </si>
  <si>
    <t>FL</t>
  </si>
  <si>
    <t>TL</t>
  </si>
  <si>
    <t>Job Notes:</t>
  </si>
  <si>
    <t>Part Notes</t>
  </si>
  <si>
    <t>Part#</t>
  </si>
  <si>
    <t>Note</t>
  </si>
  <si>
    <t>FL&amp;TL</t>
  </si>
  <si>
    <t>Helper Labor Lot (min)</t>
  </si>
  <si>
    <t>Helper Cost (Lot)</t>
  </si>
  <si>
    <t>Helper Cost (Each)</t>
  </si>
  <si>
    <t>Flat</t>
  </si>
  <si>
    <t>Tube</t>
  </si>
  <si>
    <t>Form</t>
  </si>
  <si>
    <t>Weight (lb)</t>
  </si>
  <si>
    <t>Helper?</t>
  </si>
  <si>
    <t>Helper Labor Cost</t>
  </si>
  <si>
    <t>Flat Laser</t>
  </si>
  <si>
    <t>General Labor Breakout</t>
  </si>
  <si>
    <t>Flat, Tube, Form</t>
  </si>
  <si>
    <t>QC Labor</t>
  </si>
  <si>
    <t>CNC Labor</t>
  </si>
  <si>
    <t>QC</t>
  </si>
  <si>
    <t>QC Cost</t>
  </si>
  <si>
    <t>Machining Cost</t>
  </si>
  <si>
    <t>Flat&amp;Tube</t>
  </si>
  <si>
    <t>Type</t>
  </si>
  <si>
    <t>Multiplier</t>
  </si>
  <si>
    <t>Adjustment</t>
  </si>
  <si>
    <t>min/part</t>
  </si>
  <si>
    <t>Cost (Each)</t>
  </si>
  <si>
    <t>Cost (Lot)</t>
  </si>
  <si>
    <t>Tooling Cost (Lot)</t>
  </si>
  <si>
    <t>For Notes</t>
  </si>
  <si>
    <t>For Machining</t>
  </si>
  <si>
    <t>Programming (min)</t>
  </si>
  <si>
    <t>Tooling Cost</t>
  </si>
  <si>
    <t>Press Brake Payment</t>
  </si>
  <si>
    <t>Flat Laser Payment</t>
  </si>
  <si>
    <t>Tube Laser Payment</t>
  </si>
  <si>
    <t>CNC Mill Payment</t>
  </si>
  <si>
    <t>Machining (hr)</t>
  </si>
  <si>
    <t>Maintenance</t>
  </si>
  <si>
    <t>Rocky top</t>
  </si>
  <si>
    <t>You'll always be</t>
  </si>
  <si>
    <t>Home, sweet home to me</t>
  </si>
  <si>
    <t>Good ol' Rocky top</t>
  </si>
  <si>
    <t>Woooooooo!!!!</t>
  </si>
  <si>
    <t>Rocky top, Tennessee!</t>
  </si>
  <si>
    <t>Rocky top, Tennessee!!!</t>
  </si>
  <si>
    <t>52-49!!!</t>
  </si>
  <si>
    <t>Metal Finishing</t>
  </si>
  <si>
    <t>Labor (Each)</t>
  </si>
  <si>
    <t>Finishing (Each)</t>
  </si>
  <si>
    <t>Finishing Cost</t>
  </si>
  <si>
    <t>in/s</t>
  </si>
  <si>
    <t>s/part</t>
  </si>
  <si>
    <t>Length</t>
  </si>
  <si>
    <t># of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</si>
</sst>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_(* #,##0.0000_);_(* \(#,##0.0000\);_(* &quot;-&quot;??_);_(@_)"/>
    <numFmt numFmtId="167" formatCode="0;\-0;;@"/>
    <numFmt numFmtId="168" formatCode="0.000;\-0.000;;@"/>
    <numFmt numFmtId="169" formatCode="0.00%;\-0.00%;;@"/>
    <numFmt numFmtId="170" formatCode="&quot;$&quot;0.00;\-&quot;$&quot;0.00;;@"/>
    <numFmt numFmtId="171" formatCode="&quot;$&quot;0,000.00;\-&quot;$&quot;0,000.00;;@"/>
    <numFmt numFmtId="172" formatCode="0.00;\-0.00;;@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0"/>
      <color indexed="8"/>
      <name val="Letter Gothic"/>
      <family val="3"/>
    </font>
    <font>
      <sz val="10"/>
      <color indexed="8"/>
      <name val="Letter Gothic"/>
      <family val="3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6">
    <xf numFmtId="0" fontId="0" fillId="0" borderId="0"/>
    <xf numFmtId="0" fontId="2" fillId="2" borderId="0" applyNumberFormat="0" applyBorder="0" applyAlignment="0" applyProtection="0"/>
    <xf numFmtId="44" fontId="2" fillId="0" borderId="0" applyFont="0" applyFill="0" applyBorder="0" applyAlignment="0" applyProtection="0"/>
    <xf numFmtId="0" fontId="3" fillId="3" borderId="2" applyNumberFormat="0" applyAlignment="0" applyProtection="0"/>
    <xf numFmtId="0" fontId="2" fillId="4" borderId="0" applyNumberFormat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6" fillId="0" borderId="6" applyNumberFormat="0" applyFill="0" applyAlignment="0" applyProtection="0"/>
    <xf numFmtId="0" fontId="7" fillId="7" borderId="0" applyNumberFormat="0" applyBorder="0" applyAlignment="0" applyProtection="0"/>
    <xf numFmtId="0" fontId="8" fillId="8" borderId="0" applyNumberFormat="0" applyBorder="0" applyAlignment="0" applyProtection="0"/>
    <xf numFmtId="0" fontId="9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5" borderId="20" applyNumberFormat="0" applyFont="0" applyAlignment="0" applyProtection="0"/>
    <xf numFmtId="0" fontId="12" fillId="0" borderId="0" applyNumberFormat="0" applyFill="0" applyBorder="0" applyAlignment="0" applyProtection="0"/>
  </cellStyleXfs>
  <cellXfs count="163">
    <xf numFmtId="0" fontId="0" fillId="0" borderId="0" xfId="0"/>
    <xf numFmtId="8" fontId="0" fillId="0" borderId="0" xfId="0" applyNumberFormat="1"/>
    <xf numFmtId="164" fontId="2" fillId="2" borderId="1" xfId="1" applyNumberFormat="1" applyBorder="1"/>
    <xf numFmtId="0" fontId="1" fillId="0" borderId="1" xfId="0" applyFont="1" applyBorder="1" applyAlignment="1">
      <alignment horizontal="center"/>
    </xf>
    <xf numFmtId="8" fontId="2" fillId="4" borderId="1" xfId="4" applyNumberFormat="1" applyBorder="1"/>
    <xf numFmtId="10" fontId="2" fillId="2" borderId="1" xfId="5" applyNumberFormat="1" applyFill="1" applyBorder="1"/>
    <xf numFmtId="165" fontId="2" fillId="2" borderId="1" xfId="6" applyNumberForma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66" fontId="0" fillId="0" borderId="0" xfId="6" applyNumberFormat="1" applyFont="1" applyFill="1" applyBorder="1" applyAlignment="1" applyProtection="1"/>
    <xf numFmtId="0" fontId="5" fillId="0" borderId="0" xfId="0" applyFont="1" applyAlignment="1">
      <alignment vertical="center"/>
    </xf>
    <xf numFmtId="166" fontId="5" fillId="0" borderId="0" xfId="6" applyNumberFormat="1" applyFont="1" applyAlignment="1">
      <alignment horizontal="right" vertical="center"/>
    </xf>
    <xf numFmtId="8" fontId="2" fillId="2" borderId="1" xfId="1" applyNumberFormat="1" applyBorder="1" applyProtection="1"/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164" fontId="2" fillId="6" borderId="1" xfId="8" applyNumberFormat="1" applyBorder="1"/>
    <xf numFmtId="0" fontId="0" fillId="0" borderId="1" xfId="0" applyBorder="1" applyAlignment="1" applyProtection="1">
      <alignment horizontal="left"/>
      <protection locked="0"/>
    </xf>
    <xf numFmtId="0" fontId="0" fillId="2" borderId="4" xfId="1" applyFont="1" applyBorder="1" applyAlignment="1">
      <alignment horizontal="right"/>
    </xf>
    <xf numFmtId="0" fontId="2" fillId="2" borderId="5" xfId="1" applyBorder="1" applyAlignment="1">
      <alignment horizontal="left"/>
    </xf>
    <xf numFmtId="8" fontId="2" fillId="4" borderId="3" xfId="4" applyNumberFormat="1" applyBorder="1"/>
    <xf numFmtId="164" fontId="2" fillId="5" borderId="1" xfId="7" applyNumberFormat="1" applyBorder="1"/>
    <xf numFmtId="164" fontId="2" fillId="6" borderId="3" xfId="8" applyNumberFormat="1" applyBorder="1"/>
    <xf numFmtId="0" fontId="0" fillId="0" borderId="1" xfId="0" applyBorder="1"/>
    <xf numFmtId="43" fontId="2" fillId="2" borderId="1" xfId="1" applyNumberFormat="1" applyBorder="1"/>
    <xf numFmtId="43" fontId="2" fillId="2" borderId="1" xfId="6" applyFill="1" applyBorder="1"/>
    <xf numFmtId="0" fontId="3" fillId="3" borderId="1" xfId="3" applyBorder="1"/>
    <xf numFmtId="44" fontId="3" fillId="3" borderId="1" xfId="3" applyNumberFormat="1" applyBorder="1" applyProtection="1">
      <protection locked="0"/>
    </xf>
    <xf numFmtId="0" fontId="3" fillId="3" borderId="1" xfId="3" applyBorder="1" applyProtection="1">
      <protection locked="0"/>
    </xf>
    <xf numFmtId="0" fontId="3" fillId="3" borderId="7" xfId="3" applyBorder="1" applyProtection="1">
      <protection locked="0"/>
    </xf>
    <xf numFmtId="0" fontId="6" fillId="3" borderId="6" xfId="9" applyFill="1" applyAlignment="1" applyProtection="1">
      <alignment horizontal="center"/>
      <protection locked="0"/>
    </xf>
    <xf numFmtId="0" fontId="0" fillId="0" borderId="8" xfId="0" applyBorder="1"/>
    <xf numFmtId="0" fontId="2" fillId="2" borderId="1" xfId="1" applyBorder="1" applyAlignment="1">
      <alignment horizontal="center" vertical="center"/>
    </xf>
    <xf numFmtId="164" fontId="0" fillId="0" borderId="0" xfId="0" applyNumberFormat="1"/>
    <xf numFmtId="0" fontId="0" fillId="0" borderId="12" xfId="0" applyBorder="1"/>
    <xf numFmtId="0" fontId="0" fillId="0" borderId="13" xfId="0" applyBorder="1"/>
    <xf numFmtId="0" fontId="0" fillId="0" borderId="14" xfId="0" applyBorder="1"/>
    <xf numFmtId="164" fontId="2" fillId="2" borderId="0" xfId="1" applyNumberFormat="1" applyBorder="1" applyAlignment="1" applyProtection="1"/>
    <xf numFmtId="164" fontId="2" fillId="2" borderId="1" xfId="1" applyNumberFormat="1" applyBorder="1" applyAlignment="1" applyProtection="1"/>
    <xf numFmtId="0" fontId="0" fillId="0" borderId="10" xfId="0" applyBorder="1"/>
    <xf numFmtId="0" fontId="1" fillId="0" borderId="14" xfId="0" applyFont="1" applyBorder="1"/>
    <xf numFmtId="0" fontId="2" fillId="2" borderId="0" xfId="1" applyNumberFormat="1" applyBorder="1" applyAlignment="1" applyProtection="1"/>
    <xf numFmtId="0" fontId="2" fillId="2" borderId="1" xfId="1" applyNumberFormat="1" applyBorder="1" applyAlignment="1" applyProtection="1"/>
    <xf numFmtId="164" fontId="2" fillId="5" borderId="1" xfId="6" applyNumberFormat="1" applyFill="1" applyBorder="1"/>
    <xf numFmtId="164" fontId="2" fillId="4" borderId="1" xfId="6" applyNumberFormat="1" applyFill="1" applyBorder="1"/>
    <xf numFmtId="0" fontId="0" fillId="0" borderId="0" xfId="0" applyAlignment="1">
      <alignment horizontal="center"/>
    </xf>
    <xf numFmtId="0" fontId="2" fillId="10" borderId="0" xfId="13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10" borderId="0" xfId="13" applyFont="1" applyAlignment="1">
      <alignment horizontal="center" vertical="center"/>
    </xf>
    <xf numFmtId="0" fontId="2" fillId="6" borderId="20" xfId="8" applyBorder="1"/>
    <xf numFmtId="164" fontId="3" fillId="3" borderId="21" xfId="3" applyNumberFormat="1" applyBorder="1" applyProtection="1">
      <protection locked="0"/>
    </xf>
    <xf numFmtId="167" fontId="2" fillId="6" borderId="20" xfId="8" applyNumberFormat="1" applyBorder="1" applyAlignment="1">
      <alignment horizontal="center"/>
    </xf>
    <xf numFmtId="167" fontId="2" fillId="6" borderId="20" xfId="8" applyNumberFormat="1" applyBorder="1"/>
    <xf numFmtId="167" fontId="2" fillId="6" borderId="20" xfId="8" quotePrefix="1" applyNumberFormat="1" applyBorder="1" applyAlignment="1">
      <alignment horizontal="center"/>
    </xf>
    <xf numFmtId="168" fontId="2" fillId="2" borderId="1" xfId="1" applyNumberFormat="1" applyBorder="1"/>
    <xf numFmtId="169" fontId="2" fillId="2" borderId="1" xfId="5" applyNumberFormat="1" applyFill="1" applyBorder="1"/>
    <xf numFmtId="170" fontId="2" fillId="2" borderId="1" xfId="1" applyNumberFormat="1" applyBorder="1"/>
    <xf numFmtId="170" fontId="2" fillId="2" borderId="1" xfId="1" applyNumberFormat="1" applyBorder="1" applyProtection="1"/>
    <xf numFmtId="164" fontId="3" fillId="3" borderId="23" xfId="3" applyNumberFormat="1" applyBorder="1" applyProtection="1">
      <protection locked="0"/>
    </xf>
    <xf numFmtId="164" fontId="3" fillId="3" borderId="22" xfId="3" applyNumberFormat="1" applyBorder="1" applyProtection="1">
      <protection locked="0"/>
    </xf>
    <xf numFmtId="171" fontId="9" fillId="9" borderId="9" xfId="12" applyNumberFormat="1" applyBorder="1" applyAlignment="1" applyProtection="1"/>
    <xf numFmtId="171" fontId="8" fillId="8" borderId="9" xfId="11" applyNumberFormat="1" applyBorder="1" applyAlignment="1" applyProtection="1"/>
    <xf numFmtId="171" fontId="7" fillId="7" borderId="9" xfId="10" applyNumberFormat="1" applyBorder="1" applyAlignment="1" applyProtection="1"/>
    <xf numFmtId="0" fontId="0" fillId="11" borderId="4" xfId="0" applyFill="1" applyBorder="1" applyAlignment="1">
      <alignment horizontal="center"/>
    </xf>
    <xf numFmtId="0" fontId="0" fillId="11" borderId="27" xfId="0" applyFill="1" applyBorder="1"/>
    <xf numFmtId="0" fontId="0" fillId="11" borderId="5" xfId="0" applyFill="1" applyBorder="1"/>
    <xf numFmtId="170" fontId="2" fillId="4" borderId="1" xfId="4" applyNumberFormat="1" applyBorder="1"/>
    <xf numFmtId="0" fontId="5" fillId="12" borderId="0" xfId="0" applyFont="1" applyFill="1" applyAlignment="1">
      <alignment vertical="center"/>
    </xf>
    <xf numFmtId="166" fontId="5" fillId="12" borderId="0" xfId="6" applyNumberFormat="1" applyFont="1" applyFill="1" applyAlignment="1">
      <alignment horizontal="right" vertical="center"/>
    </xf>
    <xf numFmtId="0" fontId="0" fillId="12" borderId="0" xfId="0" applyFill="1"/>
    <xf numFmtId="0" fontId="1" fillId="0" borderId="1" xfId="0" applyFont="1" applyBorder="1"/>
    <xf numFmtId="164" fontId="3" fillId="3" borderId="31" xfId="3" applyNumberFormat="1" applyBorder="1" applyProtection="1">
      <protection locked="0"/>
    </xf>
    <xf numFmtId="164" fontId="3" fillId="3" borderId="2" xfId="3" applyNumberFormat="1" applyProtection="1">
      <protection locked="0"/>
    </xf>
    <xf numFmtId="0" fontId="1" fillId="0" borderId="0" xfId="0" applyFont="1" applyAlignment="1">
      <alignment horizontal="center"/>
    </xf>
    <xf numFmtId="167" fontId="2" fillId="6" borderId="1" xfId="8" applyNumberFormat="1" applyBorder="1" applyAlignment="1">
      <alignment horizontal="center"/>
    </xf>
    <xf numFmtId="167" fontId="2" fillId="6" borderId="1" xfId="8" applyNumberFormat="1" applyBorder="1"/>
    <xf numFmtId="172" fontId="2" fillId="10" borderId="1" xfId="13" applyNumberFormat="1" applyBorder="1"/>
    <xf numFmtId="170" fontId="0" fillId="0" borderId="1" xfId="2" applyNumberFormat="1" applyFont="1" applyBorder="1" applyProtection="1"/>
    <xf numFmtId="170" fontId="2" fillId="5" borderId="1" xfId="7" applyNumberFormat="1" applyBorder="1"/>
    <xf numFmtId="0" fontId="0" fillId="0" borderId="0" xfId="0" applyAlignment="1">
      <alignment wrapText="1"/>
    </xf>
    <xf numFmtId="164" fontId="3" fillId="3" borderId="1" xfId="3" applyNumberFormat="1" applyBorder="1" applyProtection="1">
      <protection locked="0"/>
    </xf>
    <xf numFmtId="172" fontId="2" fillId="4" borderId="9" xfId="4" applyNumberFormat="1" applyBorder="1" applyAlignment="1">
      <alignment horizontal="center"/>
    </xf>
    <xf numFmtId="172" fontId="2" fillId="4" borderId="25" xfId="4" applyNumberFormat="1" applyBorder="1" applyAlignment="1">
      <alignment horizontal="center"/>
    </xf>
    <xf numFmtId="172" fontId="2" fillId="4" borderId="16" xfId="4" applyNumberFormat="1" applyBorder="1" applyAlignment="1">
      <alignment horizontal="center"/>
    </xf>
    <xf numFmtId="172" fontId="1" fillId="4" borderId="26" xfId="4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19" xfId="0" applyFont="1" applyBorder="1" applyAlignment="1">
      <alignment horizontal="center"/>
    </xf>
    <xf numFmtId="172" fontId="0" fillId="0" borderId="0" xfId="0" applyNumberFormat="1" applyAlignment="1">
      <alignment horizontal="center"/>
    </xf>
    <xf numFmtId="167" fontId="2" fillId="10" borderId="1" xfId="13" applyNumberFormat="1" applyBorder="1"/>
    <xf numFmtId="170" fontId="0" fillId="0" borderId="1" xfId="0" applyNumberFormat="1" applyBorder="1"/>
    <xf numFmtId="9" fontId="2" fillId="10" borderId="15" xfId="13" applyNumberFormat="1" applyBorder="1" applyAlignment="1" applyProtection="1"/>
    <xf numFmtId="0" fontId="0" fillId="0" borderId="30" xfId="0" applyBorder="1"/>
    <xf numFmtId="8" fontId="2" fillId="10" borderId="20" xfId="13" applyNumberFormat="1" applyBorder="1"/>
    <xf numFmtId="8" fontId="2" fillId="10" borderId="0" xfId="13" applyNumberFormat="1"/>
    <xf numFmtId="164" fontId="2" fillId="10" borderId="0" xfId="13" applyNumberFormat="1"/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13" borderId="0" xfId="0" applyNumberFormat="1" applyFill="1"/>
    <xf numFmtId="0" fontId="11" fillId="0" borderId="0" xfId="0" applyFont="1" applyAlignment="1">
      <alignment horizontal="center"/>
    </xf>
    <xf numFmtId="164" fontId="0" fillId="0" borderId="3" xfId="0" applyNumberFormat="1" applyBorder="1"/>
    <xf numFmtId="0" fontId="10" fillId="14" borderId="0" xfId="0" applyFont="1" applyFill="1"/>
    <xf numFmtId="172" fontId="0" fillId="0" borderId="1" xfId="0" applyNumberFormat="1" applyBorder="1"/>
    <xf numFmtId="171" fontId="0" fillId="0" borderId="1" xfId="0" applyNumberFormat="1" applyBorder="1"/>
    <xf numFmtId="171" fontId="0" fillId="0" borderId="32" xfId="0" applyNumberFormat="1" applyBorder="1"/>
    <xf numFmtId="0" fontId="0" fillId="0" borderId="0" xfId="0" applyAlignment="1">
      <alignment vertical="top" wrapText="1"/>
    </xf>
    <xf numFmtId="0" fontId="0" fillId="0" borderId="3" xfId="0" applyBorder="1" applyAlignment="1">
      <alignment horizontal="right"/>
    </xf>
    <xf numFmtId="0" fontId="0" fillId="15" borderId="20" xfId="14" applyFont="1" applyAlignment="1">
      <alignment horizontal="center"/>
    </xf>
    <xf numFmtId="0" fontId="0" fillId="15" borderId="27" xfId="14" applyFont="1" applyBorder="1" applyAlignment="1"/>
    <xf numFmtId="0" fontId="0" fillId="15" borderId="5" xfId="14" applyFont="1" applyBorder="1" applyAlignment="1"/>
    <xf numFmtId="0" fontId="0" fillId="0" borderId="1" xfId="0" applyBorder="1" applyAlignment="1">
      <alignment vertical="top" wrapText="1"/>
    </xf>
    <xf numFmtId="0" fontId="2" fillId="6" borderId="1" xfId="8" applyBorder="1" applyAlignment="1">
      <alignment horizontal="center" vertical="center"/>
    </xf>
    <xf numFmtId="167" fontId="0" fillId="0" borderId="0" xfId="0" applyNumberFormat="1"/>
    <xf numFmtId="0" fontId="0" fillId="15" borderId="4" xfId="14" applyFont="1" applyBorder="1" applyAlignment="1">
      <alignment vertical="top"/>
    </xf>
    <xf numFmtId="0" fontId="0" fillId="14" borderId="35" xfId="0" applyFill="1" applyBorder="1"/>
    <xf numFmtId="0" fontId="0" fillId="14" borderId="37" xfId="0" applyFill="1" applyBorder="1"/>
    <xf numFmtId="0" fontId="0" fillId="14" borderId="35" xfId="0" applyFill="1" applyBorder="1" applyAlignment="1">
      <alignment horizontal="center"/>
    </xf>
    <xf numFmtId="0" fontId="0" fillId="14" borderId="39" xfId="0" applyFill="1" applyBorder="1" applyAlignment="1">
      <alignment horizontal="center"/>
    </xf>
    <xf numFmtId="0" fontId="0" fillId="14" borderId="37" xfId="0" applyFill="1" applyBorder="1" applyAlignment="1">
      <alignment horizontal="center"/>
    </xf>
    <xf numFmtId="164" fontId="0" fillId="0" borderId="1" xfId="0" applyNumberFormat="1" applyBorder="1"/>
    <xf numFmtId="2" fontId="0" fillId="0" borderId="0" xfId="0" applyNumberFormat="1"/>
    <xf numFmtId="0" fontId="0" fillId="14" borderId="0" xfId="0" applyFill="1"/>
    <xf numFmtId="164" fontId="3" fillId="3" borderId="40" xfId="3" applyNumberFormat="1" applyBorder="1" applyProtection="1">
      <protection locked="0"/>
    </xf>
    <xf numFmtId="164" fontId="3" fillId="3" borderId="23" xfId="3" applyNumberFormat="1" applyBorder="1" applyProtection="1"/>
    <xf numFmtId="164" fontId="3" fillId="3" borderId="22" xfId="3" applyNumberFormat="1" applyBorder="1" applyProtection="1"/>
    <xf numFmtId="164" fontId="2" fillId="12" borderId="1" xfId="1" applyNumberFormat="1" applyFill="1" applyBorder="1"/>
    <xf numFmtId="0" fontId="2" fillId="6" borderId="1" xfId="8" applyBorder="1"/>
    <xf numFmtId="0" fontId="2" fillId="10" borderId="1" xfId="13" applyBorder="1"/>
    <xf numFmtId="164" fontId="3" fillId="3" borderId="2" xfId="3" applyNumberFormat="1"/>
    <xf numFmtId="164" fontId="2" fillId="4" borderId="1" xfId="4" applyNumberFormat="1" applyBorder="1"/>
    <xf numFmtId="0" fontId="2" fillId="10" borderId="8" xfId="13" applyBorder="1"/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1" xfId="0" applyNumberFormat="1" applyBorder="1" applyProtection="1">
      <protection locked="0"/>
    </xf>
    <xf numFmtId="9" fontId="0" fillId="0" borderId="0" xfId="5" applyFont="1"/>
    <xf numFmtId="0" fontId="3" fillId="3" borderId="2" xfId="3" applyNumberFormat="1"/>
    <xf numFmtId="2" fontId="2" fillId="6" borderId="1" xfId="8" applyNumberFormat="1" applyBorder="1"/>
    <xf numFmtId="167" fontId="2" fillId="10" borderId="8" xfId="13" applyNumberFormat="1" applyBorder="1"/>
    <xf numFmtId="0" fontId="1" fillId="0" borderId="23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3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14" borderId="34" xfId="0" applyFill="1" applyBorder="1" applyAlignment="1">
      <alignment horizontal="center" vertical="center"/>
    </xf>
    <xf numFmtId="0" fontId="0" fillId="14" borderId="36" xfId="0" applyFill="1" applyBorder="1" applyAlignment="1">
      <alignment horizontal="center" vertical="center"/>
    </xf>
    <xf numFmtId="0" fontId="0" fillId="14" borderId="34" xfId="0" applyFill="1" applyBorder="1" applyAlignment="1">
      <alignment horizontal="center" vertical="center" wrapText="1"/>
    </xf>
    <xf numFmtId="0" fontId="0" fillId="14" borderId="38" xfId="0" applyFill="1" applyBorder="1" applyAlignment="1">
      <alignment horizontal="center" vertical="center" wrapText="1"/>
    </xf>
    <xf numFmtId="0" fontId="0" fillId="14" borderId="36" xfId="0" applyFill="1" applyBorder="1" applyAlignment="1">
      <alignment horizontal="center" vertical="center" wrapText="1"/>
    </xf>
    <xf numFmtId="167" fontId="12" fillId="0" borderId="33" xfId="15" applyNumberFormat="1" applyBorder="1" applyAlignment="1">
      <alignment horizontal="left"/>
    </xf>
    <xf numFmtId="167" fontId="12" fillId="0" borderId="29" xfId="15" applyNumberFormat="1" applyBorder="1" applyAlignment="1">
      <alignment horizontal="left"/>
    </xf>
    <xf numFmtId="167" fontId="12" fillId="0" borderId="30" xfId="15" applyNumberFormat="1" applyBorder="1" applyAlignment="1">
      <alignment horizontal="left"/>
    </xf>
    <xf numFmtId="0" fontId="0" fillId="15" borderId="41" xfId="14" applyFont="1" applyBorder="1" applyAlignment="1">
      <alignment horizontal="center"/>
    </xf>
    <xf numFmtId="0" fontId="0" fillId="15" borderId="42" xfId="14" applyFont="1" applyBorder="1" applyAlignment="1">
      <alignment horizontal="center"/>
    </xf>
    <xf numFmtId="0" fontId="0" fillId="0" borderId="0" xfId="0" applyAlignment="1">
      <alignment horizontal="center" wrapText="1"/>
    </xf>
  </cellXfs>
  <cellStyles count="16">
    <cellStyle name="20% - Accent1" xfId="4" builtinId="30"/>
    <cellStyle name="20% - Accent2" xfId="8" builtinId="34"/>
    <cellStyle name="20% - Accent3" xfId="13" builtinId="38"/>
    <cellStyle name="20% - Accent4" xfId="1" builtinId="42"/>
    <cellStyle name="20% - Accent6" xfId="7" builtinId="50"/>
    <cellStyle name="Bad" xfId="11" builtinId="27"/>
    <cellStyle name="Calculation" xfId="3" builtinId="22"/>
    <cellStyle name="Comma" xfId="6" builtinId="3"/>
    <cellStyle name="Currency" xfId="2" builtinId="4"/>
    <cellStyle name="Explanatory Text" xfId="15" builtinId="53"/>
    <cellStyle name="Good" xfId="10" builtinId="26"/>
    <cellStyle name="Heading 3" xfId="9" builtinId="18"/>
    <cellStyle name="Neutral" xfId="12" builtinId="28"/>
    <cellStyle name="Normal" xfId="0" builtinId="0"/>
    <cellStyle name="Note" xfId="14" builtinId="1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2</xdr:row>
          <xdr:rowOff>57150</xdr:rowOff>
        </xdr:from>
        <xdr:to>
          <xdr:col>2</xdr:col>
          <xdr:colOff>685800</xdr:colOff>
          <xdr:row>3</xdr:row>
          <xdr:rowOff>19050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9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2</xdr:row>
          <xdr:rowOff>57150</xdr:rowOff>
        </xdr:from>
        <xdr:to>
          <xdr:col>3</xdr:col>
          <xdr:colOff>647700</xdr:colOff>
          <xdr:row>3</xdr:row>
          <xdr:rowOff>19050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9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3</xdr:row>
          <xdr:rowOff>57150</xdr:rowOff>
        </xdr:from>
        <xdr:to>
          <xdr:col>2</xdr:col>
          <xdr:colOff>647700</xdr:colOff>
          <xdr:row>4</xdr:row>
          <xdr:rowOff>19050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9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3</xdr:row>
          <xdr:rowOff>57150</xdr:rowOff>
        </xdr:from>
        <xdr:to>
          <xdr:col>3</xdr:col>
          <xdr:colOff>628650</xdr:colOff>
          <xdr:row>4</xdr:row>
          <xdr:rowOff>19050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9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4</xdr:row>
          <xdr:rowOff>57150</xdr:rowOff>
        </xdr:from>
        <xdr:to>
          <xdr:col>2</xdr:col>
          <xdr:colOff>657225</xdr:colOff>
          <xdr:row>5</xdr:row>
          <xdr:rowOff>19050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9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4</xdr:row>
          <xdr:rowOff>57150</xdr:rowOff>
        </xdr:from>
        <xdr:to>
          <xdr:col>3</xdr:col>
          <xdr:colOff>714375</xdr:colOff>
          <xdr:row>5</xdr:row>
          <xdr:rowOff>19050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9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5</xdr:row>
          <xdr:rowOff>57150</xdr:rowOff>
        </xdr:from>
        <xdr:to>
          <xdr:col>2</xdr:col>
          <xdr:colOff>657225</xdr:colOff>
          <xdr:row>6</xdr:row>
          <xdr:rowOff>19050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9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5</xdr:row>
          <xdr:rowOff>57150</xdr:rowOff>
        </xdr:from>
        <xdr:to>
          <xdr:col>3</xdr:col>
          <xdr:colOff>685800</xdr:colOff>
          <xdr:row>6</xdr:row>
          <xdr:rowOff>19050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9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6</xdr:row>
          <xdr:rowOff>57150</xdr:rowOff>
        </xdr:from>
        <xdr:to>
          <xdr:col>2</xdr:col>
          <xdr:colOff>666750</xdr:colOff>
          <xdr:row>7</xdr:row>
          <xdr:rowOff>19050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9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6</xdr:row>
          <xdr:rowOff>57150</xdr:rowOff>
        </xdr:from>
        <xdr:to>
          <xdr:col>3</xdr:col>
          <xdr:colOff>676275</xdr:colOff>
          <xdr:row>7</xdr:row>
          <xdr:rowOff>19050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9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7</xdr:row>
          <xdr:rowOff>57150</xdr:rowOff>
        </xdr:from>
        <xdr:to>
          <xdr:col>2</xdr:col>
          <xdr:colOff>647700</xdr:colOff>
          <xdr:row>8</xdr:row>
          <xdr:rowOff>19050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9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7</xdr:row>
          <xdr:rowOff>57150</xdr:rowOff>
        </xdr:from>
        <xdr:to>
          <xdr:col>3</xdr:col>
          <xdr:colOff>676275</xdr:colOff>
          <xdr:row>8</xdr:row>
          <xdr:rowOff>19050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9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8</xdr:row>
          <xdr:rowOff>57150</xdr:rowOff>
        </xdr:from>
        <xdr:to>
          <xdr:col>2</xdr:col>
          <xdr:colOff>647700</xdr:colOff>
          <xdr:row>9</xdr:row>
          <xdr:rowOff>19050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9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8</xdr:row>
          <xdr:rowOff>57150</xdr:rowOff>
        </xdr:from>
        <xdr:to>
          <xdr:col>3</xdr:col>
          <xdr:colOff>657225</xdr:colOff>
          <xdr:row>9</xdr:row>
          <xdr:rowOff>19050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9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9</xdr:row>
          <xdr:rowOff>57150</xdr:rowOff>
        </xdr:from>
        <xdr:to>
          <xdr:col>2</xdr:col>
          <xdr:colOff>647700</xdr:colOff>
          <xdr:row>10</xdr:row>
          <xdr:rowOff>19050</xdr:rowOff>
        </xdr:to>
        <xdr:sp macro="" textlink="">
          <xdr:nvSpPr>
            <xdr:cNvPr id="6164" name="Check Box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9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9</xdr:row>
          <xdr:rowOff>57150</xdr:rowOff>
        </xdr:from>
        <xdr:to>
          <xdr:col>3</xdr:col>
          <xdr:colOff>685800</xdr:colOff>
          <xdr:row>10</xdr:row>
          <xdr:rowOff>19050</xdr:rowOff>
        </xdr:to>
        <xdr:sp macro="" textlink="">
          <xdr:nvSpPr>
            <xdr:cNvPr id="6165" name="Check Box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9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10</xdr:row>
          <xdr:rowOff>95250</xdr:rowOff>
        </xdr:from>
        <xdr:to>
          <xdr:col>2</xdr:col>
          <xdr:colOff>647700</xdr:colOff>
          <xdr:row>11</xdr:row>
          <xdr:rowOff>57150</xdr:rowOff>
        </xdr:to>
        <xdr:sp macro="" textlink="">
          <xdr:nvSpPr>
            <xdr:cNvPr id="6166" name="Check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9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10</xdr:row>
          <xdr:rowOff>95250</xdr:rowOff>
        </xdr:from>
        <xdr:to>
          <xdr:col>3</xdr:col>
          <xdr:colOff>609600</xdr:colOff>
          <xdr:row>11</xdr:row>
          <xdr:rowOff>57150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9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11</xdr:row>
          <xdr:rowOff>95250</xdr:rowOff>
        </xdr:from>
        <xdr:to>
          <xdr:col>2</xdr:col>
          <xdr:colOff>685800</xdr:colOff>
          <xdr:row>12</xdr:row>
          <xdr:rowOff>57150</xdr:rowOff>
        </xdr:to>
        <xdr:sp macro="" textlink="">
          <xdr:nvSpPr>
            <xdr:cNvPr id="6168" name="Check Box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9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11</xdr:row>
          <xdr:rowOff>95250</xdr:rowOff>
        </xdr:from>
        <xdr:to>
          <xdr:col>3</xdr:col>
          <xdr:colOff>619125</xdr:colOff>
          <xdr:row>12</xdr:row>
          <xdr:rowOff>57150</xdr:rowOff>
        </xdr:to>
        <xdr:sp macro="" textlink="">
          <xdr:nvSpPr>
            <xdr:cNvPr id="6169" name="Check Box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9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12</xdr:row>
          <xdr:rowOff>95250</xdr:rowOff>
        </xdr:from>
        <xdr:to>
          <xdr:col>2</xdr:col>
          <xdr:colOff>676275</xdr:colOff>
          <xdr:row>13</xdr:row>
          <xdr:rowOff>57150</xdr:rowOff>
        </xdr:to>
        <xdr:sp macro="" textlink="">
          <xdr:nvSpPr>
            <xdr:cNvPr id="6170" name="Check Box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9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12</xdr:row>
          <xdr:rowOff>95250</xdr:rowOff>
        </xdr:from>
        <xdr:to>
          <xdr:col>3</xdr:col>
          <xdr:colOff>571500</xdr:colOff>
          <xdr:row>13</xdr:row>
          <xdr:rowOff>57150</xdr:rowOff>
        </xdr:to>
        <xdr:sp macro="" textlink="">
          <xdr:nvSpPr>
            <xdr:cNvPr id="6171" name="Check Box 27" hidden="1">
              <a:extLst>
                <a:ext uri="{63B3BB69-23CF-44E3-9099-C40C66FF867C}">
                  <a14:compatExt spid="_x0000_s6171"/>
                </a:ext>
                <a:ext uri="{FF2B5EF4-FFF2-40B4-BE49-F238E27FC236}">
                  <a16:creationId xmlns:a16="http://schemas.microsoft.com/office/drawing/2014/main" id="{00000000-0008-0000-0900-00001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13</xdr:row>
          <xdr:rowOff>95250</xdr:rowOff>
        </xdr:from>
        <xdr:to>
          <xdr:col>2</xdr:col>
          <xdr:colOff>714375</xdr:colOff>
          <xdr:row>14</xdr:row>
          <xdr:rowOff>57150</xdr:rowOff>
        </xdr:to>
        <xdr:sp macro="" textlink="">
          <xdr:nvSpPr>
            <xdr:cNvPr id="6172" name="Check Box 28" hidden="1">
              <a:extLst>
                <a:ext uri="{63B3BB69-23CF-44E3-9099-C40C66FF867C}">
                  <a14:compatExt spid="_x0000_s6172"/>
                </a:ext>
                <a:ext uri="{FF2B5EF4-FFF2-40B4-BE49-F238E27FC236}">
                  <a16:creationId xmlns:a16="http://schemas.microsoft.com/office/drawing/2014/main" id="{00000000-0008-0000-0900-00001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13</xdr:row>
          <xdr:rowOff>95250</xdr:rowOff>
        </xdr:from>
        <xdr:to>
          <xdr:col>3</xdr:col>
          <xdr:colOff>638175</xdr:colOff>
          <xdr:row>14</xdr:row>
          <xdr:rowOff>57150</xdr:rowOff>
        </xdr:to>
        <xdr:sp macro="" textlink="">
          <xdr:nvSpPr>
            <xdr:cNvPr id="6173" name="Check Box 29" hidden="1">
              <a:extLst>
                <a:ext uri="{63B3BB69-23CF-44E3-9099-C40C66FF867C}">
                  <a14:compatExt spid="_x0000_s6173"/>
                </a:ext>
                <a:ext uri="{FF2B5EF4-FFF2-40B4-BE49-F238E27FC236}">
                  <a16:creationId xmlns:a16="http://schemas.microsoft.com/office/drawing/2014/main" id="{00000000-0008-0000-0900-00001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14</xdr:row>
          <xdr:rowOff>95250</xdr:rowOff>
        </xdr:from>
        <xdr:to>
          <xdr:col>2</xdr:col>
          <xdr:colOff>647700</xdr:colOff>
          <xdr:row>15</xdr:row>
          <xdr:rowOff>57150</xdr:rowOff>
        </xdr:to>
        <xdr:sp macro="" textlink="">
          <xdr:nvSpPr>
            <xdr:cNvPr id="6174" name="Check Box 30" hidden="1">
              <a:extLst>
                <a:ext uri="{63B3BB69-23CF-44E3-9099-C40C66FF867C}">
                  <a14:compatExt spid="_x0000_s6174"/>
                </a:ext>
                <a:ext uri="{FF2B5EF4-FFF2-40B4-BE49-F238E27FC236}">
                  <a16:creationId xmlns:a16="http://schemas.microsoft.com/office/drawing/2014/main" id="{00000000-0008-0000-0900-00001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14</xdr:row>
          <xdr:rowOff>95250</xdr:rowOff>
        </xdr:from>
        <xdr:to>
          <xdr:col>3</xdr:col>
          <xdr:colOff>676275</xdr:colOff>
          <xdr:row>15</xdr:row>
          <xdr:rowOff>57150</xdr:rowOff>
        </xdr:to>
        <xdr:sp macro="" textlink="">
          <xdr:nvSpPr>
            <xdr:cNvPr id="6175" name="Check Box 31" hidden="1">
              <a:extLst>
                <a:ext uri="{63B3BB69-23CF-44E3-9099-C40C66FF867C}">
                  <a14:compatExt spid="_x0000_s6175"/>
                </a:ext>
                <a:ext uri="{FF2B5EF4-FFF2-40B4-BE49-F238E27FC236}">
                  <a16:creationId xmlns:a16="http://schemas.microsoft.com/office/drawing/2014/main" id="{00000000-0008-0000-0900-00001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15</xdr:row>
          <xdr:rowOff>95250</xdr:rowOff>
        </xdr:from>
        <xdr:to>
          <xdr:col>2</xdr:col>
          <xdr:colOff>704850</xdr:colOff>
          <xdr:row>16</xdr:row>
          <xdr:rowOff>57150</xdr:rowOff>
        </xdr:to>
        <xdr:sp macro="" textlink="">
          <xdr:nvSpPr>
            <xdr:cNvPr id="6176" name="Check Box 32" hidden="1">
              <a:extLst>
                <a:ext uri="{63B3BB69-23CF-44E3-9099-C40C66FF867C}">
                  <a14:compatExt spid="_x0000_s6176"/>
                </a:ext>
                <a:ext uri="{FF2B5EF4-FFF2-40B4-BE49-F238E27FC236}">
                  <a16:creationId xmlns:a16="http://schemas.microsoft.com/office/drawing/2014/main" id="{00000000-0008-0000-0900-00002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15</xdr:row>
          <xdr:rowOff>95250</xdr:rowOff>
        </xdr:from>
        <xdr:to>
          <xdr:col>3</xdr:col>
          <xdr:colOff>676275</xdr:colOff>
          <xdr:row>16</xdr:row>
          <xdr:rowOff>57150</xdr:rowOff>
        </xdr:to>
        <xdr:sp macro="" textlink="">
          <xdr:nvSpPr>
            <xdr:cNvPr id="6177" name="Check Box 33" hidden="1">
              <a:extLst>
                <a:ext uri="{63B3BB69-23CF-44E3-9099-C40C66FF867C}">
                  <a14:compatExt spid="_x0000_s6177"/>
                </a:ext>
                <a:ext uri="{FF2B5EF4-FFF2-40B4-BE49-F238E27FC236}">
                  <a16:creationId xmlns:a16="http://schemas.microsoft.com/office/drawing/2014/main" id="{00000000-0008-0000-0900-00002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17</xdr:row>
          <xdr:rowOff>95250</xdr:rowOff>
        </xdr:from>
        <xdr:to>
          <xdr:col>2</xdr:col>
          <xdr:colOff>647700</xdr:colOff>
          <xdr:row>18</xdr:row>
          <xdr:rowOff>57150</xdr:rowOff>
        </xdr:to>
        <xdr:sp macro="" textlink="">
          <xdr:nvSpPr>
            <xdr:cNvPr id="6178" name="Check Box 34" hidden="1">
              <a:extLst>
                <a:ext uri="{63B3BB69-23CF-44E3-9099-C40C66FF867C}">
                  <a14:compatExt spid="_x0000_s6178"/>
                </a:ext>
                <a:ext uri="{FF2B5EF4-FFF2-40B4-BE49-F238E27FC236}">
                  <a16:creationId xmlns:a16="http://schemas.microsoft.com/office/drawing/2014/main" id="{00000000-0008-0000-0900-00002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17</xdr:row>
          <xdr:rowOff>95250</xdr:rowOff>
        </xdr:from>
        <xdr:to>
          <xdr:col>3</xdr:col>
          <xdr:colOff>581025</xdr:colOff>
          <xdr:row>18</xdr:row>
          <xdr:rowOff>57150</xdr:rowOff>
        </xdr:to>
        <xdr:sp macro="" textlink="">
          <xdr:nvSpPr>
            <xdr:cNvPr id="6179" name="Check Box 35" hidden="1">
              <a:extLst>
                <a:ext uri="{63B3BB69-23CF-44E3-9099-C40C66FF867C}">
                  <a14:compatExt spid="_x0000_s6179"/>
                </a:ext>
                <a:ext uri="{FF2B5EF4-FFF2-40B4-BE49-F238E27FC236}">
                  <a16:creationId xmlns:a16="http://schemas.microsoft.com/office/drawing/2014/main" id="{00000000-0008-0000-0900-00002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18</xdr:row>
          <xdr:rowOff>95250</xdr:rowOff>
        </xdr:from>
        <xdr:to>
          <xdr:col>2</xdr:col>
          <xdr:colOff>628650</xdr:colOff>
          <xdr:row>19</xdr:row>
          <xdr:rowOff>57150</xdr:rowOff>
        </xdr:to>
        <xdr:sp macro="" textlink="">
          <xdr:nvSpPr>
            <xdr:cNvPr id="6180" name="Check Box 36" hidden="1">
              <a:extLst>
                <a:ext uri="{63B3BB69-23CF-44E3-9099-C40C66FF867C}">
                  <a14:compatExt spid="_x0000_s6180"/>
                </a:ext>
                <a:ext uri="{FF2B5EF4-FFF2-40B4-BE49-F238E27FC236}">
                  <a16:creationId xmlns:a16="http://schemas.microsoft.com/office/drawing/2014/main" id="{00000000-0008-0000-0900-00002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18</xdr:row>
          <xdr:rowOff>95250</xdr:rowOff>
        </xdr:from>
        <xdr:to>
          <xdr:col>3</xdr:col>
          <xdr:colOff>647700</xdr:colOff>
          <xdr:row>19</xdr:row>
          <xdr:rowOff>57150</xdr:rowOff>
        </xdr:to>
        <xdr:sp macro="" textlink="">
          <xdr:nvSpPr>
            <xdr:cNvPr id="6181" name="Check Box 37" hidden="1">
              <a:extLst>
                <a:ext uri="{63B3BB69-23CF-44E3-9099-C40C66FF867C}">
                  <a14:compatExt spid="_x0000_s6181"/>
                </a:ext>
                <a:ext uri="{FF2B5EF4-FFF2-40B4-BE49-F238E27FC236}">
                  <a16:creationId xmlns:a16="http://schemas.microsoft.com/office/drawing/2014/main" id="{00000000-0008-0000-0900-00002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19</xdr:row>
          <xdr:rowOff>85725</xdr:rowOff>
        </xdr:from>
        <xdr:to>
          <xdr:col>2</xdr:col>
          <xdr:colOff>628650</xdr:colOff>
          <xdr:row>20</xdr:row>
          <xdr:rowOff>47625</xdr:rowOff>
        </xdr:to>
        <xdr:sp macro="" textlink="">
          <xdr:nvSpPr>
            <xdr:cNvPr id="6182" name="Check Box 38" hidden="1">
              <a:extLst>
                <a:ext uri="{63B3BB69-23CF-44E3-9099-C40C66FF867C}">
                  <a14:compatExt spid="_x0000_s6182"/>
                </a:ext>
                <a:ext uri="{FF2B5EF4-FFF2-40B4-BE49-F238E27FC236}">
                  <a16:creationId xmlns:a16="http://schemas.microsoft.com/office/drawing/2014/main" id="{00000000-0008-0000-0900-00002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19</xdr:row>
          <xdr:rowOff>85725</xdr:rowOff>
        </xdr:from>
        <xdr:to>
          <xdr:col>3</xdr:col>
          <xdr:colOff>647700</xdr:colOff>
          <xdr:row>20</xdr:row>
          <xdr:rowOff>47625</xdr:rowOff>
        </xdr:to>
        <xdr:sp macro="" textlink="">
          <xdr:nvSpPr>
            <xdr:cNvPr id="6183" name="Check Box 39" hidden="1">
              <a:extLst>
                <a:ext uri="{63B3BB69-23CF-44E3-9099-C40C66FF867C}">
                  <a14:compatExt spid="_x0000_s6183"/>
                </a:ext>
                <a:ext uri="{FF2B5EF4-FFF2-40B4-BE49-F238E27FC236}">
                  <a16:creationId xmlns:a16="http://schemas.microsoft.com/office/drawing/2014/main" id="{00000000-0008-0000-0900-00002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20</xdr:row>
          <xdr:rowOff>85725</xdr:rowOff>
        </xdr:from>
        <xdr:to>
          <xdr:col>2</xdr:col>
          <xdr:colOff>619125</xdr:colOff>
          <xdr:row>21</xdr:row>
          <xdr:rowOff>47625</xdr:rowOff>
        </xdr:to>
        <xdr:sp macro="" textlink="">
          <xdr:nvSpPr>
            <xdr:cNvPr id="6184" name="Check Box 40" hidden="1">
              <a:extLst>
                <a:ext uri="{63B3BB69-23CF-44E3-9099-C40C66FF867C}">
                  <a14:compatExt spid="_x0000_s6184"/>
                </a:ext>
                <a:ext uri="{FF2B5EF4-FFF2-40B4-BE49-F238E27FC236}">
                  <a16:creationId xmlns:a16="http://schemas.microsoft.com/office/drawing/2014/main" id="{00000000-0008-0000-0900-00002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20</xdr:row>
          <xdr:rowOff>85725</xdr:rowOff>
        </xdr:from>
        <xdr:to>
          <xdr:col>3</xdr:col>
          <xdr:colOff>628650</xdr:colOff>
          <xdr:row>21</xdr:row>
          <xdr:rowOff>47625</xdr:rowOff>
        </xdr:to>
        <xdr:sp macro="" textlink="">
          <xdr:nvSpPr>
            <xdr:cNvPr id="6185" name="Check Box 41" hidden="1">
              <a:extLst>
                <a:ext uri="{63B3BB69-23CF-44E3-9099-C40C66FF867C}">
                  <a14:compatExt spid="_x0000_s6185"/>
                </a:ext>
                <a:ext uri="{FF2B5EF4-FFF2-40B4-BE49-F238E27FC236}">
                  <a16:creationId xmlns:a16="http://schemas.microsoft.com/office/drawing/2014/main" id="{00000000-0008-0000-0900-00002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16</xdr:row>
          <xdr:rowOff>76200</xdr:rowOff>
        </xdr:from>
        <xdr:to>
          <xdr:col>2</xdr:col>
          <xdr:colOff>619125</xdr:colOff>
          <xdr:row>17</xdr:row>
          <xdr:rowOff>38100</xdr:rowOff>
        </xdr:to>
        <xdr:sp macro="" textlink="">
          <xdr:nvSpPr>
            <xdr:cNvPr id="6186" name="Check Box 42" hidden="1">
              <a:extLst>
                <a:ext uri="{63B3BB69-23CF-44E3-9099-C40C66FF867C}">
                  <a14:compatExt spid="_x0000_s6186"/>
                </a:ext>
                <a:ext uri="{FF2B5EF4-FFF2-40B4-BE49-F238E27FC236}">
                  <a16:creationId xmlns:a16="http://schemas.microsoft.com/office/drawing/2014/main" id="{00000000-0008-0000-0900-00002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16</xdr:row>
          <xdr:rowOff>104775</xdr:rowOff>
        </xdr:from>
        <xdr:to>
          <xdr:col>3</xdr:col>
          <xdr:colOff>619125</xdr:colOff>
          <xdr:row>17</xdr:row>
          <xdr:rowOff>19050</xdr:rowOff>
        </xdr:to>
        <xdr:sp macro="" textlink="">
          <xdr:nvSpPr>
            <xdr:cNvPr id="6187" name="Check Box 43" hidden="1">
              <a:extLst>
                <a:ext uri="{63B3BB69-23CF-44E3-9099-C40C66FF867C}">
                  <a14:compatExt spid="_x0000_s6187"/>
                </a:ext>
                <a:ext uri="{FF2B5EF4-FFF2-40B4-BE49-F238E27FC236}">
                  <a16:creationId xmlns:a16="http://schemas.microsoft.com/office/drawing/2014/main" id="{00000000-0008-0000-0900-00002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E100"/>
  <sheetViews>
    <sheetView tabSelected="1" zoomScale="90" zoomScaleNormal="90" workbookViewId="0">
      <selection activeCell="P4" sqref="P4"/>
    </sheetView>
  </sheetViews>
  <sheetFormatPr defaultRowHeight="15"/>
  <cols>
    <col min="1" max="1" width="18.7109375" customWidth="1"/>
    <col min="2" max="2" width="8.5703125" customWidth="1"/>
    <col min="3" max="3" width="10.5703125" bestFit="1" customWidth="1"/>
    <col min="4" max="4" width="13.140625" bestFit="1" customWidth="1"/>
    <col min="5" max="5" width="18.85546875" customWidth="1"/>
    <col min="6" max="6" width="7.28515625" bestFit="1" customWidth="1"/>
    <col min="7" max="7" width="15.85546875" bestFit="1" customWidth="1"/>
    <col min="8" max="8" width="18.7109375" bestFit="1" customWidth="1"/>
    <col min="9" max="9" width="21.7109375" bestFit="1" customWidth="1"/>
    <col min="10" max="10" width="16.28515625" bestFit="1" customWidth="1"/>
    <col min="11" max="11" width="15" bestFit="1" customWidth="1"/>
    <col min="12" max="12" width="13" customWidth="1"/>
    <col min="13" max="13" width="10.28515625" bestFit="1" customWidth="1"/>
    <col min="14" max="14" width="14" customWidth="1"/>
    <col min="15" max="15" width="15.7109375" bestFit="1" customWidth="1"/>
    <col min="16" max="16" width="18.28515625" bestFit="1" customWidth="1"/>
    <col min="17" max="17" width="20.85546875" bestFit="1" customWidth="1"/>
    <col min="18" max="18" width="20.85546875" hidden="1" customWidth="1"/>
    <col min="19" max="19" width="16.28515625" bestFit="1" customWidth="1"/>
    <col min="20" max="20" width="16.28515625" customWidth="1"/>
    <col min="21" max="22" width="13.5703125" customWidth="1"/>
    <col min="23" max="23" width="10.85546875" customWidth="1"/>
    <col min="24" max="24" width="7" customWidth="1"/>
    <col min="25" max="25" width="17.28515625" bestFit="1" customWidth="1"/>
    <col min="26" max="27" width="15.28515625" bestFit="1" customWidth="1"/>
    <col min="28" max="28" width="14.28515625" customWidth="1"/>
    <col min="29" max="29" width="18" customWidth="1"/>
    <col min="30" max="30" width="14.42578125" bestFit="1" customWidth="1"/>
    <col min="31" max="31" width="11.5703125" bestFit="1" customWidth="1"/>
  </cols>
  <sheetData>
    <row r="1" spans="1:31">
      <c r="AA1" s="138" t="s">
        <v>2772</v>
      </c>
      <c r="AB1" s="139"/>
      <c r="AC1" s="139"/>
      <c r="AD1" s="139"/>
      <c r="AE1" s="140"/>
    </row>
    <row r="2" spans="1:31">
      <c r="Y2" s="23" t="s">
        <v>2786</v>
      </c>
      <c r="Z2" s="59">
        <v>0</v>
      </c>
      <c r="AA2" s="142"/>
      <c r="AB2" s="143"/>
      <c r="AC2" s="143"/>
      <c r="AD2" s="143"/>
      <c r="AE2" s="144"/>
    </row>
    <row r="3" spans="1:31">
      <c r="Y3" s="23" t="s">
        <v>2887</v>
      </c>
      <c r="Z3" s="58">
        <v>60</v>
      </c>
      <c r="AA3" s="145"/>
      <c r="AB3" s="145"/>
      <c r="AC3" s="145"/>
      <c r="AD3" s="145"/>
      <c r="AE3" s="145"/>
    </row>
    <row r="4" spans="1:31">
      <c r="Y4" s="23" t="s">
        <v>2841</v>
      </c>
      <c r="Z4" s="125">
        <f>IF(Welding!G10="Flat",Welding!E10+Welding!D6,IF(Welding!G10="Flat&amp;Tube",(Welding!E10+Welding!D6)/2,0))</f>
        <v>0</v>
      </c>
      <c r="AA4" s="145"/>
      <c r="AB4" s="145"/>
      <c r="AC4" s="145"/>
      <c r="AD4" s="145"/>
      <c r="AE4" s="145"/>
    </row>
    <row r="5" spans="1:31">
      <c r="Y5" s="23" t="s">
        <v>2844</v>
      </c>
      <c r="Z5" s="123">
        <v>0</v>
      </c>
      <c r="AA5" s="145"/>
      <c r="AB5" s="145"/>
      <c r="AC5" s="145"/>
      <c r="AD5" s="145"/>
      <c r="AE5" s="145"/>
    </row>
    <row r="6" spans="1:31">
      <c r="Y6" s="23" t="s">
        <v>2930</v>
      </c>
      <c r="Z6" s="80">
        <v>0</v>
      </c>
      <c r="AA6" s="145"/>
      <c r="AB6" s="145"/>
      <c r="AC6" s="145"/>
      <c r="AD6" s="145"/>
      <c r="AE6" s="145"/>
    </row>
    <row r="7" spans="1:31" ht="14.25" customHeight="1" thickBot="1">
      <c r="Y7" s="23" t="s">
        <v>293</v>
      </c>
      <c r="Z7" s="30" t="s">
        <v>294</v>
      </c>
      <c r="AA7" s="31"/>
      <c r="AB7" s="15" t="s">
        <v>289</v>
      </c>
    </row>
    <row r="8" spans="1:31" ht="14.25" customHeight="1" thickBot="1">
      <c r="Y8" s="23" t="s">
        <v>2873</v>
      </c>
      <c r="Z8" s="57">
        <f>IF(AA8="Default",(ROUNDUP((AC34/1500),0)*30),IF(AA8="User Defined",AB8,"Need Input"))</f>
        <v>0</v>
      </c>
      <c r="AA8" s="30" t="s">
        <v>287</v>
      </c>
      <c r="AB8" s="29">
        <v>0</v>
      </c>
    </row>
    <row r="9" spans="1:31" ht="15.75" thickBot="1">
      <c r="A9" s="3" t="s">
        <v>273</v>
      </c>
      <c r="B9" s="3" t="s">
        <v>0</v>
      </c>
      <c r="C9" s="3" t="s">
        <v>5</v>
      </c>
      <c r="D9" s="3" t="s">
        <v>6</v>
      </c>
      <c r="E9" s="3" t="s">
        <v>277</v>
      </c>
      <c r="F9" s="3" t="s">
        <v>2907</v>
      </c>
      <c r="G9" s="3" t="s">
        <v>1</v>
      </c>
      <c r="H9" s="3" t="s">
        <v>278</v>
      </c>
      <c r="I9" s="3" t="s">
        <v>2843</v>
      </c>
      <c r="J9" s="3" t="s">
        <v>2859</v>
      </c>
      <c r="K9" s="3" t="s">
        <v>2961</v>
      </c>
      <c r="L9" s="3" t="s">
        <v>2960</v>
      </c>
      <c r="M9" s="3" t="s">
        <v>2</v>
      </c>
      <c r="N9" s="3" t="s">
        <v>276</v>
      </c>
      <c r="O9" s="3" t="s">
        <v>8</v>
      </c>
      <c r="P9" s="3" t="s">
        <v>10</v>
      </c>
      <c r="Q9" s="3" t="s">
        <v>11</v>
      </c>
      <c r="R9" s="3" t="s">
        <v>2936</v>
      </c>
      <c r="S9" s="3" t="s">
        <v>2875</v>
      </c>
      <c r="T9" s="3" t="s">
        <v>3</v>
      </c>
      <c r="U9" s="3" t="s">
        <v>2876</v>
      </c>
      <c r="V9" s="3" t="s">
        <v>2877</v>
      </c>
      <c r="W9" s="3" t="s">
        <v>279</v>
      </c>
      <c r="Y9" s="23" t="s">
        <v>2874</v>
      </c>
      <c r="Z9" s="57">
        <f>IF(AA9="Delivery",ROUNDUP((AC34/8000),0)*100,IF(AA9="Will-Call",0,"Need Input"))</f>
        <v>0</v>
      </c>
      <c r="AA9" s="30" t="s">
        <v>285</v>
      </c>
    </row>
    <row r="10" spans="1:31">
      <c r="A10" s="132"/>
      <c r="B10" s="13"/>
      <c r="C10" s="13"/>
      <c r="D10" s="13"/>
      <c r="E10" s="13"/>
      <c r="F10" s="13"/>
      <c r="G10" s="12" t="str">
        <f>IFERROR(((E10/60)*$Z$10)/B10,"")</f>
        <v/>
      </c>
      <c r="H10" s="77">
        <f>IF(Forming!G10&gt;0,Forming!G10,0)</f>
        <v>0</v>
      </c>
      <c r="I10" s="77">
        <f>IF('Hardware Install'!E10&gt;0,'Hardware Install'!E10,0)</f>
        <v>0</v>
      </c>
      <c r="J10" s="77" t="str">
        <f ca="1">IFERROR(VLOOKUP('FB Laser'!A10,Machining!A10:G100,7,FALSE),"")</f>
        <v/>
      </c>
      <c r="K10" s="77" t="str">
        <f>IFERROR(IF(Finishing!G10&gt;0,VLOOKUP('FB Laser'!A10,Finishing!A10:G100,7,FALSE),""),"")</f>
        <v/>
      </c>
      <c r="L10" s="56">
        <f ca="1">IFERROR(SUM((H10*$Z$12),G10,I10,J10,K10,'FB Data'!AM9),"")</f>
        <v>0</v>
      </c>
      <c r="M10" s="54">
        <f t="shared" ref="M10:M41" si="0">IFERROR((C10*D10)*0.00694,"")</f>
        <v>0</v>
      </c>
      <c r="N10" s="14"/>
      <c r="O10" s="5" t="str">
        <f>IFERROR((B10*M10)/(VLOOKUP(N10,$Y$15:$AB$33,2,FALSE)),"")</f>
        <v/>
      </c>
      <c r="P10" s="2" t="str">
        <f>IFERROR(VLOOKUP(N10,$Y$15:$AB$33,4,FALSE)*(O10/(VLOOKUP(N10,$Y$15:$AB$33,3,FALSE))),"")</f>
        <v/>
      </c>
      <c r="Q10" s="2" t="str">
        <f t="shared" ref="Q10:Q41" si="1">IFERROR((P10*$Z$11)/B10,"")</f>
        <v/>
      </c>
      <c r="R10" s="126"/>
      <c r="S10" s="43" t="str">
        <f ca="1">IFERROR(L10+Q10+($Z$8/$B$100)+($Z$9/$B$100)+($Z$3/$B$100)+($Z$2/$B$100)+($Z$4/$B$100)+($Z$5/$B$100)+($Z$6/$B$100),"")</f>
        <v/>
      </c>
      <c r="T10" s="43" t="str">
        <f ca="1">IFERROR(ROUND(S10*'Quote Info'!$O$4+R10,2),"")</f>
        <v/>
      </c>
      <c r="U10" s="44" t="str">
        <f t="shared" ref="U10:U41" ca="1" si="2">IFERROR(S10*B10,"")</f>
        <v/>
      </c>
      <c r="V10" s="44" t="str">
        <f t="shared" ref="V10:V41" ca="1" si="3">IFERROR(T10*B10,"")</f>
        <v/>
      </c>
      <c r="W10" s="16" t="str">
        <f ca="1">IFERROR(S10/((VLOOKUP(N10,'FB Data'!$A$2:$E$150,3,FALSE))*'FB Laser'!M10),"")</f>
        <v/>
      </c>
      <c r="Y10" s="26" t="s">
        <v>2869</v>
      </c>
      <c r="Z10" s="27">
        <v>112.24</v>
      </c>
      <c r="AA10" s="94">
        <f>Z10*'Quote Info'!O4</f>
        <v>152.6464</v>
      </c>
    </row>
    <row r="11" spans="1:31">
      <c r="A11" s="132"/>
      <c r="B11" s="13"/>
      <c r="C11" s="13"/>
      <c r="D11" s="13"/>
      <c r="E11" s="13"/>
      <c r="F11" s="13"/>
      <c r="G11" s="12" t="str">
        <f t="shared" ref="G11:G74" si="4">IFERROR(((E11/60)*$Z$10)/B11,"")</f>
        <v/>
      </c>
      <c r="H11" s="77">
        <f>IF(Forming!G11&gt;0,Forming!G11,0)</f>
        <v>0</v>
      </c>
      <c r="I11" s="77">
        <f>IF('Hardware Install'!E11&gt;0,'Hardware Install'!E11,0)</f>
        <v>0</v>
      </c>
      <c r="J11" s="77" t="str">
        <f ca="1">IFERROR(VLOOKUP('FB Laser'!A11,Machining!A11:G101,7,FALSE),"")</f>
        <v/>
      </c>
      <c r="K11" s="77" t="str">
        <f>IFERROR(IF(Finishing!G11&gt;0,VLOOKUP('FB Laser'!A11,Finishing!A11:G101,7,FALSE),""),"")</f>
        <v/>
      </c>
      <c r="L11" s="56">
        <f ca="1">IFERROR(SUM((H11*$Z$12),G11,I11,J11,K11,'FB Data'!AM10),"")</f>
        <v>0</v>
      </c>
      <c r="M11" s="54">
        <f t="shared" si="0"/>
        <v>0</v>
      </c>
      <c r="N11" s="14"/>
      <c r="O11" s="5" t="str">
        <f t="shared" ref="O11:O74" si="5">IFERROR((B11*M11)/(VLOOKUP(N11,$Y$15:$AB$33,2,FALSE)),"")</f>
        <v/>
      </c>
      <c r="P11" s="2" t="str">
        <f t="shared" ref="P11:P74" si="6">IFERROR(VLOOKUP(N11,$Y$15:$AB$33,4,FALSE)*(O11/(VLOOKUP(N11,$Y$15:$AB$33,3,FALSE))),"")</f>
        <v/>
      </c>
      <c r="Q11" s="2" t="str">
        <f t="shared" si="1"/>
        <v/>
      </c>
      <c r="R11" s="126"/>
      <c r="S11" s="43" t="str">
        <f t="shared" ref="S11:S74" ca="1" si="7">IFERROR(L11+Q11+($Z$8/$B$100)+($Z$9/$B$100)+($Z$3/$B$100)+($Z$2/$B$100)+($Z$4/$B$100)+($Z$5/$B$100)+($Z$6/$B$100),"")</f>
        <v/>
      </c>
      <c r="T11" s="43" t="str">
        <f ca="1">IFERROR(ROUND(S11*'Quote Info'!$O$4+R11,2),"")</f>
        <v/>
      </c>
      <c r="U11" s="44" t="str">
        <f t="shared" ca="1" si="2"/>
        <v/>
      </c>
      <c r="V11" s="44" t="str">
        <f t="shared" ca="1" si="3"/>
        <v/>
      </c>
      <c r="W11" s="16" t="str">
        <f ca="1">IFERROR(S11/((VLOOKUP(N11,'FB Data'!$A$2:$E$150,3,FALSE))*'FB Laser'!M11),"")</f>
        <v/>
      </c>
      <c r="Y11" s="26" t="s">
        <v>7</v>
      </c>
      <c r="Z11" s="28">
        <v>1</v>
      </c>
      <c r="AA11" s="1"/>
    </row>
    <row r="12" spans="1:31">
      <c r="A12" s="132"/>
      <c r="B12" s="13"/>
      <c r="C12" s="13"/>
      <c r="D12" s="13"/>
      <c r="E12" s="13"/>
      <c r="F12" s="13"/>
      <c r="G12" s="12" t="str">
        <f t="shared" si="4"/>
        <v/>
      </c>
      <c r="H12" s="77">
        <f>IF(Forming!G12&gt;0,Forming!G12,0)</f>
        <v>0</v>
      </c>
      <c r="I12" s="77">
        <f>IF('Hardware Install'!E12&gt;0,'Hardware Install'!E12,0)</f>
        <v>0</v>
      </c>
      <c r="J12" s="77" t="str">
        <f ca="1">IFERROR(VLOOKUP('FB Laser'!A12,Machining!A12:G102,7,FALSE),"")</f>
        <v/>
      </c>
      <c r="K12" s="77" t="str">
        <f>IFERROR(IF(Finishing!G12&gt;0,VLOOKUP('FB Laser'!A12,Finishing!A12:G102,7,FALSE),""),"")</f>
        <v/>
      </c>
      <c r="L12" s="56">
        <f ca="1">IFERROR(SUM((H12*$Z$12),G12,I12,J12,K12,'FB Data'!AM11),"")</f>
        <v>0</v>
      </c>
      <c r="M12" s="54">
        <f t="shared" si="0"/>
        <v>0</v>
      </c>
      <c r="N12" s="14"/>
      <c r="O12" s="5" t="str">
        <f t="shared" si="5"/>
        <v/>
      </c>
      <c r="P12" s="2" t="str">
        <f t="shared" si="6"/>
        <v/>
      </c>
      <c r="Q12" s="2" t="str">
        <f t="shared" si="1"/>
        <v/>
      </c>
      <c r="R12" s="126"/>
      <c r="S12" s="43" t="str">
        <f t="shared" ca="1" si="7"/>
        <v/>
      </c>
      <c r="T12" s="43" t="str">
        <f ca="1">IFERROR(ROUND(S12*'Quote Info'!$O$4+R12,2),"")</f>
        <v/>
      </c>
      <c r="U12" s="44" t="str">
        <f t="shared" ca="1" si="2"/>
        <v/>
      </c>
      <c r="V12" s="44" t="str">
        <f t="shared" ca="1" si="3"/>
        <v/>
      </c>
      <c r="W12" s="16" t="str">
        <f ca="1">IFERROR(S12/((VLOOKUP(N12,'FB Data'!$A$2:$E$150,3,FALSE))*'FB Laser'!M12),"")</f>
        <v/>
      </c>
      <c r="Y12" s="26" t="s">
        <v>2785</v>
      </c>
      <c r="Z12" s="28">
        <v>1</v>
      </c>
      <c r="AA12" s="1"/>
    </row>
    <row r="13" spans="1:31">
      <c r="A13" s="132"/>
      <c r="B13" s="13"/>
      <c r="C13" s="13"/>
      <c r="D13" s="13"/>
      <c r="E13" s="13"/>
      <c r="F13" s="13"/>
      <c r="G13" s="12" t="str">
        <f t="shared" si="4"/>
        <v/>
      </c>
      <c r="H13" s="77">
        <f>IF(Forming!G13&gt;0,Forming!G13,0)</f>
        <v>0</v>
      </c>
      <c r="I13" s="77">
        <f>IF('Hardware Install'!E13&gt;0,'Hardware Install'!E13,0)</f>
        <v>0</v>
      </c>
      <c r="J13" s="77" t="str">
        <f ca="1">IFERROR(VLOOKUP('FB Laser'!A13,Machining!A13:G103,7,FALSE),"")</f>
        <v/>
      </c>
      <c r="K13" s="77" t="str">
        <f>IFERROR(IF(Finishing!G13&gt;0,VLOOKUP('FB Laser'!A13,Finishing!A13:G103,7,FALSE),""),"")</f>
        <v/>
      </c>
      <c r="L13" s="56">
        <f ca="1">IFERROR(SUM((H13*$Z$12),G13,I13,J13,K13,'FB Data'!AM12),"")</f>
        <v>0</v>
      </c>
      <c r="M13" s="54">
        <f t="shared" si="0"/>
        <v>0</v>
      </c>
      <c r="N13" s="14"/>
      <c r="O13" s="5" t="str">
        <f t="shared" si="5"/>
        <v/>
      </c>
      <c r="P13" s="2" t="str">
        <f t="shared" si="6"/>
        <v/>
      </c>
      <c r="Q13" s="2" t="str">
        <f t="shared" si="1"/>
        <v/>
      </c>
      <c r="R13" s="126"/>
      <c r="S13" s="43" t="str">
        <f t="shared" ca="1" si="7"/>
        <v/>
      </c>
      <c r="T13" s="43" t="str">
        <f ca="1">IFERROR(ROUND(S13*'Quote Info'!$O$4+R13,2),"")</f>
        <v/>
      </c>
      <c r="U13" s="44" t="str">
        <f t="shared" ca="1" si="2"/>
        <v/>
      </c>
      <c r="V13" s="44" t="str">
        <f t="shared" ca="1" si="3"/>
        <v/>
      </c>
      <c r="W13" s="16" t="str">
        <f ca="1">IFERROR(S13/((VLOOKUP(N13,'FB Data'!$A$2:$E$150,3,FALSE))*'FB Laser'!M13),"")</f>
        <v/>
      </c>
    </row>
    <row r="14" spans="1:31">
      <c r="A14" s="132"/>
      <c r="B14" s="13"/>
      <c r="C14" s="13"/>
      <c r="D14" s="13"/>
      <c r="E14" s="13"/>
      <c r="F14" s="13"/>
      <c r="G14" s="12" t="str">
        <f t="shared" si="4"/>
        <v/>
      </c>
      <c r="H14" s="77">
        <f>IF(Forming!G14&gt;0,Forming!G14,0)</f>
        <v>0</v>
      </c>
      <c r="I14" s="77">
        <f>IF('Hardware Install'!E14&gt;0,'Hardware Install'!E14,0)</f>
        <v>0</v>
      </c>
      <c r="J14" s="77" t="str">
        <f ca="1">IFERROR(VLOOKUP('FB Laser'!A14,Machining!A14:G104,7,FALSE),"")</f>
        <v/>
      </c>
      <c r="K14" s="77" t="str">
        <f>IFERROR(IF(Finishing!G14&gt;0,VLOOKUP('FB Laser'!A14,Finishing!A14:G104,7,FALSE),""),"")</f>
        <v/>
      </c>
      <c r="L14" s="56">
        <f ca="1">IFERROR(SUM((H14*$Z$12),G14,I14,J14,K14,'FB Data'!AM13),"")</f>
        <v>0</v>
      </c>
      <c r="M14" s="54">
        <f t="shared" si="0"/>
        <v>0</v>
      </c>
      <c r="N14" s="14"/>
      <c r="O14" s="5" t="str">
        <f t="shared" si="5"/>
        <v/>
      </c>
      <c r="P14" s="2" t="str">
        <f t="shared" si="6"/>
        <v/>
      </c>
      <c r="Q14" s="2" t="str">
        <f t="shared" si="1"/>
        <v/>
      </c>
      <c r="R14" s="126"/>
      <c r="S14" s="43" t="str">
        <f t="shared" ca="1" si="7"/>
        <v/>
      </c>
      <c r="T14" s="43" t="str">
        <f ca="1">IFERROR(ROUND(S14*'Quote Info'!$O$4+R14,2),"")</f>
        <v/>
      </c>
      <c r="U14" s="44" t="str">
        <f t="shared" ca="1" si="2"/>
        <v/>
      </c>
      <c r="V14" s="44" t="str">
        <f t="shared" ca="1" si="3"/>
        <v/>
      </c>
      <c r="W14" s="16" t="str">
        <f ca="1">IFERROR(S14/((VLOOKUP(N14,'FB Data'!$A$2:$E$150,3,FALSE))*'FB Laser'!M14),"")</f>
        <v/>
      </c>
      <c r="Y14" s="15" t="s">
        <v>276</v>
      </c>
      <c r="Z14" s="15" t="s">
        <v>275</v>
      </c>
      <c r="AA14" s="15" t="s">
        <v>12</v>
      </c>
      <c r="AB14" s="15" t="s">
        <v>283</v>
      </c>
      <c r="AC14" s="15" t="s">
        <v>284</v>
      </c>
    </row>
    <row r="15" spans="1:31">
      <c r="A15" s="132"/>
      <c r="B15" s="13"/>
      <c r="C15" s="13"/>
      <c r="D15" s="13"/>
      <c r="E15" s="13"/>
      <c r="F15" s="13"/>
      <c r="G15" s="12" t="str">
        <f t="shared" si="4"/>
        <v/>
      </c>
      <c r="H15" s="77">
        <f>IF(Forming!G15&gt;0,Forming!G15,0)</f>
        <v>0</v>
      </c>
      <c r="I15" s="77">
        <f>IF('Hardware Install'!E15&gt;0,'Hardware Install'!E15,0)</f>
        <v>0</v>
      </c>
      <c r="J15" s="77" t="str">
        <f ca="1">IFERROR(VLOOKUP('FB Laser'!A15,Machining!A15:G105,7,FALSE),"")</f>
        <v/>
      </c>
      <c r="K15" s="77" t="str">
        <f>IFERROR(IF(Finishing!G15&gt;0,VLOOKUP('FB Laser'!A15,Finishing!A15:G105,7,FALSE),""),"")</f>
        <v/>
      </c>
      <c r="L15" s="56">
        <f ca="1">IFERROR(SUM((H15*$Z$12),G15,I15,J15,K15,'FB Data'!AM14),"")</f>
        <v>0</v>
      </c>
      <c r="M15" s="54">
        <f t="shared" si="0"/>
        <v>0</v>
      </c>
      <c r="N15" s="14"/>
      <c r="O15" s="5" t="str">
        <f t="shared" si="5"/>
        <v/>
      </c>
      <c r="P15" s="2" t="str">
        <f t="shared" si="6"/>
        <v/>
      </c>
      <c r="Q15" s="2" t="str">
        <f t="shared" si="1"/>
        <v/>
      </c>
      <c r="R15" s="126"/>
      <c r="S15" s="43" t="str">
        <f t="shared" ca="1" si="7"/>
        <v/>
      </c>
      <c r="T15" s="43" t="str">
        <f ca="1">IFERROR(ROUND(S15*'Quote Info'!$O$4+R15,2),"")</f>
        <v/>
      </c>
      <c r="U15" s="44" t="str">
        <f t="shared" ca="1" si="2"/>
        <v/>
      </c>
      <c r="V15" s="44" t="str">
        <f t="shared" ca="1" si="3"/>
        <v/>
      </c>
      <c r="W15" s="16" t="str">
        <f ca="1">IFERROR(S15/((VLOOKUP(N15,'FB Data'!$A$2:$E$150,3,FALSE))*'FB Laser'!M15),"")</f>
        <v/>
      </c>
      <c r="Y15" s="32" t="str">
        <f t="array" ref="Y15">IFERROR(INDEX($Y$39:$Y$65, MATCH(0,IF(ISBLANK($Y$39:$Y$65),1,COUNTIF($Y$14:Y14, $Y$39:$Y$65)), 0)),"")</f>
        <v/>
      </c>
      <c r="Z15" s="6">
        <f>SUMIF($Y$39:$Y$65,Y15,$AC$39:$AC$65)</f>
        <v>0</v>
      </c>
      <c r="AA15" s="55">
        <f>IFERROR(SUMIF($N$10:$N$99,Y15,$O$10:$O$99),"")</f>
        <v>0</v>
      </c>
      <c r="AB15" s="56">
        <f>IFERROR(SUMIF($Y$39:$Y$65,Y15,$AD$39:$AD$65),"")</f>
        <v>0</v>
      </c>
      <c r="AC15" s="24" t="str">
        <f>IFERROR(Z15*AA15*VLOOKUP(Y15,'FB Data'!$A$2:$E$150,3,FALSE),"")</f>
        <v/>
      </c>
    </row>
    <row r="16" spans="1:31">
      <c r="A16" s="132"/>
      <c r="B16" s="13"/>
      <c r="C16" s="13"/>
      <c r="D16" s="13"/>
      <c r="E16" s="13"/>
      <c r="F16" s="13"/>
      <c r="G16" s="12" t="str">
        <f t="shared" si="4"/>
        <v/>
      </c>
      <c r="H16" s="77">
        <f>IF(Forming!G16&gt;0,Forming!G16,0)</f>
        <v>0</v>
      </c>
      <c r="I16" s="77">
        <f>IF('Hardware Install'!E16&gt;0,'Hardware Install'!E16,0)</f>
        <v>0</v>
      </c>
      <c r="J16" s="77" t="str">
        <f ca="1">IFERROR(VLOOKUP('FB Laser'!A16,Machining!A16:G106,7,FALSE),"")</f>
        <v/>
      </c>
      <c r="K16" s="77" t="str">
        <f>IFERROR(IF(Finishing!G16&gt;0,VLOOKUP('FB Laser'!A16,Finishing!A16:G106,7,FALSE),""),"")</f>
        <v/>
      </c>
      <c r="L16" s="56">
        <f ca="1">IFERROR(SUM((H16*$Z$12),G16,I16,J16,K16,'FB Data'!AM15),"")</f>
        <v>0</v>
      </c>
      <c r="M16" s="54">
        <f t="shared" si="0"/>
        <v>0</v>
      </c>
      <c r="N16" s="14"/>
      <c r="O16" s="5" t="str">
        <f t="shared" si="5"/>
        <v/>
      </c>
      <c r="P16" s="2" t="str">
        <f t="shared" si="6"/>
        <v/>
      </c>
      <c r="Q16" s="2" t="str">
        <f t="shared" si="1"/>
        <v/>
      </c>
      <c r="R16" s="126"/>
      <c r="S16" s="43" t="str">
        <f t="shared" ca="1" si="7"/>
        <v/>
      </c>
      <c r="T16" s="43" t="str">
        <f ca="1">IFERROR(ROUND(S16*'Quote Info'!$O$4+R16,2),"")</f>
        <v/>
      </c>
      <c r="U16" s="44" t="str">
        <f t="shared" ca="1" si="2"/>
        <v/>
      </c>
      <c r="V16" s="44" t="str">
        <f t="shared" ca="1" si="3"/>
        <v/>
      </c>
      <c r="W16" s="16" t="str">
        <f ca="1">IFERROR(S16/((VLOOKUP(N16,'FB Data'!$A$2:$E$150,3,FALSE))*'FB Laser'!M16),"")</f>
        <v/>
      </c>
      <c r="Y16" s="32" t="str">
        <f t="array" ref="Y16">IFERROR(INDEX($Y$39:$Y$65, MATCH(0,IF(ISBLANK($Y$39:$Y$65),1,COUNTIF($Y$14:Y15, $Y$39:$Y$65)), 0)),"")</f>
        <v/>
      </c>
      <c r="Z16" s="6">
        <f t="shared" ref="Z16:Z33" si="8">SUMIF($Y$39:$Y$65,Y16,$AC$39:$AC$65)</f>
        <v>0</v>
      </c>
      <c r="AA16" s="55">
        <f t="shared" ref="AA16:AA33" si="9">IFERROR(SUMIF($N$10:$N$99,Y16,$O$10:$O$99),"")</f>
        <v>0</v>
      </c>
      <c r="AB16" s="56">
        <f t="shared" ref="AB16:AB33" si="10">IFERROR(SUMIF($Y$39:$Y$65,Y16,$AD$39:$AD$65),"")</f>
        <v>0</v>
      </c>
      <c r="AC16" s="24" t="str">
        <f>IFERROR(Z16*AA16*VLOOKUP(Y16,'FB Data'!$A$2:$E$150,3,FALSE),"")</f>
        <v/>
      </c>
    </row>
    <row r="17" spans="1:29">
      <c r="A17" s="132"/>
      <c r="B17" s="13"/>
      <c r="C17" s="13"/>
      <c r="D17" s="13"/>
      <c r="E17" s="13"/>
      <c r="F17" s="13"/>
      <c r="G17" s="12" t="str">
        <f t="shared" si="4"/>
        <v/>
      </c>
      <c r="H17" s="77">
        <f>IF(Forming!G17&gt;0,Forming!G17,0)</f>
        <v>0</v>
      </c>
      <c r="I17" s="77">
        <f>IF('Hardware Install'!E17&gt;0,'Hardware Install'!E17,0)</f>
        <v>0</v>
      </c>
      <c r="J17" s="77" t="str">
        <f ca="1">IFERROR(VLOOKUP('FB Laser'!A17,Machining!A17:G107,7,FALSE),"")</f>
        <v/>
      </c>
      <c r="K17" s="77" t="str">
        <f>IFERROR(IF(Finishing!G17&gt;0,VLOOKUP('FB Laser'!A17,Finishing!A17:G107,7,FALSE),""),"")</f>
        <v/>
      </c>
      <c r="L17" s="56">
        <f ca="1">IFERROR(SUM((H17*$Z$12),G17,I17,J17,K17,'FB Data'!AM16),"")</f>
        <v>0</v>
      </c>
      <c r="M17" s="54">
        <f t="shared" si="0"/>
        <v>0</v>
      </c>
      <c r="N17" s="14"/>
      <c r="O17" s="5" t="str">
        <f t="shared" si="5"/>
        <v/>
      </c>
      <c r="P17" s="2" t="str">
        <f t="shared" si="6"/>
        <v/>
      </c>
      <c r="Q17" s="2" t="str">
        <f t="shared" si="1"/>
        <v/>
      </c>
      <c r="R17" s="126"/>
      <c r="S17" s="43" t="str">
        <f t="shared" ca="1" si="7"/>
        <v/>
      </c>
      <c r="T17" s="43" t="str">
        <f ca="1">IFERROR(ROUND(S17*'Quote Info'!$O$4+R17,2),"")</f>
        <v/>
      </c>
      <c r="U17" s="44" t="str">
        <f t="shared" ca="1" si="2"/>
        <v/>
      </c>
      <c r="V17" s="44" t="str">
        <f t="shared" ca="1" si="3"/>
        <v/>
      </c>
      <c r="W17" s="16" t="str">
        <f ca="1">IFERROR(S17/((VLOOKUP(N17,'FB Data'!$A$2:$E$150,3,FALSE))*'FB Laser'!M17),"")</f>
        <v/>
      </c>
      <c r="Y17" s="32" t="str">
        <f t="array" ref="Y17">IFERROR(INDEX($Y$39:$Y$65, MATCH(0,IF(ISBLANK($Y$39:$Y$65),1,COUNTIF($Y$14:Y16, $Y$39:$Y$65)), 0)),"")</f>
        <v/>
      </c>
      <c r="Z17" s="6">
        <f t="shared" si="8"/>
        <v>0</v>
      </c>
      <c r="AA17" s="55">
        <f t="shared" si="9"/>
        <v>0</v>
      </c>
      <c r="AB17" s="56">
        <f t="shared" si="10"/>
        <v>0</v>
      </c>
      <c r="AC17" s="24" t="str">
        <f>IFERROR(Z17*AA17*VLOOKUP(Y17,'FB Data'!$A$2:$E$150,3,FALSE),"")</f>
        <v/>
      </c>
    </row>
    <row r="18" spans="1:29">
      <c r="A18" s="132"/>
      <c r="B18" s="13"/>
      <c r="C18" s="13"/>
      <c r="D18" s="13"/>
      <c r="E18" s="13"/>
      <c r="F18" s="13"/>
      <c r="G18" s="12" t="str">
        <f t="shared" si="4"/>
        <v/>
      </c>
      <c r="H18" s="77">
        <f>IF(Forming!G18&gt;0,Forming!G18,0)</f>
        <v>0</v>
      </c>
      <c r="I18" s="77">
        <f>IF('Hardware Install'!E18&gt;0,'Hardware Install'!E18,0)</f>
        <v>0</v>
      </c>
      <c r="J18" s="77" t="str">
        <f ca="1">IFERROR(VLOOKUP('FB Laser'!A18,Machining!A18:G108,7,FALSE),"")</f>
        <v/>
      </c>
      <c r="K18" s="77" t="str">
        <f>IFERROR(IF(Finishing!G18&gt;0,VLOOKUP('FB Laser'!A18,Finishing!A18:G108,7,FALSE),""),"")</f>
        <v/>
      </c>
      <c r="L18" s="56">
        <f ca="1">IFERROR(SUM((H18*$Z$12),G18,I18,J18,K18,'FB Data'!AM17),"")</f>
        <v>0</v>
      </c>
      <c r="M18" s="54">
        <f t="shared" si="0"/>
        <v>0</v>
      </c>
      <c r="N18" s="14"/>
      <c r="O18" s="5" t="str">
        <f t="shared" si="5"/>
        <v/>
      </c>
      <c r="P18" s="2" t="str">
        <f t="shared" si="6"/>
        <v/>
      </c>
      <c r="Q18" s="2" t="str">
        <f t="shared" si="1"/>
        <v/>
      </c>
      <c r="R18" s="126"/>
      <c r="S18" s="43" t="str">
        <f t="shared" ca="1" si="7"/>
        <v/>
      </c>
      <c r="T18" s="43" t="str">
        <f ca="1">IFERROR(ROUND(S18*'Quote Info'!$O$4+R18,2),"")</f>
        <v/>
      </c>
      <c r="U18" s="44" t="str">
        <f t="shared" ca="1" si="2"/>
        <v/>
      </c>
      <c r="V18" s="44" t="str">
        <f t="shared" ca="1" si="3"/>
        <v/>
      </c>
      <c r="W18" s="16" t="str">
        <f ca="1">IFERROR(S18/((VLOOKUP(N18,'FB Data'!$A$2:$E$150,3,FALSE))*'FB Laser'!M18),"")</f>
        <v/>
      </c>
      <c r="Y18" s="32" t="str">
        <f t="array" ref="Y18">IFERROR(INDEX($Y$39:$Y$65, MATCH(0,IF(ISBLANK($Y$39:$Y$65),1,COUNTIF($Y$14:Y17, $Y$39:$Y$65)), 0)),"")</f>
        <v/>
      </c>
      <c r="Z18" s="6">
        <f t="shared" si="8"/>
        <v>0</v>
      </c>
      <c r="AA18" s="55">
        <f t="shared" si="9"/>
        <v>0</v>
      </c>
      <c r="AB18" s="56">
        <f t="shared" si="10"/>
        <v>0</v>
      </c>
      <c r="AC18" s="24" t="str">
        <f>IFERROR(Z18*AA18*VLOOKUP(Y18,'FB Data'!$A$2:$E$150,3,FALSE),"")</f>
        <v/>
      </c>
    </row>
    <row r="19" spans="1:29">
      <c r="A19" s="132"/>
      <c r="B19" s="13"/>
      <c r="C19" s="13"/>
      <c r="D19" s="13"/>
      <c r="E19" s="13"/>
      <c r="F19" s="13"/>
      <c r="G19" s="12" t="str">
        <f t="shared" si="4"/>
        <v/>
      </c>
      <c r="H19" s="77">
        <f>IF(Forming!G19&gt;0,Forming!G19,0)</f>
        <v>0</v>
      </c>
      <c r="I19" s="77">
        <f>IF('Hardware Install'!E19&gt;0,'Hardware Install'!E19,0)</f>
        <v>0</v>
      </c>
      <c r="J19" s="77" t="str">
        <f ca="1">IFERROR(VLOOKUP('FB Laser'!A19,Machining!A19:G109,7,FALSE),"")</f>
        <v/>
      </c>
      <c r="K19" s="77" t="str">
        <f>IFERROR(IF(Finishing!G19&gt;0,VLOOKUP('FB Laser'!A19,Finishing!A19:G109,7,FALSE),""),"")</f>
        <v/>
      </c>
      <c r="L19" s="56">
        <f ca="1">IFERROR(SUM((H19*$Z$12),G19,I19,J19,K19,'FB Data'!AM18),"")</f>
        <v>0</v>
      </c>
      <c r="M19" s="54">
        <f t="shared" si="0"/>
        <v>0</v>
      </c>
      <c r="N19" s="14"/>
      <c r="O19" s="5" t="str">
        <f t="shared" si="5"/>
        <v/>
      </c>
      <c r="P19" s="2" t="str">
        <f t="shared" si="6"/>
        <v/>
      </c>
      <c r="Q19" s="2" t="str">
        <f t="shared" si="1"/>
        <v/>
      </c>
      <c r="R19" s="126"/>
      <c r="S19" s="43" t="str">
        <f t="shared" ca="1" si="7"/>
        <v/>
      </c>
      <c r="T19" s="43" t="str">
        <f ca="1">IFERROR(ROUND(S19*'Quote Info'!$O$4+R19,2),"")</f>
        <v/>
      </c>
      <c r="U19" s="44" t="str">
        <f t="shared" ca="1" si="2"/>
        <v/>
      </c>
      <c r="V19" s="44" t="str">
        <f t="shared" ca="1" si="3"/>
        <v/>
      </c>
      <c r="W19" s="16" t="str">
        <f ca="1">IFERROR(S19/((VLOOKUP(N19,'FB Data'!$A$2:$E$150,3,FALSE))*'FB Laser'!M19),"")</f>
        <v/>
      </c>
      <c r="Y19" s="32" t="str">
        <f t="array" ref="Y19">IFERROR(INDEX($Y$39:$Y$65, MATCH(0,IF(ISBLANK($Y$39:$Y$65),1,COUNTIF($Y$14:Y18, $Y$39:$Y$65)), 0)),"")</f>
        <v/>
      </c>
      <c r="Z19" s="6">
        <f t="shared" si="8"/>
        <v>0</v>
      </c>
      <c r="AA19" s="55">
        <f t="shared" si="9"/>
        <v>0</v>
      </c>
      <c r="AB19" s="56">
        <f t="shared" si="10"/>
        <v>0</v>
      </c>
      <c r="AC19" s="24" t="str">
        <f>IFERROR(Z19*AA19*VLOOKUP(Y19,'FB Data'!$A$2:$E$150,3,FALSE),"")</f>
        <v/>
      </c>
    </row>
    <row r="20" spans="1:29">
      <c r="A20" s="132"/>
      <c r="B20" s="13"/>
      <c r="C20" s="13"/>
      <c r="D20" s="13"/>
      <c r="E20" s="13"/>
      <c r="F20" s="13"/>
      <c r="G20" s="12" t="str">
        <f t="shared" si="4"/>
        <v/>
      </c>
      <c r="H20" s="77">
        <f>IF(Forming!G20&gt;0,Forming!G20,0)</f>
        <v>0</v>
      </c>
      <c r="I20" s="77">
        <f>IF('Hardware Install'!E20&gt;0,'Hardware Install'!E20,0)</f>
        <v>0</v>
      </c>
      <c r="J20" s="77" t="str">
        <f ca="1">IFERROR(VLOOKUP('FB Laser'!A20,Machining!A20:G110,7,FALSE),"")</f>
        <v/>
      </c>
      <c r="K20" s="77" t="str">
        <f>IFERROR(IF(Finishing!G20&gt;0,VLOOKUP('FB Laser'!A20,Finishing!A20:G110,7,FALSE),""),"")</f>
        <v/>
      </c>
      <c r="L20" s="56">
        <f ca="1">IFERROR(SUM((H20*$Z$12),G20,I20,J20,K20,'FB Data'!AM19),"")</f>
        <v>0</v>
      </c>
      <c r="M20" s="54">
        <f t="shared" si="0"/>
        <v>0</v>
      </c>
      <c r="N20" s="14"/>
      <c r="O20" s="5" t="str">
        <f t="shared" si="5"/>
        <v/>
      </c>
      <c r="P20" s="2" t="str">
        <f t="shared" si="6"/>
        <v/>
      </c>
      <c r="Q20" s="2" t="str">
        <f t="shared" si="1"/>
        <v/>
      </c>
      <c r="R20" s="126"/>
      <c r="S20" s="43" t="str">
        <f t="shared" ca="1" si="7"/>
        <v/>
      </c>
      <c r="T20" s="43" t="str">
        <f ca="1">IFERROR(ROUND(S20*'Quote Info'!$O$4+R20,2),"")</f>
        <v/>
      </c>
      <c r="U20" s="44" t="str">
        <f t="shared" ca="1" si="2"/>
        <v/>
      </c>
      <c r="V20" s="44" t="str">
        <f t="shared" ca="1" si="3"/>
        <v/>
      </c>
      <c r="W20" s="16" t="str">
        <f ca="1">IFERROR(S20/((VLOOKUP(N20,'FB Data'!$A$2:$E$150,3,FALSE))*'FB Laser'!M20),"")</f>
        <v/>
      </c>
      <c r="Y20" s="32" t="str">
        <f t="array" ref="Y20">IFERROR(INDEX($Y$39:$Y$65, MATCH(0,IF(ISBLANK($Y$39:$Y$65),1,COUNTIF($Y$14:Y19, $Y$39:$Y$65)), 0)),"")</f>
        <v/>
      </c>
      <c r="Z20" s="6">
        <f t="shared" si="8"/>
        <v>0</v>
      </c>
      <c r="AA20" s="55">
        <f t="shared" si="9"/>
        <v>0</v>
      </c>
      <c r="AB20" s="56">
        <f t="shared" si="10"/>
        <v>0</v>
      </c>
      <c r="AC20" s="24" t="str">
        <f>IFERROR(Z20*AA20*VLOOKUP(Y20,'FB Data'!$A$2:$E$150,3,FALSE),"")</f>
        <v/>
      </c>
    </row>
    <row r="21" spans="1:29">
      <c r="A21" s="132"/>
      <c r="B21" s="13"/>
      <c r="C21" s="13"/>
      <c r="D21" s="13"/>
      <c r="E21" s="13"/>
      <c r="F21" s="13"/>
      <c r="G21" s="12" t="str">
        <f t="shared" si="4"/>
        <v/>
      </c>
      <c r="H21" s="77">
        <f>IF(Forming!G21&gt;0,Forming!G21,0)</f>
        <v>0</v>
      </c>
      <c r="I21" s="77">
        <f>IF('Hardware Install'!E21&gt;0,'Hardware Install'!E21,0)</f>
        <v>0</v>
      </c>
      <c r="J21" s="77" t="str">
        <f ca="1">IFERROR(VLOOKUP('FB Laser'!A21,Machining!A21:G111,7,FALSE),"")</f>
        <v/>
      </c>
      <c r="K21" s="77" t="str">
        <f>IFERROR(IF(Finishing!G21&gt;0,VLOOKUP('FB Laser'!A21,Finishing!A21:G111,7,FALSE),""),"")</f>
        <v/>
      </c>
      <c r="L21" s="56">
        <f ca="1">IFERROR(SUM((H21*$Z$12),G21,I21,J21,K21,'FB Data'!AM20),"")</f>
        <v>0</v>
      </c>
      <c r="M21" s="54">
        <f t="shared" si="0"/>
        <v>0</v>
      </c>
      <c r="N21" s="14"/>
      <c r="O21" s="5" t="str">
        <f t="shared" si="5"/>
        <v/>
      </c>
      <c r="P21" s="2" t="str">
        <f t="shared" si="6"/>
        <v/>
      </c>
      <c r="Q21" s="2" t="str">
        <f t="shared" si="1"/>
        <v/>
      </c>
      <c r="R21" s="126"/>
      <c r="S21" s="43" t="str">
        <f t="shared" ca="1" si="7"/>
        <v/>
      </c>
      <c r="T21" s="43" t="str">
        <f ca="1">IFERROR(ROUND(S21*'Quote Info'!$O$4+R21,2),"")</f>
        <v/>
      </c>
      <c r="U21" s="44" t="str">
        <f t="shared" ca="1" si="2"/>
        <v/>
      </c>
      <c r="V21" s="44" t="str">
        <f t="shared" ca="1" si="3"/>
        <v/>
      </c>
      <c r="W21" s="16" t="str">
        <f ca="1">IFERROR(S21/((VLOOKUP(N21,'FB Data'!$A$2:$E$150,3,FALSE))*'FB Laser'!M21),"")</f>
        <v/>
      </c>
      <c r="Y21" s="32" t="str">
        <f t="array" ref="Y21">IFERROR(INDEX($Y$39:$Y$65, MATCH(0,IF(ISBLANK($Y$39:$Y$65),1,COUNTIF($Y$14:Y20, $Y$39:$Y$65)), 0)),"")</f>
        <v/>
      </c>
      <c r="Z21" s="6">
        <f t="shared" si="8"/>
        <v>0</v>
      </c>
      <c r="AA21" s="55">
        <f t="shared" si="9"/>
        <v>0</v>
      </c>
      <c r="AB21" s="56">
        <f t="shared" si="10"/>
        <v>0</v>
      </c>
      <c r="AC21" s="24" t="str">
        <f>IFERROR(Z21*AA21*VLOOKUP(Y21,'FB Data'!$A$2:$E$150,3,FALSE),"")</f>
        <v/>
      </c>
    </row>
    <row r="22" spans="1:29">
      <c r="A22" s="132"/>
      <c r="B22" s="13"/>
      <c r="C22" s="13"/>
      <c r="D22" s="13"/>
      <c r="E22" s="13"/>
      <c r="F22" s="13"/>
      <c r="G22" s="12" t="str">
        <f t="shared" si="4"/>
        <v/>
      </c>
      <c r="H22" s="77">
        <f>IF(Forming!G22&gt;0,Forming!G22,0)</f>
        <v>0</v>
      </c>
      <c r="I22" s="77">
        <f>IF('Hardware Install'!E22&gt;0,'Hardware Install'!E22,0)</f>
        <v>0</v>
      </c>
      <c r="J22" s="77" t="str">
        <f ca="1">IFERROR(VLOOKUP('FB Laser'!A22,Machining!A22:G112,7,FALSE),"")</f>
        <v/>
      </c>
      <c r="K22" s="77" t="str">
        <f>IFERROR(IF(Finishing!G22&gt;0,VLOOKUP('FB Laser'!A22,Finishing!A22:G112,7,FALSE),""),"")</f>
        <v/>
      </c>
      <c r="L22" s="56">
        <f ca="1">IFERROR(SUM((H22*$Z$12),G22,I22,J22,K22,'FB Data'!AM21),"")</f>
        <v>0</v>
      </c>
      <c r="M22" s="54">
        <f t="shared" si="0"/>
        <v>0</v>
      </c>
      <c r="N22" s="14"/>
      <c r="O22" s="5" t="str">
        <f t="shared" si="5"/>
        <v/>
      </c>
      <c r="P22" s="2" t="str">
        <f t="shared" si="6"/>
        <v/>
      </c>
      <c r="Q22" s="2" t="str">
        <f t="shared" si="1"/>
        <v/>
      </c>
      <c r="R22" s="126"/>
      <c r="S22" s="43" t="str">
        <f t="shared" ca="1" si="7"/>
        <v/>
      </c>
      <c r="T22" s="43" t="str">
        <f ca="1">IFERROR(ROUND(S22*'Quote Info'!$O$4+R22,2),"")</f>
        <v/>
      </c>
      <c r="U22" s="44" t="str">
        <f t="shared" ca="1" si="2"/>
        <v/>
      </c>
      <c r="V22" s="44" t="str">
        <f t="shared" ca="1" si="3"/>
        <v/>
      </c>
      <c r="W22" s="16" t="str">
        <f ca="1">IFERROR(S22/((VLOOKUP(N22,'FB Data'!$A$2:$E$150,3,FALSE))*'FB Laser'!M22),"")</f>
        <v/>
      </c>
      <c r="Y22" s="32" t="str">
        <f t="array" ref="Y22">IFERROR(INDEX($Y$39:$Y$65, MATCH(0,IF(ISBLANK($Y$39:$Y$65),1,COUNTIF($Y$14:Y21, $Y$39:$Y$65)), 0)),"")</f>
        <v/>
      </c>
      <c r="Z22" s="6">
        <f t="shared" si="8"/>
        <v>0</v>
      </c>
      <c r="AA22" s="55">
        <f t="shared" si="9"/>
        <v>0</v>
      </c>
      <c r="AB22" s="56">
        <f t="shared" si="10"/>
        <v>0</v>
      </c>
      <c r="AC22" s="24" t="str">
        <f>IFERROR(Z22*AA22*VLOOKUP(Y22,'FB Data'!$A$2:$E$150,3,FALSE),"")</f>
        <v/>
      </c>
    </row>
    <row r="23" spans="1:29">
      <c r="A23" s="132"/>
      <c r="B23" s="13"/>
      <c r="C23" s="13"/>
      <c r="D23" s="13"/>
      <c r="E23" s="13"/>
      <c r="F23" s="13"/>
      <c r="G23" s="12" t="str">
        <f t="shared" si="4"/>
        <v/>
      </c>
      <c r="H23" s="77">
        <f>IF(Forming!G23&gt;0,Forming!G23,0)</f>
        <v>0</v>
      </c>
      <c r="I23" s="77">
        <f>IF('Hardware Install'!E23&gt;0,'Hardware Install'!E23,0)</f>
        <v>0</v>
      </c>
      <c r="J23" s="77" t="str">
        <f ca="1">IFERROR(VLOOKUP('FB Laser'!A23,Machining!A23:G113,7,FALSE),"")</f>
        <v/>
      </c>
      <c r="K23" s="77" t="str">
        <f>IFERROR(IF(Finishing!G23&gt;0,VLOOKUP('FB Laser'!A23,Finishing!A23:G113,7,FALSE),""),"")</f>
        <v/>
      </c>
      <c r="L23" s="56">
        <f ca="1">IFERROR(SUM((H23*$Z$12),G23,I23,J23,K23,'FB Data'!AM22),"")</f>
        <v>0</v>
      </c>
      <c r="M23" s="54">
        <f t="shared" si="0"/>
        <v>0</v>
      </c>
      <c r="N23" s="14"/>
      <c r="O23" s="5" t="str">
        <f t="shared" si="5"/>
        <v/>
      </c>
      <c r="P23" s="2" t="str">
        <f t="shared" si="6"/>
        <v/>
      </c>
      <c r="Q23" s="2" t="str">
        <f t="shared" si="1"/>
        <v/>
      </c>
      <c r="R23" s="126"/>
      <c r="S23" s="43" t="str">
        <f t="shared" ca="1" si="7"/>
        <v/>
      </c>
      <c r="T23" s="43" t="str">
        <f ca="1">IFERROR(ROUND(S23*'Quote Info'!$O$4+R23,2),"")</f>
        <v/>
      </c>
      <c r="U23" s="44" t="str">
        <f t="shared" ca="1" si="2"/>
        <v/>
      </c>
      <c r="V23" s="44" t="str">
        <f t="shared" ca="1" si="3"/>
        <v/>
      </c>
      <c r="W23" s="16" t="str">
        <f ca="1">IFERROR(S23/((VLOOKUP(N23,'FB Data'!$A$2:$E$150,3,FALSE))*'FB Laser'!M23),"")</f>
        <v/>
      </c>
      <c r="Y23" s="32" t="str">
        <f t="array" ref="Y23">IFERROR(INDEX($Y$39:$Y$65, MATCH(0,IF(ISBLANK($Y$39:$Y$65),1,COUNTIF($Y$14:Y22, $Y$39:$Y$65)), 0)),"")</f>
        <v/>
      </c>
      <c r="Z23" s="6">
        <f t="shared" si="8"/>
        <v>0</v>
      </c>
      <c r="AA23" s="55">
        <f t="shared" si="9"/>
        <v>0</v>
      </c>
      <c r="AB23" s="56">
        <f t="shared" si="10"/>
        <v>0</v>
      </c>
      <c r="AC23" s="24" t="str">
        <f>IFERROR(Z23*AA23*VLOOKUP(Y23,'FB Data'!$A$2:$E$150,3,FALSE),"")</f>
        <v/>
      </c>
    </row>
    <row r="24" spans="1:29">
      <c r="A24" s="132"/>
      <c r="B24" s="13"/>
      <c r="C24" s="13"/>
      <c r="D24" s="13"/>
      <c r="E24" s="13"/>
      <c r="F24" s="13"/>
      <c r="G24" s="12" t="str">
        <f t="shared" si="4"/>
        <v/>
      </c>
      <c r="H24" s="77">
        <f>IF(Forming!G24&gt;0,Forming!G24,0)</f>
        <v>0</v>
      </c>
      <c r="I24" s="77">
        <f>IF('Hardware Install'!E24&gt;0,'Hardware Install'!E24,0)</f>
        <v>0</v>
      </c>
      <c r="J24" s="77" t="str">
        <f ca="1">IFERROR(VLOOKUP('FB Laser'!A24,Machining!A24:G114,7,FALSE),"")</f>
        <v/>
      </c>
      <c r="K24" s="77" t="str">
        <f>IFERROR(IF(Finishing!G24&gt;0,VLOOKUP('FB Laser'!A24,Finishing!A24:G114,7,FALSE),""),"")</f>
        <v/>
      </c>
      <c r="L24" s="56">
        <f ca="1">IFERROR(SUM((H24*$Z$12),G24,I24,J24,K24,'FB Data'!AM23),"")</f>
        <v>0</v>
      </c>
      <c r="M24" s="54">
        <f t="shared" si="0"/>
        <v>0</v>
      </c>
      <c r="N24" s="14"/>
      <c r="O24" s="5" t="str">
        <f t="shared" si="5"/>
        <v/>
      </c>
      <c r="P24" s="2" t="str">
        <f t="shared" si="6"/>
        <v/>
      </c>
      <c r="Q24" s="2" t="str">
        <f t="shared" si="1"/>
        <v/>
      </c>
      <c r="R24" s="126"/>
      <c r="S24" s="43" t="str">
        <f t="shared" ca="1" si="7"/>
        <v/>
      </c>
      <c r="T24" s="43" t="str">
        <f ca="1">IFERROR(ROUND(S24*'Quote Info'!$O$4+R24,2),"")</f>
        <v/>
      </c>
      <c r="U24" s="44" t="str">
        <f t="shared" ca="1" si="2"/>
        <v/>
      </c>
      <c r="V24" s="44" t="str">
        <f t="shared" ca="1" si="3"/>
        <v/>
      </c>
      <c r="W24" s="16" t="str">
        <f ca="1">IFERROR(S24/((VLOOKUP(N24,'FB Data'!$A$2:$E$150,3,FALSE))*'FB Laser'!M24),"")</f>
        <v/>
      </c>
      <c r="Y24" s="32" t="str">
        <f t="array" ref="Y24">IFERROR(INDEX($Y$39:$Y$65, MATCH(0,IF(ISBLANK($Y$39:$Y$65),1,COUNTIF($Y$14:Y23, $Y$39:$Y$65)), 0)),"")</f>
        <v/>
      </c>
      <c r="Z24" s="6">
        <f t="shared" si="8"/>
        <v>0</v>
      </c>
      <c r="AA24" s="55">
        <f t="shared" si="9"/>
        <v>0</v>
      </c>
      <c r="AB24" s="56">
        <f t="shared" si="10"/>
        <v>0</v>
      </c>
      <c r="AC24" s="24" t="str">
        <f>IFERROR(Z24*AA24*VLOOKUP(Y24,'FB Data'!$A$2:$E$150,3,FALSE),"")</f>
        <v/>
      </c>
    </row>
    <row r="25" spans="1:29">
      <c r="A25" s="132"/>
      <c r="B25" s="13"/>
      <c r="C25" s="13"/>
      <c r="D25" s="13"/>
      <c r="E25" s="13"/>
      <c r="F25" s="13"/>
      <c r="G25" s="12" t="str">
        <f t="shared" si="4"/>
        <v/>
      </c>
      <c r="H25" s="77">
        <f>IF(Forming!G25&gt;0,Forming!G25,0)</f>
        <v>0</v>
      </c>
      <c r="I25" s="77">
        <f>IF('Hardware Install'!E25&gt;0,'Hardware Install'!E25,0)</f>
        <v>0</v>
      </c>
      <c r="J25" s="77" t="str">
        <f ca="1">IFERROR(VLOOKUP('FB Laser'!A25,Machining!A25:G115,7,FALSE),"")</f>
        <v/>
      </c>
      <c r="K25" s="77" t="str">
        <f>IFERROR(IF(Finishing!G25&gt;0,VLOOKUP('FB Laser'!A25,Finishing!A25:G115,7,FALSE),""),"")</f>
        <v/>
      </c>
      <c r="L25" s="56">
        <f ca="1">IFERROR(SUM((H25*$Z$12),G25,I25,J25,K25,'FB Data'!AM24),"")</f>
        <v>0</v>
      </c>
      <c r="M25" s="54">
        <f t="shared" si="0"/>
        <v>0</v>
      </c>
      <c r="N25" s="14"/>
      <c r="O25" s="5" t="str">
        <f t="shared" si="5"/>
        <v/>
      </c>
      <c r="P25" s="2" t="str">
        <f t="shared" si="6"/>
        <v/>
      </c>
      <c r="Q25" s="2" t="str">
        <f t="shared" si="1"/>
        <v/>
      </c>
      <c r="R25" s="126"/>
      <c r="S25" s="43" t="str">
        <f t="shared" ca="1" si="7"/>
        <v/>
      </c>
      <c r="T25" s="43" t="str">
        <f ca="1">IFERROR(ROUND(S25*'Quote Info'!$O$4+R25,2),"")</f>
        <v/>
      </c>
      <c r="U25" s="44" t="str">
        <f t="shared" ca="1" si="2"/>
        <v/>
      </c>
      <c r="V25" s="44" t="str">
        <f t="shared" ca="1" si="3"/>
        <v/>
      </c>
      <c r="W25" s="16" t="str">
        <f ca="1">IFERROR(S25/((VLOOKUP(N25,'FB Data'!$A$2:$E$150,3,FALSE))*'FB Laser'!M25),"")</f>
        <v/>
      </c>
      <c r="Y25" s="32" t="str">
        <f t="array" ref="Y25">IFERROR(INDEX($Y$39:$Y$65, MATCH(0,IF(ISBLANK($Y$39:$Y$65),1,COUNTIF($Y$14:Y24, $Y$39:$Y$65)), 0)),"")</f>
        <v/>
      </c>
      <c r="Z25" s="6">
        <f t="shared" si="8"/>
        <v>0</v>
      </c>
      <c r="AA25" s="55">
        <f t="shared" si="9"/>
        <v>0</v>
      </c>
      <c r="AB25" s="56">
        <f t="shared" si="10"/>
        <v>0</v>
      </c>
      <c r="AC25" s="24" t="str">
        <f>IFERROR(Z25*AA25*VLOOKUP(Y25,'FB Data'!$A$2:$E$150,3,FALSE),"")</f>
        <v/>
      </c>
    </row>
    <row r="26" spans="1:29">
      <c r="A26" s="132"/>
      <c r="B26" s="13"/>
      <c r="C26" s="13"/>
      <c r="D26" s="13"/>
      <c r="E26" s="13"/>
      <c r="F26" s="13"/>
      <c r="G26" s="12" t="str">
        <f t="shared" si="4"/>
        <v/>
      </c>
      <c r="H26" s="77">
        <f>IF(Forming!G26&gt;0,Forming!G26,0)</f>
        <v>0</v>
      </c>
      <c r="I26" s="77">
        <f>IF('Hardware Install'!E26&gt;0,'Hardware Install'!E26,0)</f>
        <v>0</v>
      </c>
      <c r="J26" s="77" t="str">
        <f ca="1">IFERROR(VLOOKUP('FB Laser'!A26,Machining!A26:G116,7,FALSE),"")</f>
        <v/>
      </c>
      <c r="K26" s="77" t="str">
        <f>IFERROR(IF(Finishing!G26&gt;0,VLOOKUP('FB Laser'!A26,Finishing!A26:G116,7,FALSE),""),"")</f>
        <v/>
      </c>
      <c r="L26" s="56">
        <f ca="1">IFERROR(SUM((H26*$Z$12),G26,I26,J26,K26,'FB Data'!AM25),"")</f>
        <v>0</v>
      </c>
      <c r="M26" s="54">
        <f t="shared" si="0"/>
        <v>0</v>
      </c>
      <c r="N26" s="14"/>
      <c r="O26" s="5" t="str">
        <f t="shared" si="5"/>
        <v/>
      </c>
      <c r="P26" s="2" t="str">
        <f t="shared" si="6"/>
        <v/>
      </c>
      <c r="Q26" s="2" t="str">
        <f t="shared" si="1"/>
        <v/>
      </c>
      <c r="R26" s="126"/>
      <c r="S26" s="43" t="str">
        <f t="shared" ca="1" si="7"/>
        <v/>
      </c>
      <c r="T26" s="43" t="str">
        <f ca="1">IFERROR(ROUND(S26*'Quote Info'!$O$4+R26,2),"")</f>
        <v/>
      </c>
      <c r="U26" s="44" t="str">
        <f t="shared" ca="1" si="2"/>
        <v/>
      </c>
      <c r="V26" s="44" t="str">
        <f t="shared" ca="1" si="3"/>
        <v/>
      </c>
      <c r="W26" s="16" t="str">
        <f ca="1">IFERROR(S26/((VLOOKUP(N26,'FB Data'!$A$2:$E$150,3,FALSE))*'FB Laser'!M26),"")</f>
        <v/>
      </c>
      <c r="Y26" s="32" t="str">
        <f t="array" ref="Y26">IFERROR(INDEX($Y$39:$Y$65, MATCH(0,IF(ISBLANK($Y$39:$Y$65),1,COUNTIF($Y$14:Y25, $Y$39:$Y$65)), 0)),"")</f>
        <v/>
      </c>
      <c r="Z26" s="6">
        <f t="shared" si="8"/>
        <v>0</v>
      </c>
      <c r="AA26" s="55">
        <f t="shared" si="9"/>
        <v>0</v>
      </c>
      <c r="AB26" s="56">
        <f t="shared" si="10"/>
        <v>0</v>
      </c>
      <c r="AC26" s="24" t="str">
        <f>IFERROR(Z26*AA26*VLOOKUP(Y26,'FB Data'!$A$2:$E$150,3,FALSE),"")</f>
        <v/>
      </c>
    </row>
    <row r="27" spans="1:29">
      <c r="A27" s="132"/>
      <c r="B27" s="13"/>
      <c r="C27" s="13"/>
      <c r="D27" s="13"/>
      <c r="E27" s="13"/>
      <c r="F27" s="13"/>
      <c r="G27" s="12" t="str">
        <f t="shared" si="4"/>
        <v/>
      </c>
      <c r="H27" s="77">
        <f>IF(Forming!G27&gt;0,Forming!G27,0)</f>
        <v>0</v>
      </c>
      <c r="I27" s="77">
        <f>IF('Hardware Install'!E27&gt;0,'Hardware Install'!E27,0)</f>
        <v>0</v>
      </c>
      <c r="J27" s="77" t="str">
        <f ca="1">IFERROR(VLOOKUP('FB Laser'!A27,Machining!A27:G117,7,FALSE),"")</f>
        <v/>
      </c>
      <c r="K27" s="77" t="str">
        <f>IFERROR(IF(Finishing!G27&gt;0,VLOOKUP('FB Laser'!A27,Finishing!A27:G117,7,FALSE),""),"")</f>
        <v/>
      </c>
      <c r="L27" s="56">
        <f ca="1">IFERROR(SUM((H27*$Z$12),G27,I27,J27,K27,'FB Data'!AM26),"")</f>
        <v>0</v>
      </c>
      <c r="M27" s="54">
        <f t="shared" si="0"/>
        <v>0</v>
      </c>
      <c r="N27" s="14"/>
      <c r="O27" s="5" t="str">
        <f t="shared" si="5"/>
        <v/>
      </c>
      <c r="P27" s="2" t="str">
        <f t="shared" si="6"/>
        <v/>
      </c>
      <c r="Q27" s="2" t="str">
        <f t="shared" si="1"/>
        <v/>
      </c>
      <c r="R27" s="126"/>
      <c r="S27" s="43" t="str">
        <f t="shared" ca="1" si="7"/>
        <v/>
      </c>
      <c r="T27" s="43" t="str">
        <f ca="1">IFERROR(ROUND(S27*'Quote Info'!$O$4+R27,2),"")</f>
        <v/>
      </c>
      <c r="U27" s="44" t="str">
        <f t="shared" ca="1" si="2"/>
        <v/>
      </c>
      <c r="V27" s="44" t="str">
        <f t="shared" ca="1" si="3"/>
        <v/>
      </c>
      <c r="W27" s="16" t="str">
        <f ca="1">IFERROR(S27/((VLOOKUP(N27,'FB Data'!$A$2:$E$150,3,FALSE))*'FB Laser'!M27),"")</f>
        <v/>
      </c>
      <c r="Y27" s="32" t="str">
        <f t="array" ref="Y27">IFERROR(INDEX($Y$39:$Y$65, MATCH(0,IF(ISBLANK($Y$39:$Y$65),1,COUNTIF($Y$14:Y26, $Y$39:$Y$65)), 0)),"")</f>
        <v/>
      </c>
      <c r="Z27" s="6">
        <f t="shared" si="8"/>
        <v>0</v>
      </c>
      <c r="AA27" s="55">
        <f t="shared" si="9"/>
        <v>0</v>
      </c>
      <c r="AB27" s="56">
        <f t="shared" si="10"/>
        <v>0</v>
      </c>
      <c r="AC27" s="24" t="str">
        <f>IFERROR(Z27*AA27*VLOOKUP(Y27,'FB Data'!$A$2:$E$150,3,FALSE),"")</f>
        <v/>
      </c>
    </row>
    <row r="28" spans="1:29">
      <c r="A28" s="132"/>
      <c r="B28" s="13"/>
      <c r="C28" s="13"/>
      <c r="D28" s="13"/>
      <c r="E28" s="13"/>
      <c r="F28" s="13"/>
      <c r="G28" s="12" t="str">
        <f t="shared" si="4"/>
        <v/>
      </c>
      <c r="H28" s="77">
        <f>IF(Forming!G28&gt;0,Forming!G28,0)</f>
        <v>0</v>
      </c>
      <c r="I28" s="77">
        <f>IF('Hardware Install'!E28&gt;0,'Hardware Install'!E28,0)</f>
        <v>0</v>
      </c>
      <c r="J28" s="77" t="str">
        <f ca="1">IFERROR(VLOOKUP('FB Laser'!A28,Machining!A28:G118,7,FALSE),"")</f>
        <v/>
      </c>
      <c r="K28" s="77" t="str">
        <f>IFERROR(IF(Finishing!G28&gt;0,VLOOKUP('FB Laser'!A28,Finishing!A28:G118,7,FALSE),""),"")</f>
        <v/>
      </c>
      <c r="L28" s="56">
        <f ca="1">IFERROR(SUM((H28*$Z$12),G28,I28,J28,K28,'FB Data'!AM27),"")</f>
        <v>0</v>
      </c>
      <c r="M28" s="54">
        <f t="shared" si="0"/>
        <v>0</v>
      </c>
      <c r="N28" s="14"/>
      <c r="O28" s="5" t="str">
        <f t="shared" si="5"/>
        <v/>
      </c>
      <c r="P28" s="2" t="str">
        <f t="shared" si="6"/>
        <v/>
      </c>
      <c r="Q28" s="2" t="str">
        <f t="shared" si="1"/>
        <v/>
      </c>
      <c r="R28" s="126"/>
      <c r="S28" s="43" t="str">
        <f t="shared" ca="1" si="7"/>
        <v/>
      </c>
      <c r="T28" s="43" t="str">
        <f ca="1">IFERROR(ROUND(S28*'Quote Info'!$O$4+R28,2),"")</f>
        <v/>
      </c>
      <c r="U28" s="44" t="str">
        <f t="shared" ca="1" si="2"/>
        <v/>
      </c>
      <c r="V28" s="44" t="str">
        <f t="shared" ca="1" si="3"/>
        <v/>
      </c>
      <c r="W28" s="16" t="str">
        <f ca="1">IFERROR(S28/((VLOOKUP(N28,'FB Data'!$A$2:$E$150,3,FALSE))*'FB Laser'!M28),"")</f>
        <v/>
      </c>
      <c r="Y28" s="32" t="str">
        <f t="array" ref="Y28">IFERROR(INDEX($Y$39:$Y$65, MATCH(0,IF(ISBLANK($Y$39:$Y$65),1,COUNTIF($Y$14:Y27, $Y$39:$Y$65)), 0)),"")</f>
        <v/>
      </c>
      <c r="Z28" s="6">
        <f t="shared" si="8"/>
        <v>0</v>
      </c>
      <c r="AA28" s="55">
        <f t="shared" si="9"/>
        <v>0</v>
      </c>
      <c r="AB28" s="56">
        <f t="shared" si="10"/>
        <v>0</v>
      </c>
      <c r="AC28" s="24" t="str">
        <f>IFERROR(Z28*AA28*VLOOKUP(Y28,'FB Data'!$A$2:$E$150,3,FALSE),"")</f>
        <v/>
      </c>
    </row>
    <row r="29" spans="1:29">
      <c r="A29" s="132"/>
      <c r="B29" s="13"/>
      <c r="C29" s="13"/>
      <c r="D29" s="13"/>
      <c r="E29" s="13"/>
      <c r="F29" s="13"/>
      <c r="G29" s="12" t="str">
        <f t="shared" si="4"/>
        <v/>
      </c>
      <c r="H29" s="77">
        <f>IF(Forming!G29&gt;0,Forming!G29,0)</f>
        <v>0</v>
      </c>
      <c r="I29" s="77">
        <f>IF('Hardware Install'!E29&gt;0,'Hardware Install'!E29,0)</f>
        <v>0</v>
      </c>
      <c r="J29" s="77" t="str">
        <f ca="1">IFERROR(VLOOKUP('FB Laser'!A29,Machining!A29:G119,7,FALSE),"")</f>
        <v/>
      </c>
      <c r="K29" s="77" t="str">
        <f>IFERROR(IF(Finishing!G29&gt;0,VLOOKUP('FB Laser'!A29,Finishing!A29:G119,7,FALSE),""),"")</f>
        <v/>
      </c>
      <c r="L29" s="56">
        <f ca="1">IFERROR(SUM((H29*$Z$12),G29,I29,J29,K29,'FB Data'!AM28),"")</f>
        <v>0</v>
      </c>
      <c r="M29" s="54">
        <f t="shared" si="0"/>
        <v>0</v>
      </c>
      <c r="N29" s="14"/>
      <c r="O29" s="5" t="str">
        <f t="shared" si="5"/>
        <v/>
      </c>
      <c r="P29" s="2" t="str">
        <f t="shared" si="6"/>
        <v/>
      </c>
      <c r="Q29" s="2" t="str">
        <f t="shared" si="1"/>
        <v/>
      </c>
      <c r="R29" s="126"/>
      <c r="S29" s="43" t="str">
        <f t="shared" ca="1" si="7"/>
        <v/>
      </c>
      <c r="T29" s="43" t="str">
        <f ca="1">IFERROR(ROUND(S29*'Quote Info'!$O$4+R29,2),"")</f>
        <v/>
      </c>
      <c r="U29" s="44" t="str">
        <f t="shared" ca="1" si="2"/>
        <v/>
      </c>
      <c r="V29" s="44" t="str">
        <f t="shared" ca="1" si="3"/>
        <v/>
      </c>
      <c r="W29" s="16" t="str">
        <f ca="1">IFERROR(S29/((VLOOKUP(N29,'FB Data'!$A$2:$E$150,3,FALSE))*'FB Laser'!M29),"")</f>
        <v/>
      </c>
      <c r="Y29" s="32" t="str">
        <f t="array" ref="Y29">IFERROR(INDEX($Y$39:$Y$65, MATCH(0,IF(ISBLANK($Y$39:$Y$65),1,COUNTIF($Y$14:Y28, $Y$39:$Y$65)), 0)),"")</f>
        <v/>
      </c>
      <c r="Z29" s="6">
        <f t="shared" si="8"/>
        <v>0</v>
      </c>
      <c r="AA29" s="55">
        <f t="shared" si="9"/>
        <v>0</v>
      </c>
      <c r="AB29" s="56">
        <f t="shared" si="10"/>
        <v>0</v>
      </c>
      <c r="AC29" s="24" t="str">
        <f>IFERROR(Z29*AA29*VLOOKUP(Y29,'FB Data'!$A$2:$E$150,3,FALSE),"")</f>
        <v/>
      </c>
    </row>
    <row r="30" spans="1:29">
      <c r="A30" s="132"/>
      <c r="B30" s="13"/>
      <c r="C30" s="13"/>
      <c r="D30" s="13"/>
      <c r="E30" s="13"/>
      <c r="F30" s="13"/>
      <c r="G30" s="12" t="str">
        <f t="shared" si="4"/>
        <v/>
      </c>
      <c r="H30" s="77">
        <f>IF(Forming!G30&gt;0,Forming!G30,0)</f>
        <v>0</v>
      </c>
      <c r="I30" s="77">
        <f>IF('Hardware Install'!E30&gt;0,'Hardware Install'!E30,0)</f>
        <v>0</v>
      </c>
      <c r="J30" s="77" t="str">
        <f ca="1">IFERROR(VLOOKUP('FB Laser'!A30,Machining!A30:G120,7,FALSE),"")</f>
        <v/>
      </c>
      <c r="K30" s="77" t="str">
        <f>IFERROR(IF(Finishing!G30&gt;0,VLOOKUP('FB Laser'!A30,Finishing!A30:G120,7,FALSE),""),"")</f>
        <v/>
      </c>
      <c r="L30" s="56">
        <f ca="1">IFERROR(SUM((H30*$Z$12),G30,I30,J30,K30,'FB Data'!AM29),"")</f>
        <v>0</v>
      </c>
      <c r="M30" s="54">
        <f t="shared" si="0"/>
        <v>0</v>
      </c>
      <c r="N30" s="14"/>
      <c r="O30" s="5" t="str">
        <f t="shared" si="5"/>
        <v/>
      </c>
      <c r="P30" s="2" t="str">
        <f t="shared" si="6"/>
        <v/>
      </c>
      <c r="Q30" s="2" t="str">
        <f t="shared" si="1"/>
        <v/>
      </c>
      <c r="R30" s="126"/>
      <c r="S30" s="43" t="str">
        <f t="shared" ca="1" si="7"/>
        <v/>
      </c>
      <c r="T30" s="43" t="str">
        <f ca="1">IFERROR(ROUND(S30*'Quote Info'!$O$4+R30,2),"")</f>
        <v/>
      </c>
      <c r="U30" s="44" t="str">
        <f t="shared" ca="1" si="2"/>
        <v/>
      </c>
      <c r="V30" s="44" t="str">
        <f t="shared" ca="1" si="3"/>
        <v/>
      </c>
      <c r="W30" s="16" t="str">
        <f ca="1">IFERROR(S30/((VLOOKUP(N30,'FB Data'!$A$2:$E$150,3,FALSE))*'FB Laser'!M30),"")</f>
        <v/>
      </c>
      <c r="Y30" s="32" t="str">
        <f t="array" ref="Y30">IFERROR(INDEX($Y$39:$Y$65, MATCH(0,IF(ISBLANK($Y$39:$Y$65),1,COUNTIF($Y$14:Y29, $Y$39:$Y$65)), 0)),"")</f>
        <v/>
      </c>
      <c r="Z30" s="6">
        <f t="shared" si="8"/>
        <v>0</v>
      </c>
      <c r="AA30" s="55">
        <f t="shared" si="9"/>
        <v>0</v>
      </c>
      <c r="AB30" s="56">
        <f t="shared" si="10"/>
        <v>0</v>
      </c>
      <c r="AC30" s="24" t="str">
        <f>IFERROR(Z30*AA30*VLOOKUP(Y30,'FB Data'!$A$2:$E$150,3,FALSE),"")</f>
        <v/>
      </c>
    </row>
    <row r="31" spans="1:29">
      <c r="A31" s="132"/>
      <c r="B31" s="13"/>
      <c r="C31" s="13"/>
      <c r="D31" s="13"/>
      <c r="E31" s="13"/>
      <c r="F31" s="13"/>
      <c r="G31" s="12" t="str">
        <f t="shared" si="4"/>
        <v/>
      </c>
      <c r="H31" s="77">
        <f>IF(Forming!G31&gt;0,Forming!G31,0)</f>
        <v>0</v>
      </c>
      <c r="I31" s="77">
        <f>IF('Hardware Install'!E31&gt;0,'Hardware Install'!E31,0)</f>
        <v>0</v>
      </c>
      <c r="J31" s="77" t="str">
        <f ca="1">IFERROR(VLOOKUP('FB Laser'!A31,Machining!A31:G121,7,FALSE),"")</f>
        <v/>
      </c>
      <c r="K31" s="77" t="str">
        <f>IFERROR(IF(Finishing!G31&gt;0,VLOOKUP('FB Laser'!A31,Finishing!A31:G121,7,FALSE),""),"")</f>
        <v/>
      </c>
      <c r="L31" s="56">
        <f ca="1">IFERROR(SUM((H31*$Z$12),G31,I31,J31,K31,'FB Data'!AM30),"")</f>
        <v>0</v>
      </c>
      <c r="M31" s="54">
        <f t="shared" si="0"/>
        <v>0</v>
      </c>
      <c r="N31" s="14"/>
      <c r="O31" s="5" t="str">
        <f t="shared" si="5"/>
        <v/>
      </c>
      <c r="P31" s="2" t="str">
        <f t="shared" si="6"/>
        <v/>
      </c>
      <c r="Q31" s="2" t="str">
        <f t="shared" si="1"/>
        <v/>
      </c>
      <c r="R31" s="126"/>
      <c r="S31" s="43" t="str">
        <f t="shared" ca="1" si="7"/>
        <v/>
      </c>
      <c r="T31" s="43" t="str">
        <f ca="1">IFERROR(ROUND(S31*'Quote Info'!$O$4+R31,2),"")</f>
        <v/>
      </c>
      <c r="U31" s="44" t="str">
        <f t="shared" ca="1" si="2"/>
        <v/>
      </c>
      <c r="V31" s="44" t="str">
        <f t="shared" ca="1" si="3"/>
        <v/>
      </c>
      <c r="W31" s="16" t="str">
        <f ca="1">IFERROR(S31/((VLOOKUP(N31,'FB Data'!$A$2:$E$150,3,FALSE))*'FB Laser'!M31),"")</f>
        <v/>
      </c>
      <c r="Y31" s="32" t="str">
        <f t="array" ref="Y31">IFERROR(INDEX($Y$39:$Y$65, MATCH(0,IF(ISBLANK($Y$39:$Y$65),1,COUNTIF($Y$14:Y30, $Y$39:$Y$65)), 0)),"")</f>
        <v/>
      </c>
      <c r="Z31" s="6">
        <f t="shared" si="8"/>
        <v>0</v>
      </c>
      <c r="AA31" s="55">
        <f t="shared" si="9"/>
        <v>0</v>
      </c>
      <c r="AB31" s="56">
        <f t="shared" si="10"/>
        <v>0</v>
      </c>
      <c r="AC31" s="24" t="str">
        <f>IFERROR(Z31*AA31*VLOOKUP(Y31,'FB Data'!$A$2:$E$150,3,FALSE),"")</f>
        <v/>
      </c>
    </row>
    <row r="32" spans="1:29">
      <c r="A32" s="132"/>
      <c r="B32" s="13"/>
      <c r="C32" s="13"/>
      <c r="D32" s="13"/>
      <c r="E32" s="13"/>
      <c r="F32" s="13"/>
      <c r="G32" s="12" t="str">
        <f t="shared" si="4"/>
        <v/>
      </c>
      <c r="H32" s="77">
        <f>IF(Forming!G32&gt;0,Forming!G32,0)</f>
        <v>0</v>
      </c>
      <c r="I32" s="77">
        <f>IF('Hardware Install'!E32&gt;0,'Hardware Install'!E32,0)</f>
        <v>0</v>
      </c>
      <c r="J32" s="77" t="str">
        <f ca="1">IFERROR(VLOOKUP('FB Laser'!A32,Machining!A32:G122,7,FALSE),"")</f>
        <v/>
      </c>
      <c r="K32" s="77" t="str">
        <f>IFERROR(IF(Finishing!G32&gt;0,VLOOKUP('FB Laser'!A32,Finishing!A32:G122,7,FALSE),""),"")</f>
        <v/>
      </c>
      <c r="L32" s="56">
        <f ca="1">IFERROR(SUM((H32*$Z$12),G32,I32,J32,K32,'FB Data'!AM31),"")</f>
        <v>0</v>
      </c>
      <c r="M32" s="54">
        <f t="shared" si="0"/>
        <v>0</v>
      </c>
      <c r="N32" s="14"/>
      <c r="O32" s="5" t="str">
        <f t="shared" si="5"/>
        <v/>
      </c>
      <c r="P32" s="2" t="str">
        <f t="shared" si="6"/>
        <v/>
      </c>
      <c r="Q32" s="2" t="str">
        <f t="shared" si="1"/>
        <v/>
      </c>
      <c r="R32" s="126"/>
      <c r="S32" s="43" t="str">
        <f t="shared" ca="1" si="7"/>
        <v/>
      </c>
      <c r="T32" s="43" t="str">
        <f ca="1">IFERROR(ROUND(S32*'Quote Info'!$O$4+R32,2),"")</f>
        <v/>
      </c>
      <c r="U32" s="44" t="str">
        <f t="shared" ca="1" si="2"/>
        <v/>
      </c>
      <c r="V32" s="44" t="str">
        <f t="shared" ca="1" si="3"/>
        <v/>
      </c>
      <c r="W32" s="16" t="str">
        <f ca="1">IFERROR(S32/((VLOOKUP(N32,'FB Data'!$A$2:$E$150,3,FALSE))*'FB Laser'!M32),"")</f>
        <v/>
      </c>
      <c r="Y32" s="32" t="str">
        <f t="array" ref="Y32">IFERROR(INDEX($Y$39:$Y$65, MATCH(0,IF(ISBLANK($Y$39:$Y$65),1,COUNTIF($Y$14:Y31, $Y$39:$Y$65)), 0)),"")</f>
        <v/>
      </c>
      <c r="Z32" s="6">
        <f t="shared" si="8"/>
        <v>0</v>
      </c>
      <c r="AA32" s="55">
        <f t="shared" si="9"/>
        <v>0</v>
      </c>
      <c r="AB32" s="56">
        <f t="shared" si="10"/>
        <v>0</v>
      </c>
      <c r="AC32" s="24" t="str">
        <f>IFERROR(Z32*AA32*VLOOKUP(Y32,'FB Data'!$A$2:$E$150,3,FALSE),"")</f>
        <v/>
      </c>
    </row>
    <row r="33" spans="1:30">
      <c r="A33" s="132"/>
      <c r="B33" s="13"/>
      <c r="C33" s="13"/>
      <c r="D33" s="13"/>
      <c r="E33" s="13"/>
      <c r="F33" s="13"/>
      <c r="G33" s="12" t="str">
        <f t="shared" si="4"/>
        <v/>
      </c>
      <c r="H33" s="77">
        <f>IF(Forming!G33&gt;0,Forming!G33,0)</f>
        <v>0</v>
      </c>
      <c r="I33" s="77">
        <f>IF('Hardware Install'!E33&gt;0,'Hardware Install'!E33,0)</f>
        <v>0</v>
      </c>
      <c r="J33" s="77" t="str">
        <f ca="1">IFERROR(VLOOKUP('FB Laser'!A33,Machining!A33:G123,7,FALSE),"")</f>
        <v/>
      </c>
      <c r="K33" s="77" t="str">
        <f>IFERROR(IF(Finishing!G33&gt;0,VLOOKUP('FB Laser'!A33,Finishing!A33:G123,7,FALSE),""),"")</f>
        <v/>
      </c>
      <c r="L33" s="56">
        <f ca="1">IFERROR(SUM((H33*$Z$12),G33,I33,J33,K33,'FB Data'!AM32),"")</f>
        <v>0</v>
      </c>
      <c r="M33" s="54">
        <f t="shared" si="0"/>
        <v>0</v>
      </c>
      <c r="N33" s="14"/>
      <c r="O33" s="5" t="str">
        <f t="shared" si="5"/>
        <v/>
      </c>
      <c r="P33" s="2" t="str">
        <f t="shared" si="6"/>
        <v/>
      </c>
      <c r="Q33" s="2" t="str">
        <f t="shared" si="1"/>
        <v/>
      </c>
      <c r="R33" s="126"/>
      <c r="S33" s="43" t="str">
        <f t="shared" ca="1" si="7"/>
        <v/>
      </c>
      <c r="T33" s="43" t="str">
        <f ca="1">IFERROR(ROUND(S33*'Quote Info'!$O$4+R33,2),"")</f>
        <v/>
      </c>
      <c r="U33" s="44" t="str">
        <f t="shared" ca="1" si="2"/>
        <v/>
      </c>
      <c r="V33" s="44" t="str">
        <f t="shared" ca="1" si="3"/>
        <v/>
      </c>
      <c r="W33" s="16" t="str">
        <f ca="1">IFERROR(S33/((VLOOKUP(N33,'FB Data'!$A$2:$E$150,3,FALSE))*'FB Laser'!M33),"")</f>
        <v/>
      </c>
      <c r="Y33" s="32" t="str">
        <f t="array" ref="Y33">IFERROR(INDEX($Y$39:$Y$65, MATCH(0,IF(ISBLANK($Y$39:$Y$65),1,COUNTIF($Y$14:Y32, $Y$39:$Y$65)), 0)),"")</f>
        <v/>
      </c>
      <c r="Z33" s="6">
        <f t="shared" si="8"/>
        <v>0</v>
      </c>
      <c r="AA33" s="55">
        <f t="shared" si="9"/>
        <v>0</v>
      </c>
      <c r="AB33" s="56">
        <f t="shared" si="10"/>
        <v>0</v>
      </c>
      <c r="AC33" s="24" t="str">
        <f>IFERROR(Z33*AA33*VLOOKUP(Y33,'FB Data'!$A$2:$E$150,3,FALSE),"")</f>
        <v/>
      </c>
    </row>
    <row r="34" spans="1:30">
      <c r="A34" s="132"/>
      <c r="B34" s="13"/>
      <c r="C34" s="13"/>
      <c r="D34" s="13"/>
      <c r="E34" s="13"/>
      <c r="F34" s="13"/>
      <c r="G34" s="12" t="str">
        <f t="shared" si="4"/>
        <v/>
      </c>
      <c r="H34" s="77">
        <f>IF(Forming!G34&gt;0,Forming!G34,0)</f>
        <v>0</v>
      </c>
      <c r="I34" s="77">
        <f>IF('Hardware Install'!E34&gt;0,'Hardware Install'!E34,0)</f>
        <v>0</v>
      </c>
      <c r="J34" s="77" t="str">
        <f ca="1">IFERROR(VLOOKUP('FB Laser'!A34,Machining!A34:G124,7,FALSE),"")</f>
        <v/>
      </c>
      <c r="K34" s="77" t="str">
        <f>IFERROR(IF(Finishing!G34&gt;0,VLOOKUP('FB Laser'!A34,Finishing!A34:G124,7,FALSE),""),"")</f>
        <v/>
      </c>
      <c r="L34" s="56">
        <f ca="1">IFERROR(SUM((H34*$Z$12),G34,I34,J34,K34,'FB Data'!AM33),"")</f>
        <v>0</v>
      </c>
      <c r="M34" s="54">
        <f t="shared" si="0"/>
        <v>0</v>
      </c>
      <c r="N34" s="14"/>
      <c r="O34" s="5" t="str">
        <f t="shared" si="5"/>
        <v/>
      </c>
      <c r="P34" s="2" t="str">
        <f t="shared" si="6"/>
        <v/>
      </c>
      <c r="Q34" s="2" t="str">
        <f t="shared" si="1"/>
        <v/>
      </c>
      <c r="R34" s="126"/>
      <c r="S34" s="43" t="str">
        <f t="shared" ca="1" si="7"/>
        <v/>
      </c>
      <c r="T34" s="43" t="str">
        <f ca="1">IFERROR(ROUND(S34*'Quote Info'!$O$4+R34,2),"")</f>
        <v/>
      </c>
      <c r="U34" s="44" t="str">
        <f t="shared" ca="1" si="2"/>
        <v/>
      </c>
      <c r="V34" s="44" t="str">
        <f t="shared" ca="1" si="3"/>
        <v/>
      </c>
      <c r="W34" s="16" t="str">
        <f ca="1">IFERROR(S34/((VLOOKUP(N34,'FB Data'!$A$2:$E$150,3,FALSE))*'FB Laser'!M34),"")</f>
        <v/>
      </c>
      <c r="AC34" s="25">
        <f>SUMIF(AC15:AC25,"&lt;&gt;#N/A")</f>
        <v>0</v>
      </c>
    </row>
    <row r="35" spans="1:30">
      <c r="A35" s="132"/>
      <c r="B35" s="13"/>
      <c r="C35" s="13"/>
      <c r="D35" s="13"/>
      <c r="E35" s="13"/>
      <c r="F35" s="13"/>
      <c r="G35" s="12" t="str">
        <f t="shared" si="4"/>
        <v/>
      </c>
      <c r="H35" s="77">
        <f>IF(Forming!G35&gt;0,Forming!G35,0)</f>
        <v>0</v>
      </c>
      <c r="I35" s="77">
        <f>IF('Hardware Install'!E35&gt;0,'Hardware Install'!E35,0)</f>
        <v>0</v>
      </c>
      <c r="J35" s="77" t="str">
        <f ca="1">IFERROR(VLOOKUP('FB Laser'!A35,Machining!A35:G125,7,FALSE),"")</f>
        <v/>
      </c>
      <c r="K35" s="77" t="str">
        <f>IFERROR(IF(Finishing!G35&gt;0,VLOOKUP('FB Laser'!A35,Finishing!A35:G125,7,FALSE),""),"")</f>
        <v/>
      </c>
      <c r="L35" s="56">
        <f ca="1">IFERROR(SUM((H35*$Z$12),G35,I35,J35,K35,'FB Data'!AM34),"")</f>
        <v>0</v>
      </c>
      <c r="M35" s="54">
        <f t="shared" si="0"/>
        <v>0</v>
      </c>
      <c r="N35" s="14"/>
      <c r="O35" s="5" t="str">
        <f t="shared" si="5"/>
        <v/>
      </c>
      <c r="P35" s="2" t="str">
        <f t="shared" si="6"/>
        <v/>
      </c>
      <c r="Q35" s="2" t="str">
        <f t="shared" si="1"/>
        <v/>
      </c>
      <c r="R35" s="126"/>
      <c r="S35" s="43" t="str">
        <f t="shared" ca="1" si="7"/>
        <v/>
      </c>
      <c r="T35" s="43" t="str">
        <f ca="1">IFERROR(ROUND(S35*'Quote Info'!$O$4+R35,2),"")</f>
        <v/>
      </c>
      <c r="U35" s="44" t="str">
        <f t="shared" ca="1" si="2"/>
        <v/>
      </c>
      <c r="V35" s="44" t="str">
        <f t="shared" ca="1" si="3"/>
        <v/>
      </c>
      <c r="W35" s="16" t="str">
        <f ca="1">IFERROR(S35/((VLOOKUP(N35,'FB Data'!$A$2:$E$150,3,FALSE))*'FB Laser'!M35),"")</f>
        <v/>
      </c>
    </row>
    <row r="36" spans="1:30">
      <c r="A36" s="132"/>
      <c r="B36" s="13"/>
      <c r="C36" s="13"/>
      <c r="D36" s="13"/>
      <c r="E36" s="13"/>
      <c r="F36" s="13"/>
      <c r="G36" s="12" t="str">
        <f t="shared" si="4"/>
        <v/>
      </c>
      <c r="H36" s="77">
        <f>IF(Forming!G36&gt;0,Forming!G36,0)</f>
        <v>0</v>
      </c>
      <c r="I36" s="77">
        <f>IF('Hardware Install'!E36&gt;0,'Hardware Install'!E36,0)</f>
        <v>0</v>
      </c>
      <c r="J36" s="77" t="str">
        <f ca="1">IFERROR(VLOOKUP('FB Laser'!A36,Machining!A36:G126,7,FALSE),"")</f>
        <v/>
      </c>
      <c r="K36" s="77" t="str">
        <f>IFERROR(IF(Finishing!G36&gt;0,VLOOKUP('FB Laser'!A36,Finishing!A36:G126,7,FALSE),""),"")</f>
        <v/>
      </c>
      <c r="L36" s="56">
        <f ca="1">IFERROR(SUM((H36*$Z$12),G36,I36,J36,K36,'FB Data'!AM35),"")</f>
        <v>0</v>
      </c>
      <c r="M36" s="54">
        <f t="shared" si="0"/>
        <v>0</v>
      </c>
      <c r="N36" s="14"/>
      <c r="O36" s="5" t="str">
        <f t="shared" si="5"/>
        <v/>
      </c>
      <c r="P36" s="2" t="str">
        <f t="shared" si="6"/>
        <v/>
      </c>
      <c r="Q36" s="2" t="str">
        <f t="shared" si="1"/>
        <v/>
      </c>
      <c r="R36" s="126"/>
      <c r="S36" s="43" t="str">
        <f t="shared" ca="1" si="7"/>
        <v/>
      </c>
      <c r="T36" s="43" t="str">
        <f ca="1">IFERROR(ROUND(S36*'Quote Info'!$O$4+R36,2),"")</f>
        <v/>
      </c>
      <c r="U36" s="44" t="str">
        <f t="shared" ca="1" si="2"/>
        <v/>
      </c>
      <c r="V36" s="44" t="str">
        <f t="shared" ca="1" si="3"/>
        <v/>
      </c>
      <c r="W36" s="16" t="str">
        <f ca="1">IFERROR(S36/((VLOOKUP(N36,'FB Data'!$A$2:$E$150,3,FALSE))*'FB Laser'!M36),"")</f>
        <v/>
      </c>
    </row>
    <row r="37" spans="1:30">
      <c r="A37" s="132"/>
      <c r="B37" s="13"/>
      <c r="C37" s="13"/>
      <c r="D37" s="13"/>
      <c r="E37" s="13"/>
      <c r="F37" s="13"/>
      <c r="G37" s="12" t="str">
        <f t="shared" si="4"/>
        <v/>
      </c>
      <c r="H37" s="77">
        <f>IF(Forming!G37&gt;0,Forming!G37,0)</f>
        <v>0</v>
      </c>
      <c r="I37" s="77">
        <f>IF('Hardware Install'!E37&gt;0,'Hardware Install'!E37,0)</f>
        <v>0</v>
      </c>
      <c r="J37" s="77" t="str">
        <f ca="1">IFERROR(VLOOKUP('FB Laser'!A37,Machining!A37:G127,7,FALSE),"")</f>
        <v/>
      </c>
      <c r="K37" s="77" t="str">
        <f>IFERROR(IF(Finishing!G37&gt;0,VLOOKUP('FB Laser'!A37,Finishing!A37:G127,7,FALSE),""),"")</f>
        <v/>
      </c>
      <c r="L37" s="56">
        <f ca="1">IFERROR(SUM((H37*$Z$12),G37,I37,J37,K37,'FB Data'!AM36),"")</f>
        <v>0</v>
      </c>
      <c r="M37" s="54">
        <f t="shared" si="0"/>
        <v>0</v>
      </c>
      <c r="N37" s="14"/>
      <c r="O37" s="5" t="str">
        <f t="shared" si="5"/>
        <v/>
      </c>
      <c r="P37" s="2" t="str">
        <f t="shared" si="6"/>
        <v/>
      </c>
      <c r="Q37" s="2" t="str">
        <f t="shared" si="1"/>
        <v/>
      </c>
      <c r="R37" s="126"/>
      <c r="S37" s="43" t="str">
        <f t="shared" ca="1" si="7"/>
        <v/>
      </c>
      <c r="T37" s="43" t="str">
        <f ca="1">IFERROR(ROUND(S37*'Quote Info'!$O$4+R37,2),"")</f>
        <v/>
      </c>
      <c r="U37" s="44" t="str">
        <f t="shared" ca="1" si="2"/>
        <v/>
      </c>
      <c r="V37" s="44" t="str">
        <f t="shared" ca="1" si="3"/>
        <v/>
      </c>
      <c r="W37" s="16" t="str">
        <f ca="1">IFERROR(S37/((VLOOKUP(N37,'FB Data'!$A$2:$E$150,3,FALSE))*'FB Laser'!M37),"")</f>
        <v/>
      </c>
      <c r="Y37" s="141" t="s">
        <v>274</v>
      </c>
      <c r="Z37" s="141"/>
      <c r="AA37" s="141"/>
      <c r="AB37" s="141"/>
      <c r="AC37" s="141"/>
      <c r="AD37" s="141"/>
    </row>
    <row r="38" spans="1:30">
      <c r="A38" s="132"/>
      <c r="B38" s="13"/>
      <c r="C38" s="13"/>
      <c r="D38" s="13"/>
      <c r="E38" s="13"/>
      <c r="F38" s="13"/>
      <c r="G38" s="12" t="str">
        <f t="shared" si="4"/>
        <v/>
      </c>
      <c r="H38" s="77">
        <f>IF(Forming!G38&gt;0,Forming!G38,0)</f>
        <v>0</v>
      </c>
      <c r="I38" s="77">
        <f>IF('Hardware Install'!E38&gt;0,'Hardware Install'!E38,0)</f>
        <v>0</v>
      </c>
      <c r="J38" s="77" t="str">
        <f ca="1">IFERROR(VLOOKUP('FB Laser'!A38,Machining!A38:G128,7,FALSE),"")</f>
        <v/>
      </c>
      <c r="K38" s="77" t="str">
        <f>IFERROR(IF(Finishing!G38&gt;0,VLOOKUP('FB Laser'!A38,Finishing!A38:G128,7,FALSE),""),"")</f>
        <v/>
      </c>
      <c r="L38" s="56">
        <f ca="1">IFERROR(SUM((H38*$Z$12),G38,I38,J38,K38,'FB Data'!AM37),"")</f>
        <v>0</v>
      </c>
      <c r="M38" s="54">
        <f t="shared" si="0"/>
        <v>0</v>
      </c>
      <c r="N38" s="14"/>
      <c r="O38" s="5" t="str">
        <f t="shared" si="5"/>
        <v/>
      </c>
      <c r="P38" s="2" t="str">
        <f t="shared" si="6"/>
        <v/>
      </c>
      <c r="Q38" s="2" t="str">
        <f t="shared" si="1"/>
        <v/>
      </c>
      <c r="R38" s="126"/>
      <c r="S38" s="43" t="str">
        <f t="shared" ca="1" si="7"/>
        <v/>
      </c>
      <c r="T38" s="43" t="str">
        <f ca="1">IFERROR(ROUND(S38*'Quote Info'!$O$4+R38,2),"")</f>
        <v/>
      </c>
      <c r="U38" s="44" t="str">
        <f t="shared" ca="1" si="2"/>
        <v/>
      </c>
      <c r="V38" s="44" t="str">
        <f t="shared" ca="1" si="3"/>
        <v/>
      </c>
      <c r="W38" s="16" t="str">
        <f ca="1">IFERROR(S38/((VLOOKUP(N38,'FB Data'!$A$2:$E$150,3,FALSE))*'FB Laser'!M38),"")</f>
        <v/>
      </c>
      <c r="Y38" s="15" t="s">
        <v>276</v>
      </c>
      <c r="Z38" s="15" t="s">
        <v>0</v>
      </c>
      <c r="AA38" s="15" t="s">
        <v>6</v>
      </c>
      <c r="AB38" s="15" t="s">
        <v>5</v>
      </c>
      <c r="AC38" s="15" t="s">
        <v>275</v>
      </c>
      <c r="AD38" s="15" t="s">
        <v>9</v>
      </c>
    </row>
    <row r="39" spans="1:30">
      <c r="A39" s="132"/>
      <c r="B39" s="13"/>
      <c r="C39" s="13"/>
      <c r="D39" s="13"/>
      <c r="E39" s="13"/>
      <c r="F39" s="13"/>
      <c r="G39" s="12" t="str">
        <f t="shared" si="4"/>
        <v/>
      </c>
      <c r="H39" s="77">
        <f>IF(Forming!G39&gt;0,Forming!G39,0)</f>
        <v>0</v>
      </c>
      <c r="I39" s="77">
        <f>IF('Hardware Install'!E39&gt;0,'Hardware Install'!E39,0)</f>
        <v>0</v>
      </c>
      <c r="J39" s="77" t="str">
        <f ca="1">IFERROR(VLOOKUP('FB Laser'!A39,Machining!A39:G129,7,FALSE),"")</f>
        <v/>
      </c>
      <c r="K39" s="77" t="str">
        <f>IFERROR(IF(Finishing!G39&gt;0,VLOOKUP('FB Laser'!A39,Finishing!A39:G129,7,FALSE),""),"")</f>
        <v/>
      </c>
      <c r="L39" s="56">
        <f ca="1">IFERROR(SUM((H39*$Z$12),G39,I39,J39,K39,'FB Data'!AM38),"")</f>
        <v>0</v>
      </c>
      <c r="M39" s="54">
        <f t="shared" si="0"/>
        <v>0</v>
      </c>
      <c r="N39" s="14"/>
      <c r="O39" s="5" t="str">
        <f t="shared" si="5"/>
        <v/>
      </c>
      <c r="P39" s="2" t="str">
        <f t="shared" si="6"/>
        <v/>
      </c>
      <c r="Q39" s="2" t="str">
        <f t="shared" si="1"/>
        <v/>
      </c>
      <c r="R39" s="126"/>
      <c r="S39" s="43" t="str">
        <f t="shared" ca="1" si="7"/>
        <v/>
      </c>
      <c r="T39" s="43" t="str">
        <f ca="1">IFERROR(ROUND(S39*'Quote Info'!$O$4+R39,2),"")</f>
        <v/>
      </c>
      <c r="U39" s="44" t="str">
        <f t="shared" ca="1" si="2"/>
        <v/>
      </c>
      <c r="V39" s="44" t="str">
        <f t="shared" ca="1" si="3"/>
        <v/>
      </c>
      <c r="W39" s="16" t="str">
        <f ca="1">IFERROR(S39/((VLOOKUP(N39,'FB Data'!$A$2:$E$150,3,FALSE))*'FB Laser'!M39),"")</f>
        <v/>
      </c>
      <c r="Y39" s="14"/>
      <c r="Z39" s="13"/>
      <c r="AA39" s="13"/>
      <c r="AB39" s="13"/>
      <c r="AC39" s="6">
        <f>IFERROR((AA39/12)*(AB39/12)*Z39,"")</f>
        <v>0</v>
      </c>
      <c r="AD39" s="2" t="str">
        <f>IFERROR(IF($Z$7="JWMCD",VLOOKUP(Y39,'FB Data'!$A$2:$E$151,3,FALSE)*VLOOKUP(Y39,'FB Data'!$A$2:$E$151,5,FALSE)*AC39,IF($Z$7="Customer Supplied",0,"Need Input")),"")</f>
        <v/>
      </c>
    </row>
    <row r="40" spans="1:30">
      <c r="A40" s="132"/>
      <c r="B40" s="13"/>
      <c r="C40" s="13"/>
      <c r="D40" s="13"/>
      <c r="E40" s="13"/>
      <c r="F40" s="13"/>
      <c r="G40" s="12" t="str">
        <f t="shared" si="4"/>
        <v/>
      </c>
      <c r="H40" s="77">
        <f>IF(Forming!G40&gt;0,Forming!G40,0)</f>
        <v>0</v>
      </c>
      <c r="I40" s="77">
        <f>IF('Hardware Install'!E40&gt;0,'Hardware Install'!E40,0)</f>
        <v>0</v>
      </c>
      <c r="J40" s="77" t="str">
        <f ca="1">IFERROR(VLOOKUP('FB Laser'!A40,Machining!A40:G130,7,FALSE),"")</f>
        <v/>
      </c>
      <c r="K40" s="77" t="str">
        <f>IFERROR(IF(Finishing!G40&gt;0,VLOOKUP('FB Laser'!A40,Finishing!A40:G130,7,FALSE),""),"")</f>
        <v/>
      </c>
      <c r="L40" s="56">
        <f ca="1">IFERROR(SUM((H40*$Z$12),G40,I40,J40,K40,'FB Data'!AM39),"")</f>
        <v>0</v>
      </c>
      <c r="M40" s="54">
        <f t="shared" si="0"/>
        <v>0</v>
      </c>
      <c r="N40" s="14"/>
      <c r="O40" s="5" t="str">
        <f t="shared" si="5"/>
        <v/>
      </c>
      <c r="P40" s="2" t="str">
        <f t="shared" si="6"/>
        <v/>
      </c>
      <c r="Q40" s="2" t="str">
        <f t="shared" si="1"/>
        <v/>
      </c>
      <c r="R40" s="126"/>
      <c r="S40" s="43" t="str">
        <f t="shared" ca="1" si="7"/>
        <v/>
      </c>
      <c r="T40" s="43" t="str">
        <f ca="1">IFERROR(ROUND(S40*'Quote Info'!$O$4+R40,2),"")</f>
        <v/>
      </c>
      <c r="U40" s="44" t="str">
        <f t="shared" ca="1" si="2"/>
        <v/>
      </c>
      <c r="V40" s="44" t="str">
        <f t="shared" ca="1" si="3"/>
        <v/>
      </c>
      <c r="W40" s="16" t="str">
        <f ca="1">IFERROR(S40/((VLOOKUP(N40,'FB Data'!$A$2:$E$150,3,FALSE))*'FB Laser'!M40),"")</f>
        <v/>
      </c>
      <c r="Y40" s="14"/>
      <c r="Z40" s="13"/>
      <c r="AA40" s="13"/>
      <c r="AB40" s="13"/>
      <c r="AC40" s="6">
        <f t="shared" ref="AC40:AC65" si="11">IFERROR((AA40/12)*(AB40/12)*Z40,"")</f>
        <v>0</v>
      </c>
      <c r="AD40" s="2" t="str">
        <f>IFERROR(IF($Z$7="JWMCD",VLOOKUP(Y40,'FB Data'!$A$2:$E$151,3,FALSE)*VLOOKUP(Y40,'FB Data'!$A$2:$E$151,5,FALSE)*AC40,IF($Z$7="Customer Supplied",0,"Need Input")),"")</f>
        <v/>
      </c>
    </row>
    <row r="41" spans="1:30">
      <c r="A41" s="132"/>
      <c r="B41" s="13"/>
      <c r="C41" s="13"/>
      <c r="D41" s="13"/>
      <c r="E41" s="13"/>
      <c r="F41" s="13"/>
      <c r="G41" s="12" t="str">
        <f t="shared" si="4"/>
        <v/>
      </c>
      <c r="H41" s="77">
        <f>IF(Forming!G41&gt;0,Forming!G41,0)</f>
        <v>0</v>
      </c>
      <c r="I41" s="77">
        <f>IF('Hardware Install'!E41&gt;0,'Hardware Install'!E41,0)</f>
        <v>0</v>
      </c>
      <c r="J41" s="77" t="str">
        <f ca="1">IFERROR(VLOOKUP('FB Laser'!A41,Machining!A41:G131,7,FALSE),"")</f>
        <v/>
      </c>
      <c r="K41" s="77" t="str">
        <f>IFERROR(IF(Finishing!G41&gt;0,VLOOKUP('FB Laser'!A41,Finishing!A41:G131,7,FALSE),""),"")</f>
        <v/>
      </c>
      <c r="L41" s="56">
        <f ca="1">IFERROR(SUM((H41*$Z$12),G41,I41,J41,K41,'FB Data'!AM40),"")</f>
        <v>0</v>
      </c>
      <c r="M41" s="54">
        <f t="shared" si="0"/>
        <v>0</v>
      </c>
      <c r="N41" s="14"/>
      <c r="O41" s="5" t="str">
        <f t="shared" si="5"/>
        <v/>
      </c>
      <c r="P41" s="2" t="str">
        <f t="shared" si="6"/>
        <v/>
      </c>
      <c r="Q41" s="2" t="str">
        <f t="shared" si="1"/>
        <v/>
      </c>
      <c r="R41" s="126"/>
      <c r="S41" s="43" t="str">
        <f t="shared" ca="1" si="7"/>
        <v/>
      </c>
      <c r="T41" s="43" t="str">
        <f ca="1">IFERROR(ROUND(S41*'Quote Info'!$O$4+R41,2),"")</f>
        <v/>
      </c>
      <c r="U41" s="44" t="str">
        <f t="shared" ca="1" si="2"/>
        <v/>
      </c>
      <c r="V41" s="44" t="str">
        <f t="shared" ca="1" si="3"/>
        <v/>
      </c>
      <c r="W41" s="16" t="str">
        <f ca="1">IFERROR(S41/((VLOOKUP(N41,'FB Data'!$A$2:$E$150,3,FALSE))*'FB Laser'!M41),"")</f>
        <v/>
      </c>
      <c r="Y41" s="14"/>
      <c r="Z41" s="13"/>
      <c r="AA41" s="13"/>
      <c r="AB41" s="13"/>
      <c r="AC41" s="6">
        <f t="shared" si="11"/>
        <v>0</v>
      </c>
      <c r="AD41" s="2" t="str">
        <f>IFERROR(IF($Z$7="JWMCD",VLOOKUP(Y41,'FB Data'!$A$2:$E$151,3,FALSE)*VLOOKUP(Y41,'FB Data'!$A$2:$E$151,5,FALSE)*AC41,IF($Z$7="Customer Supplied",0,"Need Input")),"")</f>
        <v/>
      </c>
    </row>
    <row r="42" spans="1:30">
      <c r="A42" s="132"/>
      <c r="B42" s="13"/>
      <c r="C42" s="13"/>
      <c r="D42" s="13"/>
      <c r="E42" s="13"/>
      <c r="F42" s="13"/>
      <c r="G42" s="12" t="str">
        <f t="shared" si="4"/>
        <v/>
      </c>
      <c r="H42" s="77">
        <f>IF(Forming!G42&gt;0,Forming!G42,0)</f>
        <v>0</v>
      </c>
      <c r="I42" s="77">
        <f>IF('Hardware Install'!E42&gt;0,'Hardware Install'!E42,0)</f>
        <v>0</v>
      </c>
      <c r="J42" s="77" t="str">
        <f ca="1">IFERROR(VLOOKUP('FB Laser'!A42,Machining!A42:G132,7,FALSE),"")</f>
        <v/>
      </c>
      <c r="K42" s="77" t="str">
        <f>IFERROR(IF(Finishing!G42&gt;0,VLOOKUP('FB Laser'!A42,Finishing!A42:G132,7,FALSE),""),"")</f>
        <v/>
      </c>
      <c r="L42" s="56">
        <f ca="1">IFERROR(SUM((H42*$Z$12),G42,I42,J42,K42,'FB Data'!AM41),"")</f>
        <v>0</v>
      </c>
      <c r="M42" s="54">
        <f t="shared" ref="M42:M73" si="12">IFERROR((C42*D42)*0.00694,"")</f>
        <v>0</v>
      </c>
      <c r="N42" s="14"/>
      <c r="O42" s="5" t="str">
        <f t="shared" si="5"/>
        <v/>
      </c>
      <c r="P42" s="2" t="str">
        <f t="shared" si="6"/>
        <v/>
      </c>
      <c r="Q42" s="2" t="str">
        <f t="shared" ref="Q42:Q73" si="13">IFERROR((P42*$Z$11)/B42,"")</f>
        <v/>
      </c>
      <c r="R42" s="126"/>
      <c r="S42" s="43" t="str">
        <f t="shared" ca="1" si="7"/>
        <v/>
      </c>
      <c r="T42" s="43" t="str">
        <f ca="1">IFERROR(ROUND(S42*'Quote Info'!$O$4+R42,2),"")</f>
        <v/>
      </c>
      <c r="U42" s="44" t="str">
        <f t="shared" ref="U42:U73" ca="1" si="14">IFERROR(S42*B42,"")</f>
        <v/>
      </c>
      <c r="V42" s="44" t="str">
        <f t="shared" ref="V42:V73" ca="1" si="15">IFERROR(T42*B42,"")</f>
        <v/>
      </c>
      <c r="W42" s="16" t="str">
        <f ca="1">IFERROR(S42/((VLOOKUP(N42,'FB Data'!$A$2:$E$150,3,FALSE))*'FB Laser'!M42),"")</f>
        <v/>
      </c>
      <c r="Y42" s="14"/>
      <c r="Z42" s="13"/>
      <c r="AA42" s="13"/>
      <c r="AB42" s="13"/>
      <c r="AC42" s="6">
        <f t="shared" si="11"/>
        <v>0</v>
      </c>
      <c r="AD42" s="2" t="str">
        <f>IFERROR(IF($Z$7="JWMCD",VLOOKUP(Y42,'FB Data'!$A$2:$E$151,3,FALSE)*VLOOKUP(Y42,'FB Data'!$A$2:$E$151,5,FALSE)*AC42,IF($Z$7="Customer Supplied",0,"Need Input")),"")</f>
        <v/>
      </c>
    </row>
    <row r="43" spans="1:30">
      <c r="A43" s="132"/>
      <c r="B43" s="13"/>
      <c r="C43" s="13"/>
      <c r="D43" s="13"/>
      <c r="E43" s="13"/>
      <c r="F43" s="13"/>
      <c r="G43" s="12" t="str">
        <f t="shared" si="4"/>
        <v/>
      </c>
      <c r="H43" s="77">
        <f>IF(Forming!G43&gt;0,Forming!G43,0)</f>
        <v>0</v>
      </c>
      <c r="I43" s="77">
        <f>IF('Hardware Install'!E43&gt;0,'Hardware Install'!E43,0)</f>
        <v>0</v>
      </c>
      <c r="J43" s="77" t="str">
        <f ca="1">IFERROR(VLOOKUP('FB Laser'!A43,Machining!A43:G133,7,FALSE),"")</f>
        <v/>
      </c>
      <c r="K43" s="77" t="str">
        <f>IFERROR(IF(Finishing!G43&gt;0,VLOOKUP('FB Laser'!A43,Finishing!A43:G133,7,FALSE),""),"")</f>
        <v/>
      </c>
      <c r="L43" s="56">
        <f ca="1">IFERROR(SUM((H43*$Z$12),G43,I43,J43,K43,'FB Data'!AM42),"")</f>
        <v>0</v>
      </c>
      <c r="M43" s="54">
        <f t="shared" si="12"/>
        <v>0</v>
      </c>
      <c r="N43" s="14"/>
      <c r="O43" s="5" t="str">
        <f t="shared" si="5"/>
        <v/>
      </c>
      <c r="P43" s="2" t="str">
        <f t="shared" si="6"/>
        <v/>
      </c>
      <c r="Q43" s="2" t="str">
        <f t="shared" si="13"/>
        <v/>
      </c>
      <c r="R43" s="126"/>
      <c r="S43" s="43" t="str">
        <f t="shared" ca="1" si="7"/>
        <v/>
      </c>
      <c r="T43" s="43" t="str">
        <f ca="1">IFERROR(ROUND(S43*'Quote Info'!$O$4+R43,2),"")</f>
        <v/>
      </c>
      <c r="U43" s="44" t="str">
        <f t="shared" ca="1" si="14"/>
        <v/>
      </c>
      <c r="V43" s="44" t="str">
        <f t="shared" ca="1" si="15"/>
        <v/>
      </c>
      <c r="W43" s="16" t="str">
        <f ca="1">IFERROR(S43/((VLOOKUP(N43,'FB Data'!$A$2:$E$150,3,FALSE))*'FB Laser'!M43),"")</f>
        <v/>
      </c>
      <c r="Y43" s="14"/>
      <c r="Z43" s="13"/>
      <c r="AA43" s="13"/>
      <c r="AB43" s="13"/>
      <c r="AC43" s="6">
        <f t="shared" si="11"/>
        <v>0</v>
      </c>
      <c r="AD43" s="2" t="str">
        <f>IFERROR(IF($Z$7="JWMCD",VLOOKUP(Y43,'FB Data'!$A$2:$E$151,3,FALSE)*VLOOKUP(Y43,'FB Data'!$A$2:$E$151,5,FALSE)*AC43,IF($Z$7="Customer Supplied",0,"Need Input")),"")</f>
        <v/>
      </c>
    </row>
    <row r="44" spans="1:30">
      <c r="A44" s="132"/>
      <c r="B44" s="13"/>
      <c r="C44" s="13"/>
      <c r="D44" s="13"/>
      <c r="E44" s="13"/>
      <c r="F44" s="13"/>
      <c r="G44" s="12" t="str">
        <f t="shared" si="4"/>
        <v/>
      </c>
      <c r="H44" s="77">
        <f>IF(Forming!G44&gt;0,Forming!G44,0)</f>
        <v>0</v>
      </c>
      <c r="I44" s="77">
        <f>IF('Hardware Install'!E44&gt;0,'Hardware Install'!E44,0)</f>
        <v>0</v>
      </c>
      <c r="J44" s="77" t="str">
        <f ca="1">IFERROR(VLOOKUP('FB Laser'!A44,Machining!A44:G134,7,FALSE),"")</f>
        <v/>
      </c>
      <c r="K44" s="77" t="str">
        <f>IFERROR(IF(Finishing!G44&gt;0,VLOOKUP('FB Laser'!A44,Finishing!A44:G134,7,FALSE),""),"")</f>
        <v/>
      </c>
      <c r="L44" s="56">
        <f ca="1">IFERROR(SUM((H44*$Z$12),G44,I44,J44,K44,'FB Data'!AM43),"")</f>
        <v>0</v>
      </c>
      <c r="M44" s="54">
        <f t="shared" si="12"/>
        <v>0</v>
      </c>
      <c r="N44" s="14"/>
      <c r="O44" s="5" t="str">
        <f t="shared" si="5"/>
        <v/>
      </c>
      <c r="P44" s="2" t="str">
        <f t="shared" si="6"/>
        <v/>
      </c>
      <c r="Q44" s="2" t="str">
        <f t="shared" si="13"/>
        <v/>
      </c>
      <c r="R44" s="126"/>
      <c r="S44" s="43" t="str">
        <f t="shared" ca="1" si="7"/>
        <v/>
      </c>
      <c r="T44" s="43" t="str">
        <f ca="1">IFERROR(ROUND(S44*'Quote Info'!$O$4+R44,2),"")</f>
        <v/>
      </c>
      <c r="U44" s="44" t="str">
        <f t="shared" ca="1" si="14"/>
        <v/>
      </c>
      <c r="V44" s="44" t="str">
        <f t="shared" ca="1" si="15"/>
        <v/>
      </c>
      <c r="W44" s="16" t="str">
        <f ca="1">IFERROR(S44/((VLOOKUP(N44,'FB Data'!$A$2:$E$150,3,FALSE))*'FB Laser'!M44),"")</f>
        <v/>
      </c>
      <c r="Y44" s="14"/>
      <c r="Z44" s="13"/>
      <c r="AA44" s="13"/>
      <c r="AB44" s="13"/>
      <c r="AC44" s="6">
        <f t="shared" si="11"/>
        <v>0</v>
      </c>
      <c r="AD44" s="2" t="str">
        <f>IFERROR(IF($Z$7="JWMCD",VLOOKUP(Y44,'FB Data'!$A$2:$E$151,3,FALSE)*VLOOKUP(Y44,'FB Data'!$A$2:$E$151,5,FALSE)*AC44,IF($Z$7="Customer Supplied",0,"Need Input")),"")</f>
        <v/>
      </c>
    </row>
    <row r="45" spans="1:30">
      <c r="A45" s="132"/>
      <c r="B45" s="13"/>
      <c r="C45" s="13"/>
      <c r="D45" s="13"/>
      <c r="E45" s="13"/>
      <c r="F45" s="13"/>
      <c r="G45" s="12" t="str">
        <f t="shared" si="4"/>
        <v/>
      </c>
      <c r="H45" s="77">
        <f>IF(Forming!G45&gt;0,Forming!G45,0)</f>
        <v>0</v>
      </c>
      <c r="I45" s="77">
        <f>IF('Hardware Install'!E45&gt;0,'Hardware Install'!E45,0)</f>
        <v>0</v>
      </c>
      <c r="J45" s="77" t="str">
        <f ca="1">IFERROR(VLOOKUP('FB Laser'!A45,Machining!A45:G135,7,FALSE),"")</f>
        <v/>
      </c>
      <c r="K45" s="77" t="str">
        <f>IFERROR(IF(Finishing!G45&gt;0,VLOOKUP('FB Laser'!A45,Finishing!A45:G135,7,FALSE),""),"")</f>
        <v/>
      </c>
      <c r="L45" s="56">
        <f ca="1">IFERROR(SUM((H45*$Z$12),G45,I45,J45,K45,'FB Data'!AM44),"")</f>
        <v>0</v>
      </c>
      <c r="M45" s="54">
        <f t="shared" si="12"/>
        <v>0</v>
      </c>
      <c r="N45" s="14"/>
      <c r="O45" s="5" t="str">
        <f t="shared" si="5"/>
        <v/>
      </c>
      <c r="P45" s="2" t="str">
        <f t="shared" si="6"/>
        <v/>
      </c>
      <c r="Q45" s="2" t="str">
        <f t="shared" si="13"/>
        <v/>
      </c>
      <c r="R45" s="126"/>
      <c r="S45" s="43" t="str">
        <f t="shared" ca="1" si="7"/>
        <v/>
      </c>
      <c r="T45" s="43" t="str">
        <f ca="1">IFERROR(ROUND(S45*'Quote Info'!$O$4+R45,2),"")</f>
        <v/>
      </c>
      <c r="U45" s="44" t="str">
        <f t="shared" ca="1" si="14"/>
        <v/>
      </c>
      <c r="V45" s="44" t="str">
        <f t="shared" ca="1" si="15"/>
        <v/>
      </c>
      <c r="W45" s="16" t="str">
        <f ca="1">IFERROR(S45/((VLOOKUP(N45,'FB Data'!$A$2:$E$150,3,FALSE))*'FB Laser'!M45),"")</f>
        <v/>
      </c>
      <c r="Y45" s="14"/>
      <c r="Z45" s="13"/>
      <c r="AA45" s="13"/>
      <c r="AB45" s="13"/>
      <c r="AC45" s="6">
        <f t="shared" si="11"/>
        <v>0</v>
      </c>
      <c r="AD45" s="2" t="str">
        <f>IFERROR(IF($Z$7="JWMCD",VLOOKUP(Y45,'FB Data'!$A$2:$E$151,3,FALSE)*VLOOKUP(Y45,'FB Data'!$A$2:$E$151,5,FALSE)*AC45,IF($Z$7="Customer Supplied",0,"Need Input")),"")</f>
        <v/>
      </c>
    </row>
    <row r="46" spans="1:30">
      <c r="A46" s="132"/>
      <c r="B46" s="13"/>
      <c r="C46" s="13"/>
      <c r="D46" s="13"/>
      <c r="E46" s="13"/>
      <c r="F46" s="13"/>
      <c r="G46" s="12" t="str">
        <f t="shared" si="4"/>
        <v/>
      </c>
      <c r="H46" s="77">
        <f>IF(Forming!G46&gt;0,Forming!G46,0)</f>
        <v>0</v>
      </c>
      <c r="I46" s="77">
        <f>IF('Hardware Install'!E46&gt;0,'Hardware Install'!E46,0)</f>
        <v>0</v>
      </c>
      <c r="J46" s="77" t="str">
        <f ca="1">IFERROR(VLOOKUP('FB Laser'!A46,Machining!A46:G136,7,FALSE),"")</f>
        <v/>
      </c>
      <c r="K46" s="77" t="str">
        <f>IFERROR(IF(Finishing!G46&gt;0,VLOOKUP('FB Laser'!A46,Finishing!A46:G136,7,FALSE),""),"")</f>
        <v/>
      </c>
      <c r="L46" s="56">
        <f ca="1">IFERROR(SUM((H46*$Z$12),G46,I46,J46,K46,'FB Data'!AM45),"")</f>
        <v>0</v>
      </c>
      <c r="M46" s="54">
        <f t="shared" si="12"/>
        <v>0</v>
      </c>
      <c r="N46" s="14"/>
      <c r="O46" s="5" t="str">
        <f t="shared" si="5"/>
        <v/>
      </c>
      <c r="P46" s="2" t="str">
        <f t="shared" si="6"/>
        <v/>
      </c>
      <c r="Q46" s="2" t="str">
        <f t="shared" si="13"/>
        <v/>
      </c>
      <c r="R46" s="126"/>
      <c r="S46" s="43" t="str">
        <f t="shared" ca="1" si="7"/>
        <v/>
      </c>
      <c r="T46" s="43" t="str">
        <f ca="1">IFERROR(ROUND(S46*'Quote Info'!$O$4+R46,2),"")</f>
        <v/>
      </c>
      <c r="U46" s="44" t="str">
        <f t="shared" ca="1" si="14"/>
        <v/>
      </c>
      <c r="V46" s="44" t="str">
        <f t="shared" ca="1" si="15"/>
        <v/>
      </c>
      <c r="W46" s="16" t="str">
        <f ca="1">IFERROR(S46/((VLOOKUP(N46,'FB Data'!$A$2:$E$150,3,FALSE))*'FB Laser'!M46),"")</f>
        <v/>
      </c>
      <c r="Y46" s="14"/>
      <c r="Z46" s="13"/>
      <c r="AA46" s="13"/>
      <c r="AB46" s="13"/>
      <c r="AC46" s="6">
        <f t="shared" si="11"/>
        <v>0</v>
      </c>
      <c r="AD46" s="2" t="str">
        <f>IFERROR(IF($Z$7="JWMCD",VLOOKUP(Y46,'FB Data'!$A$2:$E$151,3,FALSE)*VLOOKUP(Y46,'FB Data'!$A$2:$E$151,5,FALSE)*AC46,IF($Z$7="Customer Supplied",0,"Need Input")),"")</f>
        <v/>
      </c>
    </row>
    <row r="47" spans="1:30">
      <c r="A47" s="132"/>
      <c r="B47" s="13"/>
      <c r="C47" s="13"/>
      <c r="D47" s="13"/>
      <c r="E47" s="13"/>
      <c r="F47" s="13"/>
      <c r="G47" s="12" t="str">
        <f t="shared" si="4"/>
        <v/>
      </c>
      <c r="H47" s="77">
        <f>IF(Forming!G47&gt;0,Forming!G47,0)</f>
        <v>0</v>
      </c>
      <c r="I47" s="77">
        <f>IF('Hardware Install'!E47&gt;0,'Hardware Install'!E47,0)</f>
        <v>0</v>
      </c>
      <c r="J47" s="77" t="str">
        <f ca="1">IFERROR(VLOOKUP('FB Laser'!A47,Machining!A47:G137,7,FALSE),"")</f>
        <v/>
      </c>
      <c r="K47" s="77" t="str">
        <f>IFERROR(IF(Finishing!G47&gt;0,VLOOKUP('FB Laser'!A47,Finishing!A47:G137,7,FALSE),""),"")</f>
        <v/>
      </c>
      <c r="L47" s="56">
        <f ca="1">IFERROR(SUM((H47*$Z$12),G47,I47,J47,K47,'FB Data'!AM46),"")</f>
        <v>0</v>
      </c>
      <c r="M47" s="54">
        <f t="shared" si="12"/>
        <v>0</v>
      </c>
      <c r="N47" s="14"/>
      <c r="O47" s="5" t="str">
        <f t="shared" si="5"/>
        <v/>
      </c>
      <c r="P47" s="2" t="str">
        <f t="shared" si="6"/>
        <v/>
      </c>
      <c r="Q47" s="2" t="str">
        <f t="shared" si="13"/>
        <v/>
      </c>
      <c r="R47" s="126"/>
      <c r="S47" s="43" t="str">
        <f t="shared" ca="1" si="7"/>
        <v/>
      </c>
      <c r="T47" s="43" t="str">
        <f ca="1">IFERROR(ROUND(S47*'Quote Info'!$O$4+R47,2),"")</f>
        <v/>
      </c>
      <c r="U47" s="44" t="str">
        <f t="shared" ca="1" si="14"/>
        <v/>
      </c>
      <c r="V47" s="44" t="str">
        <f t="shared" ca="1" si="15"/>
        <v/>
      </c>
      <c r="W47" s="16" t="str">
        <f ca="1">IFERROR(S47/((VLOOKUP(N47,'FB Data'!$A$2:$E$150,3,FALSE))*'FB Laser'!M47),"")</f>
        <v/>
      </c>
      <c r="Y47" s="14"/>
      <c r="Z47" s="13"/>
      <c r="AA47" s="13"/>
      <c r="AB47" s="13"/>
      <c r="AC47" s="6">
        <f t="shared" si="11"/>
        <v>0</v>
      </c>
      <c r="AD47" s="2" t="str">
        <f>IFERROR(IF($Z$7="JWMCD",VLOOKUP(Y47,'FB Data'!$A$2:$E$151,3,FALSE)*VLOOKUP(Y47,'FB Data'!$A$2:$E$151,5,FALSE)*AC47,IF($Z$7="Customer Supplied",0,"Need Input")),"")</f>
        <v/>
      </c>
    </row>
    <row r="48" spans="1:30">
      <c r="A48" s="132"/>
      <c r="B48" s="13"/>
      <c r="C48" s="13"/>
      <c r="D48" s="13"/>
      <c r="E48" s="13"/>
      <c r="F48" s="13"/>
      <c r="G48" s="12" t="str">
        <f t="shared" si="4"/>
        <v/>
      </c>
      <c r="H48" s="77">
        <f>IF(Forming!G48&gt;0,Forming!G48,0)</f>
        <v>0</v>
      </c>
      <c r="I48" s="77">
        <f>IF('Hardware Install'!E48&gt;0,'Hardware Install'!E48,0)</f>
        <v>0</v>
      </c>
      <c r="J48" s="77" t="str">
        <f ca="1">IFERROR(VLOOKUP('FB Laser'!A48,Machining!A48:G138,7,FALSE),"")</f>
        <v/>
      </c>
      <c r="K48" s="77" t="str">
        <f>IFERROR(IF(Finishing!G48&gt;0,VLOOKUP('FB Laser'!A48,Finishing!A48:G138,7,FALSE),""),"")</f>
        <v/>
      </c>
      <c r="L48" s="56">
        <f ca="1">IFERROR(SUM((H48*$Z$12),G48,I48,J48,K48,'FB Data'!AM47),"")</f>
        <v>0</v>
      </c>
      <c r="M48" s="54">
        <f t="shared" si="12"/>
        <v>0</v>
      </c>
      <c r="N48" s="14"/>
      <c r="O48" s="5" t="str">
        <f t="shared" si="5"/>
        <v/>
      </c>
      <c r="P48" s="2" t="str">
        <f t="shared" si="6"/>
        <v/>
      </c>
      <c r="Q48" s="2" t="str">
        <f t="shared" si="13"/>
        <v/>
      </c>
      <c r="R48" s="126"/>
      <c r="S48" s="43" t="str">
        <f t="shared" ca="1" si="7"/>
        <v/>
      </c>
      <c r="T48" s="43" t="str">
        <f ca="1">IFERROR(ROUND(S48*'Quote Info'!$O$4+R48,2),"")</f>
        <v/>
      </c>
      <c r="U48" s="44" t="str">
        <f t="shared" ca="1" si="14"/>
        <v/>
      </c>
      <c r="V48" s="44" t="str">
        <f t="shared" ca="1" si="15"/>
        <v/>
      </c>
      <c r="W48" s="16" t="str">
        <f ca="1">IFERROR(S48/((VLOOKUP(N48,'FB Data'!$A$2:$E$150,3,FALSE))*'FB Laser'!M48),"")</f>
        <v/>
      </c>
      <c r="Y48" s="14"/>
      <c r="Z48" s="13"/>
      <c r="AA48" s="13"/>
      <c r="AB48" s="13"/>
      <c r="AC48" s="6">
        <f t="shared" si="11"/>
        <v>0</v>
      </c>
      <c r="AD48" s="2" t="str">
        <f>IFERROR(IF($Z$7="JWMCD",VLOOKUP(Y48,'FB Data'!$A$2:$E$151,3,FALSE)*VLOOKUP(Y48,'FB Data'!$A$2:$E$151,5,FALSE)*AC48,IF($Z$7="Customer Supplied",0,"Need Input")),"")</f>
        <v/>
      </c>
    </row>
    <row r="49" spans="1:30">
      <c r="A49" s="132"/>
      <c r="B49" s="13"/>
      <c r="C49" s="13"/>
      <c r="D49" s="13"/>
      <c r="E49" s="13"/>
      <c r="F49" s="13"/>
      <c r="G49" s="12" t="str">
        <f t="shared" si="4"/>
        <v/>
      </c>
      <c r="H49" s="77">
        <f>IF(Forming!G49&gt;0,Forming!G49,0)</f>
        <v>0</v>
      </c>
      <c r="I49" s="77">
        <f>IF('Hardware Install'!E49&gt;0,'Hardware Install'!E49,0)</f>
        <v>0</v>
      </c>
      <c r="J49" s="77" t="str">
        <f ca="1">IFERROR(VLOOKUP('FB Laser'!A49,Machining!A49:G139,7,FALSE),"")</f>
        <v/>
      </c>
      <c r="K49" s="77" t="str">
        <f>IFERROR(IF(Finishing!G49&gt;0,VLOOKUP('FB Laser'!A49,Finishing!A49:G139,7,FALSE),""),"")</f>
        <v/>
      </c>
      <c r="L49" s="56">
        <f ca="1">IFERROR(SUM((H49*$Z$12),G49,I49,J49,K49,'FB Data'!AM48),"")</f>
        <v>0</v>
      </c>
      <c r="M49" s="54">
        <f t="shared" si="12"/>
        <v>0</v>
      </c>
      <c r="N49" s="14"/>
      <c r="O49" s="5" t="str">
        <f t="shared" si="5"/>
        <v/>
      </c>
      <c r="P49" s="2" t="str">
        <f t="shared" si="6"/>
        <v/>
      </c>
      <c r="Q49" s="2" t="str">
        <f t="shared" si="13"/>
        <v/>
      </c>
      <c r="R49" s="126"/>
      <c r="S49" s="43" t="str">
        <f t="shared" ca="1" si="7"/>
        <v/>
      </c>
      <c r="T49" s="43" t="str">
        <f ca="1">IFERROR(ROUND(S49*'Quote Info'!$O$4+R49,2),"")</f>
        <v/>
      </c>
      <c r="U49" s="44" t="str">
        <f t="shared" ca="1" si="14"/>
        <v/>
      </c>
      <c r="V49" s="44" t="str">
        <f t="shared" ca="1" si="15"/>
        <v/>
      </c>
      <c r="W49" s="16" t="str">
        <f ca="1">IFERROR(S49/((VLOOKUP(N49,'FB Data'!$A$2:$E$150,3,FALSE))*'FB Laser'!M49),"")</f>
        <v/>
      </c>
      <c r="Y49" s="14"/>
      <c r="Z49" s="13"/>
      <c r="AA49" s="13"/>
      <c r="AB49" s="13"/>
      <c r="AC49" s="6">
        <f t="shared" si="11"/>
        <v>0</v>
      </c>
      <c r="AD49" s="2" t="str">
        <f>IFERROR(IF($Z$7="JWMCD",VLOOKUP(Y49,'FB Data'!$A$2:$E$151,3,FALSE)*VLOOKUP(Y49,'FB Data'!$A$2:$E$151,5,FALSE)*AC49,IF($Z$7="Customer Supplied",0,"Need Input")),"")</f>
        <v/>
      </c>
    </row>
    <row r="50" spans="1:30">
      <c r="A50" s="132"/>
      <c r="B50" s="13"/>
      <c r="C50" s="13"/>
      <c r="D50" s="13"/>
      <c r="E50" s="13"/>
      <c r="F50" s="13"/>
      <c r="G50" s="12" t="str">
        <f t="shared" si="4"/>
        <v/>
      </c>
      <c r="H50" s="77">
        <f>IF(Forming!G50&gt;0,Forming!G50,0)</f>
        <v>0</v>
      </c>
      <c r="I50" s="77">
        <f>IF('Hardware Install'!E50&gt;0,'Hardware Install'!E50,0)</f>
        <v>0</v>
      </c>
      <c r="J50" s="77" t="str">
        <f ca="1">IFERROR(VLOOKUP('FB Laser'!A50,Machining!A50:G140,7,FALSE),"")</f>
        <v/>
      </c>
      <c r="K50" s="77" t="str">
        <f>IFERROR(IF(Finishing!G50&gt;0,VLOOKUP('FB Laser'!A50,Finishing!A50:G140,7,FALSE),""),"")</f>
        <v/>
      </c>
      <c r="L50" s="56">
        <f ca="1">IFERROR(SUM((H50*$Z$12),G50,I50,J50,K50,'FB Data'!AM49),"")</f>
        <v>0</v>
      </c>
      <c r="M50" s="54">
        <f t="shared" si="12"/>
        <v>0</v>
      </c>
      <c r="N50" s="14"/>
      <c r="O50" s="5" t="str">
        <f t="shared" si="5"/>
        <v/>
      </c>
      <c r="P50" s="2" t="str">
        <f t="shared" si="6"/>
        <v/>
      </c>
      <c r="Q50" s="2" t="str">
        <f t="shared" si="13"/>
        <v/>
      </c>
      <c r="R50" s="126"/>
      <c r="S50" s="43" t="str">
        <f t="shared" ca="1" si="7"/>
        <v/>
      </c>
      <c r="T50" s="43" t="str">
        <f ca="1">IFERROR(ROUND(S50*'Quote Info'!$O$4+R50,2),"")</f>
        <v/>
      </c>
      <c r="U50" s="44" t="str">
        <f t="shared" ca="1" si="14"/>
        <v/>
      </c>
      <c r="V50" s="44" t="str">
        <f t="shared" ca="1" si="15"/>
        <v/>
      </c>
      <c r="W50" s="16" t="str">
        <f ca="1">IFERROR(S50/((VLOOKUP(N50,'FB Data'!$A$2:$E$150,3,FALSE))*'FB Laser'!M50),"")</f>
        <v/>
      </c>
      <c r="Y50" s="14"/>
      <c r="Z50" s="13"/>
      <c r="AA50" s="13"/>
      <c r="AB50" s="13"/>
      <c r="AC50" s="6">
        <f t="shared" si="11"/>
        <v>0</v>
      </c>
      <c r="AD50" s="2" t="str">
        <f>IFERROR(IF($Z$7="JWMCD",VLOOKUP(Y50,'FB Data'!$A$2:$E$151,3,FALSE)*VLOOKUP(Y50,'FB Data'!$A$2:$E$151,5,FALSE)*AC50,IF($Z$7="Customer Supplied",0,"Need Input")),"")</f>
        <v/>
      </c>
    </row>
    <row r="51" spans="1:30">
      <c r="A51" s="132"/>
      <c r="B51" s="13"/>
      <c r="C51" s="13"/>
      <c r="D51" s="13"/>
      <c r="E51" s="13"/>
      <c r="F51" s="13"/>
      <c r="G51" s="12" t="str">
        <f t="shared" si="4"/>
        <v/>
      </c>
      <c r="H51" s="77">
        <f>IF(Forming!G51&gt;0,Forming!G51,0)</f>
        <v>0</v>
      </c>
      <c r="I51" s="77">
        <f>IF('Hardware Install'!E51&gt;0,'Hardware Install'!E51,0)</f>
        <v>0</v>
      </c>
      <c r="J51" s="77" t="str">
        <f ca="1">IFERROR(VLOOKUP('FB Laser'!A51,Machining!A51:G141,7,FALSE),"")</f>
        <v/>
      </c>
      <c r="K51" s="77" t="str">
        <f>IFERROR(IF(Finishing!G51&gt;0,VLOOKUP('FB Laser'!A51,Finishing!A51:G141,7,FALSE),""),"")</f>
        <v/>
      </c>
      <c r="L51" s="56">
        <f ca="1">IFERROR(SUM((H51*$Z$12),G51,I51,J51,K51,'FB Data'!AM50),"")</f>
        <v>0</v>
      </c>
      <c r="M51" s="54">
        <f t="shared" si="12"/>
        <v>0</v>
      </c>
      <c r="N51" s="14"/>
      <c r="O51" s="5" t="str">
        <f t="shared" si="5"/>
        <v/>
      </c>
      <c r="P51" s="2" t="str">
        <f t="shared" si="6"/>
        <v/>
      </c>
      <c r="Q51" s="2" t="str">
        <f t="shared" si="13"/>
        <v/>
      </c>
      <c r="R51" s="126"/>
      <c r="S51" s="43" t="str">
        <f t="shared" ca="1" si="7"/>
        <v/>
      </c>
      <c r="T51" s="43" t="str">
        <f ca="1">IFERROR(ROUND(S51*'Quote Info'!$O$4+R51,2),"")</f>
        <v/>
      </c>
      <c r="U51" s="44" t="str">
        <f t="shared" ca="1" si="14"/>
        <v/>
      </c>
      <c r="V51" s="44" t="str">
        <f t="shared" ca="1" si="15"/>
        <v/>
      </c>
      <c r="W51" s="16" t="str">
        <f ca="1">IFERROR(S51/((VLOOKUP(N51,'FB Data'!$A$2:$E$150,3,FALSE))*'FB Laser'!M51),"")</f>
        <v/>
      </c>
      <c r="Y51" s="14"/>
      <c r="Z51" s="13"/>
      <c r="AA51" s="13"/>
      <c r="AB51" s="13"/>
      <c r="AC51" s="6">
        <f t="shared" si="11"/>
        <v>0</v>
      </c>
      <c r="AD51" s="2" t="str">
        <f>IFERROR(IF($Z$7="JWMCD",VLOOKUP(Y51,'FB Data'!$A$2:$E$151,3,FALSE)*VLOOKUP(Y51,'FB Data'!$A$2:$E$151,5,FALSE)*AC51,IF($Z$7="Customer Supplied",0,"Need Input")),"")</f>
        <v/>
      </c>
    </row>
    <row r="52" spans="1:30">
      <c r="A52" s="132"/>
      <c r="B52" s="13"/>
      <c r="C52" s="13"/>
      <c r="D52" s="13"/>
      <c r="E52" s="13"/>
      <c r="F52" s="13"/>
      <c r="G52" s="12" t="str">
        <f t="shared" si="4"/>
        <v/>
      </c>
      <c r="H52" s="77">
        <f>IF(Forming!G52&gt;0,Forming!G52,0)</f>
        <v>0</v>
      </c>
      <c r="I52" s="77">
        <f>IF('Hardware Install'!E52&gt;0,'Hardware Install'!E52,0)</f>
        <v>0</v>
      </c>
      <c r="J52" s="77" t="str">
        <f ca="1">IFERROR(VLOOKUP('FB Laser'!A52,Machining!A52:G142,7,FALSE),"")</f>
        <v/>
      </c>
      <c r="K52" s="77" t="str">
        <f>IFERROR(IF(Finishing!G52&gt;0,VLOOKUP('FB Laser'!A52,Finishing!A52:G142,7,FALSE),""),"")</f>
        <v/>
      </c>
      <c r="L52" s="56">
        <f ca="1">IFERROR(SUM((H52*$Z$12),G52,I52,J52,K52,'FB Data'!AM51),"")</f>
        <v>0</v>
      </c>
      <c r="M52" s="54">
        <f t="shared" si="12"/>
        <v>0</v>
      </c>
      <c r="N52" s="14"/>
      <c r="O52" s="5" t="str">
        <f t="shared" si="5"/>
        <v/>
      </c>
      <c r="P52" s="2" t="str">
        <f t="shared" si="6"/>
        <v/>
      </c>
      <c r="Q52" s="2" t="str">
        <f t="shared" si="13"/>
        <v/>
      </c>
      <c r="R52" s="126"/>
      <c r="S52" s="43" t="str">
        <f t="shared" ca="1" si="7"/>
        <v/>
      </c>
      <c r="T52" s="43" t="str">
        <f ca="1">IFERROR(ROUND(S52*'Quote Info'!$O$4+R52,2),"")</f>
        <v/>
      </c>
      <c r="U52" s="44" t="str">
        <f t="shared" ca="1" si="14"/>
        <v/>
      </c>
      <c r="V52" s="44" t="str">
        <f t="shared" ca="1" si="15"/>
        <v/>
      </c>
      <c r="W52" s="16" t="str">
        <f ca="1">IFERROR(S52/((VLOOKUP(N52,'FB Data'!$A$2:$E$150,3,FALSE))*'FB Laser'!M52),"")</f>
        <v/>
      </c>
      <c r="Y52" s="14"/>
      <c r="Z52" s="13"/>
      <c r="AA52" s="13"/>
      <c r="AB52" s="13"/>
      <c r="AC52" s="6">
        <f t="shared" si="11"/>
        <v>0</v>
      </c>
      <c r="AD52" s="2" t="str">
        <f>IFERROR(IF($Z$7="JWMCD",VLOOKUP(Y52,'FB Data'!$A$2:$E$151,3,FALSE)*VLOOKUP(Y52,'FB Data'!$A$2:$E$151,5,FALSE)*AC52,IF($Z$7="Customer Supplied",0,"Need Input")),"")</f>
        <v/>
      </c>
    </row>
    <row r="53" spans="1:30">
      <c r="A53" s="132"/>
      <c r="B53" s="13"/>
      <c r="C53" s="13"/>
      <c r="D53" s="13"/>
      <c r="E53" s="13"/>
      <c r="F53" s="13"/>
      <c r="G53" s="12" t="str">
        <f t="shared" si="4"/>
        <v/>
      </c>
      <c r="H53" s="77">
        <f>IF(Forming!G53&gt;0,Forming!G53,0)</f>
        <v>0</v>
      </c>
      <c r="I53" s="77">
        <f>IF('Hardware Install'!E53&gt;0,'Hardware Install'!E53,0)</f>
        <v>0</v>
      </c>
      <c r="J53" s="77" t="str">
        <f ca="1">IFERROR(VLOOKUP('FB Laser'!A53,Machining!A53:G143,7,FALSE),"")</f>
        <v/>
      </c>
      <c r="K53" s="77" t="str">
        <f>IFERROR(IF(Finishing!G53&gt;0,VLOOKUP('FB Laser'!A53,Finishing!A53:G143,7,FALSE),""),"")</f>
        <v/>
      </c>
      <c r="L53" s="56">
        <f ca="1">IFERROR(SUM((H53*$Z$12),G53,I53,J53,K53,'FB Data'!AM52),"")</f>
        <v>0</v>
      </c>
      <c r="M53" s="54">
        <f t="shared" si="12"/>
        <v>0</v>
      </c>
      <c r="N53" s="14"/>
      <c r="O53" s="5" t="str">
        <f t="shared" si="5"/>
        <v/>
      </c>
      <c r="P53" s="2" t="str">
        <f t="shared" si="6"/>
        <v/>
      </c>
      <c r="Q53" s="2" t="str">
        <f t="shared" si="13"/>
        <v/>
      </c>
      <c r="R53" s="126"/>
      <c r="S53" s="43" t="str">
        <f t="shared" ca="1" si="7"/>
        <v/>
      </c>
      <c r="T53" s="43" t="str">
        <f ca="1">IFERROR(ROUND(S53*'Quote Info'!$O$4+R53,2),"")</f>
        <v/>
      </c>
      <c r="U53" s="44" t="str">
        <f t="shared" ca="1" si="14"/>
        <v/>
      </c>
      <c r="V53" s="44" t="str">
        <f t="shared" ca="1" si="15"/>
        <v/>
      </c>
      <c r="W53" s="16" t="str">
        <f ca="1">IFERROR(S53/((VLOOKUP(N53,'FB Data'!$A$2:$E$150,3,FALSE))*'FB Laser'!M53),"")</f>
        <v/>
      </c>
      <c r="Y53" s="14"/>
      <c r="Z53" s="13"/>
      <c r="AA53" s="13"/>
      <c r="AB53" s="13"/>
      <c r="AC53" s="6">
        <f t="shared" si="11"/>
        <v>0</v>
      </c>
      <c r="AD53" s="2" t="str">
        <f>IFERROR(IF($Z$7="JWMCD",VLOOKUP(Y53,'FB Data'!$A$2:$E$151,3,FALSE)*VLOOKUP(Y53,'FB Data'!$A$2:$E$151,5,FALSE)*AC53,IF($Z$7="Customer Supplied",0,"Need Input")),"")</f>
        <v/>
      </c>
    </row>
    <row r="54" spans="1:30">
      <c r="A54" s="132"/>
      <c r="B54" s="13"/>
      <c r="C54" s="13"/>
      <c r="D54" s="13"/>
      <c r="E54" s="13"/>
      <c r="F54" s="13"/>
      <c r="G54" s="12" t="str">
        <f t="shared" si="4"/>
        <v/>
      </c>
      <c r="H54" s="77">
        <f>IF(Forming!G54&gt;0,Forming!G54,0)</f>
        <v>0</v>
      </c>
      <c r="I54" s="77">
        <f>IF('Hardware Install'!E54&gt;0,'Hardware Install'!E54,0)</f>
        <v>0</v>
      </c>
      <c r="J54" s="77" t="str">
        <f ca="1">IFERROR(VLOOKUP('FB Laser'!A54,Machining!A54:G144,7,FALSE),"")</f>
        <v/>
      </c>
      <c r="K54" s="77" t="str">
        <f>IFERROR(IF(Finishing!G54&gt;0,VLOOKUP('FB Laser'!A54,Finishing!A54:G144,7,FALSE),""),"")</f>
        <v/>
      </c>
      <c r="L54" s="56">
        <f ca="1">IFERROR(SUM((H54*$Z$12),G54,I54,J54,K54,'FB Data'!AM53),"")</f>
        <v>0</v>
      </c>
      <c r="M54" s="54">
        <f t="shared" si="12"/>
        <v>0</v>
      </c>
      <c r="N54" s="14"/>
      <c r="O54" s="5" t="str">
        <f t="shared" si="5"/>
        <v/>
      </c>
      <c r="P54" s="2" t="str">
        <f t="shared" si="6"/>
        <v/>
      </c>
      <c r="Q54" s="2" t="str">
        <f t="shared" si="13"/>
        <v/>
      </c>
      <c r="R54" s="126"/>
      <c r="S54" s="43" t="str">
        <f t="shared" ca="1" si="7"/>
        <v/>
      </c>
      <c r="T54" s="43" t="str">
        <f ca="1">IFERROR(ROUND(S54*'Quote Info'!$O$4+R54,2),"")</f>
        <v/>
      </c>
      <c r="U54" s="44" t="str">
        <f t="shared" ca="1" si="14"/>
        <v/>
      </c>
      <c r="V54" s="44" t="str">
        <f t="shared" ca="1" si="15"/>
        <v/>
      </c>
      <c r="W54" s="16" t="str">
        <f ca="1">IFERROR(S54/((VLOOKUP(N54,'FB Data'!$A$2:$E$150,3,FALSE))*'FB Laser'!M54),"")</f>
        <v/>
      </c>
      <c r="Y54" s="14"/>
      <c r="Z54" s="13"/>
      <c r="AA54" s="13"/>
      <c r="AB54" s="13"/>
      <c r="AC54" s="6">
        <f t="shared" si="11"/>
        <v>0</v>
      </c>
      <c r="AD54" s="2" t="str">
        <f>IFERROR(IF($Z$7="JWMCD",VLOOKUP(Y54,'FB Data'!$A$2:$E$151,3,FALSE)*VLOOKUP(Y54,'FB Data'!$A$2:$E$151,5,FALSE)*AC54,IF($Z$7="Customer Supplied",0,"Need Input")),"")</f>
        <v/>
      </c>
    </row>
    <row r="55" spans="1:30">
      <c r="A55" s="132"/>
      <c r="B55" s="13"/>
      <c r="C55" s="13"/>
      <c r="D55" s="13"/>
      <c r="E55" s="13"/>
      <c r="F55" s="13"/>
      <c r="G55" s="12" t="str">
        <f t="shared" si="4"/>
        <v/>
      </c>
      <c r="H55" s="77">
        <f>IF(Forming!G55&gt;0,Forming!G55,0)</f>
        <v>0</v>
      </c>
      <c r="I55" s="77">
        <f>IF('Hardware Install'!E55&gt;0,'Hardware Install'!E55,0)</f>
        <v>0</v>
      </c>
      <c r="J55" s="77" t="str">
        <f ca="1">IFERROR(VLOOKUP('FB Laser'!A55,Machining!A55:G145,7,FALSE),"")</f>
        <v/>
      </c>
      <c r="K55" s="77" t="str">
        <f>IFERROR(IF(Finishing!G55&gt;0,VLOOKUP('FB Laser'!A55,Finishing!A55:G145,7,FALSE),""),"")</f>
        <v/>
      </c>
      <c r="L55" s="56">
        <f ca="1">IFERROR(SUM((H55*$Z$12),G55,I55,J55,K55,'FB Data'!AM54),"")</f>
        <v>0</v>
      </c>
      <c r="M55" s="54">
        <f t="shared" si="12"/>
        <v>0</v>
      </c>
      <c r="N55" s="14"/>
      <c r="O55" s="5" t="str">
        <f t="shared" si="5"/>
        <v/>
      </c>
      <c r="P55" s="2" t="str">
        <f t="shared" si="6"/>
        <v/>
      </c>
      <c r="Q55" s="2" t="str">
        <f t="shared" si="13"/>
        <v/>
      </c>
      <c r="R55" s="126"/>
      <c r="S55" s="43" t="str">
        <f t="shared" ca="1" si="7"/>
        <v/>
      </c>
      <c r="T55" s="43" t="str">
        <f ca="1">IFERROR(ROUND(S55*'Quote Info'!$O$4+R55,2),"")</f>
        <v/>
      </c>
      <c r="U55" s="44" t="str">
        <f t="shared" ca="1" si="14"/>
        <v/>
      </c>
      <c r="V55" s="44" t="str">
        <f t="shared" ca="1" si="15"/>
        <v/>
      </c>
      <c r="W55" s="16" t="str">
        <f ca="1">IFERROR(S55/((VLOOKUP(N55,'FB Data'!$A$2:$E$150,3,FALSE))*'FB Laser'!M55),"")</f>
        <v/>
      </c>
      <c r="Y55" s="14"/>
      <c r="Z55" s="13"/>
      <c r="AA55" s="13"/>
      <c r="AB55" s="13"/>
      <c r="AC55" s="6">
        <f t="shared" si="11"/>
        <v>0</v>
      </c>
      <c r="AD55" s="2" t="str">
        <f>IFERROR(IF($Z$7="JWMCD",VLOOKUP(Y55,'FB Data'!$A$2:$E$151,3,FALSE)*VLOOKUP(Y55,'FB Data'!$A$2:$E$151,5,FALSE)*AC55,IF($Z$7="Customer Supplied",0,"Need Input")),"")</f>
        <v/>
      </c>
    </row>
    <row r="56" spans="1:30">
      <c r="A56" s="132"/>
      <c r="B56" s="13"/>
      <c r="C56" s="13"/>
      <c r="D56" s="13"/>
      <c r="E56" s="13"/>
      <c r="F56" s="13"/>
      <c r="G56" s="12" t="str">
        <f t="shared" si="4"/>
        <v/>
      </c>
      <c r="H56" s="77">
        <f>IF(Forming!G56&gt;0,Forming!G56,0)</f>
        <v>0</v>
      </c>
      <c r="I56" s="77">
        <f>IF('Hardware Install'!E56&gt;0,'Hardware Install'!E56,0)</f>
        <v>0</v>
      </c>
      <c r="J56" s="77" t="str">
        <f ca="1">IFERROR(VLOOKUP('FB Laser'!A56,Machining!A56:G146,7,FALSE),"")</f>
        <v/>
      </c>
      <c r="K56" s="77" t="str">
        <f>IFERROR(IF(Finishing!G56&gt;0,VLOOKUP('FB Laser'!A56,Finishing!A56:G146,7,FALSE),""),"")</f>
        <v/>
      </c>
      <c r="L56" s="56">
        <f ca="1">IFERROR(SUM((H56*$Z$12),G56,I56,J56,K56,'FB Data'!AM55),"")</f>
        <v>0</v>
      </c>
      <c r="M56" s="54">
        <f t="shared" si="12"/>
        <v>0</v>
      </c>
      <c r="N56" s="14"/>
      <c r="O56" s="5" t="str">
        <f t="shared" si="5"/>
        <v/>
      </c>
      <c r="P56" s="2" t="str">
        <f t="shared" si="6"/>
        <v/>
      </c>
      <c r="Q56" s="2" t="str">
        <f t="shared" si="13"/>
        <v/>
      </c>
      <c r="R56" s="126"/>
      <c r="S56" s="43" t="str">
        <f t="shared" ca="1" si="7"/>
        <v/>
      </c>
      <c r="T56" s="43" t="str">
        <f ca="1">IFERROR(ROUND(S56*'Quote Info'!$O$4+R56,2),"")</f>
        <v/>
      </c>
      <c r="U56" s="44" t="str">
        <f t="shared" ca="1" si="14"/>
        <v/>
      </c>
      <c r="V56" s="44" t="str">
        <f t="shared" ca="1" si="15"/>
        <v/>
      </c>
      <c r="W56" s="16" t="str">
        <f ca="1">IFERROR(S56/((VLOOKUP(N56,'FB Data'!$A$2:$E$150,3,FALSE))*'FB Laser'!M56),"")</f>
        <v/>
      </c>
      <c r="Y56" s="14"/>
      <c r="Z56" s="13"/>
      <c r="AA56" s="13"/>
      <c r="AB56" s="13"/>
      <c r="AC56" s="6">
        <f t="shared" si="11"/>
        <v>0</v>
      </c>
      <c r="AD56" s="2" t="str">
        <f>IFERROR(IF($Z$7="JWMCD",VLOOKUP(Y56,'FB Data'!$A$2:$E$151,3,FALSE)*VLOOKUP(Y56,'FB Data'!$A$2:$E$151,5,FALSE)*AC56,IF($Z$7="Customer Supplied",0,"Need Input")),"")</f>
        <v/>
      </c>
    </row>
    <row r="57" spans="1:30">
      <c r="A57" s="132"/>
      <c r="B57" s="13"/>
      <c r="C57" s="13"/>
      <c r="D57" s="13"/>
      <c r="E57" s="13"/>
      <c r="F57" s="13"/>
      <c r="G57" s="12" t="str">
        <f t="shared" si="4"/>
        <v/>
      </c>
      <c r="H57" s="77">
        <f>IF(Forming!G57&gt;0,Forming!G57,0)</f>
        <v>0</v>
      </c>
      <c r="I57" s="77">
        <f>IF('Hardware Install'!E57&gt;0,'Hardware Install'!E57,0)</f>
        <v>0</v>
      </c>
      <c r="J57" s="77" t="str">
        <f ca="1">IFERROR(VLOOKUP('FB Laser'!A57,Machining!A57:G147,7,FALSE),"")</f>
        <v/>
      </c>
      <c r="K57" s="77" t="str">
        <f>IFERROR(IF(Finishing!G57&gt;0,VLOOKUP('FB Laser'!A57,Finishing!A57:G147,7,FALSE),""),"")</f>
        <v/>
      </c>
      <c r="L57" s="56">
        <f ca="1">IFERROR(SUM((H57*$Z$12),G57,I57,J57,K57,'FB Data'!AM56),"")</f>
        <v>0</v>
      </c>
      <c r="M57" s="54">
        <f t="shared" si="12"/>
        <v>0</v>
      </c>
      <c r="N57" s="14"/>
      <c r="O57" s="5" t="str">
        <f t="shared" si="5"/>
        <v/>
      </c>
      <c r="P57" s="2" t="str">
        <f t="shared" si="6"/>
        <v/>
      </c>
      <c r="Q57" s="2" t="str">
        <f t="shared" si="13"/>
        <v/>
      </c>
      <c r="R57" s="126"/>
      <c r="S57" s="43" t="str">
        <f t="shared" ca="1" si="7"/>
        <v/>
      </c>
      <c r="T57" s="43" t="str">
        <f ca="1">IFERROR(ROUND(S57*'Quote Info'!$O$4+R57,2),"")</f>
        <v/>
      </c>
      <c r="U57" s="44" t="str">
        <f t="shared" ca="1" si="14"/>
        <v/>
      </c>
      <c r="V57" s="44" t="str">
        <f t="shared" ca="1" si="15"/>
        <v/>
      </c>
      <c r="W57" s="16" t="str">
        <f ca="1">IFERROR(S57/((VLOOKUP(N57,'FB Data'!$A$2:$E$150,3,FALSE))*'FB Laser'!M57),"")</f>
        <v/>
      </c>
      <c r="Y57" s="14"/>
      <c r="Z57" s="13"/>
      <c r="AA57" s="13"/>
      <c r="AB57" s="13"/>
      <c r="AC57" s="6">
        <f t="shared" si="11"/>
        <v>0</v>
      </c>
      <c r="AD57" s="2" t="str">
        <f>IFERROR(IF($Z$7="JWMCD",VLOOKUP(Y57,'FB Data'!$A$2:$E$151,3,FALSE)*VLOOKUP(Y57,'FB Data'!$A$2:$E$151,5,FALSE)*AC57,IF($Z$7="Customer Supplied",0,"Need Input")),"")</f>
        <v/>
      </c>
    </row>
    <row r="58" spans="1:30">
      <c r="A58" s="132"/>
      <c r="B58" s="13"/>
      <c r="C58" s="13"/>
      <c r="D58" s="13"/>
      <c r="E58" s="13"/>
      <c r="F58" s="13"/>
      <c r="G58" s="12" t="str">
        <f t="shared" si="4"/>
        <v/>
      </c>
      <c r="H58" s="77">
        <f>IF(Forming!G58&gt;0,Forming!G58,0)</f>
        <v>0</v>
      </c>
      <c r="I58" s="77">
        <f>IF('Hardware Install'!E58&gt;0,'Hardware Install'!E58,0)</f>
        <v>0</v>
      </c>
      <c r="J58" s="77" t="str">
        <f ca="1">IFERROR(VLOOKUP('FB Laser'!A58,Machining!A58:G148,7,FALSE),"")</f>
        <v/>
      </c>
      <c r="K58" s="77" t="str">
        <f>IFERROR(IF(Finishing!G58&gt;0,VLOOKUP('FB Laser'!A58,Finishing!A58:G148,7,FALSE),""),"")</f>
        <v/>
      </c>
      <c r="L58" s="56">
        <f ca="1">IFERROR(SUM((H58*$Z$12),G58,I58,J58,K58,'FB Data'!AM57),"")</f>
        <v>0</v>
      </c>
      <c r="M58" s="54">
        <f t="shared" si="12"/>
        <v>0</v>
      </c>
      <c r="N58" s="14"/>
      <c r="O58" s="5" t="str">
        <f t="shared" si="5"/>
        <v/>
      </c>
      <c r="P58" s="2" t="str">
        <f t="shared" si="6"/>
        <v/>
      </c>
      <c r="Q58" s="2" t="str">
        <f t="shared" si="13"/>
        <v/>
      </c>
      <c r="R58" s="126"/>
      <c r="S58" s="43" t="str">
        <f t="shared" ca="1" si="7"/>
        <v/>
      </c>
      <c r="T58" s="43" t="str">
        <f ca="1">IFERROR(ROUND(S58*'Quote Info'!$O$4+R58,2),"")</f>
        <v/>
      </c>
      <c r="U58" s="44" t="str">
        <f t="shared" ca="1" si="14"/>
        <v/>
      </c>
      <c r="V58" s="44" t="str">
        <f t="shared" ca="1" si="15"/>
        <v/>
      </c>
      <c r="W58" s="16" t="str">
        <f ca="1">IFERROR(S58/((VLOOKUP(N58,'FB Data'!$A$2:$E$150,3,FALSE))*'FB Laser'!M58),"")</f>
        <v/>
      </c>
      <c r="Y58" s="14"/>
      <c r="Z58" s="13"/>
      <c r="AA58" s="13"/>
      <c r="AB58" s="13"/>
      <c r="AC58" s="6">
        <f t="shared" si="11"/>
        <v>0</v>
      </c>
      <c r="AD58" s="2" t="str">
        <f>IFERROR(IF($Z$7="JWMCD",VLOOKUP(Y58,'FB Data'!$A$2:$E$151,3,FALSE)*VLOOKUP(Y58,'FB Data'!$A$2:$E$151,5,FALSE)*AC58,IF($Z$7="Customer Supplied",0,"Need Input")),"")</f>
        <v/>
      </c>
    </row>
    <row r="59" spans="1:30">
      <c r="A59" s="132"/>
      <c r="B59" s="13"/>
      <c r="C59" s="13"/>
      <c r="D59" s="13"/>
      <c r="E59" s="13"/>
      <c r="F59" s="13"/>
      <c r="G59" s="12" t="str">
        <f t="shared" si="4"/>
        <v/>
      </c>
      <c r="H59" s="77">
        <f>IF(Forming!G59&gt;0,Forming!G59,0)</f>
        <v>0</v>
      </c>
      <c r="I59" s="77">
        <f>IF('Hardware Install'!E59&gt;0,'Hardware Install'!E59,0)</f>
        <v>0</v>
      </c>
      <c r="J59" s="77" t="str">
        <f ca="1">IFERROR(VLOOKUP('FB Laser'!A59,Machining!A59:G149,7,FALSE),"")</f>
        <v/>
      </c>
      <c r="K59" s="77" t="str">
        <f>IFERROR(IF(Finishing!G59&gt;0,VLOOKUP('FB Laser'!A59,Finishing!A59:G149,7,FALSE),""),"")</f>
        <v/>
      </c>
      <c r="L59" s="56">
        <f ca="1">IFERROR(SUM((H59*$Z$12),G59,I59,J59,K59,'FB Data'!AM58),"")</f>
        <v>0</v>
      </c>
      <c r="M59" s="54">
        <f t="shared" si="12"/>
        <v>0</v>
      </c>
      <c r="N59" s="14"/>
      <c r="O59" s="5" t="str">
        <f t="shared" si="5"/>
        <v/>
      </c>
      <c r="P59" s="2" t="str">
        <f t="shared" si="6"/>
        <v/>
      </c>
      <c r="Q59" s="2" t="str">
        <f t="shared" si="13"/>
        <v/>
      </c>
      <c r="R59" s="126"/>
      <c r="S59" s="43" t="str">
        <f t="shared" ca="1" si="7"/>
        <v/>
      </c>
      <c r="T59" s="43" t="str">
        <f ca="1">IFERROR(ROUND(S59*'Quote Info'!$O$4+R59,2),"")</f>
        <v/>
      </c>
      <c r="U59" s="44" t="str">
        <f t="shared" ca="1" si="14"/>
        <v/>
      </c>
      <c r="V59" s="44" t="str">
        <f t="shared" ca="1" si="15"/>
        <v/>
      </c>
      <c r="W59" s="16" t="str">
        <f ca="1">IFERROR(S59/((VLOOKUP(N59,'FB Data'!$A$2:$E$150,3,FALSE))*'FB Laser'!M59),"")</f>
        <v/>
      </c>
      <c r="Y59" s="14"/>
      <c r="Z59" s="13"/>
      <c r="AA59" s="13"/>
      <c r="AB59" s="13"/>
      <c r="AC59" s="6">
        <f t="shared" si="11"/>
        <v>0</v>
      </c>
      <c r="AD59" s="2" t="str">
        <f>IFERROR(IF($Z$7="JWMCD",VLOOKUP(Y59,'FB Data'!$A$2:$E$151,3,FALSE)*VLOOKUP(Y59,'FB Data'!$A$2:$E$151,5,FALSE)*AC59,IF($Z$7="Customer Supplied",0,"Need Input")),"")</f>
        <v/>
      </c>
    </row>
    <row r="60" spans="1:30">
      <c r="A60" s="132"/>
      <c r="B60" s="13"/>
      <c r="C60" s="13"/>
      <c r="D60" s="13"/>
      <c r="E60" s="13"/>
      <c r="F60" s="13"/>
      <c r="G60" s="12" t="str">
        <f t="shared" si="4"/>
        <v/>
      </c>
      <c r="H60" s="77">
        <f>IF(Forming!G60&gt;0,Forming!G60,0)</f>
        <v>0</v>
      </c>
      <c r="I60" s="77">
        <f>IF('Hardware Install'!E60&gt;0,'Hardware Install'!E60,0)</f>
        <v>0</v>
      </c>
      <c r="J60" s="77" t="str">
        <f ca="1">IFERROR(VLOOKUP('FB Laser'!A60,Machining!A60:G150,7,FALSE),"")</f>
        <v/>
      </c>
      <c r="K60" s="77" t="str">
        <f>IFERROR(IF(Finishing!G60&gt;0,VLOOKUP('FB Laser'!A60,Finishing!A60:G150,7,FALSE),""),"")</f>
        <v/>
      </c>
      <c r="L60" s="56">
        <f ca="1">IFERROR(SUM((H60*$Z$12),G60,I60,J60,K60,'FB Data'!AM59),"")</f>
        <v>0</v>
      </c>
      <c r="M60" s="54">
        <f t="shared" si="12"/>
        <v>0</v>
      </c>
      <c r="N60" s="14"/>
      <c r="O60" s="5" t="str">
        <f t="shared" si="5"/>
        <v/>
      </c>
      <c r="P60" s="2" t="str">
        <f t="shared" si="6"/>
        <v/>
      </c>
      <c r="Q60" s="2" t="str">
        <f t="shared" si="13"/>
        <v/>
      </c>
      <c r="R60" s="126"/>
      <c r="S60" s="43" t="str">
        <f t="shared" ca="1" si="7"/>
        <v/>
      </c>
      <c r="T60" s="43" t="str">
        <f ca="1">IFERROR(ROUND(S60*'Quote Info'!$O$4+R60,2),"")</f>
        <v/>
      </c>
      <c r="U60" s="44" t="str">
        <f t="shared" ca="1" si="14"/>
        <v/>
      </c>
      <c r="V60" s="44" t="str">
        <f t="shared" ca="1" si="15"/>
        <v/>
      </c>
      <c r="W60" s="16" t="str">
        <f ca="1">IFERROR(S60/((VLOOKUP(N60,'FB Data'!$A$2:$E$150,3,FALSE))*'FB Laser'!M60),"")</f>
        <v/>
      </c>
      <c r="Y60" s="14"/>
      <c r="Z60" s="13"/>
      <c r="AA60" s="13"/>
      <c r="AB60" s="13"/>
      <c r="AC60" s="6">
        <f t="shared" si="11"/>
        <v>0</v>
      </c>
      <c r="AD60" s="2" t="str">
        <f>IFERROR(IF($Z$7="JWMCD",VLOOKUP(Y60,'FB Data'!$A$2:$E$151,3,FALSE)*VLOOKUP(Y60,'FB Data'!$A$2:$E$151,5,FALSE)*AC60,IF($Z$7="Customer Supplied",0,"Need Input")),"")</f>
        <v/>
      </c>
    </row>
    <row r="61" spans="1:30">
      <c r="A61" s="132"/>
      <c r="B61" s="13"/>
      <c r="C61" s="13"/>
      <c r="D61" s="13"/>
      <c r="E61" s="13"/>
      <c r="F61" s="13"/>
      <c r="G61" s="12" t="str">
        <f t="shared" si="4"/>
        <v/>
      </c>
      <c r="H61" s="77">
        <f>IF(Forming!G61&gt;0,Forming!G61,0)</f>
        <v>0</v>
      </c>
      <c r="I61" s="77">
        <f>IF('Hardware Install'!E61&gt;0,'Hardware Install'!E61,0)</f>
        <v>0</v>
      </c>
      <c r="J61" s="77" t="str">
        <f ca="1">IFERROR(VLOOKUP('FB Laser'!A61,Machining!A61:G151,7,FALSE),"")</f>
        <v/>
      </c>
      <c r="K61" s="77" t="str">
        <f>IFERROR(IF(Finishing!G61&gt;0,VLOOKUP('FB Laser'!A61,Finishing!A61:G151,7,FALSE),""),"")</f>
        <v/>
      </c>
      <c r="L61" s="56">
        <f ca="1">IFERROR(SUM((H61*$Z$12),G61,I61,J61,K61,'FB Data'!AM60),"")</f>
        <v>0</v>
      </c>
      <c r="M61" s="54">
        <f t="shared" si="12"/>
        <v>0</v>
      </c>
      <c r="N61" s="14"/>
      <c r="O61" s="5" t="str">
        <f t="shared" si="5"/>
        <v/>
      </c>
      <c r="P61" s="2" t="str">
        <f t="shared" si="6"/>
        <v/>
      </c>
      <c r="Q61" s="2" t="str">
        <f t="shared" si="13"/>
        <v/>
      </c>
      <c r="R61" s="126"/>
      <c r="S61" s="43" t="str">
        <f t="shared" ca="1" si="7"/>
        <v/>
      </c>
      <c r="T61" s="43" t="str">
        <f ca="1">IFERROR(ROUND(S61*'Quote Info'!$O$4+R61,2),"")</f>
        <v/>
      </c>
      <c r="U61" s="44" t="str">
        <f t="shared" ca="1" si="14"/>
        <v/>
      </c>
      <c r="V61" s="44" t="str">
        <f t="shared" ca="1" si="15"/>
        <v/>
      </c>
      <c r="W61" s="16" t="str">
        <f ca="1">IFERROR(S61/((VLOOKUP(N61,'FB Data'!$A$2:$E$150,3,FALSE))*'FB Laser'!M61),"")</f>
        <v/>
      </c>
      <c r="Y61" s="14"/>
      <c r="Z61" s="13"/>
      <c r="AA61" s="13"/>
      <c r="AB61" s="13"/>
      <c r="AC61" s="6">
        <f t="shared" si="11"/>
        <v>0</v>
      </c>
      <c r="AD61" s="2" t="str">
        <f>IFERROR(IF($Z$7="JWMCD",VLOOKUP(Y61,'FB Data'!$A$2:$E$151,3,FALSE)*VLOOKUP(Y61,'FB Data'!$A$2:$E$151,5,FALSE)*AC61,IF($Z$7="Customer Supplied",0,"Need Input")),"")</f>
        <v/>
      </c>
    </row>
    <row r="62" spans="1:30">
      <c r="A62" s="132"/>
      <c r="B62" s="13"/>
      <c r="C62" s="13"/>
      <c r="D62" s="13"/>
      <c r="E62" s="13"/>
      <c r="F62" s="13"/>
      <c r="G62" s="12" t="str">
        <f t="shared" si="4"/>
        <v/>
      </c>
      <c r="H62" s="77">
        <f>IF(Forming!G62&gt;0,Forming!G62,0)</f>
        <v>0</v>
      </c>
      <c r="I62" s="77">
        <f>IF('Hardware Install'!E62&gt;0,'Hardware Install'!E62,0)</f>
        <v>0</v>
      </c>
      <c r="J62" s="77" t="str">
        <f ca="1">IFERROR(VLOOKUP('FB Laser'!A62,Machining!A62:G152,7,FALSE),"")</f>
        <v/>
      </c>
      <c r="K62" s="77" t="str">
        <f>IFERROR(IF(Finishing!G62&gt;0,VLOOKUP('FB Laser'!A62,Finishing!A62:G152,7,FALSE),""),"")</f>
        <v/>
      </c>
      <c r="L62" s="56">
        <f ca="1">IFERROR(SUM((H62*$Z$12),G62,I62,J62,K62,'FB Data'!AM61),"")</f>
        <v>0</v>
      </c>
      <c r="M62" s="54">
        <f t="shared" si="12"/>
        <v>0</v>
      </c>
      <c r="N62" s="14"/>
      <c r="O62" s="5" t="str">
        <f t="shared" si="5"/>
        <v/>
      </c>
      <c r="P62" s="2" t="str">
        <f t="shared" si="6"/>
        <v/>
      </c>
      <c r="Q62" s="2" t="str">
        <f t="shared" si="13"/>
        <v/>
      </c>
      <c r="R62" s="126"/>
      <c r="S62" s="43" t="str">
        <f t="shared" ca="1" si="7"/>
        <v/>
      </c>
      <c r="T62" s="43" t="str">
        <f ca="1">IFERROR(ROUND(S62*'Quote Info'!$O$4+R62,2),"")</f>
        <v/>
      </c>
      <c r="U62" s="44" t="str">
        <f t="shared" ca="1" si="14"/>
        <v/>
      </c>
      <c r="V62" s="44" t="str">
        <f t="shared" ca="1" si="15"/>
        <v/>
      </c>
      <c r="W62" s="16" t="str">
        <f ca="1">IFERROR(S62/((VLOOKUP(N62,'FB Data'!$A$2:$E$150,3,FALSE))*'FB Laser'!M62),"")</f>
        <v/>
      </c>
      <c r="Y62" s="14"/>
      <c r="Z62" s="13"/>
      <c r="AA62" s="13"/>
      <c r="AB62" s="13"/>
      <c r="AC62" s="6">
        <f t="shared" si="11"/>
        <v>0</v>
      </c>
      <c r="AD62" s="2" t="str">
        <f>IFERROR(IF($Z$7="JWMCD",VLOOKUP(Y62,'FB Data'!$A$2:$E$151,3,FALSE)*VLOOKUP(Y62,'FB Data'!$A$2:$E$151,5,FALSE)*AC62,IF($Z$7="Customer Supplied",0,"Need Input")),"")</f>
        <v/>
      </c>
    </row>
    <row r="63" spans="1:30">
      <c r="A63" s="132"/>
      <c r="B63" s="13"/>
      <c r="C63" s="13"/>
      <c r="D63" s="13"/>
      <c r="E63" s="13"/>
      <c r="F63" s="13"/>
      <c r="G63" s="12" t="str">
        <f t="shared" si="4"/>
        <v/>
      </c>
      <c r="H63" s="77">
        <f>IF(Forming!G63&gt;0,Forming!G63,0)</f>
        <v>0</v>
      </c>
      <c r="I63" s="77">
        <f>IF('Hardware Install'!E63&gt;0,'Hardware Install'!E63,0)</f>
        <v>0</v>
      </c>
      <c r="J63" s="77" t="str">
        <f ca="1">IFERROR(VLOOKUP('FB Laser'!A63,Machining!A63:G153,7,FALSE),"")</f>
        <v/>
      </c>
      <c r="K63" s="77" t="str">
        <f>IFERROR(IF(Finishing!G63&gt;0,VLOOKUP('FB Laser'!A63,Finishing!A63:G153,7,FALSE),""),"")</f>
        <v/>
      </c>
      <c r="L63" s="56">
        <f ca="1">IFERROR(SUM((H63*$Z$12),G63,I63,J63,K63,'FB Data'!AM62),"")</f>
        <v>0</v>
      </c>
      <c r="M63" s="54">
        <f t="shared" si="12"/>
        <v>0</v>
      </c>
      <c r="N63" s="14"/>
      <c r="O63" s="5" t="str">
        <f t="shared" si="5"/>
        <v/>
      </c>
      <c r="P63" s="2" t="str">
        <f t="shared" si="6"/>
        <v/>
      </c>
      <c r="Q63" s="2" t="str">
        <f t="shared" si="13"/>
        <v/>
      </c>
      <c r="R63" s="126"/>
      <c r="S63" s="43" t="str">
        <f t="shared" ca="1" si="7"/>
        <v/>
      </c>
      <c r="T63" s="43" t="str">
        <f ca="1">IFERROR(ROUND(S63*'Quote Info'!$O$4+R63,2),"")</f>
        <v/>
      </c>
      <c r="U63" s="44" t="str">
        <f t="shared" ca="1" si="14"/>
        <v/>
      </c>
      <c r="V63" s="44" t="str">
        <f t="shared" ca="1" si="15"/>
        <v/>
      </c>
      <c r="W63" s="16" t="str">
        <f ca="1">IFERROR(S63/((VLOOKUP(N63,'FB Data'!$A$2:$E$150,3,FALSE))*'FB Laser'!M63),"")</f>
        <v/>
      </c>
      <c r="Y63" s="14"/>
      <c r="Z63" s="13"/>
      <c r="AA63" s="13"/>
      <c r="AB63" s="13"/>
      <c r="AC63" s="6">
        <f t="shared" si="11"/>
        <v>0</v>
      </c>
      <c r="AD63" s="2" t="str">
        <f>IFERROR(IF($Z$7="JWMCD",VLOOKUP(Y63,'FB Data'!$A$2:$E$151,3,FALSE)*VLOOKUP(Y63,'FB Data'!$A$2:$E$151,5,FALSE)*AC63,IF($Z$7="Customer Supplied",0,"Need Input")),"")</f>
        <v/>
      </c>
    </row>
    <row r="64" spans="1:30">
      <c r="A64" s="132"/>
      <c r="B64" s="13"/>
      <c r="C64" s="13"/>
      <c r="D64" s="13"/>
      <c r="E64" s="13"/>
      <c r="F64" s="13"/>
      <c r="G64" s="12" t="str">
        <f t="shared" si="4"/>
        <v/>
      </c>
      <c r="H64" s="77">
        <f>IF(Forming!G64&gt;0,Forming!G64,0)</f>
        <v>0</v>
      </c>
      <c r="I64" s="77">
        <f>IF('Hardware Install'!E64&gt;0,'Hardware Install'!E64,0)</f>
        <v>0</v>
      </c>
      <c r="J64" s="77" t="str">
        <f ca="1">IFERROR(VLOOKUP('FB Laser'!A64,Machining!A64:G154,7,FALSE),"")</f>
        <v/>
      </c>
      <c r="K64" s="77" t="str">
        <f>IFERROR(IF(Finishing!G64&gt;0,VLOOKUP('FB Laser'!A64,Finishing!A64:G154,7,FALSE),""),"")</f>
        <v/>
      </c>
      <c r="L64" s="56">
        <f ca="1">IFERROR(SUM((H64*$Z$12),G64,I64,J64,K64,'FB Data'!AM63),"")</f>
        <v>0</v>
      </c>
      <c r="M64" s="54">
        <f t="shared" si="12"/>
        <v>0</v>
      </c>
      <c r="N64" s="14"/>
      <c r="O64" s="5" t="str">
        <f t="shared" si="5"/>
        <v/>
      </c>
      <c r="P64" s="2" t="str">
        <f t="shared" si="6"/>
        <v/>
      </c>
      <c r="Q64" s="2" t="str">
        <f t="shared" si="13"/>
        <v/>
      </c>
      <c r="R64" s="126"/>
      <c r="S64" s="43" t="str">
        <f t="shared" ca="1" si="7"/>
        <v/>
      </c>
      <c r="T64" s="43" t="str">
        <f ca="1">IFERROR(ROUND(S64*'Quote Info'!$O$4+R64,2),"")</f>
        <v/>
      </c>
      <c r="U64" s="44" t="str">
        <f t="shared" ca="1" si="14"/>
        <v/>
      </c>
      <c r="V64" s="44" t="str">
        <f t="shared" ca="1" si="15"/>
        <v/>
      </c>
      <c r="W64" s="16" t="str">
        <f ca="1">IFERROR(S64/((VLOOKUP(N64,'FB Data'!$A$2:$E$150,3,FALSE))*'FB Laser'!M64),"")</f>
        <v/>
      </c>
      <c r="Y64" s="14"/>
      <c r="Z64" s="13"/>
      <c r="AA64" s="13"/>
      <c r="AB64" s="13"/>
      <c r="AC64" s="6">
        <f t="shared" si="11"/>
        <v>0</v>
      </c>
      <c r="AD64" s="2" t="str">
        <f>IFERROR(IF($Z$7="JWMCD",VLOOKUP(Y64,'FB Data'!$A$2:$E$151,3,FALSE)*VLOOKUP(Y64,'FB Data'!$A$2:$E$151,5,FALSE)*AC64,IF($Z$7="Customer Supplied",0,"Need Input")),"")</f>
        <v/>
      </c>
    </row>
    <row r="65" spans="1:30">
      <c r="A65" s="132"/>
      <c r="B65" s="13"/>
      <c r="C65" s="13"/>
      <c r="D65" s="13"/>
      <c r="E65" s="13"/>
      <c r="F65" s="13"/>
      <c r="G65" s="12" t="str">
        <f t="shared" si="4"/>
        <v/>
      </c>
      <c r="H65" s="77">
        <f>IF(Forming!G65&gt;0,Forming!G65,0)</f>
        <v>0</v>
      </c>
      <c r="I65" s="77">
        <f>IF('Hardware Install'!E65&gt;0,'Hardware Install'!E65,0)</f>
        <v>0</v>
      </c>
      <c r="J65" s="77" t="str">
        <f ca="1">IFERROR(VLOOKUP('FB Laser'!A65,Machining!A65:G155,7,FALSE),"")</f>
        <v/>
      </c>
      <c r="K65" s="77" t="str">
        <f>IFERROR(IF(Finishing!G65&gt;0,VLOOKUP('FB Laser'!A65,Finishing!A65:G155,7,FALSE),""),"")</f>
        <v/>
      </c>
      <c r="L65" s="56">
        <f ca="1">IFERROR(SUM((H65*$Z$12),G65,I65,J65,K65,'FB Data'!AM64),"")</f>
        <v>0</v>
      </c>
      <c r="M65" s="54">
        <f t="shared" si="12"/>
        <v>0</v>
      </c>
      <c r="N65" s="14"/>
      <c r="O65" s="5" t="str">
        <f t="shared" si="5"/>
        <v/>
      </c>
      <c r="P65" s="2" t="str">
        <f t="shared" si="6"/>
        <v/>
      </c>
      <c r="Q65" s="2" t="str">
        <f t="shared" si="13"/>
        <v/>
      </c>
      <c r="R65" s="126"/>
      <c r="S65" s="43" t="str">
        <f t="shared" ca="1" si="7"/>
        <v/>
      </c>
      <c r="T65" s="43" t="str">
        <f ca="1">IFERROR(ROUND(S65*'Quote Info'!$O$4+R65,2),"")</f>
        <v/>
      </c>
      <c r="U65" s="44" t="str">
        <f t="shared" ca="1" si="14"/>
        <v/>
      </c>
      <c r="V65" s="44" t="str">
        <f t="shared" ca="1" si="15"/>
        <v/>
      </c>
      <c r="W65" s="16" t="str">
        <f ca="1">IFERROR(S65/((VLOOKUP(N65,'FB Data'!$A$2:$E$150,3,FALSE))*'FB Laser'!M65),"")</f>
        <v/>
      </c>
      <c r="Y65" s="14"/>
      <c r="Z65" s="13"/>
      <c r="AA65" s="13"/>
      <c r="AB65" s="13"/>
      <c r="AC65" s="6">
        <f t="shared" si="11"/>
        <v>0</v>
      </c>
      <c r="AD65" s="2" t="str">
        <f>IFERROR(IF($Z$7="JWMCD",VLOOKUP(Y65,'FB Data'!$A$2:$E$151,3,FALSE)*VLOOKUP(Y65,'FB Data'!$A$2:$E$151,5,FALSE)*AC65,IF($Z$7="Customer Supplied",0,"Need Input")),"")</f>
        <v/>
      </c>
    </row>
    <row r="66" spans="1:30">
      <c r="A66" s="132"/>
      <c r="B66" s="13"/>
      <c r="C66" s="13"/>
      <c r="D66" s="13"/>
      <c r="E66" s="13"/>
      <c r="F66" s="13"/>
      <c r="G66" s="12" t="str">
        <f t="shared" si="4"/>
        <v/>
      </c>
      <c r="H66" s="77">
        <f>IF(Forming!G66&gt;0,Forming!G66,0)</f>
        <v>0</v>
      </c>
      <c r="I66" s="77">
        <f>IF('Hardware Install'!E66&gt;0,'Hardware Install'!E66,0)</f>
        <v>0</v>
      </c>
      <c r="J66" s="77" t="str">
        <f ca="1">IFERROR(VLOOKUP('FB Laser'!A66,Machining!A66:G156,7,FALSE),"")</f>
        <v/>
      </c>
      <c r="K66" s="77" t="str">
        <f>IFERROR(IF(Finishing!G66&gt;0,VLOOKUP('FB Laser'!A66,Finishing!A66:G156,7,FALSE),""),"")</f>
        <v/>
      </c>
      <c r="L66" s="56">
        <f ca="1">IFERROR(SUM((H66*$Z$12),G66,I66,J66,K66,'FB Data'!AM65),"")</f>
        <v>0</v>
      </c>
      <c r="M66" s="54">
        <f t="shared" si="12"/>
        <v>0</v>
      </c>
      <c r="N66" s="14"/>
      <c r="O66" s="5" t="str">
        <f t="shared" si="5"/>
        <v/>
      </c>
      <c r="P66" s="2" t="str">
        <f t="shared" si="6"/>
        <v/>
      </c>
      <c r="Q66" s="2" t="str">
        <f t="shared" si="13"/>
        <v/>
      </c>
      <c r="R66" s="126"/>
      <c r="S66" s="43" t="str">
        <f t="shared" ca="1" si="7"/>
        <v/>
      </c>
      <c r="T66" s="43" t="str">
        <f ca="1">IFERROR(ROUND(S66*'Quote Info'!$O$4+R66,2),"")</f>
        <v/>
      </c>
      <c r="U66" s="44" t="str">
        <f t="shared" ca="1" si="14"/>
        <v/>
      </c>
      <c r="V66" s="44" t="str">
        <f t="shared" ca="1" si="15"/>
        <v/>
      </c>
      <c r="W66" s="16" t="str">
        <f ca="1">IFERROR(S66/((VLOOKUP(N66,'FB Data'!$A$2:$E$150,3,FALSE))*'FB Laser'!M66),"")</f>
        <v/>
      </c>
    </row>
    <row r="67" spans="1:30">
      <c r="A67" s="132"/>
      <c r="B67" s="13"/>
      <c r="C67" s="13"/>
      <c r="D67" s="13"/>
      <c r="E67" s="13"/>
      <c r="F67" s="13"/>
      <c r="G67" s="12" t="str">
        <f t="shared" si="4"/>
        <v/>
      </c>
      <c r="H67" s="77">
        <f>IF(Forming!G67&gt;0,Forming!G67,0)</f>
        <v>0</v>
      </c>
      <c r="I67" s="77">
        <f>IF('Hardware Install'!E67&gt;0,'Hardware Install'!E67,0)</f>
        <v>0</v>
      </c>
      <c r="J67" s="77" t="str">
        <f ca="1">IFERROR(VLOOKUP('FB Laser'!A67,Machining!A67:G157,7,FALSE),"")</f>
        <v/>
      </c>
      <c r="K67" s="77" t="str">
        <f>IFERROR(IF(Finishing!G67&gt;0,VLOOKUP('FB Laser'!A67,Finishing!A67:G157,7,FALSE),""),"")</f>
        <v/>
      </c>
      <c r="L67" s="56">
        <f ca="1">IFERROR(SUM((H67*$Z$12),G67,I67,J67,K67,'FB Data'!AM66),"")</f>
        <v>0</v>
      </c>
      <c r="M67" s="54">
        <f t="shared" si="12"/>
        <v>0</v>
      </c>
      <c r="N67" s="14"/>
      <c r="O67" s="5" t="str">
        <f t="shared" si="5"/>
        <v/>
      </c>
      <c r="P67" s="2" t="str">
        <f t="shared" si="6"/>
        <v/>
      </c>
      <c r="Q67" s="2" t="str">
        <f t="shared" si="13"/>
        <v/>
      </c>
      <c r="R67" s="126"/>
      <c r="S67" s="43" t="str">
        <f t="shared" ca="1" si="7"/>
        <v/>
      </c>
      <c r="T67" s="43" t="str">
        <f ca="1">IFERROR(ROUND(S67*'Quote Info'!$O$4+R67,2),"")</f>
        <v/>
      </c>
      <c r="U67" s="44" t="str">
        <f t="shared" ca="1" si="14"/>
        <v/>
      </c>
      <c r="V67" s="44" t="str">
        <f t="shared" ca="1" si="15"/>
        <v/>
      </c>
      <c r="W67" s="16" t="str">
        <f ca="1">IFERROR(S67/((VLOOKUP(N67,'FB Data'!$A$2:$E$150,3,FALSE))*'FB Laser'!M67),"")</f>
        <v/>
      </c>
    </row>
    <row r="68" spans="1:30">
      <c r="A68" s="132"/>
      <c r="B68" s="13"/>
      <c r="C68" s="13"/>
      <c r="D68" s="13"/>
      <c r="E68" s="13"/>
      <c r="F68" s="13"/>
      <c r="G68" s="12" t="str">
        <f t="shared" si="4"/>
        <v/>
      </c>
      <c r="H68" s="77">
        <f>IF(Forming!G68&gt;0,Forming!G68,0)</f>
        <v>0</v>
      </c>
      <c r="I68" s="77">
        <f>IF('Hardware Install'!E68&gt;0,'Hardware Install'!E68,0)</f>
        <v>0</v>
      </c>
      <c r="J68" s="77" t="str">
        <f ca="1">IFERROR(VLOOKUP('FB Laser'!A68,Machining!A68:G158,7,FALSE),"")</f>
        <v/>
      </c>
      <c r="K68" s="77" t="str">
        <f>IFERROR(IF(Finishing!G68&gt;0,VLOOKUP('FB Laser'!A68,Finishing!A68:G158,7,FALSE),""),"")</f>
        <v/>
      </c>
      <c r="L68" s="56">
        <f ca="1">IFERROR(SUM((H68*$Z$12),G68,I68,J68,K68,'FB Data'!AM67),"")</f>
        <v>0</v>
      </c>
      <c r="M68" s="54">
        <f t="shared" si="12"/>
        <v>0</v>
      </c>
      <c r="N68" s="14"/>
      <c r="O68" s="5" t="str">
        <f t="shared" si="5"/>
        <v/>
      </c>
      <c r="P68" s="2" t="str">
        <f t="shared" si="6"/>
        <v/>
      </c>
      <c r="Q68" s="2" t="str">
        <f t="shared" si="13"/>
        <v/>
      </c>
      <c r="R68" s="126"/>
      <c r="S68" s="43" t="str">
        <f t="shared" ca="1" si="7"/>
        <v/>
      </c>
      <c r="T68" s="43" t="str">
        <f ca="1">IFERROR(ROUND(S68*'Quote Info'!$O$4+R68,2),"")</f>
        <v/>
      </c>
      <c r="U68" s="44" t="str">
        <f t="shared" ca="1" si="14"/>
        <v/>
      </c>
      <c r="V68" s="44" t="str">
        <f t="shared" ca="1" si="15"/>
        <v/>
      </c>
      <c r="W68" s="16" t="str">
        <f ca="1">IFERROR(S68/((VLOOKUP(N68,'FB Data'!$A$2:$E$150,3,FALSE))*'FB Laser'!M68),"")</f>
        <v/>
      </c>
    </row>
    <row r="69" spans="1:30">
      <c r="A69" s="132"/>
      <c r="B69" s="13"/>
      <c r="C69" s="13"/>
      <c r="D69" s="13"/>
      <c r="E69" s="13"/>
      <c r="F69" s="13"/>
      <c r="G69" s="12" t="str">
        <f t="shared" si="4"/>
        <v/>
      </c>
      <c r="H69" s="77">
        <f>IF(Forming!G69&gt;0,Forming!G69,0)</f>
        <v>0</v>
      </c>
      <c r="I69" s="77">
        <f>IF('Hardware Install'!E69&gt;0,'Hardware Install'!E69,0)</f>
        <v>0</v>
      </c>
      <c r="J69" s="77" t="str">
        <f ca="1">IFERROR(VLOOKUP('FB Laser'!A69,Machining!A69:G159,7,FALSE),"")</f>
        <v/>
      </c>
      <c r="K69" s="77" t="str">
        <f>IFERROR(IF(Finishing!G69&gt;0,VLOOKUP('FB Laser'!A69,Finishing!A69:G159,7,FALSE),""),"")</f>
        <v/>
      </c>
      <c r="L69" s="56">
        <f ca="1">IFERROR(SUM((H69*$Z$12),G69,I69,J69,K69,'FB Data'!AM68),"")</f>
        <v>0</v>
      </c>
      <c r="M69" s="54">
        <f t="shared" si="12"/>
        <v>0</v>
      </c>
      <c r="N69" s="14"/>
      <c r="O69" s="5" t="str">
        <f t="shared" si="5"/>
        <v/>
      </c>
      <c r="P69" s="2" t="str">
        <f t="shared" si="6"/>
        <v/>
      </c>
      <c r="Q69" s="2" t="str">
        <f t="shared" si="13"/>
        <v/>
      </c>
      <c r="R69" s="126"/>
      <c r="S69" s="43" t="str">
        <f t="shared" ca="1" si="7"/>
        <v/>
      </c>
      <c r="T69" s="43" t="str">
        <f ca="1">IFERROR(ROUND(S69*'Quote Info'!$O$4+R69,2),"")</f>
        <v/>
      </c>
      <c r="U69" s="44" t="str">
        <f t="shared" ca="1" si="14"/>
        <v/>
      </c>
      <c r="V69" s="44" t="str">
        <f t="shared" ca="1" si="15"/>
        <v/>
      </c>
      <c r="W69" s="16" t="str">
        <f ca="1">IFERROR(S69/((VLOOKUP(N69,'FB Data'!$A$2:$E$150,3,FALSE))*'FB Laser'!M69),"")</f>
        <v/>
      </c>
    </row>
    <row r="70" spans="1:30">
      <c r="A70" s="132"/>
      <c r="B70" s="13"/>
      <c r="C70" s="13"/>
      <c r="D70" s="13"/>
      <c r="E70" s="13"/>
      <c r="F70" s="13"/>
      <c r="G70" s="12" t="str">
        <f t="shared" si="4"/>
        <v/>
      </c>
      <c r="H70" s="77">
        <f>IF(Forming!G70&gt;0,Forming!G70,0)</f>
        <v>0</v>
      </c>
      <c r="I70" s="77">
        <f>IF('Hardware Install'!E70&gt;0,'Hardware Install'!E70,0)</f>
        <v>0</v>
      </c>
      <c r="J70" s="77" t="str">
        <f ca="1">IFERROR(VLOOKUP('FB Laser'!A70,Machining!A70:G160,7,FALSE),"")</f>
        <v/>
      </c>
      <c r="K70" s="77" t="str">
        <f>IFERROR(IF(Finishing!G70&gt;0,VLOOKUP('FB Laser'!A70,Finishing!A70:G160,7,FALSE),""),"")</f>
        <v/>
      </c>
      <c r="L70" s="56">
        <f ca="1">IFERROR(SUM((H70*$Z$12),G70,I70,J70,K70,'FB Data'!AM69),"")</f>
        <v>0</v>
      </c>
      <c r="M70" s="54">
        <f t="shared" si="12"/>
        <v>0</v>
      </c>
      <c r="N70" s="14"/>
      <c r="O70" s="5" t="str">
        <f t="shared" si="5"/>
        <v/>
      </c>
      <c r="P70" s="2" t="str">
        <f t="shared" si="6"/>
        <v/>
      </c>
      <c r="Q70" s="2" t="str">
        <f t="shared" si="13"/>
        <v/>
      </c>
      <c r="R70" s="126"/>
      <c r="S70" s="43" t="str">
        <f t="shared" ca="1" si="7"/>
        <v/>
      </c>
      <c r="T70" s="43" t="str">
        <f ca="1">IFERROR(ROUND(S70*'Quote Info'!$O$4+R70,2),"")</f>
        <v/>
      </c>
      <c r="U70" s="44" t="str">
        <f t="shared" ca="1" si="14"/>
        <v/>
      </c>
      <c r="V70" s="44" t="str">
        <f t="shared" ca="1" si="15"/>
        <v/>
      </c>
      <c r="W70" s="16" t="str">
        <f ca="1">IFERROR(S70/((VLOOKUP(N70,'FB Data'!$A$2:$E$150,3,FALSE))*'FB Laser'!M70),"")</f>
        <v/>
      </c>
    </row>
    <row r="71" spans="1:30">
      <c r="A71" s="132"/>
      <c r="B71" s="13"/>
      <c r="C71" s="13"/>
      <c r="D71" s="13"/>
      <c r="E71" s="13"/>
      <c r="F71" s="13"/>
      <c r="G71" s="12" t="str">
        <f t="shared" si="4"/>
        <v/>
      </c>
      <c r="H71" s="77">
        <f>IF(Forming!G71&gt;0,Forming!G71,0)</f>
        <v>0</v>
      </c>
      <c r="I71" s="77">
        <f>IF('Hardware Install'!E71&gt;0,'Hardware Install'!E71,0)</f>
        <v>0</v>
      </c>
      <c r="J71" s="77" t="str">
        <f ca="1">IFERROR(VLOOKUP('FB Laser'!A71,Machining!A71:G161,7,FALSE),"")</f>
        <v/>
      </c>
      <c r="K71" s="77" t="str">
        <f>IFERROR(IF(Finishing!G71&gt;0,VLOOKUP('FB Laser'!A71,Finishing!A71:G161,7,FALSE),""),"")</f>
        <v/>
      </c>
      <c r="L71" s="56">
        <f ca="1">IFERROR(SUM((H71*$Z$12),G71,I71,J71,K71,'FB Data'!AM70),"")</f>
        <v>0</v>
      </c>
      <c r="M71" s="54">
        <f t="shared" si="12"/>
        <v>0</v>
      </c>
      <c r="N71" s="14"/>
      <c r="O71" s="5" t="str">
        <f t="shared" si="5"/>
        <v/>
      </c>
      <c r="P71" s="2" t="str">
        <f t="shared" si="6"/>
        <v/>
      </c>
      <c r="Q71" s="2" t="str">
        <f t="shared" si="13"/>
        <v/>
      </c>
      <c r="R71" s="126"/>
      <c r="S71" s="43" t="str">
        <f t="shared" ca="1" si="7"/>
        <v/>
      </c>
      <c r="T71" s="43" t="str">
        <f ca="1">IFERROR(ROUND(S71*'Quote Info'!$O$4+R71,2),"")</f>
        <v/>
      </c>
      <c r="U71" s="44" t="str">
        <f t="shared" ca="1" si="14"/>
        <v/>
      </c>
      <c r="V71" s="44" t="str">
        <f t="shared" ca="1" si="15"/>
        <v/>
      </c>
      <c r="W71" s="16" t="str">
        <f ca="1">IFERROR(S71/((VLOOKUP(N71,'FB Data'!$A$2:$E$150,3,FALSE))*'FB Laser'!M71),"")</f>
        <v/>
      </c>
    </row>
    <row r="72" spans="1:30">
      <c r="A72" s="132"/>
      <c r="B72" s="13"/>
      <c r="C72" s="13"/>
      <c r="D72" s="13"/>
      <c r="E72" s="13"/>
      <c r="F72" s="13"/>
      <c r="G72" s="12" t="str">
        <f t="shared" si="4"/>
        <v/>
      </c>
      <c r="H72" s="77">
        <f>IF(Forming!G72&gt;0,Forming!G72,0)</f>
        <v>0</v>
      </c>
      <c r="I72" s="77">
        <f>IF('Hardware Install'!E72&gt;0,'Hardware Install'!E72,0)</f>
        <v>0</v>
      </c>
      <c r="J72" s="77" t="str">
        <f ca="1">IFERROR(VLOOKUP('FB Laser'!A72,Machining!A72:G162,7,FALSE),"")</f>
        <v/>
      </c>
      <c r="K72" s="77" t="str">
        <f>IFERROR(IF(Finishing!G72&gt;0,VLOOKUP('FB Laser'!A72,Finishing!A72:G162,7,FALSE),""),"")</f>
        <v/>
      </c>
      <c r="L72" s="56">
        <f ca="1">IFERROR(SUM((H72*$Z$12),G72,I72,J72,K72,'FB Data'!AM71),"")</f>
        <v>0</v>
      </c>
      <c r="M72" s="54">
        <f t="shared" si="12"/>
        <v>0</v>
      </c>
      <c r="N72" s="14"/>
      <c r="O72" s="5" t="str">
        <f t="shared" si="5"/>
        <v/>
      </c>
      <c r="P72" s="2" t="str">
        <f t="shared" si="6"/>
        <v/>
      </c>
      <c r="Q72" s="2" t="str">
        <f t="shared" si="13"/>
        <v/>
      </c>
      <c r="R72" s="126"/>
      <c r="S72" s="43" t="str">
        <f t="shared" ca="1" si="7"/>
        <v/>
      </c>
      <c r="T72" s="43" t="str">
        <f ca="1">IFERROR(ROUND(S72*'Quote Info'!$O$4+R72,2),"")</f>
        <v/>
      </c>
      <c r="U72" s="44" t="str">
        <f t="shared" ca="1" si="14"/>
        <v/>
      </c>
      <c r="V72" s="44" t="str">
        <f t="shared" ca="1" si="15"/>
        <v/>
      </c>
      <c r="W72" s="16" t="str">
        <f ca="1">IFERROR(S72/((VLOOKUP(N72,'FB Data'!$A$2:$E$150,3,FALSE))*'FB Laser'!M72),"")</f>
        <v/>
      </c>
    </row>
    <row r="73" spans="1:30">
      <c r="A73" s="132"/>
      <c r="B73" s="13"/>
      <c r="C73" s="13"/>
      <c r="D73" s="13"/>
      <c r="E73" s="13"/>
      <c r="F73" s="13"/>
      <c r="G73" s="12" t="str">
        <f t="shared" si="4"/>
        <v/>
      </c>
      <c r="H73" s="77">
        <f>IF(Forming!G73&gt;0,Forming!G73,0)</f>
        <v>0</v>
      </c>
      <c r="I73" s="77">
        <f>IF('Hardware Install'!E73&gt;0,'Hardware Install'!E73,0)</f>
        <v>0</v>
      </c>
      <c r="J73" s="77" t="str">
        <f ca="1">IFERROR(VLOOKUP('FB Laser'!A73,Machining!A73:G163,7,FALSE),"")</f>
        <v/>
      </c>
      <c r="K73" s="77" t="str">
        <f>IFERROR(IF(Finishing!G73&gt;0,VLOOKUP('FB Laser'!A73,Finishing!A73:G163,7,FALSE),""),"")</f>
        <v/>
      </c>
      <c r="L73" s="56">
        <f ca="1">IFERROR(SUM((H73*$Z$12),G73,I73,J73,K73,'FB Data'!AM72),"")</f>
        <v>0</v>
      </c>
      <c r="M73" s="54">
        <f t="shared" si="12"/>
        <v>0</v>
      </c>
      <c r="N73" s="14"/>
      <c r="O73" s="5" t="str">
        <f t="shared" si="5"/>
        <v/>
      </c>
      <c r="P73" s="2" t="str">
        <f t="shared" si="6"/>
        <v/>
      </c>
      <c r="Q73" s="2" t="str">
        <f t="shared" si="13"/>
        <v/>
      </c>
      <c r="R73" s="126"/>
      <c r="S73" s="43" t="str">
        <f t="shared" ca="1" si="7"/>
        <v/>
      </c>
      <c r="T73" s="43" t="str">
        <f ca="1">IFERROR(ROUND(S73*'Quote Info'!$O$4+R73,2),"")</f>
        <v/>
      </c>
      <c r="U73" s="44" t="str">
        <f t="shared" ca="1" si="14"/>
        <v/>
      </c>
      <c r="V73" s="44" t="str">
        <f t="shared" ca="1" si="15"/>
        <v/>
      </c>
      <c r="W73" s="16" t="str">
        <f ca="1">IFERROR(S73/((VLOOKUP(N73,'FB Data'!$A$2:$E$150,3,FALSE))*'FB Laser'!M73),"")</f>
        <v/>
      </c>
    </row>
    <row r="74" spans="1:30">
      <c r="A74" s="132"/>
      <c r="B74" s="13"/>
      <c r="C74" s="13"/>
      <c r="D74" s="13"/>
      <c r="E74" s="13"/>
      <c r="F74" s="13"/>
      <c r="G74" s="12" t="str">
        <f t="shared" si="4"/>
        <v/>
      </c>
      <c r="H74" s="77">
        <f>IF(Forming!G74&gt;0,Forming!G74,0)</f>
        <v>0</v>
      </c>
      <c r="I74" s="77">
        <f>IF('Hardware Install'!E74&gt;0,'Hardware Install'!E74,0)</f>
        <v>0</v>
      </c>
      <c r="J74" s="77" t="str">
        <f ca="1">IFERROR(VLOOKUP('FB Laser'!A74,Machining!A74:G164,7,FALSE),"")</f>
        <v/>
      </c>
      <c r="K74" s="77" t="str">
        <f>IFERROR(IF(Finishing!G74&gt;0,VLOOKUP('FB Laser'!A74,Finishing!A74:G164,7,FALSE),""),"")</f>
        <v/>
      </c>
      <c r="L74" s="56">
        <f ca="1">IFERROR(SUM((H74*$Z$12),G74,I74,J74,K74,'FB Data'!AM73),"")</f>
        <v>0</v>
      </c>
      <c r="M74" s="54">
        <f t="shared" ref="M74:M99" si="16">IFERROR((C74*D74)*0.00694,"")</f>
        <v>0</v>
      </c>
      <c r="N74" s="14"/>
      <c r="O74" s="5" t="str">
        <f t="shared" si="5"/>
        <v/>
      </c>
      <c r="P74" s="2" t="str">
        <f t="shared" si="6"/>
        <v/>
      </c>
      <c r="Q74" s="2" t="str">
        <f t="shared" ref="Q74:Q99" si="17">IFERROR((P74*$Z$11)/B74,"")</f>
        <v/>
      </c>
      <c r="R74" s="126"/>
      <c r="S74" s="43" t="str">
        <f t="shared" ca="1" si="7"/>
        <v/>
      </c>
      <c r="T74" s="43" t="str">
        <f ca="1">IFERROR(ROUND(S74*'Quote Info'!$O$4+R74,2),"")</f>
        <v/>
      </c>
      <c r="U74" s="44" t="str">
        <f t="shared" ref="U74:U99" ca="1" si="18">IFERROR(S74*B74,"")</f>
        <v/>
      </c>
      <c r="V74" s="44" t="str">
        <f t="shared" ref="V74:V99" ca="1" si="19">IFERROR(T74*B74,"")</f>
        <v/>
      </c>
      <c r="W74" s="16" t="str">
        <f ca="1">IFERROR(S74/((VLOOKUP(N74,'FB Data'!$A$2:$E$150,3,FALSE))*'FB Laser'!M74),"")</f>
        <v/>
      </c>
    </row>
    <row r="75" spans="1:30">
      <c r="A75" s="132"/>
      <c r="B75" s="13"/>
      <c r="C75" s="13"/>
      <c r="D75" s="13"/>
      <c r="E75" s="13"/>
      <c r="F75" s="13"/>
      <c r="G75" s="12" t="str">
        <f t="shared" ref="G75:G99" si="20">IFERROR(((E75/60)*$Z$10)/B75,"")</f>
        <v/>
      </c>
      <c r="H75" s="77">
        <f>IF(Forming!G75&gt;0,Forming!G75,0)</f>
        <v>0</v>
      </c>
      <c r="I75" s="77">
        <f>IF('Hardware Install'!E75&gt;0,'Hardware Install'!E75,0)</f>
        <v>0</v>
      </c>
      <c r="J75" s="77" t="str">
        <f ca="1">IFERROR(VLOOKUP('FB Laser'!A75,Machining!A75:G165,7,FALSE),"")</f>
        <v/>
      </c>
      <c r="K75" s="77" t="str">
        <f>IFERROR(IF(Finishing!G75&gt;0,VLOOKUP('FB Laser'!A75,Finishing!A75:G165,7,FALSE),""),"")</f>
        <v/>
      </c>
      <c r="L75" s="56">
        <f ca="1">IFERROR(SUM((H75*$Z$12),G75,I75,J75,K75,'FB Data'!AM74),"")</f>
        <v>0</v>
      </c>
      <c r="M75" s="54">
        <f t="shared" si="16"/>
        <v>0</v>
      </c>
      <c r="N75" s="14"/>
      <c r="O75" s="5" t="str">
        <f t="shared" ref="O75:O99" si="21">IFERROR((B75*M75)/(VLOOKUP(N75,$Y$15:$AB$33,2,FALSE)),"")</f>
        <v/>
      </c>
      <c r="P75" s="2" t="str">
        <f t="shared" ref="P75:P99" si="22">IFERROR(VLOOKUP(N75,$Y$15:$AB$33,4,FALSE)*(O75/(VLOOKUP(N75,$Y$15:$AB$33,3,FALSE))),"")</f>
        <v/>
      </c>
      <c r="Q75" s="2" t="str">
        <f t="shared" si="17"/>
        <v/>
      </c>
      <c r="R75" s="126"/>
      <c r="S75" s="43" t="str">
        <f t="shared" ref="S75:S99" ca="1" si="23">IFERROR(L75+Q75+($Z$8/$B$100)+($Z$9/$B$100)+($Z$3/$B$100)+($Z$2/$B$100)+($Z$4/$B$100)+($Z$5/$B$100)+($Z$6/$B$100),"")</f>
        <v/>
      </c>
      <c r="T75" s="43" t="str">
        <f ca="1">IFERROR(ROUND(S75*'Quote Info'!$O$4+R75,2),"")</f>
        <v/>
      </c>
      <c r="U75" s="44" t="str">
        <f t="shared" ca="1" si="18"/>
        <v/>
      </c>
      <c r="V75" s="44" t="str">
        <f t="shared" ca="1" si="19"/>
        <v/>
      </c>
      <c r="W75" s="16" t="str">
        <f ca="1">IFERROR(S75/((VLOOKUP(N75,'FB Data'!$A$2:$E$150,3,FALSE))*'FB Laser'!M75),"")</f>
        <v/>
      </c>
    </row>
    <row r="76" spans="1:30">
      <c r="A76" s="132"/>
      <c r="B76" s="13"/>
      <c r="C76" s="13"/>
      <c r="D76" s="13"/>
      <c r="E76" s="13"/>
      <c r="F76" s="13"/>
      <c r="G76" s="12" t="str">
        <f t="shared" si="20"/>
        <v/>
      </c>
      <c r="H76" s="77">
        <f>IF(Forming!G76&gt;0,Forming!G76,0)</f>
        <v>0</v>
      </c>
      <c r="I76" s="77">
        <f>IF('Hardware Install'!E76&gt;0,'Hardware Install'!E76,0)</f>
        <v>0</v>
      </c>
      <c r="J76" s="77" t="str">
        <f ca="1">IFERROR(VLOOKUP('FB Laser'!A76,Machining!A76:G166,7,FALSE),"")</f>
        <v/>
      </c>
      <c r="K76" s="77" t="str">
        <f>IFERROR(IF(Finishing!G76&gt;0,VLOOKUP('FB Laser'!A76,Finishing!A76:G166,7,FALSE),""),"")</f>
        <v/>
      </c>
      <c r="L76" s="56">
        <f ca="1">IFERROR(SUM((H76*$Z$12),G76,I76,J76,K76,'FB Data'!AM75),"")</f>
        <v>0</v>
      </c>
      <c r="M76" s="54">
        <f t="shared" si="16"/>
        <v>0</v>
      </c>
      <c r="N76" s="14"/>
      <c r="O76" s="5" t="str">
        <f t="shared" si="21"/>
        <v/>
      </c>
      <c r="P76" s="2" t="str">
        <f t="shared" si="22"/>
        <v/>
      </c>
      <c r="Q76" s="2" t="str">
        <f t="shared" si="17"/>
        <v/>
      </c>
      <c r="R76" s="126"/>
      <c r="S76" s="43" t="str">
        <f t="shared" ca="1" si="23"/>
        <v/>
      </c>
      <c r="T76" s="43" t="str">
        <f ca="1">IFERROR(ROUND(S76*'Quote Info'!$O$4+R76,2),"")</f>
        <v/>
      </c>
      <c r="U76" s="44" t="str">
        <f t="shared" ca="1" si="18"/>
        <v/>
      </c>
      <c r="V76" s="44" t="str">
        <f t="shared" ca="1" si="19"/>
        <v/>
      </c>
      <c r="W76" s="16" t="str">
        <f ca="1">IFERROR(S76/((VLOOKUP(N76,'FB Data'!$A$2:$E$150,3,FALSE))*'FB Laser'!M76),"")</f>
        <v/>
      </c>
    </row>
    <row r="77" spans="1:30">
      <c r="A77" s="132"/>
      <c r="B77" s="13"/>
      <c r="C77" s="13"/>
      <c r="D77" s="13"/>
      <c r="E77" s="13"/>
      <c r="F77" s="13"/>
      <c r="G77" s="12" t="str">
        <f t="shared" si="20"/>
        <v/>
      </c>
      <c r="H77" s="77">
        <f>IF(Forming!G77&gt;0,Forming!G77,0)</f>
        <v>0</v>
      </c>
      <c r="I77" s="77">
        <f>IF('Hardware Install'!E77&gt;0,'Hardware Install'!E77,0)</f>
        <v>0</v>
      </c>
      <c r="J77" s="77" t="str">
        <f ca="1">IFERROR(VLOOKUP('FB Laser'!A77,Machining!A77:G167,7,FALSE),"")</f>
        <v/>
      </c>
      <c r="K77" s="77" t="str">
        <f>IFERROR(IF(Finishing!G77&gt;0,VLOOKUP('FB Laser'!A77,Finishing!A77:G167,7,FALSE),""),"")</f>
        <v/>
      </c>
      <c r="L77" s="56">
        <f ca="1">IFERROR(SUM((H77*$Z$12),G77,I77,J77,K77,'FB Data'!AM76),"")</f>
        <v>0</v>
      </c>
      <c r="M77" s="54">
        <f t="shared" si="16"/>
        <v>0</v>
      </c>
      <c r="N77" s="14"/>
      <c r="O77" s="5" t="str">
        <f t="shared" si="21"/>
        <v/>
      </c>
      <c r="P77" s="2" t="str">
        <f t="shared" si="22"/>
        <v/>
      </c>
      <c r="Q77" s="2" t="str">
        <f t="shared" si="17"/>
        <v/>
      </c>
      <c r="R77" s="126"/>
      <c r="S77" s="43" t="str">
        <f t="shared" ca="1" si="23"/>
        <v/>
      </c>
      <c r="T77" s="43" t="str">
        <f ca="1">IFERROR(ROUND(S77*'Quote Info'!$O$4+R77,2),"")</f>
        <v/>
      </c>
      <c r="U77" s="44" t="str">
        <f t="shared" ca="1" si="18"/>
        <v/>
      </c>
      <c r="V77" s="44" t="str">
        <f t="shared" ca="1" si="19"/>
        <v/>
      </c>
      <c r="W77" s="16" t="str">
        <f ca="1">IFERROR(S77/((VLOOKUP(N77,'FB Data'!$A$2:$E$150,3,FALSE))*'FB Laser'!M77),"")</f>
        <v/>
      </c>
    </row>
    <row r="78" spans="1:30">
      <c r="A78" s="132"/>
      <c r="B78" s="13"/>
      <c r="C78" s="13"/>
      <c r="D78" s="13"/>
      <c r="E78" s="13"/>
      <c r="F78" s="13"/>
      <c r="G78" s="12" t="str">
        <f t="shared" si="20"/>
        <v/>
      </c>
      <c r="H78" s="77">
        <f>IF(Forming!G78&gt;0,Forming!G78,0)</f>
        <v>0</v>
      </c>
      <c r="I78" s="77">
        <f>IF('Hardware Install'!E78&gt;0,'Hardware Install'!E78,0)</f>
        <v>0</v>
      </c>
      <c r="J78" s="77" t="str">
        <f ca="1">IFERROR(VLOOKUP('FB Laser'!A78,Machining!A78:G168,7,FALSE),"")</f>
        <v/>
      </c>
      <c r="K78" s="77" t="str">
        <f>IFERROR(IF(Finishing!G78&gt;0,VLOOKUP('FB Laser'!A78,Finishing!A78:G168,7,FALSE),""),"")</f>
        <v/>
      </c>
      <c r="L78" s="56">
        <f ca="1">IFERROR(SUM((H78*$Z$12),G78,I78,J78,K78,'FB Data'!AM77),"")</f>
        <v>0</v>
      </c>
      <c r="M78" s="54">
        <f t="shared" si="16"/>
        <v>0</v>
      </c>
      <c r="N78" s="14"/>
      <c r="O78" s="5" t="str">
        <f t="shared" si="21"/>
        <v/>
      </c>
      <c r="P78" s="2" t="str">
        <f t="shared" si="22"/>
        <v/>
      </c>
      <c r="Q78" s="2" t="str">
        <f t="shared" si="17"/>
        <v/>
      </c>
      <c r="R78" s="126"/>
      <c r="S78" s="43" t="str">
        <f t="shared" ca="1" si="23"/>
        <v/>
      </c>
      <c r="T78" s="43" t="str">
        <f ca="1">IFERROR(ROUND(S78*'Quote Info'!$O$4+R78,2),"")</f>
        <v/>
      </c>
      <c r="U78" s="44" t="str">
        <f t="shared" ca="1" si="18"/>
        <v/>
      </c>
      <c r="V78" s="44" t="str">
        <f t="shared" ca="1" si="19"/>
        <v/>
      </c>
      <c r="W78" s="16" t="str">
        <f ca="1">IFERROR(S78/((VLOOKUP(N78,'FB Data'!$A$2:$E$150,3,FALSE))*'FB Laser'!M78),"")</f>
        <v/>
      </c>
    </row>
    <row r="79" spans="1:30">
      <c r="A79" s="132"/>
      <c r="B79" s="13"/>
      <c r="C79" s="13"/>
      <c r="D79" s="13"/>
      <c r="E79" s="13"/>
      <c r="F79" s="13"/>
      <c r="G79" s="12" t="str">
        <f t="shared" si="20"/>
        <v/>
      </c>
      <c r="H79" s="77">
        <f>IF(Forming!G79&gt;0,Forming!G79,0)</f>
        <v>0</v>
      </c>
      <c r="I79" s="77">
        <f>IF('Hardware Install'!E79&gt;0,'Hardware Install'!E79,0)</f>
        <v>0</v>
      </c>
      <c r="J79" s="77" t="str">
        <f ca="1">IFERROR(VLOOKUP('FB Laser'!A79,Machining!A79:G169,7,FALSE),"")</f>
        <v/>
      </c>
      <c r="K79" s="77" t="str">
        <f>IFERROR(IF(Finishing!G79&gt;0,VLOOKUP('FB Laser'!A79,Finishing!A79:G169,7,FALSE),""),"")</f>
        <v/>
      </c>
      <c r="L79" s="56">
        <f ca="1">IFERROR(SUM((H79*$Z$12),G79,I79,J79,K79,'FB Data'!AM78),"")</f>
        <v>0</v>
      </c>
      <c r="M79" s="54">
        <f t="shared" si="16"/>
        <v>0</v>
      </c>
      <c r="N79" s="14"/>
      <c r="O79" s="5" t="str">
        <f t="shared" si="21"/>
        <v/>
      </c>
      <c r="P79" s="2" t="str">
        <f t="shared" si="22"/>
        <v/>
      </c>
      <c r="Q79" s="2" t="str">
        <f t="shared" si="17"/>
        <v/>
      </c>
      <c r="R79" s="126"/>
      <c r="S79" s="43" t="str">
        <f t="shared" ca="1" si="23"/>
        <v/>
      </c>
      <c r="T79" s="43" t="str">
        <f ca="1">IFERROR(ROUND(S79*'Quote Info'!$O$4+R79,2),"")</f>
        <v/>
      </c>
      <c r="U79" s="44" t="str">
        <f t="shared" ca="1" si="18"/>
        <v/>
      </c>
      <c r="V79" s="44" t="str">
        <f t="shared" ca="1" si="19"/>
        <v/>
      </c>
      <c r="W79" s="16" t="str">
        <f ca="1">IFERROR(S79/((VLOOKUP(N79,'FB Data'!$A$2:$E$150,3,FALSE))*'FB Laser'!M79),"")</f>
        <v/>
      </c>
    </row>
    <row r="80" spans="1:30">
      <c r="A80" s="132"/>
      <c r="B80" s="13"/>
      <c r="C80" s="13"/>
      <c r="D80" s="13"/>
      <c r="E80" s="13"/>
      <c r="F80" s="13"/>
      <c r="G80" s="12" t="str">
        <f t="shared" si="20"/>
        <v/>
      </c>
      <c r="H80" s="77">
        <f>IF(Forming!G80&gt;0,Forming!G80,0)</f>
        <v>0</v>
      </c>
      <c r="I80" s="77">
        <f>IF('Hardware Install'!E80&gt;0,'Hardware Install'!E80,0)</f>
        <v>0</v>
      </c>
      <c r="J80" s="77" t="str">
        <f ca="1">IFERROR(VLOOKUP('FB Laser'!A80,Machining!A80:G170,7,FALSE),"")</f>
        <v/>
      </c>
      <c r="K80" s="77" t="str">
        <f>IFERROR(IF(Finishing!G80&gt;0,VLOOKUP('FB Laser'!A80,Finishing!A80:G170,7,FALSE),""),"")</f>
        <v/>
      </c>
      <c r="L80" s="56">
        <f ca="1">IFERROR(SUM((H80*$Z$12),G80,I80,J80,K80,'FB Data'!AM79),"")</f>
        <v>0</v>
      </c>
      <c r="M80" s="54">
        <f t="shared" si="16"/>
        <v>0</v>
      </c>
      <c r="N80" s="14"/>
      <c r="O80" s="5" t="str">
        <f t="shared" si="21"/>
        <v/>
      </c>
      <c r="P80" s="2" t="str">
        <f t="shared" si="22"/>
        <v/>
      </c>
      <c r="Q80" s="2" t="str">
        <f t="shared" si="17"/>
        <v/>
      </c>
      <c r="R80" s="126"/>
      <c r="S80" s="43" t="str">
        <f t="shared" ca="1" si="23"/>
        <v/>
      </c>
      <c r="T80" s="43" t="str">
        <f ca="1">IFERROR(ROUND(S80*'Quote Info'!$O$4+R80,2),"")</f>
        <v/>
      </c>
      <c r="U80" s="44" t="str">
        <f t="shared" ca="1" si="18"/>
        <v/>
      </c>
      <c r="V80" s="44" t="str">
        <f t="shared" ca="1" si="19"/>
        <v/>
      </c>
      <c r="W80" s="16" t="str">
        <f ca="1">IFERROR(S80/((VLOOKUP(N80,'FB Data'!$A$2:$E$150,3,FALSE))*'FB Laser'!M80),"")</f>
        <v/>
      </c>
    </row>
    <row r="81" spans="1:23">
      <c r="A81" s="132"/>
      <c r="B81" s="13"/>
      <c r="C81" s="13"/>
      <c r="D81" s="13"/>
      <c r="E81" s="13"/>
      <c r="F81" s="13"/>
      <c r="G81" s="12" t="str">
        <f t="shared" si="20"/>
        <v/>
      </c>
      <c r="H81" s="77">
        <f>IF(Forming!G81&gt;0,Forming!G81,0)</f>
        <v>0</v>
      </c>
      <c r="I81" s="77">
        <f>IF('Hardware Install'!E81&gt;0,'Hardware Install'!E81,0)</f>
        <v>0</v>
      </c>
      <c r="J81" s="77" t="str">
        <f ca="1">IFERROR(VLOOKUP('FB Laser'!A81,Machining!A81:G171,7,FALSE),"")</f>
        <v/>
      </c>
      <c r="K81" s="77" t="str">
        <f>IFERROR(IF(Finishing!G81&gt;0,VLOOKUP('FB Laser'!A81,Finishing!A81:G171,7,FALSE),""),"")</f>
        <v/>
      </c>
      <c r="L81" s="56">
        <f ca="1">IFERROR(SUM((H81*$Z$12),G81,I81,J81,K81,'FB Data'!AM80),"")</f>
        <v>0</v>
      </c>
      <c r="M81" s="54">
        <f t="shared" si="16"/>
        <v>0</v>
      </c>
      <c r="N81" s="14"/>
      <c r="O81" s="5" t="str">
        <f t="shared" si="21"/>
        <v/>
      </c>
      <c r="P81" s="2" t="str">
        <f t="shared" si="22"/>
        <v/>
      </c>
      <c r="Q81" s="2" t="str">
        <f t="shared" si="17"/>
        <v/>
      </c>
      <c r="R81" s="126"/>
      <c r="S81" s="43" t="str">
        <f t="shared" ca="1" si="23"/>
        <v/>
      </c>
      <c r="T81" s="43" t="str">
        <f ca="1">IFERROR(ROUND(S81*'Quote Info'!$O$4+R81,2),"")</f>
        <v/>
      </c>
      <c r="U81" s="44" t="str">
        <f t="shared" ca="1" si="18"/>
        <v/>
      </c>
      <c r="V81" s="44" t="str">
        <f t="shared" ca="1" si="19"/>
        <v/>
      </c>
      <c r="W81" s="16" t="str">
        <f ca="1">IFERROR(S81/((VLOOKUP(N81,'FB Data'!$A$2:$E$150,3,FALSE))*'FB Laser'!M81),"")</f>
        <v/>
      </c>
    </row>
    <row r="82" spans="1:23">
      <c r="A82" s="132"/>
      <c r="B82" s="13"/>
      <c r="C82" s="13"/>
      <c r="D82" s="13"/>
      <c r="E82" s="13"/>
      <c r="F82" s="13"/>
      <c r="G82" s="12" t="str">
        <f t="shared" si="20"/>
        <v/>
      </c>
      <c r="H82" s="77">
        <f>IF(Forming!G82&gt;0,Forming!G82,0)</f>
        <v>0</v>
      </c>
      <c r="I82" s="77">
        <f>IF('Hardware Install'!E82&gt;0,'Hardware Install'!E82,0)</f>
        <v>0</v>
      </c>
      <c r="J82" s="77" t="str">
        <f ca="1">IFERROR(VLOOKUP('FB Laser'!A82,Machining!A82:G172,7,FALSE),"")</f>
        <v/>
      </c>
      <c r="K82" s="77" t="str">
        <f>IFERROR(IF(Finishing!G82&gt;0,VLOOKUP('FB Laser'!A82,Finishing!A82:G172,7,FALSE),""),"")</f>
        <v/>
      </c>
      <c r="L82" s="56">
        <f ca="1">IFERROR(SUM((H82*$Z$12),G82,I82,J82,K82,'FB Data'!AM81),"")</f>
        <v>0</v>
      </c>
      <c r="M82" s="54">
        <f t="shared" si="16"/>
        <v>0</v>
      </c>
      <c r="N82" s="14"/>
      <c r="O82" s="5" t="str">
        <f t="shared" si="21"/>
        <v/>
      </c>
      <c r="P82" s="2" t="str">
        <f t="shared" si="22"/>
        <v/>
      </c>
      <c r="Q82" s="2" t="str">
        <f t="shared" si="17"/>
        <v/>
      </c>
      <c r="R82" s="126"/>
      <c r="S82" s="43" t="str">
        <f t="shared" ca="1" si="23"/>
        <v/>
      </c>
      <c r="T82" s="43" t="str">
        <f ca="1">IFERROR(ROUND(S82*'Quote Info'!$O$4+R82,2),"")</f>
        <v/>
      </c>
      <c r="U82" s="44" t="str">
        <f t="shared" ca="1" si="18"/>
        <v/>
      </c>
      <c r="V82" s="44" t="str">
        <f t="shared" ca="1" si="19"/>
        <v/>
      </c>
      <c r="W82" s="16" t="str">
        <f ca="1">IFERROR(S82/((VLOOKUP(N82,'FB Data'!$A$2:$E$150,3,FALSE))*'FB Laser'!M82),"")</f>
        <v/>
      </c>
    </row>
    <row r="83" spans="1:23">
      <c r="A83" s="132"/>
      <c r="B83" s="13"/>
      <c r="C83" s="13"/>
      <c r="D83" s="13"/>
      <c r="E83" s="13"/>
      <c r="F83" s="13"/>
      <c r="G83" s="12" t="str">
        <f t="shared" si="20"/>
        <v/>
      </c>
      <c r="H83" s="77">
        <f>IF(Forming!G83&gt;0,Forming!G83,0)</f>
        <v>0</v>
      </c>
      <c r="I83" s="77">
        <f>IF('Hardware Install'!E83&gt;0,'Hardware Install'!E83,0)</f>
        <v>0</v>
      </c>
      <c r="J83" s="77" t="str">
        <f ca="1">IFERROR(VLOOKUP('FB Laser'!A83,Machining!A83:G173,7,FALSE),"")</f>
        <v/>
      </c>
      <c r="K83" s="77" t="str">
        <f>IFERROR(IF(Finishing!G83&gt;0,VLOOKUP('FB Laser'!A83,Finishing!A83:G173,7,FALSE),""),"")</f>
        <v/>
      </c>
      <c r="L83" s="56">
        <f ca="1">IFERROR(SUM((H83*$Z$12),G83,I83,J83,K83,'FB Data'!AM82),"")</f>
        <v>0</v>
      </c>
      <c r="M83" s="54">
        <f t="shared" si="16"/>
        <v>0</v>
      </c>
      <c r="N83" s="14"/>
      <c r="O83" s="5" t="str">
        <f t="shared" si="21"/>
        <v/>
      </c>
      <c r="P83" s="2" t="str">
        <f t="shared" si="22"/>
        <v/>
      </c>
      <c r="Q83" s="2" t="str">
        <f t="shared" si="17"/>
        <v/>
      </c>
      <c r="R83" s="126"/>
      <c r="S83" s="43" t="str">
        <f t="shared" ca="1" si="23"/>
        <v/>
      </c>
      <c r="T83" s="43" t="str">
        <f ca="1">IFERROR(ROUND(S83*'Quote Info'!$O$4+R83,2),"")</f>
        <v/>
      </c>
      <c r="U83" s="44" t="str">
        <f t="shared" ca="1" si="18"/>
        <v/>
      </c>
      <c r="V83" s="44" t="str">
        <f t="shared" ca="1" si="19"/>
        <v/>
      </c>
      <c r="W83" s="16" t="str">
        <f ca="1">IFERROR(S83/((VLOOKUP(N83,'FB Data'!$A$2:$E$150,3,FALSE))*'FB Laser'!M83),"")</f>
        <v/>
      </c>
    </row>
    <row r="84" spans="1:23">
      <c r="A84" s="132"/>
      <c r="B84" s="13"/>
      <c r="C84" s="13"/>
      <c r="D84" s="13"/>
      <c r="E84" s="13"/>
      <c r="F84" s="13"/>
      <c r="G84" s="12" t="str">
        <f t="shared" si="20"/>
        <v/>
      </c>
      <c r="H84" s="77">
        <f>IF(Forming!G84&gt;0,Forming!G84,0)</f>
        <v>0</v>
      </c>
      <c r="I84" s="77">
        <f>IF('Hardware Install'!E84&gt;0,'Hardware Install'!E84,0)</f>
        <v>0</v>
      </c>
      <c r="J84" s="77" t="str">
        <f ca="1">IFERROR(VLOOKUP('FB Laser'!A84,Machining!A84:G174,7,FALSE),"")</f>
        <v/>
      </c>
      <c r="K84" s="77" t="str">
        <f>IFERROR(IF(Finishing!G84&gt;0,VLOOKUP('FB Laser'!A84,Finishing!A84:G174,7,FALSE),""),"")</f>
        <v/>
      </c>
      <c r="L84" s="56">
        <f ca="1">IFERROR(SUM((H84*$Z$12),G84,I84,J84,K84,'FB Data'!AM83),"")</f>
        <v>0</v>
      </c>
      <c r="M84" s="54">
        <f t="shared" si="16"/>
        <v>0</v>
      </c>
      <c r="N84" s="14"/>
      <c r="O84" s="5" t="str">
        <f t="shared" si="21"/>
        <v/>
      </c>
      <c r="P84" s="2" t="str">
        <f t="shared" si="22"/>
        <v/>
      </c>
      <c r="Q84" s="2" t="str">
        <f t="shared" si="17"/>
        <v/>
      </c>
      <c r="R84" s="126"/>
      <c r="S84" s="43" t="str">
        <f t="shared" ca="1" si="23"/>
        <v/>
      </c>
      <c r="T84" s="43" t="str">
        <f ca="1">IFERROR(ROUND(S84*'Quote Info'!$O$4+R84,2),"")</f>
        <v/>
      </c>
      <c r="U84" s="44" t="str">
        <f t="shared" ca="1" si="18"/>
        <v/>
      </c>
      <c r="V84" s="44" t="str">
        <f t="shared" ca="1" si="19"/>
        <v/>
      </c>
      <c r="W84" s="16" t="str">
        <f ca="1">IFERROR(S84/((VLOOKUP(N84,'FB Data'!$A$2:$E$150,3,FALSE))*'FB Laser'!M84),"")</f>
        <v/>
      </c>
    </row>
    <row r="85" spans="1:23">
      <c r="A85" s="132"/>
      <c r="B85" s="13"/>
      <c r="C85" s="13"/>
      <c r="D85" s="13"/>
      <c r="E85" s="13"/>
      <c r="F85" s="13"/>
      <c r="G85" s="12" t="str">
        <f t="shared" si="20"/>
        <v/>
      </c>
      <c r="H85" s="77">
        <f>IF(Forming!G85&gt;0,Forming!G85,0)</f>
        <v>0</v>
      </c>
      <c r="I85" s="77">
        <f>IF('Hardware Install'!E85&gt;0,'Hardware Install'!E85,0)</f>
        <v>0</v>
      </c>
      <c r="J85" s="77" t="str">
        <f ca="1">IFERROR(VLOOKUP('FB Laser'!A85,Machining!A85:G175,7,FALSE),"")</f>
        <v/>
      </c>
      <c r="K85" s="77" t="str">
        <f>IFERROR(IF(Finishing!G85&gt;0,VLOOKUP('FB Laser'!A85,Finishing!A85:G175,7,FALSE),""),"")</f>
        <v/>
      </c>
      <c r="L85" s="56">
        <f ca="1">IFERROR(SUM((H85*$Z$12),G85,I85,J85,K85,'FB Data'!AM84),"")</f>
        <v>0</v>
      </c>
      <c r="M85" s="54">
        <f t="shared" si="16"/>
        <v>0</v>
      </c>
      <c r="N85" s="14"/>
      <c r="O85" s="5" t="str">
        <f t="shared" si="21"/>
        <v/>
      </c>
      <c r="P85" s="2" t="str">
        <f t="shared" si="22"/>
        <v/>
      </c>
      <c r="Q85" s="2" t="str">
        <f t="shared" si="17"/>
        <v/>
      </c>
      <c r="R85" s="126"/>
      <c r="S85" s="43" t="str">
        <f t="shared" ca="1" si="23"/>
        <v/>
      </c>
      <c r="T85" s="43" t="str">
        <f ca="1">IFERROR(ROUND(S85*'Quote Info'!$O$4+R85,2),"")</f>
        <v/>
      </c>
      <c r="U85" s="44" t="str">
        <f t="shared" ca="1" si="18"/>
        <v/>
      </c>
      <c r="V85" s="44" t="str">
        <f t="shared" ca="1" si="19"/>
        <v/>
      </c>
      <c r="W85" s="16" t="str">
        <f ca="1">IFERROR(S85/((VLOOKUP(N85,'FB Data'!$A$2:$E$150,3,FALSE))*'FB Laser'!M85),"")</f>
        <v/>
      </c>
    </row>
    <row r="86" spans="1:23">
      <c r="A86" s="132"/>
      <c r="B86" s="13"/>
      <c r="C86" s="13"/>
      <c r="D86" s="13"/>
      <c r="E86" s="13"/>
      <c r="F86" s="13"/>
      <c r="G86" s="12" t="str">
        <f t="shared" si="20"/>
        <v/>
      </c>
      <c r="H86" s="77">
        <f>IF(Forming!G86&gt;0,Forming!G86,0)</f>
        <v>0</v>
      </c>
      <c r="I86" s="77">
        <f>IF('Hardware Install'!E86&gt;0,'Hardware Install'!E86,0)</f>
        <v>0</v>
      </c>
      <c r="J86" s="77" t="str">
        <f ca="1">IFERROR(VLOOKUP('FB Laser'!A86,Machining!A86:G176,7,FALSE),"")</f>
        <v/>
      </c>
      <c r="K86" s="77" t="str">
        <f>IFERROR(IF(Finishing!G86&gt;0,VLOOKUP('FB Laser'!A86,Finishing!A86:G176,7,FALSE),""),"")</f>
        <v/>
      </c>
      <c r="L86" s="56">
        <f ca="1">IFERROR(SUM((H86*$Z$12),G86,I86,J86,K86,'FB Data'!AM85),"")</f>
        <v>0</v>
      </c>
      <c r="M86" s="54">
        <f t="shared" si="16"/>
        <v>0</v>
      </c>
      <c r="N86" s="14"/>
      <c r="O86" s="5" t="str">
        <f t="shared" si="21"/>
        <v/>
      </c>
      <c r="P86" s="2" t="str">
        <f t="shared" si="22"/>
        <v/>
      </c>
      <c r="Q86" s="2" t="str">
        <f t="shared" si="17"/>
        <v/>
      </c>
      <c r="R86" s="126"/>
      <c r="S86" s="43" t="str">
        <f t="shared" ca="1" si="23"/>
        <v/>
      </c>
      <c r="T86" s="43" t="str">
        <f ca="1">IFERROR(ROUND(S86*'Quote Info'!$O$4+R86,2),"")</f>
        <v/>
      </c>
      <c r="U86" s="44" t="str">
        <f t="shared" ca="1" si="18"/>
        <v/>
      </c>
      <c r="V86" s="44" t="str">
        <f t="shared" ca="1" si="19"/>
        <v/>
      </c>
      <c r="W86" s="16" t="str">
        <f ca="1">IFERROR(S86/((VLOOKUP(N86,'FB Data'!$A$2:$E$150,3,FALSE))*'FB Laser'!M86),"")</f>
        <v/>
      </c>
    </row>
    <row r="87" spans="1:23">
      <c r="A87" s="132"/>
      <c r="B87" s="13"/>
      <c r="C87" s="13"/>
      <c r="D87" s="13"/>
      <c r="E87" s="13"/>
      <c r="F87" s="13"/>
      <c r="G87" s="12" t="str">
        <f t="shared" si="20"/>
        <v/>
      </c>
      <c r="H87" s="77">
        <f>IF(Forming!G87&gt;0,Forming!G87,0)</f>
        <v>0</v>
      </c>
      <c r="I87" s="77">
        <f>IF('Hardware Install'!E87&gt;0,'Hardware Install'!E87,0)</f>
        <v>0</v>
      </c>
      <c r="J87" s="77" t="str">
        <f ca="1">IFERROR(VLOOKUP('FB Laser'!A87,Machining!A87:G177,7,FALSE),"")</f>
        <v/>
      </c>
      <c r="K87" s="77" t="str">
        <f>IFERROR(IF(Finishing!G87&gt;0,VLOOKUP('FB Laser'!A87,Finishing!A87:G177,7,FALSE),""),"")</f>
        <v/>
      </c>
      <c r="L87" s="56">
        <f ca="1">IFERROR(SUM((H87*$Z$12),G87,I87,J87,K87,'FB Data'!AM86),"")</f>
        <v>0</v>
      </c>
      <c r="M87" s="54">
        <f t="shared" si="16"/>
        <v>0</v>
      </c>
      <c r="N87" s="14"/>
      <c r="O87" s="5" t="str">
        <f t="shared" si="21"/>
        <v/>
      </c>
      <c r="P87" s="2" t="str">
        <f t="shared" si="22"/>
        <v/>
      </c>
      <c r="Q87" s="2" t="str">
        <f t="shared" si="17"/>
        <v/>
      </c>
      <c r="R87" s="126"/>
      <c r="S87" s="43" t="str">
        <f t="shared" ca="1" si="23"/>
        <v/>
      </c>
      <c r="T87" s="43" t="str">
        <f ca="1">IFERROR(ROUND(S87*'Quote Info'!$O$4+R87,2),"")</f>
        <v/>
      </c>
      <c r="U87" s="44" t="str">
        <f t="shared" ca="1" si="18"/>
        <v/>
      </c>
      <c r="V87" s="44" t="str">
        <f t="shared" ca="1" si="19"/>
        <v/>
      </c>
      <c r="W87" s="16" t="str">
        <f ca="1">IFERROR(S87/((VLOOKUP(N87,'FB Data'!$A$2:$E$150,3,FALSE))*'FB Laser'!M87),"")</f>
        <v/>
      </c>
    </row>
    <row r="88" spans="1:23">
      <c r="A88" s="132"/>
      <c r="B88" s="13"/>
      <c r="C88" s="13"/>
      <c r="D88" s="13"/>
      <c r="E88" s="13"/>
      <c r="F88" s="13"/>
      <c r="G88" s="12" t="str">
        <f t="shared" si="20"/>
        <v/>
      </c>
      <c r="H88" s="77">
        <f>IF(Forming!G88&gt;0,Forming!G88,0)</f>
        <v>0</v>
      </c>
      <c r="I88" s="77">
        <f>IF('Hardware Install'!E88&gt;0,'Hardware Install'!E88,0)</f>
        <v>0</v>
      </c>
      <c r="J88" s="77" t="str">
        <f ca="1">IFERROR(VLOOKUP('FB Laser'!A88,Machining!A88:G178,7,FALSE),"")</f>
        <v/>
      </c>
      <c r="K88" s="77" t="str">
        <f>IFERROR(IF(Finishing!G88&gt;0,VLOOKUP('FB Laser'!A88,Finishing!A88:G178,7,FALSE),""),"")</f>
        <v/>
      </c>
      <c r="L88" s="56">
        <f ca="1">IFERROR(SUM((H88*$Z$12),G88,I88,J88,K88,'FB Data'!AM87),"")</f>
        <v>0</v>
      </c>
      <c r="M88" s="54">
        <f t="shared" si="16"/>
        <v>0</v>
      </c>
      <c r="N88" s="14"/>
      <c r="O88" s="5" t="str">
        <f t="shared" si="21"/>
        <v/>
      </c>
      <c r="P88" s="2" t="str">
        <f t="shared" si="22"/>
        <v/>
      </c>
      <c r="Q88" s="2" t="str">
        <f t="shared" si="17"/>
        <v/>
      </c>
      <c r="R88" s="126"/>
      <c r="S88" s="43" t="str">
        <f t="shared" ca="1" si="23"/>
        <v/>
      </c>
      <c r="T88" s="43" t="str">
        <f ca="1">IFERROR(ROUND(S88*'Quote Info'!$O$4+R88,2),"")</f>
        <v/>
      </c>
      <c r="U88" s="44" t="str">
        <f t="shared" ca="1" si="18"/>
        <v/>
      </c>
      <c r="V88" s="44" t="str">
        <f t="shared" ca="1" si="19"/>
        <v/>
      </c>
      <c r="W88" s="16" t="str">
        <f ca="1">IFERROR(S88/((VLOOKUP(N88,'FB Data'!$A$2:$E$150,3,FALSE))*'FB Laser'!M88),"")</f>
        <v/>
      </c>
    </row>
    <row r="89" spans="1:23">
      <c r="A89" s="132"/>
      <c r="B89" s="13"/>
      <c r="C89" s="13"/>
      <c r="D89" s="13"/>
      <c r="E89" s="13"/>
      <c r="F89" s="13"/>
      <c r="G89" s="12" t="str">
        <f t="shared" si="20"/>
        <v/>
      </c>
      <c r="H89" s="77">
        <f>IF(Forming!G89&gt;0,Forming!G89,0)</f>
        <v>0</v>
      </c>
      <c r="I89" s="77">
        <f>IF('Hardware Install'!E89&gt;0,'Hardware Install'!E89,0)</f>
        <v>0</v>
      </c>
      <c r="J89" s="77" t="str">
        <f ca="1">IFERROR(VLOOKUP('FB Laser'!A89,Machining!A89:G179,7,FALSE),"")</f>
        <v/>
      </c>
      <c r="K89" s="77" t="str">
        <f>IFERROR(IF(Finishing!G89&gt;0,VLOOKUP('FB Laser'!A89,Finishing!A89:G179,7,FALSE),""),"")</f>
        <v/>
      </c>
      <c r="L89" s="56">
        <f ca="1">IFERROR(SUM((H89*$Z$12),G89,I89,J89,K89,'FB Data'!AM88),"")</f>
        <v>0</v>
      </c>
      <c r="M89" s="54">
        <f t="shared" si="16"/>
        <v>0</v>
      </c>
      <c r="N89" s="14"/>
      <c r="O89" s="5" t="str">
        <f t="shared" si="21"/>
        <v/>
      </c>
      <c r="P89" s="2" t="str">
        <f t="shared" si="22"/>
        <v/>
      </c>
      <c r="Q89" s="2" t="str">
        <f t="shared" si="17"/>
        <v/>
      </c>
      <c r="R89" s="126"/>
      <c r="S89" s="43" t="str">
        <f t="shared" ca="1" si="23"/>
        <v/>
      </c>
      <c r="T89" s="43" t="str">
        <f ca="1">IFERROR(ROUND(S89*'Quote Info'!$O$4+R89,2),"")</f>
        <v/>
      </c>
      <c r="U89" s="44" t="str">
        <f t="shared" ca="1" si="18"/>
        <v/>
      </c>
      <c r="V89" s="44" t="str">
        <f t="shared" ca="1" si="19"/>
        <v/>
      </c>
      <c r="W89" s="16" t="str">
        <f ca="1">IFERROR(S89/((VLOOKUP(N89,'FB Data'!$A$2:$E$150,3,FALSE))*'FB Laser'!M89),"")</f>
        <v/>
      </c>
    </row>
    <row r="90" spans="1:23">
      <c r="A90" s="132"/>
      <c r="B90" s="13"/>
      <c r="C90" s="13"/>
      <c r="D90" s="13"/>
      <c r="E90" s="13"/>
      <c r="F90" s="13"/>
      <c r="G90" s="12" t="str">
        <f t="shared" si="20"/>
        <v/>
      </c>
      <c r="H90" s="77">
        <f>IF(Forming!G90&gt;0,Forming!G90,0)</f>
        <v>0</v>
      </c>
      <c r="I90" s="77">
        <f>IF('Hardware Install'!E90&gt;0,'Hardware Install'!E90,0)</f>
        <v>0</v>
      </c>
      <c r="J90" s="77" t="str">
        <f ca="1">IFERROR(VLOOKUP('FB Laser'!A90,Machining!A90:G180,7,FALSE),"")</f>
        <v/>
      </c>
      <c r="K90" s="77" t="str">
        <f>IFERROR(IF(Finishing!G90&gt;0,VLOOKUP('FB Laser'!A90,Finishing!A90:G180,7,FALSE),""),"")</f>
        <v/>
      </c>
      <c r="L90" s="56">
        <f ca="1">IFERROR(SUM((H90*$Z$12),G90,I90,J90,K90,'FB Data'!AM89),"")</f>
        <v>0</v>
      </c>
      <c r="M90" s="54">
        <f t="shared" si="16"/>
        <v>0</v>
      </c>
      <c r="N90" s="14"/>
      <c r="O90" s="5" t="str">
        <f t="shared" si="21"/>
        <v/>
      </c>
      <c r="P90" s="2" t="str">
        <f t="shared" si="22"/>
        <v/>
      </c>
      <c r="Q90" s="2" t="str">
        <f t="shared" si="17"/>
        <v/>
      </c>
      <c r="R90" s="126"/>
      <c r="S90" s="43" t="str">
        <f t="shared" ca="1" si="23"/>
        <v/>
      </c>
      <c r="T90" s="43" t="str">
        <f ca="1">IFERROR(ROUND(S90*'Quote Info'!$O$4+R90,2),"")</f>
        <v/>
      </c>
      <c r="U90" s="44" t="str">
        <f t="shared" ca="1" si="18"/>
        <v/>
      </c>
      <c r="V90" s="44" t="str">
        <f t="shared" ca="1" si="19"/>
        <v/>
      </c>
      <c r="W90" s="16" t="str">
        <f ca="1">IFERROR(S90/((VLOOKUP(N90,'FB Data'!$A$2:$E$150,3,FALSE))*'FB Laser'!M90),"")</f>
        <v/>
      </c>
    </row>
    <row r="91" spans="1:23">
      <c r="A91" s="132"/>
      <c r="B91" s="13"/>
      <c r="C91" s="13"/>
      <c r="D91" s="13"/>
      <c r="E91" s="13"/>
      <c r="F91" s="13"/>
      <c r="G91" s="12" t="str">
        <f t="shared" si="20"/>
        <v/>
      </c>
      <c r="H91" s="77">
        <f>IF(Forming!G91&gt;0,Forming!G91,0)</f>
        <v>0</v>
      </c>
      <c r="I91" s="77">
        <f>IF('Hardware Install'!E91&gt;0,'Hardware Install'!E91,0)</f>
        <v>0</v>
      </c>
      <c r="J91" s="77" t="str">
        <f ca="1">IFERROR(VLOOKUP('FB Laser'!A91,Machining!A91:G181,7,FALSE),"")</f>
        <v/>
      </c>
      <c r="K91" s="77" t="str">
        <f>IFERROR(IF(Finishing!G91&gt;0,VLOOKUP('FB Laser'!A91,Finishing!A91:G181,7,FALSE),""),"")</f>
        <v/>
      </c>
      <c r="L91" s="56">
        <f ca="1">IFERROR(SUM((H91*$Z$12),G91,I91,J91,K91,'FB Data'!AM90),"")</f>
        <v>0</v>
      </c>
      <c r="M91" s="54">
        <f t="shared" si="16"/>
        <v>0</v>
      </c>
      <c r="N91" s="14"/>
      <c r="O91" s="5" t="str">
        <f t="shared" si="21"/>
        <v/>
      </c>
      <c r="P91" s="2" t="str">
        <f t="shared" si="22"/>
        <v/>
      </c>
      <c r="Q91" s="2" t="str">
        <f t="shared" si="17"/>
        <v/>
      </c>
      <c r="R91" s="126"/>
      <c r="S91" s="43" t="str">
        <f t="shared" ca="1" si="23"/>
        <v/>
      </c>
      <c r="T91" s="43" t="str">
        <f ca="1">IFERROR(ROUND(S91*'Quote Info'!$O$4+R91,2),"")</f>
        <v/>
      </c>
      <c r="U91" s="44" t="str">
        <f t="shared" ca="1" si="18"/>
        <v/>
      </c>
      <c r="V91" s="44" t="str">
        <f t="shared" ca="1" si="19"/>
        <v/>
      </c>
      <c r="W91" s="16" t="str">
        <f ca="1">IFERROR(S91/((VLOOKUP(N91,'FB Data'!$A$2:$E$150,3,FALSE))*'FB Laser'!M91),"")</f>
        <v/>
      </c>
    </row>
    <row r="92" spans="1:23">
      <c r="A92" s="132"/>
      <c r="B92" s="13"/>
      <c r="C92" s="13"/>
      <c r="D92" s="13"/>
      <c r="E92" s="13"/>
      <c r="F92" s="13"/>
      <c r="G92" s="12" t="str">
        <f t="shared" si="20"/>
        <v/>
      </c>
      <c r="H92" s="77">
        <f>IF(Forming!G92&gt;0,Forming!G92,0)</f>
        <v>0</v>
      </c>
      <c r="I92" s="77">
        <f>IF('Hardware Install'!E92&gt;0,'Hardware Install'!E92,0)</f>
        <v>0</v>
      </c>
      <c r="J92" s="77" t="str">
        <f ca="1">IFERROR(VLOOKUP('FB Laser'!A92,Machining!A92:G182,7,FALSE),"")</f>
        <v/>
      </c>
      <c r="K92" s="77" t="str">
        <f>IFERROR(IF(Finishing!G92&gt;0,VLOOKUP('FB Laser'!A92,Finishing!A92:G182,7,FALSE),""),"")</f>
        <v/>
      </c>
      <c r="L92" s="56">
        <f ca="1">IFERROR(SUM((H92*$Z$12),G92,I92,J92,K92,'FB Data'!AM91),"")</f>
        <v>0</v>
      </c>
      <c r="M92" s="54">
        <f t="shared" si="16"/>
        <v>0</v>
      </c>
      <c r="N92" s="14"/>
      <c r="O92" s="5" t="str">
        <f t="shared" si="21"/>
        <v/>
      </c>
      <c r="P92" s="2" t="str">
        <f t="shared" si="22"/>
        <v/>
      </c>
      <c r="Q92" s="2" t="str">
        <f t="shared" si="17"/>
        <v/>
      </c>
      <c r="R92" s="126"/>
      <c r="S92" s="43" t="str">
        <f t="shared" ca="1" si="23"/>
        <v/>
      </c>
      <c r="T92" s="43" t="str">
        <f ca="1">IFERROR(ROUND(S92*'Quote Info'!$O$4+R92,2),"")</f>
        <v/>
      </c>
      <c r="U92" s="44" t="str">
        <f t="shared" ca="1" si="18"/>
        <v/>
      </c>
      <c r="V92" s="44" t="str">
        <f t="shared" ca="1" si="19"/>
        <v/>
      </c>
      <c r="W92" s="16" t="str">
        <f ca="1">IFERROR(S92/((VLOOKUP(N92,'FB Data'!$A$2:$E$150,3,FALSE))*'FB Laser'!M92),"")</f>
        <v/>
      </c>
    </row>
    <row r="93" spans="1:23">
      <c r="A93" s="132"/>
      <c r="B93" s="13"/>
      <c r="C93" s="13"/>
      <c r="D93" s="13"/>
      <c r="E93" s="13"/>
      <c r="F93" s="13"/>
      <c r="G93" s="12" t="str">
        <f t="shared" si="20"/>
        <v/>
      </c>
      <c r="H93" s="77">
        <f>IF(Forming!G93&gt;0,Forming!G93,0)</f>
        <v>0</v>
      </c>
      <c r="I93" s="77">
        <f>IF('Hardware Install'!E93&gt;0,'Hardware Install'!E93,0)</f>
        <v>0</v>
      </c>
      <c r="J93" s="77" t="str">
        <f ca="1">IFERROR(VLOOKUP('FB Laser'!A93,Machining!A93:G183,7,FALSE),"")</f>
        <v/>
      </c>
      <c r="K93" s="77" t="str">
        <f>IFERROR(IF(Finishing!G93&gt;0,VLOOKUP('FB Laser'!A93,Finishing!A93:G183,7,FALSE),""),"")</f>
        <v/>
      </c>
      <c r="L93" s="56">
        <f ca="1">IFERROR(SUM((H93*$Z$12),G93,I93,J93,K93,'FB Data'!AM92),"")</f>
        <v>0</v>
      </c>
      <c r="M93" s="54">
        <f t="shared" si="16"/>
        <v>0</v>
      </c>
      <c r="N93" s="14"/>
      <c r="O93" s="5" t="str">
        <f t="shared" si="21"/>
        <v/>
      </c>
      <c r="P93" s="2" t="str">
        <f t="shared" si="22"/>
        <v/>
      </c>
      <c r="Q93" s="2" t="str">
        <f t="shared" si="17"/>
        <v/>
      </c>
      <c r="R93" s="126"/>
      <c r="S93" s="43" t="str">
        <f t="shared" ca="1" si="23"/>
        <v/>
      </c>
      <c r="T93" s="43" t="str">
        <f ca="1">IFERROR(ROUND(S93*'Quote Info'!$O$4+R93,2),"")</f>
        <v/>
      </c>
      <c r="U93" s="44" t="str">
        <f t="shared" ca="1" si="18"/>
        <v/>
      </c>
      <c r="V93" s="44" t="str">
        <f t="shared" ca="1" si="19"/>
        <v/>
      </c>
      <c r="W93" s="16" t="str">
        <f ca="1">IFERROR(S93/((VLOOKUP(N93,'FB Data'!$A$2:$E$150,3,FALSE))*'FB Laser'!M93),"")</f>
        <v/>
      </c>
    </row>
    <row r="94" spans="1:23">
      <c r="A94" s="132"/>
      <c r="B94" s="13"/>
      <c r="C94" s="13"/>
      <c r="D94" s="13"/>
      <c r="E94" s="13"/>
      <c r="F94" s="13"/>
      <c r="G94" s="12" t="str">
        <f t="shared" si="20"/>
        <v/>
      </c>
      <c r="H94" s="77">
        <f>IF(Forming!G94&gt;0,Forming!G94,0)</f>
        <v>0</v>
      </c>
      <c r="I94" s="77">
        <f>IF('Hardware Install'!E94&gt;0,'Hardware Install'!E94,0)</f>
        <v>0</v>
      </c>
      <c r="J94" s="77" t="str">
        <f ca="1">IFERROR(VLOOKUP('FB Laser'!A94,Machining!A94:G184,7,FALSE),"")</f>
        <v/>
      </c>
      <c r="K94" s="77" t="str">
        <f>IFERROR(IF(Finishing!G94&gt;0,VLOOKUP('FB Laser'!A94,Finishing!A94:G184,7,FALSE),""),"")</f>
        <v/>
      </c>
      <c r="L94" s="56">
        <f ca="1">IFERROR(SUM((H94*$Z$12),G94,I94,J94,K94,'FB Data'!AM93),"")</f>
        <v>0</v>
      </c>
      <c r="M94" s="54">
        <f t="shared" si="16"/>
        <v>0</v>
      </c>
      <c r="N94" s="14"/>
      <c r="O94" s="5" t="str">
        <f t="shared" si="21"/>
        <v/>
      </c>
      <c r="P94" s="2" t="str">
        <f t="shared" si="22"/>
        <v/>
      </c>
      <c r="Q94" s="2" t="str">
        <f t="shared" si="17"/>
        <v/>
      </c>
      <c r="R94" s="126"/>
      <c r="S94" s="43" t="str">
        <f t="shared" ca="1" si="23"/>
        <v/>
      </c>
      <c r="T94" s="43" t="str">
        <f ca="1">IFERROR(ROUND(S94*'Quote Info'!$O$4+R94,2),"")</f>
        <v/>
      </c>
      <c r="U94" s="44" t="str">
        <f t="shared" ca="1" si="18"/>
        <v/>
      </c>
      <c r="V94" s="44" t="str">
        <f t="shared" ca="1" si="19"/>
        <v/>
      </c>
      <c r="W94" s="16" t="str">
        <f ca="1">IFERROR(S94/((VLOOKUP(N94,'FB Data'!$A$2:$E$150,3,FALSE))*'FB Laser'!M94),"")</f>
        <v/>
      </c>
    </row>
    <row r="95" spans="1:23">
      <c r="A95" s="132"/>
      <c r="B95" s="13"/>
      <c r="C95" s="13"/>
      <c r="D95" s="13"/>
      <c r="E95" s="13"/>
      <c r="F95" s="13"/>
      <c r="G95" s="12" t="str">
        <f t="shared" si="20"/>
        <v/>
      </c>
      <c r="H95" s="77">
        <f>IF(Forming!G95&gt;0,Forming!G95,0)</f>
        <v>0</v>
      </c>
      <c r="I95" s="77">
        <f>IF('Hardware Install'!E95&gt;0,'Hardware Install'!E95,0)</f>
        <v>0</v>
      </c>
      <c r="J95" s="77" t="str">
        <f ca="1">IFERROR(VLOOKUP('FB Laser'!A95,Machining!A95:G185,7,FALSE),"")</f>
        <v/>
      </c>
      <c r="K95" s="77" t="str">
        <f>IFERROR(IF(Finishing!G95&gt;0,VLOOKUP('FB Laser'!A95,Finishing!A95:G185,7,FALSE),""),"")</f>
        <v/>
      </c>
      <c r="L95" s="56">
        <f ca="1">IFERROR(SUM((H95*$Z$12),G95,I95,J95,K95,'FB Data'!AM94),"")</f>
        <v>0</v>
      </c>
      <c r="M95" s="54">
        <f t="shared" si="16"/>
        <v>0</v>
      </c>
      <c r="N95" s="14"/>
      <c r="O95" s="5" t="str">
        <f t="shared" si="21"/>
        <v/>
      </c>
      <c r="P95" s="2" t="str">
        <f t="shared" si="22"/>
        <v/>
      </c>
      <c r="Q95" s="2" t="str">
        <f t="shared" si="17"/>
        <v/>
      </c>
      <c r="R95" s="126"/>
      <c r="S95" s="43" t="str">
        <f t="shared" ca="1" si="23"/>
        <v/>
      </c>
      <c r="T95" s="43" t="str">
        <f ca="1">IFERROR(ROUND(S95*'Quote Info'!$O$4+R95,2),"")</f>
        <v/>
      </c>
      <c r="U95" s="44" t="str">
        <f t="shared" ca="1" si="18"/>
        <v/>
      </c>
      <c r="V95" s="44" t="str">
        <f t="shared" ca="1" si="19"/>
        <v/>
      </c>
      <c r="W95" s="16" t="str">
        <f ca="1">IFERROR(S95/((VLOOKUP(N95,'FB Data'!$A$2:$E$150,3,FALSE))*'FB Laser'!M95),"")</f>
        <v/>
      </c>
    </row>
    <row r="96" spans="1:23">
      <c r="A96" s="132"/>
      <c r="B96" s="13"/>
      <c r="C96" s="13"/>
      <c r="D96" s="13"/>
      <c r="E96" s="13"/>
      <c r="F96" s="13"/>
      <c r="G96" s="12" t="str">
        <f t="shared" si="20"/>
        <v/>
      </c>
      <c r="H96" s="77">
        <f>IF(Forming!G96&gt;0,Forming!G96,0)</f>
        <v>0</v>
      </c>
      <c r="I96" s="77">
        <f>IF('Hardware Install'!E96&gt;0,'Hardware Install'!E96,0)</f>
        <v>0</v>
      </c>
      <c r="J96" s="77" t="str">
        <f ca="1">IFERROR(VLOOKUP('FB Laser'!A96,Machining!A96:G186,7,FALSE),"")</f>
        <v/>
      </c>
      <c r="K96" s="77" t="str">
        <f>IFERROR(IF(Finishing!G96&gt;0,VLOOKUP('FB Laser'!A96,Finishing!A96:G186,7,FALSE),""),"")</f>
        <v/>
      </c>
      <c r="L96" s="56">
        <f ca="1">IFERROR(SUM((H96*$Z$12),G96,I96,J96,K96,'FB Data'!AM95),"")</f>
        <v>0</v>
      </c>
      <c r="M96" s="54">
        <f t="shared" si="16"/>
        <v>0</v>
      </c>
      <c r="N96" s="14"/>
      <c r="O96" s="5" t="str">
        <f t="shared" si="21"/>
        <v/>
      </c>
      <c r="P96" s="2" t="str">
        <f t="shared" si="22"/>
        <v/>
      </c>
      <c r="Q96" s="2" t="str">
        <f t="shared" si="17"/>
        <v/>
      </c>
      <c r="R96" s="126"/>
      <c r="S96" s="43" t="str">
        <f t="shared" ca="1" si="23"/>
        <v/>
      </c>
      <c r="T96" s="43" t="str">
        <f ca="1">IFERROR(ROUND(S96*'Quote Info'!$O$4+R96,2),"")</f>
        <v/>
      </c>
      <c r="U96" s="44" t="str">
        <f t="shared" ca="1" si="18"/>
        <v/>
      </c>
      <c r="V96" s="44" t="str">
        <f t="shared" ca="1" si="19"/>
        <v/>
      </c>
      <c r="W96" s="16" t="str">
        <f ca="1">IFERROR(S96/((VLOOKUP(N96,'FB Data'!$A$2:$E$150,3,FALSE))*'FB Laser'!M96),"")</f>
        <v/>
      </c>
    </row>
    <row r="97" spans="1:23">
      <c r="A97" s="132"/>
      <c r="B97" s="13"/>
      <c r="C97" s="13"/>
      <c r="D97" s="13"/>
      <c r="E97" s="13"/>
      <c r="F97" s="13"/>
      <c r="G97" s="12" t="str">
        <f t="shared" si="20"/>
        <v/>
      </c>
      <c r="H97" s="77">
        <f>IF(Forming!G97&gt;0,Forming!G97,0)</f>
        <v>0</v>
      </c>
      <c r="I97" s="77">
        <f>IF('Hardware Install'!E97&gt;0,'Hardware Install'!E97,0)</f>
        <v>0</v>
      </c>
      <c r="J97" s="77" t="str">
        <f ca="1">IFERROR(VLOOKUP('FB Laser'!A97,Machining!A97:G187,7,FALSE),"")</f>
        <v/>
      </c>
      <c r="K97" s="77" t="str">
        <f>IFERROR(IF(Finishing!G97&gt;0,VLOOKUP('FB Laser'!A97,Finishing!A97:G187,7,FALSE),""),"")</f>
        <v/>
      </c>
      <c r="L97" s="56">
        <f ca="1">IFERROR(SUM((H97*$Z$12),G97,I97,J97,K97,'FB Data'!AM96),"")</f>
        <v>0</v>
      </c>
      <c r="M97" s="54">
        <f t="shared" si="16"/>
        <v>0</v>
      </c>
      <c r="N97" s="14"/>
      <c r="O97" s="5" t="str">
        <f t="shared" si="21"/>
        <v/>
      </c>
      <c r="P97" s="2" t="str">
        <f t="shared" si="22"/>
        <v/>
      </c>
      <c r="Q97" s="2" t="str">
        <f t="shared" si="17"/>
        <v/>
      </c>
      <c r="R97" s="126"/>
      <c r="S97" s="43" t="str">
        <f t="shared" ca="1" si="23"/>
        <v/>
      </c>
      <c r="T97" s="43" t="str">
        <f ca="1">IFERROR(ROUND(S97*'Quote Info'!$O$4+R97,2),"")</f>
        <v/>
      </c>
      <c r="U97" s="44" t="str">
        <f t="shared" ca="1" si="18"/>
        <v/>
      </c>
      <c r="V97" s="44" t="str">
        <f t="shared" ca="1" si="19"/>
        <v/>
      </c>
      <c r="W97" s="16" t="str">
        <f ca="1">IFERROR(S97/((VLOOKUP(N97,'FB Data'!$A$2:$E$150,3,FALSE))*'FB Laser'!M97),"")</f>
        <v/>
      </c>
    </row>
    <row r="98" spans="1:23">
      <c r="A98" s="132"/>
      <c r="B98" s="13"/>
      <c r="C98" s="13"/>
      <c r="D98" s="13"/>
      <c r="E98" s="13"/>
      <c r="F98" s="13"/>
      <c r="G98" s="12" t="str">
        <f t="shared" si="20"/>
        <v/>
      </c>
      <c r="H98" s="77">
        <f>IF(Forming!G98&gt;0,Forming!G98,0)</f>
        <v>0</v>
      </c>
      <c r="I98" s="77">
        <f>IF('Hardware Install'!E98&gt;0,'Hardware Install'!E98,0)</f>
        <v>0</v>
      </c>
      <c r="J98" s="77" t="str">
        <f ca="1">IFERROR(VLOOKUP('FB Laser'!A98,Machining!A98:G188,7,FALSE),"")</f>
        <v/>
      </c>
      <c r="K98" s="77" t="str">
        <f>IFERROR(IF(Finishing!G98&gt;0,VLOOKUP('FB Laser'!A98,Finishing!A98:G188,7,FALSE),""),"")</f>
        <v/>
      </c>
      <c r="L98" s="56">
        <f ca="1">IFERROR(SUM((H98*$Z$12),G98,I98,J98,K98,'FB Data'!AM97),"")</f>
        <v>0</v>
      </c>
      <c r="M98" s="54">
        <f t="shared" si="16"/>
        <v>0</v>
      </c>
      <c r="N98" s="14"/>
      <c r="O98" s="5" t="str">
        <f t="shared" si="21"/>
        <v/>
      </c>
      <c r="P98" s="2" t="str">
        <f t="shared" si="22"/>
        <v/>
      </c>
      <c r="Q98" s="2" t="str">
        <f t="shared" si="17"/>
        <v/>
      </c>
      <c r="R98" s="126"/>
      <c r="S98" s="43" t="str">
        <f t="shared" ca="1" si="23"/>
        <v/>
      </c>
      <c r="T98" s="43" t="str">
        <f ca="1">IFERROR(ROUND(S98*'Quote Info'!$O$4+R98,2),"")</f>
        <v/>
      </c>
      <c r="U98" s="44" t="str">
        <f t="shared" ca="1" si="18"/>
        <v/>
      </c>
      <c r="V98" s="44" t="str">
        <f t="shared" ca="1" si="19"/>
        <v/>
      </c>
      <c r="W98" s="16" t="str">
        <f ca="1">IFERROR(S98/((VLOOKUP(N98,'FB Data'!$A$2:$E$150,3,FALSE))*'FB Laser'!M98),"")</f>
        <v/>
      </c>
    </row>
    <row r="99" spans="1:23" ht="15.75" thickBot="1">
      <c r="A99" s="132"/>
      <c r="B99" s="13"/>
      <c r="C99" s="13"/>
      <c r="D99" s="13"/>
      <c r="E99" s="13"/>
      <c r="F99" s="13"/>
      <c r="G99" s="12" t="str">
        <f t="shared" si="20"/>
        <v/>
      </c>
      <c r="H99" s="77">
        <f>IF(Forming!G99&gt;0,Forming!G99,0)</f>
        <v>0</v>
      </c>
      <c r="I99" s="77">
        <f>IF('Hardware Install'!E99&gt;0,'Hardware Install'!E99,0)</f>
        <v>0</v>
      </c>
      <c r="J99" s="77" t="str">
        <f ca="1">IFERROR(VLOOKUP('FB Laser'!A99,Machining!A99:G189,7,FALSE),"")</f>
        <v/>
      </c>
      <c r="K99" s="77" t="str">
        <f>IFERROR(IF(Finishing!G99&gt;0,VLOOKUP('FB Laser'!A99,Finishing!A99:G189,7,FALSE),""),"")</f>
        <v/>
      </c>
      <c r="L99" s="56">
        <f ca="1">IFERROR(SUM((H99*$Z$12),G99,I99,J99,K99,'FB Data'!AM98),"")</f>
        <v>0</v>
      </c>
      <c r="M99" s="54">
        <f t="shared" si="16"/>
        <v>0</v>
      </c>
      <c r="N99" s="14"/>
      <c r="O99" s="5" t="str">
        <f t="shared" si="21"/>
        <v/>
      </c>
      <c r="P99" s="2" t="str">
        <f t="shared" si="22"/>
        <v/>
      </c>
      <c r="Q99" s="2" t="str">
        <f t="shared" si="17"/>
        <v/>
      </c>
      <c r="R99" s="126"/>
      <c r="S99" s="43" t="str">
        <f t="shared" ca="1" si="23"/>
        <v/>
      </c>
      <c r="T99" s="43" t="str">
        <f ca="1">IFERROR(ROUND(S99*'Quote Info'!$O$4+R99,2),"")</f>
        <v/>
      </c>
      <c r="U99" s="44" t="str">
        <f t="shared" ca="1" si="18"/>
        <v/>
      </c>
      <c r="V99" s="44" t="str">
        <f t="shared" ca="1" si="19"/>
        <v/>
      </c>
      <c r="W99" s="16" t="str">
        <f ca="1">IFERROR(S99/((VLOOKUP(N99,'FB Data'!$A$2:$E$150,3,FALSE))*'FB Laser'!M99),"")</f>
        <v/>
      </c>
    </row>
    <row r="100" spans="1:23" ht="15.75" thickBot="1">
      <c r="A100" s="18" t="s">
        <v>282</v>
      </c>
      <c r="B100" s="19">
        <f>SUM(B10:B99)</f>
        <v>0</v>
      </c>
      <c r="U100" s="20">
        <f ca="1">SUMIF(U10:U99,"&lt;&gt;#DIV/0!")</f>
        <v>0</v>
      </c>
      <c r="V100" s="20">
        <f ca="1">SUMIF(V10:V99,"&lt;&gt;#DIV/0!")</f>
        <v>0</v>
      </c>
      <c r="W100" s="22" t="str">
        <f ca="1">IFERROR(U100/AC34,"")</f>
        <v/>
      </c>
    </row>
  </sheetData>
  <mergeCells count="7">
    <mergeCell ref="AA1:AE1"/>
    <mergeCell ref="Y37:AD37"/>
    <mergeCell ref="AA2:AE2"/>
    <mergeCell ref="AA3:AE3"/>
    <mergeCell ref="AA4:AE4"/>
    <mergeCell ref="AA5:AE5"/>
    <mergeCell ref="AA6:AE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'FB Data'!$O$2:$O$4</xm:f>
          </x14:formula1>
          <xm:sqref>AA8</xm:sqref>
        </x14:dataValidation>
        <x14:dataValidation type="list" allowBlank="1" showInputMessage="1" showErrorMessage="1" xr:uid="{00000000-0002-0000-0000-000001000000}">
          <x14:formula1>
            <xm:f>'FB Data'!$K$2:$K$4</xm:f>
          </x14:formula1>
          <xm:sqref>AA9</xm:sqref>
        </x14:dataValidation>
        <x14:dataValidation type="list" allowBlank="1" showInputMessage="1" showErrorMessage="1" xr:uid="{00000000-0002-0000-0000-000002000000}">
          <x14:formula1>
            <xm:f>'FB Data'!$Q$2:$Q$4</xm:f>
          </x14:formula1>
          <xm:sqref>Z7</xm:sqref>
        </x14:dataValidation>
        <x14:dataValidation type="list" allowBlank="1" showInputMessage="1" showErrorMessage="1" xr:uid="{00000000-0002-0000-0000-000003000000}">
          <x14:formula1>
            <xm:f>'FB Data'!$M$2:$M$3</xm:f>
          </x14:formula1>
          <xm:sqref>F10:F99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G99"/>
  <sheetViews>
    <sheetView topLeftCell="M1" zoomScale="90" zoomScaleNormal="90" workbookViewId="0">
      <selection activeCell="S3" sqref="S3"/>
    </sheetView>
  </sheetViews>
  <sheetFormatPr defaultRowHeight="15"/>
  <cols>
    <col min="1" max="1" width="13" customWidth="1"/>
    <col min="2" max="2" width="7.85546875" customWidth="1"/>
    <col min="3" max="3" width="10.5703125" customWidth="1"/>
    <col min="4" max="4" width="19.85546875" bestFit="1" customWidth="1"/>
    <col min="5" max="5" width="10.28515625" bestFit="1" customWidth="1"/>
    <col min="6" max="6" width="7.28515625" customWidth="1"/>
    <col min="7" max="7" width="9.5703125" bestFit="1" customWidth="1"/>
    <col min="8" max="9" width="8.7109375" customWidth="1"/>
    <col min="10" max="10" width="15.85546875" customWidth="1"/>
    <col min="11" max="11" width="19.28515625" bestFit="1" customWidth="1"/>
    <col min="12" max="12" width="16.28515625" bestFit="1" customWidth="1"/>
    <col min="13" max="13" width="15" bestFit="1" customWidth="1"/>
    <col min="14" max="14" width="11.7109375" bestFit="1" customWidth="1"/>
    <col min="15" max="15" width="13.5703125" customWidth="1"/>
    <col min="16" max="16" width="14" customWidth="1"/>
    <col min="17" max="17" width="15.7109375" customWidth="1"/>
    <col min="18" max="18" width="18.28515625" customWidth="1"/>
    <col min="19" max="19" width="20.85546875" customWidth="1"/>
    <col min="20" max="20" width="20.85546875" hidden="1" customWidth="1"/>
    <col min="21" max="21" width="16.28515625" bestFit="1" customWidth="1"/>
    <col min="22" max="22" width="16.28515625" customWidth="1"/>
    <col min="23" max="24" width="15.140625" customWidth="1"/>
    <col min="25" max="25" width="10.85546875" customWidth="1"/>
    <col min="26" max="26" width="7" customWidth="1"/>
    <col min="27" max="27" width="19.28515625" bestFit="1" customWidth="1"/>
    <col min="28" max="28" width="18.140625" bestFit="1" customWidth="1"/>
    <col min="29" max="29" width="15.85546875" customWidth="1"/>
    <col min="30" max="30" width="16.140625" customWidth="1"/>
    <col min="31" max="31" width="19.140625" customWidth="1"/>
    <col min="32" max="32" width="12.7109375" bestFit="1" customWidth="1"/>
    <col min="33" max="33" width="11.5703125" bestFit="1" customWidth="1"/>
  </cols>
  <sheetData>
    <row r="1" spans="1:33">
      <c r="AC1" s="146" t="s">
        <v>2772</v>
      </c>
      <c r="AD1" s="141"/>
      <c r="AE1" s="141"/>
      <c r="AF1" s="141"/>
      <c r="AG1" s="141"/>
    </row>
    <row r="2" spans="1:33">
      <c r="AA2" s="23" t="s">
        <v>2786</v>
      </c>
      <c r="AB2" s="59">
        <v>0</v>
      </c>
      <c r="AC2" s="145"/>
      <c r="AD2" s="145"/>
      <c r="AE2" s="145"/>
      <c r="AF2" s="145"/>
      <c r="AG2" s="145"/>
    </row>
    <row r="3" spans="1:33">
      <c r="AA3" s="23" t="s">
        <v>2887</v>
      </c>
      <c r="AB3" s="58">
        <v>60</v>
      </c>
      <c r="AC3" s="145"/>
      <c r="AD3" s="145"/>
      <c r="AE3" s="145"/>
      <c r="AF3" s="145"/>
      <c r="AG3" s="145"/>
    </row>
    <row r="4" spans="1:33">
      <c r="AA4" s="23" t="s">
        <v>2930</v>
      </c>
      <c r="AB4" s="58">
        <v>0</v>
      </c>
      <c r="AC4" s="145"/>
      <c r="AD4" s="145"/>
      <c r="AE4" s="145"/>
      <c r="AF4" s="145"/>
      <c r="AG4" s="145"/>
    </row>
    <row r="5" spans="1:33">
      <c r="AA5" s="23" t="s">
        <v>2764</v>
      </c>
      <c r="AB5" s="124">
        <f>IF(Welding!G10="Tube",Welding!E10+Welding!D6,IF(Welding!G10="Flat&amp;Tube",(Welding!E10+Welding!D6)/2,0))</f>
        <v>0</v>
      </c>
      <c r="AC5" s="145"/>
      <c r="AD5" s="145"/>
      <c r="AE5" s="145"/>
      <c r="AF5" s="145"/>
      <c r="AG5" s="145"/>
    </row>
    <row r="6" spans="1:33" ht="13.9" customHeight="1" thickBot="1">
      <c r="AA6" s="23" t="s">
        <v>293</v>
      </c>
      <c r="AB6" s="30" t="s">
        <v>294</v>
      </c>
      <c r="AD6" s="15" t="s">
        <v>289</v>
      </c>
    </row>
    <row r="7" spans="1:33" ht="14.65" customHeight="1" thickBot="1">
      <c r="AA7" s="23" t="s">
        <v>280</v>
      </c>
      <c r="AB7" s="57">
        <f>IF(AC7="Default",(ROUNDUP((AE25/1500),0)*30),IF(AC7="User Defined",AD7,"Need Input"))</f>
        <v>0</v>
      </c>
      <c r="AC7" s="30" t="s">
        <v>287</v>
      </c>
      <c r="AD7" s="29">
        <v>0</v>
      </c>
    </row>
    <row r="8" spans="1:33" ht="15.75" thickBot="1">
      <c r="A8" s="3" t="s">
        <v>273</v>
      </c>
      <c r="B8" s="3" t="s">
        <v>0</v>
      </c>
      <c r="C8" s="3" t="s">
        <v>5</v>
      </c>
      <c r="D8" s="3" t="s">
        <v>296</v>
      </c>
      <c r="E8" s="3" t="s">
        <v>2860</v>
      </c>
      <c r="F8" s="3" t="s">
        <v>2861</v>
      </c>
      <c r="G8" s="3" t="s">
        <v>2867</v>
      </c>
      <c r="H8" s="3" t="s">
        <v>2863</v>
      </c>
      <c r="I8" s="3" t="s">
        <v>2907</v>
      </c>
      <c r="J8" s="3" t="s">
        <v>1</v>
      </c>
      <c r="K8" s="3" t="s">
        <v>2855</v>
      </c>
      <c r="L8" s="3" t="s">
        <v>2859</v>
      </c>
      <c r="M8" s="3" t="s">
        <v>2961</v>
      </c>
      <c r="N8" s="3" t="s">
        <v>2960</v>
      </c>
      <c r="O8" s="3" t="s">
        <v>290</v>
      </c>
      <c r="P8" s="3" t="s">
        <v>276</v>
      </c>
      <c r="Q8" s="3" t="s">
        <v>8</v>
      </c>
      <c r="R8" s="3" t="s">
        <v>10</v>
      </c>
      <c r="S8" s="3" t="s">
        <v>11</v>
      </c>
      <c r="T8" s="3" t="s">
        <v>2936</v>
      </c>
      <c r="U8" s="3" t="s">
        <v>2875</v>
      </c>
      <c r="V8" s="3" t="s">
        <v>3</v>
      </c>
      <c r="W8" s="3" t="s">
        <v>2878</v>
      </c>
      <c r="X8" s="3" t="s">
        <v>291</v>
      </c>
      <c r="Y8" s="3" t="s">
        <v>2879</v>
      </c>
      <c r="AA8" s="23" t="s">
        <v>281</v>
      </c>
      <c r="AB8" s="57">
        <f>IF(AC8="Delivery",ROUNDUP((AE25/8000),0)*100,IF(AC8="Will-Call",0,"Need Input"))</f>
        <v>0</v>
      </c>
      <c r="AC8" s="30" t="s">
        <v>285</v>
      </c>
    </row>
    <row r="9" spans="1:33">
      <c r="A9" s="133"/>
      <c r="B9" s="13"/>
      <c r="C9" s="13"/>
      <c r="D9" s="13"/>
      <c r="E9" s="13"/>
      <c r="F9" s="13"/>
      <c r="G9" s="13"/>
      <c r="H9" s="13"/>
      <c r="I9" s="13"/>
      <c r="J9" s="57">
        <f>IFERROR((((D9)/60)/60)*$AB$9,"")</f>
        <v>0</v>
      </c>
      <c r="K9" s="91">
        <f>'Tube Bending'!E9</f>
        <v>0</v>
      </c>
      <c r="L9" s="77" t="str">
        <f ca="1">IFERROR(VLOOKUP('Tube Laser'!A9,Machining!A10:G100,7,FALSE),"")</f>
        <v/>
      </c>
      <c r="M9" s="77">
        <f>IFERROR(IF(Finishing!G10&gt;0,VLOOKUP('Tube Laser'!A9,Finishing!A10:G100,7,FALSE),0),"")</f>
        <v>0</v>
      </c>
      <c r="N9" s="56">
        <f ca="1">SUM(J9,K9,L9,M9,'FB Data'!AR9)</f>
        <v>0</v>
      </c>
      <c r="O9" s="54">
        <f t="shared" ref="O9:O40" si="0">C9/12</f>
        <v>0</v>
      </c>
      <c r="P9" s="14"/>
      <c r="Q9" s="5" t="str">
        <f t="shared" ref="Q9:Q40" si="1">IFERROR((B9*O9)/(VLOOKUP(P9,$AA$14:$AD$24,2,FALSE)),"")</f>
        <v/>
      </c>
      <c r="R9" s="2" t="str">
        <f>IFERROR(VLOOKUP(P9,$AA$14:$AD$24,4,FALSE)*(Q9/(VLOOKUP(P9,$AA$14:$AD$24,3,FALSE))),"")</f>
        <v/>
      </c>
      <c r="S9" s="2" t="str">
        <f t="shared" ref="S9:S40" si="2">IFERROR((R9*$AB$10)/B9,"")</f>
        <v/>
      </c>
      <c r="T9" s="126"/>
      <c r="U9" s="21" t="str">
        <f ca="1">IFERROR(N9+S9+'FB Data'!AE9+'FB Data'!AF9+'FB Data'!AG9+'FB Data'!AH9+($AB$7/$B$99)+($AB$8/$B$99)+($AB$3/$B$99)+($AB$2/$B$99)+($AB$4/$B$99)+($AB$5/$B$99),"")</f>
        <v/>
      </c>
      <c r="V9" s="21" t="str">
        <f ca="1">IFERROR(ROUND(U9*'Quote Info'!$O$4+T9,2),"")</f>
        <v/>
      </c>
      <c r="W9" s="4" t="str">
        <f t="shared" ref="W9:W40" ca="1" si="3">IFERROR(U9*B9,"")</f>
        <v/>
      </c>
      <c r="X9" s="4" t="str">
        <f ca="1">IFERROR(V9*B9,"")</f>
        <v/>
      </c>
      <c r="Y9" s="16" t="str">
        <f ca="1">IFERROR(U9/((VLOOKUP(P9,'TL Data'!$A$2:$E$1226,3,FALSE))*'Tube Laser'!O9),"")</f>
        <v/>
      </c>
      <c r="AA9" s="26" t="s">
        <v>2868</v>
      </c>
      <c r="AB9" s="27">
        <v>188.17</v>
      </c>
      <c r="AC9" s="95">
        <f>AB9*'Quote Info'!O4</f>
        <v>255.91120000000001</v>
      </c>
    </row>
    <row r="10" spans="1:33">
      <c r="A10" s="133"/>
      <c r="B10" s="13"/>
      <c r="C10" s="13"/>
      <c r="D10" s="13"/>
      <c r="E10" s="13"/>
      <c r="F10" s="13"/>
      <c r="G10" s="13"/>
      <c r="H10" s="13"/>
      <c r="I10" s="13"/>
      <c r="J10" s="57">
        <f t="shared" ref="J10:J73" si="4">IFERROR((((D10)/60)/60)*$AB$9,"")</f>
        <v>0</v>
      </c>
      <c r="K10" s="91">
        <f>'Tube Bending'!E10</f>
        <v>0</v>
      </c>
      <c r="L10" s="77" t="str">
        <f ca="1">IFERROR(VLOOKUP('Tube Laser'!A10,Machining!A11:G101,7,FALSE),"")</f>
        <v/>
      </c>
      <c r="M10" s="77">
        <f>IFERROR(IF(Finishing!G11&gt;0,VLOOKUP('Tube Laser'!A10,Finishing!A11:G101,7,FALSE),0),"")</f>
        <v>0</v>
      </c>
      <c r="N10" s="56">
        <f ca="1">SUM(J10,K10,L10,M10,'FB Data'!AR10)</f>
        <v>0</v>
      </c>
      <c r="O10" s="54">
        <f t="shared" si="0"/>
        <v>0</v>
      </c>
      <c r="P10" s="14"/>
      <c r="Q10" s="5" t="str">
        <f t="shared" si="1"/>
        <v/>
      </c>
      <c r="R10" s="2" t="str">
        <f t="shared" ref="R10:R73" si="5">IFERROR(VLOOKUP(P10,$AA$14:$AD$24,4,FALSE)*(Q10/(VLOOKUP(P10,$AA$14:$AD$24,3,FALSE))),"")</f>
        <v/>
      </c>
      <c r="S10" s="2" t="str">
        <f t="shared" si="2"/>
        <v/>
      </c>
      <c r="T10" s="126"/>
      <c r="U10" s="21" t="str">
        <f ca="1">IFERROR(N10+S10+'FB Data'!AE10+'FB Data'!AF10+'FB Data'!AG10+'FB Data'!AH10+($AB$7/$B$99)+($AB$8/$B$99)+($AB$3/$B$99)+($AB$2/$B$99)+($AB$4/$B$99)+($AB$5/$B$99),"")</f>
        <v/>
      </c>
      <c r="V10" s="21" t="str">
        <f ca="1">IFERROR(ROUND(U10*'Quote Info'!$O$4+T10,2),"")</f>
        <v/>
      </c>
      <c r="W10" s="4" t="str">
        <f t="shared" ca="1" si="3"/>
        <v/>
      </c>
      <c r="X10" s="4" t="str">
        <f t="shared" ref="X10:X73" ca="1" si="6">IFERROR(V10*B10,"")</f>
        <v/>
      </c>
      <c r="Y10" s="16" t="str">
        <f ca="1">IFERROR(U10/((VLOOKUP(P10,'TL Data'!$A$2:$E$1226,3,FALSE))*'Tube Laser'!O10),"")</f>
        <v/>
      </c>
      <c r="AA10" s="26" t="s">
        <v>7</v>
      </c>
      <c r="AB10" s="28">
        <v>1</v>
      </c>
      <c r="AC10" s="1"/>
    </row>
    <row r="11" spans="1:33">
      <c r="A11" s="133"/>
      <c r="B11" s="13"/>
      <c r="C11" s="13"/>
      <c r="D11" s="13"/>
      <c r="E11" s="13"/>
      <c r="F11" s="13"/>
      <c r="G11" s="13"/>
      <c r="H11" s="13"/>
      <c r="I11" s="13"/>
      <c r="J11" s="57">
        <f t="shared" si="4"/>
        <v>0</v>
      </c>
      <c r="K11" s="91">
        <f>'Tube Bending'!E11</f>
        <v>0</v>
      </c>
      <c r="L11" s="77" t="str">
        <f ca="1">IFERROR(VLOOKUP('Tube Laser'!A11,Machining!A12:G102,7,FALSE),"")</f>
        <v/>
      </c>
      <c r="M11" s="77">
        <f>IFERROR(IF(Finishing!G12&gt;0,VLOOKUP('Tube Laser'!A11,Finishing!A12:G102,7,FALSE),0),"")</f>
        <v>0</v>
      </c>
      <c r="N11" s="56">
        <f ca="1">SUM(J11,K11,L11,M11,'FB Data'!AR11)</f>
        <v>0</v>
      </c>
      <c r="O11" s="54">
        <f t="shared" si="0"/>
        <v>0</v>
      </c>
      <c r="P11" s="14"/>
      <c r="Q11" s="5" t="str">
        <f t="shared" si="1"/>
        <v/>
      </c>
      <c r="R11" s="2" t="str">
        <f t="shared" si="5"/>
        <v/>
      </c>
      <c r="S11" s="2" t="str">
        <f t="shared" si="2"/>
        <v/>
      </c>
      <c r="T11" s="126"/>
      <c r="U11" s="21" t="str">
        <f ca="1">IFERROR(N11+S11+'FB Data'!AE11+'FB Data'!AF11+'FB Data'!AG11+'FB Data'!AH11+($AB$7/$B$99)+($AB$8/$B$99)+($AB$3/$B$99)+($AB$2/$B$99)+($AB$4/$B$99)+($AB$5/$B$99),"")</f>
        <v/>
      </c>
      <c r="V11" s="21" t="str">
        <f ca="1">IFERROR(ROUND(U11*'Quote Info'!$O$4+T11,2),"")</f>
        <v/>
      </c>
      <c r="W11" s="4" t="str">
        <f t="shared" ca="1" si="3"/>
        <v/>
      </c>
      <c r="X11" s="4" t="str">
        <f t="shared" ca="1" si="6"/>
        <v/>
      </c>
      <c r="Y11" s="16" t="str">
        <f ca="1">IFERROR(U11/((VLOOKUP(P11,'TL Data'!$A$2:$E$1226,3,FALSE))*'Tube Laser'!O11),"")</f>
        <v/>
      </c>
      <c r="AC11" s="1"/>
    </row>
    <row r="12" spans="1:33">
      <c r="A12" s="133"/>
      <c r="B12" s="13"/>
      <c r="C12" s="13"/>
      <c r="D12" s="13"/>
      <c r="E12" s="13"/>
      <c r="F12" s="13"/>
      <c r="G12" s="13"/>
      <c r="H12" s="13"/>
      <c r="I12" s="13"/>
      <c r="J12" s="57">
        <f t="shared" si="4"/>
        <v>0</v>
      </c>
      <c r="K12" s="91">
        <f>'Tube Bending'!E12</f>
        <v>0</v>
      </c>
      <c r="L12" s="77" t="str">
        <f ca="1">IFERROR(VLOOKUP('Tube Laser'!A12,Machining!A13:G103,7,FALSE),"")</f>
        <v/>
      </c>
      <c r="M12" s="77">
        <f>IFERROR(IF(Finishing!G13&gt;0,VLOOKUP('Tube Laser'!A12,Finishing!A13:G103,7,FALSE),0),"")</f>
        <v>0</v>
      </c>
      <c r="N12" s="56">
        <f ca="1">SUM(J12,K12,L12,M12,'FB Data'!AR12)</f>
        <v>0</v>
      </c>
      <c r="O12" s="54">
        <f t="shared" si="0"/>
        <v>0</v>
      </c>
      <c r="P12" s="14"/>
      <c r="Q12" s="5" t="str">
        <f t="shared" si="1"/>
        <v/>
      </c>
      <c r="R12" s="2" t="str">
        <f t="shared" si="5"/>
        <v/>
      </c>
      <c r="S12" s="2" t="str">
        <f t="shared" si="2"/>
        <v/>
      </c>
      <c r="T12" s="126"/>
      <c r="U12" s="21" t="str">
        <f ca="1">IFERROR(N12+S12+'FB Data'!AE12+'FB Data'!AF12+'FB Data'!AG12+'FB Data'!AH12+($AB$7/$B$99)+($AB$8/$B$99)+($AB$3/$B$99)+($AB$2/$B$99)+($AB$4/$B$99)+($AB$5/$B$99),"")</f>
        <v/>
      </c>
      <c r="V12" s="21" t="str">
        <f ca="1">IFERROR(ROUND(U12*'Quote Info'!$O$4+T12,2),"")</f>
        <v/>
      </c>
      <c r="W12" s="4" t="str">
        <f t="shared" ca="1" si="3"/>
        <v/>
      </c>
      <c r="X12" s="4" t="str">
        <f t="shared" ca="1" si="6"/>
        <v/>
      </c>
      <c r="Y12" s="16" t="str">
        <f ca="1">IFERROR(U12/((VLOOKUP(P12,'TL Data'!$A$2:$E$1226,3,FALSE))*'Tube Laser'!O12),"")</f>
        <v/>
      </c>
    </row>
    <row r="13" spans="1:33">
      <c r="A13" s="133"/>
      <c r="B13" s="13"/>
      <c r="C13" s="13"/>
      <c r="D13" s="13"/>
      <c r="E13" s="13"/>
      <c r="F13" s="13"/>
      <c r="G13" s="13"/>
      <c r="H13" s="13"/>
      <c r="I13" s="13"/>
      <c r="J13" s="57">
        <f t="shared" si="4"/>
        <v>0</v>
      </c>
      <c r="K13" s="91">
        <f>'Tube Bending'!E13</f>
        <v>0</v>
      </c>
      <c r="L13" s="77" t="str">
        <f ca="1">IFERROR(VLOOKUP('Tube Laser'!A13,Machining!A14:G104,7,FALSE),"")</f>
        <v/>
      </c>
      <c r="M13" s="77">
        <f>IFERROR(IF(Finishing!G14&gt;0,VLOOKUP('Tube Laser'!A13,Finishing!A14:G104,7,FALSE),0),"")</f>
        <v>0</v>
      </c>
      <c r="N13" s="56">
        <f ca="1">SUM(J13,K13,L13,M13,'FB Data'!AR13)</f>
        <v>0</v>
      </c>
      <c r="O13" s="54">
        <f t="shared" si="0"/>
        <v>0</v>
      </c>
      <c r="P13" s="14"/>
      <c r="Q13" s="5" t="str">
        <f t="shared" si="1"/>
        <v/>
      </c>
      <c r="R13" s="2" t="str">
        <f t="shared" si="5"/>
        <v/>
      </c>
      <c r="S13" s="2" t="str">
        <f t="shared" si="2"/>
        <v/>
      </c>
      <c r="T13" s="126"/>
      <c r="U13" s="21" t="str">
        <f ca="1">IFERROR(N13+S13+'FB Data'!AE13+'FB Data'!AF13+'FB Data'!AG13+'FB Data'!AH13+($AB$7/$B$99)+($AB$8/$B$99)+($AB$3/$B$99)+($AB$2/$B$99)+($AB$4/$B$99)+($AB$5/$B$99),"")</f>
        <v/>
      </c>
      <c r="V13" s="21" t="str">
        <f ca="1">IFERROR(ROUND(U13*'Quote Info'!$O$4+T13,2),"")</f>
        <v/>
      </c>
      <c r="W13" s="4" t="str">
        <f t="shared" ca="1" si="3"/>
        <v/>
      </c>
      <c r="X13" s="4" t="str">
        <f t="shared" ca="1" si="6"/>
        <v/>
      </c>
      <c r="Y13" s="16" t="str">
        <f ca="1">IFERROR(U13/((VLOOKUP(P13,'TL Data'!$A$2:$E$1226,3,FALSE))*'Tube Laser'!O13),"")</f>
        <v/>
      </c>
      <c r="AA13" s="15" t="s">
        <v>276</v>
      </c>
      <c r="AB13" s="15" t="s">
        <v>292</v>
      </c>
      <c r="AC13" s="15" t="s">
        <v>12</v>
      </c>
      <c r="AD13" s="15" t="s">
        <v>283</v>
      </c>
      <c r="AE13" s="15" t="s">
        <v>284</v>
      </c>
    </row>
    <row r="14" spans="1:33">
      <c r="A14" s="133"/>
      <c r="B14" s="13"/>
      <c r="C14" s="13"/>
      <c r="D14" s="13"/>
      <c r="E14" s="13"/>
      <c r="F14" s="13"/>
      <c r="G14" s="13"/>
      <c r="H14" s="13"/>
      <c r="I14" s="13"/>
      <c r="J14" s="57">
        <f t="shared" si="4"/>
        <v>0</v>
      </c>
      <c r="K14" s="91">
        <f>'Tube Bending'!E14</f>
        <v>0</v>
      </c>
      <c r="L14" s="77" t="str">
        <f ca="1">IFERROR(VLOOKUP('Tube Laser'!A14,Machining!A15:G105,7,FALSE),"")</f>
        <v/>
      </c>
      <c r="M14" s="77">
        <f>IFERROR(IF(Finishing!G15&gt;0,VLOOKUP('Tube Laser'!A14,Finishing!A15:G105,7,FALSE),0),"")</f>
        <v>0</v>
      </c>
      <c r="N14" s="56">
        <f ca="1">SUM(J14,K14,L14,M14,'FB Data'!AR14)</f>
        <v>0</v>
      </c>
      <c r="O14" s="54">
        <f t="shared" si="0"/>
        <v>0</v>
      </c>
      <c r="P14" s="14"/>
      <c r="Q14" s="5" t="str">
        <f t="shared" si="1"/>
        <v/>
      </c>
      <c r="R14" s="2" t="str">
        <f t="shared" si="5"/>
        <v/>
      </c>
      <c r="S14" s="2" t="str">
        <f t="shared" si="2"/>
        <v/>
      </c>
      <c r="T14" s="126"/>
      <c r="U14" s="21" t="str">
        <f ca="1">IFERROR(N14+S14+'FB Data'!AE14+'FB Data'!AF14+'FB Data'!AG14+'FB Data'!AH14+($AB$7/$B$99)+($AB$8/$B$99)+($AB$3/$B$99)+($AB$2/$B$99)+($AB$4/$B$99)+($AB$5/$B$99),"")</f>
        <v/>
      </c>
      <c r="V14" s="21" t="str">
        <f ca="1">IFERROR(ROUND(U14*'Quote Info'!$O$4+T14,2),"")</f>
        <v/>
      </c>
      <c r="W14" s="4" t="str">
        <f t="shared" ca="1" si="3"/>
        <v/>
      </c>
      <c r="X14" s="4" t="str">
        <f t="shared" ca="1" si="6"/>
        <v/>
      </c>
      <c r="Y14" s="16" t="str">
        <f ca="1">IFERROR(U14/((VLOOKUP(P14,'TL Data'!$A$2:$E$1226,3,FALSE))*'Tube Laser'!O14),"")</f>
        <v/>
      </c>
      <c r="AA14" s="32" t="str">
        <f t="array" ref="AA14">IFERROR(INDEX($AA$30:$AA$56, MATCH(0,IF(ISBLANK($AA$30:$AA$56),1,COUNTIF($AA$13:AA13, $AA$30:$AA$56)), 0)),"")</f>
        <v/>
      </c>
      <c r="AB14" s="6">
        <f t="shared" ref="AB14:AB24" si="7">SUMIF($AA$30:$AA$56,AA14,$AD$30:$AD$56)</f>
        <v>0</v>
      </c>
      <c r="AC14" s="55">
        <f>SUMIF($P$9:$P$98,AA14,$Q$9:$Q$98)</f>
        <v>0</v>
      </c>
      <c r="AD14" s="56">
        <f>SUMIF($AA$30:$AA$56,AA14,$AE$30:$AE$56)</f>
        <v>0</v>
      </c>
      <c r="AE14" s="24" t="str">
        <f>IFERROR(AB14*AC14*VLOOKUP(AA14,'TL Data'!$A$2:$E$1226,3,FALSE),"")</f>
        <v/>
      </c>
    </row>
    <row r="15" spans="1:33">
      <c r="A15" s="133"/>
      <c r="B15" s="13"/>
      <c r="C15" s="13"/>
      <c r="D15" s="13"/>
      <c r="E15" s="13"/>
      <c r="F15" s="13"/>
      <c r="G15" s="13"/>
      <c r="H15" s="13"/>
      <c r="I15" s="13"/>
      <c r="J15" s="57">
        <f t="shared" si="4"/>
        <v>0</v>
      </c>
      <c r="K15" s="91">
        <f>'Tube Bending'!E15</f>
        <v>0</v>
      </c>
      <c r="L15" s="77" t="str">
        <f ca="1">IFERROR(VLOOKUP('Tube Laser'!A15,Machining!A16:G106,7,FALSE),"")</f>
        <v/>
      </c>
      <c r="M15" s="77">
        <f>IFERROR(IF(Finishing!G16&gt;0,VLOOKUP('Tube Laser'!A15,Finishing!A16:G106,7,FALSE),0),"")</f>
        <v>0</v>
      </c>
      <c r="N15" s="56">
        <f ca="1">SUM(J15,K15,L15,M15,'FB Data'!AR15)</f>
        <v>0</v>
      </c>
      <c r="O15" s="54">
        <f t="shared" si="0"/>
        <v>0</v>
      </c>
      <c r="P15" s="14"/>
      <c r="Q15" s="5" t="str">
        <f t="shared" si="1"/>
        <v/>
      </c>
      <c r="R15" s="2" t="str">
        <f t="shared" si="5"/>
        <v/>
      </c>
      <c r="S15" s="2" t="str">
        <f t="shared" si="2"/>
        <v/>
      </c>
      <c r="T15" s="126"/>
      <c r="U15" s="21" t="str">
        <f ca="1">IFERROR(N15+S15+'FB Data'!AE15+'FB Data'!AF15+'FB Data'!AG15+'FB Data'!AH15+($AB$7/$B$99)+($AB$8/$B$99)+($AB$3/$B$99)+($AB$2/$B$99)+($AB$4/$B$99)+($AB$5/$B$99),"")</f>
        <v/>
      </c>
      <c r="V15" s="21" t="str">
        <f ca="1">IFERROR(ROUND(U15*'Quote Info'!$O$4+T15,2),"")</f>
        <v/>
      </c>
      <c r="W15" s="4" t="str">
        <f t="shared" ca="1" si="3"/>
        <v/>
      </c>
      <c r="X15" s="4" t="str">
        <f t="shared" ca="1" si="6"/>
        <v/>
      </c>
      <c r="Y15" s="16" t="str">
        <f ca="1">IFERROR(U15/((VLOOKUP(P15,'TL Data'!$A$2:$E$1226,3,FALSE))*'Tube Laser'!O15),"")</f>
        <v/>
      </c>
      <c r="AA15" s="32" t="str">
        <f t="array" ref="AA15">IFERROR(INDEX($AA$30:$AA$56, MATCH(0,IF(ISBLANK($AA$30:$AA$56),1,COUNTIF($AA$13:AA14, $AA$30:$AA$56)), 0)),"")</f>
        <v/>
      </c>
      <c r="AB15" s="6">
        <f t="shared" si="7"/>
        <v>0</v>
      </c>
      <c r="AC15" s="55">
        <f t="shared" ref="AC15:AC24" si="8">SUMIF($P$9:$P$98,AA15,$Q$9:$Q$98)</f>
        <v>0</v>
      </c>
      <c r="AD15" s="56">
        <f t="shared" ref="AD15:AD24" si="9">SUMIF($AA$30:$AA$56,AA15,$AE$30:$AE$56)</f>
        <v>0</v>
      </c>
      <c r="AE15" s="24" t="str">
        <f>IFERROR(AB15*AC15*VLOOKUP(AA15,'TL Data'!$A$2:$E$1226,3,FALSE),"")</f>
        <v/>
      </c>
    </row>
    <row r="16" spans="1:33">
      <c r="A16" s="133"/>
      <c r="B16" s="13"/>
      <c r="C16" s="13"/>
      <c r="D16" s="13"/>
      <c r="E16" s="13"/>
      <c r="F16" s="13"/>
      <c r="G16" s="13"/>
      <c r="H16" s="13"/>
      <c r="I16" s="13"/>
      <c r="J16" s="57">
        <f t="shared" si="4"/>
        <v>0</v>
      </c>
      <c r="K16" s="91">
        <f>'Tube Bending'!E16</f>
        <v>0</v>
      </c>
      <c r="L16" s="77" t="str">
        <f ca="1">IFERROR(VLOOKUP('Tube Laser'!A16,Machining!A17:G107,7,FALSE),"")</f>
        <v/>
      </c>
      <c r="M16" s="77">
        <f>IFERROR(IF(Finishing!G17&gt;0,VLOOKUP('Tube Laser'!A16,Finishing!A17:G107,7,FALSE),0),"")</f>
        <v>0</v>
      </c>
      <c r="N16" s="56">
        <f ca="1">SUM(J16,K16,L16,M16,'FB Data'!AR16)</f>
        <v>0</v>
      </c>
      <c r="O16" s="54">
        <f t="shared" si="0"/>
        <v>0</v>
      </c>
      <c r="P16" s="14"/>
      <c r="Q16" s="5" t="str">
        <f t="shared" si="1"/>
        <v/>
      </c>
      <c r="R16" s="2" t="str">
        <f t="shared" si="5"/>
        <v/>
      </c>
      <c r="S16" s="2" t="str">
        <f t="shared" si="2"/>
        <v/>
      </c>
      <c r="T16" s="126"/>
      <c r="U16" s="21" t="str">
        <f ca="1">IFERROR(N16+S16+'FB Data'!AE16+'FB Data'!AF16+'FB Data'!AG16+'FB Data'!AH16+($AB$7/$B$99)+($AB$8/$B$99)+($AB$3/$B$99)+($AB$2/$B$99)+($AB$4/$B$99)+($AB$5/$B$99),"")</f>
        <v/>
      </c>
      <c r="V16" s="21" t="str">
        <f ca="1">IFERROR(ROUND(U16*'Quote Info'!$O$4+T16,2),"")</f>
        <v/>
      </c>
      <c r="W16" s="4" t="str">
        <f t="shared" ca="1" si="3"/>
        <v/>
      </c>
      <c r="X16" s="4" t="str">
        <f t="shared" ca="1" si="6"/>
        <v/>
      </c>
      <c r="Y16" s="16" t="str">
        <f ca="1">IFERROR(U16/((VLOOKUP(P16,'TL Data'!$A$2:$E$1226,3,FALSE))*'Tube Laser'!O16),"")</f>
        <v/>
      </c>
      <c r="AA16" s="32" t="str">
        <f t="array" ref="AA16">IFERROR(INDEX($AA$30:$AA$56, MATCH(0,IF(ISBLANK($AA$30:$AA$56),1,COUNTIF($AA$13:AA15, $AA$30:$AA$56)), 0)),"")</f>
        <v/>
      </c>
      <c r="AB16" s="6">
        <f t="shared" si="7"/>
        <v>0</v>
      </c>
      <c r="AC16" s="55">
        <f t="shared" si="8"/>
        <v>0</v>
      </c>
      <c r="AD16" s="56">
        <f t="shared" si="9"/>
        <v>0</v>
      </c>
      <c r="AE16" s="24" t="str">
        <f>IFERROR(AB16*AC16*VLOOKUP(AA16,'TL Data'!$A$2:$E$1226,3,FALSE),"")</f>
        <v/>
      </c>
    </row>
    <row r="17" spans="1:31">
      <c r="A17" s="133"/>
      <c r="B17" s="13"/>
      <c r="C17" s="13"/>
      <c r="D17" s="13"/>
      <c r="E17" s="13"/>
      <c r="F17" s="13"/>
      <c r="G17" s="13"/>
      <c r="H17" s="13"/>
      <c r="I17" s="13"/>
      <c r="J17" s="57">
        <f t="shared" si="4"/>
        <v>0</v>
      </c>
      <c r="K17" s="91">
        <f>'Tube Bending'!E17</f>
        <v>0</v>
      </c>
      <c r="L17" s="77" t="str">
        <f ca="1">IFERROR(VLOOKUP('Tube Laser'!A17,Machining!A18:G108,7,FALSE),"")</f>
        <v/>
      </c>
      <c r="M17" s="77">
        <f>IFERROR(IF(Finishing!G18&gt;0,VLOOKUP('Tube Laser'!A17,Finishing!A18:G108,7,FALSE),0),"")</f>
        <v>0</v>
      </c>
      <c r="N17" s="56">
        <f ca="1">SUM(J17,K17,L17,M17,'FB Data'!AR17)</f>
        <v>0</v>
      </c>
      <c r="O17" s="54">
        <f t="shared" si="0"/>
        <v>0</v>
      </c>
      <c r="P17" s="14"/>
      <c r="Q17" s="5" t="str">
        <f t="shared" si="1"/>
        <v/>
      </c>
      <c r="R17" s="2" t="str">
        <f t="shared" si="5"/>
        <v/>
      </c>
      <c r="S17" s="2" t="str">
        <f t="shared" si="2"/>
        <v/>
      </c>
      <c r="T17" s="126"/>
      <c r="U17" s="21" t="str">
        <f ca="1">IFERROR(N17+S17+'FB Data'!AE17+'FB Data'!AF17+'FB Data'!AG17+'FB Data'!AH17+($AB$7/$B$99)+($AB$8/$B$99)+($AB$3/$B$99)+($AB$2/$B$99)+($AB$4/$B$99)+($AB$5/$B$99),"")</f>
        <v/>
      </c>
      <c r="V17" s="21" t="str">
        <f ca="1">IFERROR(ROUND(U17*'Quote Info'!$O$4+T17,2),"")</f>
        <v/>
      </c>
      <c r="W17" s="4" t="str">
        <f t="shared" ca="1" si="3"/>
        <v/>
      </c>
      <c r="X17" s="4" t="str">
        <f t="shared" ca="1" si="6"/>
        <v/>
      </c>
      <c r="Y17" s="16" t="str">
        <f ca="1">IFERROR(U17/((VLOOKUP(P17,'TL Data'!$A$2:$E$1226,3,FALSE))*'Tube Laser'!O17),"")</f>
        <v/>
      </c>
      <c r="AA17" s="32" t="str">
        <f t="array" ref="AA17">IFERROR(INDEX($AA$30:$AA$56, MATCH(0,IF(ISBLANK($AA$30:$AA$56),1,COUNTIF($AA$13:AA16, $AA$30:$AA$56)), 0)),"")</f>
        <v/>
      </c>
      <c r="AB17" s="6">
        <f t="shared" si="7"/>
        <v>0</v>
      </c>
      <c r="AC17" s="55">
        <f t="shared" si="8"/>
        <v>0</v>
      </c>
      <c r="AD17" s="56">
        <f t="shared" si="9"/>
        <v>0</v>
      </c>
      <c r="AE17" s="24" t="str">
        <f>IFERROR(AB17*AC17*VLOOKUP(AA17,'TL Data'!$A$2:$E$1226,3,FALSE),"")</f>
        <v/>
      </c>
    </row>
    <row r="18" spans="1:31">
      <c r="A18" s="133"/>
      <c r="B18" s="13"/>
      <c r="C18" s="13"/>
      <c r="D18" s="13"/>
      <c r="E18" s="13"/>
      <c r="F18" s="13"/>
      <c r="G18" s="13"/>
      <c r="H18" s="13"/>
      <c r="I18" s="13"/>
      <c r="J18" s="57">
        <f t="shared" si="4"/>
        <v>0</v>
      </c>
      <c r="K18" s="91">
        <f>'Tube Bending'!E18</f>
        <v>0</v>
      </c>
      <c r="L18" s="77" t="str">
        <f ca="1">IFERROR(VLOOKUP('Tube Laser'!A18,Machining!A19:G109,7,FALSE),"")</f>
        <v/>
      </c>
      <c r="M18" s="77">
        <f>IFERROR(IF(Finishing!G19&gt;0,VLOOKUP('Tube Laser'!A18,Finishing!A19:G109,7,FALSE),0),"")</f>
        <v>0</v>
      </c>
      <c r="N18" s="56">
        <f ca="1">SUM(J18,K18,L18,M18,'FB Data'!AR18)</f>
        <v>0</v>
      </c>
      <c r="O18" s="54">
        <f t="shared" si="0"/>
        <v>0</v>
      </c>
      <c r="P18" s="14"/>
      <c r="Q18" s="5" t="str">
        <f t="shared" si="1"/>
        <v/>
      </c>
      <c r="R18" s="2" t="str">
        <f t="shared" si="5"/>
        <v/>
      </c>
      <c r="S18" s="2" t="str">
        <f t="shared" si="2"/>
        <v/>
      </c>
      <c r="T18" s="126"/>
      <c r="U18" s="21" t="str">
        <f ca="1">IFERROR(N18+S18+'FB Data'!AE18+'FB Data'!AF18+'FB Data'!AG18+'FB Data'!AH18+($AB$7/$B$99)+($AB$8/$B$99)+($AB$3/$B$99)+($AB$2/$B$99)+($AB$4/$B$99)+($AB$5/$B$99),"")</f>
        <v/>
      </c>
      <c r="V18" s="21" t="str">
        <f ca="1">IFERROR(ROUND(U18*'Quote Info'!$O$4+T18,2),"")</f>
        <v/>
      </c>
      <c r="W18" s="4" t="str">
        <f t="shared" ca="1" si="3"/>
        <v/>
      </c>
      <c r="X18" s="4" t="str">
        <f t="shared" ca="1" si="6"/>
        <v/>
      </c>
      <c r="Y18" s="16" t="str">
        <f ca="1">IFERROR(U18/((VLOOKUP(P18,'TL Data'!$A$2:$E$1226,3,FALSE))*'Tube Laser'!O18),"")</f>
        <v/>
      </c>
      <c r="AA18" s="32" t="str">
        <f t="array" ref="AA18">IFERROR(INDEX($AA$30:$AA$56, MATCH(0,IF(ISBLANK($AA$30:$AA$56),1,COUNTIF($AA$13:AA17, $AA$30:$AA$56)), 0)),"")</f>
        <v/>
      </c>
      <c r="AB18" s="6">
        <f t="shared" si="7"/>
        <v>0</v>
      </c>
      <c r="AC18" s="55">
        <f t="shared" si="8"/>
        <v>0</v>
      </c>
      <c r="AD18" s="56">
        <f t="shared" si="9"/>
        <v>0</v>
      </c>
      <c r="AE18" s="24" t="str">
        <f>IFERROR(AB18*AC18*VLOOKUP(AA18,'TL Data'!$A$2:$E$1226,3,FALSE),"")</f>
        <v/>
      </c>
    </row>
    <row r="19" spans="1:31">
      <c r="A19" s="133"/>
      <c r="B19" s="13"/>
      <c r="C19" s="13"/>
      <c r="D19" s="13"/>
      <c r="E19" s="13"/>
      <c r="F19" s="13"/>
      <c r="G19" s="13"/>
      <c r="H19" s="13"/>
      <c r="I19" s="13"/>
      <c r="J19" s="57">
        <f t="shared" si="4"/>
        <v>0</v>
      </c>
      <c r="K19" s="91">
        <f>'Tube Bending'!E19</f>
        <v>0</v>
      </c>
      <c r="L19" s="77" t="str">
        <f ca="1">IFERROR(VLOOKUP('Tube Laser'!A19,Machining!A20:G110,7,FALSE),"")</f>
        <v/>
      </c>
      <c r="M19" s="77">
        <f>IFERROR(IF(Finishing!G20&gt;0,VLOOKUP('Tube Laser'!A19,Finishing!A20:G110,7,FALSE),0),"")</f>
        <v>0</v>
      </c>
      <c r="N19" s="56">
        <f ca="1">SUM(J19,K19,L19,M19,'FB Data'!AR19)</f>
        <v>0</v>
      </c>
      <c r="O19" s="54">
        <f t="shared" si="0"/>
        <v>0</v>
      </c>
      <c r="P19" s="14"/>
      <c r="Q19" s="5" t="str">
        <f t="shared" si="1"/>
        <v/>
      </c>
      <c r="R19" s="2" t="str">
        <f t="shared" si="5"/>
        <v/>
      </c>
      <c r="S19" s="2" t="str">
        <f t="shared" si="2"/>
        <v/>
      </c>
      <c r="T19" s="126"/>
      <c r="U19" s="21" t="str">
        <f ca="1">IFERROR(N19+S19+'FB Data'!AE19+'FB Data'!AF19+'FB Data'!AG19+'FB Data'!AH19+($AB$7/$B$99)+($AB$8/$B$99)+($AB$3/$B$99)+($AB$2/$B$99)+($AB$4/$B$99)+($AB$5/$B$99),"")</f>
        <v/>
      </c>
      <c r="V19" s="21" t="str">
        <f ca="1">IFERROR(ROUND(U19*'Quote Info'!$O$4+T19,2),"")</f>
        <v/>
      </c>
      <c r="W19" s="4" t="str">
        <f t="shared" ca="1" si="3"/>
        <v/>
      </c>
      <c r="X19" s="4" t="str">
        <f t="shared" ca="1" si="6"/>
        <v/>
      </c>
      <c r="Y19" s="16" t="str">
        <f ca="1">IFERROR(U19/((VLOOKUP(P19,'TL Data'!$A$2:$E$1226,3,FALSE))*'Tube Laser'!O19),"")</f>
        <v/>
      </c>
      <c r="AA19" s="32" t="str">
        <f t="array" ref="AA19">IFERROR(INDEX($AA$30:$AA$56, MATCH(0,IF(ISBLANK($AA$30:$AA$56),1,COUNTIF($AA$13:AA18, $AA$30:$AA$56)), 0)),"")</f>
        <v/>
      </c>
      <c r="AB19" s="6">
        <f t="shared" si="7"/>
        <v>0</v>
      </c>
      <c r="AC19" s="55">
        <f t="shared" si="8"/>
        <v>0</v>
      </c>
      <c r="AD19" s="56">
        <f t="shared" si="9"/>
        <v>0</v>
      </c>
      <c r="AE19" s="24" t="str">
        <f>IFERROR(AB19*AC19*VLOOKUP(AA19,'TL Data'!$A$2:$E$1226,3,FALSE),"")</f>
        <v/>
      </c>
    </row>
    <row r="20" spans="1:31">
      <c r="A20" s="133"/>
      <c r="B20" s="13"/>
      <c r="C20" s="13"/>
      <c r="D20" s="13"/>
      <c r="E20" s="13"/>
      <c r="F20" s="13"/>
      <c r="G20" s="13"/>
      <c r="H20" s="13"/>
      <c r="I20" s="13"/>
      <c r="J20" s="57">
        <f t="shared" si="4"/>
        <v>0</v>
      </c>
      <c r="K20" s="91">
        <f>'Tube Bending'!E20</f>
        <v>0</v>
      </c>
      <c r="L20" s="77" t="str">
        <f ca="1">IFERROR(VLOOKUP('Tube Laser'!A20,Machining!A21:G111,7,FALSE),"")</f>
        <v/>
      </c>
      <c r="M20" s="77">
        <f>IFERROR(IF(Finishing!G21&gt;0,VLOOKUP('Tube Laser'!A20,Finishing!A21:G111,7,FALSE),0),"")</f>
        <v>0</v>
      </c>
      <c r="N20" s="56">
        <f ca="1">SUM(J20,K20,L20,M20,'FB Data'!AR20)</f>
        <v>0</v>
      </c>
      <c r="O20" s="54">
        <f t="shared" si="0"/>
        <v>0</v>
      </c>
      <c r="P20" s="14"/>
      <c r="Q20" s="5" t="str">
        <f t="shared" si="1"/>
        <v/>
      </c>
      <c r="R20" s="2" t="str">
        <f t="shared" si="5"/>
        <v/>
      </c>
      <c r="S20" s="2" t="str">
        <f t="shared" si="2"/>
        <v/>
      </c>
      <c r="T20" s="126"/>
      <c r="U20" s="21" t="str">
        <f ca="1">IFERROR(N20+S20+'FB Data'!AE20+'FB Data'!AF20+'FB Data'!AG20+'FB Data'!AH20+($AB$7/$B$99)+($AB$8/$B$99)+($AB$3/$B$99)+($AB$2/$B$99)+($AB$4/$B$99)+($AB$5/$B$99),"")</f>
        <v/>
      </c>
      <c r="V20" s="21" t="str">
        <f ca="1">IFERROR(ROUND(U20*'Quote Info'!$O$4+T20,2),"")</f>
        <v/>
      </c>
      <c r="W20" s="4" t="str">
        <f t="shared" ca="1" si="3"/>
        <v/>
      </c>
      <c r="X20" s="4" t="str">
        <f t="shared" ca="1" si="6"/>
        <v/>
      </c>
      <c r="Y20" s="16" t="str">
        <f ca="1">IFERROR(U20/((VLOOKUP(P20,'TL Data'!$A$2:$E$1226,3,FALSE))*'Tube Laser'!O20),"")</f>
        <v/>
      </c>
      <c r="AA20" s="32" t="str">
        <f t="array" ref="AA20">IFERROR(INDEX($AA$30:$AA$56, MATCH(0,IF(ISBLANK($AA$30:$AA$56),1,COUNTIF($AA$13:AA19, $AA$30:$AA$56)), 0)),"")</f>
        <v/>
      </c>
      <c r="AB20" s="6">
        <f t="shared" si="7"/>
        <v>0</v>
      </c>
      <c r="AC20" s="55">
        <f t="shared" si="8"/>
        <v>0</v>
      </c>
      <c r="AD20" s="56">
        <f t="shared" si="9"/>
        <v>0</v>
      </c>
      <c r="AE20" s="24" t="str">
        <f>IFERROR(AB20*AC20*VLOOKUP(AA20,'TL Data'!$A$2:$E$1226,3,FALSE),"")</f>
        <v/>
      </c>
    </row>
    <row r="21" spans="1:31">
      <c r="A21" s="133"/>
      <c r="B21" s="13"/>
      <c r="C21" s="13"/>
      <c r="D21" s="13"/>
      <c r="E21" s="13"/>
      <c r="F21" s="13"/>
      <c r="G21" s="13"/>
      <c r="H21" s="13"/>
      <c r="I21" s="13"/>
      <c r="J21" s="57">
        <f t="shared" si="4"/>
        <v>0</v>
      </c>
      <c r="K21" s="91">
        <f>'Tube Bending'!E21</f>
        <v>0</v>
      </c>
      <c r="L21" s="77" t="str">
        <f ca="1">IFERROR(VLOOKUP('Tube Laser'!A21,Machining!A22:G112,7,FALSE),"")</f>
        <v/>
      </c>
      <c r="M21" s="77">
        <f>IFERROR(IF(Finishing!G22&gt;0,VLOOKUP('Tube Laser'!A21,Finishing!A22:G112,7,FALSE),0),"")</f>
        <v>0</v>
      </c>
      <c r="N21" s="56">
        <f ca="1">SUM(J21,K21,L21,M21,'FB Data'!AR21)</f>
        <v>0</v>
      </c>
      <c r="O21" s="54">
        <f t="shared" si="0"/>
        <v>0</v>
      </c>
      <c r="P21" s="14"/>
      <c r="Q21" s="5" t="str">
        <f t="shared" si="1"/>
        <v/>
      </c>
      <c r="R21" s="2" t="str">
        <f t="shared" si="5"/>
        <v/>
      </c>
      <c r="S21" s="2" t="str">
        <f t="shared" si="2"/>
        <v/>
      </c>
      <c r="T21" s="126"/>
      <c r="U21" s="21" t="str">
        <f ca="1">IFERROR(N21+S21+'FB Data'!AE21+'FB Data'!AF21+'FB Data'!AG21+'FB Data'!AH21+($AB$7/$B$99)+($AB$8/$B$99)+($AB$3/$B$99)+($AB$2/$B$99)+($AB$4/$B$99)+($AB$5/$B$99),"")</f>
        <v/>
      </c>
      <c r="V21" s="21" t="str">
        <f ca="1">IFERROR(ROUND(U21*'Quote Info'!$O$4+T21,2),"")</f>
        <v/>
      </c>
      <c r="W21" s="4" t="str">
        <f t="shared" ca="1" si="3"/>
        <v/>
      </c>
      <c r="X21" s="4" t="str">
        <f t="shared" ca="1" si="6"/>
        <v/>
      </c>
      <c r="Y21" s="16" t="str">
        <f ca="1">IFERROR(U21/((VLOOKUP(P21,'TL Data'!$A$2:$E$1226,3,FALSE))*'Tube Laser'!O21),"")</f>
        <v/>
      </c>
      <c r="AA21" s="32" t="str">
        <f t="array" ref="AA21">IFERROR(INDEX($AA$30:$AA$56, MATCH(0,IF(ISBLANK($AA$30:$AA$56),1,COUNTIF($AA$13:AA20, $AA$30:$AA$56)), 0)),"")</f>
        <v/>
      </c>
      <c r="AB21" s="6">
        <f t="shared" si="7"/>
        <v>0</v>
      </c>
      <c r="AC21" s="55">
        <f t="shared" si="8"/>
        <v>0</v>
      </c>
      <c r="AD21" s="56">
        <f t="shared" si="9"/>
        <v>0</v>
      </c>
      <c r="AE21" s="24" t="str">
        <f>IFERROR(AB21*AC21*VLOOKUP(AA21,'TL Data'!$A$2:$E$1226,3,FALSE),"")</f>
        <v/>
      </c>
    </row>
    <row r="22" spans="1:31">
      <c r="A22" s="133"/>
      <c r="B22" s="13"/>
      <c r="C22" s="13"/>
      <c r="D22" s="13"/>
      <c r="E22" s="13"/>
      <c r="F22" s="13"/>
      <c r="G22" s="13"/>
      <c r="H22" s="13"/>
      <c r="I22" s="13"/>
      <c r="J22" s="57">
        <f t="shared" si="4"/>
        <v>0</v>
      </c>
      <c r="K22" s="91">
        <f>'Tube Bending'!E22</f>
        <v>0</v>
      </c>
      <c r="L22" s="77" t="str">
        <f ca="1">IFERROR(VLOOKUP('Tube Laser'!A22,Machining!A23:G113,7,FALSE),"")</f>
        <v/>
      </c>
      <c r="M22" s="77">
        <f>IFERROR(IF(Finishing!G23&gt;0,VLOOKUP('Tube Laser'!A22,Finishing!A23:G113,7,FALSE),0),"")</f>
        <v>0</v>
      </c>
      <c r="N22" s="56">
        <f ca="1">SUM(J22,K22,L22,M22,'FB Data'!AR22)</f>
        <v>0</v>
      </c>
      <c r="O22" s="54">
        <f t="shared" si="0"/>
        <v>0</v>
      </c>
      <c r="P22" s="14"/>
      <c r="Q22" s="5" t="str">
        <f t="shared" si="1"/>
        <v/>
      </c>
      <c r="R22" s="2" t="str">
        <f t="shared" si="5"/>
        <v/>
      </c>
      <c r="S22" s="2" t="str">
        <f t="shared" si="2"/>
        <v/>
      </c>
      <c r="T22" s="126"/>
      <c r="U22" s="21" t="str">
        <f ca="1">IFERROR(N22+S22+'FB Data'!AE22+'FB Data'!AF22+'FB Data'!AG22+'FB Data'!AH22+($AB$7/$B$99)+($AB$8/$B$99)+($AB$3/$B$99)+($AB$2/$B$99)+($AB$4/$B$99)+($AB$5/$B$99),"")</f>
        <v/>
      </c>
      <c r="V22" s="21" t="str">
        <f ca="1">IFERROR(ROUND(U22*'Quote Info'!$O$4+T22,2),"")</f>
        <v/>
      </c>
      <c r="W22" s="4" t="str">
        <f t="shared" ca="1" si="3"/>
        <v/>
      </c>
      <c r="X22" s="4" t="str">
        <f t="shared" ca="1" si="6"/>
        <v/>
      </c>
      <c r="Y22" s="16" t="str">
        <f ca="1">IFERROR(U22/((VLOOKUP(P22,'TL Data'!$A$2:$E$1226,3,FALSE))*'Tube Laser'!O22),"")</f>
        <v/>
      </c>
      <c r="AA22" s="32" t="str">
        <f t="array" ref="AA22">IFERROR(INDEX($AA$30:$AA$56, MATCH(0,IF(ISBLANK($AA$30:$AA$56),1,COUNTIF($AA$13:AA21, $AA$30:$AA$56)), 0)),"")</f>
        <v/>
      </c>
      <c r="AB22" s="6">
        <f t="shared" si="7"/>
        <v>0</v>
      </c>
      <c r="AC22" s="55">
        <f t="shared" si="8"/>
        <v>0</v>
      </c>
      <c r="AD22" s="56">
        <f t="shared" si="9"/>
        <v>0</v>
      </c>
      <c r="AE22" s="24" t="str">
        <f>IFERROR(AB22*AC22*VLOOKUP(AA22,'TL Data'!$A$2:$E$1226,3,FALSE),"")</f>
        <v/>
      </c>
    </row>
    <row r="23" spans="1:31">
      <c r="A23" s="133"/>
      <c r="B23" s="13"/>
      <c r="C23" s="13"/>
      <c r="D23" s="13"/>
      <c r="E23" s="13"/>
      <c r="F23" s="13"/>
      <c r="G23" s="13"/>
      <c r="H23" s="13"/>
      <c r="I23" s="13"/>
      <c r="J23" s="57">
        <f t="shared" si="4"/>
        <v>0</v>
      </c>
      <c r="K23" s="91">
        <f>'Tube Bending'!E23</f>
        <v>0</v>
      </c>
      <c r="L23" s="77" t="str">
        <f ca="1">IFERROR(VLOOKUP('Tube Laser'!A23,Machining!A24:G114,7,FALSE),"")</f>
        <v/>
      </c>
      <c r="M23" s="77">
        <f>IFERROR(IF(Finishing!G24&gt;0,VLOOKUP('Tube Laser'!A23,Finishing!A24:G114,7,FALSE),0),"")</f>
        <v>0</v>
      </c>
      <c r="N23" s="56">
        <f ca="1">SUM(J23,K23,L23,M23,'FB Data'!AR23)</f>
        <v>0</v>
      </c>
      <c r="O23" s="54">
        <f t="shared" si="0"/>
        <v>0</v>
      </c>
      <c r="P23" s="14"/>
      <c r="Q23" s="5" t="str">
        <f t="shared" si="1"/>
        <v/>
      </c>
      <c r="R23" s="2" t="str">
        <f t="shared" si="5"/>
        <v/>
      </c>
      <c r="S23" s="2" t="str">
        <f t="shared" si="2"/>
        <v/>
      </c>
      <c r="T23" s="126"/>
      <c r="U23" s="21" t="str">
        <f ca="1">IFERROR(N23+S23+'FB Data'!AE23+'FB Data'!AF23+'FB Data'!AG23+'FB Data'!AH23+($AB$7/$B$99)+($AB$8/$B$99)+($AB$3/$B$99)+($AB$2/$B$99)+($AB$4/$B$99)+($AB$5/$B$99),"")</f>
        <v/>
      </c>
      <c r="V23" s="21" t="str">
        <f ca="1">IFERROR(ROUND(U23*'Quote Info'!$O$4+T23,2),"")</f>
        <v/>
      </c>
      <c r="W23" s="4" t="str">
        <f t="shared" ca="1" si="3"/>
        <v/>
      </c>
      <c r="X23" s="4" t="str">
        <f t="shared" ca="1" si="6"/>
        <v/>
      </c>
      <c r="Y23" s="16" t="str">
        <f ca="1">IFERROR(U23/((VLOOKUP(P23,'TL Data'!$A$2:$E$1226,3,FALSE))*'Tube Laser'!O23),"")</f>
        <v/>
      </c>
      <c r="AA23" s="32" t="str">
        <f t="array" ref="AA23">IFERROR(INDEX($AA$30:$AA$56, MATCH(0,IF(ISBLANK($AA$30:$AA$56),1,COUNTIF($AA$13:AA22, $AA$30:$AA$56)), 0)),"")</f>
        <v/>
      </c>
      <c r="AB23" s="6">
        <f t="shared" si="7"/>
        <v>0</v>
      </c>
      <c r="AC23" s="55">
        <f t="shared" si="8"/>
        <v>0</v>
      </c>
      <c r="AD23" s="56">
        <f t="shared" si="9"/>
        <v>0</v>
      </c>
      <c r="AE23" s="24" t="str">
        <f>IFERROR(AB23*AC23*VLOOKUP(AA23,'TL Data'!$A$2:$E$1226,3,FALSE),"")</f>
        <v/>
      </c>
    </row>
    <row r="24" spans="1:31">
      <c r="A24" s="133"/>
      <c r="B24" s="13"/>
      <c r="C24" s="13"/>
      <c r="D24" s="13"/>
      <c r="E24" s="13"/>
      <c r="F24" s="13"/>
      <c r="G24" s="13"/>
      <c r="H24" s="13"/>
      <c r="I24" s="13"/>
      <c r="J24" s="57">
        <f t="shared" si="4"/>
        <v>0</v>
      </c>
      <c r="K24" s="91">
        <f>'Tube Bending'!E24</f>
        <v>0</v>
      </c>
      <c r="L24" s="77" t="str">
        <f ca="1">IFERROR(VLOOKUP('Tube Laser'!A24,Machining!A25:G115,7,FALSE),"")</f>
        <v/>
      </c>
      <c r="M24" s="77">
        <f>IFERROR(IF(Finishing!G25&gt;0,VLOOKUP('Tube Laser'!A24,Finishing!A25:G115,7,FALSE),0),"")</f>
        <v>0</v>
      </c>
      <c r="N24" s="56">
        <f ca="1">SUM(J24,K24,L24,M24,'FB Data'!AR24)</f>
        <v>0</v>
      </c>
      <c r="O24" s="54">
        <f t="shared" si="0"/>
        <v>0</v>
      </c>
      <c r="P24" s="14"/>
      <c r="Q24" s="5" t="str">
        <f t="shared" si="1"/>
        <v/>
      </c>
      <c r="R24" s="2" t="str">
        <f t="shared" si="5"/>
        <v/>
      </c>
      <c r="S24" s="2" t="str">
        <f t="shared" si="2"/>
        <v/>
      </c>
      <c r="T24" s="126"/>
      <c r="U24" s="21" t="str">
        <f ca="1">IFERROR(N24+S24+'FB Data'!AE24+'FB Data'!AF24+'FB Data'!AG24+'FB Data'!AH24+($AB$7/$B$99)+($AB$8/$B$99)+($AB$3/$B$99)+($AB$2/$B$99)+($AB$4/$B$99)+($AB$5/$B$99),"")</f>
        <v/>
      </c>
      <c r="V24" s="21" t="str">
        <f ca="1">IFERROR(ROUND(U24*'Quote Info'!$O$4+T24,2),"")</f>
        <v/>
      </c>
      <c r="W24" s="4" t="str">
        <f t="shared" ca="1" si="3"/>
        <v/>
      </c>
      <c r="X24" s="4" t="str">
        <f t="shared" ca="1" si="6"/>
        <v/>
      </c>
      <c r="Y24" s="16" t="str">
        <f ca="1">IFERROR(U24/((VLOOKUP(P24,'TL Data'!$A$2:$E$1226,3,FALSE))*'Tube Laser'!O24),"")</f>
        <v/>
      </c>
      <c r="AA24" s="32" t="str">
        <f t="array" ref="AA24">IFERROR(INDEX($AA$30:$AA$56, MATCH(0,IF(ISBLANK($AA$30:$AA$56),1,COUNTIF($AA$13:AA23, $AA$30:$AA$56)), 0)),"")</f>
        <v/>
      </c>
      <c r="AB24" s="6">
        <f t="shared" si="7"/>
        <v>0</v>
      </c>
      <c r="AC24" s="55">
        <f t="shared" si="8"/>
        <v>0</v>
      </c>
      <c r="AD24" s="56">
        <f t="shared" si="9"/>
        <v>0</v>
      </c>
      <c r="AE24" s="24" t="str">
        <f>IFERROR(AB24*AC24*VLOOKUP(AA24,'TL Data'!$A$2:$E$1226,3,FALSE),"")</f>
        <v/>
      </c>
    </row>
    <row r="25" spans="1:31">
      <c r="A25" s="133"/>
      <c r="B25" s="13"/>
      <c r="C25" s="13"/>
      <c r="D25" s="13"/>
      <c r="E25" s="13"/>
      <c r="F25" s="13"/>
      <c r="G25" s="13"/>
      <c r="H25" s="13"/>
      <c r="I25" s="13"/>
      <c r="J25" s="57">
        <f t="shared" si="4"/>
        <v>0</v>
      </c>
      <c r="K25" s="91">
        <f>'Tube Bending'!E25</f>
        <v>0</v>
      </c>
      <c r="L25" s="77" t="str">
        <f ca="1">IFERROR(VLOOKUP('Tube Laser'!A25,Machining!A26:G116,7,FALSE),"")</f>
        <v/>
      </c>
      <c r="M25" s="77">
        <f>IFERROR(IF(Finishing!G26&gt;0,VLOOKUP('Tube Laser'!A25,Finishing!A26:G116,7,FALSE),0),"")</f>
        <v>0</v>
      </c>
      <c r="N25" s="56">
        <f ca="1">SUM(J25,K25,L25,M25,'FB Data'!AR25)</f>
        <v>0</v>
      </c>
      <c r="O25" s="54">
        <f t="shared" si="0"/>
        <v>0</v>
      </c>
      <c r="P25" s="14"/>
      <c r="Q25" s="5" t="str">
        <f t="shared" si="1"/>
        <v/>
      </c>
      <c r="R25" s="2" t="str">
        <f t="shared" si="5"/>
        <v/>
      </c>
      <c r="S25" s="2" t="str">
        <f t="shared" si="2"/>
        <v/>
      </c>
      <c r="T25" s="126"/>
      <c r="U25" s="21" t="str">
        <f ca="1">IFERROR(N25+S25+'FB Data'!AE25+'FB Data'!AF25+'FB Data'!AG25+'FB Data'!AH25+($AB$7/$B$99)+($AB$8/$B$99)+($AB$3/$B$99)+($AB$2/$B$99)+($AB$4/$B$99)+($AB$5/$B$99),"")</f>
        <v/>
      </c>
      <c r="V25" s="21" t="str">
        <f ca="1">IFERROR(ROUND(U25*'Quote Info'!$O$4+T25,2),"")</f>
        <v/>
      </c>
      <c r="W25" s="4" t="str">
        <f t="shared" ca="1" si="3"/>
        <v/>
      </c>
      <c r="X25" s="4" t="str">
        <f t="shared" ca="1" si="6"/>
        <v/>
      </c>
      <c r="Y25" s="16" t="str">
        <f ca="1">IFERROR(U25/((VLOOKUP(P25,'TL Data'!$A$2:$E$1226,3,FALSE))*'Tube Laser'!O25),"")</f>
        <v/>
      </c>
      <c r="AE25" s="25">
        <f>SUMIF(AE14:AE24,"&lt;&gt;#N/A")</f>
        <v>0</v>
      </c>
    </row>
    <row r="26" spans="1:31">
      <c r="A26" s="133"/>
      <c r="B26" s="13"/>
      <c r="C26" s="13"/>
      <c r="D26" s="13"/>
      <c r="E26" s="13"/>
      <c r="F26" s="13"/>
      <c r="G26" s="13"/>
      <c r="H26" s="13"/>
      <c r="I26" s="13"/>
      <c r="J26" s="57">
        <f t="shared" si="4"/>
        <v>0</v>
      </c>
      <c r="K26" s="91">
        <f>'Tube Bending'!E26</f>
        <v>0</v>
      </c>
      <c r="L26" s="77" t="str">
        <f ca="1">IFERROR(VLOOKUP('Tube Laser'!A26,Machining!A27:G117,7,FALSE),"")</f>
        <v/>
      </c>
      <c r="M26" s="77">
        <f>IFERROR(IF(Finishing!G27&gt;0,VLOOKUP('Tube Laser'!A26,Finishing!A27:G117,7,FALSE),0),"")</f>
        <v>0</v>
      </c>
      <c r="N26" s="56">
        <f ca="1">SUM(J26,K26,L26,M26,'FB Data'!AR26)</f>
        <v>0</v>
      </c>
      <c r="O26" s="54">
        <f t="shared" si="0"/>
        <v>0</v>
      </c>
      <c r="P26" s="14"/>
      <c r="Q26" s="5" t="str">
        <f t="shared" si="1"/>
        <v/>
      </c>
      <c r="R26" s="2" t="str">
        <f t="shared" si="5"/>
        <v/>
      </c>
      <c r="S26" s="2" t="str">
        <f t="shared" si="2"/>
        <v/>
      </c>
      <c r="T26" s="126"/>
      <c r="U26" s="21" t="str">
        <f ca="1">IFERROR(N26+S26+'FB Data'!AE26+'FB Data'!AF26+'FB Data'!AG26+'FB Data'!AH26+($AB$7/$B$99)+($AB$8/$B$99)+($AB$3/$B$99)+($AB$2/$B$99)+($AB$4/$B$99)+($AB$5/$B$99),"")</f>
        <v/>
      </c>
      <c r="V26" s="21" t="str">
        <f ca="1">IFERROR(ROUND(U26*'Quote Info'!$O$4+T26,2),"")</f>
        <v/>
      </c>
      <c r="W26" s="4" t="str">
        <f t="shared" ca="1" si="3"/>
        <v/>
      </c>
      <c r="X26" s="4" t="str">
        <f t="shared" ca="1" si="6"/>
        <v/>
      </c>
      <c r="Y26" s="16" t="str">
        <f ca="1">IFERROR(U26/((VLOOKUP(P26,'TL Data'!$A$2:$E$1226,3,FALSE))*'Tube Laser'!O26),"")</f>
        <v/>
      </c>
    </row>
    <row r="27" spans="1:31">
      <c r="A27" s="133"/>
      <c r="B27" s="13"/>
      <c r="C27" s="13"/>
      <c r="D27" s="13"/>
      <c r="E27" s="13"/>
      <c r="F27" s="13"/>
      <c r="G27" s="13"/>
      <c r="H27" s="13"/>
      <c r="I27" s="13"/>
      <c r="J27" s="57">
        <f t="shared" si="4"/>
        <v>0</v>
      </c>
      <c r="K27" s="91">
        <f>'Tube Bending'!E27</f>
        <v>0</v>
      </c>
      <c r="L27" s="77" t="str">
        <f ca="1">IFERROR(VLOOKUP('Tube Laser'!A27,Machining!A28:G118,7,FALSE),"")</f>
        <v/>
      </c>
      <c r="M27" s="77">
        <f>IFERROR(IF(Finishing!G28&gt;0,VLOOKUP('Tube Laser'!A27,Finishing!A28:G118,7,FALSE),0),"")</f>
        <v>0</v>
      </c>
      <c r="N27" s="56">
        <f ca="1">SUM(J27,K27,L27,M27,'FB Data'!AR27)</f>
        <v>0</v>
      </c>
      <c r="O27" s="54">
        <f t="shared" si="0"/>
        <v>0</v>
      </c>
      <c r="P27" s="14"/>
      <c r="Q27" s="5" t="str">
        <f t="shared" si="1"/>
        <v/>
      </c>
      <c r="R27" s="2" t="str">
        <f t="shared" si="5"/>
        <v/>
      </c>
      <c r="S27" s="2" t="str">
        <f t="shared" si="2"/>
        <v/>
      </c>
      <c r="T27" s="126"/>
      <c r="U27" s="21" t="str">
        <f ca="1">IFERROR(N27+S27+'FB Data'!AE27+'FB Data'!AF27+'FB Data'!AG27+'FB Data'!AH27+($AB$7/$B$99)+($AB$8/$B$99)+($AB$3/$B$99)+($AB$2/$B$99)+($AB$4/$B$99)+($AB$5/$B$99),"")</f>
        <v/>
      </c>
      <c r="V27" s="21" t="str">
        <f ca="1">IFERROR(ROUND(U27*'Quote Info'!$O$4+T27,2),"")</f>
        <v/>
      </c>
      <c r="W27" s="4" t="str">
        <f t="shared" ca="1" si="3"/>
        <v/>
      </c>
      <c r="X27" s="4" t="str">
        <f t="shared" ca="1" si="6"/>
        <v/>
      </c>
      <c r="Y27" s="16" t="str">
        <f ca="1">IFERROR(U27/((VLOOKUP(P27,'TL Data'!$A$2:$E$1226,3,FALSE))*'Tube Laser'!O27),"")</f>
        <v/>
      </c>
    </row>
    <row r="28" spans="1:31">
      <c r="A28" s="133"/>
      <c r="B28" s="13"/>
      <c r="C28" s="13"/>
      <c r="D28" s="13"/>
      <c r="E28" s="13"/>
      <c r="F28" s="13"/>
      <c r="G28" s="13"/>
      <c r="H28" s="13"/>
      <c r="I28" s="13"/>
      <c r="J28" s="57">
        <f t="shared" si="4"/>
        <v>0</v>
      </c>
      <c r="K28" s="91">
        <f>'Tube Bending'!E28</f>
        <v>0</v>
      </c>
      <c r="L28" s="77" t="str">
        <f ca="1">IFERROR(VLOOKUP('Tube Laser'!A28,Machining!A29:G119,7,FALSE),"")</f>
        <v/>
      </c>
      <c r="M28" s="77">
        <f>IFERROR(IF(Finishing!G29&gt;0,VLOOKUP('Tube Laser'!A28,Finishing!A29:G119,7,FALSE),0),"")</f>
        <v>0</v>
      </c>
      <c r="N28" s="56">
        <f ca="1">SUM(J28,K28,L28,M28,'FB Data'!AR28)</f>
        <v>0</v>
      </c>
      <c r="O28" s="54">
        <f t="shared" si="0"/>
        <v>0</v>
      </c>
      <c r="P28" s="14"/>
      <c r="Q28" s="5" t="str">
        <f t="shared" si="1"/>
        <v/>
      </c>
      <c r="R28" s="2" t="str">
        <f t="shared" si="5"/>
        <v/>
      </c>
      <c r="S28" s="2" t="str">
        <f t="shared" si="2"/>
        <v/>
      </c>
      <c r="T28" s="126"/>
      <c r="U28" s="21" t="str">
        <f ca="1">IFERROR(N28+S28+'FB Data'!AE28+'FB Data'!AF28+'FB Data'!AG28+'FB Data'!AH28+($AB$7/$B$99)+($AB$8/$B$99)+($AB$3/$B$99)+($AB$2/$B$99)+($AB$4/$B$99)+($AB$5/$B$99),"")</f>
        <v/>
      </c>
      <c r="V28" s="21" t="str">
        <f ca="1">IFERROR(ROUND(U28*'Quote Info'!$O$4+T28,2),"")</f>
        <v/>
      </c>
      <c r="W28" s="4" t="str">
        <f t="shared" ca="1" si="3"/>
        <v/>
      </c>
      <c r="X28" s="4" t="str">
        <f t="shared" ca="1" si="6"/>
        <v/>
      </c>
      <c r="Y28" s="16" t="str">
        <f ca="1">IFERROR(U28/((VLOOKUP(P28,'TL Data'!$A$2:$E$1226,3,FALSE))*'Tube Laser'!O28),"")</f>
        <v/>
      </c>
      <c r="AA28" s="141" t="s">
        <v>274</v>
      </c>
      <c r="AB28" s="141"/>
      <c r="AC28" s="141"/>
      <c r="AD28" s="141"/>
      <c r="AE28" s="141"/>
    </row>
    <row r="29" spans="1:31">
      <c r="A29" s="133"/>
      <c r="B29" s="13"/>
      <c r="C29" s="13"/>
      <c r="D29" s="13"/>
      <c r="E29" s="13"/>
      <c r="F29" s="13"/>
      <c r="G29" s="13"/>
      <c r="H29" s="13"/>
      <c r="I29" s="13"/>
      <c r="J29" s="57">
        <f t="shared" si="4"/>
        <v>0</v>
      </c>
      <c r="K29" s="91">
        <f>'Tube Bending'!E29</f>
        <v>0</v>
      </c>
      <c r="L29" s="77" t="str">
        <f ca="1">IFERROR(VLOOKUP('Tube Laser'!A29,Machining!A30:G120,7,FALSE),"")</f>
        <v/>
      </c>
      <c r="M29" s="77">
        <f>IFERROR(IF(Finishing!G30&gt;0,VLOOKUP('Tube Laser'!A29,Finishing!A30:G120,7,FALSE),0),"")</f>
        <v>0</v>
      </c>
      <c r="N29" s="56">
        <f ca="1">SUM(J29,K29,L29,M29,'FB Data'!AR29)</f>
        <v>0</v>
      </c>
      <c r="O29" s="54">
        <f t="shared" si="0"/>
        <v>0</v>
      </c>
      <c r="P29" s="14"/>
      <c r="Q29" s="5" t="str">
        <f t="shared" si="1"/>
        <v/>
      </c>
      <c r="R29" s="2" t="str">
        <f t="shared" si="5"/>
        <v/>
      </c>
      <c r="S29" s="2" t="str">
        <f t="shared" si="2"/>
        <v/>
      </c>
      <c r="T29" s="126"/>
      <c r="U29" s="21" t="str">
        <f ca="1">IFERROR(N29+S29+'FB Data'!AE29+'FB Data'!AF29+'FB Data'!AG29+'FB Data'!AH29+($AB$7/$B$99)+($AB$8/$B$99)+($AB$3/$B$99)+($AB$2/$B$99)+($AB$4/$B$99)+($AB$5/$B$99),"")</f>
        <v/>
      </c>
      <c r="V29" s="21" t="str">
        <f ca="1">IFERROR(ROUND(U29*'Quote Info'!$O$4+T29,2),"")</f>
        <v/>
      </c>
      <c r="W29" s="4" t="str">
        <f t="shared" ca="1" si="3"/>
        <v/>
      </c>
      <c r="X29" s="4" t="str">
        <f t="shared" ca="1" si="6"/>
        <v/>
      </c>
      <c r="Y29" s="16" t="str">
        <f ca="1">IFERROR(U29/((VLOOKUP(P29,'TL Data'!$A$2:$E$1226,3,FALSE))*'Tube Laser'!O29),"")</f>
        <v/>
      </c>
      <c r="AA29" s="15" t="s">
        <v>276</v>
      </c>
      <c r="AB29" s="15" t="s">
        <v>0</v>
      </c>
      <c r="AC29" s="15" t="s">
        <v>5</v>
      </c>
      <c r="AD29" s="15" t="s">
        <v>292</v>
      </c>
      <c r="AE29" s="15" t="s">
        <v>9</v>
      </c>
    </row>
    <row r="30" spans="1:31">
      <c r="A30" s="133"/>
      <c r="B30" s="13"/>
      <c r="C30" s="13"/>
      <c r="D30" s="13"/>
      <c r="E30" s="13"/>
      <c r="F30" s="13"/>
      <c r="G30" s="13"/>
      <c r="H30" s="13"/>
      <c r="I30" s="13"/>
      <c r="J30" s="57">
        <f t="shared" si="4"/>
        <v>0</v>
      </c>
      <c r="K30" s="91">
        <f>'Tube Bending'!E30</f>
        <v>0</v>
      </c>
      <c r="L30" s="77" t="str">
        <f ca="1">IFERROR(VLOOKUP('Tube Laser'!A30,Machining!A31:G121,7,FALSE),"")</f>
        <v/>
      </c>
      <c r="M30" s="77">
        <f>IFERROR(IF(Finishing!G31&gt;0,VLOOKUP('Tube Laser'!A30,Finishing!A31:G121,7,FALSE),0),"")</f>
        <v>0</v>
      </c>
      <c r="N30" s="56">
        <f ca="1">SUM(J30,K30,L30,M30,'FB Data'!AR30)</f>
        <v>0</v>
      </c>
      <c r="O30" s="54">
        <f t="shared" si="0"/>
        <v>0</v>
      </c>
      <c r="P30" s="14"/>
      <c r="Q30" s="5" t="str">
        <f t="shared" si="1"/>
        <v/>
      </c>
      <c r="R30" s="2" t="str">
        <f t="shared" si="5"/>
        <v/>
      </c>
      <c r="S30" s="2" t="str">
        <f t="shared" si="2"/>
        <v/>
      </c>
      <c r="T30" s="126"/>
      <c r="U30" s="21" t="str">
        <f ca="1">IFERROR(N30+S30+'FB Data'!AE30+'FB Data'!AF30+'FB Data'!AG30+'FB Data'!AH30+($AB$7/$B$99)+($AB$8/$B$99)+($AB$3/$B$99)+($AB$2/$B$99)+($AB$4/$B$99)+($AB$5/$B$99),"")</f>
        <v/>
      </c>
      <c r="V30" s="21" t="str">
        <f ca="1">IFERROR(ROUND(U30*'Quote Info'!$O$4+T30,2),"")</f>
        <v/>
      </c>
      <c r="W30" s="4" t="str">
        <f t="shared" ca="1" si="3"/>
        <v/>
      </c>
      <c r="X30" s="4" t="str">
        <f t="shared" ca="1" si="6"/>
        <v/>
      </c>
      <c r="Y30" s="16" t="str">
        <f ca="1">IFERROR(U30/((VLOOKUP(P30,'TL Data'!$A$2:$E$1226,3,FALSE))*'Tube Laser'!O30),"")</f>
        <v/>
      </c>
      <c r="AA30" s="14"/>
      <c r="AB30" s="13"/>
      <c r="AC30" s="13"/>
      <c r="AD30" s="6">
        <f>(AC30/12)*AB30</f>
        <v>0</v>
      </c>
      <c r="AE30" s="2" t="str">
        <f>IFERROR(IF($AB$6="JWMCD",VLOOKUP(AA30,'TL Data'!$A$2:$E$1226,3,FALSE)*VLOOKUP(AA30,'TL Data'!$A$2:$E$1226,5,FALSE)*AD30,IF($AB$6="Customer Supplied",0,"Need Input")),"")</f>
        <v/>
      </c>
    </row>
    <row r="31" spans="1:31">
      <c r="A31" s="133"/>
      <c r="B31" s="13"/>
      <c r="C31" s="13"/>
      <c r="D31" s="13"/>
      <c r="E31" s="13"/>
      <c r="F31" s="13"/>
      <c r="G31" s="13"/>
      <c r="H31" s="13"/>
      <c r="I31" s="13"/>
      <c r="J31" s="57">
        <f t="shared" si="4"/>
        <v>0</v>
      </c>
      <c r="K31" s="91">
        <f>'Tube Bending'!E31</f>
        <v>0</v>
      </c>
      <c r="L31" s="77" t="str">
        <f ca="1">IFERROR(VLOOKUP('Tube Laser'!A31,Machining!A32:G122,7,FALSE),"")</f>
        <v/>
      </c>
      <c r="M31" s="77">
        <f>IFERROR(IF(Finishing!G32&gt;0,VLOOKUP('Tube Laser'!A31,Finishing!A32:G122,7,FALSE),0),"")</f>
        <v>0</v>
      </c>
      <c r="N31" s="56">
        <f ca="1">SUM(J31,K31,L31,M31,'FB Data'!AR31)</f>
        <v>0</v>
      </c>
      <c r="O31" s="54">
        <f t="shared" si="0"/>
        <v>0</v>
      </c>
      <c r="P31" s="14"/>
      <c r="Q31" s="5" t="str">
        <f t="shared" si="1"/>
        <v/>
      </c>
      <c r="R31" s="2" t="str">
        <f t="shared" si="5"/>
        <v/>
      </c>
      <c r="S31" s="2" t="str">
        <f t="shared" si="2"/>
        <v/>
      </c>
      <c r="T31" s="126"/>
      <c r="U31" s="21" t="str">
        <f ca="1">IFERROR(N31+S31+'FB Data'!AE31+'FB Data'!AF31+'FB Data'!AG31+'FB Data'!AH31+($AB$7/$B$99)+($AB$8/$B$99)+($AB$3/$B$99)+($AB$2/$B$99)+($AB$4/$B$99)+($AB$5/$B$99),"")</f>
        <v/>
      </c>
      <c r="V31" s="21" t="str">
        <f ca="1">IFERROR(ROUND(U31*'Quote Info'!$O$4+T31,2),"")</f>
        <v/>
      </c>
      <c r="W31" s="4" t="str">
        <f t="shared" ca="1" si="3"/>
        <v/>
      </c>
      <c r="X31" s="4" t="str">
        <f t="shared" ca="1" si="6"/>
        <v/>
      </c>
      <c r="Y31" s="16" t="str">
        <f ca="1">IFERROR(U31/((VLOOKUP(P31,'TL Data'!$A$2:$E$1226,3,FALSE))*'Tube Laser'!O31),"")</f>
        <v/>
      </c>
      <c r="AA31" s="14"/>
      <c r="AB31" s="13"/>
      <c r="AC31" s="13"/>
      <c r="AD31" s="6">
        <f t="shared" ref="AD31:AD56" si="10">(AC31/12)*AB31</f>
        <v>0</v>
      </c>
      <c r="AE31" s="2" t="str">
        <f>IFERROR(IF($AB$6="JWMCD",VLOOKUP(AA31,'TL Data'!$A$2:$E$1226,3,FALSE)*VLOOKUP(AA31,'TL Data'!$A$2:$E$1226,5,FALSE)*AD31,IF($AB$6="Customer Supplied",0,"Need Input")),"")</f>
        <v/>
      </c>
    </row>
    <row r="32" spans="1:31">
      <c r="A32" s="133"/>
      <c r="B32" s="13"/>
      <c r="C32" s="13"/>
      <c r="D32" s="13"/>
      <c r="E32" s="13"/>
      <c r="F32" s="13"/>
      <c r="G32" s="13"/>
      <c r="H32" s="13"/>
      <c r="I32" s="13"/>
      <c r="J32" s="57">
        <f t="shared" si="4"/>
        <v>0</v>
      </c>
      <c r="K32" s="91">
        <f>'Tube Bending'!E32</f>
        <v>0</v>
      </c>
      <c r="L32" s="77" t="str">
        <f ca="1">IFERROR(VLOOKUP('Tube Laser'!A32,Machining!A33:G123,7,FALSE),"")</f>
        <v/>
      </c>
      <c r="M32" s="77">
        <f>IFERROR(IF(Finishing!G33&gt;0,VLOOKUP('Tube Laser'!A32,Finishing!A33:G123,7,FALSE),0),"")</f>
        <v>0</v>
      </c>
      <c r="N32" s="56">
        <f ca="1">SUM(J32,K32,L32,M32,'FB Data'!AR32)</f>
        <v>0</v>
      </c>
      <c r="O32" s="54">
        <f t="shared" si="0"/>
        <v>0</v>
      </c>
      <c r="P32" s="14"/>
      <c r="Q32" s="5" t="str">
        <f t="shared" si="1"/>
        <v/>
      </c>
      <c r="R32" s="2" t="str">
        <f t="shared" si="5"/>
        <v/>
      </c>
      <c r="S32" s="2" t="str">
        <f t="shared" si="2"/>
        <v/>
      </c>
      <c r="T32" s="126"/>
      <c r="U32" s="21" t="str">
        <f ca="1">IFERROR(N32+S32+'FB Data'!AE32+'FB Data'!AF32+'FB Data'!AG32+'FB Data'!AH32+($AB$7/$B$99)+($AB$8/$B$99)+($AB$3/$B$99)+($AB$2/$B$99)+($AB$4/$B$99)+($AB$5/$B$99),"")</f>
        <v/>
      </c>
      <c r="V32" s="21" t="str">
        <f ca="1">IFERROR(ROUND(U32*'Quote Info'!$O$4+T32,2),"")</f>
        <v/>
      </c>
      <c r="W32" s="4" t="str">
        <f t="shared" ca="1" si="3"/>
        <v/>
      </c>
      <c r="X32" s="4" t="str">
        <f t="shared" ca="1" si="6"/>
        <v/>
      </c>
      <c r="Y32" s="16" t="str">
        <f ca="1">IFERROR(U32/((VLOOKUP(P32,'TL Data'!$A$2:$E$1226,3,FALSE))*'Tube Laser'!O32),"")</f>
        <v/>
      </c>
      <c r="AA32" s="14"/>
      <c r="AB32" s="13"/>
      <c r="AC32" s="13"/>
      <c r="AD32" s="6">
        <f t="shared" si="10"/>
        <v>0</v>
      </c>
      <c r="AE32" s="2" t="str">
        <f>IFERROR(IF($AB$6="JWMCD",VLOOKUP(AA32,'TL Data'!$A$2:$E$1226,3,FALSE)*VLOOKUP(AA32,'TL Data'!$A$2:$E$1226,5,FALSE)*AD32,IF($AB$6="Customer Supplied",0,"Need Input")),"")</f>
        <v/>
      </c>
    </row>
    <row r="33" spans="1:31">
      <c r="A33" s="133"/>
      <c r="B33" s="13"/>
      <c r="C33" s="13"/>
      <c r="D33" s="13"/>
      <c r="E33" s="13"/>
      <c r="F33" s="13"/>
      <c r="G33" s="13"/>
      <c r="H33" s="13"/>
      <c r="I33" s="13"/>
      <c r="J33" s="57">
        <f t="shared" si="4"/>
        <v>0</v>
      </c>
      <c r="K33" s="91">
        <f>'Tube Bending'!E33</f>
        <v>0</v>
      </c>
      <c r="L33" s="77" t="str">
        <f ca="1">IFERROR(VLOOKUP('Tube Laser'!A33,Machining!A34:G124,7,FALSE),"")</f>
        <v/>
      </c>
      <c r="M33" s="77">
        <f>IFERROR(IF(Finishing!G34&gt;0,VLOOKUP('Tube Laser'!A33,Finishing!A34:G124,7,FALSE),0),"")</f>
        <v>0</v>
      </c>
      <c r="N33" s="56">
        <f ca="1">SUM(J33,K33,L33,M33,'FB Data'!AR33)</f>
        <v>0</v>
      </c>
      <c r="O33" s="54">
        <f t="shared" si="0"/>
        <v>0</v>
      </c>
      <c r="P33" s="14"/>
      <c r="Q33" s="5" t="str">
        <f t="shared" si="1"/>
        <v/>
      </c>
      <c r="R33" s="2" t="str">
        <f t="shared" si="5"/>
        <v/>
      </c>
      <c r="S33" s="2" t="str">
        <f t="shared" si="2"/>
        <v/>
      </c>
      <c r="T33" s="126"/>
      <c r="U33" s="21" t="str">
        <f ca="1">IFERROR(N33+S33+'FB Data'!AE33+'FB Data'!AF33+'FB Data'!AG33+'FB Data'!AH33+($AB$7/$B$99)+($AB$8/$B$99)+($AB$3/$B$99)+($AB$2/$B$99)+($AB$4/$B$99)+($AB$5/$B$99),"")</f>
        <v/>
      </c>
      <c r="V33" s="21" t="str">
        <f ca="1">IFERROR(ROUND(U33*'Quote Info'!$O$4+T33,2),"")</f>
        <v/>
      </c>
      <c r="W33" s="4" t="str">
        <f t="shared" ca="1" si="3"/>
        <v/>
      </c>
      <c r="X33" s="4" t="str">
        <f t="shared" ca="1" si="6"/>
        <v/>
      </c>
      <c r="Y33" s="16" t="str">
        <f ca="1">IFERROR(U33/((VLOOKUP(P33,'TL Data'!$A$2:$E$1226,3,FALSE))*'Tube Laser'!O33),"")</f>
        <v/>
      </c>
      <c r="AA33" s="14"/>
      <c r="AB33" s="13"/>
      <c r="AC33" s="13"/>
      <c r="AD33" s="6">
        <f t="shared" si="10"/>
        <v>0</v>
      </c>
      <c r="AE33" s="2" t="str">
        <f>IFERROR(IF($AB$6="JWMCD",VLOOKUP(AA33,'TL Data'!$A$2:$E$1226,3,FALSE)*VLOOKUP(AA33,'TL Data'!$A$2:$E$1226,5,FALSE)*AD33,IF($AB$6="Customer Supplied",0,"Need Input")),"")</f>
        <v/>
      </c>
    </row>
    <row r="34" spans="1:31">
      <c r="A34" s="133"/>
      <c r="B34" s="13"/>
      <c r="C34" s="13"/>
      <c r="D34" s="13"/>
      <c r="E34" s="13"/>
      <c r="F34" s="13"/>
      <c r="G34" s="13"/>
      <c r="H34" s="13"/>
      <c r="I34" s="13"/>
      <c r="J34" s="57">
        <f t="shared" si="4"/>
        <v>0</v>
      </c>
      <c r="K34" s="91">
        <f>'Tube Bending'!E34</f>
        <v>0</v>
      </c>
      <c r="L34" s="77" t="str">
        <f ca="1">IFERROR(VLOOKUP('Tube Laser'!A34,Machining!A35:G125,7,FALSE),"")</f>
        <v/>
      </c>
      <c r="M34" s="77">
        <f>IFERROR(IF(Finishing!G35&gt;0,VLOOKUP('Tube Laser'!A34,Finishing!A35:G125,7,FALSE),0),"")</f>
        <v>0</v>
      </c>
      <c r="N34" s="56">
        <f ca="1">SUM(J34,K34,L34,M34,'FB Data'!AR34)</f>
        <v>0</v>
      </c>
      <c r="O34" s="54">
        <f t="shared" si="0"/>
        <v>0</v>
      </c>
      <c r="P34" s="14"/>
      <c r="Q34" s="5" t="str">
        <f t="shared" si="1"/>
        <v/>
      </c>
      <c r="R34" s="2" t="str">
        <f t="shared" si="5"/>
        <v/>
      </c>
      <c r="S34" s="2" t="str">
        <f t="shared" si="2"/>
        <v/>
      </c>
      <c r="T34" s="126"/>
      <c r="U34" s="21" t="str">
        <f ca="1">IFERROR(N34+S34+'FB Data'!AE34+'FB Data'!AF34+'FB Data'!AG34+'FB Data'!AH34+($AB$7/$B$99)+($AB$8/$B$99)+($AB$3/$B$99)+($AB$2/$B$99)+($AB$4/$B$99)+($AB$5/$B$99),"")</f>
        <v/>
      </c>
      <c r="V34" s="21" t="str">
        <f ca="1">IFERROR(ROUND(U34*'Quote Info'!$O$4+T34,2),"")</f>
        <v/>
      </c>
      <c r="W34" s="4" t="str">
        <f t="shared" ca="1" si="3"/>
        <v/>
      </c>
      <c r="X34" s="4" t="str">
        <f t="shared" ca="1" si="6"/>
        <v/>
      </c>
      <c r="Y34" s="16" t="str">
        <f ca="1">IFERROR(U34/((VLOOKUP(P34,'TL Data'!$A$2:$E$1226,3,FALSE))*'Tube Laser'!O34),"")</f>
        <v/>
      </c>
      <c r="AA34" s="14"/>
      <c r="AB34" s="13"/>
      <c r="AC34" s="13"/>
      <c r="AD34" s="6">
        <f t="shared" si="10"/>
        <v>0</v>
      </c>
      <c r="AE34" s="2" t="str">
        <f>IFERROR(IF($AB$6="JWMCD",VLOOKUP(AA34,'TL Data'!$A$2:$E$1226,3,FALSE)*VLOOKUP(AA34,'TL Data'!$A$2:$E$1226,5,FALSE)*AD34,IF($AB$6="Customer Supplied",0,"Need Input")),"")</f>
        <v/>
      </c>
    </row>
    <row r="35" spans="1:31">
      <c r="A35" s="133"/>
      <c r="B35" s="13"/>
      <c r="C35" s="13"/>
      <c r="D35" s="13"/>
      <c r="E35" s="13"/>
      <c r="F35" s="13"/>
      <c r="G35" s="13"/>
      <c r="H35" s="13"/>
      <c r="I35" s="13"/>
      <c r="J35" s="57">
        <f t="shared" si="4"/>
        <v>0</v>
      </c>
      <c r="K35" s="91">
        <f>'Tube Bending'!E35</f>
        <v>0</v>
      </c>
      <c r="L35" s="77" t="str">
        <f ca="1">IFERROR(VLOOKUP('Tube Laser'!A35,Machining!A36:G126,7,FALSE),"")</f>
        <v/>
      </c>
      <c r="M35" s="77">
        <f>IFERROR(IF(Finishing!G36&gt;0,VLOOKUP('Tube Laser'!A35,Finishing!A36:G126,7,FALSE),0),"")</f>
        <v>0</v>
      </c>
      <c r="N35" s="56">
        <f ca="1">SUM(J35,K35,L35,M35,'FB Data'!AR35)</f>
        <v>0</v>
      </c>
      <c r="O35" s="54">
        <f t="shared" si="0"/>
        <v>0</v>
      </c>
      <c r="P35" s="14"/>
      <c r="Q35" s="5" t="str">
        <f t="shared" si="1"/>
        <v/>
      </c>
      <c r="R35" s="2" t="str">
        <f t="shared" si="5"/>
        <v/>
      </c>
      <c r="S35" s="2" t="str">
        <f t="shared" si="2"/>
        <v/>
      </c>
      <c r="T35" s="126"/>
      <c r="U35" s="21" t="str">
        <f ca="1">IFERROR(N35+S35+'FB Data'!AE35+'FB Data'!AF35+'FB Data'!AG35+'FB Data'!AH35+($AB$7/$B$99)+($AB$8/$B$99)+($AB$3/$B$99)+($AB$2/$B$99)+($AB$4/$B$99)+($AB$5/$B$99),"")</f>
        <v/>
      </c>
      <c r="V35" s="21" t="str">
        <f ca="1">IFERROR(ROUND(U35*'Quote Info'!$O$4+T35,2),"")</f>
        <v/>
      </c>
      <c r="W35" s="4" t="str">
        <f t="shared" ca="1" si="3"/>
        <v/>
      </c>
      <c r="X35" s="4" t="str">
        <f t="shared" ca="1" si="6"/>
        <v/>
      </c>
      <c r="Y35" s="16" t="str">
        <f ca="1">IFERROR(U35/((VLOOKUP(P35,'TL Data'!$A$2:$E$1226,3,FALSE))*'Tube Laser'!O35),"")</f>
        <v/>
      </c>
      <c r="AA35" s="14"/>
      <c r="AB35" s="13"/>
      <c r="AC35" s="13"/>
      <c r="AD35" s="6">
        <f t="shared" si="10"/>
        <v>0</v>
      </c>
      <c r="AE35" s="2" t="str">
        <f>IFERROR(IF($AB$6="JWMCD",VLOOKUP(AA35,'TL Data'!$A$2:$E$1226,3,FALSE)*VLOOKUP(AA35,'TL Data'!$A$2:$E$1226,5,FALSE)*AD35,IF($AB$6="Customer Supplied",0,"Need Input")),"")</f>
        <v/>
      </c>
    </row>
    <row r="36" spans="1:31">
      <c r="A36" s="133"/>
      <c r="B36" s="13"/>
      <c r="C36" s="13"/>
      <c r="D36" s="13"/>
      <c r="E36" s="13"/>
      <c r="F36" s="13"/>
      <c r="G36" s="13"/>
      <c r="H36" s="13"/>
      <c r="I36" s="13"/>
      <c r="J36" s="57">
        <f t="shared" si="4"/>
        <v>0</v>
      </c>
      <c r="K36" s="91">
        <f>'Tube Bending'!E36</f>
        <v>0</v>
      </c>
      <c r="L36" s="77" t="str">
        <f ca="1">IFERROR(VLOOKUP('Tube Laser'!A36,Machining!A37:G127,7,FALSE),"")</f>
        <v/>
      </c>
      <c r="M36" s="77">
        <f>IFERROR(IF(Finishing!G37&gt;0,VLOOKUP('Tube Laser'!A36,Finishing!A37:G127,7,FALSE),0),"")</f>
        <v>0</v>
      </c>
      <c r="N36" s="56">
        <f ca="1">SUM(J36,K36,L36,M36,'FB Data'!AR36)</f>
        <v>0</v>
      </c>
      <c r="O36" s="54">
        <f t="shared" si="0"/>
        <v>0</v>
      </c>
      <c r="P36" s="14"/>
      <c r="Q36" s="5" t="str">
        <f t="shared" si="1"/>
        <v/>
      </c>
      <c r="R36" s="2" t="str">
        <f t="shared" si="5"/>
        <v/>
      </c>
      <c r="S36" s="2" t="str">
        <f t="shared" si="2"/>
        <v/>
      </c>
      <c r="T36" s="126"/>
      <c r="U36" s="21" t="str">
        <f ca="1">IFERROR(N36+S36+'FB Data'!AE36+'FB Data'!AF36+'FB Data'!AG36+'FB Data'!AH36+($AB$7/$B$99)+($AB$8/$B$99)+($AB$3/$B$99)+($AB$2/$B$99)+($AB$4/$B$99)+($AB$5/$B$99),"")</f>
        <v/>
      </c>
      <c r="V36" s="21" t="str">
        <f ca="1">IFERROR(ROUND(U36*'Quote Info'!$O$4+T36,2),"")</f>
        <v/>
      </c>
      <c r="W36" s="4" t="str">
        <f t="shared" ca="1" si="3"/>
        <v/>
      </c>
      <c r="X36" s="4" t="str">
        <f t="shared" ca="1" si="6"/>
        <v/>
      </c>
      <c r="Y36" s="16" t="str">
        <f ca="1">IFERROR(U36/((VLOOKUP(P36,'TL Data'!$A$2:$E$1226,3,FALSE))*'Tube Laser'!O36),"")</f>
        <v/>
      </c>
      <c r="AA36" s="14"/>
      <c r="AB36" s="13"/>
      <c r="AC36" s="13"/>
      <c r="AD36" s="6">
        <f t="shared" si="10"/>
        <v>0</v>
      </c>
      <c r="AE36" s="2" t="str">
        <f>IFERROR(IF($AB$6="JWMCD",VLOOKUP(AA36,'TL Data'!$A$2:$E$1226,3,FALSE)*VLOOKUP(AA36,'TL Data'!$A$2:$E$1226,5,FALSE)*AD36,IF($AB$6="Customer Supplied",0,"Need Input")),"")</f>
        <v/>
      </c>
    </row>
    <row r="37" spans="1:31">
      <c r="A37" s="133"/>
      <c r="B37" s="13"/>
      <c r="C37" s="13"/>
      <c r="D37" s="13"/>
      <c r="E37" s="13"/>
      <c r="F37" s="13"/>
      <c r="G37" s="13"/>
      <c r="H37" s="13"/>
      <c r="I37" s="13"/>
      <c r="J37" s="57">
        <f t="shared" si="4"/>
        <v>0</v>
      </c>
      <c r="K37" s="91">
        <f>'Tube Bending'!E37</f>
        <v>0</v>
      </c>
      <c r="L37" s="77" t="str">
        <f ca="1">IFERROR(VLOOKUP('Tube Laser'!A37,Machining!A38:G128,7,FALSE),"")</f>
        <v/>
      </c>
      <c r="M37" s="77">
        <f>IFERROR(IF(Finishing!G38&gt;0,VLOOKUP('Tube Laser'!A37,Finishing!A38:G128,7,FALSE),0),"")</f>
        <v>0</v>
      </c>
      <c r="N37" s="56">
        <f ca="1">SUM(J37,K37,L37,M37,'FB Data'!AR37)</f>
        <v>0</v>
      </c>
      <c r="O37" s="54">
        <f t="shared" si="0"/>
        <v>0</v>
      </c>
      <c r="P37" s="14"/>
      <c r="Q37" s="5" t="str">
        <f t="shared" si="1"/>
        <v/>
      </c>
      <c r="R37" s="2" t="str">
        <f t="shared" si="5"/>
        <v/>
      </c>
      <c r="S37" s="2" t="str">
        <f t="shared" si="2"/>
        <v/>
      </c>
      <c r="T37" s="126"/>
      <c r="U37" s="21" t="str">
        <f ca="1">IFERROR(N37+S37+'FB Data'!AE37+'FB Data'!AF37+'FB Data'!AG37+'FB Data'!AH37+($AB$7/$B$99)+($AB$8/$B$99)+($AB$3/$B$99)+($AB$2/$B$99)+($AB$4/$B$99)+($AB$5/$B$99),"")</f>
        <v/>
      </c>
      <c r="V37" s="21" t="str">
        <f ca="1">IFERROR(ROUND(U37*'Quote Info'!$O$4+T37,2),"")</f>
        <v/>
      </c>
      <c r="W37" s="4" t="str">
        <f t="shared" ca="1" si="3"/>
        <v/>
      </c>
      <c r="X37" s="4" t="str">
        <f t="shared" ca="1" si="6"/>
        <v/>
      </c>
      <c r="Y37" s="16" t="str">
        <f ca="1">IFERROR(U37/((VLOOKUP(P37,'TL Data'!$A$2:$E$1226,3,FALSE))*'Tube Laser'!O37),"")</f>
        <v/>
      </c>
      <c r="AA37" s="14"/>
      <c r="AB37" s="13"/>
      <c r="AC37" s="13"/>
      <c r="AD37" s="6">
        <f t="shared" si="10"/>
        <v>0</v>
      </c>
      <c r="AE37" s="2" t="str">
        <f>IFERROR(IF($AB$6="JWMCD",VLOOKUP(AA37,'TL Data'!$A$2:$E$1226,3,FALSE)*VLOOKUP(AA37,'TL Data'!$A$2:$E$1226,5,FALSE)*AD37,IF($AB$6="Customer Supplied",0,"Need Input")),"")</f>
        <v/>
      </c>
    </row>
    <row r="38" spans="1:31">
      <c r="A38" s="133"/>
      <c r="B38" s="13"/>
      <c r="C38" s="13"/>
      <c r="D38" s="13"/>
      <c r="E38" s="13"/>
      <c r="F38" s="13"/>
      <c r="G38" s="13"/>
      <c r="H38" s="13"/>
      <c r="I38" s="13"/>
      <c r="J38" s="57">
        <f t="shared" si="4"/>
        <v>0</v>
      </c>
      <c r="K38" s="91">
        <f>'Tube Bending'!E38</f>
        <v>0</v>
      </c>
      <c r="L38" s="77" t="str">
        <f ca="1">IFERROR(VLOOKUP('Tube Laser'!A38,Machining!A39:G129,7,FALSE),"")</f>
        <v/>
      </c>
      <c r="M38" s="77">
        <f>IFERROR(IF(Finishing!G39&gt;0,VLOOKUP('Tube Laser'!A38,Finishing!A39:G129,7,FALSE),0),"")</f>
        <v>0</v>
      </c>
      <c r="N38" s="56">
        <f ca="1">SUM(J38,K38,L38,M38,'FB Data'!AR38)</f>
        <v>0</v>
      </c>
      <c r="O38" s="54">
        <f t="shared" si="0"/>
        <v>0</v>
      </c>
      <c r="P38" s="14"/>
      <c r="Q38" s="5" t="str">
        <f t="shared" si="1"/>
        <v/>
      </c>
      <c r="R38" s="2" t="str">
        <f t="shared" si="5"/>
        <v/>
      </c>
      <c r="S38" s="2" t="str">
        <f t="shared" si="2"/>
        <v/>
      </c>
      <c r="T38" s="126"/>
      <c r="U38" s="21" t="str">
        <f ca="1">IFERROR(N38+S38+'FB Data'!AE38+'FB Data'!AF38+'FB Data'!AG38+'FB Data'!AH38+($AB$7/$B$99)+($AB$8/$B$99)+($AB$3/$B$99)+($AB$2/$B$99)+($AB$4/$B$99)+($AB$5/$B$99),"")</f>
        <v/>
      </c>
      <c r="V38" s="21" t="str">
        <f ca="1">IFERROR(ROUND(U38*'Quote Info'!$O$4+T38,2),"")</f>
        <v/>
      </c>
      <c r="W38" s="4" t="str">
        <f t="shared" ca="1" si="3"/>
        <v/>
      </c>
      <c r="X38" s="4" t="str">
        <f t="shared" ca="1" si="6"/>
        <v/>
      </c>
      <c r="Y38" s="16" t="str">
        <f ca="1">IFERROR(U38/((VLOOKUP(P38,'TL Data'!$A$2:$E$1226,3,FALSE))*'Tube Laser'!O38),"")</f>
        <v/>
      </c>
      <c r="AA38" s="14"/>
      <c r="AB38" s="13"/>
      <c r="AC38" s="13"/>
      <c r="AD38" s="6">
        <f t="shared" si="10"/>
        <v>0</v>
      </c>
      <c r="AE38" s="2" t="str">
        <f>IFERROR(IF($AB$6="JWMCD",VLOOKUP(AA38,'TL Data'!$A$2:$E$1226,3,FALSE)*VLOOKUP(AA38,'TL Data'!$A$2:$E$1226,5,FALSE)*AD38,IF($AB$6="Customer Supplied",0,"Need Input")),"")</f>
        <v/>
      </c>
    </row>
    <row r="39" spans="1:31">
      <c r="A39" s="133"/>
      <c r="B39" s="13"/>
      <c r="C39" s="13"/>
      <c r="D39" s="13"/>
      <c r="E39" s="13"/>
      <c r="F39" s="13"/>
      <c r="G39" s="13"/>
      <c r="H39" s="13"/>
      <c r="I39" s="13"/>
      <c r="J39" s="57">
        <f t="shared" si="4"/>
        <v>0</v>
      </c>
      <c r="K39" s="91">
        <f>'Tube Bending'!E39</f>
        <v>0</v>
      </c>
      <c r="L39" s="77" t="str">
        <f ca="1">IFERROR(VLOOKUP('Tube Laser'!A39,Machining!A40:G130,7,FALSE),"")</f>
        <v/>
      </c>
      <c r="M39" s="77">
        <f>IFERROR(IF(Finishing!G40&gt;0,VLOOKUP('Tube Laser'!A39,Finishing!A40:G130,7,FALSE),0),"")</f>
        <v>0</v>
      </c>
      <c r="N39" s="56">
        <f ca="1">SUM(J39,K39,L39,M39,'FB Data'!AR39)</f>
        <v>0</v>
      </c>
      <c r="O39" s="54">
        <f t="shared" si="0"/>
        <v>0</v>
      </c>
      <c r="P39" s="14"/>
      <c r="Q39" s="5" t="str">
        <f t="shared" si="1"/>
        <v/>
      </c>
      <c r="R39" s="2" t="str">
        <f t="shared" si="5"/>
        <v/>
      </c>
      <c r="S39" s="2" t="str">
        <f t="shared" si="2"/>
        <v/>
      </c>
      <c r="T39" s="126"/>
      <c r="U39" s="21" t="str">
        <f ca="1">IFERROR(N39+S39+'FB Data'!AE39+'FB Data'!AF39+'FB Data'!AG39+'FB Data'!AH39+($AB$7/$B$99)+($AB$8/$B$99)+($AB$3/$B$99)+($AB$2/$B$99)+($AB$4/$B$99)+($AB$5/$B$99),"")</f>
        <v/>
      </c>
      <c r="V39" s="21" t="str">
        <f ca="1">IFERROR(ROUND(U39*'Quote Info'!$O$4+T39,2),"")</f>
        <v/>
      </c>
      <c r="W39" s="4" t="str">
        <f t="shared" ca="1" si="3"/>
        <v/>
      </c>
      <c r="X39" s="4" t="str">
        <f t="shared" ca="1" si="6"/>
        <v/>
      </c>
      <c r="Y39" s="16" t="str">
        <f ca="1">IFERROR(U39/((VLOOKUP(P39,'TL Data'!$A$2:$E$1226,3,FALSE))*'Tube Laser'!O39),"")</f>
        <v/>
      </c>
      <c r="AA39" s="14"/>
      <c r="AB39" s="13"/>
      <c r="AC39" s="13"/>
      <c r="AD39" s="6">
        <f t="shared" si="10"/>
        <v>0</v>
      </c>
      <c r="AE39" s="2" t="str">
        <f>IFERROR(IF($AB$6="JWMCD",VLOOKUP(AA39,'TL Data'!$A$2:$E$1226,3,FALSE)*VLOOKUP(AA39,'TL Data'!$A$2:$E$1226,5,FALSE)*AD39,IF($AB$6="Customer Supplied",0,"Need Input")),"")</f>
        <v/>
      </c>
    </row>
    <row r="40" spans="1:31">
      <c r="A40" s="133"/>
      <c r="B40" s="13"/>
      <c r="C40" s="13"/>
      <c r="D40" s="13"/>
      <c r="E40" s="13"/>
      <c r="F40" s="13"/>
      <c r="G40" s="13"/>
      <c r="H40" s="13"/>
      <c r="I40" s="13"/>
      <c r="J40" s="57">
        <f t="shared" si="4"/>
        <v>0</v>
      </c>
      <c r="K40" s="91">
        <f>'Tube Bending'!E40</f>
        <v>0</v>
      </c>
      <c r="L40" s="77" t="str">
        <f ca="1">IFERROR(VLOOKUP('Tube Laser'!A40,Machining!A41:G131,7,FALSE),"")</f>
        <v/>
      </c>
      <c r="M40" s="77">
        <f>IFERROR(IF(Finishing!G41&gt;0,VLOOKUP('Tube Laser'!A40,Finishing!A41:G131,7,FALSE),0),"")</f>
        <v>0</v>
      </c>
      <c r="N40" s="56">
        <f ca="1">SUM(J40,K40,L40,M40,'FB Data'!AR40)</f>
        <v>0</v>
      </c>
      <c r="O40" s="54">
        <f t="shared" si="0"/>
        <v>0</v>
      </c>
      <c r="P40" s="14"/>
      <c r="Q40" s="5" t="str">
        <f t="shared" si="1"/>
        <v/>
      </c>
      <c r="R40" s="2" t="str">
        <f t="shared" si="5"/>
        <v/>
      </c>
      <c r="S40" s="2" t="str">
        <f t="shared" si="2"/>
        <v/>
      </c>
      <c r="T40" s="126"/>
      <c r="U40" s="21" t="str">
        <f ca="1">IFERROR(N40+S40+'FB Data'!AE40+'FB Data'!AF40+'FB Data'!AG40+'FB Data'!AH40+($AB$7/$B$99)+($AB$8/$B$99)+($AB$3/$B$99)+($AB$2/$B$99)+($AB$4/$B$99)+($AB$5/$B$99),"")</f>
        <v/>
      </c>
      <c r="V40" s="21" t="str">
        <f ca="1">IFERROR(ROUND(U40*'Quote Info'!$O$4+T40,2),"")</f>
        <v/>
      </c>
      <c r="W40" s="4" t="str">
        <f t="shared" ca="1" si="3"/>
        <v/>
      </c>
      <c r="X40" s="4" t="str">
        <f t="shared" ca="1" si="6"/>
        <v/>
      </c>
      <c r="Y40" s="16" t="str">
        <f ca="1">IFERROR(U40/((VLOOKUP(P40,'TL Data'!$A$2:$E$1226,3,FALSE))*'Tube Laser'!O40),"")</f>
        <v/>
      </c>
      <c r="AA40" s="14"/>
      <c r="AB40" s="13"/>
      <c r="AC40" s="13"/>
      <c r="AD40" s="6">
        <f t="shared" si="10"/>
        <v>0</v>
      </c>
      <c r="AE40" s="2" t="str">
        <f>IFERROR(IF($AB$6="JWMCD",VLOOKUP(AA40,'TL Data'!$A$2:$E$1226,3,FALSE)*VLOOKUP(AA40,'TL Data'!$A$2:$E$1226,5,FALSE)*AD40,IF($AB$6="Customer Supplied",0,"Need Input")),"")</f>
        <v/>
      </c>
    </row>
    <row r="41" spans="1:31">
      <c r="A41" s="133"/>
      <c r="B41" s="13"/>
      <c r="C41" s="13"/>
      <c r="D41" s="13"/>
      <c r="E41" s="13"/>
      <c r="F41" s="13"/>
      <c r="G41" s="13"/>
      <c r="H41" s="13"/>
      <c r="I41" s="13"/>
      <c r="J41" s="57">
        <f t="shared" si="4"/>
        <v>0</v>
      </c>
      <c r="K41" s="91">
        <f>'Tube Bending'!E41</f>
        <v>0</v>
      </c>
      <c r="L41" s="77" t="str">
        <f ca="1">IFERROR(VLOOKUP('Tube Laser'!A41,Machining!A42:G132,7,FALSE),"")</f>
        <v/>
      </c>
      <c r="M41" s="77">
        <f>IFERROR(IF(Finishing!G42&gt;0,VLOOKUP('Tube Laser'!A41,Finishing!A42:G132,7,FALSE),0),"")</f>
        <v>0</v>
      </c>
      <c r="N41" s="56">
        <f ca="1">SUM(J41,K41,L41,M41,'FB Data'!AR41)</f>
        <v>0</v>
      </c>
      <c r="O41" s="54">
        <f t="shared" ref="O41:O72" si="11">C41/12</f>
        <v>0</v>
      </c>
      <c r="P41" s="14"/>
      <c r="Q41" s="5" t="str">
        <f t="shared" ref="Q41:Q72" si="12">IFERROR((B41*O41)/(VLOOKUP(P41,$AA$14:$AD$24,2,FALSE)),"")</f>
        <v/>
      </c>
      <c r="R41" s="2" t="str">
        <f t="shared" si="5"/>
        <v/>
      </c>
      <c r="S41" s="2" t="str">
        <f t="shared" ref="S41:S72" si="13">IFERROR((R41*$AB$10)/B41,"")</f>
        <v/>
      </c>
      <c r="T41" s="126"/>
      <c r="U41" s="21" t="str">
        <f ca="1">IFERROR(N41+S41+'FB Data'!AE41+'FB Data'!AF41+'FB Data'!AG41+'FB Data'!AH41+($AB$7/$B$99)+($AB$8/$B$99)+($AB$3/$B$99)+($AB$2/$B$99)+($AB$4/$B$99)+($AB$5/$B$99),"")</f>
        <v/>
      </c>
      <c r="V41" s="21" t="str">
        <f ca="1">IFERROR(ROUND(U41*'Quote Info'!$O$4+T41,2),"")</f>
        <v/>
      </c>
      <c r="W41" s="4" t="str">
        <f t="shared" ref="W41:W72" ca="1" si="14">IFERROR(U41*B41,"")</f>
        <v/>
      </c>
      <c r="X41" s="4" t="str">
        <f t="shared" ca="1" si="6"/>
        <v/>
      </c>
      <c r="Y41" s="16" t="str">
        <f ca="1">IFERROR(U41/((VLOOKUP(P41,'TL Data'!$A$2:$E$1226,3,FALSE))*'Tube Laser'!O41),"")</f>
        <v/>
      </c>
      <c r="AA41" s="14"/>
      <c r="AB41" s="13"/>
      <c r="AC41" s="13"/>
      <c r="AD41" s="6">
        <f t="shared" si="10"/>
        <v>0</v>
      </c>
      <c r="AE41" s="2" t="str">
        <f>IFERROR(IF($AB$6="JWMCD",VLOOKUP(AA41,'TL Data'!$A$2:$E$1226,3,FALSE)*VLOOKUP(AA41,'TL Data'!$A$2:$E$1226,5,FALSE)*AD41,IF($AB$6="Customer Supplied",0,"Need Input")),"")</f>
        <v/>
      </c>
    </row>
    <row r="42" spans="1:31">
      <c r="A42" s="133"/>
      <c r="B42" s="13"/>
      <c r="C42" s="13"/>
      <c r="D42" s="13"/>
      <c r="E42" s="13"/>
      <c r="F42" s="13"/>
      <c r="G42" s="13"/>
      <c r="H42" s="13"/>
      <c r="I42" s="13"/>
      <c r="J42" s="57">
        <f t="shared" si="4"/>
        <v>0</v>
      </c>
      <c r="K42" s="91">
        <f>'Tube Bending'!E42</f>
        <v>0</v>
      </c>
      <c r="L42" s="77" t="str">
        <f ca="1">IFERROR(VLOOKUP('Tube Laser'!A42,Machining!A43:G133,7,FALSE),"")</f>
        <v/>
      </c>
      <c r="M42" s="77">
        <f>IFERROR(IF(Finishing!G43&gt;0,VLOOKUP('Tube Laser'!A42,Finishing!A43:G133,7,FALSE),0),"")</f>
        <v>0</v>
      </c>
      <c r="N42" s="56">
        <f ca="1">SUM(J42,K42,L42,M42,'FB Data'!AR42)</f>
        <v>0</v>
      </c>
      <c r="O42" s="54">
        <f t="shared" si="11"/>
        <v>0</v>
      </c>
      <c r="P42" s="14"/>
      <c r="Q42" s="5" t="str">
        <f t="shared" si="12"/>
        <v/>
      </c>
      <c r="R42" s="2" t="str">
        <f t="shared" si="5"/>
        <v/>
      </c>
      <c r="S42" s="2" t="str">
        <f t="shared" si="13"/>
        <v/>
      </c>
      <c r="T42" s="126"/>
      <c r="U42" s="21" t="str">
        <f ca="1">IFERROR(N42+S42+'FB Data'!AE42+'FB Data'!AF42+'FB Data'!AG42+'FB Data'!AH42+($AB$7/$B$99)+($AB$8/$B$99)+($AB$3/$B$99)+($AB$2/$B$99)+($AB$4/$B$99)+($AB$5/$B$99),"")</f>
        <v/>
      </c>
      <c r="V42" s="21" t="str">
        <f ca="1">IFERROR(ROUND(U42*'Quote Info'!$O$4+T42,2),"")</f>
        <v/>
      </c>
      <c r="W42" s="4" t="str">
        <f t="shared" ca="1" si="14"/>
        <v/>
      </c>
      <c r="X42" s="4" t="str">
        <f t="shared" ca="1" si="6"/>
        <v/>
      </c>
      <c r="Y42" s="16" t="str">
        <f ca="1">IFERROR(U42/((VLOOKUP(P42,'TL Data'!$A$2:$E$1226,3,FALSE))*'Tube Laser'!O42),"")</f>
        <v/>
      </c>
      <c r="AA42" s="14"/>
      <c r="AB42" s="13"/>
      <c r="AC42" s="13"/>
      <c r="AD42" s="6">
        <f t="shared" si="10"/>
        <v>0</v>
      </c>
      <c r="AE42" s="2" t="str">
        <f>IFERROR(IF($AB$6="JWMCD",VLOOKUP(AA42,'TL Data'!$A$2:$E$1226,3,FALSE)*VLOOKUP(AA42,'TL Data'!$A$2:$E$1226,5,FALSE)*AD42,IF($AB$6="Customer Supplied",0,"Need Input")),"")</f>
        <v/>
      </c>
    </row>
    <row r="43" spans="1:31">
      <c r="A43" s="133"/>
      <c r="B43" s="13"/>
      <c r="C43" s="13"/>
      <c r="D43" s="13"/>
      <c r="E43" s="13"/>
      <c r="F43" s="13"/>
      <c r="G43" s="13"/>
      <c r="H43" s="13"/>
      <c r="I43" s="13"/>
      <c r="J43" s="57">
        <f t="shared" si="4"/>
        <v>0</v>
      </c>
      <c r="K43" s="91">
        <f>'Tube Bending'!E43</f>
        <v>0</v>
      </c>
      <c r="L43" s="77" t="str">
        <f ca="1">IFERROR(VLOOKUP('Tube Laser'!A43,Machining!A44:G134,7,FALSE),"")</f>
        <v/>
      </c>
      <c r="M43" s="77">
        <f>IFERROR(IF(Finishing!G44&gt;0,VLOOKUP('Tube Laser'!A43,Finishing!A44:G134,7,FALSE),0),"")</f>
        <v>0</v>
      </c>
      <c r="N43" s="56">
        <f ca="1">SUM(J43,K43,L43,M43,'FB Data'!AR43)</f>
        <v>0</v>
      </c>
      <c r="O43" s="54">
        <f t="shared" si="11"/>
        <v>0</v>
      </c>
      <c r="P43" s="14"/>
      <c r="Q43" s="5" t="str">
        <f t="shared" si="12"/>
        <v/>
      </c>
      <c r="R43" s="2" t="str">
        <f t="shared" si="5"/>
        <v/>
      </c>
      <c r="S43" s="2" t="str">
        <f t="shared" si="13"/>
        <v/>
      </c>
      <c r="T43" s="126"/>
      <c r="U43" s="21" t="str">
        <f ca="1">IFERROR(N43+S43+'FB Data'!AE43+'FB Data'!AF43+'FB Data'!AG43+'FB Data'!AH43+($AB$7/$B$99)+($AB$8/$B$99)+($AB$3/$B$99)+($AB$2/$B$99)+($AB$4/$B$99)+($AB$5/$B$99),"")</f>
        <v/>
      </c>
      <c r="V43" s="21" t="str">
        <f ca="1">IFERROR(ROUND(U43*'Quote Info'!$O$4+T43,2),"")</f>
        <v/>
      </c>
      <c r="W43" s="4" t="str">
        <f t="shared" ca="1" si="14"/>
        <v/>
      </c>
      <c r="X43" s="4" t="str">
        <f t="shared" ca="1" si="6"/>
        <v/>
      </c>
      <c r="Y43" s="16" t="str">
        <f ca="1">IFERROR(U43/((VLOOKUP(P43,'TL Data'!$A$2:$E$1226,3,FALSE))*'Tube Laser'!O43),"")</f>
        <v/>
      </c>
      <c r="AA43" s="14"/>
      <c r="AB43" s="13"/>
      <c r="AC43" s="13"/>
      <c r="AD43" s="6">
        <f t="shared" si="10"/>
        <v>0</v>
      </c>
      <c r="AE43" s="2" t="str">
        <f>IFERROR(IF($AB$6="JWMCD",VLOOKUP(AA43,'TL Data'!$A$2:$E$1226,3,FALSE)*VLOOKUP(AA43,'TL Data'!$A$2:$E$1226,5,FALSE)*AD43,IF($AB$6="Customer Supplied",0,"Need Input")),"")</f>
        <v/>
      </c>
    </row>
    <row r="44" spans="1:31">
      <c r="A44" s="133"/>
      <c r="B44" s="13"/>
      <c r="C44" s="13"/>
      <c r="D44" s="13"/>
      <c r="E44" s="13"/>
      <c r="F44" s="13"/>
      <c r="G44" s="13"/>
      <c r="H44" s="13"/>
      <c r="I44" s="13"/>
      <c r="J44" s="57">
        <f t="shared" si="4"/>
        <v>0</v>
      </c>
      <c r="K44" s="91">
        <f>'Tube Bending'!E44</f>
        <v>0</v>
      </c>
      <c r="L44" s="77" t="str">
        <f ca="1">IFERROR(VLOOKUP('Tube Laser'!A44,Machining!A45:G135,7,FALSE),"")</f>
        <v/>
      </c>
      <c r="M44" s="77">
        <f>IFERROR(IF(Finishing!G45&gt;0,VLOOKUP('Tube Laser'!A44,Finishing!A45:G135,7,FALSE),0),"")</f>
        <v>0</v>
      </c>
      <c r="N44" s="56">
        <f ca="1">SUM(J44,K44,L44,M44,'FB Data'!AR44)</f>
        <v>0</v>
      </c>
      <c r="O44" s="54">
        <f t="shared" si="11"/>
        <v>0</v>
      </c>
      <c r="P44" s="14"/>
      <c r="Q44" s="5" t="str">
        <f t="shared" si="12"/>
        <v/>
      </c>
      <c r="R44" s="2" t="str">
        <f t="shared" si="5"/>
        <v/>
      </c>
      <c r="S44" s="2" t="str">
        <f t="shared" si="13"/>
        <v/>
      </c>
      <c r="T44" s="126"/>
      <c r="U44" s="21" t="str">
        <f ca="1">IFERROR(N44+S44+'FB Data'!AE44+'FB Data'!AF44+'FB Data'!AG44+'FB Data'!AH44+($AB$7/$B$99)+($AB$8/$B$99)+($AB$3/$B$99)+($AB$2/$B$99)+($AB$4/$B$99)+($AB$5/$B$99),"")</f>
        <v/>
      </c>
      <c r="V44" s="21" t="str">
        <f ca="1">IFERROR(ROUND(U44*'Quote Info'!$O$4+T44,2),"")</f>
        <v/>
      </c>
      <c r="W44" s="4" t="str">
        <f t="shared" ca="1" si="14"/>
        <v/>
      </c>
      <c r="X44" s="4" t="str">
        <f t="shared" ca="1" si="6"/>
        <v/>
      </c>
      <c r="Y44" s="16" t="str">
        <f ca="1">IFERROR(U44/((VLOOKUP(P44,'TL Data'!$A$2:$E$1226,3,FALSE))*'Tube Laser'!O44),"")</f>
        <v/>
      </c>
      <c r="AA44" s="14"/>
      <c r="AB44" s="13"/>
      <c r="AC44" s="13"/>
      <c r="AD44" s="6">
        <f t="shared" si="10"/>
        <v>0</v>
      </c>
      <c r="AE44" s="2" t="str">
        <f>IFERROR(IF($AB$6="JWMCD",VLOOKUP(AA44,'TL Data'!$A$2:$E$1226,3,FALSE)*VLOOKUP(AA44,'TL Data'!$A$2:$E$1226,5,FALSE)*AD44,IF($AB$6="Customer Supplied",0,"Need Input")),"")</f>
        <v/>
      </c>
    </row>
    <row r="45" spans="1:31">
      <c r="A45" s="133"/>
      <c r="B45" s="13"/>
      <c r="C45" s="13"/>
      <c r="D45" s="13"/>
      <c r="E45" s="13"/>
      <c r="F45" s="13"/>
      <c r="G45" s="13"/>
      <c r="H45" s="13"/>
      <c r="I45" s="13"/>
      <c r="J45" s="57">
        <f t="shared" si="4"/>
        <v>0</v>
      </c>
      <c r="K45" s="91">
        <f>'Tube Bending'!E45</f>
        <v>0</v>
      </c>
      <c r="L45" s="77" t="str">
        <f ca="1">IFERROR(VLOOKUP('Tube Laser'!A45,Machining!A46:G136,7,FALSE),"")</f>
        <v/>
      </c>
      <c r="M45" s="77">
        <f>IFERROR(IF(Finishing!G46&gt;0,VLOOKUP('Tube Laser'!A45,Finishing!A46:G136,7,FALSE),0),"")</f>
        <v>0</v>
      </c>
      <c r="N45" s="56">
        <f ca="1">SUM(J45,K45,L45,M45,'FB Data'!AR45)</f>
        <v>0</v>
      </c>
      <c r="O45" s="54">
        <f t="shared" si="11"/>
        <v>0</v>
      </c>
      <c r="P45" s="14"/>
      <c r="Q45" s="5" t="str">
        <f t="shared" si="12"/>
        <v/>
      </c>
      <c r="R45" s="2" t="str">
        <f t="shared" si="5"/>
        <v/>
      </c>
      <c r="S45" s="2" t="str">
        <f t="shared" si="13"/>
        <v/>
      </c>
      <c r="T45" s="126"/>
      <c r="U45" s="21" t="str">
        <f ca="1">IFERROR(N45+S45+'FB Data'!AE45+'FB Data'!AF45+'FB Data'!AG45+'FB Data'!AH45+($AB$7/$B$99)+($AB$8/$B$99)+($AB$3/$B$99)+($AB$2/$B$99)+($AB$4/$B$99)+($AB$5/$B$99),"")</f>
        <v/>
      </c>
      <c r="V45" s="21" t="str">
        <f ca="1">IFERROR(ROUND(U45*'Quote Info'!$O$4+T45,2),"")</f>
        <v/>
      </c>
      <c r="W45" s="4" t="str">
        <f t="shared" ca="1" si="14"/>
        <v/>
      </c>
      <c r="X45" s="4" t="str">
        <f t="shared" ca="1" si="6"/>
        <v/>
      </c>
      <c r="Y45" s="16" t="str">
        <f ca="1">IFERROR(U45/((VLOOKUP(P45,'TL Data'!$A$2:$E$1226,3,FALSE))*'Tube Laser'!O45),"")</f>
        <v/>
      </c>
      <c r="AA45" s="14"/>
      <c r="AB45" s="13"/>
      <c r="AC45" s="13"/>
      <c r="AD45" s="6">
        <f t="shared" si="10"/>
        <v>0</v>
      </c>
      <c r="AE45" s="2" t="str">
        <f>IFERROR(IF($AB$6="JWMCD",VLOOKUP(AA45,'TL Data'!$A$2:$E$1226,3,FALSE)*VLOOKUP(AA45,'TL Data'!$A$2:$E$1226,5,FALSE)*AD45,IF($AB$6="Customer Supplied",0,"Need Input")),"")</f>
        <v/>
      </c>
    </row>
    <row r="46" spans="1:31">
      <c r="A46" s="133"/>
      <c r="B46" s="13"/>
      <c r="C46" s="13"/>
      <c r="D46" s="13"/>
      <c r="E46" s="13"/>
      <c r="F46" s="13"/>
      <c r="G46" s="13"/>
      <c r="H46" s="13"/>
      <c r="I46" s="13"/>
      <c r="J46" s="57">
        <f t="shared" si="4"/>
        <v>0</v>
      </c>
      <c r="K46" s="91">
        <f>'Tube Bending'!E46</f>
        <v>0</v>
      </c>
      <c r="L46" s="77" t="str">
        <f ca="1">IFERROR(VLOOKUP('Tube Laser'!A46,Machining!A47:G137,7,FALSE),"")</f>
        <v/>
      </c>
      <c r="M46" s="77">
        <f>IFERROR(IF(Finishing!G47&gt;0,VLOOKUP('Tube Laser'!A46,Finishing!A47:G137,7,FALSE),0),"")</f>
        <v>0</v>
      </c>
      <c r="N46" s="56">
        <f ca="1">SUM(J46,K46,L46,M46,'FB Data'!AR46)</f>
        <v>0</v>
      </c>
      <c r="O46" s="54">
        <f t="shared" si="11"/>
        <v>0</v>
      </c>
      <c r="P46" s="14"/>
      <c r="Q46" s="5" t="str">
        <f t="shared" si="12"/>
        <v/>
      </c>
      <c r="R46" s="2" t="str">
        <f t="shared" si="5"/>
        <v/>
      </c>
      <c r="S46" s="2" t="str">
        <f t="shared" si="13"/>
        <v/>
      </c>
      <c r="T46" s="126"/>
      <c r="U46" s="21" t="str">
        <f ca="1">IFERROR(N46+S46+'FB Data'!AE46+'FB Data'!AF46+'FB Data'!AG46+'FB Data'!AH46+($AB$7/$B$99)+($AB$8/$B$99)+($AB$3/$B$99)+($AB$2/$B$99)+($AB$4/$B$99)+($AB$5/$B$99),"")</f>
        <v/>
      </c>
      <c r="V46" s="21" t="str">
        <f ca="1">IFERROR(ROUND(U46*'Quote Info'!$O$4+T46,2),"")</f>
        <v/>
      </c>
      <c r="W46" s="4" t="str">
        <f t="shared" ca="1" si="14"/>
        <v/>
      </c>
      <c r="X46" s="4" t="str">
        <f t="shared" ca="1" si="6"/>
        <v/>
      </c>
      <c r="Y46" s="16" t="str">
        <f ca="1">IFERROR(U46/((VLOOKUP(P46,'TL Data'!$A$2:$E$1226,3,FALSE))*'Tube Laser'!O46),"")</f>
        <v/>
      </c>
      <c r="AA46" s="14"/>
      <c r="AB46" s="13"/>
      <c r="AC46" s="13"/>
      <c r="AD46" s="6">
        <f t="shared" si="10"/>
        <v>0</v>
      </c>
      <c r="AE46" s="2" t="str">
        <f>IFERROR(IF($AB$6="JWMCD",VLOOKUP(AA46,'TL Data'!$A$2:$E$1226,3,FALSE)*VLOOKUP(AA46,'TL Data'!$A$2:$E$1226,5,FALSE)*AD46,IF($AB$6="Customer Supplied",0,"Need Input")),"")</f>
        <v/>
      </c>
    </row>
    <row r="47" spans="1:31">
      <c r="A47" s="133"/>
      <c r="B47" s="13"/>
      <c r="C47" s="13"/>
      <c r="D47" s="13"/>
      <c r="E47" s="13"/>
      <c r="F47" s="13"/>
      <c r="G47" s="13"/>
      <c r="H47" s="13"/>
      <c r="I47" s="13"/>
      <c r="J47" s="57">
        <f t="shared" si="4"/>
        <v>0</v>
      </c>
      <c r="K47" s="91">
        <f>'Tube Bending'!E47</f>
        <v>0</v>
      </c>
      <c r="L47" s="77" t="str">
        <f ca="1">IFERROR(VLOOKUP('Tube Laser'!A47,Machining!A48:G138,7,FALSE),"")</f>
        <v/>
      </c>
      <c r="M47" s="77">
        <f>IFERROR(IF(Finishing!G48&gt;0,VLOOKUP('Tube Laser'!A47,Finishing!A48:G138,7,FALSE),0),"")</f>
        <v>0</v>
      </c>
      <c r="N47" s="56">
        <f ca="1">SUM(J47,K47,L47,M47,'FB Data'!AR47)</f>
        <v>0</v>
      </c>
      <c r="O47" s="54">
        <f t="shared" si="11"/>
        <v>0</v>
      </c>
      <c r="P47" s="14"/>
      <c r="Q47" s="5" t="str">
        <f t="shared" si="12"/>
        <v/>
      </c>
      <c r="R47" s="2" t="str">
        <f t="shared" si="5"/>
        <v/>
      </c>
      <c r="S47" s="2" t="str">
        <f t="shared" si="13"/>
        <v/>
      </c>
      <c r="T47" s="126"/>
      <c r="U47" s="21" t="str">
        <f ca="1">IFERROR(N47+S47+'FB Data'!AE47+'FB Data'!AF47+'FB Data'!AG47+'FB Data'!AH47+($AB$7/$B$99)+($AB$8/$B$99)+($AB$3/$B$99)+($AB$2/$B$99)+($AB$4/$B$99)+($AB$5/$B$99),"")</f>
        <v/>
      </c>
      <c r="V47" s="21" t="str">
        <f ca="1">IFERROR(ROUND(U47*'Quote Info'!$O$4+T47,2),"")</f>
        <v/>
      </c>
      <c r="W47" s="4" t="str">
        <f t="shared" ca="1" si="14"/>
        <v/>
      </c>
      <c r="X47" s="4" t="str">
        <f t="shared" ca="1" si="6"/>
        <v/>
      </c>
      <c r="Y47" s="16" t="str">
        <f ca="1">IFERROR(U47/((VLOOKUP(P47,'TL Data'!$A$2:$E$1226,3,FALSE))*'Tube Laser'!O47),"")</f>
        <v/>
      </c>
      <c r="AA47" s="14"/>
      <c r="AB47" s="13"/>
      <c r="AC47" s="13"/>
      <c r="AD47" s="6">
        <f t="shared" si="10"/>
        <v>0</v>
      </c>
      <c r="AE47" s="2" t="str">
        <f>IFERROR(IF($AB$6="JWMCD",VLOOKUP(AA47,'TL Data'!$A$2:$E$1226,3,FALSE)*VLOOKUP(AA47,'TL Data'!$A$2:$E$1226,5,FALSE)*AD47,IF($AB$6="Customer Supplied",0,"Need Input")),"")</f>
        <v/>
      </c>
    </row>
    <row r="48" spans="1:31">
      <c r="A48" s="133"/>
      <c r="B48" s="13"/>
      <c r="C48" s="13"/>
      <c r="D48" s="13"/>
      <c r="E48" s="13"/>
      <c r="F48" s="13"/>
      <c r="G48" s="13"/>
      <c r="H48" s="13"/>
      <c r="I48" s="13"/>
      <c r="J48" s="57">
        <f t="shared" si="4"/>
        <v>0</v>
      </c>
      <c r="K48" s="91">
        <f>'Tube Bending'!E48</f>
        <v>0</v>
      </c>
      <c r="L48" s="77" t="str">
        <f ca="1">IFERROR(VLOOKUP('Tube Laser'!A48,Machining!A49:G139,7,FALSE),"")</f>
        <v/>
      </c>
      <c r="M48" s="77">
        <f>IFERROR(IF(Finishing!G49&gt;0,VLOOKUP('Tube Laser'!A48,Finishing!A49:G139,7,FALSE),0),"")</f>
        <v>0</v>
      </c>
      <c r="N48" s="56">
        <f ca="1">SUM(J48,K48,L48,M48,'FB Data'!AR48)</f>
        <v>0</v>
      </c>
      <c r="O48" s="54">
        <f t="shared" si="11"/>
        <v>0</v>
      </c>
      <c r="P48" s="14"/>
      <c r="Q48" s="5" t="str">
        <f t="shared" si="12"/>
        <v/>
      </c>
      <c r="R48" s="2" t="str">
        <f t="shared" si="5"/>
        <v/>
      </c>
      <c r="S48" s="2" t="str">
        <f t="shared" si="13"/>
        <v/>
      </c>
      <c r="T48" s="126"/>
      <c r="U48" s="21" t="str">
        <f ca="1">IFERROR(N48+S48+'FB Data'!AE48+'FB Data'!AF48+'FB Data'!AG48+'FB Data'!AH48+($AB$7/$B$99)+($AB$8/$B$99)+($AB$3/$B$99)+($AB$2/$B$99)+($AB$4/$B$99)+($AB$5/$B$99),"")</f>
        <v/>
      </c>
      <c r="V48" s="21" t="str">
        <f ca="1">IFERROR(ROUND(U48*'Quote Info'!$O$4+T48,2),"")</f>
        <v/>
      </c>
      <c r="W48" s="4" t="str">
        <f t="shared" ca="1" si="14"/>
        <v/>
      </c>
      <c r="X48" s="4" t="str">
        <f t="shared" ca="1" si="6"/>
        <v/>
      </c>
      <c r="Y48" s="16" t="str">
        <f ca="1">IFERROR(U48/((VLOOKUP(P48,'TL Data'!$A$2:$E$1226,3,FALSE))*'Tube Laser'!O48),"")</f>
        <v/>
      </c>
      <c r="AA48" s="14"/>
      <c r="AB48" s="13"/>
      <c r="AC48" s="13"/>
      <c r="AD48" s="6">
        <f t="shared" si="10"/>
        <v>0</v>
      </c>
      <c r="AE48" s="2" t="str">
        <f>IFERROR(IF($AB$6="JWMCD",VLOOKUP(AA48,'TL Data'!$A$2:$E$1226,3,FALSE)*VLOOKUP(AA48,'TL Data'!$A$2:$E$1226,5,FALSE)*AD48,IF($AB$6="Customer Supplied",0,"Need Input")),"")</f>
        <v/>
      </c>
    </row>
    <row r="49" spans="1:31">
      <c r="A49" s="133"/>
      <c r="B49" s="13"/>
      <c r="C49" s="13"/>
      <c r="D49" s="13"/>
      <c r="E49" s="13"/>
      <c r="F49" s="13"/>
      <c r="G49" s="13"/>
      <c r="H49" s="13"/>
      <c r="I49" s="13"/>
      <c r="J49" s="57">
        <f t="shared" si="4"/>
        <v>0</v>
      </c>
      <c r="K49" s="91">
        <f>'Tube Bending'!E49</f>
        <v>0</v>
      </c>
      <c r="L49" s="77" t="str">
        <f ca="1">IFERROR(VLOOKUP('Tube Laser'!A49,Machining!A50:G140,7,FALSE),"")</f>
        <v/>
      </c>
      <c r="M49" s="77">
        <f>IFERROR(IF(Finishing!G50&gt;0,VLOOKUP('Tube Laser'!A49,Finishing!A50:G140,7,FALSE),0),"")</f>
        <v>0</v>
      </c>
      <c r="N49" s="56">
        <f ca="1">SUM(J49,K49,L49,M49,'FB Data'!AR49)</f>
        <v>0</v>
      </c>
      <c r="O49" s="54">
        <f t="shared" si="11"/>
        <v>0</v>
      </c>
      <c r="P49" s="14"/>
      <c r="Q49" s="5" t="str">
        <f t="shared" si="12"/>
        <v/>
      </c>
      <c r="R49" s="2" t="str">
        <f t="shared" si="5"/>
        <v/>
      </c>
      <c r="S49" s="2" t="str">
        <f t="shared" si="13"/>
        <v/>
      </c>
      <c r="T49" s="126"/>
      <c r="U49" s="21" t="str">
        <f ca="1">IFERROR(N49+S49+'FB Data'!AE49+'FB Data'!AF49+'FB Data'!AG49+'FB Data'!AH49+($AB$7/$B$99)+($AB$8/$B$99)+($AB$3/$B$99)+($AB$2/$B$99)+($AB$4/$B$99)+($AB$5/$B$99),"")</f>
        <v/>
      </c>
      <c r="V49" s="21" t="str">
        <f ca="1">IFERROR(ROUND(U49*'Quote Info'!$O$4+T49,2),"")</f>
        <v/>
      </c>
      <c r="W49" s="4" t="str">
        <f t="shared" ca="1" si="14"/>
        <v/>
      </c>
      <c r="X49" s="4" t="str">
        <f t="shared" ca="1" si="6"/>
        <v/>
      </c>
      <c r="Y49" s="16" t="str">
        <f ca="1">IFERROR(U49/((VLOOKUP(P49,'TL Data'!$A$2:$E$1226,3,FALSE))*'Tube Laser'!O49),"")</f>
        <v/>
      </c>
      <c r="AA49" s="14"/>
      <c r="AB49" s="13"/>
      <c r="AC49" s="13"/>
      <c r="AD49" s="6">
        <f t="shared" si="10"/>
        <v>0</v>
      </c>
      <c r="AE49" s="2" t="str">
        <f>IFERROR(IF($AB$6="JWMCD",VLOOKUP(AA49,'TL Data'!$A$2:$E$1226,3,FALSE)*VLOOKUP(AA49,'TL Data'!$A$2:$E$1226,5,FALSE)*AD49,IF($AB$6="Customer Supplied",0,"Need Input")),"")</f>
        <v/>
      </c>
    </row>
    <row r="50" spans="1:31">
      <c r="A50" s="133"/>
      <c r="B50" s="13"/>
      <c r="C50" s="13"/>
      <c r="D50" s="13"/>
      <c r="E50" s="13"/>
      <c r="F50" s="13"/>
      <c r="G50" s="13"/>
      <c r="H50" s="13"/>
      <c r="I50" s="13"/>
      <c r="J50" s="57">
        <f t="shared" si="4"/>
        <v>0</v>
      </c>
      <c r="K50" s="91">
        <f>'Tube Bending'!E50</f>
        <v>0</v>
      </c>
      <c r="L50" s="77" t="str">
        <f ca="1">IFERROR(VLOOKUP('Tube Laser'!A50,Machining!A51:G141,7,FALSE),"")</f>
        <v/>
      </c>
      <c r="M50" s="77">
        <f>IFERROR(IF(Finishing!G51&gt;0,VLOOKUP('Tube Laser'!A50,Finishing!A51:G141,7,FALSE),0),"")</f>
        <v>0</v>
      </c>
      <c r="N50" s="56">
        <f ca="1">SUM(J50,K50,L50,M50,'FB Data'!AR50)</f>
        <v>0</v>
      </c>
      <c r="O50" s="54">
        <f t="shared" si="11"/>
        <v>0</v>
      </c>
      <c r="P50" s="14"/>
      <c r="Q50" s="5" t="str">
        <f t="shared" si="12"/>
        <v/>
      </c>
      <c r="R50" s="2" t="str">
        <f t="shared" si="5"/>
        <v/>
      </c>
      <c r="S50" s="2" t="str">
        <f t="shared" si="13"/>
        <v/>
      </c>
      <c r="T50" s="126"/>
      <c r="U50" s="21" t="str">
        <f ca="1">IFERROR(N50+S50+'FB Data'!AE50+'FB Data'!AF50+'FB Data'!AG50+'FB Data'!AH50+($AB$7/$B$99)+($AB$8/$B$99)+($AB$3/$B$99)+($AB$2/$B$99)+($AB$4/$B$99)+($AB$5/$B$99),"")</f>
        <v/>
      </c>
      <c r="V50" s="21" t="str">
        <f ca="1">IFERROR(ROUND(U50*'Quote Info'!$O$4+T50,2),"")</f>
        <v/>
      </c>
      <c r="W50" s="4" t="str">
        <f t="shared" ca="1" si="14"/>
        <v/>
      </c>
      <c r="X50" s="4" t="str">
        <f t="shared" ca="1" si="6"/>
        <v/>
      </c>
      <c r="Y50" s="16" t="str">
        <f ca="1">IFERROR(U50/((VLOOKUP(P50,'TL Data'!$A$2:$E$1226,3,FALSE))*'Tube Laser'!O50),"")</f>
        <v/>
      </c>
      <c r="AA50" s="14"/>
      <c r="AB50" s="13"/>
      <c r="AC50" s="13"/>
      <c r="AD50" s="6">
        <f t="shared" si="10"/>
        <v>0</v>
      </c>
      <c r="AE50" s="2" t="str">
        <f>IFERROR(IF($AB$6="JWMCD",VLOOKUP(AA50,'TL Data'!$A$2:$E$1226,3,FALSE)*VLOOKUP(AA50,'TL Data'!$A$2:$E$1226,5,FALSE)*AD50,IF($AB$6="Customer Supplied",0,"Need Input")),"")</f>
        <v/>
      </c>
    </row>
    <row r="51" spans="1:31">
      <c r="A51" s="133"/>
      <c r="B51" s="13"/>
      <c r="C51" s="13"/>
      <c r="D51" s="13"/>
      <c r="E51" s="13"/>
      <c r="F51" s="13"/>
      <c r="G51" s="13"/>
      <c r="H51" s="13"/>
      <c r="I51" s="13"/>
      <c r="J51" s="57">
        <f t="shared" si="4"/>
        <v>0</v>
      </c>
      <c r="K51" s="91">
        <f>'Tube Bending'!E51</f>
        <v>0</v>
      </c>
      <c r="L51" s="77" t="str">
        <f ca="1">IFERROR(VLOOKUP('Tube Laser'!A51,Machining!A52:G142,7,FALSE),"")</f>
        <v/>
      </c>
      <c r="M51" s="77">
        <f>IFERROR(IF(Finishing!G52&gt;0,VLOOKUP('Tube Laser'!A51,Finishing!A52:G142,7,FALSE),0),"")</f>
        <v>0</v>
      </c>
      <c r="N51" s="56">
        <f ca="1">SUM(J51,K51,L51,M51,'FB Data'!AR51)</f>
        <v>0</v>
      </c>
      <c r="O51" s="54">
        <f t="shared" si="11"/>
        <v>0</v>
      </c>
      <c r="P51" s="14"/>
      <c r="Q51" s="5" t="str">
        <f t="shared" si="12"/>
        <v/>
      </c>
      <c r="R51" s="2" t="str">
        <f t="shared" si="5"/>
        <v/>
      </c>
      <c r="S51" s="2" t="str">
        <f t="shared" si="13"/>
        <v/>
      </c>
      <c r="T51" s="126"/>
      <c r="U51" s="21" t="str">
        <f ca="1">IFERROR(N51+S51+'FB Data'!AE51+'FB Data'!AF51+'FB Data'!AG51+'FB Data'!AH51+($AB$7/$B$99)+($AB$8/$B$99)+($AB$3/$B$99)+($AB$2/$B$99)+($AB$4/$B$99)+($AB$5/$B$99),"")</f>
        <v/>
      </c>
      <c r="V51" s="21" t="str">
        <f ca="1">IFERROR(ROUND(U51*'Quote Info'!$O$4+T51,2),"")</f>
        <v/>
      </c>
      <c r="W51" s="4" t="str">
        <f t="shared" ca="1" si="14"/>
        <v/>
      </c>
      <c r="X51" s="4" t="str">
        <f t="shared" ca="1" si="6"/>
        <v/>
      </c>
      <c r="Y51" s="16" t="str">
        <f ca="1">IFERROR(U51/((VLOOKUP(P51,'TL Data'!$A$2:$E$1226,3,FALSE))*'Tube Laser'!O51),"")</f>
        <v/>
      </c>
      <c r="AA51" s="14"/>
      <c r="AB51" s="13"/>
      <c r="AC51" s="13"/>
      <c r="AD51" s="6">
        <f t="shared" si="10"/>
        <v>0</v>
      </c>
      <c r="AE51" s="2" t="str">
        <f>IFERROR(IF($AB$6="JWMCD",VLOOKUP(AA51,'TL Data'!$A$2:$E$1226,3,FALSE)*VLOOKUP(AA51,'TL Data'!$A$2:$E$1226,5,FALSE)*AD51,IF($AB$6="Customer Supplied",0,"Need Input")),"")</f>
        <v/>
      </c>
    </row>
    <row r="52" spans="1:31">
      <c r="A52" s="133"/>
      <c r="B52" s="13"/>
      <c r="C52" s="13"/>
      <c r="D52" s="13"/>
      <c r="E52" s="13"/>
      <c r="F52" s="13"/>
      <c r="G52" s="13"/>
      <c r="H52" s="13"/>
      <c r="I52" s="13"/>
      <c r="J52" s="57">
        <f t="shared" si="4"/>
        <v>0</v>
      </c>
      <c r="K52" s="91">
        <f>'Tube Bending'!E52</f>
        <v>0</v>
      </c>
      <c r="L52" s="77" t="str">
        <f ca="1">IFERROR(VLOOKUP('Tube Laser'!A52,Machining!A53:G143,7,FALSE),"")</f>
        <v/>
      </c>
      <c r="M52" s="77">
        <f>IFERROR(IF(Finishing!G53&gt;0,VLOOKUP('Tube Laser'!A52,Finishing!A53:G143,7,FALSE),0),"")</f>
        <v>0</v>
      </c>
      <c r="N52" s="56">
        <f ca="1">SUM(J52,K52,L52,M52,'FB Data'!AR52)</f>
        <v>0</v>
      </c>
      <c r="O52" s="54">
        <f t="shared" si="11"/>
        <v>0</v>
      </c>
      <c r="P52" s="14"/>
      <c r="Q52" s="5" t="str">
        <f t="shared" si="12"/>
        <v/>
      </c>
      <c r="R52" s="2" t="str">
        <f t="shared" si="5"/>
        <v/>
      </c>
      <c r="S52" s="2" t="str">
        <f t="shared" si="13"/>
        <v/>
      </c>
      <c r="T52" s="126"/>
      <c r="U52" s="21" t="str">
        <f ca="1">IFERROR(N52+S52+'FB Data'!AE52+'FB Data'!AF52+'FB Data'!AG52+'FB Data'!AH52+($AB$7/$B$99)+($AB$8/$B$99)+($AB$3/$B$99)+($AB$2/$B$99)+($AB$4/$B$99)+($AB$5/$B$99),"")</f>
        <v/>
      </c>
      <c r="V52" s="21" t="str">
        <f ca="1">IFERROR(ROUND(U52*'Quote Info'!$O$4+T52,2),"")</f>
        <v/>
      </c>
      <c r="W52" s="4" t="str">
        <f t="shared" ca="1" si="14"/>
        <v/>
      </c>
      <c r="X52" s="4" t="str">
        <f t="shared" ca="1" si="6"/>
        <v/>
      </c>
      <c r="Y52" s="16" t="str">
        <f ca="1">IFERROR(U52/((VLOOKUP(P52,'TL Data'!$A$2:$E$1226,3,FALSE))*'Tube Laser'!O52),"")</f>
        <v/>
      </c>
      <c r="AA52" s="14"/>
      <c r="AB52" s="13"/>
      <c r="AC52" s="13"/>
      <c r="AD52" s="6">
        <f t="shared" si="10"/>
        <v>0</v>
      </c>
      <c r="AE52" s="2" t="str">
        <f>IFERROR(IF($AB$6="JWMCD",VLOOKUP(AA52,'TL Data'!$A$2:$E$1226,3,FALSE)*VLOOKUP(AA52,'TL Data'!$A$2:$E$1226,5,FALSE)*AD52,IF($AB$6="Customer Supplied",0,"Need Input")),"")</f>
        <v/>
      </c>
    </row>
    <row r="53" spans="1:31">
      <c r="A53" s="133"/>
      <c r="B53" s="13"/>
      <c r="C53" s="13"/>
      <c r="D53" s="13"/>
      <c r="E53" s="13"/>
      <c r="F53" s="13"/>
      <c r="G53" s="13"/>
      <c r="H53" s="13"/>
      <c r="I53" s="13"/>
      <c r="J53" s="57">
        <f t="shared" si="4"/>
        <v>0</v>
      </c>
      <c r="K53" s="91">
        <f>'Tube Bending'!E53</f>
        <v>0</v>
      </c>
      <c r="L53" s="77" t="str">
        <f ca="1">IFERROR(VLOOKUP('Tube Laser'!A53,Machining!A54:G144,7,FALSE),"")</f>
        <v/>
      </c>
      <c r="M53" s="77">
        <f>IFERROR(IF(Finishing!G54&gt;0,VLOOKUP('Tube Laser'!A53,Finishing!A54:G144,7,FALSE),0),"")</f>
        <v>0</v>
      </c>
      <c r="N53" s="56">
        <f ca="1">SUM(J53,K53,L53,M53,'FB Data'!AR53)</f>
        <v>0</v>
      </c>
      <c r="O53" s="54">
        <f t="shared" si="11"/>
        <v>0</v>
      </c>
      <c r="P53" s="14"/>
      <c r="Q53" s="5" t="str">
        <f t="shared" si="12"/>
        <v/>
      </c>
      <c r="R53" s="2" t="str">
        <f t="shared" si="5"/>
        <v/>
      </c>
      <c r="S53" s="2" t="str">
        <f t="shared" si="13"/>
        <v/>
      </c>
      <c r="T53" s="126"/>
      <c r="U53" s="21" t="str">
        <f ca="1">IFERROR(N53+S53+'FB Data'!AE53+'FB Data'!AF53+'FB Data'!AG53+'FB Data'!AH53+($AB$7/$B$99)+($AB$8/$B$99)+($AB$3/$B$99)+($AB$2/$B$99)+($AB$4/$B$99)+($AB$5/$B$99),"")</f>
        <v/>
      </c>
      <c r="V53" s="21" t="str">
        <f ca="1">IFERROR(ROUND(U53*'Quote Info'!$O$4+T53,2),"")</f>
        <v/>
      </c>
      <c r="W53" s="4" t="str">
        <f t="shared" ca="1" si="14"/>
        <v/>
      </c>
      <c r="X53" s="4" t="str">
        <f t="shared" ca="1" si="6"/>
        <v/>
      </c>
      <c r="Y53" s="16" t="str">
        <f ca="1">IFERROR(U53/((VLOOKUP(P53,'TL Data'!$A$2:$E$1226,3,FALSE))*'Tube Laser'!O53),"")</f>
        <v/>
      </c>
      <c r="AA53" s="14"/>
      <c r="AB53" s="13"/>
      <c r="AC53" s="13"/>
      <c r="AD53" s="6">
        <f t="shared" si="10"/>
        <v>0</v>
      </c>
      <c r="AE53" s="2" t="str">
        <f>IFERROR(IF($AB$6="JWMCD",VLOOKUP(AA53,'TL Data'!$A$2:$E$1226,3,FALSE)*VLOOKUP(AA53,'TL Data'!$A$2:$E$1226,5,FALSE)*AD53,IF($AB$6="Customer Supplied",0,"Need Input")),"")</f>
        <v/>
      </c>
    </row>
    <row r="54" spans="1:31">
      <c r="A54" s="133"/>
      <c r="B54" s="13"/>
      <c r="C54" s="13"/>
      <c r="D54" s="13"/>
      <c r="E54" s="13"/>
      <c r="F54" s="13"/>
      <c r="G54" s="13"/>
      <c r="H54" s="13"/>
      <c r="I54" s="13"/>
      <c r="J54" s="57">
        <f t="shared" si="4"/>
        <v>0</v>
      </c>
      <c r="K54" s="91">
        <f>'Tube Bending'!E54</f>
        <v>0</v>
      </c>
      <c r="L54" s="77" t="str">
        <f ca="1">IFERROR(VLOOKUP('Tube Laser'!A54,Machining!A55:G145,7,FALSE),"")</f>
        <v/>
      </c>
      <c r="M54" s="77">
        <f>IFERROR(IF(Finishing!G55&gt;0,VLOOKUP('Tube Laser'!A54,Finishing!A55:G145,7,FALSE),0),"")</f>
        <v>0</v>
      </c>
      <c r="N54" s="56">
        <f ca="1">SUM(J54,K54,L54,M54,'FB Data'!AR54)</f>
        <v>0</v>
      </c>
      <c r="O54" s="54">
        <f t="shared" si="11"/>
        <v>0</v>
      </c>
      <c r="P54" s="14"/>
      <c r="Q54" s="5" t="str">
        <f t="shared" si="12"/>
        <v/>
      </c>
      <c r="R54" s="2" t="str">
        <f t="shared" si="5"/>
        <v/>
      </c>
      <c r="S54" s="2" t="str">
        <f t="shared" si="13"/>
        <v/>
      </c>
      <c r="T54" s="126"/>
      <c r="U54" s="21" t="str">
        <f ca="1">IFERROR(N54+S54+'FB Data'!AE54+'FB Data'!AF54+'FB Data'!AG54+'FB Data'!AH54+($AB$7/$B$99)+($AB$8/$B$99)+($AB$3/$B$99)+($AB$2/$B$99)+($AB$4/$B$99)+($AB$5/$B$99),"")</f>
        <v/>
      </c>
      <c r="V54" s="21" t="str">
        <f ca="1">IFERROR(ROUND(U54*'Quote Info'!$O$4+T54,2),"")</f>
        <v/>
      </c>
      <c r="W54" s="4" t="str">
        <f t="shared" ca="1" si="14"/>
        <v/>
      </c>
      <c r="X54" s="4" t="str">
        <f t="shared" ca="1" si="6"/>
        <v/>
      </c>
      <c r="Y54" s="16" t="str">
        <f ca="1">IFERROR(U54/((VLOOKUP(P54,'TL Data'!$A$2:$E$1226,3,FALSE))*'Tube Laser'!O54),"")</f>
        <v/>
      </c>
      <c r="AA54" s="14"/>
      <c r="AB54" s="13"/>
      <c r="AC54" s="13"/>
      <c r="AD54" s="6">
        <f t="shared" si="10"/>
        <v>0</v>
      </c>
      <c r="AE54" s="2" t="str">
        <f>IFERROR(IF($AB$6="JWMCD",VLOOKUP(AA54,'TL Data'!$A$2:$E$1226,3,FALSE)*VLOOKUP(AA54,'TL Data'!$A$2:$E$1226,5,FALSE)*AD54,IF($AB$6="Customer Supplied",0,"Need Input")),"")</f>
        <v/>
      </c>
    </row>
    <row r="55" spans="1:31">
      <c r="A55" s="133"/>
      <c r="B55" s="13"/>
      <c r="C55" s="13"/>
      <c r="D55" s="13"/>
      <c r="E55" s="13"/>
      <c r="F55" s="13"/>
      <c r="G55" s="13"/>
      <c r="H55" s="13"/>
      <c r="I55" s="13"/>
      <c r="J55" s="57">
        <f t="shared" si="4"/>
        <v>0</v>
      </c>
      <c r="K55" s="91">
        <f>'Tube Bending'!E55</f>
        <v>0</v>
      </c>
      <c r="L55" s="77" t="str">
        <f ca="1">IFERROR(VLOOKUP('Tube Laser'!A55,Machining!A56:G146,7,FALSE),"")</f>
        <v/>
      </c>
      <c r="M55" s="77">
        <f>IFERROR(IF(Finishing!G56&gt;0,VLOOKUP('Tube Laser'!A55,Finishing!A56:G146,7,FALSE),0),"")</f>
        <v>0</v>
      </c>
      <c r="N55" s="56">
        <f ca="1">SUM(J55,K55,L55,M55,'FB Data'!AR55)</f>
        <v>0</v>
      </c>
      <c r="O55" s="54">
        <f t="shared" si="11"/>
        <v>0</v>
      </c>
      <c r="P55" s="14"/>
      <c r="Q55" s="5" t="str">
        <f t="shared" si="12"/>
        <v/>
      </c>
      <c r="R55" s="2" t="str">
        <f t="shared" si="5"/>
        <v/>
      </c>
      <c r="S55" s="2" t="str">
        <f t="shared" si="13"/>
        <v/>
      </c>
      <c r="T55" s="126"/>
      <c r="U55" s="21" t="str">
        <f ca="1">IFERROR(N55+S55+'FB Data'!AE55+'FB Data'!AF55+'FB Data'!AG55+'FB Data'!AH55+($AB$7/$B$99)+($AB$8/$B$99)+($AB$3/$B$99)+($AB$2/$B$99)+($AB$4/$B$99)+($AB$5/$B$99),"")</f>
        <v/>
      </c>
      <c r="V55" s="21" t="str">
        <f ca="1">IFERROR(ROUND(U55*'Quote Info'!$O$4+T55,2),"")</f>
        <v/>
      </c>
      <c r="W55" s="4" t="str">
        <f t="shared" ca="1" si="14"/>
        <v/>
      </c>
      <c r="X55" s="4" t="str">
        <f t="shared" ca="1" si="6"/>
        <v/>
      </c>
      <c r="Y55" s="16" t="str">
        <f ca="1">IFERROR(U55/((VLOOKUP(P55,'TL Data'!$A$2:$E$1226,3,FALSE))*'Tube Laser'!O55),"")</f>
        <v/>
      </c>
      <c r="AA55" s="14"/>
      <c r="AB55" s="13"/>
      <c r="AC55" s="13"/>
      <c r="AD55" s="6">
        <f t="shared" si="10"/>
        <v>0</v>
      </c>
      <c r="AE55" s="2" t="str">
        <f>IFERROR(IF($AB$6="JWMCD",VLOOKUP(AA55,'TL Data'!$A$2:$E$1226,3,FALSE)*VLOOKUP(AA55,'TL Data'!$A$2:$E$1226,5,FALSE)*AD55,IF($AB$6="Customer Supplied",0,"Need Input")),"")</f>
        <v/>
      </c>
    </row>
    <row r="56" spans="1:31">
      <c r="A56" s="133"/>
      <c r="B56" s="13"/>
      <c r="C56" s="13"/>
      <c r="D56" s="13"/>
      <c r="E56" s="13"/>
      <c r="F56" s="13"/>
      <c r="G56" s="13"/>
      <c r="H56" s="13"/>
      <c r="I56" s="13"/>
      <c r="J56" s="57">
        <f t="shared" si="4"/>
        <v>0</v>
      </c>
      <c r="K56" s="91">
        <f>'Tube Bending'!E56</f>
        <v>0</v>
      </c>
      <c r="L56" s="77" t="str">
        <f ca="1">IFERROR(VLOOKUP('Tube Laser'!A56,Machining!A57:G147,7,FALSE),"")</f>
        <v/>
      </c>
      <c r="M56" s="77">
        <f>IFERROR(IF(Finishing!G57&gt;0,VLOOKUP('Tube Laser'!A56,Finishing!A57:G147,7,FALSE),0),"")</f>
        <v>0</v>
      </c>
      <c r="N56" s="56">
        <f ca="1">SUM(J56,K56,L56,M56,'FB Data'!AR56)</f>
        <v>0</v>
      </c>
      <c r="O56" s="54">
        <f t="shared" si="11"/>
        <v>0</v>
      </c>
      <c r="P56" s="14"/>
      <c r="Q56" s="5" t="str">
        <f t="shared" si="12"/>
        <v/>
      </c>
      <c r="R56" s="2" t="str">
        <f t="shared" si="5"/>
        <v/>
      </c>
      <c r="S56" s="2" t="str">
        <f t="shared" si="13"/>
        <v/>
      </c>
      <c r="T56" s="126"/>
      <c r="U56" s="21" t="str">
        <f ca="1">IFERROR(N56+S56+'FB Data'!AE56+'FB Data'!AF56+'FB Data'!AG56+'FB Data'!AH56+($AB$7/$B$99)+($AB$8/$B$99)+($AB$3/$B$99)+($AB$2/$B$99)+($AB$4/$B$99)+($AB$5/$B$99),"")</f>
        <v/>
      </c>
      <c r="V56" s="21" t="str">
        <f ca="1">IFERROR(ROUND(U56*'Quote Info'!$O$4+T56,2),"")</f>
        <v/>
      </c>
      <c r="W56" s="4" t="str">
        <f t="shared" ca="1" si="14"/>
        <v/>
      </c>
      <c r="X56" s="4" t="str">
        <f t="shared" ca="1" si="6"/>
        <v/>
      </c>
      <c r="Y56" s="16" t="str">
        <f ca="1">IFERROR(U56/((VLOOKUP(P56,'TL Data'!$A$2:$E$1226,3,FALSE))*'Tube Laser'!O56),"")</f>
        <v/>
      </c>
      <c r="AA56" s="17"/>
      <c r="AB56" s="13"/>
      <c r="AC56" s="13"/>
      <c r="AD56" s="6">
        <f t="shared" si="10"/>
        <v>0</v>
      </c>
      <c r="AE56" s="2" t="str">
        <f>IFERROR(IF($AB$6="JWMCD",VLOOKUP(AA56,'TL Data'!$A$2:$E$1226,3,FALSE)*VLOOKUP(AA56,'TL Data'!$A$2:$E$1226,5,FALSE)*AD56,IF($AB$6="Customer Supplied",0,"Need Input")),"")</f>
        <v/>
      </c>
    </row>
    <row r="57" spans="1:31">
      <c r="A57" s="133"/>
      <c r="B57" s="13"/>
      <c r="C57" s="13"/>
      <c r="D57" s="13"/>
      <c r="E57" s="13"/>
      <c r="F57" s="13"/>
      <c r="G57" s="13"/>
      <c r="H57" s="13"/>
      <c r="I57" s="13"/>
      <c r="J57" s="57">
        <f t="shared" si="4"/>
        <v>0</v>
      </c>
      <c r="K57" s="91">
        <f>'Tube Bending'!E57</f>
        <v>0</v>
      </c>
      <c r="L57" s="77" t="str">
        <f ca="1">IFERROR(VLOOKUP('Tube Laser'!A57,Machining!A58:G148,7,FALSE),"")</f>
        <v/>
      </c>
      <c r="M57" s="77">
        <f>IFERROR(IF(Finishing!G58&gt;0,VLOOKUP('Tube Laser'!A57,Finishing!A58:G148,7,FALSE),0),"")</f>
        <v>0</v>
      </c>
      <c r="N57" s="56">
        <f ca="1">SUM(J57,K57,L57,M57,'FB Data'!AR57)</f>
        <v>0</v>
      </c>
      <c r="O57" s="54">
        <f t="shared" si="11"/>
        <v>0</v>
      </c>
      <c r="P57" s="14"/>
      <c r="Q57" s="5" t="str">
        <f t="shared" si="12"/>
        <v/>
      </c>
      <c r="R57" s="2" t="str">
        <f t="shared" si="5"/>
        <v/>
      </c>
      <c r="S57" s="2" t="str">
        <f t="shared" si="13"/>
        <v/>
      </c>
      <c r="T57" s="126"/>
      <c r="U57" s="21" t="str">
        <f ca="1">IFERROR(N57+S57+'FB Data'!AE57+'FB Data'!AF57+'FB Data'!AG57+'FB Data'!AH57+($AB$7/$B$99)+($AB$8/$B$99)+($AB$3/$B$99)+($AB$2/$B$99)+($AB$4/$B$99)+($AB$5/$B$99),"")</f>
        <v/>
      </c>
      <c r="V57" s="21" t="str">
        <f ca="1">IFERROR(ROUND(U57*'Quote Info'!$O$4+T57,2),"")</f>
        <v/>
      </c>
      <c r="W57" s="4" t="str">
        <f t="shared" ca="1" si="14"/>
        <v/>
      </c>
      <c r="X57" s="4" t="str">
        <f t="shared" ca="1" si="6"/>
        <v/>
      </c>
      <c r="Y57" s="16" t="str">
        <f ca="1">IFERROR(U57/((VLOOKUP(P57,'TL Data'!$A$2:$E$1226,3,FALSE))*'Tube Laser'!O57),"")</f>
        <v/>
      </c>
    </row>
    <row r="58" spans="1:31">
      <c r="A58" s="133"/>
      <c r="B58" s="13"/>
      <c r="C58" s="13"/>
      <c r="D58" s="13"/>
      <c r="E58" s="13"/>
      <c r="F58" s="13"/>
      <c r="G58" s="13"/>
      <c r="H58" s="13"/>
      <c r="I58" s="13"/>
      <c r="J58" s="57">
        <f t="shared" si="4"/>
        <v>0</v>
      </c>
      <c r="K58" s="91">
        <f>'Tube Bending'!E58</f>
        <v>0</v>
      </c>
      <c r="L58" s="77" t="str">
        <f ca="1">IFERROR(VLOOKUP('Tube Laser'!A58,Machining!A59:G149,7,FALSE),"")</f>
        <v/>
      </c>
      <c r="M58" s="77">
        <f>IFERROR(IF(Finishing!G59&gt;0,VLOOKUP('Tube Laser'!A58,Finishing!A59:G149,7,FALSE),0),"")</f>
        <v>0</v>
      </c>
      <c r="N58" s="56">
        <f ca="1">SUM(J58,K58,L58,M58,'FB Data'!AR58)</f>
        <v>0</v>
      </c>
      <c r="O58" s="54">
        <f t="shared" si="11"/>
        <v>0</v>
      </c>
      <c r="P58" s="14"/>
      <c r="Q58" s="5" t="str">
        <f t="shared" si="12"/>
        <v/>
      </c>
      <c r="R58" s="2" t="str">
        <f t="shared" si="5"/>
        <v/>
      </c>
      <c r="S58" s="2" t="str">
        <f t="shared" si="13"/>
        <v/>
      </c>
      <c r="T58" s="126"/>
      <c r="U58" s="21" t="str">
        <f ca="1">IFERROR(N58+S58+'FB Data'!AE58+'FB Data'!AF58+'FB Data'!AG58+'FB Data'!AH58+($AB$7/$B$99)+($AB$8/$B$99)+($AB$3/$B$99)+($AB$2/$B$99)+($AB$4/$B$99)+($AB$5/$B$99),"")</f>
        <v/>
      </c>
      <c r="V58" s="21" t="str">
        <f ca="1">IFERROR(ROUND(U58*'Quote Info'!$O$4+T58,2),"")</f>
        <v/>
      </c>
      <c r="W58" s="4" t="str">
        <f t="shared" ca="1" si="14"/>
        <v/>
      </c>
      <c r="X58" s="4" t="str">
        <f t="shared" ca="1" si="6"/>
        <v/>
      </c>
      <c r="Y58" s="16" t="str">
        <f ca="1">IFERROR(U58/((VLOOKUP(P58,'TL Data'!$A$2:$E$1226,3,FALSE))*'Tube Laser'!O58),"")</f>
        <v/>
      </c>
    </row>
    <row r="59" spans="1:31">
      <c r="A59" s="133"/>
      <c r="B59" s="13"/>
      <c r="C59" s="13"/>
      <c r="D59" s="13"/>
      <c r="E59" s="13"/>
      <c r="F59" s="13"/>
      <c r="G59" s="13"/>
      <c r="H59" s="13"/>
      <c r="I59" s="13"/>
      <c r="J59" s="57">
        <f t="shared" si="4"/>
        <v>0</v>
      </c>
      <c r="K59" s="91">
        <f>'Tube Bending'!E59</f>
        <v>0</v>
      </c>
      <c r="L59" s="77" t="str">
        <f ca="1">IFERROR(VLOOKUP('Tube Laser'!A59,Machining!A60:G150,7,FALSE),"")</f>
        <v/>
      </c>
      <c r="M59" s="77">
        <f>IFERROR(IF(Finishing!G60&gt;0,VLOOKUP('Tube Laser'!A59,Finishing!A60:G150,7,FALSE),0),"")</f>
        <v>0</v>
      </c>
      <c r="N59" s="56">
        <f ca="1">SUM(J59,K59,L59,M59,'FB Data'!AR59)</f>
        <v>0</v>
      </c>
      <c r="O59" s="54">
        <f t="shared" si="11"/>
        <v>0</v>
      </c>
      <c r="P59" s="14"/>
      <c r="Q59" s="5" t="str">
        <f t="shared" si="12"/>
        <v/>
      </c>
      <c r="R59" s="2" t="str">
        <f t="shared" si="5"/>
        <v/>
      </c>
      <c r="S59" s="2" t="str">
        <f t="shared" si="13"/>
        <v/>
      </c>
      <c r="T59" s="126"/>
      <c r="U59" s="21" t="str">
        <f ca="1">IFERROR(N59+S59+'FB Data'!AE59+'FB Data'!AF59+'FB Data'!AG59+'FB Data'!AH59+($AB$7/$B$99)+($AB$8/$B$99)+($AB$3/$B$99)+($AB$2/$B$99)+($AB$4/$B$99)+($AB$5/$B$99),"")</f>
        <v/>
      </c>
      <c r="V59" s="21" t="str">
        <f ca="1">IFERROR(ROUND(U59*'Quote Info'!$O$4+T59,2),"")</f>
        <v/>
      </c>
      <c r="W59" s="4" t="str">
        <f t="shared" ca="1" si="14"/>
        <v/>
      </c>
      <c r="X59" s="4" t="str">
        <f t="shared" ca="1" si="6"/>
        <v/>
      </c>
      <c r="Y59" s="16" t="str">
        <f ca="1">IFERROR(U59/((VLOOKUP(P59,'TL Data'!$A$2:$E$1226,3,FALSE))*'Tube Laser'!O59),"")</f>
        <v/>
      </c>
    </row>
    <row r="60" spans="1:31">
      <c r="A60" s="133"/>
      <c r="B60" s="13"/>
      <c r="C60" s="13"/>
      <c r="D60" s="13"/>
      <c r="E60" s="13"/>
      <c r="F60" s="13"/>
      <c r="G60" s="13"/>
      <c r="H60" s="13"/>
      <c r="I60" s="13"/>
      <c r="J60" s="57">
        <f t="shared" si="4"/>
        <v>0</v>
      </c>
      <c r="K60" s="91">
        <f>'Tube Bending'!E60</f>
        <v>0</v>
      </c>
      <c r="L60" s="77" t="str">
        <f ca="1">IFERROR(VLOOKUP('Tube Laser'!A60,Machining!A61:G151,7,FALSE),"")</f>
        <v/>
      </c>
      <c r="M60" s="77">
        <f>IFERROR(IF(Finishing!G61&gt;0,VLOOKUP('Tube Laser'!A60,Finishing!A61:G151,7,FALSE),0),"")</f>
        <v>0</v>
      </c>
      <c r="N60" s="56">
        <f ca="1">SUM(J60,K60,L60,M60,'FB Data'!AR60)</f>
        <v>0</v>
      </c>
      <c r="O60" s="54">
        <f t="shared" si="11"/>
        <v>0</v>
      </c>
      <c r="P60" s="14"/>
      <c r="Q60" s="5" t="str">
        <f t="shared" si="12"/>
        <v/>
      </c>
      <c r="R60" s="2" t="str">
        <f t="shared" si="5"/>
        <v/>
      </c>
      <c r="S60" s="2" t="str">
        <f t="shared" si="13"/>
        <v/>
      </c>
      <c r="T60" s="126"/>
      <c r="U60" s="21" t="str">
        <f ca="1">IFERROR(N60+S60+'FB Data'!AE60+'FB Data'!AF60+'FB Data'!AG60+'FB Data'!AH60+($AB$7/$B$99)+($AB$8/$B$99)+($AB$3/$B$99)+($AB$2/$B$99)+($AB$4/$B$99)+($AB$5/$B$99),"")</f>
        <v/>
      </c>
      <c r="V60" s="21" t="str">
        <f ca="1">IFERROR(ROUND(U60*'Quote Info'!$O$4+T60,2),"")</f>
        <v/>
      </c>
      <c r="W60" s="4" t="str">
        <f t="shared" ca="1" si="14"/>
        <v/>
      </c>
      <c r="X60" s="4" t="str">
        <f t="shared" ca="1" si="6"/>
        <v/>
      </c>
      <c r="Y60" s="16" t="str">
        <f ca="1">IFERROR(U60/((VLOOKUP(P60,'TL Data'!$A$2:$E$1226,3,FALSE))*'Tube Laser'!O60),"")</f>
        <v/>
      </c>
    </row>
    <row r="61" spans="1:31">
      <c r="A61" s="133"/>
      <c r="B61" s="13"/>
      <c r="C61" s="13"/>
      <c r="D61" s="13"/>
      <c r="E61" s="13"/>
      <c r="F61" s="13"/>
      <c r="G61" s="13"/>
      <c r="H61" s="13"/>
      <c r="I61" s="13"/>
      <c r="J61" s="57">
        <f t="shared" si="4"/>
        <v>0</v>
      </c>
      <c r="K61" s="91">
        <f>'Tube Bending'!E61</f>
        <v>0</v>
      </c>
      <c r="L61" s="77" t="str">
        <f ca="1">IFERROR(VLOOKUP('Tube Laser'!A61,Machining!A62:G152,7,FALSE),"")</f>
        <v/>
      </c>
      <c r="M61" s="77">
        <f>IFERROR(IF(Finishing!G62&gt;0,VLOOKUP('Tube Laser'!A61,Finishing!A62:G152,7,FALSE),0),"")</f>
        <v>0</v>
      </c>
      <c r="N61" s="56">
        <f ca="1">SUM(J61,K61,L61,M61,'FB Data'!AR61)</f>
        <v>0</v>
      </c>
      <c r="O61" s="54">
        <f t="shared" si="11"/>
        <v>0</v>
      </c>
      <c r="P61" s="14"/>
      <c r="Q61" s="5" t="str">
        <f t="shared" si="12"/>
        <v/>
      </c>
      <c r="R61" s="2" t="str">
        <f t="shared" si="5"/>
        <v/>
      </c>
      <c r="S61" s="2" t="str">
        <f t="shared" si="13"/>
        <v/>
      </c>
      <c r="T61" s="126"/>
      <c r="U61" s="21" t="str">
        <f ca="1">IFERROR(N61+S61+'FB Data'!AE61+'FB Data'!AF61+'FB Data'!AG61+'FB Data'!AH61+($AB$7/$B$99)+($AB$8/$B$99)+($AB$3/$B$99)+($AB$2/$B$99)+($AB$4/$B$99)+($AB$5/$B$99),"")</f>
        <v/>
      </c>
      <c r="V61" s="21" t="str">
        <f ca="1">IFERROR(ROUND(U61*'Quote Info'!$O$4+T61,2),"")</f>
        <v/>
      </c>
      <c r="W61" s="4" t="str">
        <f t="shared" ca="1" si="14"/>
        <v/>
      </c>
      <c r="X61" s="4" t="str">
        <f t="shared" ca="1" si="6"/>
        <v/>
      </c>
      <c r="Y61" s="16" t="str">
        <f ca="1">IFERROR(U61/((VLOOKUP(P61,'TL Data'!$A$2:$E$1226,3,FALSE))*'Tube Laser'!O61),"")</f>
        <v/>
      </c>
    </row>
    <row r="62" spans="1:31">
      <c r="A62" s="133"/>
      <c r="B62" s="13"/>
      <c r="C62" s="13"/>
      <c r="D62" s="13"/>
      <c r="E62" s="13"/>
      <c r="F62" s="13"/>
      <c r="G62" s="13"/>
      <c r="H62" s="13"/>
      <c r="I62" s="13"/>
      <c r="J62" s="57">
        <f t="shared" si="4"/>
        <v>0</v>
      </c>
      <c r="K62" s="91">
        <f>'Tube Bending'!E62</f>
        <v>0</v>
      </c>
      <c r="L62" s="77" t="str">
        <f ca="1">IFERROR(VLOOKUP('Tube Laser'!A62,Machining!A63:G153,7,FALSE),"")</f>
        <v/>
      </c>
      <c r="M62" s="77">
        <f>IFERROR(IF(Finishing!G63&gt;0,VLOOKUP('Tube Laser'!A62,Finishing!A63:G153,7,FALSE),0),"")</f>
        <v>0</v>
      </c>
      <c r="N62" s="56">
        <f ca="1">SUM(J62,K62,L62,M62,'FB Data'!AR62)</f>
        <v>0</v>
      </c>
      <c r="O62" s="54">
        <f t="shared" si="11"/>
        <v>0</v>
      </c>
      <c r="P62" s="14"/>
      <c r="Q62" s="5" t="str">
        <f t="shared" si="12"/>
        <v/>
      </c>
      <c r="R62" s="2" t="str">
        <f t="shared" si="5"/>
        <v/>
      </c>
      <c r="S62" s="2" t="str">
        <f t="shared" si="13"/>
        <v/>
      </c>
      <c r="T62" s="126"/>
      <c r="U62" s="21" t="str">
        <f ca="1">IFERROR(N62+S62+'FB Data'!AE62+'FB Data'!AF62+'FB Data'!AG62+'FB Data'!AH62+($AB$7/$B$99)+($AB$8/$B$99)+($AB$3/$B$99)+($AB$2/$B$99)+($AB$4/$B$99)+($AB$5/$B$99),"")</f>
        <v/>
      </c>
      <c r="V62" s="21" t="str">
        <f ca="1">IFERROR(ROUND(U62*'Quote Info'!$O$4+T62,2),"")</f>
        <v/>
      </c>
      <c r="W62" s="4" t="str">
        <f t="shared" ca="1" si="14"/>
        <v/>
      </c>
      <c r="X62" s="4" t="str">
        <f t="shared" ca="1" si="6"/>
        <v/>
      </c>
      <c r="Y62" s="16" t="str">
        <f ca="1">IFERROR(U62/((VLOOKUP(P62,'TL Data'!$A$2:$E$1226,3,FALSE))*'Tube Laser'!O62),"")</f>
        <v/>
      </c>
    </row>
    <row r="63" spans="1:31">
      <c r="A63" s="133"/>
      <c r="B63" s="13"/>
      <c r="C63" s="13"/>
      <c r="D63" s="13"/>
      <c r="E63" s="13"/>
      <c r="F63" s="13"/>
      <c r="G63" s="13"/>
      <c r="H63" s="13"/>
      <c r="I63" s="13"/>
      <c r="J63" s="57">
        <f t="shared" si="4"/>
        <v>0</v>
      </c>
      <c r="K63" s="91">
        <f>'Tube Bending'!E63</f>
        <v>0</v>
      </c>
      <c r="L63" s="77" t="str">
        <f ca="1">IFERROR(VLOOKUP('Tube Laser'!A63,Machining!A64:G154,7,FALSE),"")</f>
        <v/>
      </c>
      <c r="M63" s="77">
        <f>IFERROR(IF(Finishing!G64&gt;0,VLOOKUP('Tube Laser'!A63,Finishing!A64:G154,7,FALSE),0),"")</f>
        <v>0</v>
      </c>
      <c r="N63" s="56">
        <f ca="1">SUM(J63,K63,L63,M63,'FB Data'!AR63)</f>
        <v>0</v>
      </c>
      <c r="O63" s="54">
        <f t="shared" si="11"/>
        <v>0</v>
      </c>
      <c r="P63" s="14"/>
      <c r="Q63" s="5" t="str">
        <f t="shared" si="12"/>
        <v/>
      </c>
      <c r="R63" s="2" t="str">
        <f t="shared" si="5"/>
        <v/>
      </c>
      <c r="S63" s="2" t="str">
        <f t="shared" si="13"/>
        <v/>
      </c>
      <c r="T63" s="126"/>
      <c r="U63" s="21" t="str">
        <f ca="1">IFERROR(N63+S63+'FB Data'!AE63+'FB Data'!AF63+'FB Data'!AG63+'FB Data'!AH63+($AB$7/$B$99)+($AB$8/$B$99)+($AB$3/$B$99)+($AB$2/$B$99)+($AB$4/$B$99)+($AB$5/$B$99),"")</f>
        <v/>
      </c>
      <c r="V63" s="21" t="str">
        <f ca="1">IFERROR(ROUND(U63*'Quote Info'!$O$4+T63,2),"")</f>
        <v/>
      </c>
      <c r="W63" s="4" t="str">
        <f t="shared" ca="1" si="14"/>
        <v/>
      </c>
      <c r="X63" s="4" t="str">
        <f t="shared" ca="1" si="6"/>
        <v/>
      </c>
      <c r="Y63" s="16" t="str">
        <f ca="1">IFERROR(U63/((VLOOKUP(P63,'TL Data'!$A$2:$E$1226,3,FALSE))*'Tube Laser'!O63),"")</f>
        <v/>
      </c>
    </row>
    <row r="64" spans="1:31">
      <c r="A64" s="133"/>
      <c r="B64" s="13"/>
      <c r="C64" s="13"/>
      <c r="D64" s="13"/>
      <c r="E64" s="13"/>
      <c r="F64" s="13"/>
      <c r="G64" s="13"/>
      <c r="H64" s="13"/>
      <c r="I64" s="13"/>
      <c r="J64" s="57">
        <f t="shared" si="4"/>
        <v>0</v>
      </c>
      <c r="K64" s="91">
        <f>'Tube Bending'!E64</f>
        <v>0</v>
      </c>
      <c r="L64" s="77" t="str">
        <f ca="1">IFERROR(VLOOKUP('Tube Laser'!A64,Machining!A65:G155,7,FALSE),"")</f>
        <v/>
      </c>
      <c r="M64" s="77">
        <f>IFERROR(IF(Finishing!G65&gt;0,VLOOKUP('Tube Laser'!A64,Finishing!A65:G155,7,FALSE),0),"")</f>
        <v>0</v>
      </c>
      <c r="N64" s="56">
        <f ca="1">SUM(J64,K64,L64,M64,'FB Data'!AR64)</f>
        <v>0</v>
      </c>
      <c r="O64" s="54">
        <f t="shared" si="11"/>
        <v>0</v>
      </c>
      <c r="P64" s="14"/>
      <c r="Q64" s="5" t="str">
        <f t="shared" si="12"/>
        <v/>
      </c>
      <c r="R64" s="2" t="str">
        <f t="shared" si="5"/>
        <v/>
      </c>
      <c r="S64" s="2" t="str">
        <f t="shared" si="13"/>
        <v/>
      </c>
      <c r="T64" s="126"/>
      <c r="U64" s="21" t="str">
        <f ca="1">IFERROR(N64+S64+'FB Data'!AE64+'FB Data'!AF64+'FB Data'!AG64+'FB Data'!AH64+($AB$7/$B$99)+($AB$8/$B$99)+($AB$3/$B$99)+($AB$2/$B$99)+($AB$4/$B$99)+($AB$5/$B$99),"")</f>
        <v/>
      </c>
      <c r="V64" s="21" t="str">
        <f ca="1">IFERROR(ROUND(U64*'Quote Info'!$O$4+T64,2),"")</f>
        <v/>
      </c>
      <c r="W64" s="4" t="str">
        <f t="shared" ca="1" si="14"/>
        <v/>
      </c>
      <c r="X64" s="4" t="str">
        <f t="shared" ca="1" si="6"/>
        <v/>
      </c>
      <c r="Y64" s="16" t="str">
        <f ca="1">IFERROR(U64/((VLOOKUP(P64,'TL Data'!$A$2:$E$1226,3,FALSE))*'Tube Laser'!O64),"")</f>
        <v/>
      </c>
    </row>
    <row r="65" spans="1:25">
      <c r="A65" s="133"/>
      <c r="B65" s="13"/>
      <c r="C65" s="13"/>
      <c r="D65" s="13"/>
      <c r="E65" s="13"/>
      <c r="F65" s="13"/>
      <c r="G65" s="13"/>
      <c r="H65" s="13"/>
      <c r="I65" s="13"/>
      <c r="J65" s="57">
        <f t="shared" si="4"/>
        <v>0</v>
      </c>
      <c r="K65" s="91">
        <f>'Tube Bending'!E65</f>
        <v>0</v>
      </c>
      <c r="L65" s="77" t="str">
        <f ca="1">IFERROR(VLOOKUP('Tube Laser'!A65,Machining!A66:G156,7,FALSE),"")</f>
        <v/>
      </c>
      <c r="M65" s="77">
        <f>IFERROR(IF(Finishing!G66&gt;0,VLOOKUP('Tube Laser'!A65,Finishing!A66:G156,7,FALSE),0),"")</f>
        <v>0</v>
      </c>
      <c r="N65" s="56">
        <f ca="1">SUM(J65,K65,L65,M65,'FB Data'!AR65)</f>
        <v>0</v>
      </c>
      <c r="O65" s="54">
        <f t="shared" si="11"/>
        <v>0</v>
      </c>
      <c r="P65" s="14"/>
      <c r="Q65" s="5" t="str">
        <f t="shared" si="12"/>
        <v/>
      </c>
      <c r="R65" s="2" t="str">
        <f t="shared" si="5"/>
        <v/>
      </c>
      <c r="S65" s="2" t="str">
        <f t="shared" si="13"/>
        <v/>
      </c>
      <c r="T65" s="126"/>
      <c r="U65" s="21" t="str">
        <f ca="1">IFERROR(N65+S65+'FB Data'!AE65+'FB Data'!AF65+'FB Data'!AG65+'FB Data'!AH65+($AB$7/$B$99)+($AB$8/$B$99)+($AB$3/$B$99)+($AB$2/$B$99)+($AB$4/$B$99)+($AB$5/$B$99),"")</f>
        <v/>
      </c>
      <c r="V65" s="21" t="str">
        <f ca="1">IFERROR(ROUND(U65*'Quote Info'!$O$4+T65,2),"")</f>
        <v/>
      </c>
      <c r="W65" s="4" t="str">
        <f t="shared" ca="1" si="14"/>
        <v/>
      </c>
      <c r="X65" s="4" t="str">
        <f t="shared" ca="1" si="6"/>
        <v/>
      </c>
      <c r="Y65" s="16" t="str">
        <f ca="1">IFERROR(U65/((VLOOKUP(P65,'TL Data'!$A$2:$E$1226,3,FALSE))*'Tube Laser'!O65),"")</f>
        <v/>
      </c>
    </row>
    <row r="66" spans="1:25">
      <c r="A66" s="133"/>
      <c r="B66" s="13"/>
      <c r="C66" s="13"/>
      <c r="D66" s="13"/>
      <c r="E66" s="13"/>
      <c r="F66" s="13"/>
      <c r="G66" s="13"/>
      <c r="H66" s="13"/>
      <c r="I66" s="13"/>
      <c r="J66" s="57">
        <f t="shared" si="4"/>
        <v>0</v>
      </c>
      <c r="K66" s="91">
        <f>'Tube Bending'!E66</f>
        <v>0</v>
      </c>
      <c r="L66" s="77" t="str">
        <f ca="1">IFERROR(VLOOKUP('Tube Laser'!A66,Machining!A67:G157,7,FALSE),"")</f>
        <v/>
      </c>
      <c r="M66" s="77">
        <f>IFERROR(IF(Finishing!G67&gt;0,VLOOKUP('Tube Laser'!A66,Finishing!A67:G157,7,FALSE),0),"")</f>
        <v>0</v>
      </c>
      <c r="N66" s="56">
        <f ca="1">SUM(J66,K66,L66,M66,'FB Data'!AR66)</f>
        <v>0</v>
      </c>
      <c r="O66" s="54">
        <f t="shared" si="11"/>
        <v>0</v>
      </c>
      <c r="P66" s="14"/>
      <c r="Q66" s="5" t="str">
        <f t="shared" si="12"/>
        <v/>
      </c>
      <c r="R66" s="2" t="str">
        <f t="shared" si="5"/>
        <v/>
      </c>
      <c r="S66" s="2" t="str">
        <f t="shared" si="13"/>
        <v/>
      </c>
      <c r="T66" s="126"/>
      <c r="U66" s="21" t="str">
        <f ca="1">IFERROR(N66+S66+'FB Data'!AE66+'FB Data'!AF66+'FB Data'!AG66+'FB Data'!AH66+($AB$7/$B$99)+($AB$8/$B$99)+($AB$3/$B$99)+($AB$2/$B$99)+($AB$4/$B$99)+($AB$5/$B$99),"")</f>
        <v/>
      </c>
      <c r="V66" s="21" t="str">
        <f ca="1">IFERROR(ROUND(U66*'Quote Info'!$O$4+T66,2),"")</f>
        <v/>
      </c>
      <c r="W66" s="4" t="str">
        <f t="shared" ca="1" si="14"/>
        <v/>
      </c>
      <c r="X66" s="4" t="str">
        <f t="shared" ca="1" si="6"/>
        <v/>
      </c>
      <c r="Y66" s="16" t="str">
        <f ca="1">IFERROR(U66/((VLOOKUP(P66,'TL Data'!$A$2:$E$1226,3,FALSE))*'Tube Laser'!O66),"")</f>
        <v/>
      </c>
    </row>
    <row r="67" spans="1:25">
      <c r="A67" s="133"/>
      <c r="B67" s="13"/>
      <c r="C67" s="13"/>
      <c r="D67" s="13"/>
      <c r="E67" s="13"/>
      <c r="F67" s="13"/>
      <c r="G67" s="13"/>
      <c r="H67" s="13"/>
      <c r="I67" s="13"/>
      <c r="J67" s="57">
        <f t="shared" si="4"/>
        <v>0</v>
      </c>
      <c r="K67" s="91">
        <f>'Tube Bending'!E67</f>
        <v>0</v>
      </c>
      <c r="L67" s="77" t="str">
        <f ca="1">IFERROR(VLOOKUP('Tube Laser'!A67,Machining!A68:G158,7,FALSE),"")</f>
        <v/>
      </c>
      <c r="M67" s="77">
        <f>IFERROR(IF(Finishing!G68&gt;0,VLOOKUP('Tube Laser'!A67,Finishing!A68:G158,7,FALSE),0),"")</f>
        <v>0</v>
      </c>
      <c r="N67" s="56">
        <f ca="1">SUM(J67,K67,L67,M67,'FB Data'!AR67)</f>
        <v>0</v>
      </c>
      <c r="O67" s="54">
        <f t="shared" si="11"/>
        <v>0</v>
      </c>
      <c r="P67" s="14"/>
      <c r="Q67" s="5" t="str">
        <f t="shared" si="12"/>
        <v/>
      </c>
      <c r="R67" s="2" t="str">
        <f t="shared" si="5"/>
        <v/>
      </c>
      <c r="S67" s="2" t="str">
        <f t="shared" si="13"/>
        <v/>
      </c>
      <c r="T67" s="126"/>
      <c r="U67" s="21" t="str">
        <f ca="1">IFERROR(N67+S67+'FB Data'!AE67+'FB Data'!AF67+'FB Data'!AG67+'FB Data'!AH67+($AB$7/$B$99)+($AB$8/$B$99)+($AB$3/$B$99)+($AB$2/$B$99)+($AB$4/$B$99)+($AB$5/$B$99),"")</f>
        <v/>
      </c>
      <c r="V67" s="21" t="str">
        <f ca="1">IFERROR(ROUND(U67*'Quote Info'!$O$4+T67,2),"")</f>
        <v/>
      </c>
      <c r="W67" s="4" t="str">
        <f t="shared" ca="1" si="14"/>
        <v/>
      </c>
      <c r="X67" s="4" t="str">
        <f t="shared" ca="1" si="6"/>
        <v/>
      </c>
      <c r="Y67" s="16" t="str">
        <f ca="1">IFERROR(U67/((VLOOKUP(P67,'TL Data'!$A$2:$E$1226,3,FALSE))*'Tube Laser'!O67),"")</f>
        <v/>
      </c>
    </row>
    <row r="68" spans="1:25">
      <c r="A68" s="133"/>
      <c r="B68" s="13"/>
      <c r="C68" s="13"/>
      <c r="D68" s="13"/>
      <c r="E68" s="13"/>
      <c r="F68" s="13"/>
      <c r="G68" s="13"/>
      <c r="H68" s="13"/>
      <c r="I68" s="13"/>
      <c r="J68" s="57">
        <f t="shared" si="4"/>
        <v>0</v>
      </c>
      <c r="K68" s="91">
        <f>'Tube Bending'!E68</f>
        <v>0</v>
      </c>
      <c r="L68" s="77" t="str">
        <f ca="1">IFERROR(VLOOKUP('Tube Laser'!A68,Machining!A69:G159,7,FALSE),"")</f>
        <v/>
      </c>
      <c r="M68" s="77">
        <f>IFERROR(IF(Finishing!G69&gt;0,VLOOKUP('Tube Laser'!A68,Finishing!A69:G159,7,FALSE),0),"")</f>
        <v>0</v>
      </c>
      <c r="N68" s="56">
        <f ca="1">SUM(J68,K68,L68,M68,'FB Data'!AR68)</f>
        <v>0</v>
      </c>
      <c r="O68" s="54">
        <f t="shared" si="11"/>
        <v>0</v>
      </c>
      <c r="P68" s="14"/>
      <c r="Q68" s="5" t="str">
        <f t="shared" si="12"/>
        <v/>
      </c>
      <c r="R68" s="2" t="str">
        <f t="shared" si="5"/>
        <v/>
      </c>
      <c r="S68" s="2" t="str">
        <f t="shared" si="13"/>
        <v/>
      </c>
      <c r="T68" s="126"/>
      <c r="U68" s="21" t="str">
        <f ca="1">IFERROR(N68+S68+'FB Data'!AE68+'FB Data'!AF68+'FB Data'!AG68+'FB Data'!AH68+($AB$7/$B$99)+($AB$8/$B$99)+($AB$3/$B$99)+($AB$2/$B$99)+($AB$4/$B$99)+($AB$5/$B$99),"")</f>
        <v/>
      </c>
      <c r="V68" s="21" t="str">
        <f ca="1">IFERROR(ROUND(U68*'Quote Info'!$O$4+T68,2),"")</f>
        <v/>
      </c>
      <c r="W68" s="4" t="str">
        <f t="shared" ca="1" si="14"/>
        <v/>
      </c>
      <c r="X68" s="4" t="str">
        <f t="shared" ca="1" si="6"/>
        <v/>
      </c>
      <c r="Y68" s="16" t="str">
        <f ca="1">IFERROR(U68/((VLOOKUP(P68,'TL Data'!$A$2:$E$1226,3,FALSE))*'Tube Laser'!O68),"")</f>
        <v/>
      </c>
    </row>
    <row r="69" spans="1:25">
      <c r="A69" s="133"/>
      <c r="B69" s="13"/>
      <c r="C69" s="13"/>
      <c r="D69" s="13"/>
      <c r="E69" s="13"/>
      <c r="F69" s="13"/>
      <c r="G69" s="13"/>
      <c r="H69" s="13"/>
      <c r="I69" s="13"/>
      <c r="J69" s="57">
        <f t="shared" si="4"/>
        <v>0</v>
      </c>
      <c r="K69" s="91">
        <f>'Tube Bending'!E69</f>
        <v>0</v>
      </c>
      <c r="L69" s="77" t="str">
        <f ca="1">IFERROR(VLOOKUP('Tube Laser'!A69,Machining!A70:G160,7,FALSE),"")</f>
        <v/>
      </c>
      <c r="M69" s="77">
        <f>IFERROR(IF(Finishing!G70&gt;0,VLOOKUP('Tube Laser'!A69,Finishing!A70:G160,7,FALSE),0),"")</f>
        <v>0</v>
      </c>
      <c r="N69" s="56">
        <f ca="1">SUM(J69,K69,L69,M69,'FB Data'!AR69)</f>
        <v>0</v>
      </c>
      <c r="O69" s="54">
        <f t="shared" si="11"/>
        <v>0</v>
      </c>
      <c r="P69" s="14"/>
      <c r="Q69" s="5" t="str">
        <f t="shared" si="12"/>
        <v/>
      </c>
      <c r="R69" s="2" t="str">
        <f t="shared" si="5"/>
        <v/>
      </c>
      <c r="S69" s="2" t="str">
        <f t="shared" si="13"/>
        <v/>
      </c>
      <c r="T69" s="126"/>
      <c r="U69" s="21" t="str">
        <f ca="1">IFERROR(N69+S69+'FB Data'!AE69+'FB Data'!AF69+'FB Data'!AG69+'FB Data'!AH69+($AB$7/$B$99)+($AB$8/$B$99)+($AB$3/$B$99)+($AB$2/$B$99)+($AB$4/$B$99)+($AB$5/$B$99),"")</f>
        <v/>
      </c>
      <c r="V69" s="21" t="str">
        <f ca="1">IFERROR(ROUND(U69*'Quote Info'!$O$4+T69,2),"")</f>
        <v/>
      </c>
      <c r="W69" s="4" t="str">
        <f t="shared" ca="1" si="14"/>
        <v/>
      </c>
      <c r="X69" s="4" t="str">
        <f t="shared" ca="1" si="6"/>
        <v/>
      </c>
      <c r="Y69" s="16" t="str">
        <f ca="1">IFERROR(U69/((VLOOKUP(P69,'TL Data'!$A$2:$E$1226,3,FALSE))*'Tube Laser'!O69),"")</f>
        <v/>
      </c>
    </row>
    <row r="70" spans="1:25">
      <c r="A70" s="133"/>
      <c r="B70" s="13"/>
      <c r="C70" s="13"/>
      <c r="D70" s="13"/>
      <c r="E70" s="13"/>
      <c r="F70" s="13"/>
      <c r="G70" s="13"/>
      <c r="H70" s="13"/>
      <c r="I70" s="13"/>
      <c r="J70" s="57">
        <f t="shared" si="4"/>
        <v>0</v>
      </c>
      <c r="K70" s="91">
        <f>'Tube Bending'!E70</f>
        <v>0</v>
      </c>
      <c r="L70" s="77" t="str">
        <f ca="1">IFERROR(VLOOKUP('Tube Laser'!A70,Machining!A71:G161,7,FALSE),"")</f>
        <v/>
      </c>
      <c r="M70" s="77">
        <f>IFERROR(IF(Finishing!G71&gt;0,VLOOKUP('Tube Laser'!A70,Finishing!A71:G161,7,FALSE),0),"")</f>
        <v>0</v>
      </c>
      <c r="N70" s="56">
        <f ca="1">SUM(J70,K70,L70,M70,'FB Data'!AR70)</f>
        <v>0</v>
      </c>
      <c r="O70" s="54">
        <f t="shared" si="11"/>
        <v>0</v>
      </c>
      <c r="P70" s="14"/>
      <c r="Q70" s="5" t="str">
        <f t="shared" si="12"/>
        <v/>
      </c>
      <c r="R70" s="2" t="str">
        <f t="shared" si="5"/>
        <v/>
      </c>
      <c r="S70" s="2" t="str">
        <f t="shared" si="13"/>
        <v/>
      </c>
      <c r="T70" s="126"/>
      <c r="U70" s="21" t="str">
        <f ca="1">IFERROR(N70+S70+'FB Data'!AE70+'FB Data'!AF70+'FB Data'!AG70+'FB Data'!AH70+($AB$7/$B$99)+($AB$8/$B$99)+($AB$3/$B$99)+($AB$2/$B$99)+($AB$4/$B$99)+($AB$5/$B$99),"")</f>
        <v/>
      </c>
      <c r="V70" s="21" t="str">
        <f ca="1">IFERROR(ROUND(U70*'Quote Info'!$O$4+T70,2),"")</f>
        <v/>
      </c>
      <c r="W70" s="4" t="str">
        <f t="shared" ca="1" si="14"/>
        <v/>
      </c>
      <c r="X70" s="4" t="str">
        <f t="shared" ca="1" si="6"/>
        <v/>
      </c>
      <c r="Y70" s="16" t="str">
        <f ca="1">IFERROR(U70/((VLOOKUP(P70,'TL Data'!$A$2:$E$1226,3,FALSE))*'Tube Laser'!O70),"")</f>
        <v/>
      </c>
    </row>
    <row r="71" spans="1:25">
      <c r="A71" s="133"/>
      <c r="B71" s="13"/>
      <c r="C71" s="13"/>
      <c r="D71" s="13"/>
      <c r="E71" s="13"/>
      <c r="F71" s="13"/>
      <c r="G71" s="13"/>
      <c r="H71" s="13"/>
      <c r="I71" s="13"/>
      <c r="J71" s="57">
        <f t="shared" si="4"/>
        <v>0</v>
      </c>
      <c r="K71" s="91">
        <f>'Tube Bending'!E71</f>
        <v>0</v>
      </c>
      <c r="L71" s="77" t="str">
        <f ca="1">IFERROR(VLOOKUP('Tube Laser'!A71,Machining!A72:G162,7,FALSE),"")</f>
        <v/>
      </c>
      <c r="M71" s="77">
        <f>IFERROR(IF(Finishing!G72&gt;0,VLOOKUP('Tube Laser'!A71,Finishing!A72:G162,7,FALSE),0),"")</f>
        <v>0</v>
      </c>
      <c r="N71" s="56">
        <f ca="1">SUM(J71,K71,L71,M71,'FB Data'!AR71)</f>
        <v>0</v>
      </c>
      <c r="O71" s="54">
        <f t="shared" si="11"/>
        <v>0</v>
      </c>
      <c r="P71" s="14"/>
      <c r="Q71" s="5" t="str">
        <f t="shared" si="12"/>
        <v/>
      </c>
      <c r="R71" s="2" t="str">
        <f t="shared" si="5"/>
        <v/>
      </c>
      <c r="S71" s="2" t="str">
        <f t="shared" si="13"/>
        <v/>
      </c>
      <c r="T71" s="126"/>
      <c r="U71" s="21" t="str">
        <f ca="1">IFERROR(N71+S71+'FB Data'!AE71+'FB Data'!AF71+'FB Data'!AG71+'FB Data'!AH71+($AB$7/$B$99)+($AB$8/$B$99)+($AB$3/$B$99)+($AB$2/$B$99)+($AB$4/$B$99)+($AB$5/$B$99),"")</f>
        <v/>
      </c>
      <c r="V71" s="21" t="str">
        <f ca="1">IFERROR(ROUND(U71*'Quote Info'!$O$4+T71,2),"")</f>
        <v/>
      </c>
      <c r="W71" s="4" t="str">
        <f t="shared" ca="1" si="14"/>
        <v/>
      </c>
      <c r="X71" s="4" t="str">
        <f t="shared" ca="1" si="6"/>
        <v/>
      </c>
      <c r="Y71" s="16" t="str">
        <f ca="1">IFERROR(U71/((VLOOKUP(P71,'TL Data'!$A$2:$E$1226,3,FALSE))*'Tube Laser'!O71),"")</f>
        <v/>
      </c>
    </row>
    <row r="72" spans="1:25">
      <c r="A72" s="133"/>
      <c r="B72" s="13"/>
      <c r="C72" s="13"/>
      <c r="D72" s="13"/>
      <c r="E72" s="13"/>
      <c r="F72" s="13"/>
      <c r="G72" s="13"/>
      <c r="H72" s="13"/>
      <c r="I72" s="13"/>
      <c r="J72" s="57">
        <f t="shared" si="4"/>
        <v>0</v>
      </c>
      <c r="K72" s="91">
        <f>'Tube Bending'!E72</f>
        <v>0</v>
      </c>
      <c r="L72" s="77" t="str">
        <f ca="1">IFERROR(VLOOKUP('Tube Laser'!A72,Machining!A73:G163,7,FALSE),"")</f>
        <v/>
      </c>
      <c r="M72" s="77">
        <f>IFERROR(IF(Finishing!G73&gt;0,VLOOKUP('Tube Laser'!A72,Finishing!A73:G163,7,FALSE),0),"")</f>
        <v>0</v>
      </c>
      <c r="N72" s="56">
        <f ca="1">SUM(J72,K72,L72,M72,'FB Data'!AR72)</f>
        <v>0</v>
      </c>
      <c r="O72" s="54">
        <f t="shared" si="11"/>
        <v>0</v>
      </c>
      <c r="P72" s="14"/>
      <c r="Q72" s="5" t="str">
        <f t="shared" si="12"/>
        <v/>
      </c>
      <c r="R72" s="2" t="str">
        <f t="shared" si="5"/>
        <v/>
      </c>
      <c r="S72" s="2" t="str">
        <f t="shared" si="13"/>
        <v/>
      </c>
      <c r="T72" s="126"/>
      <c r="U72" s="21" t="str">
        <f ca="1">IFERROR(N72+S72+'FB Data'!AE72+'FB Data'!AF72+'FB Data'!AG72+'FB Data'!AH72+($AB$7/$B$99)+($AB$8/$B$99)+($AB$3/$B$99)+($AB$2/$B$99)+($AB$4/$B$99)+($AB$5/$B$99),"")</f>
        <v/>
      </c>
      <c r="V72" s="21" t="str">
        <f ca="1">IFERROR(ROUND(U72*'Quote Info'!$O$4+T72,2),"")</f>
        <v/>
      </c>
      <c r="W72" s="4" t="str">
        <f t="shared" ca="1" si="14"/>
        <v/>
      </c>
      <c r="X72" s="4" t="str">
        <f t="shared" ca="1" si="6"/>
        <v/>
      </c>
      <c r="Y72" s="16" t="str">
        <f ca="1">IFERROR(U72/((VLOOKUP(P72,'TL Data'!$A$2:$E$1226,3,FALSE))*'Tube Laser'!O72),"")</f>
        <v/>
      </c>
    </row>
    <row r="73" spans="1:25">
      <c r="A73" s="133"/>
      <c r="B73" s="13"/>
      <c r="C73" s="13"/>
      <c r="D73" s="13"/>
      <c r="E73" s="13"/>
      <c r="F73" s="13"/>
      <c r="G73" s="13"/>
      <c r="H73" s="13"/>
      <c r="I73" s="13"/>
      <c r="J73" s="57">
        <f t="shared" si="4"/>
        <v>0</v>
      </c>
      <c r="K73" s="91">
        <f>'Tube Bending'!E73</f>
        <v>0</v>
      </c>
      <c r="L73" s="77" t="str">
        <f ca="1">IFERROR(VLOOKUP('Tube Laser'!A73,Machining!A74:G164,7,FALSE),"")</f>
        <v/>
      </c>
      <c r="M73" s="77">
        <f>IFERROR(IF(Finishing!G74&gt;0,VLOOKUP('Tube Laser'!A73,Finishing!A74:G164,7,FALSE),0),"")</f>
        <v>0</v>
      </c>
      <c r="N73" s="56">
        <f ca="1">SUM(J73,K73,L73,M73,'FB Data'!AR73)</f>
        <v>0</v>
      </c>
      <c r="O73" s="54">
        <f t="shared" ref="O73:O98" si="15">C73/12</f>
        <v>0</v>
      </c>
      <c r="P73" s="14"/>
      <c r="Q73" s="5" t="str">
        <f t="shared" ref="Q73:Q98" si="16">IFERROR((B73*O73)/(VLOOKUP(P73,$AA$14:$AD$24,2,FALSE)),"")</f>
        <v/>
      </c>
      <c r="R73" s="2" t="str">
        <f t="shared" si="5"/>
        <v/>
      </c>
      <c r="S73" s="2" t="str">
        <f t="shared" ref="S73:S98" si="17">IFERROR((R73*$AB$10)/B73,"")</f>
        <v/>
      </c>
      <c r="T73" s="126"/>
      <c r="U73" s="21" t="str">
        <f ca="1">IFERROR(N73+S73+'FB Data'!AE73+'FB Data'!AF73+'FB Data'!AG73+'FB Data'!AH73+($AB$7/$B$99)+($AB$8/$B$99)+($AB$3/$B$99)+($AB$2/$B$99)+($AB$4/$B$99)+($AB$5/$B$99),"")</f>
        <v/>
      </c>
      <c r="V73" s="21" t="str">
        <f ca="1">IFERROR(ROUND(U73*'Quote Info'!$O$4+T73,2),"")</f>
        <v/>
      </c>
      <c r="W73" s="4" t="str">
        <f t="shared" ref="W73:W98" ca="1" si="18">IFERROR(U73*B73,"")</f>
        <v/>
      </c>
      <c r="X73" s="4" t="str">
        <f t="shared" ca="1" si="6"/>
        <v/>
      </c>
      <c r="Y73" s="16" t="str">
        <f ca="1">IFERROR(U73/((VLOOKUP(P73,'TL Data'!$A$2:$E$1226,3,FALSE))*'Tube Laser'!O73),"")</f>
        <v/>
      </c>
    </row>
    <row r="74" spans="1:25">
      <c r="A74" s="133"/>
      <c r="B74" s="13"/>
      <c r="C74" s="13"/>
      <c r="D74" s="13"/>
      <c r="E74" s="13"/>
      <c r="F74" s="13"/>
      <c r="G74" s="13"/>
      <c r="H74" s="13"/>
      <c r="I74" s="13"/>
      <c r="J74" s="57">
        <f t="shared" ref="J74:J98" si="19">IFERROR((((D74)/60)/60)*$AB$9,"")</f>
        <v>0</v>
      </c>
      <c r="K74" s="91">
        <f>'Tube Bending'!E74</f>
        <v>0</v>
      </c>
      <c r="L74" s="77" t="str">
        <f ca="1">IFERROR(VLOOKUP('Tube Laser'!A74,Machining!A75:G165,7,FALSE),"")</f>
        <v/>
      </c>
      <c r="M74" s="77">
        <f>IFERROR(IF(Finishing!G75&gt;0,VLOOKUP('Tube Laser'!A74,Finishing!A75:G165,7,FALSE),0),"")</f>
        <v>0</v>
      </c>
      <c r="N74" s="56">
        <f ca="1">SUM(J74,K74,L74,M74,'FB Data'!AR74)</f>
        <v>0</v>
      </c>
      <c r="O74" s="54">
        <f t="shared" si="15"/>
        <v>0</v>
      </c>
      <c r="P74" s="14"/>
      <c r="Q74" s="5" t="str">
        <f t="shared" si="16"/>
        <v/>
      </c>
      <c r="R74" s="2" t="str">
        <f t="shared" ref="R74:R98" si="20">IFERROR(VLOOKUP(P74,$AA$14:$AD$24,4,FALSE)*(Q74/(VLOOKUP(P74,$AA$14:$AD$24,3,FALSE))),"")</f>
        <v/>
      </c>
      <c r="S74" s="2" t="str">
        <f t="shared" si="17"/>
        <v/>
      </c>
      <c r="T74" s="126"/>
      <c r="U74" s="21" t="str">
        <f ca="1">IFERROR(N74+S74+'FB Data'!AE74+'FB Data'!AF74+'FB Data'!AG74+'FB Data'!AH74+($AB$7/$B$99)+($AB$8/$B$99)+($AB$3/$B$99)+($AB$2/$B$99)+($AB$4/$B$99)+($AB$5/$B$99),"")</f>
        <v/>
      </c>
      <c r="V74" s="21" t="str">
        <f ca="1">IFERROR(ROUND(U74*'Quote Info'!$O$4+T74,2),"")</f>
        <v/>
      </c>
      <c r="W74" s="4" t="str">
        <f t="shared" ca="1" si="18"/>
        <v/>
      </c>
      <c r="X74" s="4" t="str">
        <f t="shared" ref="X74:X98" ca="1" si="21">IFERROR(V74*B74,"")</f>
        <v/>
      </c>
      <c r="Y74" s="16" t="str">
        <f ca="1">IFERROR(U74/((VLOOKUP(P74,'TL Data'!$A$2:$E$1226,3,FALSE))*'Tube Laser'!O74),"")</f>
        <v/>
      </c>
    </row>
    <row r="75" spans="1:25">
      <c r="A75" s="133"/>
      <c r="B75" s="13"/>
      <c r="C75" s="13"/>
      <c r="D75" s="13"/>
      <c r="E75" s="13"/>
      <c r="F75" s="13"/>
      <c r="G75" s="13"/>
      <c r="H75" s="13"/>
      <c r="I75" s="13"/>
      <c r="J75" s="57">
        <f t="shared" si="19"/>
        <v>0</v>
      </c>
      <c r="K75" s="91">
        <f>'Tube Bending'!E75</f>
        <v>0</v>
      </c>
      <c r="L75" s="77" t="str">
        <f ca="1">IFERROR(VLOOKUP('Tube Laser'!A75,Machining!A76:G166,7,FALSE),"")</f>
        <v/>
      </c>
      <c r="M75" s="77">
        <f>IFERROR(IF(Finishing!G76&gt;0,VLOOKUP('Tube Laser'!A75,Finishing!A76:G166,7,FALSE),0),"")</f>
        <v>0</v>
      </c>
      <c r="N75" s="56">
        <f ca="1">SUM(J75,K75,L75,M75,'FB Data'!AR75)</f>
        <v>0</v>
      </c>
      <c r="O75" s="54">
        <f t="shared" si="15"/>
        <v>0</v>
      </c>
      <c r="P75" s="14"/>
      <c r="Q75" s="5" t="str">
        <f t="shared" si="16"/>
        <v/>
      </c>
      <c r="R75" s="2" t="str">
        <f t="shared" si="20"/>
        <v/>
      </c>
      <c r="S75" s="2" t="str">
        <f t="shared" si="17"/>
        <v/>
      </c>
      <c r="T75" s="126"/>
      <c r="U75" s="21" t="str">
        <f ca="1">IFERROR(N75+S75+'FB Data'!AE75+'FB Data'!AF75+'FB Data'!AG75+'FB Data'!AH75+($AB$7/$B$99)+($AB$8/$B$99)+($AB$3/$B$99)+($AB$2/$B$99)+($AB$4/$B$99)+($AB$5/$B$99),"")</f>
        <v/>
      </c>
      <c r="V75" s="21" t="str">
        <f ca="1">IFERROR(ROUND(U75*'Quote Info'!$O$4+T75,2),"")</f>
        <v/>
      </c>
      <c r="W75" s="4" t="str">
        <f t="shared" ca="1" si="18"/>
        <v/>
      </c>
      <c r="X75" s="4" t="str">
        <f t="shared" ca="1" si="21"/>
        <v/>
      </c>
      <c r="Y75" s="16" t="str">
        <f ca="1">IFERROR(U75/((VLOOKUP(P75,'TL Data'!$A$2:$E$1226,3,FALSE))*'Tube Laser'!O75),"")</f>
        <v/>
      </c>
    </row>
    <row r="76" spans="1:25">
      <c r="A76" s="133"/>
      <c r="B76" s="13"/>
      <c r="C76" s="13"/>
      <c r="D76" s="13"/>
      <c r="E76" s="13"/>
      <c r="F76" s="13"/>
      <c r="G76" s="13"/>
      <c r="H76" s="13"/>
      <c r="I76" s="13"/>
      <c r="J76" s="57">
        <f t="shared" si="19"/>
        <v>0</v>
      </c>
      <c r="K76" s="91">
        <f>'Tube Bending'!E76</f>
        <v>0</v>
      </c>
      <c r="L76" s="77" t="str">
        <f ca="1">IFERROR(VLOOKUP('Tube Laser'!A76,Machining!A77:G167,7,FALSE),"")</f>
        <v/>
      </c>
      <c r="M76" s="77">
        <f>IFERROR(IF(Finishing!G77&gt;0,VLOOKUP('Tube Laser'!A76,Finishing!A77:G167,7,FALSE),0),"")</f>
        <v>0</v>
      </c>
      <c r="N76" s="56">
        <f ca="1">SUM(J76,K76,L76,M76,'FB Data'!AR76)</f>
        <v>0</v>
      </c>
      <c r="O76" s="54">
        <f t="shared" si="15"/>
        <v>0</v>
      </c>
      <c r="P76" s="14"/>
      <c r="Q76" s="5" t="str">
        <f t="shared" si="16"/>
        <v/>
      </c>
      <c r="R76" s="2" t="str">
        <f t="shared" si="20"/>
        <v/>
      </c>
      <c r="S76" s="2" t="str">
        <f t="shared" si="17"/>
        <v/>
      </c>
      <c r="T76" s="126"/>
      <c r="U76" s="21" t="str">
        <f ca="1">IFERROR(N76+S76+'FB Data'!AE76+'FB Data'!AF76+'FB Data'!AG76+'FB Data'!AH76+($AB$7/$B$99)+($AB$8/$B$99)+($AB$3/$B$99)+($AB$2/$B$99)+($AB$4/$B$99)+($AB$5/$B$99),"")</f>
        <v/>
      </c>
      <c r="V76" s="21" t="str">
        <f ca="1">IFERROR(ROUND(U76*'Quote Info'!$O$4+T76,2),"")</f>
        <v/>
      </c>
      <c r="W76" s="4" t="str">
        <f t="shared" ca="1" si="18"/>
        <v/>
      </c>
      <c r="X76" s="4" t="str">
        <f t="shared" ca="1" si="21"/>
        <v/>
      </c>
      <c r="Y76" s="16" t="str">
        <f ca="1">IFERROR(U76/((VLOOKUP(P76,'TL Data'!$A$2:$E$1226,3,FALSE))*'Tube Laser'!O76),"")</f>
        <v/>
      </c>
    </row>
    <row r="77" spans="1:25">
      <c r="A77" s="133"/>
      <c r="B77" s="13"/>
      <c r="C77" s="13"/>
      <c r="D77" s="13"/>
      <c r="E77" s="13"/>
      <c r="F77" s="13"/>
      <c r="G77" s="13"/>
      <c r="H77" s="13"/>
      <c r="I77" s="13"/>
      <c r="J77" s="57">
        <f t="shared" si="19"/>
        <v>0</v>
      </c>
      <c r="K77" s="91">
        <f>'Tube Bending'!E77</f>
        <v>0</v>
      </c>
      <c r="L77" s="77" t="str">
        <f ca="1">IFERROR(VLOOKUP('Tube Laser'!A77,Machining!A78:G168,7,FALSE),"")</f>
        <v/>
      </c>
      <c r="M77" s="77">
        <f>IFERROR(IF(Finishing!G78&gt;0,VLOOKUP('Tube Laser'!A77,Finishing!A78:G168,7,FALSE),0),"")</f>
        <v>0</v>
      </c>
      <c r="N77" s="56">
        <f ca="1">SUM(J77,K77,L77,M77,'FB Data'!AR77)</f>
        <v>0</v>
      </c>
      <c r="O77" s="54">
        <f t="shared" si="15"/>
        <v>0</v>
      </c>
      <c r="P77" s="14"/>
      <c r="Q77" s="5" t="str">
        <f t="shared" si="16"/>
        <v/>
      </c>
      <c r="R77" s="2" t="str">
        <f t="shared" si="20"/>
        <v/>
      </c>
      <c r="S77" s="2" t="str">
        <f t="shared" si="17"/>
        <v/>
      </c>
      <c r="T77" s="126"/>
      <c r="U77" s="21" t="str">
        <f ca="1">IFERROR(N77+S77+'FB Data'!AE77+'FB Data'!AF77+'FB Data'!AG77+'FB Data'!AH77+($AB$7/$B$99)+($AB$8/$B$99)+($AB$3/$B$99)+($AB$2/$B$99)+($AB$4/$B$99)+($AB$5/$B$99),"")</f>
        <v/>
      </c>
      <c r="V77" s="21" t="str">
        <f ca="1">IFERROR(ROUND(U77*'Quote Info'!$O$4+T77,2),"")</f>
        <v/>
      </c>
      <c r="W77" s="4" t="str">
        <f t="shared" ca="1" si="18"/>
        <v/>
      </c>
      <c r="X77" s="4" t="str">
        <f t="shared" ca="1" si="21"/>
        <v/>
      </c>
      <c r="Y77" s="16" t="str">
        <f ca="1">IFERROR(U77/((VLOOKUP(P77,'TL Data'!$A$2:$E$1226,3,FALSE))*'Tube Laser'!O77),"")</f>
        <v/>
      </c>
    </row>
    <row r="78" spans="1:25">
      <c r="A78" s="133"/>
      <c r="B78" s="13"/>
      <c r="C78" s="13"/>
      <c r="D78" s="13"/>
      <c r="E78" s="13"/>
      <c r="F78" s="13"/>
      <c r="G78" s="13"/>
      <c r="H78" s="13"/>
      <c r="I78" s="13"/>
      <c r="J78" s="57">
        <f t="shared" si="19"/>
        <v>0</v>
      </c>
      <c r="K78" s="91">
        <f>'Tube Bending'!E78</f>
        <v>0</v>
      </c>
      <c r="L78" s="77" t="str">
        <f ca="1">IFERROR(VLOOKUP('Tube Laser'!A78,Machining!A79:G169,7,FALSE),"")</f>
        <v/>
      </c>
      <c r="M78" s="77">
        <f>IFERROR(IF(Finishing!G79&gt;0,VLOOKUP('Tube Laser'!A78,Finishing!A79:G169,7,FALSE),0),"")</f>
        <v>0</v>
      </c>
      <c r="N78" s="56">
        <f ca="1">SUM(J78,K78,L78,M78,'FB Data'!AR78)</f>
        <v>0</v>
      </c>
      <c r="O78" s="54">
        <f t="shared" si="15"/>
        <v>0</v>
      </c>
      <c r="P78" s="14"/>
      <c r="Q78" s="5" t="str">
        <f t="shared" si="16"/>
        <v/>
      </c>
      <c r="R78" s="2" t="str">
        <f t="shared" si="20"/>
        <v/>
      </c>
      <c r="S78" s="2" t="str">
        <f t="shared" si="17"/>
        <v/>
      </c>
      <c r="T78" s="126"/>
      <c r="U78" s="21" t="str">
        <f ca="1">IFERROR(N78+S78+'FB Data'!AE78+'FB Data'!AF78+'FB Data'!AG78+'FB Data'!AH78+($AB$7/$B$99)+($AB$8/$B$99)+($AB$3/$B$99)+($AB$2/$B$99)+($AB$4/$B$99)+($AB$5/$B$99),"")</f>
        <v/>
      </c>
      <c r="V78" s="21" t="str">
        <f ca="1">IFERROR(ROUND(U78*'Quote Info'!$O$4+T78,2),"")</f>
        <v/>
      </c>
      <c r="W78" s="4" t="str">
        <f t="shared" ca="1" si="18"/>
        <v/>
      </c>
      <c r="X78" s="4" t="str">
        <f t="shared" ca="1" si="21"/>
        <v/>
      </c>
      <c r="Y78" s="16" t="str">
        <f ca="1">IFERROR(U78/((VLOOKUP(P78,'TL Data'!$A$2:$E$1226,3,FALSE))*'Tube Laser'!O78),"")</f>
        <v/>
      </c>
    </row>
    <row r="79" spans="1:25">
      <c r="A79" s="133"/>
      <c r="B79" s="13"/>
      <c r="C79" s="13"/>
      <c r="D79" s="13"/>
      <c r="E79" s="13"/>
      <c r="F79" s="13"/>
      <c r="G79" s="13"/>
      <c r="H79" s="13"/>
      <c r="I79" s="13"/>
      <c r="J79" s="57">
        <f t="shared" si="19"/>
        <v>0</v>
      </c>
      <c r="K79" s="91">
        <f>'Tube Bending'!E79</f>
        <v>0</v>
      </c>
      <c r="L79" s="77" t="str">
        <f ca="1">IFERROR(VLOOKUP('Tube Laser'!A79,Machining!A80:G170,7,FALSE),"")</f>
        <v/>
      </c>
      <c r="M79" s="77">
        <f>IFERROR(IF(Finishing!G80&gt;0,VLOOKUP('Tube Laser'!A79,Finishing!A80:G170,7,FALSE),0),"")</f>
        <v>0</v>
      </c>
      <c r="N79" s="56">
        <f ca="1">SUM(J79,K79,L79,M79,'FB Data'!AR79)</f>
        <v>0</v>
      </c>
      <c r="O79" s="54">
        <f t="shared" si="15"/>
        <v>0</v>
      </c>
      <c r="P79" s="14"/>
      <c r="Q79" s="5" t="str">
        <f t="shared" si="16"/>
        <v/>
      </c>
      <c r="R79" s="2" t="str">
        <f t="shared" si="20"/>
        <v/>
      </c>
      <c r="S79" s="2" t="str">
        <f t="shared" si="17"/>
        <v/>
      </c>
      <c r="T79" s="126"/>
      <c r="U79" s="21" t="str">
        <f ca="1">IFERROR(N79+S79+'FB Data'!AE79+'FB Data'!AF79+'FB Data'!AG79+'FB Data'!AH79+($AB$7/$B$99)+($AB$8/$B$99)+($AB$3/$B$99)+($AB$2/$B$99)+($AB$4/$B$99)+($AB$5/$B$99),"")</f>
        <v/>
      </c>
      <c r="V79" s="21" t="str">
        <f ca="1">IFERROR(ROUND(U79*'Quote Info'!$O$4+T79,2),"")</f>
        <v/>
      </c>
      <c r="W79" s="4" t="str">
        <f t="shared" ca="1" si="18"/>
        <v/>
      </c>
      <c r="X79" s="4" t="str">
        <f t="shared" ca="1" si="21"/>
        <v/>
      </c>
      <c r="Y79" s="16" t="str">
        <f ca="1">IFERROR(U79/((VLOOKUP(P79,'TL Data'!$A$2:$E$1226,3,FALSE))*'Tube Laser'!O79),"")</f>
        <v/>
      </c>
    </row>
    <row r="80" spans="1:25">
      <c r="A80" s="133"/>
      <c r="B80" s="13"/>
      <c r="C80" s="13"/>
      <c r="D80" s="13"/>
      <c r="E80" s="13"/>
      <c r="F80" s="13"/>
      <c r="G80" s="13"/>
      <c r="H80" s="13"/>
      <c r="I80" s="13"/>
      <c r="J80" s="57">
        <f t="shared" si="19"/>
        <v>0</v>
      </c>
      <c r="K80" s="91">
        <f>'Tube Bending'!E80</f>
        <v>0</v>
      </c>
      <c r="L80" s="77" t="str">
        <f ca="1">IFERROR(VLOOKUP('Tube Laser'!A80,Machining!A81:G171,7,FALSE),"")</f>
        <v/>
      </c>
      <c r="M80" s="77">
        <f>IFERROR(IF(Finishing!G81&gt;0,VLOOKUP('Tube Laser'!A80,Finishing!A81:G171,7,FALSE),0),"")</f>
        <v>0</v>
      </c>
      <c r="N80" s="56">
        <f ca="1">SUM(J80,K80,L80,M80,'FB Data'!AR80)</f>
        <v>0</v>
      </c>
      <c r="O80" s="54">
        <f t="shared" si="15"/>
        <v>0</v>
      </c>
      <c r="P80" s="14"/>
      <c r="Q80" s="5" t="str">
        <f t="shared" si="16"/>
        <v/>
      </c>
      <c r="R80" s="2" t="str">
        <f t="shared" si="20"/>
        <v/>
      </c>
      <c r="S80" s="2" t="str">
        <f t="shared" si="17"/>
        <v/>
      </c>
      <c r="T80" s="126"/>
      <c r="U80" s="21" t="str">
        <f ca="1">IFERROR(N80+S80+'FB Data'!AE80+'FB Data'!AF80+'FB Data'!AG80+'FB Data'!AH80+($AB$7/$B$99)+($AB$8/$B$99)+($AB$3/$B$99)+($AB$2/$B$99)+($AB$4/$B$99)+($AB$5/$B$99),"")</f>
        <v/>
      </c>
      <c r="V80" s="21" t="str">
        <f ca="1">IFERROR(ROUND(U80*'Quote Info'!$O$4+T80,2),"")</f>
        <v/>
      </c>
      <c r="W80" s="4" t="str">
        <f t="shared" ca="1" si="18"/>
        <v/>
      </c>
      <c r="X80" s="4" t="str">
        <f t="shared" ca="1" si="21"/>
        <v/>
      </c>
      <c r="Y80" s="16" t="str">
        <f ca="1">IFERROR(U80/((VLOOKUP(P80,'TL Data'!$A$2:$E$1226,3,FALSE))*'Tube Laser'!O80),"")</f>
        <v/>
      </c>
    </row>
    <row r="81" spans="1:25">
      <c r="A81" s="133"/>
      <c r="B81" s="13"/>
      <c r="C81" s="13"/>
      <c r="D81" s="13"/>
      <c r="E81" s="13"/>
      <c r="F81" s="13"/>
      <c r="G81" s="13"/>
      <c r="H81" s="13"/>
      <c r="I81" s="13"/>
      <c r="J81" s="57">
        <f t="shared" si="19"/>
        <v>0</v>
      </c>
      <c r="K81" s="91">
        <f>'Tube Bending'!E81</f>
        <v>0</v>
      </c>
      <c r="L81" s="77" t="str">
        <f ca="1">IFERROR(VLOOKUP('Tube Laser'!A81,Machining!A82:G172,7,FALSE),"")</f>
        <v/>
      </c>
      <c r="M81" s="77">
        <f>IFERROR(IF(Finishing!G82&gt;0,VLOOKUP('Tube Laser'!A81,Finishing!A82:G172,7,FALSE),0),"")</f>
        <v>0</v>
      </c>
      <c r="N81" s="56">
        <f ca="1">SUM(J81,K81,L81,M81,'FB Data'!AR81)</f>
        <v>0</v>
      </c>
      <c r="O81" s="54">
        <f t="shared" si="15"/>
        <v>0</v>
      </c>
      <c r="P81" s="14"/>
      <c r="Q81" s="5" t="str">
        <f t="shared" si="16"/>
        <v/>
      </c>
      <c r="R81" s="2" t="str">
        <f t="shared" si="20"/>
        <v/>
      </c>
      <c r="S81" s="2" t="str">
        <f t="shared" si="17"/>
        <v/>
      </c>
      <c r="T81" s="126"/>
      <c r="U81" s="21" t="str">
        <f ca="1">IFERROR(N81+S81+'FB Data'!AE81+'FB Data'!AF81+'FB Data'!AG81+'FB Data'!AH81+($AB$7/$B$99)+($AB$8/$B$99)+($AB$3/$B$99)+($AB$2/$B$99)+($AB$4/$B$99)+($AB$5/$B$99),"")</f>
        <v/>
      </c>
      <c r="V81" s="21" t="str">
        <f ca="1">IFERROR(ROUND(U81*'Quote Info'!$O$4+T81,2),"")</f>
        <v/>
      </c>
      <c r="W81" s="4" t="str">
        <f t="shared" ca="1" si="18"/>
        <v/>
      </c>
      <c r="X81" s="4" t="str">
        <f t="shared" ca="1" si="21"/>
        <v/>
      </c>
      <c r="Y81" s="16" t="str">
        <f ca="1">IFERROR(U81/((VLOOKUP(P81,'TL Data'!$A$2:$E$1226,3,FALSE))*'Tube Laser'!O81),"")</f>
        <v/>
      </c>
    </row>
    <row r="82" spans="1:25">
      <c r="A82" s="133"/>
      <c r="B82" s="13"/>
      <c r="C82" s="13"/>
      <c r="D82" s="13"/>
      <c r="E82" s="13"/>
      <c r="F82" s="13"/>
      <c r="G82" s="13"/>
      <c r="H82" s="13"/>
      <c r="I82" s="13"/>
      <c r="J82" s="57">
        <f t="shared" si="19"/>
        <v>0</v>
      </c>
      <c r="K82" s="91">
        <f>'Tube Bending'!E82</f>
        <v>0</v>
      </c>
      <c r="L82" s="77" t="str">
        <f ca="1">IFERROR(VLOOKUP('Tube Laser'!A82,Machining!A83:G173,7,FALSE),"")</f>
        <v/>
      </c>
      <c r="M82" s="77">
        <f>IFERROR(IF(Finishing!G83&gt;0,VLOOKUP('Tube Laser'!A82,Finishing!A83:G173,7,FALSE),0),"")</f>
        <v>0</v>
      </c>
      <c r="N82" s="56">
        <f ca="1">SUM(J82,K82,L82,M82,'FB Data'!AR82)</f>
        <v>0</v>
      </c>
      <c r="O82" s="54">
        <f t="shared" si="15"/>
        <v>0</v>
      </c>
      <c r="P82" s="14"/>
      <c r="Q82" s="5" t="str">
        <f t="shared" si="16"/>
        <v/>
      </c>
      <c r="R82" s="2" t="str">
        <f t="shared" si="20"/>
        <v/>
      </c>
      <c r="S82" s="2" t="str">
        <f t="shared" si="17"/>
        <v/>
      </c>
      <c r="T82" s="126"/>
      <c r="U82" s="21" t="str">
        <f ca="1">IFERROR(N82+S82+'FB Data'!AE82+'FB Data'!AF82+'FB Data'!AG82+'FB Data'!AH82+($AB$7/$B$99)+($AB$8/$B$99)+($AB$3/$B$99)+($AB$2/$B$99)+($AB$4/$B$99)+($AB$5/$B$99),"")</f>
        <v/>
      </c>
      <c r="V82" s="21" t="str">
        <f ca="1">IFERROR(ROUND(U82*'Quote Info'!$O$4+T82,2),"")</f>
        <v/>
      </c>
      <c r="W82" s="4" t="str">
        <f t="shared" ca="1" si="18"/>
        <v/>
      </c>
      <c r="X82" s="4" t="str">
        <f t="shared" ca="1" si="21"/>
        <v/>
      </c>
      <c r="Y82" s="16" t="str">
        <f ca="1">IFERROR(U82/((VLOOKUP(P82,'TL Data'!$A$2:$E$1226,3,FALSE))*'Tube Laser'!O82),"")</f>
        <v/>
      </c>
    </row>
    <row r="83" spans="1:25">
      <c r="A83" s="133"/>
      <c r="B83" s="13"/>
      <c r="C83" s="13"/>
      <c r="D83" s="13"/>
      <c r="E83" s="13"/>
      <c r="F83" s="13"/>
      <c r="G83" s="13"/>
      <c r="H83" s="13"/>
      <c r="I83" s="13"/>
      <c r="J83" s="57">
        <f t="shared" si="19"/>
        <v>0</v>
      </c>
      <c r="K83" s="91">
        <f>'Tube Bending'!E83</f>
        <v>0</v>
      </c>
      <c r="L83" s="77" t="str">
        <f ca="1">IFERROR(VLOOKUP('Tube Laser'!A83,Machining!A84:G174,7,FALSE),"")</f>
        <v/>
      </c>
      <c r="M83" s="77">
        <f>IFERROR(IF(Finishing!G84&gt;0,VLOOKUP('Tube Laser'!A83,Finishing!A84:G174,7,FALSE),0),"")</f>
        <v>0</v>
      </c>
      <c r="N83" s="56">
        <f ca="1">SUM(J83,K83,L83,M83,'FB Data'!AR83)</f>
        <v>0</v>
      </c>
      <c r="O83" s="54">
        <f t="shared" si="15"/>
        <v>0</v>
      </c>
      <c r="P83" s="14"/>
      <c r="Q83" s="5" t="str">
        <f t="shared" si="16"/>
        <v/>
      </c>
      <c r="R83" s="2" t="str">
        <f t="shared" si="20"/>
        <v/>
      </c>
      <c r="S83" s="2" t="str">
        <f t="shared" si="17"/>
        <v/>
      </c>
      <c r="T83" s="126"/>
      <c r="U83" s="21" t="str">
        <f ca="1">IFERROR(N83+S83+'FB Data'!AE83+'FB Data'!AF83+'FB Data'!AG83+'FB Data'!AH83+($AB$7/$B$99)+($AB$8/$B$99)+($AB$3/$B$99)+($AB$2/$B$99)+($AB$4/$B$99)+($AB$5/$B$99),"")</f>
        <v/>
      </c>
      <c r="V83" s="21" t="str">
        <f ca="1">IFERROR(ROUND(U83*'Quote Info'!$O$4+T83,2),"")</f>
        <v/>
      </c>
      <c r="W83" s="4" t="str">
        <f t="shared" ca="1" si="18"/>
        <v/>
      </c>
      <c r="X83" s="4" t="str">
        <f t="shared" ca="1" si="21"/>
        <v/>
      </c>
      <c r="Y83" s="16" t="str">
        <f ca="1">IFERROR(U83/((VLOOKUP(P83,'TL Data'!$A$2:$E$1226,3,FALSE))*'Tube Laser'!O83),"")</f>
        <v/>
      </c>
    </row>
    <row r="84" spans="1:25">
      <c r="A84" s="133"/>
      <c r="B84" s="13"/>
      <c r="C84" s="13"/>
      <c r="D84" s="13"/>
      <c r="E84" s="13"/>
      <c r="F84" s="13"/>
      <c r="G84" s="13"/>
      <c r="H84" s="13"/>
      <c r="I84" s="13"/>
      <c r="J84" s="57">
        <f t="shared" si="19"/>
        <v>0</v>
      </c>
      <c r="K84" s="91">
        <f>'Tube Bending'!E84</f>
        <v>0</v>
      </c>
      <c r="L84" s="77" t="str">
        <f ca="1">IFERROR(VLOOKUP('Tube Laser'!A84,Machining!A85:G175,7,FALSE),"")</f>
        <v/>
      </c>
      <c r="M84" s="77">
        <f>IFERROR(IF(Finishing!G85&gt;0,VLOOKUP('Tube Laser'!A84,Finishing!A85:G175,7,FALSE),0),"")</f>
        <v>0</v>
      </c>
      <c r="N84" s="56">
        <f ca="1">SUM(J84,K84,L84,M84,'FB Data'!AR84)</f>
        <v>0</v>
      </c>
      <c r="O84" s="54">
        <f t="shared" si="15"/>
        <v>0</v>
      </c>
      <c r="P84" s="14"/>
      <c r="Q84" s="5" t="str">
        <f t="shared" si="16"/>
        <v/>
      </c>
      <c r="R84" s="2" t="str">
        <f t="shared" si="20"/>
        <v/>
      </c>
      <c r="S84" s="2" t="str">
        <f t="shared" si="17"/>
        <v/>
      </c>
      <c r="T84" s="126"/>
      <c r="U84" s="21" t="str">
        <f ca="1">IFERROR(N84+S84+'FB Data'!AE84+'FB Data'!AF84+'FB Data'!AG84+'FB Data'!AH84+($AB$7/$B$99)+($AB$8/$B$99)+($AB$3/$B$99)+($AB$2/$B$99)+($AB$4/$B$99)+($AB$5/$B$99),"")</f>
        <v/>
      </c>
      <c r="V84" s="21" t="str">
        <f ca="1">IFERROR(ROUND(U84*'Quote Info'!$O$4+T84,2),"")</f>
        <v/>
      </c>
      <c r="W84" s="4" t="str">
        <f t="shared" ca="1" si="18"/>
        <v/>
      </c>
      <c r="X84" s="4" t="str">
        <f t="shared" ca="1" si="21"/>
        <v/>
      </c>
      <c r="Y84" s="16" t="str">
        <f ca="1">IFERROR(U84/((VLOOKUP(P84,'TL Data'!$A$2:$E$1226,3,FALSE))*'Tube Laser'!O84),"")</f>
        <v/>
      </c>
    </row>
    <row r="85" spans="1:25">
      <c r="A85" s="133"/>
      <c r="B85" s="13"/>
      <c r="C85" s="13"/>
      <c r="D85" s="13"/>
      <c r="E85" s="13"/>
      <c r="F85" s="13"/>
      <c r="G85" s="13"/>
      <c r="H85" s="13"/>
      <c r="I85" s="13"/>
      <c r="J85" s="57">
        <f t="shared" si="19"/>
        <v>0</v>
      </c>
      <c r="K85" s="91">
        <f>'Tube Bending'!E85</f>
        <v>0</v>
      </c>
      <c r="L85" s="77" t="str">
        <f ca="1">IFERROR(VLOOKUP('Tube Laser'!A85,Machining!A86:G176,7,FALSE),"")</f>
        <v/>
      </c>
      <c r="M85" s="77">
        <f>IFERROR(IF(Finishing!G86&gt;0,VLOOKUP('Tube Laser'!A85,Finishing!A86:G176,7,FALSE),0),"")</f>
        <v>0</v>
      </c>
      <c r="N85" s="56">
        <f ca="1">SUM(J85,K85,L85,M85,'FB Data'!AR85)</f>
        <v>0</v>
      </c>
      <c r="O85" s="54">
        <f t="shared" si="15"/>
        <v>0</v>
      </c>
      <c r="P85" s="14"/>
      <c r="Q85" s="5" t="str">
        <f t="shared" si="16"/>
        <v/>
      </c>
      <c r="R85" s="2" t="str">
        <f t="shared" si="20"/>
        <v/>
      </c>
      <c r="S85" s="2" t="str">
        <f t="shared" si="17"/>
        <v/>
      </c>
      <c r="T85" s="126"/>
      <c r="U85" s="21" t="str">
        <f ca="1">IFERROR(N85+S85+'FB Data'!AE85+'FB Data'!AF85+'FB Data'!AG85+'FB Data'!AH85+($AB$7/$B$99)+($AB$8/$B$99)+($AB$3/$B$99)+($AB$2/$B$99)+($AB$4/$B$99)+($AB$5/$B$99),"")</f>
        <v/>
      </c>
      <c r="V85" s="21" t="str">
        <f ca="1">IFERROR(ROUND(U85*'Quote Info'!$O$4+T85,2),"")</f>
        <v/>
      </c>
      <c r="W85" s="4" t="str">
        <f t="shared" ca="1" si="18"/>
        <v/>
      </c>
      <c r="X85" s="4" t="str">
        <f t="shared" ca="1" si="21"/>
        <v/>
      </c>
      <c r="Y85" s="16" t="str">
        <f ca="1">IFERROR(U85/((VLOOKUP(P85,'TL Data'!$A$2:$E$1226,3,FALSE))*'Tube Laser'!O85),"")</f>
        <v/>
      </c>
    </row>
    <row r="86" spans="1:25">
      <c r="A86" s="133"/>
      <c r="B86" s="13"/>
      <c r="C86" s="13"/>
      <c r="D86" s="13"/>
      <c r="E86" s="13"/>
      <c r="F86" s="13"/>
      <c r="G86" s="13"/>
      <c r="H86" s="13"/>
      <c r="I86" s="13"/>
      <c r="J86" s="57">
        <f t="shared" si="19"/>
        <v>0</v>
      </c>
      <c r="K86" s="91">
        <f>'Tube Bending'!E86</f>
        <v>0</v>
      </c>
      <c r="L86" s="77" t="str">
        <f ca="1">IFERROR(VLOOKUP('Tube Laser'!A86,Machining!A87:G177,7,FALSE),"")</f>
        <v/>
      </c>
      <c r="M86" s="77">
        <f>IFERROR(IF(Finishing!G87&gt;0,VLOOKUP('Tube Laser'!A86,Finishing!A87:G177,7,FALSE),0),"")</f>
        <v>0</v>
      </c>
      <c r="N86" s="56">
        <f ca="1">SUM(J86,K86,L86,M86,'FB Data'!AR86)</f>
        <v>0</v>
      </c>
      <c r="O86" s="54">
        <f t="shared" si="15"/>
        <v>0</v>
      </c>
      <c r="P86" s="14"/>
      <c r="Q86" s="5" t="str">
        <f t="shared" si="16"/>
        <v/>
      </c>
      <c r="R86" s="2" t="str">
        <f t="shared" si="20"/>
        <v/>
      </c>
      <c r="S86" s="2" t="str">
        <f t="shared" si="17"/>
        <v/>
      </c>
      <c r="T86" s="126"/>
      <c r="U86" s="21" t="str">
        <f ca="1">IFERROR(N86+S86+'FB Data'!AE86+'FB Data'!AF86+'FB Data'!AG86+'FB Data'!AH86+($AB$7/$B$99)+($AB$8/$B$99)+($AB$3/$B$99)+($AB$2/$B$99)+($AB$4/$B$99)+($AB$5/$B$99),"")</f>
        <v/>
      </c>
      <c r="V86" s="21" t="str">
        <f ca="1">IFERROR(ROUND(U86*'Quote Info'!$O$4+T86,2),"")</f>
        <v/>
      </c>
      <c r="W86" s="4" t="str">
        <f t="shared" ca="1" si="18"/>
        <v/>
      </c>
      <c r="X86" s="4" t="str">
        <f t="shared" ca="1" si="21"/>
        <v/>
      </c>
      <c r="Y86" s="16" t="str">
        <f ca="1">IFERROR(U86/((VLOOKUP(P86,'TL Data'!$A$2:$E$1226,3,FALSE))*'Tube Laser'!O86),"")</f>
        <v/>
      </c>
    </row>
    <row r="87" spans="1:25">
      <c r="A87" s="133"/>
      <c r="B87" s="13"/>
      <c r="C87" s="13"/>
      <c r="D87" s="13"/>
      <c r="E87" s="13"/>
      <c r="F87" s="13"/>
      <c r="G87" s="13"/>
      <c r="H87" s="13"/>
      <c r="I87" s="13"/>
      <c r="J87" s="57">
        <f t="shared" si="19"/>
        <v>0</v>
      </c>
      <c r="K87" s="91">
        <f>'Tube Bending'!E87</f>
        <v>0</v>
      </c>
      <c r="L87" s="77" t="str">
        <f ca="1">IFERROR(VLOOKUP('Tube Laser'!A87,Machining!A88:G178,7,FALSE),"")</f>
        <v/>
      </c>
      <c r="M87" s="77">
        <f>IFERROR(IF(Finishing!G88&gt;0,VLOOKUP('Tube Laser'!A87,Finishing!A88:G178,7,FALSE),0),"")</f>
        <v>0</v>
      </c>
      <c r="N87" s="56">
        <f ca="1">SUM(J87,K87,L87,M87,'FB Data'!AR87)</f>
        <v>0</v>
      </c>
      <c r="O87" s="54">
        <f t="shared" si="15"/>
        <v>0</v>
      </c>
      <c r="P87" s="14"/>
      <c r="Q87" s="5" t="str">
        <f t="shared" si="16"/>
        <v/>
      </c>
      <c r="R87" s="2" t="str">
        <f t="shared" si="20"/>
        <v/>
      </c>
      <c r="S87" s="2" t="str">
        <f t="shared" si="17"/>
        <v/>
      </c>
      <c r="T87" s="126"/>
      <c r="U87" s="21" t="str">
        <f ca="1">IFERROR(N87+S87+'FB Data'!AE87+'FB Data'!AF87+'FB Data'!AG87+'FB Data'!AH87+($AB$7/$B$99)+($AB$8/$B$99)+($AB$3/$B$99)+($AB$2/$B$99)+($AB$4/$B$99)+($AB$5/$B$99),"")</f>
        <v/>
      </c>
      <c r="V87" s="21" t="str">
        <f ca="1">IFERROR(ROUND(U87*'Quote Info'!$O$4+T87,2),"")</f>
        <v/>
      </c>
      <c r="W87" s="4" t="str">
        <f t="shared" ca="1" si="18"/>
        <v/>
      </c>
      <c r="X87" s="4" t="str">
        <f t="shared" ca="1" si="21"/>
        <v/>
      </c>
      <c r="Y87" s="16" t="str">
        <f ca="1">IFERROR(U87/((VLOOKUP(P87,'TL Data'!$A$2:$E$1226,3,FALSE))*'Tube Laser'!O87),"")</f>
        <v/>
      </c>
    </row>
    <row r="88" spans="1:25">
      <c r="A88" s="133"/>
      <c r="B88" s="13"/>
      <c r="C88" s="13"/>
      <c r="D88" s="13"/>
      <c r="E88" s="13"/>
      <c r="F88" s="13"/>
      <c r="G88" s="13"/>
      <c r="H88" s="13"/>
      <c r="I88" s="13"/>
      <c r="J88" s="57">
        <f t="shared" si="19"/>
        <v>0</v>
      </c>
      <c r="K88" s="91">
        <f>'Tube Bending'!E88</f>
        <v>0</v>
      </c>
      <c r="L88" s="77" t="str">
        <f ca="1">IFERROR(VLOOKUP('Tube Laser'!A88,Machining!A89:G179,7,FALSE),"")</f>
        <v/>
      </c>
      <c r="M88" s="77">
        <f>IFERROR(IF(Finishing!G89&gt;0,VLOOKUP('Tube Laser'!A88,Finishing!A89:G179,7,FALSE),0),"")</f>
        <v>0</v>
      </c>
      <c r="N88" s="56">
        <f ca="1">SUM(J88,K88,L88,M88,'FB Data'!AR88)</f>
        <v>0</v>
      </c>
      <c r="O88" s="54">
        <f t="shared" si="15"/>
        <v>0</v>
      </c>
      <c r="P88" s="14"/>
      <c r="Q88" s="5" t="str">
        <f t="shared" si="16"/>
        <v/>
      </c>
      <c r="R88" s="2" t="str">
        <f t="shared" si="20"/>
        <v/>
      </c>
      <c r="S88" s="2" t="str">
        <f t="shared" si="17"/>
        <v/>
      </c>
      <c r="T88" s="126"/>
      <c r="U88" s="21" t="str">
        <f ca="1">IFERROR(N88+S88+'FB Data'!AE88+'FB Data'!AF88+'FB Data'!AG88+'FB Data'!AH88+($AB$7/$B$99)+($AB$8/$B$99)+($AB$3/$B$99)+($AB$2/$B$99)+($AB$4/$B$99)+($AB$5/$B$99),"")</f>
        <v/>
      </c>
      <c r="V88" s="21" t="str">
        <f ca="1">IFERROR(ROUND(U88*'Quote Info'!$O$4+T88,2),"")</f>
        <v/>
      </c>
      <c r="W88" s="4" t="str">
        <f t="shared" ca="1" si="18"/>
        <v/>
      </c>
      <c r="X88" s="4" t="str">
        <f t="shared" ca="1" si="21"/>
        <v/>
      </c>
      <c r="Y88" s="16" t="str">
        <f ca="1">IFERROR(U88/((VLOOKUP(P88,'TL Data'!$A$2:$E$1226,3,FALSE))*'Tube Laser'!O88),"")</f>
        <v/>
      </c>
    </row>
    <row r="89" spans="1:25">
      <c r="A89" s="133"/>
      <c r="B89" s="13"/>
      <c r="C89" s="13"/>
      <c r="D89" s="13"/>
      <c r="E89" s="13"/>
      <c r="F89" s="13"/>
      <c r="G89" s="13"/>
      <c r="H89" s="13"/>
      <c r="I89" s="13"/>
      <c r="J89" s="57">
        <f t="shared" si="19"/>
        <v>0</v>
      </c>
      <c r="K89" s="91">
        <f>'Tube Bending'!E89</f>
        <v>0</v>
      </c>
      <c r="L89" s="77" t="str">
        <f ca="1">IFERROR(VLOOKUP('Tube Laser'!A89,Machining!A90:G180,7,FALSE),"")</f>
        <v/>
      </c>
      <c r="M89" s="77">
        <f>IFERROR(IF(Finishing!G90&gt;0,VLOOKUP('Tube Laser'!A89,Finishing!A90:G180,7,FALSE),0),"")</f>
        <v>0</v>
      </c>
      <c r="N89" s="56">
        <f ca="1">SUM(J89,K89,L89,M89,'FB Data'!AR89)</f>
        <v>0</v>
      </c>
      <c r="O89" s="54">
        <f t="shared" si="15"/>
        <v>0</v>
      </c>
      <c r="P89" s="14"/>
      <c r="Q89" s="5" t="str">
        <f t="shared" si="16"/>
        <v/>
      </c>
      <c r="R89" s="2" t="str">
        <f t="shared" si="20"/>
        <v/>
      </c>
      <c r="S89" s="2" t="str">
        <f t="shared" si="17"/>
        <v/>
      </c>
      <c r="T89" s="126"/>
      <c r="U89" s="21" t="str">
        <f ca="1">IFERROR(N89+S89+'FB Data'!AE89+'FB Data'!AF89+'FB Data'!AG89+'FB Data'!AH89+($AB$7/$B$99)+($AB$8/$B$99)+($AB$3/$B$99)+($AB$2/$B$99)+($AB$4/$B$99)+($AB$5/$B$99),"")</f>
        <v/>
      </c>
      <c r="V89" s="21" t="str">
        <f ca="1">IFERROR(ROUND(U89*'Quote Info'!$O$4+T89,2),"")</f>
        <v/>
      </c>
      <c r="W89" s="4" t="str">
        <f t="shared" ca="1" si="18"/>
        <v/>
      </c>
      <c r="X89" s="4" t="str">
        <f t="shared" ca="1" si="21"/>
        <v/>
      </c>
      <c r="Y89" s="16" t="str">
        <f ca="1">IFERROR(U89/((VLOOKUP(P89,'TL Data'!$A$2:$E$1226,3,FALSE))*'Tube Laser'!O89),"")</f>
        <v/>
      </c>
    </row>
    <row r="90" spans="1:25">
      <c r="A90" s="133"/>
      <c r="B90" s="13"/>
      <c r="C90" s="13"/>
      <c r="D90" s="13"/>
      <c r="E90" s="13"/>
      <c r="F90" s="13"/>
      <c r="G90" s="13"/>
      <c r="H90" s="13"/>
      <c r="I90" s="13"/>
      <c r="J90" s="57">
        <f t="shared" si="19"/>
        <v>0</v>
      </c>
      <c r="K90" s="91">
        <f>'Tube Bending'!E90</f>
        <v>0</v>
      </c>
      <c r="L90" s="77" t="str">
        <f ca="1">IFERROR(VLOOKUP('Tube Laser'!A90,Machining!A91:G181,7,FALSE),"")</f>
        <v/>
      </c>
      <c r="M90" s="77">
        <f>IFERROR(IF(Finishing!G91&gt;0,VLOOKUP('Tube Laser'!A90,Finishing!A91:G181,7,FALSE),0),"")</f>
        <v>0</v>
      </c>
      <c r="N90" s="56">
        <f ca="1">SUM(J90,K90,L90,M90,'FB Data'!AR90)</f>
        <v>0</v>
      </c>
      <c r="O90" s="54">
        <f t="shared" si="15"/>
        <v>0</v>
      </c>
      <c r="P90" s="14"/>
      <c r="Q90" s="5" t="str">
        <f t="shared" si="16"/>
        <v/>
      </c>
      <c r="R90" s="2" t="str">
        <f t="shared" si="20"/>
        <v/>
      </c>
      <c r="S90" s="2" t="str">
        <f t="shared" si="17"/>
        <v/>
      </c>
      <c r="T90" s="126"/>
      <c r="U90" s="21" t="str">
        <f ca="1">IFERROR(N90+S90+'FB Data'!AE90+'FB Data'!AF90+'FB Data'!AG90+'FB Data'!AH90+($AB$7/$B$99)+($AB$8/$B$99)+($AB$3/$B$99)+($AB$2/$B$99)+($AB$4/$B$99)+($AB$5/$B$99),"")</f>
        <v/>
      </c>
      <c r="V90" s="21" t="str">
        <f ca="1">IFERROR(ROUND(U90*'Quote Info'!$O$4+T90,2),"")</f>
        <v/>
      </c>
      <c r="W90" s="4" t="str">
        <f t="shared" ca="1" si="18"/>
        <v/>
      </c>
      <c r="X90" s="4" t="str">
        <f t="shared" ca="1" si="21"/>
        <v/>
      </c>
      <c r="Y90" s="16" t="str">
        <f ca="1">IFERROR(U90/((VLOOKUP(P90,'TL Data'!$A$2:$E$1226,3,FALSE))*'Tube Laser'!O90),"")</f>
        <v/>
      </c>
    </row>
    <row r="91" spans="1:25">
      <c r="A91" s="133"/>
      <c r="B91" s="13"/>
      <c r="C91" s="13"/>
      <c r="D91" s="13"/>
      <c r="E91" s="13"/>
      <c r="F91" s="13"/>
      <c r="G91" s="13"/>
      <c r="H91" s="13"/>
      <c r="I91" s="13"/>
      <c r="J91" s="57">
        <f t="shared" si="19"/>
        <v>0</v>
      </c>
      <c r="K91" s="91">
        <f>'Tube Bending'!E91</f>
        <v>0</v>
      </c>
      <c r="L91" s="77" t="str">
        <f ca="1">IFERROR(VLOOKUP('Tube Laser'!A91,Machining!A92:G182,7,FALSE),"")</f>
        <v/>
      </c>
      <c r="M91" s="77">
        <f>IFERROR(IF(Finishing!G92&gt;0,VLOOKUP('Tube Laser'!A91,Finishing!A92:G182,7,FALSE),0),"")</f>
        <v>0</v>
      </c>
      <c r="N91" s="56">
        <f ca="1">SUM(J91,K91,L91,M91,'FB Data'!AR91)</f>
        <v>0</v>
      </c>
      <c r="O91" s="54">
        <f t="shared" si="15"/>
        <v>0</v>
      </c>
      <c r="P91" s="14"/>
      <c r="Q91" s="5" t="str">
        <f t="shared" si="16"/>
        <v/>
      </c>
      <c r="R91" s="2" t="str">
        <f t="shared" si="20"/>
        <v/>
      </c>
      <c r="S91" s="2" t="str">
        <f t="shared" si="17"/>
        <v/>
      </c>
      <c r="T91" s="126"/>
      <c r="U91" s="21" t="str">
        <f ca="1">IFERROR(N91+S91+'FB Data'!AE91+'FB Data'!AF91+'FB Data'!AG91+'FB Data'!AH91+($AB$7/$B$99)+($AB$8/$B$99)+($AB$3/$B$99)+($AB$2/$B$99)+($AB$4/$B$99)+($AB$5/$B$99),"")</f>
        <v/>
      </c>
      <c r="V91" s="21" t="str">
        <f ca="1">IFERROR(ROUND(U91*'Quote Info'!$O$4+T91,2),"")</f>
        <v/>
      </c>
      <c r="W91" s="4" t="str">
        <f t="shared" ca="1" si="18"/>
        <v/>
      </c>
      <c r="X91" s="4" t="str">
        <f t="shared" ca="1" si="21"/>
        <v/>
      </c>
      <c r="Y91" s="16" t="str">
        <f ca="1">IFERROR(U91/((VLOOKUP(P91,'TL Data'!$A$2:$E$1226,3,FALSE))*'Tube Laser'!O91),"")</f>
        <v/>
      </c>
    </row>
    <row r="92" spans="1:25">
      <c r="A92" s="133"/>
      <c r="B92" s="13"/>
      <c r="C92" s="13"/>
      <c r="D92" s="13"/>
      <c r="E92" s="13"/>
      <c r="F92" s="13"/>
      <c r="G92" s="13"/>
      <c r="H92" s="13"/>
      <c r="I92" s="13"/>
      <c r="J92" s="57">
        <f t="shared" si="19"/>
        <v>0</v>
      </c>
      <c r="K92" s="91">
        <f>'Tube Bending'!E92</f>
        <v>0</v>
      </c>
      <c r="L92" s="77" t="str">
        <f ca="1">IFERROR(VLOOKUP('Tube Laser'!A92,Machining!A93:G183,7,FALSE),"")</f>
        <v/>
      </c>
      <c r="M92" s="77">
        <f>IFERROR(IF(Finishing!G93&gt;0,VLOOKUP('Tube Laser'!A92,Finishing!A93:G183,7,FALSE),0),"")</f>
        <v>0</v>
      </c>
      <c r="N92" s="56">
        <f ca="1">SUM(J92,K92,L92,M92,'FB Data'!AR92)</f>
        <v>0</v>
      </c>
      <c r="O92" s="54">
        <f t="shared" si="15"/>
        <v>0</v>
      </c>
      <c r="P92" s="14"/>
      <c r="Q92" s="5" t="str">
        <f t="shared" si="16"/>
        <v/>
      </c>
      <c r="R92" s="2" t="str">
        <f t="shared" si="20"/>
        <v/>
      </c>
      <c r="S92" s="2" t="str">
        <f t="shared" si="17"/>
        <v/>
      </c>
      <c r="T92" s="126"/>
      <c r="U92" s="21" t="str">
        <f ca="1">IFERROR(N92+S92+'FB Data'!AE92+'FB Data'!AF92+'FB Data'!AG92+'FB Data'!AH92+($AB$7/$B$99)+($AB$8/$B$99)+($AB$3/$B$99)+($AB$2/$B$99)+($AB$4/$B$99)+($AB$5/$B$99),"")</f>
        <v/>
      </c>
      <c r="V92" s="21" t="str">
        <f ca="1">IFERROR(ROUND(U92*'Quote Info'!$O$4+T92,2),"")</f>
        <v/>
      </c>
      <c r="W92" s="4" t="str">
        <f t="shared" ca="1" si="18"/>
        <v/>
      </c>
      <c r="X92" s="4" t="str">
        <f t="shared" ca="1" si="21"/>
        <v/>
      </c>
      <c r="Y92" s="16" t="str">
        <f ca="1">IFERROR(U92/((VLOOKUP(P92,'TL Data'!$A$2:$E$1226,3,FALSE))*'Tube Laser'!O92),"")</f>
        <v/>
      </c>
    </row>
    <row r="93" spans="1:25">
      <c r="A93" s="133"/>
      <c r="B93" s="13"/>
      <c r="C93" s="13"/>
      <c r="D93" s="13"/>
      <c r="E93" s="13"/>
      <c r="F93" s="13"/>
      <c r="G93" s="13"/>
      <c r="H93" s="13"/>
      <c r="I93" s="13"/>
      <c r="J93" s="57">
        <f t="shared" si="19"/>
        <v>0</v>
      </c>
      <c r="K93" s="91">
        <f>'Tube Bending'!E93</f>
        <v>0</v>
      </c>
      <c r="L93" s="77" t="str">
        <f ca="1">IFERROR(VLOOKUP('Tube Laser'!A93,Machining!A94:G184,7,FALSE),"")</f>
        <v/>
      </c>
      <c r="M93" s="77">
        <f>IFERROR(IF(Finishing!G94&gt;0,VLOOKUP('Tube Laser'!A93,Finishing!A94:G184,7,FALSE),0),"")</f>
        <v>0</v>
      </c>
      <c r="N93" s="56">
        <f ca="1">SUM(J93,K93,L93,M93,'FB Data'!AR93)</f>
        <v>0</v>
      </c>
      <c r="O93" s="54">
        <f t="shared" si="15"/>
        <v>0</v>
      </c>
      <c r="P93" s="14"/>
      <c r="Q93" s="5" t="str">
        <f t="shared" si="16"/>
        <v/>
      </c>
      <c r="R93" s="2" t="str">
        <f t="shared" si="20"/>
        <v/>
      </c>
      <c r="S93" s="2" t="str">
        <f t="shared" si="17"/>
        <v/>
      </c>
      <c r="T93" s="126"/>
      <c r="U93" s="21" t="str">
        <f ca="1">IFERROR(N93+S93+'FB Data'!AE93+'FB Data'!AF93+'FB Data'!AG93+'FB Data'!AH93+($AB$7/$B$99)+($AB$8/$B$99)+($AB$3/$B$99)+($AB$2/$B$99)+($AB$4/$B$99)+($AB$5/$B$99),"")</f>
        <v/>
      </c>
      <c r="V93" s="21" t="str">
        <f ca="1">IFERROR(ROUND(U93*'Quote Info'!$O$4+T93,2),"")</f>
        <v/>
      </c>
      <c r="W93" s="4" t="str">
        <f t="shared" ca="1" si="18"/>
        <v/>
      </c>
      <c r="X93" s="4" t="str">
        <f t="shared" ca="1" si="21"/>
        <v/>
      </c>
      <c r="Y93" s="16" t="str">
        <f ca="1">IFERROR(U93/((VLOOKUP(P93,'TL Data'!$A$2:$E$1226,3,FALSE))*'Tube Laser'!O93),"")</f>
        <v/>
      </c>
    </row>
    <row r="94" spans="1:25">
      <c r="A94" s="133"/>
      <c r="B94" s="13"/>
      <c r="C94" s="13"/>
      <c r="D94" s="13"/>
      <c r="E94" s="13"/>
      <c r="F94" s="13"/>
      <c r="G94" s="13"/>
      <c r="H94" s="13"/>
      <c r="I94" s="13"/>
      <c r="J94" s="57">
        <f t="shared" si="19"/>
        <v>0</v>
      </c>
      <c r="K94" s="91">
        <f>'Tube Bending'!E94</f>
        <v>0</v>
      </c>
      <c r="L94" s="77" t="str">
        <f ca="1">IFERROR(VLOOKUP('Tube Laser'!A94,Machining!A95:G185,7,FALSE),"")</f>
        <v/>
      </c>
      <c r="M94" s="77">
        <f>IFERROR(IF(Finishing!G95&gt;0,VLOOKUP('Tube Laser'!A94,Finishing!A95:G185,7,FALSE),0),"")</f>
        <v>0</v>
      </c>
      <c r="N94" s="56">
        <f ca="1">SUM(J94,K94,L94,M94,'FB Data'!AR94)</f>
        <v>0</v>
      </c>
      <c r="O94" s="54">
        <f t="shared" si="15"/>
        <v>0</v>
      </c>
      <c r="P94" s="14"/>
      <c r="Q94" s="5" t="str">
        <f t="shared" si="16"/>
        <v/>
      </c>
      <c r="R94" s="2" t="str">
        <f t="shared" si="20"/>
        <v/>
      </c>
      <c r="S94" s="2" t="str">
        <f t="shared" si="17"/>
        <v/>
      </c>
      <c r="T94" s="126"/>
      <c r="U94" s="21" t="str">
        <f ca="1">IFERROR(N94+S94+'FB Data'!AE94+'FB Data'!AF94+'FB Data'!AG94+'FB Data'!AH94+($AB$7/$B$99)+($AB$8/$B$99)+($AB$3/$B$99)+($AB$2/$B$99)+($AB$4/$B$99)+($AB$5/$B$99),"")</f>
        <v/>
      </c>
      <c r="V94" s="21" t="str">
        <f ca="1">IFERROR(ROUND(U94*'Quote Info'!$O$4+T94,2),"")</f>
        <v/>
      </c>
      <c r="W94" s="4" t="str">
        <f t="shared" ca="1" si="18"/>
        <v/>
      </c>
      <c r="X94" s="4" t="str">
        <f t="shared" ca="1" si="21"/>
        <v/>
      </c>
      <c r="Y94" s="16" t="str">
        <f ca="1">IFERROR(U94/((VLOOKUP(P94,'TL Data'!$A$2:$E$1226,3,FALSE))*'Tube Laser'!O94),"")</f>
        <v/>
      </c>
    </row>
    <row r="95" spans="1:25">
      <c r="A95" s="133"/>
      <c r="B95" s="13"/>
      <c r="C95" s="13"/>
      <c r="D95" s="13"/>
      <c r="E95" s="13"/>
      <c r="F95" s="13"/>
      <c r="G95" s="13"/>
      <c r="H95" s="13"/>
      <c r="I95" s="13"/>
      <c r="J95" s="57">
        <f t="shared" si="19"/>
        <v>0</v>
      </c>
      <c r="K95" s="91">
        <f>'Tube Bending'!E95</f>
        <v>0</v>
      </c>
      <c r="L95" s="77" t="str">
        <f ca="1">IFERROR(VLOOKUP('Tube Laser'!A95,Machining!A96:G186,7,FALSE),"")</f>
        <v/>
      </c>
      <c r="M95" s="77">
        <f>IFERROR(IF(Finishing!G96&gt;0,VLOOKUP('Tube Laser'!A95,Finishing!A96:G186,7,FALSE),0),"")</f>
        <v>0</v>
      </c>
      <c r="N95" s="56">
        <f ca="1">SUM(J95,K95,L95,M95,'FB Data'!AR95)</f>
        <v>0</v>
      </c>
      <c r="O95" s="54">
        <f t="shared" si="15"/>
        <v>0</v>
      </c>
      <c r="P95" s="14"/>
      <c r="Q95" s="5" t="str">
        <f t="shared" si="16"/>
        <v/>
      </c>
      <c r="R95" s="2" t="str">
        <f t="shared" si="20"/>
        <v/>
      </c>
      <c r="S95" s="2" t="str">
        <f t="shared" si="17"/>
        <v/>
      </c>
      <c r="T95" s="126"/>
      <c r="U95" s="21" t="str">
        <f ca="1">IFERROR(N95+S95+'FB Data'!AE95+'FB Data'!AF95+'FB Data'!AG95+'FB Data'!AH95+($AB$7/$B$99)+($AB$8/$B$99)+($AB$3/$B$99)+($AB$2/$B$99)+($AB$4/$B$99)+($AB$5/$B$99),"")</f>
        <v/>
      </c>
      <c r="V95" s="21" t="str">
        <f ca="1">IFERROR(ROUND(U95*'Quote Info'!$O$4+T95,2),"")</f>
        <v/>
      </c>
      <c r="W95" s="4" t="str">
        <f t="shared" ca="1" si="18"/>
        <v/>
      </c>
      <c r="X95" s="4" t="str">
        <f t="shared" ca="1" si="21"/>
        <v/>
      </c>
      <c r="Y95" s="16" t="str">
        <f ca="1">IFERROR(U95/((VLOOKUP(P95,'TL Data'!$A$2:$E$1226,3,FALSE))*'Tube Laser'!O95),"")</f>
        <v/>
      </c>
    </row>
    <row r="96" spans="1:25">
      <c r="A96" s="133"/>
      <c r="B96" s="13"/>
      <c r="C96" s="13"/>
      <c r="D96" s="13"/>
      <c r="E96" s="13"/>
      <c r="F96" s="13"/>
      <c r="G96" s="13"/>
      <c r="H96" s="13"/>
      <c r="I96" s="13"/>
      <c r="J96" s="57">
        <f t="shared" si="19"/>
        <v>0</v>
      </c>
      <c r="K96" s="91">
        <f>'Tube Bending'!E96</f>
        <v>0</v>
      </c>
      <c r="L96" s="77" t="str">
        <f ca="1">IFERROR(VLOOKUP('Tube Laser'!A96,Machining!A97:G187,7,FALSE),"")</f>
        <v/>
      </c>
      <c r="M96" s="77">
        <f>IFERROR(IF(Finishing!G97&gt;0,VLOOKUP('Tube Laser'!A96,Finishing!A97:G187,7,FALSE),0),"")</f>
        <v>0</v>
      </c>
      <c r="N96" s="56">
        <f ca="1">SUM(J96,K96,L96,M96,'FB Data'!AR96)</f>
        <v>0</v>
      </c>
      <c r="O96" s="54">
        <f t="shared" si="15"/>
        <v>0</v>
      </c>
      <c r="P96" s="14"/>
      <c r="Q96" s="5" t="str">
        <f t="shared" si="16"/>
        <v/>
      </c>
      <c r="R96" s="2" t="str">
        <f t="shared" si="20"/>
        <v/>
      </c>
      <c r="S96" s="2" t="str">
        <f t="shared" si="17"/>
        <v/>
      </c>
      <c r="T96" s="126"/>
      <c r="U96" s="21" t="str">
        <f ca="1">IFERROR(N96+S96+'FB Data'!AE96+'FB Data'!AF96+'FB Data'!AG96+'FB Data'!AH96+($AB$7/$B$99)+($AB$8/$B$99)+($AB$3/$B$99)+($AB$2/$B$99)+($AB$4/$B$99)+($AB$5/$B$99),"")</f>
        <v/>
      </c>
      <c r="V96" s="21" t="str">
        <f ca="1">IFERROR(ROUND(U96*'Quote Info'!$O$4+T96,2),"")</f>
        <v/>
      </c>
      <c r="W96" s="4" t="str">
        <f t="shared" ca="1" si="18"/>
        <v/>
      </c>
      <c r="X96" s="4" t="str">
        <f t="shared" ca="1" si="21"/>
        <v/>
      </c>
      <c r="Y96" s="16" t="str">
        <f ca="1">IFERROR(U96/((VLOOKUP(P96,'TL Data'!$A$2:$E$1226,3,FALSE))*'Tube Laser'!O96),"")</f>
        <v/>
      </c>
    </row>
    <row r="97" spans="1:25">
      <c r="A97" s="133"/>
      <c r="B97" s="13"/>
      <c r="C97" s="13"/>
      <c r="D97" s="13"/>
      <c r="E97" s="13"/>
      <c r="F97" s="13"/>
      <c r="G97" s="13"/>
      <c r="H97" s="13"/>
      <c r="I97" s="13"/>
      <c r="J97" s="57">
        <f t="shared" si="19"/>
        <v>0</v>
      </c>
      <c r="K97" s="91">
        <f>'Tube Bending'!E97</f>
        <v>0</v>
      </c>
      <c r="L97" s="77" t="str">
        <f ca="1">IFERROR(VLOOKUP('Tube Laser'!A97,Machining!A98:G188,7,FALSE),"")</f>
        <v/>
      </c>
      <c r="M97" s="77">
        <f>IFERROR(IF(Finishing!G98&gt;0,VLOOKUP('Tube Laser'!A97,Finishing!A98:G188,7,FALSE),0),"")</f>
        <v>0</v>
      </c>
      <c r="N97" s="56">
        <f ca="1">SUM(J97,K97,L97,M97,'FB Data'!AR97)</f>
        <v>0</v>
      </c>
      <c r="O97" s="54">
        <f t="shared" si="15"/>
        <v>0</v>
      </c>
      <c r="P97" s="14"/>
      <c r="Q97" s="5" t="str">
        <f t="shared" si="16"/>
        <v/>
      </c>
      <c r="R97" s="2" t="str">
        <f t="shared" si="20"/>
        <v/>
      </c>
      <c r="S97" s="2" t="str">
        <f t="shared" si="17"/>
        <v/>
      </c>
      <c r="T97" s="126"/>
      <c r="U97" s="21" t="str">
        <f ca="1">IFERROR(N97+S97+'FB Data'!AE97+'FB Data'!AF97+'FB Data'!AG97+'FB Data'!AH97+($AB$7/$B$99)+($AB$8/$B$99)+($AB$3/$B$99)+($AB$2/$B$99)+($AB$4/$B$99)+($AB$5/$B$99),"")</f>
        <v/>
      </c>
      <c r="V97" s="21" t="str">
        <f ca="1">IFERROR(ROUND(U97*'Quote Info'!$O$4+T97,2),"")</f>
        <v/>
      </c>
      <c r="W97" s="4" t="str">
        <f t="shared" ca="1" si="18"/>
        <v/>
      </c>
      <c r="X97" s="4" t="str">
        <f t="shared" ca="1" si="21"/>
        <v/>
      </c>
      <c r="Y97" s="16" t="str">
        <f ca="1">IFERROR(U97/((VLOOKUP(P97,'TL Data'!$A$2:$E$1226,3,FALSE))*'Tube Laser'!O97),"")</f>
        <v/>
      </c>
    </row>
    <row r="98" spans="1:25" ht="15.75" thickBot="1">
      <c r="A98" s="133"/>
      <c r="B98" s="13"/>
      <c r="C98" s="13"/>
      <c r="D98" s="13"/>
      <c r="E98" s="13"/>
      <c r="F98" s="13"/>
      <c r="G98" s="13"/>
      <c r="H98" s="13"/>
      <c r="I98" s="13"/>
      <c r="J98" s="57">
        <f t="shared" si="19"/>
        <v>0</v>
      </c>
      <c r="K98" s="91">
        <f>'Tube Bending'!E98</f>
        <v>0</v>
      </c>
      <c r="L98" s="77" t="str">
        <f ca="1">IFERROR(VLOOKUP('Tube Laser'!A98,Machining!A99:G189,7,FALSE),"")</f>
        <v/>
      </c>
      <c r="M98" s="77">
        <f>IFERROR(IF(Finishing!G99&gt;0,VLOOKUP('Tube Laser'!A98,Finishing!A99:G189,7,FALSE),0),"")</f>
        <v>0</v>
      </c>
      <c r="N98" s="56">
        <f ca="1">SUM(J98,K98,L98,M98,'FB Data'!AR98)</f>
        <v>0</v>
      </c>
      <c r="O98" s="54">
        <f t="shared" si="15"/>
        <v>0</v>
      </c>
      <c r="P98" s="14"/>
      <c r="Q98" s="5" t="str">
        <f t="shared" si="16"/>
        <v/>
      </c>
      <c r="R98" s="2" t="str">
        <f t="shared" si="20"/>
        <v/>
      </c>
      <c r="S98" s="2" t="str">
        <f t="shared" si="17"/>
        <v/>
      </c>
      <c r="T98" s="126"/>
      <c r="U98" s="21" t="str">
        <f ca="1">IFERROR(N98+S98+'FB Data'!AE98+'FB Data'!AF98+'FB Data'!AG98+'FB Data'!AH98+($AB$7/$B$99)+($AB$8/$B$99)+($AB$3/$B$99)+($AB$2/$B$99)+($AB$4/$B$99)+($AB$5/$B$99),"")</f>
        <v/>
      </c>
      <c r="V98" s="21" t="str">
        <f ca="1">IFERROR(ROUND(U98*'Quote Info'!$O$4+T98,2),"")</f>
        <v/>
      </c>
      <c r="W98" s="4" t="str">
        <f t="shared" ca="1" si="18"/>
        <v/>
      </c>
      <c r="X98" s="4" t="str">
        <f t="shared" ca="1" si="21"/>
        <v/>
      </c>
      <c r="Y98" s="16" t="str">
        <f ca="1">IFERROR(U98/((VLOOKUP(P98,'TL Data'!$A$2:$E$1226,3,FALSE))*'Tube Laser'!O98),"")</f>
        <v/>
      </c>
    </row>
    <row r="99" spans="1:25" ht="15.75" thickBot="1">
      <c r="A99" s="18" t="s">
        <v>282</v>
      </c>
      <c r="B99" s="19">
        <f>SUM(B9:B98)</f>
        <v>0</v>
      </c>
      <c r="W99" s="20">
        <f ca="1">SUMIF(W9:W98,"&lt;&gt;#N/A")</f>
        <v>0</v>
      </c>
      <c r="X99" s="20">
        <f ca="1">SUMIF(X9:X98,"&lt;&gt;#N/A")</f>
        <v>0</v>
      </c>
      <c r="Y99" s="22" t="str">
        <f ca="1">IFERROR(W99/AE25,"")</f>
        <v/>
      </c>
    </row>
  </sheetData>
  <mergeCells count="6">
    <mergeCell ref="AA28:AE28"/>
    <mergeCell ref="AC1:AG1"/>
    <mergeCell ref="AC2:AG2"/>
    <mergeCell ref="AC3:AG3"/>
    <mergeCell ref="AC4:AG4"/>
    <mergeCell ref="AC5:AG5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100-000000000000}">
          <x14:formula1>
            <xm:f>'FB Data'!$K$2:$K$4</xm:f>
          </x14:formula1>
          <xm:sqref>AC8</xm:sqref>
        </x14:dataValidation>
        <x14:dataValidation type="list" allowBlank="1" showInputMessage="1" showErrorMessage="1" xr:uid="{00000000-0002-0000-0100-000001000000}">
          <x14:formula1>
            <xm:f>'FB Data'!$O$2:$O$4</xm:f>
          </x14:formula1>
          <xm:sqref>AC7</xm:sqref>
        </x14:dataValidation>
        <x14:dataValidation type="list" allowBlank="1" showInputMessage="1" showErrorMessage="1" xr:uid="{00000000-0002-0000-0100-000002000000}">
          <x14:formula1>
            <xm:f>'FB Data'!$Q$2:$Q$4</xm:f>
          </x14:formula1>
          <xm:sqref>AB6</xm:sqref>
        </x14:dataValidation>
        <x14:dataValidation type="list" allowBlank="1" showInputMessage="1" showErrorMessage="1" xr:uid="{00000000-0002-0000-0100-000003000000}">
          <x14:formula1>
            <xm:f>'FB Data'!$Z$9:$Z$10</xm:f>
          </x14:formula1>
          <xm:sqref>E9:E98</xm:sqref>
        </x14:dataValidation>
        <x14:dataValidation type="list" allowBlank="1" showInputMessage="1" showErrorMessage="1" xr:uid="{00000000-0002-0000-0100-000004000000}">
          <x14:formula1>
            <xm:f>'FB Data'!$AA$9</xm:f>
          </x14:formula1>
          <xm:sqref>F9:F98</xm:sqref>
        </x14:dataValidation>
        <x14:dataValidation type="list" allowBlank="1" showInputMessage="1" showErrorMessage="1" xr:uid="{00000000-0002-0000-0100-000005000000}">
          <x14:formula1>
            <xm:f>'FB Data'!$AB$9:$AB$38</xm:f>
          </x14:formula1>
          <xm:sqref>G9:G98</xm:sqref>
        </x14:dataValidation>
        <x14:dataValidation type="list" allowBlank="1" showInputMessage="1" showErrorMessage="1" xr:uid="{00000000-0002-0000-0100-000006000000}">
          <x14:formula1>
            <xm:f>'FB Data'!$AC$9</xm:f>
          </x14:formula1>
          <xm:sqref>H9:I98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2:B56"/>
  <sheetViews>
    <sheetView workbookViewId="0">
      <selection activeCell="B5" sqref="B5"/>
    </sheetView>
  </sheetViews>
  <sheetFormatPr defaultRowHeight="15"/>
  <cols>
    <col min="1" max="1" width="24.42578125" customWidth="1"/>
    <col min="2" max="2" width="88.85546875" customWidth="1"/>
  </cols>
  <sheetData>
    <row r="2" spans="1:2">
      <c r="A2" s="147" t="s">
        <v>2772</v>
      </c>
      <c r="B2" s="147"/>
    </row>
    <row r="3" spans="1:2">
      <c r="A3" s="147"/>
      <c r="B3" s="147"/>
    </row>
    <row r="4" spans="1:2">
      <c r="A4" s="70" t="s">
        <v>273</v>
      </c>
      <c r="B4" s="70" t="s">
        <v>2914</v>
      </c>
    </row>
    <row r="5" spans="1:2" ht="30" customHeight="1">
      <c r="A5" s="112" t="str">
        <f ca="1">'FB Data'!O9</f>
        <v/>
      </c>
      <c r="B5" s="111"/>
    </row>
    <row r="6" spans="1:2" ht="30" customHeight="1">
      <c r="A6" s="112" t="str">
        <f ca="1">'FB Data'!O10</f>
        <v/>
      </c>
      <c r="B6" s="111"/>
    </row>
    <row r="7" spans="1:2" ht="30" customHeight="1">
      <c r="A7" s="112" t="str">
        <f ca="1">'FB Data'!O11</f>
        <v/>
      </c>
      <c r="B7" s="111"/>
    </row>
    <row r="8" spans="1:2" ht="30" customHeight="1">
      <c r="A8" s="112" t="str">
        <f ca="1">'FB Data'!O12</f>
        <v/>
      </c>
      <c r="B8" s="111"/>
    </row>
    <row r="9" spans="1:2" ht="30" customHeight="1">
      <c r="A9" s="112" t="str">
        <f ca="1">'FB Data'!O13</f>
        <v/>
      </c>
      <c r="B9" s="111"/>
    </row>
    <row r="10" spans="1:2" ht="30" customHeight="1">
      <c r="A10" s="112" t="str">
        <f ca="1">'FB Data'!O14</f>
        <v/>
      </c>
      <c r="B10" s="111"/>
    </row>
    <row r="11" spans="1:2" ht="30" customHeight="1">
      <c r="A11" s="112" t="str">
        <f ca="1">'FB Data'!O15</f>
        <v/>
      </c>
      <c r="B11" s="111"/>
    </row>
    <row r="12" spans="1:2" ht="30" customHeight="1">
      <c r="A12" s="112" t="str">
        <f ca="1">'FB Data'!O16</f>
        <v/>
      </c>
      <c r="B12" s="111"/>
    </row>
    <row r="13" spans="1:2" ht="30" customHeight="1">
      <c r="A13" s="112" t="str">
        <f ca="1">'FB Data'!O17</f>
        <v/>
      </c>
      <c r="B13" s="111"/>
    </row>
    <row r="14" spans="1:2" ht="30" customHeight="1">
      <c r="A14" s="112" t="str">
        <f ca="1">'FB Data'!O18</f>
        <v/>
      </c>
      <c r="B14" s="111"/>
    </row>
    <row r="15" spans="1:2" ht="30" customHeight="1">
      <c r="A15" s="112" t="str">
        <f ca="1">'FB Data'!O19</f>
        <v/>
      </c>
      <c r="B15" s="111"/>
    </row>
    <row r="16" spans="1:2" ht="30" customHeight="1">
      <c r="A16" s="112" t="str">
        <f ca="1">'FB Data'!O20</f>
        <v/>
      </c>
      <c r="B16" s="111"/>
    </row>
    <row r="17" spans="1:2" ht="30" customHeight="1">
      <c r="A17" s="112" t="str">
        <f ca="1">'FB Data'!O21</f>
        <v/>
      </c>
      <c r="B17" s="111"/>
    </row>
    <row r="18" spans="1:2" ht="30" customHeight="1">
      <c r="A18" s="112" t="str">
        <f ca="1">'FB Data'!O22</f>
        <v/>
      </c>
      <c r="B18" s="111"/>
    </row>
    <row r="19" spans="1:2" ht="30" customHeight="1">
      <c r="A19" s="112" t="str">
        <f ca="1">'FB Data'!O23</f>
        <v/>
      </c>
      <c r="B19" s="111"/>
    </row>
    <row r="20" spans="1:2" ht="30" customHeight="1">
      <c r="A20" s="112" t="str">
        <f ca="1">'FB Data'!O24</f>
        <v/>
      </c>
      <c r="B20" s="111"/>
    </row>
    <row r="21" spans="1:2" ht="30" customHeight="1">
      <c r="A21" s="112" t="str">
        <f ca="1">'FB Data'!O25</f>
        <v/>
      </c>
      <c r="B21" s="111"/>
    </row>
    <row r="22" spans="1:2" ht="30" customHeight="1">
      <c r="A22" s="112" t="str">
        <f ca="1">'FB Data'!O26</f>
        <v/>
      </c>
      <c r="B22" s="111"/>
    </row>
    <row r="23" spans="1:2" ht="30" customHeight="1">
      <c r="A23" s="112" t="str">
        <f ca="1">'FB Data'!O27</f>
        <v/>
      </c>
      <c r="B23" s="111"/>
    </row>
    <row r="24" spans="1:2" ht="30" customHeight="1">
      <c r="A24" s="112" t="str">
        <f ca="1">'FB Data'!O28</f>
        <v/>
      </c>
      <c r="B24" s="111"/>
    </row>
    <row r="25" spans="1:2" ht="30" customHeight="1">
      <c r="A25" s="112" t="str">
        <f ca="1">'FB Data'!O29</f>
        <v/>
      </c>
      <c r="B25" s="111"/>
    </row>
    <row r="26" spans="1:2" ht="30" customHeight="1">
      <c r="A26" s="112" t="str">
        <f ca="1">'FB Data'!O30</f>
        <v/>
      </c>
      <c r="B26" s="111"/>
    </row>
    <row r="27" spans="1:2" ht="30" customHeight="1">
      <c r="A27" s="112" t="str">
        <f ca="1">'FB Data'!O31</f>
        <v/>
      </c>
      <c r="B27" s="111"/>
    </row>
    <row r="28" spans="1:2" ht="30" customHeight="1">
      <c r="A28" s="112" t="str">
        <f ca="1">'FB Data'!O32</f>
        <v/>
      </c>
      <c r="B28" s="111"/>
    </row>
    <row r="29" spans="1:2" ht="30" customHeight="1">
      <c r="A29" s="112" t="str">
        <f ca="1">'FB Data'!O33</f>
        <v/>
      </c>
      <c r="B29" s="111"/>
    </row>
    <row r="30" spans="1:2" ht="30" customHeight="1">
      <c r="A30" s="112" t="str">
        <f ca="1">'FB Data'!O34</f>
        <v/>
      </c>
      <c r="B30" s="111"/>
    </row>
    <row r="31" spans="1:2" ht="30" customHeight="1">
      <c r="A31" s="112" t="str">
        <f ca="1">'FB Data'!O35</f>
        <v/>
      </c>
      <c r="B31" s="111"/>
    </row>
    <row r="32" spans="1:2" ht="30" customHeight="1">
      <c r="A32" s="112" t="str">
        <f ca="1">'FB Data'!O36</f>
        <v/>
      </c>
      <c r="B32" s="111"/>
    </row>
    <row r="33" spans="1:2" ht="30" customHeight="1">
      <c r="A33" s="112" t="str">
        <f ca="1">'FB Data'!O37</f>
        <v/>
      </c>
      <c r="B33" s="111"/>
    </row>
    <row r="34" spans="1:2" ht="30" customHeight="1">
      <c r="A34" s="112" t="str">
        <f ca="1">'FB Data'!O38</f>
        <v/>
      </c>
      <c r="B34" s="111"/>
    </row>
    <row r="35" spans="1:2" ht="30" customHeight="1">
      <c r="A35" s="112" t="str">
        <f ca="1">'FB Data'!O39</f>
        <v/>
      </c>
      <c r="B35" s="111"/>
    </row>
    <row r="36" spans="1:2" ht="30" customHeight="1">
      <c r="A36" s="112" t="str">
        <f ca="1">'FB Data'!O40</f>
        <v/>
      </c>
      <c r="B36" s="111"/>
    </row>
    <row r="37" spans="1:2" ht="30" customHeight="1">
      <c r="A37" s="112" t="str">
        <f ca="1">'FB Data'!O41</f>
        <v/>
      </c>
      <c r="B37" s="111"/>
    </row>
    <row r="38" spans="1:2" ht="30" customHeight="1">
      <c r="A38" s="112" t="str">
        <f ca="1">'FB Data'!O42</f>
        <v/>
      </c>
      <c r="B38" s="111"/>
    </row>
    <row r="39" spans="1:2" ht="30" customHeight="1">
      <c r="A39" s="112" t="str">
        <f ca="1">'FB Data'!O43</f>
        <v/>
      </c>
      <c r="B39" s="111"/>
    </row>
    <row r="40" spans="1:2" ht="30" customHeight="1">
      <c r="A40" s="112" t="str">
        <f ca="1">'FB Data'!O44</f>
        <v/>
      </c>
      <c r="B40" s="111"/>
    </row>
    <row r="41" spans="1:2" ht="30" customHeight="1">
      <c r="A41" s="112" t="str">
        <f ca="1">'FB Data'!O45</f>
        <v/>
      </c>
      <c r="B41" s="111"/>
    </row>
    <row r="42" spans="1:2" ht="30" customHeight="1">
      <c r="A42" s="112" t="str">
        <f ca="1">'FB Data'!O46</f>
        <v/>
      </c>
      <c r="B42" s="111"/>
    </row>
    <row r="43" spans="1:2" ht="30" customHeight="1">
      <c r="A43" s="112" t="str">
        <f ca="1">'FB Data'!O47</f>
        <v/>
      </c>
      <c r="B43" s="111"/>
    </row>
    <row r="44" spans="1:2" ht="30" customHeight="1">
      <c r="A44" s="112" t="str">
        <f ca="1">'FB Data'!O48</f>
        <v/>
      </c>
      <c r="B44" s="111"/>
    </row>
    <row r="45" spans="1:2" ht="30" customHeight="1">
      <c r="A45" s="112" t="str">
        <f ca="1">'FB Data'!O49</f>
        <v/>
      </c>
      <c r="B45" s="111"/>
    </row>
    <row r="46" spans="1:2" ht="30" customHeight="1">
      <c r="A46" s="112" t="str">
        <f ca="1">'FB Data'!O50</f>
        <v/>
      </c>
      <c r="B46" s="111"/>
    </row>
    <row r="47" spans="1:2" ht="30" customHeight="1">
      <c r="A47" s="112" t="str">
        <f ca="1">'FB Data'!O51</f>
        <v/>
      </c>
      <c r="B47" s="111"/>
    </row>
    <row r="48" spans="1:2" ht="30" customHeight="1">
      <c r="A48" s="112" t="str">
        <f ca="1">'FB Data'!O52</f>
        <v/>
      </c>
      <c r="B48" s="111"/>
    </row>
    <row r="49" spans="1:2" ht="30" customHeight="1">
      <c r="A49" s="112" t="str">
        <f ca="1">'FB Data'!O53</f>
        <v/>
      </c>
      <c r="B49" s="111"/>
    </row>
    <row r="50" spans="1:2" ht="30" customHeight="1">
      <c r="A50" s="112" t="str">
        <f ca="1">'FB Data'!O54</f>
        <v/>
      </c>
      <c r="B50" s="111"/>
    </row>
    <row r="51" spans="1:2" ht="30" customHeight="1">
      <c r="A51" s="112" t="str">
        <f ca="1">'FB Data'!O55</f>
        <v/>
      </c>
      <c r="B51" s="111"/>
    </row>
    <row r="52" spans="1:2" ht="30" customHeight="1">
      <c r="A52" s="112" t="str">
        <f ca="1">'FB Data'!O56</f>
        <v/>
      </c>
      <c r="B52" s="111"/>
    </row>
    <row r="53" spans="1:2" ht="30" customHeight="1">
      <c r="A53" s="112" t="str">
        <f ca="1">'FB Data'!O57</f>
        <v/>
      </c>
      <c r="B53" s="111"/>
    </row>
    <row r="54" spans="1:2" ht="30" customHeight="1">
      <c r="A54" s="112" t="str">
        <f ca="1">'FB Data'!O58</f>
        <v/>
      </c>
      <c r="B54" s="111"/>
    </row>
    <row r="55" spans="1:2" ht="30" customHeight="1">
      <c r="A55" s="112" t="str">
        <f ca="1">'FB Data'!O59</f>
        <v/>
      </c>
      <c r="B55" s="111"/>
    </row>
    <row r="56" spans="1:2" ht="30" customHeight="1">
      <c r="A56" s="112" t="str">
        <f ca="1">'FB Data'!O60</f>
        <v/>
      </c>
      <c r="B56" s="111"/>
    </row>
  </sheetData>
  <mergeCells count="1">
    <mergeCell ref="A2:B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4:J99"/>
  <sheetViews>
    <sheetView workbookViewId="0">
      <selection activeCell="E10" sqref="E10"/>
    </sheetView>
  </sheetViews>
  <sheetFormatPr defaultRowHeight="15"/>
  <cols>
    <col min="1" max="1" width="18.140625" customWidth="1"/>
    <col min="2" max="2" width="12.7109375" bestFit="1" customWidth="1"/>
    <col min="3" max="3" width="11.85546875" bestFit="1" customWidth="1"/>
    <col min="4" max="4" width="12.5703125" bestFit="1" customWidth="1"/>
    <col min="5" max="5" width="11.42578125" bestFit="1" customWidth="1"/>
    <col min="7" max="7" width="11.28515625" bestFit="1" customWidth="1"/>
    <col min="9" max="9" width="19.28515625" bestFit="1" customWidth="1"/>
    <col min="10" max="10" width="21" bestFit="1" customWidth="1"/>
  </cols>
  <sheetData>
    <row r="4" spans="1:10">
      <c r="B4" s="23" t="s">
        <v>2870</v>
      </c>
      <c r="C4" s="50">
        <v>61.62</v>
      </c>
    </row>
    <row r="5" spans="1:10">
      <c r="C5" s="96">
        <f>C4*'Quote Info'!O4</f>
        <v>83.803200000000004</v>
      </c>
    </row>
    <row r="9" spans="1:10">
      <c r="A9" s="3" t="s">
        <v>273</v>
      </c>
      <c r="B9" s="3" t="s">
        <v>0</v>
      </c>
      <c r="C9" s="3" t="s">
        <v>2782</v>
      </c>
      <c r="D9" s="3" t="s">
        <v>2783</v>
      </c>
      <c r="E9" s="3" t="s">
        <v>2780</v>
      </c>
      <c r="F9" s="3" t="s">
        <v>2834</v>
      </c>
      <c r="G9" s="3" t="s">
        <v>2784</v>
      </c>
      <c r="H9" s="3" t="s">
        <v>4</v>
      </c>
      <c r="I9" s="3" t="s">
        <v>2787</v>
      </c>
      <c r="J9" s="3" t="s">
        <v>2916</v>
      </c>
    </row>
    <row r="10" spans="1:10">
      <c r="A10" s="53">
        <f>'FB Laser'!A10</f>
        <v>0</v>
      </c>
      <c r="B10" s="52">
        <f>'FB Laser'!B10</f>
        <v>0</v>
      </c>
      <c r="C10" s="52">
        <f>IF('FB Laser'!C10&gt;'FB Laser'!D10,'FB Laser'!C10,'FB Laser'!D10)</f>
        <v>0</v>
      </c>
      <c r="D10" s="49">
        <f>IF(C10&lt;48.01,1,1.5)</f>
        <v>1</v>
      </c>
      <c r="E10" s="13"/>
      <c r="F10" s="13"/>
      <c r="G10" s="78">
        <f>IFERROR((((E10/60)*$C$4)/B10)+((60/F10/60*$C$4)*D10),0)</f>
        <v>0</v>
      </c>
      <c r="H10" s="66">
        <f>IFERROR(G10*B10,0)</f>
        <v>0</v>
      </c>
      <c r="I10" s="90">
        <f>IFERROR((B10/F10)*60+(E10/60)*60,0)</f>
        <v>0</v>
      </c>
      <c r="J10" s="90">
        <f>IF(D10=1.5,I10,0)</f>
        <v>0</v>
      </c>
    </row>
    <row r="11" spans="1:10">
      <c r="A11" s="51">
        <f>'FB Laser'!A11</f>
        <v>0</v>
      </c>
      <c r="B11" s="52">
        <f>'FB Laser'!B11</f>
        <v>0</v>
      </c>
      <c r="C11" s="52">
        <f>IF('FB Laser'!C11&gt;'FB Laser'!D11,'FB Laser'!C11,'FB Laser'!D11)</f>
        <v>0</v>
      </c>
      <c r="D11" s="49">
        <f t="shared" ref="D11:D74" si="0">IF(C11&lt;48.01,1,1.5)</f>
        <v>1</v>
      </c>
      <c r="E11" s="13"/>
      <c r="F11" s="13"/>
      <c r="G11" s="78">
        <f t="shared" ref="G11:G74" si="1">IFERROR((((E11/60)*$C$4)/B11)+((60/F11/60*$C$4)*D11),0)</f>
        <v>0</v>
      </c>
      <c r="H11" s="66">
        <f t="shared" ref="H11:H74" si="2">IFERROR(G11*B11,0)</f>
        <v>0</v>
      </c>
      <c r="I11" s="90">
        <f t="shared" ref="I11:I74" si="3">IFERROR((B11/F11)*60+(E11/60)*60,0)</f>
        <v>0</v>
      </c>
      <c r="J11" s="90">
        <f t="shared" ref="J11:J74" si="4">IF(D11=1.5,I11,0)</f>
        <v>0</v>
      </c>
    </row>
    <row r="12" spans="1:10">
      <c r="A12" s="51">
        <f>'FB Laser'!A12</f>
        <v>0</v>
      </c>
      <c r="B12" s="52">
        <f>'FB Laser'!B12</f>
        <v>0</v>
      </c>
      <c r="C12" s="52">
        <f>IF('FB Laser'!C12&gt;'FB Laser'!D12,'FB Laser'!C12,'FB Laser'!D12)</f>
        <v>0</v>
      </c>
      <c r="D12" s="49">
        <f t="shared" si="0"/>
        <v>1</v>
      </c>
      <c r="E12" s="13"/>
      <c r="F12" s="13"/>
      <c r="G12" s="78">
        <f t="shared" si="1"/>
        <v>0</v>
      </c>
      <c r="H12" s="66">
        <f t="shared" si="2"/>
        <v>0</v>
      </c>
      <c r="I12" s="90">
        <f t="shared" si="3"/>
        <v>0</v>
      </c>
      <c r="J12" s="90">
        <f t="shared" si="4"/>
        <v>0</v>
      </c>
    </row>
    <row r="13" spans="1:10">
      <c r="A13" s="51">
        <f>'FB Laser'!A13</f>
        <v>0</v>
      </c>
      <c r="B13" s="52">
        <f>'FB Laser'!B13</f>
        <v>0</v>
      </c>
      <c r="C13" s="52">
        <f>IF('FB Laser'!C13&gt;'FB Laser'!D13,'FB Laser'!C13,'FB Laser'!D13)</f>
        <v>0</v>
      </c>
      <c r="D13" s="49">
        <f t="shared" si="0"/>
        <v>1</v>
      </c>
      <c r="E13" s="13"/>
      <c r="F13" s="13"/>
      <c r="G13" s="78">
        <f t="shared" si="1"/>
        <v>0</v>
      </c>
      <c r="H13" s="66">
        <f t="shared" si="2"/>
        <v>0</v>
      </c>
      <c r="I13" s="90">
        <f t="shared" si="3"/>
        <v>0</v>
      </c>
      <c r="J13" s="90">
        <f t="shared" si="4"/>
        <v>0</v>
      </c>
    </row>
    <row r="14" spans="1:10">
      <c r="A14" s="51">
        <f>'FB Laser'!A14</f>
        <v>0</v>
      </c>
      <c r="B14" s="52">
        <f>'FB Laser'!B14</f>
        <v>0</v>
      </c>
      <c r="C14" s="52">
        <f>IF('FB Laser'!C14&gt;'FB Laser'!D14,'FB Laser'!C14,'FB Laser'!D14)</f>
        <v>0</v>
      </c>
      <c r="D14" s="49">
        <f t="shared" si="0"/>
        <v>1</v>
      </c>
      <c r="E14" s="13"/>
      <c r="F14" s="13"/>
      <c r="G14" s="78">
        <f t="shared" si="1"/>
        <v>0</v>
      </c>
      <c r="H14" s="66">
        <f t="shared" si="2"/>
        <v>0</v>
      </c>
      <c r="I14" s="90">
        <f t="shared" si="3"/>
        <v>0</v>
      </c>
      <c r="J14" s="90">
        <f t="shared" si="4"/>
        <v>0</v>
      </c>
    </row>
    <row r="15" spans="1:10">
      <c r="A15" s="51">
        <f>'FB Laser'!A15</f>
        <v>0</v>
      </c>
      <c r="B15" s="52">
        <f>'FB Laser'!B15</f>
        <v>0</v>
      </c>
      <c r="C15" s="52">
        <f>IF('FB Laser'!C15&gt;'FB Laser'!D15,'FB Laser'!C15,'FB Laser'!D15)</f>
        <v>0</v>
      </c>
      <c r="D15" s="49">
        <f t="shared" si="0"/>
        <v>1</v>
      </c>
      <c r="E15" s="13"/>
      <c r="F15" s="13"/>
      <c r="G15" s="78">
        <f t="shared" si="1"/>
        <v>0</v>
      </c>
      <c r="H15" s="66">
        <f t="shared" si="2"/>
        <v>0</v>
      </c>
      <c r="I15" s="90">
        <f t="shared" si="3"/>
        <v>0</v>
      </c>
      <c r="J15" s="90">
        <f t="shared" si="4"/>
        <v>0</v>
      </c>
    </row>
    <row r="16" spans="1:10">
      <c r="A16" s="51">
        <f>'FB Laser'!A16</f>
        <v>0</v>
      </c>
      <c r="B16" s="52">
        <f>'FB Laser'!B16</f>
        <v>0</v>
      </c>
      <c r="C16" s="52">
        <f>IF('FB Laser'!C16&gt;'FB Laser'!D16,'FB Laser'!C16,'FB Laser'!D16)</f>
        <v>0</v>
      </c>
      <c r="D16" s="49">
        <f t="shared" si="0"/>
        <v>1</v>
      </c>
      <c r="E16" s="13"/>
      <c r="F16" s="13"/>
      <c r="G16" s="78">
        <f t="shared" si="1"/>
        <v>0</v>
      </c>
      <c r="H16" s="66">
        <f t="shared" si="2"/>
        <v>0</v>
      </c>
      <c r="I16" s="90">
        <f t="shared" si="3"/>
        <v>0</v>
      </c>
      <c r="J16" s="90">
        <f t="shared" si="4"/>
        <v>0</v>
      </c>
    </row>
    <row r="17" spans="1:10">
      <c r="A17" s="51">
        <f>'FB Laser'!A17</f>
        <v>0</v>
      </c>
      <c r="B17" s="52">
        <f>'FB Laser'!B17</f>
        <v>0</v>
      </c>
      <c r="C17" s="52">
        <f>IF('FB Laser'!C17&gt;'FB Laser'!D17,'FB Laser'!C17,'FB Laser'!D17)</f>
        <v>0</v>
      </c>
      <c r="D17" s="49">
        <f t="shared" si="0"/>
        <v>1</v>
      </c>
      <c r="E17" s="13"/>
      <c r="F17" s="13"/>
      <c r="G17" s="78">
        <f t="shared" si="1"/>
        <v>0</v>
      </c>
      <c r="H17" s="66">
        <f t="shared" si="2"/>
        <v>0</v>
      </c>
      <c r="I17" s="90">
        <f t="shared" si="3"/>
        <v>0</v>
      </c>
      <c r="J17" s="90">
        <f t="shared" si="4"/>
        <v>0</v>
      </c>
    </row>
    <row r="18" spans="1:10">
      <c r="A18" s="51">
        <f>'FB Laser'!A18</f>
        <v>0</v>
      </c>
      <c r="B18" s="52">
        <f>'FB Laser'!B18</f>
        <v>0</v>
      </c>
      <c r="C18" s="52">
        <f>IF('FB Laser'!C18&gt;'FB Laser'!D18,'FB Laser'!C18,'FB Laser'!D18)</f>
        <v>0</v>
      </c>
      <c r="D18" s="49">
        <f t="shared" si="0"/>
        <v>1</v>
      </c>
      <c r="E18" s="13"/>
      <c r="F18" s="13"/>
      <c r="G18" s="78">
        <f t="shared" si="1"/>
        <v>0</v>
      </c>
      <c r="H18" s="66">
        <f t="shared" si="2"/>
        <v>0</v>
      </c>
      <c r="I18" s="90">
        <f t="shared" si="3"/>
        <v>0</v>
      </c>
      <c r="J18" s="90">
        <f t="shared" si="4"/>
        <v>0</v>
      </c>
    </row>
    <row r="19" spans="1:10">
      <c r="A19" s="51">
        <f>'FB Laser'!A19</f>
        <v>0</v>
      </c>
      <c r="B19" s="52">
        <f>'FB Laser'!B19</f>
        <v>0</v>
      </c>
      <c r="C19" s="52">
        <f>IF('FB Laser'!C19&gt;'FB Laser'!D19,'FB Laser'!C19,'FB Laser'!D19)</f>
        <v>0</v>
      </c>
      <c r="D19" s="49">
        <f t="shared" si="0"/>
        <v>1</v>
      </c>
      <c r="E19" s="13"/>
      <c r="F19" s="13"/>
      <c r="G19" s="78">
        <f t="shared" si="1"/>
        <v>0</v>
      </c>
      <c r="H19" s="66">
        <f t="shared" si="2"/>
        <v>0</v>
      </c>
      <c r="I19" s="90">
        <f t="shared" si="3"/>
        <v>0</v>
      </c>
      <c r="J19" s="90">
        <f t="shared" si="4"/>
        <v>0</v>
      </c>
    </row>
    <row r="20" spans="1:10">
      <c r="A20" s="51">
        <f>'FB Laser'!A20</f>
        <v>0</v>
      </c>
      <c r="B20" s="52">
        <f>'FB Laser'!B20</f>
        <v>0</v>
      </c>
      <c r="C20" s="52">
        <f>IF('FB Laser'!C20&gt;'FB Laser'!D20,'FB Laser'!C20,'FB Laser'!D20)</f>
        <v>0</v>
      </c>
      <c r="D20" s="49">
        <f t="shared" si="0"/>
        <v>1</v>
      </c>
      <c r="E20" s="13"/>
      <c r="F20" s="13"/>
      <c r="G20" s="78">
        <f t="shared" si="1"/>
        <v>0</v>
      </c>
      <c r="H20" s="66">
        <f t="shared" si="2"/>
        <v>0</v>
      </c>
      <c r="I20" s="90">
        <f t="shared" si="3"/>
        <v>0</v>
      </c>
      <c r="J20" s="90">
        <f t="shared" si="4"/>
        <v>0</v>
      </c>
    </row>
    <row r="21" spans="1:10">
      <c r="A21" s="51">
        <f>'FB Laser'!A21</f>
        <v>0</v>
      </c>
      <c r="B21" s="52">
        <f>'FB Laser'!B21</f>
        <v>0</v>
      </c>
      <c r="C21" s="52">
        <f>IF('FB Laser'!C21&gt;'FB Laser'!D21,'FB Laser'!C21,'FB Laser'!D21)</f>
        <v>0</v>
      </c>
      <c r="D21" s="49">
        <f t="shared" si="0"/>
        <v>1</v>
      </c>
      <c r="E21" s="13"/>
      <c r="F21" s="13"/>
      <c r="G21" s="78">
        <f t="shared" si="1"/>
        <v>0</v>
      </c>
      <c r="H21" s="66">
        <f t="shared" si="2"/>
        <v>0</v>
      </c>
      <c r="I21" s="90">
        <f t="shared" si="3"/>
        <v>0</v>
      </c>
      <c r="J21" s="90">
        <f t="shared" si="4"/>
        <v>0</v>
      </c>
    </row>
    <row r="22" spans="1:10">
      <c r="A22" s="51">
        <f>'FB Laser'!A22</f>
        <v>0</v>
      </c>
      <c r="B22" s="52">
        <f>'FB Laser'!B22</f>
        <v>0</v>
      </c>
      <c r="C22" s="52">
        <f>IF('FB Laser'!C22&gt;'FB Laser'!D22,'FB Laser'!C22,'FB Laser'!D22)</f>
        <v>0</v>
      </c>
      <c r="D22" s="49">
        <f t="shared" si="0"/>
        <v>1</v>
      </c>
      <c r="E22" s="13"/>
      <c r="F22" s="13"/>
      <c r="G22" s="78">
        <f t="shared" si="1"/>
        <v>0</v>
      </c>
      <c r="H22" s="66">
        <f t="shared" si="2"/>
        <v>0</v>
      </c>
      <c r="I22" s="90">
        <f t="shared" si="3"/>
        <v>0</v>
      </c>
      <c r="J22" s="90">
        <f t="shared" si="4"/>
        <v>0</v>
      </c>
    </row>
    <row r="23" spans="1:10">
      <c r="A23" s="51">
        <f>'FB Laser'!A23</f>
        <v>0</v>
      </c>
      <c r="B23" s="52">
        <f>'FB Laser'!B23</f>
        <v>0</v>
      </c>
      <c r="C23" s="52">
        <f>IF('FB Laser'!C23&gt;'FB Laser'!D23,'FB Laser'!C23,'FB Laser'!D23)</f>
        <v>0</v>
      </c>
      <c r="D23" s="49">
        <f t="shared" si="0"/>
        <v>1</v>
      </c>
      <c r="E23" s="13"/>
      <c r="F23" s="13"/>
      <c r="G23" s="78">
        <f t="shared" si="1"/>
        <v>0</v>
      </c>
      <c r="H23" s="66">
        <f t="shared" si="2"/>
        <v>0</v>
      </c>
      <c r="I23" s="90">
        <f t="shared" si="3"/>
        <v>0</v>
      </c>
      <c r="J23" s="90">
        <f t="shared" si="4"/>
        <v>0</v>
      </c>
    </row>
    <row r="24" spans="1:10">
      <c r="A24" s="51">
        <f>'FB Laser'!A24</f>
        <v>0</v>
      </c>
      <c r="B24" s="52">
        <f>'FB Laser'!B24</f>
        <v>0</v>
      </c>
      <c r="C24" s="52">
        <f>IF('FB Laser'!C24&gt;'FB Laser'!D24,'FB Laser'!C24,'FB Laser'!D24)</f>
        <v>0</v>
      </c>
      <c r="D24" s="49">
        <f t="shared" si="0"/>
        <v>1</v>
      </c>
      <c r="E24" s="13"/>
      <c r="F24" s="13"/>
      <c r="G24" s="78">
        <f t="shared" si="1"/>
        <v>0</v>
      </c>
      <c r="H24" s="66">
        <f t="shared" si="2"/>
        <v>0</v>
      </c>
      <c r="I24" s="90">
        <f t="shared" si="3"/>
        <v>0</v>
      </c>
      <c r="J24" s="90">
        <f t="shared" si="4"/>
        <v>0</v>
      </c>
    </row>
    <row r="25" spans="1:10">
      <c r="A25" s="51">
        <f>'FB Laser'!A25</f>
        <v>0</v>
      </c>
      <c r="B25" s="52">
        <f>'FB Laser'!B25</f>
        <v>0</v>
      </c>
      <c r="C25" s="52">
        <f>IF('FB Laser'!C25&gt;'FB Laser'!D25,'FB Laser'!C25,'FB Laser'!D25)</f>
        <v>0</v>
      </c>
      <c r="D25" s="49">
        <f t="shared" si="0"/>
        <v>1</v>
      </c>
      <c r="E25" s="13"/>
      <c r="F25" s="13"/>
      <c r="G25" s="78">
        <f t="shared" si="1"/>
        <v>0</v>
      </c>
      <c r="H25" s="66">
        <f t="shared" si="2"/>
        <v>0</v>
      </c>
      <c r="I25" s="90">
        <f t="shared" si="3"/>
        <v>0</v>
      </c>
      <c r="J25" s="90">
        <f t="shared" si="4"/>
        <v>0</v>
      </c>
    </row>
    <row r="26" spans="1:10">
      <c r="A26" s="51">
        <f>'FB Laser'!A26</f>
        <v>0</v>
      </c>
      <c r="B26" s="52">
        <f>'FB Laser'!B26</f>
        <v>0</v>
      </c>
      <c r="C26" s="52">
        <f>IF('FB Laser'!C26&gt;'FB Laser'!D26,'FB Laser'!C26,'FB Laser'!D26)</f>
        <v>0</v>
      </c>
      <c r="D26" s="49">
        <f t="shared" si="0"/>
        <v>1</v>
      </c>
      <c r="E26" s="13"/>
      <c r="F26" s="13"/>
      <c r="G26" s="78">
        <f t="shared" si="1"/>
        <v>0</v>
      </c>
      <c r="H26" s="66">
        <f t="shared" si="2"/>
        <v>0</v>
      </c>
      <c r="I26" s="90">
        <f t="shared" si="3"/>
        <v>0</v>
      </c>
      <c r="J26" s="90">
        <f t="shared" si="4"/>
        <v>0</v>
      </c>
    </row>
    <row r="27" spans="1:10">
      <c r="A27" s="51">
        <f>'FB Laser'!A27</f>
        <v>0</v>
      </c>
      <c r="B27" s="52">
        <f>'FB Laser'!B27</f>
        <v>0</v>
      </c>
      <c r="C27" s="52">
        <f>IF('FB Laser'!C27&gt;'FB Laser'!D27,'FB Laser'!C27,'FB Laser'!D27)</f>
        <v>0</v>
      </c>
      <c r="D27" s="49">
        <f t="shared" si="0"/>
        <v>1</v>
      </c>
      <c r="E27" s="13"/>
      <c r="F27" s="13"/>
      <c r="G27" s="78">
        <f t="shared" si="1"/>
        <v>0</v>
      </c>
      <c r="H27" s="66">
        <f t="shared" si="2"/>
        <v>0</v>
      </c>
      <c r="I27" s="90">
        <f t="shared" si="3"/>
        <v>0</v>
      </c>
      <c r="J27" s="90">
        <f t="shared" si="4"/>
        <v>0</v>
      </c>
    </row>
    <row r="28" spans="1:10">
      <c r="A28" s="51">
        <f>'FB Laser'!A28</f>
        <v>0</v>
      </c>
      <c r="B28" s="52">
        <f>'FB Laser'!B28</f>
        <v>0</v>
      </c>
      <c r="C28" s="52">
        <f>IF('FB Laser'!C28&gt;'FB Laser'!D28,'FB Laser'!C28,'FB Laser'!D28)</f>
        <v>0</v>
      </c>
      <c r="D28" s="49">
        <f t="shared" si="0"/>
        <v>1</v>
      </c>
      <c r="E28" s="13"/>
      <c r="F28" s="13"/>
      <c r="G28" s="78">
        <f t="shared" si="1"/>
        <v>0</v>
      </c>
      <c r="H28" s="66">
        <f t="shared" si="2"/>
        <v>0</v>
      </c>
      <c r="I28" s="90">
        <f t="shared" si="3"/>
        <v>0</v>
      </c>
      <c r="J28" s="90">
        <f t="shared" si="4"/>
        <v>0</v>
      </c>
    </row>
    <row r="29" spans="1:10">
      <c r="A29" s="51">
        <f>'FB Laser'!A29</f>
        <v>0</v>
      </c>
      <c r="B29" s="52">
        <f>'FB Laser'!B29</f>
        <v>0</v>
      </c>
      <c r="C29" s="52">
        <f>IF('FB Laser'!C29&gt;'FB Laser'!D29,'FB Laser'!C29,'FB Laser'!D29)</f>
        <v>0</v>
      </c>
      <c r="D29" s="49">
        <f t="shared" si="0"/>
        <v>1</v>
      </c>
      <c r="E29" s="13"/>
      <c r="F29" s="13"/>
      <c r="G29" s="78">
        <f t="shared" si="1"/>
        <v>0</v>
      </c>
      <c r="H29" s="66">
        <f t="shared" si="2"/>
        <v>0</v>
      </c>
      <c r="I29" s="90">
        <f t="shared" si="3"/>
        <v>0</v>
      </c>
      <c r="J29" s="90">
        <f t="shared" si="4"/>
        <v>0</v>
      </c>
    </row>
    <row r="30" spans="1:10">
      <c r="A30" s="51">
        <f>'FB Laser'!A30</f>
        <v>0</v>
      </c>
      <c r="B30" s="52">
        <f>'FB Laser'!B30</f>
        <v>0</v>
      </c>
      <c r="C30" s="52">
        <f>IF('FB Laser'!C30&gt;'FB Laser'!D30,'FB Laser'!C30,'FB Laser'!D30)</f>
        <v>0</v>
      </c>
      <c r="D30" s="49">
        <f t="shared" si="0"/>
        <v>1</v>
      </c>
      <c r="E30" s="13"/>
      <c r="F30" s="13"/>
      <c r="G30" s="78">
        <f t="shared" si="1"/>
        <v>0</v>
      </c>
      <c r="H30" s="66">
        <f t="shared" si="2"/>
        <v>0</v>
      </c>
      <c r="I30" s="90">
        <f t="shared" si="3"/>
        <v>0</v>
      </c>
      <c r="J30" s="90">
        <f t="shared" si="4"/>
        <v>0</v>
      </c>
    </row>
    <row r="31" spans="1:10">
      <c r="A31" s="51">
        <f>'FB Laser'!A31</f>
        <v>0</v>
      </c>
      <c r="B31" s="52">
        <f>'FB Laser'!B31</f>
        <v>0</v>
      </c>
      <c r="C31" s="52">
        <f>IF('FB Laser'!C31&gt;'FB Laser'!D31,'FB Laser'!C31,'FB Laser'!D31)</f>
        <v>0</v>
      </c>
      <c r="D31" s="49">
        <f t="shared" si="0"/>
        <v>1</v>
      </c>
      <c r="E31" s="13"/>
      <c r="F31" s="13"/>
      <c r="G31" s="78">
        <f t="shared" si="1"/>
        <v>0</v>
      </c>
      <c r="H31" s="66">
        <f t="shared" si="2"/>
        <v>0</v>
      </c>
      <c r="I31" s="90">
        <f t="shared" si="3"/>
        <v>0</v>
      </c>
      <c r="J31" s="90">
        <f t="shared" si="4"/>
        <v>0</v>
      </c>
    </row>
    <row r="32" spans="1:10">
      <c r="A32" s="51">
        <f>'FB Laser'!A32</f>
        <v>0</v>
      </c>
      <c r="B32" s="52">
        <f>'FB Laser'!B32</f>
        <v>0</v>
      </c>
      <c r="C32" s="52">
        <f>IF('FB Laser'!C32&gt;'FB Laser'!D32,'FB Laser'!C32,'FB Laser'!D32)</f>
        <v>0</v>
      </c>
      <c r="D32" s="49">
        <f t="shared" si="0"/>
        <v>1</v>
      </c>
      <c r="E32" s="13"/>
      <c r="F32" s="13"/>
      <c r="G32" s="78">
        <f t="shared" si="1"/>
        <v>0</v>
      </c>
      <c r="H32" s="66">
        <f t="shared" si="2"/>
        <v>0</v>
      </c>
      <c r="I32" s="90">
        <f t="shared" si="3"/>
        <v>0</v>
      </c>
      <c r="J32" s="90">
        <f t="shared" si="4"/>
        <v>0</v>
      </c>
    </row>
    <row r="33" spans="1:10">
      <c r="A33" s="51">
        <f>'FB Laser'!A33</f>
        <v>0</v>
      </c>
      <c r="B33" s="52">
        <f>'FB Laser'!B33</f>
        <v>0</v>
      </c>
      <c r="C33" s="52">
        <f>IF('FB Laser'!C33&gt;'FB Laser'!D33,'FB Laser'!C33,'FB Laser'!D33)</f>
        <v>0</v>
      </c>
      <c r="D33" s="49">
        <f t="shared" si="0"/>
        <v>1</v>
      </c>
      <c r="E33" s="13"/>
      <c r="F33" s="13"/>
      <c r="G33" s="78">
        <f t="shared" si="1"/>
        <v>0</v>
      </c>
      <c r="H33" s="66">
        <f t="shared" si="2"/>
        <v>0</v>
      </c>
      <c r="I33" s="90">
        <f t="shared" si="3"/>
        <v>0</v>
      </c>
      <c r="J33" s="90">
        <f t="shared" si="4"/>
        <v>0</v>
      </c>
    </row>
    <row r="34" spans="1:10">
      <c r="A34" s="51">
        <f>'FB Laser'!A34</f>
        <v>0</v>
      </c>
      <c r="B34" s="52">
        <f>'FB Laser'!B34</f>
        <v>0</v>
      </c>
      <c r="C34" s="52">
        <f>IF('FB Laser'!C34&gt;'FB Laser'!D34,'FB Laser'!C34,'FB Laser'!D34)</f>
        <v>0</v>
      </c>
      <c r="D34" s="49">
        <f t="shared" si="0"/>
        <v>1</v>
      </c>
      <c r="E34" s="13"/>
      <c r="F34" s="13"/>
      <c r="G34" s="78">
        <f t="shared" si="1"/>
        <v>0</v>
      </c>
      <c r="H34" s="66">
        <f t="shared" si="2"/>
        <v>0</v>
      </c>
      <c r="I34" s="90">
        <f t="shared" si="3"/>
        <v>0</v>
      </c>
      <c r="J34" s="90">
        <f t="shared" si="4"/>
        <v>0</v>
      </c>
    </row>
    <row r="35" spans="1:10">
      <c r="A35" s="51">
        <f>'FB Laser'!A35</f>
        <v>0</v>
      </c>
      <c r="B35" s="52">
        <f>'FB Laser'!B35</f>
        <v>0</v>
      </c>
      <c r="C35" s="52">
        <f>IF('FB Laser'!C35&gt;'FB Laser'!D35,'FB Laser'!C35,'FB Laser'!D35)</f>
        <v>0</v>
      </c>
      <c r="D35" s="49">
        <f t="shared" si="0"/>
        <v>1</v>
      </c>
      <c r="E35" s="13"/>
      <c r="F35" s="13"/>
      <c r="G35" s="78">
        <f t="shared" si="1"/>
        <v>0</v>
      </c>
      <c r="H35" s="66">
        <f t="shared" si="2"/>
        <v>0</v>
      </c>
      <c r="I35" s="90">
        <f t="shared" si="3"/>
        <v>0</v>
      </c>
      <c r="J35" s="90">
        <f t="shared" si="4"/>
        <v>0</v>
      </c>
    </row>
    <row r="36" spans="1:10">
      <c r="A36" s="51">
        <f>'FB Laser'!A36</f>
        <v>0</v>
      </c>
      <c r="B36" s="52">
        <f>'FB Laser'!B36</f>
        <v>0</v>
      </c>
      <c r="C36" s="52">
        <f>IF('FB Laser'!C36&gt;'FB Laser'!D36,'FB Laser'!C36,'FB Laser'!D36)</f>
        <v>0</v>
      </c>
      <c r="D36" s="49">
        <f t="shared" si="0"/>
        <v>1</v>
      </c>
      <c r="E36" s="13"/>
      <c r="F36" s="13"/>
      <c r="G36" s="78">
        <f t="shared" si="1"/>
        <v>0</v>
      </c>
      <c r="H36" s="66">
        <f t="shared" si="2"/>
        <v>0</v>
      </c>
      <c r="I36" s="90">
        <f t="shared" si="3"/>
        <v>0</v>
      </c>
      <c r="J36" s="90">
        <f t="shared" si="4"/>
        <v>0</v>
      </c>
    </row>
    <row r="37" spans="1:10">
      <c r="A37" s="51">
        <f>'FB Laser'!A37</f>
        <v>0</v>
      </c>
      <c r="B37" s="52">
        <f>'FB Laser'!B37</f>
        <v>0</v>
      </c>
      <c r="C37" s="52">
        <f>IF('FB Laser'!C37&gt;'FB Laser'!D37,'FB Laser'!C37,'FB Laser'!D37)</f>
        <v>0</v>
      </c>
      <c r="D37" s="49">
        <f t="shared" si="0"/>
        <v>1</v>
      </c>
      <c r="E37" s="13"/>
      <c r="F37" s="13"/>
      <c r="G37" s="78">
        <f t="shared" si="1"/>
        <v>0</v>
      </c>
      <c r="H37" s="66">
        <f t="shared" si="2"/>
        <v>0</v>
      </c>
      <c r="I37" s="90">
        <f t="shared" si="3"/>
        <v>0</v>
      </c>
      <c r="J37" s="90">
        <f t="shared" si="4"/>
        <v>0</v>
      </c>
    </row>
    <row r="38" spans="1:10">
      <c r="A38" s="51">
        <f>'FB Laser'!A38</f>
        <v>0</v>
      </c>
      <c r="B38" s="52">
        <f>'FB Laser'!B38</f>
        <v>0</v>
      </c>
      <c r="C38" s="52">
        <f>IF('FB Laser'!C38&gt;'FB Laser'!D38,'FB Laser'!C38,'FB Laser'!D38)</f>
        <v>0</v>
      </c>
      <c r="D38" s="49">
        <f t="shared" si="0"/>
        <v>1</v>
      </c>
      <c r="E38" s="13"/>
      <c r="F38" s="13"/>
      <c r="G38" s="78">
        <f t="shared" si="1"/>
        <v>0</v>
      </c>
      <c r="H38" s="66">
        <f t="shared" si="2"/>
        <v>0</v>
      </c>
      <c r="I38" s="90">
        <f t="shared" si="3"/>
        <v>0</v>
      </c>
      <c r="J38" s="90">
        <f t="shared" si="4"/>
        <v>0</v>
      </c>
    </row>
    <row r="39" spans="1:10">
      <c r="A39" s="51">
        <f>'FB Laser'!A39</f>
        <v>0</v>
      </c>
      <c r="B39" s="52">
        <f>'FB Laser'!B39</f>
        <v>0</v>
      </c>
      <c r="C39" s="52">
        <f>IF('FB Laser'!C39&gt;'FB Laser'!D39,'FB Laser'!C39,'FB Laser'!D39)</f>
        <v>0</v>
      </c>
      <c r="D39" s="49">
        <f t="shared" si="0"/>
        <v>1</v>
      </c>
      <c r="E39" s="13"/>
      <c r="F39" s="13"/>
      <c r="G39" s="78">
        <f t="shared" si="1"/>
        <v>0</v>
      </c>
      <c r="H39" s="66">
        <f t="shared" si="2"/>
        <v>0</v>
      </c>
      <c r="I39" s="90">
        <f t="shared" si="3"/>
        <v>0</v>
      </c>
      <c r="J39" s="90">
        <f t="shared" si="4"/>
        <v>0</v>
      </c>
    </row>
    <row r="40" spans="1:10">
      <c r="A40" s="51">
        <f>'FB Laser'!A40</f>
        <v>0</v>
      </c>
      <c r="B40" s="52">
        <f>'FB Laser'!B40</f>
        <v>0</v>
      </c>
      <c r="C40" s="52">
        <f>IF('FB Laser'!C40&gt;'FB Laser'!D40,'FB Laser'!C40,'FB Laser'!D40)</f>
        <v>0</v>
      </c>
      <c r="D40" s="49">
        <f t="shared" si="0"/>
        <v>1</v>
      </c>
      <c r="E40" s="13"/>
      <c r="F40" s="13"/>
      <c r="G40" s="78">
        <f t="shared" si="1"/>
        <v>0</v>
      </c>
      <c r="H40" s="66">
        <f t="shared" si="2"/>
        <v>0</v>
      </c>
      <c r="I40" s="90">
        <f t="shared" si="3"/>
        <v>0</v>
      </c>
      <c r="J40" s="90">
        <f t="shared" si="4"/>
        <v>0</v>
      </c>
    </row>
    <row r="41" spans="1:10">
      <c r="A41" s="51">
        <f>'FB Laser'!A41</f>
        <v>0</v>
      </c>
      <c r="B41" s="52">
        <f>'FB Laser'!B41</f>
        <v>0</v>
      </c>
      <c r="C41" s="52">
        <f>IF('FB Laser'!C41&gt;'FB Laser'!D41,'FB Laser'!C41,'FB Laser'!D41)</f>
        <v>0</v>
      </c>
      <c r="D41" s="49">
        <f t="shared" si="0"/>
        <v>1</v>
      </c>
      <c r="E41" s="13"/>
      <c r="F41" s="13"/>
      <c r="G41" s="78">
        <f t="shared" si="1"/>
        <v>0</v>
      </c>
      <c r="H41" s="66">
        <f t="shared" si="2"/>
        <v>0</v>
      </c>
      <c r="I41" s="90">
        <f t="shared" si="3"/>
        <v>0</v>
      </c>
      <c r="J41" s="90">
        <f t="shared" si="4"/>
        <v>0</v>
      </c>
    </row>
    <row r="42" spans="1:10">
      <c r="A42" s="51">
        <f>'FB Laser'!A42</f>
        <v>0</v>
      </c>
      <c r="B42" s="52">
        <f>'FB Laser'!B42</f>
        <v>0</v>
      </c>
      <c r="C42" s="52">
        <f>IF('FB Laser'!C42&gt;'FB Laser'!D42,'FB Laser'!C42,'FB Laser'!D42)</f>
        <v>0</v>
      </c>
      <c r="D42" s="49">
        <f t="shared" si="0"/>
        <v>1</v>
      </c>
      <c r="E42" s="13"/>
      <c r="F42" s="13"/>
      <c r="G42" s="78">
        <f t="shared" si="1"/>
        <v>0</v>
      </c>
      <c r="H42" s="66">
        <f t="shared" si="2"/>
        <v>0</v>
      </c>
      <c r="I42" s="90">
        <f t="shared" si="3"/>
        <v>0</v>
      </c>
      <c r="J42" s="90">
        <f t="shared" si="4"/>
        <v>0</v>
      </c>
    </row>
    <row r="43" spans="1:10">
      <c r="A43" s="51">
        <f>'FB Laser'!A43</f>
        <v>0</v>
      </c>
      <c r="B43" s="52">
        <f>'FB Laser'!B43</f>
        <v>0</v>
      </c>
      <c r="C43" s="52">
        <f>IF('FB Laser'!C43&gt;'FB Laser'!D43,'FB Laser'!C43,'FB Laser'!D43)</f>
        <v>0</v>
      </c>
      <c r="D43" s="49">
        <f t="shared" si="0"/>
        <v>1</v>
      </c>
      <c r="E43" s="13"/>
      <c r="F43" s="13"/>
      <c r="G43" s="78">
        <f t="shared" si="1"/>
        <v>0</v>
      </c>
      <c r="H43" s="66">
        <f t="shared" si="2"/>
        <v>0</v>
      </c>
      <c r="I43" s="90">
        <f t="shared" si="3"/>
        <v>0</v>
      </c>
      <c r="J43" s="90">
        <f t="shared" si="4"/>
        <v>0</v>
      </c>
    </row>
    <row r="44" spans="1:10">
      <c r="A44" s="51">
        <f>'FB Laser'!A44</f>
        <v>0</v>
      </c>
      <c r="B44" s="52">
        <f>'FB Laser'!B44</f>
        <v>0</v>
      </c>
      <c r="C44" s="52">
        <f>IF('FB Laser'!C44&gt;'FB Laser'!D44,'FB Laser'!C44,'FB Laser'!D44)</f>
        <v>0</v>
      </c>
      <c r="D44" s="49">
        <f t="shared" si="0"/>
        <v>1</v>
      </c>
      <c r="E44" s="13"/>
      <c r="F44" s="13"/>
      <c r="G44" s="78">
        <f t="shared" si="1"/>
        <v>0</v>
      </c>
      <c r="H44" s="66">
        <f t="shared" si="2"/>
        <v>0</v>
      </c>
      <c r="I44" s="90">
        <f t="shared" si="3"/>
        <v>0</v>
      </c>
      <c r="J44" s="90">
        <f t="shared" si="4"/>
        <v>0</v>
      </c>
    </row>
    <row r="45" spans="1:10">
      <c r="A45" s="51">
        <f>'FB Laser'!A45</f>
        <v>0</v>
      </c>
      <c r="B45" s="52">
        <f>'FB Laser'!B45</f>
        <v>0</v>
      </c>
      <c r="C45" s="52">
        <f>IF('FB Laser'!C45&gt;'FB Laser'!D45,'FB Laser'!C45,'FB Laser'!D45)</f>
        <v>0</v>
      </c>
      <c r="D45" s="49">
        <f t="shared" si="0"/>
        <v>1</v>
      </c>
      <c r="E45" s="13"/>
      <c r="F45" s="13"/>
      <c r="G45" s="78">
        <f t="shared" si="1"/>
        <v>0</v>
      </c>
      <c r="H45" s="66">
        <f t="shared" si="2"/>
        <v>0</v>
      </c>
      <c r="I45" s="90">
        <f t="shared" si="3"/>
        <v>0</v>
      </c>
      <c r="J45" s="90">
        <f t="shared" si="4"/>
        <v>0</v>
      </c>
    </row>
    <row r="46" spans="1:10">
      <c r="A46" s="51">
        <f>'FB Laser'!A46</f>
        <v>0</v>
      </c>
      <c r="B46" s="52">
        <f>'FB Laser'!B46</f>
        <v>0</v>
      </c>
      <c r="C46" s="52">
        <f>IF('FB Laser'!C46&gt;'FB Laser'!D46,'FB Laser'!C46,'FB Laser'!D46)</f>
        <v>0</v>
      </c>
      <c r="D46" s="49">
        <f t="shared" si="0"/>
        <v>1</v>
      </c>
      <c r="E46" s="13"/>
      <c r="F46" s="13"/>
      <c r="G46" s="78">
        <f t="shared" si="1"/>
        <v>0</v>
      </c>
      <c r="H46" s="66">
        <f t="shared" si="2"/>
        <v>0</v>
      </c>
      <c r="I46" s="90">
        <f t="shared" si="3"/>
        <v>0</v>
      </c>
      <c r="J46" s="90">
        <f t="shared" si="4"/>
        <v>0</v>
      </c>
    </row>
    <row r="47" spans="1:10">
      <c r="A47" s="51">
        <f>'FB Laser'!A47</f>
        <v>0</v>
      </c>
      <c r="B47" s="52">
        <f>'FB Laser'!B47</f>
        <v>0</v>
      </c>
      <c r="C47" s="52">
        <f>IF('FB Laser'!C47&gt;'FB Laser'!D47,'FB Laser'!C47,'FB Laser'!D47)</f>
        <v>0</v>
      </c>
      <c r="D47" s="49">
        <f t="shared" si="0"/>
        <v>1</v>
      </c>
      <c r="E47" s="13"/>
      <c r="F47" s="13"/>
      <c r="G47" s="78">
        <f t="shared" si="1"/>
        <v>0</v>
      </c>
      <c r="H47" s="66">
        <f t="shared" si="2"/>
        <v>0</v>
      </c>
      <c r="I47" s="90">
        <f t="shared" si="3"/>
        <v>0</v>
      </c>
      <c r="J47" s="90">
        <f t="shared" si="4"/>
        <v>0</v>
      </c>
    </row>
    <row r="48" spans="1:10">
      <c r="A48" s="51">
        <f>'FB Laser'!A48</f>
        <v>0</v>
      </c>
      <c r="B48" s="52">
        <f>'FB Laser'!B48</f>
        <v>0</v>
      </c>
      <c r="C48" s="52">
        <f>IF('FB Laser'!C48&gt;'FB Laser'!D48,'FB Laser'!C48,'FB Laser'!D48)</f>
        <v>0</v>
      </c>
      <c r="D48" s="49">
        <f t="shared" si="0"/>
        <v>1</v>
      </c>
      <c r="E48" s="13"/>
      <c r="F48" s="13"/>
      <c r="G48" s="78">
        <f t="shared" si="1"/>
        <v>0</v>
      </c>
      <c r="H48" s="66">
        <f t="shared" si="2"/>
        <v>0</v>
      </c>
      <c r="I48" s="90">
        <f t="shared" si="3"/>
        <v>0</v>
      </c>
      <c r="J48" s="90">
        <f t="shared" si="4"/>
        <v>0</v>
      </c>
    </row>
    <row r="49" spans="1:10">
      <c r="A49" s="51">
        <f>'FB Laser'!A49</f>
        <v>0</v>
      </c>
      <c r="B49" s="52">
        <f>'FB Laser'!B49</f>
        <v>0</v>
      </c>
      <c r="C49" s="52">
        <f>IF('FB Laser'!C49&gt;'FB Laser'!D49,'FB Laser'!C49,'FB Laser'!D49)</f>
        <v>0</v>
      </c>
      <c r="D49" s="49">
        <f t="shared" si="0"/>
        <v>1</v>
      </c>
      <c r="E49" s="13"/>
      <c r="F49" s="13"/>
      <c r="G49" s="78">
        <f t="shared" si="1"/>
        <v>0</v>
      </c>
      <c r="H49" s="66">
        <f t="shared" si="2"/>
        <v>0</v>
      </c>
      <c r="I49" s="90">
        <f t="shared" si="3"/>
        <v>0</v>
      </c>
      <c r="J49" s="90">
        <f t="shared" si="4"/>
        <v>0</v>
      </c>
    </row>
    <row r="50" spans="1:10">
      <c r="A50" s="51">
        <f>'FB Laser'!A50</f>
        <v>0</v>
      </c>
      <c r="B50" s="52">
        <f>'FB Laser'!B50</f>
        <v>0</v>
      </c>
      <c r="C50" s="52">
        <f>IF('FB Laser'!C50&gt;'FB Laser'!D50,'FB Laser'!C50,'FB Laser'!D50)</f>
        <v>0</v>
      </c>
      <c r="D50" s="49">
        <f t="shared" si="0"/>
        <v>1</v>
      </c>
      <c r="E50" s="13"/>
      <c r="F50" s="13"/>
      <c r="G50" s="78">
        <f t="shared" si="1"/>
        <v>0</v>
      </c>
      <c r="H50" s="66">
        <f t="shared" si="2"/>
        <v>0</v>
      </c>
      <c r="I50" s="90">
        <f t="shared" si="3"/>
        <v>0</v>
      </c>
      <c r="J50" s="90">
        <f t="shared" si="4"/>
        <v>0</v>
      </c>
    </row>
    <row r="51" spans="1:10">
      <c r="A51" s="51">
        <f>'FB Laser'!A51</f>
        <v>0</v>
      </c>
      <c r="B51" s="52">
        <f>'FB Laser'!B51</f>
        <v>0</v>
      </c>
      <c r="C51" s="52">
        <f>IF('FB Laser'!C51&gt;'FB Laser'!D51,'FB Laser'!C51,'FB Laser'!D51)</f>
        <v>0</v>
      </c>
      <c r="D51" s="49">
        <f t="shared" si="0"/>
        <v>1</v>
      </c>
      <c r="E51" s="13"/>
      <c r="F51" s="13"/>
      <c r="G51" s="78">
        <f t="shared" si="1"/>
        <v>0</v>
      </c>
      <c r="H51" s="66">
        <f t="shared" si="2"/>
        <v>0</v>
      </c>
      <c r="I51" s="90">
        <f t="shared" si="3"/>
        <v>0</v>
      </c>
      <c r="J51" s="90">
        <f t="shared" si="4"/>
        <v>0</v>
      </c>
    </row>
    <row r="52" spans="1:10">
      <c r="A52" s="51">
        <f>'FB Laser'!A52</f>
        <v>0</v>
      </c>
      <c r="B52" s="52">
        <f>'FB Laser'!B52</f>
        <v>0</v>
      </c>
      <c r="C52" s="52">
        <f>IF('FB Laser'!C52&gt;'FB Laser'!D52,'FB Laser'!C52,'FB Laser'!D52)</f>
        <v>0</v>
      </c>
      <c r="D52" s="49">
        <f t="shared" si="0"/>
        <v>1</v>
      </c>
      <c r="E52" s="13"/>
      <c r="F52" s="13"/>
      <c r="G52" s="78">
        <f t="shared" si="1"/>
        <v>0</v>
      </c>
      <c r="H52" s="66">
        <f t="shared" si="2"/>
        <v>0</v>
      </c>
      <c r="I52" s="90">
        <f t="shared" si="3"/>
        <v>0</v>
      </c>
      <c r="J52" s="90">
        <f t="shared" si="4"/>
        <v>0</v>
      </c>
    </row>
    <row r="53" spans="1:10">
      <c r="A53" s="51">
        <f>'FB Laser'!A53</f>
        <v>0</v>
      </c>
      <c r="B53" s="52">
        <f>'FB Laser'!B53</f>
        <v>0</v>
      </c>
      <c r="C53" s="52">
        <f>IF('FB Laser'!C53&gt;'FB Laser'!D53,'FB Laser'!C53,'FB Laser'!D53)</f>
        <v>0</v>
      </c>
      <c r="D53" s="49">
        <f t="shared" si="0"/>
        <v>1</v>
      </c>
      <c r="E53" s="13"/>
      <c r="F53" s="13"/>
      <c r="G53" s="78">
        <f t="shared" si="1"/>
        <v>0</v>
      </c>
      <c r="H53" s="66">
        <f t="shared" si="2"/>
        <v>0</v>
      </c>
      <c r="I53" s="90">
        <f t="shared" si="3"/>
        <v>0</v>
      </c>
      <c r="J53" s="90">
        <f t="shared" si="4"/>
        <v>0</v>
      </c>
    </row>
    <row r="54" spans="1:10">
      <c r="A54" s="51">
        <f>'FB Laser'!A54</f>
        <v>0</v>
      </c>
      <c r="B54" s="52">
        <f>'FB Laser'!B54</f>
        <v>0</v>
      </c>
      <c r="C54" s="52">
        <f>IF('FB Laser'!C54&gt;'FB Laser'!D54,'FB Laser'!C54,'FB Laser'!D54)</f>
        <v>0</v>
      </c>
      <c r="D54" s="49">
        <f t="shared" si="0"/>
        <v>1</v>
      </c>
      <c r="E54" s="13"/>
      <c r="F54" s="13"/>
      <c r="G54" s="78">
        <f t="shared" si="1"/>
        <v>0</v>
      </c>
      <c r="H54" s="66">
        <f t="shared" si="2"/>
        <v>0</v>
      </c>
      <c r="I54" s="90">
        <f t="shared" si="3"/>
        <v>0</v>
      </c>
      <c r="J54" s="90">
        <f t="shared" si="4"/>
        <v>0</v>
      </c>
    </row>
    <row r="55" spans="1:10">
      <c r="A55" s="51">
        <f>'FB Laser'!A55</f>
        <v>0</v>
      </c>
      <c r="B55" s="52">
        <f>'FB Laser'!B55</f>
        <v>0</v>
      </c>
      <c r="C55" s="52">
        <f>IF('FB Laser'!C55&gt;'FB Laser'!D55,'FB Laser'!C55,'FB Laser'!D55)</f>
        <v>0</v>
      </c>
      <c r="D55" s="49">
        <f t="shared" si="0"/>
        <v>1</v>
      </c>
      <c r="E55" s="13"/>
      <c r="F55" s="13"/>
      <c r="G55" s="78">
        <f t="shared" si="1"/>
        <v>0</v>
      </c>
      <c r="H55" s="66">
        <f t="shared" si="2"/>
        <v>0</v>
      </c>
      <c r="I55" s="90">
        <f t="shared" si="3"/>
        <v>0</v>
      </c>
      <c r="J55" s="90">
        <f t="shared" si="4"/>
        <v>0</v>
      </c>
    </row>
    <row r="56" spans="1:10">
      <c r="A56" s="51">
        <f>'FB Laser'!A56</f>
        <v>0</v>
      </c>
      <c r="B56" s="52">
        <f>'FB Laser'!B56</f>
        <v>0</v>
      </c>
      <c r="C56" s="52">
        <f>IF('FB Laser'!C56&gt;'FB Laser'!D56,'FB Laser'!C56,'FB Laser'!D56)</f>
        <v>0</v>
      </c>
      <c r="D56" s="49">
        <f t="shared" si="0"/>
        <v>1</v>
      </c>
      <c r="E56" s="13"/>
      <c r="F56" s="13"/>
      <c r="G56" s="78">
        <f t="shared" si="1"/>
        <v>0</v>
      </c>
      <c r="H56" s="66">
        <f t="shared" si="2"/>
        <v>0</v>
      </c>
      <c r="I56" s="90">
        <f t="shared" si="3"/>
        <v>0</v>
      </c>
      <c r="J56" s="90">
        <f t="shared" si="4"/>
        <v>0</v>
      </c>
    </row>
    <row r="57" spans="1:10">
      <c r="A57" s="51">
        <f>'FB Laser'!A57</f>
        <v>0</v>
      </c>
      <c r="B57" s="52">
        <f>'FB Laser'!B57</f>
        <v>0</v>
      </c>
      <c r="C57" s="52">
        <f>IF('FB Laser'!C57&gt;'FB Laser'!D57,'FB Laser'!C57,'FB Laser'!D57)</f>
        <v>0</v>
      </c>
      <c r="D57" s="49">
        <f t="shared" si="0"/>
        <v>1</v>
      </c>
      <c r="E57" s="13"/>
      <c r="F57" s="13"/>
      <c r="G57" s="78">
        <f t="shared" si="1"/>
        <v>0</v>
      </c>
      <c r="H57" s="66">
        <f t="shared" si="2"/>
        <v>0</v>
      </c>
      <c r="I57" s="90">
        <f t="shared" si="3"/>
        <v>0</v>
      </c>
      <c r="J57" s="90">
        <f t="shared" si="4"/>
        <v>0</v>
      </c>
    </row>
    <row r="58" spans="1:10">
      <c r="A58" s="51">
        <f>'FB Laser'!A58</f>
        <v>0</v>
      </c>
      <c r="B58" s="52">
        <f>'FB Laser'!B58</f>
        <v>0</v>
      </c>
      <c r="C58" s="52">
        <f>IF('FB Laser'!C58&gt;'FB Laser'!D58,'FB Laser'!C58,'FB Laser'!D58)</f>
        <v>0</v>
      </c>
      <c r="D58" s="49">
        <f t="shared" si="0"/>
        <v>1</v>
      </c>
      <c r="E58" s="13"/>
      <c r="F58" s="13"/>
      <c r="G58" s="78">
        <f t="shared" si="1"/>
        <v>0</v>
      </c>
      <c r="H58" s="66">
        <f t="shared" si="2"/>
        <v>0</v>
      </c>
      <c r="I58" s="90">
        <f t="shared" si="3"/>
        <v>0</v>
      </c>
      <c r="J58" s="90">
        <f t="shared" si="4"/>
        <v>0</v>
      </c>
    </row>
    <row r="59" spans="1:10">
      <c r="A59" s="51">
        <f>'FB Laser'!A59</f>
        <v>0</v>
      </c>
      <c r="B59" s="52">
        <f>'FB Laser'!B59</f>
        <v>0</v>
      </c>
      <c r="C59" s="52">
        <f>IF('FB Laser'!C59&gt;'FB Laser'!D59,'FB Laser'!C59,'FB Laser'!D59)</f>
        <v>0</v>
      </c>
      <c r="D59" s="49">
        <f t="shared" si="0"/>
        <v>1</v>
      </c>
      <c r="E59" s="13"/>
      <c r="F59" s="13"/>
      <c r="G59" s="78">
        <f t="shared" si="1"/>
        <v>0</v>
      </c>
      <c r="H59" s="66">
        <f t="shared" si="2"/>
        <v>0</v>
      </c>
      <c r="I59" s="90">
        <f t="shared" si="3"/>
        <v>0</v>
      </c>
      <c r="J59" s="90">
        <f t="shared" si="4"/>
        <v>0</v>
      </c>
    </row>
    <row r="60" spans="1:10">
      <c r="A60" s="51">
        <f>'FB Laser'!A60</f>
        <v>0</v>
      </c>
      <c r="B60" s="52">
        <f>'FB Laser'!B60</f>
        <v>0</v>
      </c>
      <c r="C60" s="52">
        <f>IF('FB Laser'!C60&gt;'FB Laser'!D60,'FB Laser'!C60,'FB Laser'!D60)</f>
        <v>0</v>
      </c>
      <c r="D60" s="49">
        <f t="shared" si="0"/>
        <v>1</v>
      </c>
      <c r="E60" s="13"/>
      <c r="F60" s="13"/>
      <c r="G60" s="78">
        <f t="shared" si="1"/>
        <v>0</v>
      </c>
      <c r="H60" s="66">
        <f t="shared" si="2"/>
        <v>0</v>
      </c>
      <c r="I60" s="90">
        <f t="shared" si="3"/>
        <v>0</v>
      </c>
      <c r="J60" s="90">
        <f t="shared" si="4"/>
        <v>0</v>
      </c>
    </row>
    <row r="61" spans="1:10">
      <c r="A61" s="51">
        <f>'FB Laser'!A61</f>
        <v>0</v>
      </c>
      <c r="B61" s="52">
        <f>'FB Laser'!B61</f>
        <v>0</v>
      </c>
      <c r="C61" s="52">
        <f>IF('FB Laser'!C61&gt;'FB Laser'!D61,'FB Laser'!C61,'FB Laser'!D61)</f>
        <v>0</v>
      </c>
      <c r="D61" s="49">
        <f t="shared" si="0"/>
        <v>1</v>
      </c>
      <c r="E61" s="13"/>
      <c r="F61" s="13"/>
      <c r="G61" s="78">
        <f t="shared" si="1"/>
        <v>0</v>
      </c>
      <c r="H61" s="66">
        <f t="shared" si="2"/>
        <v>0</v>
      </c>
      <c r="I61" s="90">
        <f t="shared" si="3"/>
        <v>0</v>
      </c>
      <c r="J61" s="90">
        <f t="shared" si="4"/>
        <v>0</v>
      </c>
    </row>
    <row r="62" spans="1:10">
      <c r="A62" s="51">
        <f>'FB Laser'!A62</f>
        <v>0</v>
      </c>
      <c r="B62" s="52">
        <f>'FB Laser'!B62</f>
        <v>0</v>
      </c>
      <c r="C62" s="52">
        <f>IF('FB Laser'!C62&gt;'FB Laser'!D62,'FB Laser'!C62,'FB Laser'!D62)</f>
        <v>0</v>
      </c>
      <c r="D62" s="49">
        <f t="shared" si="0"/>
        <v>1</v>
      </c>
      <c r="E62" s="13"/>
      <c r="F62" s="13"/>
      <c r="G62" s="78">
        <f t="shared" si="1"/>
        <v>0</v>
      </c>
      <c r="H62" s="66">
        <f t="shared" si="2"/>
        <v>0</v>
      </c>
      <c r="I62" s="90">
        <f t="shared" si="3"/>
        <v>0</v>
      </c>
      <c r="J62" s="90">
        <f t="shared" si="4"/>
        <v>0</v>
      </c>
    </row>
    <row r="63" spans="1:10">
      <c r="A63" s="51">
        <f>'FB Laser'!A63</f>
        <v>0</v>
      </c>
      <c r="B63" s="52">
        <f>'FB Laser'!B63</f>
        <v>0</v>
      </c>
      <c r="C63" s="52">
        <f>IF('FB Laser'!C63&gt;'FB Laser'!D63,'FB Laser'!C63,'FB Laser'!D63)</f>
        <v>0</v>
      </c>
      <c r="D63" s="49">
        <f t="shared" si="0"/>
        <v>1</v>
      </c>
      <c r="E63" s="13"/>
      <c r="F63" s="13"/>
      <c r="G63" s="78">
        <f t="shared" si="1"/>
        <v>0</v>
      </c>
      <c r="H63" s="66">
        <f t="shared" si="2"/>
        <v>0</v>
      </c>
      <c r="I63" s="90">
        <f t="shared" si="3"/>
        <v>0</v>
      </c>
      <c r="J63" s="90">
        <f t="shared" si="4"/>
        <v>0</v>
      </c>
    </row>
    <row r="64" spans="1:10">
      <c r="A64" s="51">
        <f>'FB Laser'!A64</f>
        <v>0</v>
      </c>
      <c r="B64" s="52">
        <f>'FB Laser'!B64</f>
        <v>0</v>
      </c>
      <c r="C64" s="52">
        <f>IF('FB Laser'!C64&gt;'FB Laser'!D64,'FB Laser'!C64,'FB Laser'!D64)</f>
        <v>0</v>
      </c>
      <c r="D64" s="49">
        <f t="shared" si="0"/>
        <v>1</v>
      </c>
      <c r="E64" s="13"/>
      <c r="F64" s="13"/>
      <c r="G64" s="78">
        <f t="shared" si="1"/>
        <v>0</v>
      </c>
      <c r="H64" s="66">
        <f t="shared" si="2"/>
        <v>0</v>
      </c>
      <c r="I64" s="90">
        <f t="shared" si="3"/>
        <v>0</v>
      </c>
      <c r="J64" s="90">
        <f t="shared" si="4"/>
        <v>0</v>
      </c>
    </row>
    <row r="65" spans="1:10">
      <c r="A65" s="51">
        <f>'FB Laser'!A65</f>
        <v>0</v>
      </c>
      <c r="B65" s="52">
        <f>'FB Laser'!B65</f>
        <v>0</v>
      </c>
      <c r="C65" s="52">
        <f>IF('FB Laser'!C65&gt;'FB Laser'!D65,'FB Laser'!C65,'FB Laser'!D65)</f>
        <v>0</v>
      </c>
      <c r="D65" s="49">
        <f t="shared" si="0"/>
        <v>1</v>
      </c>
      <c r="E65" s="13"/>
      <c r="F65" s="13"/>
      <c r="G65" s="78">
        <f t="shared" si="1"/>
        <v>0</v>
      </c>
      <c r="H65" s="66">
        <f t="shared" si="2"/>
        <v>0</v>
      </c>
      <c r="I65" s="90">
        <f t="shared" si="3"/>
        <v>0</v>
      </c>
      <c r="J65" s="90">
        <f t="shared" si="4"/>
        <v>0</v>
      </c>
    </row>
    <row r="66" spans="1:10">
      <c r="A66" s="51">
        <f>'FB Laser'!A66</f>
        <v>0</v>
      </c>
      <c r="B66" s="52">
        <f>'FB Laser'!B66</f>
        <v>0</v>
      </c>
      <c r="C66" s="52">
        <f>IF('FB Laser'!C66&gt;'FB Laser'!D66,'FB Laser'!C66,'FB Laser'!D66)</f>
        <v>0</v>
      </c>
      <c r="D66" s="49">
        <f t="shared" si="0"/>
        <v>1</v>
      </c>
      <c r="E66" s="13"/>
      <c r="F66" s="13"/>
      <c r="G66" s="78">
        <f t="shared" si="1"/>
        <v>0</v>
      </c>
      <c r="H66" s="66">
        <f t="shared" si="2"/>
        <v>0</v>
      </c>
      <c r="I66" s="90">
        <f t="shared" si="3"/>
        <v>0</v>
      </c>
      <c r="J66" s="90">
        <f t="shared" si="4"/>
        <v>0</v>
      </c>
    </row>
    <row r="67" spans="1:10">
      <c r="A67" s="51">
        <f>'FB Laser'!A67</f>
        <v>0</v>
      </c>
      <c r="B67" s="52">
        <f>'FB Laser'!B67</f>
        <v>0</v>
      </c>
      <c r="C67" s="52">
        <f>IF('FB Laser'!C67&gt;'FB Laser'!D67,'FB Laser'!C67,'FB Laser'!D67)</f>
        <v>0</v>
      </c>
      <c r="D67" s="49">
        <f t="shared" si="0"/>
        <v>1</v>
      </c>
      <c r="E67" s="13"/>
      <c r="F67" s="13"/>
      <c r="G67" s="78">
        <f t="shared" si="1"/>
        <v>0</v>
      </c>
      <c r="H67" s="66">
        <f t="shared" si="2"/>
        <v>0</v>
      </c>
      <c r="I67" s="90">
        <f t="shared" si="3"/>
        <v>0</v>
      </c>
      <c r="J67" s="90">
        <f t="shared" si="4"/>
        <v>0</v>
      </c>
    </row>
    <row r="68" spans="1:10">
      <c r="A68" s="51">
        <f>'FB Laser'!A68</f>
        <v>0</v>
      </c>
      <c r="B68" s="52">
        <f>'FB Laser'!B68</f>
        <v>0</v>
      </c>
      <c r="C68" s="52">
        <f>IF('FB Laser'!C68&gt;'FB Laser'!D68,'FB Laser'!C68,'FB Laser'!D68)</f>
        <v>0</v>
      </c>
      <c r="D68" s="49">
        <f t="shared" si="0"/>
        <v>1</v>
      </c>
      <c r="E68" s="13"/>
      <c r="F68" s="13"/>
      <c r="G68" s="78">
        <f t="shared" si="1"/>
        <v>0</v>
      </c>
      <c r="H68" s="66">
        <f t="shared" si="2"/>
        <v>0</v>
      </c>
      <c r="I68" s="90">
        <f t="shared" si="3"/>
        <v>0</v>
      </c>
      <c r="J68" s="90">
        <f t="shared" si="4"/>
        <v>0</v>
      </c>
    </row>
    <row r="69" spans="1:10">
      <c r="A69" s="51">
        <f>'FB Laser'!A69</f>
        <v>0</v>
      </c>
      <c r="B69" s="52">
        <f>'FB Laser'!B69</f>
        <v>0</v>
      </c>
      <c r="C69" s="52">
        <f>IF('FB Laser'!C69&gt;'FB Laser'!D69,'FB Laser'!C69,'FB Laser'!D69)</f>
        <v>0</v>
      </c>
      <c r="D69" s="49">
        <f t="shared" si="0"/>
        <v>1</v>
      </c>
      <c r="E69" s="13"/>
      <c r="F69" s="13"/>
      <c r="G69" s="78">
        <f t="shared" si="1"/>
        <v>0</v>
      </c>
      <c r="H69" s="66">
        <f t="shared" si="2"/>
        <v>0</v>
      </c>
      <c r="I69" s="90">
        <f t="shared" si="3"/>
        <v>0</v>
      </c>
      <c r="J69" s="90">
        <f t="shared" si="4"/>
        <v>0</v>
      </c>
    </row>
    <row r="70" spans="1:10">
      <c r="A70" s="51">
        <f>'FB Laser'!A70</f>
        <v>0</v>
      </c>
      <c r="B70" s="52">
        <f>'FB Laser'!B70</f>
        <v>0</v>
      </c>
      <c r="C70" s="52">
        <f>IF('FB Laser'!C70&gt;'FB Laser'!D70,'FB Laser'!C70,'FB Laser'!D70)</f>
        <v>0</v>
      </c>
      <c r="D70" s="49">
        <f t="shared" si="0"/>
        <v>1</v>
      </c>
      <c r="E70" s="13"/>
      <c r="F70" s="13"/>
      <c r="G70" s="78">
        <f t="shared" si="1"/>
        <v>0</v>
      </c>
      <c r="H70" s="66">
        <f t="shared" si="2"/>
        <v>0</v>
      </c>
      <c r="I70" s="90">
        <f t="shared" si="3"/>
        <v>0</v>
      </c>
      <c r="J70" s="90">
        <f t="shared" si="4"/>
        <v>0</v>
      </c>
    </row>
    <row r="71" spans="1:10">
      <c r="A71" s="51">
        <f>'FB Laser'!A71</f>
        <v>0</v>
      </c>
      <c r="B71" s="52">
        <f>'FB Laser'!B71</f>
        <v>0</v>
      </c>
      <c r="C71" s="52">
        <f>IF('FB Laser'!C71&gt;'FB Laser'!D71,'FB Laser'!C71,'FB Laser'!D71)</f>
        <v>0</v>
      </c>
      <c r="D71" s="49">
        <f t="shared" si="0"/>
        <v>1</v>
      </c>
      <c r="E71" s="13"/>
      <c r="F71" s="13"/>
      <c r="G71" s="78">
        <f t="shared" si="1"/>
        <v>0</v>
      </c>
      <c r="H71" s="66">
        <f t="shared" si="2"/>
        <v>0</v>
      </c>
      <c r="I71" s="90">
        <f t="shared" si="3"/>
        <v>0</v>
      </c>
      <c r="J71" s="90">
        <f t="shared" si="4"/>
        <v>0</v>
      </c>
    </row>
    <row r="72" spans="1:10">
      <c r="A72" s="51">
        <f>'FB Laser'!A72</f>
        <v>0</v>
      </c>
      <c r="B72" s="52">
        <f>'FB Laser'!B72</f>
        <v>0</v>
      </c>
      <c r="C72" s="52">
        <f>IF('FB Laser'!C72&gt;'FB Laser'!D72,'FB Laser'!C72,'FB Laser'!D72)</f>
        <v>0</v>
      </c>
      <c r="D72" s="49">
        <f t="shared" si="0"/>
        <v>1</v>
      </c>
      <c r="E72" s="13"/>
      <c r="F72" s="13"/>
      <c r="G72" s="78">
        <f t="shared" si="1"/>
        <v>0</v>
      </c>
      <c r="H72" s="66">
        <f t="shared" si="2"/>
        <v>0</v>
      </c>
      <c r="I72" s="90">
        <f t="shared" si="3"/>
        <v>0</v>
      </c>
      <c r="J72" s="90">
        <f t="shared" si="4"/>
        <v>0</v>
      </c>
    </row>
    <row r="73" spans="1:10">
      <c r="A73" s="51">
        <f>'FB Laser'!A73</f>
        <v>0</v>
      </c>
      <c r="B73" s="52">
        <f>'FB Laser'!B73</f>
        <v>0</v>
      </c>
      <c r="C73" s="52">
        <f>IF('FB Laser'!C73&gt;'FB Laser'!D73,'FB Laser'!C73,'FB Laser'!D73)</f>
        <v>0</v>
      </c>
      <c r="D73" s="49">
        <f t="shared" si="0"/>
        <v>1</v>
      </c>
      <c r="E73" s="13"/>
      <c r="F73" s="13"/>
      <c r="G73" s="78">
        <f t="shared" si="1"/>
        <v>0</v>
      </c>
      <c r="H73" s="66">
        <f t="shared" si="2"/>
        <v>0</v>
      </c>
      <c r="I73" s="90">
        <f t="shared" si="3"/>
        <v>0</v>
      </c>
      <c r="J73" s="90">
        <f t="shared" si="4"/>
        <v>0</v>
      </c>
    </row>
    <row r="74" spans="1:10">
      <c r="A74" s="51">
        <f>'FB Laser'!A74</f>
        <v>0</v>
      </c>
      <c r="B74" s="52">
        <f>'FB Laser'!B74</f>
        <v>0</v>
      </c>
      <c r="C74" s="52">
        <f>IF('FB Laser'!C74&gt;'FB Laser'!D74,'FB Laser'!C74,'FB Laser'!D74)</f>
        <v>0</v>
      </c>
      <c r="D74" s="49">
        <f t="shared" si="0"/>
        <v>1</v>
      </c>
      <c r="E74" s="13"/>
      <c r="F74" s="13"/>
      <c r="G74" s="78">
        <f t="shared" si="1"/>
        <v>0</v>
      </c>
      <c r="H74" s="66">
        <f t="shared" si="2"/>
        <v>0</v>
      </c>
      <c r="I74" s="90">
        <f t="shared" si="3"/>
        <v>0</v>
      </c>
      <c r="J74" s="90">
        <f t="shared" si="4"/>
        <v>0</v>
      </c>
    </row>
    <row r="75" spans="1:10">
      <c r="A75" s="51">
        <f>'FB Laser'!A75</f>
        <v>0</v>
      </c>
      <c r="B75" s="52">
        <f>'FB Laser'!B75</f>
        <v>0</v>
      </c>
      <c r="C75" s="52">
        <f>IF('FB Laser'!C75&gt;'FB Laser'!D75,'FB Laser'!C75,'FB Laser'!D75)</f>
        <v>0</v>
      </c>
      <c r="D75" s="49">
        <f t="shared" ref="D75:D99" si="5">IF(C75&lt;48.01,1,1.5)</f>
        <v>1</v>
      </c>
      <c r="E75" s="13"/>
      <c r="F75" s="13"/>
      <c r="G75" s="78">
        <f t="shared" ref="G75:G99" si="6">IFERROR((((E75/60)*$C$4)/B75)+((60/F75/60*$C$4)*D75),0)</f>
        <v>0</v>
      </c>
      <c r="H75" s="66">
        <f t="shared" ref="H75:H99" si="7">IFERROR(G75*B75,0)</f>
        <v>0</v>
      </c>
      <c r="I75" s="90">
        <f t="shared" ref="I75:I99" si="8">IFERROR((B75/F75)*60+(E75/60)*60,0)</f>
        <v>0</v>
      </c>
      <c r="J75" s="90">
        <f t="shared" ref="J75:J99" si="9">IF(D75=1.5,I75,0)</f>
        <v>0</v>
      </c>
    </row>
    <row r="76" spans="1:10">
      <c r="A76" s="51">
        <f>'FB Laser'!A76</f>
        <v>0</v>
      </c>
      <c r="B76" s="52">
        <f>'FB Laser'!B76</f>
        <v>0</v>
      </c>
      <c r="C76" s="52">
        <f>IF('FB Laser'!C76&gt;'FB Laser'!D76,'FB Laser'!C76,'FB Laser'!D76)</f>
        <v>0</v>
      </c>
      <c r="D76" s="49">
        <f t="shared" si="5"/>
        <v>1</v>
      </c>
      <c r="E76" s="13"/>
      <c r="F76" s="13"/>
      <c r="G76" s="78">
        <f t="shared" si="6"/>
        <v>0</v>
      </c>
      <c r="H76" s="66">
        <f t="shared" si="7"/>
        <v>0</v>
      </c>
      <c r="I76" s="90">
        <f t="shared" si="8"/>
        <v>0</v>
      </c>
      <c r="J76" s="90">
        <f t="shared" si="9"/>
        <v>0</v>
      </c>
    </row>
    <row r="77" spans="1:10">
      <c r="A77" s="51">
        <f>'FB Laser'!A77</f>
        <v>0</v>
      </c>
      <c r="B77" s="52">
        <f>'FB Laser'!B77</f>
        <v>0</v>
      </c>
      <c r="C77" s="52">
        <f>IF('FB Laser'!C77&gt;'FB Laser'!D77,'FB Laser'!C77,'FB Laser'!D77)</f>
        <v>0</v>
      </c>
      <c r="D77" s="49">
        <f t="shared" si="5"/>
        <v>1</v>
      </c>
      <c r="E77" s="13"/>
      <c r="F77" s="13"/>
      <c r="G77" s="78">
        <f t="shared" si="6"/>
        <v>0</v>
      </c>
      <c r="H77" s="66">
        <f t="shared" si="7"/>
        <v>0</v>
      </c>
      <c r="I77" s="90">
        <f t="shared" si="8"/>
        <v>0</v>
      </c>
      <c r="J77" s="90">
        <f t="shared" si="9"/>
        <v>0</v>
      </c>
    </row>
    <row r="78" spans="1:10">
      <c r="A78" s="51">
        <f>'FB Laser'!A78</f>
        <v>0</v>
      </c>
      <c r="B78" s="52">
        <f>'FB Laser'!B78</f>
        <v>0</v>
      </c>
      <c r="C78" s="52">
        <f>IF('FB Laser'!C78&gt;'FB Laser'!D78,'FB Laser'!C78,'FB Laser'!D78)</f>
        <v>0</v>
      </c>
      <c r="D78" s="49">
        <f t="shared" si="5"/>
        <v>1</v>
      </c>
      <c r="E78" s="13"/>
      <c r="F78" s="13"/>
      <c r="G78" s="78">
        <f t="shared" si="6"/>
        <v>0</v>
      </c>
      <c r="H78" s="66">
        <f t="shared" si="7"/>
        <v>0</v>
      </c>
      <c r="I78" s="90">
        <f t="shared" si="8"/>
        <v>0</v>
      </c>
      <c r="J78" s="90">
        <f t="shared" si="9"/>
        <v>0</v>
      </c>
    </row>
    <row r="79" spans="1:10">
      <c r="A79" s="51">
        <f>'FB Laser'!A79</f>
        <v>0</v>
      </c>
      <c r="B79" s="52">
        <f>'FB Laser'!B79</f>
        <v>0</v>
      </c>
      <c r="C79" s="52">
        <f>IF('FB Laser'!C79&gt;'FB Laser'!D79,'FB Laser'!C79,'FB Laser'!D79)</f>
        <v>0</v>
      </c>
      <c r="D79" s="49">
        <f t="shared" si="5"/>
        <v>1</v>
      </c>
      <c r="E79" s="13"/>
      <c r="F79" s="13"/>
      <c r="G79" s="78">
        <f t="shared" si="6"/>
        <v>0</v>
      </c>
      <c r="H79" s="66">
        <f t="shared" si="7"/>
        <v>0</v>
      </c>
      <c r="I79" s="90">
        <f t="shared" si="8"/>
        <v>0</v>
      </c>
      <c r="J79" s="90">
        <f t="shared" si="9"/>
        <v>0</v>
      </c>
    </row>
    <row r="80" spans="1:10">
      <c r="A80" s="51">
        <f>'FB Laser'!A80</f>
        <v>0</v>
      </c>
      <c r="B80" s="52">
        <f>'FB Laser'!B80</f>
        <v>0</v>
      </c>
      <c r="C80" s="52">
        <f>IF('FB Laser'!C80&gt;'FB Laser'!D80,'FB Laser'!C80,'FB Laser'!D80)</f>
        <v>0</v>
      </c>
      <c r="D80" s="49">
        <f t="shared" si="5"/>
        <v>1</v>
      </c>
      <c r="E80" s="13"/>
      <c r="F80" s="13"/>
      <c r="G80" s="78">
        <f t="shared" si="6"/>
        <v>0</v>
      </c>
      <c r="H80" s="66">
        <f t="shared" si="7"/>
        <v>0</v>
      </c>
      <c r="I80" s="90">
        <f t="shared" si="8"/>
        <v>0</v>
      </c>
      <c r="J80" s="90">
        <f t="shared" si="9"/>
        <v>0</v>
      </c>
    </row>
    <row r="81" spans="1:10">
      <c r="A81" s="51">
        <f>'FB Laser'!A81</f>
        <v>0</v>
      </c>
      <c r="B81" s="52">
        <f>'FB Laser'!B81</f>
        <v>0</v>
      </c>
      <c r="C81" s="52">
        <f>IF('FB Laser'!C81&gt;'FB Laser'!D81,'FB Laser'!C81,'FB Laser'!D81)</f>
        <v>0</v>
      </c>
      <c r="D81" s="49">
        <f t="shared" si="5"/>
        <v>1</v>
      </c>
      <c r="E81" s="13"/>
      <c r="F81" s="13"/>
      <c r="G81" s="78">
        <f t="shared" si="6"/>
        <v>0</v>
      </c>
      <c r="H81" s="66">
        <f t="shared" si="7"/>
        <v>0</v>
      </c>
      <c r="I81" s="90">
        <f t="shared" si="8"/>
        <v>0</v>
      </c>
      <c r="J81" s="90">
        <f t="shared" si="9"/>
        <v>0</v>
      </c>
    </row>
    <row r="82" spans="1:10">
      <c r="A82" s="51">
        <f>'FB Laser'!A82</f>
        <v>0</v>
      </c>
      <c r="B82" s="52">
        <f>'FB Laser'!B82</f>
        <v>0</v>
      </c>
      <c r="C82" s="52">
        <f>IF('FB Laser'!C82&gt;'FB Laser'!D82,'FB Laser'!C82,'FB Laser'!D82)</f>
        <v>0</v>
      </c>
      <c r="D82" s="49">
        <f t="shared" si="5"/>
        <v>1</v>
      </c>
      <c r="E82" s="13"/>
      <c r="F82" s="13"/>
      <c r="G82" s="78">
        <f t="shared" si="6"/>
        <v>0</v>
      </c>
      <c r="H82" s="66">
        <f t="shared" si="7"/>
        <v>0</v>
      </c>
      <c r="I82" s="90">
        <f t="shared" si="8"/>
        <v>0</v>
      </c>
      <c r="J82" s="90">
        <f t="shared" si="9"/>
        <v>0</v>
      </c>
    </row>
    <row r="83" spans="1:10">
      <c r="A83" s="51">
        <f>'FB Laser'!A83</f>
        <v>0</v>
      </c>
      <c r="B83" s="52">
        <f>'FB Laser'!B83</f>
        <v>0</v>
      </c>
      <c r="C83" s="52">
        <f>IF('FB Laser'!C83&gt;'FB Laser'!D83,'FB Laser'!C83,'FB Laser'!D83)</f>
        <v>0</v>
      </c>
      <c r="D83" s="49">
        <f t="shared" si="5"/>
        <v>1</v>
      </c>
      <c r="E83" s="13"/>
      <c r="F83" s="13"/>
      <c r="G83" s="78">
        <f t="shared" si="6"/>
        <v>0</v>
      </c>
      <c r="H83" s="66">
        <f t="shared" si="7"/>
        <v>0</v>
      </c>
      <c r="I83" s="90">
        <f t="shared" si="8"/>
        <v>0</v>
      </c>
      <c r="J83" s="90">
        <f t="shared" si="9"/>
        <v>0</v>
      </c>
    </row>
    <row r="84" spans="1:10">
      <c r="A84" s="51">
        <f>'FB Laser'!A84</f>
        <v>0</v>
      </c>
      <c r="B84" s="52">
        <f>'FB Laser'!B84</f>
        <v>0</v>
      </c>
      <c r="C84" s="52">
        <f>IF('FB Laser'!C84&gt;'FB Laser'!D84,'FB Laser'!C84,'FB Laser'!D84)</f>
        <v>0</v>
      </c>
      <c r="D84" s="49">
        <f t="shared" si="5"/>
        <v>1</v>
      </c>
      <c r="E84" s="13"/>
      <c r="F84" s="13"/>
      <c r="G84" s="78">
        <f t="shared" si="6"/>
        <v>0</v>
      </c>
      <c r="H84" s="66">
        <f t="shared" si="7"/>
        <v>0</v>
      </c>
      <c r="I84" s="90">
        <f t="shared" si="8"/>
        <v>0</v>
      </c>
      <c r="J84" s="90">
        <f t="shared" si="9"/>
        <v>0</v>
      </c>
    </row>
    <row r="85" spans="1:10">
      <c r="A85" s="51">
        <f>'FB Laser'!A85</f>
        <v>0</v>
      </c>
      <c r="B85" s="52">
        <f>'FB Laser'!B85</f>
        <v>0</v>
      </c>
      <c r="C85" s="52">
        <f>IF('FB Laser'!C85&gt;'FB Laser'!D85,'FB Laser'!C85,'FB Laser'!D85)</f>
        <v>0</v>
      </c>
      <c r="D85" s="49">
        <f t="shared" si="5"/>
        <v>1</v>
      </c>
      <c r="E85" s="13"/>
      <c r="F85" s="13"/>
      <c r="G85" s="78">
        <f t="shared" si="6"/>
        <v>0</v>
      </c>
      <c r="H85" s="66">
        <f t="shared" si="7"/>
        <v>0</v>
      </c>
      <c r="I85" s="90">
        <f t="shared" si="8"/>
        <v>0</v>
      </c>
      <c r="J85" s="90">
        <f t="shared" si="9"/>
        <v>0</v>
      </c>
    </row>
    <row r="86" spans="1:10">
      <c r="A86" s="51">
        <f>'FB Laser'!A86</f>
        <v>0</v>
      </c>
      <c r="B86" s="52">
        <f>'FB Laser'!B86</f>
        <v>0</v>
      </c>
      <c r="C86" s="52">
        <f>IF('FB Laser'!C86&gt;'FB Laser'!D86,'FB Laser'!C86,'FB Laser'!D86)</f>
        <v>0</v>
      </c>
      <c r="D86" s="49">
        <f t="shared" si="5"/>
        <v>1</v>
      </c>
      <c r="E86" s="13"/>
      <c r="F86" s="13"/>
      <c r="G86" s="78">
        <f t="shared" si="6"/>
        <v>0</v>
      </c>
      <c r="H86" s="66">
        <f t="shared" si="7"/>
        <v>0</v>
      </c>
      <c r="I86" s="90">
        <f t="shared" si="8"/>
        <v>0</v>
      </c>
      <c r="J86" s="90">
        <f t="shared" si="9"/>
        <v>0</v>
      </c>
    </row>
    <row r="87" spans="1:10">
      <c r="A87" s="51">
        <f>'FB Laser'!A87</f>
        <v>0</v>
      </c>
      <c r="B87" s="52">
        <f>'FB Laser'!B87</f>
        <v>0</v>
      </c>
      <c r="C87" s="52">
        <f>IF('FB Laser'!C87&gt;'FB Laser'!D87,'FB Laser'!C87,'FB Laser'!D87)</f>
        <v>0</v>
      </c>
      <c r="D87" s="49">
        <f t="shared" si="5"/>
        <v>1</v>
      </c>
      <c r="E87" s="13"/>
      <c r="F87" s="13"/>
      <c r="G87" s="78">
        <f t="shared" si="6"/>
        <v>0</v>
      </c>
      <c r="H87" s="66">
        <f t="shared" si="7"/>
        <v>0</v>
      </c>
      <c r="I87" s="90">
        <f t="shared" si="8"/>
        <v>0</v>
      </c>
      <c r="J87" s="90">
        <f t="shared" si="9"/>
        <v>0</v>
      </c>
    </row>
    <row r="88" spans="1:10">
      <c r="A88" s="51">
        <f>'FB Laser'!A88</f>
        <v>0</v>
      </c>
      <c r="B88" s="52">
        <f>'FB Laser'!B88</f>
        <v>0</v>
      </c>
      <c r="C88" s="52">
        <f>IF('FB Laser'!C88&gt;'FB Laser'!D88,'FB Laser'!C88,'FB Laser'!D88)</f>
        <v>0</v>
      </c>
      <c r="D88" s="49">
        <f t="shared" si="5"/>
        <v>1</v>
      </c>
      <c r="E88" s="13"/>
      <c r="F88" s="13"/>
      <c r="G88" s="78">
        <f t="shared" si="6"/>
        <v>0</v>
      </c>
      <c r="H88" s="66">
        <f t="shared" si="7"/>
        <v>0</v>
      </c>
      <c r="I88" s="90">
        <f t="shared" si="8"/>
        <v>0</v>
      </c>
      <c r="J88" s="90">
        <f t="shared" si="9"/>
        <v>0</v>
      </c>
    </row>
    <row r="89" spans="1:10">
      <c r="A89" s="51">
        <f>'FB Laser'!A89</f>
        <v>0</v>
      </c>
      <c r="B89" s="52">
        <f>'FB Laser'!B89</f>
        <v>0</v>
      </c>
      <c r="C89" s="52">
        <f>IF('FB Laser'!C89&gt;'FB Laser'!D89,'FB Laser'!C89,'FB Laser'!D89)</f>
        <v>0</v>
      </c>
      <c r="D89" s="49">
        <f t="shared" si="5"/>
        <v>1</v>
      </c>
      <c r="E89" s="13"/>
      <c r="F89" s="13"/>
      <c r="G89" s="78">
        <f t="shared" si="6"/>
        <v>0</v>
      </c>
      <c r="H89" s="66">
        <f t="shared" si="7"/>
        <v>0</v>
      </c>
      <c r="I89" s="90">
        <f t="shared" si="8"/>
        <v>0</v>
      </c>
      <c r="J89" s="90">
        <f t="shared" si="9"/>
        <v>0</v>
      </c>
    </row>
    <row r="90" spans="1:10">
      <c r="A90" s="51">
        <f>'FB Laser'!A90</f>
        <v>0</v>
      </c>
      <c r="B90" s="52">
        <f>'FB Laser'!B90</f>
        <v>0</v>
      </c>
      <c r="C90" s="52">
        <f>IF('FB Laser'!C90&gt;'FB Laser'!D90,'FB Laser'!C90,'FB Laser'!D90)</f>
        <v>0</v>
      </c>
      <c r="D90" s="49">
        <f t="shared" si="5"/>
        <v>1</v>
      </c>
      <c r="E90" s="13"/>
      <c r="F90" s="13"/>
      <c r="G90" s="78">
        <f t="shared" si="6"/>
        <v>0</v>
      </c>
      <c r="H90" s="66">
        <f t="shared" si="7"/>
        <v>0</v>
      </c>
      <c r="I90" s="90">
        <f t="shared" si="8"/>
        <v>0</v>
      </c>
      <c r="J90" s="90">
        <f t="shared" si="9"/>
        <v>0</v>
      </c>
    </row>
    <row r="91" spans="1:10">
      <c r="A91" s="51">
        <f>'FB Laser'!A91</f>
        <v>0</v>
      </c>
      <c r="B91" s="52">
        <f>'FB Laser'!B91</f>
        <v>0</v>
      </c>
      <c r="C91" s="52">
        <f>IF('FB Laser'!C91&gt;'FB Laser'!D91,'FB Laser'!C91,'FB Laser'!D91)</f>
        <v>0</v>
      </c>
      <c r="D91" s="49">
        <f t="shared" si="5"/>
        <v>1</v>
      </c>
      <c r="E91" s="13"/>
      <c r="F91" s="13"/>
      <c r="G91" s="78">
        <f t="shared" si="6"/>
        <v>0</v>
      </c>
      <c r="H91" s="66">
        <f t="shared" si="7"/>
        <v>0</v>
      </c>
      <c r="I91" s="90">
        <f t="shared" si="8"/>
        <v>0</v>
      </c>
      <c r="J91" s="90">
        <f t="shared" si="9"/>
        <v>0</v>
      </c>
    </row>
    <row r="92" spans="1:10">
      <c r="A92" s="51">
        <f>'FB Laser'!A92</f>
        <v>0</v>
      </c>
      <c r="B92" s="52">
        <f>'FB Laser'!B92</f>
        <v>0</v>
      </c>
      <c r="C92" s="52">
        <f>IF('FB Laser'!C92&gt;'FB Laser'!D92,'FB Laser'!C92,'FB Laser'!D92)</f>
        <v>0</v>
      </c>
      <c r="D92" s="49">
        <f t="shared" si="5"/>
        <v>1</v>
      </c>
      <c r="E92" s="13"/>
      <c r="F92" s="13"/>
      <c r="G92" s="78">
        <f t="shared" si="6"/>
        <v>0</v>
      </c>
      <c r="H92" s="66">
        <f t="shared" si="7"/>
        <v>0</v>
      </c>
      <c r="I92" s="90">
        <f t="shared" si="8"/>
        <v>0</v>
      </c>
      <c r="J92" s="90">
        <f t="shared" si="9"/>
        <v>0</v>
      </c>
    </row>
    <row r="93" spans="1:10">
      <c r="A93" s="51">
        <f>'FB Laser'!A93</f>
        <v>0</v>
      </c>
      <c r="B93" s="52">
        <f>'FB Laser'!B93</f>
        <v>0</v>
      </c>
      <c r="C93" s="52">
        <f>IF('FB Laser'!C93&gt;'FB Laser'!D93,'FB Laser'!C93,'FB Laser'!D93)</f>
        <v>0</v>
      </c>
      <c r="D93" s="49">
        <f t="shared" si="5"/>
        <v>1</v>
      </c>
      <c r="E93" s="13"/>
      <c r="F93" s="13"/>
      <c r="G93" s="78">
        <f t="shared" si="6"/>
        <v>0</v>
      </c>
      <c r="H93" s="66">
        <f t="shared" si="7"/>
        <v>0</v>
      </c>
      <c r="I93" s="90">
        <f t="shared" si="8"/>
        <v>0</v>
      </c>
      <c r="J93" s="90">
        <f t="shared" si="9"/>
        <v>0</v>
      </c>
    </row>
    <row r="94" spans="1:10">
      <c r="A94" s="51">
        <f>'FB Laser'!A94</f>
        <v>0</v>
      </c>
      <c r="B94" s="52">
        <f>'FB Laser'!B94</f>
        <v>0</v>
      </c>
      <c r="C94" s="52">
        <f>IF('FB Laser'!C94&gt;'FB Laser'!D94,'FB Laser'!C94,'FB Laser'!D94)</f>
        <v>0</v>
      </c>
      <c r="D94" s="49">
        <f t="shared" si="5"/>
        <v>1</v>
      </c>
      <c r="E94" s="13"/>
      <c r="F94" s="13"/>
      <c r="G94" s="78">
        <f t="shared" si="6"/>
        <v>0</v>
      </c>
      <c r="H94" s="66">
        <f t="shared" si="7"/>
        <v>0</v>
      </c>
      <c r="I94" s="90">
        <f t="shared" si="8"/>
        <v>0</v>
      </c>
      <c r="J94" s="90">
        <f t="shared" si="9"/>
        <v>0</v>
      </c>
    </row>
    <row r="95" spans="1:10">
      <c r="A95" s="51">
        <f>'FB Laser'!A95</f>
        <v>0</v>
      </c>
      <c r="B95" s="52">
        <f>'FB Laser'!B95</f>
        <v>0</v>
      </c>
      <c r="C95" s="52">
        <f>IF('FB Laser'!C95&gt;'FB Laser'!D95,'FB Laser'!C95,'FB Laser'!D95)</f>
        <v>0</v>
      </c>
      <c r="D95" s="49">
        <f t="shared" si="5"/>
        <v>1</v>
      </c>
      <c r="E95" s="13"/>
      <c r="F95" s="13"/>
      <c r="G95" s="78">
        <f t="shared" si="6"/>
        <v>0</v>
      </c>
      <c r="H95" s="66">
        <f t="shared" si="7"/>
        <v>0</v>
      </c>
      <c r="I95" s="90">
        <f t="shared" si="8"/>
        <v>0</v>
      </c>
      <c r="J95" s="90">
        <f t="shared" si="9"/>
        <v>0</v>
      </c>
    </row>
    <row r="96" spans="1:10">
      <c r="A96" s="51">
        <f>'FB Laser'!A96</f>
        <v>0</v>
      </c>
      <c r="B96" s="52">
        <f>'FB Laser'!B96</f>
        <v>0</v>
      </c>
      <c r="C96" s="52">
        <f>IF('FB Laser'!C96&gt;'FB Laser'!D96,'FB Laser'!C96,'FB Laser'!D96)</f>
        <v>0</v>
      </c>
      <c r="D96" s="49">
        <f t="shared" si="5"/>
        <v>1</v>
      </c>
      <c r="E96" s="13"/>
      <c r="F96" s="13"/>
      <c r="G96" s="78">
        <f t="shared" si="6"/>
        <v>0</v>
      </c>
      <c r="H96" s="66">
        <f t="shared" si="7"/>
        <v>0</v>
      </c>
      <c r="I96" s="90">
        <f t="shared" si="8"/>
        <v>0</v>
      </c>
      <c r="J96" s="90">
        <f t="shared" si="9"/>
        <v>0</v>
      </c>
    </row>
    <row r="97" spans="1:10">
      <c r="A97" s="51">
        <f>'FB Laser'!A97</f>
        <v>0</v>
      </c>
      <c r="B97" s="52">
        <f>'FB Laser'!B97</f>
        <v>0</v>
      </c>
      <c r="C97" s="52">
        <f>IF('FB Laser'!C97&gt;'FB Laser'!D97,'FB Laser'!C97,'FB Laser'!D97)</f>
        <v>0</v>
      </c>
      <c r="D97" s="49">
        <f t="shared" si="5"/>
        <v>1</v>
      </c>
      <c r="E97" s="13"/>
      <c r="F97" s="13"/>
      <c r="G97" s="78">
        <f t="shared" si="6"/>
        <v>0</v>
      </c>
      <c r="H97" s="66">
        <f t="shared" si="7"/>
        <v>0</v>
      </c>
      <c r="I97" s="90">
        <f t="shared" si="8"/>
        <v>0</v>
      </c>
      <c r="J97" s="90">
        <f t="shared" si="9"/>
        <v>0</v>
      </c>
    </row>
    <row r="98" spans="1:10">
      <c r="A98" s="51">
        <f>'FB Laser'!A98</f>
        <v>0</v>
      </c>
      <c r="B98" s="52">
        <f>'FB Laser'!B98</f>
        <v>0</v>
      </c>
      <c r="C98" s="52">
        <f>IF('FB Laser'!C98&gt;'FB Laser'!D98,'FB Laser'!C98,'FB Laser'!D98)</f>
        <v>0</v>
      </c>
      <c r="D98" s="49">
        <f t="shared" si="5"/>
        <v>1</v>
      </c>
      <c r="E98" s="13"/>
      <c r="F98" s="13"/>
      <c r="G98" s="78">
        <f t="shared" si="6"/>
        <v>0</v>
      </c>
      <c r="H98" s="66">
        <f t="shared" si="7"/>
        <v>0</v>
      </c>
      <c r="I98" s="90">
        <f t="shared" si="8"/>
        <v>0</v>
      </c>
      <c r="J98" s="90">
        <f t="shared" si="9"/>
        <v>0</v>
      </c>
    </row>
    <row r="99" spans="1:10">
      <c r="A99" s="51">
        <f>'FB Laser'!A99</f>
        <v>0</v>
      </c>
      <c r="B99" s="52">
        <f>'FB Laser'!B99</f>
        <v>0</v>
      </c>
      <c r="C99" s="52">
        <f>IF('FB Laser'!C99&gt;'FB Laser'!D99,'FB Laser'!C99,'FB Laser'!D99)</f>
        <v>0</v>
      </c>
      <c r="D99" s="49">
        <f t="shared" si="5"/>
        <v>1</v>
      </c>
      <c r="E99" s="13"/>
      <c r="F99" s="13"/>
      <c r="G99" s="78">
        <f t="shared" si="6"/>
        <v>0</v>
      </c>
      <c r="H99" s="66">
        <f t="shared" si="7"/>
        <v>0</v>
      </c>
      <c r="I99" s="90">
        <f t="shared" si="8"/>
        <v>0</v>
      </c>
      <c r="J99" s="90">
        <f t="shared" si="9"/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4:G98"/>
  <sheetViews>
    <sheetView workbookViewId="0">
      <selection activeCell="C9" sqref="C9"/>
    </sheetView>
  </sheetViews>
  <sheetFormatPr defaultRowHeight="15"/>
  <cols>
    <col min="1" max="1" width="19.42578125" customWidth="1"/>
    <col min="2" max="2" width="17.85546875" bestFit="1" customWidth="1"/>
    <col min="3" max="3" width="11.42578125" bestFit="1" customWidth="1"/>
    <col min="5" max="5" width="11.28515625" bestFit="1" customWidth="1"/>
    <col min="6" max="6" width="10" bestFit="1" customWidth="1"/>
    <col min="7" max="7" width="18" bestFit="1" customWidth="1"/>
  </cols>
  <sheetData>
    <row r="4" spans="1:7">
      <c r="B4" s="23" t="s">
        <v>2856</v>
      </c>
      <c r="C4" s="50">
        <v>65</v>
      </c>
    </row>
    <row r="8" spans="1:7">
      <c r="A8" s="3" t="s">
        <v>273</v>
      </c>
      <c r="B8" s="3" t="s">
        <v>0</v>
      </c>
      <c r="C8" s="3" t="s">
        <v>2780</v>
      </c>
      <c r="D8" s="3" t="s">
        <v>2834</v>
      </c>
      <c r="E8" s="3" t="s">
        <v>2784</v>
      </c>
      <c r="F8" s="3" t="s">
        <v>2857</v>
      </c>
      <c r="G8" s="3" t="s">
        <v>2787</v>
      </c>
    </row>
    <row r="9" spans="1:7">
      <c r="A9" s="75">
        <f>'Tube Laser'!A9</f>
        <v>0</v>
      </c>
      <c r="B9" s="75">
        <f>'Tube Laser'!B9</f>
        <v>0</v>
      </c>
      <c r="C9" s="13"/>
      <c r="D9" s="13"/>
      <c r="E9" s="78">
        <f>IFERROR(ROUND((((C9/60)*$C$4)/B9)+(60/D9/60*$C$4),2),0)</f>
        <v>0</v>
      </c>
      <c r="F9" s="66">
        <f>IFERROR(E9*B9,0)</f>
        <v>0</v>
      </c>
      <c r="G9" s="90">
        <f>IFERROR((B9/D9)*60+(C9/60)*60,0)</f>
        <v>0</v>
      </c>
    </row>
    <row r="10" spans="1:7">
      <c r="A10" s="75">
        <f>'Tube Laser'!A10</f>
        <v>0</v>
      </c>
      <c r="B10" s="75">
        <f>'Tube Laser'!B10</f>
        <v>0</v>
      </c>
      <c r="C10" s="13"/>
      <c r="D10" s="13"/>
      <c r="E10" s="78">
        <f t="shared" ref="E10:E73" si="0">IFERROR(ROUND((((C10/60)*$C$4)/B10)+(60/D10/60*$C$4),2),0)</f>
        <v>0</v>
      </c>
      <c r="F10" s="66">
        <f t="shared" ref="F10:F73" si="1">IFERROR(E10*B10,0)</f>
        <v>0</v>
      </c>
      <c r="G10" s="90">
        <f t="shared" ref="G10:G73" si="2">IFERROR((B10/D10)*60+(C10/60)*60,0)</f>
        <v>0</v>
      </c>
    </row>
    <row r="11" spans="1:7">
      <c r="A11" s="75">
        <f>'Tube Laser'!A11</f>
        <v>0</v>
      </c>
      <c r="B11" s="75">
        <f>'Tube Laser'!B11</f>
        <v>0</v>
      </c>
      <c r="C11" s="13"/>
      <c r="D11" s="13"/>
      <c r="E11" s="78">
        <f t="shared" si="0"/>
        <v>0</v>
      </c>
      <c r="F11" s="66">
        <f t="shared" si="1"/>
        <v>0</v>
      </c>
      <c r="G11" s="90">
        <f t="shared" si="2"/>
        <v>0</v>
      </c>
    </row>
    <row r="12" spans="1:7">
      <c r="A12" s="75">
        <f>'Tube Laser'!A12</f>
        <v>0</v>
      </c>
      <c r="B12" s="75">
        <f>'Tube Laser'!B12</f>
        <v>0</v>
      </c>
      <c r="C12" s="13"/>
      <c r="D12" s="13"/>
      <c r="E12" s="78">
        <f t="shared" si="0"/>
        <v>0</v>
      </c>
      <c r="F12" s="66">
        <f t="shared" si="1"/>
        <v>0</v>
      </c>
      <c r="G12" s="90">
        <f t="shared" si="2"/>
        <v>0</v>
      </c>
    </row>
    <row r="13" spans="1:7">
      <c r="A13" s="75">
        <f>'Tube Laser'!A13</f>
        <v>0</v>
      </c>
      <c r="B13" s="75">
        <f>'Tube Laser'!B13</f>
        <v>0</v>
      </c>
      <c r="C13" s="13"/>
      <c r="D13" s="13"/>
      <c r="E13" s="78">
        <f t="shared" si="0"/>
        <v>0</v>
      </c>
      <c r="F13" s="66">
        <f t="shared" si="1"/>
        <v>0</v>
      </c>
      <c r="G13" s="90">
        <f t="shared" si="2"/>
        <v>0</v>
      </c>
    </row>
    <row r="14" spans="1:7">
      <c r="A14" s="75">
        <f>'Tube Laser'!A14</f>
        <v>0</v>
      </c>
      <c r="B14" s="75">
        <f>'Tube Laser'!B14</f>
        <v>0</v>
      </c>
      <c r="C14" s="13"/>
      <c r="D14" s="13"/>
      <c r="E14" s="78">
        <f t="shared" si="0"/>
        <v>0</v>
      </c>
      <c r="F14" s="66">
        <f t="shared" si="1"/>
        <v>0</v>
      </c>
      <c r="G14" s="90">
        <f t="shared" si="2"/>
        <v>0</v>
      </c>
    </row>
    <row r="15" spans="1:7">
      <c r="A15" s="75">
        <f>'Tube Laser'!A15</f>
        <v>0</v>
      </c>
      <c r="B15" s="75">
        <f>'Tube Laser'!B15</f>
        <v>0</v>
      </c>
      <c r="C15" s="13"/>
      <c r="D15" s="13"/>
      <c r="E15" s="78">
        <f t="shared" si="0"/>
        <v>0</v>
      </c>
      <c r="F15" s="66">
        <f t="shared" si="1"/>
        <v>0</v>
      </c>
      <c r="G15" s="90">
        <f t="shared" si="2"/>
        <v>0</v>
      </c>
    </row>
    <row r="16" spans="1:7">
      <c r="A16" s="75">
        <f>'Tube Laser'!A16</f>
        <v>0</v>
      </c>
      <c r="B16" s="75">
        <f>'Tube Laser'!B16</f>
        <v>0</v>
      </c>
      <c r="C16" s="13"/>
      <c r="D16" s="13"/>
      <c r="E16" s="78">
        <f t="shared" si="0"/>
        <v>0</v>
      </c>
      <c r="F16" s="66">
        <f t="shared" si="1"/>
        <v>0</v>
      </c>
      <c r="G16" s="90">
        <f t="shared" si="2"/>
        <v>0</v>
      </c>
    </row>
    <row r="17" spans="1:7">
      <c r="A17" s="75">
        <f>'Tube Laser'!A17</f>
        <v>0</v>
      </c>
      <c r="B17" s="75">
        <f>'Tube Laser'!B17</f>
        <v>0</v>
      </c>
      <c r="C17" s="13"/>
      <c r="D17" s="13"/>
      <c r="E17" s="78">
        <f t="shared" si="0"/>
        <v>0</v>
      </c>
      <c r="F17" s="66">
        <f t="shared" si="1"/>
        <v>0</v>
      </c>
      <c r="G17" s="90">
        <f t="shared" si="2"/>
        <v>0</v>
      </c>
    </row>
    <row r="18" spans="1:7">
      <c r="A18" s="75">
        <f>'Tube Laser'!A18</f>
        <v>0</v>
      </c>
      <c r="B18" s="75">
        <f>'Tube Laser'!B18</f>
        <v>0</v>
      </c>
      <c r="C18" s="13"/>
      <c r="D18" s="13"/>
      <c r="E18" s="78">
        <f t="shared" si="0"/>
        <v>0</v>
      </c>
      <c r="F18" s="66">
        <f t="shared" si="1"/>
        <v>0</v>
      </c>
      <c r="G18" s="90">
        <f t="shared" si="2"/>
        <v>0</v>
      </c>
    </row>
    <row r="19" spans="1:7">
      <c r="A19" s="75">
        <f>'Tube Laser'!A19</f>
        <v>0</v>
      </c>
      <c r="B19" s="75">
        <f>'Tube Laser'!B19</f>
        <v>0</v>
      </c>
      <c r="C19" s="13"/>
      <c r="D19" s="13"/>
      <c r="E19" s="78">
        <f t="shared" si="0"/>
        <v>0</v>
      </c>
      <c r="F19" s="66">
        <f t="shared" si="1"/>
        <v>0</v>
      </c>
      <c r="G19" s="90">
        <f t="shared" si="2"/>
        <v>0</v>
      </c>
    </row>
    <row r="20" spans="1:7">
      <c r="A20" s="75">
        <f>'Tube Laser'!A20</f>
        <v>0</v>
      </c>
      <c r="B20" s="75">
        <f>'Tube Laser'!B20</f>
        <v>0</v>
      </c>
      <c r="C20" s="13"/>
      <c r="D20" s="13"/>
      <c r="E20" s="78">
        <f t="shared" si="0"/>
        <v>0</v>
      </c>
      <c r="F20" s="66">
        <f t="shared" si="1"/>
        <v>0</v>
      </c>
      <c r="G20" s="90">
        <f t="shared" si="2"/>
        <v>0</v>
      </c>
    </row>
    <row r="21" spans="1:7">
      <c r="A21" s="75">
        <f>'Tube Laser'!A21</f>
        <v>0</v>
      </c>
      <c r="B21" s="75">
        <f>'Tube Laser'!B21</f>
        <v>0</v>
      </c>
      <c r="C21" s="13"/>
      <c r="D21" s="13"/>
      <c r="E21" s="78">
        <f t="shared" si="0"/>
        <v>0</v>
      </c>
      <c r="F21" s="66">
        <f t="shared" si="1"/>
        <v>0</v>
      </c>
      <c r="G21" s="90">
        <f t="shared" si="2"/>
        <v>0</v>
      </c>
    </row>
    <row r="22" spans="1:7">
      <c r="A22" s="75">
        <f>'Tube Laser'!A22</f>
        <v>0</v>
      </c>
      <c r="B22" s="75">
        <f>'Tube Laser'!B22</f>
        <v>0</v>
      </c>
      <c r="C22" s="13"/>
      <c r="D22" s="13"/>
      <c r="E22" s="78">
        <f t="shared" si="0"/>
        <v>0</v>
      </c>
      <c r="F22" s="66">
        <f t="shared" si="1"/>
        <v>0</v>
      </c>
      <c r="G22" s="90">
        <f t="shared" si="2"/>
        <v>0</v>
      </c>
    </row>
    <row r="23" spans="1:7">
      <c r="A23" s="75">
        <f>'Tube Laser'!A23</f>
        <v>0</v>
      </c>
      <c r="B23" s="75">
        <f>'Tube Laser'!B23</f>
        <v>0</v>
      </c>
      <c r="C23" s="13"/>
      <c r="D23" s="13"/>
      <c r="E23" s="78">
        <f t="shared" si="0"/>
        <v>0</v>
      </c>
      <c r="F23" s="66">
        <f t="shared" si="1"/>
        <v>0</v>
      </c>
      <c r="G23" s="90">
        <f t="shared" si="2"/>
        <v>0</v>
      </c>
    </row>
    <row r="24" spans="1:7">
      <c r="A24" s="75">
        <f>'Tube Laser'!A24</f>
        <v>0</v>
      </c>
      <c r="B24" s="75">
        <f>'Tube Laser'!B24</f>
        <v>0</v>
      </c>
      <c r="C24" s="13"/>
      <c r="D24" s="13"/>
      <c r="E24" s="78">
        <f t="shared" si="0"/>
        <v>0</v>
      </c>
      <c r="F24" s="66">
        <f t="shared" si="1"/>
        <v>0</v>
      </c>
      <c r="G24" s="90">
        <f t="shared" si="2"/>
        <v>0</v>
      </c>
    </row>
    <row r="25" spans="1:7">
      <c r="A25" s="75">
        <f>'Tube Laser'!A25</f>
        <v>0</v>
      </c>
      <c r="B25" s="75">
        <f>'Tube Laser'!B25</f>
        <v>0</v>
      </c>
      <c r="C25" s="13"/>
      <c r="D25" s="13"/>
      <c r="E25" s="78">
        <f t="shared" si="0"/>
        <v>0</v>
      </c>
      <c r="F25" s="66">
        <f t="shared" si="1"/>
        <v>0</v>
      </c>
      <c r="G25" s="90">
        <f t="shared" si="2"/>
        <v>0</v>
      </c>
    </row>
    <row r="26" spans="1:7">
      <c r="A26" s="75">
        <f>'Tube Laser'!A26</f>
        <v>0</v>
      </c>
      <c r="B26" s="75">
        <f>'Tube Laser'!B26</f>
        <v>0</v>
      </c>
      <c r="C26" s="13"/>
      <c r="D26" s="13"/>
      <c r="E26" s="78">
        <f t="shared" si="0"/>
        <v>0</v>
      </c>
      <c r="F26" s="66">
        <f t="shared" si="1"/>
        <v>0</v>
      </c>
      <c r="G26" s="90">
        <f t="shared" si="2"/>
        <v>0</v>
      </c>
    </row>
    <row r="27" spans="1:7">
      <c r="A27" s="75">
        <f>'Tube Laser'!A27</f>
        <v>0</v>
      </c>
      <c r="B27" s="75">
        <f>'Tube Laser'!B27</f>
        <v>0</v>
      </c>
      <c r="C27" s="13"/>
      <c r="D27" s="13"/>
      <c r="E27" s="78">
        <f t="shared" si="0"/>
        <v>0</v>
      </c>
      <c r="F27" s="66">
        <f t="shared" si="1"/>
        <v>0</v>
      </c>
      <c r="G27" s="90">
        <f t="shared" si="2"/>
        <v>0</v>
      </c>
    </row>
    <row r="28" spans="1:7">
      <c r="A28" s="75">
        <f>'Tube Laser'!A28</f>
        <v>0</v>
      </c>
      <c r="B28" s="75">
        <f>'Tube Laser'!B28</f>
        <v>0</v>
      </c>
      <c r="C28" s="13"/>
      <c r="D28" s="13"/>
      <c r="E28" s="78">
        <f t="shared" si="0"/>
        <v>0</v>
      </c>
      <c r="F28" s="66">
        <f t="shared" si="1"/>
        <v>0</v>
      </c>
      <c r="G28" s="90">
        <f t="shared" si="2"/>
        <v>0</v>
      </c>
    </row>
    <row r="29" spans="1:7">
      <c r="A29" s="75">
        <f>'Tube Laser'!A29</f>
        <v>0</v>
      </c>
      <c r="B29" s="75">
        <f>'Tube Laser'!B29</f>
        <v>0</v>
      </c>
      <c r="C29" s="13"/>
      <c r="D29" s="13"/>
      <c r="E29" s="78">
        <f t="shared" si="0"/>
        <v>0</v>
      </c>
      <c r="F29" s="66">
        <f t="shared" si="1"/>
        <v>0</v>
      </c>
      <c r="G29" s="90">
        <f t="shared" si="2"/>
        <v>0</v>
      </c>
    </row>
    <row r="30" spans="1:7">
      <c r="A30" s="75">
        <f>'Tube Laser'!A30</f>
        <v>0</v>
      </c>
      <c r="B30" s="75">
        <f>'Tube Laser'!B30</f>
        <v>0</v>
      </c>
      <c r="C30" s="13"/>
      <c r="D30" s="13"/>
      <c r="E30" s="78">
        <f t="shared" si="0"/>
        <v>0</v>
      </c>
      <c r="F30" s="66">
        <f t="shared" si="1"/>
        <v>0</v>
      </c>
      <c r="G30" s="90">
        <f t="shared" si="2"/>
        <v>0</v>
      </c>
    </row>
    <row r="31" spans="1:7">
      <c r="A31" s="75">
        <f>'Tube Laser'!A31</f>
        <v>0</v>
      </c>
      <c r="B31" s="75">
        <f>'Tube Laser'!B31</f>
        <v>0</v>
      </c>
      <c r="C31" s="13"/>
      <c r="D31" s="13"/>
      <c r="E31" s="78">
        <f t="shared" si="0"/>
        <v>0</v>
      </c>
      <c r="F31" s="66">
        <f t="shared" si="1"/>
        <v>0</v>
      </c>
      <c r="G31" s="90">
        <f t="shared" si="2"/>
        <v>0</v>
      </c>
    </row>
    <row r="32" spans="1:7">
      <c r="A32" s="75">
        <f>'Tube Laser'!A32</f>
        <v>0</v>
      </c>
      <c r="B32" s="75">
        <f>'Tube Laser'!B32</f>
        <v>0</v>
      </c>
      <c r="C32" s="13"/>
      <c r="D32" s="13"/>
      <c r="E32" s="78">
        <f t="shared" si="0"/>
        <v>0</v>
      </c>
      <c r="F32" s="66">
        <f t="shared" si="1"/>
        <v>0</v>
      </c>
      <c r="G32" s="90">
        <f t="shared" si="2"/>
        <v>0</v>
      </c>
    </row>
    <row r="33" spans="1:7">
      <c r="A33" s="75">
        <f>'Tube Laser'!A33</f>
        <v>0</v>
      </c>
      <c r="B33" s="75">
        <f>'Tube Laser'!B33</f>
        <v>0</v>
      </c>
      <c r="C33" s="13"/>
      <c r="D33" s="13"/>
      <c r="E33" s="78">
        <f t="shared" si="0"/>
        <v>0</v>
      </c>
      <c r="F33" s="66">
        <f t="shared" si="1"/>
        <v>0</v>
      </c>
      <c r="G33" s="90">
        <f t="shared" si="2"/>
        <v>0</v>
      </c>
    </row>
    <row r="34" spans="1:7">
      <c r="A34" s="75">
        <f>'Tube Laser'!A34</f>
        <v>0</v>
      </c>
      <c r="B34" s="75">
        <f>'Tube Laser'!B34</f>
        <v>0</v>
      </c>
      <c r="C34" s="13"/>
      <c r="D34" s="13"/>
      <c r="E34" s="78">
        <f t="shared" si="0"/>
        <v>0</v>
      </c>
      <c r="F34" s="66">
        <f t="shared" si="1"/>
        <v>0</v>
      </c>
      <c r="G34" s="90">
        <f t="shared" si="2"/>
        <v>0</v>
      </c>
    </row>
    <row r="35" spans="1:7">
      <c r="A35" s="75">
        <f>'Tube Laser'!A35</f>
        <v>0</v>
      </c>
      <c r="B35" s="75">
        <f>'Tube Laser'!B35</f>
        <v>0</v>
      </c>
      <c r="C35" s="13"/>
      <c r="D35" s="13"/>
      <c r="E35" s="78">
        <f t="shared" si="0"/>
        <v>0</v>
      </c>
      <c r="F35" s="66">
        <f t="shared" si="1"/>
        <v>0</v>
      </c>
      <c r="G35" s="90">
        <f t="shared" si="2"/>
        <v>0</v>
      </c>
    </row>
    <row r="36" spans="1:7">
      <c r="A36" s="75">
        <f>'Tube Laser'!A36</f>
        <v>0</v>
      </c>
      <c r="B36" s="75">
        <f>'Tube Laser'!B36</f>
        <v>0</v>
      </c>
      <c r="C36" s="13"/>
      <c r="D36" s="13"/>
      <c r="E36" s="78">
        <f t="shared" si="0"/>
        <v>0</v>
      </c>
      <c r="F36" s="66">
        <f t="shared" si="1"/>
        <v>0</v>
      </c>
      <c r="G36" s="90">
        <f t="shared" si="2"/>
        <v>0</v>
      </c>
    </row>
    <row r="37" spans="1:7">
      <c r="A37" s="75">
        <f>'Tube Laser'!A37</f>
        <v>0</v>
      </c>
      <c r="B37" s="75">
        <f>'Tube Laser'!B37</f>
        <v>0</v>
      </c>
      <c r="C37" s="13"/>
      <c r="D37" s="13"/>
      <c r="E37" s="78">
        <f t="shared" si="0"/>
        <v>0</v>
      </c>
      <c r="F37" s="66">
        <f t="shared" si="1"/>
        <v>0</v>
      </c>
      <c r="G37" s="90">
        <f t="shared" si="2"/>
        <v>0</v>
      </c>
    </row>
    <row r="38" spans="1:7">
      <c r="A38" s="75">
        <f>'Tube Laser'!A38</f>
        <v>0</v>
      </c>
      <c r="B38" s="75">
        <f>'Tube Laser'!B38</f>
        <v>0</v>
      </c>
      <c r="C38" s="13"/>
      <c r="D38" s="13"/>
      <c r="E38" s="78">
        <f t="shared" si="0"/>
        <v>0</v>
      </c>
      <c r="F38" s="66">
        <f t="shared" si="1"/>
        <v>0</v>
      </c>
      <c r="G38" s="90">
        <f t="shared" si="2"/>
        <v>0</v>
      </c>
    </row>
    <row r="39" spans="1:7">
      <c r="A39" s="75">
        <f>'Tube Laser'!A39</f>
        <v>0</v>
      </c>
      <c r="B39" s="75">
        <f>'Tube Laser'!B39</f>
        <v>0</v>
      </c>
      <c r="C39" s="13"/>
      <c r="D39" s="13"/>
      <c r="E39" s="78">
        <f t="shared" si="0"/>
        <v>0</v>
      </c>
      <c r="F39" s="66">
        <f t="shared" si="1"/>
        <v>0</v>
      </c>
      <c r="G39" s="90">
        <f t="shared" si="2"/>
        <v>0</v>
      </c>
    </row>
    <row r="40" spans="1:7">
      <c r="A40" s="75">
        <f>'Tube Laser'!A40</f>
        <v>0</v>
      </c>
      <c r="B40" s="75">
        <f>'Tube Laser'!B40</f>
        <v>0</v>
      </c>
      <c r="C40" s="13"/>
      <c r="D40" s="13"/>
      <c r="E40" s="78">
        <f t="shared" si="0"/>
        <v>0</v>
      </c>
      <c r="F40" s="66">
        <f t="shared" si="1"/>
        <v>0</v>
      </c>
      <c r="G40" s="90">
        <f t="shared" si="2"/>
        <v>0</v>
      </c>
    </row>
    <row r="41" spans="1:7">
      <c r="A41" s="75">
        <f>'Tube Laser'!A41</f>
        <v>0</v>
      </c>
      <c r="B41" s="75">
        <f>'Tube Laser'!B41</f>
        <v>0</v>
      </c>
      <c r="C41" s="13"/>
      <c r="D41" s="13"/>
      <c r="E41" s="78">
        <f t="shared" si="0"/>
        <v>0</v>
      </c>
      <c r="F41" s="66">
        <f t="shared" si="1"/>
        <v>0</v>
      </c>
      <c r="G41" s="90">
        <f t="shared" si="2"/>
        <v>0</v>
      </c>
    </row>
    <row r="42" spans="1:7">
      <c r="A42" s="75">
        <f>'Tube Laser'!A42</f>
        <v>0</v>
      </c>
      <c r="B42" s="75">
        <f>'Tube Laser'!B42</f>
        <v>0</v>
      </c>
      <c r="C42" s="13"/>
      <c r="D42" s="13"/>
      <c r="E42" s="78">
        <f t="shared" si="0"/>
        <v>0</v>
      </c>
      <c r="F42" s="66">
        <f t="shared" si="1"/>
        <v>0</v>
      </c>
      <c r="G42" s="90">
        <f t="shared" si="2"/>
        <v>0</v>
      </c>
    </row>
    <row r="43" spans="1:7">
      <c r="A43" s="75">
        <f>'Tube Laser'!A43</f>
        <v>0</v>
      </c>
      <c r="B43" s="75">
        <f>'Tube Laser'!B43</f>
        <v>0</v>
      </c>
      <c r="C43" s="13"/>
      <c r="D43" s="13"/>
      <c r="E43" s="78">
        <f t="shared" si="0"/>
        <v>0</v>
      </c>
      <c r="F43" s="66">
        <f t="shared" si="1"/>
        <v>0</v>
      </c>
      <c r="G43" s="90">
        <f t="shared" si="2"/>
        <v>0</v>
      </c>
    </row>
    <row r="44" spans="1:7">
      <c r="A44" s="75">
        <f>'Tube Laser'!A44</f>
        <v>0</v>
      </c>
      <c r="B44" s="75">
        <f>'Tube Laser'!B44</f>
        <v>0</v>
      </c>
      <c r="C44" s="13"/>
      <c r="D44" s="13"/>
      <c r="E44" s="78">
        <f t="shared" si="0"/>
        <v>0</v>
      </c>
      <c r="F44" s="66">
        <f t="shared" si="1"/>
        <v>0</v>
      </c>
      <c r="G44" s="90">
        <f t="shared" si="2"/>
        <v>0</v>
      </c>
    </row>
    <row r="45" spans="1:7">
      <c r="A45" s="75">
        <f>'Tube Laser'!A45</f>
        <v>0</v>
      </c>
      <c r="B45" s="75">
        <f>'Tube Laser'!B45</f>
        <v>0</v>
      </c>
      <c r="C45" s="13"/>
      <c r="D45" s="13"/>
      <c r="E45" s="78">
        <f t="shared" si="0"/>
        <v>0</v>
      </c>
      <c r="F45" s="66">
        <f t="shared" si="1"/>
        <v>0</v>
      </c>
      <c r="G45" s="90">
        <f t="shared" si="2"/>
        <v>0</v>
      </c>
    </row>
    <row r="46" spans="1:7">
      <c r="A46" s="75">
        <f>'Tube Laser'!A46</f>
        <v>0</v>
      </c>
      <c r="B46" s="75">
        <f>'Tube Laser'!B46</f>
        <v>0</v>
      </c>
      <c r="C46" s="13"/>
      <c r="D46" s="13"/>
      <c r="E46" s="78">
        <f t="shared" si="0"/>
        <v>0</v>
      </c>
      <c r="F46" s="66">
        <f t="shared" si="1"/>
        <v>0</v>
      </c>
      <c r="G46" s="90">
        <f t="shared" si="2"/>
        <v>0</v>
      </c>
    </row>
    <row r="47" spans="1:7">
      <c r="A47" s="75">
        <f>'Tube Laser'!A47</f>
        <v>0</v>
      </c>
      <c r="B47" s="75">
        <f>'Tube Laser'!B47</f>
        <v>0</v>
      </c>
      <c r="C47" s="13"/>
      <c r="D47" s="13"/>
      <c r="E47" s="78">
        <f t="shared" si="0"/>
        <v>0</v>
      </c>
      <c r="F47" s="66">
        <f t="shared" si="1"/>
        <v>0</v>
      </c>
      <c r="G47" s="90">
        <f t="shared" si="2"/>
        <v>0</v>
      </c>
    </row>
    <row r="48" spans="1:7">
      <c r="A48" s="75">
        <f>'Tube Laser'!A48</f>
        <v>0</v>
      </c>
      <c r="B48" s="75">
        <f>'Tube Laser'!B48</f>
        <v>0</v>
      </c>
      <c r="C48" s="13"/>
      <c r="D48" s="13"/>
      <c r="E48" s="78">
        <f t="shared" si="0"/>
        <v>0</v>
      </c>
      <c r="F48" s="66">
        <f t="shared" si="1"/>
        <v>0</v>
      </c>
      <c r="G48" s="90">
        <f t="shared" si="2"/>
        <v>0</v>
      </c>
    </row>
    <row r="49" spans="1:7">
      <c r="A49" s="75">
        <f>'Tube Laser'!A49</f>
        <v>0</v>
      </c>
      <c r="B49" s="75">
        <f>'Tube Laser'!B49</f>
        <v>0</v>
      </c>
      <c r="C49" s="13"/>
      <c r="D49" s="13"/>
      <c r="E49" s="78">
        <f t="shared" si="0"/>
        <v>0</v>
      </c>
      <c r="F49" s="66">
        <f t="shared" si="1"/>
        <v>0</v>
      </c>
      <c r="G49" s="90">
        <f t="shared" si="2"/>
        <v>0</v>
      </c>
    </row>
    <row r="50" spans="1:7">
      <c r="A50" s="75">
        <f>'Tube Laser'!A50</f>
        <v>0</v>
      </c>
      <c r="B50" s="75">
        <f>'Tube Laser'!B50</f>
        <v>0</v>
      </c>
      <c r="C50" s="13"/>
      <c r="D50" s="13"/>
      <c r="E50" s="78">
        <f t="shared" si="0"/>
        <v>0</v>
      </c>
      <c r="F50" s="66">
        <f t="shared" si="1"/>
        <v>0</v>
      </c>
      <c r="G50" s="90">
        <f t="shared" si="2"/>
        <v>0</v>
      </c>
    </row>
    <row r="51" spans="1:7">
      <c r="A51" s="75">
        <f>'Tube Laser'!A51</f>
        <v>0</v>
      </c>
      <c r="B51" s="75">
        <f>'Tube Laser'!B51</f>
        <v>0</v>
      </c>
      <c r="C51" s="13"/>
      <c r="D51" s="13"/>
      <c r="E51" s="78">
        <f t="shared" si="0"/>
        <v>0</v>
      </c>
      <c r="F51" s="66">
        <f t="shared" si="1"/>
        <v>0</v>
      </c>
      <c r="G51" s="90">
        <f t="shared" si="2"/>
        <v>0</v>
      </c>
    </row>
    <row r="52" spans="1:7">
      <c r="A52" s="75">
        <f>'Tube Laser'!A52</f>
        <v>0</v>
      </c>
      <c r="B52" s="75">
        <f>'Tube Laser'!B52</f>
        <v>0</v>
      </c>
      <c r="C52" s="13"/>
      <c r="D52" s="13"/>
      <c r="E52" s="78">
        <f t="shared" si="0"/>
        <v>0</v>
      </c>
      <c r="F52" s="66">
        <f t="shared" si="1"/>
        <v>0</v>
      </c>
      <c r="G52" s="90">
        <f t="shared" si="2"/>
        <v>0</v>
      </c>
    </row>
    <row r="53" spans="1:7">
      <c r="A53" s="75">
        <f>'Tube Laser'!A53</f>
        <v>0</v>
      </c>
      <c r="B53" s="75">
        <f>'Tube Laser'!B53</f>
        <v>0</v>
      </c>
      <c r="C53" s="13"/>
      <c r="D53" s="13"/>
      <c r="E53" s="78">
        <f t="shared" si="0"/>
        <v>0</v>
      </c>
      <c r="F53" s="66">
        <f t="shared" si="1"/>
        <v>0</v>
      </c>
      <c r="G53" s="90">
        <f t="shared" si="2"/>
        <v>0</v>
      </c>
    </row>
    <row r="54" spans="1:7">
      <c r="A54" s="75">
        <f>'Tube Laser'!A54</f>
        <v>0</v>
      </c>
      <c r="B54" s="75">
        <f>'Tube Laser'!B54</f>
        <v>0</v>
      </c>
      <c r="C54" s="13"/>
      <c r="D54" s="13"/>
      <c r="E54" s="78">
        <f t="shared" si="0"/>
        <v>0</v>
      </c>
      <c r="F54" s="66">
        <f t="shared" si="1"/>
        <v>0</v>
      </c>
      <c r="G54" s="90">
        <f t="shared" si="2"/>
        <v>0</v>
      </c>
    </row>
    <row r="55" spans="1:7">
      <c r="A55" s="75">
        <f>'Tube Laser'!A55</f>
        <v>0</v>
      </c>
      <c r="B55" s="75">
        <f>'Tube Laser'!B55</f>
        <v>0</v>
      </c>
      <c r="C55" s="13"/>
      <c r="D55" s="13"/>
      <c r="E55" s="78">
        <f t="shared" si="0"/>
        <v>0</v>
      </c>
      <c r="F55" s="66">
        <f t="shared" si="1"/>
        <v>0</v>
      </c>
      <c r="G55" s="90">
        <f t="shared" si="2"/>
        <v>0</v>
      </c>
    </row>
    <row r="56" spans="1:7">
      <c r="A56" s="75">
        <f>'Tube Laser'!A56</f>
        <v>0</v>
      </c>
      <c r="B56" s="75">
        <f>'Tube Laser'!B56</f>
        <v>0</v>
      </c>
      <c r="C56" s="13"/>
      <c r="D56" s="13"/>
      <c r="E56" s="78">
        <f t="shared" si="0"/>
        <v>0</v>
      </c>
      <c r="F56" s="66">
        <f t="shared" si="1"/>
        <v>0</v>
      </c>
      <c r="G56" s="90">
        <f t="shared" si="2"/>
        <v>0</v>
      </c>
    </row>
    <row r="57" spans="1:7">
      <c r="A57" s="75">
        <f>'Tube Laser'!A57</f>
        <v>0</v>
      </c>
      <c r="B57" s="75">
        <f>'Tube Laser'!B57</f>
        <v>0</v>
      </c>
      <c r="C57" s="13"/>
      <c r="D57" s="13"/>
      <c r="E57" s="78">
        <f t="shared" si="0"/>
        <v>0</v>
      </c>
      <c r="F57" s="66">
        <f t="shared" si="1"/>
        <v>0</v>
      </c>
      <c r="G57" s="90">
        <f t="shared" si="2"/>
        <v>0</v>
      </c>
    </row>
    <row r="58" spans="1:7">
      <c r="A58" s="75">
        <f>'Tube Laser'!A58</f>
        <v>0</v>
      </c>
      <c r="B58" s="75">
        <f>'Tube Laser'!B58</f>
        <v>0</v>
      </c>
      <c r="C58" s="13"/>
      <c r="D58" s="13"/>
      <c r="E58" s="78">
        <f t="shared" si="0"/>
        <v>0</v>
      </c>
      <c r="F58" s="66">
        <f t="shared" si="1"/>
        <v>0</v>
      </c>
      <c r="G58" s="90">
        <f t="shared" si="2"/>
        <v>0</v>
      </c>
    </row>
    <row r="59" spans="1:7">
      <c r="A59" s="75">
        <f>'Tube Laser'!A59</f>
        <v>0</v>
      </c>
      <c r="B59" s="75">
        <f>'Tube Laser'!B59</f>
        <v>0</v>
      </c>
      <c r="C59" s="13"/>
      <c r="D59" s="13"/>
      <c r="E59" s="78">
        <f t="shared" si="0"/>
        <v>0</v>
      </c>
      <c r="F59" s="66">
        <f t="shared" si="1"/>
        <v>0</v>
      </c>
      <c r="G59" s="90">
        <f t="shared" si="2"/>
        <v>0</v>
      </c>
    </row>
    <row r="60" spans="1:7">
      <c r="A60" s="75">
        <f>'Tube Laser'!A60</f>
        <v>0</v>
      </c>
      <c r="B60" s="75">
        <f>'Tube Laser'!B60</f>
        <v>0</v>
      </c>
      <c r="C60" s="13"/>
      <c r="D60" s="13"/>
      <c r="E60" s="78">
        <f t="shared" si="0"/>
        <v>0</v>
      </c>
      <c r="F60" s="66">
        <f t="shared" si="1"/>
        <v>0</v>
      </c>
      <c r="G60" s="90">
        <f t="shared" si="2"/>
        <v>0</v>
      </c>
    </row>
    <row r="61" spans="1:7">
      <c r="A61" s="75">
        <f>'Tube Laser'!A61</f>
        <v>0</v>
      </c>
      <c r="B61" s="75">
        <f>'Tube Laser'!B61</f>
        <v>0</v>
      </c>
      <c r="C61" s="13"/>
      <c r="D61" s="13"/>
      <c r="E61" s="78">
        <f t="shared" si="0"/>
        <v>0</v>
      </c>
      <c r="F61" s="66">
        <f t="shared" si="1"/>
        <v>0</v>
      </c>
      <c r="G61" s="90">
        <f t="shared" si="2"/>
        <v>0</v>
      </c>
    </row>
    <row r="62" spans="1:7">
      <c r="A62" s="75">
        <f>'Tube Laser'!A62</f>
        <v>0</v>
      </c>
      <c r="B62" s="75">
        <f>'Tube Laser'!B62</f>
        <v>0</v>
      </c>
      <c r="C62" s="13"/>
      <c r="D62" s="13"/>
      <c r="E62" s="78">
        <f t="shared" si="0"/>
        <v>0</v>
      </c>
      <c r="F62" s="66">
        <f t="shared" si="1"/>
        <v>0</v>
      </c>
      <c r="G62" s="90">
        <f t="shared" si="2"/>
        <v>0</v>
      </c>
    </row>
    <row r="63" spans="1:7">
      <c r="A63" s="75">
        <f>'Tube Laser'!A63</f>
        <v>0</v>
      </c>
      <c r="B63" s="75">
        <f>'Tube Laser'!B63</f>
        <v>0</v>
      </c>
      <c r="C63" s="13"/>
      <c r="D63" s="13"/>
      <c r="E63" s="78">
        <f t="shared" si="0"/>
        <v>0</v>
      </c>
      <c r="F63" s="66">
        <f t="shared" si="1"/>
        <v>0</v>
      </c>
      <c r="G63" s="90">
        <f t="shared" si="2"/>
        <v>0</v>
      </c>
    </row>
    <row r="64" spans="1:7">
      <c r="A64" s="75">
        <f>'Tube Laser'!A64</f>
        <v>0</v>
      </c>
      <c r="B64" s="75">
        <f>'Tube Laser'!B64</f>
        <v>0</v>
      </c>
      <c r="C64" s="13"/>
      <c r="D64" s="13"/>
      <c r="E64" s="78">
        <f t="shared" si="0"/>
        <v>0</v>
      </c>
      <c r="F64" s="66">
        <f t="shared" si="1"/>
        <v>0</v>
      </c>
      <c r="G64" s="90">
        <f t="shared" si="2"/>
        <v>0</v>
      </c>
    </row>
    <row r="65" spans="1:7">
      <c r="A65" s="75">
        <f>'Tube Laser'!A65</f>
        <v>0</v>
      </c>
      <c r="B65" s="75">
        <f>'Tube Laser'!B65</f>
        <v>0</v>
      </c>
      <c r="C65" s="13"/>
      <c r="D65" s="13"/>
      <c r="E65" s="78">
        <f t="shared" si="0"/>
        <v>0</v>
      </c>
      <c r="F65" s="66">
        <f t="shared" si="1"/>
        <v>0</v>
      </c>
      <c r="G65" s="90">
        <f t="shared" si="2"/>
        <v>0</v>
      </c>
    </row>
    <row r="66" spans="1:7">
      <c r="A66" s="75">
        <f>'Tube Laser'!A66</f>
        <v>0</v>
      </c>
      <c r="B66" s="75">
        <f>'Tube Laser'!B66</f>
        <v>0</v>
      </c>
      <c r="C66" s="13"/>
      <c r="D66" s="13"/>
      <c r="E66" s="78">
        <f t="shared" si="0"/>
        <v>0</v>
      </c>
      <c r="F66" s="66">
        <f t="shared" si="1"/>
        <v>0</v>
      </c>
      <c r="G66" s="90">
        <f t="shared" si="2"/>
        <v>0</v>
      </c>
    </row>
    <row r="67" spans="1:7">
      <c r="A67" s="75">
        <f>'Tube Laser'!A67</f>
        <v>0</v>
      </c>
      <c r="B67" s="75">
        <f>'Tube Laser'!B67</f>
        <v>0</v>
      </c>
      <c r="C67" s="13"/>
      <c r="D67" s="13"/>
      <c r="E67" s="78">
        <f t="shared" si="0"/>
        <v>0</v>
      </c>
      <c r="F67" s="66">
        <f t="shared" si="1"/>
        <v>0</v>
      </c>
      <c r="G67" s="90">
        <f t="shared" si="2"/>
        <v>0</v>
      </c>
    </row>
    <row r="68" spans="1:7">
      <c r="A68" s="75">
        <f>'Tube Laser'!A68</f>
        <v>0</v>
      </c>
      <c r="B68" s="75">
        <f>'Tube Laser'!B68</f>
        <v>0</v>
      </c>
      <c r="C68" s="13"/>
      <c r="D68" s="13"/>
      <c r="E68" s="78">
        <f t="shared" si="0"/>
        <v>0</v>
      </c>
      <c r="F68" s="66">
        <f t="shared" si="1"/>
        <v>0</v>
      </c>
      <c r="G68" s="90">
        <f t="shared" si="2"/>
        <v>0</v>
      </c>
    </row>
    <row r="69" spans="1:7">
      <c r="A69" s="75">
        <f>'Tube Laser'!A69</f>
        <v>0</v>
      </c>
      <c r="B69" s="75">
        <f>'Tube Laser'!B69</f>
        <v>0</v>
      </c>
      <c r="C69" s="13"/>
      <c r="D69" s="13"/>
      <c r="E69" s="78">
        <f t="shared" si="0"/>
        <v>0</v>
      </c>
      <c r="F69" s="66">
        <f t="shared" si="1"/>
        <v>0</v>
      </c>
      <c r="G69" s="90">
        <f t="shared" si="2"/>
        <v>0</v>
      </c>
    </row>
    <row r="70" spans="1:7">
      <c r="A70" s="75">
        <f>'Tube Laser'!A70</f>
        <v>0</v>
      </c>
      <c r="B70" s="75">
        <f>'Tube Laser'!B70</f>
        <v>0</v>
      </c>
      <c r="C70" s="13"/>
      <c r="D70" s="13"/>
      <c r="E70" s="78">
        <f t="shared" si="0"/>
        <v>0</v>
      </c>
      <c r="F70" s="66">
        <f t="shared" si="1"/>
        <v>0</v>
      </c>
      <c r="G70" s="90">
        <f t="shared" si="2"/>
        <v>0</v>
      </c>
    </row>
    <row r="71" spans="1:7">
      <c r="A71" s="75">
        <f>'Tube Laser'!A71</f>
        <v>0</v>
      </c>
      <c r="B71" s="75">
        <f>'Tube Laser'!B71</f>
        <v>0</v>
      </c>
      <c r="C71" s="13"/>
      <c r="D71" s="13"/>
      <c r="E71" s="78">
        <f t="shared" si="0"/>
        <v>0</v>
      </c>
      <c r="F71" s="66">
        <f t="shared" si="1"/>
        <v>0</v>
      </c>
      <c r="G71" s="90">
        <f t="shared" si="2"/>
        <v>0</v>
      </c>
    </row>
    <row r="72" spans="1:7">
      <c r="A72" s="75">
        <f>'Tube Laser'!A72</f>
        <v>0</v>
      </c>
      <c r="B72" s="75">
        <f>'Tube Laser'!B72</f>
        <v>0</v>
      </c>
      <c r="C72" s="13"/>
      <c r="D72" s="13"/>
      <c r="E72" s="78">
        <f t="shared" si="0"/>
        <v>0</v>
      </c>
      <c r="F72" s="66">
        <f t="shared" si="1"/>
        <v>0</v>
      </c>
      <c r="G72" s="90">
        <f t="shared" si="2"/>
        <v>0</v>
      </c>
    </row>
    <row r="73" spans="1:7">
      <c r="A73" s="75">
        <f>'Tube Laser'!A73</f>
        <v>0</v>
      </c>
      <c r="B73" s="75">
        <f>'Tube Laser'!B73</f>
        <v>0</v>
      </c>
      <c r="C73" s="13"/>
      <c r="D73" s="13"/>
      <c r="E73" s="78">
        <f t="shared" si="0"/>
        <v>0</v>
      </c>
      <c r="F73" s="66">
        <f t="shared" si="1"/>
        <v>0</v>
      </c>
      <c r="G73" s="90">
        <f t="shared" si="2"/>
        <v>0</v>
      </c>
    </row>
    <row r="74" spans="1:7">
      <c r="A74" s="75">
        <f>'Tube Laser'!A74</f>
        <v>0</v>
      </c>
      <c r="B74" s="75">
        <f>'Tube Laser'!B74</f>
        <v>0</v>
      </c>
      <c r="C74" s="13"/>
      <c r="D74" s="13"/>
      <c r="E74" s="78">
        <f t="shared" ref="E74:E98" si="3">IFERROR(ROUND((((C74/60)*$C$4)/B74)+(60/D74/60*$C$4),2),0)</f>
        <v>0</v>
      </c>
      <c r="F74" s="66">
        <f t="shared" ref="F74:F98" si="4">IFERROR(E74*B74,0)</f>
        <v>0</v>
      </c>
      <c r="G74" s="90">
        <f t="shared" ref="G74:G98" si="5">IFERROR((B74/D74)*60+(C74/60)*60,0)</f>
        <v>0</v>
      </c>
    </row>
    <row r="75" spans="1:7">
      <c r="A75" s="75">
        <f>'Tube Laser'!A75</f>
        <v>0</v>
      </c>
      <c r="B75" s="75">
        <f>'Tube Laser'!B75</f>
        <v>0</v>
      </c>
      <c r="C75" s="13"/>
      <c r="D75" s="13"/>
      <c r="E75" s="78">
        <f t="shared" si="3"/>
        <v>0</v>
      </c>
      <c r="F75" s="66">
        <f t="shared" si="4"/>
        <v>0</v>
      </c>
      <c r="G75" s="90">
        <f t="shared" si="5"/>
        <v>0</v>
      </c>
    </row>
    <row r="76" spans="1:7">
      <c r="A76" s="75">
        <f>'Tube Laser'!A76</f>
        <v>0</v>
      </c>
      <c r="B76" s="75">
        <f>'Tube Laser'!B76</f>
        <v>0</v>
      </c>
      <c r="C76" s="13"/>
      <c r="D76" s="13"/>
      <c r="E76" s="78">
        <f t="shared" si="3"/>
        <v>0</v>
      </c>
      <c r="F76" s="66">
        <f t="shared" si="4"/>
        <v>0</v>
      </c>
      <c r="G76" s="90">
        <f t="shared" si="5"/>
        <v>0</v>
      </c>
    </row>
    <row r="77" spans="1:7">
      <c r="A77" s="75">
        <f>'Tube Laser'!A77</f>
        <v>0</v>
      </c>
      <c r="B77" s="75">
        <f>'Tube Laser'!B77</f>
        <v>0</v>
      </c>
      <c r="C77" s="13"/>
      <c r="D77" s="13"/>
      <c r="E77" s="78">
        <f t="shared" si="3"/>
        <v>0</v>
      </c>
      <c r="F77" s="66">
        <f t="shared" si="4"/>
        <v>0</v>
      </c>
      <c r="G77" s="90">
        <f t="shared" si="5"/>
        <v>0</v>
      </c>
    </row>
    <row r="78" spans="1:7">
      <c r="A78" s="75">
        <f>'Tube Laser'!A78</f>
        <v>0</v>
      </c>
      <c r="B78" s="75">
        <f>'Tube Laser'!B78</f>
        <v>0</v>
      </c>
      <c r="C78" s="13"/>
      <c r="D78" s="13"/>
      <c r="E78" s="78">
        <f t="shared" si="3"/>
        <v>0</v>
      </c>
      <c r="F78" s="66">
        <f t="shared" si="4"/>
        <v>0</v>
      </c>
      <c r="G78" s="90">
        <f t="shared" si="5"/>
        <v>0</v>
      </c>
    </row>
    <row r="79" spans="1:7">
      <c r="A79" s="75">
        <f>'Tube Laser'!A79</f>
        <v>0</v>
      </c>
      <c r="B79" s="75">
        <f>'Tube Laser'!B79</f>
        <v>0</v>
      </c>
      <c r="C79" s="13"/>
      <c r="D79" s="13"/>
      <c r="E79" s="78">
        <f t="shared" si="3"/>
        <v>0</v>
      </c>
      <c r="F79" s="66">
        <f t="shared" si="4"/>
        <v>0</v>
      </c>
      <c r="G79" s="90">
        <f t="shared" si="5"/>
        <v>0</v>
      </c>
    </row>
    <row r="80" spans="1:7">
      <c r="A80" s="75">
        <f>'Tube Laser'!A80</f>
        <v>0</v>
      </c>
      <c r="B80" s="75">
        <f>'Tube Laser'!B80</f>
        <v>0</v>
      </c>
      <c r="C80" s="13"/>
      <c r="D80" s="13"/>
      <c r="E80" s="78">
        <f t="shared" si="3"/>
        <v>0</v>
      </c>
      <c r="F80" s="66">
        <f t="shared" si="4"/>
        <v>0</v>
      </c>
      <c r="G80" s="90">
        <f t="shared" si="5"/>
        <v>0</v>
      </c>
    </row>
    <row r="81" spans="1:7">
      <c r="A81" s="75">
        <f>'Tube Laser'!A81</f>
        <v>0</v>
      </c>
      <c r="B81" s="75">
        <f>'Tube Laser'!B81</f>
        <v>0</v>
      </c>
      <c r="C81" s="13"/>
      <c r="D81" s="13"/>
      <c r="E81" s="78">
        <f t="shared" si="3"/>
        <v>0</v>
      </c>
      <c r="F81" s="66">
        <f t="shared" si="4"/>
        <v>0</v>
      </c>
      <c r="G81" s="90">
        <f t="shared" si="5"/>
        <v>0</v>
      </c>
    </row>
    <row r="82" spans="1:7">
      <c r="A82" s="75">
        <f>'Tube Laser'!A82</f>
        <v>0</v>
      </c>
      <c r="B82" s="75">
        <f>'Tube Laser'!B82</f>
        <v>0</v>
      </c>
      <c r="C82" s="13"/>
      <c r="D82" s="13"/>
      <c r="E82" s="78">
        <f t="shared" si="3"/>
        <v>0</v>
      </c>
      <c r="F82" s="66">
        <f t="shared" si="4"/>
        <v>0</v>
      </c>
      <c r="G82" s="90">
        <f t="shared" si="5"/>
        <v>0</v>
      </c>
    </row>
    <row r="83" spans="1:7">
      <c r="A83" s="75">
        <f>'Tube Laser'!A83</f>
        <v>0</v>
      </c>
      <c r="B83" s="75">
        <f>'Tube Laser'!B83</f>
        <v>0</v>
      </c>
      <c r="C83" s="13"/>
      <c r="D83" s="13"/>
      <c r="E83" s="78">
        <f t="shared" si="3"/>
        <v>0</v>
      </c>
      <c r="F83" s="66">
        <f t="shared" si="4"/>
        <v>0</v>
      </c>
      <c r="G83" s="90">
        <f t="shared" si="5"/>
        <v>0</v>
      </c>
    </row>
    <row r="84" spans="1:7">
      <c r="A84" s="75">
        <f>'Tube Laser'!A84</f>
        <v>0</v>
      </c>
      <c r="B84" s="75">
        <f>'Tube Laser'!B84</f>
        <v>0</v>
      </c>
      <c r="C84" s="13"/>
      <c r="D84" s="13"/>
      <c r="E84" s="78">
        <f t="shared" si="3"/>
        <v>0</v>
      </c>
      <c r="F84" s="66">
        <f t="shared" si="4"/>
        <v>0</v>
      </c>
      <c r="G84" s="90">
        <f t="shared" si="5"/>
        <v>0</v>
      </c>
    </row>
    <row r="85" spans="1:7">
      <c r="A85" s="75">
        <f>'Tube Laser'!A85</f>
        <v>0</v>
      </c>
      <c r="B85" s="75">
        <f>'Tube Laser'!B85</f>
        <v>0</v>
      </c>
      <c r="C85" s="13"/>
      <c r="D85" s="13"/>
      <c r="E85" s="78">
        <f t="shared" si="3"/>
        <v>0</v>
      </c>
      <c r="F85" s="66">
        <f t="shared" si="4"/>
        <v>0</v>
      </c>
      <c r="G85" s="90">
        <f t="shared" si="5"/>
        <v>0</v>
      </c>
    </row>
    <row r="86" spans="1:7">
      <c r="A86" s="75">
        <f>'Tube Laser'!A86</f>
        <v>0</v>
      </c>
      <c r="B86" s="75">
        <f>'Tube Laser'!B86</f>
        <v>0</v>
      </c>
      <c r="C86" s="13"/>
      <c r="D86" s="13"/>
      <c r="E86" s="78">
        <f t="shared" si="3"/>
        <v>0</v>
      </c>
      <c r="F86" s="66">
        <f t="shared" si="4"/>
        <v>0</v>
      </c>
      <c r="G86" s="90">
        <f t="shared" si="5"/>
        <v>0</v>
      </c>
    </row>
    <row r="87" spans="1:7">
      <c r="A87" s="75">
        <f>'Tube Laser'!A87</f>
        <v>0</v>
      </c>
      <c r="B87" s="75">
        <f>'Tube Laser'!B87</f>
        <v>0</v>
      </c>
      <c r="C87" s="13"/>
      <c r="D87" s="13"/>
      <c r="E87" s="78">
        <f t="shared" si="3"/>
        <v>0</v>
      </c>
      <c r="F87" s="66">
        <f t="shared" si="4"/>
        <v>0</v>
      </c>
      <c r="G87" s="90">
        <f t="shared" si="5"/>
        <v>0</v>
      </c>
    </row>
    <row r="88" spans="1:7">
      <c r="A88" s="75">
        <f>'Tube Laser'!A88</f>
        <v>0</v>
      </c>
      <c r="B88" s="75">
        <f>'Tube Laser'!B88</f>
        <v>0</v>
      </c>
      <c r="C88" s="13"/>
      <c r="D88" s="13"/>
      <c r="E88" s="78">
        <f t="shared" si="3"/>
        <v>0</v>
      </c>
      <c r="F88" s="66">
        <f t="shared" si="4"/>
        <v>0</v>
      </c>
      <c r="G88" s="90">
        <f t="shared" si="5"/>
        <v>0</v>
      </c>
    </row>
    <row r="89" spans="1:7">
      <c r="A89" s="75">
        <f>'Tube Laser'!A89</f>
        <v>0</v>
      </c>
      <c r="B89" s="75">
        <f>'Tube Laser'!B89</f>
        <v>0</v>
      </c>
      <c r="C89" s="13"/>
      <c r="D89" s="13"/>
      <c r="E89" s="78">
        <f t="shared" si="3"/>
        <v>0</v>
      </c>
      <c r="F89" s="66">
        <f t="shared" si="4"/>
        <v>0</v>
      </c>
      <c r="G89" s="90">
        <f t="shared" si="5"/>
        <v>0</v>
      </c>
    </row>
    <row r="90" spans="1:7">
      <c r="A90" s="75">
        <f>'Tube Laser'!A90</f>
        <v>0</v>
      </c>
      <c r="B90" s="75">
        <f>'Tube Laser'!B90</f>
        <v>0</v>
      </c>
      <c r="C90" s="13"/>
      <c r="D90" s="13"/>
      <c r="E90" s="78">
        <f t="shared" si="3"/>
        <v>0</v>
      </c>
      <c r="F90" s="66">
        <f t="shared" si="4"/>
        <v>0</v>
      </c>
      <c r="G90" s="90">
        <f t="shared" si="5"/>
        <v>0</v>
      </c>
    </row>
    <row r="91" spans="1:7">
      <c r="A91" s="75">
        <f>'Tube Laser'!A91</f>
        <v>0</v>
      </c>
      <c r="B91" s="75">
        <f>'Tube Laser'!B91</f>
        <v>0</v>
      </c>
      <c r="C91" s="13"/>
      <c r="D91" s="13"/>
      <c r="E91" s="78">
        <f t="shared" si="3"/>
        <v>0</v>
      </c>
      <c r="F91" s="66">
        <f t="shared" si="4"/>
        <v>0</v>
      </c>
      <c r="G91" s="90">
        <f t="shared" si="5"/>
        <v>0</v>
      </c>
    </row>
    <row r="92" spans="1:7">
      <c r="A92" s="75">
        <f>'Tube Laser'!A92</f>
        <v>0</v>
      </c>
      <c r="B92" s="75">
        <f>'Tube Laser'!B92</f>
        <v>0</v>
      </c>
      <c r="C92" s="13"/>
      <c r="D92" s="13"/>
      <c r="E92" s="78">
        <f t="shared" si="3"/>
        <v>0</v>
      </c>
      <c r="F92" s="66">
        <f t="shared" si="4"/>
        <v>0</v>
      </c>
      <c r="G92" s="90">
        <f t="shared" si="5"/>
        <v>0</v>
      </c>
    </row>
    <row r="93" spans="1:7">
      <c r="A93" s="75">
        <f>'Tube Laser'!A93</f>
        <v>0</v>
      </c>
      <c r="B93" s="75">
        <f>'Tube Laser'!B93</f>
        <v>0</v>
      </c>
      <c r="C93" s="13"/>
      <c r="D93" s="13"/>
      <c r="E93" s="78">
        <f t="shared" si="3"/>
        <v>0</v>
      </c>
      <c r="F93" s="66">
        <f t="shared" si="4"/>
        <v>0</v>
      </c>
      <c r="G93" s="90">
        <f t="shared" si="5"/>
        <v>0</v>
      </c>
    </row>
    <row r="94" spans="1:7">
      <c r="A94" s="75">
        <f>'Tube Laser'!A94</f>
        <v>0</v>
      </c>
      <c r="B94" s="75">
        <f>'Tube Laser'!B94</f>
        <v>0</v>
      </c>
      <c r="C94" s="13"/>
      <c r="D94" s="13"/>
      <c r="E94" s="78">
        <f t="shared" si="3"/>
        <v>0</v>
      </c>
      <c r="F94" s="66">
        <f t="shared" si="4"/>
        <v>0</v>
      </c>
      <c r="G94" s="90">
        <f t="shared" si="5"/>
        <v>0</v>
      </c>
    </row>
    <row r="95" spans="1:7">
      <c r="A95" s="75">
        <f>'Tube Laser'!A95</f>
        <v>0</v>
      </c>
      <c r="B95" s="75">
        <f>'Tube Laser'!B95</f>
        <v>0</v>
      </c>
      <c r="C95" s="13"/>
      <c r="D95" s="13"/>
      <c r="E95" s="78">
        <f t="shared" si="3"/>
        <v>0</v>
      </c>
      <c r="F95" s="66">
        <f t="shared" si="4"/>
        <v>0</v>
      </c>
      <c r="G95" s="90">
        <f t="shared" si="5"/>
        <v>0</v>
      </c>
    </row>
    <row r="96" spans="1:7">
      <c r="A96" s="75">
        <f>'Tube Laser'!A96</f>
        <v>0</v>
      </c>
      <c r="B96" s="75">
        <f>'Tube Laser'!B96</f>
        <v>0</v>
      </c>
      <c r="C96" s="13"/>
      <c r="D96" s="13"/>
      <c r="E96" s="78">
        <f t="shared" si="3"/>
        <v>0</v>
      </c>
      <c r="F96" s="66">
        <f t="shared" si="4"/>
        <v>0</v>
      </c>
      <c r="G96" s="90">
        <f t="shared" si="5"/>
        <v>0</v>
      </c>
    </row>
    <row r="97" spans="1:7">
      <c r="A97" s="75">
        <f>'Tube Laser'!A97</f>
        <v>0</v>
      </c>
      <c r="B97" s="75">
        <f>'Tube Laser'!B97</f>
        <v>0</v>
      </c>
      <c r="C97" s="13"/>
      <c r="D97" s="13"/>
      <c r="E97" s="78">
        <f t="shared" si="3"/>
        <v>0</v>
      </c>
      <c r="F97" s="66">
        <f t="shared" si="4"/>
        <v>0</v>
      </c>
      <c r="G97" s="90">
        <f t="shared" si="5"/>
        <v>0</v>
      </c>
    </row>
    <row r="98" spans="1:7">
      <c r="A98" s="75">
        <f>'Tube Laser'!A98</f>
        <v>0</v>
      </c>
      <c r="B98" s="75">
        <f>'Tube Laser'!B98</f>
        <v>0</v>
      </c>
      <c r="C98" s="13"/>
      <c r="D98" s="13"/>
      <c r="E98" s="78">
        <f t="shared" si="3"/>
        <v>0</v>
      </c>
      <c r="F98" s="66">
        <f t="shared" si="4"/>
        <v>0</v>
      </c>
      <c r="G98" s="90">
        <f t="shared" si="5"/>
        <v>0</v>
      </c>
    </row>
  </sheetData>
  <sheetProtection algorithmName="SHA-512" hashValue="HJ5lLwS26rtqcUpwVKPEGo3/VcZKHziQLdVyxrZVg2v9oXcgMagzRawnfaNjq7I4D0g6WIzAunRLDAAeDAKSAA==" saltValue="yTVBk5LRlaGTSlOeZPH9cA==" spinCount="100000" sheet="1" objects="1" scenarios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5:G10"/>
  <sheetViews>
    <sheetView workbookViewId="0">
      <selection activeCell="A10" sqref="A10"/>
    </sheetView>
  </sheetViews>
  <sheetFormatPr defaultRowHeight="15"/>
  <cols>
    <col min="1" max="1" width="15.42578125" bestFit="1" customWidth="1"/>
    <col min="2" max="2" width="9.7109375" customWidth="1"/>
    <col min="3" max="3" width="13.140625" bestFit="1" customWidth="1"/>
    <col min="4" max="4" width="11.5703125" bestFit="1" customWidth="1"/>
    <col min="5" max="5" width="12.5703125" customWidth="1"/>
    <col min="6" max="6" width="18.7109375" bestFit="1" customWidth="1"/>
    <col min="7" max="7" width="10.140625" bestFit="1" customWidth="1"/>
  </cols>
  <sheetData>
    <row r="5" spans="1:7">
      <c r="C5" s="70" t="s">
        <v>2871</v>
      </c>
      <c r="D5" s="71">
        <v>57.14</v>
      </c>
      <c r="E5" s="96">
        <f>D5*'Quote Info'!O4</f>
        <v>77.710400000000007</v>
      </c>
    </row>
    <row r="6" spans="1:7">
      <c r="C6" s="70" t="s">
        <v>2872</v>
      </c>
      <c r="D6" s="72">
        <v>0</v>
      </c>
    </row>
    <row r="9" spans="1:7">
      <c r="A9" s="3" t="s">
        <v>2837</v>
      </c>
      <c r="B9" s="3" t="s">
        <v>0</v>
      </c>
      <c r="C9" s="3" t="s">
        <v>2848</v>
      </c>
      <c r="D9" s="3" t="s">
        <v>2838</v>
      </c>
      <c r="E9" s="3" t="s">
        <v>2839</v>
      </c>
      <c r="F9" s="3" t="s">
        <v>2840</v>
      </c>
      <c r="G9" s="3" t="s">
        <v>2934</v>
      </c>
    </row>
    <row r="10" spans="1:7">
      <c r="A10" s="14"/>
      <c r="B10" s="13"/>
      <c r="C10" s="13"/>
      <c r="D10" s="78">
        <f>C10/60*$D$5</f>
        <v>0</v>
      </c>
      <c r="E10" s="66">
        <f>IFERROR(D10*B10,"")</f>
        <v>0</v>
      </c>
      <c r="F10" s="76">
        <f>(C10/60)*B10</f>
        <v>0</v>
      </c>
      <c r="G10" s="23" t="s">
        <v>2933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'FB Data'!$S$2:$S$4</xm:f>
          </x14:formula1>
          <xm:sqref>G10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I101"/>
  <sheetViews>
    <sheetView workbookViewId="0">
      <selection activeCell="C10" sqref="C10"/>
    </sheetView>
  </sheetViews>
  <sheetFormatPr defaultRowHeight="15"/>
  <cols>
    <col min="1" max="1" width="16.28515625" customWidth="1"/>
    <col min="3" max="3" width="16.5703125" bestFit="1" customWidth="1"/>
    <col min="4" max="4" width="11.42578125" bestFit="1" customWidth="1"/>
    <col min="5" max="5" width="18.42578125" bestFit="1" customWidth="1"/>
    <col min="7" max="7" width="17.28515625" customWidth="1"/>
    <col min="8" max="8" width="16.7109375" customWidth="1"/>
    <col min="9" max="9" width="18" bestFit="1" customWidth="1"/>
  </cols>
  <sheetData>
    <row r="4" spans="1:9">
      <c r="C4" s="23" t="s">
        <v>2932</v>
      </c>
      <c r="D4" s="129">
        <v>83.58</v>
      </c>
    </row>
    <row r="9" spans="1:9">
      <c r="A9" s="3" t="s">
        <v>273</v>
      </c>
      <c r="B9" s="3" t="s">
        <v>0</v>
      </c>
      <c r="C9" s="3" t="s">
        <v>2940</v>
      </c>
      <c r="D9" s="3" t="s">
        <v>2780</v>
      </c>
      <c r="E9" s="3" t="s">
        <v>2943</v>
      </c>
      <c r="F9" s="3" t="s">
        <v>2937</v>
      </c>
      <c r="G9" s="3" t="s">
        <v>2938</v>
      </c>
      <c r="H9" s="3" t="s">
        <v>2939</v>
      </c>
      <c r="I9" s="3" t="s">
        <v>2787</v>
      </c>
    </row>
    <row r="10" spans="1:9">
      <c r="A10" s="127" t="str">
        <f ca="1">'FB Data'!K9</f>
        <v/>
      </c>
      <c r="B10" s="127" t="str">
        <f ca="1">IFERROR(IF(ISNA(VLOOKUP(A10,'FB Laser'!$A$10:$B$99,2,FALSE)),VLOOKUP(A10,'Tube Laser'!$A$9:$B$98,2,FALSE),VLOOKUP(A10,'FB Laser'!$A$10:$B$99,2,FALSE)),"")</f>
        <v/>
      </c>
      <c r="C10" s="120"/>
      <c r="D10" s="23"/>
      <c r="E10" s="23"/>
      <c r="F10" s="23"/>
      <c r="G10" s="21" t="str">
        <f ca="1">IFERROR(ROUND((C10/B10)+(D10/60/B10*$D$4)+(E10/60/B10*60)+(F10/60*$D$4),2),"")</f>
        <v/>
      </c>
      <c r="H10" s="130" t="str">
        <f ca="1">IFERROR(ROUND(G10*B10,2),"")</f>
        <v/>
      </c>
      <c r="I10" s="128" t="str">
        <f ca="1">IFERROR(D10+(F10*B10),"")</f>
        <v/>
      </c>
    </row>
    <row r="11" spans="1:9">
      <c r="A11" s="127" t="str">
        <f ca="1">'FB Data'!K10</f>
        <v/>
      </c>
      <c r="B11" s="127" t="str">
        <f ca="1">IFERROR(IF(ISNA(VLOOKUP(A11,'FB Laser'!$A$10:$B$99,2,FALSE)),VLOOKUP(A11,'Tube Laser'!$A$9:$B$98,2,FALSE),VLOOKUP(A11,'FB Laser'!$A$10:$B$99,2,FALSE)),"")</f>
        <v/>
      </c>
      <c r="C11" s="120"/>
      <c r="D11" s="23"/>
      <c r="E11" s="23"/>
      <c r="F11" s="23"/>
      <c r="G11" s="21" t="str">
        <f t="shared" ref="G11:G74" ca="1" si="0">IFERROR(ROUND((C11/B11)+(D11/60/B11*$D$4)+(E11/60/B11*60)+(F11/60*$D$4),2),"")</f>
        <v/>
      </c>
      <c r="H11" s="130" t="str">
        <f t="shared" ref="H11:H74" ca="1" si="1">IFERROR(ROUND(G11*B11,2),"")</f>
        <v/>
      </c>
      <c r="I11" s="128" t="str">
        <f t="shared" ref="I11:I74" ca="1" si="2">IFERROR(D11+(F11*B11),"")</f>
        <v/>
      </c>
    </row>
    <row r="12" spans="1:9">
      <c r="A12" s="127" t="str">
        <f ca="1">'FB Data'!K11</f>
        <v/>
      </c>
      <c r="B12" s="127" t="str">
        <f ca="1">IFERROR(IF(ISNA(VLOOKUP(A12,'FB Laser'!$A$10:$B$99,2,FALSE)),VLOOKUP(A12,'Tube Laser'!$A$9:$B$98,2,FALSE),VLOOKUP(A12,'FB Laser'!$A$10:$B$99,2,FALSE)),"")</f>
        <v/>
      </c>
      <c r="C12" s="120"/>
      <c r="D12" s="23"/>
      <c r="E12" s="23"/>
      <c r="F12" s="23"/>
      <c r="G12" s="21" t="str">
        <f ca="1">IFERROR(ROUND((C12/B12)+(D12/60/B12*$D$4)+(E12/60/B12*60)+(F12/60*$D$4),2),"")</f>
        <v/>
      </c>
      <c r="H12" s="130" t="str">
        <f t="shared" ca="1" si="1"/>
        <v/>
      </c>
      <c r="I12" s="128" t="str">
        <f ca="1">IFERROR(D12+(F12*B12),"")</f>
        <v/>
      </c>
    </row>
    <row r="13" spans="1:9">
      <c r="A13" s="127" t="str">
        <f ca="1">'FB Data'!K12</f>
        <v/>
      </c>
      <c r="B13" s="127" t="str">
        <f ca="1">IFERROR(IF(ISNA(VLOOKUP(A13,'FB Laser'!$A$10:$B$99,2,FALSE)),VLOOKUP(A13,'Tube Laser'!$A$9:$B$98,2,FALSE),VLOOKUP(A13,'FB Laser'!$A$10:$B$99,2,FALSE)),"")</f>
        <v/>
      </c>
      <c r="C13" s="120"/>
      <c r="D13" s="23"/>
      <c r="E13" s="23"/>
      <c r="F13" s="23"/>
      <c r="G13" s="21" t="str">
        <f t="shared" ca="1" si="0"/>
        <v/>
      </c>
      <c r="H13" s="130" t="str">
        <f t="shared" ca="1" si="1"/>
        <v/>
      </c>
      <c r="I13" s="128" t="str">
        <f t="shared" ca="1" si="2"/>
        <v/>
      </c>
    </row>
    <row r="14" spans="1:9">
      <c r="A14" s="127" t="str">
        <f ca="1">'FB Data'!K13</f>
        <v/>
      </c>
      <c r="B14" s="127" t="str">
        <f ca="1">IFERROR(IF(ISNA(VLOOKUP(A14,'FB Laser'!$A$10:$B$99,2,FALSE)),VLOOKUP(A14,'Tube Laser'!$A$9:$B$98,2,FALSE),VLOOKUP(A14,'FB Laser'!$A$10:$B$99,2,FALSE)),"")</f>
        <v/>
      </c>
      <c r="C14" s="120"/>
      <c r="D14" s="23"/>
      <c r="E14" s="23"/>
      <c r="F14" s="23"/>
      <c r="G14" s="21" t="str">
        <f t="shared" ca="1" si="0"/>
        <v/>
      </c>
      <c r="H14" s="130" t="str">
        <f t="shared" ca="1" si="1"/>
        <v/>
      </c>
      <c r="I14" s="128" t="str">
        <f t="shared" ca="1" si="2"/>
        <v/>
      </c>
    </row>
    <row r="15" spans="1:9">
      <c r="A15" s="127" t="str">
        <f ca="1">'FB Data'!K14</f>
        <v/>
      </c>
      <c r="B15" s="127" t="str">
        <f ca="1">IFERROR(IF(ISNA(VLOOKUP(A15,'FB Laser'!$A$10:$B$99,2,FALSE)),VLOOKUP(A15,'Tube Laser'!$A$9:$B$98,2,FALSE),VLOOKUP(A15,'FB Laser'!$A$10:$B$99,2,FALSE)),"")</f>
        <v/>
      </c>
      <c r="C15" s="120"/>
      <c r="D15" s="23"/>
      <c r="E15" s="23"/>
      <c r="F15" s="23"/>
      <c r="G15" s="21" t="str">
        <f t="shared" ca="1" si="0"/>
        <v/>
      </c>
      <c r="H15" s="130" t="str">
        <f t="shared" ca="1" si="1"/>
        <v/>
      </c>
      <c r="I15" s="128" t="str">
        <f t="shared" ca="1" si="2"/>
        <v/>
      </c>
    </row>
    <row r="16" spans="1:9">
      <c r="A16" s="127" t="str">
        <f ca="1">'FB Data'!K15</f>
        <v/>
      </c>
      <c r="B16" s="127" t="str">
        <f ca="1">IFERROR(IF(ISNA(VLOOKUP(A16,'FB Laser'!$A$10:$B$99,2,FALSE)),VLOOKUP(A16,'Tube Laser'!$A$9:$B$98,2,FALSE),VLOOKUP(A16,'FB Laser'!$A$10:$B$99,2,FALSE)),"")</f>
        <v/>
      </c>
      <c r="C16" s="120"/>
      <c r="D16" s="23"/>
      <c r="E16" s="23"/>
      <c r="F16" s="23"/>
      <c r="G16" s="21" t="str">
        <f t="shared" ca="1" si="0"/>
        <v/>
      </c>
      <c r="H16" s="130" t="str">
        <f t="shared" ca="1" si="1"/>
        <v/>
      </c>
      <c r="I16" s="128" t="str">
        <f t="shared" ca="1" si="2"/>
        <v/>
      </c>
    </row>
    <row r="17" spans="1:9">
      <c r="A17" s="127" t="str">
        <f ca="1">'FB Data'!K16</f>
        <v/>
      </c>
      <c r="B17" s="127" t="str">
        <f ca="1">IFERROR(IF(ISNA(VLOOKUP(A17,'FB Laser'!$A$10:$B$99,2,FALSE)),VLOOKUP(A17,'Tube Laser'!$A$9:$B$98,2,FALSE),VLOOKUP(A17,'FB Laser'!$A$10:$B$99,2,FALSE)),"")</f>
        <v/>
      </c>
      <c r="C17" s="120"/>
      <c r="D17" s="23"/>
      <c r="E17" s="23"/>
      <c r="F17" s="23"/>
      <c r="G17" s="21" t="str">
        <f t="shared" ca="1" si="0"/>
        <v/>
      </c>
      <c r="H17" s="130" t="str">
        <f t="shared" ca="1" si="1"/>
        <v/>
      </c>
      <c r="I17" s="128" t="str">
        <f t="shared" ca="1" si="2"/>
        <v/>
      </c>
    </row>
    <row r="18" spans="1:9">
      <c r="A18" s="127" t="str">
        <f ca="1">'FB Data'!K17</f>
        <v/>
      </c>
      <c r="B18" s="127" t="str">
        <f ca="1">IFERROR(IF(ISNA(VLOOKUP(A18,'FB Laser'!$A$10:$B$99,2,FALSE)),VLOOKUP(A18,'Tube Laser'!$A$9:$B$98,2,FALSE),VLOOKUP(A18,'FB Laser'!$A$10:$B$99,2,FALSE)),"")</f>
        <v/>
      </c>
      <c r="C18" s="120"/>
      <c r="D18" s="23"/>
      <c r="E18" s="23"/>
      <c r="F18" s="23"/>
      <c r="G18" s="21" t="str">
        <f t="shared" ca="1" si="0"/>
        <v/>
      </c>
      <c r="H18" s="130" t="str">
        <f t="shared" ca="1" si="1"/>
        <v/>
      </c>
      <c r="I18" s="128" t="str">
        <f t="shared" ca="1" si="2"/>
        <v/>
      </c>
    </row>
    <row r="19" spans="1:9">
      <c r="A19" s="127" t="str">
        <f ca="1">'FB Data'!K18</f>
        <v/>
      </c>
      <c r="B19" s="127" t="str">
        <f ca="1">IFERROR(IF(ISNA(VLOOKUP(A19,'FB Laser'!$A$10:$B$99,2,FALSE)),VLOOKUP(A19,'Tube Laser'!$A$9:$B$98,2,FALSE),VLOOKUP(A19,'FB Laser'!$A$10:$B$99,2,FALSE)),"")</f>
        <v/>
      </c>
      <c r="C19" s="120"/>
      <c r="D19" s="23"/>
      <c r="E19" s="23"/>
      <c r="F19" s="23"/>
      <c r="G19" s="21" t="str">
        <f t="shared" ca="1" si="0"/>
        <v/>
      </c>
      <c r="H19" s="130" t="str">
        <f t="shared" ca="1" si="1"/>
        <v/>
      </c>
      <c r="I19" s="128" t="str">
        <f t="shared" ca="1" si="2"/>
        <v/>
      </c>
    </row>
    <row r="20" spans="1:9">
      <c r="A20" s="127" t="str">
        <f ca="1">'FB Data'!K19</f>
        <v/>
      </c>
      <c r="B20" s="127" t="str">
        <f ca="1">IFERROR(IF(ISNA(VLOOKUP(A20,'FB Laser'!$A$10:$B$99,2,FALSE)),VLOOKUP(A20,'Tube Laser'!$A$9:$B$98,2,FALSE),VLOOKUP(A20,'FB Laser'!$A$10:$B$99,2,FALSE)),"")</f>
        <v/>
      </c>
      <c r="C20" s="120"/>
      <c r="D20" s="23"/>
      <c r="E20" s="23"/>
      <c r="F20" s="23"/>
      <c r="G20" s="21" t="str">
        <f t="shared" ca="1" si="0"/>
        <v/>
      </c>
      <c r="H20" s="130" t="str">
        <f t="shared" ca="1" si="1"/>
        <v/>
      </c>
      <c r="I20" s="128" t="str">
        <f t="shared" ca="1" si="2"/>
        <v/>
      </c>
    </row>
    <row r="21" spans="1:9">
      <c r="A21" s="127" t="str">
        <f ca="1">'FB Data'!K20</f>
        <v/>
      </c>
      <c r="B21" s="127" t="str">
        <f ca="1">IFERROR(IF(ISNA(VLOOKUP(A21,'FB Laser'!$A$10:$B$99,2,FALSE)),VLOOKUP(A21,'Tube Laser'!$A$9:$B$98,2,FALSE),VLOOKUP(A21,'FB Laser'!$A$10:$B$99,2,FALSE)),"")</f>
        <v/>
      </c>
      <c r="C21" s="120"/>
      <c r="D21" s="23"/>
      <c r="E21" s="23"/>
      <c r="F21" s="23"/>
      <c r="G21" s="21" t="str">
        <f t="shared" ca="1" si="0"/>
        <v/>
      </c>
      <c r="H21" s="130" t="str">
        <f t="shared" ca="1" si="1"/>
        <v/>
      </c>
      <c r="I21" s="128" t="str">
        <f t="shared" ca="1" si="2"/>
        <v/>
      </c>
    </row>
    <row r="22" spans="1:9">
      <c r="A22" s="127" t="str">
        <f ca="1">'FB Data'!K21</f>
        <v/>
      </c>
      <c r="B22" s="127" t="str">
        <f ca="1">IFERROR(IF(ISNA(VLOOKUP(A22,'FB Laser'!$A$10:$B$99,2,FALSE)),VLOOKUP(A22,'Tube Laser'!$A$9:$B$98,2,FALSE),VLOOKUP(A22,'FB Laser'!$A$10:$B$99,2,FALSE)),"")</f>
        <v/>
      </c>
      <c r="C22" s="120"/>
      <c r="D22" s="23"/>
      <c r="E22" s="23"/>
      <c r="F22" s="23"/>
      <c r="G22" s="21" t="str">
        <f t="shared" ca="1" si="0"/>
        <v/>
      </c>
      <c r="H22" s="130" t="str">
        <f t="shared" ca="1" si="1"/>
        <v/>
      </c>
      <c r="I22" s="128" t="str">
        <f t="shared" ca="1" si="2"/>
        <v/>
      </c>
    </row>
    <row r="23" spans="1:9">
      <c r="A23" s="127" t="str">
        <f ca="1">'FB Data'!K22</f>
        <v/>
      </c>
      <c r="B23" s="127" t="str">
        <f ca="1">IFERROR(IF(ISNA(VLOOKUP(A23,'FB Laser'!$A$10:$B$99,2,FALSE)),VLOOKUP(A23,'Tube Laser'!$A$9:$B$98,2,FALSE),VLOOKUP(A23,'FB Laser'!$A$10:$B$99,2,FALSE)),"")</f>
        <v/>
      </c>
      <c r="C23" s="120"/>
      <c r="D23" s="23"/>
      <c r="E23" s="23"/>
      <c r="F23" s="23"/>
      <c r="G23" s="21" t="str">
        <f t="shared" ca="1" si="0"/>
        <v/>
      </c>
      <c r="H23" s="130" t="str">
        <f t="shared" ca="1" si="1"/>
        <v/>
      </c>
      <c r="I23" s="128" t="str">
        <f t="shared" ca="1" si="2"/>
        <v/>
      </c>
    </row>
    <row r="24" spans="1:9">
      <c r="A24" s="127" t="str">
        <f ca="1">'FB Data'!K23</f>
        <v/>
      </c>
      <c r="B24" s="127" t="str">
        <f ca="1">IFERROR(IF(ISNA(VLOOKUP(A24,'FB Laser'!$A$10:$B$99,2,FALSE)),VLOOKUP(A24,'Tube Laser'!$A$9:$B$98,2,FALSE),VLOOKUP(A24,'FB Laser'!$A$10:$B$99,2,FALSE)),"")</f>
        <v/>
      </c>
      <c r="C24" s="120"/>
      <c r="D24" s="23"/>
      <c r="E24" s="23"/>
      <c r="F24" s="23"/>
      <c r="G24" s="21" t="str">
        <f t="shared" ca="1" si="0"/>
        <v/>
      </c>
      <c r="H24" s="130" t="str">
        <f t="shared" ca="1" si="1"/>
        <v/>
      </c>
      <c r="I24" s="128" t="str">
        <f t="shared" ca="1" si="2"/>
        <v/>
      </c>
    </row>
    <row r="25" spans="1:9">
      <c r="A25" s="127" t="str">
        <f ca="1">'FB Data'!K24</f>
        <v/>
      </c>
      <c r="B25" s="127" t="str">
        <f ca="1">IFERROR(IF(ISNA(VLOOKUP(A25,'FB Laser'!$A$10:$B$99,2,FALSE)),VLOOKUP(A25,'Tube Laser'!$A$9:$B$98,2,FALSE),VLOOKUP(A25,'FB Laser'!$A$10:$B$99,2,FALSE)),"")</f>
        <v/>
      </c>
      <c r="C25" s="120"/>
      <c r="D25" s="23"/>
      <c r="E25" s="23"/>
      <c r="F25" s="23"/>
      <c r="G25" s="21" t="str">
        <f t="shared" ca="1" si="0"/>
        <v/>
      </c>
      <c r="H25" s="130" t="str">
        <f t="shared" ca="1" si="1"/>
        <v/>
      </c>
      <c r="I25" s="128" t="str">
        <f t="shared" ca="1" si="2"/>
        <v/>
      </c>
    </row>
    <row r="26" spans="1:9">
      <c r="A26" s="127" t="str">
        <f ca="1">'FB Data'!K25</f>
        <v/>
      </c>
      <c r="B26" s="127" t="str">
        <f ca="1">IFERROR(IF(ISNA(VLOOKUP(A26,'FB Laser'!$A$10:$B$99,2,FALSE)),VLOOKUP(A26,'Tube Laser'!$A$9:$B$98,2,FALSE),VLOOKUP(A26,'FB Laser'!$A$10:$B$99,2,FALSE)),"")</f>
        <v/>
      </c>
      <c r="C26" s="120"/>
      <c r="D26" s="23"/>
      <c r="E26" s="23"/>
      <c r="F26" s="23"/>
      <c r="G26" s="21" t="str">
        <f t="shared" ca="1" si="0"/>
        <v/>
      </c>
      <c r="H26" s="130" t="str">
        <f t="shared" ca="1" si="1"/>
        <v/>
      </c>
      <c r="I26" s="128" t="str">
        <f t="shared" ca="1" si="2"/>
        <v/>
      </c>
    </row>
    <row r="27" spans="1:9">
      <c r="A27" s="127" t="str">
        <f ca="1">'FB Data'!K26</f>
        <v/>
      </c>
      <c r="B27" s="127" t="str">
        <f ca="1">IFERROR(IF(ISNA(VLOOKUP(A27,'FB Laser'!$A$10:$B$99,2,FALSE)),VLOOKUP(A27,'Tube Laser'!$A$9:$B$98,2,FALSE),VLOOKUP(A27,'FB Laser'!$A$10:$B$99,2,FALSE)),"")</f>
        <v/>
      </c>
      <c r="C27" s="120"/>
      <c r="D27" s="23"/>
      <c r="E27" s="23"/>
      <c r="F27" s="23"/>
      <c r="G27" s="21" t="str">
        <f t="shared" ca="1" si="0"/>
        <v/>
      </c>
      <c r="H27" s="130" t="str">
        <f t="shared" ca="1" si="1"/>
        <v/>
      </c>
      <c r="I27" s="128" t="str">
        <f t="shared" ca="1" si="2"/>
        <v/>
      </c>
    </row>
    <row r="28" spans="1:9">
      <c r="A28" s="127" t="str">
        <f ca="1">'FB Data'!K27</f>
        <v/>
      </c>
      <c r="B28" s="127" t="str">
        <f ca="1">IFERROR(IF(ISNA(VLOOKUP(A28,'FB Laser'!$A$10:$B$99,2,FALSE)),VLOOKUP(A28,'Tube Laser'!$A$9:$B$98,2,FALSE),VLOOKUP(A28,'FB Laser'!$A$10:$B$99,2,FALSE)),"")</f>
        <v/>
      </c>
      <c r="C28" s="120"/>
      <c r="D28" s="23"/>
      <c r="E28" s="23"/>
      <c r="F28" s="23"/>
      <c r="G28" s="21" t="str">
        <f t="shared" ca="1" si="0"/>
        <v/>
      </c>
      <c r="H28" s="130" t="str">
        <f t="shared" ca="1" si="1"/>
        <v/>
      </c>
      <c r="I28" s="128" t="str">
        <f t="shared" ca="1" si="2"/>
        <v/>
      </c>
    </row>
    <row r="29" spans="1:9">
      <c r="A29" s="127" t="str">
        <f ca="1">'FB Data'!K28</f>
        <v/>
      </c>
      <c r="B29" s="127" t="str">
        <f ca="1">IFERROR(IF(ISNA(VLOOKUP(A29,'FB Laser'!$A$10:$B$99,2,FALSE)),VLOOKUP(A29,'Tube Laser'!$A$9:$B$98,2,FALSE),VLOOKUP(A29,'FB Laser'!$A$10:$B$99,2,FALSE)),"")</f>
        <v/>
      </c>
      <c r="C29" s="120"/>
      <c r="D29" s="23"/>
      <c r="E29" s="23"/>
      <c r="F29" s="23"/>
      <c r="G29" s="21" t="str">
        <f t="shared" ca="1" si="0"/>
        <v/>
      </c>
      <c r="H29" s="130" t="str">
        <f t="shared" ca="1" si="1"/>
        <v/>
      </c>
      <c r="I29" s="128" t="str">
        <f t="shared" ca="1" si="2"/>
        <v/>
      </c>
    </row>
    <row r="30" spans="1:9">
      <c r="A30" s="127" t="str">
        <f ca="1">'FB Data'!K29</f>
        <v/>
      </c>
      <c r="B30" s="127" t="str">
        <f ca="1">IFERROR(IF(ISNA(VLOOKUP(A30,'FB Laser'!$A$10:$B$99,2,FALSE)),VLOOKUP(A30,'Tube Laser'!$A$9:$B$98,2,FALSE),VLOOKUP(A30,'FB Laser'!$A$10:$B$99,2,FALSE)),"")</f>
        <v/>
      </c>
      <c r="C30" s="120"/>
      <c r="D30" s="23"/>
      <c r="E30" s="23"/>
      <c r="F30" s="23"/>
      <c r="G30" s="21" t="str">
        <f t="shared" ca="1" si="0"/>
        <v/>
      </c>
      <c r="H30" s="130" t="str">
        <f t="shared" ca="1" si="1"/>
        <v/>
      </c>
      <c r="I30" s="128" t="str">
        <f t="shared" ca="1" si="2"/>
        <v/>
      </c>
    </row>
    <row r="31" spans="1:9">
      <c r="A31" s="127" t="str">
        <f ca="1">'FB Data'!K30</f>
        <v/>
      </c>
      <c r="B31" s="127" t="str">
        <f ca="1">IFERROR(IF(ISNA(VLOOKUP(A31,'FB Laser'!$A$10:$B$99,2,FALSE)),VLOOKUP(A31,'Tube Laser'!$A$9:$B$98,2,FALSE),VLOOKUP(A31,'FB Laser'!$A$10:$B$99,2,FALSE)),"")</f>
        <v/>
      </c>
      <c r="C31" s="120"/>
      <c r="D31" s="23"/>
      <c r="E31" s="23"/>
      <c r="F31" s="23"/>
      <c r="G31" s="21" t="str">
        <f t="shared" ca="1" si="0"/>
        <v/>
      </c>
      <c r="H31" s="130" t="str">
        <f t="shared" ca="1" si="1"/>
        <v/>
      </c>
      <c r="I31" s="128" t="str">
        <f t="shared" ca="1" si="2"/>
        <v/>
      </c>
    </row>
    <row r="32" spans="1:9">
      <c r="A32" s="127" t="str">
        <f ca="1">'FB Data'!K31</f>
        <v/>
      </c>
      <c r="B32" s="127" t="str">
        <f ca="1">IFERROR(IF(ISNA(VLOOKUP(A32,'FB Laser'!$A$10:$B$99,2,FALSE)),VLOOKUP(A32,'Tube Laser'!$A$9:$B$98,2,FALSE),VLOOKUP(A32,'FB Laser'!$A$10:$B$99,2,FALSE)),"")</f>
        <v/>
      </c>
      <c r="C32" s="120"/>
      <c r="D32" s="23"/>
      <c r="E32" s="23"/>
      <c r="F32" s="23"/>
      <c r="G32" s="21" t="str">
        <f t="shared" ca="1" si="0"/>
        <v/>
      </c>
      <c r="H32" s="130" t="str">
        <f t="shared" ca="1" si="1"/>
        <v/>
      </c>
      <c r="I32" s="128" t="str">
        <f t="shared" ca="1" si="2"/>
        <v/>
      </c>
    </row>
    <row r="33" spans="1:9">
      <c r="A33" s="127" t="str">
        <f ca="1">'FB Data'!K32</f>
        <v/>
      </c>
      <c r="B33" s="127" t="str">
        <f ca="1">IFERROR(IF(ISNA(VLOOKUP(A33,'FB Laser'!$A$10:$B$99,2,FALSE)),VLOOKUP(A33,'Tube Laser'!$A$9:$B$98,2,FALSE),VLOOKUP(A33,'FB Laser'!$A$10:$B$99,2,FALSE)),"")</f>
        <v/>
      </c>
      <c r="C33" s="120"/>
      <c r="D33" s="23"/>
      <c r="E33" s="23"/>
      <c r="F33" s="23"/>
      <c r="G33" s="21" t="str">
        <f t="shared" ca="1" si="0"/>
        <v/>
      </c>
      <c r="H33" s="130" t="str">
        <f t="shared" ca="1" si="1"/>
        <v/>
      </c>
      <c r="I33" s="128" t="str">
        <f t="shared" ca="1" si="2"/>
        <v/>
      </c>
    </row>
    <row r="34" spans="1:9">
      <c r="A34" s="127" t="str">
        <f ca="1">'FB Data'!K33</f>
        <v/>
      </c>
      <c r="B34" s="127" t="str">
        <f ca="1">IFERROR(IF(ISNA(VLOOKUP(A34,'FB Laser'!$A$10:$B$99,2,FALSE)),VLOOKUP(A34,'Tube Laser'!$A$9:$B$98,2,FALSE),VLOOKUP(A34,'FB Laser'!$A$10:$B$99,2,FALSE)),"")</f>
        <v/>
      </c>
      <c r="C34" s="120"/>
      <c r="D34" s="23"/>
      <c r="E34" s="23"/>
      <c r="F34" s="23"/>
      <c r="G34" s="21" t="str">
        <f t="shared" ca="1" si="0"/>
        <v/>
      </c>
      <c r="H34" s="130" t="str">
        <f t="shared" ca="1" si="1"/>
        <v/>
      </c>
      <c r="I34" s="128" t="str">
        <f t="shared" ca="1" si="2"/>
        <v/>
      </c>
    </row>
    <row r="35" spans="1:9">
      <c r="A35" s="127" t="str">
        <f ca="1">'FB Data'!K34</f>
        <v/>
      </c>
      <c r="B35" s="127" t="str">
        <f ca="1">IFERROR(IF(ISNA(VLOOKUP(A35,'FB Laser'!$A$10:$B$99,2,FALSE)),VLOOKUP(A35,'Tube Laser'!$A$9:$B$98,2,FALSE),VLOOKUP(A35,'FB Laser'!$A$10:$B$99,2,FALSE)),"")</f>
        <v/>
      </c>
      <c r="C35" s="120"/>
      <c r="D35" s="23"/>
      <c r="E35" s="23"/>
      <c r="F35" s="23"/>
      <c r="G35" s="21" t="str">
        <f t="shared" ca="1" si="0"/>
        <v/>
      </c>
      <c r="H35" s="130" t="str">
        <f t="shared" ca="1" si="1"/>
        <v/>
      </c>
      <c r="I35" s="128" t="str">
        <f t="shared" ca="1" si="2"/>
        <v/>
      </c>
    </row>
    <row r="36" spans="1:9">
      <c r="A36" s="127" t="str">
        <f ca="1">'FB Data'!K35</f>
        <v/>
      </c>
      <c r="B36" s="127" t="str">
        <f ca="1">IFERROR(IF(ISNA(VLOOKUP(A36,'FB Laser'!$A$10:$B$99,2,FALSE)),VLOOKUP(A36,'Tube Laser'!$A$9:$B$98,2,FALSE),VLOOKUP(A36,'FB Laser'!$A$10:$B$99,2,FALSE)),"")</f>
        <v/>
      </c>
      <c r="C36" s="120"/>
      <c r="D36" s="23"/>
      <c r="E36" s="23"/>
      <c r="F36" s="23"/>
      <c r="G36" s="21" t="str">
        <f t="shared" ca="1" si="0"/>
        <v/>
      </c>
      <c r="H36" s="130" t="str">
        <f t="shared" ca="1" si="1"/>
        <v/>
      </c>
      <c r="I36" s="128" t="str">
        <f t="shared" ca="1" si="2"/>
        <v/>
      </c>
    </row>
    <row r="37" spans="1:9">
      <c r="A37" s="127" t="str">
        <f ca="1">'FB Data'!K36</f>
        <v/>
      </c>
      <c r="B37" s="127" t="str">
        <f ca="1">IFERROR(IF(ISNA(VLOOKUP(A37,'FB Laser'!$A$10:$B$99,2,FALSE)),VLOOKUP(A37,'Tube Laser'!$A$9:$B$98,2,FALSE),VLOOKUP(A37,'FB Laser'!$A$10:$B$99,2,FALSE)),"")</f>
        <v/>
      </c>
      <c r="C37" s="120"/>
      <c r="D37" s="23"/>
      <c r="E37" s="23"/>
      <c r="F37" s="23"/>
      <c r="G37" s="21" t="str">
        <f t="shared" ca="1" si="0"/>
        <v/>
      </c>
      <c r="H37" s="130" t="str">
        <f t="shared" ca="1" si="1"/>
        <v/>
      </c>
      <c r="I37" s="128" t="str">
        <f t="shared" ca="1" si="2"/>
        <v/>
      </c>
    </row>
    <row r="38" spans="1:9">
      <c r="A38" s="127" t="str">
        <f ca="1">'FB Data'!K37</f>
        <v/>
      </c>
      <c r="B38" s="127" t="str">
        <f ca="1">IFERROR(IF(ISNA(VLOOKUP(A38,'FB Laser'!$A$10:$B$99,2,FALSE)),VLOOKUP(A38,'Tube Laser'!$A$9:$B$98,2,FALSE),VLOOKUP(A38,'FB Laser'!$A$10:$B$99,2,FALSE)),"")</f>
        <v/>
      </c>
      <c r="C38" s="120"/>
      <c r="D38" s="23"/>
      <c r="E38" s="23"/>
      <c r="F38" s="23"/>
      <c r="G38" s="21" t="str">
        <f t="shared" ca="1" si="0"/>
        <v/>
      </c>
      <c r="H38" s="130" t="str">
        <f t="shared" ca="1" si="1"/>
        <v/>
      </c>
      <c r="I38" s="128" t="str">
        <f t="shared" ca="1" si="2"/>
        <v/>
      </c>
    </row>
    <row r="39" spans="1:9">
      <c r="A39" s="127" t="str">
        <f ca="1">'FB Data'!K38</f>
        <v/>
      </c>
      <c r="B39" s="127" t="str">
        <f ca="1">IFERROR(IF(ISNA(VLOOKUP(A39,'FB Laser'!$A$10:$B$99,2,FALSE)),VLOOKUP(A39,'Tube Laser'!$A$9:$B$98,2,FALSE),VLOOKUP(A39,'FB Laser'!$A$10:$B$99,2,FALSE)),"")</f>
        <v/>
      </c>
      <c r="C39" s="120"/>
      <c r="D39" s="23"/>
      <c r="E39" s="23"/>
      <c r="F39" s="23"/>
      <c r="G39" s="21" t="str">
        <f t="shared" ca="1" si="0"/>
        <v/>
      </c>
      <c r="H39" s="130" t="str">
        <f t="shared" ca="1" si="1"/>
        <v/>
      </c>
      <c r="I39" s="128" t="str">
        <f t="shared" ca="1" si="2"/>
        <v/>
      </c>
    </row>
    <row r="40" spans="1:9">
      <c r="A40" s="127" t="str">
        <f ca="1">'FB Data'!K39</f>
        <v/>
      </c>
      <c r="B40" s="127" t="str">
        <f ca="1">IFERROR(IF(ISNA(VLOOKUP(A40,'FB Laser'!$A$10:$B$99,2,FALSE)),VLOOKUP(A40,'Tube Laser'!$A$9:$B$98,2,FALSE),VLOOKUP(A40,'FB Laser'!$A$10:$B$99,2,FALSE)),"")</f>
        <v/>
      </c>
      <c r="C40" s="120"/>
      <c r="D40" s="23"/>
      <c r="E40" s="23"/>
      <c r="F40" s="23"/>
      <c r="G40" s="21" t="str">
        <f t="shared" ca="1" si="0"/>
        <v/>
      </c>
      <c r="H40" s="130" t="str">
        <f t="shared" ca="1" si="1"/>
        <v/>
      </c>
      <c r="I40" s="128" t="str">
        <f t="shared" ca="1" si="2"/>
        <v/>
      </c>
    </row>
    <row r="41" spans="1:9">
      <c r="A41" s="127" t="str">
        <f ca="1">'FB Data'!K40</f>
        <v/>
      </c>
      <c r="B41" s="127" t="str">
        <f ca="1">IFERROR(IF(ISNA(VLOOKUP(A41,'FB Laser'!$A$10:$B$99,2,FALSE)),VLOOKUP(A41,'Tube Laser'!$A$9:$B$98,2,FALSE),VLOOKUP(A41,'FB Laser'!$A$10:$B$99,2,FALSE)),"")</f>
        <v/>
      </c>
      <c r="C41" s="120"/>
      <c r="D41" s="23"/>
      <c r="E41" s="23"/>
      <c r="F41" s="23"/>
      <c r="G41" s="21" t="str">
        <f t="shared" ca="1" si="0"/>
        <v/>
      </c>
      <c r="H41" s="130" t="str">
        <f t="shared" ca="1" si="1"/>
        <v/>
      </c>
      <c r="I41" s="128" t="str">
        <f t="shared" ca="1" si="2"/>
        <v/>
      </c>
    </row>
    <row r="42" spans="1:9">
      <c r="A42" s="127" t="str">
        <f ca="1">'FB Data'!K41</f>
        <v/>
      </c>
      <c r="B42" s="127" t="str">
        <f ca="1">IFERROR(IF(ISNA(VLOOKUP(A42,'FB Laser'!$A$10:$B$99,2,FALSE)),VLOOKUP(A42,'Tube Laser'!$A$9:$B$98,2,FALSE),VLOOKUP(A42,'FB Laser'!$A$10:$B$99,2,FALSE)),"")</f>
        <v/>
      </c>
      <c r="C42" s="120"/>
      <c r="D42" s="23"/>
      <c r="E42" s="23"/>
      <c r="F42" s="23"/>
      <c r="G42" s="21" t="str">
        <f t="shared" ca="1" si="0"/>
        <v/>
      </c>
      <c r="H42" s="130" t="str">
        <f t="shared" ca="1" si="1"/>
        <v/>
      </c>
      <c r="I42" s="128" t="str">
        <f t="shared" ca="1" si="2"/>
        <v/>
      </c>
    </row>
    <row r="43" spans="1:9">
      <c r="A43" s="127" t="str">
        <f ca="1">'FB Data'!K42</f>
        <v/>
      </c>
      <c r="B43" s="127" t="str">
        <f ca="1">IFERROR(IF(ISNA(VLOOKUP(A43,'FB Laser'!$A$10:$B$99,2,FALSE)),VLOOKUP(A43,'Tube Laser'!$A$9:$B$98,2,FALSE),VLOOKUP(A43,'FB Laser'!$A$10:$B$99,2,FALSE)),"")</f>
        <v/>
      </c>
      <c r="C43" s="120"/>
      <c r="D43" s="23"/>
      <c r="E43" s="23"/>
      <c r="F43" s="23"/>
      <c r="G43" s="21" t="str">
        <f t="shared" ca="1" si="0"/>
        <v/>
      </c>
      <c r="H43" s="130" t="str">
        <f t="shared" ca="1" si="1"/>
        <v/>
      </c>
      <c r="I43" s="128" t="str">
        <f t="shared" ca="1" si="2"/>
        <v/>
      </c>
    </row>
    <row r="44" spans="1:9">
      <c r="A44" s="127" t="str">
        <f ca="1">'FB Data'!K43</f>
        <v/>
      </c>
      <c r="B44" s="127" t="str">
        <f ca="1">IFERROR(IF(ISNA(VLOOKUP(A44,'FB Laser'!$A$10:$B$99,2,FALSE)),VLOOKUP(A44,'Tube Laser'!$A$9:$B$98,2,FALSE),VLOOKUP(A44,'FB Laser'!$A$10:$B$99,2,FALSE)),"")</f>
        <v/>
      </c>
      <c r="C44" s="120"/>
      <c r="D44" s="23"/>
      <c r="E44" s="23"/>
      <c r="F44" s="23"/>
      <c r="G44" s="21" t="str">
        <f t="shared" ca="1" si="0"/>
        <v/>
      </c>
      <c r="H44" s="130" t="str">
        <f t="shared" ca="1" si="1"/>
        <v/>
      </c>
      <c r="I44" s="128" t="str">
        <f t="shared" ca="1" si="2"/>
        <v/>
      </c>
    </row>
    <row r="45" spans="1:9">
      <c r="A45" s="127" t="str">
        <f ca="1">'FB Data'!K44</f>
        <v/>
      </c>
      <c r="B45" s="127" t="str">
        <f ca="1">IFERROR(IF(ISNA(VLOOKUP(A45,'FB Laser'!$A$10:$B$99,2,FALSE)),VLOOKUP(A45,'Tube Laser'!$A$9:$B$98,2,FALSE),VLOOKUP(A45,'FB Laser'!$A$10:$B$99,2,FALSE)),"")</f>
        <v/>
      </c>
      <c r="C45" s="120"/>
      <c r="D45" s="23"/>
      <c r="E45" s="23"/>
      <c r="F45" s="23"/>
      <c r="G45" s="21" t="str">
        <f t="shared" ca="1" si="0"/>
        <v/>
      </c>
      <c r="H45" s="130" t="str">
        <f t="shared" ca="1" si="1"/>
        <v/>
      </c>
      <c r="I45" s="128" t="str">
        <f t="shared" ca="1" si="2"/>
        <v/>
      </c>
    </row>
    <row r="46" spans="1:9">
      <c r="A46" s="127" t="str">
        <f ca="1">'FB Data'!K45</f>
        <v/>
      </c>
      <c r="B46" s="127" t="str">
        <f ca="1">IFERROR(IF(ISNA(VLOOKUP(A46,'FB Laser'!$A$10:$B$99,2,FALSE)),VLOOKUP(A46,'Tube Laser'!$A$9:$B$98,2,FALSE),VLOOKUP(A46,'FB Laser'!$A$10:$B$99,2,FALSE)),"")</f>
        <v/>
      </c>
      <c r="C46" s="120"/>
      <c r="D46" s="23"/>
      <c r="E46" s="23"/>
      <c r="F46" s="23"/>
      <c r="G46" s="21" t="str">
        <f t="shared" ca="1" si="0"/>
        <v/>
      </c>
      <c r="H46" s="130" t="str">
        <f t="shared" ca="1" si="1"/>
        <v/>
      </c>
      <c r="I46" s="128" t="str">
        <f t="shared" ca="1" si="2"/>
        <v/>
      </c>
    </row>
    <row r="47" spans="1:9">
      <c r="A47" s="127" t="str">
        <f ca="1">'FB Data'!K46</f>
        <v/>
      </c>
      <c r="B47" s="127" t="str">
        <f ca="1">IFERROR(IF(ISNA(VLOOKUP(A47,'FB Laser'!$A$10:$B$99,2,FALSE)),VLOOKUP(A47,'Tube Laser'!$A$9:$B$98,2,FALSE),VLOOKUP(A47,'FB Laser'!$A$10:$B$99,2,FALSE)),"")</f>
        <v/>
      </c>
      <c r="C47" s="120"/>
      <c r="D47" s="23"/>
      <c r="E47" s="23"/>
      <c r="F47" s="23"/>
      <c r="G47" s="21" t="str">
        <f t="shared" ca="1" si="0"/>
        <v/>
      </c>
      <c r="H47" s="130" t="str">
        <f t="shared" ca="1" si="1"/>
        <v/>
      </c>
      <c r="I47" s="128" t="str">
        <f t="shared" ca="1" si="2"/>
        <v/>
      </c>
    </row>
    <row r="48" spans="1:9">
      <c r="A48" s="127" t="str">
        <f ca="1">'FB Data'!K47</f>
        <v/>
      </c>
      <c r="B48" s="127" t="str">
        <f ca="1">IFERROR(IF(ISNA(VLOOKUP(A48,'FB Laser'!$A$10:$B$99,2,FALSE)),VLOOKUP(A48,'Tube Laser'!$A$9:$B$98,2,FALSE),VLOOKUP(A48,'FB Laser'!$A$10:$B$99,2,FALSE)),"")</f>
        <v/>
      </c>
      <c r="C48" s="120"/>
      <c r="D48" s="23"/>
      <c r="E48" s="23"/>
      <c r="F48" s="23"/>
      <c r="G48" s="21" t="str">
        <f t="shared" ca="1" si="0"/>
        <v/>
      </c>
      <c r="H48" s="130" t="str">
        <f t="shared" ca="1" si="1"/>
        <v/>
      </c>
      <c r="I48" s="128" t="str">
        <f t="shared" ca="1" si="2"/>
        <v/>
      </c>
    </row>
    <row r="49" spans="1:9">
      <c r="A49" s="127" t="str">
        <f ca="1">'FB Data'!K48</f>
        <v/>
      </c>
      <c r="B49" s="127" t="str">
        <f ca="1">IFERROR(IF(ISNA(VLOOKUP(A49,'FB Laser'!$A$10:$B$99,2,FALSE)),VLOOKUP(A49,'Tube Laser'!$A$9:$B$98,2,FALSE),VLOOKUP(A49,'FB Laser'!$A$10:$B$99,2,FALSE)),"")</f>
        <v/>
      </c>
      <c r="C49" s="120"/>
      <c r="D49" s="23"/>
      <c r="E49" s="23"/>
      <c r="F49" s="23"/>
      <c r="G49" s="21" t="str">
        <f t="shared" ca="1" si="0"/>
        <v/>
      </c>
      <c r="H49" s="130" t="str">
        <f t="shared" ca="1" si="1"/>
        <v/>
      </c>
      <c r="I49" s="128" t="str">
        <f t="shared" ca="1" si="2"/>
        <v/>
      </c>
    </row>
    <row r="50" spans="1:9">
      <c r="A50" s="127" t="str">
        <f ca="1">'FB Data'!K49</f>
        <v/>
      </c>
      <c r="B50" s="127" t="str">
        <f ca="1">IFERROR(IF(ISNA(VLOOKUP(A50,'FB Laser'!$A$10:$B$99,2,FALSE)),VLOOKUP(A50,'Tube Laser'!$A$9:$B$98,2,FALSE),VLOOKUP(A50,'FB Laser'!$A$10:$B$99,2,FALSE)),"")</f>
        <v/>
      </c>
      <c r="C50" s="120"/>
      <c r="D50" s="23"/>
      <c r="E50" s="23"/>
      <c r="F50" s="23"/>
      <c r="G50" s="21" t="str">
        <f t="shared" ca="1" si="0"/>
        <v/>
      </c>
      <c r="H50" s="130" t="str">
        <f t="shared" ca="1" si="1"/>
        <v/>
      </c>
      <c r="I50" s="128" t="str">
        <f t="shared" ca="1" si="2"/>
        <v/>
      </c>
    </row>
    <row r="51" spans="1:9">
      <c r="A51" s="127" t="str">
        <f ca="1">'FB Data'!K50</f>
        <v/>
      </c>
      <c r="B51" s="127" t="str">
        <f ca="1">IFERROR(IF(ISNA(VLOOKUP(A51,'FB Laser'!$A$10:$B$99,2,FALSE)),VLOOKUP(A51,'Tube Laser'!$A$9:$B$98,2,FALSE),VLOOKUP(A51,'FB Laser'!$A$10:$B$99,2,FALSE)),"")</f>
        <v/>
      </c>
      <c r="C51" s="120"/>
      <c r="D51" s="23"/>
      <c r="E51" s="23"/>
      <c r="F51" s="23"/>
      <c r="G51" s="21" t="str">
        <f t="shared" ca="1" si="0"/>
        <v/>
      </c>
      <c r="H51" s="130" t="str">
        <f t="shared" ca="1" si="1"/>
        <v/>
      </c>
      <c r="I51" s="128" t="str">
        <f t="shared" ca="1" si="2"/>
        <v/>
      </c>
    </row>
    <row r="52" spans="1:9">
      <c r="A52" s="127" t="str">
        <f ca="1">'FB Data'!K51</f>
        <v/>
      </c>
      <c r="B52" s="127" t="str">
        <f ca="1">IFERROR(IF(ISNA(VLOOKUP(A52,'FB Laser'!$A$10:$B$99,2,FALSE)),VLOOKUP(A52,'Tube Laser'!$A$9:$B$98,2,FALSE),VLOOKUP(A52,'FB Laser'!$A$10:$B$99,2,FALSE)),"")</f>
        <v/>
      </c>
      <c r="C52" s="120"/>
      <c r="D52" s="23"/>
      <c r="E52" s="23"/>
      <c r="F52" s="23"/>
      <c r="G52" s="21" t="str">
        <f t="shared" ca="1" si="0"/>
        <v/>
      </c>
      <c r="H52" s="130" t="str">
        <f t="shared" ca="1" si="1"/>
        <v/>
      </c>
      <c r="I52" s="128" t="str">
        <f t="shared" ca="1" si="2"/>
        <v/>
      </c>
    </row>
    <row r="53" spans="1:9">
      <c r="A53" s="127" t="str">
        <f ca="1">'FB Data'!K52</f>
        <v/>
      </c>
      <c r="B53" s="127" t="str">
        <f ca="1">IFERROR(IF(ISNA(VLOOKUP(A53,'FB Laser'!$A$10:$B$99,2,FALSE)),VLOOKUP(A53,'Tube Laser'!$A$9:$B$98,2,FALSE),VLOOKUP(A53,'FB Laser'!$A$10:$B$99,2,FALSE)),"")</f>
        <v/>
      </c>
      <c r="C53" s="120"/>
      <c r="D53" s="23"/>
      <c r="E53" s="23"/>
      <c r="F53" s="23"/>
      <c r="G53" s="21" t="str">
        <f t="shared" ca="1" si="0"/>
        <v/>
      </c>
      <c r="H53" s="130" t="str">
        <f t="shared" ca="1" si="1"/>
        <v/>
      </c>
      <c r="I53" s="128" t="str">
        <f t="shared" ca="1" si="2"/>
        <v/>
      </c>
    </row>
    <row r="54" spans="1:9">
      <c r="A54" s="127" t="str">
        <f ca="1">'FB Data'!K53</f>
        <v/>
      </c>
      <c r="B54" s="127" t="str">
        <f ca="1">IFERROR(IF(ISNA(VLOOKUP(A54,'FB Laser'!$A$10:$B$99,2,FALSE)),VLOOKUP(A54,'Tube Laser'!$A$9:$B$98,2,FALSE),VLOOKUP(A54,'FB Laser'!$A$10:$B$99,2,FALSE)),"")</f>
        <v/>
      </c>
      <c r="C54" s="120"/>
      <c r="D54" s="23"/>
      <c r="E54" s="23"/>
      <c r="F54" s="23"/>
      <c r="G54" s="21" t="str">
        <f t="shared" ca="1" si="0"/>
        <v/>
      </c>
      <c r="H54" s="130" t="str">
        <f t="shared" ca="1" si="1"/>
        <v/>
      </c>
      <c r="I54" s="128" t="str">
        <f t="shared" ca="1" si="2"/>
        <v/>
      </c>
    </row>
    <row r="55" spans="1:9">
      <c r="A55" s="127" t="str">
        <f ca="1">'FB Data'!K54</f>
        <v/>
      </c>
      <c r="B55" s="127" t="str">
        <f ca="1">IFERROR(IF(ISNA(VLOOKUP(A55,'FB Laser'!$A$10:$B$99,2,FALSE)),VLOOKUP(A55,'Tube Laser'!$A$9:$B$98,2,FALSE),VLOOKUP(A55,'FB Laser'!$A$10:$B$99,2,FALSE)),"")</f>
        <v/>
      </c>
      <c r="C55" s="120"/>
      <c r="D55" s="23"/>
      <c r="E55" s="23"/>
      <c r="F55" s="23"/>
      <c r="G55" s="21" t="str">
        <f t="shared" ca="1" si="0"/>
        <v/>
      </c>
      <c r="H55" s="130" t="str">
        <f t="shared" ca="1" si="1"/>
        <v/>
      </c>
      <c r="I55" s="128" t="str">
        <f t="shared" ca="1" si="2"/>
        <v/>
      </c>
    </row>
    <row r="56" spans="1:9">
      <c r="A56" s="127" t="str">
        <f ca="1">'FB Data'!K55</f>
        <v/>
      </c>
      <c r="B56" s="127" t="str">
        <f ca="1">IFERROR(IF(ISNA(VLOOKUP(A56,'FB Laser'!$A$10:$B$99,2,FALSE)),VLOOKUP(A56,'Tube Laser'!$A$9:$B$98,2,FALSE),VLOOKUP(A56,'FB Laser'!$A$10:$B$99,2,FALSE)),"")</f>
        <v/>
      </c>
      <c r="C56" s="120"/>
      <c r="D56" s="23"/>
      <c r="E56" s="23"/>
      <c r="F56" s="23"/>
      <c r="G56" s="21" t="str">
        <f t="shared" ca="1" si="0"/>
        <v/>
      </c>
      <c r="H56" s="130" t="str">
        <f t="shared" ca="1" si="1"/>
        <v/>
      </c>
      <c r="I56" s="128" t="str">
        <f t="shared" ca="1" si="2"/>
        <v/>
      </c>
    </row>
    <row r="57" spans="1:9">
      <c r="A57" s="127" t="str">
        <f ca="1">'FB Data'!K56</f>
        <v/>
      </c>
      <c r="B57" s="127" t="str">
        <f ca="1">IFERROR(IF(ISNA(VLOOKUP(A57,'FB Laser'!$A$10:$B$99,2,FALSE)),VLOOKUP(A57,'Tube Laser'!$A$9:$B$98,2,FALSE),VLOOKUP(A57,'FB Laser'!$A$10:$B$99,2,FALSE)),"")</f>
        <v/>
      </c>
      <c r="C57" s="120"/>
      <c r="D57" s="23"/>
      <c r="E57" s="23"/>
      <c r="F57" s="23"/>
      <c r="G57" s="21" t="str">
        <f t="shared" ca="1" si="0"/>
        <v/>
      </c>
      <c r="H57" s="130" t="str">
        <f t="shared" ca="1" si="1"/>
        <v/>
      </c>
      <c r="I57" s="128" t="str">
        <f t="shared" ca="1" si="2"/>
        <v/>
      </c>
    </row>
    <row r="58" spans="1:9">
      <c r="A58" s="127" t="str">
        <f ca="1">'FB Data'!K57</f>
        <v/>
      </c>
      <c r="B58" s="127" t="str">
        <f ca="1">IFERROR(IF(ISNA(VLOOKUP(A58,'FB Laser'!$A$10:$B$99,2,FALSE)),VLOOKUP(A58,'Tube Laser'!$A$9:$B$98,2,FALSE),VLOOKUP(A58,'FB Laser'!$A$10:$B$99,2,FALSE)),"")</f>
        <v/>
      </c>
      <c r="C58" s="120"/>
      <c r="D58" s="23"/>
      <c r="E58" s="23"/>
      <c r="F58" s="23"/>
      <c r="G58" s="21" t="str">
        <f t="shared" ca="1" si="0"/>
        <v/>
      </c>
      <c r="H58" s="130" t="str">
        <f t="shared" ca="1" si="1"/>
        <v/>
      </c>
      <c r="I58" s="128" t="str">
        <f t="shared" ca="1" si="2"/>
        <v/>
      </c>
    </row>
    <row r="59" spans="1:9">
      <c r="A59" s="127" t="str">
        <f ca="1">'FB Data'!K58</f>
        <v/>
      </c>
      <c r="B59" s="127" t="str">
        <f ca="1">IFERROR(IF(ISNA(VLOOKUP(A59,'FB Laser'!$A$10:$B$99,2,FALSE)),VLOOKUP(A59,'Tube Laser'!$A$9:$B$98,2,FALSE),VLOOKUP(A59,'FB Laser'!$A$10:$B$99,2,FALSE)),"")</f>
        <v/>
      </c>
      <c r="C59" s="120"/>
      <c r="D59" s="23"/>
      <c r="E59" s="23"/>
      <c r="F59" s="23"/>
      <c r="G59" s="21" t="str">
        <f t="shared" ca="1" si="0"/>
        <v/>
      </c>
      <c r="H59" s="130" t="str">
        <f t="shared" ca="1" si="1"/>
        <v/>
      </c>
      <c r="I59" s="128" t="str">
        <f t="shared" ca="1" si="2"/>
        <v/>
      </c>
    </row>
    <row r="60" spans="1:9">
      <c r="A60" s="127" t="str">
        <f ca="1">'FB Data'!K59</f>
        <v/>
      </c>
      <c r="B60" s="127" t="str">
        <f ca="1">IFERROR(IF(ISNA(VLOOKUP(A60,'FB Laser'!$A$10:$B$99,2,FALSE)),VLOOKUP(A60,'Tube Laser'!$A$9:$B$98,2,FALSE),VLOOKUP(A60,'FB Laser'!$A$10:$B$99,2,FALSE)),"")</f>
        <v/>
      </c>
      <c r="C60" s="120"/>
      <c r="D60" s="23"/>
      <c r="E60" s="23"/>
      <c r="F60" s="23"/>
      <c r="G60" s="21" t="str">
        <f t="shared" ca="1" si="0"/>
        <v/>
      </c>
      <c r="H60" s="130" t="str">
        <f t="shared" ca="1" si="1"/>
        <v/>
      </c>
      <c r="I60" s="128" t="str">
        <f t="shared" ca="1" si="2"/>
        <v/>
      </c>
    </row>
    <row r="61" spans="1:9">
      <c r="A61" s="127" t="str">
        <f ca="1">'FB Data'!K60</f>
        <v/>
      </c>
      <c r="B61" s="127" t="str">
        <f ca="1">IFERROR(IF(ISNA(VLOOKUP(A61,'FB Laser'!$A$10:$B$99,2,FALSE)),VLOOKUP(A61,'Tube Laser'!$A$9:$B$98,2,FALSE),VLOOKUP(A61,'FB Laser'!$A$10:$B$99,2,FALSE)),"")</f>
        <v/>
      </c>
      <c r="C61" s="120"/>
      <c r="D61" s="23"/>
      <c r="E61" s="23"/>
      <c r="F61" s="23"/>
      <c r="G61" s="21" t="str">
        <f t="shared" ca="1" si="0"/>
        <v/>
      </c>
      <c r="H61" s="130" t="str">
        <f t="shared" ca="1" si="1"/>
        <v/>
      </c>
      <c r="I61" s="128" t="str">
        <f t="shared" ca="1" si="2"/>
        <v/>
      </c>
    </row>
    <row r="62" spans="1:9">
      <c r="A62" s="127" t="str">
        <f ca="1">'FB Data'!K61</f>
        <v/>
      </c>
      <c r="B62" s="127" t="str">
        <f ca="1">IFERROR(IF(ISNA(VLOOKUP(A62,'FB Laser'!$A$10:$B$99,2,FALSE)),VLOOKUP(A62,'Tube Laser'!$A$9:$B$98,2,FALSE),VLOOKUP(A62,'FB Laser'!$A$10:$B$99,2,FALSE)),"")</f>
        <v/>
      </c>
      <c r="C62" s="120"/>
      <c r="D62" s="23"/>
      <c r="E62" s="23"/>
      <c r="F62" s="23"/>
      <c r="G62" s="21" t="str">
        <f t="shared" ca="1" si="0"/>
        <v/>
      </c>
      <c r="H62" s="130" t="str">
        <f t="shared" ca="1" si="1"/>
        <v/>
      </c>
      <c r="I62" s="128" t="str">
        <f t="shared" ca="1" si="2"/>
        <v/>
      </c>
    </row>
    <row r="63" spans="1:9">
      <c r="A63" s="127" t="str">
        <f ca="1">'FB Data'!K62</f>
        <v/>
      </c>
      <c r="B63" s="127" t="str">
        <f ca="1">IFERROR(IF(ISNA(VLOOKUP(A63,'FB Laser'!$A$10:$B$99,2,FALSE)),VLOOKUP(A63,'Tube Laser'!$A$9:$B$98,2,FALSE),VLOOKUP(A63,'FB Laser'!$A$10:$B$99,2,FALSE)),"")</f>
        <v/>
      </c>
      <c r="C63" s="120"/>
      <c r="D63" s="23"/>
      <c r="E63" s="23"/>
      <c r="F63" s="23"/>
      <c r="G63" s="21" t="str">
        <f t="shared" ca="1" si="0"/>
        <v/>
      </c>
      <c r="H63" s="130" t="str">
        <f t="shared" ca="1" si="1"/>
        <v/>
      </c>
      <c r="I63" s="128" t="str">
        <f t="shared" ca="1" si="2"/>
        <v/>
      </c>
    </row>
    <row r="64" spans="1:9">
      <c r="A64" s="127" t="str">
        <f ca="1">'FB Data'!K63</f>
        <v/>
      </c>
      <c r="B64" s="127" t="str">
        <f ca="1">IFERROR(IF(ISNA(VLOOKUP(A64,'FB Laser'!$A$10:$B$99,2,FALSE)),VLOOKUP(A64,'Tube Laser'!$A$9:$B$98,2,FALSE),VLOOKUP(A64,'FB Laser'!$A$10:$B$99,2,FALSE)),"")</f>
        <v/>
      </c>
      <c r="C64" s="120"/>
      <c r="D64" s="23"/>
      <c r="E64" s="23"/>
      <c r="F64" s="23"/>
      <c r="G64" s="21" t="str">
        <f t="shared" ca="1" si="0"/>
        <v/>
      </c>
      <c r="H64" s="130" t="str">
        <f t="shared" ca="1" si="1"/>
        <v/>
      </c>
      <c r="I64" s="128" t="str">
        <f t="shared" ca="1" si="2"/>
        <v/>
      </c>
    </row>
    <row r="65" spans="1:9">
      <c r="A65" s="127" t="str">
        <f ca="1">'FB Data'!K64</f>
        <v/>
      </c>
      <c r="B65" s="127" t="str">
        <f ca="1">IFERROR(IF(ISNA(VLOOKUP(A65,'FB Laser'!$A$10:$B$99,2,FALSE)),VLOOKUP(A65,'Tube Laser'!$A$9:$B$98,2,FALSE),VLOOKUP(A65,'FB Laser'!$A$10:$B$99,2,FALSE)),"")</f>
        <v/>
      </c>
      <c r="C65" s="120"/>
      <c r="D65" s="23"/>
      <c r="E65" s="23"/>
      <c r="F65" s="23"/>
      <c r="G65" s="21" t="str">
        <f t="shared" ca="1" si="0"/>
        <v/>
      </c>
      <c r="H65" s="130" t="str">
        <f t="shared" ca="1" si="1"/>
        <v/>
      </c>
      <c r="I65" s="128" t="str">
        <f t="shared" ca="1" si="2"/>
        <v/>
      </c>
    </row>
    <row r="66" spans="1:9">
      <c r="A66" s="127" t="str">
        <f ca="1">'FB Data'!K65</f>
        <v/>
      </c>
      <c r="B66" s="127" t="str">
        <f ca="1">IFERROR(IF(ISNA(VLOOKUP(A66,'FB Laser'!$A$10:$B$99,2,FALSE)),VLOOKUP(A66,'Tube Laser'!$A$9:$B$98,2,FALSE),VLOOKUP(A66,'FB Laser'!$A$10:$B$99,2,FALSE)),"")</f>
        <v/>
      </c>
      <c r="C66" s="120"/>
      <c r="D66" s="23"/>
      <c r="E66" s="23"/>
      <c r="F66" s="23"/>
      <c r="G66" s="21" t="str">
        <f t="shared" ca="1" si="0"/>
        <v/>
      </c>
      <c r="H66" s="130" t="str">
        <f t="shared" ca="1" si="1"/>
        <v/>
      </c>
      <c r="I66" s="128" t="str">
        <f t="shared" ca="1" si="2"/>
        <v/>
      </c>
    </row>
    <row r="67" spans="1:9">
      <c r="A67" s="127" t="str">
        <f ca="1">'FB Data'!K66</f>
        <v/>
      </c>
      <c r="B67" s="127" t="str">
        <f ca="1">IFERROR(IF(ISNA(VLOOKUP(A67,'FB Laser'!$A$10:$B$99,2,FALSE)),VLOOKUP(A67,'Tube Laser'!$A$9:$B$98,2,FALSE),VLOOKUP(A67,'FB Laser'!$A$10:$B$99,2,FALSE)),"")</f>
        <v/>
      </c>
      <c r="C67" s="120"/>
      <c r="D67" s="23"/>
      <c r="E67" s="23"/>
      <c r="F67" s="23"/>
      <c r="G67" s="21" t="str">
        <f t="shared" ca="1" si="0"/>
        <v/>
      </c>
      <c r="H67" s="130" t="str">
        <f t="shared" ca="1" si="1"/>
        <v/>
      </c>
      <c r="I67" s="128" t="str">
        <f t="shared" ca="1" si="2"/>
        <v/>
      </c>
    </row>
    <row r="68" spans="1:9">
      <c r="A68" s="127" t="str">
        <f ca="1">'FB Data'!K67</f>
        <v/>
      </c>
      <c r="B68" s="127" t="str">
        <f ca="1">IFERROR(IF(ISNA(VLOOKUP(A68,'FB Laser'!$A$10:$B$99,2,FALSE)),VLOOKUP(A68,'Tube Laser'!$A$9:$B$98,2,FALSE),VLOOKUP(A68,'FB Laser'!$A$10:$B$99,2,FALSE)),"")</f>
        <v/>
      </c>
      <c r="C68" s="120"/>
      <c r="D68" s="23"/>
      <c r="E68" s="23"/>
      <c r="F68" s="23"/>
      <c r="G68" s="21" t="str">
        <f t="shared" ca="1" si="0"/>
        <v/>
      </c>
      <c r="H68" s="130" t="str">
        <f t="shared" ca="1" si="1"/>
        <v/>
      </c>
      <c r="I68" s="128" t="str">
        <f t="shared" ca="1" si="2"/>
        <v/>
      </c>
    </row>
    <row r="69" spans="1:9">
      <c r="A69" s="127" t="str">
        <f ca="1">'FB Data'!K68</f>
        <v/>
      </c>
      <c r="B69" s="127" t="str">
        <f ca="1">IFERROR(IF(ISNA(VLOOKUP(A69,'FB Laser'!$A$10:$B$99,2,FALSE)),VLOOKUP(A69,'Tube Laser'!$A$9:$B$98,2,FALSE),VLOOKUP(A69,'FB Laser'!$A$10:$B$99,2,FALSE)),"")</f>
        <v/>
      </c>
      <c r="C69" s="120"/>
      <c r="D69" s="23"/>
      <c r="E69" s="23"/>
      <c r="F69" s="23"/>
      <c r="G69" s="21" t="str">
        <f t="shared" ca="1" si="0"/>
        <v/>
      </c>
      <c r="H69" s="130" t="str">
        <f t="shared" ca="1" si="1"/>
        <v/>
      </c>
      <c r="I69" s="128" t="str">
        <f t="shared" ca="1" si="2"/>
        <v/>
      </c>
    </row>
    <row r="70" spans="1:9">
      <c r="A70" s="127" t="str">
        <f ca="1">'FB Data'!K69</f>
        <v/>
      </c>
      <c r="B70" s="127" t="str">
        <f ca="1">IFERROR(IF(ISNA(VLOOKUP(A70,'FB Laser'!$A$10:$B$99,2,FALSE)),VLOOKUP(A70,'Tube Laser'!$A$9:$B$98,2,FALSE),VLOOKUP(A70,'FB Laser'!$A$10:$B$99,2,FALSE)),"")</f>
        <v/>
      </c>
      <c r="C70" s="120"/>
      <c r="D70" s="23"/>
      <c r="E70" s="23"/>
      <c r="F70" s="23"/>
      <c r="G70" s="21" t="str">
        <f t="shared" ca="1" si="0"/>
        <v/>
      </c>
      <c r="H70" s="130" t="str">
        <f t="shared" ca="1" si="1"/>
        <v/>
      </c>
      <c r="I70" s="128" t="str">
        <f t="shared" ca="1" si="2"/>
        <v/>
      </c>
    </row>
    <row r="71" spans="1:9">
      <c r="A71" s="127" t="str">
        <f ca="1">'FB Data'!K70</f>
        <v/>
      </c>
      <c r="B71" s="127" t="str">
        <f ca="1">IFERROR(IF(ISNA(VLOOKUP(A71,'FB Laser'!$A$10:$B$99,2,FALSE)),VLOOKUP(A71,'Tube Laser'!$A$9:$B$98,2,FALSE),VLOOKUP(A71,'FB Laser'!$A$10:$B$99,2,FALSE)),"")</f>
        <v/>
      </c>
      <c r="C71" s="120"/>
      <c r="D71" s="23"/>
      <c r="E71" s="23"/>
      <c r="F71" s="23"/>
      <c r="G71" s="21" t="str">
        <f t="shared" ca="1" si="0"/>
        <v/>
      </c>
      <c r="H71" s="130" t="str">
        <f t="shared" ca="1" si="1"/>
        <v/>
      </c>
      <c r="I71" s="128" t="str">
        <f t="shared" ca="1" si="2"/>
        <v/>
      </c>
    </row>
    <row r="72" spans="1:9">
      <c r="A72" s="127" t="str">
        <f ca="1">'FB Data'!K71</f>
        <v/>
      </c>
      <c r="B72" s="127" t="str">
        <f ca="1">IFERROR(IF(ISNA(VLOOKUP(A72,'FB Laser'!$A$10:$B$99,2,FALSE)),VLOOKUP(A72,'Tube Laser'!$A$9:$B$98,2,FALSE),VLOOKUP(A72,'FB Laser'!$A$10:$B$99,2,FALSE)),"")</f>
        <v/>
      </c>
      <c r="C72" s="120"/>
      <c r="D72" s="23"/>
      <c r="E72" s="23"/>
      <c r="F72" s="23"/>
      <c r="G72" s="21" t="str">
        <f t="shared" ca="1" si="0"/>
        <v/>
      </c>
      <c r="H72" s="130" t="str">
        <f t="shared" ca="1" si="1"/>
        <v/>
      </c>
      <c r="I72" s="128" t="str">
        <f t="shared" ca="1" si="2"/>
        <v/>
      </c>
    </row>
    <row r="73" spans="1:9">
      <c r="A73" s="127" t="str">
        <f ca="1">'FB Data'!K72</f>
        <v/>
      </c>
      <c r="B73" s="127" t="str">
        <f ca="1">IFERROR(IF(ISNA(VLOOKUP(A73,'FB Laser'!$A$10:$B$99,2,FALSE)),VLOOKUP(A73,'Tube Laser'!$A$9:$B$98,2,FALSE),VLOOKUP(A73,'FB Laser'!$A$10:$B$99,2,FALSE)),"")</f>
        <v/>
      </c>
      <c r="C73" s="120"/>
      <c r="D73" s="23"/>
      <c r="E73" s="23"/>
      <c r="F73" s="23"/>
      <c r="G73" s="21" t="str">
        <f t="shared" ca="1" si="0"/>
        <v/>
      </c>
      <c r="H73" s="130" t="str">
        <f t="shared" ca="1" si="1"/>
        <v/>
      </c>
      <c r="I73" s="128" t="str">
        <f t="shared" ca="1" si="2"/>
        <v/>
      </c>
    </row>
    <row r="74" spans="1:9">
      <c r="A74" s="127" t="str">
        <f ca="1">'FB Data'!K73</f>
        <v/>
      </c>
      <c r="B74" s="127" t="str">
        <f ca="1">IFERROR(IF(ISNA(VLOOKUP(A74,'FB Laser'!$A$10:$B$99,2,FALSE)),VLOOKUP(A74,'Tube Laser'!$A$9:$B$98,2,FALSE),VLOOKUP(A74,'FB Laser'!$A$10:$B$99,2,FALSE)),"")</f>
        <v/>
      </c>
      <c r="C74" s="120"/>
      <c r="D74" s="23"/>
      <c r="E74" s="23"/>
      <c r="F74" s="23"/>
      <c r="G74" s="21" t="str">
        <f t="shared" ca="1" si="0"/>
        <v/>
      </c>
      <c r="H74" s="130" t="str">
        <f t="shared" ca="1" si="1"/>
        <v/>
      </c>
      <c r="I74" s="128" t="str">
        <f t="shared" ca="1" si="2"/>
        <v/>
      </c>
    </row>
    <row r="75" spans="1:9">
      <c r="A75" s="127" t="str">
        <f ca="1">'FB Data'!K74</f>
        <v/>
      </c>
      <c r="B75" s="127" t="str">
        <f ca="1">IFERROR(IF(ISNA(VLOOKUP(A75,'FB Laser'!$A$10:$B$99,2,FALSE)),VLOOKUP(A75,'Tube Laser'!$A$9:$B$98,2,FALSE),VLOOKUP(A75,'FB Laser'!$A$10:$B$99,2,FALSE)),"")</f>
        <v/>
      </c>
      <c r="C75" s="120"/>
      <c r="D75" s="23"/>
      <c r="E75" s="23"/>
      <c r="F75" s="23"/>
      <c r="G75" s="21" t="str">
        <f t="shared" ref="G75:G100" ca="1" si="3">IFERROR(ROUND((C75/B75)+(D75/60/B75*$D$4)+(E75/60/B75*60)+(F75/60*$D$4),2),"")</f>
        <v/>
      </c>
      <c r="H75" s="130" t="str">
        <f t="shared" ref="H75:H100" ca="1" si="4">IFERROR(ROUND(G75*B75,2),"")</f>
        <v/>
      </c>
      <c r="I75" s="128" t="str">
        <f t="shared" ref="I75:I100" ca="1" si="5">IFERROR(D75+(F75*B75),"")</f>
        <v/>
      </c>
    </row>
    <row r="76" spans="1:9">
      <c r="A76" s="127" t="str">
        <f ca="1">'FB Data'!K75</f>
        <v/>
      </c>
      <c r="B76" s="127" t="str">
        <f ca="1">IFERROR(IF(ISNA(VLOOKUP(A76,'FB Laser'!$A$10:$B$99,2,FALSE)),VLOOKUP(A76,'Tube Laser'!$A$9:$B$98,2,FALSE),VLOOKUP(A76,'FB Laser'!$A$10:$B$99,2,FALSE)),"")</f>
        <v/>
      </c>
      <c r="C76" s="120"/>
      <c r="D76" s="23"/>
      <c r="E76" s="23"/>
      <c r="F76" s="23"/>
      <c r="G76" s="21" t="str">
        <f t="shared" ca="1" si="3"/>
        <v/>
      </c>
      <c r="H76" s="130" t="str">
        <f t="shared" ca="1" si="4"/>
        <v/>
      </c>
      <c r="I76" s="128" t="str">
        <f t="shared" ca="1" si="5"/>
        <v/>
      </c>
    </row>
    <row r="77" spans="1:9">
      <c r="A77" s="127" t="str">
        <f ca="1">'FB Data'!K76</f>
        <v/>
      </c>
      <c r="B77" s="127" t="str">
        <f ca="1">IFERROR(IF(ISNA(VLOOKUP(A77,'FB Laser'!$A$10:$B$99,2,FALSE)),VLOOKUP(A77,'Tube Laser'!$A$9:$B$98,2,FALSE),VLOOKUP(A77,'FB Laser'!$A$10:$B$99,2,FALSE)),"")</f>
        <v/>
      </c>
      <c r="C77" s="120"/>
      <c r="D77" s="23"/>
      <c r="E77" s="23"/>
      <c r="F77" s="23"/>
      <c r="G77" s="21" t="str">
        <f t="shared" ca="1" si="3"/>
        <v/>
      </c>
      <c r="H77" s="130" t="str">
        <f t="shared" ca="1" si="4"/>
        <v/>
      </c>
      <c r="I77" s="128" t="str">
        <f t="shared" ca="1" si="5"/>
        <v/>
      </c>
    </row>
    <row r="78" spans="1:9">
      <c r="A78" s="127" t="str">
        <f ca="1">'FB Data'!K77</f>
        <v/>
      </c>
      <c r="B78" s="127" t="str">
        <f ca="1">IFERROR(IF(ISNA(VLOOKUP(A78,'FB Laser'!$A$10:$B$99,2,FALSE)),VLOOKUP(A78,'Tube Laser'!$A$9:$B$98,2,FALSE),VLOOKUP(A78,'FB Laser'!$A$10:$B$99,2,FALSE)),"")</f>
        <v/>
      </c>
      <c r="C78" s="120"/>
      <c r="D78" s="23"/>
      <c r="E78" s="23"/>
      <c r="F78" s="23"/>
      <c r="G78" s="21" t="str">
        <f t="shared" ca="1" si="3"/>
        <v/>
      </c>
      <c r="H78" s="130" t="str">
        <f t="shared" ca="1" si="4"/>
        <v/>
      </c>
      <c r="I78" s="128" t="str">
        <f t="shared" ca="1" si="5"/>
        <v/>
      </c>
    </row>
    <row r="79" spans="1:9">
      <c r="A79" s="127" t="str">
        <f ca="1">'FB Data'!K78</f>
        <v/>
      </c>
      <c r="B79" s="127" t="str">
        <f ca="1">IFERROR(IF(ISNA(VLOOKUP(A79,'FB Laser'!$A$10:$B$99,2,FALSE)),VLOOKUP(A79,'Tube Laser'!$A$9:$B$98,2,FALSE),VLOOKUP(A79,'FB Laser'!$A$10:$B$99,2,FALSE)),"")</f>
        <v/>
      </c>
      <c r="C79" s="120"/>
      <c r="D79" s="23"/>
      <c r="E79" s="23"/>
      <c r="F79" s="23"/>
      <c r="G79" s="21" t="str">
        <f t="shared" ca="1" si="3"/>
        <v/>
      </c>
      <c r="H79" s="130" t="str">
        <f t="shared" ca="1" si="4"/>
        <v/>
      </c>
      <c r="I79" s="128" t="str">
        <f t="shared" ca="1" si="5"/>
        <v/>
      </c>
    </row>
    <row r="80" spans="1:9">
      <c r="A80" s="127" t="str">
        <f ca="1">'FB Data'!K79</f>
        <v/>
      </c>
      <c r="B80" s="127" t="str">
        <f ca="1">IFERROR(IF(ISNA(VLOOKUP(A80,'FB Laser'!$A$10:$B$99,2,FALSE)),VLOOKUP(A80,'Tube Laser'!$A$9:$B$98,2,FALSE),VLOOKUP(A80,'FB Laser'!$A$10:$B$99,2,FALSE)),"")</f>
        <v/>
      </c>
      <c r="C80" s="120"/>
      <c r="D80" s="23"/>
      <c r="E80" s="23"/>
      <c r="F80" s="23"/>
      <c r="G80" s="21" t="str">
        <f t="shared" ca="1" si="3"/>
        <v/>
      </c>
      <c r="H80" s="130" t="str">
        <f t="shared" ca="1" si="4"/>
        <v/>
      </c>
      <c r="I80" s="128" t="str">
        <f t="shared" ca="1" si="5"/>
        <v/>
      </c>
    </row>
    <row r="81" spans="1:9">
      <c r="A81" s="127" t="str">
        <f ca="1">'FB Data'!K80</f>
        <v/>
      </c>
      <c r="B81" s="127" t="str">
        <f ca="1">IFERROR(IF(ISNA(VLOOKUP(A81,'FB Laser'!$A$10:$B$99,2,FALSE)),VLOOKUP(A81,'Tube Laser'!$A$9:$B$98,2,FALSE),VLOOKUP(A81,'FB Laser'!$A$10:$B$99,2,FALSE)),"")</f>
        <v/>
      </c>
      <c r="C81" s="120"/>
      <c r="D81" s="23"/>
      <c r="E81" s="23"/>
      <c r="F81" s="23"/>
      <c r="G81" s="21" t="str">
        <f t="shared" ca="1" si="3"/>
        <v/>
      </c>
      <c r="H81" s="130" t="str">
        <f t="shared" ca="1" si="4"/>
        <v/>
      </c>
      <c r="I81" s="128" t="str">
        <f t="shared" ca="1" si="5"/>
        <v/>
      </c>
    </row>
    <row r="82" spans="1:9">
      <c r="A82" s="127" t="str">
        <f ca="1">'FB Data'!K81</f>
        <v/>
      </c>
      <c r="B82" s="127" t="str">
        <f ca="1">IFERROR(IF(ISNA(VLOOKUP(A82,'FB Laser'!$A$10:$B$99,2,FALSE)),VLOOKUP(A82,'Tube Laser'!$A$9:$B$98,2,FALSE),VLOOKUP(A82,'FB Laser'!$A$10:$B$99,2,FALSE)),"")</f>
        <v/>
      </c>
      <c r="C82" s="120"/>
      <c r="D82" s="23"/>
      <c r="E82" s="23"/>
      <c r="F82" s="23"/>
      <c r="G82" s="21" t="str">
        <f t="shared" ca="1" si="3"/>
        <v/>
      </c>
      <c r="H82" s="130" t="str">
        <f t="shared" ca="1" si="4"/>
        <v/>
      </c>
      <c r="I82" s="128" t="str">
        <f t="shared" ca="1" si="5"/>
        <v/>
      </c>
    </row>
    <row r="83" spans="1:9">
      <c r="A83" s="127" t="str">
        <f ca="1">'FB Data'!K82</f>
        <v/>
      </c>
      <c r="B83" s="127" t="str">
        <f ca="1">IFERROR(IF(ISNA(VLOOKUP(A83,'FB Laser'!$A$10:$B$99,2,FALSE)),VLOOKUP(A83,'Tube Laser'!$A$9:$B$98,2,FALSE),VLOOKUP(A83,'FB Laser'!$A$10:$B$99,2,FALSE)),"")</f>
        <v/>
      </c>
      <c r="C83" s="120"/>
      <c r="D83" s="23"/>
      <c r="E83" s="23"/>
      <c r="F83" s="23"/>
      <c r="G83" s="21" t="str">
        <f t="shared" ca="1" si="3"/>
        <v/>
      </c>
      <c r="H83" s="130" t="str">
        <f t="shared" ca="1" si="4"/>
        <v/>
      </c>
      <c r="I83" s="128" t="str">
        <f t="shared" ca="1" si="5"/>
        <v/>
      </c>
    </row>
    <row r="84" spans="1:9">
      <c r="A84" s="127" t="str">
        <f ca="1">'FB Data'!K83</f>
        <v/>
      </c>
      <c r="B84" s="127" t="str">
        <f ca="1">IFERROR(IF(ISNA(VLOOKUP(A84,'FB Laser'!$A$10:$B$99,2,FALSE)),VLOOKUP(A84,'Tube Laser'!$A$9:$B$98,2,FALSE),VLOOKUP(A84,'FB Laser'!$A$10:$B$99,2,FALSE)),"")</f>
        <v/>
      </c>
      <c r="C84" s="120"/>
      <c r="D84" s="23"/>
      <c r="E84" s="23"/>
      <c r="F84" s="23"/>
      <c r="G84" s="21" t="str">
        <f t="shared" ca="1" si="3"/>
        <v/>
      </c>
      <c r="H84" s="130" t="str">
        <f t="shared" ca="1" si="4"/>
        <v/>
      </c>
      <c r="I84" s="128" t="str">
        <f t="shared" ca="1" si="5"/>
        <v/>
      </c>
    </row>
    <row r="85" spans="1:9">
      <c r="A85" s="127" t="str">
        <f ca="1">'FB Data'!K84</f>
        <v/>
      </c>
      <c r="B85" s="127" t="str">
        <f ca="1">IFERROR(IF(ISNA(VLOOKUP(A85,'FB Laser'!$A$10:$B$99,2,FALSE)),VLOOKUP(A85,'Tube Laser'!$A$9:$B$98,2,FALSE),VLOOKUP(A85,'FB Laser'!$A$10:$B$99,2,FALSE)),"")</f>
        <v/>
      </c>
      <c r="C85" s="120"/>
      <c r="D85" s="23"/>
      <c r="E85" s="23"/>
      <c r="F85" s="23"/>
      <c r="G85" s="21" t="str">
        <f t="shared" ca="1" si="3"/>
        <v/>
      </c>
      <c r="H85" s="130" t="str">
        <f t="shared" ca="1" si="4"/>
        <v/>
      </c>
      <c r="I85" s="128" t="str">
        <f t="shared" ca="1" si="5"/>
        <v/>
      </c>
    </row>
    <row r="86" spans="1:9">
      <c r="A86" s="127" t="str">
        <f ca="1">'FB Data'!K85</f>
        <v/>
      </c>
      <c r="B86" s="127" t="str">
        <f ca="1">IFERROR(IF(ISNA(VLOOKUP(A86,'FB Laser'!$A$10:$B$99,2,FALSE)),VLOOKUP(A86,'Tube Laser'!$A$9:$B$98,2,FALSE),VLOOKUP(A86,'FB Laser'!$A$10:$B$99,2,FALSE)),"")</f>
        <v/>
      </c>
      <c r="C86" s="120"/>
      <c r="D86" s="23"/>
      <c r="E86" s="23"/>
      <c r="F86" s="23"/>
      <c r="G86" s="21" t="str">
        <f t="shared" ca="1" si="3"/>
        <v/>
      </c>
      <c r="H86" s="130" t="str">
        <f t="shared" ca="1" si="4"/>
        <v/>
      </c>
      <c r="I86" s="128" t="str">
        <f t="shared" ca="1" si="5"/>
        <v/>
      </c>
    </row>
    <row r="87" spans="1:9">
      <c r="A87" s="127" t="str">
        <f ca="1">'FB Data'!K86</f>
        <v/>
      </c>
      <c r="B87" s="127" t="str">
        <f ca="1">IFERROR(IF(ISNA(VLOOKUP(A87,'FB Laser'!$A$10:$B$99,2,FALSE)),VLOOKUP(A87,'Tube Laser'!$A$9:$B$98,2,FALSE),VLOOKUP(A87,'FB Laser'!$A$10:$B$99,2,FALSE)),"")</f>
        <v/>
      </c>
      <c r="C87" s="120"/>
      <c r="D87" s="23"/>
      <c r="E87" s="23"/>
      <c r="F87" s="23"/>
      <c r="G87" s="21" t="str">
        <f t="shared" ca="1" si="3"/>
        <v/>
      </c>
      <c r="H87" s="130" t="str">
        <f t="shared" ca="1" si="4"/>
        <v/>
      </c>
      <c r="I87" s="128" t="str">
        <f t="shared" ca="1" si="5"/>
        <v/>
      </c>
    </row>
    <row r="88" spans="1:9">
      <c r="A88" s="127" t="str">
        <f ca="1">'FB Data'!K87</f>
        <v/>
      </c>
      <c r="B88" s="127" t="str">
        <f ca="1">IFERROR(IF(ISNA(VLOOKUP(A88,'FB Laser'!$A$10:$B$99,2,FALSE)),VLOOKUP(A88,'Tube Laser'!$A$9:$B$98,2,FALSE),VLOOKUP(A88,'FB Laser'!$A$10:$B$99,2,FALSE)),"")</f>
        <v/>
      </c>
      <c r="C88" s="120"/>
      <c r="D88" s="23"/>
      <c r="E88" s="23"/>
      <c r="F88" s="23"/>
      <c r="G88" s="21" t="str">
        <f t="shared" ca="1" si="3"/>
        <v/>
      </c>
      <c r="H88" s="130" t="str">
        <f t="shared" ca="1" si="4"/>
        <v/>
      </c>
      <c r="I88" s="128" t="str">
        <f t="shared" ca="1" si="5"/>
        <v/>
      </c>
    </row>
    <row r="89" spans="1:9">
      <c r="A89" s="127" t="str">
        <f ca="1">'FB Data'!K88</f>
        <v/>
      </c>
      <c r="B89" s="127" t="str">
        <f ca="1">IFERROR(IF(ISNA(VLOOKUP(A89,'FB Laser'!$A$10:$B$99,2,FALSE)),VLOOKUP(A89,'Tube Laser'!$A$9:$B$98,2,FALSE),VLOOKUP(A89,'FB Laser'!$A$10:$B$99,2,FALSE)),"")</f>
        <v/>
      </c>
      <c r="C89" s="120"/>
      <c r="D89" s="23"/>
      <c r="E89" s="23"/>
      <c r="F89" s="23"/>
      <c r="G89" s="21" t="str">
        <f t="shared" ca="1" si="3"/>
        <v/>
      </c>
      <c r="H89" s="130" t="str">
        <f t="shared" ca="1" si="4"/>
        <v/>
      </c>
      <c r="I89" s="128" t="str">
        <f t="shared" ca="1" si="5"/>
        <v/>
      </c>
    </row>
    <row r="90" spans="1:9">
      <c r="A90" s="127" t="str">
        <f ca="1">'FB Data'!K89</f>
        <v/>
      </c>
      <c r="B90" s="127" t="str">
        <f ca="1">IFERROR(IF(ISNA(VLOOKUP(A90,'FB Laser'!$A$10:$B$99,2,FALSE)),VLOOKUP(A90,'Tube Laser'!$A$9:$B$98,2,FALSE),VLOOKUP(A90,'FB Laser'!$A$10:$B$99,2,FALSE)),"")</f>
        <v/>
      </c>
      <c r="C90" s="120"/>
      <c r="D90" s="23"/>
      <c r="E90" s="23"/>
      <c r="F90" s="23"/>
      <c r="G90" s="21" t="str">
        <f t="shared" ca="1" si="3"/>
        <v/>
      </c>
      <c r="H90" s="130" t="str">
        <f t="shared" ca="1" si="4"/>
        <v/>
      </c>
      <c r="I90" s="128" t="str">
        <f t="shared" ca="1" si="5"/>
        <v/>
      </c>
    </row>
    <row r="91" spans="1:9">
      <c r="A91" s="127" t="str">
        <f ca="1">'FB Data'!K90</f>
        <v/>
      </c>
      <c r="B91" s="127" t="str">
        <f ca="1">IFERROR(IF(ISNA(VLOOKUP(A91,'FB Laser'!$A$10:$B$99,2,FALSE)),VLOOKUP(A91,'Tube Laser'!$A$9:$B$98,2,FALSE),VLOOKUP(A91,'FB Laser'!$A$10:$B$99,2,FALSE)),"")</f>
        <v/>
      </c>
      <c r="C91" s="120"/>
      <c r="D91" s="23"/>
      <c r="E91" s="23"/>
      <c r="F91" s="23"/>
      <c r="G91" s="21" t="str">
        <f t="shared" ca="1" si="3"/>
        <v/>
      </c>
      <c r="H91" s="130" t="str">
        <f t="shared" ca="1" si="4"/>
        <v/>
      </c>
      <c r="I91" s="128" t="str">
        <f t="shared" ca="1" si="5"/>
        <v/>
      </c>
    </row>
    <row r="92" spans="1:9">
      <c r="A92" s="127" t="str">
        <f ca="1">'FB Data'!K91</f>
        <v/>
      </c>
      <c r="B92" s="127" t="str">
        <f ca="1">IFERROR(IF(ISNA(VLOOKUP(A92,'FB Laser'!$A$10:$B$99,2,FALSE)),VLOOKUP(A92,'Tube Laser'!$A$9:$B$98,2,FALSE),VLOOKUP(A92,'FB Laser'!$A$10:$B$99,2,FALSE)),"")</f>
        <v/>
      </c>
      <c r="C92" s="120"/>
      <c r="D92" s="23"/>
      <c r="E92" s="23"/>
      <c r="F92" s="23"/>
      <c r="G92" s="21" t="str">
        <f t="shared" ca="1" si="3"/>
        <v/>
      </c>
      <c r="H92" s="130" t="str">
        <f t="shared" ca="1" si="4"/>
        <v/>
      </c>
      <c r="I92" s="128" t="str">
        <f t="shared" ca="1" si="5"/>
        <v/>
      </c>
    </row>
    <row r="93" spans="1:9">
      <c r="A93" s="127" t="str">
        <f ca="1">'FB Data'!K92</f>
        <v/>
      </c>
      <c r="B93" s="127" t="str">
        <f ca="1">IFERROR(IF(ISNA(VLOOKUP(A93,'FB Laser'!$A$10:$B$99,2,FALSE)),VLOOKUP(A93,'Tube Laser'!$A$9:$B$98,2,FALSE),VLOOKUP(A93,'FB Laser'!$A$10:$B$99,2,FALSE)),"")</f>
        <v/>
      </c>
      <c r="C93" s="120"/>
      <c r="D93" s="23"/>
      <c r="E93" s="23"/>
      <c r="F93" s="23"/>
      <c r="G93" s="21" t="str">
        <f t="shared" ca="1" si="3"/>
        <v/>
      </c>
      <c r="H93" s="130" t="str">
        <f t="shared" ca="1" si="4"/>
        <v/>
      </c>
      <c r="I93" s="128" t="str">
        <f t="shared" ca="1" si="5"/>
        <v/>
      </c>
    </row>
    <row r="94" spans="1:9">
      <c r="A94" s="127" t="str">
        <f ca="1">'FB Data'!K93</f>
        <v/>
      </c>
      <c r="B94" s="127" t="str">
        <f ca="1">IFERROR(IF(ISNA(VLOOKUP(A94,'FB Laser'!$A$10:$B$99,2,FALSE)),VLOOKUP(A94,'Tube Laser'!$A$9:$B$98,2,FALSE),VLOOKUP(A94,'FB Laser'!$A$10:$B$99,2,FALSE)),"")</f>
        <v/>
      </c>
      <c r="C94" s="120"/>
      <c r="D94" s="23"/>
      <c r="E94" s="23"/>
      <c r="F94" s="23"/>
      <c r="G94" s="21" t="str">
        <f t="shared" ca="1" si="3"/>
        <v/>
      </c>
      <c r="H94" s="130" t="str">
        <f t="shared" ca="1" si="4"/>
        <v/>
      </c>
      <c r="I94" s="128" t="str">
        <f t="shared" ca="1" si="5"/>
        <v/>
      </c>
    </row>
    <row r="95" spans="1:9">
      <c r="A95" s="127" t="str">
        <f ca="1">'FB Data'!K94</f>
        <v/>
      </c>
      <c r="B95" s="127" t="str">
        <f ca="1">IFERROR(IF(ISNA(VLOOKUP(A95,'FB Laser'!$A$10:$B$99,2,FALSE)),VLOOKUP(A95,'Tube Laser'!$A$9:$B$98,2,FALSE),VLOOKUP(A95,'FB Laser'!$A$10:$B$99,2,FALSE)),"")</f>
        <v/>
      </c>
      <c r="C95" s="120"/>
      <c r="D95" s="23"/>
      <c r="E95" s="23"/>
      <c r="F95" s="23"/>
      <c r="G95" s="21" t="str">
        <f t="shared" ca="1" si="3"/>
        <v/>
      </c>
      <c r="H95" s="130" t="str">
        <f t="shared" ca="1" si="4"/>
        <v/>
      </c>
      <c r="I95" s="128" t="str">
        <f t="shared" ca="1" si="5"/>
        <v/>
      </c>
    </row>
    <row r="96" spans="1:9">
      <c r="A96" s="127" t="str">
        <f ca="1">'FB Data'!K95</f>
        <v/>
      </c>
      <c r="B96" s="127" t="str">
        <f ca="1">IFERROR(IF(ISNA(VLOOKUP(A96,'FB Laser'!$A$10:$B$99,2,FALSE)),VLOOKUP(A96,'Tube Laser'!$A$9:$B$98,2,FALSE),VLOOKUP(A96,'FB Laser'!$A$10:$B$99,2,FALSE)),"")</f>
        <v/>
      </c>
      <c r="C96" s="120"/>
      <c r="D96" s="23"/>
      <c r="E96" s="23"/>
      <c r="F96" s="23"/>
      <c r="G96" s="21" t="str">
        <f t="shared" ca="1" si="3"/>
        <v/>
      </c>
      <c r="H96" s="130" t="str">
        <f t="shared" ca="1" si="4"/>
        <v/>
      </c>
      <c r="I96" s="128" t="str">
        <f t="shared" ca="1" si="5"/>
        <v/>
      </c>
    </row>
    <row r="97" spans="1:9">
      <c r="A97" s="127" t="str">
        <f ca="1">'FB Data'!K96</f>
        <v/>
      </c>
      <c r="B97" s="127" t="str">
        <f ca="1">IFERROR(IF(ISNA(VLOOKUP(A97,'FB Laser'!$A$10:$B$99,2,FALSE)),VLOOKUP(A97,'Tube Laser'!$A$9:$B$98,2,FALSE),VLOOKUP(A97,'FB Laser'!$A$10:$B$99,2,FALSE)),"")</f>
        <v/>
      </c>
      <c r="C97" s="120"/>
      <c r="D97" s="23"/>
      <c r="E97" s="23"/>
      <c r="F97" s="23"/>
      <c r="G97" s="21" t="str">
        <f t="shared" ca="1" si="3"/>
        <v/>
      </c>
      <c r="H97" s="130" t="str">
        <f t="shared" ca="1" si="4"/>
        <v/>
      </c>
      <c r="I97" s="128" t="str">
        <f t="shared" ca="1" si="5"/>
        <v/>
      </c>
    </row>
    <row r="98" spans="1:9">
      <c r="A98" s="127" t="str">
        <f ca="1">'FB Data'!K97</f>
        <v/>
      </c>
      <c r="B98" s="127" t="str">
        <f ca="1">IFERROR(IF(ISNA(VLOOKUP(A98,'FB Laser'!$A$10:$B$99,2,FALSE)),VLOOKUP(A98,'Tube Laser'!$A$9:$B$98,2,FALSE),VLOOKUP(A98,'FB Laser'!$A$10:$B$99,2,FALSE)),"")</f>
        <v/>
      </c>
      <c r="C98" s="120"/>
      <c r="D98" s="23"/>
      <c r="E98" s="23"/>
      <c r="F98" s="23"/>
      <c r="G98" s="21" t="str">
        <f t="shared" ca="1" si="3"/>
        <v/>
      </c>
      <c r="H98" s="130" t="str">
        <f t="shared" ca="1" si="4"/>
        <v/>
      </c>
      <c r="I98" s="128" t="str">
        <f t="shared" ca="1" si="5"/>
        <v/>
      </c>
    </row>
    <row r="99" spans="1:9">
      <c r="A99" s="127" t="str">
        <f ca="1">'FB Data'!K98</f>
        <v/>
      </c>
      <c r="B99" s="127" t="str">
        <f ca="1">IFERROR(IF(ISNA(VLOOKUP(A99,'FB Laser'!$A$10:$B$99,2,FALSE)),VLOOKUP(A99,'Tube Laser'!$A$9:$B$98,2,FALSE),VLOOKUP(A99,'FB Laser'!$A$10:$B$99,2,FALSE)),"")</f>
        <v/>
      </c>
      <c r="C99" s="120"/>
      <c r="D99" s="23"/>
      <c r="E99" s="23"/>
      <c r="F99" s="23"/>
      <c r="G99" s="21" t="str">
        <f t="shared" ca="1" si="3"/>
        <v/>
      </c>
      <c r="H99" s="130" t="str">
        <f t="shared" ca="1" si="4"/>
        <v/>
      </c>
      <c r="I99" s="128" t="str">
        <f t="shared" ca="1" si="5"/>
        <v/>
      </c>
    </row>
    <row r="100" spans="1:9">
      <c r="A100" s="127" t="str">
        <f ca="1">'FB Data'!K99</f>
        <v/>
      </c>
      <c r="B100" s="127" t="str">
        <f ca="1">IFERROR(IF(ISNA(VLOOKUP(A100,'FB Laser'!$A$10:$B$99,2,FALSE)),VLOOKUP(A100,'Tube Laser'!$A$9:$B$98,2,FALSE),VLOOKUP(A100,'FB Laser'!$A$10:$B$99,2,FALSE)),"")</f>
        <v/>
      </c>
      <c r="C100" s="120"/>
      <c r="D100" s="23"/>
      <c r="E100" s="23"/>
      <c r="F100" s="23"/>
      <c r="G100" s="21" t="str">
        <f t="shared" ca="1" si="3"/>
        <v/>
      </c>
      <c r="H100" s="130" t="str">
        <f t="shared" ca="1" si="4"/>
        <v/>
      </c>
      <c r="I100" s="128" t="str">
        <f t="shared" ca="1" si="5"/>
        <v/>
      </c>
    </row>
    <row r="101" spans="1:9">
      <c r="H101" s="33">
        <f ca="1">SUM(H10:H100)</f>
        <v>0</v>
      </c>
      <c r="I101" s="131">
        <f ca="1">SUM(I10:I100)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4:I99"/>
  <sheetViews>
    <sheetView workbookViewId="0">
      <selection activeCell="C10" sqref="C10"/>
    </sheetView>
  </sheetViews>
  <sheetFormatPr defaultRowHeight="15"/>
  <cols>
    <col min="1" max="1" width="16" customWidth="1"/>
    <col min="2" max="2" width="14.28515625" bestFit="1" customWidth="1"/>
    <col min="3" max="3" width="11.85546875" bestFit="1" customWidth="1"/>
    <col min="4" max="4" width="9.7109375" bestFit="1" customWidth="1"/>
    <col min="5" max="5" width="11.28515625" bestFit="1" customWidth="1"/>
    <col min="6" max="6" width="13.140625" customWidth="1"/>
    <col min="7" max="7" width="18" bestFit="1" customWidth="1"/>
    <col min="8" max="8" width="61" customWidth="1"/>
  </cols>
  <sheetData>
    <row r="4" spans="1:9">
      <c r="B4" s="23" t="s">
        <v>2880</v>
      </c>
      <c r="C4" s="80">
        <v>45</v>
      </c>
    </row>
    <row r="5" spans="1:9">
      <c r="B5" s="79"/>
      <c r="C5" s="96">
        <f>C4*'Quote Info'!O4</f>
        <v>61.2</v>
      </c>
    </row>
    <row r="9" spans="1:9">
      <c r="A9" s="3" t="s">
        <v>273</v>
      </c>
      <c r="B9" s="3" t="s">
        <v>0</v>
      </c>
      <c r="C9" s="3" t="s">
        <v>2780</v>
      </c>
      <c r="D9" s="3" t="s">
        <v>2845</v>
      </c>
      <c r="E9" s="3" t="s">
        <v>2784</v>
      </c>
      <c r="F9" s="3" t="s">
        <v>4</v>
      </c>
      <c r="G9" s="3" t="s">
        <v>2787</v>
      </c>
      <c r="H9" s="3" t="s">
        <v>2847</v>
      </c>
      <c r="I9" s="73"/>
    </row>
    <row r="10" spans="1:9">
      <c r="A10" s="74">
        <f>'FB Laser'!A10</f>
        <v>0</v>
      </c>
      <c r="B10" s="75">
        <f>'FB Laser'!B10</f>
        <v>0</v>
      </c>
      <c r="C10" s="13"/>
      <c r="D10" s="13"/>
      <c r="E10" s="78">
        <f>IFERROR(ROUND(((D10*20)/60/60*$C$4)+(C10/60*$C$4/B10),2),0)</f>
        <v>0</v>
      </c>
      <c r="F10" s="66">
        <f>IFERROR(E10*B10,"")</f>
        <v>0</v>
      </c>
      <c r="G10" s="76">
        <f>D10*20/60*B10+C10</f>
        <v>0</v>
      </c>
    </row>
    <row r="11" spans="1:9">
      <c r="A11" s="74">
        <f>'FB Laser'!A11</f>
        <v>0</v>
      </c>
      <c r="B11" s="75">
        <f>'FB Laser'!B11</f>
        <v>0</v>
      </c>
      <c r="C11" s="13"/>
      <c r="D11" s="13"/>
      <c r="E11" s="78">
        <f t="shared" ref="E11:E74" si="0">IFERROR(ROUND(((D11*20)/60/60*$C$4)+(C11/60*$C$4/B11),2),0)</f>
        <v>0</v>
      </c>
      <c r="F11" s="66">
        <f t="shared" ref="F11:F74" si="1">IFERROR(E11*B11,"")</f>
        <v>0</v>
      </c>
      <c r="G11" s="76">
        <f t="shared" ref="G11:G74" si="2">D11*20/60*B11+C11</f>
        <v>0</v>
      </c>
    </row>
    <row r="12" spans="1:9">
      <c r="A12" s="74">
        <f>'FB Laser'!A12</f>
        <v>0</v>
      </c>
      <c r="B12" s="75">
        <f>'FB Laser'!B12</f>
        <v>0</v>
      </c>
      <c r="C12" s="13"/>
      <c r="D12" s="13"/>
      <c r="E12" s="78">
        <f t="shared" si="0"/>
        <v>0</v>
      </c>
      <c r="F12" s="66">
        <f t="shared" si="1"/>
        <v>0</v>
      </c>
      <c r="G12" s="76">
        <f t="shared" si="2"/>
        <v>0</v>
      </c>
    </row>
    <row r="13" spans="1:9">
      <c r="A13" s="74">
        <f>'FB Laser'!A13</f>
        <v>0</v>
      </c>
      <c r="B13" s="75">
        <f>'FB Laser'!B13</f>
        <v>0</v>
      </c>
      <c r="C13" s="13"/>
      <c r="D13" s="13"/>
      <c r="E13" s="78">
        <f t="shared" si="0"/>
        <v>0</v>
      </c>
      <c r="F13" s="66">
        <f t="shared" si="1"/>
        <v>0</v>
      </c>
      <c r="G13" s="76">
        <f t="shared" si="2"/>
        <v>0</v>
      </c>
    </row>
    <row r="14" spans="1:9">
      <c r="A14" s="74">
        <f>'FB Laser'!A14</f>
        <v>0</v>
      </c>
      <c r="B14" s="75">
        <f>'FB Laser'!B14</f>
        <v>0</v>
      </c>
      <c r="C14" s="13"/>
      <c r="D14" s="13"/>
      <c r="E14" s="78">
        <f t="shared" si="0"/>
        <v>0</v>
      </c>
      <c r="F14" s="66">
        <f t="shared" si="1"/>
        <v>0</v>
      </c>
      <c r="G14" s="76">
        <f t="shared" si="2"/>
        <v>0</v>
      </c>
    </row>
    <row r="15" spans="1:9">
      <c r="A15" s="74">
        <f>'FB Laser'!A15</f>
        <v>0</v>
      </c>
      <c r="B15" s="75">
        <f>'FB Laser'!B15</f>
        <v>0</v>
      </c>
      <c r="C15" s="13"/>
      <c r="D15" s="13"/>
      <c r="E15" s="78">
        <f t="shared" si="0"/>
        <v>0</v>
      </c>
      <c r="F15" s="66">
        <f t="shared" si="1"/>
        <v>0</v>
      </c>
      <c r="G15" s="76">
        <f t="shared" si="2"/>
        <v>0</v>
      </c>
    </row>
    <row r="16" spans="1:9">
      <c r="A16" s="74">
        <f>'FB Laser'!A16</f>
        <v>0</v>
      </c>
      <c r="B16" s="75">
        <f>'FB Laser'!B16</f>
        <v>0</v>
      </c>
      <c r="C16" s="13"/>
      <c r="D16" s="13"/>
      <c r="E16" s="78">
        <f t="shared" si="0"/>
        <v>0</v>
      </c>
      <c r="F16" s="66">
        <f t="shared" si="1"/>
        <v>0</v>
      </c>
      <c r="G16" s="76">
        <f t="shared" si="2"/>
        <v>0</v>
      </c>
    </row>
    <row r="17" spans="1:7">
      <c r="A17" s="74">
        <f>'FB Laser'!A17</f>
        <v>0</v>
      </c>
      <c r="B17" s="75">
        <f>'FB Laser'!B17</f>
        <v>0</v>
      </c>
      <c r="C17" s="13"/>
      <c r="D17" s="13"/>
      <c r="E17" s="78">
        <f t="shared" si="0"/>
        <v>0</v>
      </c>
      <c r="F17" s="66">
        <f t="shared" si="1"/>
        <v>0</v>
      </c>
      <c r="G17" s="76">
        <f t="shared" si="2"/>
        <v>0</v>
      </c>
    </row>
    <row r="18" spans="1:7">
      <c r="A18" s="74">
        <f>'FB Laser'!A18</f>
        <v>0</v>
      </c>
      <c r="B18" s="75">
        <f>'FB Laser'!B18</f>
        <v>0</v>
      </c>
      <c r="C18" s="13"/>
      <c r="D18" s="13"/>
      <c r="E18" s="78">
        <f t="shared" si="0"/>
        <v>0</v>
      </c>
      <c r="F18" s="66">
        <f t="shared" si="1"/>
        <v>0</v>
      </c>
      <c r="G18" s="76">
        <f t="shared" si="2"/>
        <v>0</v>
      </c>
    </row>
    <row r="19" spans="1:7">
      <c r="A19" s="74">
        <f>'FB Laser'!A19</f>
        <v>0</v>
      </c>
      <c r="B19" s="75">
        <f>'FB Laser'!B19</f>
        <v>0</v>
      </c>
      <c r="C19" s="13"/>
      <c r="D19" s="13"/>
      <c r="E19" s="78">
        <f t="shared" si="0"/>
        <v>0</v>
      </c>
      <c r="F19" s="66">
        <f t="shared" si="1"/>
        <v>0</v>
      </c>
      <c r="G19" s="76">
        <f t="shared" si="2"/>
        <v>0</v>
      </c>
    </row>
    <row r="20" spans="1:7">
      <c r="A20" s="74">
        <f>'FB Laser'!A20</f>
        <v>0</v>
      </c>
      <c r="B20" s="75">
        <f>'FB Laser'!B20</f>
        <v>0</v>
      </c>
      <c r="C20" s="13"/>
      <c r="D20" s="13"/>
      <c r="E20" s="78">
        <f t="shared" si="0"/>
        <v>0</v>
      </c>
      <c r="F20" s="66">
        <f t="shared" si="1"/>
        <v>0</v>
      </c>
      <c r="G20" s="76">
        <f t="shared" si="2"/>
        <v>0</v>
      </c>
    </row>
    <row r="21" spans="1:7">
      <c r="A21" s="74">
        <f>'FB Laser'!A21</f>
        <v>0</v>
      </c>
      <c r="B21" s="75">
        <f>'FB Laser'!B21</f>
        <v>0</v>
      </c>
      <c r="C21" s="13"/>
      <c r="D21" s="13"/>
      <c r="E21" s="78">
        <f t="shared" si="0"/>
        <v>0</v>
      </c>
      <c r="F21" s="66">
        <f t="shared" si="1"/>
        <v>0</v>
      </c>
      <c r="G21" s="76">
        <f t="shared" si="2"/>
        <v>0</v>
      </c>
    </row>
    <row r="22" spans="1:7">
      <c r="A22" s="74">
        <f>'FB Laser'!A22</f>
        <v>0</v>
      </c>
      <c r="B22" s="75">
        <f>'FB Laser'!B22</f>
        <v>0</v>
      </c>
      <c r="C22" s="13"/>
      <c r="D22" s="13"/>
      <c r="E22" s="78">
        <f t="shared" si="0"/>
        <v>0</v>
      </c>
      <c r="F22" s="66">
        <f t="shared" si="1"/>
        <v>0</v>
      </c>
      <c r="G22" s="76">
        <f t="shared" si="2"/>
        <v>0</v>
      </c>
    </row>
    <row r="23" spans="1:7">
      <c r="A23" s="74">
        <f>'FB Laser'!A23</f>
        <v>0</v>
      </c>
      <c r="B23" s="75">
        <f>'FB Laser'!B23</f>
        <v>0</v>
      </c>
      <c r="C23" s="13"/>
      <c r="D23" s="13"/>
      <c r="E23" s="78">
        <f t="shared" si="0"/>
        <v>0</v>
      </c>
      <c r="F23" s="66">
        <f t="shared" si="1"/>
        <v>0</v>
      </c>
      <c r="G23" s="76">
        <f t="shared" si="2"/>
        <v>0</v>
      </c>
    </row>
    <row r="24" spans="1:7">
      <c r="A24" s="74">
        <f>'FB Laser'!A24</f>
        <v>0</v>
      </c>
      <c r="B24" s="75">
        <f>'FB Laser'!B24</f>
        <v>0</v>
      </c>
      <c r="C24" s="13"/>
      <c r="D24" s="13"/>
      <c r="E24" s="78">
        <f t="shared" si="0"/>
        <v>0</v>
      </c>
      <c r="F24" s="66">
        <f t="shared" si="1"/>
        <v>0</v>
      </c>
      <c r="G24" s="76">
        <f t="shared" si="2"/>
        <v>0</v>
      </c>
    </row>
    <row r="25" spans="1:7">
      <c r="A25" s="74">
        <f>'FB Laser'!A25</f>
        <v>0</v>
      </c>
      <c r="B25" s="75">
        <f>'FB Laser'!B25</f>
        <v>0</v>
      </c>
      <c r="C25" s="13"/>
      <c r="D25" s="13"/>
      <c r="E25" s="78">
        <f t="shared" si="0"/>
        <v>0</v>
      </c>
      <c r="F25" s="66">
        <f t="shared" si="1"/>
        <v>0</v>
      </c>
      <c r="G25" s="76">
        <f t="shared" si="2"/>
        <v>0</v>
      </c>
    </row>
    <row r="26" spans="1:7">
      <c r="A26" s="74">
        <f>'FB Laser'!A26</f>
        <v>0</v>
      </c>
      <c r="B26" s="75">
        <f>'FB Laser'!B26</f>
        <v>0</v>
      </c>
      <c r="C26" s="13"/>
      <c r="D26" s="13"/>
      <c r="E26" s="78">
        <f t="shared" si="0"/>
        <v>0</v>
      </c>
      <c r="F26" s="66">
        <f t="shared" si="1"/>
        <v>0</v>
      </c>
      <c r="G26" s="76">
        <f t="shared" si="2"/>
        <v>0</v>
      </c>
    </row>
    <row r="27" spans="1:7">
      <c r="A27" s="74">
        <f>'FB Laser'!A27</f>
        <v>0</v>
      </c>
      <c r="B27" s="75">
        <f>'FB Laser'!B27</f>
        <v>0</v>
      </c>
      <c r="C27" s="13"/>
      <c r="D27" s="13"/>
      <c r="E27" s="78">
        <f t="shared" si="0"/>
        <v>0</v>
      </c>
      <c r="F27" s="66">
        <f t="shared" si="1"/>
        <v>0</v>
      </c>
      <c r="G27" s="76">
        <f t="shared" si="2"/>
        <v>0</v>
      </c>
    </row>
    <row r="28" spans="1:7">
      <c r="A28" s="74">
        <f>'FB Laser'!A28</f>
        <v>0</v>
      </c>
      <c r="B28" s="75">
        <f>'FB Laser'!B28</f>
        <v>0</v>
      </c>
      <c r="C28" s="13"/>
      <c r="D28" s="13"/>
      <c r="E28" s="78">
        <f t="shared" si="0"/>
        <v>0</v>
      </c>
      <c r="F28" s="66">
        <f t="shared" si="1"/>
        <v>0</v>
      </c>
      <c r="G28" s="76">
        <f t="shared" si="2"/>
        <v>0</v>
      </c>
    </row>
    <row r="29" spans="1:7">
      <c r="A29" s="74">
        <f>'FB Laser'!A29</f>
        <v>0</v>
      </c>
      <c r="B29" s="75">
        <f>'FB Laser'!B29</f>
        <v>0</v>
      </c>
      <c r="C29" s="13"/>
      <c r="D29" s="13"/>
      <c r="E29" s="78">
        <f t="shared" si="0"/>
        <v>0</v>
      </c>
      <c r="F29" s="66">
        <f t="shared" si="1"/>
        <v>0</v>
      </c>
      <c r="G29" s="76">
        <f t="shared" si="2"/>
        <v>0</v>
      </c>
    </row>
    <row r="30" spans="1:7">
      <c r="A30" s="74">
        <f>'FB Laser'!A30</f>
        <v>0</v>
      </c>
      <c r="B30" s="75">
        <f>'FB Laser'!B30</f>
        <v>0</v>
      </c>
      <c r="C30" s="13"/>
      <c r="D30" s="13"/>
      <c r="E30" s="78">
        <f t="shared" si="0"/>
        <v>0</v>
      </c>
      <c r="F30" s="66">
        <f t="shared" si="1"/>
        <v>0</v>
      </c>
      <c r="G30" s="76">
        <f t="shared" si="2"/>
        <v>0</v>
      </c>
    </row>
    <row r="31" spans="1:7">
      <c r="A31" s="74">
        <f>'FB Laser'!A31</f>
        <v>0</v>
      </c>
      <c r="B31" s="75">
        <f>'FB Laser'!B31</f>
        <v>0</v>
      </c>
      <c r="C31" s="13"/>
      <c r="D31" s="13"/>
      <c r="E31" s="78">
        <f t="shared" si="0"/>
        <v>0</v>
      </c>
      <c r="F31" s="66">
        <f t="shared" si="1"/>
        <v>0</v>
      </c>
      <c r="G31" s="76">
        <f t="shared" si="2"/>
        <v>0</v>
      </c>
    </row>
    <row r="32" spans="1:7">
      <c r="A32" s="74">
        <f>'FB Laser'!A32</f>
        <v>0</v>
      </c>
      <c r="B32" s="75">
        <f>'FB Laser'!B32</f>
        <v>0</v>
      </c>
      <c r="C32" s="13"/>
      <c r="D32" s="13"/>
      <c r="E32" s="78">
        <f t="shared" si="0"/>
        <v>0</v>
      </c>
      <c r="F32" s="66">
        <f t="shared" si="1"/>
        <v>0</v>
      </c>
      <c r="G32" s="76">
        <f t="shared" si="2"/>
        <v>0</v>
      </c>
    </row>
    <row r="33" spans="1:7">
      <c r="A33" s="74">
        <f>'FB Laser'!A33</f>
        <v>0</v>
      </c>
      <c r="B33" s="75">
        <f>'FB Laser'!B33</f>
        <v>0</v>
      </c>
      <c r="C33" s="13"/>
      <c r="D33" s="13"/>
      <c r="E33" s="78">
        <f t="shared" si="0"/>
        <v>0</v>
      </c>
      <c r="F33" s="66">
        <f t="shared" si="1"/>
        <v>0</v>
      </c>
      <c r="G33" s="76">
        <f t="shared" si="2"/>
        <v>0</v>
      </c>
    </row>
    <row r="34" spans="1:7">
      <c r="A34" s="74">
        <f>'FB Laser'!A34</f>
        <v>0</v>
      </c>
      <c r="B34" s="75">
        <f>'FB Laser'!B34</f>
        <v>0</v>
      </c>
      <c r="C34" s="13"/>
      <c r="D34" s="13"/>
      <c r="E34" s="78">
        <f t="shared" si="0"/>
        <v>0</v>
      </c>
      <c r="F34" s="66">
        <f t="shared" si="1"/>
        <v>0</v>
      </c>
      <c r="G34" s="76">
        <f t="shared" si="2"/>
        <v>0</v>
      </c>
    </row>
    <row r="35" spans="1:7">
      <c r="A35" s="74">
        <f>'FB Laser'!A35</f>
        <v>0</v>
      </c>
      <c r="B35" s="75">
        <f>'FB Laser'!B35</f>
        <v>0</v>
      </c>
      <c r="C35" s="13"/>
      <c r="D35" s="13"/>
      <c r="E35" s="78">
        <f t="shared" si="0"/>
        <v>0</v>
      </c>
      <c r="F35" s="66">
        <f t="shared" si="1"/>
        <v>0</v>
      </c>
      <c r="G35" s="76">
        <f t="shared" si="2"/>
        <v>0</v>
      </c>
    </row>
    <row r="36" spans="1:7">
      <c r="A36" s="74">
        <f>'FB Laser'!A36</f>
        <v>0</v>
      </c>
      <c r="B36" s="75">
        <f>'FB Laser'!B36</f>
        <v>0</v>
      </c>
      <c r="C36" s="13"/>
      <c r="D36" s="13"/>
      <c r="E36" s="78">
        <f t="shared" si="0"/>
        <v>0</v>
      </c>
      <c r="F36" s="66">
        <f t="shared" si="1"/>
        <v>0</v>
      </c>
      <c r="G36" s="76">
        <f t="shared" si="2"/>
        <v>0</v>
      </c>
    </row>
    <row r="37" spans="1:7">
      <c r="A37" s="74">
        <f>'FB Laser'!A37</f>
        <v>0</v>
      </c>
      <c r="B37" s="75">
        <f>'FB Laser'!B37</f>
        <v>0</v>
      </c>
      <c r="C37" s="13"/>
      <c r="D37" s="13"/>
      <c r="E37" s="78">
        <f t="shared" si="0"/>
        <v>0</v>
      </c>
      <c r="F37" s="66">
        <f t="shared" si="1"/>
        <v>0</v>
      </c>
      <c r="G37" s="76">
        <f t="shared" si="2"/>
        <v>0</v>
      </c>
    </row>
    <row r="38" spans="1:7">
      <c r="A38" s="74">
        <f>'FB Laser'!A38</f>
        <v>0</v>
      </c>
      <c r="B38" s="75">
        <f>'FB Laser'!B38</f>
        <v>0</v>
      </c>
      <c r="C38" s="13"/>
      <c r="D38" s="13"/>
      <c r="E38" s="78">
        <f t="shared" si="0"/>
        <v>0</v>
      </c>
      <c r="F38" s="66">
        <f t="shared" si="1"/>
        <v>0</v>
      </c>
      <c r="G38" s="76">
        <f t="shared" si="2"/>
        <v>0</v>
      </c>
    </row>
    <row r="39" spans="1:7">
      <c r="A39" s="74">
        <f>'FB Laser'!A39</f>
        <v>0</v>
      </c>
      <c r="B39" s="75">
        <f>'FB Laser'!B39</f>
        <v>0</v>
      </c>
      <c r="C39" s="13"/>
      <c r="D39" s="13"/>
      <c r="E39" s="78">
        <f t="shared" si="0"/>
        <v>0</v>
      </c>
      <c r="F39" s="66">
        <f t="shared" si="1"/>
        <v>0</v>
      </c>
      <c r="G39" s="76">
        <f t="shared" si="2"/>
        <v>0</v>
      </c>
    </row>
    <row r="40" spans="1:7">
      <c r="A40" s="74">
        <f>'FB Laser'!A40</f>
        <v>0</v>
      </c>
      <c r="B40" s="75">
        <f>'FB Laser'!B40</f>
        <v>0</v>
      </c>
      <c r="C40" s="13"/>
      <c r="D40" s="13"/>
      <c r="E40" s="78">
        <f t="shared" si="0"/>
        <v>0</v>
      </c>
      <c r="F40" s="66">
        <f t="shared" si="1"/>
        <v>0</v>
      </c>
      <c r="G40" s="76">
        <f t="shared" si="2"/>
        <v>0</v>
      </c>
    </row>
    <row r="41" spans="1:7">
      <c r="A41" s="74">
        <f>'FB Laser'!A41</f>
        <v>0</v>
      </c>
      <c r="B41" s="75">
        <f>'FB Laser'!B41</f>
        <v>0</v>
      </c>
      <c r="C41" s="13"/>
      <c r="D41" s="13"/>
      <c r="E41" s="78">
        <f t="shared" si="0"/>
        <v>0</v>
      </c>
      <c r="F41" s="66">
        <f t="shared" si="1"/>
        <v>0</v>
      </c>
      <c r="G41" s="76">
        <f t="shared" si="2"/>
        <v>0</v>
      </c>
    </row>
    <row r="42" spans="1:7">
      <c r="A42" s="74">
        <f>'FB Laser'!A42</f>
        <v>0</v>
      </c>
      <c r="B42" s="75">
        <f>'FB Laser'!B42</f>
        <v>0</v>
      </c>
      <c r="C42" s="13"/>
      <c r="D42" s="13"/>
      <c r="E42" s="78">
        <f t="shared" si="0"/>
        <v>0</v>
      </c>
      <c r="F42" s="66">
        <f t="shared" si="1"/>
        <v>0</v>
      </c>
      <c r="G42" s="76">
        <f t="shared" si="2"/>
        <v>0</v>
      </c>
    </row>
    <row r="43" spans="1:7">
      <c r="A43" s="74">
        <f>'FB Laser'!A43</f>
        <v>0</v>
      </c>
      <c r="B43" s="75">
        <f>'FB Laser'!B43</f>
        <v>0</v>
      </c>
      <c r="C43" s="13"/>
      <c r="D43" s="13"/>
      <c r="E43" s="78">
        <f t="shared" si="0"/>
        <v>0</v>
      </c>
      <c r="F43" s="66">
        <f t="shared" si="1"/>
        <v>0</v>
      </c>
      <c r="G43" s="76">
        <f t="shared" si="2"/>
        <v>0</v>
      </c>
    </row>
    <row r="44" spans="1:7">
      <c r="A44" s="74">
        <f>'FB Laser'!A44</f>
        <v>0</v>
      </c>
      <c r="B44" s="75">
        <f>'FB Laser'!B44</f>
        <v>0</v>
      </c>
      <c r="C44" s="13"/>
      <c r="D44" s="13"/>
      <c r="E44" s="78">
        <f t="shared" si="0"/>
        <v>0</v>
      </c>
      <c r="F44" s="66">
        <f t="shared" si="1"/>
        <v>0</v>
      </c>
      <c r="G44" s="76">
        <f t="shared" si="2"/>
        <v>0</v>
      </c>
    </row>
    <row r="45" spans="1:7">
      <c r="A45" s="74">
        <f>'FB Laser'!A45</f>
        <v>0</v>
      </c>
      <c r="B45" s="75">
        <f>'FB Laser'!B45</f>
        <v>0</v>
      </c>
      <c r="C45" s="13"/>
      <c r="D45" s="13"/>
      <c r="E45" s="78">
        <f t="shared" si="0"/>
        <v>0</v>
      </c>
      <c r="F45" s="66">
        <f t="shared" si="1"/>
        <v>0</v>
      </c>
      <c r="G45" s="76">
        <f t="shared" si="2"/>
        <v>0</v>
      </c>
    </row>
    <row r="46" spans="1:7">
      <c r="A46" s="74">
        <f>'FB Laser'!A46</f>
        <v>0</v>
      </c>
      <c r="B46" s="75">
        <f>'FB Laser'!B46</f>
        <v>0</v>
      </c>
      <c r="C46" s="13"/>
      <c r="D46" s="13"/>
      <c r="E46" s="78">
        <f t="shared" si="0"/>
        <v>0</v>
      </c>
      <c r="F46" s="66">
        <f t="shared" si="1"/>
        <v>0</v>
      </c>
      <c r="G46" s="76">
        <f t="shared" si="2"/>
        <v>0</v>
      </c>
    </row>
    <row r="47" spans="1:7">
      <c r="A47" s="74">
        <f>'FB Laser'!A47</f>
        <v>0</v>
      </c>
      <c r="B47" s="75">
        <f>'FB Laser'!B47</f>
        <v>0</v>
      </c>
      <c r="C47" s="13"/>
      <c r="D47" s="13"/>
      <c r="E47" s="78">
        <f t="shared" si="0"/>
        <v>0</v>
      </c>
      <c r="F47" s="66">
        <f t="shared" si="1"/>
        <v>0</v>
      </c>
      <c r="G47" s="76">
        <f t="shared" si="2"/>
        <v>0</v>
      </c>
    </row>
    <row r="48" spans="1:7">
      <c r="A48" s="74">
        <f>'FB Laser'!A48</f>
        <v>0</v>
      </c>
      <c r="B48" s="75">
        <f>'FB Laser'!B48</f>
        <v>0</v>
      </c>
      <c r="C48" s="13"/>
      <c r="D48" s="13"/>
      <c r="E48" s="78">
        <f t="shared" si="0"/>
        <v>0</v>
      </c>
      <c r="F48" s="66">
        <f t="shared" si="1"/>
        <v>0</v>
      </c>
      <c r="G48" s="76">
        <f t="shared" si="2"/>
        <v>0</v>
      </c>
    </row>
    <row r="49" spans="1:7">
      <c r="A49" s="74">
        <f>'FB Laser'!A49</f>
        <v>0</v>
      </c>
      <c r="B49" s="75">
        <f>'FB Laser'!B49</f>
        <v>0</v>
      </c>
      <c r="C49" s="13"/>
      <c r="D49" s="13"/>
      <c r="E49" s="78">
        <f t="shared" si="0"/>
        <v>0</v>
      </c>
      <c r="F49" s="66">
        <f t="shared" si="1"/>
        <v>0</v>
      </c>
      <c r="G49" s="76">
        <f t="shared" si="2"/>
        <v>0</v>
      </c>
    </row>
    <row r="50" spans="1:7">
      <c r="A50" s="74">
        <f>'FB Laser'!A50</f>
        <v>0</v>
      </c>
      <c r="B50" s="75">
        <f>'FB Laser'!B50</f>
        <v>0</v>
      </c>
      <c r="C50" s="13"/>
      <c r="D50" s="13"/>
      <c r="E50" s="78">
        <f t="shared" si="0"/>
        <v>0</v>
      </c>
      <c r="F50" s="66">
        <f t="shared" si="1"/>
        <v>0</v>
      </c>
      <c r="G50" s="76">
        <f t="shared" si="2"/>
        <v>0</v>
      </c>
    </row>
    <row r="51" spans="1:7">
      <c r="A51" s="74">
        <f>'FB Laser'!A51</f>
        <v>0</v>
      </c>
      <c r="B51" s="75">
        <f>'FB Laser'!B51</f>
        <v>0</v>
      </c>
      <c r="C51" s="13"/>
      <c r="D51" s="13"/>
      <c r="E51" s="78">
        <f t="shared" si="0"/>
        <v>0</v>
      </c>
      <c r="F51" s="66">
        <f t="shared" si="1"/>
        <v>0</v>
      </c>
      <c r="G51" s="76">
        <f t="shared" si="2"/>
        <v>0</v>
      </c>
    </row>
    <row r="52" spans="1:7">
      <c r="A52" s="74">
        <f>'FB Laser'!A52</f>
        <v>0</v>
      </c>
      <c r="B52" s="75">
        <f>'FB Laser'!B52</f>
        <v>0</v>
      </c>
      <c r="C52" s="13"/>
      <c r="D52" s="13"/>
      <c r="E52" s="78">
        <f t="shared" si="0"/>
        <v>0</v>
      </c>
      <c r="F52" s="66">
        <f t="shared" si="1"/>
        <v>0</v>
      </c>
      <c r="G52" s="76">
        <f t="shared" si="2"/>
        <v>0</v>
      </c>
    </row>
    <row r="53" spans="1:7">
      <c r="A53" s="74">
        <f>'FB Laser'!A53</f>
        <v>0</v>
      </c>
      <c r="B53" s="75">
        <f>'FB Laser'!B53</f>
        <v>0</v>
      </c>
      <c r="C53" s="13"/>
      <c r="D53" s="13"/>
      <c r="E53" s="78">
        <f t="shared" si="0"/>
        <v>0</v>
      </c>
      <c r="F53" s="66">
        <f t="shared" si="1"/>
        <v>0</v>
      </c>
      <c r="G53" s="76">
        <f t="shared" si="2"/>
        <v>0</v>
      </c>
    </row>
    <row r="54" spans="1:7">
      <c r="A54" s="74">
        <f>'FB Laser'!A54</f>
        <v>0</v>
      </c>
      <c r="B54" s="75">
        <f>'FB Laser'!B54</f>
        <v>0</v>
      </c>
      <c r="C54" s="13"/>
      <c r="D54" s="13"/>
      <c r="E54" s="78">
        <f t="shared" si="0"/>
        <v>0</v>
      </c>
      <c r="F54" s="66">
        <f t="shared" si="1"/>
        <v>0</v>
      </c>
      <c r="G54" s="76">
        <f t="shared" si="2"/>
        <v>0</v>
      </c>
    </row>
    <row r="55" spans="1:7">
      <c r="A55" s="74">
        <f>'FB Laser'!A55</f>
        <v>0</v>
      </c>
      <c r="B55" s="75">
        <f>'FB Laser'!B55</f>
        <v>0</v>
      </c>
      <c r="C55" s="13"/>
      <c r="D55" s="13"/>
      <c r="E55" s="78">
        <f t="shared" si="0"/>
        <v>0</v>
      </c>
      <c r="F55" s="66">
        <f t="shared" si="1"/>
        <v>0</v>
      </c>
      <c r="G55" s="76">
        <f t="shared" si="2"/>
        <v>0</v>
      </c>
    </row>
    <row r="56" spans="1:7">
      <c r="A56" s="74">
        <f>'FB Laser'!A56</f>
        <v>0</v>
      </c>
      <c r="B56" s="75">
        <f>'FB Laser'!B56</f>
        <v>0</v>
      </c>
      <c r="C56" s="13"/>
      <c r="D56" s="13"/>
      <c r="E56" s="78">
        <f t="shared" si="0"/>
        <v>0</v>
      </c>
      <c r="F56" s="66">
        <f t="shared" si="1"/>
        <v>0</v>
      </c>
      <c r="G56" s="76">
        <f t="shared" si="2"/>
        <v>0</v>
      </c>
    </row>
    <row r="57" spans="1:7">
      <c r="A57" s="74">
        <f>'FB Laser'!A57</f>
        <v>0</v>
      </c>
      <c r="B57" s="75">
        <f>'FB Laser'!B57</f>
        <v>0</v>
      </c>
      <c r="C57" s="13"/>
      <c r="D57" s="13"/>
      <c r="E57" s="78">
        <f t="shared" si="0"/>
        <v>0</v>
      </c>
      <c r="F57" s="66">
        <f t="shared" si="1"/>
        <v>0</v>
      </c>
      <c r="G57" s="76">
        <f t="shared" si="2"/>
        <v>0</v>
      </c>
    </row>
    <row r="58" spans="1:7">
      <c r="A58" s="74">
        <f>'FB Laser'!A58</f>
        <v>0</v>
      </c>
      <c r="B58" s="75">
        <f>'FB Laser'!B58</f>
        <v>0</v>
      </c>
      <c r="C58" s="13"/>
      <c r="D58" s="13"/>
      <c r="E58" s="78">
        <f t="shared" si="0"/>
        <v>0</v>
      </c>
      <c r="F58" s="66">
        <f t="shared" si="1"/>
        <v>0</v>
      </c>
      <c r="G58" s="76">
        <f t="shared" si="2"/>
        <v>0</v>
      </c>
    </row>
    <row r="59" spans="1:7">
      <c r="A59" s="74">
        <f>'FB Laser'!A59</f>
        <v>0</v>
      </c>
      <c r="B59" s="75">
        <f>'FB Laser'!B59</f>
        <v>0</v>
      </c>
      <c r="C59" s="13"/>
      <c r="D59" s="13"/>
      <c r="E59" s="78">
        <f t="shared" si="0"/>
        <v>0</v>
      </c>
      <c r="F59" s="66">
        <f t="shared" si="1"/>
        <v>0</v>
      </c>
      <c r="G59" s="76">
        <f t="shared" si="2"/>
        <v>0</v>
      </c>
    </row>
    <row r="60" spans="1:7">
      <c r="A60" s="74">
        <f>'FB Laser'!A60</f>
        <v>0</v>
      </c>
      <c r="B60" s="75">
        <f>'FB Laser'!B60</f>
        <v>0</v>
      </c>
      <c r="C60" s="13"/>
      <c r="D60" s="13"/>
      <c r="E60" s="78">
        <f t="shared" si="0"/>
        <v>0</v>
      </c>
      <c r="F60" s="66">
        <f t="shared" si="1"/>
        <v>0</v>
      </c>
      <c r="G60" s="76">
        <f t="shared" si="2"/>
        <v>0</v>
      </c>
    </row>
    <row r="61" spans="1:7">
      <c r="A61" s="74">
        <f>'FB Laser'!A61</f>
        <v>0</v>
      </c>
      <c r="B61" s="75">
        <f>'FB Laser'!B61</f>
        <v>0</v>
      </c>
      <c r="C61" s="13"/>
      <c r="D61" s="13"/>
      <c r="E61" s="78">
        <f t="shared" si="0"/>
        <v>0</v>
      </c>
      <c r="F61" s="66">
        <f t="shared" si="1"/>
        <v>0</v>
      </c>
      <c r="G61" s="76">
        <f t="shared" si="2"/>
        <v>0</v>
      </c>
    </row>
    <row r="62" spans="1:7">
      <c r="A62" s="74">
        <f>'FB Laser'!A62</f>
        <v>0</v>
      </c>
      <c r="B62" s="75">
        <f>'FB Laser'!B62</f>
        <v>0</v>
      </c>
      <c r="C62" s="13"/>
      <c r="D62" s="13"/>
      <c r="E62" s="78">
        <f t="shared" si="0"/>
        <v>0</v>
      </c>
      <c r="F62" s="66">
        <f t="shared" si="1"/>
        <v>0</v>
      </c>
      <c r="G62" s="76">
        <f t="shared" si="2"/>
        <v>0</v>
      </c>
    </row>
    <row r="63" spans="1:7">
      <c r="A63" s="74">
        <f>'FB Laser'!A63</f>
        <v>0</v>
      </c>
      <c r="B63" s="75">
        <f>'FB Laser'!B63</f>
        <v>0</v>
      </c>
      <c r="C63" s="13"/>
      <c r="D63" s="13"/>
      <c r="E63" s="78">
        <f t="shared" si="0"/>
        <v>0</v>
      </c>
      <c r="F63" s="66">
        <f t="shared" si="1"/>
        <v>0</v>
      </c>
      <c r="G63" s="76">
        <f t="shared" si="2"/>
        <v>0</v>
      </c>
    </row>
    <row r="64" spans="1:7">
      <c r="A64" s="74">
        <f>'FB Laser'!A64</f>
        <v>0</v>
      </c>
      <c r="B64" s="75">
        <f>'FB Laser'!B64</f>
        <v>0</v>
      </c>
      <c r="C64" s="13"/>
      <c r="D64" s="13"/>
      <c r="E64" s="78">
        <f t="shared" si="0"/>
        <v>0</v>
      </c>
      <c r="F64" s="66">
        <f t="shared" si="1"/>
        <v>0</v>
      </c>
      <c r="G64" s="76">
        <f t="shared" si="2"/>
        <v>0</v>
      </c>
    </row>
    <row r="65" spans="1:7">
      <c r="A65" s="74">
        <f>'FB Laser'!A65</f>
        <v>0</v>
      </c>
      <c r="B65" s="75">
        <f>'FB Laser'!B65</f>
        <v>0</v>
      </c>
      <c r="C65" s="13"/>
      <c r="D65" s="13"/>
      <c r="E65" s="78">
        <f t="shared" si="0"/>
        <v>0</v>
      </c>
      <c r="F65" s="66">
        <f t="shared" si="1"/>
        <v>0</v>
      </c>
      <c r="G65" s="76">
        <f t="shared" si="2"/>
        <v>0</v>
      </c>
    </row>
    <row r="66" spans="1:7">
      <c r="A66" s="74">
        <f>'FB Laser'!A66</f>
        <v>0</v>
      </c>
      <c r="B66" s="75">
        <f>'FB Laser'!B66</f>
        <v>0</v>
      </c>
      <c r="C66" s="13"/>
      <c r="D66" s="13"/>
      <c r="E66" s="78">
        <f t="shared" si="0"/>
        <v>0</v>
      </c>
      <c r="F66" s="66">
        <f t="shared" si="1"/>
        <v>0</v>
      </c>
      <c r="G66" s="76">
        <f t="shared" si="2"/>
        <v>0</v>
      </c>
    </row>
    <row r="67" spans="1:7">
      <c r="A67" s="74">
        <f>'FB Laser'!A67</f>
        <v>0</v>
      </c>
      <c r="B67" s="75">
        <f>'FB Laser'!B67</f>
        <v>0</v>
      </c>
      <c r="C67" s="13"/>
      <c r="D67" s="13"/>
      <c r="E67" s="78">
        <f t="shared" si="0"/>
        <v>0</v>
      </c>
      <c r="F67" s="66">
        <f t="shared" si="1"/>
        <v>0</v>
      </c>
      <c r="G67" s="76">
        <f t="shared" si="2"/>
        <v>0</v>
      </c>
    </row>
    <row r="68" spans="1:7">
      <c r="A68" s="74">
        <f>'FB Laser'!A68</f>
        <v>0</v>
      </c>
      <c r="B68" s="75">
        <f>'FB Laser'!B68</f>
        <v>0</v>
      </c>
      <c r="C68" s="13"/>
      <c r="D68" s="13"/>
      <c r="E68" s="78">
        <f t="shared" si="0"/>
        <v>0</v>
      </c>
      <c r="F68" s="66">
        <f t="shared" si="1"/>
        <v>0</v>
      </c>
      <c r="G68" s="76">
        <f t="shared" si="2"/>
        <v>0</v>
      </c>
    </row>
    <row r="69" spans="1:7">
      <c r="A69" s="74">
        <f>'FB Laser'!A69</f>
        <v>0</v>
      </c>
      <c r="B69" s="75">
        <f>'FB Laser'!B69</f>
        <v>0</v>
      </c>
      <c r="C69" s="13"/>
      <c r="D69" s="13"/>
      <c r="E69" s="78">
        <f t="shared" si="0"/>
        <v>0</v>
      </c>
      <c r="F69" s="66">
        <f t="shared" si="1"/>
        <v>0</v>
      </c>
      <c r="G69" s="76">
        <f t="shared" si="2"/>
        <v>0</v>
      </c>
    </row>
    <row r="70" spans="1:7">
      <c r="A70" s="74">
        <f>'FB Laser'!A70</f>
        <v>0</v>
      </c>
      <c r="B70" s="75">
        <f>'FB Laser'!B70</f>
        <v>0</v>
      </c>
      <c r="C70" s="13"/>
      <c r="D70" s="13"/>
      <c r="E70" s="78">
        <f t="shared" si="0"/>
        <v>0</v>
      </c>
      <c r="F70" s="66">
        <f t="shared" si="1"/>
        <v>0</v>
      </c>
      <c r="G70" s="76">
        <f t="shared" si="2"/>
        <v>0</v>
      </c>
    </row>
    <row r="71" spans="1:7">
      <c r="A71" s="74">
        <f>'FB Laser'!A71</f>
        <v>0</v>
      </c>
      <c r="B71" s="75">
        <f>'FB Laser'!B71</f>
        <v>0</v>
      </c>
      <c r="C71" s="13"/>
      <c r="D71" s="13"/>
      <c r="E71" s="78">
        <f t="shared" si="0"/>
        <v>0</v>
      </c>
      <c r="F71" s="66">
        <f t="shared" si="1"/>
        <v>0</v>
      </c>
      <c r="G71" s="76">
        <f t="shared" si="2"/>
        <v>0</v>
      </c>
    </row>
    <row r="72" spans="1:7">
      <c r="A72" s="74">
        <f>'FB Laser'!A72</f>
        <v>0</v>
      </c>
      <c r="B72" s="75">
        <f>'FB Laser'!B72</f>
        <v>0</v>
      </c>
      <c r="C72" s="13"/>
      <c r="D72" s="13"/>
      <c r="E72" s="78">
        <f t="shared" si="0"/>
        <v>0</v>
      </c>
      <c r="F72" s="66">
        <f t="shared" si="1"/>
        <v>0</v>
      </c>
      <c r="G72" s="76">
        <f t="shared" si="2"/>
        <v>0</v>
      </c>
    </row>
    <row r="73" spans="1:7">
      <c r="A73" s="74">
        <f>'FB Laser'!A73</f>
        <v>0</v>
      </c>
      <c r="B73" s="75">
        <f>'FB Laser'!B73</f>
        <v>0</v>
      </c>
      <c r="C73" s="13"/>
      <c r="D73" s="13"/>
      <c r="E73" s="78">
        <f t="shared" si="0"/>
        <v>0</v>
      </c>
      <c r="F73" s="66">
        <f t="shared" si="1"/>
        <v>0</v>
      </c>
      <c r="G73" s="76">
        <f t="shared" si="2"/>
        <v>0</v>
      </c>
    </row>
    <row r="74" spans="1:7">
      <c r="A74" s="74">
        <f>'FB Laser'!A74</f>
        <v>0</v>
      </c>
      <c r="B74" s="75">
        <f>'FB Laser'!B74</f>
        <v>0</v>
      </c>
      <c r="C74" s="13"/>
      <c r="D74" s="13"/>
      <c r="E74" s="78">
        <f t="shared" si="0"/>
        <v>0</v>
      </c>
      <c r="F74" s="66">
        <f t="shared" si="1"/>
        <v>0</v>
      </c>
      <c r="G74" s="76">
        <f t="shared" si="2"/>
        <v>0</v>
      </c>
    </row>
    <row r="75" spans="1:7">
      <c r="A75" s="74">
        <f>'FB Laser'!A75</f>
        <v>0</v>
      </c>
      <c r="B75" s="75">
        <f>'FB Laser'!B75</f>
        <v>0</v>
      </c>
      <c r="C75" s="13"/>
      <c r="D75" s="13"/>
      <c r="E75" s="78">
        <f t="shared" ref="E75:E99" si="3">IFERROR(ROUND(((D75*20)/60/60*$C$4)+(C75/60*$C$4/B75),2),0)</f>
        <v>0</v>
      </c>
      <c r="F75" s="66">
        <f t="shared" ref="F75:F99" si="4">IFERROR(E75*B75,"")</f>
        <v>0</v>
      </c>
      <c r="G75" s="76">
        <f t="shared" ref="G75:G99" si="5">D75*20/60*B75+C75</f>
        <v>0</v>
      </c>
    </row>
    <row r="76" spans="1:7">
      <c r="A76" s="74">
        <f>'FB Laser'!A76</f>
        <v>0</v>
      </c>
      <c r="B76" s="75">
        <f>'FB Laser'!B76</f>
        <v>0</v>
      </c>
      <c r="C76" s="13"/>
      <c r="D76" s="13"/>
      <c r="E76" s="78">
        <f t="shared" si="3"/>
        <v>0</v>
      </c>
      <c r="F76" s="66">
        <f t="shared" si="4"/>
        <v>0</v>
      </c>
      <c r="G76" s="76">
        <f t="shared" si="5"/>
        <v>0</v>
      </c>
    </row>
    <row r="77" spans="1:7">
      <c r="A77" s="74">
        <f>'FB Laser'!A77</f>
        <v>0</v>
      </c>
      <c r="B77" s="75">
        <f>'FB Laser'!B77</f>
        <v>0</v>
      </c>
      <c r="C77" s="13"/>
      <c r="D77" s="13"/>
      <c r="E77" s="78">
        <f t="shared" si="3"/>
        <v>0</v>
      </c>
      <c r="F77" s="66">
        <f t="shared" si="4"/>
        <v>0</v>
      </c>
      <c r="G77" s="76">
        <f t="shared" si="5"/>
        <v>0</v>
      </c>
    </row>
    <row r="78" spans="1:7">
      <c r="A78" s="74">
        <f>'FB Laser'!A78</f>
        <v>0</v>
      </c>
      <c r="B78" s="75">
        <f>'FB Laser'!B78</f>
        <v>0</v>
      </c>
      <c r="C78" s="13"/>
      <c r="D78" s="13"/>
      <c r="E78" s="78">
        <f t="shared" si="3"/>
        <v>0</v>
      </c>
      <c r="F78" s="66">
        <f t="shared" si="4"/>
        <v>0</v>
      </c>
      <c r="G78" s="76">
        <f t="shared" si="5"/>
        <v>0</v>
      </c>
    </row>
    <row r="79" spans="1:7">
      <c r="A79" s="74">
        <f>'FB Laser'!A79</f>
        <v>0</v>
      </c>
      <c r="B79" s="75">
        <f>'FB Laser'!B79</f>
        <v>0</v>
      </c>
      <c r="C79" s="13"/>
      <c r="D79" s="13"/>
      <c r="E79" s="78">
        <f t="shared" si="3"/>
        <v>0</v>
      </c>
      <c r="F79" s="66">
        <f t="shared" si="4"/>
        <v>0</v>
      </c>
      <c r="G79" s="76">
        <f t="shared" si="5"/>
        <v>0</v>
      </c>
    </row>
    <row r="80" spans="1:7">
      <c r="A80" s="74">
        <f>'FB Laser'!A80</f>
        <v>0</v>
      </c>
      <c r="B80" s="75">
        <f>'FB Laser'!B80</f>
        <v>0</v>
      </c>
      <c r="C80" s="13"/>
      <c r="D80" s="13"/>
      <c r="E80" s="78">
        <f t="shared" si="3"/>
        <v>0</v>
      </c>
      <c r="F80" s="66">
        <f t="shared" si="4"/>
        <v>0</v>
      </c>
      <c r="G80" s="76">
        <f t="shared" si="5"/>
        <v>0</v>
      </c>
    </row>
    <row r="81" spans="1:7">
      <c r="A81" s="74">
        <f>'FB Laser'!A81</f>
        <v>0</v>
      </c>
      <c r="B81" s="75">
        <f>'FB Laser'!B81</f>
        <v>0</v>
      </c>
      <c r="C81" s="13"/>
      <c r="D81" s="13"/>
      <c r="E81" s="78">
        <f t="shared" si="3"/>
        <v>0</v>
      </c>
      <c r="F81" s="66">
        <f t="shared" si="4"/>
        <v>0</v>
      </c>
      <c r="G81" s="76">
        <f t="shared" si="5"/>
        <v>0</v>
      </c>
    </row>
    <row r="82" spans="1:7">
      <c r="A82" s="74">
        <f>'FB Laser'!A82</f>
        <v>0</v>
      </c>
      <c r="B82" s="75">
        <f>'FB Laser'!B82</f>
        <v>0</v>
      </c>
      <c r="C82" s="13"/>
      <c r="D82" s="13"/>
      <c r="E82" s="78">
        <f t="shared" si="3"/>
        <v>0</v>
      </c>
      <c r="F82" s="66">
        <f t="shared" si="4"/>
        <v>0</v>
      </c>
      <c r="G82" s="76">
        <f t="shared" si="5"/>
        <v>0</v>
      </c>
    </row>
    <row r="83" spans="1:7">
      <c r="A83" s="74">
        <f>'FB Laser'!A83</f>
        <v>0</v>
      </c>
      <c r="B83" s="75">
        <f>'FB Laser'!B83</f>
        <v>0</v>
      </c>
      <c r="C83" s="13"/>
      <c r="D83" s="13"/>
      <c r="E83" s="78">
        <f t="shared" si="3"/>
        <v>0</v>
      </c>
      <c r="F83" s="66">
        <f t="shared" si="4"/>
        <v>0</v>
      </c>
      <c r="G83" s="76">
        <f t="shared" si="5"/>
        <v>0</v>
      </c>
    </row>
    <row r="84" spans="1:7">
      <c r="A84" s="74">
        <f>'FB Laser'!A84</f>
        <v>0</v>
      </c>
      <c r="B84" s="75">
        <f>'FB Laser'!B84</f>
        <v>0</v>
      </c>
      <c r="C84" s="13"/>
      <c r="D84" s="13"/>
      <c r="E84" s="78">
        <f t="shared" si="3"/>
        <v>0</v>
      </c>
      <c r="F84" s="66">
        <f t="shared" si="4"/>
        <v>0</v>
      </c>
      <c r="G84" s="76">
        <f t="shared" si="5"/>
        <v>0</v>
      </c>
    </row>
    <row r="85" spans="1:7">
      <c r="A85" s="74">
        <f>'FB Laser'!A85</f>
        <v>0</v>
      </c>
      <c r="B85" s="75">
        <f>'FB Laser'!B85</f>
        <v>0</v>
      </c>
      <c r="C85" s="13"/>
      <c r="D85" s="13"/>
      <c r="E85" s="78">
        <f t="shared" si="3"/>
        <v>0</v>
      </c>
      <c r="F85" s="66">
        <f t="shared" si="4"/>
        <v>0</v>
      </c>
      <c r="G85" s="76">
        <f t="shared" si="5"/>
        <v>0</v>
      </c>
    </row>
    <row r="86" spans="1:7">
      <c r="A86" s="74">
        <f>'FB Laser'!A86</f>
        <v>0</v>
      </c>
      <c r="B86" s="75">
        <f>'FB Laser'!B86</f>
        <v>0</v>
      </c>
      <c r="C86" s="13"/>
      <c r="D86" s="13"/>
      <c r="E86" s="78">
        <f t="shared" si="3"/>
        <v>0</v>
      </c>
      <c r="F86" s="66">
        <f t="shared" si="4"/>
        <v>0</v>
      </c>
      <c r="G86" s="76">
        <f t="shared" si="5"/>
        <v>0</v>
      </c>
    </row>
    <row r="87" spans="1:7">
      <c r="A87" s="74">
        <f>'FB Laser'!A87</f>
        <v>0</v>
      </c>
      <c r="B87" s="75">
        <f>'FB Laser'!B87</f>
        <v>0</v>
      </c>
      <c r="C87" s="13"/>
      <c r="D87" s="13"/>
      <c r="E87" s="78">
        <f t="shared" si="3"/>
        <v>0</v>
      </c>
      <c r="F87" s="66">
        <f t="shared" si="4"/>
        <v>0</v>
      </c>
      <c r="G87" s="76">
        <f t="shared" si="5"/>
        <v>0</v>
      </c>
    </row>
    <row r="88" spans="1:7">
      <c r="A88" s="74">
        <f>'FB Laser'!A88</f>
        <v>0</v>
      </c>
      <c r="B88" s="75">
        <f>'FB Laser'!B88</f>
        <v>0</v>
      </c>
      <c r="C88" s="13"/>
      <c r="D88" s="13"/>
      <c r="E88" s="78">
        <f t="shared" si="3"/>
        <v>0</v>
      </c>
      <c r="F88" s="66">
        <f t="shared" si="4"/>
        <v>0</v>
      </c>
      <c r="G88" s="76">
        <f t="shared" si="5"/>
        <v>0</v>
      </c>
    </row>
    <row r="89" spans="1:7">
      <c r="A89" s="74">
        <f>'FB Laser'!A89</f>
        <v>0</v>
      </c>
      <c r="B89" s="75">
        <f>'FB Laser'!B89</f>
        <v>0</v>
      </c>
      <c r="C89" s="13"/>
      <c r="D89" s="13"/>
      <c r="E89" s="78">
        <f t="shared" si="3"/>
        <v>0</v>
      </c>
      <c r="F89" s="66">
        <f t="shared" si="4"/>
        <v>0</v>
      </c>
      <c r="G89" s="76">
        <f t="shared" si="5"/>
        <v>0</v>
      </c>
    </row>
    <row r="90" spans="1:7">
      <c r="A90" s="74">
        <f>'FB Laser'!A90</f>
        <v>0</v>
      </c>
      <c r="B90" s="75">
        <f>'FB Laser'!B90</f>
        <v>0</v>
      </c>
      <c r="C90" s="13"/>
      <c r="D90" s="13"/>
      <c r="E90" s="78">
        <f t="shared" si="3"/>
        <v>0</v>
      </c>
      <c r="F90" s="66">
        <f t="shared" si="4"/>
        <v>0</v>
      </c>
      <c r="G90" s="76">
        <f t="shared" si="5"/>
        <v>0</v>
      </c>
    </row>
    <row r="91" spans="1:7">
      <c r="A91" s="74">
        <f>'FB Laser'!A91</f>
        <v>0</v>
      </c>
      <c r="B91" s="75">
        <f>'FB Laser'!B91</f>
        <v>0</v>
      </c>
      <c r="C91" s="13"/>
      <c r="D91" s="13"/>
      <c r="E91" s="78">
        <f t="shared" si="3"/>
        <v>0</v>
      </c>
      <c r="F91" s="66">
        <f t="shared" si="4"/>
        <v>0</v>
      </c>
      <c r="G91" s="76">
        <f t="shared" si="5"/>
        <v>0</v>
      </c>
    </row>
    <row r="92" spans="1:7">
      <c r="A92" s="74">
        <f>'FB Laser'!A92</f>
        <v>0</v>
      </c>
      <c r="B92" s="75">
        <f>'FB Laser'!B92</f>
        <v>0</v>
      </c>
      <c r="C92" s="13"/>
      <c r="D92" s="13"/>
      <c r="E92" s="78">
        <f t="shared" si="3"/>
        <v>0</v>
      </c>
      <c r="F92" s="66">
        <f t="shared" si="4"/>
        <v>0</v>
      </c>
      <c r="G92" s="76">
        <f t="shared" si="5"/>
        <v>0</v>
      </c>
    </row>
    <row r="93" spans="1:7">
      <c r="A93" s="74">
        <f>'FB Laser'!A93</f>
        <v>0</v>
      </c>
      <c r="B93" s="75">
        <f>'FB Laser'!B93</f>
        <v>0</v>
      </c>
      <c r="C93" s="13"/>
      <c r="D93" s="13"/>
      <c r="E93" s="78">
        <f t="shared" si="3"/>
        <v>0</v>
      </c>
      <c r="F93" s="66">
        <f t="shared" si="4"/>
        <v>0</v>
      </c>
      <c r="G93" s="76">
        <f t="shared" si="5"/>
        <v>0</v>
      </c>
    </row>
    <row r="94" spans="1:7">
      <c r="A94" s="74">
        <f>'FB Laser'!A94</f>
        <v>0</v>
      </c>
      <c r="B94" s="75">
        <f>'FB Laser'!B94</f>
        <v>0</v>
      </c>
      <c r="C94" s="13"/>
      <c r="D94" s="13"/>
      <c r="E94" s="78">
        <f t="shared" si="3"/>
        <v>0</v>
      </c>
      <c r="F94" s="66">
        <f t="shared" si="4"/>
        <v>0</v>
      </c>
      <c r="G94" s="76">
        <f t="shared" si="5"/>
        <v>0</v>
      </c>
    </row>
    <row r="95" spans="1:7">
      <c r="A95" s="74">
        <f>'FB Laser'!A95</f>
        <v>0</v>
      </c>
      <c r="B95" s="75">
        <f>'FB Laser'!B95</f>
        <v>0</v>
      </c>
      <c r="C95" s="13"/>
      <c r="D95" s="13"/>
      <c r="E95" s="78">
        <f t="shared" si="3"/>
        <v>0</v>
      </c>
      <c r="F95" s="66">
        <f t="shared" si="4"/>
        <v>0</v>
      </c>
      <c r="G95" s="76">
        <f t="shared" si="5"/>
        <v>0</v>
      </c>
    </row>
    <row r="96" spans="1:7">
      <c r="A96" s="74">
        <f>'FB Laser'!A96</f>
        <v>0</v>
      </c>
      <c r="B96" s="75">
        <f>'FB Laser'!B96</f>
        <v>0</v>
      </c>
      <c r="C96" s="13"/>
      <c r="D96" s="13"/>
      <c r="E96" s="78">
        <f t="shared" si="3"/>
        <v>0</v>
      </c>
      <c r="F96" s="66">
        <f t="shared" si="4"/>
        <v>0</v>
      </c>
      <c r="G96" s="76">
        <f t="shared" si="5"/>
        <v>0</v>
      </c>
    </row>
    <row r="97" spans="1:7">
      <c r="A97" s="74">
        <f>'FB Laser'!A97</f>
        <v>0</v>
      </c>
      <c r="B97" s="75">
        <f>'FB Laser'!B97</f>
        <v>0</v>
      </c>
      <c r="C97" s="13"/>
      <c r="D97" s="13"/>
      <c r="E97" s="78">
        <f t="shared" si="3"/>
        <v>0</v>
      </c>
      <c r="F97" s="66">
        <f t="shared" si="4"/>
        <v>0</v>
      </c>
      <c r="G97" s="76">
        <f t="shared" si="5"/>
        <v>0</v>
      </c>
    </row>
    <row r="98" spans="1:7">
      <c r="A98" s="74">
        <f>'FB Laser'!A98</f>
        <v>0</v>
      </c>
      <c r="B98" s="75">
        <f>'FB Laser'!B98</f>
        <v>0</v>
      </c>
      <c r="C98" s="13"/>
      <c r="D98" s="13"/>
      <c r="E98" s="78">
        <f t="shared" si="3"/>
        <v>0</v>
      </c>
      <c r="F98" s="66">
        <f t="shared" si="4"/>
        <v>0</v>
      </c>
      <c r="G98" s="76">
        <f t="shared" si="5"/>
        <v>0</v>
      </c>
    </row>
    <row r="99" spans="1:7">
      <c r="A99" s="74">
        <f>'FB Laser'!A99</f>
        <v>0</v>
      </c>
      <c r="B99" s="75">
        <f>'FB Laser'!B99</f>
        <v>0</v>
      </c>
      <c r="C99" s="13"/>
      <c r="D99" s="13"/>
      <c r="E99" s="78">
        <f t="shared" si="3"/>
        <v>0</v>
      </c>
      <c r="F99" s="66">
        <f t="shared" si="4"/>
        <v>0</v>
      </c>
      <c r="G99" s="76">
        <f t="shared" si="5"/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I101"/>
  <sheetViews>
    <sheetView workbookViewId="0">
      <selection activeCell="E10" sqref="E10"/>
    </sheetView>
  </sheetViews>
  <sheetFormatPr defaultRowHeight="15"/>
  <cols>
    <col min="1" max="1" width="16.28515625" customWidth="1"/>
    <col min="4" max="4" width="13.42578125" bestFit="1" customWidth="1"/>
    <col min="5" max="5" width="13.42578125" customWidth="1"/>
    <col min="6" max="6" width="11.42578125" bestFit="1" customWidth="1"/>
    <col min="7" max="7" width="17.28515625" customWidth="1"/>
    <col min="8" max="8" width="16.7109375" customWidth="1"/>
    <col min="9" max="9" width="18" bestFit="1" customWidth="1"/>
  </cols>
  <sheetData>
    <row r="4" spans="1:9">
      <c r="D4" s="23" t="s">
        <v>2962</v>
      </c>
      <c r="E4" s="129">
        <v>100</v>
      </c>
    </row>
    <row r="5" spans="1:9">
      <c r="D5" s="23" t="s">
        <v>2963</v>
      </c>
      <c r="E5" s="135">
        <v>1.67</v>
      </c>
    </row>
    <row r="9" spans="1:9">
      <c r="A9" s="3" t="s">
        <v>273</v>
      </c>
      <c r="B9" s="3" t="s">
        <v>0</v>
      </c>
      <c r="C9" s="3" t="s">
        <v>2965</v>
      </c>
      <c r="D9" s="3" t="s">
        <v>2964</v>
      </c>
      <c r="E9" s="3" t="s">
        <v>2966</v>
      </c>
      <c r="F9" s="3" t="s">
        <v>2780</v>
      </c>
      <c r="G9" s="3" t="s">
        <v>2938</v>
      </c>
      <c r="H9" s="3" t="s">
        <v>2939</v>
      </c>
      <c r="I9" s="3" t="s">
        <v>2787</v>
      </c>
    </row>
    <row r="10" spans="1:9">
      <c r="A10" s="127" t="str">
        <f ca="1">'FB Data'!K9</f>
        <v/>
      </c>
      <c r="B10" s="127" t="str">
        <f ca="1">IFERROR(IF(ISNA(VLOOKUP(A10,'FB Laser'!$A$10:$B$99,2,FALSE)),VLOOKUP(A10,'Tube Laser'!$A$9:$B$98,2,FALSE),VLOOKUP(A10,'FB Laser'!$A$10:$B$99,2,FALSE)),"")</f>
        <v/>
      </c>
      <c r="C10" s="127" t="str">
        <f ca="1">IFERROR(IF(ISNA(VLOOKUP(A10,Forming!$A$10:$C$99,3,FALSE)),VLOOKUP(A10,'Tube Laser'!$A$9:$C$98,3,FALSE),VLOOKUP(A10,Forming!$A$10:$C$99,3,FALSE)),"")</f>
        <v/>
      </c>
      <c r="D10" s="136" t="str">
        <f ca="1">IFERROR(C10/$E$5,"")</f>
        <v/>
      </c>
      <c r="E10" s="23"/>
      <c r="F10" s="23"/>
      <c r="G10" s="78">
        <f>IFERROR((IF(ISBLANK(F10),0,(F10/60/B10*$E$4)+(D10/60/60*$E$4*E10))),"")</f>
        <v>0</v>
      </c>
      <c r="H10" s="66" t="str">
        <f t="shared" ref="H10:H41" ca="1" si="0">IFERROR(ROUND(G10*B10,2),"")</f>
        <v/>
      </c>
      <c r="I10" s="90">
        <f>IFERROR(IF(G10=0,0,(F10+(D10/60*B10))),"")</f>
        <v>0</v>
      </c>
    </row>
    <row r="11" spans="1:9">
      <c r="A11" s="127" t="str">
        <f ca="1">'FB Data'!K10</f>
        <v/>
      </c>
      <c r="B11" s="127" t="str">
        <f ca="1">IFERROR(IF(ISNA(VLOOKUP(A11,'FB Laser'!$A$10:$B$99,2,FALSE)),VLOOKUP(A11,'Tube Laser'!$A$9:$B$98,2,FALSE),VLOOKUP(A11,'FB Laser'!$A$10:$B$99,2,FALSE)),"")</f>
        <v/>
      </c>
      <c r="C11" s="127" t="str">
        <f ca="1">IFERROR(IF(ISNA(VLOOKUP(A11,Forming!$A$10:$C$99,3,FALSE)),VLOOKUP(A11,'Tube Laser'!$A$9:$C$98,3,FALSE),VLOOKUP(A11,Forming!$A$10:$C$99,3,FALSE)),"")</f>
        <v/>
      </c>
      <c r="D11" s="136" t="str">
        <f t="shared" ref="D11:D74" ca="1" si="1">IFERROR(C11/$E$5,"")</f>
        <v/>
      </c>
      <c r="E11" s="23"/>
      <c r="F11" s="23"/>
      <c r="G11" s="78">
        <f t="shared" ref="G11:G74" si="2">IFERROR((IF(ISBLANK(F11),0,(F11/60/B11*$E$4)+(D11/60/60*$E$4*E11))),"")</f>
        <v>0</v>
      </c>
      <c r="H11" s="66" t="str">
        <f t="shared" ca="1" si="0"/>
        <v/>
      </c>
      <c r="I11" s="90">
        <f t="shared" ref="I11:I74" si="3">IFERROR(IF(G11=0,0,(F11+(D11/60*B11))),"")</f>
        <v>0</v>
      </c>
    </row>
    <row r="12" spans="1:9">
      <c r="A12" s="127" t="str">
        <f ca="1">'FB Data'!K11</f>
        <v/>
      </c>
      <c r="B12" s="127" t="str">
        <f ca="1">IFERROR(IF(ISNA(VLOOKUP(A12,'FB Laser'!$A$10:$B$99,2,FALSE)),VLOOKUP(A12,'Tube Laser'!$A$9:$B$98,2,FALSE),VLOOKUP(A12,'FB Laser'!$A$10:$B$99,2,FALSE)),"")</f>
        <v/>
      </c>
      <c r="C12" s="127" t="str">
        <f ca="1">IFERROR(IF(ISNA(VLOOKUP(A12,Forming!$A$10:$C$99,3,FALSE)),VLOOKUP(A12,'Tube Laser'!$A$9:$C$98,3,FALSE),VLOOKUP(A12,Forming!$A$10:$C$99,3,FALSE)),"")</f>
        <v/>
      </c>
      <c r="D12" s="136" t="str">
        <f t="shared" ca="1" si="1"/>
        <v/>
      </c>
      <c r="E12" s="23"/>
      <c r="F12" s="23"/>
      <c r="G12" s="78">
        <f t="shared" si="2"/>
        <v>0</v>
      </c>
      <c r="H12" s="66" t="str">
        <f t="shared" ca="1" si="0"/>
        <v/>
      </c>
      <c r="I12" s="90">
        <f t="shared" si="3"/>
        <v>0</v>
      </c>
    </row>
    <row r="13" spans="1:9">
      <c r="A13" s="127" t="str">
        <f ca="1">'FB Data'!K12</f>
        <v/>
      </c>
      <c r="B13" s="127" t="str">
        <f ca="1">IFERROR(IF(ISNA(VLOOKUP(A13,'FB Laser'!$A$10:$B$99,2,FALSE)),VLOOKUP(A13,'Tube Laser'!$A$9:$B$98,2,FALSE),VLOOKUP(A13,'FB Laser'!$A$10:$B$99,2,FALSE)),"")</f>
        <v/>
      </c>
      <c r="C13" s="127" t="str">
        <f ca="1">IFERROR(IF(ISNA(VLOOKUP(A13,Forming!$A$10:$C$99,3,FALSE)),VLOOKUP(A13,'Tube Laser'!$A$9:$C$98,3,FALSE),VLOOKUP(A13,Forming!$A$10:$C$99,3,FALSE)),"")</f>
        <v/>
      </c>
      <c r="D13" s="136" t="str">
        <f t="shared" ca="1" si="1"/>
        <v/>
      </c>
      <c r="E13" s="23"/>
      <c r="F13" s="23"/>
      <c r="G13" s="78">
        <f t="shared" si="2"/>
        <v>0</v>
      </c>
      <c r="H13" s="66" t="str">
        <f t="shared" ca="1" si="0"/>
        <v/>
      </c>
      <c r="I13" s="90">
        <f t="shared" si="3"/>
        <v>0</v>
      </c>
    </row>
    <row r="14" spans="1:9">
      <c r="A14" s="127" t="str">
        <f ca="1">'FB Data'!K13</f>
        <v/>
      </c>
      <c r="B14" s="127" t="str">
        <f ca="1">IFERROR(IF(ISNA(VLOOKUP(A14,'FB Laser'!$A$10:$B$99,2,FALSE)),VLOOKUP(A14,'Tube Laser'!$A$9:$B$98,2,FALSE),VLOOKUP(A14,'FB Laser'!$A$10:$B$99,2,FALSE)),"")</f>
        <v/>
      </c>
      <c r="C14" s="127" t="str">
        <f ca="1">IFERROR(IF(ISNA(VLOOKUP(A14,Forming!$A$10:$C$99,3,FALSE)),VLOOKUP(A14,'Tube Laser'!$A$9:$C$98,3,FALSE),VLOOKUP(A14,Forming!$A$10:$C$99,3,FALSE)),"")</f>
        <v/>
      </c>
      <c r="D14" s="136" t="str">
        <f t="shared" ca="1" si="1"/>
        <v/>
      </c>
      <c r="E14" s="23"/>
      <c r="F14" s="23"/>
      <c r="G14" s="78">
        <f t="shared" si="2"/>
        <v>0</v>
      </c>
      <c r="H14" s="66" t="str">
        <f t="shared" ca="1" si="0"/>
        <v/>
      </c>
      <c r="I14" s="90">
        <f t="shared" si="3"/>
        <v>0</v>
      </c>
    </row>
    <row r="15" spans="1:9">
      <c r="A15" s="127" t="str">
        <f ca="1">'FB Data'!K14</f>
        <v/>
      </c>
      <c r="B15" s="127" t="str">
        <f ca="1">IFERROR(IF(ISNA(VLOOKUP(A15,'FB Laser'!$A$10:$B$99,2,FALSE)),VLOOKUP(A15,'Tube Laser'!$A$9:$B$98,2,FALSE),VLOOKUP(A15,'FB Laser'!$A$10:$B$99,2,FALSE)),"")</f>
        <v/>
      </c>
      <c r="C15" s="127" t="str">
        <f ca="1">IFERROR(IF(ISNA(VLOOKUP(A15,Forming!$A$10:$C$99,3,FALSE)),VLOOKUP(A15,'Tube Laser'!$A$9:$C$98,3,FALSE),VLOOKUP(A15,Forming!$A$10:$C$99,3,FALSE)),"")</f>
        <v/>
      </c>
      <c r="D15" s="136" t="str">
        <f t="shared" ca="1" si="1"/>
        <v/>
      </c>
      <c r="E15" s="23"/>
      <c r="F15" s="23"/>
      <c r="G15" s="78">
        <f t="shared" si="2"/>
        <v>0</v>
      </c>
      <c r="H15" s="66" t="str">
        <f t="shared" ca="1" si="0"/>
        <v/>
      </c>
      <c r="I15" s="90">
        <f t="shared" si="3"/>
        <v>0</v>
      </c>
    </row>
    <row r="16" spans="1:9">
      <c r="A16" s="127" t="str">
        <f ca="1">'FB Data'!K15</f>
        <v/>
      </c>
      <c r="B16" s="127" t="str">
        <f ca="1">IFERROR(IF(ISNA(VLOOKUP(A16,'FB Laser'!$A$10:$B$99,2,FALSE)),VLOOKUP(A16,'Tube Laser'!$A$9:$B$98,2,FALSE),VLOOKUP(A16,'FB Laser'!$A$10:$B$99,2,FALSE)),"")</f>
        <v/>
      </c>
      <c r="C16" s="127" t="str">
        <f ca="1">IFERROR(IF(ISNA(VLOOKUP(A16,Forming!$A$10:$C$99,3,FALSE)),VLOOKUP(A16,'Tube Laser'!$A$9:$C$98,3,FALSE),VLOOKUP(A16,Forming!$A$10:$C$99,3,FALSE)),"")</f>
        <v/>
      </c>
      <c r="D16" s="136" t="str">
        <f t="shared" ca="1" si="1"/>
        <v/>
      </c>
      <c r="E16" s="23"/>
      <c r="F16" s="23"/>
      <c r="G16" s="78">
        <f t="shared" si="2"/>
        <v>0</v>
      </c>
      <c r="H16" s="66" t="str">
        <f t="shared" ca="1" si="0"/>
        <v/>
      </c>
      <c r="I16" s="90">
        <f t="shared" si="3"/>
        <v>0</v>
      </c>
    </row>
    <row r="17" spans="1:9">
      <c r="A17" s="127" t="str">
        <f ca="1">'FB Data'!K16</f>
        <v/>
      </c>
      <c r="B17" s="127" t="str">
        <f ca="1">IFERROR(IF(ISNA(VLOOKUP(A17,'FB Laser'!$A$10:$B$99,2,FALSE)),VLOOKUP(A17,'Tube Laser'!$A$9:$B$98,2,FALSE),VLOOKUP(A17,'FB Laser'!$A$10:$B$99,2,FALSE)),"")</f>
        <v/>
      </c>
      <c r="C17" s="127" t="str">
        <f ca="1">IFERROR(IF(ISNA(VLOOKUP(A17,Forming!$A$10:$C$99,3,FALSE)),VLOOKUP(A17,'Tube Laser'!$A$9:$C$98,3,FALSE),VLOOKUP(A17,Forming!$A$10:$C$99,3,FALSE)),"")</f>
        <v/>
      </c>
      <c r="D17" s="136" t="str">
        <f t="shared" ca="1" si="1"/>
        <v/>
      </c>
      <c r="E17" s="23"/>
      <c r="F17" s="23"/>
      <c r="G17" s="78">
        <f t="shared" si="2"/>
        <v>0</v>
      </c>
      <c r="H17" s="66" t="str">
        <f t="shared" ca="1" si="0"/>
        <v/>
      </c>
      <c r="I17" s="90">
        <f t="shared" si="3"/>
        <v>0</v>
      </c>
    </row>
    <row r="18" spans="1:9">
      <c r="A18" s="127" t="str">
        <f ca="1">'FB Data'!K17</f>
        <v/>
      </c>
      <c r="B18" s="127" t="str">
        <f ca="1">IFERROR(IF(ISNA(VLOOKUP(A18,'FB Laser'!$A$10:$B$99,2,FALSE)),VLOOKUP(A18,'Tube Laser'!$A$9:$B$98,2,FALSE),VLOOKUP(A18,'FB Laser'!$A$10:$B$99,2,FALSE)),"")</f>
        <v/>
      </c>
      <c r="C18" s="127" t="str">
        <f ca="1">IFERROR(IF(ISNA(VLOOKUP(A18,Forming!$A$10:$C$99,3,FALSE)),VLOOKUP(A18,'Tube Laser'!$A$9:$C$98,3,FALSE),VLOOKUP(A18,Forming!$A$10:$C$99,3,FALSE)),"")</f>
        <v/>
      </c>
      <c r="D18" s="136" t="str">
        <f t="shared" ca="1" si="1"/>
        <v/>
      </c>
      <c r="E18" s="23"/>
      <c r="F18" s="23"/>
      <c r="G18" s="78">
        <f t="shared" si="2"/>
        <v>0</v>
      </c>
      <c r="H18" s="66" t="str">
        <f t="shared" ca="1" si="0"/>
        <v/>
      </c>
      <c r="I18" s="90">
        <f t="shared" si="3"/>
        <v>0</v>
      </c>
    </row>
    <row r="19" spans="1:9">
      <c r="A19" s="127" t="str">
        <f ca="1">'FB Data'!K18</f>
        <v/>
      </c>
      <c r="B19" s="127" t="str">
        <f ca="1">IFERROR(IF(ISNA(VLOOKUP(A19,'FB Laser'!$A$10:$B$99,2,FALSE)),VLOOKUP(A19,'Tube Laser'!$A$9:$B$98,2,FALSE),VLOOKUP(A19,'FB Laser'!$A$10:$B$99,2,FALSE)),"")</f>
        <v/>
      </c>
      <c r="C19" s="127" t="str">
        <f ca="1">IFERROR(IF(ISNA(VLOOKUP(A19,Forming!$A$10:$C$99,3,FALSE)),VLOOKUP(A19,'Tube Laser'!$A$9:$C$98,3,FALSE),VLOOKUP(A19,Forming!$A$10:$C$99,3,FALSE)),"")</f>
        <v/>
      </c>
      <c r="D19" s="136" t="str">
        <f t="shared" ca="1" si="1"/>
        <v/>
      </c>
      <c r="E19" s="23"/>
      <c r="F19" s="23"/>
      <c r="G19" s="78">
        <f t="shared" si="2"/>
        <v>0</v>
      </c>
      <c r="H19" s="66" t="str">
        <f t="shared" ca="1" si="0"/>
        <v/>
      </c>
      <c r="I19" s="90">
        <f t="shared" si="3"/>
        <v>0</v>
      </c>
    </row>
    <row r="20" spans="1:9">
      <c r="A20" s="127" t="str">
        <f ca="1">'FB Data'!K19</f>
        <v/>
      </c>
      <c r="B20" s="127" t="str">
        <f ca="1">IFERROR(IF(ISNA(VLOOKUP(A20,'FB Laser'!$A$10:$B$99,2,FALSE)),VLOOKUP(A20,'Tube Laser'!$A$9:$B$98,2,FALSE),VLOOKUP(A20,'FB Laser'!$A$10:$B$99,2,FALSE)),"")</f>
        <v/>
      </c>
      <c r="C20" s="127" t="str">
        <f ca="1">IFERROR(IF(ISNA(VLOOKUP(A20,Forming!$A$10:$C$99,3,FALSE)),VLOOKUP(A20,'Tube Laser'!$A$9:$C$98,3,FALSE),VLOOKUP(A20,Forming!$A$10:$C$99,3,FALSE)),"")</f>
        <v/>
      </c>
      <c r="D20" s="136" t="str">
        <f t="shared" ca="1" si="1"/>
        <v/>
      </c>
      <c r="E20" s="23"/>
      <c r="F20" s="23"/>
      <c r="G20" s="78">
        <f t="shared" si="2"/>
        <v>0</v>
      </c>
      <c r="H20" s="66" t="str">
        <f t="shared" ca="1" si="0"/>
        <v/>
      </c>
      <c r="I20" s="90">
        <f t="shared" si="3"/>
        <v>0</v>
      </c>
    </row>
    <row r="21" spans="1:9">
      <c r="A21" s="127" t="str">
        <f ca="1">'FB Data'!K20</f>
        <v/>
      </c>
      <c r="B21" s="127" t="str">
        <f ca="1">IFERROR(IF(ISNA(VLOOKUP(A21,'FB Laser'!$A$10:$B$99,2,FALSE)),VLOOKUP(A21,'Tube Laser'!$A$9:$B$98,2,FALSE),VLOOKUP(A21,'FB Laser'!$A$10:$B$99,2,FALSE)),"")</f>
        <v/>
      </c>
      <c r="C21" s="127" t="str">
        <f ca="1">IFERROR(IF(ISNA(VLOOKUP(A21,Forming!$A$10:$C$99,3,FALSE)),VLOOKUP(A21,'Tube Laser'!$A$9:$C$98,3,FALSE),VLOOKUP(A21,Forming!$A$10:$C$99,3,FALSE)),"")</f>
        <v/>
      </c>
      <c r="D21" s="136" t="str">
        <f t="shared" ca="1" si="1"/>
        <v/>
      </c>
      <c r="E21" s="23"/>
      <c r="F21" s="23"/>
      <c r="G21" s="78">
        <f t="shared" si="2"/>
        <v>0</v>
      </c>
      <c r="H21" s="66" t="str">
        <f t="shared" ca="1" si="0"/>
        <v/>
      </c>
      <c r="I21" s="90">
        <f t="shared" si="3"/>
        <v>0</v>
      </c>
    </row>
    <row r="22" spans="1:9">
      <c r="A22" s="127" t="str">
        <f ca="1">'FB Data'!K21</f>
        <v/>
      </c>
      <c r="B22" s="127" t="str">
        <f ca="1">IFERROR(IF(ISNA(VLOOKUP(A22,'FB Laser'!$A$10:$B$99,2,FALSE)),VLOOKUP(A22,'Tube Laser'!$A$9:$B$98,2,FALSE),VLOOKUP(A22,'FB Laser'!$A$10:$B$99,2,FALSE)),"")</f>
        <v/>
      </c>
      <c r="C22" s="127" t="str">
        <f ca="1">IFERROR(IF(ISNA(VLOOKUP(A22,Forming!$A$10:$C$99,3,FALSE)),VLOOKUP(A22,'Tube Laser'!$A$9:$C$98,3,FALSE),VLOOKUP(A22,Forming!$A$10:$C$99,3,FALSE)),"")</f>
        <v/>
      </c>
      <c r="D22" s="136" t="str">
        <f t="shared" ca="1" si="1"/>
        <v/>
      </c>
      <c r="E22" s="23"/>
      <c r="F22" s="23"/>
      <c r="G22" s="78">
        <f t="shared" si="2"/>
        <v>0</v>
      </c>
      <c r="H22" s="66" t="str">
        <f t="shared" ca="1" si="0"/>
        <v/>
      </c>
      <c r="I22" s="90">
        <f t="shared" si="3"/>
        <v>0</v>
      </c>
    </row>
    <row r="23" spans="1:9">
      <c r="A23" s="127" t="str">
        <f ca="1">'FB Data'!K22</f>
        <v/>
      </c>
      <c r="B23" s="127" t="str">
        <f ca="1">IFERROR(IF(ISNA(VLOOKUP(A23,'FB Laser'!$A$10:$B$99,2,FALSE)),VLOOKUP(A23,'Tube Laser'!$A$9:$B$98,2,FALSE),VLOOKUP(A23,'FB Laser'!$A$10:$B$99,2,FALSE)),"")</f>
        <v/>
      </c>
      <c r="C23" s="127" t="str">
        <f ca="1">IFERROR(IF(ISNA(VLOOKUP(A23,Forming!$A$10:$C$99,3,FALSE)),VLOOKUP(A23,'Tube Laser'!$A$9:$C$98,3,FALSE),VLOOKUP(A23,Forming!$A$10:$C$99,3,FALSE)),"")</f>
        <v/>
      </c>
      <c r="D23" s="136" t="str">
        <f t="shared" ca="1" si="1"/>
        <v/>
      </c>
      <c r="E23" s="23"/>
      <c r="F23" s="23"/>
      <c r="G23" s="78">
        <f t="shared" si="2"/>
        <v>0</v>
      </c>
      <c r="H23" s="66" t="str">
        <f t="shared" ca="1" si="0"/>
        <v/>
      </c>
      <c r="I23" s="90">
        <f t="shared" si="3"/>
        <v>0</v>
      </c>
    </row>
    <row r="24" spans="1:9">
      <c r="A24" s="127" t="str">
        <f ca="1">'FB Data'!K23</f>
        <v/>
      </c>
      <c r="B24" s="127" t="str">
        <f ca="1">IFERROR(IF(ISNA(VLOOKUP(A24,'FB Laser'!$A$10:$B$99,2,FALSE)),VLOOKUP(A24,'Tube Laser'!$A$9:$B$98,2,FALSE),VLOOKUP(A24,'FB Laser'!$A$10:$B$99,2,FALSE)),"")</f>
        <v/>
      </c>
      <c r="C24" s="127" t="str">
        <f ca="1">IFERROR(IF(ISNA(VLOOKUP(A24,Forming!$A$10:$C$99,3,FALSE)),VLOOKUP(A24,'Tube Laser'!$A$9:$C$98,3,FALSE),VLOOKUP(A24,Forming!$A$10:$C$99,3,FALSE)),"")</f>
        <v/>
      </c>
      <c r="D24" s="136" t="str">
        <f t="shared" ca="1" si="1"/>
        <v/>
      </c>
      <c r="E24" s="23"/>
      <c r="F24" s="23"/>
      <c r="G24" s="78">
        <f t="shared" si="2"/>
        <v>0</v>
      </c>
      <c r="H24" s="66" t="str">
        <f t="shared" ca="1" si="0"/>
        <v/>
      </c>
      <c r="I24" s="90">
        <f t="shared" si="3"/>
        <v>0</v>
      </c>
    </row>
    <row r="25" spans="1:9">
      <c r="A25" s="127" t="str">
        <f ca="1">'FB Data'!K24</f>
        <v/>
      </c>
      <c r="B25" s="127" t="str">
        <f ca="1">IFERROR(IF(ISNA(VLOOKUP(A25,'FB Laser'!$A$10:$B$99,2,FALSE)),VLOOKUP(A25,'Tube Laser'!$A$9:$B$98,2,FALSE),VLOOKUP(A25,'FB Laser'!$A$10:$B$99,2,FALSE)),"")</f>
        <v/>
      </c>
      <c r="C25" s="127" t="str">
        <f ca="1">IFERROR(IF(ISNA(VLOOKUP(A25,Forming!$A$10:$C$99,3,FALSE)),VLOOKUP(A25,'Tube Laser'!$A$9:$C$98,3,FALSE),VLOOKUP(A25,Forming!$A$10:$C$99,3,FALSE)),"")</f>
        <v/>
      </c>
      <c r="D25" s="136" t="str">
        <f t="shared" ca="1" si="1"/>
        <v/>
      </c>
      <c r="E25" s="23"/>
      <c r="F25" s="23"/>
      <c r="G25" s="78">
        <f t="shared" si="2"/>
        <v>0</v>
      </c>
      <c r="H25" s="66" t="str">
        <f t="shared" ca="1" si="0"/>
        <v/>
      </c>
      <c r="I25" s="90">
        <f t="shared" si="3"/>
        <v>0</v>
      </c>
    </row>
    <row r="26" spans="1:9">
      <c r="A26" s="127" t="str">
        <f ca="1">'FB Data'!K25</f>
        <v/>
      </c>
      <c r="B26" s="127" t="str">
        <f ca="1">IFERROR(IF(ISNA(VLOOKUP(A26,'FB Laser'!$A$10:$B$99,2,FALSE)),VLOOKUP(A26,'Tube Laser'!$A$9:$B$98,2,FALSE),VLOOKUP(A26,'FB Laser'!$A$10:$B$99,2,FALSE)),"")</f>
        <v/>
      </c>
      <c r="C26" s="127" t="str">
        <f ca="1">IFERROR(IF(ISNA(VLOOKUP(A26,Forming!$A$10:$C$99,3,FALSE)),VLOOKUP(A26,'Tube Laser'!$A$9:$C$98,3,FALSE),VLOOKUP(A26,Forming!$A$10:$C$99,3,FALSE)),"")</f>
        <v/>
      </c>
      <c r="D26" s="136" t="str">
        <f t="shared" ca="1" si="1"/>
        <v/>
      </c>
      <c r="E26" s="23"/>
      <c r="F26" s="23"/>
      <c r="G26" s="78">
        <f t="shared" si="2"/>
        <v>0</v>
      </c>
      <c r="H26" s="66" t="str">
        <f t="shared" ca="1" si="0"/>
        <v/>
      </c>
      <c r="I26" s="90">
        <f t="shared" si="3"/>
        <v>0</v>
      </c>
    </row>
    <row r="27" spans="1:9">
      <c r="A27" s="127" t="str">
        <f ca="1">'FB Data'!K26</f>
        <v/>
      </c>
      <c r="B27" s="127" t="str">
        <f ca="1">IFERROR(IF(ISNA(VLOOKUP(A27,'FB Laser'!$A$10:$B$99,2,FALSE)),VLOOKUP(A27,'Tube Laser'!$A$9:$B$98,2,FALSE),VLOOKUP(A27,'FB Laser'!$A$10:$B$99,2,FALSE)),"")</f>
        <v/>
      </c>
      <c r="C27" s="127" t="str">
        <f ca="1">IFERROR(IF(ISNA(VLOOKUP(A27,Forming!$A$10:$C$99,3,FALSE)),VLOOKUP(A27,'Tube Laser'!$A$9:$C$98,3,FALSE),VLOOKUP(A27,Forming!$A$10:$C$99,3,FALSE)),"")</f>
        <v/>
      </c>
      <c r="D27" s="136" t="str">
        <f t="shared" ca="1" si="1"/>
        <v/>
      </c>
      <c r="E27" s="23"/>
      <c r="F27" s="23"/>
      <c r="G27" s="78">
        <f t="shared" si="2"/>
        <v>0</v>
      </c>
      <c r="H27" s="66" t="str">
        <f t="shared" ca="1" si="0"/>
        <v/>
      </c>
      <c r="I27" s="90">
        <f t="shared" si="3"/>
        <v>0</v>
      </c>
    </row>
    <row r="28" spans="1:9">
      <c r="A28" s="127" t="str">
        <f ca="1">'FB Data'!K27</f>
        <v/>
      </c>
      <c r="B28" s="127" t="str">
        <f ca="1">IFERROR(IF(ISNA(VLOOKUP(A28,'FB Laser'!$A$10:$B$99,2,FALSE)),VLOOKUP(A28,'Tube Laser'!$A$9:$B$98,2,FALSE),VLOOKUP(A28,'FB Laser'!$A$10:$B$99,2,FALSE)),"")</f>
        <v/>
      </c>
      <c r="C28" s="127" t="str">
        <f ca="1">IFERROR(IF(ISNA(VLOOKUP(A28,Forming!$A$10:$C$99,3,FALSE)),VLOOKUP(A28,'Tube Laser'!$A$9:$C$98,3,FALSE),VLOOKUP(A28,Forming!$A$10:$C$99,3,FALSE)),"")</f>
        <v/>
      </c>
      <c r="D28" s="136" t="str">
        <f t="shared" ca="1" si="1"/>
        <v/>
      </c>
      <c r="E28" s="23"/>
      <c r="F28" s="23"/>
      <c r="G28" s="78">
        <f t="shared" si="2"/>
        <v>0</v>
      </c>
      <c r="H28" s="66" t="str">
        <f t="shared" ca="1" si="0"/>
        <v/>
      </c>
      <c r="I28" s="90">
        <f t="shared" si="3"/>
        <v>0</v>
      </c>
    </row>
    <row r="29" spans="1:9">
      <c r="A29" s="127" t="str">
        <f ca="1">'FB Data'!K28</f>
        <v/>
      </c>
      <c r="B29" s="127" t="str">
        <f ca="1">IFERROR(IF(ISNA(VLOOKUP(A29,'FB Laser'!$A$10:$B$99,2,FALSE)),VLOOKUP(A29,'Tube Laser'!$A$9:$B$98,2,FALSE),VLOOKUP(A29,'FB Laser'!$A$10:$B$99,2,FALSE)),"")</f>
        <v/>
      </c>
      <c r="C29" s="127" t="str">
        <f ca="1">IFERROR(IF(ISNA(VLOOKUP(A29,Forming!$A$10:$C$99,3,FALSE)),VLOOKUP(A29,'Tube Laser'!$A$9:$C$98,3,FALSE),VLOOKUP(A29,Forming!$A$10:$C$99,3,FALSE)),"")</f>
        <v/>
      </c>
      <c r="D29" s="136" t="str">
        <f t="shared" ca="1" si="1"/>
        <v/>
      </c>
      <c r="E29" s="23"/>
      <c r="F29" s="23"/>
      <c r="G29" s="78">
        <f t="shared" si="2"/>
        <v>0</v>
      </c>
      <c r="H29" s="66" t="str">
        <f t="shared" ca="1" si="0"/>
        <v/>
      </c>
      <c r="I29" s="90">
        <f t="shared" si="3"/>
        <v>0</v>
      </c>
    </row>
    <row r="30" spans="1:9">
      <c r="A30" s="127" t="str">
        <f ca="1">'FB Data'!K29</f>
        <v/>
      </c>
      <c r="B30" s="127" t="str">
        <f ca="1">IFERROR(IF(ISNA(VLOOKUP(A30,'FB Laser'!$A$10:$B$99,2,FALSE)),VLOOKUP(A30,'Tube Laser'!$A$9:$B$98,2,FALSE),VLOOKUP(A30,'FB Laser'!$A$10:$B$99,2,FALSE)),"")</f>
        <v/>
      </c>
      <c r="C30" s="127" t="str">
        <f ca="1">IFERROR(IF(ISNA(VLOOKUP(A30,Forming!$A$10:$C$99,3,FALSE)),VLOOKUP(A30,'Tube Laser'!$A$9:$C$98,3,FALSE),VLOOKUP(A30,Forming!$A$10:$C$99,3,FALSE)),"")</f>
        <v/>
      </c>
      <c r="D30" s="136" t="str">
        <f t="shared" ca="1" si="1"/>
        <v/>
      </c>
      <c r="E30" s="23"/>
      <c r="F30" s="23"/>
      <c r="G30" s="78">
        <f t="shared" si="2"/>
        <v>0</v>
      </c>
      <c r="H30" s="66" t="str">
        <f t="shared" ca="1" si="0"/>
        <v/>
      </c>
      <c r="I30" s="90">
        <f t="shared" si="3"/>
        <v>0</v>
      </c>
    </row>
    <row r="31" spans="1:9">
      <c r="A31" s="127" t="str">
        <f ca="1">'FB Data'!K30</f>
        <v/>
      </c>
      <c r="B31" s="127" t="str">
        <f ca="1">IFERROR(IF(ISNA(VLOOKUP(A31,'FB Laser'!$A$10:$B$99,2,FALSE)),VLOOKUP(A31,'Tube Laser'!$A$9:$B$98,2,FALSE),VLOOKUP(A31,'FB Laser'!$A$10:$B$99,2,FALSE)),"")</f>
        <v/>
      </c>
      <c r="C31" s="127" t="str">
        <f ca="1">IFERROR(IF(ISNA(VLOOKUP(A31,Forming!$A$10:$C$99,3,FALSE)),VLOOKUP(A31,'Tube Laser'!$A$9:$C$98,3,FALSE),VLOOKUP(A31,Forming!$A$10:$C$99,3,FALSE)),"")</f>
        <v/>
      </c>
      <c r="D31" s="136" t="str">
        <f t="shared" ca="1" si="1"/>
        <v/>
      </c>
      <c r="E31" s="23"/>
      <c r="F31" s="23"/>
      <c r="G31" s="78">
        <f t="shared" si="2"/>
        <v>0</v>
      </c>
      <c r="H31" s="66" t="str">
        <f t="shared" ca="1" si="0"/>
        <v/>
      </c>
      <c r="I31" s="90">
        <f t="shared" si="3"/>
        <v>0</v>
      </c>
    </row>
    <row r="32" spans="1:9">
      <c r="A32" s="127" t="str">
        <f ca="1">'FB Data'!K31</f>
        <v/>
      </c>
      <c r="B32" s="127" t="str">
        <f ca="1">IFERROR(IF(ISNA(VLOOKUP(A32,'FB Laser'!$A$10:$B$99,2,FALSE)),VLOOKUP(A32,'Tube Laser'!$A$9:$B$98,2,FALSE),VLOOKUP(A32,'FB Laser'!$A$10:$B$99,2,FALSE)),"")</f>
        <v/>
      </c>
      <c r="C32" s="127" t="str">
        <f ca="1">IFERROR(IF(ISNA(VLOOKUP(A32,Forming!$A$10:$C$99,3,FALSE)),VLOOKUP(A32,'Tube Laser'!$A$9:$C$98,3,FALSE),VLOOKUP(A32,Forming!$A$10:$C$99,3,FALSE)),"")</f>
        <v/>
      </c>
      <c r="D32" s="136" t="str">
        <f t="shared" ca="1" si="1"/>
        <v/>
      </c>
      <c r="E32" s="23"/>
      <c r="F32" s="23"/>
      <c r="G32" s="78">
        <f t="shared" si="2"/>
        <v>0</v>
      </c>
      <c r="H32" s="66" t="str">
        <f t="shared" ca="1" si="0"/>
        <v/>
      </c>
      <c r="I32" s="90">
        <f t="shared" si="3"/>
        <v>0</v>
      </c>
    </row>
    <row r="33" spans="1:9">
      <c r="A33" s="127" t="str">
        <f ca="1">'FB Data'!K32</f>
        <v/>
      </c>
      <c r="B33" s="127" t="str">
        <f ca="1">IFERROR(IF(ISNA(VLOOKUP(A33,'FB Laser'!$A$10:$B$99,2,FALSE)),VLOOKUP(A33,'Tube Laser'!$A$9:$B$98,2,FALSE),VLOOKUP(A33,'FB Laser'!$A$10:$B$99,2,FALSE)),"")</f>
        <v/>
      </c>
      <c r="C33" s="127" t="str">
        <f ca="1">IFERROR(IF(ISNA(VLOOKUP(A33,Forming!$A$10:$C$99,3,FALSE)),VLOOKUP(A33,'Tube Laser'!$A$9:$C$98,3,FALSE),VLOOKUP(A33,Forming!$A$10:$C$99,3,FALSE)),"")</f>
        <v/>
      </c>
      <c r="D33" s="136" t="str">
        <f t="shared" ca="1" si="1"/>
        <v/>
      </c>
      <c r="E33" s="23"/>
      <c r="F33" s="23"/>
      <c r="G33" s="78">
        <f t="shared" si="2"/>
        <v>0</v>
      </c>
      <c r="H33" s="66" t="str">
        <f t="shared" ca="1" si="0"/>
        <v/>
      </c>
      <c r="I33" s="90">
        <f t="shared" si="3"/>
        <v>0</v>
      </c>
    </row>
    <row r="34" spans="1:9">
      <c r="A34" s="127" t="str">
        <f ca="1">'FB Data'!K33</f>
        <v/>
      </c>
      <c r="B34" s="127" t="str">
        <f ca="1">IFERROR(IF(ISNA(VLOOKUP(A34,'FB Laser'!$A$10:$B$99,2,FALSE)),VLOOKUP(A34,'Tube Laser'!$A$9:$B$98,2,FALSE),VLOOKUP(A34,'FB Laser'!$A$10:$B$99,2,FALSE)),"")</f>
        <v/>
      </c>
      <c r="C34" s="127" t="str">
        <f ca="1">IFERROR(IF(ISNA(VLOOKUP(A34,Forming!$A$10:$C$99,3,FALSE)),VLOOKUP(A34,'Tube Laser'!$A$9:$C$98,3,FALSE),VLOOKUP(A34,Forming!$A$10:$C$99,3,FALSE)),"")</f>
        <v/>
      </c>
      <c r="D34" s="136" t="str">
        <f t="shared" ca="1" si="1"/>
        <v/>
      </c>
      <c r="E34" s="23"/>
      <c r="F34" s="23"/>
      <c r="G34" s="78">
        <f t="shared" si="2"/>
        <v>0</v>
      </c>
      <c r="H34" s="66" t="str">
        <f t="shared" ca="1" si="0"/>
        <v/>
      </c>
      <c r="I34" s="90">
        <f t="shared" si="3"/>
        <v>0</v>
      </c>
    </row>
    <row r="35" spans="1:9">
      <c r="A35" s="127" t="str">
        <f ca="1">'FB Data'!K34</f>
        <v/>
      </c>
      <c r="B35" s="127" t="str">
        <f ca="1">IFERROR(IF(ISNA(VLOOKUP(A35,'FB Laser'!$A$10:$B$99,2,FALSE)),VLOOKUP(A35,'Tube Laser'!$A$9:$B$98,2,FALSE),VLOOKUP(A35,'FB Laser'!$A$10:$B$99,2,FALSE)),"")</f>
        <v/>
      </c>
      <c r="C35" s="127" t="str">
        <f ca="1">IFERROR(IF(ISNA(VLOOKUP(A35,Forming!$A$10:$C$99,3,FALSE)),VLOOKUP(A35,'Tube Laser'!$A$9:$C$98,3,FALSE),VLOOKUP(A35,Forming!$A$10:$C$99,3,FALSE)),"")</f>
        <v/>
      </c>
      <c r="D35" s="136" t="str">
        <f t="shared" ca="1" si="1"/>
        <v/>
      </c>
      <c r="E35" s="23"/>
      <c r="F35" s="23"/>
      <c r="G35" s="78">
        <f t="shared" si="2"/>
        <v>0</v>
      </c>
      <c r="H35" s="66" t="str">
        <f t="shared" ca="1" si="0"/>
        <v/>
      </c>
      <c r="I35" s="90">
        <f t="shared" si="3"/>
        <v>0</v>
      </c>
    </row>
    <row r="36" spans="1:9">
      <c r="A36" s="127" t="str">
        <f ca="1">'FB Data'!K35</f>
        <v/>
      </c>
      <c r="B36" s="127" t="str">
        <f ca="1">IFERROR(IF(ISNA(VLOOKUP(A36,'FB Laser'!$A$10:$B$99,2,FALSE)),VLOOKUP(A36,'Tube Laser'!$A$9:$B$98,2,FALSE),VLOOKUP(A36,'FB Laser'!$A$10:$B$99,2,FALSE)),"")</f>
        <v/>
      </c>
      <c r="C36" s="127" t="str">
        <f ca="1">IFERROR(IF(ISNA(VLOOKUP(A36,Forming!$A$10:$C$99,3,FALSE)),VLOOKUP(A36,'Tube Laser'!$A$9:$C$98,3,FALSE),VLOOKUP(A36,Forming!$A$10:$C$99,3,FALSE)),"")</f>
        <v/>
      </c>
      <c r="D36" s="136" t="str">
        <f t="shared" ca="1" si="1"/>
        <v/>
      </c>
      <c r="E36" s="23"/>
      <c r="F36" s="23"/>
      <c r="G36" s="78">
        <f t="shared" si="2"/>
        <v>0</v>
      </c>
      <c r="H36" s="66" t="str">
        <f t="shared" ca="1" si="0"/>
        <v/>
      </c>
      <c r="I36" s="90">
        <f t="shared" si="3"/>
        <v>0</v>
      </c>
    </row>
    <row r="37" spans="1:9">
      <c r="A37" s="127" t="str">
        <f ca="1">'FB Data'!K36</f>
        <v/>
      </c>
      <c r="B37" s="127" t="str">
        <f ca="1">IFERROR(IF(ISNA(VLOOKUP(A37,'FB Laser'!$A$10:$B$99,2,FALSE)),VLOOKUP(A37,'Tube Laser'!$A$9:$B$98,2,FALSE),VLOOKUP(A37,'FB Laser'!$A$10:$B$99,2,FALSE)),"")</f>
        <v/>
      </c>
      <c r="C37" s="127" t="str">
        <f ca="1">IFERROR(IF(ISNA(VLOOKUP(A37,Forming!$A$10:$C$99,3,FALSE)),VLOOKUP(A37,'Tube Laser'!$A$9:$C$98,3,FALSE),VLOOKUP(A37,Forming!$A$10:$C$99,3,FALSE)),"")</f>
        <v/>
      </c>
      <c r="D37" s="136" t="str">
        <f t="shared" ca="1" si="1"/>
        <v/>
      </c>
      <c r="E37" s="23"/>
      <c r="F37" s="23"/>
      <c r="G37" s="78">
        <f t="shared" si="2"/>
        <v>0</v>
      </c>
      <c r="H37" s="66" t="str">
        <f t="shared" ca="1" si="0"/>
        <v/>
      </c>
      <c r="I37" s="90">
        <f t="shared" si="3"/>
        <v>0</v>
      </c>
    </row>
    <row r="38" spans="1:9">
      <c r="A38" s="127" t="str">
        <f ca="1">'FB Data'!K37</f>
        <v/>
      </c>
      <c r="B38" s="127" t="str">
        <f ca="1">IFERROR(IF(ISNA(VLOOKUP(A38,'FB Laser'!$A$10:$B$99,2,FALSE)),VLOOKUP(A38,'Tube Laser'!$A$9:$B$98,2,FALSE),VLOOKUP(A38,'FB Laser'!$A$10:$B$99,2,FALSE)),"")</f>
        <v/>
      </c>
      <c r="C38" s="127" t="str">
        <f ca="1">IFERROR(IF(ISNA(VLOOKUP(A38,Forming!$A$10:$C$99,3,FALSE)),VLOOKUP(A38,'Tube Laser'!$A$9:$C$98,3,FALSE),VLOOKUP(A38,Forming!$A$10:$C$99,3,FALSE)),"")</f>
        <v/>
      </c>
      <c r="D38" s="136" t="str">
        <f t="shared" ca="1" si="1"/>
        <v/>
      </c>
      <c r="E38" s="23"/>
      <c r="F38" s="23"/>
      <c r="G38" s="78">
        <f t="shared" si="2"/>
        <v>0</v>
      </c>
      <c r="H38" s="66" t="str">
        <f t="shared" ca="1" si="0"/>
        <v/>
      </c>
      <c r="I38" s="90">
        <f t="shared" si="3"/>
        <v>0</v>
      </c>
    </row>
    <row r="39" spans="1:9">
      <c r="A39" s="127" t="str">
        <f ca="1">'FB Data'!K38</f>
        <v/>
      </c>
      <c r="B39" s="127" t="str">
        <f ca="1">IFERROR(IF(ISNA(VLOOKUP(A39,'FB Laser'!$A$10:$B$99,2,FALSE)),VLOOKUP(A39,'Tube Laser'!$A$9:$B$98,2,FALSE),VLOOKUP(A39,'FB Laser'!$A$10:$B$99,2,FALSE)),"")</f>
        <v/>
      </c>
      <c r="C39" s="127" t="str">
        <f ca="1">IFERROR(IF(ISNA(VLOOKUP(A39,Forming!$A$10:$C$99,3,FALSE)),VLOOKUP(A39,'Tube Laser'!$A$9:$C$98,3,FALSE),VLOOKUP(A39,Forming!$A$10:$C$99,3,FALSE)),"")</f>
        <v/>
      </c>
      <c r="D39" s="136" t="str">
        <f t="shared" ca="1" si="1"/>
        <v/>
      </c>
      <c r="E39" s="23"/>
      <c r="F39" s="23"/>
      <c r="G39" s="78">
        <f t="shared" si="2"/>
        <v>0</v>
      </c>
      <c r="H39" s="66" t="str">
        <f t="shared" ca="1" si="0"/>
        <v/>
      </c>
      <c r="I39" s="90">
        <f t="shared" si="3"/>
        <v>0</v>
      </c>
    </row>
    <row r="40" spans="1:9">
      <c r="A40" s="127" t="str">
        <f ca="1">'FB Data'!K39</f>
        <v/>
      </c>
      <c r="B40" s="127" t="str">
        <f ca="1">IFERROR(IF(ISNA(VLOOKUP(A40,'FB Laser'!$A$10:$B$99,2,FALSE)),VLOOKUP(A40,'Tube Laser'!$A$9:$B$98,2,FALSE),VLOOKUP(A40,'FB Laser'!$A$10:$B$99,2,FALSE)),"")</f>
        <v/>
      </c>
      <c r="C40" s="127" t="str">
        <f ca="1">IFERROR(IF(ISNA(VLOOKUP(A40,Forming!$A$10:$C$99,3,FALSE)),VLOOKUP(A40,'Tube Laser'!$A$9:$C$98,3,FALSE),VLOOKUP(A40,Forming!$A$10:$C$99,3,FALSE)),"")</f>
        <v/>
      </c>
      <c r="D40" s="136" t="str">
        <f t="shared" ca="1" si="1"/>
        <v/>
      </c>
      <c r="E40" s="23"/>
      <c r="F40" s="23"/>
      <c r="G40" s="78">
        <f t="shared" si="2"/>
        <v>0</v>
      </c>
      <c r="H40" s="66" t="str">
        <f t="shared" ca="1" si="0"/>
        <v/>
      </c>
      <c r="I40" s="90">
        <f t="shared" si="3"/>
        <v>0</v>
      </c>
    </row>
    <row r="41" spans="1:9">
      <c r="A41" s="127" t="str">
        <f ca="1">'FB Data'!K40</f>
        <v/>
      </c>
      <c r="B41" s="127" t="str">
        <f ca="1">IFERROR(IF(ISNA(VLOOKUP(A41,'FB Laser'!$A$10:$B$99,2,FALSE)),VLOOKUP(A41,'Tube Laser'!$A$9:$B$98,2,FALSE),VLOOKUP(A41,'FB Laser'!$A$10:$B$99,2,FALSE)),"")</f>
        <v/>
      </c>
      <c r="C41" s="127" t="str">
        <f ca="1">IFERROR(IF(ISNA(VLOOKUP(A41,Forming!$A$10:$C$99,3,FALSE)),VLOOKUP(A41,'Tube Laser'!$A$9:$C$98,3,FALSE),VLOOKUP(A41,Forming!$A$10:$C$99,3,FALSE)),"")</f>
        <v/>
      </c>
      <c r="D41" s="136" t="str">
        <f t="shared" ca="1" si="1"/>
        <v/>
      </c>
      <c r="E41" s="23"/>
      <c r="F41" s="23"/>
      <c r="G41" s="78">
        <f t="shared" si="2"/>
        <v>0</v>
      </c>
      <c r="H41" s="66" t="str">
        <f t="shared" ca="1" si="0"/>
        <v/>
      </c>
      <c r="I41" s="90">
        <f t="shared" si="3"/>
        <v>0</v>
      </c>
    </row>
    <row r="42" spans="1:9">
      <c r="A42" s="127" t="str">
        <f ca="1">'FB Data'!K41</f>
        <v/>
      </c>
      <c r="B42" s="127" t="str">
        <f ca="1">IFERROR(IF(ISNA(VLOOKUP(A42,'FB Laser'!$A$10:$B$99,2,FALSE)),VLOOKUP(A42,'Tube Laser'!$A$9:$B$98,2,FALSE),VLOOKUP(A42,'FB Laser'!$A$10:$B$99,2,FALSE)),"")</f>
        <v/>
      </c>
      <c r="C42" s="127" t="str">
        <f ca="1">IFERROR(IF(ISNA(VLOOKUP(A42,Forming!$A$10:$C$99,3,FALSE)),VLOOKUP(A42,'Tube Laser'!$A$9:$C$98,3,FALSE),VLOOKUP(A42,Forming!$A$10:$C$99,3,FALSE)),"")</f>
        <v/>
      </c>
      <c r="D42" s="136" t="str">
        <f t="shared" ca="1" si="1"/>
        <v/>
      </c>
      <c r="E42" s="23"/>
      <c r="F42" s="23"/>
      <c r="G42" s="78">
        <f t="shared" si="2"/>
        <v>0</v>
      </c>
      <c r="H42" s="66" t="str">
        <f t="shared" ref="H42:H73" ca="1" si="4">IFERROR(ROUND(G42*B42,2),"")</f>
        <v/>
      </c>
      <c r="I42" s="90">
        <f t="shared" si="3"/>
        <v>0</v>
      </c>
    </row>
    <row r="43" spans="1:9">
      <c r="A43" s="127" t="str">
        <f ca="1">'FB Data'!K42</f>
        <v/>
      </c>
      <c r="B43" s="127" t="str">
        <f ca="1">IFERROR(IF(ISNA(VLOOKUP(A43,'FB Laser'!$A$10:$B$99,2,FALSE)),VLOOKUP(A43,'Tube Laser'!$A$9:$B$98,2,FALSE),VLOOKUP(A43,'FB Laser'!$A$10:$B$99,2,FALSE)),"")</f>
        <v/>
      </c>
      <c r="C43" s="127" t="str">
        <f ca="1">IFERROR(IF(ISNA(VLOOKUP(A43,Forming!$A$10:$C$99,3,FALSE)),VLOOKUP(A43,'Tube Laser'!$A$9:$C$98,3,FALSE),VLOOKUP(A43,Forming!$A$10:$C$99,3,FALSE)),"")</f>
        <v/>
      </c>
      <c r="D43" s="136" t="str">
        <f t="shared" ca="1" si="1"/>
        <v/>
      </c>
      <c r="E43" s="23"/>
      <c r="F43" s="23"/>
      <c r="G43" s="78">
        <f t="shared" si="2"/>
        <v>0</v>
      </c>
      <c r="H43" s="66" t="str">
        <f t="shared" ca="1" si="4"/>
        <v/>
      </c>
      <c r="I43" s="90">
        <f t="shared" si="3"/>
        <v>0</v>
      </c>
    </row>
    <row r="44" spans="1:9">
      <c r="A44" s="127" t="str">
        <f ca="1">'FB Data'!K43</f>
        <v/>
      </c>
      <c r="B44" s="127" t="str">
        <f ca="1">IFERROR(IF(ISNA(VLOOKUP(A44,'FB Laser'!$A$10:$B$99,2,FALSE)),VLOOKUP(A44,'Tube Laser'!$A$9:$B$98,2,FALSE),VLOOKUP(A44,'FB Laser'!$A$10:$B$99,2,FALSE)),"")</f>
        <v/>
      </c>
      <c r="C44" s="127" t="str">
        <f ca="1">IFERROR(IF(ISNA(VLOOKUP(A44,Forming!$A$10:$C$99,3,FALSE)),VLOOKUP(A44,'Tube Laser'!$A$9:$C$98,3,FALSE),VLOOKUP(A44,Forming!$A$10:$C$99,3,FALSE)),"")</f>
        <v/>
      </c>
      <c r="D44" s="136" t="str">
        <f t="shared" ca="1" si="1"/>
        <v/>
      </c>
      <c r="E44" s="23"/>
      <c r="F44" s="23"/>
      <c r="G44" s="78">
        <f t="shared" si="2"/>
        <v>0</v>
      </c>
      <c r="H44" s="66" t="str">
        <f t="shared" ca="1" si="4"/>
        <v/>
      </c>
      <c r="I44" s="90">
        <f t="shared" si="3"/>
        <v>0</v>
      </c>
    </row>
    <row r="45" spans="1:9">
      <c r="A45" s="127" t="str">
        <f ca="1">'FB Data'!K44</f>
        <v/>
      </c>
      <c r="B45" s="127" t="str">
        <f ca="1">IFERROR(IF(ISNA(VLOOKUP(A45,'FB Laser'!$A$10:$B$99,2,FALSE)),VLOOKUP(A45,'Tube Laser'!$A$9:$B$98,2,FALSE),VLOOKUP(A45,'FB Laser'!$A$10:$B$99,2,FALSE)),"")</f>
        <v/>
      </c>
      <c r="C45" s="127" t="str">
        <f ca="1">IFERROR(IF(ISNA(VLOOKUP(A45,Forming!$A$10:$C$99,3,FALSE)),VLOOKUP(A45,'Tube Laser'!$A$9:$C$98,3,FALSE),VLOOKUP(A45,Forming!$A$10:$C$99,3,FALSE)),"")</f>
        <v/>
      </c>
      <c r="D45" s="136" t="str">
        <f t="shared" ca="1" si="1"/>
        <v/>
      </c>
      <c r="E45" s="23"/>
      <c r="F45" s="23"/>
      <c r="G45" s="78">
        <f t="shared" si="2"/>
        <v>0</v>
      </c>
      <c r="H45" s="66" t="str">
        <f t="shared" ca="1" si="4"/>
        <v/>
      </c>
      <c r="I45" s="90">
        <f t="shared" si="3"/>
        <v>0</v>
      </c>
    </row>
    <row r="46" spans="1:9">
      <c r="A46" s="127" t="str">
        <f ca="1">'FB Data'!K45</f>
        <v/>
      </c>
      <c r="B46" s="127" t="str">
        <f ca="1">IFERROR(IF(ISNA(VLOOKUP(A46,'FB Laser'!$A$10:$B$99,2,FALSE)),VLOOKUP(A46,'Tube Laser'!$A$9:$B$98,2,FALSE),VLOOKUP(A46,'FB Laser'!$A$10:$B$99,2,FALSE)),"")</f>
        <v/>
      </c>
      <c r="C46" s="127" t="str">
        <f ca="1">IFERROR(IF(ISNA(VLOOKUP(A46,Forming!$A$10:$C$99,3,FALSE)),VLOOKUP(A46,'Tube Laser'!$A$9:$C$98,3,FALSE),VLOOKUP(A46,Forming!$A$10:$C$99,3,FALSE)),"")</f>
        <v/>
      </c>
      <c r="D46" s="136" t="str">
        <f t="shared" ca="1" si="1"/>
        <v/>
      </c>
      <c r="E46" s="23"/>
      <c r="F46" s="23"/>
      <c r="G46" s="78">
        <f t="shared" si="2"/>
        <v>0</v>
      </c>
      <c r="H46" s="66" t="str">
        <f t="shared" ca="1" si="4"/>
        <v/>
      </c>
      <c r="I46" s="90">
        <f t="shared" si="3"/>
        <v>0</v>
      </c>
    </row>
    <row r="47" spans="1:9">
      <c r="A47" s="127" t="str">
        <f ca="1">'FB Data'!K46</f>
        <v/>
      </c>
      <c r="B47" s="127" t="str">
        <f ca="1">IFERROR(IF(ISNA(VLOOKUP(A47,'FB Laser'!$A$10:$B$99,2,FALSE)),VLOOKUP(A47,'Tube Laser'!$A$9:$B$98,2,FALSE),VLOOKUP(A47,'FB Laser'!$A$10:$B$99,2,FALSE)),"")</f>
        <v/>
      </c>
      <c r="C47" s="127" t="str">
        <f ca="1">IFERROR(IF(ISNA(VLOOKUP(A47,Forming!$A$10:$C$99,3,FALSE)),VLOOKUP(A47,'Tube Laser'!$A$9:$C$98,3,FALSE),VLOOKUP(A47,Forming!$A$10:$C$99,3,FALSE)),"")</f>
        <v/>
      </c>
      <c r="D47" s="136" t="str">
        <f t="shared" ca="1" si="1"/>
        <v/>
      </c>
      <c r="E47" s="23"/>
      <c r="F47" s="23"/>
      <c r="G47" s="78">
        <f t="shared" si="2"/>
        <v>0</v>
      </c>
      <c r="H47" s="66" t="str">
        <f t="shared" ca="1" si="4"/>
        <v/>
      </c>
      <c r="I47" s="90">
        <f t="shared" si="3"/>
        <v>0</v>
      </c>
    </row>
    <row r="48" spans="1:9">
      <c r="A48" s="127" t="str">
        <f ca="1">'FB Data'!K47</f>
        <v/>
      </c>
      <c r="B48" s="127" t="str">
        <f ca="1">IFERROR(IF(ISNA(VLOOKUP(A48,'FB Laser'!$A$10:$B$99,2,FALSE)),VLOOKUP(A48,'Tube Laser'!$A$9:$B$98,2,FALSE),VLOOKUP(A48,'FB Laser'!$A$10:$B$99,2,FALSE)),"")</f>
        <v/>
      </c>
      <c r="C48" s="127" t="str">
        <f ca="1">IFERROR(IF(ISNA(VLOOKUP(A48,Forming!$A$10:$C$99,3,FALSE)),VLOOKUP(A48,'Tube Laser'!$A$9:$C$98,3,FALSE),VLOOKUP(A48,Forming!$A$10:$C$99,3,FALSE)),"")</f>
        <v/>
      </c>
      <c r="D48" s="136" t="str">
        <f t="shared" ca="1" si="1"/>
        <v/>
      </c>
      <c r="E48" s="23"/>
      <c r="F48" s="23"/>
      <c r="G48" s="78">
        <f t="shared" si="2"/>
        <v>0</v>
      </c>
      <c r="H48" s="66" t="str">
        <f t="shared" ca="1" si="4"/>
        <v/>
      </c>
      <c r="I48" s="90">
        <f t="shared" si="3"/>
        <v>0</v>
      </c>
    </row>
    <row r="49" spans="1:9">
      <c r="A49" s="127" t="str">
        <f ca="1">'FB Data'!K48</f>
        <v/>
      </c>
      <c r="B49" s="127" t="str">
        <f ca="1">IFERROR(IF(ISNA(VLOOKUP(A49,'FB Laser'!$A$10:$B$99,2,FALSE)),VLOOKUP(A49,'Tube Laser'!$A$9:$B$98,2,FALSE),VLOOKUP(A49,'FB Laser'!$A$10:$B$99,2,FALSE)),"")</f>
        <v/>
      </c>
      <c r="C49" s="127" t="str">
        <f ca="1">IFERROR(IF(ISNA(VLOOKUP(A49,Forming!$A$10:$C$99,3,FALSE)),VLOOKUP(A49,'Tube Laser'!$A$9:$C$98,3,FALSE),VLOOKUP(A49,Forming!$A$10:$C$99,3,FALSE)),"")</f>
        <v/>
      </c>
      <c r="D49" s="136" t="str">
        <f t="shared" ca="1" si="1"/>
        <v/>
      </c>
      <c r="E49" s="23"/>
      <c r="F49" s="23"/>
      <c r="G49" s="78">
        <f t="shared" si="2"/>
        <v>0</v>
      </c>
      <c r="H49" s="66" t="str">
        <f t="shared" ca="1" si="4"/>
        <v/>
      </c>
      <c r="I49" s="90">
        <f t="shared" si="3"/>
        <v>0</v>
      </c>
    </row>
    <row r="50" spans="1:9">
      <c r="A50" s="127" t="str">
        <f ca="1">'FB Data'!K49</f>
        <v/>
      </c>
      <c r="B50" s="127" t="str">
        <f ca="1">IFERROR(IF(ISNA(VLOOKUP(A50,'FB Laser'!$A$10:$B$99,2,FALSE)),VLOOKUP(A50,'Tube Laser'!$A$9:$B$98,2,FALSE),VLOOKUP(A50,'FB Laser'!$A$10:$B$99,2,FALSE)),"")</f>
        <v/>
      </c>
      <c r="C50" s="127" t="str">
        <f ca="1">IFERROR(IF(ISNA(VLOOKUP(A50,Forming!$A$10:$C$99,3,FALSE)),VLOOKUP(A50,'Tube Laser'!$A$9:$C$98,3,FALSE),VLOOKUP(A50,Forming!$A$10:$C$99,3,FALSE)),"")</f>
        <v/>
      </c>
      <c r="D50" s="136" t="str">
        <f t="shared" ca="1" si="1"/>
        <v/>
      </c>
      <c r="E50" s="23"/>
      <c r="F50" s="23"/>
      <c r="G50" s="78">
        <f t="shared" si="2"/>
        <v>0</v>
      </c>
      <c r="H50" s="66" t="str">
        <f t="shared" ca="1" si="4"/>
        <v/>
      </c>
      <c r="I50" s="90">
        <f t="shared" si="3"/>
        <v>0</v>
      </c>
    </row>
    <row r="51" spans="1:9">
      <c r="A51" s="127" t="str">
        <f ca="1">'FB Data'!K50</f>
        <v/>
      </c>
      <c r="B51" s="127" t="str">
        <f ca="1">IFERROR(IF(ISNA(VLOOKUP(A51,'FB Laser'!$A$10:$B$99,2,FALSE)),VLOOKUP(A51,'Tube Laser'!$A$9:$B$98,2,FALSE),VLOOKUP(A51,'FB Laser'!$A$10:$B$99,2,FALSE)),"")</f>
        <v/>
      </c>
      <c r="C51" s="127" t="str">
        <f ca="1">IFERROR(IF(ISNA(VLOOKUP(A51,Forming!$A$10:$C$99,3,FALSE)),VLOOKUP(A51,'Tube Laser'!$A$9:$C$98,3,FALSE),VLOOKUP(A51,Forming!$A$10:$C$99,3,FALSE)),"")</f>
        <v/>
      </c>
      <c r="D51" s="136" t="str">
        <f t="shared" ca="1" si="1"/>
        <v/>
      </c>
      <c r="E51" s="23"/>
      <c r="F51" s="23"/>
      <c r="G51" s="78">
        <f t="shared" si="2"/>
        <v>0</v>
      </c>
      <c r="H51" s="66" t="str">
        <f t="shared" ca="1" si="4"/>
        <v/>
      </c>
      <c r="I51" s="90">
        <f t="shared" si="3"/>
        <v>0</v>
      </c>
    </row>
    <row r="52" spans="1:9">
      <c r="A52" s="127" t="str">
        <f ca="1">'FB Data'!K51</f>
        <v/>
      </c>
      <c r="B52" s="127" t="str">
        <f ca="1">IFERROR(IF(ISNA(VLOOKUP(A52,'FB Laser'!$A$10:$B$99,2,FALSE)),VLOOKUP(A52,'Tube Laser'!$A$9:$B$98,2,FALSE),VLOOKUP(A52,'FB Laser'!$A$10:$B$99,2,FALSE)),"")</f>
        <v/>
      </c>
      <c r="C52" s="127" t="str">
        <f ca="1">IFERROR(IF(ISNA(VLOOKUP(A52,Forming!$A$10:$C$99,3,FALSE)),VLOOKUP(A52,'Tube Laser'!$A$9:$C$98,3,FALSE),VLOOKUP(A52,Forming!$A$10:$C$99,3,FALSE)),"")</f>
        <v/>
      </c>
      <c r="D52" s="136" t="str">
        <f t="shared" ca="1" si="1"/>
        <v/>
      </c>
      <c r="E52" s="23"/>
      <c r="F52" s="23"/>
      <c r="G52" s="78">
        <f t="shared" si="2"/>
        <v>0</v>
      </c>
      <c r="H52" s="66" t="str">
        <f t="shared" ca="1" si="4"/>
        <v/>
      </c>
      <c r="I52" s="90">
        <f t="shared" si="3"/>
        <v>0</v>
      </c>
    </row>
    <row r="53" spans="1:9">
      <c r="A53" s="127" t="str">
        <f ca="1">'FB Data'!K52</f>
        <v/>
      </c>
      <c r="B53" s="127" t="str">
        <f ca="1">IFERROR(IF(ISNA(VLOOKUP(A53,'FB Laser'!$A$10:$B$99,2,FALSE)),VLOOKUP(A53,'Tube Laser'!$A$9:$B$98,2,FALSE),VLOOKUP(A53,'FB Laser'!$A$10:$B$99,2,FALSE)),"")</f>
        <v/>
      </c>
      <c r="C53" s="127" t="str">
        <f ca="1">IFERROR(IF(ISNA(VLOOKUP(A53,Forming!$A$10:$C$99,3,FALSE)),VLOOKUP(A53,'Tube Laser'!$A$9:$C$98,3,FALSE),VLOOKUP(A53,Forming!$A$10:$C$99,3,FALSE)),"")</f>
        <v/>
      </c>
      <c r="D53" s="136" t="str">
        <f t="shared" ca="1" si="1"/>
        <v/>
      </c>
      <c r="E53" s="23"/>
      <c r="F53" s="23"/>
      <c r="G53" s="78">
        <f t="shared" si="2"/>
        <v>0</v>
      </c>
      <c r="H53" s="66" t="str">
        <f t="shared" ca="1" si="4"/>
        <v/>
      </c>
      <c r="I53" s="90">
        <f t="shared" si="3"/>
        <v>0</v>
      </c>
    </row>
    <row r="54" spans="1:9">
      <c r="A54" s="127" t="str">
        <f ca="1">'FB Data'!K53</f>
        <v/>
      </c>
      <c r="B54" s="127" t="str">
        <f ca="1">IFERROR(IF(ISNA(VLOOKUP(A54,'FB Laser'!$A$10:$B$99,2,FALSE)),VLOOKUP(A54,'Tube Laser'!$A$9:$B$98,2,FALSE),VLOOKUP(A54,'FB Laser'!$A$10:$B$99,2,FALSE)),"")</f>
        <v/>
      </c>
      <c r="C54" s="127" t="str">
        <f ca="1">IFERROR(IF(ISNA(VLOOKUP(A54,Forming!$A$10:$C$99,3,FALSE)),VLOOKUP(A54,'Tube Laser'!$A$9:$C$98,3,FALSE),VLOOKUP(A54,Forming!$A$10:$C$99,3,FALSE)),"")</f>
        <v/>
      </c>
      <c r="D54" s="136" t="str">
        <f t="shared" ca="1" si="1"/>
        <v/>
      </c>
      <c r="E54" s="23"/>
      <c r="F54" s="23"/>
      <c r="G54" s="78">
        <f t="shared" si="2"/>
        <v>0</v>
      </c>
      <c r="H54" s="66" t="str">
        <f t="shared" ca="1" si="4"/>
        <v/>
      </c>
      <c r="I54" s="90">
        <f t="shared" si="3"/>
        <v>0</v>
      </c>
    </row>
    <row r="55" spans="1:9">
      <c r="A55" s="127" t="str">
        <f ca="1">'FB Data'!K54</f>
        <v/>
      </c>
      <c r="B55" s="127" t="str">
        <f ca="1">IFERROR(IF(ISNA(VLOOKUP(A55,'FB Laser'!$A$10:$B$99,2,FALSE)),VLOOKUP(A55,'Tube Laser'!$A$9:$B$98,2,FALSE),VLOOKUP(A55,'FB Laser'!$A$10:$B$99,2,FALSE)),"")</f>
        <v/>
      </c>
      <c r="C55" s="127" t="str">
        <f ca="1">IFERROR(IF(ISNA(VLOOKUP(A55,Forming!$A$10:$C$99,3,FALSE)),VLOOKUP(A55,'Tube Laser'!$A$9:$C$98,3,FALSE),VLOOKUP(A55,Forming!$A$10:$C$99,3,FALSE)),"")</f>
        <v/>
      </c>
      <c r="D55" s="136" t="str">
        <f t="shared" ca="1" si="1"/>
        <v/>
      </c>
      <c r="E55" s="23"/>
      <c r="F55" s="23"/>
      <c r="G55" s="78">
        <f t="shared" si="2"/>
        <v>0</v>
      </c>
      <c r="H55" s="66" t="str">
        <f t="shared" ca="1" si="4"/>
        <v/>
      </c>
      <c r="I55" s="90">
        <f t="shared" si="3"/>
        <v>0</v>
      </c>
    </row>
    <row r="56" spans="1:9">
      <c r="A56" s="127" t="str">
        <f ca="1">'FB Data'!K55</f>
        <v/>
      </c>
      <c r="B56" s="127" t="str">
        <f ca="1">IFERROR(IF(ISNA(VLOOKUP(A56,'FB Laser'!$A$10:$B$99,2,FALSE)),VLOOKUP(A56,'Tube Laser'!$A$9:$B$98,2,FALSE),VLOOKUP(A56,'FB Laser'!$A$10:$B$99,2,FALSE)),"")</f>
        <v/>
      </c>
      <c r="C56" s="127" t="str">
        <f ca="1">IFERROR(IF(ISNA(VLOOKUP(A56,Forming!$A$10:$C$99,3,FALSE)),VLOOKUP(A56,'Tube Laser'!$A$9:$C$98,3,FALSE),VLOOKUP(A56,Forming!$A$10:$C$99,3,FALSE)),"")</f>
        <v/>
      </c>
      <c r="D56" s="136" t="str">
        <f t="shared" ca="1" si="1"/>
        <v/>
      </c>
      <c r="E56" s="23"/>
      <c r="F56" s="23"/>
      <c r="G56" s="78">
        <f t="shared" si="2"/>
        <v>0</v>
      </c>
      <c r="H56" s="66" t="str">
        <f t="shared" ca="1" si="4"/>
        <v/>
      </c>
      <c r="I56" s="90">
        <f t="shared" si="3"/>
        <v>0</v>
      </c>
    </row>
    <row r="57" spans="1:9">
      <c r="A57" s="127" t="str">
        <f ca="1">'FB Data'!K56</f>
        <v/>
      </c>
      <c r="B57" s="127" t="str">
        <f ca="1">IFERROR(IF(ISNA(VLOOKUP(A57,'FB Laser'!$A$10:$B$99,2,FALSE)),VLOOKUP(A57,'Tube Laser'!$A$9:$B$98,2,FALSE),VLOOKUP(A57,'FB Laser'!$A$10:$B$99,2,FALSE)),"")</f>
        <v/>
      </c>
      <c r="C57" s="127" t="str">
        <f ca="1">IFERROR(IF(ISNA(VLOOKUP(A57,Forming!$A$10:$C$99,3,FALSE)),VLOOKUP(A57,'Tube Laser'!$A$9:$C$98,3,FALSE),VLOOKUP(A57,Forming!$A$10:$C$99,3,FALSE)),"")</f>
        <v/>
      </c>
      <c r="D57" s="136" t="str">
        <f t="shared" ca="1" si="1"/>
        <v/>
      </c>
      <c r="E57" s="23"/>
      <c r="F57" s="23"/>
      <c r="G57" s="78">
        <f t="shared" si="2"/>
        <v>0</v>
      </c>
      <c r="H57" s="66" t="str">
        <f t="shared" ca="1" si="4"/>
        <v/>
      </c>
      <c r="I57" s="90">
        <f t="shared" si="3"/>
        <v>0</v>
      </c>
    </row>
    <row r="58" spans="1:9">
      <c r="A58" s="127" t="str">
        <f ca="1">'FB Data'!K57</f>
        <v/>
      </c>
      <c r="B58" s="127" t="str">
        <f ca="1">IFERROR(IF(ISNA(VLOOKUP(A58,'FB Laser'!$A$10:$B$99,2,FALSE)),VLOOKUP(A58,'Tube Laser'!$A$9:$B$98,2,FALSE),VLOOKUP(A58,'FB Laser'!$A$10:$B$99,2,FALSE)),"")</f>
        <v/>
      </c>
      <c r="C58" s="127" t="str">
        <f ca="1">IFERROR(IF(ISNA(VLOOKUP(A58,Forming!$A$10:$C$99,3,FALSE)),VLOOKUP(A58,'Tube Laser'!$A$9:$C$98,3,FALSE),VLOOKUP(A58,Forming!$A$10:$C$99,3,FALSE)),"")</f>
        <v/>
      </c>
      <c r="D58" s="136" t="str">
        <f t="shared" ca="1" si="1"/>
        <v/>
      </c>
      <c r="E58" s="23"/>
      <c r="F58" s="23"/>
      <c r="G58" s="78">
        <f t="shared" si="2"/>
        <v>0</v>
      </c>
      <c r="H58" s="66" t="str">
        <f t="shared" ca="1" si="4"/>
        <v/>
      </c>
      <c r="I58" s="90">
        <f t="shared" si="3"/>
        <v>0</v>
      </c>
    </row>
    <row r="59" spans="1:9">
      <c r="A59" s="127" t="str">
        <f ca="1">'FB Data'!K58</f>
        <v/>
      </c>
      <c r="B59" s="127" t="str">
        <f ca="1">IFERROR(IF(ISNA(VLOOKUP(A59,'FB Laser'!$A$10:$B$99,2,FALSE)),VLOOKUP(A59,'Tube Laser'!$A$9:$B$98,2,FALSE),VLOOKUP(A59,'FB Laser'!$A$10:$B$99,2,FALSE)),"")</f>
        <v/>
      </c>
      <c r="C59" s="127" t="str">
        <f ca="1">IFERROR(IF(ISNA(VLOOKUP(A59,Forming!$A$10:$C$99,3,FALSE)),VLOOKUP(A59,'Tube Laser'!$A$9:$C$98,3,FALSE),VLOOKUP(A59,Forming!$A$10:$C$99,3,FALSE)),"")</f>
        <v/>
      </c>
      <c r="D59" s="136" t="str">
        <f t="shared" ca="1" si="1"/>
        <v/>
      </c>
      <c r="E59" s="23"/>
      <c r="F59" s="23"/>
      <c r="G59" s="78">
        <f t="shared" si="2"/>
        <v>0</v>
      </c>
      <c r="H59" s="66" t="str">
        <f t="shared" ca="1" si="4"/>
        <v/>
      </c>
      <c r="I59" s="90">
        <f t="shared" si="3"/>
        <v>0</v>
      </c>
    </row>
    <row r="60" spans="1:9">
      <c r="A60" s="127" t="str">
        <f ca="1">'FB Data'!K59</f>
        <v/>
      </c>
      <c r="B60" s="127" t="str">
        <f ca="1">IFERROR(IF(ISNA(VLOOKUP(A60,'FB Laser'!$A$10:$B$99,2,FALSE)),VLOOKUP(A60,'Tube Laser'!$A$9:$B$98,2,FALSE),VLOOKUP(A60,'FB Laser'!$A$10:$B$99,2,FALSE)),"")</f>
        <v/>
      </c>
      <c r="C60" s="127" t="str">
        <f ca="1">IFERROR(IF(ISNA(VLOOKUP(A60,Forming!$A$10:$C$99,3,FALSE)),VLOOKUP(A60,'Tube Laser'!$A$9:$C$98,3,FALSE),VLOOKUP(A60,Forming!$A$10:$C$99,3,FALSE)),"")</f>
        <v/>
      </c>
      <c r="D60" s="136" t="str">
        <f t="shared" ca="1" si="1"/>
        <v/>
      </c>
      <c r="E60" s="23"/>
      <c r="F60" s="23"/>
      <c r="G60" s="78">
        <f t="shared" si="2"/>
        <v>0</v>
      </c>
      <c r="H60" s="66" t="str">
        <f t="shared" ca="1" si="4"/>
        <v/>
      </c>
      <c r="I60" s="90">
        <f t="shared" si="3"/>
        <v>0</v>
      </c>
    </row>
    <row r="61" spans="1:9">
      <c r="A61" s="127" t="str">
        <f ca="1">'FB Data'!K60</f>
        <v/>
      </c>
      <c r="B61" s="127" t="str">
        <f ca="1">IFERROR(IF(ISNA(VLOOKUP(A61,'FB Laser'!$A$10:$B$99,2,FALSE)),VLOOKUP(A61,'Tube Laser'!$A$9:$B$98,2,FALSE),VLOOKUP(A61,'FB Laser'!$A$10:$B$99,2,FALSE)),"")</f>
        <v/>
      </c>
      <c r="C61" s="127" t="str">
        <f ca="1">IFERROR(IF(ISNA(VLOOKUP(A61,Forming!$A$10:$C$99,3,FALSE)),VLOOKUP(A61,'Tube Laser'!$A$9:$C$98,3,FALSE),VLOOKUP(A61,Forming!$A$10:$C$99,3,FALSE)),"")</f>
        <v/>
      </c>
      <c r="D61" s="136" t="str">
        <f t="shared" ca="1" si="1"/>
        <v/>
      </c>
      <c r="E61" s="23"/>
      <c r="F61" s="23"/>
      <c r="G61" s="78">
        <f t="shared" si="2"/>
        <v>0</v>
      </c>
      <c r="H61" s="66" t="str">
        <f t="shared" ca="1" si="4"/>
        <v/>
      </c>
      <c r="I61" s="90">
        <f t="shared" si="3"/>
        <v>0</v>
      </c>
    </row>
    <row r="62" spans="1:9">
      <c r="A62" s="127" t="str">
        <f ca="1">'FB Data'!K61</f>
        <v/>
      </c>
      <c r="B62" s="127" t="str">
        <f ca="1">IFERROR(IF(ISNA(VLOOKUP(A62,'FB Laser'!$A$10:$B$99,2,FALSE)),VLOOKUP(A62,'Tube Laser'!$A$9:$B$98,2,FALSE),VLOOKUP(A62,'FB Laser'!$A$10:$B$99,2,FALSE)),"")</f>
        <v/>
      </c>
      <c r="C62" s="127" t="str">
        <f ca="1">IFERROR(IF(ISNA(VLOOKUP(A62,Forming!$A$10:$C$99,3,FALSE)),VLOOKUP(A62,'Tube Laser'!$A$9:$C$98,3,FALSE),VLOOKUP(A62,Forming!$A$10:$C$99,3,FALSE)),"")</f>
        <v/>
      </c>
      <c r="D62" s="136" t="str">
        <f t="shared" ca="1" si="1"/>
        <v/>
      </c>
      <c r="E62" s="23"/>
      <c r="F62" s="23"/>
      <c r="G62" s="78">
        <f t="shared" si="2"/>
        <v>0</v>
      </c>
      <c r="H62" s="66" t="str">
        <f t="shared" ca="1" si="4"/>
        <v/>
      </c>
      <c r="I62" s="90">
        <f t="shared" si="3"/>
        <v>0</v>
      </c>
    </row>
    <row r="63" spans="1:9">
      <c r="A63" s="127" t="str">
        <f ca="1">'FB Data'!K62</f>
        <v/>
      </c>
      <c r="B63" s="127" t="str">
        <f ca="1">IFERROR(IF(ISNA(VLOOKUP(A63,'FB Laser'!$A$10:$B$99,2,FALSE)),VLOOKUP(A63,'Tube Laser'!$A$9:$B$98,2,FALSE),VLOOKUP(A63,'FB Laser'!$A$10:$B$99,2,FALSE)),"")</f>
        <v/>
      </c>
      <c r="C63" s="127" t="str">
        <f ca="1">IFERROR(IF(ISNA(VLOOKUP(A63,Forming!$A$10:$C$99,3,FALSE)),VLOOKUP(A63,'Tube Laser'!$A$9:$C$98,3,FALSE),VLOOKUP(A63,Forming!$A$10:$C$99,3,FALSE)),"")</f>
        <v/>
      </c>
      <c r="D63" s="136" t="str">
        <f t="shared" ca="1" si="1"/>
        <v/>
      </c>
      <c r="E63" s="23"/>
      <c r="F63" s="23"/>
      <c r="G63" s="78">
        <f t="shared" si="2"/>
        <v>0</v>
      </c>
      <c r="H63" s="66" t="str">
        <f t="shared" ca="1" si="4"/>
        <v/>
      </c>
      <c r="I63" s="90">
        <f t="shared" si="3"/>
        <v>0</v>
      </c>
    </row>
    <row r="64" spans="1:9">
      <c r="A64" s="127" t="str">
        <f ca="1">'FB Data'!K63</f>
        <v/>
      </c>
      <c r="B64" s="127" t="str">
        <f ca="1">IFERROR(IF(ISNA(VLOOKUP(A64,'FB Laser'!$A$10:$B$99,2,FALSE)),VLOOKUP(A64,'Tube Laser'!$A$9:$B$98,2,FALSE),VLOOKUP(A64,'FB Laser'!$A$10:$B$99,2,FALSE)),"")</f>
        <v/>
      </c>
      <c r="C64" s="127" t="str">
        <f ca="1">IFERROR(IF(ISNA(VLOOKUP(A64,Forming!$A$10:$C$99,3,FALSE)),VLOOKUP(A64,'Tube Laser'!$A$9:$C$98,3,FALSE),VLOOKUP(A64,Forming!$A$10:$C$99,3,FALSE)),"")</f>
        <v/>
      </c>
      <c r="D64" s="136" t="str">
        <f t="shared" ca="1" si="1"/>
        <v/>
      </c>
      <c r="E64" s="23"/>
      <c r="F64" s="23"/>
      <c r="G64" s="78">
        <f t="shared" si="2"/>
        <v>0</v>
      </c>
      <c r="H64" s="66" t="str">
        <f t="shared" ca="1" si="4"/>
        <v/>
      </c>
      <c r="I64" s="90">
        <f t="shared" si="3"/>
        <v>0</v>
      </c>
    </row>
    <row r="65" spans="1:9">
      <c r="A65" s="127" t="str">
        <f ca="1">'FB Data'!K64</f>
        <v/>
      </c>
      <c r="B65" s="127" t="str">
        <f ca="1">IFERROR(IF(ISNA(VLOOKUP(A65,'FB Laser'!$A$10:$B$99,2,FALSE)),VLOOKUP(A65,'Tube Laser'!$A$9:$B$98,2,FALSE),VLOOKUP(A65,'FB Laser'!$A$10:$B$99,2,FALSE)),"")</f>
        <v/>
      </c>
      <c r="C65" s="127" t="str">
        <f ca="1">IFERROR(IF(ISNA(VLOOKUP(A65,Forming!$A$10:$C$99,3,FALSE)),VLOOKUP(A65,'Tube Laser'!$A$9:$C$98,3,FALSE),VLOOKUP(A65,Forming!$A$10:$C$99,3,FALSE)),"")</f>
        <v/>
      </c>
      <c r="D65" s="136" t="str">
        <f t="shared" ca="1" si="1"/>
        <v/>
      </c>
      <c r="E65" s="23"/>
      <c r="F65" s="23"/>
      <c r="G65" s="78">
        <f t="shared" si="2"/>
        <v>0</v>
      </c>
      <c r="H65" s="66" t="str">
        <f t="shared" ca="1" si="4"/>
        <v/>
      </c>
      <c r="I65" s="90">
        <f t="shared" si="3"/>
        <v>0</v>
      </c>
    </row>
    <row r="66" spans="1:9">
      <c r="A66" s="127" t="str">
        <f ca="1">'FB Data'!K65</f>
        <v/>
      </c>
      <c r="B66" s="127" t="str">
        <f ca="1">IFERROR(IF(ISNA(VLOOKUP(A66,'FB Laser'!$A$10:$B$99,2,FALSE)),VLOOKUP(A66,'Tube Laser'!$A$9:$B$98,2,FALSE),VLOOKUP(A66,'FB Laser'!$A$10:$B$99,2,FALSE)),"")</f>
        <v/>
      </c>
      <c r="C66" s="127" t="str">
        <f ca="1">IFERROR(IF(ISNA(VLOOKUP(A66,Forming!$A$10:$C$99,3,FALSE)),VLOOKUP(A66,'Tube Laser'!$A$9:$C$98,3,FALSE),VLOOKUP(A66,Forming!$A$10:$C$99,3,FALSE)),"")</f>
        <v/>
      </c>
      <c r="D66" s="136" t="str">
        <f t="shared" ca="1" si="1"/>
        <v/>
      </c>
      <c r="E66" s="23"/>
      <c r="F66" s="23"/>
      <c r="G66" s="78">
        <f t="shared" si="2"/>
        <v>0</v>
      </c>
      <c r="H66" s="66" t="str">
        <f t="shared" ca="1" si="4"/>
        <v/>
      </c>
      <c r="I66" s="90">
        <f t="shared" si="3"/>
        <v>0</v>
      </c>
    </row>
    <row r="67" spans="1:9">
      <c r="A67" s="127" t="str">
        <f ca="1">'FB Data'!K66</f>
        <v/>
      </c>
      <c r="B67" s="127" t="str">
        <f ca="1">IFERROR(IF(ISNA(VLOOKUP(A67,'FB Laser'!$A$10:$B$99,2,FALSE)),VLOOKUP(A67,'Tube Laser'!$A$9:$B$98,2,FALSE),VLOOKUP(A67,'FB Laser'!$A$10:$B$99,2,FALSE)),"")</f>
        <v/>
      </c>
      <c r="C67" s="127" t="str">
        <f ca="1">IFERROR(IF(ISNA(VLOOKUP(A67,Forming!$A$10:$C$99,3,FALSE)),VLOOKUP(A67,'Tube Laser'!$A$9:$C$98,3,FALSE),VLOOKUP(A67,Forming!$A$10:$C$99,3,FALSE)),"")</f>
        <v/>
      </c>
      <c r="D67" s="136" t="str">
        <f t="shared" ca="1" si="1"/>
        <v/>
      </c>
      <c r="E67" s="23"/>
      <c r="F67" s="23"/>
      <c r="G67" s="78">
        <f t="shared" si="2"/>
        <v>0</v>
      </c>
      <c r="H67" s="66" t="str">
        <f t="shared" ca="1" si="4"/>
        <v/>
      </c>
      <c r="I67" s="90">
        <f t="shared" si="3"/>
        <v>0</v>
      </c>
    </row>
    <row r="68" spans="1:9">
      <c r="A68" s="127" t="str">
        <f ca="1">'FB Data'!K67</f>
        <v/>
      </c>
      <c r="B68" s="127" t="str">
        <f ca="1">IFERROR(IF(ISNA(VLOOKUP(A68,'FB Laser'!$A$10:$B$99,2,FALSE)),VLOOKUP(A68,'Tube Laser'!$A$9:$B$98,2,FALSE),VLOOKUP(A68,'FB Laser'!$A$10:$B$99,2,FALSE)),"")</f>
        <v/>
      </c>
      <c r="C68" s="127" t="str">
        <f ca="1">IFERROR(IF(ISNA(VLOOKUP(A68,Forming!$A$10:$C$99,3,FALSE)),VLOOKUP(A68,'Tube Laser'!$A$9:$C$98,3,FALSE),VLOOKUP(A68,Forming!$A$10:$C$99,3,FALSE)),"")</f>
        <v/>
      </c>
      <c r="D68" s="136" t="str">
        <f t="shared" ca="1" si="1"/>
        <v/>
      </c>
      <c r="E68" s="23"/>
      <c r="F68" s="23"/>
      <c r="G68" s="78">
        <f t="shared" si="2"/>
        <v>0</v>
      </c>
      <c r="H68" s="66" t="str">
        <f t="shared" ca="1" si="4"/>
        <v/>
      </c>
      <c r="I68" s="90">
        <f t="shared" si="3"/>
        <v>0</v>
      </c>
    </row>
    <row r="69" spans="1:9">
      <c r="A69" s="127" t="str">
        <f ca="1">'FB Data'!K68</f>
        <v/>
      </c>
      <c r="B69" s="127" t="str">
        <f ca="1">IFERROR(IF(ISNA(VLOOKUP(A69,'FB Laser'!$A$10:$B$99,2,FALSE)),VLOOKUP(A69,'Tube Laser'!$A$9:$B$98,2,FALSE),VLOOKUP(A69,'FB Laser'!$A$10:$B$99,2,FALSE)),"")</f>
        <v/>
      </c>
      <c r="C69" s="127" t="str">
        <f ca="1">IFERROR(IF(ISNA(VLOOKUP(A69,Forming!$A$10:$C$99,3,FALSE)),VLOOKUP(A69,'Tube Laser'!$A$9:$C$98,3,FALSE),VLOOKUP(A69,Forming!$A$10:$C$99,3,FALSE)),"")</f>
        <v/>
      </c>
      <c r="D69" s="136" t="str">
        <f t="shared" ca="1" si="1"/>
        <v/>
      </c>
      <c r="E69" s="23"/>
      <c r="F69" s="23"/>
      <c r="G69" s="78">
        <f t="shared" si="2"/>
        <v>0</v>
      </c>
      <c r="H69" s="66" t="str">
        <f t="shared" ca="1" si="4"/>
        <v/>
      </c>
      <c r="I69" s="90">
        <f t="shared" si="3"/>
        <v>0</v>
      </c>
    </row>
    <row r="70" spans="1:9">
      <c r="A70" s="127" t="str">
        <f ca="1">'FB Data'!K69</f>
        <v/>
      </c>
      <c r="B70" s="127" t="str">
        <f ca="1">IFERROR(IF(ISNA(VLOOKUP(A70,'FB Laser'!$A$10:$B$99,2,FALSE)),VLOOKUP(A70,'Tube Laser'!$A$9:$B$98,2,FALSE),VLOOKUP(A70,'FB Laser'!$A$10:$B$99,2,FALSE)),"")</f>
        <v/>
      </c>
      <c r="C70" s="127" t="str">
        <f ca="1">IFERROR(IF(ISNA(VLOOKUP(A70,Forming!$A$10:$C$99,3,FALSE)),VLOOKUP(A70,'Tube Laser'!$A$9:$C$98,3,FALSE),VLOOKUP(A70,Forming!$A$10:$C$99,3,FALSE)),"")</f>
        <v/>
      </c>
      <c r="D70" s="136" t="str">
        <f t="shared" ca="1" si="1"/>
        <v/>
      </c>
      <c r="E70" s="23"/>
      <c r="F70" s="23"/>
      <c r="G70" s="78">
        <f t="shared" si="2"/>
        <v>0</v>
      </c>
      <c r="H70" s="66" t="str">
        <f t="shared" ca="1" si="4"/>
        <v/>
      </c>
      <c r="I70" s="90">
        <f t="shared" si="3"/>
        <v>0</v>
      </c>
    </row>
    <row r="71" spans="1:9">
      <c r="A71" s="127" t="str">
        <f ca="1">'FB Data'!K70</f>
        <v/>
      </c>
      <c r="B71" s="127" t="str">
        <f ca="1">IFERROR(IF(ISNA(VLOOKUP(A71,'FB Laser'!$A$10:$B$99,2,FALSE)),VLOOKUP(A71,'Tube Laser'!$A$9:$B$98,2,FALSE),VLOOKUP(A71,'FB Laser'!$A$10:$B$99,2,FALSE)),"")</f>
        <v/>
      </c>
      <c r="C71" s="127" t="str">
        <f ca="1">IFERROR(IF(ISNA(VLOOKUP(A71,Forming!$A$10:$C$99,3,FALSE)),VLOOKUP(A71,'Tube Laser'!$A$9:$C$98,3,FALSE),VLOOKUP(A71,Forming!$A$10:$C$99,3,FALSE)),"")</f>
        <v/>
      </c>
      <c r="D71" s="136" t="str">
        <f t="shared" ca="1" si="1"/>
        <v/>
      </c>
      <c r="E71" s="23"/>
      <c r="F71" s="23"/>
      <c r="G71" s="78">
        <f t="shared" si="2"/>
        <v>0</v>
      </c>
      <c r="H71" s="66" t="str">
        <f t="shared" ca="1" si="4"/>
        <v/>
      </c>
      <c r="I71" s="90">
        <f t="shared" si="3"/>
        <v>0</v>
      </c>
    </row>
    <row r="72" spans="1:9">
      <c r="A72" s="127" t="str">
        <f ca="1">'FB Data'!K71</f>
        <v/>
      </c>
      <c r="B72" s="127" t="str">
        <f ca="1">IFERROR(IF(ISNA(VLOOKUP(A72,'FB Laser'!$A$10:$B$99,2,FALSE)),VLOOKUP(A72,'Tube Laser'!$A$9:$B$98,2,FALSE),VLOOKUP(A72,'FB Laser'!$A$10:$B$99,2,FALSE)),"")</f>
        <v/>
      </c>
      <c r="C72" s="127" t="str">
        <f ca="1">IFERROR(IF(ISNA(VLOOKUP(A72,Forming!$A$10:$C$99,3,FALSE)),VLOOKUP(A72,'Tube Laser'!$A$9:$C$98,3,FALSE),VLOOKUP(A72,Forming!$A$10:$C$99,3,FALSE)),"")</f>
        <v/>
      </c>
      <c r="D72" s="136" t="str">
        <f t="shared" ca="1" si="1"/>
        <v/>
      </c>
      <c r="E72" s="23"/>
      <c r="F72" s="23"/>
      <c r="G72" s="78">
        <f t="shared" si="2"/>
        <v>0</v>
      </c>
      <c r="H72" s="66" t="str">
        <f t="shared" ca="1" si="4"/>
        <v/>
      </c>
      <c r="I72" s="90">
        <f t="shared" si="3"/>
        <v>0</v>
      </c>
    </row>
    <row r="73" spans="1:9">
      <c r="A73" s="127" t="str">
        <f ca="1">'FB Data'!K72</f>
        <v/>
      </c>
      <c r="B73" s="127" t="str">
        <f ca="1">IFERROR(IF(ISNA(VLOOKUP(A73,'FB Laser'!$A$10:$B$99,2,FALSE)),VLOOKUP(A73,'Tube Laser'!$A$9:$B$98,2,FALSE),VLOOKUP(A73,'FB Laser'!$A$10:$B$99,2,FALSE)),"")</f>
        <v/>
      </c>
      <c r="C73" s="127" t="str">
        <f ca="1">IFERROR(IF(ISNA(VLOOKUP(A73,Forming!$A$10:$C$99,3,FALSE)),VLOOKUP(A73,'Tube Laser'!$A$9:$C$98,3,FALSE),VLOOKUP(A73,Forming!$A$10:$C$99,3,FALSE)),"")</f>
        <v/>
      </c>
      <c r="D73" s="136" t="str">
        <f t="shared" ca="1" si="1"/>
        <v/>
      </c>
      <c r="E73" s="23"/>
      <c r="F73" s="23"/>
      <c r="G73" s="78">
        <f t="shared" si="2"/>
        <v>0</v>
      </c>
      <c r="H73" s="66" t="str">
        <f t="shared" ca="1" si="4"/>
        <v/>
      </c>
      <c r="I73" s="90">
        <f t="shared" si="3"/>
        <v>0</v>
      </c>
    </row>
    <row r="74" spans="1:9">
      <c r="A74" s="127" t="str">
        <f ca="1">'FB Data'!K73</f>
        <v/>
      </c>
      <c r="B74" s="127" t="str">
        <f ca="1">IFERROR(IF(ISNA(VLOOKUP(A74,'FB Laser'!$A$10:$B$99,2,FALSE)),VLOOKUP(A74,'Tube Laser'!$A$9:$B$98,2,FALSE),VLOOKUP(A74,'FB Laser'!$A$10:$B$99,2,FALSE)),"")</f>
        <v/>
      </c>
      <c r="C74" s="127" t="str">
        <f ca="1">IFERROR(IF(ISNA(VLOOKUP(A74,Forming!$A$10:$C$99,3,FALSE)),VLOOKUP(A74,'Tube Laser'!$A$9:$C$98,3,FALSE),VLOOKUP(A74,Forming!$A$10:$C$99,3,FALSE)),"")</f>
        <v/>
      </c>
      <c r="D74" s="136" t="str">
        <f t="shared" ca="1" si="1"/>
        <v/>
      </c>
      <c r="E74" s="23"/>
      <c r="F74" s="23"/>
      <c r="G74" s="78">
        <f t="shared" si="2"/>
        <v>0</v>
      </c>
      <c r="H74" s="66" t="str">
        <f t="shared" ref="H74:H100" ca="1" si="5">IFERROR(ROUND(G74*B74,2),"")</f>
        <v/>
      </c>
      <c r="I74" s="90">
        <f t="shared" si="3"/>
        <v>0</v>
      </c>
    </row>
    <row r="75" spans="1:9">
      <c r="A75" s="127" t="str">
        <f ca="1">'FB Data'!K74</f>
        <v/>
      </c>
      <c r="B75" s="127" t="str">
        <f ca="1">IFERROR(IF(ISNA(VLOOKUP(A75,'FB Laser'!$A$10:$B$99,2,FALSE)),VLOOKUP(A75,'Tube Laser'!$A$9:$B$98,2,FALSE),VLOOKUP(A75,'FB Laser'!$A$10:$B$99,2,FALSE)),"")</f>
        <v/>
      </c>
      <c r="C75" s="127" t="str">
        <f ca="1">IFERROR(IF(ISNA(VLOOKUP(A75,Forming!$A$10:$C$99,3,FALSE)),VLOOKUP(A75,'Tube Laser'!$A$9:$C$98,3,FALSE),VLOOKUP(A75,Forming!$A$10:$C$99,3,FALSE)),"")</f>
        <v/>
      </c>
      <c r="D75" s="136" t="str">
        <f t="shared" ref="D75:D100" ca="1" si="6">IFERROR(C75/$E$5,"")</f>
        <v/>
      </c>
      <c r="E75" s="23"/>
      <c r="F75" s="23"/>
      <c r="G75" s="78">
        <f t="shared" ref="G75:G100" si="7">IFERROR((IF(ISBLANK(F75),0,(F75/60/B75*$E$4)+(D75/60/60*$E$4*E75))),"")</f>
        <v>0</v>
      </c>
      <c r="H75" s="66" t="str">
        <f t="shared" ca="1" si="5"/>
        <v/>
      </c>
      <c r="I75" s="90">
        <f t="shared" ref="I75:I100" si="8">IFERROR(IF(G75=0,0,(F75+(D75/60*B75))),"")</f>
        <v>0</v>
      </c>
    </row>
    <row r="76" spans="1:9">
      <c r="A76" s="127" t="str">
        <f ca="1">'FB Data'!K75</f>
        <v/>
      </c>
      <c r="B76" s="127" t="str">
        <f ca="1">IFERROR(IF(ISNA(VLOOKUP(A76,'FB Laser'!$A$10:$B$99,2,FALSE)),VLOOKUP(A76,'Tube Laser'!$A$9:$B$98,2,FALSE),VLOOKUP(A76,'FB Laser'!$A$10:$B$99,2,FALSE)),"")</f>
        <v/>
      </c>
      <c r="C76" s="127" t="str">
        <f ca="1">IFERROR(IF(ISNA(VLOOKUP(A76,Forming!$A$10:$C$99,3,FALSE)),VLOOKUP(A76,'Tube Laser'!$A$9:$C$98,3,FALSE),VLOOKUP(A76,Forming!$A$10:$C$99,3,FALSE)),"")</f>
        <v/>
      </c>
      <c r="D76" s="136" t="str">
        <f t="shared" ca="1" si="6"/>
        <v/>
      </c>
      <c r="E76" s="23"/>
      <c r="F76" s="23"/>
      <c r="G76" s="78">
        <f t="shared" si="7"/>
        <v>0</v>
      </c>
      <c r="H76" s="66" t="str">
        <f t="shared" ca="1" si="5"/>
        <v/>
      </c>
      <c r="I76" s="90">
        <f t="shared" si="8"/>
        <v>0</v>
      </c>
    </row>
    <row r="77" spans="1:9">
      <c r="A77" s="127" t="str">
        <f ca="1">'FB Data'!K76</f>
        <v/>
      </c>
      <c r="B77" s="127" t="str">
        <f ca="1">IFERROR(IF(ISNA(VLOOKUP(A77,'FB Laser'!$A$10:$B$99,2,FALSE)),VLOOKUP(A77,'Tube Laser'!$A$9:$B$98,2,FALSE),VLOOKUP(A77,'FB Laser'!$A$10:$B$99,2,FALSE)),"")</f>
        <v/>
      </c>
      <c r="C77" s="127" t="str">
        <f ca="1">IFERROR(IF(ISNA(VLOOKUP(A77,Forming!$A$10:$C$99,3,FALSE)),VLOOKUP(A77,'Tube Laser'!$A$9:$C$98,3,FALSE),VLOOKUP(A77,Forming!$A$10:$C$99,3,FALSE)),"")</f>
        <v/>
      </c>
      <c r="D77" s="136" t="str">
        <f t="shared" ca="1" si="6"/>
        <v/>
      </c>
      <c r="E77" s="23"/>
      <c r="F77" s="23"/>
      <c r="G77" s="78">
        <f t="shared" si="7"/>
        <v>0</v>
      </c>
      <c r="H77" s="66" t="str">
        <f t="shared" ca="1" si="5"/>
        <v/>
      </c>
      <c r="I77" s="90">
        <f t="shared" si="8"/>
        <v>0</v>
      </c>
    </row>
    <row r="78" spans="1:9">
      <c r="A78" s="127" t="str">
        <f ca="1">'FB Data'!K77</f>
        <v/>
      </c>
      <c r="B78" s="127" t="str">
        <f ca="1">IFERROR(IF(ISNA(VLOOKUP(A78,'FB Laser'!$A$10:$B$99,2,FALSE)),VLOOKUP(A78,'Tube Laser'!$A$9:$B$98,2,FALSE),VLOOKUP(A78,'FB Laser'!$A$10:$B$99,2,FALSE)),"")</f>
        <v/>
      </c>
      <c r="C78" s="127" t="str">
        <f ca="1">IFERROR(IF(ISNA(VLOOKUP(A78,Forming!$A$10:$C$99,3,FALSE)),VLOOKUP(A78,'Tube Laser'!$A$9:$C$98,3,FALSE),VLOOKUP(A78,Forming!$A$10:$C$99,3,FALSE)),"")</f>
        <v/>
      </c>
      <c r="D78" s="136" t="str">
        <f t="shared" ca="1" si="6"/>
        <v/>
      </c>
      <c r="E78" s="23"/>
      <c r="F78" s="23"/>
      <c r="G78" s="78">
        <f t="shared" si="7"/>
        <v>0</v>
      </c>
      <c r="H78" s="66" t="str">
        <f t="shared" ca="1" si="5"/>
        <v/>
      </c>
      <c r="I78" s="90">
        <f t="shared" si="8"/>
        <v>0</v>
      </c>
    </row>
    <row r="79" spans="1:9">
      <c r="A79" s="127" t="str">
        <f ca="1">'FB Data'!K78</f>
        <v/>
      </c>
      <c r="B79" s="127" t="str">
        <f ca="1">IFERROR(IF(ISNA(VLOOKUP(A79,'FB Laser'!$A$10:$B$99,2,FALSE)),VLOOKUP(A79,'Tube Laser'!$A$9:$B$98,2,FALSE),VLOOKUP(A79,'FB Laser'!$A$10:$B$99,2,FALSE)),"")</f>
        <v/>
      </c>
      <c r="C79" s="127" t="str">
        <f ca="1">IFERROR(IF(ISNA(VLOOKUP(A79,Forming!$A$10:$C$99,3,FALSE)),VLOOKUP(A79,'Tube Laser'!$A$9:$C$98,3,FALSE),VLOOKUP(A79,Forming!$A$10:$C$99,3,FALSE)),"")</f>
        <v/>
      </c>
      <c r="D79" s="136" t="str">
        <f t="shared" ca="1" si="6"/>
        <v/>
      </c>
      <c r="E79" s="23"/>
      <c r="F79" s="23"/>
      <c r="G79" s="78">
        <f t="shared" si="7"/>
        <v>0</v>
      </c>
      <c r="H79" s="66" t="str">
        <f t="shared" ca="1" si="5"/>
        <v/>
      </c>
      <c r="I79" s="90">
        <f t="shared" si="8"/>
        <v>0</v>
      </c>
    </row>
    <row r="80" spans="1:9">
      <c r="A80" s="127" t="str">
        <f ca="1">'FB Data'!K79</f>
        <v/>
      </c>
      <c r="B80" s="127" t="str">
        <f ca="1">IFERROR(IF(ISNA(VLOOKUP(A80,'FB Laser'!$A$10:$B$99,2,FALSE)),VLOOKUP(A80,'Tube Laser'!$A$9:$B$98,2,FALSE),VLOOKUP(A80,'FB Laser'!$A$10:$B$99,2,FALSE)),"")</f>
        <v/>
      </c>
      <c r="C80" s="127" t="str">
        <f ca="1">IFERROR(IF(ISNA(VLOOKUP(A80,Forming!$A$10:$C$99,3,FALSE)),VLOOKUP(A80,'Tube Laser'!$A$9:$C$98,3,FALSE),VLOOKUP(A80,Forming!$A$10:$C$99,3,FALSE)),"")</f>
        <v/>
      </c>
      <c r="D80" s="136" t="str">
        <f t="shared" ca="1" si="6"/>
        <v/>
      </c>
      <c r="E80" s="23"/>
      <c r="F80" s="23"/>
      <c r="G80" s="78">
        <f t="shared" si="7"/>
        <v>0</v>
      </c>
      <c r="H80" s="66" t="str">
        <f t="shared" ca="1" si="5"/>
        <v/>
      </c>
      <c r="I80" s="90">
        <f t="shared" si="8"/>
        <v>0</v>
      </c>
    </row>
    <row r="81" spans="1:9">
      <c r="A81" s="127" t="str">
        <f ca="1">'FB Data'!K80</f>
        <v/>
      </c>
      <c r="B81" s="127" t="str">
        <f ca="1">IFERROR(IF(ISNA(VLOOKUP(A81,'FB Laser'!$A$10:$B$99,2,FALSE)),VLOOKUP(A81,'Tube Laser'!$A$9:$B$98,2,FALSE),VLOOKUP(A81,'FB Laser'!$A$10:$B$99,2,FALSE)),"")</f>
        <v/>
      </c>
      <c r="C81" s="127" t="str">
        <f ca="1">IFERROR(IF(ISNA(VLOOKUP(A81,Forming!$A$10:$C$99,3,FALSE)),VLOOKUP(A81,'Tube Laser'!$A$9:$C$98,3,FALSE),VLOOKUP(A81,Forming!$A$10:$C$99,3,FALSE)),"")</f>
        <v/>
      </c>
      <c r="D81" s="136" t="str">
        <f t="shared" ca="1" si="6"/>
        <v/>
      </c>
      <c r="E81" s="23"/>
      <c r="F81" s="23"/>
      <c r="G81" s="78">
        <f t="shared" si="7"/>
        <v>0</v>
      </c>
      <c r="H81" s="66" t="str">
        <f t="shared" ca="1" si="5"/>
        <v/>
      </c>
      <c r="I81" s="90">
        <f t="shared" si="8"/>
        <v>0</v>
      </c>
    </row>
    <row r="82" spans="1:9">
      <c r="A82" s="127" t="str">
        <f ca="1">'FB Data'!K81</f>
        <v/>
      </c>
      <c r="B82" s="127" t="str">
        <f ca="1">IFERROR(IF(ISNA(VLOOKUP(A82,'FB Laser'!$A$10:$B$99,2,FALSE)),VLOOKUP(A82,'Tube Laser'!$A$9:$B$98,2,FALSE),VLOOKUP(A82,'FB Laser'!$A$10:$B$99,2,FALSE)),"")</f>
        <v/>
      </c>
      <c r="C82" s="127" t="str">
        <f ca="1">IFERROR(IF(ISNA(VLOOKUP(A82,Forming!$A$10:$C$99,3,FALSE)),VLOOKUP(A82,'Tube Laser'!$A$9:$C$98,3,FALSE),VLOOKUP(A82,Forming!$A$10:$C$99,3,FALSE)),"")</f>
        <v/>
      </c>
      <c r="D82" s="136" t="str">
        <f t="shared" ca="1" si="6"/>
        <v/>
      </c>
      <c r="E82" s="23"/>
      <c r="F82" s="23"/>
      <c r="G82" s="78">
        <f t="shared" si="7"/>
        <v>0</v>
      </c>
      <c r="H82" s="66" t="str">
        <f t="shared" ca="1" si="5"/>
        <v/>
      </c>
      <c r="I82" s="90">
        <f t="shared" si="8"/>
        <v>0</v>
      </c>
    </row>
    <row r="83" spans="1:9">
      <c r="A83" s="127" t="str">
        <f ca="1">'FB Data'!K82</f>
        <v/>
      </c>
      <c r="B83" s="127" t="str">
        <f ca="1">IFERROR(IF(ISNA(VLOOKUP(A83,'FB Laser'!$A$10:$B$99,2,FALSE)),VLOOKUP(A83,'Tube Laser'!$A$9:$B$98,2,FALSE),VLOOKUP(A83,'FB Laser'!$A$10:$B$99,2,FALSE)),"")</f>
        <v/>
      </c>
      <c r="C83" s="127" t="str">
        <f ca="1">IFERROR(IF(ISNA(VLOOKUP(A83,Forming!$A$10:$C$99,3,FALSE)),VLOOKUP(A83,'Tube Laser'!$A$9:$C$98,3,FALSE),VLOOKUP(A83,Forming!$A$10:$C$99,3,FALSE)),"")</f>
        <v/>
      </c>
      <c r="D83" s="136" t="str">
        <f t="shared" ca="1" si="6"/>
        <v/>
      </c>
      <c r="E83" s="23"/>
      <c r="F83" s="23"/>
      <c r="G83" s="78">
        <f t="shared" si="7"/>
        <v>0</v>
      </c>
      <c r="H83" s="66" t="str">
        <f t="shared" ca="1" si="5"/>
        <v/>
      </c>
      <c r="I83" s="90">
        <f t="shared" si="8"/>
        <v>0</v>
      </c>
    </row>
    <row r="84" spans="1:9">
      <c r="A84" s="127" t="str">
        <f ca="1">'FB Data'!K83</f>
        <v/>
      </c>
      <c r="B84" s="127" t="str">
        <f ca="1">IFERROR(IF(ISNA(VLOOKUP(A84,'FB Laser'!$A$10:$B$99,2,FALSE)),VLOOKUP(A84,'Tube Laser'!$A$9:$B$98,2,FALSE),VLOOKUP(A84,'FB Laser'!$A$10:$B$99,2,FALSE)),"")</f>
        <v/>
      </c>
      <c r="C84" s="127" t="str">
        <f ca="1">IFERROR(IF(ISNA(VLOOKUP(A84,Forming!$A$10:$C$99,3,FALSE)),VLOOKUP(A84,'Tube Laser'!$A$9:$C$98,3,FALSE),VLOOKUP(A84,Forming!$A$10:$C$99,3,FALSE)),"")</f>
        <v/>
      </c>
      <c r="D84" s="136" t="str">
        <f t="shared" ca="1" si="6"/>
        <v/>
      </c>
      <c r="E84" s="23"/>
      <c r="F84" s="23"/>
      <c r="G84" s="78">
        <f t="shared" si="7"/>
        <v>0</v>
      </c>
      <c r="H84" s="66" t="str">
        <f t="shared" ca="1" si="5"/>
        <v/>
      </c>
      <c r="I84" s="90">
        <f t="shared" si="8"/>
        <v>0</v>
      </c>
    </row>
    <row r="85" spans="1:9">
      <c r="A85" s="127" t="str">
        <f ca="1">'FB Data'!K84</f>
        <v/>
      </c>
      <c r="B85" s="127" t="str">
        <f ca="1">IFERROR(IF(ISNA(VLOOKUP(A85,'FB Laser'!$A$10:$B$99,2,FALSE)),VLOOKUP(A85,'Tube Laser'!$A$9:$B$98,2,FALSE),VLOOKUP(A85,'FB Laser'!$A$10:$B$99,2,FALSE)),"")</f>
        <v/>
      </c>
      <c r="C85" s="127" t="str">
        <f ca="1">IFERROR(IF(ISNA(VLOOKUP(A85,Forming!$A$10:$C$99,3,FALSE)),VLOOKUP(A85,'Tube Laser'!$A$9:$C$98,3,FALSE),VLOOKUP(A85,Forming!$A$10:$C$99,3,FALSE)),"")</f>
        <v/>
      </c>
      <c r="D85" s="136" t="str">
        <f t="shared" ca="1" si="6"/>
        <v/>
      </c>
      <c r="E85" s="23"/>
      <c r="F85" s="23"/>
      <c r="G85" s="78">
        <f t="shared" si="7"/>
        <v>0</v>
      </c>
      <c r="H85" s="66" t="str">
        <f t="shared" ca="1" si="5"/>
        <v/>
      </c>
      <c r="I85" s="90">
        <f t="shared" si="8"/>
        <v>0</v>
      </c>
    </row>
    <row r="86" spans="1:9">
      <c r="A86" s="127" t="str">
        <f ca="1">'FB Data'!K85</f>
        <v/>
      </c>
      <c r="B86" s="127" t="str">
        <f ca="1">IFERROR(IF(ISNA(VLOOKUP(A86,'FB Laser'!$A$10:$B$99,2,FALSE)),VLOOKUP(A86,'Tube Laser'!$A$9:$B$98,2,FALSE),VLOOKUP(A86,'FB Laser'!$A$10:$B$99,2,FALSE)),"")</f>
        <v/>
      </c>
      <c r="C86" s="127" t="str">
        <f ca="1">IFERROR(IF(ISNA(VLOOKUP(A86,Forming!$A$10:$C$99,3,FALSE)),VLOOKUP(A86,'Tube Laser'!$A$9:$C$98,3,FALSE),VLOOKUP(A86,Forming!$A$10:$C$99,3,FALSE)),"")</f>
        <v/>
      </c>
      <c r="D86" s="136" t="str">
        <f t="shared" ca="1" si="6"/>
        <v/>
      </c>
      <c r="E86" s="23"/>
      <c r="F86" s="23"/>
      <c r="G86" s="78">
        <f t="shared" si="7"/>
        <v>0</v>
      </c>
      <c r="H86" s="66" t="str">
        <f t="shared" ca="1" si="5"/>
        <v/>
      </c>
      <c r="I86" s="90">
        <f t="shared" si="8"/>
        <v>0</v>
      </c>
    </row>
    <row r="87" spans="1:9">
      <c r="A87" s="127" t="str">
        <f ca="1">'FB Data'!K86</f>
        <v/>
      </c>
      <c r="B87" s="127" t="str">
        <f ca="1">IFERROR(IF(ISNA(VLOOKUP(A87,'FB Laser'!$A$10:$B$99,2,FALSE)),VLOOKUP(A87,'Tube Laser'!$A$9:$B$98,2,FALSE),VLOOKUP(A87,'FB Laser'!$A$10:$B$99,2,FALSE)),"")</f>
        <v/>
      </c>
      <c r="C87" s="127" t="str">
        <f ca="1">IFERROR(IF(ISNA(VLOOKUP(A87,Forming!$A$10:$C$99,3,FALSE)),VLOOKUP(A87,'Tube Laser'!$A$9:$C$98,3,FALSE),VLOOKUP(A87,Forming!$A$10:$C$99,3,FALSE)),"")</f>
        <v/>
      </c>
      <c r="D87" s="136" t="str">
        <f t="shared" ca="1" si="6"/>
        <v/>
      </c>
      <c r="E87" s="23"/>
      <c r="F87" s="23"/>
      <c r="G87" s="78">
        <f t="shared" si="7"/>
        <v>0</v>
      </c>
      <c r="H87" s="66" t="str">
        <f t="shared" ca="1" si="5"/>
        <v/>
      </c>
      <c r="I87" s="90">
        <f t="shared" si="8"/>
        <v>0</v>
      </c>
    </row>
    <row r="88" spans="1:9">
      <c r="A88" s="127" t="str">
        <f ca="1">'FB Data'!K87</f>
        <v/>
      </c>
      <c r="B88" s="127" t="str">
        <f ca="1">IFERROR(IF(ISNA(VLOOKUP(A88,'FB Laser'!$A$10:$B$99,2,FALSE)),VLOOKUP(A88,'Tube Laser'!$A$9:$B$98,2,FALSE),VLOOKUP(A88,'FB Laser'!$A$10:$B$99,2,FALSE)),"")</f>
        <v/>
      </c>
      <c r="C88" s="127" t="str">
        <f ca="1">IFERROR(IF(ISNA(VLOOKUP(A88,Forming!$A$10:$C$99,3,FALSE)),VLOOKUP(A88,'Tube Laser'!$A$9:$C$98,3,FALSE),VLOOKUP(A88,Forming!$A$10:$C$99,3,FALSE)),"")</f>
        <v/>
      </c>
      <c r="D88" s="136" t="str">
        <f t="shared" ca="1" si="6"/>
        <v/>
      </c>
      <c r="E88" s="23"/>
      <c r="F88" s="23"/>
      <c r="G88" s="78">
        <f t="shared" si="7"/>
        <v>0</v>
      </c>
      <c r="H88" s="66" t="str">
        <f t="shared" ca="1" si="5"/>
        <v/>
      </c>
      <c r="I88" s="90">
        <f t="shared" si="8"/>
        <v>0</v>
      </c>
    </row>
    <row r="89" spans="1:9">
      <c r="A89" s="127" t="str">
        <f ca="1">'FB Data'!K88</f>
        <v/>
      </c>
      <c r="B89" s="127" t="str">
        <f ca="1">IFERROR(IF(ISNA(VLOOKUP(A89,'FB Laser'!$A$10:$B$99,2,FALSE)),VLOOKUP(A89,'Tube Laser'!$A$9:$B$98,2,FALSE),VLOOKUP(A89,'FB Laser'!$A$10:$B$99,2,FALSE)),"")</f>
        <v/>
      </c>
      <c r="C89" s="127" t="str">
        <f ca="1">IFERROR(IF(ISNA(VLOOKUP(A89,Forming!$A$10:$C$99,3,FALSE)),VLOOKUP(A89,'Tube Laser'!$A$9:$C$98,3,FALSE),VLOOKUP(A89,Forming!$A$10:$C$99,3,FALSE)),"")</f>
        <v/>
      </c>
      <c r="D89" s="136" t="str">
        <f t="shared" ca="1" si="6"/>
        <v/>
      </c>
      <c r="E89" s="23"/>
      <c r="F89" s="23"/>
      <c r="G89" s="78">
        <f t="shared" si="7"/>
        <v>0</v>
      </c>
      <c r="H89" s="66" t="str">
        <f t="shared" ca="1" si="5"/>
        <v/>
      </c>
      <c r="I89" s="90">
        <f t="shared" si="8"/>
        <v>0</v>
      </c>
    </row>
    <row r="90" spans="1:9">
      <c r="A90" s="127" t="str">
        <f ca="1">'FB Data'!K89</f>
        <v/>
      </c>
      <c r="B90" s="127" t="str">
        <f ca="1">IFERROR(IF(ISNA(VLOOKUP(A90,'FB Laser'!$A$10:$B$99,2,FALSE)),VLOOKUP(A90,'Tube Laser'!$A$9:$B$98,2,FALSE),VLOOKUP(A90,'FB Laser'!$A$10:$B$99,2,FALSE)),"")</f>
        <v/>
      </c>
      <c r="C90" s="127" t="str">
        <f ca="1">IFERROR(IF(ISNA(VLOOKUP(A90,Forming!$A$10:$C$99,3,FALSE)),VLOOKUP(A90,'Tube Laser'!$A$9:$C$98,3,FALSE),VLOOKUP(A90,Forming!$A$10:$C$99,3,FALSE)),"")</f>
        <v/>
      </c>
      <c r="D90" s="136" t="str">
        <f t="shared" ca="1" si="6"/>
        <v/>
      </c>
      <c r="E90" s="23"/>
      <c r="F90" s="23"/>
      <c r="G90" s="78">
        <f t="shared" si="7"/>
        <v>0</v>
      </c>
      <c r="H90" s="66" t="str">
        <f t="shared" ca="1" si="5"/>
        <v/>
      </c>
      <c r="I90" s="90">
        <f t="shared" si="8"/>
        <v>0</v>
      </c>
    </row>
    <row r="91" spans="1:9">
      <c r="A91" s="127" t="str">
        <f ca="1">'FB Data'!K90</f>
        <v/>
      </c>
      <c r="B91" s="127" t="str">
        <f ca="1">IFERROR(IF(ISNA(VLOOKUP(A91,'FB Laser'!$A$10:$B$99,2,FALSE)),VLOOKUP(A91,'Tube Laser'!$A$9:$B$98,2,FALSE),VLOOKUP(A91,'FB Laser'!$A$10:$B$99,2,FALSE)),"")</f>
        <v/>
      </c>
      <c r="C91" s="127" t="str">
        <f ca="1">IFERROR(IF(ISNA(VLOOKUP(A91,Forming!$A$10:$C$99,3,FALSE)),VLOOKUP(A91,'Tube Laser'!$A$9:$C$98,3,FALSE),VLOOKUP(A91,Forming!$A$10:$C$99,3,FALSE)),"")</f>
        <v/>
      </c>
      <c r="D91" s="136" t="str">
        <f t="shared" ca="1" si="6"/>
        <v/>
      </c>
      <c r="E91" s="23"/>
      <c r="F91" s="23"/>
      <c r="G91" s="78">
        <f t="shared" si="7"/>
        <v>0</v>
      </c>
      <c r="H91" s="66" t="str">
        <f t="shared" ca="1" si="5"/>
        <v/>
      </c>
      <c r="I91" s="90">
        <f t="shared" si="8"/>
        <v>0</v>
      </c>
    </row>
    <row r="92" spans="1:9">
      <c r="A92" s="127" t="str">
        <f ca="1">'FB Data'!K91</f>
        <v/>
      </c>
      <c r="B92" s="127" t="str">
        <f ca="1">IFERROR(IF(ISNA(VLOOKUP(A92,'FB Laser'!$A$10:$B$99,2,FALSE)),VLOOKUP(A92,'Tube Laser'!$A$9:$B$98,2,FALSE),VLOOKUP(A92,'FB Laser'!$A$10:$B$99,2,FALSE)),"")</f>
        <v/>
      </c>
      <c r="C92" s="127" t="str">
        <f ca="1">IFERROR(IF(ISNA(VLOOKUP(A92,Forming!$A$10:$C$99,3,FALSE)),VLOOKUP(A92,'Tube Laser'!$A$9:$C$98,3,FALSE),VLOOKUP(A92,Forming!$A$10:$C$99,3,FALSE)),"")</f>
        <v/>
      </c>
      <c r="D92" s="136" t="str">
        <f t="shared" ca="1" si="6"/>
        <v/>
      </c>
      <c r="E92" s="23"/>
      <c r="F92" s="23"/>
      <c r="G92" s="78">
        <f t="shared" si="7"/>
        <v>0</v>
      </c>
      <c r="H92" s="66" t="str">
        <f t="shared" ca="1" si="5"/>
        <v/>
      </c>
      <c r="I92" s="90">
        <f t="shared" si="8"/>
        <v>0</v>
      </c>
    </row>
    <row r="93" spans="1:9">
      <c r="A93" s="127" t="str">
        <f ca="1">'FB Data'!K92</f>
        <v/>
      </c>
      <c r="B93" s="127" t="str">
        <f ca="1">IFERROR(IF(ISNA(VLOOKUP(A93,'FB Laser'!$A$10:$B$99,2,FALSE)),VLOOKUP(A93,'Tube Laser'!$A$9:$B$98,2,FALSE),VLOOKUP(A93,'FB Laser'!$A$10:$B$99,2,FALSE)),"")</f>
        <v/>
      </c>
      <c r="C93" s="127" t="str">
        <f ca="1">IFERROR(IF(ISNA(VLOOKUP(A93,Forming!$A$10:$C$99,3,FALSE)),VLOOKUP(A93,'Tube Laser'!$A$9:$C$98,3,FALSE),VLOOKUP(A93,Forming!$A$10:$C$99,3,FALSE)),"")</f>
        <v/>
      </c>
      <c r="D93" s="136" t="str">
        <f t="shared" ca="1" si="6"/>
        <v/>
      </c>
      <c r="E93" s="23"/>
      <c r="F93" s="23"/>
      <c r="G93" s="78">
        <f t="shared" si="7"/>
        <v>0</v>
      </c>
      <c r="H93" s="66" t="str">
        <f t="shared" ca="1" si="5"/>
        <v/>
      </c>
      <c r="I93" s="90">
        <f t="shared" si="8"/>
        <v>0</v>
      </c>
    </row>
    <row r="94" spans="1:9">
      <c r="A94" s="127" t="str">
        <f ca="1">'FB Data'!K93</f>
        <v/>
      </c>
      <c r="B94" s="127" t="str">
        <f ca="1">IFERROR(IF(ISNA(VLOOKUP(A94,'FB Laser'!$A$10:$B$99,2,FALSE)),VLOOKUP(A94,'Tube Laser'!$A$9:$B$98,2,FALSE),VLOOKUP(A94,'FB Laser'!$A$10:$B$99,2,FALSE)),"")</f>
        <v/>
      </c>
      <c r="C94" s="127" t="str">
        <f ca="1">IFERROR(IF(ISNA(VLOOKUP(A94,Forming!$A$10:$C$99,3,FALSE)),VLOOKUP(A94,'Tube Laser'!$A$9:$C$98,3,FALSE),VLOOKUP(A94,Forming!$A$10:$C$99,3,FALSE)),"")</f>
        <v/>
      </c>
      <c r="D94" s="136" t="str">
        <f t="shared" ca="1" si="6"/>
        <v/>
      </c>
      <c r="E94" s="23"/>
      <c r="F94" s="23"/>
      <c r="G94" s="78">
        <f t="shared" si="7"/>
        <v>0</v>
      </c>
      <c r="H94" s="66" t="str">
        <f t="shared" ca="1" si="5"/>
        <v/>
      </c>
      <c r="I94" s="90">
        <f t="shared" si="8"/>
        <v>0</v>
      </c>
    </row>
    <row r="95" spans="1:9">
      <c r="A95" s="127" t="str">
        <f ca="1">'FB Data'!K94</f>
        <v/>
      </c>
      <c r="B95" s="127" t="str">
        <f ca="1">IFERROR(IF(ISNA(VLOOKUP(A95,'FB Laser'!$A$10:$B$99,2,FALSE)),VLOOKUP(A95,'Tube Laser'!$A$9:$B$98,2,FALSE),VLOOKUP(A95,'FB Laser'!$A$10:$B$99,2,FALSE)),"")</f>
        <v/>
      </c>
      <c r="C95" s="127" t="str">
        <f ca="1">IFERROR(IF(ISNA(VLOOKUP(A95,Forming!$A$10:$C$99,3,FALSE)),VLOOKUP(A95,'Tube Laser'!$A$9:$C$98,3,FALSE),VLOOKUP(A95,Forming!$A$10:$C$99,3,FALSE)),"")</f>
        <v/>
      </c>
      <c r="D95" s="136" t="str">
        <f t="shared" ca="1" si="6"/>
        <v/>
      </c>
      <c r="E95" s="23"/>
      <c r="F95" s="23"/>
      <c r="G95" s="78">
        <f t="shared" si="7"/>
        <v>0</v>
      </c>
      <c r="H95" s="66" t="str">
        <f t="shared" ca="1" si="5"/>
        <v/>
      </c>
      <c r="I95" s="90">
        <f t="shared" si="8"/>
        <v>0</v>
      </c>
    </row>
    <row r="96" spans="1:9">
      <c r="A96" s="127" t="str">
        <f ca="1">'FB Data'!K95</f>
        <v/>
      </c>
      <c r="B96" s="127" t="str">
        <f ca="1">IFERROR(IF(ISNA(VLOOKUP(A96,'FB Laser'!$A$10:$B$99,2,FALSE)),VLOOKUP(A96,'Tube Laser'!$A$9:$B$98,2,FALSE),VLOOKUP(A96,'FB Laser'!$A$10:$B$99,2,FALSE)),"")</f>
        <v/>
      </c>
      <c r="C96" s="127" t="str">
        <f ca="1">IFERROR(IF(ISNA(VLOOKUP(A96,Forming!$A$10:$C$99,3,FALSE)),VLOOKUP(A96,'Tube Laser'!$A$9:$C$98,3,FALSE),VLOOKUP(A96,Forming!$A$10:$C$99,3,FALSE)),"")</f>
        <v/>
      </c>
      <c r="D96" s="136" t="str">
        <f t="shared" ca="1" si="6"/>
        <v/>
      </c>
      <c r="E96" s="23"/>
      <c r="F96" s="23"/>
      <c r="G96" s="78">
        <f t="shared" si="7"/>
        <v>0</v>
      </c>
      <c r="H96" s="66" t="str">
        <f t="shared" ca="1" si="5"/>
        <v/>
      </c>
      <c r="I96" s="90">
        <f t="shared" si="8"/>
        <v>0</v>
      </c>
    </row>
    <row r="97" spans="1:9">
      <c r="A97" s="127" t="str">
        <f ca="1">'FB Data'!K96</f>
        <v/>
      </c>
      <c r="B97" s="127" t="str">
        <f ca="1">IFERROR(IF(ISNA(VLOOKUP(A97,'FB Laser'!$A$10:$B$99,2,FALSE)),VLOOKUP(A97,'Tube Laser'!$A$9:$B$98,2,FALSE),VLOOKUP(A97,'FB Laser'!$A$10:$B$99,2,FALSE)),"")</f>
        <v/>
      </c>
      <c r="C97" s="127" t="str">
        <f ca="1">IFERROR(IF(ISNA(VLOOKUP(A97,Forming!$A$10:$C$99,3,FALSE)),VLOOKUP(A97,'Tube Laser'!$A$9:$C$98,3,FALSE),VLOOKUP(A97,Forming!$A$10:$C$99,3,FALSE)),"")</f>
        <v/>
      </c>
      <c r="D97" s="136" t="str">
        <f t="shared" ca="1" si="6"/>
        <v/>
      </c>
      <c r="E97" s="23"/>
      <c r="F97" s="23"/>
      <c r="G97" s="78">
        <f t="shared" si="7"/>
        <v>0</v>
      </c>
      <c r="H97" s="66" t="str">
        <f t="shared" ca="1" si="5"/>
        <v/>
      </c>
      <c r="I97" s="90">
        <f t="shared" si="8"/>
        <v>0</v>
      </c>
    </row>
    <row r="98" spans="1:9">
      <c r="A98" s="127" t="str">
        <f ca="1">'FB Data'!K97</f>
        <v/>
      </c>
      <c r="B98" s="127" t="str">
        <f ca="1">IFERROR(IF(ISNA(VLOOKUP(A98,'FB Laser'!$A$10:$B$99,2,FALSE)),VLOOKUP(A98,'Tube Laser'!$A$9:$B$98,2,FALSE),VLOOKUP(A98,'FB Laser'!$A$10:$B$99,2,FALSE)),"")</f>
        <v/>
      </c>
      <c r="C98" s="127" t="str">
        <f ca="1">IFERROR(IF(ISNA(VLOOKUP(A98,Forming!$A$10:$C$99,3,FALSE)),VLOOKUP(A98,'Tube Laser'!$A$9:$C$98,3,FALSE),VLOOKUP(A98,Forming!$A$10:$C$99,3,FALSE)),"")</f>
        <v/>
      </c>
      <c r="D98" s="136" t="str">
        <f t="shared" ca="1" si="6"/>
        <v/>
      </c>
      <c r="E98" s="23"/>
      <c r="F98" s="23"/>
      <c r="G98" s="78">
        <f t="shared" si="7"/>
        <v>0</v>
      </c>
      <c r="H98" s="66" t="str">
        <f t="shared" ca="1" si="5"/>
        <v/>
      </c>
      <c r="I98" s="90">
        <f t="shared" si="8"/>
        <v>0</v>
      </c>
    </row>
    <row r="99" spans="1:9">
      <c r="A99" s="127" t="str">
        <f ca="1">'FB Data'!K98</f>
        <v/>
      </c>
      <c r="B99" s="127" t="str">
        <f ca="1">IFERROR(IF(ISNA(VLOOKUP(A99,'FB Laser'!$A$10:$B$99,2,FALSE)),VLOOKUP(A99,'Tube Laser'!$A$9:$B$98,2,FALSE),VLOOKUP(A99,'FB Laser'!$A$10:$B$99,2,FALSE)),"")</f>
        <v/>
      </c>
      <c r="C99" s="127" t="str">
        <f ca="1">IFERROR(IF(ISNA(VLOOKUP(A99,Forming!$A$10:$C$99,3,FALSE)),VLOOKUP(A99,'Tube Laser'!$A$9:$C$98,3,FALSE),VLOOKUP(A99,Forming!$A$10:$C$99,3,FALSE)),"")</f>
        <v/>
      </c>
      <c r="D99" s="136" t="str">
        <f t="shared" ca="1" si="6"/>
        <v/>
      </c>
      <c r="E99" s="23"/>
      <c r="F99" s="23"/>
      <c r="G99" s="78">
        <f t="shared" si="7"/>
        <v>0</v>
      </c>
      <c r="H99" s="66" t="str">
        <f t="shared" ca="1" si="5"/>
        <v/>
      </c>
      <c r="I99" s="90">
        <f t="shared" si="8"/>
        <v>0</v>
      </c>
    </row>
    <row r="100" spans="1:9">
      <c r="A100" s="127" t="str">
        <f ca="1">'FB Data'!K99</f>
        <v/>
      </c>
      <c r="B100" s="127" t="str">
        <f ca="1">IFERROR(IF(ISNA(VLOOKUP(A100,'FB Laser'!$A$10:$B$99,2,FALSE)),VLOOKUP(A100,'Tube Laser'!$A$9:$B$98,2,FALSE),VLOOKUP(A100,'FB Laser'!$A$10:$B$99,2,FALSE)),"")</f>
        <v/>
      </c>
      <c r="C100" s="127" t="str">
        <f ca="1">IFERROR(IF(ISNA(VLOOKUP(A100,Forming!$A$10:$C$99,3,FALSE)),VLOOKUP(A100,'Tube Laser'!$A$9:$C$98,3,FALSE),VLOOKUP(A100,Forming!$A$10:$C$99,3,FALSE)),"")</f>
        <v/>
      </c>
      <c r="D100" s="136" t="str">
        <f t="shared" ca="1" si="6"/>
        <v/>
      </c>
      <c r="E100" s="23"/>
      <c r="F100" s="23"/>
      <c r="G100" s="78">
        <f t="shared" si="7"/>
        <v>0</v>
      </c>
      <c r="H100" s="66" t="str">
        <f t="shared" ca="1" si="5"/>
        <v/>
      </c>
      <c r="I100" s="90">
        <f t="shared" si="8"/>
        <v>0</v>
      </c>
    </row>
    <row r="101" spans="1:9">
      <c r="H101" s="33">
        <f ca="1">SUM(H10:H100)</f>
        <v>0</v>
      </c>
      <c r="I101" s="137">
        <f>ROUND(SUM(I10:I100),2)</f>
        <v>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B1:R24"/>
  <sheetViews>
    <sheetView zoomScaleNormal="100" workbookViewId="0">
      <selection activeCell="H3" sqref="H3"/>
    </sheetView>
  </sheetViews>
  <sheetFormatPr defaultRowHeight="15"/>
  <cols>
    <col min="2" max="2" width="20.7109375" bestFit="1" customWidth="1"/>
    <col min="3" max="3" width="11.140625" customWidth="1"/>
    <col min="4" max="4" width="12.28515625" bestFit="1" customWidth="1"/>
    <col min="5" max="5" width="20.42578125" customWidth="1"/>
    <col min="6" max="6" width="16.42578125" bestFit="1" customWidth="1"/>
    <col min="7" max="7" width="26.140625" bestFit="1" customWidth="1"/>
    <col min="8" max="8" width="41" customWidth="1"/>
    <col min="10" max="10" width="10.42578125" bestFit="1" customWidth="1"/>
    <col min="11" max="11" width="13.140625" bestFit="1" customWidth="1"/>
    <col min="12" max="12" width="14.28515625" bestFit="1" customWidth="1"/>
    <col min="13" max="13" width="12" bestFit="1" customWidth="1"/>
    <col min="14" max="14" width="17" bestFit="1" customWidth="1"/>
    <col min="15" max="15" width="12.140625" bestFit="1" customWidth="1"/>
    <col min="16" max="16" width="19.42578125" bestFit="1" customWidth="1"/>
    <col min="17" max="17" width="14" bestFit="1" customWidth="1"/>
  </cols>
  <sheetData>
    <row r="1" spans="2:18" ht="24.95" customHeight="1" thickBot="1"/>
    <row r="2" spans="2:18" ht="24.95" customHeight="1">
      <c r="B2" s="46" t="s">
        <v>2758</v>
      </c>
      <c r="C2" s="48" t="s">
        <v>2831</v>
      </c>
      <c r="D2" s="46" t="s">
        <v>2759</v>
      </c>
      <c r="E2" s="46" t="s">
        <v>2760</v>
      </c>
      <c r="F2" s="46" t="s">
        <v>2761</v>
      </c>
      <c r="G2" s="48" t="s">
        <v>2781</v>
      </c>
      <c r="H2" s="46" t="s">
        <v>2772</v>
      </c>
      <c r="J2" s="149" t="s">
        <v>307</v>
      </c>
      <c r="K2" s="150"/>
      <c r="L2" s="150"/>
      <c r="M2" s="150"/>
      <c r="N2" s="151"/>
    </row>
    <row r="3" spans="2:18" ht="24.95" customHeight="1">
      <c r="B3" s="45" t="s">
        <v>2762</v>
      </c>
      <c r="C3" s="148"/>
      <c r="D3" s="148"/>
      <c r="E3" s="45"/>
      <c r="F3" s="89">
        <f>'Quote Info'!K7*1.2</f>
        <v>0</v>
      </c>
      <c r="G3" s="47"/>
      <c r="H3" s="45"/>
      <c r="J3" s="34"/>
      <c r="K3" s="23" t="s">
        <v>297</v>
      </c>
      <c r="L3" s="23" t="s">
        <v>298</v>
      </c>
      <c r="M3" s="23" t="s">
        <v>299</v>
      </c>
      <c r="N3" s="35" t="s">
        <v>300</v>
      </c>
      <c r="O3" s="93" t="s">
        <v>2935</v>
      </c>
    </row>
    <row r="4" spans="2:18" ht="24.95" customHeight="1" thickBot="1">
      <c r="B4" s="45" t="s">
        <v>302</v>
      </c>
      <c r="C4" s="148"/>
      <c r="D4" s="148"/>
      <c r="E4" s="45"/>
      <c r="F4" s="89">
        <f>'Quote Info'!L7*1.4</f>
        <v>0</v>
      </c>
      <c r="G4" s="47"/>
      <c r="H4" s="45"/>
      <c r="J4" s="36" t="s">
        <v>301</v>
      </c>
      <c r="K4" s="60">
        <f ca="1">'FB Laser'!V100+'Tube Laser'!X99</f>
        <v>0</v>
      </c>
      <c r="L4" s="61">
        <f ca="1">SUM(K8:P8)+L10+L11+L12+L13+L14+O10+O11+O12+O13+O14+O15+O16+O17+R10+R11</f>
        <v>120</v>
      </c>
      <c r="M4" s="62">
        <f ca="1">K4-L4</f>
        <v>-120</v>
      </c>
      <c r="N4" s="92" t="str">
        <f ca="1">IFERROR(M4/K4,"")</f>
        <v/>
      </c>
      <c r="O4" s="93">
        <v>1.36</v>
      </c>
      <c r="P4" s="134"/>
    </row>
    <row r="5" spans="2:18" ht="24.95" customHeight="1" thickBot="1">
      <c r="B5" s="45" t="s">
        <v>2765</v>
      </c>
      <c r="C5" s="148"/>
      <c r="D5" s="148"/>
      <c r="E5" s="45"/>
      <c r="F5" s="89"/>
      <c r="G5" s="45"/>
      <c r="H5" s="45"/>
    </row>
    <row r="6" spans="2:18" ht="24.95" customHeight="1">
      <c r="B6" s="45" t="s">
        <v>2766</v>
      </c>
      <c r="C6" s="148"/>
      <c r="D6" s="148"/>
      <c r="E6" s="45"/>
      <c r="F6" s="89"/>
      <c r="G6" s="45"/>
      <c r="H6" s="45"/>
      <c r="J6" s="39"/>
      <c r="K6" s="85" t="s">
        <v>2754</v>
      </c>
      <c r="L6" s="86" t="s">
        <v>2755</v>
      </c>
      <c r="M6" s="87" t="s">
        <v>2788</v>
      </c>
      <c r="N6" s="87" t="s">
        <v>2858</v>
      </c>
      <c r="O6" s="87" t="s">
        <v>2842</v>
      </c>
      <c r="P6" s="85" t="s">
        <v>2846</v>
      </c>
      <c r="Q6" s="85" t="s">
        <v>2949</v>
      </c>
      <c r="R6" s="88" t="s">
        <v>2756</v>
      </c>
    </row>
    <row r="7" spans="2:18" ht="24.95" customHeight="1" thickBot="1">
      <c r="B7" s="45" t="s">
        <v>2771</v>
      </c>
      <c r="C7" s="148"/>
      <c r="D7" s="148"/>
      <c r="E7" s="45"/>
      <c r="F7" s="89"/>
      <c r="G7" s="45"/>
      <c r="H7" s="45"/>
      <c r="J7" s="40" t="s">
        <v>2753</v>
      </c>
      <c r="K7" s="81">
        <f>SUM('FB Laser'!E10:E99)/60</f>
        <v>0</v>
      </c>
      <c r="L7" s="82">
        <f>'FB Data'!X118</f>
        <v>0</v>
      </c>
      <c r="M7" s="82">
        <f>SUM(Forming!I10:I99)/60</f>
        <v>0</v>
      </c>
      <c r="N7" s="82">
        <f>SUM('Tube Bending'!G9:G98)/60</f>
        <v>0</v>
      </c>
      <c r="O7" s="82">
        <f>Welding!F10</f>
        <v>0</v>
      </c>
      <c r="P7" s="83">
        <f>SUM('Hardware Install'!G10:G99)/60</f>
        <v>0</v>
      </c>
      <c r="Q7" s="83">
        <f ca="1">Machining!I101/60</f>
        <v>0</v>
      </c>
      <c r="R7" s="84">
        <f>K7+L7+M7+O7+N7+P7</f>
        <v>0</v>
      </c>
    </row>
    <row r="8" spans="2:18" ht="24.95" customHeight="1">
      <c r="B8" s="45" t="s">
        <v>2776</v>
      </c>
      <c r="C8" s="148"/>
      <c r="D8" s="148"/>
      <c r="E8" s="45"/>
      <c r="F8" s="89">
        <f>N7*1.2</f>
        <v>0</v>
      </c>
      <c r="G8" s="45"/>
      <c r="H8" s="45"/>
      <c r="J8" s="102" t="s">
        <v>298</v>
      </c>
      <c r="K8" s="99">
        <f>IF(K7=0,0,IF(K7*112.06&lt;56.03,56.03,K7*112.06))</f>
        <v>0</v>
      </c>
      <c r="L8" s="99">
        <f>IF(L7=0,0,IF(L7*188.17&lt;94.09,94.09,L7*188.17))</f>
        <v>0</v>
      </c>
      <c r="M8" s="99">
        <f>M7*61.62</f>
        <v>0</v>
      </c>
      <c r="N8" s="99">
        <f>N7*65</f>
        <v>0</v>
      </c>
      <c r="O8" s="99">
        <f>O7*57.14</f>
        <v>0</v>
      </c>
      <c r="P8" s="99">
        <f>P7*45</f>
        <v>0</v>
      </c>
    </row>
    <row r="9" spans="2:18" ht="24.95" customHeight="1" thickBot="1">
      <c r="B9" s="45" t="s">
        <v>2774</v>
      </c>
      <c r="C9" s="148"/>
      <c r="D9" s="148"/>
      <c r="E9" s="45"/>
      <c r="F9" s="89"/>
      <c r="G9" s="45"/>
      <c r="H9" s="45"/>
    </row>
    <row r="10" spans="2:18" ht="24.95" customHeight="1">
      <c r="B10" s="45" t="s">
        <v>2775</v>
      </c>
      <c r="C10" s="148"/>
      <c r="D10" s="148"/>
      <c r="E10" s="45"/>
      <c r="F10" s="89"/>
      <c r="G10" s="45"/>
      <c r="H10" s="45"/>
      <c r="J10" s="152" t="s">
        <v>298</v>
      </c>
      <c r="K10" s="115" t="s">
        <v>2881</v>
      </c>
      <c r="L10" s="99">
        <f>SUM('FB Laser'!AD39:AD65)</f>
        <v>0</v>
      </c>
      <c r="M10" s="100" t="s">
        <v>2905</v>
      </c>
      <c r="N10" s="122" t="s">
        <v>2874</v>
      </c>
      <c r="O10" s="99">
        <f>'FB Laser'!Z9+'Tube Laser'!AB8</f>
        <v>0</v>
      </c>
      <c r="P10" s="100" t="s">
        <v>2951</v>
      </c>
      <c r="Q10" s="122" t="s">
        <v>2872</v>
      </c>
      <c r="R10" s="99">
        <f>Welding!D6</f>
        <v>0</v>
      </c>
    </row>
    <row r="11" spans="2:18" ht="24.95" customHeight="1" thickBot="1">
      <c r="B11" s="45" t="s">
        <v>2763</v>
      </c>
      <c r="C11" s="148"/>
      <c r="D11" s="148"/>
      <c r="E11" s="45"/>
      <c r="F11" s="89">
        <f>M7*1.05</f>
        <v>0</v>
      </c>
      <c r="G11" s="45"/>
      <c r="H11" s="45"/>
      <c r="J11" s="153"/>
      <c r="K11" s="116" t="s">
        <v>2882</v>
      </c>
      <c r="L11" s="99">
        <f>SUM('Tube Laser'!AE30:AE56)</f>
        <v>0</v>
      </c>
      <c r="N11" s="122" t="s">
        <v>2883</v>
      </c>
      <c r="O11" s="99">
        <f>'FB Laser'!Z8+'Tube Laser'!AB7</f>
        <v>0</v>
      </c>
      <c r="P11" s="100" t="s">
        <v>2952</v>
      </c>
      <c r="Q11" s="122" t="s">
        <v>2778</v>
      </c>
      <c r="R11" s="99">
        <f ca="1">Finishing!H101</f>
        <v>0</v>
      </c>
    </row>
    <row r="12" spans="2:18" ht="24.95" customHeight="1">
      <c r="B12" s="45" t="s">
        <v>2764</v>
      </c>
      <c r="C12" s="148"/>
      <c r="D12" s="148"/>
      <c r="E12" s="45"/>
      <c r="F12" s="89">
        <f>'Quote Info'!O7*1.05</f>
        <v>0</v>
      </c>
      <c r="G12" s="45"/>
      <c r="H12" s="45"/>
      <c r="J12" s="154" t="s">
        <v>2924</v>
      </c>
      <c r="K12" s="117" t="s">
        <v>2919</v>
      </c>
      <c r="L12" s="99">
        <f>'FB Data'!AL118</f>
        <v>0</v>
      </c>
      <c r="N12" s="122" t="s">
        <v>2884</v>
      </c>
      <c r="O12" s="99">
        <f>'FB Laser'!Z2+'Tube Laser'!AB2</f>
        <v>0</v>
      </c>
      <c r="P12" s="100" t="s">
        <v>2953</v>
      </c>
    </row>
    <row r="13" spans="2:18" ht="24.95" customHeight="1">
      <c r="B13" s="45" t="s">
        <v>2767</v>
      </c>
      <c r="C13" s="148"/>
      <c r="D13" s="148"/>
      <c r="E13" s="45"/>
      <c r="F13" s="89">
        <f ca="1">'Phase Codes'!D13</f>
        <v>0</v>
      </c>
      <c r="G13" s="45"/>
      <c r="H13" s="45"/>
      <c r="J13" s="155"/>
      <c r="K13" s="118" t="s">
        <v>2920</v>
      </c>
      <c r="L13" s="99">
        <f>'FB Data'!AQ118</f>
        <v>0</v>
      </c>
      <c r="N13" s="122" t="s">
        <v>2886</v>
      </c>
      <c r="O13" s="99">
        <f>'FB Laser'!Z3+'Tube Laser'!AB3+(SUM(Machining!E10:E100)/60*60)</f>
        <v>120</v>
      </c>
      <c r="P13" s="100" t="s">
        <v>2954</v>
      </c>
    </row>
    <row r="14" spans="2:18" ht="24.95" customHeight="1" thickBot="1">
      <c r="B14" s="45" t="s">
        <v>2777</v>
      </c>
      <c r="C14" s="148"/>
      <c r="D14" s="148"/>
      <c r="E14" s="45"/>
      <c r="F14" s="89"/>
      <c r="G14" s="45"/>
      <c r="H14" s="45"/>
      <c r="J14" s="156"/>
      <c r="K14" s="119" t="s">
        <v>2921</v>
      </c>
      <c r="L14" s="99">
        <f>SUM(Forming!J10:J99)/60*35</f>
        <v>0</v>
      </c>
      <c r="N14" s="122" t="s">
        <v>2885</v>
      </c>
      <c r="O14" s="99">
        <f>'FB Laser'!Z5</f>
        <v>0</v>
      </c>
      <c r="P14" s="100" t="s">
        <v>2955</v>
      </c>
    </row>
    <row r="15" spans="2:18" ht="24.95" customHeight="1">
      <c r="B15" s="45" t="s">
        <v>2778</v>
      </c>
      <c r="C15" s="148"/>
      <c r="D15" s="148"/>
      <c r="E15" s="45"/>
      <c r="F15" s="89">
        <f>Finishing!I101/60</f>
        <v>0</v>
      </c>
      <c r="G15" s="45"/>
      <c r="H15" s="45"/>
      <c r="N15" s="122" t="s">
        <v>2931</v>
      </c>
      <c r="O15" s="99">
        <f>'FB Laser'!Z6+'Tube Laser'!AB4</f>
        <v>0</v>
      </c>
      <c r="P15" s="100" t="s">
        <v>2956</v>
      </c>
    </row>
    <row r="16" spans="2:18" ht="24.95" customHeight="1">
      <c r="B16" s="45" t="s">
        <v>2779</v>
      </c>
      <c r="C16" s="148"/>
      <c r="D16" s="148"/>
      <c r="E16" s="45"/>
      <c r="F16" s="89"/>
      <c r="G16" s="45"/>
      <c r="H16" s="45"/>
      <c r="N16" s="122" t="s">
        <v>2932</v>
      </c>
      <c r="O16" s="99">
        <f ca="1">'FB Data'!AT118+'FB Data'!AU118-O17-(SUM(Machining!E10:E100)/60*60)</f>
        <v>0</v>
      </c>
      <c r="P16" s="100" t="s">
        <v>2957</v>
      </c>
    </row>
    <row r="17" spans="2:16" ht="24.95" customHeight="1" thickBot="1">
      <c r="B17" s="45" t="s">
        <v>2844</v>
      </c>
      <c r="C17" s="148"/>
      <c r="D17" s="148"/>
      <c r="E17" s="45"/>
      <c r="F17" s="89"/>
      <c r="G17" s="45"/>
      <c r="H17" s="45"/>
      <c r="N17" s="122" t="s">
        <v>2944</v>
      </c>
      <c r="O17" s="99">
        <f>SUM(Machining!C10:C100)</f>
        <v>0</v>
      </c>
      <c r="P17" s="100" t="s">
        <v>2958</v>
      </c>
    </row>
    <row r="18" spans="2:16" ht="24.95" customHeight="1" thickBot="1">
      <c r="B18" s="45" t="s">
        <v>2768</v>
      </c>
      <c r="C18" s="148"/>
      <c r="D18" s="148"/>
      <c r="E18" s="45"/>
      <c r="F18" s="89">
        <f>'Quote Info'!P7*1.05</f>
        <v>0</v>
      </c>
      <c r="G18" s="45"/>
      <c r="H18" s="45"/>
      <c r="J18" s="107" t="s">
        <v>2911</v>
      </c>
      <c r="K18" s="114"/>
      <c r="L18" s="109"/>
      <c r="M18" s="109"/>
      <c r="N18" s="109"/>
      <c r="O18" s="109"/>
      <c r="P18" s="110"/>
    </row>
    <row r="19" spans="2:16" ht="24.95" customHeight="1">
      <c r="B19" s="45" t="s">
        <v>2773</v>
      </c>
      <c r="C19" s="148"/>
      <c r="D19" s="148"/>
      <c r="E19" s="45"/>
      <c r="F19" s="89"/>
      <c r="G19" s="45"/>
      <c r="H19" s="45"/>
      <c r="J19" s="106"/>
      <c r="K19" s="106"/>
      <c r="L19" s="106"/>
      <c r="M19" s="106"/>
      <c r="N19" s="106"/>
      <c r="O19" s="106"/>
      <c r="P19" s="106"/>
    </row>
    <row r="20" spans="2:16" ht="24.95" customHeight="1">
      <c r="B20" s="45" t="s">
        <v>2769</v>
      </c>
      <c r="C20" s="148"/>
      <c r="D20" s="148"/>
      <c r="E20" s="45"/>
      <c r="F20" s="89"/>
      <c r="G20" s="45"/>
      <c r="H20" s="45"/>
    </row>
    <row r="21" spans="2:16" ht="24.95" customHeight="1">
      <c r="B21" s="45" t="s">
        <v>2770</v>
      </c>
      <c r="C21" s="148"/>
      <c r="D21" s="148"/>
      <c r="E21" s="45"/>
      <c r="F21" s="89"/>
      <c r="G21" s="45"/>
      <c r="H21" s="45"/>
    </row>
    <row r="23" spans="2:16" ht="15.75" thickBot="1"/>
    <row r="24" spans="2:16" ht="15.75" thickBot="1">
      <c r="B24" s="63" t="s">
        <v>2832</v>
      </c>
      <c r="C24" s="64"/>
      <c r="D24" s="65" t="s">
        <v>2833</v>
      </c>
    </row>
  </sheetData>
  <mergeCells count="4">
    <mergeCell ref="C3:D21"/>
    <mergeCell ref="J2:N2"/>
    <mergeCell ref="J10:J11"/>
    <mergeCell ref="J12:J14"/>
  </mergeCells>
  <pageMargins left="0.7" right="0.7" top="0.75" bottom="0.75" header="0.3" footer="0.3"/>
  <pageSetup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50" r:id="rId4" name="Check Box 6">
              <controlPr defaultSize="0" autoFill="0" autoLine="0" autoPict="0">
                <anchor moveWithCells="1">
                  <from>
                    <xdr:col>2</xdr:col>
                    <xdr:colOff>266700</xdr:colOff>
                    <xdr:row>2</xdr:row>
                    <xdr:rowOff>57150</xdr:rowOff>
                  </from>
                  <to>
                    <xdr:col>2</xdr:col>
                    <xdr:colOff>685800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5" name="Check Box 7">
              <controlPr defaultSize="0" autoFill="0" autoLine="0" autoPict="0">
                <anchor moveWithCells="1">
                  <from>
                    <xdr:col>3</xdr:col>
                    <xdr:colOff>266700</xdr:colOff>
                    <xdr:row>2</xdr:row>
                    <xdr:rowOff>57150</xdr:rowOff>
                  </from>
                  <to>
                    <xdr:col>3</xdr:col>
                    <xdr:colOff>647700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6" name="Check Box 8">
              <controlPr defaultSize="0" autoFill="0" autoLine="0" autoPict="0">
                <anchor moveWithCells="1">
                  <from>
                    <xdr:col>2</xdr:col>
                    <xdr:colOff>266700</xdr:colOff>
                    <xdr:row>3</xdr:row>
                    <xdr:rowOff>57150</xdr:rowOff>
                  </from>
                  <to>
                    <xdr:col>2</xdr:col>
                    <xdr:colOff>647700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7" name="Check Box 9">
              <controlPr defaultSize="0" autoFill="0" autoLine="0" autoPict="0">
                <anchor moveWithCells="1">
                  <from>
                    <xdr:col>3</xdr:col>
                    <xdr:colOff>266700</xdr:colOff>
                    <xdr:row>3</xdr:row>
                    <xdr:rowOff>57150</xdr:rowOff>
                  </from>
                  <to>
                    <xdr:col>3</xdr:col>
                    <xdr:colOff>628650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8" name="Check Box 10">
              <controlPr defaultSize="0" autoFill="0" autoLine="0" autoPict="0">
                <anchor moveWithCells="1">
                  <from>
                    <xdr:col>2</xdr:col>
                    <xdr:colOff>266700</xdr:colOff>
                    <xdr:row>4</xdr:row>
                    <xdr:rowOff>57150</xdr:rowOff>
                  </from>
                  <to>
                    <xdr:col>2</xdr:col>
                    <xdr:colOff>657225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9" name="Check Box 11">
              <controlPr defaultSize="0" autoFill="0" autoLine="0" autoPict="0">
                <anchor moveWithCells="1">
                  <from>
                    <xdr:col>3</xdr:col>
                    <xdr:colOff>266700</xdr:colOff>
                    <xdr:row>4</xdr:row>
                    <xdr:rowOff>57150</xdr:rowOff>
                  </from>
                  <to>
                    <xdr:col>3</xdr:col>
                    <xdr:colOff>714375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0" name="Check Box 12">
              <controlPr defaultSize="0" autoFill="0" autoLine="0" autoPict="0">
                <anchor moveWithCells="1">
                  <from>
                    <xdr:col>2</xdr:col>
                    <xdr:colOff>266700</xdr:colOff>
                    <xdr:row>5</xdr:row>
                    <xdr:rowOff>57150</xdr:rowOff>
                  </from>
                  <to>
                    <xdr:col>2</xdr:col>
                    <xdr:colOff>657225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1" name="Check Box 13">
              <controlPr defaultSize="0" autoFill="0" autoLine="0" autoPict="0">
                <anchor moveWithCells="1">
                  <from>
                    <xdr:col>3</xdr:col>
                    <xdr:colOff>266700</xdr:colOff>
                    <xdr:row>5</xdr:row>
                    <xdr:rowOff>57150</xdr:rowOff>
                  </from>
                  <to>
                    <xdr:col>3</xdr:col>
                    <xdr:colOff>685800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2" name="Check Box 14">
              <controlPr defaultSize="0" autoFill="0" autoLine="0" autoPict="0">
                <anchor moveWithCells="1">
                  <from>
                    <xdr:col>2</xdr:col>
                    <xdr:colOff>266700</xdr:colOff>
                    <xdr:row>6</xdr:row>
                    <xdr:rowOff>57150</xdr:rowOff>
                  </from>
                  <to>
                    <xdr:col>2</xdr:col>
                    <xdr:colOff>666750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3" name="Check Box 15">
              <controlPr defaultSize="0" autoFill="0" autoLine="0" autoPict="0">
                <anchor moveWithCells="1">
                  <from>
                    <xdr:col>3</xdr:col>
                    <xdr:colOff>266700</xdr:colOff>
                    <xdr:row>6</xdr:row>
                    <xdr:rowOff>57150</xdr:rowOff>
                  </from>
                  <to>
                    <xdr:col>3</xdr:col>
                    <xdr:colOff>676275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4" name="Check Box 16">
              <controlPr defaultSize="0" autoFill="0" autoLine="0" autoPict="0">
                <anchor moveWithCells="1">
                  <from>
                    <xdr:col>2</xdr:col>
                    <xdr:colOff>266700</xdr:colOff>
                    <xdr:row>7</xdr:row>
                    <xdr:rowOff>57150</xdr:rowOff>
                  </from>
                  <to>
                    <xdr:col>2</xdr:col>
                    <xdr:colOff>647700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15" name="Check Box 17">
              <controlPr defaultSize="0" autoFill="0" autoLine="0" autoPict="0">
                <anchor moveWithCells="1">
                  <from>
                    <xdr:col>3</xdr:col>
                    <xdr:colOff>266700</xdr:colOff>
                    <xdr:row>7</xdr:row>
                    <xdr:rowOff>57150</xdr:rowOff>
                  </from>
                  <to>
                    <xdr:col>3</xdr:col>
                    <xdr:colOff>676275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16" name="Check Box 18">
              <controlPr defaultSize="0" autoFill="0" autoLine="0" autoPict="0">
                <anchor moveWithCells="1">
                  <from>
                    <xdr:col>2</xdr:col>
                    <xdr:colOff>266700</xdr:colOff>
                    <xdr:row>8</xdr:row>
                    <xdr:rowOff>57150</xdr:rowOff>
                  </from>
                  <to>
                    <xdr:col>2</xdr:col>
                    <xdr:colOff>647700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17" name="Check Box 19">
              <controlPr defaultSize="0" autoFill="0" autoLine="0" autoPict="0">
                <anchor moveWithCells="1">
                  <from>
                    <xdr:col>3</xdr:col>
                    <xdr:colOff>266700</xdr:colOff>
                    <xdr:row>8</xdr:row>
                    <xdr:rowOff>57150</xdr:rowOff>
                  </from>
                  <to>
                    <xdr:col>3</xdr:col>
                    <xdr:colOff>657225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18" name="Check Box 20">
              <controlPr defaultSize="0" autoFill="0" autoLine="0" autoPict="0">
                <anchor moveWithCells="1">
                  <from>
                    <xdr:col>2</xdr:col>
                    <xdr:colOff>266700</xdr:colOff>
                    <xdr:row>9</xdr:row>
                    <xdr:rowOff>57150</xdr:rowOff>
                  </from>
                  <to>
                    <xdr:col>2</xdr:col>
                    <xdr:colOff>647700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19" name="Check Box 21">
              <controlPr defaultSize="0" autoFill="0" autoLine="0" autoPict="0">
                <anchor moveWithCells="1">
                  <from>
                    <xdr:col>3</xdr:col>
                    <xdr:colOff>266700</xdr:colOff>
                    <xdr:row>9</xdr:row>
                    <xdr:rowOff>57150</xdr:rowOff>
                  </from>
                  <to>
                    <xdr:col>3</xdr:col>
                    <xdr:colOff>685800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0" name="Check Box 22">
              <controlPr defaultSize="0" autoFill="0" autoLine="0" autoPict="0">
                <anchor moveWithCells="1">
                  <from>
                    <xdr:col>2</xdr:col>
                    <xdr:colOff>266700</xdr:colOff>
                    <xdr:row>10</xdr:row>
                    <xdr:rowOff>95250</xdr:rowOff>
                  </from>
                  <to>
                    <xdr:col>2</xdr:col>
                    <xdr:colOff>647700</xdr:colOff>
                    <xdr:row>11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1" name="Check Box 23">
              <controlPr defaultSize="0" autoFill="0" autoLine="0" autoPict="0">
                <anchor moveWithCells="1">
                  <from>
                    <xdr:col>3</xdr:col>
                    <xdr:colOff>266700</xdr:colOff>
                    <xdr:row>10</xdr:row>
                    <xdr:rowOff>95250</xdr:rowOff>
                  </from>
                  <to>
                    <xdr:col>3</xdr:col>
                    <xdr:colOff>609600</xdr:colOff>
                    <xdr:row>11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2" name="Check Box 24">
              <controlPr defaultSize="0" autoFill="0" autoLine="0" autoPict="0">
                <anchor moveWithCells="1">
                  <from>
                    <xdr:col>2</xdr:col>
                    <xdr:colOff>266700</xdr:colOff>
                    <xdr:row>11</xdr:row>
                    <xdr:rowOff>95250</xdr:rowOff>
                  </from>
                  <to>
                    <xdr:col>2</xdr:col>
                    <xdr:colOff>685800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23" name="Check Box 25">
              <controlPr defaultSize="0" autoFill="0" autoLine="0" autoPict="0">
                <anchor moveWithCells="1">
                  <from>
                    <xdr:col>3</xdr:col>
                    <xdr:colOff>266700</xdr:colOff>
                    <xdr:row>11</xdr:row>
                    <xdr:rowOff>95250</xdr:rowOff>
                  </from>
                  <to>
                    <xdr:col>3</xdr:col>
                    <xdr:colOff>619125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24" name="Check Box 26">
              <controlPr defaultSize="0" autoFill="0" autoLine="0" autoPict="0">
                <anchor moveWithCells="1">
                  <from>
                    <xdr:col>2</xdr:col>
                    <xdr:colOff>266700</xdr:colOff>
                    <xdr:row>12</xdr:row>
                    <xdr:rowOff>95250</xdr:rowOff>
                  </from>
                  <to>
                    <xdr:col>2</xdr:col>
                    <xdr:colOff>676275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1" r:id="rId25" name="Check Box 27">
              <controlPr defaultSize="0" autoFill="0" autoLine="0" autoPict="0">
                <anchor moveWithCells="1">
                  <from>
                    <xdr:col>3</xdr:col>
                    <xdr:colOff>266700</xdr:colOff>
                    <xdr:row>12</xdr:row>
                    <xdr:rowOff>95250</xdr:rowOff>
                  </from>
                  <to>
                    <xdr:col>3</xdr:col>
                    <xdr:colOff>571500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26" name="Check Box 28">
              <controlPr defaultSize="0" autoFill="0" autoLine="0" autoPict="0">
                <anchor moveWithCells="1">
                  <from>
                    <xdr:col>2</xdr:col>
                    <xdr:colOff>266700</xdr:colOff>
                    <xdr:row>13</xdr:row>
                    <xdr:rowOff>95250</xdr:rowOff>
                  </from>
                  <to>
                    <xdr:col>2</xdr:col>
                    <xdr:colOff>714375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27" name="Check Box 29">
              <controlPr defaultSize="0" autoFill="0" autoLine="0" autoPict="0">
                <anchor moveWithCells="1">
                  <from>
                    <xdr:col>3</xdr:col>
                    <xdr:colOff>266700</xdr:colOff>
                    <xdr:row>13</xdr:row>
                    <xdr:rowOff>95250</xdr:rowOff>
                  </from>
                  <to>
                    <xdr:col>3</xdr:col>
                    <xdr:colOff>638175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28" name="Check Box 30">
              <controlPr defaultSize="0" autoFill="0" autoLine="0" autoPict="0">
                <anchor moveWithCells="1">
                  <from>
                    <xdr:col>2</xdr:col>
                    <xdr:colOff>266700</xdr:colOff>
                    <xdr:row>14</xdr:row>
                    <xdr:rowOff>95250</xdr:rowOff>
                  </from>
                  <to>
                    <xdr:col>2</xdr:col>
                    <xdr:colOff>647700</xdr:colOff>
                    <xdr:row>15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5" r:id="rId29" name="Check Box 31">
              <controlPr defaultSize="0" autoFill="0" autoLine="0" autoPict="0">
                <anchor moveWithCells="1">
                  <from>
                    <xdr:col>3</xdr:col>
                    <xdr:colOff>266700</xdr:colOff>
                    <xdr:row>14</xdr:row>
                    <xdr:rowOff>95250</xdr:rowOff>
                  </from>
                  <to>
                    <xdr:col>3</xdr:col>
                    <xdr:colOff>676275</xdr:colOff>
                    <xdr:row>15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6" r:id="rId30" name="Check Box 32">
              <controlPr defaultSize="0" autoFill="0" autoLine="0" autoPict="0">
                <anchor moveWithCells="1">
                  <from>
                    <xdr:col>2</xdr:col>
                    <xdr:colOff>266700</xdr:colOff>
                    <xdr:row>15</xdr:row>
                    <xdr:rowOff>95250</xdr:rowOff>
                  </from>
                  <to>
                    <xdr:col>2</xdr:col>
                    <xdr:colOff>704850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7" r:id="rId31" name="Check Box 33">
              <controlPr defaultSize="0" autoFill="0" autoLine="0" autoPict="0">
                <anchor moveWithCells="1">
                  <from>
                    <xdr:col>3</xdr:col>
                    <xdr:colOff>266700</xdr:colOff>
                    <xdr:row>15</xdr:row>
                    <xdr:rowOff>95250</xdr:rowOff>
                  </from>
                  <to>
                    <xdr:col>3</xdr:col>
                    <xdr:colOff>676275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8" r:id="rId32" name="Check Box 34">
              <controlPr defaultSize="0" autoFill="0" autoLine="0" autoPict="0">
                <anchor moveWithCells="1">
                  <from>
                    <xdr:col>2</xdr:col>
                    <xdr:colOff>266700</xdr:colOff>
                    <xdr:row>17</xdr:row>
                    <xdr:rowOff>95250</xdr:rowOff>
                  </from>
                  <to>
                    <xdr:col>2</xdr:col>
                    <xdr:colOff>647700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9" r:id="rId33" name="Check Box 35">
              <controlPr defaultSize="0" autoFill="0" autoLine="0" autoPict="0">
                <anchor moveWithCells="1">
                  <from>
                    <xdr:col>3</xdr:col>
                    <xdr:colOff>266700</xdr:colOff>
                    <xdr:row>17</xdr:row>
                    <xdr:rowOff>95250</xdr:rowOff>
                  </from>
                  <to>
                    <xdr:col>3</xdr:col>
                    <xdr:colOff>581025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0" r:id="rId34" name="Check Box 36">
              <controlPr defaultSize="0" autoFill="0" autoLine="0" autoPict="0">
                <anchor moveWithCells="1">
                  <from>
                    <xdr:col>2</xdr:col>
                    <xdr:colOff>266700</xdr:colOff>
                    <xdr:row>18</xdr:row>
                    <xdr:rowOff>95250</xdr:rowOff>
                  </from>
                  <to>
                    <xdr:col>2</xdr:col>
                    <xdr:colOff>628650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1" r:id="rId35" name="Check Box 37">
              <controlPr defaultSize="0" autoFill="0" autoLine="0" autoPict="0">
                <anchor moveWithCells="1">
                  <from>
                    <xdr:col>3</xdr:col>
                    <xdr:colOff>266700</xdr:colOff>
                    <xdr:row>18</xdr:row>
                    <xdr:rowOff>95250</xdr:rowOff>
                  </from>
                  <to>
                    <xdr:col>3</xdr:col>
                    <xdr:colOff>647700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2" r:id="rId36" name="Check Box 38">
              <controlPr defaultSize="0" autoFill="0" autoLine="0" autoPict="0">
                <anchor moveWithCells="1">
                  <from>
                    <xdr:col>2</xdr:col>
                    <xdr:colOff>266700</xdr:colOff>
                    <xdr:row>19</xdr:row>
                    <xdr:rowOff>85725</xdr:rowOff>
                  </from>
                  <to>
                    <xdr:col>2</xdr:col>
                    <xdr:colOff>628650</xdr:colOff>
                    <xdr:row>20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3" r:id="rId37" name="Check Box 39">
              <controlPr defaultSize="0" autoFill="0" autoLine="0" autoPict="0">
                <anchor moveWithCells="1">
                  <from>
                    <xdr:col>3</xdr:col>
                    <xdr:colOff>266700</xdr:colOff>
                    <xdr:row>19</xdr:row>
                    <xdr:rowOff>85725</xdr:rowOff>
                  </from>
                  <to>
                    <xdr:col>3</xdr:col>
                    <xdr:colOff>647700</xdr:colOff>
                    <xdr:row>20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4" r:id="rId38" name="Check Box 40">
              <controlPr defaultSize="0" autoFill="0" autoLine="0" autoPict="0">
                <anchor moveWithCells="1">
                  <from>
                    <xdr:col>2</xdr:col>
                    <xdr:colOff>266700</xdr:colOff>
                    <xdr:row>20</xdr:row>
                    <xdr:rowOff>85725</xdr:rowOff>
                  </from>
                  <to>
                    <xdr:col>2</xdr:col>
                    <xdr:colOff>619125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5" r:id="rId39" name="Check Box 41">
              <controlPr defaultSize="0" autoFill="0" autoLine="0" autoPict="0">
                <anchor moveWithCells="1">
                  <from>
                    <xdr:col>3</xdr:col>
                    <xdr:colOff>266700</xdr:colOff>
                    <xdr:row>20</xdr:row>
                    <xdr:rowOff>85725</xdr:rowOff>
                  </from>
                  <to>
                    <xdr:col>3</xdr:col>
                    <xdr:colOff>628650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6" r:id="rId40" name="Check Box 42">
              <controlPr defaultSize="0" autoFill="0" autoLine="0" autoPict="0">
                <anchor moveWithCells="1">
                  <from>
                    <xdr:col>2</xdr:col>
                    <xdr:colOff>266700</xdr:colOff>
                    <xdr:row>16</xdr:row>
                    <xdr:rowOff>76200</xdr:rowOff>
                  </from>
                  <to>
                    <xdr:col>2</xdr:col>
                    <xdr:colOff>619125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7" r:id="rId41" name="Check Box 43">
              <controlPr defaultSize="0" autoFill="0" autoLine="0" autoPict="0">
                <anchor moveWithCells="1">
                  <from>
                    <xdr:col>3</xdr:col>
                    <xdr:colOff>266700</xdr:colOff>
                    <xdr:row>16</xdr:row>
                    <xdr:rowOff>104775</xdr:rowOff>
                  </from>
                  <to>
                    <xdr:col>3</xdr:col>
                    <xdr:colOff>619125</xdr:colOff>
                    <xdr:row>17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B2:T117"/>
  <sheetViews>
    <sheetView zoomScale="120" zoomScaleNormal="120" workbookViewId="0">
      <selection activeCell="G10" sqref="G10"/>
    </sheetView>
  </sheetViews>
  <sheetFormatPr defaultRowHeight="15"/>
  <cols>
    <col min="2" max="2" width="11.7109375" bestFit="1" customWidth="1"/>
    <col min="3" max="3" width="23.28515625" bestFit="1" customWidth="1"/>
    <col min="5" max="5" width="13.5703125" customWidth="1"/>
    <col min="7" max="7" width="9.7109375" bestFit="1" customWidth="1"/>
  </cols>
  <sheetData>
    <row r="2" spans="2:20">
      <c r="B2" s="97" t="s">
        <v>2888</v>
      </c>
      <c r="C2" s="97" t="s">
        <v>2889</v>
      </c>
      <c r="D2" s="97" t="s">
        <v>2904</v>
      </c>
      <c r="E2" s="97" t="s">
        <v>298</v>
      </c>
      <c r="H2" s="108" t="s">
        <v>2906</v>
      </c>
      <c r="I2" s="157">
        <f>'Quote Info'!K18</f>
        <v>0</v>
      </c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9"/>
    </row>
    <row r="3" spans="2:20">
      <c r="B3" s="15">
        <v>1010</v>
      </c>
      <c r="C3" s="98" t="s">
        <v>2890</v>
      </c>
      <c r="D3" s="103"/>
      <c r="E3" s="104">
        <f>'Quote Info'!L10+'Quote Info'!L11</f>
        <v>0</v>
      </c>
    </row>
    <row r="4" spans="2:20">
      <c r="B4" s="15">
        <v>2120</v>
      </c>
      <c r="C4" s="98" t="s">
        <v>2891</v>
      </c>
      <c r="D4" s="103"/>
      <c r="E4" s="104">
        <f>'Quote Info'!O14+'Quote Info'!O17+'Quote Info'!R10</f>
        <v>0</v>
      </c>
      <c r="H4" s="160" t="s">
        <v>2912</v>
      </c>
      <c r="I4" s="161"/>
    </row>
    <row r="5" spans="2:20">
      <c r="B5" s="15">
        <v>3070</v>
      </c>
      <c r="C5" s="98" t="s">
        <v>2892</v>
      </c>
      <c r="D5" s="103">
        <f>E5/60</f>
        <v>2</v>
      </c>
      <c r="E5" s="104">
        <f>'Quote Info'!O13</f>
        <v>120</v>
      </c>
      <c r="H5" t="s">
        <v>2913</v>
      </c>
      <c r="I5" t="s">
        <v>2914</v>
      </c>
    </row>
    <row r="6" spans="2:20">
      <c r="B6" s="15">
        <v>4310</v>
      </c>
      <c r="C6" s="98" t="s">
        <v>2893</v>
      </c>
      <c r="D6" s="103">
        <f>E6/75</f>
        <v>0</v>
      </c>
      <c r="E6" s="104">
        <f>'Quote Info'!O10</f>
        <v>0</v>
      </c>
      <c r="H6" t="str">
        <f ca="1">Notes!A5</f>
        <v/>
      </c>
      <c r="I6" s="113">
        <f>Notes!B5</f>
        <v>0</v>
      </c>
    </row>
    <row r="7" spans="2:20">
      <c r="B7" s="15">
        <v>4410</v>
      </c>
      <c r="C7" s="98" t="s">
        <v>2894</v>
      </c>
      <c r="D7" s="103">
        <f>'Quote Info'!F11</f>
        <v>0</v>
      </c>
      <c r="E7" s="104">
        <f>D7*(44.5/1.05)</f>
        <v>0</v>
      </c>
      <c r="H7" t="str">
        <f ca="1">Notes!A6</f>
        <v/>
      </c>
      <c r="I7" s="113">
        <f>Notes!B6</f>
        <v>0</v>
      </c>
    </row>
    <row r="8" spans="2:20">
      <c r="B8" s="15">
        <v>4420</v>
      </c>
      <c r="C8" s="98" t="s">
        <v>2895</v>
      </c>
      <c r="D8" s="103">
        <f>'Quote Info'!F12</f>
        <v>0</v>
      </c>
      <c r="E8" s="104">
        <f>'Quote Info'!O8</f>
        <v>0</v>
      </c>
      <c r="H8" t="str">
        <f ca="1">Notes!A7</f>
        <v/>
      </c>
      <c r="I8" s="113">
        <f>Notes!B7</f>
        <v>0</v>
      </c>
    </row>
    <row r="9" spans="2:20">
      <c r="B9" s="15">
        <v>4430</v>
      </c>
      <c r="C9" s="98" t="s">
        <v>2896</v>
      </c>
      <c r="D9" s="103">
        <f>IF('Quote Info'!F3=0,0,IF('Quote Info'!F3&lt;0.5,0.5,'Quote Info'!F3))</f>
        <v>0</v>
      </c>
      <c r="E9" s="104">
        <f>D9*(72.44/1.2)</f>
        <v>0</v>
      </c>
      <c r="H9" t="str">
        <f ca="1">Notes!A8</f>
        <v/>
      </c>
      <c r="I9" s="113">
        <f>Notes!B8</f>
        <v>0</v>
      </c>
    </row>
    <row r="10" spans="2:20">
      <c r="B10" s="15">
        <v>4440</v>
      </c>
      <c r="C10" s="98" t="s">
        <v>2897</v>
      </c>
      <c r="D10" s="103">
        <f>IF('Quote Info'!F4=0,0,IF('Quote Info'!F4&lt;0.5,0.5,'Quote Info'!F4))</f>
        <v>0</v>
      </c>
      <c r="E10" s="104">
        <f>D10*(107.54/1.4)</f>
        <v>0</v>
      </c>
      <c r="H10" t="str">
        <f ca="1">Notes!A9</f>
        <v/>
      </c>
      <c r="I10" s="113">
        <f>Notes!B9</f>
        <v>0</v>
      </c>
    </row>
    <row r="11" spans="2:20">
      <c r="B11" s="15">
        <v>4450</v>
      </c>
      <c r="C11" s="98" t="s">
        <v>2898</v>
      </c>
      <c r="D11" s="103">
        <f>'FB Data'!AL5</f>
        <v>0</v>
      </c>
      <c r="E11" s="104">
        <f>'FB Data'!AK5</f>
        <v>0</v>
      </c>
      <c r="H11" t="str">
        <f ca="1">Notes!A10</f>
        <v/>
      </c>
      <c r="I11" s="113">
        <f>Notes!B10</f>
        <v>0</v>
      </c>
    </row>
    <row r="12" spans="2:20">
      <c r="B12" s="15">
        <v>4460</v>
      </c>
      <c r="C12" s="98" t="s">
        <v>2928</v>
      </c>
      <c r="D12" s="103">
        <f>E12/60</f>
        <v>0</v>
      </c>
      <c r="E12" s="104">
        <f>'Quote Info'!O15</f>
        <v>0</v>
      </c>
      <c r="H12" t="str">
        <f ca="1">Notes!A11</f>
        <v/>
      </c>
      <c r="I12" s="113">
        <f>Notes!B11</f>
        <v>0</v>
      </c>
    </row>
    <row r="13" spans="2:20">
      <c r="B13" s="15">
        <v>4470</v>
      </c>
      <c r="C13" s="98" t="s">
        <v>2929</v>
      </c>
      <c r="D13" s="103">
        <f ca="1">'Quote Info'!Q7</f>
        <v>0</v>
      </c>
      <c r="E13" s="104">
        <f ca="1">D13*55.5</f>
        <v>0</v>
      </c>
      <c r="H13" t="str">
        <f ca="1">Notes!A12</f>
        <v/>
      </c>
      <c r="I13" s="113">
        <f>Notes!B12</f>
        <v>0</v>
      </c>
    </row>
    <row r="14" spans="2:20">
      <c r="B14" s="15">
        <v>4480</v>
      </c>
      <c r="C14" s="98" t="s">
        <v>2959</v>
      </c>
      <c r="D14" s="103">
        <f>Finishing!I101/60</f>
        <v>0</v>
      </c>
      <c r="E14" s="104">
        <f>D14*100</f>
        <v>0</v>
      </c>
      <c r="H14" t="str">
        <f ca="1">Notes!A13</f>
        <v/>
      </c>
      <c r="I14" s="113">
        <f>Notes!B13</f>
        <v>0</v>
      </c>
    </row>
    <row r="15" spans="2:20">
      <c r="B15" s="15">
        <v>5010</v>
      </c>
      <c r="C15" s="98" t="s">
        <v>2899</v>
      </c>
      <c r="D15" s="103"/>
      <c r="E15" s="104">
        <f>'Quote Info'!O11</f>
        <v>0</v>
      </c>
      <c r="H15" t="str">
        <f ca="1">Notes!A14</f>
        <v/>
      </c>
      <c r="I15" s="113">
        <f>Notes!B14</f>
        <v>0</v>
      </c>
    </row>
    <row r="16" spans="2:20">
      <c r="B16" s="15">
        <v>5550</v>
      </c>
      <c r="C16" s="98" t="s">
        <v>2900</v>
      </c>
      <c r="D16" s="103"/>
      <c r="E16" s="104"/>
      <c r="H16" t="str">
        <f ca="1">Notes!A15</f>
        <v/>
      </c>
      <c r="I16" s="113">
        <f>Notes!B15</f>
        <v>0</v>
      </c>
    </row>
    <row r="17" spans="2:9">
      <c r="B17" s="15">
        <v>5620</v>
      </c>
      <c r="C17" s="98" t="s">
        <v>2901</v>
      </c>
      <c r="D17" s="103"/>
      <c r="E17" s="104"/>
      <c r="H17" t="str">
        <f ca="1">Notes!A16</f>
        <v/>
      </c>
      <c r="I17" s="113">
        <f>Notes!B16</f>
        <v>0</v>
      </c>
    </row>
    <row r="18" spans="2:9">
      <c r="B18" s="15">
        <v>7410</v>
      </c>
      <c r="C18" s="98" t="s">
        <v>2945</v>
      </c>
      <c r="D18" s="103">
        <f>'Quote Info'!M7</f>
        <v>0</v>
      </c>
      <c r="E18" s="104">
        <f>D18*12.12</f>
        <v>0</v>
      </c>
      <c r="H18" t="str">
        <f ca="1">Notes!A17</f>
        <v/>
      </c>
      <c r="I18" s="113">
        <f>Notes!B17</f>
        <v>0</v>
      </c>
    </row>
    <row r="19" spans="2:9">
      <c r="B19" s="15">
        <v>7430</v>
      </c>
      <c r="C19" s="98" t="s">
        <v>2946</v>
      </c>
      <c r="D19" s="103">
        <f>'Quote Info'!K7</f>
        <v>0</v>
      </c>
      <c r="E19" s="104">
        <f>D19*34.62</f>
        <v>0</v>
      </c>
      <c r="H19" t="str">
        <f ca="1">Notes!A18</f>
        <v/>
      </c>
      <c r="I19" s="113">
        <f>Notes!B18</f>
        <v>0</v>
      </c>
    </row>
    <row r="20" spans="2:9">
      <c r="B20" s="15">
        <v>7440</v>
      </c>
      <c r="C20" s="98" t="s">
        <v>2947</v>
      </c>
      <c r="D20" s="103">
        <f>'Quote Info'!L7</f>
        <v>0</v>
      </c>
      <c r="E20" s="104">
        <f>D20*75.63</f>
        <v>0</v>
      </c>
      <c r="H20" t="str">
        <f ca="1">Notes!A19</f>
        <v/>
      </c>
      <c r="I20" s="113">
        <f>Notes!B19</f>
        <v>0</v>
      </c>
    </row>
    <row r="21" spans="2:9">
      <c r="B21" s="15">
        <v>7450</v>
      </c>
      <c r="C21" s="98" t="s">
        <v>2948</v>
      </c>
      <c r="D21" s="103">
        <f ca="1">'Quote Info'!Q7</f>
        <v>0</v>
      </c>
      <c r="E21" s="104">
        <f ca="1">D21*23.08</f>
        <v>0</v>
      </c>
      <c r="H21" t="str">
        <f ca="1">Notes!A20</f>
        <v/>
      </c>
      <c r="I21" s="113">
        <f>Notes!B20</f>
        <v>0</v>
      </c>
    </row>
    <row r="22" spans="2:9">
      <c r="B22" s="15">
        <v>7460</v>
      </c>
      <c r="C22" s="98" t="s">
        <v>2950</v>
      </c>
      <c r="D22" s="103">
        <f ca="1">SUM('Quote Info'!K7:M7,'Quote Info'!Q7)</f>
        <v>0</v>
      </c>
      <c r="E22" s="104">
        <f ca="1">D22*5</f>
        <v>0</v>
      </c>
      <c r="H22" t="str">
        <f ca="1">Notes!A21</f>
        <v/>
      </c>
      <c r="I22" s="113">
        <f>Notes!B21</f>
        <v>0</v>
      </c>
    </row>
    <row r="23" spans="2:9">
      <c r="B23" s="15">
        <v>9410</v>
      </c>
      <c r="C23" s="98" t="s">
        <v>2902</v>
      </c>
      <c r="D23" s="103"/>
      <c r="E23" s="104">
        <f>'Quote Info'!O12</f>
        <v>0</v>
      </c>
      <c r="H23" t="str">
        <f ca="1">Notes!A22</f>
        <v/>
      </c>
      <c r="I23" s="113">
        <f>Notes!B22</f>
        <v>0</v>
      </c>
    </row>
    <row r="24" spans="2:9" ht="15.75" thickBot="1">
      <c r="B24" s="15">
        <v>9500</v>
      </c>
      <c r="C24" s="98" t="s">
        <v>2903</v>
      </c>
      <c r="D24" s="103"/>
      <c r="E24" s="105"/>
      <c r="H24" t="str">
        <f ca="1">Notes!A23</f>
        <v/>
      </c>
      <c r="I24" s="113">
        <f>Notes!B23</f>
        <v>0</v>
      </c>
    </row>
    <row r="25" spans="2:9" ht="15.75" thickBot="1">
      <c r="E25" s="101">
        <f ca="1">SUM(E3:E24)</f>
        <v>120</v>
      </c>
      <c r="H25" t="str">
        <f ca="1">Notes!A24</f>
        <v/>
      </c>
      <c r="I25" s="113">
        <f>Notes!B24</f>
        <v>0</v>
      </c>
    </row>
    <row r="26" spans="2:9">
      <c r="H26" t="str">
        <f ca="1">Notes!A25</f>
        <v/>
      </c>
      <c r="I26" s="113">
        <f>Notes!B25</f>
        <v>0</v>
      </c>
    </row>
    <row r="27" spans="2:9">
      <c r="H27" t="str">
        <f ca="1">Notes!A26</f>
        <v/>
      </c>
      <c r="I27" s="113">
        <f>Notes!B26</f>
        <v>0</v>
      </c>
    </row>
    <row r="28" spans="2:9">
      <c r="H28" t="str">
        <f ca="1">Notes!A27</f>
        <v/>
      </c>
      <c r="I28" s="113">
        <f>Notes!B27</f>
        <v>0</v>
      </c>
    </row>
    <row r="29" spans="2:9">
      <c r="H29" t="str">
        <f ca="1">Notes!A28</f>
        <v/>
      </c>
      <c r="I29" s="113">
        <f>Notes!B28</f>
        <v>0</v>
      </c>
    </row>
    <row r="30" spans="2:9">
      <c r="H30" t="str">
        <f ca="1">Notes!A29</f>
        <v/>
      </c>
      <c r="I30" s="113">
        <f>Notes!B29</f>
        <v>0</v>
      </c>
    </row>
    <row r="31" spans="2:9">
      <c r="H31" t="str">
        <f ca="1">Notes!A30</f>
        <v/>
      </c>
      <c r="I31" s="113">
        <f>Notes!B30</f>
        <v>0</v>
      </c>
    </row>
    <row r="32" spans="2:9">
      <c r="H32" t="str">
        <f ca="1">Notes!A31</f>
        <v/>
      </c>
      <c r="I32" s="113">
        <f>Notes!B31</f>
        <v>0</v>
      </c>
    </row>
    <row r="33" spans="8:9">
      <c r="H33" t="str">
        <f ca="1">Notes!A32</f>
        <v/>
      </c>
      <c r="I33" s="113">
        <f>Notes!B32</f>
        <v>0</v>
      </c>
    </row>
    <row r="34" spans="8:9">
      <c r="H34" t="str">
        <f ca="1">Notes!A33</f>
        <v/>
      </c>
      <c r="I34" s="113">
        <f>Notes!B33</f>
        <v>0</v>
      </c>
    </row>
    <row r="35" spans="8:9">
      <c r="H35" t="str">
        <f ca="1">Notes!A34</f>
        <v/>
      </c>
      <c r="I35" s="113">
        <f>Notes!B34</f>
        <v>0</v>
      </c>
    </row>
    <row r="36" spans="8:9">
      <c r="H36" t="str">
        <f ca="1">Notes!A35</f>
        <v/>
      </c>
      <c r="I36" s="113">
        <f>Notes!B35</f>
        <v>0</v>
      </c>
    </row>
    <row r="37" spans="8:9">
      <c r="H37" t="str">
        <f ca="1">Notes!A36</f>
        <v/>
      </c>
      <c r="I37" s="113">
        <f>Notes!B36</f>
        <v>0</v>
      </c>
    </row>
    <row r="38" spans="8:9">
      <c r="H38" t="str">
        <f ca="1">Notes!A37</f>
        <v/>
      </c>
      <c r="I38" s="113">
        <f>Notes!B37</f>
        <v>0</v>
      </c>
    </row>
    <row r="39" spans="8:9">
      <c r="H39" t="str">
        <f ca="1">Notes!A38</f>
        <v/>
      </c>
      <c r="I39" s="113">
        <f>Notes!B38</f>
        <v>0</v>
      </c>
    </row>
    <row r="40" spans="8:9">
      <c r="H40" t="str">
        <f ca="1">Notes!A39</f>
        <v/>
      </c>
      <c r="I40" s="113">
        <f>Notes!B39</f>
        <v>0</v>
      </c>
    </row>
    <row r="41" spans="8:9">
      <c r="H41" t="str">
        <f ca="1">Notes!A40</f>
        <v/>
      </c>
      <c r="I41" s="113">
        <f>Notes!B40</f>
        <v>0</v>
      </c>
    </row>
    <row r="42" spans="8:9">
      <c r="H42" t="str">
        <f ca="1">Notes!A41</f>
        <v/>
      </c>
      <c r="I42" s="113">
        <f>Notes!B41</f>
        <v>0</v>
      </c>
    </row>
    <row r="43" spans="8:9">
      <c r="H43" t="str">
        <f ca="1">Notes!A42</f>
        <v/>
      </c>
      <c r="I43" s="113">
        <f>Notes!B42</f>
        <v>0</v>
      </c>
    </row>
    <row r="44" spans="8:9">
      <c r="H44" t="str">
        <f ca="1">Notes!A43</f>
        <v/>
      </c>
      <c r="I44" s="113">
        <f>Notes!B43</f>
        <v>0</v>
      </c>
    </row>
    <row r="45" spans="8:9">
      <c r="H45" t="str">
        <f ca="1">Notes!A44</f>
        <v/>
      </c>
      <c r="I45" s="113">
        <f>Notes!B44</f>
        <v>0</v>
      </c>
    </row>
    <row r="46" spans="8:9">
      <c r="H46" t="str">
        <f ca="1">Notes!A45</f>
        <v/>
      </c>
      <c r="I46" s="113">
        <f>Notes!B45</f>
        <v>0</v>
      </c>
    </row>
    <row r="47" spans="8:9">
      <c r="H47" t="str">
        <f ca="1">Notes!A46</f>
        <v/>
      </c>
      <c r="I47" s="113">
        <f>Notes!B46</f>
        <v>0</v>
      </c>
    </row>
    <row r="48" spans="8:9">
      <c r="H48" t="str">
        <f ca="1">Notes!A47</f>
        <v/>
      </c>
      <c r="I48" s="113">
        <f>Notes!B47</f>
        <v>0</v>
      </c>
    </row>
    <row r="49" spans="8:9">
      <c r="H49" t="str">
        <f ca="1">Notes!A48</f>
        <v/>
      </c>
      <c r="I49" s="113">
        <f>Notes!B48</f>
        <v>0</v>
      </c>
    </row>
    <row r="50" spans="8:9">
      <c r="H50" t="str">
        <f ca="1">Notes!A49</f>
        <v/>
      </c>
      <c r="I50" s="113">
        <f>Notes!B49</f>
        <v>0</v>
      </c>
    </row>
    <row r="51" spans="8:9">
      <c r="H51" t="str">
        <f ca="1">Notes!A50</f>
        <v/>
      </c>
      <c r="I51" s="113">
        <f>Notes!B50</f>
        <v>0</v>
      </c>
    </row>
    <row r="52" spans="8:9">
      <c r="H52" t="str">
        <f ca="1">Notes!A51</f>
        <v/>
      </c>
      <c r="I52" s="113">
        <f>Notes!B51</f>
        <v>0</v>
      </c>
    </row>
    <row r="53" spans="8:9">
      <c r="H53" t="str">
        <f ca="1">Notes!A52</f>
        <v/>
      </c>
      <c r="I53" s="113">
        <f>Notes!B52</f>
        <v>0</v>
      </c>
    </row>
    <row r="54" spans="8:9">
      <c r="H54" t="str">
        <f ca="1">Notes!A53</f>
        <v/>
      </c>
      <c r="I54" s="113">
        <f>Notes!B53</f>
        <v>0</v>
      </c>
    </row>
    <row r="55" spans="8:9">
      <c r="H55" t="str">
        <f ca="1">Notes!A54</f>
        <v/>
      </c>
      <c r="I55" s="113">
        <f>Notes!B54</f>
        <v>0</v>
      </c>
    </row>
    <row r="56" spans="8:9">
      <c r="H56" t="str">
        <f ca="1">Notes!A55</f>
        <v/>
      </c>
      <c r="I56" s="113">
        <f>Notes!B55</f>
        <v>0</v>
      </c>
    </row>
    <row r="57" spans="8:9">
      <c r="H57" t="str">
        <f ca="1">Notes!A56</f>
        <v/>
      </c>
      <c r="I57" s="113">
        <f>Notes!B56</f>
        <v>0</v>
      </c>
    </row>
    <row r="58" spans="8:9">
      <c r="I58" s="113"/>
    </row>
    <row r="59" spans="8:9">
      <c r="I59" s="113"/>
    </row>
    <row r="60" spans="8:9">
      <c r="I60" s="113"/>
    </row>
    <row r="61" spans="8:9">
      <c r="I61" s="113"/>
    </row>
    <row r="62" spans="8:9">
      <c r="I62" s="113"/>
    </row>
    <row r="63" spans="8:9">
      <c r="I63" s="113"/>
    </row>
    <row r="64" spans="8:9">
      <c r="I64" s="113"/>
    </row>
    <row r="65" spans="9:9">
      <c r="I65" s="113"/>
    </row>
    <row r="66" spans="9:9">
      <c r="I66" s="113"/>
    </row>
    <row r="67" spans="9:9">
      <c r="I67" s="113"/>
    </row>
    <row r="68" spans="9:9">
      <c r="I68" s="113"/>
    </row>
    <row r="69" spans="9:9">
      <c r="I69" s="113"/>
    </row>
    <row r="70" spans="9:9">
      <c r="I70" s="113"/>
    </row>
    <row r="71" spans="9:9">
      <c r="I71" s="113"/>
    </row>
    <row r="72" spans="9:9">
      <c r="I72" s="113"/>
    </row>
    <row r="73" spans="9:9">
      <c r="I73" s="113"/>
    </row>
    <row r="74" spans="9:9">
      <c r="I74" s="113"/>
    </row>
    <row r="75" spans="9:9">
      <c r="I75" s="113"/>
    </row>
    <row r="76" spans="9:9">
      <c r="I76" s="113"/>
    </row>
    <row r="77" spans="9:9">
      <c r="I77" s="113"/>
    </row>
    <row r="78" spans="9:9">
      <c r="I78" s="113"/>
    </row>
    <row r="79" spans="9:9">
      <c r="I79" s="113"/>
    </row>
    <row r="80" spans="9:9">
      <c r="I80" s="113"/>
    </row>
    <row r="81" spans="9:9">
      <c r="I81" s="113"/>
    </row>
    <row r="82" spans="9:9">
      <c r="I82" s="113"/>
    </row>
    <row r="83" spans="9:9">
      <c r="I83" s="113"/>
    </row>
    <row r="84" spans="9:9">
      <c r="I84" s="113"/>
    </row>
    <row r="85" spans="9:9">
      <c r="I85" s="113"/>
    </row>
    <row r="86" spans="9:9">
      <c r="I86" s="113"/>
    </row>
    <row r="87" spans="9:9">
      <c r="I87" s="113"/>
    </row>
    <row r="88" spans="9:9">
      <c r="I88" s="113"/>
    </row>
    <row r="89" spans="9:9">
      <c r="I89" s="113"/>
    </row>
    <row r="90" spans="9:9">
      <c r="I90" s="113"/>
    </row>
    <row r="91" spans="9:9">
      <c r="I91" s="113"/>
    </row>
    <row r="92" spans="9:9">
      <c r="I92" s="113"/>
    </row>
    <row r="93" spans="9:9">
      <c r="I93" s="113"/>
    </row>
    <row r="94" spans="9:9">
      <c r="I94" s="113"/>
    </row>
    <row r="95" spans="9:9">
      <c r="I95" s="113"/>
    </row>
    <row r="96" spans="9:9">
      <c r="I96" s="113"/>
    </row>
    <row r="97" spans="9:9">
      <c r="I97" s="113"/>
    </row>
    <row r="98" spans="9:9">
      <c r="I98" s="113"/>
    </row>
    <row r="99" spans="9:9">
      <c r="I99" s="113"/>
    </row>
    <row r="100" spans="9:9">
      <c r="I100" s="113"/>
    </row>
    <row r="101" spans="9:9">
      <c r="I101" s="113"/>
    </row>
    <row r="102" spans="9:9">
      <c r="I102" s="113"/>
    </row>
    <row r="103" spans="9:9">
      <c r="I103" s="113"/>
    </row>
    <row r="104" spans="9:9">
      <c r="I104" s="113"/>
    </row>
    <row r="105" spans="9:9">
      <c r="I105" s="113"/>
    </row>
    <row r="106" spans="9:9">
      <c r="I106" s="113"/>
    </row>
    <row r="107" spans="9:9">
      <c r="I107" s="113"/>
    </row>
    <row r="108" spans="9:9">
      <c r="I108" s="113"/>
    </row>
    <row r="109" spans="9:9">
      <c r="I109" s="113"/>
    </row>
    <row r="110" spans="9:9">
      <c r="I110" s="113"/>
    </row>
    <row r="111" spans="9:9">
      <c r="I111" s="113"/>
    </row>
    <row r="112" spans="9:9">
      <c r="I112" s="113"/>
    </row>
    <row r="113" spans="9:9">
      <c r="I113" s="113"/>
    </row>
    <row r="114" spans="9:9">
      <c r="I114" s="113"/>
    </row>
    <row r="115" spans="9:9">
      <c r="I115" s="113"/>
    </row>
    <row r="116" spans="9:9">
      <c r="I116" s="113"/>
    </row>
    <row r="117" spans="9:9">
      <c r="I117" s="113"/>
    </row>
  </sheetData>
  <mergeCells count="2">
    <mergeCell ref="I2:T2"/>
    <mergeCell ref="H4:I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AU151"/>
  <sheetViews>
    <sheetView workbookViewId="0">
      <selection activeCell="G5" sqref="G5"/>
    </sheetView>
  </sheetViews>
  <sheetFormatPr defaultRowHeight="15"/>
  <cols>
    <col min="1" max="1" width="17.28515625" bestFit="1" customWidth="1"/>
    <col min="2" max="2" width="37.28515625" bestFit="1" customWidth="1"/>
    <col min="3" max="3" width="13.7109375" bestFit="1" customWidth="1"/>
    <col min="7" max="9" width="9.140625" customWidth="1"/>
    <col min="10" max="10" width="10.5703125" hidden="1" customWidth="1"/>
    <col min="11" max="11" width="11.28515625" hidden="1" customWidth="1"/>
    <col min="12" max="12" width="12.28515625" hidden="1" customWidth="1"/>
    <col min="13" max="14" width="9.140625" hidden="1" customWidth="1"/>
    <col min="15" max="15" width="13.7109375" hidden="1" customWidth="1"/>
    <col min="16" max="16" width="9.140625" hidden="1" customWidth="1"/>
    <col min="17" max="17" width="18.140625" hidden="1" customWidth="1"/>
    <col min="18" max="18" width="12.42578125" hidden="1" customWidth="1"/>
    <col min="19" max="19" width="14" hidden="1" customWidth="1"/>
    <col min="20" max="20" width="9.140625" hidden="1" customWidth="1"/>
    <col min="21" max="21" width="15.140625" hidden="1" customWidth="1"/>
    <col min="22" max="22" width="17.5703125" hidden="1" customWidth="1"/>
    <col min="23" max="23" width="9.140625" hidden="1" customWidth="1"/>
    <col min="24" max="24" width="21.140625" hidden="1" customWidth="1"/>
    <col min="25" max="35" width="9.140625" hidden="1" customWidth="1"/>
    <col min="36" max="36" width="15.5703125" hidden="1" customWidth="1"/>
    <col min="37" max="37" width="8" hidden="1" customWidth="1"/>
    <col min="38" max="38" width="16" hidden="1" customWidth="1"/>
    <col min="39" max="39" width="17.42578125" hidden="1" customWidth="1"/>
    <col min="40" max="40" width="9.140625" hidden="1" customWidth="1"/>
    <col min="41" max="41" width="11" hidden="1" customWidth="1"/>
    <col min="42" max="42" width="8" hidden="1" customWidth="1"/>
    <col min="43" max="43" width="16" hidden="1" customWidth="1"/>
    <col min="44" max="44" width="17.42578125" hidden="1" customWidth="1"/>
    <col min="45" max="45" width="9.140625" hidden="1" customWidth="1"/>
    <col min="46" max="47" width="10.140625" hidden="1" customWidth="1"/>
    <col min="48" max="48" width="9.140625" customWidth="1"/>
  </cols>
  <sheetData>
    <row r="1" spans="1:47">
      <c r="A1" s="7" t="s">
        <v>17</v>
      </c>
      <c r="B1" s="7" t="s">
        <v>18</v>
      </c>
      <c r="C1" s="8" t="s">
        <v>19</v>
      </c>
      <c r="E1" s="9"/>
      <c r="AK1" t="s">
        <v>298</v>
      </c>
      <c r="AL1" t="s">
        <v>2904</v>
      </c>
    </row>
    <row r="2" spans="1:47">
      <c r="A2" s="10" t="s">
        <v>20</v>
      </c>
      <c r="B2" s="10" t="s">
        <v>21</v>
      </c>
      <c r="C2" s="11">
        <v>7.1280000000000001</v>
      </c>
      <c r="D2" s="10" t="s">
        <v>22</v>
      </c>
      <c r="E2" s="9">
        <v>3</v>
      </c>
      <c r="K2" t="s">
        <v>288</v>
      </c>
      <c r="M2" t="s">
        <v>2866</v>
      </c>
      <c r="O2" t="s">
        <v>288</v>
      </c>
      <c r="Q2" t="s">
        <v>288</v>
      </c>
      <c r="S2" t="s">
        <v>2919</v>
      </c>
      <c r="AI2" s="162" t="s">
        <v>2926</v>
      </c>
      <c r="AJ2" t="s">
        <v>2927</v>
      </c>
      <c r="AK2" s="33">
        <f>SUM('Quote Info'!L12:L14)</f>
        <v>0</v>
      </c>
      <c r="AL2" s="121">
        <f>AK2/35</f>
        <v>0</v>
      </c>
    </row>
    <row r="3" spans="1:47">
      <c r="A3" s="10" t="s">
        <v>23</v>
      </c>
      <c r="B3" s="10" t="s">
        <v>24</v>
      </c>
      <c r="C3" s="11">
        <v>6.984</v>
      </c>
      <c r="D3" s="10" t="s">
        <v>22</v>
      </c>
      <c r="E3" s="9">
        <v>3</v>
      </c>
      <c r="K3" t="s">
        <v>285</v>
      </c>
      <c r="M3" t="s">
        <v>2908</v>
      </c>
      <c r="O3" t="s">
        <v>287</v>
      </c>
      <c r="Q3" t="s">
        <v>294</v>
      </c>
      <c r="S3" t="s">
        <v>2920</v>
      </c>
      <c r="AI3" s="162"/>
      <c r="AJ3" t="s">
        <v>2768</v>
      </c>
      <c r="AK3" s="33">
        <f>'Quote Info'!P8</f>
        <v>0</v>
      </c>
      <c r="AL3" s="121">
        <f>AK3/45</f>
        <v>0</v>
      </c>
    </row>
    <row r="4" spans="1:47">
      <c r="A4" s="10" t="s">
        <v>25</v>
      </c>
      <c r="B4" s="10" t="s">
        <v>26</v>
      </c>
      <c r="C4" s="11">
        <v>7.25</v>
      </c>
      <c r="D4" s="10" t="s">
        <v>22</v>
      </c>
      <c r="E4" s="9">
        <v>3</v>
      </c>
      <c r="K4" t="s">
        <v>286</v>
      </c>
      <c r="O4" t="s">
        <v>289</v>
      </c>
      <c r="Q4" t="s">
        <v>295</v>
      </c>
      <c r="S4" t="s">
        <v>2933</v>
      </c>
      <c r="AI4" s="162"/>
      <c r="AJ4" t="s">
        <v>2776</v>
      </c>
      <c r="AK4" s="33">
        <f>'Quote Info'!N8</f>
        <v>0</v>
      </c>
      <c r="AL4" s="121">
        <f>AK4/65</f>
        <v>0</v>
      </c>
    </row>
    <row r="5" spans="1:47">
      <c r="A5" s="10" t="s">
        <v>27</v>
      </c>
      <c r="B5" s="10" t="s">
        <v>28</v>
      </c>
      <c r="C5" s="11">
        <v>3.5640000000000001</v>
      </c>
      <c r="D5" s="10" t="s">
        <v>22</v>
      </c>
      <c r="E5" s="9">
        <v>3</v>
      </c>
      <c r="AK5" s="33">
        <f>SUM(AK2:AK4)</f>
        <v>0</v>
      </c>
      <c r="AL5" s="121">
        <f>SUM(AL2:AL4)</f>
        <v>0</v>
      </c>
    </row>
    <row r="6" spans="1:47">
      <c r="A6" s="10" t="s">
        <v>29</v>
      </c>
      <c r="B6" s="10" t="s">
        <v>30</v>
      </c>
      <c r="C6" s="11">
        <v>3.492</v>
      </c>
      <c r="D6" s="10" t="s">
        <v>22</v>
      </c>
      <c r="E6" s="9">
        <v>3</v>
      </c>
    </row>
    <row r="7" spans="1:47">
      <c r="A7" s="10" t="s">
        <v>31</v>
      </c>
      <c r="B7" s="10" t="s">
        <v>32</v>
      </c>
      <c r="C7" s="11">
        <v>3.66</v>
      </c>
      <c r="D7" s="10" t="s">
        <v>22</v>
      </c>
      <c r="E7" s="9">
        <v>3</v>
      </c>
      <c r="K7" s="148" t="s">
        <v>2942</v>
      </c>
      <c r="L7" s="148"/>
      <c r="M7" s="148"/>
      <c r="O7" s="148" t="s">
        <v>2941</v>
      </c>
      <c r="P7" s="148"/>
      <c r="Q7" s="148"/>
      <c r="AJ7" s="148" t="s">
        <v>2925</v>
      </c>
      <c r="AK7" s="148"/>
      <c r="AL7" s="148"/>
      <c r="AM7" s="148"/>
      <c r="AO7" s="148" t="s">
        <v>302</v>
      </c>
      <c r="AP7" s="148"/>
      <c r="AQ7" s="148"/>
      <c r="AR7" s="148"/>
      <c r="AT7" s="148" t="s">
        <v>2767</v>
      </c>
      <c r="AU7" s="148"/>
    </row>
    <row r="8" spans="1:47">
      <c r="A8" s="10" t="s">
        <v>33</v>
      </c>
      <c r="B8" s="10" t="s">
        <v>34</v>
      </c>
      <c r="C8" s="11">
        <v>14.44</v>
      </c>
      <c r="D8" s="10" t="s">
        <v>22</v>
      </c>
      <c r="E8" s="9">
        <v>3</v>
      </c>
      <c r="K8" t="s">
        <v>2915</v>
      </c>
      <c r="L8" t="s">
        <v>2909</v>
      </c>
      <c r="M8" t="s">
        <v>2910</v>
      </c>
      <c r="O8" t="s">
        <v>2915</v>
      </c>
      <c r="P8" t="s">
        <v>2909</v>
      </c>
      <c r="Q8" t="s">
        <v>2910</v>
      </c>
      <c r="R8" t="s">
        <v>306</v>
      </c>
      <c r="S8" t="s">
        <v>305</v>
      </c>
      <c r="U8" t="s">
        <v>303</v>
      </c>
      <c r="V8" t="s">
        <v>304</v>
      </c>
      <c r="X8" t="s">
        <v>2757</v>
      </c>
      <c r="Z8" t="s">
        <v>2860</v>
      </c>
      <c r="AA8" t="s">
        <v>2861</v>
      </c>
      <c r="AB8" t="s">
        <v>2862</v>
      </c>
      <c r="AC8" t="s">
        <v>2863</v>
      </c>
      <c r="AE8" t="s">
        <v>2860</v>
      </c>
      <c r="AF8" t="s">
        <v>2861</v>
      </c>
      <c r="AG8" t="s">
        <v>2862</v>
      </c>
      <c r="AH8" t="s">
        <v>2863</v>
      </c>
      <c r="AJ8" t="s">
        <v>2922</v>
      </c>
      <c r="AK8" t="s">
        <v>2923</v>
      </c>
      <c r="AL8" t="s">
        <v>2917</v>
      </c>
      <c r="AM8" t="s">
        <v>2918</v>
      </c>
      <c r="AO8" t="s">
        <v>2922</v>
      </c>
      <c r="AP8" t="s">
        <v>2923</v>
      </c>
      <c r="AQ8" t="s">
        <v>2917</v>
      </c>
      <c r="AR8" t="s">
        <v>2918</v>
      </c>
      <c r="AT8" t="s">
        <v>2919</v>
      </c>
      <c r="AU8" t="s">
        <v>2920</v>
      </c>
    </row>
    <row r="9" spans="1:47">
      <c r="A9" s="10" t="s">
        <v>35</v>
      </c>
      <c r="B9" s="10" t="s">
        <v>36</v>
      </c>
      <c r="C9" s="11">
        <v>10.84</v>
      </c>
      <c r="D9" s="10" t="s">
        <v>22</v>
      </c>
      <c r="E9" s="9">
        <v>3</v>
      </c>
      <c r="K9" t="str">
        <f t="array" aca="1" ref="K9" ca="1">INDIRECT(TEXT(MIN(IF(($L$9:$M$100&lt;&gt;"")*(COUNTIF($K$8:K8,$L$9:$M$100)=0),ROW($9:$100)*100+COLUMN($L:$M),7^8)),"R0C00"),)&amp;""</f>
        <v/>
      </c>
      <c r="L9" t="str">
        <f>IF('FB Laser'!A10=0,"",'FB Laser'!A10)</f>
        <v/>
      </c>
      <c r="M9" t="str">
        <f>IF('Tube Laser'!A9=0,"",'Tube Laser'!A9)</f>
        <v/>
      </c>
      <c r="O9" t="str">
        <f t="array" aca="1" ref="O9" ca="1">INDIRECT(TEXT(MIN(IF(($P$9:$Q$100&lt;&gt;"")*(COUNTIF($O$8:O8,$P$9:$Q$100)=0),ROW($9:$100)*100+COLUMN($P:$Q),7^8)),"R0C00"),)&amp;""</f>
        <v/>
      </c>
      <c r="P9" t="str">
        <f>IF('FB Laser'!F10="Yes",'FB Laser'!A10,"")</f>
        <v/>
      </c>
      <c r="Q9" t="str">
        <f>IF('Tube Laser'!I9="Yes",'Tube Laser'!A9,"")</f>
        <v/>
      </c>
      <c r="R9" s="37" t="str">
        <f>IFERROR(('FB Laser'!G10*'FB Laser'!B10),"")</f>
        <v/>
      </c>
      <c r="S9" s="37">
        <f>IFERROR('FB Laser'!H10*'FB Laser'!B10,"")</f>
        <v>0</v>
      </c>
      <c r="U9" s="37">
        <f>IFERROR(((((('Tube Laser'!D9)*'Tube Laser'!B9)/60)/60)*188.17)+(AE9*'Tube Laser'!B9),"")</f>
        <v>0</v>
      </c>
      <c r="V9" s="37">
        <f ca="1">IFERROR(('Tube Laser'!N9*'Tube Laser'!B9)+(AE9*'Tube Laser'!B9)+(AF9*'Tube Laser'!B9)+(AG9*'Tube Laser'!B9)+('FB Data'!AH9*'Tube Laser'!B9),"")</f>
        <v>0</v>
      </c>
      <c r="X9" s="41">
        <f>IFERROR(('Tube Laser'!D9*'Tube Laser'!B9)/60/60,"")</f>
        <v>0</v>
      </c>
      <c r="Z9" t="s">
        <v>2864</v>
      </c>
      <c r="AA9" t="s">
        <v>2866</v>
      </c>
      <c r="AB9">
        <v>1</v>
      </c>
      <c r="AC9" t="s">
        <v>2866</v>
      </c>
      <c r="AE9" t="str">
        <f>IF('Tube Laser'!E9="One Side",'Tube Laser'!J9*0.2,IF('Tube Laser'!E9="Both Sides",'Tube Laser'!J9*0.4,"0"))</f>
        <v>0</v>
      </c>
      <c r="AF9">
        <f>IF('Tube Laser'!F9="Yes",'Tube Laser'!J9*0.1,0)</f>
        <v>0</v>
      </c>
      <c r="AG9">
        <f>IF('Tube Laser'!G9&gt;0,'Tube Laser'!J9*0.2,0)</f>
        <v>0</v>
      </c>
      <c r="AH9">
        <f>IF('Tube Laser'!H9="Yes",'Tube Laser'!J9*0.1,0)</f>
        <v>0</v>
      </c>
      <c r="AJ9">
        <f>IFERROR(VLOOKUP('FB Laser'!N10,'FB Data'!A2:E150,3,FALSE)*'FB Laser'!M10,0)</f>
        <v>0</v>
      </c>
      <c r="AK9" t="str">
        <f>IF(AJ9&gt;75,"full-time",IF(AJ9&gt;32.999,"partial",""))</f>
        <v/>
      </c>
      <c r="AL9" s="33">
        <f>IF(AK9="partial",'FB Laser'!E10/60*35*0.5,IF(AK9="full-time",'FB Laser'!E10/60*35,0))</f>
        <v>0</v>
      </c>
      <c r="AM9" s="33">
        <f>ROUND(IFERROR(AL9/'FB Laser'!B10,0),2)</f>
        <v>0</v>
      </c>
      <c r="AO9">
        <f>IFERROR(VLOOKUP('Tube Laser'!P9,'TL Data'!A2:E1227,3,FALSE)*'Tube Laser'!O9,0)</f>
        <v>0</v>
      </c>
      <c r="AP9" t="str">
        <f>IF(AO9&gt;75,"full-time",IF(AO9&gt;32.999,"partial",""))</f>
        <v/>
      </c>
      <c r="AQ9" s="33">
        <f>IF(AP9="partial",'Tube Laser'!D9/60/60*35*'Tube Laser'!B9*0.5,IF(AP9="full-time",'Tube Laser'!D9/60/60*35*'Tube Laser'!B9,0))</f>
        <v>0</v>
      </c>
      <c r="AR9" s="33">
        <f>ROUND(IFERROR(AQ9/'Tube Laser'!B9,0),2)</f>
        <v>0</v>
      </c>
      <c r="AT9" s="33" t="str">
        <f ca="1">IFERROR('FB Laser'!J10*'FB Laser'!B10,"")</f>
        <v/>
      </c>
      <c r="AU9" s="33" t="str">
        <f ca="1">IFERROR('Tube Laser'!L9*'Tube Laser'!B9,"")</f>
        <v/>
      </c>
    </row>
    <row r="10" spans="1:47">
      <c r="A10" s="10" t="s">
        <v>37</v>
      </c>
      <c r="B10" s="10" t="s">
        <v>38</v>
      </c>
      <c r="C10" s="11">
        <v>5.3460000000000001</v>
      </c>
      <c r="D10" s="10" t="s">
        <v>22</v>
      </c>
      <c r="E10" s="9">
        <v>3</v>
      </c>
      <c r="K10" t="str">
        <f t="array" aca="1" ref="K10" ca="1">INDIRECT(TEXT(MIN(IF(($L$9:$M$100&lt;&gt;"")*(COUNTIF($K$8:K9,$L$9:$M$100)=0),ROW($9:$100)*100+COLUMN($L:$M),7^8)),"R0C00"),)&amp;""</f>
        <v/>
      </c>
      <c r="L10" t="str">
        <f>IF('FB Laser'!A11=0,"",'FB Laser'!A11)</f>
        <v/>
      </c>
      <c r="M10" t="str">
        <f>IF('Tube Laser'!A10=0,"",'Tube Laser'!A10)</f>
        <v/>
      </c>
      <c r="O10" t="str">
        <f t="array" aca="1" ref="O10" ca="1">INDIRECT(TEXT(MIN(IF(($P$9:$Q$100&lt;&gt;"")*(COUNTIF($O$8:O9,$P$9:$Q$100)=0),ROW($9:$100)*100+COLUMN($P:$Q),7^8)),"R0C00"),)&amp;""</f>
        <v/>
      </c>
      <c r="P10" t="str">
        <f>IF('FB Laser'!F11="Yes",'FB Laser'!A11,"")</f>
        <v/>
      </c>
      <c r="Q10" t="str">
        <f>IF('Tube Laser'!I10="Yes",'Tube Laser'!A10,"")</f>
        <v/>
      </c>
      <c r="R10" s="37" t="str">
        <f>IFERROR(('FB Laser'!G11*'FB Laser'!B11),"")</f>
        <v/>
      </c>
      <c r="S10" s="37">
        <f>IFERROR('FB Laser'!H11*'FB Laser'!B11,"")</f>
        <v>0</v>
      </c>
      <c r="U10" s="37">
        <f>IFERROR(((((('Tube Laser'!D10)*'Tube Laser'!B10)/60)/60)*188.17)+(AE10*'Tube Laser'!B10),"")</f>
        <v>0</v>
      </c>
      <c r="V10" s="37">
        <f ca="1">IFERROR(('Tube Laser'!N10*'Tube Laser'!B10)+(AE10*'Tube Laser'!B10)+(AF10*'Tube Laser'!B10)+(AG10*'Tube Laser'!B10)+('FB Data'!AH10*'Tube Laser'!B10),"")</f>
        <v>0</v>
      </c>
      <c r="X10" s="41">
        <f>IFERROR(('Tube Laser'!D10*'Tube Laser'!B10)/60/60,"")</f>
        <v>0</v>
      </c>
      <c r="Z10" t="s">
        <v>2865</v>
      </c>
      <c r="AB10">
        <v>2</v>
      </c>
      <c r="AE10" t="str">
        <f>IF('Tube Laser'!E10="One Side",'Tube Laser'!J10*0.2,IF('Tube Laser'!E10="Both Sides",'Tube Laser'!J10*0.4,"0"))</f>
        <v>0</v>
      </c>
      <c r="AF10">
        <f>IF('Tube Laser'!F10="Yes",'Tube Laser'!J10*0.1,0)</f>
        <v>0</v>
      </c>
      <c r="AG10">
        <f>IF('Tube Laser'!G10&gt;0,'Tube Laser'!J10*0.2,0)</f>
        <v>0</v>
      </c>
      <c r="AH10">
        <f>IF('Tube Laser'!H10="Yes",'Tube Laser'!J10*0.1,0)</f>
        <v>0</v>
      </c>
      <c r="AJ10">
        <f>IFERROR(VLOOKUP('FB Laser'!N11,'FB Data'!A3:E151,3,FALSE)*'FB Laser'!M11,0)</f>
        <v>0</v>
      </c>
      <c r="AK10" t="str">
        <f t="shared" ref="AK10:AK73" si="0">IF(AJ10&gt;75,"full-time",IF(AJ10&gt;32.999,"partial",""))</f>
        <v/>
      </c>
      <c r="AL10" s="33">
        <f>IF(AK10="partial",'FB Laser'!E11/60*35*0.5,IF(AK10="full-time",'FB Laser'!E11/60*35,0))</f>
        <v>0</v>
      </c>
      <c r="AM10" s="33">
        <f>ROUND(IFERROR(AL10/'FB Laser'!B11,0),2)</f>
        <v>0</v>
      </c>
      <c r="AO10">
        <f>IFERROR(VLOOKUP('Tube Laser'!P10,'TL Data'!A3:E1228,3,FALSE)*'Tube Laser'!O10,0)</f>
        <v>0</v>
      </c>
      <c r="AP10" t="str">
        <f t="shared" ref="AP10:AP73" si="1">IF(AO10&gt;75,"full-time",IF(AO10&gt;32.999,"partial",""))</f>
        <v/>
      </c>
      <c r="AQ10" s="33">
        <f>IF(AP10="partial",'Tube Laser'!D10/60/60*35*'Tube Laser'!B10*0.5,IF(AP10="full-time",'Tube Laser'!D10/60/60*35*'Tube Laser'!B10,0))</f>
        <v>0</v>
      </c>
      <c r="AR10" s="33">
        <f>ROUND(IFERROR(AQ10/'Tube Laser'!B10,0),2)</f>
        <v>0</v>
      </c>
      <c r="AT10" s="33" t="str">
        <f ca="1">IFERROR('FB Laser'!J11*'FB Laser'!B11,"")</f>
        <v/>
      </c>
      <c r="AU10" s="33" t="str">
        <f ca="1">IFERROR('Tube Laser'!L10*'Tube Laser'!B10,"")</f>
        <v/>
      </c>
    </row>
    <row r="11" spans="1:47">
      <c r="A11" s="10" t="s">
        <v>39</v>
      </c>
      <c r="B11" s="10" t="s">
        <v>40</v>
      </c>
      <c r="C11" s="11">
        <v>5.2380000000000004</v>
      </c>
      <c r="D11" s="10" t="s">
        <v>22</v>
      </c>
      <c r="E11" s="9">
        <v>3</v>
      </c>
      <c r="K11" t="str">
        <f t="array" aca="1" ref="K11" ca="1">INDIRECT(TEXT(MIN(IF(($L$9:$M$100&lt;&gt;"")*(COUNTIF($K$8:K10,$L$9:$M$100)=0),ROW($9:$100)*100+COLUMN($L:$M),7^8)),"R0C00"),)&amp;""</f>
        <v/>
      </c>
      <c r="L11" t="str">
        <f>IF('FB Laser'!A12=0,"",'FB Laser'!A12)</f>
        <v/>
      </c>
      <c r="M11" t="str">
        <f>IF('Tube Laser'!A11=0,"",'Tube Laser'!A11)</f>
        <v/>
      </c>
      <c r="O11" t="str">
        <f t="array" aca="1" ref="O11" ca="1">INDIRECT(TEXT(MIN(IF(($P$9:$Q$100&lt;&gt;"")*(COUNTIF($O$8:O10,$P$9:$Q$100)=0),ROW($9:$100)*100+COLUMN($P:$Q),7^8)),"R0C00"),)&amp;""</f>
        <v/>
      </c>
      <c r="P11" t="str">
        <f>IF('FB Laser'!F12="Yes",'FB Laser'!A12,"")</f>
        <v/>
      </c>
      <c r="Q11" t="str">
        <f>IF('Tube Laser'!I11="Yes",'Tube Laser'!A11,"")</f>
        <v/>
      </c>
      <c r="R11" s="37" t="str">
        <f>IFERROR(('FB Laser'!G12*'FB Laser'!B12),"")</f>
        <v/>
      </c>
      <c r="S11" s="37">
        <f>IFERROR('FB Laser'!H12*'FB Laser'!B12,"")</f>
        <v>0</v>
      </c>
      <c r="U11" s="37">
        <f>IFERROR(((((('Tube Laser'!D11)*'Tube Laser'!B11)/60)/60)*188.17)+(AE11*'Tube Laser'!B11),"")</f>
        <v>0</v>
      </c>
      <c r="V11" s="37">
        <f ca="1">IFERROR(('Tube Laser'!N11*'Tube Laser'!B11)+(AE11*'Tube Laser'!B11)+(AF11*'Tube Laser'!B11)+(AG11*'Tube Laser'!B11)+('FB Data'!AH11*'Tube Laser'!B11),"")</f>
        <v>0</v>
      </c>
      <c r="X11" s="41">
        <f>IFERROR(('Tube Laser'!D11*'Tube Laser'!B11)/60/60,"")</f>
        <v>0</v>
      </c>
      <c r="AB11">
        <v>3</v>
      </c>
      <c r="AE11" t="str">
        <f>IF('Tube Laser'!E11="One Side",'Tube Laser'!J11*0.2,IF('Tube Laser'!E11="Both Sides",'Tube Laser'!J11*0.4,"0"))</f>
        <v>0</v>
      </c>
      <c r="AF11">
        <f>IF('Tube Laser'!F11="Yes",'Tube Laser'!J11*0.1,0)</f>
        <v>0</v>
      </c>
      <c r="AG11">
        <f>IF('Tube Laser'!G11&gt;0,'Tube Laser'!J11*0.2,0)</f>
        <v>0</v>
      </c>
      <c r="AH11">
        <f>IF('Tube Laser'!H11="Yes",'Tube Laser'!J11*0.1,0)</f>
        <v>0</v>
      </c>
      <c r="AJ11">
        <f>IFERROR(VLOOKUP('FB Laser'!N12,'FB Data'!A4:E152,3,FALSE)*'FB Laser'!M12,0)</f>
        <v>0</v>
      </c>
      <c r="AK11" t="str">
        <f t="shared" si="0"/>
        <v/>
      </c>
      <c r="AL11" s="33">
        <f>IF(AK11="partial",'FB Laser'!E12/60*35*0.5,IF(AK11="full-time",'FB Laser'!E12/60*35,0))</f>
        <v>0</v>
      </c>
      <c r="AM11" s="33">
        <f>ROUND(IFERROR(AL11/'FB Laser'!B12,0),2)</f>
        <v>0</v>
      </c>
      <c r="AO11">
        <f>IFERROR(VLOOKUP('Tube Laser'!P11,'TL Data'!A4:E1229,3,FALSE)*'Tube Laser'!O11,0)</f>
        <v>0</v>
      </c>
      <c r="AP11" t="str">
        <f t="shared" si="1"/>
        <v/>
      </c>
      <c r="AQ11" s="33">
        <f>IF(AP11="partial",'Tube Laser'!D11/60/60*35*'Tube Laser'!B11*0.5,IF(AP11="full-time",'Tube Laser'!D11/60/60*35*'Tube Laser'!B11,0))</f>
        <v>0</v>
      </c>
      <c r="AR11" s="33">
        <f>ROUND(IFERROR(AQ11/'Tube Laser'!B11,0),2)</f>
        <v>0</v>
      </c>
      <c r="AT11" s="33" t="str">
        <f ca="1">IFERROR('FB Laser'!J12*'FB Laser'!B12,"")</f>
        <v/>
      </c>
      <c r="AU11" s="33" t="str">
        <f ca="1">IFERROR('Tube Laser'!L11*'Tube Laser'!B11,"")</f>
        <v/>
      </c>
    </row>
    <row r="12" spans="1:47">
      <c r="A12" s="10" t="s">
        <v>41</v>
      </c>
      <c r="B12" s="10" t="s">
        <v>42</v>
      </c>
      <c r="C12" s="11">
        <v>5.44</v>
      </c>
      <c r="D12" s="10" t="s">
        <v>22</v>
      </c>
      <c r="E12" s="9">
        <v>3</v>
      </c>
      <c r="K12" t="str">
        <f t="array" aca="1" ref="K12" ca="1">INDIRECT(TEXT(MIN(IF(($L$9:$M$100&lt;&gt;"")*(COUNTIF($K$8:K11,$L$9:$M$100)=0),ROW($9:$100)*100+COLUMN($L:$M),7^8)),"R0C00"),)&amp;""</f>
        <v/>
      </c>
      <c r="L12" t="str">
        <f>IF('FB Laser'!A13=0,"",'FB Laser'!A13)</f>
        <v/>
      </c>
      <c r="M12" t="str">
        <f>IF('Tube Laser'!A12=0,"",'Tube Laser'!A12)</f>
        <v/>
      </c>
      <c r="O12" t="str">
        <f t="array" aca="1" ref="O12" ca="1">INDIRECT(TEXT(MIN(IF(($P$9:$Q$100&lt;&gt;"")*(COUNTIF($O$8:O11,$P$9:$Q$100)=0),ROW($9:$100)*100+COLUMN($P:$Q),7^8)),"R0C00"),)&amp;""</f>
        <v/>
      </c>
      <c r="P12" t="str">
        <f>IF('FB Laser'!F13="Yes",'FB Laser'!A13,"")</f>
        <v/>
      </c>
      <c r="Q12" t="str">
        <f>IF('Tube Laser'!I12="Yes",'Tube Laser'!A12,"")</f>
        <v/>
      </c>
      <c r="R12" s="37" t="str">
        <f>IFERROR(('FB Laser'!G13*'FB Laser'!B13),"")</f>
        <v/>
      </c>
      <c r="S12" s="37">
        <f>IFERROR('FB Laser'!H13*'FB Laser'!B13,"")</f>
        <v>0</v>
      </c>
      <c r="U12" s="37">
        <f>IFERROR(((((('Tube Laser'!D12)*'Tube Laser'!B12)/60)/60)*188.17)+(AE12*'Tube Laser'!B12),"")</f>
        <v>0</v>
      </c>
      <c r="V12" s="37">
        <f ca="1">IFERROR(('Tube Laser'!N12*'Tube Laser'!B12)+(AE12*'Tube Laser'!B12)+(AF12*'Tube Laser'!B12)+(AG12*'Tube Laser'!B12)+('FB Data'!AH12*'Tube Laser'!B12),"")</f>
        <v>0</v>
      </c>
      <c r="X12" s="41">
        <f>IFERROR(('Tube Laser'!D12*'Tube Laser'!B12)/60/60,"")</f>
        <v>0</v>
      </c>
      <c r="AB12">
        <v>4</v>
      </c>
      <c r="AE12" t="str">
        <f>IF('Tube Laser'!E12="One Side",'Tube Laser'!J12*0.2,IF('Tube Laser'!E12="Both Sides",'Tube Laser'!J12*0.4,"0"))</f>
        <v>0</v>
      </c>
      <c r="AF12">
        <f>IF('Tube Laser'!F12="Yes",'Tube Laser'!J12*0.1,0)</f>
        <v>0</v>
      </c>
      <c r="AG12">
        <f>IF('Tube Laser'!G12&gt;0,'Tube Laser'!J12*0.2,0)</f>
        <v>0</v>
      </c>
      <c r="AH12">
        <f>IF('Tube Laser'!H12="Yes",'Tube Laser'!J12*0.1,0)</f>
        <v>0</v>
      </c>
      <c r="AJ12">
        <f>IFERROR(VLOOKUP('FB Laser'!N13,'FB Data'!A5:E153,3,FALSE)*'FB Laser'!M13,0)</f>
        <v>0</v>
      </c>
      <c r="AK12" t="str">
        <f t="shared" si="0"/>
        <v/>
      </c>
      <c r="AL12" s="33">
        <f>IF(AK12="partial",'FB Laser'!E13/60*35*0.5,IF(AK12="full-time",'FB Laser'!E13/60*35,0))</f>
        <v>0</v>
      </c>
      <c r="AM12" s="33">
        <f>ROUND(IFERROR(AL12/'FB Laser'!B13,0),2)</f>
        <v>0</v>
      </c>
      <c r="AO12">
        <f>IFERROR(VLOOKUP('Tube Laser'!P12,'TL Data'!A5:E1230,3,FALSE)*'Tube Laser'!O12,0)</f>
        <v>0</v>
      </c>
      <c r="AP12" t="str">
        <f t="shared" si="1"/>
        <v/>
      </c>
      <c r="AQ12" s="33">
        <f>IF(AP12="partial",'Tube Laser'!D12/60/60*35*'Tube Laser'!B12*0.5,IF(AP12="full-time",'Tube Laser'!D12/60/60*35*'Tube Laser'!B12,0))</f>
        <v>0</v>
      </c>
      <c r="AR12" s="33">
        <f>ROUND(IFERROR(AQ12/'Tube Laser'!B12,0),2)</f>
        <v>0</v>
      </c>
      <c r="AT12" s="33" t="str">
        <f ca="1">IFERROR('FB Laser'!J13*'FB Laser'!B13,"")</f>
        <v/>
      </c>
      <c r="AU12" s="33" t="str">
        <f ca="1">IFERROR('Tube Laser'!L12*'Tube Laser'!B12,"")</f>
        <v/>
      </c>
    </row>
    <row r="13" spans="1:47">
      <c r="A13" s="10" t="s">
        <v>43</v>
      </c>
      <c r="B13" s="10" t="s">
        <v>44</v>
      </c>
      <c r="C13" s="11">
        <v>4.5199999999999996</v>
      </c>
      <c r="D13" s="10" t="s">
        <v>22</v>
      </c>
      <c r="E13" s="9">
        <v>3</v>
      </c>
      <c r="K13" t="str">
        <f t="array" aca="1" ref="K13" ca="1">INDIRECT(TEXT(MIN(IF(($L$9:$M$100&lt;&gt;"")*(COUNTIF($K$8:K12,$L$9:$M$100)=0),ROW($9:$100)*100+COLUMN($L:$M),7^8)),"R0C00"),)&amp;""</f>
        <v/>
      </c>
      <c r="L13" t="str">
        <f>IF('FB Laser'!A14=0,"",'FB Laser'!A14)</f>
        <v/>
      </c>
      <c r="M13" t="str">
        <f>IF('Tube Laser'!A13=0,"",'Tube Laser'!A13)</f>
        <v/>
      </c>
      <c r="O13" t="str">
        <f t="array" aca="1" ref="O13" ca="1">INDIRECT(TEXT(MIN(IF(($P$9:$Q$100&lt;&gt;"")*(COUNTIF($O$8:O12,$P$9:$Q$100)=0),ROW($9:$100)*100+COLUMN($P:$Q),7^8)),"R0C00"),)&amp;""</f>
        <v/>
      </c>
      <c r="P13" t="str">
        <f>IF('FB Laser'!F14="Yes",'FB Laser'!A14,"")</f>
        <v/>
      </c>
      <c r="Q13" t="str">
        <f>IF('Tube Laser'!I13="Yes",'Tube Laser'!A13,"")</f>
        <v/>
      </c>
      <c r="R13" s="37" t="str">
        <f>IFERROR(('FB Laser'!G14*'FB Laser'!B14),"")</f>
        <v/>
      </c>
      <c r="S13" s="37">
        <f>IFERROR('FB Laser'!H14*'FB Laser'!B14,"")</f>
        <v>0</v>
      </c>
      <c r="U13" s="37">
        <f>IFERROR(((((('Tube Laser'!D13)*'Tube Laser'!B13)/60)/60)*188.17)+(AE13*'Tube Laser'!B13),"")</f>
        <v>0</v>
      </c>
      <c r="V13" s="37">
        <f ca="1">IFERROR(('Tube Laser'!N13*'Tube Laser'!B13)+(AE13*'Tube Laser'!B13)+(AF13*'Tube Laser'!B13)+(AG13*'Tube Laser'!B13)+('FB Data'!AH13*'Tube Laser'!B13),"")</f>
        <v>0</v>
      </c>
      <c r="X13" s="41">
        <f>IFERROR(('Tube Laser'!D13*'Tube Laser'!B13)/60/60,"")</f>
        <v>0</v>
      </c>
      <c r="AB13">
        <v>5</v>
      </c>
      <c r="AE13" t="str">
        <f>IF('Tube Laser'!E13="One Side",'Tube Laser'!J13*0.2,IF('Tube Laser'!E13="Both Sides",'Tube Laser'!J13*0.4,"0"))</f>
        <v>0</v>
      </c>
      <c r="AF13">
        <f>IF('Tube Laser'!F13="Yes",'Tube Laser'!J13*0.1,0)</f>
        <v>0</v>
      </c>
      <c r="AG13">
        <f>IF('Tube Laser'!G13&gt;0,'Tube Laser'!J13*0.2,0)</f>
        <v>0</v>
      </c>
      <c r="AH13">
        <f>IF('Tube Laser'!H13="Yes",'Tube Laser'!J13*0.1,0)</f>
        <v>0</v>
      </c>
      <c r="AJ13">
        <f>IFERROR(VLOOKUP('FB Laser'!N14,'FB Data'!A6:E154,3,FALSE)*'FB Laser'!M14,0)</f>
        <v>0</v>
      </c>
      <c r="AK13" t="str">
        <f t="shared" si="0"/>
        <v/>
      </c>
      <c r="AL13" s="33">
        <f>IF(AK13="partial",'FB Laser'!E14/60*35*0.5,IF(AK13="full-time",'FB Laser'!E14/60*35,0))</f>
        <v>0</v>
      </c>
      <c r="AM13" s="33">
        <f>ROUND(IFERROR(AL13/'FB Laser'!B14,0),2)</f>
        <v>0</v>
      </c>
      <c r="AO13">
        <f>IFERROR(VLOOKUP('Tube Laser'!P13,'TL Data'!A6:E1231,3,FALSE)*'Tube Laser'!O13,0)</f>
        <v>0</v>
      </c>
      <c r="AP13" t="str">
        <f t="shared" si="1"/>
        <v/>
      </c>
      <c r="AQ13" s="33">
        <f>IF(AP13="partial",'Tube Laser'!D13/60/60*35*'Tube Laser'!B13*0.5,IF(AP13="full-time",'Tube Laser'!D13/60/60*35*'Tube Laser'!B13,0))</f>
        <v>0</v>
      </c>
      <c r="AR13" s="33">
        <f>ROUND(IFERROR(AQ13/'Tube Laser'!B13,0),2)</f>
        <v>0</v>
      </c>
      <c r="AT13" s="33" t="str">
        <f ca="1">IFERROR('FB Laser'!J14*'FB Laser'!B14,"")</f>
        <v/>
      </c>
      <c r="AU13" s="33" t="str">
        <f ca="1">IFERROR('Tube Laser'!L13*'Tube Laser'!B13,"")</f>
        <v/>
      </c>
    </row>
    <row r="14" spans="1:47">
      <c r="A14" s="10" t="s">
        <v>45</v>
      </c>
      <c r="B14" s="10" t="s">
        <v>46</v>
      </c>
      <c r="C14" s="11">
        <v>9.02</v>
      </c>
      <c r="D14" s="10" t="s">
        <v>22</v>
      </c>
      <c r="E14" s="9">
        <v>3</v>
      </c>
      <c r="K14" t="str">
        <f t="array" aca="1" ref="K14" ca="1">INDIRECT(TEXT(MIN(IF(($L$9:$M$100&lt;&gt;"")*(COUNTIF($K$8:K13,$L$9:$M$100)=0),ROW($9:$100)*100+COLUMN($L:$M),7^8)),"R0C00"),)&amp;""</f>
        <v/>
      </c>
      <c r="L14" t="str">
        <f>IF('FB Laser'!A15=0,"",'FB Laser'!A15)</f>
        <v/>
      </c>
      <c r="M14" t="str">
        <f>IF('Tube Laser'!A14=0,"",'Tube Laser'!A14)</f>
        <v/>
      </c>
      <c r="O14" t="str">
        <f t="array" aca="1" ref="O14" ca="1">INDIRECT(TEXT(MIN(IF(($P$9:$Q$100&lt;&gt;"")*(COUNTIF($O$8:O13,$P$9:$Q$100)=0),ROW($9:$100)*100+COLUMN($P:$Q),7^8)),"R0C00"),)&amp;""</f>
        <v/>
      </c>
      <c r="P14" t="str">
        <f>IF('FB Laser'!F15="Yes",'FB Laser'!A15,"")</f>
        <v/>
      </c>
      <c r="Q14" t="str">
        <f>IF('Tube Laser'!I14="Yes",'Tube Laser'!A14,"")</f>
        <v/>
      </c>
      <c r="R14" s="37" t="str">
        <f>IFERROR(('FB Laser'!G15*'FB Laser'!B15),"")</f>
        <v/>
      </c>
      <c r="S14" s="37">
        <f>IFERROR('FB Laser'!H15*'FB Laser'!B15,"")</f>
        <v>0</v>
      </c>
      <c r="U14" s="37">
        <f>IFERROR(((((('Tube Laser'!D14)*'Tube Laser'!B14)/60)/60)*188.17)+(AE14*'Tube Laser'!B14),"")</f>
        <v>0</v>
      </c>
      <c r="V14" s="37">
        <f ca="1">IFERROR(('Tube Laser'!N14*'Tube Laser'!B14)+(AE14*'Tube Laser'!B14)+(AF14*'Tube Laser'!B14)+(AG14*'Tube Laser'!B14)+('FB Data'!AH14*'Tube Laser'!B14),"")</f>
        <v>0</v>
      </c>
      <c r="X14" s="41">
        <f>IFERROR(('Tube Laser'!D14*'Tube Laser'!B14)/60/60,"")</f>
        <v>0</v>
      </c>
      <c r="AB14">
        <v>6</v>
      </c>
      <c r="AE14" t="str">
        <f>IF('Tube Laser'!E14="One Side",'Tube Laser'!J14*0.2,IF('Tube Laser'!E14="Both Sides",'Tube Laser'!J14*0.4,"0"))</f>
        <v>0</v>
      </c>
      <c r="AF14">
        <f>IF('Tube Laser'!F14="Yes",'Tube Laser'!J14*0.1,0)</f>
        <v>0</v>
      </c>
      <c r="AG14">
        <f>IF('Tube Laser'!G14&gt;0,'Tube Laser'!J14*0.2,0)</f>
        <v>0</v>
      </c>
      <c r="AH14">
        <f>IF('Tube Laser'!H14="Yes",'Tube Laser'!J14*0.1,0)</f>
        <v>0</v>
      </c>
      <c r="AJ14">
        <f>IFERROR(VLOOKUP('FB Laser'!N15,'FB Data'!A7:E155,3,FALSE)*'FB Laser'!M15,0)</f>
        <v>0</v>
      </c>
      <c r="AK14" t="str">
        <f t="shared" si="0"/>
        <v/>
      </c>
      <c r="AL14" s="33">
        <f>IF(AK14="partial",'FB Laser'!E15/60*35*0.5,IF(AK14="full-time",'FB Laser'!E15/60*35,0))</f>
        <v>0</v>
      </c>
      <c r="AM14" s="33">
        <f>ROUND(IFERROR(AL14/'FB Laser'!B15,0),2)</f>
        <v>0</v>
      </c>
      <c r="AO14">
        <f>IFERROR(VLOOKUP('Tube Laser'!P14,'TL Data'!A7:E1232,3,FALSE)*'Tube Laser'!O14,0)</f>
        <v>0</v>
      </c>
      <c r="AP14" t="str">
        <f t="shared" si="1"/>
        <v/>
      </c>
      <c r="AQ14" s="33">
        <f>IF(AP14="partial",'Tube Laser'!D14/60/60*35*'Tube Laser'!B14*0.5,IF(AP14="full-time",'Tube Laser'!D14/60/60*35*'Tube Laser'!B14,0))</f>
        <v>0</v>
      </c>
      <c r="AR14" s="33">
        <f>ROUND(IFERROR(AQ14/'Tube Laser'!B14,0),2)</f>
        <v>0</v>
      </c>
      <c r="AT14" s="33" t="str">
        <f ca="1">IFERROR('FB Laser'!J15*'FB Laser'!B15,"")</f>
        <v/>
      </c>
      <c r="AU14" s="33" t="str">
        <f ca="1">IFERROR('Tube Laser'!L14*'Tube Laser'!B14,"")</f>
        <v/>
      </c>
    </row>
    <row r="15" spans="1:47">
      <c r="A15" s="10" t="s">
        <v>47</v>
      </c>
      <c r="B15" s="10" t="s">
        <v>48</v>
      </c>
      <c r="C15" s="11">
        <v>12.55</v>
      </c>
      <c r="D15" s="10" t="s">
        <v>22</v>
      </c>
      <c r="E15" s="9">
        <v>3</v>
      </c>
      <c r="K15" t="str">
        <f t="array" aca="1" ref="K15" ca="1">INDIRECT(TEXT(MIN(IF(($L$9:$M$100&lt;&gt;"")*(COUNTIF($K$8:K14,$L$9:$M$100)=0),ROW($9:$100)*100+COLUMN($L:$M),7^8)),"R0C00"),)&amp;""</f>
        <v/>
      </c>
      <c r="L15" t="str">
        <f>IF('FB Laser'!A16=0,"",'FB Laser'!A16)</f>
        <v/>
      </c>
      <c r="M15" t="str">
        <f>IF('Tube Laser'!A15=0,"",'Tube Laser'!A15)</f>
        <v/>
      </c>
      <c r="O15" t="str">
        <f t="array" aca="1" ref="O15" ca="1">INDIRECT(TEXT(MIN(IF(($P$9:$Q$100&lt;&gt;"")*(COUNTIF($O$8:O14,$P$9:$Q$100)=0),ROW($9:$100)*100+COLUMN($P:$Q),7^8)),"R0C00"),)&amp;""</f>
        <v/>
      </c>
      <c r="P15" t="str">
        <f>IF('FB Laser'!F16="Yes",'FB Laser'!A16,"")</f>
        <v/>
      </c>
      <c r="Q15" t="str">
        <f>IF('Tube Laser'!I15="Yes",'Tube Laser'!A15,"")</f>
        <v/>
      </c>
      <c r="R15" s="37" t="str">
        <f>IFERROR(('FB Laser'!G16*'FB Laser'!B16),"")</f>
        <v/>
      </c>
      <c r="S15" s="37">
        <f>IFERROR('FB Laser'!H16*'FB Laser'!B16,"")</f>
        <v>0</v>
      </c>
      <c r="U15" s="37">
        <f>IFERROR(((((('Tube Laser'!D15)*'Tube Laser'!B15)/60)/60)*188.17)+(AE15*'Tube Laser'!B15),"")</f>
        <v>0</v>
      </c>
      <c r="V15" s="37">
        <f ca="1">IFERROR(('Tube Laser'!N15*'Tube Laser'!B15)+(AE15*'Tube Laser'!B15)+(AF15*'Tube Laser'!B15)+(AG15*'Tube Laser'!B15)+('FB Data'!AH15*'Tube Laser'!B15),"")</f>
        <v>0</v>
      </c>
      <c r="X15" s="41">
        <f>IFERROR(('Tube Laser'!D15*'Tube Laser'!B15)/60/60,"")</f>
        <v>0</v>
      </c>
      <c r="AB15">
        <v>7</v>
      </c>
      <c r="AE15" t="str">
        <f>IF('Tube Laser'!E15="One Side",'Tube Laser'!J15*0.2,IF('Tube Laser'!E15="Both Sides",'Tube Laser'!J15*0.4,"0"))</f>
        <v>0</v>
      </c>
      <c r="AF15">
        <f>IF('Tube Laser'!F15="Yes",'Tube Laser'!J15*0.1,0)</f>
        <v>0</v>
      </c>
      <c r="AG15">
        <f>IF('Tube Laser'!G15&gt;0,'Tube Laser'!J15*0.2,0)</f>
        <v>0</v>
      </c>
      <c r="AH15">
        <f>IF('Tube Laser'!H15="Yes",'Tube Laser'!J15*0.1,0)</f>
        <v>0</v>
      </c>
      <c r="AJ15">
        <f>IFERROR(VLOOKUP('FB Laser'!N16,'FB Data'!A8:E156,3,FALSE)*'FB Laser'!M16,0)</f>
        <v>0</v>
      </c>
      <c r="AK15" t="str">
        <f t="shared" si="0"/>
        <v/>
      </c>
      <c r="AL15" s="33">
        <f>IF(AK15="partial",'FB Laser'!E16/60*35*0.5,IF(AK15="full-time",'FB Laser'!E16/60*35,0))</f>
        <v>0</v>
      </c>
      <c r="AM15" s="33">
        <f>ROUND(IFERROR(AL15/'FB Laser'!B16,0),2)</f>
        <v>0</v>
      </c>
      <c r="AO15">
        <f>IFERROR(VLOOKUP('Tube Laser'!P15,'TL Data'!A8:E1233,3,FALSE)*'Tube Laser'!O15,0)</f>
        <v>0</v>
      </c>
      <c r="AP15" t="str">
        <f t="shared" si="1"/>
        <v/>
      </c>
      <c r="AQ15" s="33">
        <f>IF(AP15="partial",'Tube Laser'!D15/60/60*35*'Tube Laser'!B15*0.5,IF(AP15="full-time",'Tube Laser'!D15/60/60*35*'Tube Laser'!B15,0))</f>
        <v>0</v>
      </c>
      <c r="AR15" s="33">
        <f>ROUND(IFERROR(AQ15/'Tube Laser'!B15,0),2)</f>
        <v>0</v>
      </c>
      <c r="AT15" s="33" t="str">
        <f ca="1">IFERROR('FB Laser'!J16*'FB Laser'!B16,"")</f>
        <v/>
      </c>
      <c r="AU15" s="33" t="str">
        <f ca="1">IFERROR('Tube Laser'!L15*'Tube Laser'!B15,"")</f>
        <v/>
      </c>
    </row>
    <row r="16" spans="1:47">
      <c r="A16" s="10" t="s">
        <v>49</v>
      </c>
      <c r="B16" s="10" t="s">
        <v>50</v>
      </c>
      <c r="C16" s="11">
        <v>0.71299999999999997</v>
      </c>
      <c r="D16" s="10" t="s">
        <v>22</v>
      </c>
      <c r="E16" s="9">
        <v>4</v>
      </c>
      <c r="K16" t="str">
        <f t="array" aca="1" ref="K16" ca="1">INDIRECT(TEXT(MIN(IF(($L$9:$M$100&lt;&gt;"")*(COUNTIF($K$8:K15,$L$9:$M$100)=0),ROW($9:$100)*100+COLUMN($L:$M),7^8)),"R0C00"),)&amp;""</f>
        <v/>
      </c>
      <c r="L16" t="str">
        <f>IF('FB Laser'!A17=0,"",'FB Laser'!A17)</f>
        <v/>
      </c>
      <c r="M16" t="str">
        <f>IF('Tube Laser'!A16=0,"",'Tube Laser'!A16)</f>
        <v/>
      </c>
      <c r="O16" t="str">
        <f t="array" aca="1" ref="O16" ca="1">INDIRECT(TEXT(MIN(IF(($P$9:$Q$100&lt;&gt;"")*(COUNTIF($O$8:O15,$P$9:$Q$100)=0),ROW($9:$100)*100+COLUMN($P:$Q),7^8)),"R0C00"),)&amp;""</f>
        <v/>
      </c>
      <c r="P16" t="str">
        <f>IF('FB Laser'!F17="Yes",'FB Laser'!A17,"")</f>
        <v/>
      </c>
      <c r="Q16" t="str">
        <f>IF('Tube Laser'!I16="Yes",'Tube Laser'!A16,"")</f>
        <v/>
      </c>
      <c r="R16" s="37" t="str">
        <f>IFERROR(('FB Laser'!G17*'FB Laser'!B17),"")</f>
        <v/>
      </c>
      <c r="S16" s="37">
        <f>IFERROR('FB Laser'!H17*'FB Laser'!B17,"")</f>
        <v>0</v>
      </c>
      <c r="U16" s="37">
        <f>IFERROR(((((('Tube Laser'!D16)*'Tube Laser'!B16)/60)/60)*188.17)+(AE16*'Tube Laser'!B16),"")</f>
        <v>0</v>
      </c>
      <c r="V16" s="37">
        <f ca="1">IFERROR(('Tube Laser'!N16*'Tube Laser'!B16)+(AE16*'Tube Laser'!B16)+(AF16*'Tube Laser'!B16)+(AG16*'Tube Laser'!B16)+('FB Data'!AH16*'Tube Laser'!B16),"")</f>
        <v>0</v>
      </c>
      <c r="X16" s="41">
        <f>IFERROR(('Tube Laser'!D16*'Tube Laser'!B16)/60/60,"")</f>
        <v>0</v>
      </c>
      <c r="AB16">
        <v>8</v>
      </c>
      <c r="AE16" t="str">
        <f>IF('Tube Laser'!E16="One Side",'Tube Laser'!J16*0.2,IF('Tube Laser'!E16="Both Sides",'Tube Laser'!J16*0.4,"0"))</f>
        <v>0</v>
      </c>
      <c r="AF16">
        <f>IF('Tube Laser'!F16="Yes",'Tube Laser'!J16*0.1,0)</f>
        <v>0</v>
      </c>
      <c r="AG16">
        <f>IF('Tube Laser'!G16&gt;0,'Tube Laser'!J16*0.2,0)</f>
        <v>0</v>
      </c>
      <c r="AH16">
        <f>IF('Tube Laser'!H16="Yes",'Tube Laser'!J16*0.1,0)</f>
        <v>0</v>
      </c>
      <c r="AJ16">
        <f>IFERROR(VLOOKUP('FB Laser'!N17,'FB Data'!A9:E157,3,FALSE)*'FB Laser'!M17,0)</f>
        <v>0</v>
      </c>
      <c r="AK16" t="str">
        <f t="shared" si="0"/>
        <v/>
      </c>
      <c r="AL16" s="33">
        <f>IF(AK16="partial",'FB Laser'!E17/60*35*0.5,IF(AK16="full-time",'FB Laser'!E17/60*35,0))</f>
        <v>0</v>
      </c>
      <c r="AM16" s="33">
        <f>ROUND(IFERROR(AL16/'FB Laser'!B17,0),2)</f>
        <v>0</v>
      </c>
      <c r="AO16">
        <f>IFERROR(VLOOKUP('Tube Laser'!P16,'TL Data'!A9:E1234,3,FALSE)*'Tube Laser'!O16,0)</f>
        <v>0</v>
      </c>
      <c r="AP16" t="str">
        <f t="shared" si="1"/>
        <v/>
      </c>
      <c r="AQ16" s="33">
        <f>IF(AP16="partial",'Tube Laser'!D16/60/60*35*'Tube Laser'!B16*0.5,IF(AP16="full-time",'Tube Laser'!D16/60/60*35*'Tube Laser'!B16,0))</f>
        <v>0</v>
      </c>
      <c r="AR16" s="33">
        <f>ROUND(IFERROR(AQ16/'Tube Laser'!B16,0),2)</f>
        <v>0</v>
      </c>
      <c r="AT16" s="33" t="str">
        <f ca="1">IFERROR('FB Laser'!J17*'FB Laser'!B17,"")</f>
        <v/>
      </c>
      <c r="AU16" s="33" t="str">
        <f ca="1">IFERROR('Tube Laser'!L16*'Tube Laser'!B16,"")</f>
        <v/>
      </c>
    </row>
    <row r="17" spans="1:47">
      <c r="A17" s="10" t="s">
        <v>51</v>
      </c>
      <c r="B17" s="10" t="s">
        <v>52</v>
      </c>
      <c r="C17" s="11">
        <v>0.69799999999999995</v>
      </c>
      <c r="D17" s="10" t="s">
        <v>22</v>
      </c>
      <c r="E17" s="9">
        <v>4</v>
      </c>
      <c r="K17" t="str">
        <f t="array" aca="1" ref="K17" ca="1">INDIRECT(TEXT(MIN(IF(($L$9:$M$100&lt;&gt;"")*(COUNTIF($K$8:K16,$L$9:$M$100)=0),ROW($9:$100)*100+COLUMN($L:$M),7^8)),"R0C00"),)&amp;""</f>
        <v/>
      </c>
      <c r="L17" t="str">
        <f>IF('FB Laser'!A18=0,"",'FB Laser'!A18)</f>
        <v/>
      </c>
      <c r="M17" t="str">
        <f>IF('Tube Laser'!A17=0,"",'Tube Laser'!A17)</f>
        <v/>
      </c>
      <c r="O17" t="str">
        <f t="array" aca="1" ref="O17" ca="1">INDIRECT(TEXT(MIN(IF(($P$9:$Q$100&lt;&gt;"")*(COUNTIF($O$8:O16,$P$9:$Q$100)=0),ROW($9:$100)*100+COLUMN($P:$Q),7^8)),"R0C00"),)&amp;""</f>
        <v/>
      </c>
      <c r="P17" t="str">
        <f>IF('FB Laser'!F18="Yes",'FB Laser'!A18,"")</f>
        <v/>
      </c>
      <c r="Q17" t="str">
        <f>IF('Tube Laser'!I17="Yes",'Tube Laser'!A17,"")</f>
        <v/>
      </c>
      <c r="R17" s="37" t="str">
        <f>IFERROR(('FB Laser'!G18*'FB Laser'!B18),"")</f>
        <v/>
      </c>
      <c r="S17" s="37">
        <f>IFERROR('FB Laser'!H18*'FB Laser'!B18,"")</f>
        <v>0</v>
      </c>
      <c r="U17" s="37">
        <f>IFERROR(((((('Tube Laser'!D17)*'Tube Laser'!B17)/60)/60)*188.17)+(AE17*'Tube Laser'!B17),"")</f>
        <v>0</v>
      </c>
      <c r="V17" s="37">
        <f ca="1">IFERROR(('Tube Laser'!N17*'Tube Laser'!B17)+(AE17*'Tube Laser'!B17)+(AF17*'Tube Laser'!B17)+(AG17*'Tube Laser'!B17)+('FB Data'!AH17*'Tube Laser'!B17),"")</f>
        <v>0</v>
      </c>
      <c r="X17" s="41">
        <f>IFERROR(('Tube Laser'!D17*'Tube Laser'!B17)/60/60,"")</f>
        <v>0</v>
      </c>
      <c r="AB17">
        <v>9</v>
      </c>
      <c r="AE17" t="str">
        <f>IF('Tube Laser'!E17="One Side",'Tube Laser'!J17*0.2,IF('Tube Laser'!E17="Both Sides",'Tube Laser'!J17*0.4,"0"))</f>
        <v>0</v>
      </c>
      <c r="AF17">
        <f>IF('Tube Laser'!F17="Yes",'Tube Laser'!J17*0.1,0)</f>
        <v>0</v>
      </c>
      <c r="AG17">
        <f>IF('Tube Laser'!G17&gt;0,'Tube Laser'!J17*0.2,0)</f>
        <v>0</v>
      </c>
      <c r="AH17">
        <f>IF('Tube Laser'!H17="Yes",'Tube Laser'!J17*0.1,0)</f>
        <v>0</v>
      </c>
      <c r="AJ17">
        <f>IFERROR(VLOOKUP('FB Laser'!N18,'FB Data'!A10:E158,3,FALSE)*'FB Laser'!M18,0)</f>
        <v>0</v>
      </c>
      <c r="AK17" t="str">
        <f t="shared" si="0"/>
        <v/>
      </c>
      <c r="AL17" s="33">
        <f>IF(AK17="partial",'FB Laser'!E18/60*35*0.5,IF(AK17="full-time",'FB Laser'!E18/60*35,0))</f>
        <v>0</v>
      </c>
      <c r="AM17" s="33">
        <f>ROUND(IFERROR(AL17/'FB Laser'!B18,0),2)</f>
        <v>0</v>
      </c>
      <c r="AO17">
        <f>IFERROR(VLOOKUP('Tube Laser'!P17,'TL Data'!A10:E1235,3,FALSE)*'Tube Laser'!O17,0)</f>
        <v>0</v>
      </c>
      <c r="AP17" t="str">
        <f t="shared" si="1"/>
        <v/>
      </c>
      <c r="AQ17" s="33">
        <f>IF(AP17="partial",'Tube Laser'!D17/60/60*35*'Tube Laser'!B17*0.5,IF(AP17="full-time",'Tube Laser'!D17/60/60*35*'Tube Laser'!B17,0))</f>
        <v>0</v>
      </c>
      <c r="AR17" s="33">
        <f>ROUND(IFERROR(AQ17/'Tube Laser'!B17,0),2)</f>
        <v>0</v>
      </c>
      <c r="AT17" s="33" t="str">
        <f ca="1">IFERROR('FB Laser'!J18*'FB Laser'!B18,"")</f>
        <v/>
      </c>
      <c r="AU17" s="33" t="str">
        <f ca="1">IFERROR('Tube Laser'!L17*'Tube Laser'!B17,"")</f>
        <v/>
      </c>
    </row>
    <row r="18" spans="1:47">
      <c r="A18" s="10" t="s">
        <v>53</v>
      </c>
      <c r="B18" s="10" t="s">
        <v>54</v>
      </c>
      <c r="C18" s="11">
        <v>0.70599999999999996</v>
      </c>
      <c r="D18" s="10" t="s">
        <v>22</v>
      </c>
      <c r="E18" s="9">
        <v>4</v>
      </c>
      <c r="K18" t="str">
        <f t="array" aca="1" ref="K18" ca="1">INDIRECT(TEXT(MIN(IF(($L$9:$M$100&lt;&gt;"")*(COUNTIF($K$8:K17,$L$9:$M$100)=0),ROW($9:$100)*100+COLUMN($L:$M),7^8)),"R0C00"),)&amp;""</f>
        <v/>
      </c>
      <c r="L18" t="str">
        <f>IF('FB Laser'!A19=0,"",'FB Laser'!A19)</f>
        <v/>
      </c>
      <c r="M18" t="str">
        <f>IF('Tube Laser'!A18=0,"",'Tube Laser'!A18)</f>
        <v/>
      </c>
      <c r="O18" t="str">
        <f t="array" aca="1" ref="O18" ca="1">INDIRECT(TEXT(MIN(IF(($P$9:$Q$100&lt;&gt;"")*(COUNTIF($O$8:O17,$P$9:$Q$100)=0),ROW($9:$100)*100+COLUMN($P:$Q),7^8)),"R0C00"),)&amp;""</f>
        <v/>
      </c>
      <c r="P18" t="str">
        <f>IF('FB Laser'!F19="Yes",'FB Laser'!A19,"")</f>
        <v/>
      </c>
      <c r="Q18" t="str">
        <f>IF('Tube Laser'!I18="Yes",'Tube Laser'!A18,"")</f>
        <v/>
      </c>
      <c r="R18" s="37" t="str">
        <f>IFERROR(('FB Laser'!G19*'FB Laser'!B19),"")</f>
        <v/>
      </c>
      <c r="S18" s="37">
        <f>IFERROR('FB Laser'!H19*'FB Laser'!B19,"")</f>
        <v>0</v>
      </c>
      <c r="U18" s="37">
        <f>IFERROR(((((('Tube Laser'!D18)*'Tube Laser'!B18)/60)/60)*188.17)+(AE18*'Tube Laser'!B18),"")</f>
        <v>0</v>
      </c>
      <c r="V18" s="37">
        <f ca="1">IFERROR(('Tube Laser'!N18*'Tube Laser'!B18)+(AE18*'Tube Laser'!B18)+(AF18*'Tube Laser'!B18)+(AG18*'Tube Laser'!B18)+('FB Data'!AH18*'Tube Laser'!B18),"")</f>
        <v>0</v>
      </c>
      <c r="X18" s="41">
        <f>IFERROR(('Tube Laser'!D18*'Tube Laser'!B18)/60/60,"")</f>
        <v>0</v>
      </c>
      <c r="AB18">
        <v>10</v>
      </c>
      <c r="AE18" t="str">
        <f>IF('Tube Laser'!E18="One Side",'Tube Laser'!J18*0.2,IF('Tube Laser'!E18="Both Sides",'Tube Laser'!J18*0.4,"0"))</f>
        <v>0</v>
      </c>
      <c r="AF18">
        <f>IF('Tube Laser'!F18="Yes",'Tube Laser'!J18*0.1,0)</f>
        <v>0</v>
      </c>
      <c r="AG18">
        <f>IF('Tube Laser'!G18&gt;0,'Tube Laser'!J18*0.2,0)</f>
        <v>0</v>
      </c>
      <c r="AH18">
        <f>IF('Tube Laser'!H18="Yes",'Tube Laser'!J18*0.1,0)</f>
        <v>0</v>
      </c>
      <c r="AJ18">
        <f>IFERROR(VLOOKUP('FB Laser'!N19,'FB Data'!A11:E159,3,FALSE)*'FB Laser'!M19,0)</f>
        <v>0</v>
      </c>
      <c r="AK18" t="str">
        <f t="shared" si="0"/>
        <v/>
      </c>
      <c r="AL18" s="33">
        <f>IF(AK18="partial",'FB Laser'!E19/60*35*0.5,IF(AK18="full-time",'FB Laser'!E19/60*35,0))</f>
        <v>0</v>
      </c>
      <c r="AM18" s="33">
        <f>ROUND(IFERROR(AL18/'FB Laser'!B19,0),2)</f>
        <v>0</v>
      </c>
      <c r="AO18">
        <f>IFERROR(VLOOKUP('Tube Laser'!P18,'TL Data'!A11:E1236,3,FALSE)*'Tube Laser'!O18,0)</f>
        <v>0</v>
      </c>
      <c r="AP18" t="str">
        <f t="shared" si="1"/>
        <v/>
      </c>
      <c r="AQ18" s="33">
        <f>IF(AP18="partial",'Tube Laser'!D18/60/60*35*'Tube Laser'!B18*0.5,IF(AP18="full-time",'Tube Laser'!D18/60/60*35*'Tube Laser'!B18,0))</f>
        <v>0</v>
      </c>
      <c r="AR18" s="33">
        <f>ROUND(IFERROR(AQ18/'Tube Laser'!B18,0),2)</f>
        <v>0</v>
      </c>
      <c r="AT18" s="33" t="str">
        <f ca="1">IFERROR('FB Laser'!J19*'FB Laser'!B19,"")</f>
        <v/>
      </c>
      <c r="AU18" s="33" t="str">
        <f ca="1">IFERROR('Tube Laser'!L18*'Tube Laser'!B18,"")</f>
        <v/>
      </c>
    </row>
    <row r="19" spans="1:47">
      <c r="A19" s="10" t="s">
        <v>55</v>
      </c>
      <c r="B19" s="10" t="s">
        <v>56</v>
      </c>
      <c r="C19" s="11">
        <v>0.89800000000000002</v>
      </c>
      <c r="D19" s="10" t="s">
        <v>22</v>
      </c>
      <c r="E19" s="9">
        <v>4</v>
      </c>
      <c r="K19" t="str">
        <f t="array" aca="1" ref="K19" ca="1">INDIRECT(TEXT(MIN(IF(($L$9:$M$100&lt;&gt;"")*(COUNTIF($K$8:K18,$L$9:$M$100)=0),ROW($9:$100)*100+COLUMN($L:$M),7^8)),"R0C00"),)&amp;""</f>
        <v/>
      </c>
      <c r="L19" t="str">
        <f>IF('FB Laser'!A20=0,"",'FB Laser'!A20)</f>
        <v/>
      </c>
      <c r="M19" t="str">
        <f>IF('Tube Laser'!A19=0,"",'Tube Laser'!A19)</f>
        <v/>
      </c>
      <c r="O19" t="str">
        <f t="array" aca="1" ref="O19" ca="1">INDIRECT(TEXT(MIN(IF(($P$9:$Q$100&lt;&gt;"")*(COUNTIF($O$8:O18,$P$9:$Q$100)=0),ROW($9:$100)*100+COLUMN($P:$Q),7^8)),"R0C00"),)&amp;""</f>
        <v/>
      </c>
      <c r="P19" t="str">
        <f>IF('FB Laser'!F20="Yes",'FB Laser'!A20,"")</f>
        <v/>
      </c>
      <c r="Q19" t="str">
        <f>IF('Tube Laser'!I19="Yes",'Tube Laser'!A19,"")</f>
        <v/>
      </c>
      <c r="R19" s="37" t="str">
        <f>IFERROR(('FB Laser'!G20*'FB Laser'!B20),"")</f>
        <v/>
      </c>
      <c r="S19" s="37">
        <f>IFERROR('FB Laser'!H20*'FB Laser'!B20,"")</f>
        <v>0</v>
      </c>
      <c r="U19" s="37">
        <f>IFERROR(((((('Tube Laser'!D19)*'Tube Laser'!B19)/60)/60)*188.17)+(AE19*'Tube Laser'!B19),"")</f>
        <v>0</v>
      </c>
      <c r="V19" s="37">
        <f ca="1">IFERROR(('Tube Laser'!N19*'Tube Laser'!B19)+(AE19*'Tube Laser'!B19)+(AF19*'Tube Laser'!B19)+(AG19*'Tube Laser'!B19)+('FB Data'!AH19*'Tube Laser'!B19),"")</f>
        <v>0</v>
      </c>
      <c r="X19" s="41">
        <f>IFERROR(('Tube Laser'!D19*'Tube Laser'!B19)/60/60,"")</f>
        <v>0</v>
      </c>
      <c r="AB19">
        <v>11</v>
      </c>
      <c r="AE19" t="str">
        <f>IF('Tube Laser'!E19="One Side",'Tube Laser'!J19*0.2,IF('Tube Laser'!E19="Both Sides",'Tube Laser'!J19*0.4,"0"))</f>
        <v>0</v>
      </c>
      <c r="AF19">
        <f>IF('Tube Laser'!F19="Yes",'Tube Laser'!J19*0.1,0)</f>
        <v>0</v>
      </c>
      <c r="AG19">
        <f>IF('Tube Laser'!G19&gt;0,'Tube Laser'!J19*0.2,0)</f>
        <v>0</v>
      </c>
      <c r="AH19">
        <f>IF('Tube Laser'!H19="Yes",'Tube Laser'!J19*0.1,0)</f>
        <v>0</v>
      </c>
      <c r="AJ19">
        <f>IFERROR(VLOOKUP('FB Laser'!N20,'FB Data'!A12:E160,3,FALSE)*'FB Laser'!M20,0)</f>
        <v>0</v>
      </c>
      <c r="AK19" t="str">
        <f t="shared" si="0"/>
        <v/>
      </c>
      <c r="AL19" s="33">
        <f>IF(AK19="partial",'FB Laser'!E20/60*35*0.5,IF(AK19="full-time",'FB Laser'!E20/60*35,0))</f>
        <v>0</v>
      </c>
      <c r="AM19" s="33">
        <f>ROUND(IFERROR(AL19/'FB Laser'!B20,0),2)</f>
        <v>0</v>
      </c>
      <c r="AO19">
        <f>IFERROR(VLOOKUP('Tube Laser'!P19,'TL Data'!A12:E1237,3,FALSE)*'Tube Laser'!O19,0)</f>
        <v>0</v>
      </c>
      <c r="AP19" t="str">
        <f t="shared" si="1"/>
        <v/>
      </c>
      <c r="AQ19" s="33">
        <f>IF(AP19="partial",'Tube Laser'!D19/60/60*35*'Tube Laser'!B19*0.5,IF(AP19="full-time",'Tube Laser'!D19/60/60*35*'Tube Laser'!B19,0))</f>
        <v>0</v>
      </c>
      <c r="AR19" s="33">
        <f>ROUND(IFERROR(AQ19/'Tube Laser'!B19,0),2)</f>
        <v>0</v>
      </c>
      <c r="AT19" s="33" t="str">
        <f ca="1">IFERROR('FB Laser'!J20*'FB Laser'!B20,"")</f>
        <v/>
      </c>
      <c r="AU19" s="33" t="str">
        <f ca="1">IFERROR('Tube Laser'!L19*'Tube Laser'!B19,"")</f>
        <v/>
      </c>
    </row>
    <row r="20" spans="1:47">
      <c r="A20" s="10" t="s">
        <v>57</v>
      </c>
      <c r="B20" s="10" t="s">
        <v>58</v>
      </c>
      <c r="C20" s="11">
        <v>0.88</v>
      </c>
      <c r="D20" s="10" t="s">
        <v>22</v>
      </c>
      <c r="E20" s="9">
        <v>4</v>
      </c>
      <c r="K20" t="str">
        <f t="array" aca="1" ref="K20" ca="1">INDIRECT(TEXT(MIN(IF(($L$9:$M$100&lt;&gt;"")*(COUNTIF($K$8:K19,$L$9:$M$100)=0),ROW($9:$100)*100+COLUMN($L:$M),7^8)),"R0C00"),)&amp;""</f>
        <v/>
      </c>
      <c r="L20" t="str">
        <f>IF('FB Laser'!A21=0,"",'FB Laser'!A21)</f>
        <v/>
      </c>
      <c r="M20" t="str">
        <f>IF('Tube Laser'!A20=0,"",'Tube Laser'!A20)</f>
        <v/>
      </c>
      <c r="O20" t="str">
        <f t="array" aca="1" ref="O20" ca="1">INDIRECT(TEXT(MIN(IF(($P$9:$Q$100&lt;&gt;"")*(COUNTIF($O$8:O19,$P$9:$Q$100)=0),ROW($9:$100)*100+COLUMN($P:$Q),7^8)),"R0C00"),)&amp;""</f>
        <v/>
      </c>
      <c r="P20" t="str">
        <f>IF('FB Laser'!F21="Yes",'FB Laser'!A21,"")</f>
        <v/>
      </c>
      <c r="Q20" t="str">
        <f>IF('Tube Laser'!I20="Yes",'Tube Laser'!A20,"")</f>
        <v/>
      </c>
      <c r="R20" s="37" t="str">
        <f>IFERROR(('FB Laser'!G21*'FB Laser'!B21),"")</f>
        <v/>
      </c>
      <c r="S20" s="37">
        <f>IFERROR('FB Laser'!H21*'FB Laser'!B21,"")</f>
        <v>0</v>
      </c>
      <c r="U20" s="37">
        <f>IFERROR(((((('Tube Laser'!D20)*'Tube Laser'!B20)/60)/60)*188.17)+(AE20*'Tube Laser'!B20),"")</f>
        <v>0</v>
      </c>
      <c r="V20" s="37">
        <f ca="1">IFERROR(('Tube Laser'!N20*'Tube Laser'!B20)+(AE20*'Tube Laser'!B20)+(AF20*'Tube Laser'!B20)+(AG20*'Tube Laser'!B20)+('FB Data'!AH20*'Tube Laser'!B20),"")</f>
        <v>0</v>
      </c>
      <c r="X20" s="41">
        <f>IFERROR(('Tube Laser'!D20*'Tube Laser'!B20)/60/60,"")</f>
        <v>0</v>
      </c>
      <c r="AB20">
        <v>12</v>
      </c>
      <c r="AE20" t="str">
        <f>IF('Tube Laser'!E20="One Side",'Tube Laser'!J20*0.2,IF('Tube Laser'!E20="Both Sides",'Tube Laser'!J20*0.4,"0"))</f>
        <v>0</v>
      </c>
      <c r="AF20">
        <f>IF('Tube Laser'!F20="Yes",'Tube Laser'!J20*0.1,0)</f>
        <v>0</v>
      </c>
      <c r="AG20">
        <f>IF('Tube Laser'!G20&gt;0,'Tube Laser'!J20*0.2,0)</f>
        <v>0</v>
      </c>
      <c r="AH20">
        <f>IF('Tube Laser'!H20="Yes",'Tube Laser'!J20*0.1,0)</f>
        <v>0</v>
      </c>
      <c r="AJ20">
        <f>IFERROR(VLOOKUP('FB Laser'!N21,'FB Data'!A13:E161,3,FALSE)*'FB Laser'!M21,0)</f>
        <v>0</v>
      </c>
      <c r="AK20" t="str">
        <f t="shared" si="0"/>
        <v/>
      </c>
      <c r="AL20" s="33">
        <f>IF(AK20="partial",'FB Laser'!E21/60*35*0.5,IF(AK20="full-time",'FB Laser'!E21/60*35,0))</f>
        <v>0</v>
      </c>
      <c r="AM20" s="33">
        <f>ROUND(IFERROR(AL20/'FB Laser'!B21,0),2)</f>
        <v>0</v>
      </c>
      <c r="AO20">
        <f>IFERROR(VLOOKUP('Tube Laser'!P20,'TL Data'!A13:E1238,3,FALSE)*'Tube Laser'!O20,0)</f>
        <v>0</v>
      </c>
      <c r="AP20" t="str">
        <f t="shared" si="1"/>
        <v/>
      </c>
      <c r="AQ20" s="33">
        <f>IF(AP20="partial",'Tube Laser'!D20/60/60*35*'Tube Laser'!B20*0.5,IF(AP20="full-time",'Tube Laser'!D20/60/60*35*'Tube Laser'!B20,0))</f>
        <v>0</v>
      </c>
      <c r="AR20" s="33">
        <f>ROUND(IFERROR(AQ20/'Tube Laser'!B20,0),2)</f>
        <v>0</v>
      </c>
      <c r="AT20" s="33" t="str">
        <f ca="1">IFERROR('FB Laser'!J21*'FB Laser'!B21,"")</f>
        <v/>
      </c>
      <c r="AU20" s="33" t="str">
        <f ca="1">IFERROR('Tube Laser'!L20*'Tube Laser'!B20,"")</f>
        <v/>
      </c>
    </row>
    <row r="21" spans="1:47">
      <c r="A21" s="10" t="s">
        <v>59</v>
      </c>
      <c r="B21" s="10" t="s">
        <v>60</v>
      </c>
      <c r="C21" s="11">
        <v>0.88900000000000001</v>
      </c>
      <c r="D21" s="10" t="s">
        <v>22</v>
      </c>
      <c r="E21" s="9">
        <v>4</v>
      </c>
      <c r="K21" t="str">
        <f t="array" aca="1" ref="K21" ca="1">INDIRECT(TEXT(MIN(IF(($L$9:$M$100&lt;&gt;"")*(COUNTIF($K$8:K20,$L$9:$M$100)=0),ROW($9:$100)*100+COLUMN($L:$M),7^8)),"R0C00"),)&amp;""</f>
        <v/>
      </c>
      <c r="L21" t="str">
        <f>IF('FB Laser'!A22=0,"",'FB Laser'!A22)</f>
        <v/>
      </c>
      <c r="M21" t="str">
        <f>IF('Tube Laser'!A21=0,"",'Tube Laser'!A21)</f>
        <v/>
      </c>
      <c r="O21" t="str">
        <f t="array" aca="1" ref="O21" ca="1">INDIRECT(TEXT(MIN(IF(($P$9:$Q$100&lt;&gt;"")*(COUNTIF($O$8:O20,$P$9:$Q$100)=0),ROW($9:$100)*100+COLUMN($P:$Q),7^8)),"R0C00"),)&amp;""</f>
        <v/>
      </c>
      <c r="P21" t="str">
        <f>IF('FB Laser'!F22="Yes",'FB Laser'!A22,"")</f>
        <v/>
      </c>
      <c r="Q21" t="str">
        <f>IF('Tube Laser'!I21="Yes",'Tube Laser'!A21,"")</f>
        <v/>
      </c>
      <c r="R21" s="37" t="str">
        <f>IFERROR(('FB Laser'!G22*'FB Laser'!B22),"")</f>
        <v/>
      </c>
      <c r="S21" s="37">
        <f>IFERROR('FB Laser'!H22*'FB Laser'!B22,"")</f>
        <v>0</v>
      </c>
      <c r="U21" s="37">
        <f>IFERROR(((((('Tube Laser'!D21)*'Tube Laser'!B21)/60)/60)*188.17)+(AE21*'Tube Laser'!B21),"")</f>
        <v>0</v>
      </c>
      <c r="V21" s="37">
        <f ca="1">IFERROR(('Tube Laser'!N21*'Tube Laser'!B21)+(AE21*'Tube Laser'!B21)+(AF21*'Tube Laser'!B21)+(AG21*'Tube Laser'!B21)+('FB Data'!AH21*'Tube Laser'!B21),"")</f>
        <v>0</v>
      </c>
      <c r="X21" s="41">
        <f>IFERROR(('Tube Laser'!D21*'Tube Laser'!B21)/60/60,"")</f>
        <v>0</v>
      </c>
      <c r="AB21">
        <v>13</v>
      </c>
      <c r="AE21" t="str">
        <f>IF('Tube Laser'!E21="One Side",'Tube Laser'!J21*0.2,IF('Tube Laser'!E21="Both Sides",'Tube Laser'!J21*0.4,"0"))</f>
        <v>0</v>
      </c>
      <c r="AF21">
        <f>IF('Tube Laser'!F21="Yes",'Tube Laser'!J21*0.1,0)</f>
        <v>0</v>
      </c>
      <c r="AG21">
        <f>IF('Tube Laser'!G21&gt;0,'Tube Laser'!J21*0.2,0)</f>
        <v>0</v>
      </c>
      <c r="AH21">
        <f>IF('Tube Laser'!H21="Yes",'Tube Laser'!J21*0.1,0)</f>
        <v>0</v>
      </c>
      <c r="AJ21">
        <f>IFERROR(VLOOKUP('FB Laser'!N22,'FB Data'!A14:E162,3,FALSE)*'FB Laser'!M22,0)</f>
        <v>0</v>
      </c>
      <c r="AK21" t="str">
        <f t="shared" si="0"/>
        <v/>
      </c>
      <c r="AL21" s="33">
        <f>IF(AK21="partial",'FB Laser'!E22/60*35*0.5,IF(AK21="full-time",'FB Laser'!E22/60*35,0))</f>
        <v>0</v>
      </c>
      <c r="AM21" s="33">
        <f>ROUND(IFERROR(AL21/'FB Laser'!B22,0),2)</f>
        <v>0</v>
      </c>
      <c r="AO21">
        <f>IFERROR(VLOOKUP('Tube Laser'!P21,'TL Data'!A14:E1239,3,FALSE)*'Tube Laser'!O21,0)</f>
        <v>0</v>
      </c>
      <c r="AP21" t="str">
        <f t="shared" si="1"/>
        <v/>
      </c>
      <c r="AQ21" s="33">
        <f>IF(AP21="partial",'Tube Laser'!D21/60/60*35*'Tube Laser'!B21*0.5,IF(AP21="full-time",'Tube Laser'!D21/60/60*35*'Tube Laser'!B21,0))</f>
        <v>0</v>
      </c>
      <c r="AR21" s="33">
        <f>ROUND(IFERROR(AQ21/'Tube Laser'!B21,0),2)</f>
        <v>0</v>
      </c>
      <c r="AT21" s="33" t="str">
        <f ca="1">IFERROR('FB Laser'!J22*'FB Laser'!B22,"")</f>
        <v/>
      </c>
      <c r="AU21" s="33" t="str">
        <f ca="1">IFERROR('Tube Laser'!L21*'Tube Laser'!B21,"")</f>
        <v/>
      </c>
    </row>
    <row r="22" spans="1:47">
      <c r="A22" s="10" t="s">
        <v>61</v>
      </c>
      <c r="B22" s="10" t="s">
        <v>62</v>
      </c>
      <c r="C22" s="11">
        <v>1.139</v>
      </c>
      <c r="D22" s="10" t="s">
        <v>22</v>
      </c>
      <c r="E22" s="9">
        <v>4</v>
      </c>
      <c r="K22" t="str">
        <f t="array" aca="1" ref="K22" ca="1">INDIRECT(TEXT(MIN(IF(($L$9:$M$100&lt;&gt;"")*(COUNTIF($K$8:K21,$L$9:$M$100)=0),ROW($9:$100)*100+COLUMN($L:$M),7^8)),"R0C00"),)&amp;""</f>
        <v/>
      </c>
      <c r="L22" t="str">
        <f>IF('FB Laser'!A23=0,"",'FB Laser'!A23)</f>
        <v/>
      </c>
      <c r="M22" t="str">
        <f>IF('Tube Laser'!A22=0,"",'Tube Laser'!A22)</f>
        <v/>
      </c>
      <c r="O22" t="str">
        <f t="array" aca="1" ref="O22" ca="1">INDIRECT(TEXT(MIN(IF(($P$9:$Q$100&lt;&gt;"")*(COUNTIF($O$8:O21,$P$9:$Q$100)=0),ROW($9:$100)*100+COLUMN($P:$Q),7^8)),"R0C00"),)&amp;""</f>
        <v/>
      </c>
      <c r="P22" t="str">
        <f>IF('FB Laser'!F23="Yes",'FB Laser'!A23,"")</f>
        <v/>
      </c>
      <c r="Q22" t="str">
        <f>IF('Tube Laser'!I22="Yes",'Tube Laser'!A22,"")</f>
        <v/>
      </c>
      <c r="R22" s="37" t="str">
        <f>IFERROR(('FB Laser'!G23*'FB Laser'!B23),"")</f>
        <v/>
      </c>
      <c r="S22" s="37">
        <f>IFERROR('FB Laser'!H23*'FB Laser'!B23,"")</f>
        <v>0</v>
      </c>
      <c r="U22" s="37">
        <f>IFERROR(((((('Tube Laser'!D22)*'Tube Laser'!B22)/60)/60)*188.17)+(AE22*'Tube Laser'!B22),"")</f>
        <v>0</v>
      </c>
      <c r="V22" s="37">
        <f ca="1">IFERROR(('Tube Laser'!N22*'Tube Laser'!B22)+(AE22*'Tube Laser'!B22)+(AF22*'Tube Laser'!B22)+(AG22*'Tube Laser'!B22)+('FB Data'!AH22*'Tube Laser'!B22),"")</f>
        <v>0</v>
      </c>
      <c r="X22" s="41">
        <f>IFERROR(('Tube Laser'!D22*'Tube Laser'!B22)/60/60,"")</f>
        <v>0</v>
      </c>
      <c r="AB22">
        <v>14</v>
      </c>
      <c r="AE22" t="str">
        <f>IF('Tube Laser'!E22="One Side",'Tube Laser'!J22*0.2,IF('Tube Laser'!E22="Both Sides",'Tube Laser'!J22*0.4,"0"))</f>
        <v>0</v>
      </c>
      <c r="AF22">
        <f>IF('Tube Laser'!F22="Yes",'Tube Laser'!J22*0.1,0)</f>
        <v>0</v>
      </c>
      <c r="AG22">
        <f>IF('Tube Laser'!G22&gt;0,'Tube Laser'!J22*0.2,0)</f>
        <v>0</v>
      </c>
      <c r="AH22">
        <f>IF('Tube Laser'!H22="Yes",'Tube Laser'!J22*0.1,0)</f>
        <v>0</v>
      </c>
      <c r="AJ22">
        <f>IFERROR(VLOOKUP('FB Laser'!N23,'FB Data'!A15:E163,3,FALSE)*'FB Laser'!M23,0)</f>
        <v>0</v>
      </c>
      <c r="AK22" t="str">
        <f t="shared" si="0"/>
        <v/>
      </c>
      <c r="AL22" s="33">
        <f>IF(AK22="partial",'FB Laser'!E23/60*35*0.5,IF(AK22="full-time",'FB Laser'!E23/60*35,0))</f>
        <v>0</v>
      </c>
      <c r="AM22" s="33">
        <f>ROUND(IFERROR(AL22/'FB Laser'!B23,0),2)</f>
        <v>0</v>
      </c>
      <c r="AO22">
        <f>IFERROR(VLOOKUP('Tube Laser'!P22,'TL Data'!A15:E1240,3,FALSE)*'Tube Laser'!O22,0)</f>
        <v>0</v>
      </c>
      <c r="AP22" t="str">
        <f t="shared" si="1"/>
        <v/>
      </c>
      <c r="AQ22" s="33">
        <f>IF(AP22="partial",'Tube Laser'!D22/60/60*35*'Tube Laser'!B22*0.5,IF(AP22="full-time",'Tube Laser'!D22/60/60*35*'Tube Laser'!B22,0))</f>
        <v>0</v>
      </c>
      <c r="AR22" s="33">
        <f>ROUND(IFERROR(AQ22/'Tube Laser'!B22,0),2)</f>
        <v>0</v>
      </c>
      <c r="AT22" s="33" t="str">
        <f ca="1">IFERROR('FB Laser'!J23*'FB Laser'!B23,"")</f>
        <v/>
      </c>
      <c r="AU22" s="33" t="str">
        <f ca="1">IFERROR('Tube Laser'!L22*'Tube Laser'!B22,"")</f>
        <v/>
      </c>
    </row>
    <row r="23" spans="1:47">
      <c r="A23" s="10" t="s">
        <v>63</v>
      </c>
      <c r="B23" s="10" t="s">
        <v>64</v>
      </c>
      <c r="C23" s="11">
        <v>1.1160000000000001</v>
      </c>
      <c r="D23" s="10" t="s">
        <v>22</v>
      </c>
      <c r="E23" s="9">
        <v>4</v>
      </c>
      <c r="K23" t="str">
        <f t="array" aca="1" ref="K23" ca="1">INDIRECT(TEXT(MIN(IF(($L$9:$M$100&lt;&gt;"")*(COUNTIF($K$8:K22,$L$9:$M$100)=0),ROW($9:$100)*100+COLUMN($L:$M),7^8)),"R0C00"),)&amp;""</f>
        <v/>
      </c>
      <c r="L23" t="str">
        <f>IF('FB Laser'!A24=0,"",'FB Laser'!A24)</f>
        <v/>
      </c>
      <c r="M23" t="str">
        <f>IF('Tube Laser'!A23=0,"",'Tube Laser'!A23)</f>
        <v/>
      </c>
      <c r="O23" t="str">
        <f t="array" aca="1" ref="O23" ca="1">INDIRECT(TEXT(MIN(IF(($P$9:$Q$100&lt;&gt;"")*(COUNTIF($O$8:O22,$P$9:$Q$100)=0),ROW($9:$100)*100+COLUMN($P:$Q),7^8)),"R0C00"),)&amp;""</f>
        <v/>
      </c>
      <c r="P23" t="str">
        <f>IF('FB Laser'!F24="Yes",'FB Laser'!A24,"")</f>
        <v/>
      </c>
      <c r="Q23" t="str">
        <f>IF('Tube Laser'!I23="Yes",'Tube Laser'!A23,"")</f>
        <v/>
      </c>
      <c r="R23" s="37" t="str">
        <f>IFERROR(('FB Laser'!G24*'FB Laser'!B24),"")</f>
        <v/>
      </c>
      <c r="S23" s="37">
        <f>IFERROR('FB Laser'!H24*'FB Laser'!B24,"")</f>
        <v>0</v>
      </c>
      <c r="U23" s="37">
        <f>IFERROR(((((('Tube Laser'!D23)*'Tube Laser'!B23)/60)/60)*188.17)+(AE23*'Tube Laser'!B23),"")</f>
        <v>0</v>
      </c>
      <c r="V23" s="37">
        <f ca="1">IFERROR(('Tube Laser'!N23*'Tube Laser'!B23)+(AE23*'Tube Laser'!B23)+(AF23*'Tube Laser'!B23)+(AG23*'Tube Laser'!B23)+('FB Data'!AH23*'Tube Laser'!B23),"")</f>
        <v>0</v>
      </c>
      <c r="X23" s="41">
        <f>IFERROR(('Tube Laser'!D23*'Tube Laser'!B23)/60/60,"")</f>
        <v>0</v>
      </c>
      <c r="AB23">
        <v>15</v>
      </c>
      <c r="AE23" t="str">
        <f>IF('Tube Laser'!E23="One Side",'Tube Laser'!J23*0.2,IF('Tube Laser'!E23="Both Sides",'Tube Laser'!J23*0.4,"0"))</f>
        <v>0</v>
      </c>
      <c r="AF23">
        <f>IF('Tube Laser'!F23="Yes",'Tube Laser'!J23*0.1,0)</f>
        <v>0</v>
      </c>
      <c r="AG23">
        <f>IF('Tube Laser'!G23&gt;0,'Tube Laser'!J23*0.2,0)</f>
        <v>0</v>
      </c>
      <c r="AH23">
        <f>IF('Tube Laser'!H23="Yes",'Tube Laser'!J23*0.1,0)</f>
        <v>0</v>
      </c>
      <c r="AJ23">
        <f>IFERROR(VLOOKUP('FB Laser'!N24,'FB Data'!A16:E164,3,FALSE)*'FB Laser'!M24,0)</f>
        <v>0</v>
      </c>
      <c r="AK23" t="str">
        <f t="shared" si="0"/>
        <v/>
      </c>
      <c r="AL23" s="33">
        <f>IF(AK23="partial",'FB Laser'!E24/60*35*0.5,IF(AK23="full-time",'FB Laser'!E24/60*35,0))</f>
        <v>0</v>
      </c>
      <c r="AM23" s="33">
        <f>ROUND(IFERROR(AL23/'FB Laser'!B24,0),2)</f>
        <v>0</v>
      </c>
      <c r="AO23">
        <f>IFERROR(VLOOKUP('Tube Laser'!P23,'TL Data'!A16:E1241,3,FALSE)*'Tube Laser'!O23,0)</f>
        <v>0</v>
      </c>
      <c r="AP23" t="str">
        <f t="shared" si="1"/>
        <v/>
      </c>
      <c r="AQ23" s="33">
        <f>IF(AP23="partial",'Tube Laser'!D23/60/60*35*'Tube Laser'!B23*0.5,IF(AP23="full-time",'Tube Laser'!D23/60/60*35*'Tube Laser'!B23,0))</f>
        <v>0</v>
      </c>
      <c r="AR23" s="33">
        <f>ROUND(IFERROR(AQ23/'Tube Laser'!B23,0),2)</f>
        <v>0</v>
      </c>
      <c r="AT23" s="33" t="str">
        <f ca="1">IFERROR('FB Laser'!J24*'FB Laser'!B24,"")</f>
        <v/>
      </c>
      <c r="AU23" s="33" t="str">
        <f ca="1">IFERROR('Tube Laser'!L23*'Tube Laser'!B23,"")</f>
        <v/>
      </c>
    </row>
    <row r="24" spans="1:47">
      <c r="A24" s="10" t="s">
        <v>65</v>
      </c>
      <c r="B24" s="10" t="s">
        <v>66</v>
      </c>
      <c r="C24" s="11">
        <v>1.127</v>
      </c>
      <c r="D24" s="10" t="s">
        <v>22</v>
      </c>
      <c r="E24" s="9">
        <v>4</v>
      </c>
      <c r="K24" t="str">
        <f t="array" aca="1" ref="K24" ca="1">INDIRECT(TEXT(MIN(IF(($L$9:$M$100&lt;&gt;"")*(COUNTIF($K$8:K23,$L$9:$M$100)=0),ROW($9:$100)*100+COLUMN($L:$M),7^8)),"R0C00"),)&amp;""</f>
        <v/>
      </c>
      <c r="L24" t="str">
        <f>IF('FB Laser'!A25=0,"",'FB Laser'!A25)</f>
        <v/>
      </c>
      <c r="M24" t="str">
        <f>IF('Tube Laser'!A24=0,"",'Tube Laser'!A24)</f>
        <v/>
      </c>
      <c r="O24" t="str">
        <f t="array" aca="1" ref="O24" ca="1">INDIRECT(TEXT(MIN(IF(($P$9:$Q$100&lt;&gt;"")*(COUNTIF($O$8:O23,$P$9:$Q$100)=0),ROW($9:$100)*100+COLUMN($P:$Q),7^8)),"R0C00"),)&amp;""</f>
        <v/>
      </c>
      <c r="P24" t="str">
        <f>IF('FB Laser'!F25="Yes",'FB Laser'!A25,"")</f>
        <v/>
      </c>
      <c r="Q24" t="str">
        <f>IF('Tube Laser'!I24="Yes",'Tube Laser'!A24,"")</f>
        <v/>
      </c>
      <c r="R24" s="37" t="str">
        <f>IFERROR(('FB Laser'!G25*'FB Laser'!B25),"")</f>
        <v/>
      </c>
      <c r="S24" s="37">
        <f>IFERROR('FB Laser'!H25*'FB Laser'!B25,"")</f>
        <v>0</v>
      </c>
      <c r="U24" s="37">
        <f>IFERROR(((((('Tube Laser'!D24)*'Tube Laser'!B24)/60)/60)*188.17)+(AE24*'Tube Laser'!B24),"")</f>
        <v>0</v>
      </c>
      <c r="V24" s="37">
        <f ca="1">IFERROR(('Tube Laser'!N24*'Tube Laser'!B24)+(AE24*'Tube Laser'!B24)+(AF24*'Tube Laser'!B24)+(AG24*'Tube Laser'!B24)+('FB Data'!AH24*'Tube Laser'!B24),"")</f>
        <v>0</v>
      </c>
      <c r="X24" s="41">
        <f>IFERROR(('Tube Laser'!D24*'Tube Laser'!B24)/60/60,"")</f>
        <v>0</v>
      </c>
      <c r="AB24">
        <v>16</v>
      </c>
      <c r="AE24" t="str">
        <f>IF('Tube Laser'!E24="One Side",'Tube Laser'!J24*0.2,IF('Tube Laser'!E24="Both Sides",'Tube Laser'!J24*0.4,"0"))</f>
        <v>0</v>
      </c>
      <c r="AF24">
        <f>IF('Tube Laser'!F24="Yes",'Tube Laser'!J24*0.1,0)</f>
        <v>0</v>
      </c>
      <c r="AG24">
        <f>IF('Tube Laser'!G24&gt;0,'Tube Laser'!J24*0.2,0)</f>
        <v>0</v>
      </c>
      <c r="AH24">
        <f>IF('Tube Laser'!H24="Yes",'Tube Laser'!J24*0.1,0)</f>
        <v>0</v>
      </c>
      <c r="AJ24">
        <f>IFERROR(VLOOKUP('FB Laser'!N25,'FB Data'!A17:E165,3,FALSE)*'FB Laser'!M25,0)</f>
        <v>0</v>
      </c>
      <c r="AK24" t="str">
        <f t="shared" si="0"/>
        <v/>
      </c>
      <c r="AL24" s="33">
        <f>IF(AK24="partial",'FB Laser'!E25/60*35*0.5,IF(AK24="full-time",'FB Laser'!E25/60*35,0))</f>
        <v>0</v>
      </c>
      <c r="AM24" s="33">
        <f>ROUND(IFERROR(AL24/'FB Laser'!B25,0),2)</f>
        <v>0</v>
      </c>
      <c r="AO24">
        <f>IFERROR(VLOOKUP('Tube Laser'!P24,'TL Data'!A17:E1242,3,FALSE)*'Tube Laser'!O24,0)</f>
        <v>0</v>
      </c>
      <c r="AP24" t="str">
        <f t="shared" si="1"/>
        <v/>
      </c>
      <c r="AQ24" s="33">
        <f>IF(AP24="partial",'Tube Laser'!D24/60/60*35*'Tube Laser'!B24*0.5,IF(AP24="full-time",'Tube Laser'!D24/60/60*35*'Tube Laser'!B24,0))</f>
        <v>0</v>
      </c>
      <c r="AR24" s="33">
        <f>ROUND(IFERROR(AQ24/'Tube Laser'!B24,0),2)</f>
        <v>0</v>
      </c>
      <c r="AT24" s="33" t="str">
        <f ca="1">IFERROR('FB Laser'!J25*'FB Laser'!B25,"")</f>
        <v/>
      </c>
      <c r="AU24" s="33" t="str">
        <f ca="1">IFERROR('Tube Laser'!L24*'Tube Laser'!B24,"")</f>
        <v/>
      </c>
    </row>
    <row r="25" spans="1:47">
      <c r="A25" s="10" t="s">
        <v>67</v>
      </c>
      <c r="B25" s="10" t="s">
        <v>68</v>
      </c>
      <c r="C25" s="11">
        <v>1.2869999999999999</v>
      </c>
      <c r="D25" s="10" t="s">
        <v>22</v>
      </c>
      <c r="E25" s="9">
        <v>4</v>
      </c>
      <c r="K25" t="str">
        <f t="array" aca="1" ref="K25" ca="1">INDIRECT(TEXT(MIN(IF(($L$9:$M$100&lt;&gt;"")*(COUNTIF($K$8:K24,$L$9:$M$100)=0),ROW($9:$100)*100+COLUMN($L:$M),7^8)),"R0C00"),)&amp;""</f>
        <v/>
      </c>
      <c r="L25" t="str">
        <f>IF('FB Laser'!A26=0,"",'FB Laser'!A26)</f>
        <v/>
      </c>
      <c r="M25" t="str">
        <f>IF('Tube Laser'!A25=0,"",'Tube Laser'!A25)</f>
        <v/>
      </c>
      <c r="O25" t="str">
        <f t="array" aca="1" ref="O25" ca="1">INDIRECT(TEXT(MIN(IF(($P$9:$Q$100&lt;&gt;"")*(COUNTIF($O$8:O24,$P$9:$Q$100)=0),ROW($9:$100)*100+COLUMN($P:$Q),7^8)),"R0C00"),)&amp;""</f>
        <v/>
      </c>
      <c r="P25" t="str">
        <f>IF('FB Laser'!F26="Yes",'FB Laser'!A26,"")</f>
        <v/>
      </c>
      <c r="Q25" t="str">
        <f>IF('Tube Laser'!I25="Yes",'Tube Laser'!A25,"")</f>
        <v/>
      </c>
      <c r="R25" s="37" t="str">
        <f>IFERROR(('FB Laser'!G26*'FB Laser'!B26),"")</f>
        <v/>
      </c>
      <c r="S25" s="37">
        <f>IFERROR('FB Laser'!H26*'FB Laser'!B26,"")</f>
        <v>0</v>
      </c>
      <c r="U25" s="37">
        <f>IFERROR(((((('Tube Laser'!D25)*'Tube Laser'!B25)/60)/60)*188.17)+(AE25*'Tube Laser'!B25),"")</f>
        <v>0</v>
      </c>
      <c r="V25" s="37">
        <f ca="1">IFERROR(('Tube Laser'!N25*'Tube Laser'!B25)+(AE25*'Tube Laser'!B25)+(AF25*'Tube Laser'!B25)+(AG25*'Tube Laser'!B25)+('FB Data'!AH25*'Tube Laser'!B25),"")</f>
        <v>0</v>
      </c>
      <c r="X25" s="41">
        <f>IFERROR(('Tube Laser'!D25*'Tube Laser'!B25)/60/60,"")</f>
        <v>0</v>
      </c>
      <c r="AB25">
        <v>17</v>
      </c>
      <c r="AE25" t="str">
        <f>IF('Tube Laser'!E25="One Side",'Tube Laser'!J25*0.2,IF('Tube Laser'!E25="Both Sides",'Tube Laser'!J25*0.4,"0"))</f>
        <v>0</v>
      </c>
      <c r="AF25">
        <f>IF('Tube Laser'!F25="Yes",'Tube Laser'!J25*0.1,0)</f>
        <v>0</v>
      </c>
      <c r="AG25">
        <f>IF('Tube Laser'!G25&gt;0,'Tube Laser'!J25*0.2,0)</f>
        <v>0</v>
      </c>
      <c r="AH25">
        <f>IF('Tube Laser'!H25="Yes",'Tube Laser'!J25*0.1,0)</f>
        <v>0</v>
      </c>
      <c r="AJ25">
        <f>IFERROR(VLOOKUP('FB Laser'!N26,'FB Data'!A18:E166,3,FALSE)*'FB Laser'!M26,0)</f>
        <v>0</v>
      </c>
      <c r="AK25" t="str">
        <f t="shared" si="0"/>
        <v/>
      </c>
      <c r="AL25" s="33">
        <f>IF(AK25="partial",'FB Laser'!E26/60*35*0.5,IF(AK25="full-time",'FB Laser'!E26/60*35,0))</f>
        <v>0</v>
      </c>
      <c r="AM25" s="33">
        <f>ROUND(IFERROR(AL25/'FB Laser'!B26,0),2)</f>
        <v>0</v>
      </c>
      <c r="AO25">
        <f>IFERROR(VLOOKUP('Tube Laser'!P25,'TL Data'!A18:E1243,3,FALSE)*'Tube Laser'!O25,0)</f>
        <v>0</v>
      </c>
      <c r="AP25" t="str">
        <f t="shared" si="1"/>
        <v/>
      </c>
      <c r="AQ25" s="33">
        <f>IF(AP25="partial",'Tube Laser'!D25/60/60*35*'Tube Laser'!B25*0.5,IF(AP25="full-time",'Tube Laser'!D25/60/60*35*'Tube Laser'!B25,0))</f>
        <v>0</v>
      </c>
      <c r="AR25" s="33">
        <f>ROUND(IFERROR(AQ25/'Tube Laser'!B25,0),2)</f>
        <v>0</v>
      </c>
      <c r="AT25" s="33" t="str">
        <f ca="1">IFERROR('FB Laser'!J26*'FB Laser'!B26,"")</f>
        <v/>
      </c>
      <c r="AU25" s="33" t="str">
        <f ca="1">IFERROR('Tube Laser'!L25*'Tube Laser'!B25,"")</f>
        <v/>
      </c>
    </row>
    <row r="26" spans="1:47">
      <c r="A26" s="10" t="s">
        <v>69</v>
      </c>
      <c r="B26" s="10" t="s">
        <v>70</v>
      </c>
      <c r="C26" s="11">
        <v>1.2609999999999999</v>
      </c>
      <c r="D26" s="10" t="s">
        <v>22</v>
      </c>
      <c r="E26" s="9">
        <v>4</v>
      </c>
      <c r="K26" t="str">
        <f t="array" aca="1" ref="K26" ca="1">INDIRECT(TEXT(MIN(IF(($L$9:$M$100&lt;&gt;"")*(COUNTIF($K$8:K25,$L$9:$M$100)=0),ROW($9:$100)*100+COLUMN($L:$M),7^8)),"R0C00"),)&amp;""</f>
        <v/>
      </c>
      <c r="L26" t="str">
        <f>IF('FB Laser'!A27=0,"",'FB Laser'!A27)</f>
        <v/>
      </c>
      <c r="M26" t="str">
        <f>IF('Tube Laser'!A26=0,"",'Tube Laser'!A26)</f>
        <v/>
      </c>
      <c r="O26" t="str">
        <f t="array" aca="1" ref="O26" ca="1">INDIRECT(TEXT(MIN(IF(($P$9:$Q$100&lt;&gt;"")*(COUNTIF($O$8:O25,$P$9:$Q$100)=0),ROW($9:$100)*100+COLUMN($P:$Q),7^8)),"R0C00"),)&amp;""</f>
        <v/>
      </c>
      <c r="P26" t="str">
        <f>IF('FB Laser'!F27="Yes",'FB Laser'!A27,"")</f>
        <v/>
      </c>
      <c r="Q26" t="str">
        <f>IF('Tube Laser'!I26="Yes",'Tube Laser'!A26,"")</f>
        <v/>
      </c>
      <c r="R26" s="37" t="str">
        <f>IFERROR(('FB Laser'!G27*'FB Laser'!B27),"")</f>
        <v/>
      </c>
      <c r="S26" s="37">
        <f>IFERROR('FB Laser'!H27*'FB Laser'!B27,"")</f>
        <v>0</v>
      </c>
      <c r="U26" s="37">
        <f>IFERROR(((((('Tube Laser'!D26)*'Tube Laser'!B26)/60)/60)*188.17)+(AE26*'Tube Laser'!B26),"")</f>
        <v>0</v>
      </c>
      <c r="V26" s="37">
        <f ca="1">IFERROR(('Tube Laser'!N26*'Tube Laser'!B26)+(AE26*'Tube Laser'!B26)+(AF26*'Tube Laser'!B26)+(AG26*'Tube Laser'!B26)+('FB Data'!AH26*'Tube Laser'!B26),"")</f>
        <v>0</v>
      </c>
      <c r="X26" s="41">
        <f>IFERROR(('Tube Laser'!D26*'Tube Laser'!B26)/60/60,"")</f>
        <v>0</v>
      </c>
      <c r="AB26">
        <v>18</v>
      </c>
      <c r="AE26" t="str">
        <f>IF('Tube Laser'!E26="One Side",'Tube Laser'!J26*0.2,IF('Tube Laser'!E26="Both Sides",'Tube Laser'!J26*0.4,"0"))</f>
        <v>0</v>
      </c>
      <c r="AF26">
        <f>IF('Tube Laser'!F26="Yes",'Tube Laser'!J26*0.1,0)</f>
        <v>0</v>
      </c>
      <c r="AG26">
        <f>IF('Tube Laser'!G26&gt;0,'Tube Laser'!J26*0.2,0)</f>
        <v>0</v>
      </c>
      <c r="AH26">
        <f>IF('Tube Laser'!H26="Yes",'Tube Laser'!J26*0.1,0)</f>
        <v>0</v>
      </c>
      <c r="AJ26">
        <f>IFERROR(VLOOKUP('FB Laser'!N27,'FB Data'!A19:E167,3,FALSE)*'FB Laser'!M27,0)</f>
        <v>0</v>
      </c>
      <c r="AK26" t="str">
        <f t="shared" si="0"/>
        <v/>
      </c>
      <c r="AL26" s="33">
        <f>IF(AK26="partial",'FB Laser'!E27/60*35*0.5,IF(AK26="full-time",'FB Laser'!E27/60*35,0))</f>
        <v>0</v>
      </c>
      <c r="AM26" s="33">
        <f>ROUND(IFERROR(AL26/'FB Laser'!B27,0),2)</f>
        <v>0</v>
      </c>
      <c r="AO26">
        <f>IFERROR(VLOOKUP('Tube Laser'!P26,'TL Data'!A19:E1244,3,FALSE)*'Tube Laser'!O26,0)</f>
        <v>0</v>
      </c>
      <c r="AP26" t="str">
        <f t="shared" si="1"/>
        <v/>
      </c>
      <c r="AQ26" s="33">
        <f>IF(AP26="partial",'Tube Laser'!D26/60/60*35*'Tube Laser'!B26*0.5,IF(AP26="full-time",'Tube Laser'!D26/60/60*35*'Tube Laser'!B26,0))</f>
        <v>0</v>
      </c>
      <c r="AR26" s="33">
        <f>ROUND(IFERROR(AQ26/'Tube Laser'!B26,0),2)</f>
        <v>0</v>
      </c>
      <c r="AT26" s="33" t="str">
        <f ca="1">IFERROR('FB Laser'!J27*'FB Laser'!B27,"")</f>
        <v/>
      </c>
      <c r="AU26" s="33" t="str">
        <f ca="1">IFERROR('Tube Laser'!L26*'Tube Laser'!B26,"")</f>
        <v/>
      </c>
    </row>
    <row r="27" spans="1:47">
      <c r="A27" s="10" t="s">
        <v>71</v>
      </c>
      <c r="B27" s="10" t="s">
        <v>72</v>
      </c>
      <c r="C27" s="11">
        <v>1.274</v>
      </c>
      <c r="D27" s="10" t="s">
        <v>22</v>
      </c>
      <c r="E27" s="9">
        <v>4</v>
      </c>
      <c r="K27" t="str">
        <f t="array" aca="1" ref="K27" ca="1">INDIRECT(TEXT(MIN(IF(($L$9:$M$100&lt;&gt;"")*(COUNTIF($K$8:K26,$L$9:$M$100)=0),ROW($9:$100)*100+COLUMN($L:$M),7^8)),"R0C00"),)&amp;""</f>
        <v/>
      </c>
      <c r="L27" t="str">
        <f>IF('FB Laser'!A28=0,"",'FB Laser'!A28)</f>
        <v/>
      </c>
      <c r="M27" t="str">
        <f>IF('Tube Laser'!A27=0,"",'Tube Laser'!A27)</f>
        <v/>
      </c>
      <c r="O27" t="str">
        <f t="array" aca="1" ref="O27" ca="1">INDIRECT(TEXT(MIN(IF(($P$9:$Q$100&lt;&gt;"")*(COUNTIF($O$8:O26,$P$9:$Q$100)=0),ROW($9:$100)*100+COLUMN($P:$Q),7^8)),"R0C00"),)&amp;""</f>
        <v/>
      </c>
      <c r="P27" t="str">
        <f>IF('FB Laser'!F28="Yes",'FB Laser'!A28,"")</f>
        <v/>
      </c>
      <c r="Q27" t="str">
        <f>IF('Tube Laser'!I27="Yes",'Tube Laser'!A27,"")</f>
        <v/>
      </c>
      <c r="R27" s="37" t="str">
        <f>IFERROR(('FB Laser'!G28*'FB Laser'!B28),"")</f>
        <v/>
      </c>
      <c r="S27" s="37">
        <f>IFERROR('FB Laser'!H28*'FB Laser'!B28,"")</f>
        <v>0</v>
      </c>
      <c r="U27" s="37">
        <f>IFERROR(((((('Tube Laser'!D27)*'Tube Laser'!B27)/60)/60)*188.17)+(AE27*'Tube Laser'!B27),"")</f>
        <v>0</v>
      </c>
      <c r="V27" s="37">
        <f ca="1">IFERROR(('Tube Laser'!N27*'Tube Laser'!B27)+(AE27*'Tube Laser'!B27)+(AF27*'Tube Laser'!B27)+(AG27*'Tube Laser'!B27)+('FB Data'!AH27*'Tube Laser'!B27),"")</f>
        <v>0</v>
      </c>
      <c r="X27" s="41">
        <f>IFERROR(('Tube Laser'!D27*'Tube Laser'!B27)/60/60,"")</f>
        <v>0</v>
      </c>
      <c r="AB27">
        <v>19</v>
      </c>
      <c r="AE27" t="str">
        <f>IF('Tube Laser'!E27="One Side",'Tube Laser'!J27*0.2,IF('Tube Laser'!E27="Both Sides",'Tube Laser'!J27*0.4,"0"))</f>
        <v>0</v>
      </c>
      <c r="AF27">
        <f>IF('Tube Laser'!F27="Yes",'Tube Laser'!J27*0.1,0)</f>
        <v>0</v>
      </c>
      <c r="AG27">
        <f>IF('Tube Laser'!G27&gt;0,'Tube Laser'!J27*0.2,0)</f>
        <v>0</v>
      </c>
      <c r="AH27">
        <f>IF('Tube Laser'!H27="Yes",'Tube Laser'!J27*0.1,0)</f>
        <v>0</v>
      </c>
      <c r="AJ27">
        <f>IFERROR(VLOOKUP('FB Laser'!N28,'FB Data'!A20:E168,3,FALSE)*'FB Laser'!M28,0)</f>
        <v>0</v>
      </c>
      <c r="AK27" t="str">
        <f t="shared" si="0"/>
        <v/>
      </c>
      <c r="AL27" s="33">
        <f>IF(AK27="partial",'FB Laser'!E28/60*35*0.5,IF(AK27="full-time",'FB Laser'!E28/60*35,0))</f>
        <v>0</v>
      </c>
      <c r="AM27" s="33">
        <f>ROUND(IFERROR(AL27/'FB Laser'!B28,0),2)</f>
        <v>0</v>
      </c>
      <c r="AO27">
        <f>IFERROR(VLOOKUP('Tube Laser'!P27,'TL Data'!A20:E1245,3,FALSE)*'Tube Laser'!O27,0)</f>
        <v>0</v>
      </c>
      <c r="AP27" t="str">
        <f t="shared" si="1"/>
        <v/>
      </c>
      <c r="AQ27" s="33">
        <f>IF(AP27="partial",'Tube Laser'!D27/60/60*35*'Tube Laser'!B27*0.5,IF(AP27="full-time",'Tube Laser'!D27/60/60*35*'Tube Laser'!B27,0))</f>
        <v>0</v>
      </c>
      <c r="AR27" s="33">
        <f>ROUND(IFERROR(AQ27/'Tube Laser'!B27,0),2)</f>
        <v>0</v>
      </c>
      <c r="AT27" s="33" t="str">
        <f ca="1">IFERROR('FB Laser'!J28*'FB Laser'!B28,"")</f>
        <v/>
      </c>
      <c r="AU27" s="33" t="str">
        <f ca="1">IFERROR('Tube Laser'!L27*'Tube Laser'!B27,"")</f>
        <v/>
      </c>
    </row>
    <row r="28" spans="1:47">
      <c r="A28" s="10" t="s">
        <v>73</v>
      </c>
      <c r="B28" s="10" t="s">
        <v>74</v>
      </c>
      <c r="C28" s="11">
        <v>1.4259999999999999</v>
      </c>
      <c r="D28" s="10" t="s">
        <v>22</v>
      </c>
      <c r="E28" s="9">
        <v>4</v>
      </c>
      <c r="K28" t="str">
        <f t="array" aca="1" ref="K28" ca="1">INDIRECT(TEXT(MIN(IF(($L$9:$M$100&lt;&gt;"")*(COUNTIF($K$8:K27,$L$9:$M$100)=0),ROW($9:$100)*100+COLUMN($L:$M),7^8)),"R0C00"),)&amp;""</f>
        <v/>
      </c>
      <c r="L28" t="str">
        <f>IF('FB Laser'!A29=0,"",'FB Laser'!A29)</f>
        <v/>
      </c>
      <c r="M28" t="str">
        <f>IF('Tube Laser'!A28=0,"",'Tube Laser'!A28)</f>
        <v/>
      </c>
      <c r="O28" t="str">
        <f t="array" aca="1" ref="O28" ca="1">INDIRECT(TEXT(MIN(IF(($P$9:$Q$100&lt;&gt;"")*(COUNTIF($O$8:O27,$P$9:$Q$100)=0),ROW($9:$100)*100+COLUMN($P:$Q),7^8)),"R0C00"),)&amp;""</f>
        <v/>
      </c>
      <c r="P28" t="str">
        <f>IF('FB Laser'!F29="Yes",'FB Laser'!A29,"")</f>
        <v/>
      </c>
      <c r="Q28" t="str">
        <f>IF('Tube Laser'!I28="Yes",'Tube Laser'!A28,"")</f>
        <v/>
      </c>
      <c r="R28" s="37" t="str">
        <f>IFERROR(('FB Laser'!G29*'FB Laser'!B29),"")</f>
        <v/>
      </c>
      <c r="S28" s="37">
        <f>IFERROR('FB Laser'!H29*'FB Laser'!B29,"")</f>
        <v>0</v>
      </c>
      <c r="U28" s="37">
        <f>IFERROR(((((('Tube Laser'!D28)*'Tube Laser'!B28)/60)/60)*188.17)+(AE28*'Tube Laser'!B28),"")</f>
        <v>0</v>
      </c>
      <c r="V28" s="37">
        <f ca="1">IFERROR(('Tube Laser'!N28*'Tube Laser'!B28)+(AE28*'Tube Laser'!B28)+(AF28*'Tube Laser'!B28)+(AG28*'Tube Laser'!B28)+('FB Data'!AH28*'Tube Laser'!B28),"")</f>
        <v>0</v>
      </c>
      <c r="X28" s="41">
        <f>IFERROR(('Tube Laser'!D28*'Tube Laser'!B28)/60/60,"")</f>
        <v>0</v>
      </c>
      <c r="AB28">
        <v>20</v>
      </c>
      <c r="AE28" t="str">
        <f>IF('Tube Laser'!E28="One Side",'Tube Laser'!J28*0.2,IF('Tube Laser'!E28="Both Sides",'Tube Laser'!J28*0.4,"0"))</f>
        <v>0</v>
      </c>
      <c r="AF28">
        <f>IF('Tube Laser'!F28="Yes",'Tube Laser'!J28*0.1,0)</f>
        <v>0</v>
      </c>
      <c r="AG28">
        <f>IF('Tube Laser'!G28&gt;0,'Tube Laser'!J28*0.2,0)</f>
        <v>0</v>
      </c>
      <c r="AH28">
        <f>IF('Tube Laser'!H28="Yes",'Tube Laser'!J28*0.1,0)</f>
        <v>0</v>
      </c>
      <c r="AJ28">
        <f>IFERROR(VLOOKUP('FB Laser'!N29,'FB Data'!A21:E169,3,FALSE)*'FB Laser'!M29,0)</f>
        <v>0</v>
      </c>
      <c r="AK28" t="str">
        <f t="shared" si="0"/>
        <v/>
      </c>
      <c r="AL28" s="33">
        <f>IF(AK28="partial",'FB Laser'!E29/60*35*0.5,IF(AK28="full-time",'FB Laser'!E29/60*35,0))</f>
        <v>0</v>
      </c>
      <c r="AM28" s="33">
        <f>ROUND(IFERROR(AL28/'FB Laser'!B29,0),2)</f>
        <v>0</v>
      </c>
      <c r="AO28">
        <f>IFERROR(VLOOKUP('Tube Laser'!P28,'TL Data'!A21:E1246,3,FALSE)*'Tube Laser'!O28,0)</f>
        <v>0</v>
      </c>
      <c r="AP28" t="str">
        <f t="shared" si="1"/>
        <v/>
      </c>
      <c r="AQ28" s="33">
        <f>IF(AP28="partial",'Tube Laser'!D28/60/60*35*'Tube Laser'!B28*0.5,IF(AP28="full-time",'Tube Laser'!D28/60/60*35*'Tube Laser'!B28,0))</f>
        <v>0</v>
      </c>
      <c r="AR28" s="33">
        <f>ROUND(IFERROR(AQ28/'Tube Laser'!B28,0),2)</f>
        <v>0</v>
      </c>
      <c r="AT28" s="33" t="str">
        <f ca="1">IFERROR('FB Laser'!J29*'FB Laser'!B29,"")</f>
        <v/>
      </c>
      <c r="AU28" s="33" t="str">
        <f ca="1">IFERROR('Tube Laser'!L28*'Tube Laser'!B28,"")</f>
        <v/>
      </c>
    </row>
    <row r="29" spans="1:47">
      <c r="A29" s="10" t="s">
        <v>75</v>
      </c>
      <c r="B29" s="10" t="s">
        <v>76</v>
      </c>
      <c r="C29" s="11">
        <v>1.397</v>
      </c>
      <c r="D29" s="10" t="s">
        <v>22</v>
      </c>
      <c r="E29" s="9">
        <v>4</v>
      </c>
      <c r="K29" t="str">
        <f t="array" aca="1" ref="K29" ca="1">INDIRECT(TEXT(MIN(IF(($L$9:$M$100&lt;&gt;"")*(COUNTIF($K$8:K28,$L$9:$M$100)=0),ROW($9:$100)*100+COLUMN($L:$M),7^8)),"R0C00"),)&amp;""</f>
        <v/>
      </c>
      <c r="L29" t="str">
        <f>IF('FB Laser'!A30=0,"",'FB Laser'!A30)</f>
        <v/>
      </c>
      <c r="M29" t="str">
        <f>IF('Tube Laser'!A29=0,"",'Tube Laser'!A29)</f>
        <v/>
      </c>
      <c r="O29" t="str">
        <f t="array" aca="1" ref="O29" ca="1">INDIRECT(TEXT(MIN(IF(($P$9:$Q$100&lt;&gt;"")*(COUNTIF($O$8:O28,$P$9:$Q$100)=0),ROW($9:$100)*100+COLUMN($P:$Q),7^8)),"R0C00"),)&amp;""</f>
        <v/>
      </c>
      <c r="P29" t="str">
        <f>IF('FB Laser'!F30="Yes",'FB Laser'!A30,"")</f>
        <v/>
      </c>
      <c r="Q29" t="str">
        <f>IF('Tube Laser'!I29="Yes",'Tube Laser'!A29,"")</f>
        <v/>
      </c>
      <c r="R29" s="37" t="str">
        <f>IFERROR(('FB Laser'!G30*'FB Laser'!B30),"")</f>
        <v/>
      </c>
      <c r="S29" s="37">
        <f>IFERROR('FB Laser'!H30*'FB Laser'!B30,"")</f>
        <v>0</v>
      </c>
      <c r="U29" s="37">
        <f>IFERROR(((((('Tube Laser'!D29)*'Tube Laser'!B29)/60)/60)*188.17)+(AE29*'Tube Laser'!B29),"")</f>
        <v>0</v>
      </c>
      <c r="V29" s="37">
        <f ca="1">IFERROR(('Tube Laser'!N29*'Tube Laser'!B29)+(AE29*'Tube Laser'!B29)+(AF29*'Tube Laser'!B29)+(AG29*'Tube Laser'!B29)+('FB Data'!AH29*'Tube Laser'!B29),"")</f>
        <v>0</v>
      </c>
      <c r="X29" s="41">
        <f>IFERROR(('Tube Laser'!D29*'Tube Laser'!B29)/60/60,"")</f>
        <v>0</v>
      </c>
      <c r="AB29">
        <v>21</v>
      </c>
      <c r="AE29" t="str">
        <f>IF('Tube Laser'!E29="One Side",'Tube Laser'!J29*0.2,IF('Tube Laser'!E29="Both Sides",'Tube Laser'!J29*0.4,"0"))</f>
        <v>0</v>
      </c>
      <c r="AF29">
        <f>IF('Tube Laser'!F29="Yes",'Tube Laser'!J29*0.1,0)</f>
        <v>0</v>
      </c>
      <c r="AG29">
        <f>IF('Tube Laser'!G29&gt;0,'Tube Laser'!J29*0.2,0)</f>
        <v>0</v>
      </c>
      <c r="AH29">
        <f>IF('Tube Laser'!H29="Yes",'Tube Laser'!J29*0.1,0)</f>
        <v>0</v>
      </c>
      <c r="AJ29">
        <f>IFERROR(VLOOKUP('FB Laser'!N30,'FB Data'!A22:E170,3,FALSE)*'FB Laser'!M30,0)</f>
        <v>0</v>
      </c>
      <c r="AK29" t="str">
        <f t="shared" si="0"/>
        <v/>
      </c>
      <c r="AL29" s="33">
        <f>IF(AK29="partial",'FB Laser'!E30/60*35*0.5,IF(AK29="full-time",'FB Laser'!E30/60*35,0))</f>
        <v>0</v>
      </c>
      <c r="AM29" s="33">
        <f>ROUND(IFERROR(AL29/'FB Laser'!B30,0),2)</f>
        <v>0</v>
      </c>
      <c r="AO29">
        <f>IFERROR(VLOOKUP('Tube Laser'!P29,'TL Data'!A22:E1247,3,FALSE)*'Tube Laser'!O29,0)</f>
        <v>0</v>
      </c>
      <c r="AP29" t="str">
        <f t="shared" si="1"/>
        <v/>
      </c>
      <c r="AQ29" s="33">
        <f>IF(AP29="partial",'Tube Laser'!D29/60/60*35*'Tube Laser'!B29*0.5,IF(AP29="full-time",'Tube Laser'!D29/60/60*35*'Tube Laser'!B29,0))</f>
        <v>0</v>
      </c>
      <c r="AR29" s="33">
        <f>ROUND(IFERROR(AQ29/'Tube Laser'!B29,0),2)</f>
        <v>0</v>
      </c>
      <c r="AT29" s="33" t="str">
        <f ca="1">IFERROR('FB Laser'!J30*'FB Laser'!B30,"")</f>
        <v/>
      </c>
      <c r="AU29" s="33" t="str">
        <f ca="1">IFERROR('Tube Laser'!L29*'Tube Laser'!B29,"")</f>
        <v/>
      </c>
    </row>
    <row r="30" spans="1:47">
      <c r="A30" s="10" t="s">
        <v>77</v>
      </c>
      <c r="B30" s="10" t="s">
        <v>78</v>
      </c>
      <c r="C30" s="11">
        <v>1.411</v>
      </c>
      <c r="D30" s="10" t="s">
        <v>22</v>
      </c>
      <c r="E30" s="9">
        <v>4</v>
      </c>
      <c r="K30" t="str">
        <f t="array" aca="1" ref="K30" ca="1">INDIRECT(TEXT(MIN(IF(($L$9:$M$100&lt;&gt;"")*(COUNTIF($K$8:K29,$L$9:$M$100)=0),ROW($9:$100)*100+COLUMN($L:$M),7^8)),"R0C00"),)&amp;""</f>
        <v/>
      </c>
      <c r="L30" t="str">
        <f>IF('FB Laser'!A31=0,"",'FB Laser'!A31)</f>
        <v/>
      </c>
      <c r="M30" t="str">
        <f>IF('Tube Laser'!A30=0,"",'Tube Laser'!A30)</f>
        <v/>
      </c>
      <c r="O30" t="str">
        <f t="array" aca="1" ref="O30" ca="1">INDIRECT(TEXT(MIN(IF(($P$9:$Q$100&lt;&gt;"")*(COUNTIF($O$8:O29,$P$9:$Q$100)=0),ROW($9:$100)*100+COLUMN($P:$Q),7^8)),"R0C00"),)&amp;""</f>
        <v/>
      </c>
      <c r="P30" t="str">
        <f>IF('FB Laser'!F31="Yes",'FB Laser'!A31,"")</f>
        <v/>
      </c>
      <c r="Q30" t="str">
        <f>IF('Tube Laser'!I30="Yes",'Tube Laser'!A30,"")</f>
        <v/>
      </c>
      <c r="R30" s="37" t="str">
        <f>IFERROR(('FB Laser'!G31*'FB Laser'!B31),"")</f>
        <v/>
      </c>
      <c r="S30" s="37">
        <f>IFERROR('FB Laser'!H31*'FB Laser'!B31,"")</f>
        <v>0</v>
      </c>
      <c r="U30" s="37">
        <f>IFERROR(((((('Tube Laser'!D30)*'Tube Laser'!B30)/60)/60)*188.17)+(AE30*'Tube Laser'!B30),"")</f>
        <v>0</v>
      </c>
      <c r="V30" s="37">
        <f ca="1">IFERROR(('Tube Laser'!N30*'Tube Laser'!B30)+(AE30*'Tube Laser'!B30)+(AF30*'Tube Laser'!B30)+(AG30*'Tube Laser'!B30)+('FB Data'!AH30*'Tube Laser'!B30),"")</f>
        <v>0</v>
      </c>
      <c r="X30" s="41">
        <f>IFERROR(('Tube Laser'!D30*'Tube Laser'!B30)/60/60,"")</f>
        <v>0</v>
      </c>
      <c r="AB30">
        <v>22</v>
      </c>
      <c r="AE30" t="str">
        <f>IF('Tube Laser'!E30="One Side",'Tube Laser'!J30*0.2,IF('Tube Laser'!E30="Both Sides",'Tube Laser'!J30*0.4,"0"))</f>
        <v>0</v>
      </c>
      <c r="AF30">
        <f>IF('Tube Laser'!F30="Yes",'Tube Laser'!J30*0.1,0)</f>
        <v>0</v>
      </c>
      <c r="AG30">
        <f>IF('Tube Laser'!G30&gt;0,'Tube Laser'!J30*0.2,0)</f>
        <v>0</v>
      </c>
      <c r="AH30">
        <f>IF('Tube Laser'!H30="Yes",'Tube Laser'!J30*0.1,0)</f>
        <v>0</v>
      </c>
      <c r="AJ30">
        <f>IFERROR(VLOOKUP('FB Laser'!N31,'FB Data'!A23:E171,3,FALSE)*'FB Laser'!M31,0)</f>
        <v>0</v>
      </c>
      <c r="AK30" t="str">
        <f t="shared" si="0"/>
        <v/>
      </c>
      <c r="AL30" s="33">
        <f>IF(AK30="partial",'FB Laser'!E31/60*35*0.5,IF(AK30="full-time",'FB Laser'!E31/60*35,0))</f>
        <v>0</v>
      </c>
      <c r="AM30" s="33">
        <f>ROUND(IFERROR(AL30/'FB Laser'!B31,0),2)</f>
        <v>0</v>
      </c>
      <c r="AO30">
        <f>IFERROR(VLOOKUP('Tube Laser'!P30,'TL Data'!A23:E1248,3,FALSE)*'Tube Laser'!O30,0)</f>
        <v>0</v>
      </c>
      <c r="AP30" t="str">
        <f t="shared" si="1"/>
        <v/>
      </c>
      <c r="AQ30" s="33">
        <f>IF(AP30="partial",'Tube Laser'!D30/60/60*35*'Tube Laser'!B30*0.5,IF(AP30="full-time",'Tube Laser'!D30/60/60*35*'Tube Laser'!B30,0))</f>
        <v>0</v>
      </c>
      <c r="AR30" s="33">
        <f>ROUND(IFERROR(AQ30/'Tube Laser'!B30,0),2)</f>
        <v>0</v>
      </c>
      <c r="AT30" s="33" t="str">
        <f ca="1">IFERROR('FB Laser'!J31*'FB Laser'!B31,"")</f>
        <v/>
      </c>
      <c r="AU30" s="33" t="str">
        <f ca="1">IFERROR('Tube Laser'!L30*'Tube Laser'!B30,"")</f>
        <v/>
      </c>
    </row>
    <row r="31" spans="1:47">
      <c r="A31" s="10" t="s">
        <v>79</v>
      </c>
      <c r="B31" s="10" t="s">
        <v>80</v>
      </c>
      <c r="C31" s="11">
        <v>1.782</v>
      </c>
      <c r="D31" s="10" t="s">
        <v>22</v>
      </c>
      <c r="E31" s="9">
        <v>4</v>
      </c>
      <c r="K31" t="str">
        <f t="array" aca="1" ref="K31" ca="1">INDIRECT(TEXT(MIN(IF(($L$9:$M$100&lt;&gt;"")*(COUNTIF($K$8:K30,$L$9:$M$100)=0),ROW($9:$100)*100+COLUMN($L:$M),7^8)),"R0C00"),)&amp;""</f>
        <v/>
      </c>
      <c r="L31" t="str">
        <f>IF('FB Laser'!A32=0,"",'FB Laser'!A32)</f>
        <v/>
      </c>
      <c r="M31" t="str">
        <f>IF('Tube Laser'!A31=0,"",'Tube Laser'!A31)</f>
        <v/>
      </c>
      <c r="O31" t="str">
        <f t="array" aca="1" ref="O31" ca="1">INDIRECT(TEXT(MIN(IF(($P$9:$Q$100&lt;&gt;"")*(COUNTIF($O$8:O30,$P$9:$Q$100)=0),ROW($9:$100)*100+COLUMN($P:$Q),7^8)),"R0C00"),)&amp;""</f>
        <v/>
      </c>
      <c r="P31" t="str">
        <f>IF('FB Laser'!F32="Yes",'FB Laser'!A32,"")</f>
        <v/>
      </c>
      <c r="Q31" t="str">
        <f>IF('Tube Laser'!I31="Yes",'Tube Laser'!A31,"")</f>
        <v/>
      </c>
      <c r="R31" s="37" t="str">
        <f>IFERROR(('FB Laser'!G32*'FB Laser'!B32),"")</f>
        <v/>
      </c>
      <c r="S31" s="37">
        <f>IFERROR('FB Laser'!H32*'FB Laser'!B32,"")</f>
        <v>0</v>
      </c>
      <c r="U31" s="37">
        <f>IFERROR(((((('Tube Laser'!D31)*'Tube Laser'!B31)/60)/60)*188.17)+(AE31*'Tube Laser'!B31),"")</f>
        <v>0</v>
      </c>
      <c r="V31" s="37">
        <f ca="1">IFERROR(('Tube Laser'!N31*'Tube Laser'!B31)+(AE31*'Tube Laser'!B31)+(AF31*'Tube Laser'!B31)+(AG31*'Tube Laser'!B31)+('FB Data'!AH31*'Tube Laser'!B31),"")</f>
        <v>0</v>
      </c>
      <c r="X31" s="41">
        <f>IFERROR(('Tube Laser'!D31*'Tube Laser'!B31)/60/60,"")</f>
        <v>0</v>
      </c>
      <c r="AB31">
        <v>23</v>
      </c>
      <c r="AE31" t="str">
        <f>IF('Tube Laser'!E31="One Side",'Tube Laser'!J31*0.2,IF('Tube Laser'!E31="Both Sides",'Tube Laser'!J31*0.4,"0"))</f>
        <v>0</v>
      </c>
      <c r="AF31">
        <f>IF('Tube Laser'!F31="Yes",'Tube Laser'!J31*0.1,0)</f>
        <v>0</v>
      </c>
      <c r="AG31">
        <f>IF('Tube Laser'!G31&gt;0,'Tube Laser'!J31*0.2,0)</f>
        <v>0</v>
      </c>
      <c r="AH31">
        <f>IF('Tube Laser'!H31="Yes",'Tube Laser'!J31*0.1,0)</f>
        <v>0</v>
      </c>
      <c r="AJ31">
        <f>IFERROR(VLOOKUP('FB Laser'!N32,'FB Data'!A24:E172,3,FALSE)*'FB Laser'!M32,0)</f>
        <v>0</v>
      </c>
      <c r="AK31" t="str">
        <f t="shared" si="0"/>
        <v/>
      </c>
      <c r="AL31" s="33">
        <f>IF(AK31="partial",'FB Laser'!E32/60*35*0.5,IF(AK31="full-time",'FB Laser'!E32/60*35,0))</f>
        <v>0</v>
      </c>
      <c r="AM31" s="33">
        <f>ROUND(IFERROR(AL31/'FB Laser'!B32,0),2)</f>
        <v>0</v>
      </c>
      <c r="AO31">
        <f>IFERROR(VLOOKUP('Tube Laser'!P31,'TL Data'!A24:E1249,3,FALSE)*'Tube Laser'!O31,0)</f>
        <v>0</v>
      </c>
      <c r="AP31" t="str">
        <f t="shared" si="1"/>
        <v/>
      </c>
      <c r="AQ31" s="33">
        <f>IF(AP31="partial",'Tube Laser'!D31/60/60*35*'Tube Laser'!B31*0.5,IF(AP31="full-time",'Tube Laser'!D31/60/60*35*'Tube Laser'!B31,0))</f>
        <v>0</v>
      </c>
      <c r="AR31" s="33">
        <f>ROUND(IFERROR(AQ31/'Tube Laser'!B31,0),2)</f>
        <v>0</v>
      </c>
      <c r="AT31" s="33" t="str">
        <f ca="1">IFERROR('FB Laser'!J32*'FB Laser'!B32,"")</f>
        <v/>
      </c>
      <c r="AU31" s="33" t="str">
        <f ca="1">IFERROR('Tube Laser'!L31*'Tube Laser'!B31,"")</f>
        <v/>
      </c>
    </row>
    <row r="32" spans="1:47">
      <c r="A32" s="10" t="s">
        <v>81</v>
      </c>
      <c r="B32" s="10" t="s">
        <v>82</v>
      </c>
      <c r="C32" s="11">
        <v>1.746</v>
      </c>
      <c r="D32" s="10" t="s">
        <v>22</v>
      </c>
      <c r="E32" s="9">
        <v>4</v>
      </c>
      <c r="K32" t="str">
        <f t="array" aca="1" ref="K32" ca="1">INDIRECT(TEXT(MIN(IF(($L$9:$M$100&lt;&gt;"")*(COUNTIF($K$8:K31,$L$9:$M$100)=0),ROW($9:$100)*100+COLUMN($L:$M),7^8)),"R0C00"),)&amp;""</f>
        <v/>
      </c>
      <c r="L32" t="str">
        <f>IF('FB Laser'!A33=0,"",'FB Laser'!A33)</f>
        <v/>
      </c>
      <c r="M32" t="str">
        <f>IF('Tube Laser'!A32=0,"",'Tube Laser'!A32)</f>
        <v/>
      </c>
      <c r="O32" t="str">
        <f t="array" aca="1" ref="O32" ca="1">INDIRECT(TEXT(MIN(IF(($P$9:$Q$100&lt;&gt;"")*(COUNTIF($O$8:O31,$P$9:$Q$100)=0),ROW($9:$100)*100+COLUMN($P:$Q),7^8)),"R0C00"),)&amp;""</f>
        <v/>
      </c>
      <c r="P32" t="str">
        <f>IF('FB Laser'!F33="Yes",'FB Laser'!A33,"")</f>
        <v/>
      </c>
      <c r="Q32" t="str">
        <f>IF('Tube Laser'!I32="Yes",'Tube Laser'!A32,"")</f>
        <v/>
      </c>
      <c r="R32" s="37" t="str">
        <f>IFERROR(('FB Laser'!G33*'FB Laser'!B33),"")</f>
        <v/>
      </c>
      <c r="S32" s="37">
        <f>IFERROR('FB Laser'!H33*'FB Laser'!B33,"")</f>
        <v>0</v>
      </c>
      <c r="U32" s="37">
        <f>IFERROR(((((('Tube Laser'!D32)*'Tube Laser'!B32)/60)/60)*188.17)+(AE32*'Tube Laser'!B32),"")</f>
        <v>0</v>
      </c>
      <c r="V32" s="37">
        <f ca="1">IFERROR(('Tube Laser'!N32*'Tube Laser'!B32)+(AE32*'Tube Laser'!B32)+(AF32*'Tube Laser'!B32)+(AG32*'Tube Laser'!B32)+('FB Data'!AH32*'Tube Laser'!B32),"")</f>
        <v>0</v>
      </c>
      <c r="X32" s="41">
        <f>IFERROR(('Tube Laser'!D32*'Tube Laser'!B32)/60/60,"")</f>
        <v>0</v>
      </c>
      <c r="AB32">
        <v>24</v>
      </c>
      <c r="AE32" t="str">
        <f>IF('Tube Laser'!E32="One Side",'Tube Laser'!J32*0.2,IF('Tube Laser'!E32="Both Sides",'Tube Laser'!J32*0.4,"0"))</f>
        <v>0</v>
      </c>
      <c r="AF32">
        <f>IF('Tube Laser'!F32="Yes",'Tube Laser'!J32*0.1,0)</f>
        <v>0</v>
      </c>
      <c r="AG32">
        <f>IF('Tube Laser'!G32&gt;0,'Tube Laser'!J32*0.2,0)</f>
        <v>0</v>
      </c>
      <c r="AH32">
        <f>IF('Tube Laser'!H32="Yes",'Tube Laser'!J32*0.1,0)</f>
        <v>0</v>
      </c>
      <c r="AJ32">
        <f>IFERROR(VLOOKUP('FB Laser'!N33,'FB Data'!A25:E173,3,FALSE)*'FB Laser'!M33,0)</f>
        <v>0</v>
      </c>
      <c r="AK32" t="str">
        <f t="shared" si="0"/>
        <v/>
      </c>
      <c r="AL32" s="33">
        <f>IF(AK32="partial",'FB Laser'!E33/60*35*0.5,IF(AK32="full-time",'FB Laser'!E33/60*35,0))</f>
        <v>0</v>
      </c>
      <c r="AM32" s="33">
        <f>ROUND(IFERROR(AL32/'FB Laser'!B33,0),2)</f>
        <v>0</v>
      </c>
      <c r="AO32">
        <f>IFERROR(VLOOKUP('Tube Laser'!P32,'TL Data'!A25:E1250,3,FALSE)*'Tube Laser'!O32,0)</f>
        <v>0</v>
      </c>
      <c r="AP32" t="str">
        <f t="shared" si="1"/>
        <v/>
      </c>
      <c r="AQ32" s="33">
        <f>IF(AP32="partial",'Tube Laser'!D32/60/60*35*'Tube Laser'!B32*0.5,IF(AP32="full-time",'Tube Laser'!D32/60/60*35*'Tube Laser'!B32,0))</f>
        <v>0</v>
      </c>
      <c r="AR32" s="33">
        <f>ROUND(IFERROR(AQ32/'Tube Laser'!B32,0),2)</f>
        <v>0</v>
      </c>
      <c r="AT32" s="33" t="str">
        <f ca="1">IFERROR('FB Laser'!J33*'FB Laser'!B33,"")</f>
        <v/>
      </c>
      <c r="AU32" s="33" t="str">
        <f ca="1">IFERROR('Tube Laser'!L32*'Tube Laser'!B32,"")</f>
        <v/>
      </c>
    </row>
    <row r="33" spans="1:47">
      <c r="A33" s="10" t="s">
        <v>83</v>
      </c>
      <c r="B33" s="10" t="s">
        <v>84</v>
      </c>
      <c r="C33" s="11">
        <v>1.764</v>
      </c>
      <c r="D33" s="10" t="s">
        <v>22</v>
      </c>
      <c r="E33" s="9">
        <v>4</v>
      </c>
      <c r="K33" t="str">
        <f t="array" aca="1" ref="K33" ca="1">INDIRECT(TEXT(MIN(IF(($L$9:$M$100&lt;&gt;"")*(COUNTIF($K$8:K32,$L$9:$M$100)=0),ROW($9:$100)*100+COLUMN($L:$M),7^8)),"R0C00"),)&amp;""</f>
        <v/>
      </c>
      <c r="L33" t="str">
        <f>IF('FB Laser'!A34=0,"",'FB Laser'!A34)</f>
        <v/>
      </c>
      <c r="M33" t="str">
        <f>IF('Tube Laser'!A33=0,"",'Tube Laser'!A33)</f>
        <v/>
      </c>
      <c r="O33" t="str">
        <f t="array" aca="1" ref="O33" ca="1">INDIRECT(TEXT(MIN(IF(($P$9:$Q$100&lt;&gt;"")*(COUNTIF($O$8:O32,$P$9:$Q$100)=0),ROW($9:$100)*100+COLUMN($P:$Q),7^8)),"R0C00"),)&amp;""</f>
        <v/>
      </c>
      <c r="P33" t="str">
        <f>IF('FB Laser'!F34="Yes",'FB Laser'!A34,"")</f>
        <v/>
      </c>
      <c r="Q33" t="str">
        <f>IF('Tube Laser'!I33="Yes",'Tube Laser'!A33,"")</f>
        <v/>
      </c>
      <c r="R33" s="37" t="str">
        <f>IFERROR(('FB Laser'!G34*'FB Laser'!B34),"")</f>
        <v/>
      </c>
      <c r="S33" s="37">
        <f>IFERROR('FB Laser'!H34*'FB Laser'!B34,"")</f>
        <v>0</v>
      </c>
      <c r="U33" s="37">
        <f>IFERROR(((((('Tube Laser'!D33)*'Tube Laser'!B33)/60)/60)*188.17)+(AE33*'Tube Laser'!B33),"")</f>
        <v>0</v>
      </c>
      <c r="V33" s="37">
        <f ca="1">IFERROR(('Tube Laser'!N33*'Tube Laser'!B33)+(AE33*'Tube Laser'!B33)+(AF33*'Tube Laser'!B33)+(AG33*'Tube Laser'!B33)+('FB Data'!AH33*'Tube Laser'!B33),"")</f>
        <v>0</v>
      </c>
      <c r="X33" s="41">
        <f>IFERROR(('Tube Laser'!D33*'Tube Laser'!B33)/60/60,"")</f>
        <v>0</v>
      </c>
      <c r="AB33">
        <v>25</v>
      </c>
      <c r="AE33" t="str">
        <f>IF('Tube Laser'!E33="One Side",'Tube Laser'!J33*0.2,IF('Tube Laser'!E33="Both Sides",'Tube Laser'!J33*0.4,"0"))</f>
        <v>0</v>
      </c>
      <c r="AF33">
        <f>IF('Tube Laser'!F33="Yes",'Tube Laser'!J33*0.1,0)</f>
        <v>0</v>
      </c>
      <c r="AG33">
        <f>IF('Tube Laser'!G33&gt;0,'Tube Laser'!J33*0.2,0)</f>
        <v>0</v>
      </c>
      <c r="AH33">
        <f>IF('Tube Laser'!H33="Yes",'Tube Laser'!J33*0.1,0)</f>
        <v>0</v>
      </c>
      <c r="AJ33">
        <f>IFERROR(VLOOKUP('FB Laser'!N34,'FB Data'!A26:E174,3,FALSE)*'FB Laser'!M34,0)</f>
        <v>0</v>
      </c>
      <c r="AK33" t="str">
        <f t="shared" si="0"/>
        <v/>
      </c>
      <c r="AL33" s="33">
        <f>IF(AK33="partial",'FB Laser'!E34/60*35*0.5,IF(AK33="full-time",'FB Laser'!E34/60*35,0))</f>
        <v>0</v>
      </c>
      <c r="AM33" s="33">
        <f>ROUND(IFERROR(AL33/'FB Laser'!B34,0),2)</f>
        <v>0</v>
      </c>
      <c r="AO33">
        <f>IFERROR(VLOOKUP('Tube Laser'!P33,'TL Data'!A26:E1251,3,FALSE)*'Tube Laser'!O33,0)</f>
        <v>0</v>
      </c>
      <c r="AP33" t="str">
        <f t="shared" si="1"/>
        <v/>
      </c>
      <c r="AQ33" s="33">
        <f>IF(AP33="partial",'Tube Laser'!D33/60/60*35*'Tube Laser'!B33*0.5,IF(AP33="full-time",'Tube Laser'!D33/60/60*35*'Tube Laser'!B33,0))</f>
        <v>0</v>
      </c>
      <c r="AR33" s="33">
        <f>ROUND(IFERROR(AQ33/'Tube Laser'!B33,0),2)</f>
        <v>0</v>
      </c>
      <c r="AT33" s="33" t="str">
        <f ca="1">IFERROR('FB Laser'!J34*'FB Laser'!B34,"")</f>
        <v/>
      </c>
      <c r="AU33" s="33" t="str">
        <f ca="1">IFERROR('Tube Laser'!L33*'Tube Laser'!B33,"")</f>
        <v/>
      </c>
    </row>
    <row r="34" spans="1:47">
      <c r="A34" s="10" t="s">
        <v>85</v>
      </c>
      <c r="B34" s="10" t="s">
        <v>86</v>
      </c>
      <c r="C34" s="11">
        <v>2.7130000000000001</v>
      </c>
      <c r="D34" s="10" t="s">
        <v>22</v>
      </c>
      <c r="E34" s="9">
        <v>4</v>
      </c>
      <c r="K34" t="str">
        <f t="array" aca="1" ref="K34" ca="1">INDIRECT(TEXT(MIN(IF(($L$9:$M$100&lt;&gt;"")*(COUNTIF($K$8:K33,$L$9:$M$100)=0),ROW($9:$100)*100+COLUMN($L:$M),7^8)),"R0C00"),)&amp;""</f>
        <v/>
      </c>
      <c r="L34" t="str">
        <f>IF('FB Laser'!A35=0,"",'FB Laser'!A35)</f>
        <v/>
      </c>
      <c r="M34" t="str">
        <f>IF('Tube Laser'!A34=0,"",'Tube Laser'!A34)</f>
        <v/>
      </c>
      <c r="O34" t="str">
        <f t="array" aca="1" ref="O34" ca="1">INDIRECT(TEXT(MIN(IF(($P$9:$Q$100&lt;&gt;"")*(COUNTIF($O$8:O33,$P$9:$Q$100)=0),ROW($9:$100)*100+COLUMN($P:$Q),7^8)),"R0C00"),)&amp;""</f>
        <v/>
      </c>
      <c r="P34" t="str">
        <f>IF('FB Laser'!F35="Yes",'FB Laser'!A35,"")</f>
        <v/>
      </c>
      <c r="Q34" t="str">
        <f>IF('Tube Laser'!I34="Yes",'Tube Laser'!A34,"")</f>
        <v/>
      </c>
      <c r="R34" s="37" t="str">
        <f>IFERROR(('FB Laser'!G35*'FB Laser'!B35),"")</f>
        <v/>
      </c>
      <c r="S34" s="37">
        <f>IFERROR('FB Laser'!H35*'FB Laser'!B35,"")</f>
        <v>0</v>
      </c>
      <c r="U34" s="37">
        <f>IFERROR(((((('Tube Laser'!D34)*'Tube Laser'!B34)/60)/60)*188.17)+(AE34*'Tube Laser'!B34),"")</f>
        <v>0</v>
      </c>
      <c r="V34" s="37">
        <f ca="1">IFERROR(('Tube Laser'!N34*'Tube Laser'!B34)+(AE34*'Tube Laser'!B34)+(AF34*'Tube Laser'!B34)+(AG34*'Tube Laser'!B34)+('FB Data'!AH34*'Tube Laser'!B34),"")</f>
        <v>0</v>
      </c>
      <c r="X34" s="41">
        <f>IFERROR(('Tube Laser'!D34*'Tube Laser'!B34)/60/60,"")</f>
        <v>0</v>
      </c>
      <c r="AB34">
        <v>26</v>
      </c>
      <c r="AE34" t="str">
        <f>IF('Tube Laser'!E34="One Side",'Tube Laser'!J34*0.2,IF('Tube Laser'!E34="Both Sides",'Tube Laser'!J34*0.4,"0"))</f>
        <v>0</v>
      </c>
      <c r="AF34">
        <f>IF('Tube Laser'!F34="Yes",'Tube Laser'!J34*0.1,0)</f>
        <v>0</v>
      </c>
      <c r="AG34">
        <f>IF('Tube Laser'!G34&gt;0,'Tube Laser'!J34*0.2,0)</f>
        <v>0</v>
      </c>
      <c r="AH34">
        <f>IF('Tube Laser'!H34="Yes",'Tube Laser'!J34*0.1,0)</f>
        <v>0</v>
      </c>
      <c r="AJ34">
        <f>IFERROR(VLOOKUP('FB Laser'!N35,'FB Data'!A27:E175,3,FALSE)*'FB Laser'!M35,0)</f>
        <v>0</v>
      </c>
      <c r="AK34" t="str">
        <f t="shared" si="0"/>
        <v/>
      </c>
      <c r="AL34" s="33">
        <f>IF(AK34="partial",'FB Laser'!E35/60*35*0.5,IF(AK34="full-time",'FB Laser'!E35/60*35,0))</f>
        <v>0</v>
      </c>
      <c r="AM34" s="33">
        <f>ROUND(IFERROR(AL34/'FB Laser'!B35,0),2)</f>
        <v>0</v>
      </c>
      <c r="AO34">
        <f>IFERROR(VLOOKUP('Tube Laser'!P34,'TL Data'!A27:E1252,3,FALSE)*'Tube Laser'!O34,0)</f>
        <v>0</v>
      </c>
      <c r="AP34" t="str">
        <f t="shared" si="1"/>
        <v/>
      </c>
      <c r="AQ34" s="33">
        <f>IF(AP34="partial",'Tube Laser'!D34/60/60*35*'Tube Laser'!B34*0.5,IF(AP34="full-time",'Tube Laser'!D34/60/60*35*'Tube Laser'!B34,0))</f>
        <v>0</v>
      </c>
      <c r="AR34" s="33">
        <f>ROUND(IFERROR(AQ34/'Tube Laser'!B34,0),2)</f>
        <v>0</v>
      </c>
      <c r="AT34" s="33" t="str">
        <f ca="1">IFERROR('FB Laser'!J35*'FB Laser'!B35,"")</f>
        <v/>
      </c>
      <c r="AU34" s="33" t="str">
        <f ca="1">IFERROR('Tube Laser'!L34*'Tube Laser'!B34,"")</f>
        <v/>
      </c>
    </row>
    <row r="35" spans="1:47">
      <c r="A35" s="10" t="s">
        <v>87</v>
      </c>
      <c r="B35" s="10" t="s">
        <v>88</v>
      </c>
      <c r="C35" s="11">
        <v>2.6579999999999999</v>
      </c>
      <c r="D35" s="10" t="s">
        <v>22</v>
      </c>
      <c r="E35" s="9">
        <v>4</v>
      </c>
      <c r="K35" t="str">
        <f t="array" aca="1" ref="K35" ca="1">INDIRECT(TEXT(MIN(IF(($L$9:$M$100&lt;&gt;"")*(COUNTIF($K$8:K34,$L$9:$M$100)=0),ROW($9:$100)*100+COLUMN($L:$M),7^8)),"R0C00"),)&amp;""</f>
        <v/>
      </c>
      <c r="L35" t="str">
        <f>IF('FB Laser'!A36=0,"",'FB Laser'!A36)</f>
        <v/>
      </c>
      <c r="M35" t="str">
        <f>IF('Tube Laser'!A35=0,"",'Tube Laser'!A35)</f>
        <v/>
      </c>
      <c r="O35" t="str">
        <f t="array" aca="1" ref="O35" ca="1">INDIRECT(TEXT(MIN(IF(($P$9:$Q$100&lt;&gt;"")*(COUNTIF($O$8:O34,$P$9:$Q$100)=0),ROW($9:$100)*100+COLUMN($P:$Q),7^8)),"R0C00"),)&amp;""</f>
        <v/>
      </c>
      <c r="P35" t="str">
        <f>IF('FB Laser'!F36="Yes",'FB Laser'!A36,"")</f>
        <v/>
      </c>
      <c r="Q35" t="str">
        <f>IF('Tube Laser'!I35="Yes",'Tube Laser'!A35,"")</f>
        <v/>
      </c>
      <c r="R35" s="37" t="str">
        <f>IFERROR(('FB Laser'!G36*'FB Laser'!B36),"")</f>
        <v/>
      </c>
      <c r="S35" s="37">
        <f>IFERROR('FB Laser'!H36*'FB Laser'!B36,"")</f>
        <v>0</v>
      </c>
      <c r="U35" s="37">
        <f>IFERROR(((((('Tube Laser'!D35)*'Tube Laser'!B35)/60)/60)*188.17)+(AE35*'Tube Laser'!B35),"")</f>
        <v>0</v>
      </c>
      <c r="V35" s="37">
        <f ca="1">IFERROR(('Tube Laser'!N35*'Tube Laser'!B35)+(AE35*'Tube Laser'!B35)+(AF35*'Tube Laser'!B35)+(AG35*'Tube Laser'!B35)+('FB Data'!AH35*'Tube Laser'!B35),"")</f>
        <v>0</v>
      </c>
      <c r="X35" s="41">
        <f>IFERROR(('Tube Laser'!D35*'Tube Laser'!B35)/60/60,"")</f>
        <v>0</v>
      </c>
      <c r="AB35">
        <v>27</v>
      </c>
      <c r="AE35" t="str">
        <f>IF('Tube Laser'!E35="One Side",'Tube Laser'!J35*0.2,IF('Tube Laser'!E35="Both Sides",'Tube Laser'!J35*0.4,"0"))</f>
        <v>0</v>
      </c>
      <c r="AF35">
        <f>IF('Tube Laser'!F35="Yes",'Tube Laser'!J35*0.1,0)</f>
        <v>0</v>
      </c>
      <c r="AG35">
        <f>IF('Tube Laser'!G35&gt;0,'Tube Laser'!J35*0.2,0)</f>
        <v>0</v>
      </c>
      <c r="AH35">
        <f>IF('Tube Laser'!H35="Yes",'Tube Laser'!J35*0.1,0)</f>
        <v>0</v>
      </c>
      <c r="AJ35">
        <f>IFERROR(VLOOKUP('FB Laser'!N36,'FB Data'!A28:E176,3,FALSE)*'FB Laser'!M36,0)</f>
        <v>0</v>
      </c>
      <c r="AK35" t="str">
        <f t="shared" si="0"/>
        <v/>
      </c>
      <c r="AL35" s="33">
        <f>IF(AK35="partial",'FB Laser'!E36/60*35*0.5,IF(AK35="full-time",'FB Laser'!E36/60*35,0))</f>
        <v>0</v>
      </c>
      <c r="AM35" s="33">
        <f>ROUND(IFERROR(AL35/'FB Laser'!B36,0),2)</f>
        <v>0</v>
      </c>
      <c r="AO35">
        <f>IFERROR(VLOOKUP('Tube Laser'!P35,'TL Data'!A28:E1253,3,FALSE)*'Tube Laser'!O35,0)</f>
        <v>0</v>
      </c>
      <c r="AP35" t="str">
        <f t="shared" si="1"/>
        <v/>
      </c>
      <c r="AQ35" s="33">
        <f>IF(AP35="partial",'Tube Laser'!D35/60/60*35*'Tube Laser'!B35*0.5,IF(AP35="full-time",'Tube Laser'!D35/60/60*35*'Tube Laser'!B35,0))</f>
        <v>0</v>
      </c>
      <c r="AR35" s="33">
        <f>ROUND(IFERROR(AQ35/'Tube Laser'!B35,0),2)</f>
        <v>0</v>
      </c>
      <c r="AT35" s="33" t="str">
        <f ca="1">IFERROR('FB Laser'!J36*'FB Laser'!B36,"")</f>
        <v/>
      </c>
      <c r="AU35" s="33" t="str">
        <f ca="1">IFERROR('Tube Laser'!L35*'Tube Laser'!B35,"")</f>
        <v/>
      </c>
    </row>
    <row r="36" spans="1:47">
      <c r="A36" s="10" t="s">
        <v>89</v>
      </c>
      <c r="B36" s="10" t="s">
        <v>90</v>
      </c>
      <c r="C36" s="11">
        <v>2.6850000000000001</v>
      </c>
      <c r="D36" s="10" t="s">
        <v>22</v>
      </c>
      <c r="E36" s="9">
        <v>4</v>
      </c>
      <c r="K36" t="str">
        <f t="array" aca="1" ref="K36" ca="1">INDIRECT(TEXT(MIN(IF(($L$9:$M$100&lt;&gt;"")*(COUNTIF($K$8:K35,$L$9:$M$100)=0),ROW($9:$100)*100+COLUMN($L:$M),7^8)),"R0C00"),)&amp;""</f>
        <v/>
      </c>
      <c r="L36" t="str">
        <f>IF('FB Laser'!A37=0,"",'FB Laser'!A37)</f>
        <v/>
      </c>
      <c r="M36" t="str">
        <f>IF('Tube Laser'!A36=0,"",'Tube Laser'!A36)</f>
        <v/>
      </c>
      <c r="O36" t="str">
        <f t="array" aca="1" ref="O36" ca="1">INDIRECT(TEXT(MIN(IF(($P$9:$Q$100&lt;&gt;"")*(COUNTIF($O$8:O35,$P$9:$Q$100)=0),ROW($9:$100)*100+COLUMN($P:$Q),7^8)),"R0C00"),)&amp;""</f>
        <v/>
      </c>
      <c r="P36" t="str">
        <f>IF('FB Laser'!F37="Yes",'FB Laser'!A37,"")</f>
        <v/>
      </c>
      <c r="Q36" t="str">
        <f>IF('Tube Laser'!I36="Yes",'Tube Laser'!A36,"")</f>
        <v/>
      </c>
      <c r="R36" s="37" t="str">
        <f>IFERROR(('FB Laser'!G37*'FB Laser'!B37),"")</f>
        <v/>
      </c>
      <c r="S36" s="37">
        <f>IFERROR('FB Laser'!H37*'FB Laser'!B37,"")</f>
        <v>0</v>
      </c>
      <c r="U36" s="37">
        <f>IFERROR(((((('Tube Laser'!D36)*'Tube Laser'!B36)/60)/60)*188.17)+(AE36*'Tube Laser'!B36),"")</f>
        <v>0</v>
      </c>
      <c r="V36" s="37">
        <f ca="1">IFERROR(('Tube Laser'!N36*'Tube Laser'!B36)+(AE36*'Tube Laser'!B36)+(AF36*'Tube Laser'!B36)+(AG36*'Tube Laser'!B36)+('FB Data'!AH36*'Tube Laser'!B36),"")</f>
        <v>0</v>
      </c>
      <c r="X36" s="41">
        <f>IFERROR(('Tube Laser'!D36*'Tube Laser'!B36)/60/60,"")</f>
        <v>0</v>
      </c>
      <c r="AB36">
        <v>28</v>
      </c>
      <c r="AE36" t="str">
        <f>IF('Tube Laser'!E36="One Side",'Tube Laser'!J36*0.2,IF('Tube Laser'!E36="Both Sides",'Tube Laser'!J36*0.4,"0"))</f>
        <v>0</v>
      </c>
      <c r="AF36">
        <f>IF('Tube Laser'!F36="Yes",'Tube Laser'!J36*0.1,0)</f>
        <v>0</v>
      </c>
      <c r="AG36">
        <f>IF('Tube Laser'!G36&gt;0,'Tube Laser'!J36*0.2,0)</f>
        <v>0</v>
      </c>
      <c r="AH36">
        <f>IF('Tube Laser'!H36="Yes",'Tube Laser'!J36*0.1,0)</f>
        <v>0</v>
      </c>
      <c r="AJ36">
        <f>IFERROR(VLOOKUP('FB Laser'!N37,'FB Data'!A29:E177,3,FALSE)*'FB Laser'!M37,0)</f>
        <v>0</v>
      </c>
      <c r="AK36" t="str">
        <f t="shared" si="0"/>
        <v/>
      </c>
      <c r="AL36" s="33">
        <f>IF(AK36="partial",'FB Laser'!E37/60*35*0.5,IF(AK36="full-time",'FB Laser'!E37/60*35,0))</f>
        <v>0</v>
      </c>
      <c r="AM36" s="33">
        <f>ROUND(IFERROR(AL36/'FB Laser'!B37,0),2)</f>
        <v>0</v>
      </c>
      <c r="AO36">
        <f>IFERROR(VLOOKUP('Tube Laser'!P36,'TL Data'!A29:E1254,3,FALSE)*'Tube Laser'!O36,0)</f>
        <v>0</v>
      </c>
      <c r="AP36" t="str">
        <f t="shared" si="1"/>
        <v/>
      </c>
      <c r="AQ36" s="33">
        <f>IF(AP36="partial",'Tube Laser'!D36/60/60*35*'Tube Laser'!B36*0.5,IF(AP36="full-time",'Tube Laser'!D36/60/60*35*'Tube Laser'!B36,0))</f>
        <v>0</v>
      </c>
      <c r="AR36" s="33">
        <f>ROUND(IFERROR(AQ36/'Tube Laser'!B36,0),2)</f>
        <v>0</v>
      </c>
      <c r="AT36" s="33" t="str">
        <f ca="1">IFERROR('FB Laser'!J37*'FB Laser'!B37,"")</f>
        <v/>
      </c>
      <c r="AU36" s="33" t="str">
        <f ca="1">IFERROR('Tube Laser'!L36*'Tube Laser'!B36,"")</f>
        <v/>
      </c>
    </row>
    <row r="37" spans="1:47">
      <c r="A37" s="10" t="s">
        <v>91</v>
      </c>
      <c r="B37" s="10" t="s">
        <v>92</v>
      </c>
      <c r="C37" s="11">
        <v>14.54</v>
      </c>
      <c r="D37" s="10" t="s">
        <v>22</v>
      </c>
      <c r="E37" s="9">
        <v>5</v>
      </c>
      <c r="K37" t="str">
        <f t="array" aca="1" ref="K37" ca="1">INDIRECT(TEXT(MIN(IF(($L$9:$M$100&lt;&gt;"")*(COUNTIF($K$8:K36,$L$9:$M$100)=0),ROW($9:$100)*100+COLUMN($L:$M),7^8)),"R0C00"),)&amp;""</f>
        <v/>
      </c>
      <c r="L37" t="str">
        <f>IF('FB Laser'!A38=0,"",'FB Laser'!A38)</f>
        <v/>
      </c>
      <c r="M37" t="str">
        <f>IF('Tube Laser'!A37=0,"",'Tube Laser'!A37)</f>
        <v/>
      </c>
      <c r="O37" t="str">
        <f t="array" aca="1" ref="O37" ca="1">INDIRECT(TEXT(MIN(IF(($P$9:$Q$100&lt;&gt;"")*(COUNTIF($O$8:O36,$P$9:$Q$100)=0),ROW($9:$100)*100+COLUMN($P:$Q),7^8)),"R0C00"),)&amp;""</f>
        <v/>
      </c>
      <c r="P37" t="str">
        <f>IF('FB Laser'!F38="Yes",'FB Laser'!A38,"")</f>
        <v/>
      </c>
      <c r="Q37" t="str">
        <f>IF('Tube Laser'!I37="Yes",'Tube Laser'!A37,"")</f>
        <v/>
      </c>
      <c r="R37" s="37" t="str">
        <f>IFERROR(('FB Laser'!G38*'FB Laser'!B38),"")</f>
        <v/>
      </c>
      <c r="S37" s="37">
        <f>IFERROR('FB Laser'!H38*'FB Laser'!B38,"")</f>
        <v>0</v>
      </c>
      <c r="U37" s="37">
        <f>IFERROR(((((('Tube Laser'!D37)*'Tube Laser'!B37)/60)/60)*188.17)+(AE37*'Tube Laser'!B37),"")</f>
        <v>0</v>
      </c>
      <c r="V37" s="37">
        <f ca="1">IFERROR(('Tube Laser'!N37*'Tube Laser'!B37)+(AE37*'Tube Laser'!B37)+(AF37*'Tube Laser'!B37)+(AG37*'Tube Laser'!B37)+('FB Data'!AH37*'Tube Laser'!B37),"")</f>
        <v>0</v>
      </c>
      <c r="X37" s="41">
        <f>IFERROR(('Tube Laser'!D37*'Tube Laser'!B37)/60/60,"")</f>
        <v>0</v>
      </c>
      <c r="AB37">
        <v>29</v>
      </c>
      <c r="AE37" t="str">
        <f>IF('Tube Laser'!E37="One Side",'Tube Laser'!J37*0.2,IF('Tube Laser'!E37="Both Sides",'Tube Laser'!J37*0.4,"0"))</f>
        <v>0</v>
      </c>
      <c r="AF37">
        <f>IF('Tube Laser'!F37="Yes",'Tube Laser'!J37*0.1,0)</f>
        <v>0</v>
      </c>
      <c r="AG37">
        <f>IF('Tube Laser'!G37&gt;0,'Tube Laser'!J37*0.2,0)</f>
        <v>0</v>
      </c>
      <c r="AH37">
        <f>IF('Tube Laser'!H37="Yes",'Tube Laser'!J37*0.1,0)</f>
        <v>0</v>
      </c>
      <c r="AJ37">
        <f>IFERROR(VLOOKUP('FB Laser'!N38,'FB Data'!A30:E178,3,FALSE)*'FB Laser'!M38,0)</f>
        <v>0</v>
      </c>
      <c r="AK37" t="str">
        <f t="shared" si="0"/>
        <v/>
      </c>
      <c r="AL37" s="33">
        <f>IF(AK37="partial",'FB Laser'!E38/60*35*0.5,IF(AK37="full-time",'FB Laser'!E38/60*35,0))</f>
        <v>0</v>
      </c>
      <c r="AM37" s="33">
        <f>ROUND(IFERROR(AL37/'FB Laser'!B38,0),2)</f>
        <v>0</v>
      </c>
      <c r="AO37">
        <f>IFERROR(VLOOKUP('Tube Laser'!P37,'TL Data'!A30:E1255,3,FALSE)*'Tube Laser'!O37,0)</f>
        <v>0</v>
      </c>
      <c r="AP37" t="str">
        <f t="shared" si="1"/>
        <v/>
      </c>
      <c r="AQ37" s="33">
        <f>IF(AP37="partial",'Tube Laser'!D37/60/60*35*'Tube Laser'!B37*0.5,IF(AP37="full-time",'Tube Laser'!D37/60/60*35*'Tube Laser'!B37,0))</f>
        <v>0</v>
      </c>
      <c r="AR37" s="33">
        <f>ROUND(IFERROR(AQ37/'Tube Laser'!B37,0),2)</f>
        <v>0</v>
      </c>
      <c r="AT37" s="33" t="str">
        <f ca="1">IFERROR('FB Laser'!J38*'FB Laser'!B38,"")</f>
        <v/>
      </c>
      <c r="AU37" s="33" t="str">
        <f ca="1">IFERROR('Tube Laser'!L37*'Tube Laser'!B37,"")</f>
        <v/>
      </c>
    </row>
    <row r="38" spans="1:47">
      <c r="A38" s="10" t="s">
        <v>93</v>
      </c>
      <c r="B38" s="10" t="s">
        <v>94</v>
      </c>
      <c r="C38" s="11">
        <v>7.2720000000000002</v>
      </c>
      <c r="D38" s="10" t="s">
        <v>22</v>
      </c>
      <c r="E38" s="9">
        <v>5</v>
      </c>
      <c r="K38" t="str">
        <f t="array" aca="1" ref="K38" ca="1">INDIRECT(TEXT(MIN(IF(($L$9:$M$100&lt;&gt;"")*(COUNTIF($K$8:K37,$L$9:$M$100)=0),ROW($9:$100)*100+COLUMN($L:$M),7^8)),"R0C00"),)&amp;""</f>
        <v/>
      </c>
      <c r="L38" t="str">
        <f>IF('FB Laser'!A39=0,"",'FB Laser'!A39)</f>
        <v/>
      </c>
      <c r="M38" t="str">
        <f>IF('Tube Laser'!A38=0,"",'Tube Laser'!A38)</f>
        <v/>
      </c>
      <c r="O38" t="str">
        <f t="array" aca="1" ref="O38" ca="1">INDIRECT(TEXT(MIN(IF(($P$9:$Q$100&lt;&gt;"")*(COUNTIF($O$8:O37,$P$9:$Q$100)=0),ROW($9:$100)*100+COLUMN($P:$Q),7^8)),"R0C00"),)&amp;""</f>
        <v/>
      </c>
      <c r="P38" t="str">
        <f>IF('FB Laser'!F39="Yes",'FB Laser'!A39,"")</f>
        <v/>
      </c>
      <c r="Q38" t="str">
        <f>IF('Tube Laser'!I38="Yes",'Tube Laser'!A38,"")</f>
        <v/>
      </c>
      <c r="R38" s="37" t="str">
        <f>IFERROR(('FB Laser'!G39*'FB Laser'!B39),"")</f>
        <v/>
      </c>
      <c r="S38" s="37">
        <f>IFERROR('FB Laser'!H39*'FB Laser'!B39,"")</f>
        <v>0</v>
      </c>
      <c r="U38" s="37">
        <f>IFERROR(((((('Tube Laser'!D38)*'Tube Laser'!B38)/60)/60)*188.17)+(AE38*'Tube Laser'!B38),"")</f>
        <v>0</v>
      </c>
      <c r="V38" s="37">
        <f ca="1">IFERROR(('Tube Laser'!N38*'Tube Laser'!B38)+(AE38*'Tube Laser'!B38)+(AF38*'Tube Laser'!B38)+(AG38*'Tube Laser'!B38)+('FB Data'!AH38*'Tube Laser'!B38),"")</f>
        <v>0</v>
      </c>
      <c r="X38" s="41">
        <f>IFERROR(('Tube Laser'!D38*'Tube Laser'!B38)/60/60,"")</f>
        <v>0</v>
      </c>
      <c r="AB38">
        <v>30</v>
      </c>
      <c r="AE38" t="str">
        <f>IF('Tube Laser'!E38="One Side",'Tube Laser'!J38*0.2,IF('Tube Laser'!E38="Both Sides",'Tube Laser'!J38*0.4,"0"))</f>
        <v>0</v>
      </c>
      <c r="AF38">
        <f>IF('Tube Laser'!F38="Yes",'Tube Laser'!J38*0.1,0)</f>
        <v>0</v>
      </c>
      <c r="AG38">
        <f>IF('Tube Laser'!G38&gt;0,'Tube Laser'!J38*0.2,0)</f>
        <v>0</v>
      </c>
      <c r="AH38">
        <f>IF('Tube Laser'!H38="Yes",'Tube Laser'!J38*0.1,0)</f>
        <v>0</v>
      </c>
      <c r="AJ38">
        <f>IFERROR(VLOOKUP('FB Laser'!N39,'FB Data'!A31:E179,3,FALSE)*'FB Laser'!M39,0)</f>
        <v>0</v>
      </c>
      <c r="AK38" t="str">
        <f t="shared" si="0"/>
        <v/>
      </c>
      <c r="AL38" s="33">
        <f>IF(AK38="partial",'FB Laser'!E39/60*35*0.5,IF(AK38="full-time",'FB Laser'!E39/60*35,0))</f>
        <v>0</v>
      </c>
      <c r="AM38" s="33">
        <f>ROUND(IFERROR(AL38/'FB Laser'!B39,0),2)</f>
        <v>0</v>
      </c>
      <c r="AO38">
        <f>IFERROR(VLOOKUP('Tube Laser'!P38,'TL Data'!A31:E1256,3,FALSE)*'Tube Laser'!O38,0)</f>
        <v>0</v>
      </c>
      <c r="AP38" t="str">
        <f t="shared" si="1"/>
        <v/>
      </c>
      <c r="AQ38" s="33">
        <f>IF(AP38="partial",'Tube Laser'!D38/60/60*35*'Tube Laser'!B38*0.5,IF(AP38="full-time",'Tube Laser'!D38/60/60*35*'Tube Laser'!B38,0))</f>
        <v>0</v>
      </c>
      <c r="AR38" s="33">
        <f>ROUND(IFERROR(AQ38/'Tube Laser'!B38,0),2)</f>
        <v>0</v>
      </c>
      <c r="AT38" s="33" t="str">
        <f ca="1">IFERROR('FB Laser'!J39*'FB Laser'!B39,"")</f>
        <v/>
      </c>
      <c r="AU38" s="33" t="str">
        <f ca="1">IFERROR('Tube Laser'!L38*'Tube Laser'!B38,"")</f>
        <v/>
      </c>
    </row>
    <row r="39" spans="1:47">
      <c r="A39" s="10" t="s">
        <v>95</v>
      </c>
      <c r="B39" s="10" t="s">
        <v>96</v>
      </c>
      <c r="C39" s="11">
        <v>3.6360000000000001</v>
      </c>
      <c r="D39" s="10" t="s">
        <v>22</v>
      </c>
      <c r="E39" s="9">
        <v>5</v>
      </c>
      <c r="K39" t="str">
        <f t="array" aca="1" ref="K39" ca="1">INDIRECT(TEXT(MIN(IF(($L$9:$M$100&lt;&gt;"")*(COUNTIF($K$8:K38,$L$9:$M$100)=0),ROW($9:$100)*100+COLUMN($L:$M),7^8)),"R0C00"),)&amp;""</f>
        <v/>
      </c>
      <c r="L39" t="str">
        <f>IF('FB Laser'!A40=0,"",'FB Laser'!A40)</f>
        <v/>
      </c>
      <c r="M39" t="str">
        <f>IF('Tube Laser'!A39=0,"",'Tube Laser'!A39)</f>
        <v/>
      </c>
      <c r="O39" t="str">
        <f t="array" aca="1" ref="O39" ca="1">INDIRECT(TEXT(MIN(IF(($P$9:$Q$100&lt;&gt;"")*(COUNTIF($O$8:O38,$P$9:$Q$100)=0),ROW($9:$100)*100+COLUMN($P:$Q),7^8)),"R0C00"),)&amp;""</f>
        <v/>
      </c>
      <c r="P39" t="str">
        <f>IF('FB Laser'!F40="Yes",'FB Laser'!A40,"")</f>
        <v/>
      </c>
      <c r="Q39" t="str">
        <f>IF('Tube Laser'!I39="Yes",'Tube Laser'!A39,"")</f>
        <v/>
      </c>
      <c r="R39" s="37" t="str">
        <f>IFERROR(('FB Laser'!G40*'FB Laser'!B40),"")</f>
        <v/>
      </c>
      <c r="S39" s="37">
        <f>IFERROR('FB Laser'!H40*'FB Laser'!B40,"")</f>
        <v>0</v>
      </c>
      <c r="U39" s="37">
        <f>IFERROR(((((('Tube Laser'!D39)*'Tube Laser'!B39)/60)/60)*188.17)+(AE39*'Tube Laser'!B39),"")</f>
        <v>0</v>
      </c>
      <c r="V39" s="37">
        <f ca="1">IFERROR(('Tube Laser'!N39*'Tube Laser'!B39)+(AE39*'Tube Laser'!B39)+(AF39*'Tube Laser'!B39)+(AG39*'Tube Laser'!B39)+('FB Data'!AH39*'Tube Laser'!B39),"")</f>
        <v>0</v>
      </c>
      <c r="X39" s="41">
        <f>IFERROR(('Tube Laser'!D39*'Tube Laser'!B39)/60/60,"")</f>
        <v>0</v>
      </c>
      <c r="AE39" t="str">
        <f>IF('Tube Laser'!E39="One Side",'Tube Laser'!J39*0.2,IF('Tube Laser'!E39="Both Sides",'Tube Laser'!J39*0.4,"0"))</f>
        <v>0</v>
      </c>
      <c r="AF39">
        <f>IF('Tube Laser'!F39="Yes",'Tube Laser'!J39*0.1,0)</f>
        <v>0</v>
      </c>
      <c r="AG39">
        <f>IF('Tube Laser'!G39&gt;0,'Tube Laser'!J39*0.2,0)</f>
        <v>0</v>
      </c>
      <c r="AH39">
        <f>IF('Tube Laser'!H39="Yes",'Tube Laser'!J39*0.1,0)</f>
        <v>0</v>
      </c>
      <c r="AJ39">
        <f>IFERROR(VLOOKUP('FB Laser'!N40,'FB Data'!A32:E180,3,FALSE)*'FB Laser'!M40,0)</f>
        <v>0</v>
      </c>
      <c r="AK39" t="str">
        <f t="shared" si="0"/>
        <v/>
      </c>
      <c r="AL39" s="33">
        <f>IF(AK39="partial",'FB Laser'!E40/60*35*0.5,IF(AK39="full-time",'FB Laser'!E40/60*35,0))</f>
        <v>0</v>
      </c>
      <c r="AM39" s="33">
        <f>ROUND(IFERROR(AL39/'FB Laser'!B40,0),2)</f>
        <v>0</v>
      </c>
      <c r="AO39">
        <f>IFERROR(VLOOKUP('Tube Laser'!P39,'TL Data'!A32:E1257,3,FALSE)*'Tube Laser'!O39,0)</f>
        <v>0</v>
      </c>
      <c r="AP39" t="str">
        <f t="shared" si="1"/>
        <v/>
      </c>
      <c r="AQ39" s="33">
        <f>IF(AP39="partial",'Tube Laser'!D39/60/60*35*'Tube Laser'!B39*0.5,IF(AP39="full-time",'Tube Laser'!D39/60/60*35*'Tube Laser'!B39,0))</f>
        <v>0</v>
      </c>
      <c r="AR39" s="33">
        <f>ROUND(IFERROR(AQ39/'Tube Laser'!B39,0),2)</f>
        <v>0</v>
      </c>
      <c r="AT39" s="33" t="str">
        <f ca="1">IFERROR('FB Laser'!J40*'FB Laser'!B40,"")</f>
        <v/>
      </c>
      <c r="AU39" s="33" t="str">
        <f ca="1">IFERROR('Tube Laser'!L39*'Tube Laser'!B39,"")</f>
        <v/>
      </c>
    </row>
    <row r="40" spans="1:47">
      <c r="A40" s="10" t="s">
        <v>97</v>
      </c>
      <c r="B40" s="10" t="s">
        <v>98</v>
      </c>
      <c r="C40" s="11">
        <v>10.91</v>
      </c>
      <c r="D40" s="10" t="s">
        <v>22</v>
      </c>
      <c r="E40" s="9">
        <v>5</v>
      </c>
      <c r="K40" t="str">
        <f t="array" aca="1" ref="K40" ca="1">INDIRECT(TEXT(MIN(IF(($L$9:$M$100&lt;&gt;"")*(COUNTIF($K$8:K39,$L$9:$M$100)=0),ROW($9:$100)*100+COLUMN($L:$M),7^8)),"R0C00"),)&amp;""</f>
        <v/>
      </c>
      <c r="L40" t="str">
        <f>IF('FB Laser'!A41=0,"",'FB Laser'!A41)</f>
        <v/>
      </c>
      <c r="M40" t="str">
        <f>IF('Tube Laser'!A40=0,"",'Tube Laser'!A40)</f>
        <v/>
      </c>
      <c r="O40" t="str">
        <f t="array" aca="1" ref="O40" ca="1">INDIRECT(TEXT(MIN(IF(($P$9:$Q$100&lt;&gt;"")*(COUNTIF($O$8:O39,$P$9:$Q$100)=0),ROW($9:$100)*100+COLUMN($P:$Q),7^8)),"R0C00"),)&amp;""</f>
        <v/>
      </c>
      <c r="P40" t="str">
        <f>IF('FB Laser'!F41="Yes",'FB Laser'!A41,"")</f>
        <v/>
      </c>
      <c r="Q40" t="str">
        <f>IF('Tube Laser'!I40="Yes",'Tube Laser'!A40,"")</f>
        <v/>
      </c>
      <c r="R40" s="37" t="str">
        <f>IFERROR(('FB Laser'!G41*'FB Laser'!B41),"")</f>
        <v/>
      </c>
      <c r="S40" s="37">
        <f>IFERROR('FB Laser'!H41*'FB Laser'!B41,"")</f>
        <v>0</v>
      </c>
      <c r="U40" s="37">
        <f>IFERROR(((((('Tube Laser'!D40)*'Tube Laser'!B40)/60)/60)*188.17)+(AE40*'Tube Laser'!B40),"")</f>
        <v>0</v>
      </c>
      <c r="V40" s="37">
        <f ca="1">IFERROR(('Tube Laser'!N40*'Tube Laser'!B40)+(AE40*'Tube Laser'!B40)+(AF40*'Tube Laser'!B40)+(AG40*'Tube Laser'!B40)+('FB Data'!AH40*'Tube Laser'!B40),"")</f>
        <v>0</v>
      </c>
      <c r="X40" s="41">
        <f>IFERROR(('Tube Laser'!D40*'Tube Laser'!B40)/60/60,"")</f>
        <v>0</v>
      </c>
      <c r="AE40" t="str">
        <f>IF('Tube Laser'!E40="One Side",'Tube Laser'!J40*0.2,IF('Tube Laser'!E40="Both Sides",'Tube Laser'!J40*0.4,"0"))</f>
        <v>0</v>
      </c>
      <c r="AF40">
        <f>IF('Tube Laser'!F40="Yes",'Tube Laser'!J40*0.1,0)</f>
        <v>0</v>
      </c>
      <c r="AG40">
        <f>IF('Tube Laser'!G40&gt;0,'Tube Laser'!J40*0.2,0)</f>
        <v>0</v>
      </c>
      <c r="AH40">
        <f>IF('Tube Laser'!H40="Yes",'Tube Laser'!J40*0.1,0)</f>
        <v>0</v>
      </c>
      <c r="AJ40">
        <f>IFERROR(VLOOKUP('FB Laser'!N41,'FB Data'!A33:E181,3,FALSE)*'FB Laser'!M41,0)</f>
        <v>0</v>
      </c>
      <c r="AK40" t="str">
        <f t="shared" si="0"/>
        <v/>
      </c>
      <c r="AL40" s="33">
        <f>IF(AK40="partial",'FB Laser'!E41/60*35*0.5,IF(AK40="full-time",'FB Laser'!E41/60*35,0))</f>
        <v>0</v>
      </c>
      <c r="AM40" s="33">
        <f>ROUND(IFERROR(AL40/'FB Laser'!B41,0),2)</f>
        <v>0</v>
      </c>
      <c r="AO40">
        <f>IFERROR(VLOOKUP('Tube Laser'!P40,'TL Data'!A33:E1258,3,FALSE)*'Tube Laser'!O40,0)</f>
        <v>0</v>
      </c>
      <c r="AP40" t="str">
        <f t="shared" si="1"/>
        <v/>
      </c>
      <c r="AQ40" s="33">
        <f>IF(AP40="partial",'Tube Laser'!D40/60/60*35*'Tube Laser'!B40*0.5,IF(AP40="full-time",'Tube Laser'!D40/60/60*35*'Tube Laser'!B40,0))</f>
        <v>0</v>
      </c>
      <c r="AR40" s="33">
        <f>ROUND(IFERROR(AQ40/'Tube Laser'!B40,0),2)</f>
        <v>0</v>
      </c>
      <c r="AT40" s="33" t="str">
        <f ca="1">IFERROR('FB Laser'!J41*'FB Laser'!B41,"")</f>
        <v/>
      </c>
      <c r="AU40" s="33" t="str">
        <f ca="1">IFERROR('Tube Laser'!L40*'Tube Laser'!B40,"")</f>
        <v/>
      </c>
    </row>
    <row r="41" spans="1:47">
      <c r="A41" s="10" t="s">
        <v>99</v>
      </c>
      <c r="B41" s="10" t="s">
        <v>100</v>
      </c>
      <c r="C41" s="11">
        <v>5.4539999999999997</v>
      </c>
      <c r="D41" s="10" t="s">
        <v>22</v>
      </c>
      <c r="E41" s="9">
        <v>5</v>
      </c>
      <c r="K41" t="str">
        <f t="array" aca="1" ref="K41" ca="1">INDIRECT(TEXT(MIN(IF(($L$9:$M$100&lt;&gt;"")*(COUNTIF($K$8:K40,$L$9:$M$100)=0),ROW($9:$100)*100+COLUMN($L:$M),7^8)),"R0C00"),)&amp;""</f>
        <v/>
      </c>
      <c r="L41" t="str">
        <f>IF('FB Laser'!A42=0,"",'FB Laser'!A42)</f>
        <v/>
      </c>
      <c r="M41" t="str">
        <f>IF('Tube Laser'!A41=0,"",'Tube Laser'!A41)</f>
        <v/>
      </c>
      <c r="O41" t="str">
        <f t="array" aca="1" ref="O41" ca="1">INDIRECT(TEXT(MIN(IF(($P$9:$Q$100&lt;&gt;"")*(COUNTIF($O$8:O40,$P$9:$Q$100)=0),ROW($9:$100)*100+COLUMN($P:$Q),7^8)),"R0C00"),)&amp;""</f>
        <v/>
      </c>
      <c r="P41" t="str">
        <f>IF('FB Laser'!F42="Yes",'FB Laser'!A42,"")</f>
        <v/>
      </c>
      <c r="Q41" t="str">
        <f>IF('Tube Laser'!I41="Yes",'Tube Laser'!A41,"")</f>
        <v/>
      </c>
      <c r="R41" s="37" t="str">
        <f>IFERROR(('FB Laser'!G42*'FB Laser'!B42),"")</f>
        <v/>
      </c>
      <c r="S41" s="37">
        <f>IFERROR('FB Laser'!H42*'FB Laser'!B42,"")</f>
        <v>0</v>
      </c>
      <c r="U41" s="37">
        <f>IFERROR(((((('Tube Laser'!D41)*'Tube Laser'!B41)/60)/60)*188.17)+(AE41*'Tube Laser'!B41),"")</f>
        <v>0</v>
      </c>
      <c r="V41" s="37">
        <f ca="1">IFERROR(('Tube Laser'!N41*'Tube Laser'!B41)+(AE41*'Tube Laser'!B41)+(AF41*'Tube Laser'!B41)+(AG41*'Tube Laser'!B41)+('FB Data'!AH41*'Tube Laser'!B41),"")</f>
        <v>0</v>
      </c>
      <c r="X41" s="41">
        <f>IFERROR(('Tube Laser'!D41*'Tube Laser'!B41)/60/60,"")</f>
        <v>0</v>
      </c>
      <c r="AE41" t="str">
        <f>IF('Tube Laser'!E41="One Side",'Tube Laser'!J41*0.2,IF('Tube Laser'!E41="Both Sides",'Tube Laser'!J41*0.4,"0"))</f>
        <v>0</v>
      </c>
      <c r="AF41">
        <f>IF('Tube Laser'!F41="Yes",'Tube Laser'!J41*0.1,0)</f>
        <v>0</v>
      </c>
      <c r="AG41">
        <f>IF('Tube Laser'!G41&gt;0,'Tube Laser'!J41*0.2,0)</f>
        <v>0</v>
      </c>
      <c r="AH41">
        <f>IF('Tube Laser'!H41="Yes",'Tube Laser'!J41*0.1,0)</f>
        <v>0</v>
      </c>
      <c r="AJ41">
        <f>IFERROR(VLOOKUP('FB Laser'!N42,'FB Data'!A34:E182,3,FALSE)*'FB Laser'!M42,0)</f>
        <v>0</v>
      </c>
      <c r="AK41" t="str">
        <f t="shared" si="0"/>
        <v/>
      </c>
      <c r="AL41" s="33">
        <f>IF(AK41="partial",'FB Laser'!E42/60*35*0.5,IF(AK41="full-time",'FB Laser'!E42/60*35,0))</f>
        <v>0</v>
      </c>
      <c r="AM41" s="33">
        <f>ROUND(IFERROR(AL41/'FB Laser'!B42,0),2)</f>
        <v>0</v>
      </c>
      <c r="AO41">
        <f>IFERROR(VLOOKUP('Tube Laser'!P41,'TL Data'!A34:E1259,3,FALSE)*'Tube Laser'!O41,0)</f>
        <v>0</v>
      </c>
      <c r="AP41" t="str">
        <f t="shared" si="1"/>
        <v/>
      </c>
      <c r="AQ41" s="33">
        <f>IF(AP41="partial",'Tube Laser'!D41/60/60*35*'Tube Laser'!B41*0.5,IF(AP41="full-time",'Tube Laser'!D41/60/60*35*'Tube Laser'!B41,0))</f>
        <v>0</v>
      </c>
      <c r="AR41" s="33">
        <f>ROUND(IFERROR(AQ41/'Tube Laser'!B41,0),2)</f>
        <v>0</v>
      </c>
      <c r="AT41" s="33" t="str">
        <f ca="1">IFERROR('FB Laser'!J42*'FB Laser'!B42,"")</f>
        <v/>
      </c>
      <c r="AU41" s="33" t="str">
        <f ca="1">IFERROR('Tube Laser'!L41*'Tube Laser'!B41,"")</f>
        <v/>
      </c>
    </row>
    <row r="42" spans="1:47">
      <c r="A42" s="10" t="s">
        <v>101</v>
      </c>
      <c r="B42" s="10" t="s">
        <v>102</v>
      </c>
      <c r="C42" s="11">
        <v>9.09</v>
      </c>
      <c r="D42" s="10" t="s">
        <v>22</v>
      </c>
      <c r="E42" s="9">
        <v>5</v>
      </c>
      <c r="K42" t="str">
        <f t="array" aca="1" ref="K42" ca="1">INDIRECT(TEXT(MIN(IF(($L$9:$M$100&lt;&gt;"")*(COUNTIF($K$8:K41,$L$9:$M$100)=0),ROW($9:$100)*100+COLUMN($L:$M),7^8)),"R0C00"),)&amp;""</f>
        <v/>
      </c>
      <c r="L42" t="str">
        <f>IF('FB Laser'!A43=0,"",'FB Laser'!A43)</f>
        <v/>
      </c>
      <c r="M42" t="str">
        <f>IF('Tube Laser'!A42=0,"",'Tube Laser'!A42)</f>
        <v/>
      </c>
      <c r="O42" t="str">
        <f t="array" aca="1" ref="O42" ca="1">INDIRECT(TEXT(MIN(IF(($P$9:$Q$100&lt;&gt;"")*(COUNTIF($O$8:O41,$P$9:$Q$100)=0),ROW($9:$100)*100+COLUMN($P:$Q),7^8)),"R0C00"),)&amp;""</f>
        <v/>
      </c>
      <c r="P42" t="str">
        <f>IF('FB Laser'!F43="Yes",'FB Laser'!A43,"")</f>
        <v/>
      </c>
      <c r="Q42" t="str">
        <f>IF('Tube Laser'!I42="Yes",'Tube Laser'!A42,"")</f>
        <v/>
      </c>
      <c r="R42" s="37" t="str">
        <f>IFERROR(('FB Laser'!G43*'FB Laser'!B43),"")</f>
        <v/>
      </c>
      <c r="S42" s="37">
        <f>IFERROR('FB Laser'!H43*'FB Laser'!B43,"")</f>
        <v>0</v>
      </c>
      <c r="U42" s="37">
        <f>IFERROR(((((('Tube Laser'!D42)*'Tube Laser'!B42)/60)/60)*188.17)+(AE42*'Tube Laser'!B42),"")</f>
        <v>0</v>
      </c>
      <c r="V42" s="37">
        <f ca="1">IFERROR(('Tube Laser'!N42*'Tube Laser'!B42)+(AE42*'Tube Laser'!B42)+(AF42*'Tube Laser'!B42)+(AG42*'Tube Laser'!B42)+('FB Data'!AH42*'Tube Laser'!B42),"")</f>
        <v>0</v>
      </c>
      <c r="X42" s="41">
        <f>IFERROR(('Tube Laser'!D42*'Tube Laser'!B42)/60/60,"")</f>
        <v>0</v>
      </c>
      <c r="AE42" t="str">
        <f>IF('Tube Laser'!E42="One Side",'Tube Laser'!J42*0.2,IF('Tube Laser'!E42="Both Sides",'Tube Laser'!J42*0.4,"0"))</f>
        <v>0</v>
      </c>
      <c r="AF42">
        <f>IF('Tube Laser'!F42="Yes",'Tube Laser'!J42*0.1,0)</f>
        <v>0</v>
      </c>
      <c r="AG42">
        <f>IF('Tube Laser'!G42&gt;0,'Tube Laser'!J42*0.2,0)</f>
        <v>0</v>
      </c>
      <c r="AH42">
        <f>IF('Tube Laser'!H42="Yes",'Tube Laser'!J42*0.1,0)</f>
        <v>0</v>
      </c>
      <c r="AJ42">
        <f>IFERROR(VLOOKUP('FB Laser'!N43,'FB Data'!A35:E183,3,FALSE)*'FB Laser'!M43,0)</f>
        <v>0</v>
      </c>
      <c r="AK42" t="str">
        <f t="shared" si="0"/>
        <v/>
      </c>
      <c r="AL42" s="33">
        <f>IF(AK42="partial",'FB Laser'!E43/60*35*0.5,IF(AK42="full-time",'FB Laser'!E43/60*35,0))</f>
        <v>0</v>
      </c>
      <c r="AM42" s="33">
        <f>ROUND(IFERROR(AL42/'FB Laser'!B43,0),2)</f>
        <v>0</v>
      </c>
      <c r="AO42">
        <f>IFERROR(VLOOKUP('Tube Laser'!P42,'TL Data'!A35:E1260,3,FALSE)*'Tube Laser'!O42,0)</f>
        <v>0</v>
      </c>
      <c r="AP42" t="str">
        <f t="shared" si="1"/>
        <v/>
      </c>
      <c r="AQ42" s="33">
        <f>IF(AP42="partial",'Tube Laser'!D42/60/60*35*'Tube Laser'!B42*0.5,IF(AP42="full-time",'Tube Laser'!D42/60/60*35*'Tube Laser'!B42,0))</f>
        <v>0</v>
      </c>
      <c r="AR42" s="33">
        <f>ROUND(IFERROR(AQ42/'Tube Laser'!B42,0),2)</f>
        <v>0</v>
      </c>
      <c r="AT42" s="33" t="str">
        <f ca="1">IFERROR('FB Laser'!J43*'FB Laser'!B43,"")</f>
        <v/>
      </c>
      <c r="AU42" s="33" t="str">
        <f ca="1">IFERROR('Tube Laser'!L42*'Tube Laser'!B42,"")</f>
        <v/>
      </c>
    </row>
    <row r="43" spans="1:47">
      <c r="A43" s="10" t="s">
        <v>103</v>
      </c>
      <c r="B43" s="10" t="s">
        <v>104</v>
      </c>
      <c r="C43" s="11">
        <v>12.73</v>
      </c>
      <c r="D43" s="10" t="s">
        <v>22</v>
      </c>
      <c r="E43" s="9">
        <v>5</v>
      </c>
      <c r="K43" t="str">
        <f t="array" aca="1" ref="K43" ca="1">INDIRECT(TEXT(MIN(IF(($L$9:$M$100&lt;&gt;"")*(COUNTIF($K$8:K42,$L$9:$M$100)=0),ROW($9:$100)*100+COLUMN($L:$M),7^8)),"R0C00"),)&amp;""</f>
        <v/>
      </c>
      <c r="L43" t="str">
        <f>IF('FB Laser'!A44=0,"",'FB Laser'!A44)</f>
        <v/>
      </c>
      <c r="M43" t="str">
        <f>IF('Tube Laser'!A43=0,"",'Tube Laser'!A43)</f>
        <v/>
      </c>
      <c r="O43" t="str">
        <f t="array" aca="1" ref="O43" ca="1">INDIRECT(TEXT(MIN(IF(($P$9:$Q$100&lt;&gt;"")*(COUNTIF($O$8:O42,$P$9:$Q$100)=0),ROW($9:$100)*100+COLUMN($P:$Q),7^8)),"R0C00"),)&amp;""</f>
        <v/>
      </c>
      <c r="P43" t="str">
        <f>IF('FB Laser'!F44="Yes",'FB Laser'!A44,"")</f>
        <v/>
      </c>
      <c r="Q43" t="str">
        <f>IF('Tube Laser'!I43="Yes",'Tube Laser'!A43,"")</f>
        <v/>
      </c>
      <c r="R43" s="37" t="str">
        <f>IFERROR(('FB Laser'!G44*'FB Laser'!B44),"")</f>
        <v/>
      </c>
      <c r="S43" s="37">
        <f>IFERROR('FB Laser'!H44*'FB Laser'!B44,"")</f>
        <v>0</v>
      </c>
      <c r="U43" s="37">
        <f>IFERROR(((((('Tube Laser'!D43)*'Tube Laser'!B43)/60)/60)*188.17)+(AE43*'Tube Laser'!B43),"")</f>
        <v>0</v>
      </c>
      <c r="V43" s="37">
        <f ca="1">IFERROR(('Tube Laser'!N43*'Tube Laser'!B43)+(AE43*'Tube Laser'!B43)+(AF43*'Tube Laser'!B43)+(AG43*'Tube Laser'!B43)+('FB Data'!AH43*'Tube Laser'!B43),"")</f>
        <v>0</v>
      </c>
      <c r="X43" s="41">
        <f>IFERROR(('Tube Laser'!D43*'Tube Laser'!B43)/60/60,"")</f>
        <v>0</v>
      </c>
      <c r="AE43" t="str">
        <f>IF('Tube Laser'!E43="One Side",'Tube Laser'!J43*0.2,IF('Tube Laser'!E43="Both Sides",'Tube Laser'!J43*0.4,"0"))</f>
        <v>0</v>
      </c>
      <c r="AF43">
        <f>IF('Tube Laser'!F43="Yes",'Tube Laser'!J43*0.1,0)</f>
        <v>0</v>
      </c>
      <c r="AG43">
        <f>IF('Tube Laser'!G43&gt;0,'Tube Laser'!J43*0.2,0)</f>
        <v>0</v>
      </c>
      <c r="AH43">
        <f>IF('Tube Laser'!H43="Yes",'Tube Laser'!J43*0.1,0)</f>
        <v>0</v>
      </c>
      <c r="AJ43">
        <f>IFERROR(VLOOKUP('FB Laser'!N44,'FB Data'!A36:E184,3,FALSE)*'FB Laser'!M44,0)</f>
        <v>0</v>
      </c>
      <c r="AK43" t="str">
        <f t="shared" si="0"/>
        <v/>
      </c>
      <c r="AL43" s="33">
        <f>IF(AK43="partial",'FB Laser'!E44/60*35*0.5,IF(AK43="full-time",'FB Laser'!E44/60*35,0))</f>
        <v>0</v>
      </c>
      <c r="AM43" s="33">
        <f>ROUND(IFERROR(AL43/'FB Laser'!B44,0),2)</f>
        <v>0</v>
      </c>
      <c r="AO43">
        <f>IFERROR(VLOOKUP('Tube Laser'!P43,'TL Data'!A36:E1261,3,FALSE)*'Tube Laser'!O43,0)</f>
        <v>0</v>
      </c>
      <c r="AP43" t="str">
        <f t="shared" si="1"/>
        <v/>
      </c>
      <c r="AQ43" s="33">
        <f>IF(AP43="partial",'Tube Laser'!D43/60/60*35*'Tube Laser'!B43*0.5,IF(AP43="full-time",'Tube Laser'!D43/60/60*35*'Tube Laser'!B43,0))</f>
        <v>0</v>
      </c>
      <c r="AR43" s="33">
        <f>ROUND(IFERROR(AQ43/'Tube Laser'!B43,0),2)</f>
        <v>0</v>
      </c>
      <c r="AT43" s="33" t="str">
        <f ca="1">IFERROR('FB Laser'!J44*'FB Laser'!B44,"")</f>
        <v/>
      </c>
      <c r="AU43" s="33" t="str">
        <f ca="1">IFERROR('Tube Laser'!L43*'Tube Laser'!B43,"")</f>
        <v/>
      </c>
    </row>
    <row r="44" spans="1:47">
      <c r="A44" s="10" t="s">
        <v>105</v>
      </c>
      <c r="B44" s="10" t="s">
        <v>106</v>
      </c>
      <c r="C44" s="11">
        <v>5.625</v>
      </c>
      <c r="D44" s="10" t="s">
        <v>22</v>
      </c>
      <c r="E44" s="9">
        <v>1.75</v>
      </c>
      <c r="K44" t="str">
        <f t="array" aca="1" ref="K44" ca="1">INDIRECT(TEXT(MIN(IF(($L$9:$M$100&lt;&gt;"")*(COUNTIF($K$8:K43,$L$9:$M$100)=0),ROW($9:$100)*100+COLUMN($L:$M),7^8)),"R0C00"),)&amp;""</f>
        <v/>
      </c>
      <c r="L44" t="str">
        <f>IF('FB Laser'!A45=0,"",'FB Laser'!A45)</f>
        <v/>
      </c>
      <c r="M44" t="str">
        <f>IF('Tube Laser'!A44=0,"",'Tube Laser'!A44)</f>
        <v/>
      </c>
      <c r="O44" t="str">
        <f t="array" aca="1" ref="O44" ca="1">INDIRECT(TEXT(MIN(IF(($P$9:$Q$100&lt;&gt;"")*(COUNTIF($O$8:O43,$P$9:$Q$100)=0),ROW($9:$100)*100+COLUMN($P:$Q),7^8)),"R0C00"),)&amp;""</f>
        <v/>
      </c>
      <c r="P44" t="str">
        <f>IF('FB Laser'!F45="Yes",'FB Laser'!A45,"")</f>
        <v/>
      </c>
      <c r="Q44" t="str">
        <f>IF('Tube Laser'!I44="Yes",'Tube Laser'!A44,"")</f>
        <v/>
      </c>
      <c r="R44" s="37" t="str">
        <f>IFERROR(('FB Laser'!G45*'FB Laser'!B45),"")</f>
        <v/>
      </c>
      <c r="S44" s="37">
        <f>IFERROR('FB Laser'!H45*'FB Laser'!B45,"")</f>
        <v>0</v>
      </c>
      <c r="U44" s="37">
        <f>IFERROR(((((('Tube Laser'!D44)*'Tube Laser'!B44)/60)/60)*188.17)+(AE44*'Tube Laser'!B44),"")</f>
        <v>0</v>
      </c>
      <c r="V44" s="37">
        <f ca="1">IFERROR(('Tube Laser'!N44*'Tube Laser'!B44)+(AE44*'Tube Laser'!B44)+(AF44*'Tube Laser'!B44)+(AG44*'Tube Laser'!B44)+('FB Data'!AH44*'Tube Laser'!B44),"")</f>
        <v>0</v>
      </c>
      <c r="X44" s="41">
        <f>IFERROR(('Tube Laser'!D44*'Tube Laser'!B44)/60/60,"")</f>
        <v>0</v>
      </c>
      <c r="AE44" t="str">
        <f>IF('Tube Laser'!E44="One Side",'Tube Laser'!J44*0.2,IF('Tube Laser'!E44="Both Sides",'Tube Laser'!J44*0.4,"0"))</f>
        <v>0</v>
      </c>
      <c r="AF44">
        <f>IF('Tube Laser'!F44="Yes",'Tube Laser'!J44*0.1,0)</f>
        <v>0</v>
      </c>
      <c r="AG44">
        <f>IF('Tube Laser'!G44&gt;0,'Tube Laser'!J44*0.2,0)</f>
        <v>0</v>
      </c>
      <c r="AH44">
        <f>IF('Tube Laser'!H44="Yes",'Tube Laser'!J44*0.1,0)</f>
        <v>0</v>
      </c>
      <c r="AJ44">
        <f>IFERROR(VLOOKUP('FB Laser'!N45,'FB Data'!A37:E185,3,FALSE)*'FB Laser'!M45,0)</f>
        <v>0</v>
      </c>
      <c r="AK44" t="str">
        <f t="shared" si="0"/>
        <v/>
      </c>
      <c r="AL44" s="33">
        <f>IF(AK44="partial",'FB Laser'!E45/60*35*0.5,IF(AK44="full-time",'FB Laser'!E45/60*35,0))</f>
        <v>0</v>
      </c>
      <c r="AM44" s="33">
        <f>ROUND(IFERROR(AL44/'FB Laser'!B45,0),2)</f>
        <v>0</v>
      </c>
      <c r="AO44">
        <f>IFERROR(VLOOKUP('Tube Laser'!P44,'TL Data'!A37:E1262,3,FALSE)*'Tube Laser'!O44,0)</f>
        <v>0</v>
      </c>
      <c r="AP44" t="str">
        <f t="shared" si="1"/>
        <v/>
      </c>
      <c r="AQ44" s="33">
        <f>IF(AP44="partial",'Tube Laser'!D44/60/60*35*'Tube Laser'!B44*0.5,IF(AP44="full-time",'Tube Laser'!D44/60/60*35*'Tube Laser'!B44,0))</f>
        <v>0</v>
      </c>
      <c r="AR44" s="33">
        <f>ROUND(IFERROR(AQ44/'Tube Laser'!B44,0),2)</f>
        <v>0</v>
      </c>
      <c r="AT44" s="33" t="str">
        <f ca="1">IFERROR('FB Laser'!J45*'FB Laser'!B45,"")</f>
        <v/>
      </c>
      <c r="AU44" s="33" t="str">
        <f ca="1">IFERROR('Tube Laser'!L44*'Tube Laser'!B44,"")</f>
        <v/>
      </c>
    </row>
    <row r="45" spans="1:47">
      <c r="A45" s="10" t="s">
        <v>107</v>
      </c>
      <c r="B45" s="10" t="s">
        <v>108</v>
      </c>
      <c r="C45" s="11">
        <v>5</v>
      </c>
      <c r="D45" s="10" t="s">
        <v>22</v>
      </c>
      <c r="E45" s="9">
        <v>1.75</v>
      </c>
      <c r="K45" t="str">
        <f t="array" aca="1" ref="K45" ca="1">INDIRECT(TEXT(MIN(IF(($L$9:$M$100&lt;&gt;"")*(COUNTIF($K$8:K44,$L$9:$M$100)=0),ROW($9:$100)*100+COLUMN($L:$M),7^8)),"R0C00"),)&amp;""</f>
        <v/>
      </c>
      <c r="L45" t="str">
        <f>IF('FB Laser'!A46=0,"",'FB Laser'!A46)</f>
        <v/>
      </c>
      <c r="M45" t="str">
        <f>IF('Tube Laser'!A45=0,"",'Tube Laser'!A45)</f>
        <v/>
      </c>
      <c r="O45" t="str">
        <f t="array" aca="1" ref="O45" ca="1">INDIRECT(TEXT(MIN(IF(($P$9:$Q$100&lt;&gt;"")*(COUNTIF($O$8:O44,$P$9:$Q$100)=0),ROW($9:$100)*100+COLUMN($P:$Q),7^8)),"R0C00"),)&amp;""</f>
        <v/>
      </c>
      <c r="P45" t="str">
        <f>IF('FB Laser'!F46="Yes",'FB Laser'!A46,"")</f>
        <v/>
      </c>
      <c r="Q45" t="str">
        <f>IF('Tube Laser'!I45="Yes",'Tube Laser'!A45,"")</f>
        <v/>
      </c>
      <c r="R45" s="37" t="str">
        <f>IFERROR(('FB Laser'!G46*'FB Laser'!B46),"")</f>
        <v/>
      </c>
      <c r="S45" s="37">
        <f>IFERROR('FB Laser'!H46*'FB Laser'!B46,"")</f>
        <v>0</v>
      </c>
      <c r="U45" s="37">
        <f>IFERROR(((((('Tube Laser'!D45)*'Tube Laser'!B45)/60)/60)*188.17)+(AE45*'Tube Laser'!B45),"")</f>
        <v>0</v>
      </c>
      <c r="V45" s="37">
        <f ca="1">IFERROR(('Tube Laser'!N45*'Tube Laser'!B45)+(AE45*'Tube Laser'!B45)+(AF45*'Tube Laser'!B45)+(AG45*'Tube Laser'!B45)+('FB Data'!AH45*'Tube Laser'!B45),"")</f>
        <v>0</v>
      </c>
      <c r="X45" s="41">
        <f>IFERROR(('Tube Laser'!D45*'Tube Laser'!B45)/60/60,"")</f>
        <v>0</v>
      </c>
      <c r="AE45" t="str">
        <f>IF('Tube Laser'!E45="One Side",'Tube Laser'!J45*0.2,IF('Tube Laser'!E45="Both Sides",'Tube Laser'!J45*0.4,"0"))</f>
        <v>0</v>
      </c>
      <c r="AF45">
        <f>IF('Tube Laser'!F45="Yes",'Tube Laser'!J45*0.1,0)</f>
        <v>0</v>
      </c>
      <c r="AG45">
        <f>IF('Tube Laser'!G45&gt;0,'Tube Laser'!J45*0.2,0)</f>
        <v>0</v>
      </c>
      <c r="AH45">
        <f>IF('Tube Laser'!H45="Yes",'Tube Laser'!J45*0.1,0)</f>
        <v>0</v>
      </c>
      <c r="AJ45">
        <f>IFERROR(VLOOKUP('FB Laser'!N46,'FB Data'!A38:E186,3,FALSE)*'FB Laser'!M46,0)</f>
        <v>0</v>
      </c>
      <c r="AK45" t="str">
        <f t="shared" si="0"/>
        <v/>
      </c>
      <c r="AL45" s="33">
        <f>IF(AK45="partial",'FB Laser'!E46/60*35*0.5,IF(AK45="full-time",'FB Laser'!E46/60*35,0))</f>
        <v>0</v>
      </c>
      <c r="AM45" s="33">
        <f>ROUND(IFERROR(AL45/'FB Laser'!B46,0),2)</f>
        <v>0</v>
      </c>
      <c r="AO45">
        <f>IFERROR(VLOOKUP('Tube Laser'!P45,'TL Data'!A38:E1263,3,FALSE)*'Tube Laser'!O45,0)</f>
        <v>0</v>
      </c>
      <c r="AP45" t="str">
        <f t="shared" si="1"/>
        <v/>
      </c>
      <c r="AQ45" s="33">
        <f>IF(AP45="partial",'Tube Laser'!D45/60/60*35*'Tube Laser'!B45*0.5,IF(AP45="full-time",'Tube Laser'!D45/60/60*35*'Tube Laser'!B45,0))</f>
        <v>0</v>
      </c>
      <c r="AR45" s="33">
        <f>ROUND(IFERROR(AQ45/'Tube Laser'!B45,0),2)</f>
        <v>0</v>
      </c>
      <c r="AT45" s="33" t="str">
        <f ca="1">IFERROR('FB Laser'!J46*'FB Laser'!B46,"")</f>
        <v/>
      </c>
      <c r="AU45" s="33" t="str">
        <f ca="1">IFERROR('Tube Laser'!L45*'Tube Laser'!B45,"")</f>
        <v/>
      </c>
    </row>
    <row r="46" spans="1:47">
      <c r="A46" s="10" t="s">
        <v>109</v>
      </c>
      <c r="B46" s="10" t="s">
        <v>110</v>
      </c>
      <c r="C46" s="11">
        <v>4.375</v>
      </c>
      <c r="D46" s="10" t="s">
        <v>22</v>
      </c>
      <c r="E46" s="9">
        <v>1.75</v>
      </c>
      <c r="K46" t="str">
        <f t="array" aca="1" ref="K46" ca="1">INDIRECT(TEXT(MIN(IF(($L$9:$M$100&lt;&gt;"")*(COUNTIF($K$8:K45,$L$9:$M$100)=0),ROW($9:$100)*100+COLUMN($L:$M),7^8)),"R0C00"),)&amp;""</f>
        <v/>
      </c>
      <c r="L46" t="str">
        <f>IF('FB Laser'!A47=0,"",'FB Laser'!A47)</f>
        <v/>
      </c>
      <c r="M46" t="str">
        <f>IF('Tube Laser'!A46=0,"",'Tube Laser'!A46)</f>
        <v/>
      </c>
      <c r="O46" t="str">
        <f t="array" aca="1" ref="O46" ca="1">INDIRECT(TEXT(MIN(IF(($P$9:$Q$100&lt;&gt;"")*(COUNTIF($O$8:O45,$P$9:$Q$100)=0),ROW($9:$100)*100+COLUMN($P:$Q),7^8)),"R0C00"),)&amp;""</f>
        <v/>
      </c>
      <c r="P46" t="str">
        <f>IF('FB Laser'!F47="Yes",'FB Laser'!A47,"")</f>
        <v/>
      </c>
      <c r="Q46" t="str">
        <f>IF('Tube Laser'!I46="Yes",'Tube Laser'!A46,"")</f>
        <v/>
      </c>
      <c r="R46" s="37" t="str">
        <f>IFERROR(('FB Laser'!G47*'FB Laser'!B47),"")</f>
        <v/>
      </c>
      <c r="S46" s="37">
        <f>IFERROR('FB Laser'!H47*'FB Laser'!B47,"")</f>
        <v>0</v>
      </c>
      <c r="U46" s="37">
        <f>IFERROR(((((('Tube Laser'!D46)*'Tube Laser'!B46)/60)/60)*188.17)+(AE46*'Tube Laser'!B46),"")</f>
        <v>0</v>
      </c>
      <c r="V46" s="37">
        <f ca="1">IFERROR(('Tube Laser'!N46*'Tube Laser'!B46)+(AE46*'Tube Laser'!B46)+(AF46*'Tube Laser'!B46)+(AG46*'Tube Laser'!B46)+('FB Data'!AH46*'Tube Laser'!B46),"")</f>
        <v>0</v>
      </c>
      <c r="X46" s="41">
        <f>IFERROR(('Tube Laser'!D46*'Tube Laser'!B46)/60/60,"")</f>
        <v>0</v>
      </c>
      <c r="AE46" t="str">
        <f>IF('Tube Laser'!E46="One Side",'Tube Laser'!J46*0.2,IF('Tube Laser'!E46="Both Sides",'Tube Laser'!J46*0.4,"0"))</f>
        <v>0</v>
      </c>
      <c r="AF46">
        <f>IF('Tube Laser'!F46="Yes",'Tube Laser'!J46*0.1,0)</f>
        <v>0</v>
      </c>
      <c r="AG46">
        <f>IF('Tube Laser'!G46&gt;0,'Tube Laser'!J46*0.2,0)</f>
        <v>0</v>
      </c>
      <c r="AH46">
        <f>IF('Tube Laser'!H46="Yes",'Tube Laser'!J46*0.1,0)</f>
        <v>0</v>
      </c>
      <c r="AJ46">
        <f>IFERROR(VLOOKUP('FB Laser'!N47,'FB Data'!A39:E187,3,FALSE)*'FB Laser'!M47,0)</f>
        <v>0</v>
      </c>
      <c r="AK46" t="str">
        <f t="shared" si="0"/>
        <v/>
      </c>
      <c r="AL46" s="33">
        <f>IF(AK46="partial",'FB Laser'!E47/60*35*0.5,IF(AK46="full-time",'FB Laser'!E47/60*35,0))</f>
        <v>0</v>
      </c>
      <c r="AM46" s="33">
        <f>ROUND(IFERROR(AL46/'FB Laser'!B47,0),2)</f>
        <v>0</v>
      </c>
      <c r="AO46">
        <f>IFERROR(VLOOKUP('Tube Laser'!P46,'TL Data'!A39:E1264,3,FALSE)*'Tube Laser'!O46,0)</f>
        <v>0</v>
      </c>
      <c r="AP46" t="str">
        <f t="shared" si="1"/>
        <v/>
      </c>
      <c r="AQ46" s="33">
        <f>IF(AP46="partial",'Tube Laser'!D46/60/60*35*'Tube Laser'!B46*0.5,IF(AP46="full-time",'Tube Laser'!D46/60/60*35*'Tube Laser'!B46,0))</f>
        <v>0</v>
      </c>
      <c r="AR46" s="33">
        <f>ROUND(IFERROR(AQ46/'Tube Laser'!B46,0),2)</f>
        <v>0</v>
      </c>
      <c r="AT46" s="33" t="str">
        <f ca="1">IFERROR('FB Laser'!J47*'FB Laser'!B47,"")</f>
        <v/>
      </c>
      <c r="AU46" s="33" t="str">
        <f ca="1">IFERROR('Tube Laser'!L46*'Tube Laser'!B46,"")</f>
        <v/>
      </c>
    </row>
    <row r="47" spans="1:47">
      <c r="A47" s="10" t="s">
        <v>111</v>
      </c>
      <c r="B47" s="10" t="s">
        <v>112</v>
      </c>
      <c r="C47" s="11">
        <v>3.125</v>
      </c>
      <c r="D47" s="10" t="s">
        <v>22</v>
      </c>
      <c r="E47" s="9">
        <v>1.75</v>
      </c>
      <c r="K47" t="str">
        <f t="array" aca="1" ref="K47" ca="1">INDIRECT(TEXT(MIN(IF(($L$9:$M$100&lt;&gt;"")*(COUNTIF($K$8:K46,$L$9:$M$100)=0),ROW($9:$100)*100+COLUMN($L:$M),7^8)),"R0C00"),)&amp;""</f>
        <v/>
      </c>
      <c r="L47" t="str">
        <f>IF('FB Laser'!A48=0,"",'FB Laser'!A48)</f>
        <v/>
      </c>
      <c r="M47" t="str">
        <f>IF('Tube Laser'!A47=0,"",'Tube Laser'!A47)</f>
        <v/>
      </c>
      <c r="O47" t="str">
        <f t="array" aca="1" ref="O47" ca="1">INDIRECT(TEXT(MIN(IF(($P$9:$Q$100&lt;&gt;"")*(COUNTIF($O$8:O46,$P$9:$Q$100)=0),ROW($9:$100)*100+COLUMN($P:$Q),7^8)),"R0C00"),)&amp;""</f>
        <v/>
      </c>
      <c r="P47" t="str">
        <f>IF('FB Laser'!F48="Yes",'FB Laser'!A48,"")</f>
        <v/>
      </c>
      <c r="Q47" t="str">
        <f>IF('Tube Laser'!I47="Yes",'Tube Laser'!A47,"")</f>
        <v/>
      </c>
      <c r="R47" s="37" t="str">
        <f>IFERROR(('FB Laser'!G48*'FB Laser'!B48),"")</f>
        <v/>
      </c>
      <c r="S47" s="37">
        <f>IFERROR('FB Laser'!H48*'FB Laser'!B48,"")</f>
        <v>0</v>
      </c>
      <c r="U47" s="37">
        <f>IFERROR(((((('Tube Laser'!D47)*'Tube Laser'!B47)/60)/60)*188.17)+(AE47*'Tube Laser'!B47),"")</f>
        <v>0</v>
      </c>
      <c r="V47" s="37">
        <f ca="1">IFERROR(('Tube Laser'!N47*'Tube Laser'!B47)+(AE47*'Tube Laser'!B47)+(AF47*'Tube Laser'!B47)+(AG47*'Tube Laser'!B47)+('FB Data'!AH47*'Tube Laser'!B47),"")</f>
        <v>0</v>
      </c>
      <c r="X47" s="41">
        <f>IFERROR(('Tube Laser'!D47*'Tube Laser'!B47)/60/60,"")</f>
        <v>0</v>
      </c>
      <c r="AE47" t="str">
        <f>IF('Tube Laser'!E47="One Side",'Tube Laser'!J47*0.2,IF('Tube Laser'!E47="Both Sides",'Tube Laser'!J47*0.4,"0"))</f>
        <v>0</v>
      </c>
      <c r="AF47">
        <f>IF('Tube Laser'!F47="Yes",'Tube Laser'!J47*0.1,0)</f>
        <v>0</v>
      </c>
      <c r="AG47">
        <f>IF('Tube Laser'!G47&gt;0,'Tube Laser'!J47*0.2,0)</f>
        <v>0</v>
      </c>
      <c r="AH47">
        <f>IF('Tube Laser'!H47="Yes",'Tube Laser'!J47*0.1,0)</f>
        <v>0</v>
      </c>
      <c r="AJ47">
        <f>IFERROR(VLOOKUP('FB Laser'!N48,'FB Data'!A40:E188,3,FALSE)*'FB Laser'!M48,0)</f>
        <v>0</v>
      </c>
      <c r="AK47" t="str">
        <f t="shared" si="0"/>
        <v/>
      </c>
      <c r="AL47" s="33">
        <f>IF(AK47="partial",'FB Laser'!E48/60*35*0.5,IF(AK47="full-time",'FB Laser'!E48/60*35,0))</f>
        <v>0</v>
      </c>
      <c r="AM47" s="33">
        <f>ROUND(IFERROR(AL47/'FB Laser'!B48,0),2)</f>
        <v>0</v>
      </c>
      <c r="AO47">
        <f>IFERROR(VLOOKUP('Tube Laser'!P47,'TL Data'!A40:E1265,3,FALSE)*'Tube Laser'!O47,0)</f>
        <v>0</v>
      </c>
      <c r="AP47" t="str">
        <f t="shared" si="1"/>
        <v/>
      </c>
      <c r="AQ47" s="33">
        <f>IF(AP47="partial",'Tube Laser'!D47/60/60*35*'Tube Laser'!B47*0.5,IF(AP47="full-time",'Tube Laser'!D47/60/60*35*'Tube Laser'!B47,0))</f>
        <v>0</v>
      </c>
      <c r="AR47" s="33">
        <f>ROUND(IFERROR(AQ47/'Tube Laser'!B47,0),2)</f>
        <v>0</v>
      </c>
      <c r="AT47" s="33" t="str">
        <f ca="1">IFERROR('FB Laser'!J48*'FB Laser'!B48,"")</f>
        <v/>
      </c>
      <c r="AU47" s="33" t="str">
        <f ca="1">IFERROR('Tube Laser'!L47*'Tube Laser'!B47,"")</f>
        <v/>
      </c>
    </row>
    <row r="48" spans="1:47">
      <c r="A48" s="10" t="s">
        <v>113</v>
      </c>
      <c r="B48" s="10" t="s">
        <v>114</v>
      </c>
      <c r="C48" s="11">
        <v>2.5</v>
      </c>
      <c r="D48" s="10" t="s">
        <v>22</v>
      </c>
      <c r="E48" s="9">
        <v>1.75</v>
      </c>
      <c r="K48" t="str">
        <f t="array" aca="1" ref="K48" ca="1">INDIRECT(TEXT(MIN(IF(($L$9:$M$100&lt;&gt;"")*(COUNTIF($K$8:K47,$L$9:$M$100)=0),ROW($9:$100)*100+COLUMN($L:$M),7^8)),"R0C00"),)&amp;""</f>
        <v/>
      </c>
      <c r="L48" t="str">
        <f>IF('FB Laser'!A49=0,"",'FB Laser'!A49)</f>
        <v/>
      </c>
      <c r="M48" t="str">
        <f>IF('Tube Laser'!A48=0,"",'Tube Laser'!A48)</f>
        <v/>
      </c>
      <c r="O48" t="str">
        <f t="array" aca="1" ref="O48" ca="1">INDIRECT(TEXT(MIN(IF(($P$9:$Q$100&lt;&gt;"")*(COUNTIF($O$8:O47,$P$9:$Q$100)=0),ROW($9:$100)*100+COLUMN($P:$Q),7^8)),"R0C00"),)&amp;""</f>
        <v/>
      </c>
      <c r="P48" t="str">
        <f>IF('FB Laser'!F49="Yes",'FB Laser'!A49,"")</f>
        <v/>
      </c>
      <c r="Q48" t="str">
        <f>IF('Tube Laser'!I48="Yes",'Tube Laser'!A48,"")</f>
        <v/>
      </c>
      <c r="R48" s="37" t="str">
        <f>IFERROR(('FB Laser'!G49*'FB Laser'!B49),"")</f>
        <v/>
      </c>
      <c r="S48" s="37">
        <f>IFERROR('FB Laser'!H49*'FB Laser'!B49,"")</f>
        <v>0</v>
      </c>
      <c r="U48" s="37">
        <f>IFERROR(((((('Tube Laser'!D48)*'Tube Laser'!B48)/60)/60)*188.17)+(AE48*'Tube Laser'!B48),"")</f>
        <v>0</v>
      </c>
      <c r="V48" s="37">
        <f ca="1">IFERROR(('Tube Laser'!N48*'Tube Laser'!B48)+(AE48*'Tube Laser'!B48)+(AF48*'Tube Laser'!B48)+(AG48*'Tube Laser'!B48)+('FB Data'!AH48*'Tube Laser'!B48),"")</f>
        <v>0</v>
      </c>
      <c r="X48" s="41">
        <f>IFERROR(('Tube Laser'!D48*'Tube Laser'!B48)/60/60,"")</f>
        <v>0</v>
      </c>
      <c r="AE48" t="str">
        <f>IF('Tube Laser'!E48="One Side",'Tube Laser'!J48*0.2,IF('Tube Laser'!E48="Both Sides",'Tube Laser'!J48*0.4,"0"))</f>
        <v>0</v>
      </c>
      <c r="AF48">
        <f>IF('Tube Laser'!F48="Yes",'Tube Laser'!J48*0.1,0)</f>
        <v>0</v>
      </c>
      <c r="AG48">
        <f>IF('Tube Laser'!G48&gt;0,'Tube Laser'!J48*0.2,0)</f>
        <v>0</v>
      </c>
      <c r="AH48">
        <f>IF('Tube Laser'!H48="Yes",'Tube Laser'!J48*0.1,0)</f>
        <v>0</v>
      </c>
      <c r="AJ48">
        <f>IFERROR(VLOOKUP('FB Laser'!N49,'FB Data'!A41:E189,3,FALSE)*'FB Laser'!M49,0)</f>
        <v>0</v>
      </c>
      <c r="AK48" t="str">
        <f t="shared" si="0"/>
        <v/>
      </c>
      <c r="AL48" s="33">
        <f>IF(AK48="partial",'FB Laser'!E49/60*35*0.5,IF(AK48="full-time",'FB Laser'!E49/60*35,0))</f>
        <v>0</v>
      </c>
      <c r="AM48" s="33">
        <f>ROUND(IFERROR(AL48/'FB Laser'!B49,0),2)</f>
        <v>0</v>
      </c>
      <c r="AO48">
        <f>IFERROR(VLOOKUP('Tube Laser'!P48,'TL Data'!A41:E1266,3,FALSE)*'Tube Laser'!O48,0)</f>
        <v>0</v>
      </c>
      <c r="AP48" t="str">
        <f t="shared" si="1"/>
        <v/>
      </c>
      <c r="AQ48" s="33">
        <f>IF(AP48="partial",'Tube Laser'!D48/60/60*35*'Tube Laser'!B48*0.5,IF(AP48="full-time",'Tube Laser'!D48/60/60*35*'Tube Laser'!B48,0))</f>
        <v>0</v>
      </c>
      <c r="AR48" s="33">
        <f>ROUND(IFERROR(AQ48/'Tube Laser'!B48,0),2)</f>
        <v>0</v>
      </c>
      <c r="AT48" s="33" t="str">
        <f ca="1">IFERROR('FB Laser'!J49*'FB Laser'!B49,"")</f>
        <v/>
      </c>
      <c r="AU48" s="33" t="str">
        <f ca="1">IFERROR('Tube Laser'!L48*'Tube Laser'!B48,"")</f>
        <v/>
      </c>
    </row>
    <row r="49" spans="1:47">
      <c r="A49" s="10" t="s">
        <v>115</v>
      </c>
      <c r="B49" s="10" t="s">
        <v>116</v>
      </c>
      <c r="C49" s="11">
        <v>2</v>
      </c>
      <c r="D49" s="10" t="s">
        <v>22</v>
      </c>
      <c r="E49" s="9">
        <v>1.75</v>
      </c>
      <c r="K49" t="str">
        <f t="array" aca="1" ref="K49" ca="1">INDIRECT(TEXT(MIN(IF(($L$9:$M$100&lt;&gt;"")*(COUNTIF($K$8:K48,$L$9:$M$100)=0),ROW($9:$100)*100+COLUMN($L:$M),7^8)),"R0C00"),)&amp;""</f>
        <v/>
      </c>
      <c r="L49" t="str">
        <f>IF('FB Laser'!A50=0,"",'FB Laser'!A50)</f>
        <v/>
      </c>
      <c r="M49" t="str">
        <f>IF('Tube Laser'!A49=0,"",'Tube Laser'!A49)</f>
        <v/>
      </c>
      <c r="O49" t="str">
        <f t="array" aca="1" ref="O49" ca="1">INDIRECT(TEXT(MIN(IF(($P$9:$Q$100&lt;&gt;"")*(COUNTIF($O$8:O48,$P$9:$Q$100)=0),ROW($9:$100)*100+COLUMN($P:$Q),7^8)),"R0C00"),)&amp;""</f>
        <v/>
      </c>
      <c r="P49" t="str">
        <f>IF('FB Laser'!F50="Yes",'FB Laser'!A50,"")</f>
        <v/>
      </c>
      <c r="Q49" t="str">
        <f>IF('Tube Laser'!I49="Yes",'Tube Laser'!A49,"")</f>
        <v/>
      </c>
      <c r="R49" s="37" t="str">
        <f>IFERROR(('FB Laser'!G50*'FB Laser'!B50),"")</f>
        <v/>
      </c>
      <c r="S49" s="37">
        <f>IFERROR('FB Laser'!H50*'FB Laser'!B50,"")</f>
        <v>0</v>
      </c>
      <c r="U49" s="37">
        <f>IFERROR(((((('Tube Laser'!D49)*'Tube Laser'!B49)/60)/60)*188.17)+(AE49*'Tube Laser'!B49),"")</f>
        <v>0</v>
      </c>
      <c r="V49" s="37">
        <f ca="1">IFERROR(('Tube Laser'!N49*'Tube Laser'!B49)+(AE49*'Tube Laser'!B49)+(AF49*'Tube Laser'!B49)+(AG49*'Tube Laser'!B49)+('FB Data'!AH49*'Tube Laser'!B49),"")</f>
        <v>0</v>
      </c>
      <c r="X49" s="41">
        <f>IFERROR(('Tube Laser'!D49*'Tube Laser'!B49)/60/60,"")</f>
        <v>0</v>
      </c>
      <c r="AE49" t="str">
        <f>IF('Tube Laser'!E49="One Side",'Tube Laser'!J49*0.2,IF('Tube Laser'!E49="Both Sides",'Tube Laser'!J49*0.4,"0"))</f>
        <v>0</v>
      </c>
      <c r="AF49">
        <f>IF('Tube Laser'!F49="Yes",'Tube Laser'!J49*0.1,0)</f>
        <v>0</v>
      </c>
      <c r="AG49">
        <f>IF('Tube Laser'!G49&gt;0,'Tube Laser'!J49*0.2,0)</f>
        <v>0</v>
      </c>
      <c r="AH49">
        <f>IF('Tube Laser'!H49="Yes",'Tube Laser'!J49*0.1,0)</f>
        <v>0</v>
      </c>
      <c r="AJ49">
        <f>IFERROR(VLOOKUP('FB Laser'!N50,'FB Data'!A42:E190,3,FALSE)*'FB Laser'!M50,0)</f>
        <v>0</v>
      </c>
      <c r="AK49" t="str">
        <f t="shared" si="0"/>
        <v/>
      </c>
      <c r="AL49" s="33">
        <f>IF(AK49="partial",'FB Laser'!E50/60*35*0.5,IF(AK49="full-time",'FB Laser'!E50/60*35,0))</f>
        <v>0</v>
      </c>
      <c r="AM49" s="33">
        <f>ROUND(IFERROR(AL49/'FB Laser'!B50,0),2)</f>
        <v>0</v>
      </c>
      <c r="AO49">
        <f>IFERROR(VLOOKUP('Tube Laser'!P49,'TL Data'!A42:E1267,3,FALSE)*'Tube Laser'!O49,0)</f>
        <v>0</v>
      </c>
      <c r="AP49" t="str">
        <f t="shared" si="1"/>
        <v/>
      </c>
      <c r="AQ49" s="33">
        <f>IF(AP49="partial",'Tube Laser'!D49/60/60*35*'Tube Laser'!B49*0.5,IF(AP49="full-time",'Tube Laser'!D49/60/60*35*'Tube Laser'!B49,0))</f>
        <v>0</v>
      </c>
      <c r="AR49" s="33">
        <f>ROUND(IFERROR(AQ49/'Tube Laser'!B49,0),2)</f>
        <v>0</v>
      </c>
      <c r="AT49" s="33" t="str">
        <f ca="1">IFERROR('FB Laser'!J50*'FB Laser'!B50,"")</f>
        <v/>
      </c>
      <c r="AU49" s="33" t="str">
        <f ca="1">IFERROR('Tube Laser'!L49*'Tube Laser'!B49,"")</f>
        <v/>
      </c>
    </row>
    <row r="50" spans="1:47">
      <c r="A50" s="10" t="s">
        <v>117</v>
      </c>
      <c r="B50" s="10" t="s">
        <v>118</v>
      </c>
      <c r="C50" s="11">
        <v>1.5</v>
      </c>
      <c r="D50" s="10" t="s">
        <v>22</v>
      </c>
      <c r="E50" s="9">
        <v>1.75</v>
      </c>
      <c r="K50" t="str">
        <f t="array" aca="1" ref="K50" ca="1">INDIRECT(TEXT(MIN(IF(($L$9:$M$100&lt;&gt;"")*(COUNTIF($K$8:K49,$L$9:$M$100)=0),ROW($9:$100)*100+COLUMN($L:$M),7^8)),"R0C00"),)&amp;""</f>
        <v/>
      </c>
      <c r="L50" t="str">
        <f>IF('FB Laser'!A51=0,"",'FB Laser'!A51)</f>
        <v/>
      </c>
      <c r="M50" t="str">
        <f>IF('Tube Laser'!A50=0,"",'Tube Laser'!A50)</f>
        <v/>
      </c>
      <c r="O50" t="str">
        <f t="array" aca="1" ref="O50" ca="1">INDIRECT(TEXT(MIN(IF(($P$9:$Q$100&lt;&gt;"")*(COUNTIF($O$8:O49,$P$9:$Q$100)=0),ROW($9:$100)*100+COLUMN($P:$Q),7^8)),"R0C00"),)&amp;""</f>
        <v/>
      </c>
      <c r="P50" t="str">
        <f>IF('FB Laser'!F51="Yes",'FB Laser'!A51,"")</f>
        <v/>
      </c>
      <c r="Q50" t="str">
        <f>IF('Tube Laser'!I50="Yes",'Tube Laser'!A50,"")</f>
        <v/>
      </c>
      <c r="R50" s="37" t="str">
        <f>IFERROR(('FB Laser'!G51*'FB Laser'!B51),"")</f>
        <v/>
      </c>
      <c r="S50" s="37">
        <f>IFERROR('FB Laser'!H51*'FB Laser'!B51,"")</f>
        <v>0</v>
      </c>
      <c r="U50" s="37">
        <f>IFERROR(((((('Tube Laser'!D50)*'Tube Laser'!B50)/60)/60)*188.17)+(AE50*'Tube Laser'!B50),"")</f>
        <v>0</v>
      </c>
      <c r="V50" s="37">
        <f ca="1">IFERROR(('Tube Laser'!N50*'Tube Laser'!B50)+(AE50*'Tube Laser'!B50)+(AF50*'Tube Laser'!B50)+(AG50*'Tube Laser'!B50)+('FB Data'!AH50*'Tube Laser'!B50),"")</f>
        <v>0</v>
      </c>
      <c r="X50" s="41">
        <f>IFERROR(('Tube Laser'!D50*'Tube Laser'!B50)/60/60,"")</f>
        <v>0</v>
      </c>
      <c r="AE50" t="str">
        <f>IF('Tube Laser'!E50="One Side",'Tube Laser'!J50*0.2,IF('Tube Laser'!E50="Both Sides",'Tube Laser'!J50*0.4,"0"))</f>
        <v>0</v>
      </c>
      <c r="AF50">
        <f>IF('Tube Laser'!F50="Yes",'Tube Laser'!J50*0.1,0)</f>
        <v>0</v>
      </c>
      <c r="AG50">
        <f>IF('Tube Laser'!G50&gt;0,'Tube Laser'!J50*0.2,0)</f>
        <v>0</v>
      </c>
      <c r="AH50">
        <f>IF('Tube Laser'!H50="Yes",'Tube Laser'!J50*0.1,0)</f>
        <v>0</v>
      </c>
      <c r="AJ50">
        <f>IFERROR(VLOOKUP('FB Laser'!N51,'FB Data'!A43:E191,3,FALSE)*'FB Laser'!M51,0)</f>
        <v>0</v>
      </c>
      <c r="AK50" t="str">
        <f t="shared" si="0"/>
        <v/>
      </c>
      <c r="AL50" s="33">
        <f>IF(AK50="partial",'FB Laser'!E51/60*35*0.5,IF(AK50="full-time",'FB Laser'!E51/60*35,0))</f>
        <v>0</v>
      </c>
      <c r="AM50" s="33">
        <f>ROUND(IFERROR(AL50/'FB Laser'!B51,0),2)</f>
        <v>0</v>
      </c>
      <c r="AO50">
        <f>IFERROR(VLOOKUP('Tube Laser'!P50,'TL Data'!A43:E1268,3,FALSE)*'Tube Laser'!O50,0)</f>
        <v>0</v>
      </c>
      <c r="AP50" t="str">
        <f t="shared" si="1"/>
        <v/>
      </c>
      <c r="AQ50" s="33">
        <f>IF(AP50="partial",'Tube Laser'!D50/60/60*35*'Tube Laser'!B50*0.5,IF(AP50="full-time",'Tube Laser'!D50/60/60*35*'Tube Laser'!B50,0))</f>
        <v>0</v>
      </c>
      <c r="AR50" s="33">
        <f>ROUND(IFERROR(AQ50/'Tube Laser'!B50,0),2)</f>
        <v>0</v>
      </c>
      <c r="AT50" s="33" t="str">
        <f ca="1">IFERROR('FB Laser'!J51*'FB Laser'!B51,"")</f>
        <v/>
      </c>
      <c r="AU50" s="33" t="str">
        <f ca="1">IFERROR('Tube Laser'!L50*'Tube Laser'!B50,"")</f>
        <v/>
      </c>
    </row>
    <row r="51" spans="1:47">
      <c r="A51" s="10" t="s">
        <v>119</v>
      </c>
      <c r="B51" s="10" t="s">
        <v>120</v>
      </c>
      <c r="C51" s="11">
        <v>1</v>
      </c>
      <c r="D51" s="10" t="s">
        <v>22</v>
      </c>
      <c r="E51" s="9">
        <v>1.75</v>
      </c>
      <c r="K51" t="str">
        <f t="array" aca="1" ref="K51" ca="1">INDIRECT(TEXT(MIN(IF(($L$9:$M$100&lt;&gt;"")*(COUNTIF($K$8:K50,$L$9:$M$100)=0),ROW($9:$100)*100+COLUMN($L:$M),7^8)),"R0C00"),)&amp;""</f>
        <v/>
      </c>
      <c r="L51" t="str">
        <f>IF('FB Laser'!A52=0,"",'FB Laser'!A52)</f>
        <v/>
      </c>
      <c r="M51" t="str">
        <f>IF('Tube Laser'!A51=0,"",'Tube Laser'!A51)</f>
        <v/>
      </c>
      <c r="O51" t="str">
        <f t="array" aca="1" ref="O51" ca="1">INDIRECT(TEXT(MIN(IF(($P$9:$Q$100&lt;&gt;"")*(COUNTIF($O$8:O50,$P$9:$Q$100)=0),ROW($9:$100)*100+COLUMN($P:$Q),7^8)),"R0C00"),)&amp;""</f>
        <v/>
      </c>
      <c r="P51" t="str">
        <f>IF('FB Laser'!F52="Yes",'FB Laser'!A52,"")</f>
        <v/>
      </c>
      <c r="Q51" t="str">
        <f>IF('Tube Laser'!I51="Yes",'Tube Laser'!A51,"")</f>
        <v/>
      </c>
      <c r="R51" s="37" t="str">
        <f>IFERROR(('FB Laser'!G52*'FB Laser'!B52),"")</f>
        <v/>
      </c>
      <c r="S51" s="37">
        <f>IFERROR('FB Laser'!H52*'FB Laser'!B52,"")</f>
        <v>0</v>
      </c>
      <c r="U51" s="37">
        <f>IFERROR(((((('Tube Laser'!D51)*'Tube Laser'!B51)/60)/60)*188.17)+(AE51*'Tube Laser'!B51),"")</f>
        <v>0</v>
      </c>
      <c r="V51" s="37">
        <f ca="1">IFERROR(('Tube Laser'!N51*'Tube Laser'!B51)+(AE51*'Tube Laser'!B51)+(AF51*'Tube Laser'!B51)+(AG51*'Tube Laser'!B51)+('FB Data'!AH51*'Tube Laser'!B51),"")</f>
        <v>0</v>
      </c>
      <c r="X51" s="41">
        <f>IFERROR(('Tube Laser'!D51*'Tube Laser'!B51)/60/60,"")</f>
        <v>0</v>
      </c>
      <c r="AE51" t="str">
        <f>IF('Tube Laser'!E51="One Side",'Tube Laser'!J51*0.2,IF('Tube Laser'!E51="Both Sides",'Tube Laser'!J51*0.4,"0"))</f>
        <v>0</v>
      </c>
      <c r="AF51">
        <f>IF('Tube Laser'!F51="Yes",'Tube Laser'!J51*0.1,0)</f>
        <v>0</v>
      </c>
      <c r="AG51">
        <f>IF('Tube Laser'!G51&gt;0,'Tube Laser'!J51*0.2,0)</f>
        <v>0</v>
      </c>
      <c r="AH51">
        <f>IF('Tube Laser'!H51="Yes",'Tube Laser'!J51*0.1,0)</f>
        <v>0</v>
      </c>
      <c r="AJ51">
        <f>IFERROR(VLOOKUP('FB Laser'!N52,'FB Data'!A44:E192,3,FALSE)*'FB Laser'!M52,0)</f>
        <v>0</v>
      </c>
      <c r="AK51" t="str">
        <f t="shared" si="0"/>
        <v/>
      </c>
      <c r="AL51" s="33">
        <f>IF(AK51="partial",'FB Laser'!E52/60*35*0.5,IF(AK51="full-time",'FB Laser'!E52/60*35,0))</f>
        <v>0</v>
      </c>
      <c r="AM51" s="33">
        <f>ROUND(IFERROR(AL51/'FB Laser'!B52,0),2)</f>
        <v>0</v>
      </c>
      <c r="AO51">
        <f>IFERROR(VLOOKUP('Tube Laser'!P51,'TL Data'!A44:E1269,3,FALSE)*'Tube Laser'!O51,0)</f>
        <v>0</v>
      </c>
      <c r="AP51" t="str">
        <f t="shared" si="1"/>
        <v/>
      </c>
      <c r="AQ51" s="33">
        <f>IF(AP51="partial",'Tube Laser'!D51/60/60*35*'Tube Laser'!B51*0.5,IF(AP51="full-time",'Tube Laser'!D51/60/60*35*'Tube Laser'!B51,0))</f>
        <v>0</v>
      </c>
      <c r="AR51" s="33">
        <f>ROUND(IFERROR(AQ51/'Tube Laser'!B51,0),2)</f>
        <v>0</v>
      </c>
      <c r="AT51" s="33" t="str">
        <f ca="1">IFERROR('FB Laser'!J52*'FB Laser'!B52,"")</f>
        <v/>
      </c>
      <c r="AU51" s="33" t="str">
        <f ca="1">IFERROR('Tube Laser'!L51*'Tube Laser'!B51,"")</f>
        <v/>
      </c>
    </row>
    <row r="52" spans="1:47">
      <c r="A52" s="10" t="s">
        <v>121</v>
      </c>
      <c r="B52" s="10" t="s">
        <v>2815</v>
      </c>
      <c r="C52" s="11">
        <v>6.16</v>
      </c>
      <c r="D52" s="10" t="s">
        <v>22</v>
      </c>
      <c r="E52" s="9">
        <v>1.25</v>
      </c>
      <c r="K52" t="str">
        <f t="array" aca="1" ref="K52" ca="1">INDIRECT(TEXT(MIN(IF(($L$9:$M$100&lt;&gt;"")*(COUNTIF($K$8:K51,$L$9:$M$100)=0),ROW($9:$100)*100+COLUMN($L:$M),7^8)),"R0C00"),)&amp;""</f>
        <v/>
      </c>
      <c r="L52" t="str">
        <f>IF('FB Laser'!A53=0,"",'FB Laser'!A53)</f>
        <v/>
      </c>
      <c r="M52" t="str">
        <f>IF('Tube Laser'!A52=0,"",'Tube Laser'!A52)</f>
        <v/>
      </c>
      <c r="O52" t="str">
        <f t="array" aca="1" ref="O52" ca="1">INDIRECT(TEXT(MIN(IF(($P$9:$Q$100&lt;&gt;"")*(COUNTIF($O$8:O51,$P$9:$Q$100)=0),ROW($9:$100)*100+COLUMN($P:$Q),7^8)),"R0C00"),)&amp;""</f>
        <v/>
      </c>
      <c r="P52" t="str">
        <f>IF('FB Laser'!F53="Yes",'FB Laser'!A53,"")</f>
        <v/>
      </c>
      <c r="Q52" t="str">
        <f>IF('Tube Laser'!I52="Yes",'Tube Laser'!A52,"")</f>
        <v/>
      </c>
      <c r="R52" s="37" t="str">
        <f>IFERROR(('FB Laser'!G53*'FB Laser'!B53),"")</f>
        <v/>
      </c>
      <c r="S52" s="37">
        <f>IFERROR('FB Laser'!H53*'FB Laser'!B53,"")</f>
        <v>0</v>
      </c>
      <c r="U52" s="37">
        <f>IFERROR(((((('Tube Laser'!D52)*'Tube Laser'!B52)/60)/60)*188.17)+(AE52*'Tube Laser'!B52),"")</f>
        <v>0</v>
      </c>
      <c r="V52" s="37">
        <f ca="1">IFERROR(('Tube Laser'!N52*'Tube Laser'!B52)+(AE52*'Tube Laser'!B52)+(AF52*'Tube Laser'!B52)+(AG52*'Tube Laser'!B52)+('FB Data'!AH52*'Tube Laser'!B52),"")</f>
        <v>0</v>
      </c>
      <c r="X52" s="41">
        <f>IFERROR(('Tube Laser'!D52*'Tube Laser'!B52)/60/60,"")</f>
        <v>0</v>
      </c>
      <c r="AE52" t="str">
        <f>IF('Tube Laser'!E52="One Side",'Tube Laser'!J52*0.2,IF('Tube Laser'!E52="Both Sides",'Tube Laser'!J52*0.4,"0"))</f>
        <v>0</v>
      </c>
      <c r="AF52">
        <f>IF('Tube Laser'!F52="Yes",'Tube Laser'!J52*0.1,0)</f>
        <v>0</v>
      </c>
      <c r="AG52">
        <f>IF('Tube Laser'!G52&gt;0,'Tube Laser'!J52*0.2,0)</f>
        <v>0</v>
      </c>
      <c r="AH52">
        <f>IF('Tube Laser'!H52="Yes",'Tube Laser'!J52*0.1,0)</f>
        <v>0</v>
      </c>
      <c r="AJ52">
        <f>IFERROR(VLOOKUP('FB Laser'!N53,'FB Data'!A45:E193,3,FALSE)*'FB Laser'!M53,0)</f>
        <v>0</v>
      </c>
      <c r="AK52" t="str">
        <f t="shared" si="0"/>
        <v/>
      </c>
      <c r="AL52" s="33">
        <f>IF(AK52="partial",'FB Laser'!E53/60*35*0.5,IF(AK52="full-time",'FB Laser'!E53/60*35,0))</f>
        <v>0</v>
      </c>
      <c r="AM52" s="33">
        <f>ROUND(IFERROR(AL52/'FB Laser'!B53,0),2)</f>
        <v>0</v>
      </c>
      <c r="AO52">
        <f>IFERROR(VLOOKUP('Tube Laser'!P52,'TL Data'!A45:E1270,3,FALSE)*'Tube Laser'!O52,0)</f>
        <v>0</v>
      </c>
      <c r="AP52" t="str">
        <f t="shared" si="1"/>
        <v/>
      </c>
      <c r="AQ52" s="33">
        <f>IF(AP52="partial",'Tube Laser'!D52/60/60*35*'Tube Laser'!B52*0.5,IF(AP52="full-time",'Tube Laser'!D52/60/60*35*'Tube Laser'!B52,0))</f>
        <v>0</v>
      </c>
      <c r="AR52" s="33">
        <f>ROUND(IFERROR(AQ52/'Tube Laser'!B52,0),2)</f>
        <v>0</v>
      </c>
      <c r="AT52" s="33" t="str">
        <f ca="1">IFERROR('FB Laser'!J53*'FB Laser'!B53,"")</f>
        <v/>
      </c>
      <c r="AU52" s="33" t="str">
        <f ca="1">IFERROR('Tube Laser'!L52*'Tube Laser'!B52,"")</f>
        <v/>
      </c>
    </row>
    <row r="53" spans="1:47">
      <c r="A53" s="10" t="s">
        <v>2789</v>
      </c>
      <c r="B53" s="10" t="s">
        <v>2790</v>
      </c>
      <c r="C53" s="11">
        <v>3.75</v>
      </c>
      <c r="D53" s="10" t="s">
        <v>22</v>
      </c>
      <c r="E53" s="9">
        <v>1.25</v>
      </c>
      <c r="K53" t="str">
        <f t="array" aca="1" ref="K53" ca="1">INDIRECT(TEXT(MIN(IF(($L$9:$M$100&lt;&gt;"")*(COUNTIF($K$8:K52,$L$9:$M$100)=0),ROW($9:$100)*100+COLUMN($L:$M),7^8)),"R0C00"),)&amp;""</f>
        <v/>
      </c>
      <c r="L53" t="str">
        <f>IF('FB Laser'!A54=0,"",'FB Laser'!A54)</f>
        <v/>
      </c>
      <c r="M53" t="str">
        <f>IF('Tube Laser'!A53=0,"",'Tube Laser'!A53)</f>
        <v/>
      </c>
      <c r="O53" t="str">
        <f t="array" aca="1" ref="O53" ca="1">INDIRECT(TEXT(MIN(IF(($P$9:$Q$100&lt;&gt;"")*(COUNTIF($O$8:O52,$P$9:$Q$100)=0),ROW($9:$100)*100+COLUMN($P:$Q),7^8)),"R0C00"),)&amp;""</f>
        <v/>
      </c>
      <c r="P53" t="str">
        <f>IF('FB Laser'!F54="Yes",'FB Laser'!A54,"")</f>
        <v/>
      </c>
      <c r="Q53" t="str">
        <f>IF('Tube Laser'!I53="Yes",'Tube Laser'!A53,"")</f>
        <v/>
      </c>
      <c r="R53" s="37" t="str">
        <f>IFERROR(('FB Laser'!G54*'FB Laser'!B54),"")</f>
        <v/>
      </c>
      <c r="S53" s="37">
        <f>IFERROR('FB Laser'!H54*'FB Laser'!B54,"")</f>
        <v>0</v>
      </c>
      <c r="U53" s="37">
        <f>IFERROR(((((('Tube Laser'!D53)*'Tube Laser'!B53)/60)/60)*188.17)+(AE53*'Tube Laser'!B53),"")</f>
        <v>0</v>
      </c>
      <c r="V53" s="37">
        <f ca="1">IFERROR(('Tube Laser'!N53*'Tube Laser'!B53)+(AE53*'Tube Laser'!B53)+(AF53*'Tube Laser'!B53)+(AG53*'Tube Laser'!B53)+('FB Data'!AH53*'Tube Laser'!B53),"")</f>
        <v>0</v>
      </c>
      <c r="X53" s="41">
        <f>IFERROR(('Tube Laser'!D53*'Tube Laser'!B53)/60/60,"")</f>
        <v>0</v>
      </c>
      <c r="AE53" t="str">
        <f>IF('Tube Laser'!E53="One Side",'Tube Laser'!J53*0.2,IF('Tube Laser'!E53="Both Sides",'Tube Laser'!J53*0.4,"0"))</f>
        <v>0</v>
      </c>
      <c r="AF53">
        <f>IF('Tube Laser'!F53="Yes",'Tube Laser'!J53*0.1,0)</f>
        <v>0</v>
      </c>
      <c r="AG53">
        <f>IF('Tube Laser'!G53&gt;0,'Tube Laser'!J53*0.2,0)</f>
        <v>0</v>
      </c>
      <c r="AH53">
        <f>IF('Tube Laser'!H53="Yes",'Tube Laser'!J53*0.1,0)</f>
        <v>0</v>
      </c>
      <c r="AJ53">
        <f>IFERROR(VLOOKUP('FB Laser'!N54,'FB Data'!A46:E194,3,FALSE)*'FB Laser'!M54,0)</f>
        <v>0</v>
      </c>
      <c r="AK53" t="str">
        <f t="shared" si="0"/>
        <v/>
      </c>
      <c r="AL53" s="33">
        <f>IF(AK53="partial",'FB Laser'!E54/60*35*0.5,IF(AK53="full-time",'FB Laser'!E54/60*35,0))</f>
        <v>0</v>
      </c>
      <c r="AM53" s="33">
        <f>ROUND(IFERROR(AL53/'FB Laser'!B54,0),2)</f>
        <v>0</v>
      </c>
      <c r="AO53">
        <f>IFERROR(VLOOKUP('Tube Laser'!P53,'TL Data'!A46:E1271,3,FALSE)*'Tube Laser'!O53,0)</f>
        <v>0</v>
      </c>
      <c r="AP53" t="str">
        <f t="shared" si="1"/>
        <v/>
      </c>
      <c r="AQ53" s="33">
        <f>IF(AP53="partial",'Tube Laser'!D53/60/60*35*'Tube Laser'!B53*0.5,IF(AP53="full-time",'Tube Laser'!D53/60/60*35*'Tube Laser'!B53,0))</f>
        <v>0</v>
      </c>
      <c r="AR53" s="33">
        <f>ROUND(IFERROR(AQ53/'Tube Laser'!B53,0),2)</f>
        <v>0</v>
      </c>
      <c r="AT53" s="33" t="str">
        <f ca="1">IFERROR('FB Laser'!J54*'FB Laser'!B54,"")</f>
        <v/>
      </c>
      <c r="AU53" s="33" t="str">
        <f ca="1">IFERROR('Tube Laser'!L53*'Tube Laser'!B53,"")</f>
        <v/>
      </c>
    </row>
    <row r="54" spans="1:47">
      <c r="A54" s="10" t="s">
        <v>2792</v>
      </c>
      <c r="B54" s="10" t="s">
        <v>2791</v>
      </c>
      <c r="C54" s="11">
        <v>11.26</v>
      </c>
      <c r="D54" s="10" t="s">
        <v>22</v>
      </c>
      <c r="E54" s="9">
        <v>1.25</v>
      </c>
      <c r="K54" t="str">
        <f t="array" aca="1" ref="K54" ca="1">INDIRECT(TEXT(MIN(IF(($L$9:$M$100&lt;&gt;"")*(COUNTIF($K$8:K53,$L$9:$M$100)=0),ROW($9:$100)*100+COLUMN($L:$M),7^8)),"R0C00"),)&amp;""</f>
        <v/>
      </c>
      <c r="L54" t="str">
        <f>IF('FB Laser'!A55=0,"",'FB Laser'!A55)</f>
        <v/>
      </c>
      <c r="M54" t="str">
        <f>IF('Tube Laser'!A54=0,"",'Tube Laser'!A54)</f>
        <v/>
      </c>
      <c r="O54" t="str">
        <f t="array" aca="1" ref="O54" ca="1">INDIRECT(TEXT(MIN(IF(($P$9:$Q$100&lt;&gt;"")*(COUNTIF($O$8:O53,$P$9:$Q$100)=0),ROW($9:$100)*100+COLUMN($P:$Q),7^8)),"R0C00"),)&amp;""</f>
        <v/>
      </c>
      <c r="P54" t="str">
        <f>IF('FB Laser'!F55="Yes",'FB Laser'!A55,"")</f>
        <v/>
      </c>
      <c r="Q54" t="str">
        <f>IF('Tube Laser'!I54="Yes",'Tube Laser'!A54,"")</f>
        <v/>
      </c>
      <c r="R54" s="37" t="str">
        <f>IFERROR(('FB Laser'!G55*'FB Laser'!B55),"")</f>
        <v/>
      </c>
      <c r="S54" s="37">
        <f>IFERROR('FB Laser'!H55*'FB Laser'!B55,"")</f>
        <v>0</v>
      </c>
      <c r="U54" s="37">
        <f>IFERROR(((((('Tube Laser'!D54)*'Tube Laser'!B54)/60)/60)*188.17)+(AE54*'Tube Laser'!B54),"")</f>
        <v>0</v>
      </c>
      <c r="V54" s="37">
        <f ca="1">IFERROR(('Tube Laser'!N54*'Tube Laser'!B54)+(AE54*'Tube Laser'!B54)+(AF54*'Tube Laser'!B54)+(AG54*'Tube Laser'!B54)+('FB Data'!AH54*'Tube Laser'!B54),"")</f>
        <v>0</v>
      </c>
      <c r="X54" s="41">
        <f>IFERROR(('Tube Laser'!D54*'Tube Laser'!B54)/60/60,"")</f>
        <v>0</v>
      </c>
      <c r="AE54" t="str">
        <f>IF('Tube Laser'!E54="One Side",'Tube Laser'!J54*0.2,IF('Tube Laser'!E54="Both Sides",'Tube Laser'!J54*0.4,"0"))</f>
        <v>0</v>
      </c>
      <c r="AF54">
        <f>IF('Tube Laser'!F54="Yes",'Tube Laser'!J54*0.1,0)</f>
        <v>0</v>
      </c>
      <c r="AG54">
        <f>IF('Tube Laser'!G54&gt;0,'Tube Laser'!J54*0.2,0)</f>
        <v>0</v>
      </c>
      <c r="AH54">
        <f>IF('Tube Laser'!H54="Yes",'Tube Laser'!J54*0.1,0)</f>
        <v>0</v>
      </c>
      <c r="AJ54">
        <f>IFERROR(VLOOKUP('FB Laser'!N55,'FB Data'!A47:E195,3,FALSE)*'FB Laser'!M55,0)</f>
        <v>0</v>
      </c>
      <c r="AK54" t="str">
        <f t="shared" si="0"/>
        <v/>
      </c>
      <c r="AL54" s="33">
        <f>IF(AK54="partial",'FB Laser'!E55/60*35*0.5,IF(AK54="full-time",'FB Laser'!E55/60*35,0))</f>
        <v>0</v>
      </c>
      <c r="AM54" s="33">
        <f>ROUND(IFERROR(AL54/'FB Laser'!B55,0),2)</f>
        <v>0</v>
      </c>
      <c r="AO54">
        <f>IFERROR(VLOOKUP('Tube Laser'!P54,'TL Data'!A47:E1272,3,FALSE)*'Tube Laser'!O54,0)</f>
        <v>0</v>
      </c>
      <c r="AP54" t="str">
        <f t="shared" si="1"/>
        <v/>
      </c>
      <c r="AQ54" s="33">
        <f>IF(AP54="partial",'Tube Laser'!D54/60/60*35*'Tube Laser'!B54*0.5,IF(AP54="full-time",'Tube Laser'!D54/60/60*35*'Tube Laser'!B54,0))</f>
        <v>0</v>
      </c>
      <c r="AR54" s="33">
        <f>ROUND(IFERROR(AQ54/'Tube Laser'!B54,0),2)</f>
        <v>0</v>
      </c>
      <c r="AT54" s="33" t="str">
        <f ca="1">IFERROR('FB Laser'!J55*'FB Laser'!B55,"")</f>
        <v/>
      </c>
      <c r="AU54" s="33" t="str">
        <f ca="1">IFERROR('Tube Laser'!L54*'Tube Laser'!B54,"")</f>
        <v/>
      </c>
    </row>
    <row r="55" spans="1:47">
      <c r="A55" s="10" t="s">
        <v>2793</v>
      </c>
      <c r="B55" s="10" t="s">
        <v>2794</v>
      </c>
      <c r="C55" s="11">
        <v>16.37</v>
      </c>
      <c r="D55" s="10" t="s">
        <v>22</v>
      </c>
      <c r="E55" s="9">
        <v>1.25</v>
      </c>
      <c r="K55" t="str">
        <f t="array" aca="1" ref="K55" ca="1">INDIRECT(TEXT(MIN(IF(($L$9:$M$100&lt;&gt;"")*(COUNTIF($K$8:K54,$L$9:$M$100)=0),ROW($9:$100)*100+COLUMN($L:$M),7^8)),"R0C00"),)&amp;""</f>
        <v/>
      </c>
      <c r="L55" t="str">
        <f>IF('FB Laser'!A56=0,"",'FB Laser'!A56)</f>
        <v/>
      </c>
      <c r="M55" t="str">
        <f>IF('Tube Laser'!A55=0,"",'Tube Laser'!A55)</f>
        <v/>
      </c>
      <c r="O55" t="str">
        <f t="array" aca="1" ref="O55" ca="1">INDIRECT(TEXT(MIN(IF(($P$9:$Q$100&lt;&gt;"")*(COUNTIF($O$8:O54,$P$9:$Q$100)=0),ROW($9:$100)*100+COLUMN($P:$Q),7^8)),"R0C00"),)&amp;""</f>
        <v/>
      </c>
      <c r="P55" t="str">
        <f>IF('FB Laser'!F56="Yes",'FB Laser'!A56,"")</f>
        <v/>
      </c>
      <c r="Q55" t="str">
        <f>IF('Tube Laser'!I55="Yes",'Tube Laser'!A55,"")</f>
        <v/>
      </c>
      <c r="R55" s="37" t="str">
        <f>IFERROR(('FB Laser'!G56*'FB Laser'!B56),"")</f>
        <v/>
      </c>
      <c r="S55" s="37">
        <f>IFERROR('FB Laser'!H56*'FB Laser'!B56,"")</f>
        <v>0</v>
      </c>
      <c r="U55" s="37">
        <f>IFERROR(((((('Tube Laser'!D55)*'Tube Laser'!B55)/60)/60)*188.17)+(AE55*'Tube Laser'!B55),"")</f>
        <v>0</v>
      </c>
      <c r="V55" s="37">
        <f ca="1">IFERROR(('Tube Laser'!N55*'Tube Laser'!B55)+(AE55*'Tube Laser'!B55)+(AF55*'Tube Laser'!B55)+(AG55*'Tube Laser'!B55)+('FB Data'!AH55*'Tube Laser'!B55),"")</f>
        <v>0</v>
      </c>
      <c r="X55" s="41">
        <f>IFERROR(('Tube Laser'!D55*'Tube Laser'!B55)/60/60,"")</f>
        <v>0</v>
      </c>
      <c r="AE55" t="str">
        <f>IF('Tube Laser'!E55="One Side",'Tube Laser'!J55*0.2,IF('Tube Laser'!E55="Both Sides",'Tube Laser'!J55*0.4,"0"))</f>
        <v>0</v>
      </c>
      <c r="AF55">
        <f>IF('Tube Laser'!F55="Yes",'Tube Laser'!J55*0.1,0)</f>
        <v>0</v>
      </c>
      <c r="AG55">
        <f>IF('Tube Laser'!G55&gt;0,'Tube Laser'!J55*0.2,0)</f>
        <v>0</v>
      </c>
      <c r="AH55">
        <f>IF('Tube Laser'!H55="Yes",'Tube Laser'!J55*0.1,0)</f>
        <v>0</v>
      </c>
      <c r="AJ55">
        <f>IFERROR(VLOOKUP('FB Laser'!N56,'FB Data'!A48:E196,3,FALSE)*'FB Laser'!M56,0)</f>
        <v>0</v>
      </c>
      <c r="AK55" t="str">
        <f t="shared" si="0"/>
        <v/>
      </c>
      <c r="AL55" s="33">
        <f>IF(AK55="partial",'FB Laser'!E56/60*35*0.5,IF(AK55="full-time",'FB Laser'!E56/60*35,0))</f>
        <v>0</v>
      </c>
      <c r="AM55" s="33">
        <f>ROUND(IFERROR(AL55/'FB Laser'!B56,0),2)</f>
        <v>0</v>
      </c>
      <c r="AO55">
        <f>IFERROR(VLOOKUP('Tube Laser'!P55,'TL Data'!A48:E1273,3,FALSE)*'Tube Laser'!O55,0)</f>
        <v>0</v>
      </c>
      <c r="AP55" t="str">
        <f t="shared" si="1"/>
        <v/>
      </c>
      <c r="AQ55" s="33">
        <f>IF(AP55="partial",'Tube Laser'!D55/60/60*35*'Tube Laser'!B55*0.5,IF(AP55="full-time",'Tube Laser'!D55/60/60*35*'Tube Laser'!B55,0))</f>
        <v>0</v>
      </c>
      <c r="AR55" s="33">
        <f>ROUND(IFERROR(AQ55/'Tube Laser'!B55,0),2)</f>
        <v>0</v>
      </c>
      <c r="AT55" s="33" t="str">
        <f ca="1">IFERROR('FB Laser'!J56*'FB Laser'!B56,"")</f>
        <v/>
      </c>
      <c r="AU55" s="33" t="str">
        <f ca="1">IFERROR('Tube Laser'!L55*'Tube Laser'!B55,"")</f>
        <v/>
      </c>
    </row>
    <row r="56" spans="1:47">
      <c r="A56" s="10" t="s">
        <v>122</v>
      </c>
      <c r="B56" s="10" t="s">
        <v>2816</v>
      </c>
      <c r="C56" s="11">
        <v>13.81</v>
      </c>
      <c r="D56" s="10" t="s">
        <v>22</v>
      </c>
      <c r="E56" s="9">
        <v>1.25</v>
      </c>
      <c r="K56" t="str">
        <f t="array" aca="1" ref="K56" ca="1">INDIRECT(TEXT(MIN(IF(($L$9:$M$100&lt;&gt;"")*(COUNTIF($K$8:K55,$L$9:$M$100)=0),ROW($9:$100)*100+COLUMN($L:$M),7^8)),"R0C00"),)&amp;""</f>
        <v/>
      </c>
      <c r="L56" t="str">
        <f>IF('FB Laser'!A57=0,"",'FB Laser'!A57)</f>
        <v/>
      </c>
      <c r="M56" t="str">
        <f>IF('Tube Laser'!A56=0,"",'Tube Laser'!A56)</f>
        <v/>
      </c>
      <c r="O56" t="str">
        <f t="array" aca="1" ref="O56" ca="1">INDIRECT(TEXT(MIN(IF(($P$9:$Q$100&lt;&gt;"")*(COUNTIF($O$8:O55,$P$9:$Q$100)=0),ROW($9:$100)*100+COLUMN($P:$Q),7^8)),"R0C00"),)&amp;""</f>
        <v/>
      </c>
      <c r="P56" t="str">
        <f>IF('FB Laser'!F57="Yes",'FB Laser'!A57,"")</f>
        <v/>
      </c>
      <c r="Q56" t="str">
        <f>IF('Tube Laser'!I56="Yes",'Tube Laser'!A56,"")</f>
        <v/>
      </c>
      <c r="R56" s="37" t="str">
        <f>IFERROR(('FB Laser'!G57*'FB Laser'!B57),"")</f>
        <v/>
      </c>
      <c r="S56" s="37">
        <f>IFERROR('FB Laser'!H57*'FB Laser'!B57,"")</f>
        <v>0</v>
      </c>
      <c r="U56" s="37">
        <f>IFERROR(((((('Tube Laser'!D56)*'Tube Laser'!B56)/60)/60)*188.17)+(AE56*'Tube Laser'!B56),"")</f>
        <v>0</v>
      </c>
      <c r="V56" s="37">
        <f ca="1">IFERROR(('Tube Laser'!N56*'Tube Laser'!B56)+(AE56*'Tube Laser'!B56)+(AF56*'Tube Laser'!B56)+(AG56*'Tube Laser'!B56)+('FB Data'!AH56*'Tube Laser'!B56),"")</f>
        <v>0</v>
      </c>
      <c r="X56" s="41">
        <f>IFERROR(('Tube Laser'!D56*'Tube Laser'!B56)/60/60,"")</f>
        <v>0</v>
      </c>
      <c r="AE56" t="str">
        <f>IF('Tube Laser'!E56="One Side",'Tube Laser'!J56*0.2,IF('Tube Laser'!E56="Both Sides",'Tube Laser'!J56*0.4,"0"))</f>
        <v>0</v>
      </c>
      <c r="AF56">
        <f>IF('Tube Laser'!F56="Yes",'Tube Laser'!J56*0.1,0)</f>
        <v>0</v>
      </c>
      <c r="AG56">
        <f>IF('Tube Laser'!G56&gt;0,'Tube Laser'!J56*0.2,0)</f>
        <v>0</v>
      </c>
      <c r="AH56">
        <f>IF('Tube Laser'!H56="Yes",'Tube Laser'!J56*0.1,0)</f>
        <v>0</v>
      </c>
      <c r="AJ56">
        <f>IFERROR(VLOOKUP('FB Laser'!N57,'FB Data'!A49:E197,3,FALSE)*'FB Laser'!M57,0)</f>
        <v>0</v>
      </c>
      <c r="AK56" t="str">
        <f t="shared" si="0"/>
        <v/>
      </c>
      <c r="AL56" s="33">
        <f>IF(AK56="partial",'FB Laser'!E57/60*35*0.5,IF(AK56="full-time",'FB Laser'!E57/60*35,0))</f>
        <v>0</v>
      </c>
      <c r="AM56" s="33">
        <f>ROUND(IFERROR(AL56/'FB Laser'!B57,0),2)</f>
        <v>0</v>
      </c>
      <c r="AO56">
        <f>IFERROR(VLOOKUP('Tube Laser'!P56,'TL Data'!A49:E1274,3,FALSE)*'Tube Laser'!O56,0)</f>
        <v>0</v>
      </c>
      <c r="AP56" t="str">
        <f t="shared" si="1"/>
        <v/>
      </c>
      <c r="AQ56" s="33">
        <f>IF(AP56="partial",'Tube Laser'!D56/60/60*35*'Tube Laser'!B56*0.5,IF(AP56="full-time",'Tube Laser'!D56/60/60*35*'Tube Laser'!B56,0))</f>
        <v>0</v>
      </c>
      <c r="AR56" s="33">
        <f>ROUND(IFERROR(AQ56/'Tube Laser'!B56,0),2)</f>
        <v>0</v>
      </c>
      <c r="AT56" s="33" t="str">
        <f ca="1">IFERROR('FB Laser'!J57*'FB Laser'!B57,"")</f>
        <v/>
      </c>
      <c r="AU56" s="33" t="str">
        <f ca="1">IFERROR('Tube Laser'!L56*'Tube Laser'!B56,"")</f>
        <v/>
      </c>
    </row>
    <row r="57" spans="1:47">
      <c r="A57" s="10" t="s">
        <v>2795</v>
      </c>
      <c r="B57" s="10" t="s">
        <v>2796</v>
      </c>
      <c r="C57" s="11">
        <v>4.53</v>
      </c>
      <c r="D57" s="10" t="s">
        <v>22</v>
      </c>
      <c r="E57" s="9">
        <v>1.5</v>
      </c>
      <c r="K57" t="str">
        <f t="array" aca="1" ref="K57" ca="1">INDIRECT(TEXT(MIN(IF(($L$9:$M$100&lt;&gt;"")*(COUNTIF($K$8:K56,$L$9:$M$100)=0),ROW($9:$100)*100+COLUMN($L:$M),7^8)),"R0C00"),)&amp;""</f>
        <v/>
      </c>
      <c r="L57" t="str">
        <f>IF('FB Laser'!A58=0,"",'FB Laser'!A58)</f>
        <v/>
      </c>
      <c r="M57" t="str">
        <f>IF('Tube Laser'!A57=0,"",'Tube Laser'!A57)</f>
        <v/>
      </c>
      <c r="O57" t="str">
        <f t="array" aca="1" ref="O57" ca="1">INDIRECT(TEXT(MIN(IF(($P$9:$Q$100&lt;&gt;"")*(COUNTIF($O$8:O56,$P$9:$Q$100)=0),ROW($9:$100)*100+COLUMN($P:$Q),7^8)),"R0C00"),)&amp;""</f>
        <v/>
      </c>
      <c r="P57" t="str">
        <f>IF('FB Laser'!F58="Yes",'FB Laser'!A58,"")</f>
        <v/>
      </c>
      <c r="Q57" t="str">
        <f>IF('Tube Laser'!I57="Yes",'Tube Laser'!A57,"")</f>
        <v/>
      </c>
      <c r="R57" s="37" t="str">
        <f>IFERROR(('FB Laser'!G58*'FB Laser'!B58),"")</f>
        <v/>
      </c>
      <c r="S57" s="37">
        <f>IFERROR('FB Laser'!H58*'FB Laser'!B58,"")</f>
        <v>0</v>
      </c>
      <c r="U57" s="37">
        <f>IFERROR(((((('Tube Laser'!D57)*'Tube Laser'!B57)/60)/60)*188.17)+(AE57*'Tube Laser'!B57),"")</f>
        <v>0</v>
      </c>
      <c r="V57" s="37">
        <f ca="1">IFERROR(('Tube Laser'!N57*'Tube Laser'!B57)+(AE57*'Tube Laser'!B57)+(AF57*'Tube Laser'!B57)+(AG57*'Tube Laser'!B57)+('FB Data'!AH57*'Tube Laser'!B57),"")</f>
        <v>0</v>
      </c>
      <c r="X57" s="41">
        <f>IFERROR(('Tube Laser'!D57*'Tube Laser'!B57)/60/60,"")</f>
        <v>0</v>
      </c>
      <c r="AE57" t="str">
        <f>IF('Tube Laser'!E57="One Side",'Tube Laser'!J57*0.2,IF('Tube Laser'!E57="Both Sides",'Tube Laser'!J57*0.4,"0"))</f>
        <v>0</v>
      </c>
      <c r="AF57">
        <f>IF('Tube Laser'!F57="Yes",'Tube Laser'!J57*0.1,0)</f>
        <v>0</v>
      </c>
      <c r="AG57">
        <f>IF('Tube Laser'!G57&gt;0,'Tube Laser'!J57*0.2,0)</f>
        <v>0</v>
      </c>
      <c r="AH57">
        <f>IF('Tube Laser'!H57="Yes",'Tube Laser'!J57*0.1,0)</f>
        <v>0</v>
      </c>
      <c r="AJ57">
        <f>IFERROR(VLOOKUP('FB Laser'!N58,'FB Data'!A50:E198,3,FALSE)*'FB Laser'!M58,0)</f>
        <v>0</v>
      </c>
      <c r="AK57" t="str">
        <f t="shared" si="0"/>
        <v/>
      </c>
      <c r="AL57" s="33">
        <f>IF(AK57="partial",'FB Laser'!E58/60*35*0.5,IF(AK57="full-time",'FB Laser'!E58/60*35,0))</f>
        <v>0</v>
      </c>
      <c r="AM57" s="33">
        <f>ROUND(IFERROR(AL57/'FB Laser'!B58,0),2)</f>
        <v>0</v>
      </c>
      <c r="AO57">
        <f>IFERROR(VLOOKUP('Tube Laser'!P57,'TL Data'!A50:E1275,3,FALSE)*'Tube Laser'!O57,0)</f>
        <v>0</v>
      </c>
      <c r="AP57" t="str">
        <f t="shared" si="1"/>
        <v/>
      </c>
      <c r="AQ57" s="33">
        <f>IF(AP57="partial",'Tube Laser'!D57/60/60*35*'Tube Laser'!B57*0.5,IF(AP57="full-time",'Tube Laser'!D57/60/60*35*'Tube Laser'!B57,0))</f>
        <v>0</v>
      </c>
      <c r="AR57" s="33">
        <f>ROUND(IFERROR(AQ57/'Tube Laser'!B57,0),2)</f>
        <v>0</v>
      </c>
      <c r="AT57" s="33" t="str">
        <f ca="1">IFERROR('FB Laser'!J58*'FB Laser'!B58,"")</f>
        <v/>
      </c>
      <c r="AU57" s="33" t="str">
        <f ca="1">IFERROR('Tube Laser'!L57*'Tube Laser'!B57,"")</f>
        <v/>
      </c>
    </row>
    <row r="58" spans="1:47">
      <c r="A58" s="10" t="s">
        <v>2797</v>
      </c>
      <c r="B58" s="10" t="s">
        <v>2798</v>
      </c>
      <c r="C58" s="11">
        <v>3.21</v>
      </c>
      <c r="D58" s="10" t="s">
        <v>22</v>
      </c>
      <c r="E58" s="9">
        <v>1.5</v>
      </c>
      <c r="K58" t="str">
        <f t="array" aca="1" ref="K58" ca="1">INDIRECT(TEXT(MIN(IF(($L$9:$M$100&lt;&gt;"")*(COUNTIF($K$8:K57,$L$9:$M$100)=0),ROW($9:$100)*100+COLUMN($L:$M),7^8)),"R0C00"),)&amp;""</f>
        <v/>
      </c>
      <c r="L58" t="str">
        <f>IF('FB Laser'!A59=0,"",'FB Laser'!A59)</f>
        <v/>
      </c>
      <c r="M58" t="str">
        <f>IF('Tube Laser'!A58=0,"",'Tube Laser'!A58)</f>
        <v/>
      </c>
      <c r="O58" t="str">
        <f t="array" aca="1" ref="O58" ca="1">INDIRECT(TEXT(MIN(IF(($P$9:$Q$100&lt;&gt;"")*(COUNTIF($O$8:O57,$P$9:$Q$100)=0),ROW($9:$100)*100+COLUMN($P:$Q),7^8)),"R0C00"),)&amp;""</f>
        <v/>
      </c>
      <c r="P58" t="str">
        <f>IF('FB Laser'!F59="Yes",'FB Laser'!A59,"")</f>
        <v/>
      </c>
      <c r="Q58" t="str">
        <f>IF('Tube Laser'!I58="Yes",'Tube Laser'!A58,"")</f>
        <v/>
      </c>
      <c r="R58" s="37" t="str">
        <f>IFERROR(('FB Laser'!G59*'FB Laser'!B59),"")</f>
        <v/>
      </c>
      <c r="S58" s="37">
        <f>IFERROR('FB Laser'!H59*'FB Laser'!B59,"")</f>
        <v>0</v>
      </c>
      <c r="U58" s="37">
        <f>IFERROR(((((('Tube Laser'!D58)*'Tube Laser'!B58)/60)/60)*188.17)+(AE58*'Tube Laser'!B58),"")</f>
        <v>0</v>
      </c>
      <c r="V58" s="37">
        <f ca="1">IFERROR(('Tube Laser'!N58*'Tube Laser'!B58)+(AE58*'Tube Laser'!B58)+(AF58*'Tube Laser'!B58)+(AG58*'Tube Laser'!B58)+('FB Data'!AH58*'Tube Laser'!B58),"")</f>
        <v>0</v>
      </c>
      <c r="X58" s="41">
        <f>IFERROR(('Tube Laser'!D58*'Tube Laser'!B58)/60/60,"")</f>
        <v>0</v>
      </c>
      <c r="AE58" t="str">
        <f>IF('Tube Laser'!E58="One Side",'Tube Laser'!J58*0.2,IF('Tube Laser'!E58="Both Sides",'Tube Laser'!J58*0.4,"0"))</f>
        <v>0</v>
      </c>
      <c r="AF58">
        <f>IF('Tube Laser'!F58="Yes",'Tube Laser'!J58*0.1,0)</f>
        <v>0</v>
      </c>
      <c r="AG58">
        <f>IF('Tube Laser'!G58&gt;0,'Tube Laser'!J58*0.2,0)</f>
        <v>0</v>
      </c>
      <c r="AH58">
        <f>IF('Tube Laser'!H58="Yes",'Tube Laser'!J58*0.1,0)</f>
        <v>0</v>
      </c>
      <c r="AJ58">
        <f>IFERROR(VLOOKUP('FB Laser'!N59,'FB Data'!A51:E199,3,FALSE)*'FB Laser'!M59,0)</f>
        <v>0</v>
      </c>
      <c r="AK58" t="str">
        <f t="shared" si="0"/>
        <v/>
      </c>
      <c r="AL58" s="33">
        <f>IF(AK58="partial",'FB Laser'!E59/60*35*0.5,IF(AK58="full-time",'FB Laser'!E59/60*35,0))</f>
        <v>0</v>
      </c>
      <c r="AM58" s="33">
        <f>ROUND(IFERROR(AL58/'FB Laser'!B59,0),2)</f>
        <v>0</v>
      </c>
      <c r="AO58">
        <f>IFERROR(VLOOKUP('Tube Laser'!P58,'TL Data'!A51:E1276,3,FALSE)*'Tube Laser'!O58,0)</f>
        <v>0</v>
      </c>
      <c r="AP58" t="str">
        <f t="shared" si="1"/>
        <v/>
      </c>
      <c r="AQ58" s="33">
        <f>IF(AP58="partial",'Tube Laser'!D58/60/60*35*'Tube Laser'!B58*0.5,IF(AP58="full-time",'Tube Laser'!D58/60/60*35*'Tube Laser'!B58,0))</f>
        <v>0</v>
      </c>
      <c r="AR58" s="33">
        <f>ROUND(IFERROR(AQ58/'Tube Laser'!B58,0),2)</f>
        <v>0</v>
      </c>
      <c r="AT58" s="33" t="str">
        <f ca="1">IFERROR('FB Laser'!J59*'FB Laser'!B59,"")</f>
        <v/>
      </c>
      <c r="AU58" s="33" t="str">
        <f ca="1">IFERROR('Tube Laser'!L58*'Tube Laser'!B58,"")</f>
        <v/>
      </c>
    </row>
    <row r="59" spans="1:47">
      <c r="A59" s="10" t="s">
        <v>2803</v>
      </c>
      <c r="B59" s="10" t="s">
        <v>2799</v>
      </c>
      <c r="C59" s="11">
        <v>2.6560000000000001</v>
      </c>
      <c r="D59" s="10" t="s">
        <v>22</v>
      </c>
      <c r="E59" s="9">
        <v>1.5</v>
      </c>
      <c r="K59" t="str">
        <f t="array" aca="1" ref="K59" ca="1">INDIRECT(TEXT(MIN(IF(($L$9:$M$100&lt;&gt;"")*(COUNTIF($K$8:K58,$L$9:$M$100)=0),ROW($9:$100)*100+COLUMN($L:$M),7^8)),"R0C00"),)&amp;""</f>
        <v/>
      </c>
      <c r="L59" t="str">
        <f>IF('FB Laser'!A60=0,"",'FB Laser'!A60)</f>
        <v/>
      </c>
      <c r="M59" t="str">
        <f>IF('Tube Laser'!A59=0,"",'Tube Laser'!A59)</f>
        <v/>
      </c>
      <c r="O59" t="str">
        <f t="array" aca="1" ref="O59" ca="1">INDIRECT(TEXT(MIN(IF(($P$9:$Q$100&lt;&gt;"")*(COUNTIF($O$8:O58,$P$9:$Q$100)=0),ROW($9:$100)*100+COLUMN($P:$Q),7^8)),"R0C00"),)&amp;""</f>
        <v/>
      </c>
      <c r="P59" t="str">
        <f>IF('FB Laser'!F60="Yes",'FB Laser'!A60,"")</f>
        <v/>
      </c>
      <c r="Q59" t="str">
        <f>IF('Tube Laser'!I59="Yes",'Tube Laser'!A59,"")</f>
        <v/>
      </c>
      <c r="R59" s="37" t="str">
        <f>IFERROR(('FB Laser'!G60*'FB Laser'!B60),"")</f>
        <v/>
      </c>
      <c r="S59" s="37">
        <f>IFERROR('FB Laser'!H60*'FB Laser'!B60,"")</f>
        <v>0</v>
      </c>
      <c r="U59" s="37">
        <f>IFERROR(((((('Tube Laser'!D59)*'Tube Laser'!B59)/60)/60)*188.17)+(AE59*'Tube Laser'!B59),"")</f>
        <v>0</v>
      </c>
      <c r="V59" s="37">
        <f ca="1">IFERROR(('Tube Laser'!N59*'Tube Laser'!B59)+(AE59*'Tube Laser'!B59)+(AF59*'Tube Laser'!B59)+(AG59*'Tube Laser'!B59)+('FB Data'!AH59*'Tube Laser'!B59),"")</f>
        <v>0</v>
      </c>
      <c r="X59" s="41">
        <f>IFERROR(('Tube Laser'!D59*'Tube Laser'!B59)/60/60,"")</f>
        <v>0</v>
      </c>
      <c r="AE59" t="str">
        <f>IF('Tube Laser'!E59="One Side",'Tube Laser'!J59*0.2,IF('Tube Laser'!E59="Both Sides",'Tube Laser'!J59*0.4,"0"))</f>
        <v>0</v>
      </c>
      <c r="AF59">
        <f>IF('Tube Laser'!F59="Yes",'Tube Laser'!J59*0.1,0)</f>
        <v>0</v>
      </c>
      <c r="AG59">
        <f>IF('Tube Laser'!G59&gt;0,'Tube Laser'!J59*0.2,0)</f>
        <v>0</v>
      </c>
      <c r="AH59">
        <f>IF('Tube Laser'!H59="Yes",'Tube Laser'!J59*0.1,0)</f>
        <v>0</v>
      </c>
      <c r="AJ59">
        <f>IFERROR(VLOOKUP('FB Laser'!N60,'FB Data'!A52:E200,3,FALSE)*'FB Laser'!M60,0)</f>
        <v>0</v>
      </c>
      <c r="AK59" t="str">
        <f t="shared" si="0"/>
        <v/>
      </c>
      <c r="AL59" s="33">
        <f>IF(AK59="partial",'FB Laser'!E60/60*35*0.5,IF(AK59="full-time",'FB Laser'!E60/60*35,0))</f>
        <v>0</v>
      </c>
      <c r="AM59" s="33">
        <f>ROUND(IFERROR(AL59/'FB Laser'!B60,0),2)</f>
        <v>0</v>
      </c>
      <c r="AO59">
        <f>IFERROR(VLOOKUP('Tube Laser'!P59,'TL Data'!A52:E1277,3,FALSE)*'Tube Laser'!O59,0)</f>
        <v>0</v>
      </c>
      <c r="AP59" t="str">
        <f t="shared" si="1"/>
        <v/>
      </c>
      <c r="AQ59" s="33">
        <f>IF(AP59="partial",'Tube Laser'!D59/60/60*35*'Tube Laser'!B59*0.5,IF(AP59="full-time",'Tube Laser'!D59/60/60*35*'Tube Laser'!B59,0))</f>
        <v>0</v>
      </c>
      <c r="AR59" s="33">
        <f>ROUND(IFERROR(AQ59/'Tube Laser'!B59,0),2)</f>
        <v>0</v>
      </c>
      <c r="AT59" s="33" t="str">
        <f ca="1">IFERROR('FB Laser'!J60*'FB Laser'!B60,"")</f>
        <v/>
      </c>
      <c r="AU59" s="33" t="str">
        <f ca="1">IFERROR('Tube Laser'!L59*'Tube Laser'!B59,"")</f>
        <v/>
      </c>
    </row>
    <row r="60" spans="1:47">
      <c r="A60" s="10" t="s">
        <v>2804</v>
      </c>
      <c r="B60" s="10" t="s">
        <v>2800</v>
      </c>
      <c r="C60" s="11">
        <v>2.16</v>
      </c>
      <c r="D60" s="10" t="s">
        <v>22</v>
      </c>
      <c r="E60" s="9">
        <v>1.5</v>
      </c>
      <c r="K60" t="str">
        <f t="array" aca="1" ref="K60" ca="1">INDIRECT(TEXT(MIN(IF(($L$9:$M$100&lt;&gt;"")*(COUNTIF($K$8:K59,$L$9:$M$100)=0),ROW($9:$100)*100+COLUMN($L:$M),7^8)),"R0C00"),)&amp;""</f>
        <v/>
      </c>
      <c r="L60" t="str">
        <f>IF('FB Laser'!A61=0,"",'FB Laser'!A61)</f>
        <v/>
      </c>
      <c r="M60" t="str">
        <f>IF('Tube Laser'!A60=0,"",'Tube Laser'!A60)</f>
        <v/>
      </c>
      <c r="O60" t="str">
        <f t="array" aca="1" ref="O60" ca="1">INDIRECT(TEXT(MIN(IF(($P$9:$Q$100&lt;&gt;"")*(COUNTIF($O$8:O59,$P$9:$Q$100)=0),ROW($9:$100)*100+COLUMN($P:$Q),7^8)),"R0C00"),)&amp;""</f>
        <v/>
      </c>
      <c r="P60" t="str">
        <f>IF('FB Laser'!F61="Yes",'FB Laser'!A61,"")</f>
        <v/>
      </c>
      <c r="Q60" t="str">
        <f>IF('Tube Laser'!I60="Yes",'Tube Laser'!A60,"")</f>
        <v/>
      </c>
      <c r="R60" s="37" t="str">
        <f>IFERROR(('FB Laser'!G61*'FB Laser'!B61),"")</f>
        <v/>
      </c>
      <c r="S60" s="37">
        <f>IFERROR('FB Laser'!H61*'FB Laser'!B61,"")</f>
        <v>0</v>
      </c>
      <c r="U60" s="37">
        <f>IFERROR(((((('Tube Laser'!D60)*'Tube Laser'!B60)/60)/60)*188.17)+(AE60*'Tube Laser'!B60),"")</f>
        <v>0</v>
      </c>
      <c r="V60" s="37">
        <f ca="1">IFERROR(('Tube Laser'!N60*'Tube Laser'!B60)+(AE60*'Tube Laser'!B60)+(AF60*'Tube Laser'!B60)+(AG60*'Tube Laser'!B60)+('FB Data'!AH60*'Tube Laser'!B60),"")</f>
        <v>0</v>
      </c>
      <c r="X60" s="41">
        <f>IFERROR(('Tube Laser'!D60*'Tube Laser'!B60)/60/60,"")</f>
        <v>0</v>
      </c>
      <c r="AE60" t="str">
        <f>IF('Tube Laser'!E60="One Side",'Tube Laser'!J60*0.2,IF('Tube Laser'!E60="Both Sides",'Tube Laser'!J60*0.4,"0"))</f>
        <v>0</v>
      </c>
      <c r="AF60">
        <f>IF('Tube Laser'!F60="Yes",'Tube Laser'!J60*0.1,0)</f>
        <v>0</v>
      </c>
      <c r="AG60">
        <f>IF('Tube Laser'!G60&gt;0,'Tube Laser'!J60*0.2,0)</f>
        <v>0</v>
      </c>
      <c r="AH60">
        <f>IF('Tube Laser'!H60="Yes",'Tube Laser'!J60*0.1,0)</f>
        <v>0</v>
      </c>
      <c r="AJ60">
        <f>IFERROR(VLOOKUP('FB Laser'!N61,'FB Data'!A53:E201,3,FALSE)*'FB Laser'!M61,0)</f>
        <v>0</v>
      </c>
      <c r="AK60" t="str">
        <f t="shared" si="0"/>
        <v/>
      </c>
      <c r="AL60" s="33">
        <f>IF(AK60="partial",'FB Laser'!E61/60*35*0.5,IF(AK60="full-time",'FB Laser'!E61/60*35,0))</f>
        <v>0</v>
      </c>
      <c r="AM60" s="33">
        <f>ROUND(IFERROR(AL60/'FB Laser'!B61,0),2)</f>
        <v>0</v>
      </c>
      <c r="AO60">
        <f>IFERROR(VLOOKUP('Tube Laser'!P60,'TL Data'!A53:E1278,3,FALSE)*'Tube Laser'!O60,0)</f>
        <v>0</v>
      </c>
      <c r="AP60" t="str">
        <f t="shared" si="1"/>
        <v/>
      </c>
      <c r="AQ60" s="33">
        <f>IF(AP60="partial",'Tube Laser'!D60/60/60*35*'Tube Laser'!B60*0.5,IF(AP60="full-time",'Tube Laser'!D60/60/60*35*'Tube Laser'!B60,0))</f>
        <v>0</v>
      </c>
      <c r="AR60" s="33">
        <f>ROUND(IFERROR(AQ60/'Tube Laser'!B60,0),2)</f>
        <v>0</v>
      </c>
      <c r="AT60" s="33" t="str">
        <f ca="1">IFERROR('FB Laser'!J61*'FB Laser'!B61,"")</f>
        <v/>
      </c>
      <c r="AU60" s="33" t="str">
        <f ca="1">IFERROR('Tube Laser'!L60*'Tube Laser'!B60,"")</f>
        <v/>
      </c>
    </row>
    <row r="61" spans="1:47">
      <c r="A61" s="10" t="s">
        <v>2805</v>
      </c>
      <c r="B61" s="10" t="s">
        <v>2801</v>
      </c>
      <c r="C61" s="11">
        <v>1.615</v>
      </c>
      <c r="D61" s="10" t="s">
        <v>22</v>
      </c>
      <c r="E61" s="9">
        <v>1.5</v>
      </c>
      <c r="K61" t="str">
        <f t="array" aca="1" ref="K61" ca="1">INDIRECT(TEXT(MIN(IF(($L$9:$M$100&lt;&gt;"")*(COUNTIF($K$8:K60,$L$9:$M$100)=0),ROW($9:$100)*100+COLUMN($L:$M),7^8)),"R0C00"),)&amp;""</f>
        <v/>
      </c>
      <c r="L61" t="str">
        <f>IF('FB Laser'!A62=0,"",'FB Laser'!A62)</f>
        <v/>
      </c>
      <c r="M61" t="str">
        <f>IF('Tube Laser'!A61=0,"",'Tube Laser'!A61)</f>
        <v/>
      </c>
      <c r="O61" t="str">
        <f t="array" aca="1" ref="O61" ca="1">INDIRECT(TEXT(MIN(IF(($P$9:$Q$100&lt;&gt;"")*(COUNTIF($O$8:O60,$P$9:$Q$100)=0),ROW($9:$100)*100+COLUMN($P:$Q),7^8)),"R0C00"),)&amp;""</f>
        <v/>
      </c>
      <c r="P61" t="str">
        <f>IF('FB Laser'!F62="Yes",'FB Laser'!A62,"")</f>
        <v/>
      </c>
      <c r="Q61" t="str">
        <f>IF('Tube Laser'!I61="Yes",'Tube Laser'!A61,"")</f>
        <v/>
      </c>
      <c r="R61" s="37" t="str">
        <f>IFERROR(('FB Laser'!G62*'FB Laser'!B62),"")</f>
        <v/>
      </c>
      <c r="S61" s="37">
        <f>IFERROR('FB Laser'!H62*'FB Laser'!B62,"")</f>
        <v>0</v>
      </c>
      <c r="U61" s="37">
        <f>IFERROR(((((('Tube Laser'!D61)*'Tube Laser'!B61)/60)/60)*188.17)+(AE61*'Tube Laser'!B61),"")</f>
        <v>0</v>
      </c>
      <c r="V61" s="37">
        <f ca="1">IFERROR(('Tube Laser'!N61*'Tube Laser'!B61)+(AE61*'Tube Laser'!B61)+(AF61*'Tube Laser'!B61)+(AG61*'Tube Laser'!B61)+('FB Data'!AH61*'Tube Laser'!B61),"")</f>
        <v>0</v>
      </c>
      <c r="X61" s="41">
        <f>IFERROR(('Tube Laser'!D61*'Tube Laser'!B61)/60/60,"")</f>
        <v>0</v>
      </c>
      <c r="AE61" t="str">
        <f>IF('Tube Laser'!E61="One Side",'Tube Laser'!J61*0.2,IF('Tube Laser'!E61="Both Sides",'Tube Laser'!J61*0.4,"0"))</f>
        <v>0</v>
      </c>
      <c r="AF61">
        <f>IF('Tube Laser'!F61="Yes",'Tube Laser'!J61*0.1,0)</f>
        <v>0</v>
      </c>
      <c r="AG61">
        <f>IF('Tube Laser'!G61&gt;0,'Tube Laser'!J61*0.2,0)</f>
        <v>0</v>
      </c>
      <c r="AH61">
        <f>IF('Tube Laser'!H61="Yes",'Tube Laser'!J61*0.1,0)</f>
        <v>0</v>
      </c>
      <c r="AJ61">
        <f>IFERROR(VLOOKUP('FB Laser'!N62,'FB Data'!A54:E202,3,FALSE)*'FB Laser'!M62,0)</f>
        <v>0</v>
      </c>
      <c r="AK61" t="str">
        <f t="shared" si="0"/>
        <v/>
      </c>
      <c r="AL61" s="33">
        <f>IF(AK61="partial",'FB Laser'!E62/60*35*0.5,IF(AK61="full-time",'FB Laser'!E62/60*35,0))</f>
        <v>0</v>
      </c>
      <c r="AM61" s="33">
        <f>ROUND(IFERROR(AL61/'FB Laser'!B62,0),2)</f>
        <v>0</v>
      </c>
      <c r="AO61">
        <f>IFERROR(VLOOKUP('Tube Laser'!P61,'TL Data'!A54:E1279,3,FALSE)*'Tube Laser'!O61,0)</f>
        <v>0</v>
      </c>
      <c r="AP61" t="str">
        <f t="shared" si="1"/>
        <v/>
      </c>
      <c r="AQ61" s="33">
        <f>IF(AP61="partial",'Tube Laser'!D61/60/60*35*'Tube Laser'!B61*0.5,IF(AP61="full-time",'Tube Laser'!D61/60/60*35*'Tube Laser'!B61,0))</f>
        <v>0</v>
      </c>
      <c r="AR61" s="33">
        <f>ROUND(IFERROR(AQ61/'Tube Laser'!B61,0),2)</f>
        <v>0</v>
      </c>
      <c r="AT61" s="33" t="str">
        <f ca="1">IFERROR('FB Laser'!J62*'FB Laser'!B62,"")</f>
        <v/>
      </c>
      <c r="AU61" s="33" t="str">
        <f ca="1">IFERROR('Tube Laser'!L61*'Tube Laser'!B61,"")</f>
        <v/>
      </c>
    </row>
    <row r="62" spans="1:47">
      <c r="A62" s="10" t="s">
        <v>2806</v>
      </c>
      <c r="B62" s="10" t="s">
        <v>2802</v>
      </c>
      <c r="C62" s="11">
        <v>1.4059999999999999</v>
      </c>
      <c r="D62" s="10" t="s">
        <v>22</v>
      </c>
      <c r="E62" s="9">
        <v>1.5</v>
      </c>
      <c r="K62" t="str">
        <f t="array" aca="1" ref="K62" ca="1">INDIRECT(TEXT(MIN(IF(($L$9:$M$100&lt;&gt;"")*(COUNTIF($K$8:K61,$L$9:$M$100)=0),ROW($9:$100)*100+COLUMN($L:$M),7^8)),"R0C00"),)&amp;""</f>
        <v/>
      </c>
      <c r="L62" t="str">
        <f>IF('FB Laser'!A63=0,"",'FB Laser'!A63)</f>
        <v/>
      </c>
      <c r="M62" t="str">
        <f>IF('Tube Laser'!A62=0,"",'Tube Laser'!A62)</f>
        <v/>
      </c>
      <c r="O62" t="str">
        <f t="array" aca="1" ref="O62" ca="1">INDIRECT(TEXT(MIN(IF(($P$9:$Q$100&lt;&gt;"")*(COUNTIF($O$8:O61,$P$9:$Q$100)=0),ROW($9:$100)*100+COLUMN($P:$Q),7^8)),"R0C00"),)&amp;""</f>
        <v/>
      </c>
      <c r="P62" t="str">
        <f>IF('FB Laser'!F63="Yes",'FB Laser'!A63,"")</f>
        <v/>
      </c>
      <c r="Q62" t="str">
        <f>IF('Tube Laser'!I62="Yes",'Tube Laser'!A62,"")</f>
        <v/>
      </c>
      <c r="R62" s="37" t="str">
        <f>IFERROR(('FB Laser'!G63*'FB Laser'!B63),"")</f>
        <v/>
      </c>
      <c r="S62" s="37">
        <f>IFERROR('FB Laser'!H63*'FB Laser'!B63,"")</f>
        <v>0</v>
      </c>
      <c r="U62" s="37">
        <f>IFERROR(((((('Tube Laser'!D62)*'Tube Laser'!B62)/60)/60)*188.17)+(AE62*'Tube Laser'!B62),"")</f>
        <v>0</v>
      </c>
      <c r="V62" s="37">
        <f ca="1">IFERROR(('Tube Laser'!N62*'Tube Laser'!B62)+(AE62*'Tube Laser'!B62)+(AF62*'Tube Laser'!B62)+(AG62*'Tube Laser'!B62)+('FB Data'!AH62*'Tube Laser'!B62),"")</f>
        <v>0</v>
      </c>
      <c r="X62" s="41">
        <f>IFERROR(('Tube Laser'!D62*'Tube Laser'!B62)/60/60,"")</f>
        <v>0</v>
      </c>
      <c r="AE62" t="str">
        <f>IF('Tube Laser'!E62="One Side",'Tube Laser'!J62*0.2,IF('Tube Laser'!E62="Both Sides",'Tube Laser'!J62*0.4,"0"))</f>
        <v>0</v>
      </c>
      <c r="AF62">
        <f>IF('Tube Laser'!F62="Yes",'Tube Laser'!J62*0.1,0)</f>
        <v>0</v>
      </c>
      <c r="AG62">
        <f>IF('Tube Laser'!G62&gt;0,'Tube Laser'!J62*0.2,0)</f>
        <v>0</v>
      </c>
      <c r="AH62">
        <f>IF('Tube Laser'!H62="Yes",'Tube Laser'!J62*0.1,0)</f>
        <v>0</v>
      </c>
      <c r="AJ62">
        <f>IFERROR(VLOOKUP('FB Laser'!N63,'FB Data'!A55:E203,3,FALSE)*'FB Laser'!M63,0)</f>
        <v>0</v>
      </c>
      <c r="AK62" t="str">
        <f t="shared" si="0"/>
        <v/>
      </c>
      <c r="AL62" s="33">
        <f>IF(AK62="partial",'FB Laser'!E63/60*35*0.5,IF(AK62="full-time",'FB Laser'!E63/60*35,0))</f>
        <v>0</v>
      </c>
      <c r="AM62" s="33">
        <f>ROUND(IFERROR(AL62/'FB Laser'!B63,0),2)</f>
        <v>0</v>
      </c>
      <c r="AO62">
        <f>IFERROR(VLOOKUP('Tube Laser'!P62,'TL Data'!A55:E1280,3,FALSE)*'Tube Laser'!O62,0)</f>
        <v>0</v>
      </c>
      <c r="AP62" t="str">
        <f t="shared" si="1"/>
        <v/>
      </c>
      <c r="AQ62" s="33">
        <f>IF(AP62="partial",'Tube Laser'!D62/60/60*35*'Tube Laser'!B62*0.5,IF(AP62="full-time",'Tube Laser'!D62/60/60*35*'Tube Laser'!B62,0))</f>
        <v>0</v>
      </c>
      <c r="AR62" s="33">
        <f>ROUND(IFERROR(AQ62/'Tube Laser'!B62,0),2)</f>
        <v>0</v>
      </c>
      <c r="AT62" s="33" t="str">
        <f ca="1">IFERROR('FB Laser'!J63*'FB Laser'!B63,"")</f>
        <v/>
      </c>
      <c r="AU62" s="33" t="str">
        <f ca="1">IFERROR('Tube Laser'!L62*'Tube Laser'!B62,"")</f>
        <v/>
      </c>
    </row>
    <row r="63" spans="1:47">
      <c r="A63" s="10" t="s">
        <v>2807</v>
      </c>
      <c r="B63" s="10" t="s">
        <v>2808</v>
      </c>
      <c r="C63" s="11">
        <v>10.210000000000001</v>
      </c>
      <c r="D63" s="10" t="s">
        <v>22</v>
      </c>
      <c r="E63" s="9">
        <v>1.5</v>
      </c>
      <c r="K63" t="str">
        <f t="array" aca="1" ref="K63" ca="1">INDIRECT(TEXT(MIN(IF(($L$9:$M$100&lt;&gt;"")*(COUNTIF($K$8:K62,$L$9:$M$100)=0),ROW($9:$100)*100+COLUMN($L:$M),7^8)),"R0C00"),)&amp;""</f>
        <v/>
      </c>
      <c r="L63" t="str">
        <f>IF('FB Laser'!A64=0,"",'FB Laser'!A64)</f>
        <v/>
      </c>
      <c r="M63" t="str">
        <f>IF('Tube Laser'!A63=0,"",'Tube Laser'!A63)</f>
        <v/>
      </c>
      <c r="O63" t="str">
        <f t="array" aca="1" ref="O63" ca="1">INDIRECT(TEXT(MIN(IF(($P$9:$Q$100&lt;&gt;"")*(COUNTIF($O$8:O62,$P$9:$Q$100)=0),ROW($9:$100)*100+COLUMN($P:$Q),7^8)),"R0C00"),)&amp;""</f>
        <v/>
      </c>
      <c r="P63" t="str">
        <f>IF('FB Laser'!F64="Yes",'FB Laser'!A64,"")</f>
        <v/>
      </c>
      <c r="Q63" t="str">
        <f>IF('Tube Laser'!I63="Yes",'Tube Laser'!A63,"")</f>
        <v/>
      </c>
      <c r="R63" s="37" t="str">
        <f>IFERROR(('FB Laser'!G64*'FB Laser'!B64),"")</f>
        <v/>
      </c>
      <c r="S63" s="37">
        <f>IFERROR('FB Laser'!H64*'FB Laser'!B64,"")</f>
        <v>0</v>
      </c>
      <c r="U63" s="37">
        <f>IFERROR(((((('Tube Laser'!D63)*'Tube Laser'!B63)/60)/60)*188.17)+(AE63*'Tube Laser'!B63),"")</f>
        <v>0</v>
      </c>
      <c r="V63" s="37">
        <f ca="1">IFERROR(('Tube Laser'!N63*'Tube Laser'!B63)+(AE63*'Tube Laser'!B63)+(AF63*'Tube Laser'!B63)+(AG63*'Tube Laser'!B63)+('FB Data'!AH63*'Tube Laser'!B63),"")</f>
        <v>0</v>
      </c>
      <c r="X63" s="41">
        <f>IFERROR(('Tube Laser'!D63*'Tube Laser'!B63)/60/60,"")</f>
        <v>0</v>
      </c>
      <c r="AE63" t="str">
        <f>IF('Tube Laser'!E63="One Side",'Tube Laser'!J63*0.2,IF('Tube Laser'!E63="Both Sides",'Tube Laser'!J63*0.4,"0"))</f>
        <v>0</v>
      </c>
      <c r="AF63">
        <f>IF('Tube Laser'!F63="Yes",'Tube Laser'!J63*0.1,0)</f>
        <v>0</v>
      </c>
      <c r="AG63">
        <f>IF('Tube Laser'!G63&gt;0,'Tube Laser'!J63*0.2,0)</f>
        <v>0</v>
      </c>
      <c r="AH63">
        <f>IF('Tube Laser'!H63="Yes",'Tube Laser'!J63*0.1,0)</f>
        <v>0</v>
      </c>
      <c r="AJ63">
        <f>IFERROR(VLOOKUP('FB Laser'!N64,'FB Data'!A56:E204,3,FALSE)*'FB Laser'!M64,0)</f>
        <v>0</v>
      </c>
      <c r="AK63" t="str">
        <f t="shared" si="0"/>
        <v/>
      </c>
      <c r="AL63" s="33">
        <f>IF(AK63="partial",'FB Laser'!E64/60*35*0.5,IF(AK63="full-time",'FB Laser'!E64/60*35,0))</f>
        <v>0</v>
      </c>
      <c r="AM63" s="33">
        <f>ROUND(IFERROR(AL63/'FB Laser'!B64,0),2)</f>
        <v>0</v>
      </c>
      <c r="AO63">
        <f>IFERROR(VLOOKUP('Tube Laser'!P63,'TL Data'!A56:E1281,3,FALSE)*'Tube Laser'!O63,0)</f>
        <v>0</v>
      </c>
      <c r="AP63" t="str">
        <f t="shared" si="1"/>
        <v/>
      </c>
      <c r="AQ63" s="33">
        <f>IF(AP63="partial",'Tube Laser'!D63/60/60*35*'Tube Laser'!B63*0.5,IF(AP63="full-time",'Tube Laser'!D63/60/60*35*'Tube Laser'!B63,0))</f>
        <v>0</v>
      </c>
      <c r="AR63" s="33">
        <f>ROUND(IFERROR(AQ63/'Tube Laser'!B63,0),2)</f>
        <v>0</v>
      </c>
      <c r="AT63" s="33" t="str">
        <f ca="1">IFERROR('FB Laser'!J64*'FB Laser'!B64,"")</f>
        <v/>
      </c>
      <c r="AU63" s="33" t="str">
        <f ca="1">IFERROR('Tube Laser'!L63*'Tube Laser'!B63,"")</f>
        <v/>
      </c>
    </row>
    <row r="64" spans="1:47">
      <c r="A64" s="10" t="s">
        <v>2810</v>
      </c>
      <c r="B64" s="10" t="s">
        <v>2809</v>
      </c>
      <c r="C64" s="11">
        <v>4.375</v>
      </c>
      <c r="D64" s="10" t="s">
        <v>22</v>
      </c>
      <c r="E64" s="9">
        <v>1.5</v>
      </c>
      <c r="K64" t="str">
        <f t="array" aca="1" ref="K64" ca="1">INDIRECT(TEXT(MIN(IF(($L$9:$M$100&lt;&gt;"")*(COUNTIF($K$8:K63,$L$9:$M$100)=0),ROW($9:$100)*100+COLUMN($L:$M),7^8)),"R0C00"),)&amp;""</f>
        <v/>
      </c>
      <c r="L64" t="str">
        <f>IF('FB Laser'!A65=0,"",'FB Laser'!A65)</f>
        <v/>
      </c>
      <c r="M64" t="str">
        <f>IF('Tube Laser'!A64=0,"",'Tube Laser'!A64)</f>
        <v/>
      </c>
      <c r="O64" t="str">
        <f t="array" aca="1" ref="O64" ca="1">INDIRECT(TEXT(MIN(IF(($P$9:$Q$100&lt;&gt;"")*(COUNTIF($O$8:O63,$P$9:$Q$100)=0),ROW($9:$100)*100+COLUMN($P:$Q),7^8)),"R0C00"),)&amp;""</f>
        <v/>
      </c>
      <c r="P64" t="str">
        <f>IF('FB Laser'!F65="Yes",'FB Laser'!A65,"")</f>
        <v/>
      </c>
      <c r="Q64" t="str">
        <f>IF('Tube Laser'!I64="Yes",'Tube Laser'!A64,"")</f>
        <v/>
      </c>
      <c r="R64" s="37" t="str">
        <f>IFERROR(('FB Laser'!G65*'FB Laser'!B65),"")</f>
        <v/>
      </c>
      <c r="S64" s="37">
        <f>IFERROR('FB Laser'!H65*'FB Laser'!B65,"")</f>
        <v>0</v>
      </c>
      <c r="U64" s="37">
        <f>IFERROR(((((('Tube Laser'!D64)*'Tube Laser'!B64)/60)/60)*188.17)+(AE64*'Tube Laser'!B64),"")</f>
        <v>0</v>
      </c>
      <c r="V64" s="37">
        <f ca="1">IFERROR(('Tube Laser'!N64*'Tube Laser'!B64)+(AE64*'Tube Laser'!B64)+(AF64*'Tube Laser'!B64)+(AG64*'Tube Laser'!B64)+('FB Data'!AH64*'Tube Laser'!B64),"")</f>
        <v>0</v>
      </c>
      <c r="X64" s="41">
        <f>IFERROR(('Tube Laser'!D64*'Tube Laser'!B64)/60/60,"")</f>
        <v>0</v>
      </c>
      <c r="AE64" t="str">
        <f>IF('Tube Laser'!E64="One Side",'Tube Laser'!J64*0.2,IF('Tube Laser'!E64="Both Sides",'Tube Laser'!J64*0.4,"0"))</f>
        <v>0</v>
      </c>
      <c r="AF64">
        <f>IF('Tube Laser'!F64="Yes",'Tube Laser'!J64*0.1,0)</f>
        <v>0</v>
      </c>
      <c r="AG64">
        <f>IF('Tube Laser'!G64&gt;0,'Tube Laser'!J64*0.2,0)</f>
        <v>0</v>
      </c>
      <c r="AH64">
        <f>IF('Tube Laser'!H64="Yes",'Tube Laser'!J64*0.1,0)</f>
        <v>0</v>
      </c>
      <c r="AJ64">
        <f>IFERROR(VLOOKUP('FB Laser'!N65,'FB Data'!A57:E205,3,FALSE)*'FB Laser'!M65,0)</f>
        <v>0</v>
      </c>
      <c r="AK64" t="str">
        <f t="shared" si="0"/>
        <v/>
      </c>
      <c r="AL64" s="33">
        <f>IF(AK64="partial",'FB Laser'!E65/60*35*0.5,IF(AK64="full-time",'FB Laser'!E65/60*35,0))</f>
        <v>0</v>
      </c>
      <c r="AM64" s="33">
        <f>ROUND(IFERROR(AL64/'FB Laser'!B65,0),2)</f>
        <v>0</v>
      </c>
      <c r="AO64">
        <f>IFERROR(VLOOKUP('Tube Laser'!P64,'TL Data'!A57:E1282,3,FALSE)*'Tube Laser'!O64,0)</f>
        <v>0</v>
      </c>
      <c r="AP64" t="str">
        <f t="shared" si="1"/>
        <v/>
      </c>
      <c r="AQ64" s="33">
        <f>IF(AP64="partial",'Tube Laser'!D64/60/60*35*'Tube Laser'!B64*0.5,IF(AP64="full-time",'Tube Laser'!D64/60/60*35*'Tube Laser'!B64,0))</f>
        <v>0</v>
      </c>
      <c r="AR64" s="33">
        <f>ROUND(IFERROR(AQ64/'Tube Laser'!B64,0),2)</f>
        <v>0</v>
      </c>
      <c r="AT64" s="33" t="str">
        <f ca="1">IFERROR('FB Laser'!J65*'FB Laser'!B65,"")</f>
        <v/>
      </c>
      <c r="AU64" s="33" t="str">
        <f ca="1">IFERROR('Tube Laser'!L64*'Tube Laser'!B64,"")</f>
        <v/>
      </c>
    </row>
    <row r="65" spans="1:47">
      <c r="A65" s="10" t="s">
        <v>2813</v>
      </c>
      <c r="B65" s="10" t="s">
        <v>2811</v>
      </c>
      <c r="C65" s="11">
        <v>3.2810000000000001</v>
      </c>
      <c r="D65" s="10" t="s">
        <v>22</v>
      </c>
      <c r="E65" s="9">
        <v>1.5</v>
      </c>
      <c r="K65" t="str">
        <f t="array" aca="1" ref="K65" ca="1">INDIRECT(TEXT(MIN(IF(($L$9:$M$100&lt;&gt;"")*(COUNTIF($K$8:K64,$L$9:$M$100)=0),ROW($9:$100)*100+COLUMN($L:$M),7^8)),"R0C00"),)&amp;""</f>
        <v/>
      </c>
      <c r="L65" t="str">
        <f>IF('FB Laser'!A66=0,"",'FB Laser'!A66)</f>
        <v/>
      </c>
      <c r="M65" t="str">
        <f>IF('Tube Laser'!A65=0,"",'Tube Laser'!A65)</f>
        <v/>
      </c>
      <c r="O65" t="str">
        <f t="array" aca="1" ref="O65" ca="1">INDIRECT(TEXT(MIN(IF(($P$9:$Q$100&lt;&gt;"")*(COUNTIF($O$8:O64,$P$9:$Q$100)=0),ROW($9:$100)*100+COLUMN($P:$Q),7^8)),"R0C00"),)&amp;""</f>
        <v/>
      </c>
      <c r="P65" t="str">
        <f>IF('FB Laser'!F66="Yes",'FB Laser'!A66,"")</f>
        <v/>
      </c>
      <c r="Q65" t="str">
        <f>IF('Tube Laser'!I65="Yes",'Tube Laser'!A65,"")</f>
        <v/>
      </c>
      <c r="R65" s="37" t="str">
        <f>IFERROR(('FB Laser'!G66*'FB Laser'!B66),"")</f>
        <v/>
      </c>
      <c r="S65" s="37">
        <f>IFERROR('FB Laser'!H66*'FB Laser'!B66,"")</f>
        <v>0</v>
      </c>
      <c r="U65" s="37">
        <f>IFERROR(((((('Tube Laser'!D65)*'Tube Laser'!B65)/60)/60)*188.17)+(AE65*'Tube Laser'!B65),"")</f>
        <v>0</v>
      </c>
      <c r="V65" s="37">
        <f ca="1">IFERROR(('Tube Laser'!N65*'Tube Laser'!B65)+(AE65*'Tube Laser'!B65)+(AF65*'Tube Laser'!B65)+(AG65*'Tube Laser'!B65)+('FB Data'!AH65*'Tube Laser'!B65),"")</f>
        <v>0</v>
      </c>
      <c r="X65" s="41">
        <f>IFERROR(('Tube Laser'!D65*'Tube Laser'!B65)/60/60,"")</f>
        <v>0</v>
      </c>
      <c r="AE65" t="str">
        <f>IF('Tube Laser'!E65="One Side",'Tube Laser'!J65*0.2,IF('Tube Laser'!E65="Both Sides",'Tube Laser'!J65*0.4,"0"))</f>
        <v>0</v>
      </c>
      <c r="AF65">
        <f>IF('Tube Laser'!F65="Yes",'Tube Laser'!J65*0.1,0)</f>
        <v>0</v>
      </c>
      <c r="AG65">
        <f>IF('Tube Laser'!G65&gt;0,'Tube Laser'!J65*0.2,0)</f>
        <v>0</v>
      </c>
      <c r="AH65">
        <f>IF('Tube Laser'!H65="Yes",'Tube Laser'!J65*0.1,0)</f>
        <v>0</v>
      </c>
      <c r="AJ65">
        <f>IFERROR(VLOOKUP('FB Laser'!N66,'FB Data'!A58:E206,3,FALSE)*'FB Laser'!M66,0)</f>
        <v>0</v>
      </c>
      <c r="AK65" t="str">
        <f t="shared" si="0"/>
        <v/>
      </c>
      <c r="AL65" s="33">
        <f>IF(AK65="partial",'FB Laser'!E66/60*35*0.5,IF(AK65="full-time",'FB Laser'!E66/60*35,0))</f>
        <v>0</v>
      </c>
      <c r="AM65" s="33">
        <f>ROUND(IFERROR(AL65/'FB Laser'!B66,0),2)</f>
        <v>0</v>
      </c>
      <c r="AO65">
        <f>IFERROR(VLOOKUP('Tube Laser'!P65,'TL Data'!A58:E1283,3,FALSE)*'Tube Laser'!O65,0)</f>
        <v>0</v>
      </c>
      <c r="AP65" t="str">
        <f t="shared" si="1"/>
        <v/>
      </c>
      <c r="AQ65" s="33">
        <f>IF(AP65="partial",'Tube Laser'!D65/60/60*35*'Tube Laser'!B65*0.5,IF(AP65="full-time",'Tube Laser'!D65/60/60*35*'Tube Laser'!B65,0))</f>
        <v>0</v>
      </c>
      <c r="AR65" s="33">
        <f>ROUND(IFERROR(AQ65/'Tube Laser'!B65,0),2)</f>
        <v>0</v>
      </c>
      <c r="AT65" s="33" t="str">
        <f ca="1">IFERROR('FB Laser'!J66*'FB Laser'!B66,"")</f>
        <v/>
      </c>
      <c r="AU65" s="33" t="str">
        <f ca="1">IFERROR('Tube Laser'!L65*'Tube Laser'!B65,"")</f>
        <v/>
      </c>
    </row>
    <row r="66" spans="1:47">
      <c r="A66" s="10" t="s">
        <v>2814</v>
      </c>
      <c r="B66" s="10" t="s">
        <v>2812</v>
      </c>
      <c r="C66" s="11">
        <v>2.6560000000000001</v>
      </c>
      <c r="D66" s="10" t="s">
        <v>22</v>
      </c>
      <c r="E66" s="9">
        <v>1.5</v>
      </c>
      <c r="K66" t="str">
        <f t="array" aca="1" ref="K66" ca="1">INDIRECT(TEXT(MIN(IF(($L$9:$M$100&lt;&gt;"")*(COUNTIF($K$8:K65,$L$9:$M$100)=0),ROW($9:$100)*100+COLUMN($L:$M),7^8)),"R0C00"),)&amp;""</f>
        <v/>
      </c>
      <c r="L66" t="str">
        <f>IF('FB Laser'!A67=0,"",'FB Laser'!A67)</f>
        <v/>
      </c>
      <c r="M66" t="str">
        <f>IF('Tube Laser'!A66=0,"",'Tube Laser'!A66)</f>
        <v/>
      </c>
      <c r="O66" t="str">
        <f t="array" aca="1" ref="O66" ca="1">INDIRECT(TEXT(MIN(IF(($P$9:$Q$100&lt;&gt;"")*(COUNTIF($O$8:O65,$P$9:$Q$100)=0),ROW($9:$100)*100+COLUMN($P:$Q),7^8)),"R0C00"),)&amp;""</f>
        <v/>
      </c>
      <c r="P66" t="str">
        <f>IF('FB Laser'!F67="Yes",'FB Laser'!A67,"")</f>
        <v/>
      </c>
      <c r="Q66" t="str">
        <f>IF('Tube Laser'!I66="Yes",'Tube Laser'!A66,"")</f>
        <v/>
      </c>
      <c r="R66" s="37" t="str">
        <f>IFERROR(('FB Laser'!G67*'FB Laser'!B67),"")</f>
        <v/>
      </c>
      <c r="S66" s="37">
        <f>IFERROR('FB Laser'!H67*'FB Laser'!B67,"")</f>
        <v>0</v>
      </c>
      <c r="U66" s="37">
        <f>IFERROR(((((('Tube Laser'!D66)*'Tube Laser'!B66)/60)/60)*188.17)+(AE66*'Tube Laser'!B66),"")</f>
        <v>0</v>
      </c>
      <c r="V66" s="37">
        <f ca="1">IFERROR(('Tube Laser'!N66*'Tube Laser'!B66)+(AE66*'Tube Laser'!B66)+(AF66*'Tube Laser'!B66)+(AG66*'Tube Laser'!B66)+('FB Data'!AH66*'Tube Laser'!B66),"")</f>
        <v>0</v>
      </c>
      <c r="X66" s="41">
        <f>IFERROR(('Tube Laser'!D66*'Tube Laser'!B66)/60/60,"")</f>
        <v>0</v>
      </c>
      <c r="AE66" t="str">
        <f>IF('Tube Laser'!E66="One Side",'Tube Laser'!J66*0.2,IF('Tube Laser'!E66="Both Sides",'Tube Laser'!J66*0.4,"0"))</f>
        <v>0</v>
      </c>
      <c r="AF66">
        <f>IF('Tube Laser'!F66="Yes",'Tube Laser'!J66*0.1,0)</f>
        <v>0</v>
      </c>
      <c r="AG66">
        <f>IF('Tube Laser'!G66&gt;0,'Tube Laser'!J66*0.2,0)</f>
        <v>0</v>
      </c>
      <c r="AH66">
        <f>IF('Tube Laser'!H66="Yes",'Tube Laser'!J66*0.1,0)</f>
        <v>0</v>
      </c>
      <c r="AJ66">
        <f>IFERROR(VLOOKUP('FB Laser'!N67,'FB Data'!A59:E207,3,FALSE)*'FB Laser'!M67,0)</f>
        <v>0</v>
      </c>
      <c r="AK66" t="str">
        <f t="shared" si="0"/>
        <v/>
      </c>
      <c r="AL66" s="33">
        <f>IF(AK66="partial",'FB Laser'!E67/60*35*0.5,IF(AK66="full-time",'FB Laser'!E67/60*35,0))</f>
        <v>0</v>
      </c>
      <c r="AM66" s="33">
        <f>ROUND(IFERROR(AL66/'FB Laser'!B67,0),2)</f>
        <v>0</v>
      </c>
      <c r="AO66">
        <f>IFERROR(VLOOKUP('Tube Laser'!P66,'TL Data'!A59:E1284,3,FALSE)*'Tube Laser'!O66,0)</f>
        <v>0</v>
      </c>
      <c r="AP66" t="str">
        <f t="shared" si="1"/>
        <v/>
      </c>
      <c r="AQ66" s="33">
        <f>IF(AP66="partial",'Tube Laser'!D66/60/60*35*'Tube Laser'!B66*0.5,IF(AP66="full-time",'Tube Laser'!D66/60/60*35*'Tube Laser'!B66,0))</f>
        <v>0</v>
      </c>
      <c r="AR66" s="33">
        <f>ROUND(IFERROR(AQ66/'Tube Laser'!B66,0),2)</f>
        <v>0</v>
      </c>
      <c r="AT66" s="33" t="str">
        <f ca="1">IFERROR('FB Laser'!J67*'FB Laser'!B67,"")</f>
        <v/>
      </c>
      <c r="AU66" s="33" t="str">
        <f ca="1">IFERROR('Tube Laser'!L66*'Tube Laser'!B66,"")</f>
        <v/>
      </c>
    </row>
    <row r="67" spans="1:47">
      <c r="A67" s="10" t="s">
        <v>123</v>
      </c>
      <c r="B67" s="10" t="s">
        <v>124</v>
      </c>
      <c r="C67" s="11">
        <v>61.25</v>
      </c>
      <c r="D67" s="10" t="s">
        <v>22</v>
      </c>
      <c r="E67" s="9">
        <v>1.5</v>
      </c>
      <c r="K67" t="str">
        <f t="array" aca="1" ref="K67" ca="1">INDIRECT(TEXT(MIN(IF(($L$9:$M$100&lt;&gt;"")*(COUNTIF($K$8:K66,$L$9:$M$100)=0),ROW($9:$100)*100+COLUMN($L:$M),7^8)),"R0C00"),)&amp;""</f>
        <v/>
      </c>
      <c r="L67" t="str">
        <f>IF('FB Laser'!A68=0,"",'FB Laser'!A68)</f>
        <v/>
      </c>
      <c r="M67" t="str">
        <f>IF('Tube Laser'!A67=0,"",'Tube Laser'!A67)</f>
        <v/>
      </c>
      <c r="O67" t="str">
        <f t="array" aca="1" ref="O67" ca="1">INDIRECT(TEXT(MIN(IF(($P$9:$Q$100&lt;&gt;"")*(COUNTIF($O$8:O66,$P$9:$Q$100)=0),ROW($9:$100)*100+COLUMN($P:$Q),7^8)),"R0C00"),)&amp;""</f>
        <v/>
      </c>
      <c r="P67" t="str">
        <f>IF('FB Laser'!F68="Yes",'FB Laser'!A68,"")</f>
        <v/>
      </c>
      <c r="Q67" t="str">
        <f>IF('Tube Laser'!I67="Yes",'Tube Laser'!A67,"")</f>
        <v/>
      </c>
      <c r="R67" s="37" t="str">
        <f>IFERROR(('FB Laser'!G68*'FB Laser'!B68),"")</f>
        <v/>
      </c>
      <c r="S67" s="37">
        <f>IFERROR('FB Laser'!H68*'FB Laser'!B68,"")</f>
        <v>0</v>
      </c>
      <c r="U67" s="37">
        <f>IFERROR(((((('Tube Laser'!D67)*'Tube Laser'!B67)/60)/60)*188.17)+(AE67*'Tube Laser'!B67),"")</f>
        <v>0</v>
      </c>
      <c r="V67" s="37">
        <f ca="1">IFERROR(('Tube Laser'!N67*'Tube Laser'!B67)+(AE67*'Tube Laser'!B67)+(AF67*'Tube Laser'!B67)+(AG67*'Tube Laser'!B67)+('FB Data'!AH67*'Tube Laser'!B67),"")</f>
        <v>0</v>
      </c>
      <c r="X67" s="41">
        <f>IFERROR(('Tube Laser'!D67*'Tube Laser'!B67)/60/60,"")</f>
        <v>0</v>
      </c>
      <c r="AE67" t="str">
        <f>IF('Tube Laser'!E67="One Side",'Tube Laser'!J67*0.2,IF('Tube Laser'!E67="Both Sides",'Tube Laser'!J67*0.4,"0"))</f>
        <v>0</v>
      </c>
      <c r="AF67">
        <f>IF('Tube Laser'!F67="Yes",'Tube Laser'!J67*0.1,0)</f>
        <v>0</v>
      </c>
      <c r="AG67">
        <f>IF('Tube Laser'!G67&gt;0,'Tube Laser'!J67*0.2,0)</f>
        <v>0</v>
      </c>
      <c r="AH67">
        <f>IF('Tube Laser'!H67="Yes",'Tube Laser'!J67*0.1,0)</f>
        <v>0</v>
      </c>
      <c r="AJ67">
        <f>IFERROR(VLOOKUP('FB Laser'!N68,'FB Data'!A60:E208,3,FALSE)*'FB Laser'!M68,0)</f>
        <v>0</v>
      </c>
      <c r="AK67" t="str">
        <f t="shared" si="0"/>
        <v/>
      </c>
      <c r="AL67" s="33">
        <f>IF(AK67="partial",'FB Laser'!E68/60*35*0.5,IF(AK67="full-time",'FB Laser'!E68/60*35,0))</f>
        <v>0</v>
      </c>
      <c r="AM67" s="33">
        <f>ROUND(IFERROR(AL67/'FB Laser'!B68,0),2)</f>
        <v>0</v>
      </c>
      <c r="AO67">
        <f>IFERROR(VLOOKUP('Tube Laser'!P67,'TL Data'!A60:E1285,3,FALSE)*'Tube Laser'!O67,0)</f>
        <v>0</v>
      </c>
      <c r="AP67" t="str">
        <f t="shared" si="1"/>
        <v/>
      </c>
      <c r="AQ67" s="33">
        <f>IF(AP67="partial",'Tube Laser'!D67/60/60*35*'Tube Laser'!B67*0.5,IF(AP67="full-time",'Tube Laser'!D67/60/60*35*'Tube Laser'!B67,0))</f>
        <v>0</v>
      </c>
      <c r="AR67" s="33">
        <f>ROUND(IFERROR(AQ67/'Tube Laser'!B67,0),2)</f>
        <v>0</v>
      </c>
      <c r="AT67" s="33" t="str">
        <f ca="1">IFERROR('FB Laser'!J68*'FB Laser'!B68,"")</f>
        <v/>
      </c>
      <c r="AU67" s="33" t="str">
        <f ca="1">IFERROR('Tube Laser'!L67*'Tube Laser'!B67,"")</f>
        <v/>
      </c>
    </row>
    <row r="68" spans="1:47">
      <c r="A68" s="10" t="s">
        <v>125</v>
      </c>
      <c r="B68" s="10" t="s">
        <v>126</v>
      </c>
      <c r="C68" s="11">
        <v>35.72</v>
      </c>
      <c r="D68" s="10" t="s">
        <v>22</v>
      </c>
      <c r="E68" s="9">
        <v>1.5</v>
      </c>
      <c r="K68" t="str">
        <f t="array" aca="1" ref="K68" ca="1">INDIRECT(TEXT(MIN(IF(($L$9:$M$100&lt;&gt;"")*(COUNTIF($K$8:K67,$L$9:$M$100)=0),ROW($9:$100)*100+COLUMN($L:$M),7^8)),"R0C00"),)&amp;""</f>
        <v/>
      </c>
      <c r="L68" t="str">
        <f>IF('FB Laser'!A69=0,"",'FB Laser'!A69)</f>
        <v/>
      </c>
      <c r="M68" t="str">
        <f>IF('Tube Laser'!A68=0,"",'Tube Laser'!A68)</f>
        <v/>
      </c>
      <c r="O68" t="str">
        <f t="array" aca="1" ref="O68" ca="1">INDIRECT(TEXT(MIN(IF(($P$9:$Q$100&lt;&gt;"")*(COUNTIF($O$8:O67,$P$9:$Q$100)=0),ROW($9:$100)*100+COLUMN($P:$Q),7^8)),"R0C00"),)&amp;""</f>
        <v/>
      </c>
      <c r="P68" t="str">
        <f>IF('FB Laser'!F69="Yes",'FB Laser'!A69,"")</f>
        <v/>
      </c>
      <c r="Q68" t="str">
        <f>IF('Tube Laser'!I68="Yes",'Tube Laser'!A68,"")</f>
        <v/>
      </c>
      <c r="R68" s="37" t="str">
        <f>IFERROR(('FB Laser'!G69*'FB Laser'!B69),"")</f>
        <v/>
      </c>
      <c r="S68" s="37">
        <f>IFERROR('FB Laser'!H69*'FB Laser'!B69,"")</f>
        <v>0</v>
      </c>
      <c r="U68" s="37">
        <f>IFERROR(((((('Tube Laser'!D68)*'Tube Laser'!B68)/60)/60)*188.17)+(AE68*'Tube Laser'!B68),"")</f>
        <v>0</v>
      </c>
      <c r="V68" s="37">
        <f ca="1">IFERROR(('Tube Laser'!N68*'Tube Laser'!B68)+(AE68*'Tube Laser'!B68)+(AF68*'Tube Laser'!B68)+(AG68*'Tube Laser'!B68)+('FB Data'!AH68*'Tube Laser'!B68),"")</f>
        <v>0</v>
      </c>
      <c r="X68" s="41">
        <f>IFERROR(('Tube Laser'!D68*'Tube Laser'!B68)/60/60,"")</f>
        <v>0</v>
      </c>
      <c r="AE68" t="str">
        <f>IF('Tube Laser'!E68="One Side",'Tube Laser'!J68*0.2,IF('Tube Laser'!E68="Both Sides",'Tube Laser'!J68*0.4,"0"))</f>
        <v>0</v>
      </c>
      <c r="AF68">
        <f>IF('Tube Laser'!F68="Yes",'Tube Laser'!J68*0.1,0)</f>
        <v>0</v>
      </c>
      <c r="AG68">
        <f>IF('Tube Laser'!G68&gt;0,'Tube Laser'!J68*0.2,0)</f>
        <v>0</v>
      </c>
      <c r="AH68">
        <f>IF('Tube Laser'!H68="Yes",'Tube Laser'!J68*0.1,0)</f>
        <v>0</v>
      </c>
      <c r="AJ68">
        <f>IFERROR(VLOOKUP('FB Laser'!N69,'FB Data'!A61:E209,3,FALSE)*'FB Laser'!M69,0)</f>
        <v>0</v>
      </c>
      <c r="AK68" t="str">
        <f t="shared" si="0"/>
        <v/>
      </c>
      <c r="AL68" s="33">
        <f>IF(AK68="partial",'FB Laser'!E69/60*35*0.5,IF(AK68="full-time",'FB Laser'!E69/60*35,0))</f>
        <v>0</v>
      </c>
      <c r="AM68" s="33">
        <f>ROUND(IFERROR(AL68/'FB Laser'!B69,0),2)</f>
        <v>0</v>
      </c>
      <c r="AO68">
        <f>IFERROR(VLOOKUP('Tube Laser'!P68,'TL Data'!A61:E1286,3,FALSE)*'Tube Laser'!O68,0)</f>
        <v>0</v>
      </c>
      <c r="AP68" t="str">
        <f t="shared" si="1"/>
        <v/>
      </c>
      <c r="AQ68" s="33">
        <f>IF(AP68="partial",'Tube Laser'!D68/60/60*35*'Tube Laser'!B68*0.5,IF(AP68="full-time",'Tube Laser'!D68/60/60*35*'Tube Laser'!B68,0))</f>
        <v>0</v>
      </c>
      <c r="AR68" s="33">
        <f>ROUND(IFERROR(AQ68/'Tube Laser'!B68,0),2)</f>
        <v>0</v>
      </c>
      <c r="AT68" s="33" t="str">
        <f ca="1">IFERROR('FB Laser'!J69*'FB Laser'!B69,"")</f>
        <v/>
      </c>
      <c r="AU68" s="33" t="str">
        <f ca="1">IFERROR('Tube Laser'!L68*'Tube Laser'!B68,"")</f>
        <v/>
      </c>
    </row>
    <row r="69" spans="1:47">
      <c r="A69" s="10" t="s">
        <v>2818</v>
      </c>
      <c r="B69" s="10" t="s">
        <v>2819</v>
      </c>
      <c r="C69" s="11">
        <v>5.625</v>
      </c>
      <c r="D69" s="10" t="s">
        <v>22</v>
      </c>
      <c r="E69" s="9">
        <v>1.5</v>
      </c>
      <c r="K69" t="str">
        <f t="array" aca="1" ref="K69" ca="1">INDIRECT(TEXT(MIN(IF(($L$9:$M$100&lt;&gt;"")*(COUNTIF($K$8:K68,$L$9:$M$100)=0),ROW($9:$100)*100+COLUMN($L:$M),7^8)),"R0C00"),)&amp;""</f>
        <v/>
      </c>
      <c r="L69" t="str">
        <f>IF('FB Laser'!A70=0,"",'FB Laser'!A70)</f>
        <v/>
      </c>
      <c r="M69" t="str">
        <f>IF('Tube Laser'!A69=0,"",'Tube Laser'!A69)</f>
        <v/>
      </c>
      <c r="O69" t="str">
        <f t="array" aca="1" ref="O69" ca="1">INDIRECT(TEXT(MIN(IF(($P$9:$Q$100&lt;&gt;"")*(COUNTIF($O$8:O68,$P$9:$Q$100)=0),ROW($9:$100)*100+COLUMN($P:$Q),7^8)),"R0C00"),)&amp;""</f>
        <v/>
      </c>
      <c r="P69" t="str">
        <f>IF('FB Laser'!F70="Yes",'FB Laser'!A70,"")</f>
        <v/>
      </c>
      <c r="Q69" t="str">
        <f>IF('Tube Laser'!I69="Yes",'Tube Laser'!A69,"")</f>
        <v/>
      </c>
      <c r="R69" s="37" t="str">
        <f>IFERROR(('FB Laser'!G70*'FB Laser'!B70),"")</f>
        <v/>
      </c>
      <c r="S69" s="37">
        <f>IFERROR('FB Laser'!H70*'FB Laser'!B70,"")</f>
        <v>0</v>
      </c>
      <c r="U69" s="37">
        <f>IFERROR(((((('Tube Laser'!D69)*'Tube Laser'!B69)/60)/60)*188.17)+(AE69*'Tube Laser'!B69),"")</f>
        <v>0</v>
      </c>
      <c r="V69" s="37">
        <f ca="1">IFERROR(('Tube Laser'!N69*'Tube Laser'!B69)+(AE69*'Tube Laser'!B69)+(AF69*'Tube Laser'!B69)+(AG69*'Tube Laser'!B69)+('FB Data'!AH69*'Tube Laser'!B69),"")</f>
        <v>0</v>
      </c>
      <c r="X69" s="41">
        <f>IFERROR(('Tube Laser'!D69*'Tube Laser'!B69)/60/60,"")</f>
        <v>0</v>
      </c>
      <c r="AE69" t="str">
        <f>IF('Tube Laser'!E69="One Side",'Tube Laser'!J69*0.2,IF('Tube Laser'!E69="Both Sides",'Tube Laser'!J69*0.4,"0"))</f>
        <v>0</v>
      </c>
      <c r="AF69">
        <f>IF('Tube Laser'!F69="Yes",'Tube Laser'!J69*0.1,0)</f>
        <v>0</v>
      </c>
      <c r="AG69">
        <f>IF('Tube Laser'!G69&gt;0,'Tube Laser'!J69*0.2,0)</f>
        <v>0</v>
      </c>
      <c r="AH69">
        <f>IF('Tube Laser'!H69="Yes",'Tube Laser'!J69*0.1,0)</f>
        <v>0</v>
      </c>
      <c r="AJ69">
        <f>IFERROR(VLOOKUP('FB Laser'!N70,'FB Data'!A62:E210,3,FALSE)*'FB Laser'!M70,0)</f>
        <v>0</v>
      </c>
      <c r="AK69" t="str">
        <f t="shared" si="0"/>
        <v/>
      </c>
      <c r="AL69" s="33">
        <f>IF(AK69="partial",'FB Laser'!E70/60*35*0.5,IF(AK69="full-time",'FB Laser'!E70/60*35,0))</f>
        <v>0</v>
      </c>
      <c r="AM69" s="33">
        <f>ROUND(IFERROR(AL69/'FB Laser'!B70,0),2)</f>
        <v>0</v>
      </c>
      <c r="AO69">
        <f>IFERROR(VLOOKUP('Tube Laser'!P69,'TL Data'!A62:E1287,3,FALSE)*'Tube Laser'!O69,0)</f>
        <v>0</v>
      </c>
      <c r="AP69" t="str">
        <f t="shared" si="1"/>
        <v/>
      </c>
      <c r="AQ69" s="33">
        <f>IF(AP69="partial",'Tube Laser'!D69/60/60*35*'Tube Laser'!B69*0.5,IF(AP69="full-time",'Tube Laser'!D69/60/60*35*'Tube Laser'!B69,0))</f>
        <v>0</v>
      </c>
      <c r="AR69" s="33">
        <f>ROUND(IFERROR(AQ69/'Tube Laser'!B69,0),2)</f>
        <v>0</v>
      </c>
      <c r="AT69" s="33" t="str">
        <f ca="1">IFERROR('FB Laser'!J70*'FB Laser'!B70,"")</f>
        <v/>
      </c>
      <c r="AU69" s="33" t="str">
        <f ca="1">IFERROR('Tube Laser'!L69*'Tube Laser'!B69,"")</f>
        <v/>
      </c>
    </row>
    <row r="70" spans="1:47">
      <c r="A70" s="10" t="s">
        <v>127</v>
      </c>
      <c r="B70" s="10" t="s">
        <v>2817</v>
      </c>
      <c r="C70" s="11">
        <v>5</v>
      </c>
      <c r="D70" s="10" t="s">
        <v>22</v>
      </c>
      <c r="E70" s="9">
        <v>1.5</v>
      </c>
      <c r="K70" t="str">
        <f t="array" aca="1" ref="K70" ca="1">INDIRECT(TEXT(MIN(IF(($L$9:$M$100&lt;&gt;"")*(COUNTIF($K$8:K69,$L$9:$M$100)=0),ROW($9:$100)*100+COLUMN($L:$M),7^8)),"R0C00"),)&amp;""</f>
        <v/>
      </c>
      <c r="L70" t="str">
        <f>IF('FB Laser'!A71=0,"",'FB Laser'!A71)</f>
        <v/>
      </c>
      <c r="M70" t="str">
        <f>IF('Tube Laser'!A70=0,"",'Tube Laser'!A70)</f>
        <v/>
      </c>
      <c r="O70" t="str">
        <f t="array" aca="1" ref="O70" ca="1">INDIRECT(TEXT(MIN(IF(($P$9:$Q$100&lt;&gt;"")*(COUNTIF($O$8:O69,$P$9:$Q$100)=0),ROW($9:$100)*100+COLUMN($P:$Q),7^8)),"R0C00"),)&amp;""</f>
        <v/>
      </c>
      <c r="P70" t="str">
        <f>IF('FB Laser'!F71="Yes",'FB Laser'!A71,"")</f>
        <v/>
      </c>
      <c r="Q70" t="str">
        <f>IF('Tube Laser'!I70="Yes",'Tube Laser'!A70,"")</f>
        <v/>
      </c>
      <c r="R70" s="37" t="str">
        <f>IFERROR(('FB Laser'!G71*'FB Laser'!B71),"")</f>
        <v/>
      </c>
      <c r="S70" s="37">
        <f>IFERROR('FB Laser'!H71*'FB Laser'!B71,"")</f>
        <v>0</v>
      </c>
      <c r="U70" s="37">
        <f>IFERROR(((((('Tube Laser'!D70)*'Tube Laser'!B70)/60)/60)*188.17)+(AE70*'Tube Laser'!B70),"")</f>
        <v>0</v>
      </c>
      <c r="V70" s="37">
        <f ca="1">IFERROR(('Tube Laser'!N70*'Tube Laser'!B70)+(AE70*'Tube Laser'!B70)+(AF70*'Tube Laser'!B70)+(AG70*'Tube Laser'!B70)+('FB Data'!AH70*'Tube Laser'!B70),"")</f>
        <v>0</v>
      </c>
      <c r="X70" s="41">
        <f>IFERROR(('Tube Laser'!D70*'Tube Laser'!B70)/60/60,"")</f>
        <v>0</v>
      </c>
      <c r="AE70" t="str">
        <f>IF('Tube Laser'!E70="One Side",'Tube Laser'!J70*0.2,IF('Tube Laser'!E70="Both Sides",'Tube Laser'!J70*0.4,"0"))</f>
        <v>0</v>
      </c>
      <c r="AF70">
        <f>IF('Tube Laser'!F70="Yes",'Tube Laser'!J70*0.1,0)</f>
        <v>0</v>
      </c>
      <c r="AG70">
        <f>IF('Tube Laser'!G70&gt;0,'Tube Laser'!J70*0.2,0)</f>
        <v>0</v>
      </c>
      <c r="AH70">
        <f>IF('Tube Laser'!H70="Yes",'Tube Laser'!J70*0.1,0)</f>
        <v>0</v>
      </c>
      <c r="AJ70">
        <f>IFERROR(VLOOKUP('FB Laser'!N71,'FB Data'!A63:E211,3,FALSE)*'FB Laser'!M71,0)</f>
        <v>0</v>
      </c>
      <c r="AK70" t="str">
        <f t="shared" si="0"/>
        <v/>
      </c>
      <c r="AL70" s="33">
        <f>IF(AK70="partial",'FB Laser'!E71/60*35*0.5,IF(AK70="full-time",'FB Laser'!E71/60*35,0))</f>
        <v>0</v>
      </c>
      <c r="AM70" s="33">
        <f>ROUND(IFERROR(AL70/'FB Laser'!B71,0),2)</f>
        <v>0</v>
      </c>
      <c r="AO70">
        <f>IFERROR(VLOOKUP('Tube Laser'!P70,'TL Data'!A63:E1288,3,FALSE)*'Tube Laser'!O70,0)</f>
        <v>0</v>
      </c>
      <c r="AP70" t="str">
        <f t="shared" si="1"/>
        <v/>
      </c>
      <c r="AQ70" s="33">
        <f>IF(AP70="partial",'Tube Laser'!D70/60/60*35*'Tube Laser'!B70*0.5,IF(AP70="full-time",'Tube Laser'!D70/60/60*35*'Tube Laser'!B70,0))</f>
        <v>0</v>
      </c>
      <c r="AR70" s="33">
        <f>ROUND(IFERROR(AQ70/'Tube Laser'!B70,0),2)</f>
        <v>0</v>
      </c>
      <c r="AT70" s="33" t="str">
        <f ca="1">IFERROR('FB Laser'!J71*'FB Laser'!B71,"")</f>
        <v/>
      </c>
      <c r="AU70" s="33" t="str">
        <f ca="1">IFERROR('Tube Laser'!L70*'Tube Laser'!B70,"")</f>
        <v/>
      </c>
    </row>
    <row r="71" spans="1:47">
      <c r="A71" s="10" t="s">
        <v>2820</v>
      </c>
      <c r="B71" s="10" t="s">
        <v>2822</v>
      </c>
      <c r="C71" s="11">
        <v>4.375</v>
      </c>
      <c r="D71" s="10" t="s">
        <v>22</v>
      </c>
      <c r="E71" s="9">
        <v>1.5</v>
      </c>
      <c r="K71" t="str">
        <f t="array" aca="1" ref="K71" ca="1">INDIRECT(TEXT(MIN(IF(($L$9:$M$100&lt;&gt;"")*(COUNTIF($K$8:K70,$L$9:$M$100)=0),ROW($9:$100)*100+COLUMN($L:$M),7^8)),"R0C00"),)&amp;""</f>
        <v/>
      </c>
      <c r="L71" t="str">
        <f>IF('FB Laser'!A72=0,"",'FB Laser'!A72)</f>
        <v/>
      </c>
      <c r="M71" t="str">
        <f>IF('Tube Laser'!A71=0,"",'Tube Laser'!A71)</f>
        <v/>
      </c>
      <c r="O71" t="str">
        <f t="array" aca="1" ref="O71" ca="1">INDIRECT(TEXT(MIN(IF(($P$9:$Q$100&lt;&gt;"")*(COUNTIF($O$8:O70,$P$9:$Q$100)=0),ROW($9:$100)*100+COLUMN($P:$Q),7^8)),"R0C00"),)&amp;""</f>
        <v/>
      </c>
      <c r="P71" t="str">
        <f>IF('FB Laser'!F72="Yes",'FB Laser'!A72,"")</f>
        <v/>
      </c>
      <c r="Q71" t="str">
        <f>IF('Tube Laser'!I71="Yes",'Tube Laser'!A71,"")</f>
        <v/>
      </c>
      <c r="R71" s="37" t="str">
        <f>IFERROR(('FB Laser'!G72*'FB Laser'!B72),"")</f>
        <v/>
      </c>
      <c r="S71" s="37">
        <f>IFERROR('FB Laser'!H72*'FB Laser'!B72,"")</f>
        <v>0</v>
      </c>
      <c r="U71" s="37">
        <f>IFERROR(((((('Tube Laser'!D71)*'Tube Laser'!B71)/60)/60)*188.17)+(AE71*'Tube Laser'!B71),"")</f>
        <v>0</v>
      </c>
      <c r="V71" s="37">
        <f ca="1">IFERROR(('Tube Laser'!N71*'Tube Laser'!B71)+(AE71*'Tube Laser'!B71)+(AF71*'Tube Laser'!B71)+(AG71*'Tube Laser'!B71)+('FB Data'!AH71*'Tube Laser'!B71),"")</f>
        <v>0</v>
      </c>
      <c r="X71" s="41">
        <f>IFERROR(('Tube Laser'!D71*'Tube Laser'!B71)/60/60,"")</f>
        <v>0</v>
      </c>
      <c r="AE71" t="str">
        <f>IF('Tube Laser'!E71="One Side",'Tube Laser'!J71*0.2,IF('Tube Laser'!E71="Both Sides",'Tube Laser'!J71*0.4,"0"))</f>
        <v>0</v>
      </c>
      <c r="AF71">
        <f>IF('Tube Laser'!F71="Yes",'Tube Laser'!J71*0.1,0)</f>
        <v>0</v>
      </c>
      <c r="AG71">
        <f>IF('Tube Laser'!G71&gt;0,'Tube Laser'!J71*0.2,0)</f>
        <v>0</v>
      </c>
      <c r="AH71">
        <f>IF('Tube Laser'!H71="Yes",'Tube Laser'!J71*0.1,0)</f>
        <v>0</v>
      </c>
      <c r="AJ71">
        <f>IFERROR(VLOOKUP('FB Laser'!N72,'FB Data'!A64:E212,3,FALSE)*'FB Laser'!M72,0)</f>
        <v>0</v>
      </c>
      <c r="AK71" t="str">
        <f t="shared" si="0"/>
        <v/>
      </c>
      <c r="AL71" s="33">
        <f>IF(AK71="partial",'FB Laser'!E72/60*35*0.5,IF(AK71="full-time",'FB Laser'!E72/60*35,0))</f>
        <v>0</v>
      </c>
      <c r="AM71" s="33">
        <f>ROUND(IFERROR(AL71/'FB Laser'!B72,0),2)</f>
        <v>0</v>
      </c>
      <c r="AO71">
        <f>IFERROR(VLOOKUP('Tube Laser'!P71,'TL Data'!A64:E1289,3,FALSE)*'Tube Laser'!O71,0)</f>
        <v>0</v>
      </c>
      <c r="AP71" t="str">
        <f t="shared" si="1"/>
        <v/>
      </c>
      <c r="AQ71" s="33">
        <f>IF(AP71="partial",'Tube Laser'!D71/60/60*35*'Tube Laser'!B71*0.5,IF(AP71="full-time",'Tube Laser'!D71/60/60*35*'Tube Laser'!B71,0))</f>
        <v>0</v>
      </c>
      <c r="AR71" s="33">
        <f>ROUND(IFERROR(AQ71/'Tube Laser'!B71,0),2)</f>
        <v>0</v>
      </c>
      <c r="AT71" s="33" t="str">
        <f ca="1">IFERROR('FB Laser'!J72*'FB Laser'!B72,"")</f>
        <v/>
      </c>
      <c r="AU71" s="33" t="str">
        <f ca="1">IFERROR('Tube Laser'!L71*'Tube Laser'!B71,"")</f>
        <v/>
      </c>
    </row>
    <row r="72" spans="1:47">
      <c r="A72" s="10" t="s">
        <v>2821</v>
      </c>
      <c r="B72" s="10" t="s">
        <v>2823</v>
      </c>
      <c r="C72" s="11">
        <v>3.125</v>
      </c>
      <c r="D72" s="10" t="s">
        <v>22</v>
      </c>
      <c r="E72" s="9">
        <v>1.5</v>
      </c>
      <c r="K72" t="str">
        <f t="array" aca="1" ref="K72" ca="1">INDIRECT(TEXT(MIN(IF(($L$9:$M$100&lt;&gt;"")*(COUNTIF($K$8:K71,$L$9:$M$100)=0),ROW($9:$100)*100+COLUMN($L:$M),7^8)),"R0C00"),)&amp;""</f>
        <v/>
      </c>
      <c r="L72" t="str">
        <f>IF('FB Laser'!A73=0,"",'FB Laser'!A73)</f>
        <v/>
      </c>
      <c r="M72" t="str">
        <f>IF('Tube Laser'!A72=0,"",'Tube Laser'!A72)</f>
        <v/>
      </c>
      <c r="O72" t="str">
        <f t="array" aca="1" ref="O72" ca="1">INDIRECT(TEXT(MIN(IF(($P$9:$Q$100&lt;&gt;"")*(COUNTIF($O$8:O71,$P$9:$Q$100)=0),ROW($9:$100)*100+COLUMN($P:$Q),7^8)),"R0C00"),)&amp;""</f>
        <v/>
      </c>
      <c r="P72" t="str">
        <f>IF('FB Laser'!F73="Yes",'FB Laser'!A73,"")</f>
        <v/>
      </c>
      <c r="Q72" t="str">
        <f>IF('Tube Laser'!I72="Yes",'Tube Laser'!A72,"")</f>
        <v/>
      </c>
      <c r="R72" s="37" t="str">
        <f>IFERROR(('FB Laser'!G73*'FB Laser'!B73),"")</f>
        <v/>
      </c>
      <c r="S72" s="37">
        <f>IFERROR('FB Laser'!H73*'FB Laser'!B73,"")</f>
        <v>0</v>
      </c>
      <c r="U72" s="37">
        <f>IFERROR(((((('Tube Laser'!D72)*'Tube Laser'!B72)/60)/60)*188.17)+(AE72*'Tube Laser'!B72),"")</f>
        <v>0</v>
      </c>
      <c r="V72" s="37">
        <f ca="1">IFERROR(('Tube Laser'!N72*'Tube Laser'!B72)+(AE72*'Tube Laser'!B72)+(AF72*'Tube Laser'!B72)+(AG72*'Tube Laser'!B72)+('FB Data'!AH72*'Tube Laser'!B72),"")</f>
        <v>0</v>
      </c>
      <c r="X72" s="41">
        <f>IFERROR(('Tube Laser'!D72*'Tube Laser'!B72)/60/60,"")</f>
        <v>0</v>
      </c>
      <c r="AE72" t="str">
        <f>IF('Tube Laser'!E72="One Side",'Tube Laser'!J72*0.2,IF('Tube Laser'!E72="Both Sides",'Tube Laser'!J72*0.4,"0"))</f>
        <v>0</v>
      </c>
      <c r="AF72">
        <f>IF('Tube Laser'!F72="Yes",'Tube Laser'!J72*0.1,0)</f>
        <v>0</v>
      </c>
      <c r="AG72">
        <f>IF('Tube Laser'!G72&gt;0,'Tube Laser'!J72*0.2,0)</f>
        <v>0</v>
      </c>
      <c r="AH72">
        <f>IF('Tube Laser'!H72="Yes",'Tube Laser'!J72*0.1,0)</f>
        <v>0</v>
      </c>
      <c r="AJ72">
        <f>IFERROR(VLOOKUP('FB Laser'!N73,'FB Data'!A65:E213,3,FALSE)*'FB Laser'!M73,0)</f>
        <v>0</v>
      </c>
      <c r="AK72" t="str">
        <f t="shared" si="0"/>
        <v/>
      </c>
      <c r="AL72" s="33">
        <f>IF(AK72="partial",'FB Laser'!E73/60*35*0.5,IF(AK72="full-time",'FB Laser'!E73/60*35,0))</f>
        <v>0</v>
      </c>
      <c r="AM72" s="33">
        <f>ROUND(IFERROR(AL72/'FB Laser'!B73,0),2)</f>
        <v>0</v>
      </c>
      <c r="AO72">
        <f>IFERROR(VLOOKUP('Tube Laser'!P72,'TL Data'!A65:E1290,3,FALSE)*'Tube Laser'!O72,0)</f>
        <v>0</v>
      </c>
      <c r="AP72" t="str">
        <f t="shared" si="1"/>
        <v/>
      </c>
      <c r="AQ72" s="33">
        <f>IF(AP72="partial",'Tube Laser'!D72/60/60*35*'Tube Laser'!B72*0.5,IF(AP72="full-time",'Tube Laser'!D72/60/60*35*'Tube Laser'!B72,0))</f>
        <v>0</v>
      </c>
      <c r="AR72" s="33">
        <f>ROUND(IFERROR(AQ72/'Tube Laser'!B72,0),2)</f>
        <v>0</v>
      </c>
      <c r="AT72" s="33" t="str">
        <f ca="1">IFERROR('FB Laser'!J73*'FB Laser'!B73,"")</f>
        <v/>
      </c>
      <c r="AU72" s="33" t="str">
        <f ca="1">IFERROR('Tube Laser'!L72*'Tube Laser'!B72,"")</f>
        <v/>
      </c>
    </row>
    <row r="73" spans="1:47">
      <c r="A73" s="10" t="s">
        <v>128</v>
      </c>
      <c r="B73" s="10" t="s">
        <v>129</v>
      </c>
      <c r="C73" s="11">
        <v>2.5</v>
      </c>
      <c r="D73" s="10" t="s">
        <v>22</v>
      </c>
      <c r="E73" s="9">
        <v>1.5</v>
      </c>
      <c r="K73" t="str">
        <f t="array" aca="1" ref="K73" ca="1">INDIRECT(TEXT(MIN(IF(($L$9:$M$100&lt;&gt;"")*(COUNTIF($K$8:K72,$L$9:$M$100)=0),ROW($9:$100)*100+COLUMN($L:$M),7^8)),"R0C00"),)&amp;""</f>
        <v/>
      </c>
      <c r="L73" t="str">
        <f>IF('FB Laser'!A74=0,"",'FB Laser'!A74)</f>
        <v/>
      </c>
      <c r="M73" t="str">
        <f>IF('Tube Laser'!A73=0,"",'Tube Laser'!A73)</f>
        <v/>
      </c>
      <c r="O73" t="str">
        <f t="array" aca="1" ref="O73" ca="1">INDIRECT(TEXT(MIN(IF(($P$9:$Q$100&lt;&gt;"")*(COUNTIF($O$8:O72,$P$9:$Q$100)=0),ROW($9:$100)*100+COLUMN($P:$Q),7^8)),"R0C00"),)&amp;""</f>
        <v/>
      </c>
      <c r="P73" t="str">
        <f>IF('FB Laser'!F74="Yes",'FB Laser'!A74,"")</f>
        <v/>
      </c>
      <c r="Q73" t="str">
        <f>IF('Tube Laser'!I73="Yes",'Tube Laser'!A73,"")</f>
        <v/>
      </c>
      <c r="R73" s="37" t="str">
        <f>IFERROR(('FB Laser'!G74*'FB Laser'!B74),"")</f>
        <v/>
      </c>
      <c r="S73" s="37">
        <f>IFERROR('FB Laser'!H74*'FB Laser'!B74,"")</f>
        <v>0</v>
      </c>
      <c r="U73" s="37">
        <f>IFERROR(((((('Tube Laser'!D73)*'Tube Laser'!B73)/60)/60)*188.17)+(AE73*'Tube Laser'!B73),"")</f>
        <v>0</v>
      </c>
      <c r="V73" s="37">
        <f ca="1">IFERROR(('Tube Laser'!N73*'Tube Laser'!B73)+(AE73*'Tube Laser'!B73)+(AF73*'Tube Laser'!B73)+(AG73*'Tube Laser'!B73)+('FB Data'!AH73*'Tube Laser'!B73),"")</f>
        <v>0</v>
      </c>
      <c r="X73" s="41">
        <f>IFERROR(('Tube Laser'!D73*'Tube Laser'!B73)/60/60,"")</f>
        <v>0</v>
      </c>
      <c r="AE73" t="str">
        <f>IF('Tube Laser'!E73="One Side",'Tube Laser'!J73*0.2,IF('Tube Laser'!E73="Both Sides",'Tube Laser'!J73*0.4,"0"))</f>
        <v>0</v>
      </c>
      <c r="AF73">
        <f>IF('Tube Laser'!F73="Yes",'Tube Laser'!J73*0.1,0)</f>
        <v>0</v>
      </c>
      <c r="AG73">
        <f>IF('Tube Laser'!G73&gt;0,'Tube Laser'!J73*0.2,0)</f>
        <v>0</v>
      </c>
      <c r="AH73">
        <f>IF('Tube Laser'!H73="Yes",'Tube Laser'!J73*0.1,0)</f>
        <v>0</v>
      </c>
      <c r="AJ73">
        <f>IFERROR(VLOOKUP('FB Laser'!N74,'FB Data'!A66:E214,3,FALSE)*'FB Laser'!M74,0)</f>
        <v>0</v>
      </c>
      <c r="AK73" t="str">
        <f t="shared" si="0"/>
        <v/>
      </c>
      <c r="AL73" s="33">
        <f>IF(AK73="partial",'FB Laser'!E74/60*35*0.5,IF(AK73="full-time",'FB Laser'!E74/60*35,0))</f>
        <v>0</v>
      </c>
      <c r="AM73" s="33">
        <f>ROUND(IFERROR(AL73/'FB Laser'!B74,0),2)</f>
        <v>0</v>
      </c>
      <c r="AO73">
        <f>IFERROR(VLOOKUP('Tube Laser'!P73,'TL Data'!A66:E1291,3,FALSE)*'Tube Laser'!O73,0)</f>
        <v>0</v>
      </c>
      <c r="AP73" t="str">
        <f t="shared" si="1"/>
        <v/>
      </c>
      <c r="AQ73" s="33">
        <f>IF(AP73="partial",'Tube Laser'!D73/60/60*35*'Tube Laser'!B73*0.5,IF(AP73="full-time",'Tube Laser'!D73/60/60*35*'Tube Laser'!B73,0))</f>
        <v>0</v>
      </c>
      <c r="AR73" s="33">
        <f>ROUND(IFERROR(AQ73/'Tube Laser'!B73,0),2)</f>
        <v>0</v>
      </c>
      <c r="AT73" s="33" t="str">
        <f ca="1">IFERROR('FB Laser'!J74*'FB Laser'!B74,"")</f>
        <v/>
      </c>
      <c r="AU73" s="33" t="str">
        <f ca="1">IFERROR('Tube Laser'!L73*'Tube Laser'!B73,"")</f>
        <v/>
      </c>
    </row>
    <row r="74" spans="1:47">
      <c r="A74" s="10" t="s">
        <v>2824</v>
      </c>
      <c r="B74" s="10" t="s">
        <v>2826</v>
      </c>
      <c r="C74" s="11">
        <v>7.5</v>
      </c>
      <c r="D74" s="10" t="s">
        <v>22</v>
      </c>
      <c r="E74" s="9">
        <v>1.5</v>
      </c>
      <c r="K74" t="str">
        <f t="array" aca="1" ref="K74" ca="1">INDIRECT(TEXT(MIN(IF(($L$9:$M$100&lt;&gt;"")*(COUNTIF($K$8:K73,$L$9:$M$100)=0),ROW($9:$100)*100+COLUMN($L:$M),7^8)),"R0C00"),)&amp;""</f>
        <v/>
      </c>
      <c r="L74" t="str">
        <f>IF('FB Laser'!A75=0,"",'FB Laser'!A75)</f>
        <v/>
      </c>
      <c r="M74" t="str">
        <f>IF('Tube Laser'!A74=0,"",'Tube Laser'!A74)</f>
        <v/>
      </c>
      <c r="O74" t="str">
        <f t="array" aca="1" ref="O74" ca="1">INDIRECT(TEXT(MIN(IF(($P$9:$Q$100&lt;&gt;"")*(COUNTIF($O$8:O73,$P$9:$Q$100)=0),ROW($9:$100)*100+COLUMN($P:$Q),7^8)),"R0C00"),)&amp;""</f>
        <v/>
      </c>
      <c r="P74" t="str">
        <f>IF('FB Laser'!F75="Yes",'FB Laser'!A75,"")</f>
        <v/>
      </c>
      <c r="Q74" t="str">
        <f>IF('Tube Laser'!I74="Yes",'Tube Laser'!A74,"")</f>
        <v/>
      </c>
      <c r="R74" s="37" t="str">
        <f>IFERROR(('FB Laser'!G75*'FB Laser'!B75),"")</f>
        <v/>
      </c>
      <c r="S74" s="37">
        <f>IFERROR('FB Laser'!H75*'FB Laser'!B75,"")</f>
        <v>0</v>
      </c>
      <c r="U74" s="37">
        <f>IFERROR(((((('Tube Laser'!D74)*'Tube Laser'!B74)/60)/60)*188.17)+(AE74*'Tube Laser'!B74),"")</f>
        <v>0</v>
      </c>
      <c r="V74" s="37">
        <f ca="1">IFERROR(('Tube Laser'!N74*'Tube Laser'!B74)+(AE74*'Tube Laser'!B74)+(AF74*'Tube Laser'!B74)+(AG74*'Tube Laser'!B74)+('FB Data'!AH74*'Tube Laser'!B74),"")</f>
        <v>0</v>
      </c>
      <c r="X74" s="41">
        <f>IFERROR(('Tube Laser'!D74*'Tube Laser'!B74)/60/60,"")</f>
        <v>0</v>
      </c>
      <c r="AE74" t="str">
        <f>IF('Tube Laser'!E74="One Side",'Tube Laser'!J74*0.2,IF('Tube Laser'!E74="Both Sides",'Tube Laser'!J74*0.4,"0"))</f>
        <v>0</v>
      </c>
      <c r="AF74">
        <f>IF('Tube Laser'!F74="Yes",'Tube Laser'!J74*0.1,0)</f>
        <v>0</v>
      </c>
      <c r="AG74">
        <f>IF('Tube Laser'!G74&gt;0,'Tube Laser'!J74*0.2,0)</f>
        <v>0</v>
      </c>
      <c r="AH74">
        <f>IF('Tube Laser'!H74="Yes",'Tube Laser'!J74*0.1,0)</f>
        <v>0</v>
      </c>
      <c r="AJ74">
        <f>IFERROR(VLOOKUP('FB Laser'!N75,'FB Data'!A67:E215,3,FALSE)*'FB Laser'!M75,0)</f>
        <v>0</v>
      </c>
      <c r="AK74" t="str">
        <f t="shared" ref="AK74:AK117" si="2">IF(AJ74&gt;75,"full-time",IF(AJ74&gt;32.999,"partial",""))</f>
        <v/>
      </c>
      <c r="AL74" s="33">
        <f>IF(AK74="partial",'FB Laser'!E75/60*35*0.5,IF(AK74="full-time",'FB Laser'!E75/60*35,0))</f>
        <v>0</v>
      </c>
      <c r="AM74" s="33">
        <f>ROUND(IFERROR(AL74/'FB Laser'!B75,0),2)</f>
        <v>0</v>
      </c>
      <c r="AO74">
        <f>IFERROR(VLOOKUP('Tube Laser'!P74,'TL Data'!A67:E1292,3,FALSE)*'Tube Laser'!O74,0)</f>
        <v>0</v>
      </c>
      <c r="AP74" t="str">
        <f t="shared" ref="AP74:AP117" si="3">IF(AO74&gt;75,"full-time",IF(AO74&gt;32.999,"partial",""))</f>
        <v/>
      </c>
      <c r="AQ74" s="33">
        <f>IF(AP74="partial",'Tube Laser'!D74/60/60*35*'Tube Laser'!B74*0.5,IF(AP74="full-time",'Tube Laser'!D74/60/60*35*'Tube Laser'!B74,0))</f>
        <v>0</v>
      </c>
      <c r="AR74" s="33">
        <f>ROUND(IFERROR(AQ74/'Tube Laser'!B74,0),2)</f>
        <v>0</v>
      </c>
      <c r="AT74" s="33" t="str">
        <f ca="1">IFERROR('FB Laser'!J75*'FB Laser'!B75,"")</f>
        <v/>
      </c>
      <c r="AU74" s="33" t="str">
        <f ca="1">IFERROR('Tube Laser'!L74*'Tube Laser'!B74,"")</f>
        <v/>
      </c>
    </row>
    <row r="75" spans="1:47">
      <c r="A75" s="10" t="s">
        <v>2825</v>
      </c>
      <c r="B75" s="10" t="s">
        <v>2827</v>
      </c>
      <c r="C75" s="11">
        <v>6.875</v>
      </c>
      <c r="D75" s="10" t="s">
        <v>22</v>
      </c>
      <c r="E75" s="9">
        <v>1.5</v>
      </c>
      <c r="K75" t="str">
        <f t="array" aca="1" ref="K75" ca="1">INDIRECT(TEXT(MIN(IF(($L$9:$M$100&lt;&gt;"")*(COUNTIF($K$8:K74,$L$9:$M$100)=0),ROW($9:$100)*100+COLUMN($L:$M),7^8)),"R0C00"),)&amp;""</f>
        <v/>
      </c>
      <c r="L75" t="str">
        <f>IF('FB Laser'!A76=0,"",'FB Laser'!A76)</f>
        <v/>
      </c>
      <c r="M75" t="str">
        <f>IF('Tube Laser'!A75=0,"",'Tube Laser'!A75)</f>
        <v/>
      </c>
      <c r="O75" t="str">
        <f t="array" aca="1" ref="O75" ca="1">INDIRECT(TEXT(MIN(IF(($P$9:$Q$100&lt;&gt;"")*(COUNTIF($O$8:O74,$P$9:$Q$100)=0),ROW($9:$100)*100+COLUMN($P:$Q),7^8)),"R0C00"),)&amp;""</f>
        <v/>
      </c>
      <c r="P75" t="str">
        <f>IF('FB Laser'!F76="Yes",'FB Laser'!A76,"")</f>
        <v/>
      </c>
      <c r="Q75" t="str">
        <f>IF('Tube Laser'!I75="Yes",'Tube Laser'!A75,"")</f>
        <v/>
      </c>
      <c r="R75" s="37" t="str">
        <f>IFERROR(('FB Laser'!G76*'FB Laser'!B76),"")</f>
        <v/>
      </c>
      <c r="S75" s="37">
        <f>IFERROR('FB Laser'!H76*'FB Laser'!B76,"")</f>
        <v>0</v>
      </c>
      <c r="U75" s="37">
        <f>IFERROR(((((('Tube Laser'!D75)*'Tube Laser'!B75)/60)/60)*188.17)+(AE75*'Tube Laser'!B75),"")</f>
        <v>0</v>
      </c>
      <c r="V75" s="37">
        <f ca="1">IFERROR(('Tube Laser'!N75*'Tube Laser'!B75)+(AE75*'Tube Laser'!B75)+(AF75*'Tube Laser'!B75)+(AG75*'Tube Laser'!B75)+('FB Data'!AH75*'Tube Laser'!B75),"")</f>
        <v>0</v>
      </c>
      <c r="X75" s="41">
        <f>IFERROR(('Tube Laser'!D75*'Tube Laser'!B75)/60/60,"")</f>
        <v>0</v>
      </c>
      <c r="AE75" t="str">
        <f>IF('Tube Laser'!E75="One Side",'Tube Laser'!J75*0.2,IF('Tube Laser'!E75="Both Sides",'Tube Laser'!J75*0.4,"0"))</f>
        <v>0</v>
      </c>
      <c r="AF75">
        <f>IF('Tube Laser'!F75="Yes",'Tube Laser'!J75*0.1,0)</f>
        <v>0</v>
      </c>
      <c r="AG75">
        <f>IF('Tube Laser'!G75&gt;0,'Tube Laser'!J75*0.2,0)</f>
        <v>0</v>
      </c>
      <c r="AH75">
        <f>IF('Tube Laser'!H75="Yes",'Tube Laser'!J75*0.1,0)</f>
        <v>0</v>
      </c>
      <c r="AJ75">
        <f>IFERROR(VLOOKUP('FB Laser'!N76,'FB Data'!A68:E216,3,FALSE)*'FB Laser'!M76,0)</f>
        <v>0</v>
      </c>
      <c r="AK75" t="str">
        <f t="shared" si="2"/>
        <v/>
      </c>
      <c r="AL75" s="33">
        <f>IF(AK75="partial",'FB Laser'!E76/60*35*0.5,IF(AK75="full-time",'FB Laser'!E76/60*35,0))</f>
        <v>0</v>
      </c>
      <c r="AM75" s="33">
        <f>ROUND(IFERROR(AL75/'FB Laser'!B76,0),2)</f>
        <v>0</v>
      </c>
      <c r="AO75">
        <f>IFERROR(VLOOKUP('Tube Laser'!P75,'TL Data'!A68:E1293,3,FALSE)*'Tube Laser'!O75,0)</f>
        <v>0</v>
      </c>
      <c r="AP75" t="str">
        <f t="shared" si="3"/>
        <v/>
      </c>
      <c r="AQ75" s="33">
        <f>IF(AP75="partial",'Tube Laser'!D75/60/60*35*'Tube Laser'!B75*0.5,IF(AP75="full-time",'Tube Laser'!D75/60/60*35*'Tube Laser'!B75,0))</f>
        <v>0</v>
      </c>
      <c r="AR75" s="33">
        <f>ROUND(IFERROR(AQ75/'Tube Laser'!B75,0),2)</f>
        <v>0</v>
      </c>
      <c r="AT75" s="33" t="str">
        <f ca="1">IFERROR('FB Laser'!J76*'FB Laser'!B76,"")</f>
        <v/>
      </c>
      <c r="AU75" s="33" t="str">
        <f ca="1">IFERROR('Tube Laser'!L75*'Tube Laser'!B75,"")</f>
        <v/>
      </c>
    </row>
    <row r="76" spans="1:47">
      <c r="A76" s="10" t="s">
        <v>15</v>
      </c>
      <c r="B76" s="10" t="s">
        <v>130</v>
      </c>
      <c r="C76" s="11">
        <v>5.625</v>
      </c>
      <c r="D76" s="10" t="s">
        <v>22</v>
      </c>
      <c r="E76" s="9">
        <v>1.25</v>
      </c>
      <c r="K76" t="str">
        <f t="array" aca="1" ref="K76" ca="1">INDIRECT(TEXT(MIN(IF(($L$9:$M$100&lt;&gt;"")*(COUNTIF($K$8:K75,$L$9:$M$100)=0),ROW($9:$100)*100+COLUMN($L:$M),7^8)),"R0C00"),)&amp;""</f>
        <v/>
      </c>
      <c r="L76" t="str">
        <f>IF('FB Laser'!A77=0,"",'FB Laser'!A77)</f>
        <v/>
      </c>
      <c r="M76" t="str">
        <f>IF('Tube Laser'!A76=0,"",'Tube Laser'!A76)</f>
        <v/>
      </c>
      <c r="O76" t="str">
        <f t="array" aca="1" ref="O76" ca="1">INDIRECT(TEXT(MIN(IF(($P$9:$Q$100&lt;&gt;"")*(COUNTIF($O$8:O75,$P$9:$Q$100)=0),ROW($9:$100)*100+COLUMN($P:$Q),7^8)),"R0C00"),)&amp;""</f>
        <v/>
      </c>
      <c r="P76" t="str">
        <f>IF('FB Laser'!F77="Yes",'FB Laser'!A77,"")</f>
        <v/>
      </c>
      <c r="Q76" t="str">
        <f>IF('Tube Laser'!I76="Yes",'Tube Laser'!A76,"")</f>
        <v/>
      </c>
      <c r="R76" s="37" t="str">
        <f>IFERROR(('FB Laser'!G77*'FB Laser'!B77),"")</f>
        <v/>
      </c>
      <c r="S76" s="37">
        <f>IFERROR('FB Laser'!H77*'FB Laser'!B77,"")</f>
        <v>0</v>
      </c>
      <c r="U76" s="37">
        <f>IFERROR(((((('Tube Laser'!D76)*'Tube Laser'!B76)/60)/60)*188.17)+(AE76*'Tube Laser'!B76),"")</f>
        <v>0</v>
      </c>
      <c r="V76" s="37">
        <f ca="1">IFERROR(('Tube Laser'!N76*'Tube Laser'!B76)+(AE76*'Tube Laser'!B76)+(AF76*'Tube Laser'!B76)+(AG76*'Tube Laser'!B76)+('FB Data'!AH76*'Tube Laser'!B76),"")</f>
        <v>0</v>
      </c>
      <c r="X76" s="41">
        <f>IFERROR(('Tube Laser'!D76*'Tube Laser'!B76)/60/60,"")</f>
        <v>0</v>
      </c>
      <c r="AE76" t="str">
        <f>IF('Tube Laser'!E76="One Side",'Tube Laser'!J76*0.2,IF('Tube Laser'!E76="Both Sides",'Tube Laser'!J76*0.4,"0"))</f>
        <v>0</v>
      </c>
      <c r="AF76">
        <f>IF('Tube Laser'!F76="Yes",'Tube Laser'!J76*0.1,0)</f>
        <v>0</v>
      </c>
      <c r="AG76">
        <f>IF('Tube Laser'!G76&gt;0,'Tube Laser'!J76*0.2,0)</f>
        <v>0</v>
      </c>
      <c r="AH76">
        <f>IF('Tube Laser'!H76="Yes",'Tube Laser'!J76*0.1,0)</f>
        <v>0</v>
      </c>
      <c r="AJ76">
        <f>IFERROR(VLOOKUP('FB Laser'!N77,'FB Data'!A69:E217,3,FALSE)*'FB Laser'!M77,0)</f>
        <v>0</v>
      </c>
      <c r="AK76" t="str">
        <f t="shared" si="2"/>
        <v/>
      </c>
      <c r="AL76" s="33">
        <f>IF(AK76="partial",'FB Laser'!E77/60*35*0.5,IF(AK76="full-time",'FB Laser'!E77/60*35,0))</f>
        <v>0</v>
      </c>
      <c r="AM76" s="33">
        <f>ROUND(IFERROR(AL76/'FB Laser'!B77,0),2)</f>
        <v>0</v>
      </c>
      <c r="AO76">
        <f>IFERROR(VLOOKUP('Tube Laser'!P76,'TL Data'!A69:E1294,3,FALSE)*'Tube Laser'!O76,0)</f>
        <v>0</v>
      </c>
      <c r="AP76" t="str">
        <f t="shared" si="3"/>
        <v/>
      </c>
      <c r="AQ76" s="33">
        <f>IF(AP76="partial",'Tube Laser'!D76/60/60*35*'Tube Laser'!B76*0.5,IF(AP76="full-time",'Tube Laser'!D76/60/60*35*'Tube Laser'!B76,0))</f>
        <v>0</v>
      </c>
      <c r="AR76" s="33">
        <f>ROUND(IFERROR(AQ76/'Tube Laser'!B76,0),2)</f>
        <v>0</v>
      </c>
      <c r="AT76" s="33" t="str">
        <f ca="1">IFERROR('FB Laser'!J77*'FB Laser'!B77,"")</f>
        <v/>
      </c>
      <c r="AU76" s="33" t="str">
        <f ca="1">IFERROR('Tube Laser'!L76*'Tube Laser'!B76,"")</f>
        <v/>
      </c>
    </row>
    <row r="77" spans="1:47">
      <c r="A77" s="10" t="s">
        <v>131</v>
      </c>
      <c r="B77" s="10" t="s">
        <v>132</v>
      </c>
      <c r="C77" s="11">
        <v>5</v>
      </c>
      <c r="D77" s="10" t="s">
        <v>22</v>
      </c>
      <c r="E77" s="9">
        <v>1.25</v>
      </c>
      <c r="K77" t="str">
        <f t="array" aca="1" ref="K77" ca="1">INDIRECT(TEXT(MIN(IF(($L$9:$M$100&lt;&gt;"")*(COUNTIF($K$8:K76,$L$9:$M$100)=0),ROW($9:$100)*100+COLUMN($L:$M),7^8)),"R0C00"),)&amp;""</f>
        <v/>
      </c>
      <c r="L77" t="str">
        <f>IF('FB Laser'!A78=0,"",'FB Laser'!A78)</f>
        <v/>
      </c>
      <c r="M77" t="str">
        <f>IF('Tube Laser'!A77=0,"",'Tube Laser'!A77)</f>
        <v/>
      </c>
      <c r="O77" t="str">
        <f t="array" aca="1" ref="O77" ca="1">INDIRECT(TEXT(MIN(IF(($P$9:$Q$100&lt;&gt;"")*(COUNTIF($O$8:O76,$P$9:$Q$100)=0),ROW($9:$100)*100+COLUMN($P:$Q),7^8)),"R0C00"),)&amp;""</f>
        <v/>
      </c>
      <c r="P77" t="str">
        <f>IF('FB Laser'!F78="Yes",'FB Laser'!A78,"")</f>
        <v/>
      </c>
      <c r="Q77" t="str">
        <f>IF('Tube Laser'!I77="Yes",'Tube Laser'!A77,"")</f>
        <v/>
      </c>
      <c r="R77" s="37" t="str">
        <f>IFERROR(('FB Laser'!G78*'FB Laser'!B78),"")</f>
        <v/>
      </c>
      <c r="S77" s="37">
        <f>IFERROR('FB Laser'!H78*'FB Laser'!B78,"")</f>
        <v>0</v>
      </c>
      <c r="U77" s="37">
        <f>IFERROR(((((('Tube Laser'!D77)*'Tube Laser'!B77)/60)/60)*188.17)+(AE77*'Tube Laser'!B77),"")</f>
        <v>0</v>
      </c>
      <c r="V77" s="37">
        <f ca="1">IFERROR(('Tube Laser'!N77*'Tube Laser'!B77)+(AE77*'Tube Laser'!B77)+(AF77*'Tube Laser'!B77)+(AG77*'Tube Laser'!B77)+('FB Data'!AH77*'Tube Laser'!B77),"")</f>
        <v>0</v>
      </c>
      <c r="X77" s="41">
        <f>IFERROR(('Tube Laser'!D77*'Tube Laser'!B77)/60/60,"")</f>
        <v>0</v>
      </c>
      <c r="AE77" t="str">
        <f>IF('Tube Laser'!E77="One Side",'Tube Laser'!J77*0.2,IF('Tube Laser'!E77="Both Sides",'Tube Laser'!J77*0.4,"0"))</f>
        <v>0</v>
      </c>
      <c r="AF77">
        <f>IF('Tube Laser'!F77="Yes",'Tube Laser'!J77*0.1,0)</f>
        <v>0</v>
      </c>
      <c r="AG77">
        <f>IF('Tube Laser'!G77&gt;0,'Tube Laser'!J77*0.2,0)</f>
        <v>0</v>
      </c>
      <c r="AH77">
        <f>IF('Tube Laser'!H77="Yes",'Tube Laser'!J77*0.1,0)</f>
        <v>0</v>
      </c>
      <c r="AJ77">
        <f>IFERROR(VLOOKUP('FB Laser'!N78,'FB Data'!A70:E218,3,FALSE)*'FB Laser'!M78,0)</f>
        <v>0</v>
      </c>
      <c r="AK77" t="str">
        <f t="shared" si="2"/>
        <v/>
      </c>
      <c r="AL77" s="33">
        <f>IF(AK77="partial",'FB Laser'!E78/60*35*0.5,IF(AK77="full-time",'FB Laser'!E78/60*35,0))</f>
        <v>0</v>
      </c>
      <c r="AM77" s="33">
        <f>ROUND(IFERROR(AL77/'FB Laser'!B78,0),2)</f>
        <v>0</v>
      </c>
      <c r="AO77">
        <f>IFERROR(VLOOKUP('Tube Laser'!P77,'TL Data'!A70:E1295,3,FALSE)*'Tube Laser'!O77,0)</f>
        <v>0</v>
      </c>
      <c r="AP77" t="str">
        <f t="shared" si="3"/>
        <v/>
      </c>
      <c r="AQ77" s="33">
        <f>IF(AP77="partial",'Tube Laser'!D77/60/60*35*'Tube Laser'!B77*0.5,IF(AP77="full-time",'Tube Laser'!D77/60/60*35*'Tube Laser'!B77,0))</f>
        <v>0</v>
      </c>
      <c r="AR77" s="33">
        <f>ROUND(IFERROR(AQ77/'Tube Laser'!B77,0),2)</f>
        <v>0</v>
      </c>
      <c r="AT77" s="33" t="str">
        <f ca="1">IFERROR('FB Laser'!J78*'FB Laser'!B78,"")</f>
        <v/>
      </c>
      <c r="AU77" s="33" t="str">
        <f ca="1">IFERROR('Tube Laser'!L77*'Tube Laser'!B77,"")</f>
        <v/>
      </c>
    </row>
    <row r="78" spans="1:47">
      <c r="A78" s="10" t="s">
        <v>133</v>
      </c>
      <c r="B78" s="10" t="s">
        <v>134</v>
      </c>
      <c r="C78" s="11">
        <v>5</v>
      </c>
      <c r="D78" s="10" t="s">
        <v>22</v>
      </c>
      <c r="E78" s="9">
        <v>1.25</v>
      </c>
      <c r="K78" t="str">
        <f t="array" aca="1" ref="K78" ca="1">INDIRECT(TEXT(MIN(IF(($L$9:$M$100&lt;&gt;"")*(COUNTIF($K$8:K77,$L$9:$M$100)=0),ROW($9:$100)*100+COLUMN($L:$M),7^8)),"R0C00"),)&amp;""</f>
        <v/>
      </c>
      <c r="L78" t="str">
        <f>IF('FB Laser'!A79=0,"",'FB Laser'!A79)</f>
        <v/>
      </c>
      <c r="M78" t="str">
        <f>IF('Tube Laser'!A78=0,"",'Tube Laser'!A78)</f>
        <v/>
      </c>
      <c r="O78" t="str">
        <f t="array" aca="1" ref="O78" ca="1">INDIRECT(TEXT(MIN(IF(($P$9:$Q$100&lt;&gt;"")*(COUNTIF($O$8:O77,$P$9:$Q$100)=0),ROW($9:$100)*100+COLUMN($P:$Q),7^8)),"R0C00"),)&amp;""</f>
        <v/>
      </c>
      <c r="P78" t="str">
        <f>IF('FB Laser'!F79="Yes",'FB Laser'!A79,"")</f>
        <v/>
      </c>
      <c r="Q78" t="str">
        <f>IF('Tube Laser'!I78="Yes",'Tube Laser'!A78,"")</f>
        <v/>
      </c>
      <c r="R78" s="37" t="str">
        <f>IFERROR(('FB Laser'!G79*'FB Laser'!B79),"")</f>
        <v/>
      </c>
      <c r="S78" s="37">
        <f>IFERROR('FB Laser'!H79*'FB Laser'!B79,"")</f>
        <v>0</v>
      </c>
      <c r="U78" s="37">
        <f>IFERROR(((((('Tube Laser'!D78)*'Tube Laser'!B78)/60)/60)*188.17)+(AE78*'Tube Laser'!B78),"")</f>
        <v>0</v>
      </c>
      <c r="V78" s="37">
        <f ca="1">IFERROR(('Tube Laser'!N78*'Tube Laser'!B78)+(AE78*'Tube Laser'!B78)+(AF78*'Tube Laser'!B78)+(AG78*'Tube Laser'!B78)+('FB Data'!AH78*'Tube Laser'!B78),"")</f>
        <v>0</v>
      </c>
      <c r="X78" s="41">
        <f>IFERROR(('Tube Laser'!D78*'Tube Laser'!B78)/60/60,"")</f>
        <v>0</v>
      </c>
      <c r="AE78" t="str">
        <f>IF('Tube Laser'!E78="One Side",'Tube Laser'!J78*0.2,IF('Tube Laser'!E78="Both Sides",'Tube Laser'!J78*0.4,"0"))</f>
        <v>0</v>
      </c>
      <c r="AF78">
        <f>IF('Tube Laser'!F78="Yes",'Tube Laser'!J78*0.1,0)</f>
        <v>0</v>
      </c>
      <c r="AG78">
        <f>IF('Tube Laser'!G78&gt;0,'Tube Laser'!J78*0.2,0)</f>
        <v>0</v>
      </c>
      <c r="AH78">
        <f>IF('Tube Laser'!H78="Yes",'Tube Laser'!J78*0.1,0)</f>
        <v>0</v>
      </c>
      <c r="AJ78">
        <f>IFERROR(VLOOKUP('FB Laser'!N79,'FB Data'!A71:E219,3,FALSE)*'FB Laser'!M79,0)</f>
        <v>0</v>
      </c>
      <c r="AK78" t="str">
        <f t="shared" si="2"/>
        <v/>
      </c>
      <c r="AL78" s="33">
        <f>IF(AK78="partial",'FB Laser'!E79/60*35*0.5,IF(AK78="full-time",'FB Laser'!E79/60*35,0))</f>
        <v>0</v>
      </c>
      <c r="AM78" s="33">
        <f>ROUND(IFERROR(AL78/'FB Laser'!B79,0),2)</f>
        <v>0</v>
      </c>
      <c r="AO78">
        <f>IFERROR(VLOOKUP('Tube Laser'!P78,'TL Data'!A71:E1296,3,FALSE)*'Tube Laser'!O78,0)</f>
        <v>0</v>
      </c>
      <c r="AP78" t="str">
        <f t="shared" si="3"/>
        <v/>
      </c>
      <c r="AQ78" s="33">
        <f>IF(AP78="partial",'Tube Laser'!D78/60/60*35*'Tube Laser'!B78*0.5,IF(AP78="full-time",'Tube Laser'!D78/60/60*35*'Tube Laser'!B78,0))</f>
        <v>0</v>
      </c>
      <c r="AR78" s="33">
        <f>ROUND(IFERROR(AQ78/'Tube Laser'!B78,0),2)</f>
        <v>0</v>
      </c>
      <c r="AT78" s="33" t="str">
        <f ca="1">IFERROR('FB Laser'!J79*'FB Laser'!B79,"")</f>
        <v/>
      </c>
      <c r="AU78" s="33" t="str">
        <f ca="1">IFERROR('Tube Laser'!L78*'Tube Laser'!B78,"")</f>
        <v/>
      </c>
    </row>
    <row r="79" spans="1:47">
      <c r="A79" s="10" t="s">
        <v>135</v>
      </c>
      <c r="B79" s="10" t="s">
        <v>136</v>
      </c>
      <c r="C79" s="11">
        <v>4.375</v>
      </c>
      <c r="D79" s="10" t="s">
        <v>22</v>
      </c>
      <c r="E79" s="9">
        <v>1.25</v>
      </c>
      <c r="K79" t="str">
        <f t="array" aca="1" ref="K79" ca="1">INDIRECT(TEXT(MIN(IF(($L$9:$M$100&lt;&gt;"")*(COUNTIF($K$8:K78,$L$9:$M$100)=0),ROW($9:$100)*100+COLUMN($L:$M),7^8)),"R0C00"),)&amp;""</f>
        <v/>
      </c>
      <c r="L79" t="str">
        <f>IF('FB Laser'!A80=0,"",'FB Laser'!A80)</f>
        <v/>
      </c>
      <c r="M79" t="str">
        <f>IF('Tube Laser'!A79=0,"",'Tube Laser'!A79)</f>
        <v/>
      </c>
      <c r="O79" t="str">
        <f t="array" aca="1" ref="O79" ca="1">INDIRECT(TEXT(MIN(IF(($P$9:$Q$100&lt;&gt;"")*(COUNTIF($O$8:O78,$P$9:$Q$100)=0),ROW($9:$100)*100+COLUMN($P:$Q),7^8)),"R0C00"),)&amp;""</f>
        <v/>
      </c>
      <c r="P79" t="str">
        <f>IF('FB Laser'!F80="Yes",'FB Laser'!A80,"")</f>
        <v/>
      </c>
      <c r="Q79" t="str">
        <f>IF('Tube Laser'!I79="Yes",'Tube Laser'!A79,"")</f>
        <v/>
      </c>
      <c r="R79" s="37" t="str">
        <f>IFERROR(('FB Laser'!G80*'FB Laser'!B80),"")</f>
        <v/>
      </c>
      <c r="S79" s="37">
        <f>IFERROR('FB Laser'!H80*'FB Laser'!B80,"")</f>
        <v>0</v>
      </c>
      <c r="U79" s="37">
        <f>IFERROR(((((('Tube Laser'!D79)*'Tube Laser'!B79)/60)/60)*188.17)+(AE79*'Tube Laser'!B79),"")</f>
        <v>0</v>
      </c>
      <c r="V79" s="37">
        <f ca="1">IFERROR(('Tube Laser'!N79*'Tube Laser'!B79)+(AE79*'Tube Laser'!B79)+(AF79*'Tube Laser'!B79)+(AG79*'Tube Laser'!B79)+('FB Data'!AH79*'Tube Laser'!B79),"")</f>
        <v>0</v>
      </c>
      <c r="X79" s="41">
        <f>IFERROR(('Tube Laser'!D79*'Tube Laser'!B79)/60/60,"")</f>
        <v>0</v>
      </c>
      <c r="AE79" t="str">
        <f>IF('Tube Laser'!E79="One Side",'Tube Laser'!J79*0.2,IF('Tube Laser'!E79="Both Sides",'Tube Laser'!J79*0.4,"0"))</f>
        <v>0</v>
      </c>
      <c r="AF79">
        <f>IF('Tube Laser'!F79="Yes",'Tube Laser'!J79*0.1,0)</f>
        <v>0</v>
      </c>
      <c r="AG79">
        <f>IF('Tube Laser'!G79&gt;0,'Tube Laser'!J79*0.2,0)</f>
        <v>0</v>
      </c>
      <c r="AH79">
        <f>IF('Tube Laser'!H79="Yes",'Tube Laser'!J79*0.1,0)</f>
        <v>0</v>
      </c>
      <c r="AJ79">
        <f>IFERROR(VLOOKUP('FB Laser'!N80,'FB Data'!A72:E220,3,FALSE)*'FB Laser'!M80,0)</f>
        <v>0</v>
      </c>
      <c r="AK79" t="str">
        <f t="shared" si="2"/>
        <v/>
      </c>
      <c r="AL79" s="33">
        <f>IF(AK79="partial",'FB Laser'!E80/60*35*0.5,IF(AK79="full-time",'FB Laser'!E80/60*35,0))</f>
        <v>0</v>
      </c>
      <c r="AM79" s="33">
        <f>ROUND(IFERROR(AL79/'FB Laser'!B80,0),2)</f>
        <v>0</v>
      </c>
      <c r="AO79">
        <f>IFERROR(VLOOKUP('Tube Laser'!P79,'TL Data'!A72:E1297,3,FALSE)*'Tube Laser'!O79,0)</f>
        <v>0</v>
      </c>
      <c r="AP79" t="str">
        <f t="shared" si="3"/>
        <v/>
      </c>
      <c r="AQ79" s="33">
        <f>IF(AP79="partial",'Tube Laser'!D79/60/60*35*'Tube Laser'!B79*0.5,IF(AP79="full-time",'Tube Laser'!D79/60/60*35*'Tube Laser'!B79,0))</f>
        <v>0</v>
      </c>
      <c r="AR79" s="33">
        <f>ROUND(IFERROR(AQ79/'Tube Laser'!B79,0),2)</f>
        <v>0</v>
      </c>
      <c r="AT79" s="33" t="str">
        <f ca="1">IFERROR('FB Laser'!J80*'FB Laser'!B80,"")</f>
        <v/>
      </c>
      <c r="AU79" s="33" t="str">
        <f ca="1">IFERROR('Tube Laser'!L79*'Tube Laser'!B79,"")</f>
        <v/>
      </c>
    </row>
    <row r="80" spans="1:47">
      <c r="A80" s="10" t="s">
        <v>2828</v>
      </c>
      <c r="B80" s="10" t="s">
        <v>2829</v>
      </c>
      <c r="C80" s="11">
        <v>3.75</v>
      </c>
      <c r="D80" s="10" t="s">
        <v>22</v>
      </c>
      <c r="E80" s="9">
        <v>1.25</v>
      </c>
      <c r="K80" t="str">
        <f t="array" aca="1" ref="K80" ca="1">INDIRECT(TEXT(MIN(IF(($L$9:$M$100&lt;&gt;"")*(COUNTIF($K$8:K79,$L$9:$M$100)=0),ROW($9:$100)*100+COLUMN($L:$M),7^8)),"R0C00"),)&amp;""</f>
        <v/>
      </c>
      <c r="L80" t="str">
        <f>IF('FB Laser'!A81=0,"",'FB Laser'!A81)</f>
        <v/>
      </c>
      <c r="M80" t="str">
        <f>IF('Tube Laser'!A80=0,"",'Tube Laser'!A80)</f>
        <v/>
      </c>
      <c r="O80" t="str">
        <f t="array" aca="1" ref="O80" ca="1">INDIRECT(TEXT(MIN(IF(($P$9:$Q$100&lt;&gt;"")*(COUNTIF($O$8:O79,$P$9:$Q$100)=0),ROW($9:$100)*100+COLUMN($P:$Q),7^8)),"R0C00"),)&amp;""</f>
        <v/>
      </c>
      <c r="P80" t="str">
        <f>IF('FB Laser'!F81="Yes",'FB Laser'!A81,"")</f>
        <v/>
      </c>
      <c r="Q80" t="str">
        <f>IF('Tube Laser'!I80="Yes",'Tube Laser'!A80,"")</f>
        <v/>
      </c>
      <c r="R80" s="37" t="str">
        <f>IFERROR(('FB Laser'!G81*'FB Laser'!B81),"")</f>
        <v/>
      </c>
      <c r="S80" s="37">
        <f>IFERROR('FB Laser'!H81*'FB Laser'!B81,"")</f>
        <v>0</v>
      </c>
      <c r="U80" s="37">
        <f>IFERROR(((((('Tube Laser'!D80)*'Tube Laser'!B80)/60)/60)*188.17)+(AE80*'Tube Laser'!B80),"")</f>
        <v>0</v>
      </c>
      <c r="V80" s="37">
        <f ca="1">IFERROR(('Tube Laser'!N80*'Tube Laser'!B80)+(AE80*'Tube Laser'!B80)+(AF80*'Tube Laser'!B80)+(AG80*'Tube Laser'!B80)+('FB Data'!AH80*'Tube Laser'!B80),"")</f>
        <v>0</v>
      </c>
      <c r="X80" s="41">
        <f>IFERROR(('Tube Laser'!D80*'Tube Laser'!B80)/60/60,"")</f>
        <v>0</v>
      </c>
      <c r="AE80" t="str">
        <f>IF('Tube Laser'!E80="One Side",'Tube Laser'!J80*0.2,IF('Tube Laser'!E80="Both Sides",'Tube Laser'!J80*0.4,"0"))</f>
        <v>0</v>
      </c>
      <c r="AF80">
        <f>IF('Tube Laser'!F80="Yes",'Tube Laser'!J80*0.1,0)</f>
        <v>0</v>
      </c>
      <c r="AG80">
        <f>IF('Tube Laser'!G80&gt;0,'Tube Laser'!J80*0.2,0)</f>
        <v>0</v>
      </c>
      <c r="AH80">
        <f>IF('Tube Laser'!H80="Yes",'Tube Laser'!J80*0.1,0)</f>
        <v>0</v>
      </c>
      <c r="AJ80">
        <f>IFERROR(VLOOKUP('FB Laser'!N81,'FB Data'!A73:E221,3,FALSE)*'FB Laser'!M81,0)</f>
        <v>0</v>
      </c>
      <c r="AK80" t="str">
        <f t="shared" si="2"/>
        <v/>
      </c>
      <c r="AL80" s="33">
        <f>IF(AK80="partial",'FB Laser'!E81/60*35*0.5,IF(AK80="full-time",'FB Laser'!E81/60*35,0))</f>
        <v>0</v>
      </c>
      <c r="AM80" s="33">
        <f>ROUND(IFERROR(AL80/'FB Laser'!B81,0),2)</f>
        <v>0</v>
      </c>
      <c r="AO80">
        <f>IFERROR(VLOOKUP('Tube Laser'!P80,'TL Data'!A73:E1298,3,FALSE)*'Tube Laser'!O80,0)</f>
        <v>0</v>
      </c>
      <c r="AP80" t="str">
        <f t="shared" si="3"/>
        <v/>
      </c>
      <c r="AQ80" s="33">
        <f>IF(AP80="partial",'Tube Laser'!D80/60/60*35*'Tube Laser'!B80*0.5,IF(AP80="full-time",'Tube Laser'!D80/60/60*35*'Tube Laser'!B80,0))</f>
        <v>0</v>
      </c>
      <c r="AR80" s="33">
        <f>ROUND(IFERROR(AQ80/'Tube Laser'!B80,0),2)</f>
        <v>0</v>
      </c>
      <c r="AT80" s="33" t="str">
        <f ca="1">IFERROR('FB Laser'!J81*'FB Laser'!B81,"")</f>
        <v/>
      </c>
      <c r="AU80" s="33" t="str">
        <f ca="1">IFERROR('Tube Laser'!L80*'Tube Laser'!B80,"")</f>
        <v/>
      </c>
    </row>
    <row r="81" spans="1:47">
      <c r="A81" s="10" t="s">
        <v>16</v>
      </c>
      <c r="B81" s="10" t="s">
        <v>137</v>
      </c>
      <c r="C81" s="11">
        <v>3.125</v>
      </c>
      <c r="D81" s="10" t="s">
        <v>22</v>
      </c>
      <c r="E81" s="9">
        <v>1.25</v>
      </c>
      <c r="K81" t="str">
        <f t="array" aca="1" ref="K81" ca="1">INDIRECT(TEXT(MIN(IF(($L$9:$M$100&lt;&gt;"")*(COUNTIF($K$8:K80,$L$9:$M$100)=0),ROW($9:$100)*100+COLUMN($L:$M),7^8)),"R0C00"),)&amp;""</f>
        <v/>
      </c>
      <c r="L81" t="str">
        <f>IF('FB Laser'!A82=0,"",'FB Laser'!A82)</f>
        <v/>
      </c>
      <c r="M81" t="str">
        <f>IF('Tube Laser'!A81=0,"",'Tube Laser'!A81)</f>
        <v/>
      </c>
      <c r="O81" t="str">
        <f t="array" aca="1" ref="O81" ca="1">INDIRECT(TEXT(MIN(IF(($P$9:$Q$100&lt;&gt;"")*(COUNTIF($O$8:O80,$P$9:$Q$100)=0),ROW($9:$100)*100+COLUMN($P:$Q),7^8)),"R0C00"),)&amp;""</f>
        <v/>
      </c>
      <c r="P81" t="str">
        <f>IF('FB Laser'!F82="Yes",'FB Laser'!A82,"")</f>
        <v/>
      </c>
      <c r="Q81" t="str">
        <f>IF('Tube Laser'!I81="Yes",'Tube Laser'!A81,"")</f>
        <v/>
      </c>
      <c r="R81" s="37" t="str">
        <f>IFERROR(('FB Laser'!G82*'FB Laser'!B82),"")</f>
        <v/>
      </c>
      <c r="S81" s="37">
        <f>IFERROR('FB Laser'!H82*'FB Laser'!B82,"")</f>
        <v>0</v>
      </c>
      <c r="U81" s="37">
        <f>IFERROR(((((('Tube Laser'!D81)*'Tube Laser'!B81)/60)/60)*188.17)+(AE81*'Tube Laser'!B81),"")</f>
        <v>0</v>
      </c>
      <c r="V81" s="37">
        <f ca="1">IFERROR(('Tube Laser'!N81*'Tube Laser'!B81)+(AE81*'Tube Laser'!B81)+(AF81*'Tube Laser'!B81)+(AG81*'Tube Laser'!B81)+('FB Data'!AH81*'Tube Laser'!B81),"")</f>
        <v>0</v>
      </c>
      <c r="X81" s="41">
        <f>IFERROR(('Tube Laser'!D81*'Tube Laser'!B81)/60/60,"")</f>
        <v>0</v>
      </c>
      <c r="AE81" t="str">
        <f>IF('Tube Laser'!E81="One Side",'Tube Laser'!J81*0.2,IF('Tube Laser'!E81="Both Sides",'Tube Laser'!J81*0.4,"0"))</f>
        <v>0</v>
      </c>
      <c r="AF81">
        <f>IF('Tube Laser'!F81="Yes",'Tube Laser'!J81*0.1,0)</f>
        <v>0</v>
      </c>
      <c r="AG81">
        <f>IF('Tube Laser'!G81&gt;0,'Tube Laser'!J81*0.2,0)</f>
        <v>0</v>
      </c>
      <c r="AH81">
        <f>IF('Tube Laser'!H81="Yes",'Tube Laser'!J81*0.1,0)</f>
        <v>0</v>
      </c>
      <c r="AJ81">
        <f>IFERROR(VLOOKUP('FB Laser'!N82,'FB Data'!A74:E222,3,FALSE)*'FB Laser'!M82,0)</f>
        <v>0</v>
      </c>
      <c r="AK81" t="str">
        <f t="shared" si="2"/>
        <v/>
      </c>
      <c r="AL81" s="33">
        <f>IF(AK81="partial",'FB Laser'!E82/60*35*0.5,IF(AK81="full-time",'FB Laser'!E82/60*35,0))</f>
        <v>0</v>
      </c>
      <c r="AM81" s="33">
        <f>ROUND(IFERROR(AL81/'FB Laser'!B82,0),2)</f>
        <v>0</v>
      </c>
      <c r="AO81">
        <f>IFERROR(VLOOKUP('Tube Laser'!P81,'TL Data'!A74:E1299,3,FALSE)*'Tube Laser'!O81,0)</f>
        <v>0</v>
      </c>
      <c r="AP81" t="str">
        <f t="shared" si="3"/>
        <v/>
      </c>
      <c r="AQ81" s="33">
        <f>IF(AP81="partial",'Tube Laser'!D81/60/60*35*'Tube Laser'!B81*0.5,IF(AP81="full-time",'Tube Laser'!D81/60/60*35*'Tube Laser'!B81,0))</f>
        <v>0</v>
      </c>
      <c r="AR81" s="33">
        <f>ROUND(IFERROR(AQ81/'Tube Laser'!B81,0),2)</f>
        <v>0</v>
      </c>
      <c r="AT81" s="33" t="str">
        <f ca="1">IFERROR('FB Laser'!J82*'FB Laser'!B82,"")</f>
        <v/>
      </c>
      <c r="AU81" s="33" t="str">
        <f ca="1">IFERROR('Tube Laser'!L81*'Tube Laser'!B81,"")</f>
        <v/>
      </c>
    </row>
    <row r="82" spans="1:47">
      <c r="A82" s="10" t="s">
        <v>138</v>
      </c>
      <c r="B82" s="10" t="s">
        <v>139</v>
      </c>
      <c r="C82" s="11">
        <v>2.5</v>
      </c>
      <c r="D82" s="10" t="s">
        <v>22</v>
      </c>
      <c r="E82" s="9">
        <v>1.25</v>
      </c>
      <c r="K82" t="str">
        <f t="array" aca="1" ref="K82" ca="1">INDIRECT(TEXT(MIN(IF(($L$9:$M$100&lt;&gt;"")*(COUNTIF($K$8:K81,$L$9:$M$100)=0),ROW($9:$100)*100+COLUMN($L:$M),7^8)),"R0C00"),)&amp;""</f>
        <v/>
      </c>
      <c r="L82" t="str">
        <f>IF('FB Laser'!A83=0,"",'FB Laser'!A83)</f>
        <v/>
      </c>
      <c r="M82" t="str">
        <f>IF('Tube Laser'!A82=0,"",'Tube Laser'!A82)</f>
        <v/>
      </c>
      <c r="O82" t="str">
        <f t="array" aca="1" ref="O82" ca="1">INDIRECT(TEXT(MIN(IF(($P$9:$Q$100&lt;&gt;"")*(COUNTIF($O$8:O81,$P$9:$Q$100)=0),ROW($9:$100)*100+COLUMN($P:$Q),7^8)),"R0C00"),)&amp;""</f>
        <v/>
      </c>
      <c r="P82" t="str">
        <f>IF('FB Laser'!F83="Yes",'FB Laser'!A83,"")</f>
        <v/>
      </c>
      <c r="Q82" t="str">
        <f>IF('Tube Laser'!I82="Yes",'Tube Laser'!A82,"")</f>
        <v/>
      </c>
      <c r="R82" s="37" t="str">
        <f>IFERROR(('FB Laser'!G83*'FB Laser'!B83),"")</f>
        <v/>
      </c>
      <c r="S82" s="37">
        <f>IFERROR('FB Laser'!H83*'FB Laser'!B83,"")</f>
        <v>0</v>
      </c>
      <c r="U82" s="37">
        <f>IFERROR(((((('Tube Laser'!D82)*'Tube Laser'!B82)/60)/60)*188.17)+(AE82*'Tube Laser'!B82),"")</f>
        <v>0</v>
      </c>
      <c r="V82" s="37">
        <f ca="1">IFERROR(('Tube Laser'!N82*'Tube Laser'!B82)+(AE82*'Tube Laser'!B82)+(AF82*'Tube Laser'!B82)+(AG82*'Tube Laser'!B82)+('FB Data'!AH82*'Tube Laser'!B82),"")</f>
        <v>0</v>
      </c>
      <c r="X82" s="41">
        <f>IFERROR(('Tube Laser'!D82*'Tube Laser'!B82)/60/60,"")</f>
        <v>0</v>
      </c>
      <c r="AE82" t="str">
        <f>IF('Tube Laser'!E82="One Side",'Tube Laser'!J82*0.2,IF('Tube Laser'!E82="Both Sides",'Tube Laser'!J82*0.4,"0"))</f>
        <v>0</v>
      </c>
      <c r="AF82">
        <f>IF('Tube Laser'!F82="Yes",'Tube Laser'!J82*0.1,0)</f>
        <v>0</v>
      </c>
      <c r="AG82">
        <f>IF('Tube Laser'!G82&gt;0,'Tube Laser'!J82*0.2,0)</f>
        <v>0</v>
      </c>
      <c r="AH82">
        <f>IF('Tube Laser'!H82="Yes",'Tube Laser'!J82*0.1,0)</f>
        <v>0</v>
      </c>
      <c r="AJ82">
        <f>IFERROR(VLOOKUP('FB Laser'!N83,'FB Data'!A75:E223,3,FALSE)*'FB Laser'!M83,0)</f>
        <v>0</v>
      </c>
      <c r="AK82" t="str">
        <f t="shared" si="2"/>
        <v/>
      </c>
      <c r="AL82" s="33">
        <f>IF(AK82="partial",'FB Laser'!E83/60*35*0.5,IF(AK82="full-time",'FB Laser'!E83/60*35,0))</f>
        <v>0</v>
      </c>
      <c r="AM82" s="33">
        <f>ROUND(IFERROR(AL82/'FB Laser'!B83,0),2)</f>
        <v>0</v>
      </c>
      <c r="AO82">
        <f>IFERROR(VLOOKUP('Tube Laser'!P82,'TL Data'!A75:E1300,3,FALSE)*'Tube Laser'!O82,0)</f>
        <v>0</v>
      </c>
      <c r="AP82" t="str">
        <f t="shared" si="3"/>
        <v/>
      </c>
      <c r="AQ82" s="33">
        <f>IF(AP82="partial",'Tube Laser'!D82/60/60*35*'Tube Laser'!B82*0.5,IF(AP82="full-time",'Tube Laser'!D82/60/60*35*'Tube Laser'!B82,0))</f>
        <v>0</v>
      </c>
      <c r="AR82" s="33">
        <f>ROUND(IFERROR(AQ82/'Tube Laser'!B82,0),2)</f>
        <v>0</v>
      </c>
      <c r="AT82" s="33" t="str">
        <f ca="1">IFERROR('FB Laser'!J83*'FB Laser'!B83,"")</f>
        <v/>
      </c>
      <c r="AU82" s="33" t="str">
        <f ca="1">IFERROR('Tube Laser'!L82*'Tube Laser'!B82,"")</f>
        <v/>
      </c>
    </row>
    <row r="83" spans="1:47">
      <c r="A83" s="10" t="s">
        <v>140</v>
      </c>
      <c r="B83" s="10" t="s">
        <v>141</v>
      </c>
      <c r="C83" s="11">
        <v>2</v>
      </c>
      <c r="D83" s="10" t="s">
        <v>22</v>
      </c>
      <c r="E83" s="9">
        <v>1.25</v>
      </c>
      <c r="K83" t="str">
        <f t="array" aca="1" ref="K83" ca="1">INDIRECT(TEXT(MIN(IF(($L$9:$M$100&lt;&gt;"")*(COUNTIF($K$8:K82,$L$9:$M$100)=0),ROW($9:$100)*100+COLUMN($L:$M),7^8)),"R0C00"),)&amp;""</f>
        <v/>
      </c>
      <c r="L83" t="str">
        <f>IF('FB Laser'!A84=0,"",'FB Laser'!A84)</f>
        <v/>
      </c>
      <c r="M83" t="str">
        <f>IF('Tube Laser'!A83=0,"",'Tube Laser'!A83)</f>
        <v/>
      </c>
      <c r="O83" t="str">
        <f t="array" aca="1" ref="O83" ca="1">INDIRECT(TEXT(MIN(IF(($P$9:$Q$100&lt;&gt;"")*(COUNTIF($O$8:O82,$P$9:$Q$100)=0),ROW($9:$100)*100+COLUMN($P:$Q),7^8)),"R0C00"),)&amp;""</f>
        <v/>
      </c>
      <c r="P83" t="str">
        <f>IF('FB Laser'!F84="Yes",'FB Laser'!A84,"")</f>
        <v/>
      </c>
      <c r="Q83" t="str">
        <f>IF('Tube Laser'!I83="Yes",'Tube Laser'!A83,"")</f>
        <v/>
      </c>
      <c r="R83" s="37" t="str">
        <f>IFERROR(('FB Laser'!G84*'FB Laser'!B84),"")</f>
        <v/>
      </c>
      <c r="S83" s="37">
        <f>IFERROR('FB Laser'!H84*'FB Laser'!B84,"")</f>
        <v>0</v>
      </c>
      <c r="U83" s="37">
        <f>IFERROR(((((('Tube Laser'!D83)*'Tube Laser'!B83)/60)/60)*188.17)+(AE83*'Tube Laser'!B83),"")</f>
        <v>0</v>
      </c>
      <c r="V83" s="37">
        <f ca="1">IFERROR(('Tube Laser'!N83*'Tube Laser'!B83)+(AE83*'Tube Laser'!B83)+(AF83*'Tube Laser'!B83)+(AG83*'Tube Laser'!B83)+('FB Data'!AH83*'Tube Laser'!B83),"")</f>
        <v>0</v>
      </c>
      <c r="X83" s="41">
        <f>IFERROR(('Tube Laser'!D83*'Tube Laser'!B83)/60/60,"")</f>
        <v>0</v>
      </c>
      <c r="AE83" t="str">
        <f>IF('Tube Laser'!E83="One Side",'Tube Laser'!J83*0.2,IF('Tube Laser'!E83="Both Sides",'Tube Laser'!J83*0.4,"0"))</f>
        <v>0</v>
      </c>
      <c r="AF83">
        <f>IF('Tube Laser'!F83="Yes",'Tube Laser'!J83*0.1,0)</f>
        <v>0</v>
      </c>
      <c r="AG83">
        <f>IF('Tube Laser'!G83&gt;0,'Tube Laser'!J83*0.2,0)</f>
        <v>0</v>
      </c>
      <c r="AH83">
        <f>IF('Tube Laser'!H83="Yes",'Tube Laser'!J83*0.1,0)</f>
        <v>0</v>
      </c>
      <c r="AJ83">
        <f>IFERROR(VLOOKUP('FB Laser'!N84,'FB Data'!A76:E224,3,FALSE)*'FB Laser'!M84,0)</f>
        <v>0</v>
      </c>
      <c r="AK83" t="str">
        <f t="shared" si="2"/>
        <v/>
      </c>
      <c r="AL83" s="33">
        <f>IF(AK83="partial",'FB Laser'!E84/60*35*0.5,IF(AK83="full-time",'FB Laser'!E84/60*35,0))</f>
        <v>0</v>
      </c>
      <c r="AM83" s="33">
        <f>ROUND(IFERROR(AL83/'FB Laser'!B84,0),2)</f>
        <v>0</v>
      </c>
      <c r="AO83">
        <f>IFERROR(VLOOKUP('Tube Laser'!P83,'TL Data'!A76:E1301,3,FALSE)*'Tube Laser'!O83,0)</f>
        <v>0</v>
      </c>
      <c r="AP83" t="str">
        <f t="shared" si="3"/>
        <v/>
      </c>
      <c r="AQ83" s="33">
        <f>IF(AP83="partial",'Tube Laser'!D83/60/60*35*'Tube Laser'!B83*0.5,IF(AP83="full-time",'Tube Laser'!D83/60/60*35*'Tube Laser'!B83,0))</f>
        <v>0</v>
      </c>
      <c r="AR83" s="33">
        <f>ROUND(IFERROR(AQ83/'Tube Laser'!B83,0),2)</f>
        <v>0</v>
      </c>
      <c r="AT83" s="33" t="str">
        <f ca="1">IFERROR('FB Laser'!J84*'FB Laser'!B84,"")</f>
        <v/>
      </c>
      <c r="AU83" s="33" t="str">
        <f ca="1">IFERROR('Tube Laser'!L83*'Tube Laser'!B83,"")</f>
        <v/>
      </c>
    </row>
    <row r="84" spans="1:47">
      <c r="A84" s="10" t="s">
        <v>142</v>
      </c>
      <c r="B84" s="10" t="s">
        <v>143</v>
      </c>
      <c r="C84" s="11">
        <v>1.5</v>
      </c>
      <c r="D84" s="10" t="s">
        <v>22</v>
      </c>
      <c r="E84" s="9">
        <v>1.25</v>
      </c>
      <c r="K84" t="str">
        <f t="array" aca="1" ref="K84" ca="1">INDIRECT(TEXT(MIN(IF(($L$9:$M$100&lt;&gt;"")*(COUNTIF($K$8:K83,$L$9:$M$100)=0),ROW($9:$100)*100+COLUMN($L:$M),7^8)),"R0C00"),)&amp;""</f>
        <v/>
      </c>
      <c r="L84" t="str">
        <f>IF('FB Laser'!A85=0,"",'FB Laser'!A85)</f>
        <v/>
      </c>
      <c r="M84" t="str">
        <f>IF('Tube Laser'!A84=0,"",'Tube Laser'!A84)</f>
        <v/>
      </c>
      <c r="O84" t="str">
        <f t="array" aca="1" ref="O84" ca="1">INDIRECT(TEXT(MIN(IF(($P$9:$Q$100&lt;&gt;"")*(COUNTIF($O$8:O83,$P$9:$Q$100)=0),ROW($9:$100)*100+COLUMN($P:$Q),7^8)),"R0C00"),)&amp;""</f>
        <v/>
      </c>
      <c r="P84" t="str">
        <f>IF('FB Laser'!F85="Yes",'FB Laser'!A85,"")</f>
        <v/>
      </c>
      <c r="Q84" t="str">
        <f>IF('Tube Laser'!I84="Yes",'Tube Laser'!A84,"")</f>
        <v/>
      </c>
      <c r="R84" s="37" t="str">
        <f>IFERROR(('FB Laser'!G85*'FB Laser'!B85),"")</f>
        <v/>
      </c>
      <c r="S84" s="37">
        <f>IFERROR('FB Laser'!H85*'FB Laser'!B85,"")</f>
        <v>0</v>
      </c>
      <c r="U84" s="37">
        <f>IFERROR(((((('Tube Laser'!D84)*'Tube Laser'!B84)/60)/60)*188.17)+(AE84*'Tube Laser'!B84),"")</f>
        <v>0</v>
      </c>
      <c r="V84" s="37">
        <f ca="1">IFERROR(('Tube Laser'!N84*'Tube Laser'!B84)+(AE84*'Tube Laser'!B84)+(AF84*'Tube Laser'!B84)+(AG84*'Tube Laser'!B84)+('FB Data'!AH84*'Tube Laser'!B84),"")</f>
        <v>0</v>
      </c>
      <c r="X84" s="41">
        <f>IFERROR(('Tube Laser'!D84*'Tube Laser'!B84)/60/60,"")</f>
        <v>0</v>
      </c>
      <c r="AE84" t="str">
        <f>IF('Tube Laser'!E84="One Side",'Tube Laser'!J84*0.2,IF('Tube Laser'!E84="Both Sides",'Tube Laser'!J84*0.4,"0"))</f>
        <v>0</v>
      </c>
      <c r="AF84">
        <f>IF('Tube Laser'!F84="Yes",'Tube Laser'!J84*0.1,0)</f>
        <v>0</v>
      </c>
      <c r="AG84">
        <f>IF('Tube Laser'!G84&gt;0,'Tube Laser'!J84*0.2,0)</f>
        <v>0</v>
      </c>
      <c r="AH84">
        <f>IF('Tube Laser'!H84="Yes",'Tube Laser'!J84*0.1,0)</f>
        <v>0</v>
      </c>
      <c r="AJ84">
        <f>IFERROR(VLOOKUP('FB Laser'!N85,'FB Data'!A77:E225,3,FALSE)*'FB Laser'!M85,0)</f>
        <v>0</v>
      </c>
      <c r="AK84" t="str">
        <f t="shared" si="2"/>
        <v/>
      </c>
      <c r="AL84" s="33">
        <f>IF(AK84="partial",'FB Laser'!E85/60*35*0.5,IF(AK84="full-time",'FB Laser'!E85/60*35,0))</f>
        <v>0</v>
      </c>
      <c r="AM84" s="33">
        <f>ROUND(IFERROR(AL84/'FB Laser'!B85,0),2)</f>
        <v>0</v>
      </c>
      <c r="AO84">
        <f>IFERROR(VLOOKUP('Tube Laser'!P84,'TL Data'!A77:E1302,3,FALSE)*'Tube Laser'!O84,0)</f>
        <v>0</v>
      </c>
      <c r="AP84" t="str">
        <f t="shared" si="3"/>
        <v/>
      </c>
      <c r="AQ84" s="33">
        <f>IF(AP84="partial",'Tube Laser'!D84/60/60*35*'Tube Laser'!B84*0.5,IF(AP84="full-time",'Tube Laser'!D84/60/60*35*'Tube Laser'!B84,0))</f>
        <v>0</v>
      </c>
      <c r="AR84" s="33">
        <f>ROUND(IFERROR(AQ84/'Tube Laser'!B84,0),2)</f>
        <v>0</v>
      </c>
      <c r="AT84" s="33" t="str">
        <f ca="1">IFERROR('FB Laser'!J85*'FB Laser'!B85,"")</f>
        <v/>
      </c>
      <c r="AU84" s="33" t="str">
        <f ca="1">IFERROR('Tube Laser'!L84*'Tube Laser'!B84,"")</f>
        <v/>
      </c>
    </row>
    <row r="85" spans="1:47">
      <c r="A85" s="10" t="s">
        <v>144</v>
      </c>
      <c r="B85" s="10" t="s">
        <v>145</v>
      </c>
      <c r="C85" s="11">
        <v>7.5</v>
      </c>
      <c r="D85" s="10" t="s">
        <v>22</v>
      </c>
      <c r="E85" s="9">
        <v>1.25</v>
      </c>
      <c r="K85" t="str">
        <f t="array" aca="1" ref="K85" ca="1">INDIRECT(TEXT(MIN(IF(($L$9:$M$100&lt;&gt;"")*(COUNTIF($K$8:K84,$L$9:$M$100)=0),ROW($9:$100)*100+COLUMN($L:$M),7^8)),"R0C00"),)&amp;""</f>
        <v/>
      </c>
      <c r="L85" t="str">
        <f>IF('FB Laser'!A86=0,"",'FB Laser'!A86)</f>
        <v/>
      </c>
      <c r="M85" t="str">
        <f>IF('Tube Laser'!A85=0,"",'Tube Laser'!A85)</f>
        <v/>
      </c>
      <c r="O85" t="str">
        <f t="array" aca="1" ref="O85" ca="1">INDIRECT(TEXT(MIN(IF(($P$9:$Q$100&lt;&gt;"")*(COUNTIF($O$8:O84,$P$9:$Q$100)=0),ROW($9:$100)*100+COLUMN($P:$Q),7^8)),"R0C00"),)&amp;""</f>
        <v/>
      </c>
      <c r="P85" t="str">
        <f>IF('FB Laser'!F86="Yes",'FB Laser'!A86,"")</f>
        <v/>
      </c>
      <c r="Q85" t="str">
        <f>IF('Tube Laser'!I85="Yes",'Tube Laser'!A85,"")</f>
        <v/>
      </c>
      <c r="R85" s="37" t="str">
        <f>IFERROR(('FB Laser'!G86*'FB Laser'!B86),"")</f>
        <v/>
      </c>
      <c r="S85" s="37">
        <f>IFERROR('FB Laser'!H86*'FB Laser'!B86,"")</f>
        <v>0</v>
      </c>
      <c r="U85" s="37">
        <f>IFERROR(((((('Tube Laser'!D85)*'Tube Laser'!B85)/60)/60)*188.17)+(AE85*'Tube Laser'!B85),"")</f>
        <v>0</v>
      </c>
      <c r="V85" s="37">
        <f ca="1">IFERROR(('Tube Laser'!N85*'Tube Laser'!B85)+(AE85*'Tube Laser'!B85)+(AF85*'Tube Laser'!B85)+(AG85*'Tube Laser'!B85)+('FB Data'!AH85*'Tube Laser'!B85),"")</f>
        <v>0</v>
      </c>
      <c r="X85" s="41">
        <f>IFERROR(('Tube Laser'!D85*'Tube Laser'!B85)/60/60,"")</f>
        <v>0</v>
      </c>
      <c r="AE85" t="str">
        <f>IF('Tube Laser'!E85="One Side",'Tube Laser'!J85*0.2,IF('Tube Laser'!E85="Both Sides",'Tube Laser'!J85*0.4,"0"))</f>
        <v>0</v>
      </c>
      <c r="AF85">
        <f>IF('Tube Laser'!F85="Yes",'Tube Laser'!J85*0.1,0)</f>
        <v>0</v>
      </c>
      <c r="AG85">
        <f>IF('Tube Laser'!G85&gt;0,'Tube Laser'!J85*0.2,0)</f>
        <v>0</v>
      </c>
      <c r="AH85">
        <f>IF('Tube Laser'!H85="Yes",'Tube Laser'!J85*0.1,0)</f>
        <v>0</v>
      </c>
      <c r="AJ85">
        <f>IFERROR(VLOOKUP('FB Laser'!N86,'FB Data'!A78:E226,3,FALSE)*'FB Laser'!M86,0)</f>
        <v>0</v>
      </c>
      <c r="AK85" t="str">
        <f t="shared" si="2"/>
        <v/>
      </c>
      <c r="AL85" s="33">
        <f>IF(AK85="partial",'FB Laser'!E86/60*35*0.5,IF(AK85="full-time",'FB Laser'!E86/60*35,0))</f>
        <v>0</v>
      </c>
      <c r="AM85" s="33">
        <f>ROUND(IFERROR(AL85/'FB Laser'!B86,0),2)</f>
        <v>0</v>
      </c>
      <c r="AO85">
        <f>IFERROR(VLOOKUP('Tube Laser'!P85,'TL Data'!A78:E1303,3,FALSE)*'Tube Laser'!O85,0)</f>
        <v>0</v>
      </c>
      <c r="AP85" t="str">
        <f t="shared" si="3"/>
        <v/>
      </c>
      <c r="AQ85" s="33">
        <f>IF(AP85="partial",'Tube Laser'!D85/60/60*35*'Tube Laser'!B85*0.5,IF(AP85="full-time",'Tube Laser'!D85/60/60*35*'Tube Laser'!B85,0))</f>
        <v>0</v>
      </c>
      <c r="AR85" s="33">
        <f>ROUND(IFERROR(AQ85/'Tube Laser'!B85,0),2)</f>
        <v>0</v>
      </c>
      <c r="AT85" s="33" t="str">
        <f ca="1">IFERROR('FB Laser'!J86*'FB Laser'!B86,"")</f>
        <v/>
      </c>
      <c r="AU85" s="33" t="str">
        <f ca="1">IFERROR('Tube Laser'!L85*'Tube Laser'!B85,"")</f>
        <v/>
      </c>
    </row>
    <row r="86" spans="1:47">
      <c r="A86" s="10" t="s">
        <v>146</v>
      </c>
      <c r="B86" s="10" t="s">
        <v>147</v>
      </c>
      <c r="C86" s="11">
        <v>61.26</v>
      </c>
      <c r="D86" s="10" t="s">
        <v>22</v>
      </c>
      <c r="E86" s="9">
        <v>1.25</v>
      </c>
      <c r="K86" t="str">
        <f t="array" aca="1" ref="K86" ca="1">INDIRECT(TEXT(MIN(IF(($L$9:$M$100&lt;&gt;"")*(COUNTIF($K$8:K85,$L$9:$M$100)=0),ROW($9:$100)*100+COLUMN($L:$M),7^8)),"R0C00"),)&amp;""</f>
        <v/>
      </c>
      <c r="L86" t="str">
        <f>IF('FB Laser'!A87=0,"",'FB Laser'!A87)</f>
        <v/>
      </c>
      <c r="M86" t="str">
        <f>IF('Tube Laser'!A86=0,"",'Tube Laser'!A86)</f>
        <v/>
      </c>
      <c r="O86" t="str">
        <f t="array" aca="1" ref="O86" ca="1">INDIRECT(TEXT(MIN(IF(($P$9:$Q$100&lt;&gt;"")*(COUNTIF($O$8:O85,$P$9:$Q$100)=0),ROW($9:$100)*100+COLUMN($P:$Q),7^8)),"R0C00"),)&amp;""</f>
        <v/>
      </c>
      <c r="P86" t="str">
        <f>IF('FB Laser'!F87="Yes",'FB Laser'!A87,"")</f>
        <v/>
      </c>
      <c r="Q86" t="str">
        <f>IF('Tube Laser'!I86="Yes",'Tube Laser'!A86,"")</f>
        <v/>
      </c>
      <c r="R86" s="37" t="str">
        <f>IFERROR(('FB Laser'!G87*'FB Laser'!B87),"")</f>
        <v/>
      </c>
      <c r="S86" s="37">
        <f>IFERROR('FB Laser'!H87*'FB Laser'!B87,"")</f>
        <v>0</v>
      </c>
      <c r="U86" s="37">
        <f>IFERROR(((((('Tube Laser'!D86)*'Tube Laser'!B86)/60)/60)*188.17)+(AE86*'Tube Laser'!B86),"")</f>
        <v>0</v>
      </c>
      <c r="V86" s="37">
        <f ca="1">IFERROR(('Tube Laser'!N86*'Tube Laser'!B86)+(AE86*'Tube Laser'!B86)+(AF86*'Tube Laser'!B86)+(AG86*'Tube Laser'!B86)+('FB Data'!AH86*'Tube Laser'!B86),"")</f>
        <v>0</v>
      </c>
      <c r="X86" s="41">
        <f>IFERROR(('Tube Laser'!D86*'Tube Laser'!B86)/60/60,"")</f>
        <v>0</v>
      </c>
      <c r="AE86" t="str">
        <f>IF('Tube Laser'!E86="One Side",'Tube Laser'!J86*0.2,IF('Tube Laser'!E86="Both Sides",'Tube Laser'!J86*0.4,"0"))</f>
        <v>0</v>
      </c>
      <c r="AF86">
        <f>IF('Tube Laser'!F86="Yes",'Tube Laser'!J86*0.1,0)</f>
        <v>0</v>
      </c>
      <c r="AG86">
        <f>IF('Tube Laser'!G86&gt;0,'Tube Laser'!J86*0.2,0)</f>
        <v>0</v>
      </c>
      <c r="AH86">
        <f>IF('Tube Laser'!H86="Yes",'Tube Laser'!J86*0.1,0)</f>
        <v>0</v>
      </c>
      <c r="AJ86">
        <f>IFERROR(VLOOKUP('FB Laser'!N87,'FB Data'!A79:E227,3,FALSE)*'FB Laser'!M87,0)</f>
        <v>0</v>
      </c>
      <c r="AK86" t="str">
        <f t="shared" si="2"/>
        <v/>
      </c>
      <c r="AL86" s="33">
        <f>IF(AK86="partial",'FB Laser'!E87/60*35*0.5,IF(AK86="full-time",'FB Laser'!E87/60*35,0))</f>
        <v>0</v>
      </c>
      <c r="AM86" s="33">
        <f>ROUND(IFERROR(AL86/'FB Laser'!B87,0),2)</f>
        <v>0</v>
      </c>
      <c r="AO86">
        <f>IFERROR(VLOOKUP('Tube Laser'!P86,'TL Data'!A79:E1304,3,FALSE)*'Tube Laser'!O86,0)</f>
        <v>0</v>
      </c>
      <c r="AP86" t="str">
        <f t="shared" si="3"/>
        <v/>
      </c>
      <c r="AQ86" s="33">
        <f>IF(AP86="partial",'Tube Laser'!D86/60/60*35*'Tube Laser'!B86*0.5,IF(AP86="full-time",'Tube Laser'!D86/60/60*35*'Tube Laser'!B86,0))</f>
        <v>0</v>
      </c>
      <c r="AR86" s="33">
        <f>ROUND(IFERROR(AQ86/'Tube Laser'!B86,0),2)</f>
        <v>0</v>
      </c>
      <c r="AT86" s="33" t="str">
        <f ca="1">IFERROR('FB Laser'!J87*'FB Laser'!B87,"")</f>
        <v/>
      </c>
      <c r="AU86" s="33" t="str">
        <f ca="1">IFERROR('Tube Laser'!L86*'Tube Laser'!B86,"")</f>
        <v/>
      </c>
    </row>
    <row r="87" spans="1:47">
      <c r="A87" s="10" t="s">
        <v>148</v>
      </c>
      <c r="B87" s="10" t="s">
        <v>149</v>
      </c>
      <c r="C87" s="11">
        <v>61.26</v>
      </c>
      <c r="D87" s="10" t="s">
        <v>22</v>
      </c>
      <c r="E87" s="9">
        <v>1.25</v>
      </c>
      <c r="K87" t="str">
        <f t="array" aca="1" ref="K87" ca="1">INDIRECT(TEXT(MIN(IF(($L$9:$M$100&lt;&gt;"")*(COUNTIF($K$8:K86,$L$9:$M$100)=0),ROW($9:$100)*100+COLUMN($L:$M),7^8)),"R0C00"),)&amp;""</f>
        <v/>
      </c>
      <c r="L87" t="str">
        <f>IF('FB Laser'!A88=0,"",'FB Laser'!A88)</f>
        <v/>
      </c>
      <c r="M87" t="str">
        <f>IF('Tube Laser'!A87=0,"",'Tube Laser'!A87)</f>
        <v/>
      </c>
      <c r="O87" t="str">
        <f t="array" aca="1" ref="O87" ca="1">INDIRECT(TEXT(MIN(IF(($P$9:$Q$100&lt;&gt;"")*(COUNTIF($O$8:O86,$P$9:$Q$100)=0),ROW($9:$100)*100+COLUMN($P:$Q),7^8)),"R0C00"),)&amp;""</f>
        <v/>
      </c>
      <c r="P87" t="str">
        <f>IF('FB Laser'!F88="Yes",'FB Laser'!A88,"")</f>
        <v/>
      </c>
      <c r="Q87" t="str">
        <f>IF('Tube Laser'!I87="Yes",'Tube Laser'!A87,"")</f>
        <v/>
      </c>
      <c r="R87" s="37" t="str">
        <f>IFERROR(('FB Laser'!G88*'FB Laser'!B88),"")</f>
        <v/>
      </c>
      <c r="S87" s="37">
        <f>IFERROR('FB Laser'!H88*'FB Laser'!B88,"")</f>
        <v>0</v>
      </c>
      <c r="U87" s="37">
        <f>IFERROR(((((('Tube Laser'!D87)*'Tube Laser'!B87)/60)/60)*188.17)+(AE87*'Tube Laser'!B87),"")</f>
        <v>0</v>
      </c>
      <c r="V87" s="37">
        <f ca="1">IFERROR(('Tube Laser'!N87*'Tube Laser'!B87)+(AE87*'Tube Laser'!B87)+(AF87*'Tube Laser'!B87)+(AG87*'Tube Laser'!B87)+('FB Data'!AH87*'Tube Laser'!B87),"")</f>
        <v>0</v>
      </c>
      <c r="X87" s="41">
        <f>IFERROR(('Tube Laser'!D87*'Tube Laser'!B87)/60/60,"")</f>
        <v>0</v>
      </c>
      <c r="AE87" t="str">
        <f>IF('Tube Laser'!E87="One Side",'Tube Laser'!J87*0.2,IF('Tube Laser'!E87="Both Sides",'Tube Laser'!J87*0.4,"0"))</f>
        <v>0</v>
      </c>
      <c r="AF87">
        <f>IF('Tube Laser'!F87="Yes",'Tube Laser'!J87*0.1,0)</f>
        <v>0</v>
      </c>
      <c r="AG87">
        <f>IF('Tube Laser'!G87&gt;0,'Tube Laser'!J87*0.2,0)</f>
        <v>0</v>
      </c>
      <c r="AH87">
        <f>IF('Tube Laser'!H87="Yes",'Tube Laser'!J87*0.1,0)</f>
        <v>0</v>
      </c>
      <c r="AJ87">
        <f>IFERROR(VLOOKUP('FB Laser'!N88,'FB Data'!A80:E228,3,FALSE)*'FB Laser'!M88,0)</f>
        <v>0</v>
      </c>
      <c r="AK87" t="str">
        <f t="shared" si="2"/>
        <v/>
      </c>
      <c r="AL87" s="33">
        <f>IF(AK87="partial",'FB Laser'!E88/60*35*0.5,IF(AK87="full-time",'FB Laser'!E88/60*35,0))</f>
        <v>0</v>
      </c>
      <c r="AM87" s="33">
        <f>ROUND(IFERROR(AL87/'FB Laser'!B88,0),2)</f>
        <v>0</v>
      </c>
      <c r="AO87">
        <f>IFERROR(VLOOKUP('Tube Laser'!P87,'TL Data'!A80:E1305,3,FALSE)*'Tube Laser'!O87,0)</f>
        <v>0</v>
      </c>
      <c r="AP87" t="str">
        <f t="shared" si="3"/>
        <v/>
      </c>
      <c r="AQ87" s="33">
        <f>IF(AP87="partial",'Tube Laser'!D87/60/60*35*'Tube Laser'!B87*0.5,IF(AP87="full-time",'Tube Laser'!D87/60/60*35*'Tube Laser'!B87,0))</f>
        <v>0</v>
      </c>
      <c r="AR87" s="33">
        <f>ROUND(IFERROR(AQ87/'Tube Laser'!B87,0),2)</f>
        <v>0</v>
      </c>
      <c r="AT87" s="33" t="str">
        <f ca="1">IFERROR('FB Laser'!J88*'FB Laser'!B88,"")</f>
        <v/>
      </c>
      <c r="AU87" s="33" t="str">
        <f ca="1">IFERROR('Tube Laser'!L87*'Tube Laser'!B87,"")</f>
        <v/>
      </c>
    </row>
    <row r="88" spans="1:47">
      <c r="A88" s="10" t="s">
        <v>150</v>
      </c>
      <c r="B88" s="10" t="s">
        <v>151</v>
      </c>
      <c r="C88" s="11">
        <v>51.05</v>
      </c>
      <c r="D88" s="10" t="s">
        <v>22</v>
      </c>
      <c r="E88" s="9">
        <v>1.25</v>
      </c>
      <c r="K88" t="str">
        <f t="array" aca="1" ref="K88" ca="1">INDIRECT(TEXT(MIN(IF(($L$9:$M$100&lt;&gt;"")*(COUNTIF($K$8:K87,$L$9:$M$100)=0),ROW($9:$100)*100+COLUMN($L:$M),7^8)),"R0C00"),)&amp;""</f>
        <v/>
      </c>
      <c r="L88" t="str">
        <f>IF('FB Laser'!A89=0,"",'FB Laser'!A89)</f>
        <v/>
      </c>
      <c r="M88" t="str">
        <f>IF('Tube Laser'!A88=0,"",'Tube Laser'!A88)</f>
        <v/>
      </c>
      <c r="O88" t="str">
        <f t="array" aca="1" ref="O88" ca="1">INDIRECT(TEXT(MIN(IF(($P$9:$Q$100&lt;&gt;"")*(COUNTIF($O$8:O87,$P$9:$Q$100)=0),ROW($9:$100)*100+COLUMN($P:$Q),7^8)),"R0C00"),)&amp;""</f>
        <v/>
      </c>
      <c r="P88" t="str">
        <f>IF('FB Laser'!F89="Yes",'FB Laser'!A89,"")</f>
        <v/>
      </c>
      <c r="Q88" t="str">
        <f>IF('Tube Laser'!I88="Yes",'Tube Laser'!A88,"")</f>
        <v/>
      </c>
      <c r="R88" s="37" t="str">
        <f>IFERROR(('FB Laser'!G89*'FB Laser'!B89),"")</f>
        <v/>
      </c>
      <c r="S88" s="37">
        <f>IFERROR('FB Laser'!H89*'FB Laser'!B89,"")</f>
        <v>0</v>
      </c>
      <c r="U88" s="37">
        <f>IFERROR(((((('Tube Laser'!D88)*'Tube Laser'!B88)/60)/60)*188.17)+(AE88*'Tube Laser'!B88),"")</f>
        <v>0</v>
      </c>
      <c r="V88" s="37">
        <f ca="1">IFERROR(('Tube Laser'!N88*'Tube Laser'!B88)+(AE88*'Tube Laser'!B88)+(AF88*'Tube Laser'!B88)+(AG88*'Tube Laser'!B88)+('FB Data'!AH88*'Tube Laser'!B88),"")</f>
        <v>0</v>
      </c>
      <c r="X88" s="41">
        <f>IFERROR(('Tube Laser'!D88*'Tube Laser'!B88)/60/60,"")</f>
        <v>0</v>
      </c>
      <c r="AE88" t="str">
        <f>IF('Tube Laser'!E88="One Side",'Tube Laser'!J88*0.2,IF('Tube Laser'!E88="Both Sides",'Tube Laser'!J88*0.4,"0"))</f>
        <v>0</v>
      </c>
      <c r="AF88">
        <f>IF('Tube Laser'!F88="Yes",'Tube Laser'!J88*0.1,0)</f>
        <v>0</v>
      </c>
      <c r="AG88">
        <f>IF('Tube Laser'!G88&gt;0,'Tube Laser'!J88*0.2,0)</f>
        <v>0</v>
      </c>
      <c r="AH88">
        <f>IF('Tube Laser'!H88="Yes",'Tube Laser'!J88*0.1,0)</f>
        <v>0</v>
      </c>
      <c r="AJ88">
        <f>IFERROR(VLOOKUP('FB Laser'!N89,'FB Data'!A81:E229,3,FALSE)*'FB Laser'!M89,0)</f>
        <v>0</v>
      </c>
      <c r="AK88" t="str">
        <f t="shared" si="2"/>
        <v/>
      </c>
      <c r="AL88" s="33">
        <f>IF(AK88="partial",'FB Laser'!E89/60*35*0.5,IF(AK88="full-time",'FB Laser'!E89/60*35,0))</f>
        <v>0</v>
      </c>
      <c r="AM88" s="33">
        <f>ROUND(IFERROR(AL88/'FB Laser'!B89,0),2)</f>
        <v>0</v>
      </c>
      <c r="AO88">
        <f>IFERROR(VLOOKUP('Tube Laser'!P88,'TL Data'!A81:E1306,3,FALSE)*'Tube Laser'!O88,0)</f>
        <v>0</v>
      </c>
      <c r="AP88" t="str">
        <f t="shared" si="3"/>
        <v/>
      </c>
      <c r="AQ88" s="33">
        <f>IF(AP88="partial",'Tube Laser'!D88/60/60*35*'Tube Laser'!B88*0.5,IF(AP88="full-time",'Tube Laser'!D88/60/60*35*'Tube Laser'!B88,0))</f>
        <v>0</v>
      </c>
      <c r="AR88" s="33">
        <f>ROUND(IFERROR(AQ88/'Tube Laser'!B88,0),2)</f>
        <v>0</v>
      </c>
      <c r="AT88" s="33" t="str">
        <f ca="1">IFERROR('FB Laser'!J89*'FB Laser'!B89,"")</f>
        <v/>
      </c>
      <c r="AU88" s="33" t="str">
        <f ca="1">IFERROR('Tube Laser'!L88*'Tube Laser'!B88,"")</f>
        <v/>
      </c>
    </row>
    <row r="89" spans="1:47">
      <c r="A89" s="10" t="s">
        <v>152</v>
      </c>
      <c r="B89" s="10" t="s">
        <v>153</v>
      </c>
      <c r="C89" s="11">
        <v>45.94</v>
      </c>
      <c r="D89" s="10" t="s">
        <v>22</v>
      </c>
      <c r="E89" s="9">
        <v>1.25</v>
      </c>
      <c r="K89" t="str">
        <f t="array" aca="1" ref="K89" ca="1">INDIRECT(TEXT(MIN(IF(($L$9:$M$100&lt;&gt;"")*(COUNTIF($K$8:K88,$L$9:$M$100)=0),ROW($9:$100)*100+COLUMN($L:$M),7^8)),"R0C00"),)&amp;""</f>
        <v/>
      </c>
      <c r="L89" t="str">
        <f>IF('FB Laser'!A90=0,"",'FB Laser'!A90)</f>
        <v/>
      </c>
      <c r="M89" t="str">
        <f>IF('Tube Laser'!A89=0,"",'Tube Laser'!A89)</f>
        <v/>
      </c>
      <c r="O89" t="str">
        <f t="array" aca="1" ref="O89" ca="1">INDIRECT(TEXT(MIN(IF(($P$9:$Q$100&lt;&gt;"")*(COUNTIF($O$8:O88,$P$9:$Q$100)=0),ROW($9:$100)*100+COLUMN($P:$Q),7^8)),"R0C00"),)&amp;""</f>
        <v/>
      </c>
      <c r="P89" t="str">
        <f>IF('FB Laser'!F90="Yes",'FB Laser'!A90,"")</f>
        <v/>
      </c>
      <c r="Q89" t="str">
        <f>IF('Tube Laser'!I89="Yes",'Tube Laser'!A89,"")</f>
        <v/>
      </c>
      <c r="R89" s="37" t="str">
        <f>IFERROR(('FB Laser'!G90*'FB Laser'!B90),"")</f>
        <v/>
      </c>
      <c r="S89" s="37">
        <f>IFERROR('FB Laser'!H90*'FB Laser'!B90,"")</f>
        <v>0</v>
      </c>
      <c r="U89" s="37">
        <f>IFERROR(((((('Tube Laser'!D89)*'Tube Laser'!B89)/60)/60)*188.17)+(AE89*'Tube Laser'!B89),"")</f>
        <v>0</v>
      </c>
      <c r="V89" s="37">
        <f ca="1">IFERROR(('Tube Laser'!N89*'Tube Laser'!B89)+(AE89*'Tube Laser'!B89)+(AF89*'Tube Laser'!B89)+(AG89*'Tube Laser'!B89)+('FB Data'!AH89*'Tube Laser'!B89),"")</f>
        <v>0</v>
      </c>
      <c r="X89" s="41">
        <f>IFERROR(('Tube Laser'!D89*'Tube Laser'!B89)/60/60,"")</f>
        <v>0</v>
      </c>
      <c r="AE89" t="str">
        <f>IF('Tube Laser'!E89="One Side",'Tube Laser'!J89*0.2,IF('Tube Laser'!E89="Both Sides",'Tube Laser'!J89*0.4,"0"))</f>
        <v>0</v>
      </c>
      <c r="AF89">
        <f>IF('Tube Laser'!F89="Yes",'Tube Laser'!J89*0.1,0)</f>
        <v>0</v>
      </c>
      <c r="AG89">
        <f>IF('Tube Laser'!G89&gt;0,'Tube Laser'!J89*0.2,0)</f>
        <v>0</v>
      </c>
      <c r="AH89">
        <f>IF('Tube Laser'!H89="Yes",'Tube Laser'!J89*0.1,0)</f>
        <v>0</v>
      </c>
      <c r="AJ89">
        <f>IFERROR(VLOOKUP('FB Laser'!N90,'FB Data'!A82:E230,3,FALSE)*'FB Laser'!M90,0)</f>
        <v>0</v>
      </c>
      <c r="AK89" t="str">
        <f t="shared" si="2"/>
        <v/>
      </c>
      <c r="AL89" s="33">
        <f>IF(AK89="partial",'FB Laser'!E90/60*35*0.5,IF(AK89="full-time",'FB Laser'!E90/60*35,0))</f>
        <v>0</v>
      </c>
      <c r="AM89" s="33">
        <f>ROUND(IFERROR(AL89/'FB Laser'!B90,0),2)</f>
        <v>0</v>
      </c>
      <c r="AO89">
        <f>IFERROR(VLOOKUP('Tube Laser'!P89,'TL Data'!A82:E1307,3,FALSE)*'Tube Laser'!O89,0)</f>
        <v>0</v>
      </c>
      <c r="AP89" t="str">
        <f t="shared" si="3"/>
        <v/>
      </c>
      <c r="AQ89" s="33">
        <f>IF(AP89="partial",'Tube Laser'!D89/60/60*35*'Tube Laser'!B89*0.5,IF(AP89="full-time",'Tube Laser'!D89/60/60*35*'Tube Laser'!B89,0))</f>
        <v>0</v>
      </c>
      <c r="AR89" s="33">
        <f>ROUND(IFERROR(AQ89/'Tube Laser'!B89,0),2)</f>
        <v>0</v>
      </c>
      <c r="AT89" s="33" t="str">
        <f ca="1">IFERROR('FB Laser'!J90*'FB Laser'!B90,"")</f>
        <v/>
      </c>
      <c r="AU89" s="33" t="str">
        <f ca="1">IFERROR('Tube Laser'!L89*'Tube Laser'!B89,"")</f>
        <v/>
      </c>
    </row>
    <row r="90" spans="1:47">
      <c r="A90" s="10" t="s">
        <v>154</v>
      </c>
      <c r="B90" s="10" t="s">
        <v>155</v>
      </c>
      <c r="C90" s="11">
        <v>20.420000000000002</v>
      </c>
      <c r="D90" s="10" t="s">
        <v>22</v>
      </c>
      <c r="E90" s="9">
        <v>1.25</v>
      </c>
      <c r="K90" t="str">
        <f t="array" aca="1" ref="K90" ca="1">INDIRECT(TEXT(MIN(IF(($L$9:$M$100&lt;&gt;"")*(COUNTIF($K$8:K89,$L$9:$M$100)=0),ROW($9:$100)*100+COLUMN($L:$M),7^8)),"R0C00"),)&amp;""</f>
        <v/>
      </c>
      <c r="L90" t="str">
        <f>IF('FB Laser'!A91=0,"",'FB Laser'!A91)</f>
        <v/>
      </c>
      <c r="M90" t="str">
        <f>IF('Tube Laser'!A90=0,"",'Tube Laser'!A90)</f>
        <v/>
      </c>
      <c r="O90" t="str">
        <f t="array" aca="1" ref="O90" ca="1">INDIRECT(TEXT(MIN(IF(($P$9:$Q$100&lt;&gt;"")*(COUNTIF($O$8:O89,$P$9:$Q$100)=0),ROW($9:$100)*100+COLUMN($P:$Q),7^8)),"R0C00"),)&amp;""</f>
        <v/>
      </c>
      <c r="P90" t="str">
        <f>IF('FB Laser'!F91="Yes",'FB Laser'!A91,"")</f>
        <v/>
      </c>
      <c r="Q90" t="str">
        <f>IF('Tube Laser'!I90="Yes",'Tube Laser'!A90,"")</f>
        <v/>
      </c>
      <c r="R90" s="37" t="str">
        <f>IFERROR(('FB Laser'!G91*'FB Laser'!B91),"")</f>
        <v/>
      </c>
      <c r="S90" s="37">
        <f>IFERROR('FB Laser'!H91*'FB Laser'!B91,"")</f>
        <v>0</v>
      </c>
      <c r="U90" s="37">
        <f>IFERROR(((((('Tube Laser'!D90)*'Tube Laser'!B90)/60)/60)*188.17)+(AE90*'Tube Laser'!B90),"")</f>
        <v>0</v>
      </c>
      <c r="V90" s="37">
        <f ca="1">IFERROR(('Tube Laser'!N90*'Tube Laser'!B90)+(AE90*'Tube Laser'!B90)+(AF90*'Tube Laser'!B90)+(AG90*'Tube Laser'!B90)+('FB Data'!AH90*'Tube Laser'!B90),"")</f>
        <v>0</v>
      </c>
      <c r="X90" s="41">
        <f>IFERROR(('Tube Laser'!D90*'Tube Laser'!B90)/60/60,"")</f>
        <v>0</v>
      </c>
      <c r="AE90" t="str">
        <f>IF('Tube Laser'!E90="One Side",'Tube Laser'!J90*0.2,IF('Tube Laser'!E90="Both Sides",'Tube Laser'!J90*0.4,"0"))</f>
        <v>0</v>
      </c>
      <c r="AF90">
        <f>IF('Tube Laser'!F90="Yes",'Tube Laser'!J90*0.1,0)</f>
        <v>0</v>
      </c>
      <c r="AG90">
        <f>IF('Tube Laser'!G90&gt;0,'Tube Laser'!J90*0.2,0)</f>
        <v>0</v>
      </c>
      <c r="AH90">
        <f>IF('Tube Laser'!H90="Yes",'Tube Laser'!J90*0.1,0)</f>
        <v>0</v>
      </c>
      <c r="AJ90">
        <f>IFERROR(VLOOKUP('FB Laser'!N91,'FB Data'!A83:E231,3,FALSE)*'FB Laser'!M91,0)</f>
        <v>0</v>
      </c>
      <c r="AK90" t="str">
        <f t="shared" si="2"/>
        <v/>
      </c>
      <c r="AL90" s="33">
        <f>IF(AK90="partial",'FB Laser'!E91/60*35*0.5,IF(AK90="full-time",'FB Laser'!E91/60*35,0))</f>
        <v>0</v>
      </c>
      <c r="AM90" s="33">
        <f>ROUND(IFERROR(AL90/'FB Laser'!B91,0),2)</f>
        <v>0</v>
      </c>
      <c r="AO90">
        <f>IFERROR(VLOOKUP('Tube Laser'!P90,'TL Data'!A83:E1308,3,FALSE)*'Tube Laser'!O90,0)</f>
        <v>0</v>
      </c>
      <c r="AP90" t="str">
        <f t="shared" si="3"/>
        <v/>
      </c>
      <c r="AQ90" s="33">
        <f>IF(AP90="partial",'Tube Laser'!D90/60/60*35*'Tube Laser'!B90*0.5,IF(AP90="full-time",'Tube Laser'!D90/60/60*35*'Tube Laser'!B90,0))</f>
        <v>0</v>
      </c>
      <c r="AR90" s="33">
        <f>ROUND(IFERROR(AQ90/'Tube Laser'!B90,0),2)</f>
        <v>0</v>
      </c>
      <c r="AT90" s="33" t="str">
        <f ca="1">IFERROR('FB Laser'!J91*'FB Laser'!B91,"")</f>
        <v/>
      </c>
      <c r="AU90" s="33" t="str">
        <f ca="1">IFERROR('Tube Laser'!L90*'Tube Laser'!B90,"")</f>
        <v/>
      </c>
    </row>
    <row r="91" spans="1:47">
      <c r="A91" s="10" t="s">
        <v>156</v>
      </c>
      <c r="B91" s="10" t="s">
        <v>157</v>
      </c>
      <c r="C91" s="11">
        <v>20.420000000000002</v>
      </c>
      <c r="D91" s="10" t="s">
        <v>22</v>
      </c>
      <c r="E91" s="9">
        <v>1.25</v>
      </c>
      <c r="K91" t="str">
        <f t="array" aca="1" ref="K91" ca="1">INDIRECT(TEXT(MIN(IF(($L$9:$M$100&lt;&gt;"")*(COUNTIF($K$8:K90,$L$9:$M$100)=0),ROW($9:$100)*100+COLUMN($L:$M),7^8)),"R0C00"),)&amp;""</f>
        <v/>
      </c>
      <c r="L91" t="str">
        <f>IF('FB Laser'!A92=0,"",'FB Laser'!A92)</f>
        <v/>
      </c>
      <c r="M91" t="str">
        <f>IF('Tube Laser'!A91=0,"",'Tube Laser'!A91)</f>
        <v/>
      </c>
      <c r="O91" t="str">
        <f t="array" aca="1" ref="O91" ca="1">INDIRECT(TEXT(MIN(IF(($P$9:$Q$100&lt;&gt;"")*(COUNTIF($O$8:O90,$P$9:$Q$100)=0),ROW($9:$100)*100+COLUMN($P:$Q),7^8)),"R0C00"),)&amp;""</f>
        <v/>
      </c>
      <c r="P91" t="str">
        <f>IF('FB Laser'!F92="Yes",'FB Laser'!A92,"")</f>
        <v/>
      </c>
      <c r="Q91" t="str">
        <f>IF('Tube Laser'!I91="Yes",'Tube Laser'!A91,"")</f>
        <v/>
      </c>
      <c r="R91" s="37" t="str">
        <f>IFERROR(('FB Laser'!G92*'FB Laser'!B92),"")</f>
        <v/>
      </c>
      <c r="S91" s="37">
        <f>IFERROR('FB Laser'!H92*'FB Laser'!B92,"")</f>
        <v>0</v>
      </c>
      <c r="U91" s="37">
        <f>IFERROR(((((('Tube Laser'!D91)*'Tube Laser'!B91)/60)/60)*188.17)+(AE91*'Tube Laser'!B91),"")</f>
        <v>0</v>
      </c>
      <c r="V91" s="37">
        <f ca="1">IFERROR(('Tube Laser'!N91*'Tube Laser'!B91)+(AE91*'Tube Laser'!B91)+(AF91*'Tube Laser'!B91)+(AG91*'Tube Laser'!B91)+('FB Data'!AH91*'Tube Laser'!B91),"")</f>
        <v>0</v>
      </c>
      <c r="X91" s="41">
        <f>IFERROR(('Tube Laser'!D91*'Tube Laser'!B91)/60/60,"")</f>
        <v>0</v>
      </c>
      <c r="AE91" t="str">
        <f>IF('Tube Laser'!E91="One Side",'Tube Laser'!J91*0.2,IF('Tube Laser'!E91="Both Sides",'Tube Laser'!J91*0.4,"0"))</f>
        <v>0</v>
      </c>
      <c r="AF91">
        <f>IF('Tube Laser'!F91="Yes",'Tube Laser'!J91*0.1,0)</f>
        <v>0</v>
      </c>
      <c r="AG91">
        <f>IF('Tube Laser'!G91&gt;0,'Tube Laser'!J91*0.2,0)</f>
        <v>0</v>
      </c>
      <c r="AH91">
        <f>IF('Tube Laser'!H91="Yes",'Tube Laser'!J91*0.1,0)</f>
        <v>0</v>
      </c>
      <c r="AJ91">
        <f>IFERROR(VLOOKUP('FB Laser'!N92,'FB Data'!A84:E232,3,FALSE)*'FB Laser'!M92,0)</f>
        <v>0</v>
      </c>
      <c r="AK91" t="str">
        <f t="shared" si="2"/>
        <v/>
      </c>
      <c r="AL91" s="33">
        <f>IF(AK91="partial",'FB Laser'!E92/60*35*0.5,IF(AK91="full-time",'FB Laser'!E92/60*35,0))</f>
        <v>0</v>
      </c>
      <c r="AM91" s="33">
        <f>ROUND(IFERROR(AL91/'FB Laser'!B92,0),2)</f>
        <v>0</v>
      </c>
      <c r="AO91">
        <f>IFERROR(VLOOKUP('Tube Laser'!P91,'TL Data'!A84:E1309,3,FALSE)*'Tube Laser'!O91,0)</f>
        <v>0</v>
      </c>
      <c r="AP91" t="str">
        <f t="shared" si="3"/>
        <v/>
      </c>
      <c r="AQ91" s="33">
        <f>IF(AP91="partial",'Tube Laser'!D91/60/60*35*'Tube Laser'!B91*0.5,IF(AP91="full-time",'Tube Laser'!D91/60/60*35*'Tube Laser'!B91,0))</f>
        <v>0</v>
      </c>
      <c r="AR91" s="33">
        <f>ROUND(IFERROR(AQ91/'Tube Laser'!B91,0),2)</f>
        <v>0</v>
      </c>
      <c r="AT91" s="33" t="str">
        <f ca="1">IFERROR('FB Laser'!J92*'FB Laser'!B92,"")</f>
        <v/>
      </c>
      <c r="AU91" s="33" t="str">
        <f ca="1">IFERROR('Tube Laser'!L91*'Tube Laser'!B91,"")</f>
        <v/>
      </c>
    </row>
    <row r="92" spans="1:47">
      <c r="A92" s="10" t="s">
        <v>158</v>
      </c>
      <c r="B92" s="10" t="s">
        <v>159</v>
      </c>
      <c r="C92" s="11">
        <v>56.16</v>
      </c>
      <c r="D92" s="10" t="s">
        <v>22</v>
      </c>
      <c r="E92" s="9">
        <v>1.25</v>
      </c>
      <c r="K92" t="str">
        <f t="array" aca="1" ref="K92" ca="1">INDIRECT(TEXT(MIN(IF(($L$9:$M$100&lt;&gt;"")*(COUNTIF($K$8:K91,$L$9:$M$100)=0),ROW($9:$100)*100+COLUMN($L:$M),7^8)),"R0C00"),)&amp;""</f>
        <v/>
      </c>
      <c r="L92" t="str">
        <f>IF('FB Laser'!A93=0,"",'FB Laser'!A93)</f>
        <v/>
      </c>
      <c r="M92" t="str">
        <f>IF('Tube Laser'!A92=0,"",'Tube Laser'!A92)</f>
        <v/>
      </c>
      <c r="O92" t="str">
        <f t="array" aca="1" ref="O92" ca="1">INDIRECT(TEXT(MIN(IF(($P$9:$Q$100&lt;&gt;"")*(COUNTIF($O$8:O91,$P$9:$Q$100)=0),ROW($9:$100)*100+COLUMN($P:$Q),7^8)),"R0C00"),)&amp;""</f>
        <v/>
      </c>
      <c r="P92" t="str">
        <f>IF('FB Laser'!F93="Yes",'FB Laser'!A93,"")</f>
        <v/>
      </c>
      <c r="Q92" t="str">
        <f>IF('Tube Laser'!I92="Yes",'Tube Laser'!A92,"")</f>
        <v/>
      </c>
      <c r="R92" s="37" t="str">
        <f>IFERROR(('FB Laser'!G93*'FB Laser'!B93),"")</f>
        <v/>
      </c>
      <c r="S92" s="37">
        <f>IFERROR('FB Laser'!H93*'FB Laser'!B93,"")</f>
        <v>0</v>
      </c>
      <c r="U92" s="37">
        <f>IFERROR(((((('Tube Laser'!D92)*'Tube Laser'!B92)/60)/60)*188.17)+(AE92*'Tube Laser'!B92),"")</f>
        <v>0</v>
      </c>
      <c r="V92" s="37">
        <f ca="1">IFERROR(('Tube Laser'!N92*'Tube Laser'!B92)+(AE92*'Tube Laser'!B92)+(AF92*'Tube Laser'!B92)+(AG92*'Tube Laser'!B92)+('FB Data'!AH92*'Tube Laser'!B92),"")</f>
        <v>0</v>
      </c>
      <c r="X92" s="41">
        <f>IFERROR(('Tube Laser'!D92*'Tube Laser'!B92)/60/60,"")</f>
        <v>0</v>
      </c>
      <c r="AE92" t="str">
        <f>IF('Tube Laser'!E92="One Side",'Tube Laser'!J92*0.2,IF('Tube Laser'!E92="Both Sides",'Tube Laser'!J92*0.4,"0"))</f>
        <v>0</v>
      </c>
      <c r="AF92">
        <f>IF('Tube Laser'!F92="Yes",'Tube Laser'!J92*0.1,0)</f>
        <v>0</v>
      </c>
      <c r="AG92">
        <f>IF('Tube Laser'!G92&gt;0,'Tube Laser'!J92*0.2,0)</f>
        <v>0</v>
      </c>
      <c r="AH92">
        <f>IF('Tube Laser'!H92="Yes",'Tube Laser'!J92*0.1,0)</f>
        <v>0</v>
      </c>
      <c r="AJ92">
        <f>IFERROR(VLOOKUP('FB Laser'!N93,'FB Data'!A85:E233,3,FALSE)*'FB Laser'!M93,0)</f>
        <v>0</v>
      </c>
      <c r="AK92" t="str">
        <f t="shared" si="2"/>
        <v/>
      </c>
      <c r="AL92" s="33">
        <f>IF(AK92="partial",'FB Laser'!E93/60*35*0.5,IF(AK92="full-time",'FB Laser'!E93/60*35,0))</f>
        <v>0</v>
      </c>
      <c r="AM92" s="33">
        <f>ROUND(IFERROR(AL92/'FB Laser'!B93,0),2)</f>
        <v>0</v>
      </c>
      <c r="AO92">
        <f>IFERROR(VLOOKUP('Tube Laser'!P92,'TL Data'!A85:E1310,3,FALSE)*'Tube Laser'!O92,0)</f>
        <v>0</v>
      </c>
      <c r="AP92" t="str">
        <f t="shared" si="3"/>
        <v/>
      </c>
      <c r="AQ92" s="33">
        <f>IF(AP92="partial",'Tube Laser'!D92/60/60*35*'Tube Laser'!B92*0.5,IF(AP92="full-time",'Tube Laser'!D92/60/60*35*'Tube Laser'!B92,0))</f>
        <v>0</v>
      </c>
      <c r="AR92" s="33">
        <f>ROUND(IFERROR(AQ92/'Tube Laser'!B92,0),2)</f>
        <v>0</v>
      </c>
      <c r="AT92" s="33" t="str">
        <f ca="1">IFERROR('FB Laser'!J93*'FB Laser'!B93,"")</f>
        <v/>
      </c>
      <c r="AU92" s="33" t="str">
        <f ca="1">IFERROR('Tube Laser'!L92*'Tube Laser'!B92,"")</f>
        <v/>
      </c>
    </row>
    <row r="93" spans="1:47">
      <c r="A93" s="10" t="s">
        <v>13</v>
      </c>
      <c r="B93" s="10" t="s">
        <v>160</v>
      </c>
      <c r="C93" s="11">
        <v>10.210000000000001</v>
      </c>
      <c r="D93" s="10" t="s">
        <v>22</v>
      </c>
      <c r="E93" s="9">
        <v>1.25</v>
      </c>
      <c r="K93" t="str">
        <f t="array" aca="1" ref="K93" ca="1">INDIRECT(TEXT(MIN(IF(($L$9:$M$100&lt;&gt;"")*(COUNTIF($K$8:K92,$L$9:$M$100)=0),ROW($9:$100)*100+COLUMN($L:$M),7^8)),"R0C00"),)&amp;""</f>
        <v/>
      </c>
      <c r="L93" t="str">
        <f>IF('FB Laser'!A94=0,"",'FB Laser'!A94)</f>
        <v/>
      </c>
      <c r="M93" t="str">
        <f>IF('Tube Laser'!A93=0,"",'Tube Laser'!A93)</f>
        <v/>
      </c>
      <c r="O93" t="str">
        <f t="array" aca="1" ref="O93" ca="1">INDIRECT(TEXT(MIN(IF(($P$9:$Q$100&lt;&gt;"")*(COUNTIF($O$8:O92,$P$9:$Q$100)=0),ROW($9:$100)*100+COLUMN($P:$Q),7^8)),"R0C00"),)&amp;""</f>
        <v/>
      </c>
      <c r="P93" t="str">
        <f>IF('FB Laser'!F94="Yes",'FB Laser'!A94,"")</f>
        <v/>
      </c>
      <c r="Q93" t="str">
        <f>IF('Tube Laser'!I93="Yes",'Tube Laser'!A93,"")</f>
        <v/>
      </c>
      <c r="R93" s="37" t="str">
        <f>IFERROR(('FB Laser'!G94*'FB Laser'!B94),"")</f>
        <v/>
      </c>
      <c r="S93" s="37">
        <f>IFERROR('FB Laser'!H94*'FB Laser'!B94,"")</f>
        <v>0</v>
      </c>
      <c r="U93" s="37">
        <f>IFERROR(((((('Tube Laser'!D93)*'Tube Laser'!B93)/60)/60)*188.17)+(AE93*'Tube Laser'!B93),"")</f>
        <v>0</v>
      </c>
      <c r="V93" s="37">
        <f ca="1">IFERROR(('Tube Laser'!N93*'Tube Laser'!B93)+(AE93*'Tube Laser'!B93)+(AF93*'Tube Laser'!B93)+(AG93*'Tube Laser'!B93)+('FB Data'!AH93*'Tube Laser'!B93),"")</f>
        <v>0</v>
      </c>
      <c r="X93" s="41">
        <f>IFERROR(('Tube Laser'!D93*'Tube Laser'!B93)/60/60,"")</f>
        <v>0</v>
      </c>
      <c r="AE93" t="str">
        <f>IF('Tube Laser'!E93="One Side",'Tube Laser'!J93*0.2,IF('Tube Laser'!E93="Both Sides",'Tube Laser'!J93*0.4,"0"))</f>
        <v>0</v>
      </c>
      <c r="AF93">
        <f>IF('Tube Laser'!F93="Yes",'Tube Laser'!J93*0.1,0)</f>
        <v>0</v>
      </c>
      <c r="AG93">
        <f>IF('Tube Laser'!G93&gt;0,'Tube Laser'!J93*0.2,0)</f>
        <v>0</v>
      </c>
      <c r="AH93">
        <f>IF('Tube Laser'!H93="Yes",'Tube Laser'!J93*0.1,0)</f>
        <v>0</v>
      </c>
      <c r="AJ93">
        <f>IFERROR(VLOOKUP('FB Laser'!N94,'FB Data'!A86:E234,3,FALSE)*'FB Laser'!M94,0)</f>
        <v>0</v>
      </c>
      <c r="AK93" t="str">
        <f t="shared" si="2"/>
        <v/>
      </c>
      <c r="AL93" s="33">
        <f>IF(AK93="partial",'FB Laser'!E94/60*35*0.5,IF(AK93="full-time",'FB Laser'!E94/60*35,0))</f>
        <v>0</v>
      </c>
      <c r="AM93" s="33">
        <f>ROUND(IFERROR(AL93/'FB Laser'!B94,0),2)</f>
        <v>0</v>
      </c>
      <c r="AO93">
        <f>IFERROR(VLOOKUP('Tube Laser'!P93,'TL Data'!A86:E1311,3,FALSE)*'Tube Laser'!O93,0)</f>
        <v>0</v>
      </c>
      <c r="AP93" t="str">
        <f t="shared" si="3"/>
        <v/>
      </c>
      <c r="AQ93" s="33">
        <f>IF(AP93="partial",'Tube Laser'!D93/60/60*35*'Tube Laser'!B93*0.5,IF(AP93="full-time",'Tube Laser'!D93/60/60*35*'Tube Laser'!B93,0))</f>
        <v>0</v>
      </c>
      <c r="AR93" s="33">
        <f>ROUND(IFERROR(AQ93/'Tube Laser'!B93,0),2)</f>
        <v>0</v>
      </c>
      <c r="AT93" s="33" t="str">
        <f ca="1">IFERROR('FB Laser'!J94*'FB Laser'!B94,"")</f>
        <v/>
      </c>
      <c r="AU93" s="33" t="str">
        <f ca="1">IFERROR('Tube Laser'!L93*'Tube Laser'!B93,"")</f>
        <v/>
      </c>
    </row>
    <row r="94" spans="1:47">
      <c r="A94" s="10" t="s">
        <v>161</v>
      </c>
      <c r="B94" s="10" t="s">
        <v>162</v>
      </c>
      <c r="C94" s="11">
        <v>10.210000000000001</v>
      </c>
      <c r="D94" s="10" t="s">
        <v>22</v>
      </c>
      <c r="E94" s="9">
        <v>1.25</v>
      </c>
      <c r="K94" t="str">
        <f t="array" aca="1" ref="K94" ca="1">INDIRECT(TEXT(MIN(IF(($L$9:$M$100&lt;&gt;"")*(COUNTIF($K$8:K93,$L$9:$M$100)=0),ROW($9:$100)*100+COLUMN($L:$M),7^8)),"R0C00"),)&amp;""</f>
        <v/>
      </c>
      <c r="L94" t="str">
        <f>IF('FB Laser'!A95=0,"",'FB Laser'!A95)</f>
        <v/>
      </c>
      <c r="M94" t="str">
        <f>IF('Tube Laser'!A94=0,"",'Tube Laser'!A94)</f>
        <v/>
      </c>
      <c r="O94" t="str">
        <f t="array" aca="1" ref="O94" ca="1">INDIRECT(TEXT(MIN(IF(($P$9:$Q$100&lt;&gt;"")*(COUNTIF($O$8:O93,$P$9:$Q$100)=0),ROW($9:$100)*100+COLUMN($P:$Q),7^8)),"R0C00"),)&amp;""</f>
        <v/>
      </c>
      <c r="P94" t="str">
        <f>IF('FB Laser'!F95="Yes",'FB Laser'!A95,"")</f>
        <v/>
      </c>
      <c r="Q94" t="str">
        <f>IF('Tube Laser'!I94="Yes",'Tube Laser'!A94,"")</f>
        <v/>
      </c>
      <c r="R94" s="37" t="str">
        <f>IFERROR(('FB Laser'!G95*'FB Laser'!B95),"")</f>
        <v/>
      </c>
      <c r="S94" s="37">
        <f>IFERROR('FB Laser'!H95*'FB Laser'!B95,"")</f>
        <v>0</v>
      </c>
      <c r="U94" s="37">
        <f>IFERROR(((((('Tube Laser'!D94)*'Tube Laser'!B94)/60)/60)*188.17)+(AE94*'Tube Laser'!B94),"")</f>
        <v>0</v>
      </c>
      <c r="V94" s="37">
        <f ca="1">IFERROR(('Tube Laser'!N94*'Tube Laser'!B94)+(AE94*'Tube Laser'!B94)+(AF94*'Tube Laser'!B94)+(AG94*'Tube Laser'!B94)+('FB Data'!AH94*'Tube Laser'!B94),"")</f>
        <v>0</v>
      </c>
      <c r="X94" s="41">
        <f>IFERROR(('Tube Laser'!D94*'Tube Laser'!B94)/60/60,"")</f>
        <v>0</v>
      </c>
      <c r="AE94" t="str">
        <f>IF('Tube Laser'!E94="One Side",'Tube Laser'!J94*0.2,IF('Tube Laser'!E94="Both Sides",'Tube Laser'!J94*0.4,"0"))</f>
        <v>0</v>
      </c>
      <c r="AF94">
        <f>IF('Tube Laser'!F94="Yes",'Tube Laser'!J94*0.1,0)</f>
        <v>0</v>
      </c>
      <c r="AG94">
        <f>IF('Tube Laser'!G94&gt;0,'Tube Laser'!J94*0.2,0)</f>
        <v>0</v>
      </c>
      <c r="AH94">
        <f>IF('Tube Laser'!H94="Yes",'Tube Laser'!J94*0.1,0)</f>
        <v>0</v>
      </c>
      <c r="AJ94">
        <f>IFERROR(VLOOKUP('FB Laser'!N95,'FB Data'!A87:E235,3,FALSE)*'FB Laser'!M95,0)</f>
        <v>0</v>
      </c>
      <c r="AK94" t="str">
        <f t="shared" si="2"/>
        <v/>
      </c>
      <c r="AL94" s="33">
        <f>IF(AK94="partial",'FB Laser'!E95/60*35*0.5,IF(AK94="full-time",'FB Laser'!E95/60*35,0))</f>
        <v>0</v>
      </c>
      <c r="AM94" s="33">
        <f>ROUND(IFERROR(AL94/'FB Laser'!B95,0),2)</f>
        <v>0</v>
      </c>
      <c r="AO94">
        <f>IFERROR(VLOOKUP('Tube Laser'!P94,'TL Data'!A87:E1312,3,FALSE)*'Tube Laser'!O94,0)</f>
        <v>0</v>
      </c>
      <c r="AP94" t="str">
        <f t="shared" si="3"/>
        <v/>
      </c>
      <c r="AQ94" s="33">
        <f>IF(AP94="partial",'Tube Laser'!D94/60/60*35*'Tube Laser'!B94*0.5,IF(AP94="full-time",'Tube Laser'!D94/60/60*35*'Tube Laser'!B94,0))</f>
        <v>0</v>
      </c>
      <c r="AR94" s="33">
        <f>ROUND(IFERROR(AQ94/'Tube Laser'!B94,0),2)</f>
        <v>0</v>
      </c>
      <c r="AT94" s="33" t="str">
        <f ca="1">IFERROR('FB Laser'!J95*'FB Laser'!B95,"")</f>
        <v/>
      </c>
      <c r="AU94" s="33" t="str">
        <f ca="1">IFERROR('Tube Laser'!L94*'Tube Laser'!B94,"")</f>
        <v/>
      </c>
    </row>
    <row r="95" spans="1:47">
      <c r="A95" s="10" t="s">
        <v>163</v>
      </c>
      <c r="B95" s="10" t="s">
        <v>164</v>
      </c>
      <c r="C95" s="11">
        <v>10.210000000000001</v>
      </c>
      <c r="D95" s="10" t="s">
        <v>22</v>
      </c>
      <c r="E95" s="9">
        <v>1.25</v>
      </c>
      <c r="K95" t="str">
        <f t="array" aca="1" ref="K95" ca="1">INDIRECT(TEXT(MIN(IF(($L$9:$M$100&lt;&gt;"")*(COUNTIF($K$8:K94,$L$9:$M$100)=0),ROW($9:$100)*100+COLUMN($L:$M),7^8)),"R0C00"),)&amp;""</f>
        <v/>
      </c>
      <c r="L95" t="str">
        <f>IF('FB Laser'!A96=0,"",'FB Laser'!A96)</f>
        <v/>
      </c>
      <c r="M95" t="str">
        <f>IF('Tube Laser'!A95=0,"",'Tube Laser'!A95)</f>
        <v/>
      </c>
      <c r="O95" t="str">
        <f t="array" aca="1" ref="O95" ca="1">INDIRECT(TEXT(MIN(IF(($P$9:$Q$100&lt;&gt;"")*(COUNTIF($O$8:O94,$P$9:$Q$100)=0),ROW($9:$100)*100+COLUMN($P:$Q),7^8)),"R0C00"),)&amp;""</f>
        <v/>
      </c>
      <c r="P95" t="str">
        <f>IF('FB Laser'!F96="Yes",'FB Laser'!A96,"")</f>
        <v/>
      </c>
      <c r="Q95" t="str">
        <f>IF('Tube Laser'!I95="Yes",'Tube Laser'!A95,"")</f>
        <v/>
      </c>
      <c r="R95" s="37" t="str">
        <f>IFERROR(('FB Laser'!G96*'FB Laser'!B96),"")</f>
        <v/>
      </c>
      <c r="S95" s="37">
        <f>IFERROR('FB Laser'!H96*'FB Laser'!B96,"")</f>
        <v>0</v>
      </c>
      <c r="U95" s="37">
        <f>IFERROR(((((('Tube Laser'!D95)*'Tube Laser'!B95)/60)/60)*188.17)+(AE95*'Tube Laser'!B95),"")</f>
        <v>0</v>
      </c>
      <c r="V95" s="37">
        <f ca="1">IFERROR(('Tube Laser'!N95*'Tube Laser'!B95)+(AE95*'Tube Laser'!B95)+(AF95*'Tube Laser'!B95)+(AG95*'Tube Laser'!B95)+('FB Data'!AH95*'Tube Laser'!B95),"")</f>
        <v>0</v>
      </c>
      <c r="X95" s="41">
        <f>IFERROR(('Tube Laser'!D95*'Tube Laser'!B95)/60/60,"")</f>
        <v>0</v>
      </c>
      <c r="AE95" t="str">
        <f>IF('Tube Laser'!E95="One Side",'Tube Laser'!J95*0.2,IF('Tube Laser'!E95="Both Sides",'Tube Laser'!J95*0.4,"0"))</f>
        <v>0</v>
      </c>
      <c r="AF95">
        <f>IF('Tube Laser'!F95="Yes",'Tube Laser'!J95*0.1,0)</f>
        <v>0</v>
      </c>
      <c r="AG95">
        <f>IF('Tube Laser'!G95&gt;0,'Tube Laser'!J95*0.2,0)</f>
        <v>0</v>
      </c>
      <c r="AH95">
        <f>IF('Tube Laser'!H95="Yes",'Tube Laser'!J95*0.1,0)</f>
        <v>0</v>
      </c>
      <c r="AJ95">
        <f>IFERROR(VLOOKUP('FB Laser'!N96,'FB Data'!A88:E236,3,FALSE)*'FB Laser'!M96,0)</f>
        <v>0</v>
      </c>
      <c r="AK95" t="str">
        <f t="shared" si="2"/>
        <v/>
      </c>
      <c r="AL95" s="33">
        <f>IF(AK95="partial",'FB Laser'!E96/60*35*0.5,IF(AK95="full-time",'FB Laser'!E96/60*35,0))</f>
        <v>0</v>
      </c>
      <c r="AM95" s="33">
        <f>ROUND(IFERROR(AL95/'FB Laser'!B96,0),2)</f>
        <v>0</v>
      </c>
      <c r="AO95">
        <f>IFERROR(VLOOKUP('Tube Laser'!P95,'TL Data'!A88:E1313,3,FALSE)*'Tube Laser'!O95,0)</f>
        <v>0</v>
      </c>
      <c r="AP95" t="str">
        <f t="shared" si="3"/>
        <v/>
      </c>
      <c r="AQ95" s="33">
        <f>IF(AP95="partial",'Tube Laser'!D95/60/60*35*'Tube Laser'!B95*0.5,IF(AP95="full-time",'Tube Laser'!D95/60/60*35*'Tube Laser'!B95,0))</f>
        <v>0</v>
      </c>
      <c r="AR95" s="33">
        <f>ROUND(IFERROR(AQ95/'Tube Laser'!B95,0),2)</f>
        <v>0</v>
      </c>
      <c r="AT95" s="33" t="str">
        <f ca="1">IFERROR('FB Laser'!J96*'FB Laser'!B96,"")</f>
        <v/>
      </c>
      <c r="AU95" s="33" t="str">
        <f ca="1">IFERROR('Tube Laser'!L95*'Tube Laser'!B95,"")</f>
        <v/>
      </c>
    </row>
    <row r="96" spans="1:47">
      <c r="A96" s="10" t="s">
        <v>165</v>
      </c>
      <c r="B96" s="10" t="s">
        <v>166</v>
      </c>
      <c r="C96" s="11">
        <v>40.840000000000003</v>
      </c>
      <c r="D96" s="10" t="s">
        <v>22</v>
      </c>
      <c r="E96" s="9">
        <v>1.25</v>
      </c>
      <c r="K96" t="str">
        <f t="array" aca="1" ref="K96" ca="1">INDIRECT(TEXT(MIN(IF(($L$9:$M$100&lt;&gt;"")*(COUNTIF($K$8:K95,$L$9:$M$100)=0),ROW($9:$100)*100+COLUMN($L:$M),7^8)),"R0C00"),)&amp;""</f>
        <v/>
      </c>
      <c r="L96" t="str">
        <f>IF('FB Laser'!A97=0,"",'FB Laser'!A97)</f>
        <v/>
      </c>
      <c r="M96" t="str">
        <f>IF('Tube Laser'!A96=0,"",'Tube Laser'!A96)</f>
        <v/>
      </c>
      <c r="O96" t="str">
        <f t="array" aca="1" ref="O96" ca="1">INDIRECT(TEXT(MIN(IF(($P$9:$Q$100&lt;&gt;"")*(COUNTIF($O$8:O95,$P$9:$Q$100)=0),ROW($9:$100)*100+COLUMN($P:$Q),7^8)),"R0C00"),)&amp;""</f>
        <v/>
      </c>
      <c r="P96" t="str">
        <f>IF('FB Laser'!F97="Yes",'FB Laser'!A97,"")</f>
        <v/>
      </c>
      <c r="Q96" t="str">
        <f>IF('Tube Laser'!I96="Yes",'Tube Laser'!A96,"")</f>
        <v/>
      </c>
      <c r="R96" s="37" t="str">
        <f>IFERROR(('FB Laser'!G97*'FB Laser'!B97),"")</f>
        <v/>
      </c>
      <c r="S96" s="37">
        <f>IFERROR('FB Laser'!H97*'FB Laser'!B97,"")</f>
        <v>0</v>
      </c>
      <c r="U96" s="37">
        <f>IFERROR(((((('Tube Laser'!D96)*'Tube Laser'!B96)/60)/60)*188.17)+(AE96*'Tube Laser'!B96),"")</f>
        <v>0</v>
      </c>
      <c r="V96" s="37">
        <f ca="1">IFERROR(('Tube Laser'!N96*'Tube Laser'!B96)+(AE96*'Tube Laser'!B96)+(AF96*'Tube Laser'!B96)+(AG96*'Tube Laser'!B96)+('FB Data'!AH96*'Tube Laser'!B96),"")</f>
        <v>0</v>
      </c>
      <c r="X96" s="41">
        <f>IFERROR(('Tube Laser'!D96*'Tube Laser'!B96)/60/60,"")</f>
        <v>0</v>
      </c>
      <c r="AE96" t="str">
        <f>IF('Tube Laser'!E96="One Side",'Tube Laser'!J96*0.2,IF('Tube Laser'!E96="Both Sides",'Tube Laser'!J96*0.4,"0"))</f>
        <v>0</v>
      </c>
      <c r="AF96">
        <f>IF('Tube Laser'!F96="Yes",'Tube Laser'!J96*0.1,0)</f>
        <v>0</v>
      </c>
      <c r="AG96">
        <f>IF('Tube Laser'!G96&gt;0,'Tube Laser'!J96*0.2,0)</f>
        <v>0</v>
      </c>
      <c r="AH96">
        <f>IF('Tube Laser'!H96="Yes",'Tube Laser'!J96*0.1,0)</f>
        <v>0</v>
      </c>
      <c r="AJ96">
        <f>IFERROR(VLOOKUP('FB Laser'!N97,'FB Data'!A89:E237,3,FALSE)*'FB Laser'!M97,0)</f>
        <v>0</v>
      </c>
      <c r="AK96" t="str">
        <f t="shared" si="2"/>
        <v/>
      </c>
      <c r="AL96" s="33">
        <f>IF(AK96="partial",'FB Laser'!E97/60*35*0.5,IF(AK96="full-time",'FB Laser'!E97/60*35,0))</f>
        <v>0</v>
      </c>
      <c r="AM96" s="33">
        <f>ROUND(IFERROR(AL96/'FB Laser'!B97,0),2)</f>
        <v>0</v>
      </c>
      <c r="AO96">
        <f>IFERROR(VLOOKUP('Tube Laser'!P96,'TL Data'!A89:E1314,3,FALSE)*'Tube Laser'!O96,0)</f>
        <v>0</v>
      </c>
      <c r="AP96" t="str">
        <f t="shared" si="3"/>
        <v/>
      </c>
      <c r="AQ96" s="33">
        <f>IF(AP96="partial",'Tube Laser'!D96/60/60*35*'Tube Laser'!B96*0.5,IF(AP96="full-time",'Tube Laser'!D96/60/60*35*'Tube Laser'!B96,0))</f>
        <v>0</v>
      </c>
      <c r="AR96" s="33">
        <f>ROUND(IFERROR(AQ96/'Tube Laser'!B96,0),2)</f>
        <v>0</v>
      </c>
      <c r="AT96" s="33" t="str">
        <f ca="1">IFERROR('FB Laser'!J97*'FB Laser'!B97,"")</f>
        <v/>
      </c>
      <c r="AU96" s="33" t="str">
        <f ca="1">IFERROR('Tube Laser'!L96*'Tube Laser'!B96,"")</f>
        <v/>
      </c>
    </row>
    <row r="97" spans="1:47">
      <c r="A97" s="10" t="s">
        <v>167</v>
      </c>
      <c r="B97" s="10" t="s">
        <v>168</v>
      </c>
      <c r="C97" s="11">
        <v>81.680000000000007</v>
      </c>
      <c r="D97" s="10" t="s">
        <v>22</v>
      </c>
      <c r="E97" s="9">
        <v>1.25</v>
      </c>
      <c r="K97" t="str">
        <f t="array" aca="1" ref="K97" ca="1">INDIRECT(TEXT(MIN(IF(($L$9:$M$100&lt;&gt;"")*(COUNTIF($K$8:K96,$L$9:$M$100)=0),ROW($9:$100)*100+COLUMN($L:$M),7^8)),"R0C00"),)&amp;""</f>
        <v/>
      </c>
      <c r="L97" t="str">
        <f>IF('FB Laser'!A98=0,"",'FB Laser'!A98)</f>
        <v/>
      </c>
      <c r="M97" t="str">
        <f>IF('Tube Laser'!A97=0,"",'Tube Laser'!A97)</f>
        <v/>
      </c>
      <c r="O97" t="str">
        <f t="array" aca="1" ref="O97" ca="1">INDIRECT(TEXT(MIN(IF(($P$9:$Q$100&lt;&gt;"")*(COUNTIF($O$8:O96,$P$9:$Q$100)=0),ROW($9:$100)*100+COLUMN($P:$Q),7^8)),"R0C00"),)&amp;""</f>
        <v/>
      </c>
      <c r="P97" t="str">
        <f>IF('FB Laser'!F98="Yes",'FB Laser'!A98,"")</f>
        <v/>
      </c>
      <c r="Q97" t="str">
        <f>IF('Tube Laser'!I97="Yes",'Tube Laser'!A97,"")</f>
        <v/>
      </c>
      <c r="R97" s="37" t="str">
        <f>IFERROR(('FB Laser'!G98*'FB Laser'!B98),"")</f>
        <v/>
      </c>
      <c r="S97" s="37">
        <f>IFERROR('FB Laser'!H98*'FB Laser'!B98,"")</f>
        <v>0</v>
      </c>
      <c r="U97" s="37">
        <f>IFERROR(((((('Tube Laser'!D97)*'Tube Laser'!B97)/60)/60)*188.17)+(AE97*'Tube Laser'!B97),"")</f>
        <v>0</v>
      </c>
      <c r="V97" s="37">
        <f ca="1">IFERROR(('Tube Laser'!N97*'Tube Laser'!B97)+(AE97*'Tube Laser'!B97)+(AF97*'Tube Laser'!B97)+(AG97*'Tube Laser'!B97)+('FB Data'!AH97*'Tube Laser'!B97),"")</f>
        <v>0</v>
      </c>
      <c r="X97" s="41">
        <f>IFERROR(('Tube Laser'!D97*'Tube Laser'!B97)/60/60,"")</f>
        <v>0</v>
      </c>
      <c r="AE97" t="str">
        <f>IF('Tube Laser'!E97="One Side",'Tube Laser'!J97*0.2,IF('Tube Laser'!E97="Both Sides",'Tube Laser'!J97*0.4,"0"))</f>
        <v>0</v>
      </c>
      <c r="AF97">
        <f>IF('Tube Laser'!F97="Yes",'Tube Laser'!J97*0.1,0)</f>
        <v>0</v>
      </c>
      <c r="AG97">
        <f>IF('Tube Laser'!G97&gt;0,'Tube Laser'!J97*0.2,0)</f>
        <v>0</v>
      </c>
      <c r="AH97">
        <f>IF('Tube Laser'!H97="Yes",'Tube Laser'!J97*0.1,0)</f>
        <v>0</v>
      </c>
      <c r="AJ97">
        <f>IFERROR(VLOOKUP('FB Laser'!N98,'FB Data'!A90:E238,3,FALSE)*'FB Laser'!M98,0)</f>
        <v>0</v>
      </c>
      <c r="AK97" t="str">
        <f t="shared" si="2"/>
        <v/>
      </c>
      <c r="AL97" s="33">
        <f>IF(AK97="partial",'FB Laser'!E98/60*35*0.5,IF(AK97="full-time",'FB Laser'!E98/60*35,0))</f>
        <v>0</v>
      </c>
      <c r="AM97" s="33">
        <f>ROUND(IFERROR(AL97/'FB Laser'!B98,0),2)</f>
        <v>0</v>
      </c>
      <c r="AO97">
        <f>IFERROR(VLOOKUP('Tube Laser'!P97,'TL Data'!A90:E1315,3,FALSE)*'Tube Laser'!O97,0)</f>
        <v>0</v>
      </c>
      <c r="AP97" t="str">
        <f t="shared" si="3"/>
        <v/>
      </c>
      <c r="AQ97" s="33">
        <f>IF(AP97="partial",'Tube Laser'!D97/60/60*35*'Tube Laser'!B97*0.5,IF(AP97="full-time",'Tube Laser'!D97/60/60*35*'Tube Laser'!B97,0))</f>
        <v>0</v>
      </c>
      <c r="AR97" s="33">
        <f>ROUND(IFERROR(AQ97/'Tube Laser'!B97,0),2)</f>
        <v>0</v>
      </c>
      <c r="AT97" s="33" t="str">
        <f ca="1">IFERROR('FB Laser'!J98*'FB Laser'!B98,"")</f>
        <v/>
      </c>
      <c r="AU97" s="33" t="str">
        <f ca="1">IFERROR('Tube Laser'!L97*'Tube Laser'!B97,"")</f>
        <v/>
      </c>
    </row>
    <row r="98" spans="1:47">
      <c r="A98" s="10" t="s">
        <v>14</v>
      </c>
      <c r="B98" s="10" t="s">
        <v>169</v>
      </c>
      <c r="C98" s="11">
        <v>7.66</v>
      </c>
      <c r="D98" s="10" t="s">
        <v>22</v>
      </c>
      <c r="E98" s="9">
        <v>1.25</v>
      </c>
      <c r="K98" t="str">
        <f t="array" aca="1" ref="K98" ca="1">INDIRECT(TEXT(MIN(IF(($L$9:$M$100&lt;&gt;"")*(COUNTIF($K$8:K97,$L$9:$M$100)=0),ROW($9:$100)*100+COLUMN($L:$M),7^8)),"R0C00"),)&amp;""</f>
        <v/>
      </c>
      <c r="L98" t="str">
        <f>IF('FB Laser'!A99=0,"",'FB Laser'!A99)</f>
        <v/>
      </c>
      <c r="M98" t="str">
        <f>IF('Tube Laser'!A98=0,"",'Tube Laser'!A98)</f>
        <v/>
      </c>
      <c r="O98" t="str">
        <f t="array" aca="1" ref="O98" ca="1">INDIRECT(TEXT(MIN(IF(($P$9:$Q$100&lt;&gt;"")*(COUNTIF($O$8:O97,$P$9:$Q$100)=0),ROW($9:$100)*100+COLUMN($P:$Q),7^8)),"R0C00"),)&amp;""</f>
        <v/>
      </c>
      <c r="P98" t="str">
        <f>IF('FB Laser'!F99="Yes",'FB Laser'!A99,"")</f>
        <v/>
      </c>
      <c r="Q98" t="str">
        <f>IF('Tube Laser'!I98="Yes",'Tube Laser'!A98,"")</f>
        <v/>
      </c>
      <c r="R98" s="37" t="str">
        <f>IFERROR(('FB Laser'!G99*'FB Laser'!B99),"")</f>
        <v/>
      </c>
      <c r="S98" s="37">
        <f>IFERROR('FB Laser'!H99*'FB Laser'!B99,"")</f>
        <v>0</v>
      </c>
      <c r="U98" s="37">
        <f>IFERROR(((((('Tube Laser'!D98)*'Tube Laser'!B98)/60)/60)*188.17)+(AE98*'Tube Laser'!B98),"")</f>
        <v>0</v>
      </c>
      <c r="V98" s="37">
        <f ca="1">IFERROR(('Tube Laser'!N98*'Tube Laser'!B98)+(AE98*'Tube Laser'!B98)+(AF98*'Tube Laser'!B98)+(AG98*'Tube Laser'!B98)+('FB Data'!AH98*'Tube Laser'!B98),"")</f>
        <v>0</v>
      </c>
      <c r="X98" s="41">
        <f>IFERROR(('Tube Laser'!D98*'Tube Laser'!B98)/60/60,"")</f>
        <v>0</v>
      </c>
      <c r="AE98" t="str">
        <f>IF('Tube Laser'!E98="One Side",'Tube Laser'!J98*0.2,IF('Tube Laser'!E98="Both Sides",'Tube Laser'!J98*0.4,"0"))</f>
        <v>0</v>
      </c>
      <c r="AF98">
        <f>IF('Tube Laser'!F98="Yes",'Tube Laser'!J98*0.1,0)</f>
        <v>0</v>
      </c>
      <c r="AG98">
        <f>IF('Tube Laser'!G98&gt;0,'Tube Laser'!J98*0.2,0)</f>
        <v>0</v>
      </c>
      <c r="AH98">
        <f>IF('Tube Laser'!H98="Yes",'Tube Laser'!J98*0.1,0)</f>
        <v>0</v>
      </c>
      <c r="AJ98">
        <f>IFERROR(VLOOKUP('FB Laser'!N99,'FB Data'!A91:E239,3,FALSE)*'FB Laser'!M99,0)</f>
        <v>0</v>
      </c>
      <c r="AK98" t="str">
        <f t="shared" si="2"/>
        <v/>
      </c>
      <c r="AL98" s="33">
        <f>IF(AK98="partial",'FB Laser'!E99/60*35*0.5,IF(AK98="full-time",'FB Laser'!E99/60*35,0))</f>
        <v>0</v>
      </c>
      <c r="AM98" s="33">
        <f>ROUND(IFERROR(AL98/'FB Laser'!B99,0),2)</f>
        <v>0</v>
      </c>
      <c r="AO98">
        <f>IFERROR(VLOOKUP('Tube Laser'!P98,'TL Data'!A91:E1316,3,FALSE)*'Tube Laser'!O98,0)</f>
        <v>0</v>
      </c>
      <c r="AP98" t="str">
        <f t="shared" si="3"/>
        <v/>
      </c>
      <c r="AQ98" s="33">
        <f>IF(AP98="partial",'Tube Laser'!D98/60/60*35*'Tube Laser'!B98*0.5,IF(AP98="full-time",'Tube Laser'!D98/60/60*35*'Tube Laser'!B98,0))</f>
        <v>0</v>
      </c>
      <c r="AR98" s="33">
        <f>ROUND(IFERROR(AQ98/'Tube Laser'!B98,0),2)</f>
        <v>0</v>
      </c>
      <c r="AT98" s="33" t="str">
        <f ca="1">IFERROR('FB Laser'!J99*'FB Laser'!B99,"")</f>
        <v/>
      </c>
      <c r="AU98" s="33" t="str">
        <f ca="1">IFERROR('Tube Laser'!L98*'Tube Laser'!B98,"")</f>
        <v/>
      </c>
    </row>
    <row r="99" spans="1:47">
      <c r="A99" s="10" t="s">
        <v>170</v>
      </c>
      <c r="B99" s="10" t="s">
        <v>171</v>
      </c>
      <c r="C99" s="11">
        <v>7.66</v>
      </c>
      <c r="D99" s="10" t="s">
        <v>22</v>
      </c>
      <c r="E99" s="9">
        <v>1.25</v>
      </c>
      <c r="K99" t="str">
        <f t="array" aca="1" ref="K99" ca="1">INDIRECT(TEXT(MIN(IF(($L$9:$M$100&lt;&gt;"")*(COUNTIF($K$8:K98,$L$9:$M$100)=0),ROW($9:$100)*100+COLUMN($L:$M),7^8)),"R0C00"),)&amp;""</f>
        <v/>
      </c>
      <c r="O99" t="str">
        <f t="array" aca="1" ref="O99" ca="1">INDIRECT(TEXT(MIN(IF(($P$9:$Q$100&lt;&gt;"")*(COUNTIF($O$8:O98,$P$9:$Q$100)=0),ROW($9:$100)*100+COLUMN($P:$Q),7^8)),"R0C00"),)&amp;""</f>
        <v/>
      </c>
      <c r="P99" t="str">
        <f>IF('FB Laser'!F100="Yes",'FB Laser'!A100,"")</f>
        <v/>
      </c>
      <c r="Q99" t="str">
        <f>IF('Tube Laser'!I99="Yes",'Tube Laser'!A99,"")</f>
        <v/>
      </c>
      <c r="R99" s="37">
        <f>IFERROR(('FB Laser'!G100*'FB Laser'!B100),"")</f>
        <v>0</v>
      </c>
      <c r="S99" s="37">
        <f>IFERROR('FB Laser'!H100*'FB Laser'!B100,"")</f>
        <v>0</v>
      </c>
      <c r="U99" s="37">
        <f>IFERROR(((((('Tube Laser'!D99)*'Tube Laser'!B99)/60)/60)*188.17)+(AE99*'Tube Laser'!B99),"")</f>
        <v>0</v>
      </c>
      <c r="V99" s="37">
        <f>IFERROR(('Tube Laser'!N99*'Tube Laser'!B99)+(AE99*'Tube Laser'!B99)+(AF99*'Tube Laser'!B99)+(AG99*'Tube Laser'!B99)+('FB Data'!AH99*'Tube Laser'!B99),"")</f>
        <v>0</v>
      </c>
      <c r="X99" s="41">
        <f>IFERROR(('Tube Laser'!D99*'Tube Laser'!B99)/60/60,"")</f>
        <v>0</v>
      </c>
      <c r="AE99" t="str">
        <f>IF('Tube Laser'!E99="One Side",'Tube Laser'!J99*0.2,IF('Tube Laser'!E99="Both Sides",'Tube Laser'!J99*0.4,"0"))</f>
        <v>0</v>
      </c>
      <c r="AF99">
        <f>IF('Tube Laser'!F99="Yes",'Tube Laser'!J99*0.1,0)</f>
        <v>0</v>
      </c>
      <c r="AG99">
        <f>IF('Tube Laser'!G99&gt;0,'Tube Laser'!J99*0.2,0)</f>
        <v>0</v>
      </c>
      <c r="AH99">
        <f>IF('Tube Laser'!H99="Yes",'Tube Laser'!J99*0.1,0)</f>
        <v>0</v>
      </c>
      <c r="AJ99">
        <f>IFERROR(VLOOKUP('FB Laser'!N100,'FB Data'!A92:E240,3,FALSE)*'FB Laser'!M100,0)</f>
        <v>0</v>
      </c>
      <c r="AK99" t="str">
        <f t="shared" si="2"/>
        <v/>
      </c>
      <c r="AL99" s="33">
        <f>IF(AK99="partial",'FB Laser'!E100/60*35*0.5,IF(AK99="full-time",'FB Laser'!E100/60*35,0))</f>
        <v>0</v>
      </c>
      <c r="AM99" s="33">
        <f>ROUND(IFERROR(AL99/'FB Laser'!B100,0),2)</f>
        <v>0</v>
      </c>
      <c r="AO99">
        <f>IFERROR(VLOOKUP('Tube Laser'!P99,'TL Data'!A92:E1317,3,FALSE)*'Tube Laser'!O99,0)</f>
        <v>0</v>
      </c>
      <c r="AP99" t="str">
        <f t="shared" si="3"/>
        <v/>
      </c>
      <c r="AQ99" s="33">
        <f>IF(AP99="partial",'Tube Laser'!D99/60/60*35*'Tube Laser'!B99*0.5,IF(AP99="full-time",'Tube Laser'!D99/60/60*35*'Tube Laser'!B99,0))</f>
        <v>0</v>
      </c>
      <c r="AR99" s="33">
        <f>ROUND(IFERROR(AQ99/'Tube Laser'!B99,0),2)</f>
        <v>0</v>
      </c>
      <c r="AT99" s="33">
        <f>IFERROR('FB Laser'!J100*'FB Laser'!B100,"")</f>
        <v>0</v>
      </c>
      <c r="AU99" s="33">
        <f>IFERROR('Tube Laser'!L99*'Tube Laser'!B99,"")</f>
        <v>0</v>
      </c>
    </row>
    <row r="100" spans="1:47">
      <c r="A100" s="10" t="s">
        <v>172</v>
      </c>
      <c r="B100" s="10" t="s">
        <v>173</v>
      </c>
      <c r="C100" s="11">
        <v>30.63</v>
      </c>
      <c r="D100" s="10" t="s">
        <v>22</v>
      </c>
      <c r="E100" s="9">
        <v>1.25</v>
      </c>
      <c r="K100" t="str">
        <f t="array" aca="1" ref="K100" ca="1">INDIRECT(TEXT(MIN(IF(($L$9:$M$100&lt;&gt;"")*(COUNTIF($K$8:K99,$L$9:$M$100)=0),ROW($9:$100)*100+COLUMN($L:$M),7^8)),"R0C00"),)&amp;""</f>
        <v/>
      </c>
      <c r="O100" t="str">
        <f t="array" aca="1" ref="O100" ca="1">INDIRECT(TEXT(MIN(IF(($P$9:$Q$100&lt;&gt;"")*(COUNTIF($O$8:O99,$P$9:$Q$100)=0),ROW($9:$100)*100+COLUMN($P:$Q),7^8)),"R0C00"),)&amp;""</f>
        <v/>
      </c>
      <c r="P100" t="str">
        <f>IF('FB Laser'!F101="Yes",'FB Laser'!A101,"")</f>
        <v/>
      </c>
      <c r="Q100" t="str">
        <f>IF('Tube Laser'!I100="Yes",'Tube Laser'!A100,"")</f>
        <v/>
      </c>
      <c r="R100" s="37">
        <f>IFERROR(('FB Laser'!G101*'FB Laser'!B101),"")</f>
        <v>0</v>
      </c>
      <c r="S100" s="37">
        <f>IFERROR('FB Laser'!H101*'FB Laser'!B101,"")</f>
        <v>0</v>
      </c>
      <c r="U100" s="37">
        <f>IFERROR(((((('Tube Laser'!D100)*'Tube Laser'!B100)/60)/60)*188.17)+(AE100*'Tube Laser'!B100),"")</f>
        <v>0</v>
      </c>
      <c r="V100" s="37">
        <f>IFERROR(('Tube Laser'!N100*'Tube Laser'!B100)+(AE100*'Tube Laser'!B100)+(AF100*'Tube Laser'!B100)+(AG100*'Tube Laser'!B100)+('FB Data'!AH100*'Tube Laser'!B100),"")</f>
        <v>0</v>
      </c>
      <c r="X100" s="41">
        <f>IFERROR(('Tube Laser'!D100*'Tube Laser'!B100)/60/60,"")</f>
        <v>0</v>
      </c>
      <c r="AE100" t="str">
        <f>IF('Tube Laser'!E100="One Side",'Tube Laser'!J100*0.2,IF('Tube Laser'!E100="Both Sides",'Tube Laser'!J100*0.4,"0"))</f>
        <v>0</v>
      </c>
      <c r="AF100">
        <f>IF('Tube Laser'!F100="Yes",'Tube Laser'!J100*0.1,0)</f>
        <v>0</v>
      </c>
      <c r="AG100">
        <f>IF('Tube Laser'!G100&gt;0,'Tube Laser'!J100*0.2,0)</f>
        <v>0</v>
      </c>
      <c r="AH100">
        <f>IF('Tube Laser'!H100="Yes",'Tube Laser'!J100*0.1,0)</f>
        <v>0</v>
      </c>
      <c r="AJ100">
        <f>IFERROR(VLOOKUP('FB Laser'!N101,'FB Data'!A93:E241,3,FALSE)*'FB Laser'!M101,0)</f>
        <v>0</v>
      </c>
      <c r="AK100" t="str">
        <f t="shared" si="2"/>
        <v/>
      </c>
      <c r="AL100" s="33">
        <f>IF(AK100="partial",'FB Laser'!E101/60*35*0.5,IF(AK100="full-time",'FB Laser'!E101/60*35,0))</f>
        <v>0</v>
      </c>
      <c r="AM100" s="33">
        <f>ROUND(IFERROR(AL100/'FB Laser'!B101,0),2)</f>
        <v>0</v>
      </c>
      <c r="AO100">
        <f>IFERROR(VLOOKUP('Tube Laser'!P100,'TL Data'!A93:E1318,3,FALSE)*'Tube Laser'!O100,0)</f>
        <v>0</v>
      </c>
      <c r="AP100" t="str">
        <f t="shared" si="3"/>
        <v/>
      </c>
      <c r="AQ100" s="33">
        <f>IF(AP100="partial",'Tube Laser'!D100/60/60*35*'Tube Laser'!B100*0.5,IF(AP100="full-time",'Tube Laser'!D100/60/60*35*'Tube Laser'!B100,0))</f>
        <v>0</v>
      </c>
      <c r="AR100" s="33">
        <f>ROUND(IFERROR(AQ100/'Tube Laser'!B100,0),2)</f>
        <v>0</v>
      </c>
      <c r="AT100" s="33">
        <f>IFERROR('FB Laser'!J101*'FB Laser'!B101,"")</f>
        <v>0</v>
      </c>
      <c r="AU100" s="33">
        <f>IFERROR('Tube Laser'!L100*'Tube Laser'!B100,"")</f>
        <v>0</v>
      </c>
    </row>
    <row r="101" spans="1:47">
      <c r="A101" s="10" t="s">
        <v>174</v>
      </c>
      <c r="B101" s="10" t="s">
        <v>175</v>
      </c>
      <c r="C101" s="11">
        <v>15.32</v>
      </c>
      <c r="D101" s="10" t="s">
        <v>22</v>
      </c>
      <c r="E101" s="9">
        <v>1.25</v>
      </c>
      <c r="O101" t="str">
        <f t="array" aca="1" ref="O101" ca="1">INDIRECT(TEXT(MIN(IF(($P$9:$Q$100&lt;&gt;"")*(COUNTIF($O$8:O100,$P$9:$Q$100)=0),ROW($9:$100)*100+COLUMN($P:$Q),7^8)),"R0C00"),)&amp;""</f>
        <v/>
      </c>
      <c r="P101" t="str">
        <f>IF('FB Laser'!F102="Yes",'FB Laser'!A102,"")</f>
        <v/>
      </c>
      <c r="Q101" t="str">
        <f>IF('Tube Laser'!I101="Yes",'Tube Laser'!A101,"")</f>
        <v/>
      </c>
      <c r="R101" s="37">
        <f>IFERROR(('FB Laser'!G102*'FB Laser'!B102),"")</f>
        <v>0</v>
      </c>
      <c r="S101" s="37">
        <f>IFERROR('FB Laser'!H102*'FB Laser'!B102,"")</f>
        <v>0</v>
      </c>
      <c r="U101" s="37">
        <f>IFERROR(((((('Tube Laser'!D101)*'Tube Laser'!B101)/60)/60)*188.17)+(AE101*'Tube Laser'!B101),"")</f>
        <v>0</v>
      </c>
      <c r="V101" s="37">
        <f>IFERROR(('Tube Laser'!N101*'Tube Laser'!B101)+(AE101*'Tube Laser'!B101)+(AF101*'Tube Laser'!B101)+(AG101*'Tube Laser'!B101)+('FB Data'!AH101*'Tube Laser'!B101),"")</f>
        <v>0</v>
      </c>
      <c r="X101" s="41">
        <f>IFERROR(('Tube Laser'!D101*'Tube Laser'!B101)/60/60,"")</f>
        <v>0</v>
      </c>
      <c r="AE101" t="str">
        <f>IF('Tube Laser'!E101="One Side",'Tube Laser'!J101*0.2,IF('Tube Laser'!E101="Both Sides",'Tube Laser'!J101*0.4,"0"))</f>
        <v>0</v>
      </c>
      <c r="AF101">
        <f>IF('Tube Laser'!F101="Yes",'Tube Laser'!J101*0.1,0)</f>
        <v>0</v>
      </c>
      <c r="AG101">
        <f>IF('Tube Laser'!G101&gt;0,'Tube Laser'!J101*0.2,0)</f>
        <v>0</v>
      </c>
      <c r="AH101">
        <f>IF('Tube Laser'!H101="Yes",'Tube Laser'!J101*0.1,0)</f>
        <v>0</v>
      </c>
      <c r="AJ101">
        <f>IFERROR(VLOOKUP('FB Laser'!N102,'FB Data'!A94:E242,3,FALSE)*'FB Laser'!M102,0)</f>
        <v>0</v>
      </c>
      <c r="AK101" t="str">
        <f t="shared" si="2"/>
        <v/>
      </c>
      <c r="AL101" s="33">
        <f>IF(AK101="partial",'FB Laser'!E102/60*35*0.5,IF(AK101="full-time",'FB Laser'!E102/60*35,0))</f>
        <v>0</v>
      </c>
      <c r="AM101" s="33">
        <f>ROUND(IFERROR(AL101/'FB Laser'!B102,0),2)</f>
        <v>0</v>
      </c>
      <c r="AO101">
        <f>IFERROR(VLOOKUP('Tube Laser'!P101,'TL Data'!A94:E1319,3,FALSE)*'Tube Laser'!O101,0)</f>
        <v>0</v>
      </c>
      <c r="AP101" t="str">
        <f t="shared" si="3"/>
        <v/>
      </c>
      <c r="AQ101" s="33">
        <f>IF(AP101="partial",'Tube Laser'!D101/60/60*35*'Tube Laser'!B101*0.5,IF(AP101="full-time",'Tube Laser'!D101/60/60*35*'Tube Laser'!B101,0))</f>
        <v>0</v>
      </c>
      <c r="AR101" s="33">
        <f>ROUND(IFERROR(AQ101/'Tube Laser'!B101,0),2)</f>
        <v>0</v>
      </c>
      <c r="AT101" s="33">
        <f>IFERROR('FB Laser'!J102*'FB Laser'!B102,"")</f>
        <v>0</v>
      </c>
      <c r="AU101" s="33">
        <f>IFERROR('Tube Laser'!L101*'Tube Laser'!B101,"")</f>
        <v>0</v>
      </c>
    </row>
    <row r="102" spans="1:47">
      <c r="A102" s="10" t="s">
        <v>176</v>
      </c>
      <c r="B102" s="10" t="s">
        <v>177</v>
      </c>
      <c r="C102" s="11">
        <v>15.32</v>
      </c>
      <c r="D102" s="10" t="s">
        <v>22</v>
      </c>
      <c r="E102" s="9">
        <v>1.25</v>
      </c>
      <c r="O102" t="str">
        <f t="array" aca="1" ref="O102" ca="1">INDIRECT(TEXT(MIN(IF(($P$9:$Q$100&lt;&gt;"")*(COUNTIF($O$8:O101,$P$9:$Q$100)=0),ROW($9:$100)*100+COLUMN($P:$Q),7^8)),"R0C00"),)&amp;""</f>
        <v/>
      </c>
      <c r="P102" t="str">
        <f>IF('FB Laser'!F103="Yes",'FB Laser'!A103,"")</f>
        <v/>
      </c>
      <c r="Q102" t="str">
        <f>IF('Tube Laser'!I102="Yes",'Tube Laser'!A102,"")</f>
        <v/>
      </c>
      <c r="R102" s="37">
        <f>IFERROR(('FB Laser'!G103*'FB Laser'!B103),"")</f>
        <v>0</v>
      </c>
      <c r="S102" s="37">
        <f>IFERROR('FB Laser'!H103*'FB Laser'!B103,"")</f>
        <v>0</v>
      </c>
      <c r="U102" s="37">
        <f>IFERROR(((((('Tube Laser'!D102)*'Tube Laser'!B102)/60)/60)*188.17)+(AE102*'Tube Laser'!B102),"")</f>
        <v>0</v>
      </c>
      <c r="V102" s="37">
        <f>IFERROR(('Tube Laser'!N102*'Tube Laser'!B102)+(AE102*'Tube Laser'!B102)+(AF102*'Tube Laser'!B102)+(AG102*'Tube Laser'!B102)+('FB Data'!AH102*'Tube Laser'!B102),"")</f>
        <v>0</v>
      </c>
      <c r="X102" s="41">
        <f>IFERROR(('Tube Laser'!D102*'Tube Laser'!B102)/60/60,"")</f>
        <v>0</v>
      </c>
      <c r="AE102" t="str">
        <f>IF('Tube Laser'!E102="One Side",'Tube Laser'!J102*0.2,IF('Tube Laser'!E102="Both Sides",'Tube Laser'!J102*0.4,"0"))</f>
        <v>0</v>
      </c>
      <c r="AF102">
        <f>IF('Tube Laser'!F102="Yes",'Tube Laser'!J102*0.1,0)</f>
        <v>0</v>
      </c>
      <c r="AG102">
        <f>IF('Tube Laser'!G102&gt;0,'Tube Laser'!J102*0.2,0)</f>
        <v>0</v>
      </c>
      <c r="AH102">
        <f>IF('Tube Laser'!H102="Yes",'Tube Laser'!J102*0.1,0)</f>
        <v>0</v>
      </c>
      <c r="AJ102">
        <f>IFERROR(VLOOKUP('FB Laser'!N103,'FB Data'!A95:E243,3,FALSE)*'FB Laser'!M103,0)</f>
        <v>0</v>
      </c>
      <c r="AK102" t="str">
        <f t="shared" si="2"/>
        <v/>
      </c>
      <c r="AL102" s="33">
        <f>IF(AK102="partial",'FB Laser'!E103/60*35*0.5,IF(AK102="full-time",'FB Laser'!E103/60*35,0))</f>
        <v>0</v>
      </c>
      <c r="AM102" s="33">
        <f>ROUND(IFERROR(AL102/'FB Laser'!B103,0),2)</f>
        <v>0</v>
      </c>
      <c r="AO102">
        <f>IFERROR(VLOOKUP('Tube Laser'!P102,'TL Data'!A95:E1320,3,FALSE)*'Tube Laser'!O102,0)</f>
        <v>0</v>
      </c>
      <c r="AP102" t="str">
        <f t="shared" si="3"/>
        <v/>
      </c>
      <c r="AQ102" s="33">
        <f>IF(AP102="partial",'Tube Laser'!D102/60/60*35*'Tube Laser'!B102*0.5,IF(AP102="full-time",'Tube Laser'!D102/60/60*35*'Tube Laser'!B102,0))</f>
        <v>0</v>
      </c>
      <c r="AR102" s="33">
        <f>ROUND(IFERROR(AQ102/'Tube Laser'!B102,0),2)</f>
        <v>0</v>
      </c>
      <c r="AT102" s="33">
        <f>IFERROR('FB Laser'!J103*'FB Laser'!B103,"")</f>
        <v>0</v>
      </c>
      <c r="AU102" s="33">
        <f>IFERROR('Tube Laser'!L102*'Tube Laser'!B102,"")</f>
        <v>0</v>
      </c>
    </row>
    <row r="103" spans="1:47">
      <c r="A103" s="10" t="s">
        <v>178</v>
      </c>
      <c r="B103" s="10" t="s">
        <v>179</v>
      </c>
      <c r="C103" s="11">
        <v>15.3125</v>
      </c>
      <c r="D103" s="10" t="s">
        <v>22</v>
      </c>
      <c r="E103" s="9">
        <v>1.25</v>
      </c>
      <c r="O103" t="str">
        <f t="array" aca="1" ref="O103" ca="1">INDIRECT(TEXT(MIN(IF(($P$9:$Q$100&lt;&gt;"")*(COUNTIF($O$8:O102,$P$9:$Q$100)=0),ROW($9:$100)*100+COLUMN($P:$Q),7^8)),"R0C00"),)&amp;""</f>
        <v/>
      </c>
      <c r="P103" t="str">
        <f>IF('FB Laser'!F104="Yes",'FB Laser'!A104,"")</f>
        <v/>
      </c>
      <c r="Q103" t="str">
        <f>IF('Tube Laser'!I103="Yes",'Tube Laser'!A103,"")</f>
        <v/>
      </c>
      <c r="R103" s="37">
        <f>IFERROR(('FB Laser'!G104*'FB Laser'!B104),"")</f>
        <v>0</v>
      </c>
      <c r="S103" s="37">
        <f>IFERROR('FB Laser'!H104*'FB Laser'!B104,"")</f>
        <v>0</v>
      </c>
      <c r="U103" s="37">
        <f>IFERROR(((((('Tube Laser'!D103)*'Tube Laser'!B103)/60)/60)*188.17)+(AE103*'Tube Laser'!B103),"")</f>
        <v>0</v>
      </c>
      <c r="V103" s="37">
        <f>IFERROR(('Tube Laser'!N103*'Tube Laser'!B103)+(AE103*'Tube Laser'!B103)+(AF103*'Tube Laser'!B103)+(AG103*'Tube Laser'!B103)+('FB Data'!AH103*'Tube Laser'!B103),"")</f>
        <v>0</v>
      </c>
      <c r="X103" s="41">
        <f>IFERROR(('Tube Laser'!D103*'Tube Laser'!B103)/60/60,"")</f>
        <v>0</v>
      </c>
      <c r="AE103" t="str">
        <f>IF('Tube Laser'!E103="One Side",'Tube Laser'!J103*0.2,IF('Tube Laser'!E103="Both Sides",'Tube Laser'!J103*0.4,"0"))</f>
        <v>0</v>
      </c>
      <c r="AF103">
        <f>IF('Tube Laser'!F103="Yes",'Tube Laser'!J103*0.1,0)</f>
        <v>0</v>
      </c>
      <c r="AG103">
        <f>IF('Tube Laser'!G103&gt;0,'Tube Laser'!J103*0.2,0)</f>
        <v>0</v>
      </c>
      <c r="AH103">
        <f>IF('Tube Laser'!H103="Yes",'Tube Laser'!J103*0.1,0)</f>
        <v>0</v>
      </c>
      <c r="AJ103">
        <f>IFERROR(VLOOKUP('FB Laser'!N104,'FB Data'!A96:E244,3,FALSE)*'FB Laser'!M104,0)</f>
        <v>0</v>
      </c>
      <c r="AK103" t="str">
        <f t="shared" si="2"/>
        <v/>
      </c>
      <c r="AL103" s="33">
        <f>IF(AK103="partial",'FB Laser'!E104/60*35*0.5,IF(AK103="full-time",'FB Laser'!E104/60*35,0))</f>
        <v>0</v>
      </c>
      <c r="AM103" s="33">
        <f>ROUND(IFERROR(AL103/'FB Laser'!B104,0),2)</f>
        <v>0</v>
      </c>
      <c r="AO103">
        <f>IFERROR(VLOOKUP('Tube Laser'!P103,'TL Data'!A96:E1321,3,FALSE)*'Tube Laser'!O103,0)</f>
        <v>0</v>
      </c>
      <c r="AP103" t="str">
        <f t="shared" si="3"/>
        <v/>
      </c>
      <c r="AQ103" s="33">
        <f>IF(AP103="partial",'Tube Laser'!D103/60/60*35*'Tube Laser'!B103*0.5,IF(AP103="full-time",'Tube Laser'!D103/60/60*35*'Tube Laser'!B103,0))</f>
        <v>0</v>
      </c>
      <c r="AR103" s="33">
        <f>ROUND(IFERROR(AQ103/'Tube Laser'!B103,0),2)</f>
        <v>0</v>
      </c>
      <c r="AT103" s="33">
        <f>IFERROR('FB Laser'!J104*'FB Laser'!B104,"")</f>
        <v>0</v>
      </c>
      <c r="AU103" s="33">
        <f>IFERROR('Tube Laser'!L103*'Tube Laser'!B103,"")</f>
        <v>0</v>
      </c>
    </row>
    <row r="104" spans="1:47">
      <c r="A104" s="10" t="s">
        <v>180</v>
      </c>
      <c r="B104" s="10" t="s">
        <v>181</v>
      </c>
      <c r="C104" s="11">
        <v>12.76</v>
      </c>
      <c r="D104" s="10" t="s">
        <v>22</v>
      </c>
      <c r="E104" s="9">
        <v>1.25</v>
      </c>
      <c r="O104" t="str">
        <f t="array" aca="1" ref="O104" ca="1">INDIRECT(TEXT(MIN(IF(($P$9:$Q$100&lt;&gt;"")*(COUNTIF($O$8:O103,$P$9:$Q$100)=0),ROW($9:$100)*100+COLUMN($P:$Q),7^8)),"R0C00"),)&amp;""</f>
        <v/>
      </c>
      <c r="P104" t="str">
        <f>IF('FB Laser'!F105="Yes",'FB Laser'!A105,"")</f>
        <v/>
      </c>
      <c r="Q104" t="str">
        <f>IF('Tube Laser'!I104="Yes",'Tube Laser'!A104,"")</f>
        <v/>
      </c>
      <c r="R104" s="37">
        <f>IFERROR(('FB Laser'!G105*'FB Laser'!B105),"")</f>
        <v>0</v>
      </c>
      <c r="S104" s="37">
        <f>IFERROR('FB Laser'!H105*'FB Laser'!B105,"")</f>
        <v>0</v>
      </c>
      <c r="U104" s="37">
        <f>IFERROR(((((('Tube Laser'!D104)*'Tube Laser'!B104)/60)/60)*188.17)+(AE104*'Tube Laser'!B104),"")</f>
        <v>0</v>
      </c>
      <c r="V104" s="37">
        <f>IFERROR(('Tube Laser'!N104*'Tube Laser'!B104)+(AE104*'Tube Laser'!B104)+(AF104*'Tube Laser'!B104)+(AG104*'Tube Laser'!B104)+('FB Data'!AH104*'Tube Laser'!B104),"")</f>
        <v>0</v>
      </c>
      <c r="X104" s="41">
        <f>IFERROR(('Tube Laser'!D104*'Tube Laser'!B104)/60/60,"")</f>
        <v>0</v>
      </c>
      <c r="AE104" t="str">
        <f>IF('Tube Laser'!E104="One Side",'Tube Laser'!J104*0.2,IF('Tube Laser'!E104="Both Sides",'Tube Laser'!J104*0.4,"0"))</f>
        <v>0</v>
      </c>
      <c r="AF104">
        <f>IF('Tube Laser'!F104="Yes",'Tube Laser'!J104*0.1,0)</f>
        <v>0</v>
      </c>
      <c r="AG104">
        <f>IF('Tube Laser'!G104&gt;0,'Tube Laser'!J104*0.2,0)</f>
        <v>0</v>
      </c>
      <c r="AH104">
        <f>IF('Tube Laser'!H104="Yes",'Tube Laser'!J104*0.1,0)</f>
        <v>0</v>
      </c>
      <c r="AJ104">
        <f>IFERROR(VLOOKUP('FB Laser'!N105,'FB Data'!A97:E245,3,FALSE)*'FB Laser'!M105,0)</f>
        <v>0</v>
      </c>
      <c r="AK104" t="str">
        <f t="shared" si="2"/>
        <v/>
      </c>
      <c r="AL104" s="33">
        <f>IF(AK104="partial",'FB Laser'!E105/60*35*0.5,IF(AK104="full-time",'FB Laser'!E105/60*35,0))</f>
        <v>0</v>
      </c>
      <c r="AM104" s="33">
        <f>ROUND(IFERROR(AL104/'FB Laser'!B105,0),2)</f>
        <v>0</v>
      </c>
      <c r="AO104">
        <f>IFERROR(VLOOKUP('Tube Laser'!P104,'TL Data'!A97:E1322,3,FALSE)*'Tube Laser'!O104,0)</f>
        <v>0</v>
      </c>
      <c r="AP104" t="str">
        <f t="shared" si="3"/>
        <v/>
      </c>
      <c r="AQ104" s="33">
        <f>IF(AP104="partial",'Tube Laser'!D104/60/60*35*'Tube Laser'!B104*0.5,IF(AP104="full-time",'Tube Laser'!D104/60/60*35*'Tube Laser'!B104,0))</f>
        <v>0</v>
      </c>
      <c r="AR104" s="33">
        <f>ROUND(IFERROR(AQ104/'Tube Laser'!B104,0),2)</f>
        <v>0</v>
      </c>
      <c r="AT104" s="33">
        <f>IFERROR('FB Laser'!J105*'FB Laser'!B105,"")</f>
        <v>0</v>
      </c>
      <c r="AU104" s="33">
        <f>IFERROR('Tube Laser'!L104*'Tube Laser'!B104,"")</f>
        <v>0</v>
      </c>
    </row>
    <row r="105" spans="1:47">
      <c r="A105" s="10" t="s">
        <v>182</v>
      </c>
      <c r="B105" s="10" t="s">
        <v>183</v>
      </c>
      <c r="C105" s="11">
        <v>12.76</v>
      </c>
      <c r="D105" s="10" t="s">
        <v>22</v>
      </c>
      <c r="E105" s="9">
        <v>1.25</v>
      </c>
      <c r="O105" t="str">
        <f t="array" aca="1" ref="O105" ca="1">INDIRECT(TEXT(MIN(IF(($P$9:$Q$100&lt;&gt;"")*(COUNTIF($O$8:O104,$P$9:$Q$100)=0),ROW($9:$100)*100+COLUMN($P:$Q),7^8)),"R0C00"),)&amp;""</f>
        <v/>
      </c>
      <c r="P105" t="str">
        <f>IF('FB Laser'!F106="Yes",'FB Laser'!A106,"")</f>
        <v/>
      </c>
      <c r="Q105" t="str">
        <f>IF('Tube Laser'!I105="Yes",'Tube Laser'!A105,"")</f>
        <v/>
      </c>
      <c r="R105" s="37">
        <f>IFERROR(('FB Laser'!G106*'FB Laser'!B106),"")</f>
        <v>0</v>
      </c>
      <c r="S105" s="37">
        <f>IFERROR('FB Laser'!H106*'FB Laser'!B106,"")</f>
        <v>0</v>
      </c>
      <c r="U105" s="37">
        <f>IFERROR(((((('Tube Laser'!D105)*'Tube Laser'!B105)/60)/60)*188.17)+(AE105*'Tube Laser'!B105),"")</f>
        <v>0</v>
      </c>
      <c r="V105" s="37">
        <f>IFERROR(('Tube Laser'!N105*'Tube Laser'!B105)+(AE105*'Tube Laser'!B105)+(AF105*'Tube Laser'!B105)+(AG105*'Tube Laser'!B105)+('FB Data'!AH105*'Tube Laser'!B105),"")</f>
        <v>0</v>
      </c>
      <c r="X105" s="41">
        <f>IFERROR(('Tube Laser'!D105*'Tube Laser'!B105)/60/60,"")</f>
        <v>0</v>
      </c>
      <c r="AE105" t="str">
        <f>IF('Tube Laser'!E105="One Side",'Tube Laser'!J105*0.2,IF('Tube Laser'!E105="Both Sides",'Tube Laser'!J105*0.4,"0"))</f>
        <v>0</v>
      </c>
      <c r="AF105">
        <f>IF('Tube Laser'!F105="Yes",'Tube Laser'!J105*0.1,0)</f>
        <v>0</v>
      </c>
      <c r="AG105">
        <f>IF('Tube Laser'!G105&gt;0,'Tube Laser'!J105*0.2,0)</f>
        <v>0</v>
      </c>
      <c r="AH105">
        <f>IF('Tube Laser'!H105="Yes",'Tube Laser'!J105*0.1,0)</f>
        <v>0</v>
      </c>
      <c r="AJ105">
        <f>IFERROR(VLOOKUP('FB Laser'!N106,'FB Data'!A98:E246,3,FALSE)*'FB Laser'!M106,0)</f>
        <v>0</v>
      </c>
      <c r="AK105" t="str">
        <f t="shared" si="2"/>
        <v/>
      </c>
      <c r="AL105" s="33">
        <f>IF(AK105="partial",'FB Laser'!E106/60*35*0.5,IF(AK105="full-time",'FB Laser'!E106/60*35,0))</f>
        <v>0</v>
      </c>
      <c r="AM105" s="33">
        <f>ROUND(IFERROR(AL105/'FB Laser'!B106,0),2)</f>
        <v>0</v>
      </c>
      <c r="AO105">
        <f>IFERROR(VLOOKUP('Tube Laser'!P105,'TL Data'!A98:E1323,3,FALSE)*'Tube Laser'!O105,0)</f>
        <v>0</v>
      </c>
      <c r="AP105" t="str">
        <f t="shared" si="3"/>
        <v/>
      </c>
      <c r="AQ105" s="33">
        <f>IF(AP105="partial",'Tube Laser'!D105/60/60*35*'Tube Laser'!B105*0.5,IF(AP105="full-time",'Tube Laser'!D105/60/60*35*'Tube Laser'!B105,0))</f>
        <v>0</v>
      </c>
      <c r="AR105" s="33">
        <f>ROUND(IFERROR(AQ105/'Tube Laser'!B105,0),2)</f>
        <v>0</v>
      </c>
      <c r="AT105" s="33">
        <f>IFERROR('FB Laser'!J106*'FB Laser'!B106,"")</f>
        <v>0</v>
      </c>
      <c r="AU105" s="33">
        <f>IFERROR('Tube Laser'!L105*'Tube Laser'!B105,"")</f>
        <v>0</v>
      </c>
    </row>
    <row r="106" spans="1:47">
      <c r="A106" s="10" t="s">
        <v>184</v>
      </c>
      <c r="B106" s="10" t="s">
        <v>185</v>
      </c>
      <c r="C106" s="11">
        <v>25.52</v>
      </c>
      <c r="D106" s="10" t="s">
        <v>22</v>
      </c>
      <c r="E106" s="9">
        <v>1.25</v>
      </c>
      <c r="O106" t="str">
        <f t="array" aca="1" ref="O106" ca="1">INDIRECT(TEXT(MIN(IF(($P$9:$Q$100&lt;&gt;"")*(COUNTIF($O$8:O105,$P$9:$Q$100)=0),ROW($9:$100)*100+COLUMN($P:$Q),7^8)),"R0C00"),)&amp;""</f>
        <v/>
      </c>
      <c r="P106" t="str">
        <f>IF('FB Laser'!F107="Yes",'FB Laser'!A107,"")</f>
        <v/>
      </c>
      <c r="Q106" t="str">
        <f>IF('Tube Laser'!I106="Yes",'Tube Laser'!A106,"")</f>
        <v/>
      </c>
      <c r="R106" s="37">
        <f>IFERROR(('FB Laser'!G107*'FB Laser'!B107),"")</f>
        <v>0</v>
      </c>
      <c r="S106" s="37">
        <f>IFERROR('FB Laser'!H107*'FB Laser'!B107,"")</f>
        <v>0</v>
      </c>
      <c r="U106" s="37">
        <f>IFERROR(((((('Tube Laser'!D106)*'Tube Laser'!B106)/60)/60)*188.17)+(AE106*'Tube Laser'!B106),"")</f>
        <v>0</v>
      </c>
      <c r="V106" s="37">
        <f>IFERROR(('Tube Laser'!N106*'Tube Laser'!B106)+(AE106*'Tube Laser'!B106)+(AF106*'Tube Laser'!B106)+(AG106*'Tube Laser'!B106)+('FB Data'!AH106*'Tube Laser'!B106),"")</f>
        <v>0</v>
      </c>
      <c r="X106" s="41">
        <f>IFERROR(('Tube Laser'!D106*'Tube Laser'!B106)/60/60,"")</f>
        <v>0</v>
      </c>
      <c r="AE106" t="str">
        <f>IF('Tube Laser'!E106="One Side",'Tube Laser'!J106*0.2,IF('Tube Laser'!E106="Both Sides",'Tube Laser'!J106*0.4,"0"))</f>
        <v>0</v>
      </c>
      <c r="AF106">
        <f>IF('Tube Laser'!F106="Yes",'Tube Laser'!J106*0.1,0)</f>
        <v>0</v>
      </c>
      <c r="AG106">
        <f>IF('Tube Laser'!G106&gt;0,'Tube Laser'!J106*0.2,0)</f>
        <v>0</v>
      </c>
      <c r="AH106">
        <f>IF('Tube Laser'!H106="Yes",'Tube Laser'!J106*0.1,0)</f>
        <v>0</v>
      </c>
      <c r="AJ106">
        <f>IFERROR(VLOOKUP('FB Laser'!N107,'FB Data'!A99:E247,3,FALSE)*'FB Laser'!M107,0)</f>
        <v>0</v>
      </c>
      <c r="AK106" t="str">
        <f t="shared" si="2"/>
        <v/>
      </c>
      <c r="AL106" s="33">
        <f>IF(AK106="partial",'FB Laser'!E107/60*35*0.5,IF(AK106="full-time",'FB Laser'!E107/60*35,0))</f>
        <v>0</v>
      </c>
      <c r="AM106" s="33">
        <f>ROUND(IFERROR(AL106/'FB Laser'!B107,0),2)</f>
        <v>0</v>
      </c>
      <c r="AO106">
        <f>IFERROR(VLOOKUP('Tube Laser'!P106,'TL Data'!A99:E1324,3,FALSE)*'Tube Laser'!O106,0)</f>
        <v>0</v>
      </c>
      <c r="AP106" t="str">
        <f t="shared" si="3"/>
        <v/>
      </c>
      <c r="AQ106" s="33">
        <f>IF(AP106="partial",'Tube Laser'!D106/60/60*35*'Tube Laser'!B106*0.5,IF(AP106="full-time",'Tube Laser'!D106/60/60*35*'Tube Laser'!B106,0))</f>
        <v>0</v>
      </c>
      <c r="AR106" s="33">
        <f>ROUND(IFERROR(AQ106/'Tube Laser'!B106,0),2)</f>
        <v>0</v>
      </c>
      <c r="AT106" s="33">
        <f>IFERROR('FB Laser'!J107*'FB Laser'!B107,"")</f>
        <v>0</v>
      </c>
      <c r="AU106" s="33">
        <f>IFERROR('Tube Laser'!L106*'Tube Laser'!B106,"")</f>
        <v>0</v>
      </c>
    </row>
    <row r="107" spans="1:47">
      <c r="A107" s="10" t="s">
        <v>186</v>
      </c>
      <c r="B107" s="10" t="s">
        <v>187</v>
      </c>
      <c r="C107" s="11">
        <v>25.52</v>
      </c>
      <c r="D107" s="10" t="s">
        <v>22</v>
      </c>
      <c r="E107" s="9">
        <v>1.25</v>
      </c>
      <c r="O107" t="str">
        <f t="array" aca="1" ref="O107" ca="1">INDIRECT(TEXT(MIN(IF(($P$9:$Q$100&lt;&gt;"")*(COUNTIF($O$8:O106,$P$9:$Q$100)=0),ROW($9:$100)*100+COLUMN($P:$Q),7^8)),"R0C00"),)&amp;""</f>
        <v/>
      </c>
      <c r="P107" t="str">
        <f>IF('FB Laser'!F108="Yes",'FB Laser'!A108,"")</f>
        <v/>
      </c>
      <c r="Q107" t="str">
        <f>IF('Tube Laser'!I107="Yes",'Tube Laser'!A107,"")</f>
        <v/>
      </c>
      <c r="R107" s="37">
        <f>IFERROR(('FB Laser'!G108*'FB Laser'!B108),"")</f>
        <v>0</v>
      </c>
      <c r="S107" s="37">
        <f>IFERROR('FB Laser'!H108*'FB Laser'!B108,"")</f>
        <v>0</v>
      </c>
      <c r="U107" s="37">
        <f>IFERROR(((((('Tube Laser'!D107)*'Tube Laser'!B107)/60)/60)*188.17)+(AE107*'Tube Laser'!B107),"")</f>
        <v>0</v>
      </c>
      <c r="V107" s="37">
        <f>IFERROR(('Tube Laser'!N107*'Tube Laser'!B107)+(AE107*'Tube Laser'!B107)+(AF107*'Tube Laser'!B107)+(AG107*'Tube Laser'!B107)+('FB Data'!AH107*'Tube Laser'!B107),"")</f>
        <v>0</v>
      </c>
      <c r="X107" s="41">
        <f>IFERROR(('Tube Laser'!D107*'Tube Laser'!B107)/60/60,"")</f>
        <v>0</v>
      </c>
      <c r="AE107" t="str">
        <f>IF('Tube Laser'!E107="One Side",'Tube Laser'!J107*0.2,IF('Tube Laser'!E107="Both Sides",'Tube Laser'!J107*0.4,"0"))</f>
        <v>0</v>
      </c>
      <c r="AF107">
        <f>IF('Tube Laser'!F107="Yes",'Tube Laser'!J107*0.1,0)</f>
        <v>0</v>
      </c>
      <c r="AG107">
        <f>IF('Tube Laser'!G107&gt;0,'Tube Laser'!J107*0.2,0)</f>
        <v>0</v>
      </c>
      <c r="AH107">
        <f>IF('Tube Laser'!H107="Yes",'Tube Laser'!J107*0.1,0)</f>
        <v>0</v>
      </c>
      <c r="AJ107">
        <f>IFERROR(VLOOKUP('FB Laser'!N108,'FB Data'!A100:E248,3,FALSE)*'FB Laser'!M108,0)</f>
        <v>0</v>
      </c>
      <c r="AK107" t="str">
        <f t="shared" si="2"/>
        <v/>
      </c>
      <c r="AL107" s="33">
        <f>IF(AK107="partial",'FB Laser'!E108/60*35*0.5,IF(AK107="full-time",'FB Laser'!E108/60*35,0))</f>
        <v>0</v>
      </c>
      <c r="AM107" s="33">
        <f>ROUND(IFERROR(AL107/'FB Laser'!B108,0),2)</f>
        <v>0</v>
      </c>
      <c r="AO107">
        <f>IFERROR(VLOOKUP('Tube Laser'!P107,'TL Data'!A100:E1325,3,FALSE)*'Tube Laser'!O107,0)</f>
        <v>0</v>
      </c>
      <c r="AP107" t="str">
        <f t="shared" si="3"/>
        <v/>
      </c>
      <c r="AQ107" s="33">
        <f>IF(AP107="partial",'Tube Laser'!D107/60/60*35*'Tube Laser'!B107*0.5,IF(AP107="full-time",'Tube Laser'!D107/60/60*35*'Tube Laser'!B107,0))</f>
        <v>0</v>
      </c>
      <c r="AR107" s="33">
        <f>ROUND(IFERROR(AQ107/'Tube Laser'!B107,0),2)</f>
        <v>0</v>
      </c>
      <c r="AT107" s="33">
        <f>IFERROR('FB Laser'!J108*'FB Laser'!B108,"")</f>
        <v>0</v>
      </c>
      <c r="AU107" s="33">
        <f>IFERROR('Tube Laser'!L107*'Tube Laser'!B107,"")</f>
        <v>0</v>
      </c>
    </row>
    <row r="108" spans="1:47">
      <c r="A108" s="10" t="s">
        <v>188</v>
      </c>
      <c r="B108" s="10" t="s">
        <v>189</v>
      </c>
      <c r="C108" s="11">
        <v>35.74</v>
      </c>
      <c r="D108" s="10" t="s">
        <v>22</v>
      </c>
      <c r="E108" s="9">
        <v>1.25</v>
      </c>
      <c r="O108" t="str">
        <f t="array" aca="1" ref="O108" ca="1">INDIRECT(TEXT(MIN(IF(($P$9:$Q$100&lt;&gt;"")*(COUNTIF($O$8:O107,$P$9:$Q$100)=0),ROW($9:$100)*100+COLUMN($P:$Q),7^8)),"R0C00"),)&amp;""</f>
        <v/>
      </c>
      <c r="P108" t="str">
        <f>IF('FB Laser'!F109="Yes",'FB Laser'!A109,"")</f>
        <v/>
      </c>
      <c r="Q108" t="str">
        <f>IF('Tube Laser'!I108="Yes",'Tube Laser'!A108,"")</f>
        <v/>
      </c>
      <c r="R108" s="37">
        <f>IFERROR(('FB Laser'!G109*'FB Laser'!B109),"")</f>
        <v>0</v>
      </c>
      <c r="S108" s="37">
        <f>IFERROR('FB Laser'!H109*'FB Laser'!B109,"")</f>
        <v>0</v>
      </c>
      <c r="U108" s="37">
        <f>IFERROR(((((('Tube Laser'!D108)*'Tube Laser'!B108)/60)/60)*188.17)+(AE108*'Tube Laser'!B108),"")</f>
        <v>0</v>
      </c>
      <c r="V108" s="37">
        <f>IFERROR(('Tube Laser'!N108*'Tube Laser'!B108)+(AE108*'Tube Laser'!B108)+(AF108*'Tube Laser'!B108)+(AG108*'Tube Laser'!B108)+('FB Data'!AH108*'Tube Laser'!B108),"")</f>
        <v>0</v>
      </c>
      <c r="X108" s="41">
        <f>IFERROR(('Tube Laser'!D108*'Tube Laser'!B108)/60/60,"")</f>
        <v>0</v>
      </c>
      <c r="AE108" t="str">
        <f>IF('Tube Laser'!E108="One Side",'Tube Laser'!J108*0.2,IF('Tube Laser'!E108="Both Sides",'Tube Laser'!J108*0.4,"0"))</f>
        <v>0</v>
      </c>
      <c r="AF108">
        <f>IF('Tube Laser'!F108="Yes",'Tube Laser'!J108*0.1,0)</f>
        <v>0</v>
      </c>
      <c r="AG108">
        <f>IF('Tube Laser'!G108&gt;0,'Tube Laser'!J108*0.2,0)</f>
        <v>0</v>
      </c>
      <c r="AH108">
        <f>IF('Tube Laser'!H108="Yes",'Tube Laser'!J108*0.1,0)</f>
        <v>0</v>
      </c>
      <c r="AJ108">
        <f>IFERROR(VLOOKUP('FB Laser'!N109,'FB Data'!A101:E249,3,FALSE)*'FB Laser'!M109,0)</f>
        <v>0</v>
      </c>
      <c r="AK108" t="str">
        <f t="shared" si="2"/>
        <v/>
      </c>
      <c r="AL108" s="33">
        <f>IF(AK108="partial",'FB Laser'!E109/60*35*0.5,IF(AK108="full-time",'FB Laser'!E109/60*35,0))</f>
        <v>0</v>
      </c>
      <c r="AM108" s="33">
        <f>ROUND(IFERROR(AL108/'FB Laser'!B109,0),2)</f>
        <v>0</v>
      </c>
      <c r="AO108">
        <f>IFERROR(VLOOKUP('Tube Laser'!P108,'TL Data'!A101:E1326,3,FALSE)*'Tube Laser'!O108,0)</f>
        <v>0</v>
      </c>
      <c r="AP108" t="str">
        <f t="shared" si="3"/>
        <v/>
      </c>
      <c r="AQ108" s="33">
        <f>IF(AP108="partial",'Tube Laser'!D108/60/60*35*'Tube Laser'!B108*0.5,IF(AP108="full-time",'Tube Laser'!D108/60/60*35*'Tube Laser'!B108,0))</f>
        <v>0</v>
      </c>
      <c r="AR108" s="33">
        <f>ROUND(IFERROR(AQ108/'Tube Laser'!B108,0),2)</f>
        <v>0</v>
      </c>
      <c r="AT108" s="33">
        <f>IFERROR('FB Laser'!J109*'FB Laser'!B109,"")</f>
        <v>0</v>
      </c>
      <c r="AU108" s="33">
        <f>IFERROR('Tube Laser'!L108*'Tube Laser'!B108,"")</f>
        <v>0</v>
      </c>
    </row>
    <row r="109" spans="1:47">
      <c r="A109" s="10" t="s">
        <v>190</v>
      </c>
      <c r="B109" s="10" t="s">
        <v>191</v>
      </c>
      <c r="C109" s="11">
        <v>35.74</v>
      </c>
      <c r="D109" s="10" t="s">
        <v>22</v>
      </c>
      <c r="E109" s="9">
        <v>1.25</v>
      </c>
      <c r="O109" t="str">
        <f t="array" aca="1" ref="O109" ca="1">INDIRECT(TEXT(MIN(IF(($P$9:$Q$100&lt;&gt;"")*(COUNTIF($O$8:O108,$P$9:$Q$100)=0),ROW($9:$100)*100+COLUMN($P:$Q),7^8)),"R0C00"),)&amp;""</f>
        <v/>
      </c>
      <c r="P109" t="str">
        <f>IF('FB Laser'!F110="Yes",'FB Laser'!A110,"")</f>
        <v/>
      </c>
      <c r="Q109" t="str">
        <f>IF('Tube Laser'!I109="Yes",'Tube Laser'!A109,"")</f>
        <v/>
      </c>
      <c r="R109" s="37">
        <f>IFERROR(('FB Laser'!G110*'FB Laser'!B110),"")</f>
        <v>0</v>
      </c>
      <c r="S109" s="37">
        <f>IFERROR('FB Laser'!H110*'FB Laser'!B110,"")</f>
        <v>0</v>
      </c>
      <c r="U109" s="37">
        <f>IFERROR(((((('Tube Laser'!D109)*'Tube Laser'!B109)/60)/60)*188.17)+(AE109*'Tube Laser'!B109),"")</f>
        <v>0</v>
      </c>
      <c r="V109" s="37">
        <f>IFERROR(('Tube Laser'!N109*'Tube Laser'!B109)+(AE109*'Tube Laser'!B109)+(AF109*'Tube Laser'!B109)+(AG109*'Tube Laser'!B109)+('FB Data'!AH109*'Tube Laser'!B109),"")</f>
        <v>0</v>
      </c>
      <c r="X109" s="41">
        <f>IFERROR(('Tube Laser'!D109*'Tube Laser'!B109)/60/60,"")</f>
        <v>0</v>
      </c>
      <c r="AE109" t="str">
        <f>IF('Tube Laser'!E109="One Side",'Tube Laser'!J109*0.2,IF('Tube Laser'!E109="Both Sides",'Tube Laser'!J109*0.4,"0"))</f>
        <v>0</v>
      </c>
      <c r="AF109">
        <f>IF('Tube Laser'!F109="Yes",'Tube Laser'!J109*0.1,0)</f>
        <v>0</v>
      </c>
      <c r="AG109">
        <f>IF('Tube Laser'!G109&gt;0,'Tube Laser'!J109*0.2,0)</f>
        <v>0</v>
      </c>
      <c r="AH109">
        <f>IF('Tube Laser'!H109="Yes",'Tube Laser'!J109*0.1,0)</f>
        <v>0</v>
      </c>
      <c r="AJ109">
        <f>IFERROR(VLOOKUP('FB Laser'!N110,'FB Data'!A102:E250,3,FALSE)*'FB Laser'!M110,0)</f>
        <v>0</v>
      </c>
      <c r="AK109" t="str">
        <f t="shared" si="2"/>
        <v/>
      </c>
      <c r="AL109" s="33">
        <f>IF(AK109="partial",'FB Laser'!E110/60*35*0.5,IF(AK109="full-time",'FB Laser'!E110/60*35,0))</f>
        <v>0</v>
      </c>
      <c r="AM109" s="33">
        <f>ROUND(IFERROR(AL109/'FB Laser'!B110,0),2)</f>
        <v>0</v>
      </c>
      <c r="AO109">
        <f>IFERROR(VLOOKUP('Tube Laser'!P109,'TL Data'!A102:E1327,3,FALSE)*'Tube Laser'!O109,0)</f>
        <v>0</v>
      </c>
      <c r="AP109" t="str">
        <f t="shared" si="3"/>
        <v/>
      </c>
      <c r="AQ109" s="33">
        <f>IF(AP109="partial",'Tube Laser'!D109/60/60*35*'Tube Laser'!B109*0.5,IF(AP109="full-time",'Tube Laser'!D109/60/60*35*'Tube Laser'!B109,0))</f>
        <v>0</v>
      </c>
      <c r="AR109" s="33">
        <f>ROUND(IFERROR(AQ109/'Tube Laser'!B109,0),2)</f>
        <v>0</v>
      </c>
      <c r="AT109" s="33">
        <f>IFERROR('FB Laser'!J110*'FB Laser'!B110,"")</f>
        <v>0</v>
      </c>
      <c r="AU109" s="33">
        <f>IFERROR('Tube Laser'!L109*'Tube Laser'!B109,"")</f>
        <v>0</v>
      </c>
    </row>
    <row r="110" spans="1:47">
      <c r="A110" s="10" t="s">
        <v>192</v>
      </c>
      <c r="B110" s="10" t="s">
        <v>193</v>
      </c>
      <c r="C110" s="11">
        <v>20.420000000000002</v>
      </c>
      <c r="D110" s="10" t="s">
        <v>22</v>
      </c>
      <c r="E110" s="9">
        <v>1.5</v>
      </c>
      <c r="O110" t="str">
        <f t="array" aca="1" ref="O110" ca="1">INDIRECT(TEXT(MIN(IF(($P$9:$Q$100&lt;&gt;"")*(COUNTIF($O$8:O109,$P$9:$Q$100)=0),ROW($9:$100)*100+COLUMN($P:$Q),7^8)),"R0C00"),)&amp;""</f>
        <v/>
      </c>
      <c r="P110" t="str">
        <f>IF('FB Laser'!F111="Yes",'FB Laser'!A111,"")</f>
        <v/>
      </c>
      <c r="Q110" t="str">
        <f>IF('Tube Laser'!I110="Yes",'Tube Laser'!A110,"")</f>
        <v/>
      </c>
      <c r="R110" s="37">
        <f>IFERROR(('FB Laser'!G111*'FB Laser'!B111),"")</f>
        <v>0</v>
      </c>
      <c r="S110" s="37">
        <f>IFERROR('FB Laser'!H111*'FB Laser'!B111,"")</f>
        <v>0</v>
      </c>
      <c r="U110" s="37">
        <f>IFERROR(((((('Tube Laser'!D110)*'Tube Laser'!B110)/60)/60)*188.17)+(AE110*'Tube Laser'!B110),"")</f>
        <v>0</v>
      </c>
      <c r="V110" s="37">
        <f>IFERROR(('Tube Laser'!N110*'Tube Laser'!B110)+(AE110*'Tube Laser'!B110)+(AF110*'Tube Laser'!B110)+(AG110*'Tube Laser'!B110)+('FB Data'!AH110*'Tube Laser'!B110),"")</f>
        <v>0</v>
      </c>
      <c r="X110" s="41">
        <f>IFERROR(('Tube Laser'!D110*'Tube Laser'!B110)/60/60,"")</f>
        <v>0</v>
      </c>
      <c r="AE110" t="str">
        <f>IF('Tube Laser'!E110="One Side",'Tube Laser'!J110*0.2,IF('Tube Laser'!E110="Both Sides",'Tube Laser'!J110*0.4,"0"))</f>
        <v>0</v>
      </c>
      <c r="AF110">
        <f>IF('Tube Laser'!F110="Yes",'Tube Laser'!J110*0.1,0)</f>
        <v>0</v>
      </c>
      <c r="AG110">
        <f>IF('Tube Laser'!G110&gt;0,'Tube Laser'!J110*0.2,0)</f>
        <v>0</v>
      </c>
      <c r="AH110">
        <f>IF('Tube Laser'!H110="Yes",'Tube Laser'!J110*0.1,0)</f>
        <v>0</v>
      </c>
      <c r="AJ110">
        <f>IFERROR(VLOOKUP('FB Laser'!N111,'FB Data'!A103:E251,3,FALSE)*'FB Laser'!M111,0)</f>
        <v>0</v>
      </c>
      <c r="AK110" t="str">
        <f t="shared" si="2"/>
        <v/>
      </c>
      <c r="AL110" s="33">
        <f>IF(AK110="partial",'FB Laser'!E111/60*35*0.5,IF(AK110="full-time",'FB Laser'!E111/60*35,0))</f>
        <v>0</v>
      </c>
      <c r="AM110" s="33">
        <f>ROUND(IFERROR(AL110/'FB Laser'!B111,0),2)</f>
        <v>0</v>
      </c>
      <c r="AO110">
        <f>IFERROR(VLOOKUP('Tube Laser'!P110,'TL Data'!A103:E1328,3,FALSE)*'Tube Laser'!O110,0)</f>
        <v>0</v>
      </c>
      <c r="AP110" t="str">
        <f t="shared" si="3"/>
        <v/>
      </c>
      <c r="AQ110" s="33">
        <f>IF(AP110="partial",'Tube Laser'!D110/60/60*35*'Tube Laser'!B110*0.5,IF(AP110="full-time",'Tube Laser'!D110/60/60*35*'Tube Laser'!B110,0))</f>
        <v>0</v>
      </c>
      <c r="AR110" s="33">
        <f>ROUND(IFERROR(AQ110/'Tube Laser'!B110,0),2)</f>
        <v>0</v>
      </c>
      <c r="AT110" s="33">
        <f>IFERROR('FB Laser'!J111*'FB Laser'!B111,"")</f>
        <v>0</v>
      </c>
      <c r="AU110" s="33">
        <f>IFERROR('Tube Laser'!L110*'Tube Laser'!B110,"")</f>
        <v>0</v>
      </c>
    </row>
    <row r="111" spans="1:47">
      <c r="A111" s="10" t="s">
        <v>194</v>
      </c>
      <c r="B111" s="10" t="s">
        <v>195</v>
      </c>
      <c r="C111" s="11">
        <v>10.210000000000001</v>
      </c>
      <c r="D111" s="10" t="s">
        <v>22</v>
      </c>
      <c r="E111" s="9">
        <v>1.5</v>
      </c>
      <c r="O111" t="str">
        <f t="array" aca="1" ref="O111" ca="1">INDIRECT(TEXT(MIN(IF(($P$9:$Q$100&lt;&gt;"")*(COUNTIF($O$8:O110,$P$9:$Q$100)=0),ROW($9:$100)*100+COLUMN($P:$Q),7^8)),"R0C00"),)&amp;""</f>
        <v/>
      </c>
      <c r="P111" t="str">
        <f>IF('FB Laser'!F112="Yes",'FB Laser'!A112,"")</f>
        <v/>
      </c>
      <c r="Q111" t="str">
        <f>IF('Tube Laser'!I111="Yes",'Tube Laser'!A111,"")</f>
        <v/>
      </c>
      <c r="R111" s="37">
        <f>IFERROR(('FB Laser'!G112*'FB Laser'!B112),"")</f>
        <v>0</v>
      </c>
      <c r="S111" s="37">
        <f>IFERROR('FB Laser'!H112*'FB Laser'!B112,"")</f>
        <v>0</v>
      </c>
      <c r="U111" s="37">
        <f>IFERROR(((((('Tube Laser'!D111)*'Tube Laser'!B111)/60)/60)*188.17)+(AE111*'Tube Laser'!B111),"")</f>
        <v>0</v>
      </c>
      <c r="V111" s="37">
        <f>IFERROR(('Tube Laser'!N111*'Tube Laser'!B111)+(AE111*'Tube Laser'!B111)+(AF111*'Tube Laser'!B111)+(AG111*'Tube Laser'!B111)+('FB Data'!AH111*'Tube Laser'!B111),"")</f>
        <v>0</v>
      </c>
      <c r="X111" s="41">
        <f>IFERROR(('Tube Laser'!D111*'Tube Laser'!B111)/60/60,"")</f>
        <v>0</v>
      </c>
      <c r="AE111" t="str">
        <f>IF('Tube Laser'!E111="One Side",'Tube Laser'!J111*0.2,IF('Tube Laser'!E111="Both Sides",'Tube Laser'!J111*0.4,"0"))</f>
        <v>0</v>
      </c>
      <c r="AF111">
        <f>IF('Tube Laser'!F111="Yes",'Tube Laser'!J111*0.1,0)</f>
        <v>0</v>
      </c>
      <c r="AG111">
        <f>IF('Tube Laser'!G111&gt;0,'Tube Laser'!J111*0.2,0)</f>
        <v>0</v>
      </c>
      <c r="AH111">
        <f>IF('Tube Laser'!H111="Yes",'Tube Laser'!J111*0.1,0)</f>
        <v>0</v>
      </c>
      <c r="AJ111">
        <f>IFERROR(VLOOKUP('FB Laser'!N112,'FB Data'!A104:E252,3,FALSE)*'FB Laser'!M112,0)</f>
        <v>0</v>
      </c>
      <c r="AK111" t="str">
        <f t="shared" si="2"/>
        <v/>
      </c>
      <c r="AL111" s="33">
        <f>IF(AK111="partial",'FB Laser'!E112/60*35*0.5,IF(AK111="full-time",'FB Laser'!E112/60*35,0))</f>
        <v>0</v>
      </c>
      <c r="AM111" s="33">
        <f>ROUND(IFERROR(AL111/'FB Laser'!B112,0),2)</f>
        <v>0</v>
      </c>
      <c r="AO111">
        <f>IFERROR(VLOOKUP('Tube Laser'!P111,'TL Data'!A104:E1329,3,FALSE)*'Tube Laser'!O111,0)</f>
        <v>0</v>
      </c>
      <c r="AP111" t="str">
        <f t="shared" si="3"/>
        <v/>
      </c>
      <c r="AQ111" s="33">
        <f>IF(AP111="partial",'Tube Laser'!D111/60/60*35*'Tube Laser'!B111*0.5,IF(AP111="full-time",'Tube Laser'!D111/60/60*35*'Tube Laser'!B111,0))</f>
        <v>0</v>
      </c>
      <c r="AR111" s="33">
        <f>ROUND(IFERROR(AQ111/'Tube Laser'!B111,0),2)</f>
        <v>0</v>
      </c>
      <c r="AT111" s="33">
        <f>IFERROR('FB Laser'!J112*'FB Laser'!B112,"")</f>
        <v>0</v>
      </c>
      <c r="AU111" s="33">
        <f>IFERROR('Tube Laser'!L111*'Tube Laser'!B111,"")</f>
        <v>0</v>
      </c>
    </row>
    <row r="112" spans="1:47">
      <c r="A112" s="10" t="s">
        <v>196</v>
      </c>
      <c r="B112" s="10" t="s">
        <v>197</v>
      </c>
      <c r="C112" s="11">
        <v>7.66</v>
      </c>
      <c r="D112" s="10" t="s">
        <v>22</v>
      </c>
      <c r="E112" s="9">
        <v>1.5</v>
      </c>
      <c r="O112" t="str">
        <f t="array" aca="1" ref="O112" ca="1">INDIRECT(TEXT(MIN(IF(($P$9:$Q$100&lt;&gt;"")*(COUNTIF($O$8:O111,$P$9:$Q$100)=0),ROW($9:$100)*100+COLUMN($P:$Q),7^8)),"R0C00"),)&amp;""</f>
        <v/>
      </c>
      <c r="P112" t="str">
        <f>IF('FB Laser'!F113="Yes",'FB Laser'!A113,"")</f>
        <v/>
      </c>
      <c r="Q112" t="str">
        <f>IF('Tube Laser'!I112="Yes",'Tube Laser'!A112,"")</f>
        <v/>
      </c>
      <c r="R112" s="37">
        <f>IFERROR(('FB Laser'!G113*'FB Laser'!B113),"")</f>
        <v>0</v>
      </c>
      <c r="S112" s="37">
        <f>IFERROR('FB Laser'!H113*'FB Laser'!B113,"")</f>
        <v>0</v>
      </c>
      <c r="U112" s="37">
        <f>IFERROR(((((('Tube Laser'!D112)*'Tube Laser'!B112)/60)/60)*188.17)+(AE112*'Tube Laser'!B112),"")</f>
        <v>0</v>
      </c>
      <c r="V112" s="37">
        <f>IFERROR(('Tube Laser'!N112*'Tube Laser'!B112)+(AE112*'Tube Laser'!B112)+(AF112*'Tube Laser'!B112)+(AG112*'Tube Laser'!B112)+('FB Data'!AH112*'Tube Laser'!B112),"")</f>
        <v>0</v>
      </c>
      <c r="X112" s="41">
        <f>IFERROR(('Tube Laser'!D112*'Tube Laser'!B112)/60/60,"")</f>
        <v>0</v>
      </c>
      <c r="AE112" t="str">
        <f>IF('Tube Laser'!E112="One Side",'Tube Laser'!J112*0.2,IF('Tube Laser'!E112="Both Sides",'Tube Laser'!J112*0.4,"0"))</f>
        <v>0</v>
      </c>
      <c r="AF112">
        <f>IF('Tube Laser'!F112="Yes",'Tube Laser'!J112*0.1,0)</f>
        <v>0</v>
      </c>
      <c r="AG112">
        <f>IF('Tube Laser'!G112&gt;0,'Tube Laser'!J112*0.2,0)</f>
        <v>0</v>
      </c>
      <c r="AH112">
        <f>IF('Tube Laser'!H112="Yes",'Tube Laser'!J112*0.1,0)</f>
        <v>0</v>
      </c>
      <c r="AJ112">
        <f>IFERROR(VLOOKUP('FB Laser'!N113,'FB Data'!A105:E253,3,FALSE)*'FB Laser'!M113,0)</f>
        <v>0</v>
      </c>
      <c r="AK112" t="str">
        <f t="shared" si="2"/>
        <v/>
      </c>
      <c r="AL112" s="33">
        <f>IF(AK112="partial",'FB Laser'!E113/60*35*0.5,IF(AK112="full-time",'FB Laser'!E113/60*35,0))</f>
        <v>0</v>
      </c>
      <c r="AM112" s="33">
        <f>ROUND(IFERROR(AL112/'FB Laser'!B113,0),2)</f>
        <v>0</v>
      </c>
      <c r="AO112">
        <f>IFERROR(VLOOKUP('Tube Laser'!P112,'TL Data'!A105:E1330,3,FALSE)*'Tube Laser'!O112,0)</f>
        <v>0</v>
      </c>
      <c r="AP112" t="str">
        <f t="shared" si="3"/>
        <v/>
      </c>
      <c r="AQ112" s="33">
        <f>IF(AP112="partial",'Tube Laser'!D112/60/60*35*'Tube Laser'!B112*0.5,IF(AP112="full-time",'Tube Laser'!D112/60/60*35*'Tube Laser'!B112,0))</f>
        <v>0</v>
      </c>
      <c r="AR112" s="33">
        <f>ROUND(IFERROR(AQ112/'Tube Laser'!B112,0),2)</f>
        <v>0</v>
      </c>
      <c r="AT112" s="33">
        <f>IFERROR('FB Laser'!J113*'FB Laser'!B113,"")</f>
        <v>0</v>
      </c>
      <c r="AU112" s="33">
        <f>IFERROR('Tube Laser'!L112*'Tube Laser'!B112,"")</f>
        <v>0</v>
      </c>
    </row>
    <row r="113" spans="1:47">
      <c r="A113" s="10" t="s">
        <v>198</v>
      </c>
      <c r="B113" s="10" t="s">
        <v>199</v>
      </c>
      <c r="C113" s="11">
        <v>15.32</v>
      </c>
      <c r="D113" s="10" t="s">
        <v>22</v>
      </c>
      <c r="E113" s="9">
        <v>1.5</v>
      </c>
      <c r="O113" t="str">
        <f t="array" aca="1" ref="O113" ca="1">INDIRECT(TEXT(MIN(IF(($P$9:$Q$100&lt;&gt;"")*(COUNTIF($O$8:O112,$P$9:$Q$100)=0),ROW($9:$100)*100+COLUMN($P:$Q),7^8)),"R0C00"),)&amp;""</f>
        <v/>
      </c>
      <c r="P113" t="str">
        <f>IF('FB Laser'!F114="Yes",'FB Laser'!A114,"")</f>
        <v/>
      </c>
      <c r="Q113" t="str">
        <f>IF('Tube Laser'!I113="Yes",'Tube Laser'!A113,"")</f>
        <v/>
      </c>
      <c r="R113" s="37">
        <f>IFERROR(('FB Laser'!G114*'FB Laser'!B114),"")</f>
        <v>0</v>
      </c>
      <c r="S113" s="37">
        <f>IFERROR('FB Laser'!H114*'FB Laser'!B114,"")</f>
        <v>0</v>
      </c>
      <c r="U113" s="37">
        <f>IFERROR(((((('Tube Laser'!D113)*'Tube Laser'!B113)/60)/60)*188.17)+(AE113*'Tube Laser'!B113),"")</f>
        <v>0</v>
      </c>
      <c r="V113" s="37">
        <f>IFERROR(('Tube Laser'!N113*'Tube Laser'!B113)+(AE113*'Tube Laser'!B113)+(AF113*'Tube Laser'!B113)+(AG113*'Tube Laser'!B113)+('FB Data'!AH113*'Tube Laser'!B113),"")</f>
        <v>0</v>
      </c>
      <c r="X113" s="41">
        <f>IFERROR(('Tube Laser'!D113*'Tube Laser'!B113)/60/60,"")</f>
        <v>0</v>
      </c>
      <c r="AE113" t="str">
        <f>IF('Tube Laser'!E113="One Side",'Tube Laser'!J113*0.2,IF('Tube Laser'!E113="Both Sides",'Tube Laser'!J113*0.4,"0"))</f>
        <v>0</v>
      </c>
      <c r="AF113">
        <f>IF('Tube Laser'!F113="Yes",'Tube Laser'!J113*0.1,0)</f>
        <v>0</v>
      </c>
      <c r="AG113">
        <f>IF('Tube Laser'!G113&gt;0,'Tube Laser'!J113*0.2,0)</f>
        <v>0</v>
      </c>
      <c r="AH113">
        <f>IF('Tube Laser'!H113="Yes",'Tube Laser'!J113*0.1,0)</f>
        <v>0</v>
      </c>
      <c r="AJ113">
        <f>IFERROR(VLOOKUP('FB Laser'!N114,'FB Data'!A106:E254,3,FALSE)*'FB Laser'!M114,0)</f>
        <v>0</v>
      </c>
      <c r="AK113" t="str">
        <f t="shared" si="2"/>
        <v/>
      </c>
      <c r="AL113" s="33">
        <f>IF(AK113="partial",'FB Laser'!E114/60*35*0.5,IF(AK113="full-time",'FB Laser'!E114/60*35,0))</f>
        <v>0</v>
      </c>
      <c r="AM113" s="33">
        <f>ROUND(IFERROR(AL113/'FB Laser'!B114,0),2)</f>
        <v>0</v>
      </c>
      <c r="AO113">
        <f>IFERROR(VLOOKUP('Tube Laser'!P113,'TL Data'!A106:E1331,3,FALSE)*'Tube Laser'!O113,0)</f>
        <v>0</v>
      </c>
      <c r="AP113" t="str">
        <f t="shared" si="3"/>
        <v/>
      </c>
      <c r="AQ113" s="33">
        <f>IF(AP113="partial",'Tube Laser'!D113/60/60*35*'Tube Laser'!B113*0.5,IF(AP113="full-time",'Tube Laser'!D113/60/60*35*'Tube Laser'!B113,0))</f>
        <v>0</v>
      </c>
      <c r="AR113" s="33">
        <f>ROUND(IFERROR(AQ113/'Tube Laser'!B113,0),2)</f>
        <v>0</v>
      </c>
      <c r="AT113" s="33">
        <f>IFERROR('FB Laser'!J114*'FB Laser'!B114,"")</f>
        <v>0</v>
      </c>
      <c r="AU113" s="33">
        <f>IFERROR('Tube Laser'!L113*'Tube Laser'!B113,"")</f>
        <v>0</v>
      </c>
    </row>
    <row r="114" spans="1:47">
      <c r="A114" s="10" t="s">
        <v>200</v>
      </c>
      <c r="B114" s="10" t="s">
        <v>201</v>
      </c>
      <c r="C114" s="11">
        <v>12.76</v>
      </c>
      <c r="D114" s="10" t="s">
        <v>22</v>
      </c>
      <c r="E114" s="9">
        <v>1.5</v>
      </c>
      <c r="O114" t="str">
        <f t="array" aca="1" ref="O114" ca="1">INDIRECT(TEXT(MIN(IF(($P$9:$Q$100&lt;&gt;"")*(COUNTIF($O$8:O113,$P$9:$Q$100)=0),ROW($9:$100)*100+COLUMN($P:$Q),7^8)),"R0C00"),)&amp;""</f>
        <v/>
      </c>
      <c r="P114" t="str">
        <f>IF('FB Laser'!F115="Yes",'FB Laser'!A115,"")</f>
        <v/>
      </c>
      <c r="Q114" t="str">
        <f>IF('Tube Laser'!I114="Yes",'Tube Laser'!A114,"")</f>
        <v/>
      </c>
      <c r="R114" s="37">
        <f>IFERROR(('FB Laser'!G115*'FB Laser'!B115),"")</f>
        <v>0</v>
      </c>
      <c r="S114" s="37">
        <f>IFERROR('FB Laser'!H115*'FB Laser'!B115,"")</f>
        <v>0</v>
      </c>
      <c r="U114" s="37">
        <f>IFERROR(((((('Tube Laser'!D114)*'Tube Laser'!B114)/60)/60)*188.17)+(AE114*'Tube Laser'!B114),"")</f>
        <v>0</v>
      </c>
      <c r="V114" s="37">
        <f>IFERROR(('Tube Laser'!N114*'Tube Laser'!B114)+(AE114*'Tube Laser'!B114)+(AF114*'Tube Laser'!B114)+(AG114*'Tube Laser'!B114)+('FB Data'!AH114*'Tube Laser'!B114),"")</f>
        <v>0</v>
      </c>
      <c r="X114" s="41">
        <f>IFERROR(('Tube Laser'!D114*'Tube Laser'!B114)/60/60,"")</f>
        <v>0</v>
      </c>
      <c r="AE114" t="str">
        <f>IF('Tube Laser'!E114="One Side",'Tube Laser'!J114*0.2,IF('Tube Laser'!E114="Both Sides",'Tube Laser'!J114*0.4,"0"))</f>
        <v>0</v>
      </c>
      <c r="AF114">
        <f>IF('Tube Laser'!F114="Yes",'Tube Laser'!J114*0.1,0)</f>
        <v>0</v>
      </c>
      <c r="AG114">
        <f>IF('Tube Laser'!G114&gt;0,'Tube Laser'!J114*0.2,0)</f>
        <v>0</v>
      </c>
      <c r="AH114">
        <f>IF('Tube Laser'!H114="Yes",'Tube Laser'!J114*0.1,0)</f>
        <v>0</v>
      </c>
      <c r="AJ114">
        <f>IFERROR(VLOOKUP('FB Laser'!N115,'FB Data'!A107:E255,3,FALSE)*'FB Laser'!M115,0)</f>
        <v>0</v>
      </c>
      <c r="AK114" t="str">
        <f t="shared" si="2"/>
        <v/>
      </c>
      <c r="AL114" s="33">
        <f>IF(AK114="partial",'FB Laser'!E115/60*35*0.5,IF(AK114="full-time",'FB Laser'!E115/60*35,0))</f>
        <v>0</v>
      </c>
      <c r="AM114" s="33">
        <f>ROUND(IFERROR(AL114/'FB Laser'!B115,0),2)</f>
        <v>0</v>
      </c>
      <c r="AO114">
        <f>IFERROR(VLOOKUP('Tube Laser'!P114,'TL Data'!A107:E1332,3,FALSE)*'Tube Laser'!O114,0)</f>
        <v>0</v>
      </c>
      <c r="AP114" t="str">
        <f t="shared" si="3"/>
        <v/>
      </c>
      <c r="AQ114" s="33">
        <f>IF(AP114="partial",'Tube Laser'!D114/60/60*35*'Tube Laser'!B114*0.5,IF(AP114="full-time",'Tube Laser'!D114/60/60*35*'Tube Laser'!B114,0))</f>
        <v>0</v>
      </c>
      <c r="AR114" s="33">
        <f>ROUND(IFERROR(AQ114/'Tube Laser'!B114,0),2)</f>
        <v>0</v>
      </c>
      <c r="AT114" s="33">
        <f>IFERROR('FB Laser'!J115*'FB Laser'!B115,"")</f>
        <v>0</v>
      </c>
      <c r="AU114" s="33">
        <f>IFERROR('Tube Laser'!L114*'Tube Laser'!B114,"")</f>
        <v>0</v>
      </c>
    </row>
    <row r="115" spans="1:47">
      <c r="A115" s="10" t="s">
        <v>202</v>
      </c>
      <c r="B115" s="10" t="s">
        <v>2830</v>
      </c>
      <c r="C115" s="11">
        <v>25.52</v>
      </c>
      <c r="D115" s="10" t="s">
        <v>22</v>
      </c>
      <c r="E115" s="9">
        <v>1.5</v>
      </c>
      <c r="O115" t="str">
        <f t="array" aca="1" ref="O115" ca="1">INDIRECT(TEXT(MIN(IF(($P$9:$Q$100&lt;&gt;"")*(COUNTIF($O$8:O114,$P$9:$Q$100)=0),ROW($9:$100)*100+COLUMN($P:$Q),7^8)),"R0C00"),)&amp;""</f>
        <v/>
      </c>
      <c r="P115" t="str">
        <f>IF('FB Laser'!F116="Yes",'FB Laser'!A116,"")</f>
        <v/>
      </c>
      <c r="Q115" t="str">
        <f>IF('Tube Laser'!I115="Yes",'Tube Laser'!A115,"")</f>
        <v/>
      </c>
      <c r="R115" s="37">
        <f>IFERROR(('FB Laser'!G116*'FB Laser'!B116),"")</f>
        <v>0</v>
      </c>
      <c r="S115" s="37">
        <f>IFERROR('FB Laser'!H116*'FB Laser'!B116,"")</f>
        <v>0</v>
      </c>
      <c r="U115" s="37">
        <f>IFERROR(((((('Tube Laser'!D115)*'Tube Laser'!B115)/60)/60)*188.17)+(AE115*'Tube Laser'!B115),"")</f>
        <v>0</v>
      </c>
      <c r="V115" s="37">
        <f>IFERROR(('Tube Laser'!N115*'Tube Laser'!B115)+(AE115*'Tube Laser'!B115)+(AF115*'Tube Laser'!B115)+(AG115*'Tube Laser'!B115)+('FB Data'!AH115*'Tube Laser'!B115),"")</f>
        <v>0</v>
      </c>
      <c r="X115" s="41">
        <f>IFERROR(('Tube Laser'!D115*'Tube Laser'!B115)/60/60,"")</f>
        <v>0</v>
      </c>
      <c r="AE115" t="str">
        <f>IF('Tube Laser'!E115="One Side",'Tube Laser'!J115*0.2,IF('Tube Laser'!E115="Both Sides",'Tube Laser'!J115*0.4,"0"))</f>
        <v>0</v>
      </c>
      <c r="AF115">
        <f>IF('Tube Laser'!F115="Yes",'Tube Laser'!J115*0.1,0)</f>
        <v>0</v>
      </c>
      <c r="AG115">
        <f>IF('Tube Laser'!G115&gt;0,'Tube Laser'!J115*0.2,0)</f>
        <v>0</v>
      </c>
      <c r="AH115">
        <f>IF('Tube Laser'!H115="Yes",'Tube Laser'!J115*0.1,0)</f>
        <v>0</v>
      </c>
      <c r="AJ115">
        <f>IFERROR(VLOOKUP('FB Laser'!N116,'FB Data'!A108:E256,3,FALSE)*'FB Laser'!M116,0)</f>
        <v>0</v>
      </c>
      <c r="AK115" t="str">
        <f t="shared" si="2"/>
        <v/>
      </c>
      <c r="AL115" s="33">
        <f>IF(AK115="partial",'FB Laser'!E116/60*35*0.5,IF(AK115="full-time",'FB Laser'!E116/60*35,0))</f>
        <v>0</v>
      </c>
      <c r="AM115" s="33">
        <f>ROUND(IFERROR(AL115/'FB Laser'!B116,0),2)</f>
        <v>0</v>
      </c>
      <c r="AO115">
        <f>IFERROR(VLOOKUP('Tube Laser'!P115,'TL Data'!A108:E1333,3,FALSE)*'Tube Laser'!O115,0)</f>
        <v>0</v>
      </c>
      <c r="AP115" t="str">
        <f t="shared" si="3"/>
        <v/>
      </c>
      <c r="AQ115" s="33">
        <f>IF(AP115="partial",'Tube Laser'!D115/60/60*35*'Tube Laser'!B115*0.5,IF(AP115="full-time",'Tube Laser'!D115/60/60*35*'Tube Laser'!B115,0))</f>
        <v>0</v>
      </c>
      <c r="AR115" s="33">
        <f>ROUND(IFERROR(AQ115/'Tube Laser'!B115,0),2)</f>
        <v>0</v>
      </c>
      <c r="AT115" s="33">
        <f>IFERROR('FB Laser'!J116*'FB Laser'!B116,"")</f>
        <v>0</v>
      </c>
      <c r="AU115" s="33">
        <f>IFERROR('Tube Laser'!L115*'Tube Laser'!B115,"")</f>
        <v>0</v>
      </c>
    </row>
    <row r="116" spans="1:47">
      <c r="A116" s="10" t="s">
        <v>203</v>
      </c>
      <c r="B116" s="10" t="s">
        <v>204</v>
      </c>
      <c r="C116" s="11">
        <v>21.66</v>
      </c>
      <c r="D116" s="10" t="s">
        <v>22</v>
      </c>
      <c r="E116" s="9">
        <v>4</v>
      </c>
      <c r="O116" t="str">
        <f t="array" aca="1" ref="O116" ca="1">INDIRECT(TEXT(MIN(IF(($P$9:$Q$100&lt;&gt;"")*(COUNTIF($O$8:O115,$P$9:$Q$100)=0),ROW($9:$100)*100+COLUMN($P:$Q),7^8)),"R0C00"),)&amp;""</f>
        <v/>
      </c>
      <c r="P116" t="str">
        <f>IF('FB Laser'!F117="Yes",'FB Laser'!A117,"")</f>
        <v/>
      </c>
      <c r="Q116" t="str">
        <f>IF('Tube Laser'!I116="Yes",'Tube Laser'!A116,"")</f>
        <v/>
      </c>
      <c r="R116" s="37">
        <f>IFERROR(('FB Laser'!G117*'FB Laser'!B117),"")</f>
        <v>0</v>
      </c>
      <c r="S116" s="37">
        <f>IFERROR('FB Laser'!H117*'FB Laser'!B117,"")</f>
        <v>0</v>
      </c>
      <c r="U116" s="37">
        <f>IFERROR(((((('Tube Laser'!D116)*'Tube Laser'!B116)/60)/60)*188.17)+(AE116*'Tube Laser'!B116),"")</f>
        <v>0</v>
      </c>
      <c r="V116" s="37">
        <f>IFERROR(('Tube Laser'!N116*'Tube Laser'!B116)+(AE116*'Tube Laser'!B116)+(AF116*'Tube Laser'!B116)+(AG116*'Tube Laser'!B116)+('FB Data'!AH116*'Tube Laser'!B116),"")</f>
        <v>0</v>
      </c>
      <c r="X116" s="41">
        <f>IFERROR(('Tube Laser'!D116*'Tube Laser'!B116)/60/60,"")</f>
        <v>0</v>
      </c>
      <c r="AE116" t="str">
        <f>IF('Tube Laser'!E116="One Side",'Tube Laser'!J116*0.2,IF('Tube Laser'!E116="Both Sides",'Tube Laser'!J116*0.4,"0"))</f>
        <v>0</v>
      </c>
      <c r="AF116">
        <f>IF('Tube Laser'!F116="Yes",'Tube Laser'!J116*0.1,0)</f>
        <v>0</v>
      </c>
      <c r="AG116">
        <f>IF('Tube Laser'!G116&gt;0,'Tube Laser'!J116*0.2,0)</f>
        <v>0</v>
      </c>
      <c r="AH116">
        <f>IF('Tube Laser'!H116="Yes",'Tube Laser'!J116*0.1,0)</f>
        <v>0</v>
      </c>
      <c r="AJ116">
        <f>IFERROR(VLOOKUP('FB Laser'!N117,'FB Data'!A109:E257,3,FALSE)*'FB Laser'!M117,0)</f>
        <v>0</v>
      </c>
      <c r="AK116" t="str">
        <f t="shared" si="2"/>
        <v/>
      </c>
      <c r="AL116" s="33">
        <f>IF(AK116="partial",'FB Laser'!E117/60*35*0.5,IF(AK116="full-time",'FB Laser'!E117/60*35,0))</f>
        <v>0</v>
      </c>
      <c r="AM116" s="33">
        <f>ROUND(IFERROR(AL116/'FB Laser'!B117,0),2)</f>
        <v>0</v>
      </c>
      <c r="AO116">
        <f>IFERROR(VLOOKUP('Tube Laser'!P116,'TL Data'!A109:E1334,3,FALSE)*'Tube Laser'!O116,0)</f>
        <v>0</v>
      </c>
      <c r="AP116" t="str">
        <f t="shared" si="3"/>
        <v/>
      </c>
      <c r="AQ116" s="33">
        <f>IF(AP116="partial",'Tube Laser'!D116/60/60*35*'Tube Laser'!B116*0.5,IF(AP116="full-time",'Tube Laser'!D116/60/60*35*'Tube Laser'!B116,0))</f>
        <v>0</v>
      </c>
      <c r="AR116" s="33">
        <f>ROUND(IFERROR(AQ116/'Tube Laser'!B116,0),2)</f>
        <v>0</v>
      </c>
      <c r="AT116" s="33">
        <f>IFERROR('FB Laser'!J117*'FB Laser'!B117,"")</f>
        <v>0</v>
      </c>
      <c r="AU116" s="33">
        <f>IFERROR('Tube Laser'!L116*'Tube Laser'!B116,"")</f>
        <v>0</v>
      </c>
    </row>
    <row r="117" spans="1:47">
      <c r="A117" s="10" t="s">
        <v>205</v>
      </c>
      <c r="B117" s="10" t="s">
        <v>206</v>
      </c>
      <c r="C117" s="11">
        <v>21.66</v>
      </c>
      <c r="D117" s="10" t="s">
        <v>22</v>
      </c>
      <c r="E117" s="9">
        <v>4</v>
      </c>
      <c r="O117" t="str">
        <f t="array" aca="1" ref="O117" ca="1">INDIRECT(TEXT(MIN(IF(($P$9:$Q$100&lt;&gt;"")*(COUNTIF($O$8:O116,$P$9:$Q$100)=0),ROW($9:$100)*100+COLUMN($P:$Q),7^8)),"R0C00"),)&amp;""</f>
        <v/>
      </c>
      <c r="P117" t="str">
        <f>IF('FB Laser'!F118="Yes",'FB Laser'!A118,"")</f>
        <v/>
      </c>
      <c r="Q117" t="str">
        <f>IF('Tube Laser'!I117="Yes",'Tube Laser'!A117,"")</f>
        <v/>
      </c>
      <c r="R117" s="37">
        <f>IFERROR(('FB Laser'!G118*'FB Laser'!B118),"")</f>
        <v>0</v>
      </c>
      <c r="S117" s="37">
        <f>IFERROR('FB Laser'!H118*'FB Laser'!B118,"")</f>
        <v>0</v>
      </c>
      <c r="U117" s="37">
        <f>IFERROR(((((('Tube Laser'!D117)*'Tube Laser'!B117)/60)/60)*188.17)+(AE117*'Tube Laser'!B117),"")</f>
        <v>0</v>
      </c>
      <c r="V117" s="37">
        <f>IFERROR(('Tube Laser'!N117*'Tube Laser'!B117)+(AE117*'Tube Laser'!B117)+(AF117*'Tube Laser'!B117)+(AG117*'Tube Laser'!B117)+('FB Data'!AH117*'Tube Laser'!B117),"")</f>
        <v>0</v>
      </c>
      <c r="X117" s="41">
        <f>IFERROR(('Tube Laser'!D117*'Tube Laser'!B117)/60/60,"")</f>
        <v>0</v>
      </c>
      <c r="AE117" t="str">
        <f>IF('Tube Laser'!E117="One Side",'Tube Laser'!J117*0.2,IF('Tube Laser'!E117="Both Sides",'Tube Laser'!J117*0.4,"0"))</f>
        <v>0</v>
      </c>
      <c r="AF117">
        <f>IF('Tube Laser'!F117="Yes",'Tube Laser'!J117*0.1,0)</f>
        <v>0</v>
      </c>
      <c r="AG117">
        <f>IF('Tube Laser'!G117&gt;0,'Tube Laser'!J117*0.2,0)</f>
        <v>0</v>
      </c>
      <c r="AH117">
        <f>IF('Tube Laser'!H117="Yes",'Tube Laser'!J117*0.1,0)</f>
        <v>0</v>
      </c>
      <c r="AJ117">
        <f>IFERROR(VLOOKUP('FB Laser'!N118,'FB Data'!A110:E258,3,FALSE)*'FB Laser'!M118,0)</f>
        <v>0</v>
      </c>
      <c r="AK117" t="str">
        <f t="shared" si="2"/>
        <v/>
      </c>
      <c r="AL117" s="33">
        <f>IF(AK117="partial",'FB Laser'!E118/60*35*0.5,IF(AK117="full-time",'FB Laser'!E118/60*35,0))</f>
        <v>0</v>
      </c>
      <c r="AM117" s="33">
        <f>ROUND(IFERROR(AL117/'FB Laser'!B118,0),2)</f>
        <v>0</v>
      </c>
      <c r="AO117">
        <f>IFERROR(VLOOKUP('Tube Laser'!P117,'TL Data'!A110:E1335,3,FALSE)*'Tube Laser'!O117,0)</f>
        <v>0</v>
      </c>
      <c r="AP117" t="str">
        <f t="shared" si="3"/>
        <v/>
      </c>
      <c r="AQ117" s="33">
        <f>IF(AP117="partial",'Tube Laser'!D117/60/60*35*'Tube Laser'!B117*0.5,IF(AP117="full-time",'Tube Laser'!D117/60/60*35*'Tube Laser'!B117,0))</f>
        <v>0</v>
      </c>
      <c r="AR117" s="33">
        <f>ROUND(IFERROR(AQ117/'Tube Laser'!B117,0),2)</f>
        <v>0</v>
      </c>
      <c r="AT117" s="33">
        <f>IFERROR('FB Laser'!J118*'FB Laser'!B118,"")</f>
        <v>0</v>
      </c>
      <c r="AU117" s="33">
        <f>IFERROR('Tube Laser'!L117*'Tube Laser'!B117,"")</f>
        <v>0</v>
      </c>
    </row>
    <row r="118" spans="1:47">
      <c r="A118" s="10" t="s">
        <v>207</v>
      </c>
      <c r="B118" s="10" t="s">
        <v>208</v>
      </c>
      <c r="C118" s="11">
        <v>42.67</v>
      </c>
      <c r="D118" s="10" t="s">
        <v>22</v>
      </c>
      <c r="E118" s="9">
        <v>4</v>
      </c>
      <c r="R118" s="38">
        <f>IFERROR(SUMIF(R9:R117,"&lt;&gt;#DIV/0!"),"")</f>
        <v>0</v>
      </c>
      <c r="S118" s="38">
        <f>IFERROR(SUM(S9:S117),"")</f>
        <v>0</v>
      </c>
      <c r="U118" s="38">
        <f>SUM(U9:U117)</f>
        <v>0</v>
      </c>
      <c r="V118" s="38">
        <f ca="1">SUM(V9:V117)</f>
        <v>0</v>
      </c>
      <c r="X118" s="42">
        <f>SUM(X9:X117)</f>
        <v>0</v>
      </c>
      <c r="AL118" s="120">
        <f>SUM(AL9:AL117)</f>
        <v>0</v>
      </c>
      <c r="AQ118" s="120">
        <f>SUM(AQ9:AQ117)</f>
        <v>0</v>
      </c>
      <c r="AT118" s="120">
        <f ca="1">SUM(AT9:AT117)</f>
        <v>0</v>
      </c>
      <c r="AU118" s="120">
        <f ca="1">SUM(AU9:AU117)</f>
        <v>0</v>
      </c>
    </row>
    <row r="119" spans="1:47">
      <c r="A119" s="10" t="s">
        <v>209</v>
      </c>
      <c r="B119" s="10" t="s">
        <v>210</v>
      </c>
      <c r="C119" s="11">
        <v>42.67</v>
      </c>
      <c r="D119" s="10" t="s">
        <v>22</v>
      </c>
      <c r="E119" s="9">
        <v>4</v>
      </c>
    </row>
    <row r="120" spans="1:47">
      <c r="A120" s="10" t="s">
        <v>211</v>
      </c>
      <c r="B120" s="10" t="s">
        <v>212</v>
      </c>
      <c r="C120" s="11">
        <v>11.16</v>
      </c>
      <c r="D120" s="10" t="s">
        <v>22</v>
      </c>
      <c r="E120" s="9">
        <v>4</v>
      </c>
    </row>
    <row r="121" spans="1:47">
      <c r="A121" s="10" t="s">
        <v>213</v>
      </c>
      <c r="B121" s="10" t="s">
        <v>214</v>
      </c>
      <c r="C121" s="11">
        <v>11.16</v>
      </c>
      <c r="D121" s="10" t="s">
        <v>22</v>
      </c>
      <c r="E121" s="9">
        <v>4</v>
      </c>
    </row>
    <row r="122" spans="1:47">
      <c r="A122" s="10" t="s">
        <v>215</v>
      </c>
      <c r="B122" s="10" t="s">
        <v>216</v>
      </c>
      <c r="C122" s="11">
        <v>11.16</v>
      </c>
      <c r="D122" s="10" t="s">
        <v>22</v>
      </c>
      <c r="E122" s="9">
        <v>4</v>
      </c>
    </row>
    <row r="123" spans="1:47">
      <c r="A123" s="10" t="s">
        <v>217</v>
      </c>
      <c r="B123" s="10" t="s">
        <v>218</v>
      </c>
      <c r="C123" s="11">
        <v>8.5790000000000006</v>
      </c>
      <c r="D123" s="10" t="s">
        <v>22</v>
      </c>
      <c r="E123" s="9">
        <v>4</v>
      </c>
    </row>
    <row r="124" spans="1:47">
      <c r="A124" s="10" t="s">
        <v>219</v>
      </c>
      <c r="B124" s="10" t="s">
        <v>220</v>
      </c>
      <c r="C124" s="11">
        <v>8.5790000000000006</v>
      </c>
      <c r="D124" s="10" t="s">
        <v>22</v>
      </c>
      <c r="E124" s="9">
        <v>4</v>
      </c>
    </row>
    <row r="125" spans="1:47">
      <c r="A125" s="10" t="s">
        <v>221</v>
      </c>
      <c r="B125" s="10" t="s">
        <v>222</v>
      </c>
      <c r="C125" s="11">
        <v>32.119999999999997</v>
      </c>
      <c r="D125" s="10" t="s">
        <v>22</v>
      </c>
      <c r="E125" s="9">
        <v>4</v>
      </c>
    </row>
    <row r="126" spans="1:47">
      <c r="A126" s="10" t="s">
        <v>223</v>
      </c>
      <c r="B126" s="10" t="s">
        <v>224</v>
      </c>
      <c r="C126" s="11">
        <v>32.119999999999997</v>
      </c>
      <c r="D126" s="10" t="s">
        <v>22</v>
      </c>
      <c r="E126" s="9">
        <v>4</v>
      </c>
    </row>
    <row r="127" spans="1:47">
      <c r="A127" s="10" t="s">
        <v>225</v>
      </c>
      <c r="B127" s="10" t="s">
        <v>226</v>
      </c>
      <c r="C127" s="11">
        <v>16.5</v>
      </c>
      <c r="D127" s="10" t="s">
        <v>22</v>
      </c>
      <c r="E127" s="9">
        <v>4</v>
      </c>
    </row>
    <row r="128" spans="1:47">
      <c r="A128" s="10" t="s">
        <v>227</v>
      </c>
      <c r="B128" s="10" t="s">
        <v>228</v>
      </c>
      <c r="C128" s="11">
        <v>16.5</v>
      </c>
      <c r="D128" s="10" t="s">
        <v>22</v>
      </c>
      <c r="E128" s="9">
        <v>4</v>
      </c>
    </row>
    <row r="129" spans="1:5">
      <c r="A129" s="10" t="s">
        <v>229</v>
      </c>
      <c r="B129" s="10" t="s">
        <v>230</v>
      </c>
      <c r="C129" s="11">
        <v>13.75</v>
      </c>
      <c r="D129" s="10" t="s">
        <v>22</v>
      </c>
      <c r="E129" s="9">
        <v>4</v>
      </c>
    </row>
    <row r="130" spans="1:5">
      <c r="A130" s="10" t="s">
        <v>231</v>
      </c>
      <c r="B130" s="10" t="s">
        <v>232</v>
      </c>
      <c r="C130" s="11">
        <v>13.75</v>
      </c>
      <c r="D130" s="10" t="s">
        <v>22</v>
      </c>
      <c r="E130" s="9">
        <v>4</v>
      </c>
    </row>
    <row r="131" spans="1:5">
      <c r="A131" s="10" t="s">
        <v>233</v>
      </c>
      <c r="B131" s="10" t="s">
        <v>234</v>
      </c>
      <c r="C131" s="11">
        <v>26.83</v>
      </c>
      <c r="D131" s="10" t="s">
        <v>22</v>
      </c>
      <c r="E131" s="9">
        <v>4</v>
      </c>
    </row>
    <row r="132" spans="1:5">
      <c r="A132" s="10" t="s">
        <v>235</v>
      </c>
      <c r="B132" s="10" t="s">
        <v>236</v>
      </c>
      <c r="C132" s="11">
        <v>26.83</v>
      </c>
      <c r="D132" s="10" t="s">
        <v>22</v>
      </c>
      <c r="E132" s="9">
        <v>4</v>
      </c>
    </row>
    <row r="133" spans="1:5">
      <c r="A133" s="10" t="s">
        <v>237</v>
      </c>
      <c r="B133" s="10" t="s">
        <v>238</v>
      </c>
      <c r="C133" s="11">
        <v>37.29</v>
      </c>
      <c r="D133" s="10" t="s">
        <v>22</v>
      </c>
      <c r="E133" s="9">
        <v>4</v>
      </c>
    </row>
    <row r="134" spans="1:5">
      <c r="A134" s="10" t="s">
        <v>239</v>
      </c>
      <c r="B134" s="10" t="s">
        <v>240</v>
      </c>
      <c r="C134" s="11">
        <v>37.29</v>
      </c>
      <c r="D134" s="10" t="s">
        <v>22</v>
      </c>
      <c r="E134" s="9">
        <v>4</v>
      </c>
    </row>
    <row r="135" spans="1:5">
      <c r="A135" s="10" t="s">
        <v>241</v>
      </c>
      <c r="B135" s="10" t="s">
        <v>242</v>
      </c>
      <c r="C135" s="11">
        <v>5.67</v>
      </c>
      <c r="D135" s="10" t="s">
        <v>22</v>
      </c>
      <c r="E135" s="9">
        <v>4</v>
      </c>
    </row>
    <row r="136" spans="1:5">
      <c r="A136" s="10" t="s">
        <v>243</v>
      </c>
      <c r="B136" s="10" t="s">
        <v>244</v>
      </c>
      <c r="C136" s="11">
        <v>5.67</v>
      </c>
      <c r="D136" s="10" t="s">
        <v>22</v>
      </c>
      <c r="E136" s="9">
        <v>4</v>
      </c>
    </row>
    <row r="137" spans="1:5">
      <c r="A137" s="10" t="s">
        <v>245</v>
      </c>
      <c r="B137" s="10" t="s">
        <v>246</v>
      </c>
      <c r="C137" s="11">
        <v>5.04</v>
      </c>
      <c r="D137" s="10" t="s">
        <v>22</v>
      </c>
      <c r="E137" s="9">
        <v>4</v>
      </c>
    </row>
    <row r="138" spans="1:5">
      <c r="A138" s="10" t="s">
        <v>247</v>
      </c>
      <c r="B138" s="10" t="s">
        <v>248</v>
      </c>
      <c r="C138" s="11">
        <v>5.04</v>
      </c>
      <c r="D138" s="10" t="s">
        <v>22</v>
      </c>
      <c r="E138" s="9">
        <v>4</v>
      </c>
    </row>
    <row r="139" spans="1:5">
      <c r="A139" s="10" t="s">
        <v>249</v>
      </c>
      <c r="B139" s="10" t="s">
        <v>250</v>
      </c>
      <c r="C139" s="11">
        <v>4.4269999999999996</v>
      </c>
      <c r="D139" s="10" t="s">
        <v>22</v>
      </c>
      <c r="E139" s="9">
        <v>4</v>
      </c>
    </row>
    <row r="140" spans="1:5">
      <c r="A140" s="10" t="s">
        <v>251</v>
      </c>
      <c r="B140" s="10" t="s">
        <v>252</v>
      </c>
      <c r="C140" s="11">
        <v>4.4269999999999996</v>
      </c>
      <c r="D140" s="10" t="s">
        <v>22</v>
      </c>
      <c r="E140" s="9">
        <v>4</v>
      </c>
    </row>
    <row r="141" spans="1:5">
      <c r="A141" s="10" t="s">
        <v>253</v>
      </c>
      <c r="B141" s="10" t="s">
        <v>254</v>
      </c>
      <c r="C141" s="11">
        <v>3.1539999999999999</v>
      </c>
      <c r="D141" s="10" t="s">
        <v>22</v>
      </c>
      <c r="E141" s="9">
        <v>4</v>
      </c>
    </row>
    <row r="142" spans="1:5">
      <c r="A142" s="10" t="s">
        <v>255</v>
      </c>
      <c r="B142" s="10" t="s">
        <v>256</v>
      </c>
      <c r="C142" s="11">
        <v>3.1539999999999999</v>
      </c>
      <c r="D142" s="10" t="s">
        <v>22</v>
      </c>
      <c r="E142" s="9">
        <v>4</v>
      </c>
    </row>
    <row r="143" spans="1:5">
      <c r="A143" s="10" t="s">
        <v>257</v>
      </c>
      <c r="B143" s="10" t="s">
        <v>258</v>
      </c>
      <c r="C143" s="11">
        <v>2.5</v>
      </c>
      <c r="D143" s="10" t="s">
        <v>22</v>
      </c>
      <c r="E143" s="9">
        <v>4</v>
      </c>
    </row>
    <row r="144" spans="1:5">
      <c r="A144" s="10" t="s">
        <v>259</v>
      </c>
      <c r="B144" s="10" t="s">
        <v>260</v>
      </c>
      <c r="C144" s="11">
        <v>2.5249999999999999</v>
      </c>
      <c r="D144" s="10" t="s">
        <v>22</v>
      </c>
      <c r="E144" s="9">
        <v>4</v>
      </c>
    </row>
    <row r="145" spans="1:5">
      <c r="A145" s="10" t="s">
        <v>261</v>
      </c>
      <c r="B145" s="10" t="s">
        <v>262</v>
      </c>
      <c r="C145" s="11">
        <v>2.5</v>
      </c>
      <c r="D145" s="10" t="s">
        <v>22</v>
      </c>
      <c r="E145" s="9">
        <v>4</v>
      </c>
    </row>
    <row r="146" spans="1:5">
      <c r="A146" s="10" t="s">
        <v>263</v>
      </c>
      <c r="B146" s="10" t="s">
        <v>264</v>
      </c>
      <c r="C146" s="11">
        <v>2.016</v>
      </c>
      <c r="D146" s="10" t="s">
        <v>22</v>
      </c>
      <c r="E146" s="9">
        <v>4</v>
      </c>
    </row>
    <row r="147" spans="1:5">
      <c r="A147" s="10" t="s">
        <v>265</v>
      </c>
      <c r="B147" s="10" t="s">
        <v>266</v>
      </c>
      <c r="C147" s="11">
        <v>2.016</v>
      </c>
      <c r="D147" s="10" t="s">
        <v>22</v>
      </c>
      <c r="E147" s="9">
        <v>4</v>
      </c>
    </row>
    <row r="148" spans="1:5">
      <c r="A148" s="10" t="s">
        <v>267</v>
      </c>
      <c r="B148" s="10" t="s">
        <v>268</v>
      </c>
      <c r="C148" s="11">
        <v>1.4</v>
      </c>
      <c r="D148" s="10" t="s">
        <v>22</v>
      </c>
      <c r="E148" s="9">
        <v>4</v>
      </c>
    </row>
    <row r="149" spans="1:5">
      <c r="A149" s="10" t="s">
        <v>269</v>
      </c>
      <c r="B149" s="10" t="s">
        <v>270</v>
      </c>
      <c r="C149" s="11">
        <v>7.8710000000000004</v>
      </c>
      <c r="D149" s="10" t="s">
        <v>22</v>
      </c>
      <c r="E149" s="9">
        <v>4</v>
      </c>
    </row>
    <row r="150" spans="1:5">
      <c r="A150" s="10" t="s">
        <v>271</v>
      </c>
      <c r="B150" s="10" t="s">
        <v>272</v>
      </c>
      <c r="C150" s="11">
        <v>7.8710000000000004</v>
      </c>
      <c r="D150" s="10" t="s">
        <v>22</v>
      </c>
      <c r="E150" s="9">
        <v>4</v>
      </c>
    </row>
    <row r="151" spans="1:5">
      <c r="A151" s="10"/>
      <c r="C151" s="11"/>
      <c r="D151" s="10"/>
    </row>
  </sheetData>
  <mergeCells count="6">
    <mergeCell ref="K7:M7"/>
    <mergeCell ref="AJ7:AM7"/>
    <mergeCell ref="AO7:AR7"/>
    <mergeCell ref="AI2:AI4"/>
    <mergeCell ref="AT7:AU7"/>
    <mergeCell ref="O7:Q7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E1227"/>
  <sheetViews>
    <sheetView topLeftCell="A854" workbookViewId="0">
      <selection activeCell="G868" sqref="G868"/>
    </sheetView>
  </sheetViews>
  <sheetFormatPr defaultRowHeight="15"/>
  <cols>
    <col min="1" max="1" width="22.28515625" customWidth="1"/>
    <col min="2" max="2" width="39.28515625" customWidth="1"/>
    <col min="3" max="3" width="13.85546875" customWidth="1"/>
    <col min="5" max="5" width="11.140625" customWidth="1"/>
  </cols>
  <sheetData>
    <row r="1" spans="1:5">
      <c r="A1" s="7" t="s">
        <v>17</v>
      </c>
      <c r="B1" s="7" t="s">
        <v>18</v>
      </c>
      <c r="C1" s="8" t="s">
        <v>19</v>
      </c>
    </row>
    <row r="2" spans="1:5">
      <c r="A2" s="10" t="s">
        <v>308</v>
      </c>
      <c r="B2" s="10" t="s">
        <v>309</v>
      </c>
      <c r="C2" s="11">
        <v>0.51400000000000001</v>
      </c>
      <c r="D2" s="10" t="s">
        <v>310</v>
      </c>
      <c r="E2" t="e">
        <v>#N/A</v>
      </c>
    </row>
    <row r="3" spans="1:5">
      <c r="A3" s="10" t="s">
        <v>311</v>
      </c>
      <c r="B3" s="10" t="s">
        <v>312</v>
      </c>
      <c r="C3" s="11">
        <v>0.27500000000000002</v>
      </c>
      <c r="D3" s="10" t="s">
        <v>310</v>
      </c>
      <c r="E3" t="e">
        <v>#N/A</v>
      </c>
    </row>
    <row r="4" spans="1:5">
      <c r="A4" s="10" t="s">
        <v>313</v>
      </c>
      <c r="B4" s="10" t="s">
        <v>314</v>
      </c>
      <c r="C4" s="11">
        <v>0.28100000000000003</v>
      </c>
      <c r="D4" s="10" t="s">
        <v>310</v>
      </c>
      <c r="E4" t="e">
        <v>#N/A</v>
      </c>
    </row>
    <row r="5" spans="1:5">
      <c r="A5" s="10" t="s">
        <v>315</v>
      </c>
      <c r="B5" s="10" t="s">
        <v>316</v>
      </c>
      <c r="C5" s="11">
        <v>0.80900000000000005</v>
      </c>
      <c r="D5" s="10" t="s">
        <v>310</v>
      </c>
      <c r="E5" t="e">
        <v>#N/A</v>
      </c>
    </row>
    <row r="6" spans="1:5">
      <c r="A6" s="10" t="s">
        <v>317</v>
      </c>
      <c r="B6" s="10" t="s">
        <v>318</v>
      </c>
      <c r="C6" s="11">
        <v>0.80800000000000005</v>
      </c>
      <c r="D6" s="10" t="s">
        <v>310</v>
      </c>
      <c r="E6" t="e">
        <v>#N/A</v>
      </c>
    </row>
    <row r="7" spans="1:5">
      <c r="A7" s="10" t="s">
        <v>319</v>
      </c>
      <c r="B7" s="10" t="s">
        <v>320</v>
      </c>
      <c r="C7" s="11">
        <v>0.42299999999999999</v>
      </c>
      <c r="D7" s="10" t="s">
        <v>310</v>
      </c>
      <c r="E7" t="e">
        <v>#N/A</v>
      </c>
    </row>
    <row r="8" spans="1:5">
      <c r="A8" s="10" t="s">
        <v>321</v>
      </c>
      <c r="B8" s="10" t="s">
        <v>322</v>
      </c>
      <c r="C8" s="11">
        <v>0.43099999999999999</v>
      </c>
      <c r="D8" s="10" t="s">
        <v>310</v>
      </c>
      <c r="E8" t="e">
        <v>#N/A</v>
      </c>
    </row>
    <row r="9" spans="1:5">
      <c r="A9" s="10" t="s">
        <v>323</v>
      </c>
      <c r="B9" s="10" t="s">
        <v>324</v>
      </c>
      <c r="C9" s="11">
        <v>0.61899999999999999</v>
      </c>
      <c r="D9" s="10" t="s">
        <v>310</v>
      </c>
      <c r="E9" t="e">
        <v>#N/A</v>
      </c>
    </row>
    <row r="10" spans="1:5">
      <c r="A10" s="10" t="s">
        <v>325</v>
      </c>
      <c r="B10" s="10" t="s">
        <v>326</v>
      </c>
      <c r="C10" s="11">
        <v>0.63200000000000001</v>
      </c>
      <c r="D10" s="10" t="s">
        <v>310</v>
      </c>
      <c r="E10" t="e">
        <v>#N/A</v>
      </c>
    </row>
    <row r="11" spans="1:5">
      <c r="A11" s="10" t="s">
        <v>327</v>
      </c>
      <c r="B11" s="10" t="s">
        <v>328</v>
      </c>
      <c r="C11" s="11">
        <v>0.38700000000000001</v>
      </c>
      <c r="D11" s="10" t="s">
        <v>310</v>
      </c>
      <c r="E11" t="e">
        <v>#N/A</v>
      </c>
    </row>
    <row r="12" spans="1:5">
      <c r="A12" s="10" t="s">
        <v>329</v>
      </c>
      <c r="B12" s="10" t="s">
        <v>330</v>
      </c>
      <c r="C12" s="11">
        <v>0.56599999999999995</v>
      </c>
      <c r="D12" s="10" t="s">
        <v>310</v>
      </c>
      <c r="E12" t="e">
        <v>#N/A</v>
      </c>
    </row>
    <row r="13" spans="1:5">
      <c r="A13" s="10" t="s">
        <v>331</v>
      </c>
      <c r="B13" s="10" t="s">
        <v>332</v>
      </c>
      <c r="C13" s="11">
        <v>0.35599999999999998</v>
      </c>
      <c r="D13" s="10" t="s">
        <v>310</v>
      </c>
      <c r="E13" t="e">
        <v>#N/A</v>
      </c>
    </row>
    <row r="14" spans="1:5">
      <c r="A14" s="10" t="s">
        <v>333</v>
      </c>
      <c r="B14" s="10" t="s">
        <v>334</v>
      </c>
      <c r="C14" s="11">
        <v>0.20599999999999999</v>
      </c>
      <c r="D14" s="10" t="s">
        <v>310</v>
      </c>
      <c r="E14" t="e">
        <v>#N/A</v>
      </c>
    </row>
    <row r="15" spans="1:5">
      <c r="A15" s="10" t="s">
        <v>335</v>
      </c>
      <c r="B15" s="10" t="s">
        <v>336</v>
      </c>
      <c r="C15" s="11">
        <v>0.31900000000000001</v>
      </c>
      <c r="D15" s="10" t="s">
        <v>310</v>
      </c>
      <c r="E15" t="e">
        <v>#N/A</v>
      </c>
    </row>
    <row r="16" spans="1:5">
      <c r="A16" s="10" t="s">
        <v>337</v>
      </c>
      <c r="B16" s="10" t="s">
        <v>338</v>
      </c>
      <c r="C16" s="11">
        <v>0.4</v>
      </c>
      <c r="D16" s="10" t="s">
        <v>310</v>
      </c>
      <c r="E16" t="e">
        <v>#N/A</v>
      </c>
    </row>
    <row r="17" spans="1:5">
      <c r="A17" s="10" t="s">
        <v>339</v>
      </c>
      <c r="B17" s="10" t="s">
        <v>340</v>
      </c>
      <c r="C17" s="11">
        <v>0.40799999999999997</v>
      </c>
      <c r="D17" s="10" t="s">
        <v>310</v>
      </c>
      <c r="E17" t="e">
        <v>#N/A</v>
      </c>
    </row>
    <row r="18" spans="1:5">
      <c r="A18" s="10" t="s">
        <v>341</v>
      </c>
      <c r="B18" s="10" t="s">
        <v>342</v>
      </c>
      <c r="C18" s="11">
        <v>0.65600000000000003</v>
      </c>
      <c r="D18" s="10" t="s">
        <v>310</v>
      </c>
      <c r="E18" t="e">
        <v>#N/A</v>
      </c>
    </row>
    <row r="19" spans="1:5">
      <c r="A19" s="10" t="s">
        <v>343</v>
      </c>
      <c r="B19" s="10" t="s">
        <v>344</v>
      </c>
      <c r="C19" s="11">
        <v>0.34300000000000003</v>
      </c>
      <c r="D19" s="10" t="s">
        <v>310</v>
      </c>
      <c r="E19" t="e">
        <v>#N/A</v>
      </c>
    </row>
    <row r="20" spans="1:5">
      <c r="A20" s="10" t="s">
        <v>345</v>
      </c>
      <c r="B20" s="10" t="s">
        <v>346</v>
      </c>
      <c r="C20" s="11">
        <v>0.35599999999999998</v>
      </c>
      <c r="D20" s="10" t="s">
        <v>310</v>
      </c>
      <c r="E20" t="e">
        <v>#N/A</v>
      </c>
    </row>
    <row r="21" spans="1:5">
      <c r="A21" s="10" t="s">
        <v>347</v>
      </c>
      <c r="B21" s="10" t="s">
        <v>348</v>
      </c>
      <c r="C21" s="11">
        <v>0.51</v>
      </c>
      <c r="D21" s="10" t="s">
        <v>310</v>
      </c>
      <c r="E21" t="e">
        <v>#N/A</v>
      </c>
    </row>
    <row r="22" spans="1:5">
      <c r="A22" s="10" t="s">
        <v>349</v>
      </c>
      <c r="B22" s="10" t="s">
        <v>350</v>
      </c>
      <c r="C22" s="11">
        <v>0.51900000000000002</v>
      </c>
      <c r="D22" s="10" t="s">
        <v>310</v>
      </c>
      <c r="E22" t="e">
        <v>#N/A</v>
      </c>
    </row>
    <row r="23" spans="1:5">
      <c r="A23" s="10" t="s">
        <v>351</v>
      </c>
      <c r="B23" s="10" t="s">
        <v>352</v>
      </c>
      <c r="C23" s="11">
        <v>0.24399999999999999</v>
      </c>
      <c r="D23" s="10" t="s">
        <v>310</v>
      </c>
      <c r="E23" t="e">
        <v>#N/A</v>
      </c>
    </row>
    <row r="24" spans="1:5">
      <c r="A24" s="10" t="s">
        <v>353</v>
      </c>
      <c r="B24" s="10" t="s">
        <v>354</v>
      </c>
      <c r="C24" s="11">
        <v>0.42099999999999999</v>
      </c>
      <c r="D24" s="10" t="s">
        <v>310</v>
      </c>
      <c r="E24" t="e">
        <v>#N/A</v>
      </c>
    </row>
    <row r="25" spans="1:5">
      <c r="A25" s="10" t="s">
        <v>355</v>
      </c>
      <c r="B25" s="10" t="s">
        <v>356</v>
      </c>
      <c r="C25" s="11">
        <v>0.95599999999999996</v>
      </c>
      <c r="D25" s="10" t="s">
        <v>310</v>
      </c>
      <c r="E25" t="e">
        <v>#N/A</v>
      </c>
    </row>
    <row r="26" spans="1:5">
      <c r="A26" s="10" t="s">
        <v>357</v>
      </c>
      <c r="B26" s="10" t="s">
        <v>358</v>
      </c>
      <c r="C26" s="11">
        <v>0.497</v>
      </c>
      <c r="D26" s="10" t="s">
        <v>310</v>
      </c>
      <c r="E26" t="e">
        <v>#N/A</v>
      </c>
    </row>
    <row r="27" spans="1:5">
      <c r="A27" s="10" t="s">
        <v>359</v>
      </c>
      <c r="B27" s="10" t="s">
        <v>360</v>
      </c>
      <c r="C27" s="11">
        <v>0.50600000000000001</v>
      </c>
      <c r="D27" s="10" t="s">
        <v>310</v>
      </c>
      <c r="E27" t="e">
        <v>#N/A</v>
      </c>
    </row>
    <row r="28" spans="1:5">
      <c r="A28" s="10" t="s">
        <v>361</v>
      </c>
      <c r="B28" s="10" t="s">
        <v>362</v>
      </c>
      <c r="C28" s="11">
        <v>0.73099999999999998</v>
      </c>
      <c r="D28" s="10" t="s">
        <v>310</v>
      </c>
      <c r="E28" t="e">
        <v>#N/A</v>
      </c>
    </row>
    <row r="29" spans="1:5">
      <c r="A29" s="10" t="s">
        <v>363</v>
      </c>
      <c r="B29" s="10" t="s">
        <v>364</v>
      </c>
      <c r="C29" s="11">
        <v>0.24399999999999999</v>
      </c>
      <c r="D29" s="10" t="s">
        <v>310</v>
      </c>
      <c r="E29" t="e">
        <v>#N/A</v>
      </c>
    </row>
    <row r="30" spans="1:5">
      <c r="A30" s="10" t="s">
        <v>365</v>
      </c>
      <c r="B30" s="10" t="s">
        <v>366</v>
      </c>
      <c r="C30" s="11">
        <v>0.95599999999999996</v>
      </c>
      <c r="D30" s="10" t="s">
        <v>310</v>
      </c>
      <c r="E30" t="e">
        <v>#N/A</v>
      </c>
    </row>
    <row r="31" spans="1:5">
      <c r="A31" s="10" t="s">
        <v>367</v>
      </c>
      <c r="B31" s="10" t="s">
        <v>368</v>
      </c>
      <c r="C31" s="11">
        <v>0.496</v>
      </c>
      <c r="D31" s="10" t="s">
        <v>310</v>
      </c>
      <c r="E31" t="e">
        <v>#N/A</v>
      </c>
    </row>
    <row r="32" spans="1:5">
      <c r="A32" s="10" t="s">
        <v>369</v>
      </c>
      <c r="B32" s="10" t="s">
        <v>370</v>
      </c>
      <c r="C32" s="11">
        <v>0.73099999999999998</v>
      </c>
      <c r="D32" s="10" t="s">
        <v>310</v>
      </c>
      <c r="E32" t="e">
        <v>#N/A</v>
      </c>
    </row>
    <row r="33" spans="1:5">
      <c r="A33" s="10" t="s">
        <v>371</v>
      </c>
      <c r="B33" s="10" t="s">
        <v>372</v>
      </c>
      <c r="C33" s="11">
        <v>0.43099999999999999</v>
      </c>
      <c r="D33" s="10" t="s">
        <v>310</v>
      </c>
      <c r="E33" t="e">
        <v>#N/A</v>
      </c>
    </row>
    <row r="34" spans="1:5">
      <c r="A34" s="10" t="s">
        <v>373</v>
      </c>
      <c r="B34" s="10" t="s">
        <v>374</v>
      </c>
      <c r="C34" s="11">
        <v>0.43099999999999999</v>
      </c>
      <c r="D34" s="10" t="s">
        <v>310</v>
      </c>
      <c r="E34" t="e">
        <v>#N/A</v>
      </c>
    </row>
    <row r="35" spans="1:5">
      <c r="A35" s="10" t="s">
        <v>375</v>
      </c>
      <c r="B35" s="10" t="s">
        <v>376</v>
      </c>
      <c r="C35" s="11">
        <v>0.50600000000000001</v>
      </c>
      <c r="D35" s="10" t="s">
        <v>310</v>
      </c>
      <c r="E35" t="e">
        <v>#N/A</v>
      </c>
    </row>
    <row r="36" spans="1:5">
      <c r="A36" s="10" t="s">
        <v>377</v>
      </c>
      <c r="B36" s="10" t="s">
        <v>378</v>
      </c>
      <c r="C36" s="11">
        <v>0.85</v>
      </c>
      <c r="D36" s="10" t="s">
        <v>310</v>
      </c>
      <c r="E36" t="e">
        <v>#N/A</v>
      </c>
    </row>
    <row r="37" spans="1:5">
      <c r="A37" s="10" t="s">
        <v>379</v>
      </c>
      <c r="B37" s="10" t="s">
        <v>380</v>
      </c>
      <c r="C37" s="11">
        <v>1.4039999999999999</v>
      </c>
      <c r="D37" s="10" t="s">
        <v>310</v>
      </c>
      <c r="E37" t="e">
        <v>#N/A</v>
      </c>
    </row>
    <row r="38" spans="1:5">
      <c r="A38" s="10" t="s">
        <v>381</v>
      </c>
      <c r="B38" s="10" t="s">
        <v>382</v>
      </c>
      <c r="C38" s="11">
        <v>0.73099999999999998</v>
      </c>
      <c r="D38" s="10" t="s">
        <v>310</v>
      </c>
      <c r="E38" t="e">
        <v>#N/A</v>
      </c>
    </row>
    <row r="39" spans="1:5">
      <c r="A39" s="10" t="s">
        <v>383</v>
      </c>
      <c r="B39" s="10" t="s">
        <v>384</v>
      </c>
      <c r="C39" s="11">
        <v>1.07</v>
      </c>
      <c r="D39" s="10" t="s">
        <v>310</v>
      </c>
      <c r="E39" t="e">
        <v>#N/A</v>
      </c>
    </row>
    <row r="40" spans="1:5">
      <c r="A40" s="10" t="s">
        <v>385</v>
      </c>
      <c r="B40" s="10" t="s">
        <v>386</v>
      </c>
      <c r="C40" s="11">
        <v>2.0470000000000002</v>
      </c>
      <c r="D40" s="10" t="s">
        <v>310</v>
      </c>
      <c r="E40" t="e">
        <v>#N/A</v>
      </c>
    </row>
    <row r="41" spans="1:5">
      <c r="A41" s="10" t="s">
        <v>387</v>
      </c>
      <c r="B41" s="10" t="s">
        <v>388</v>
      </c>
      <c r="C41" s="11">
        <v>1.7290000000000001</v>
      </c>
      <c r="D41" s="10" t="s">
        <v>310</v>
      </c>
      <c r="E41" t="e">
        <v>#N/A</v>
      </c>
    </row>
    <row r="42" spans="1:5">
      <c r="A42" s="10" t="s">
        <v>389</v>
      </c>
      <c r="B42" s="10" t="s">
        <v>390</v>
      </c>
      <c r="C42" s="11">
        <v>1.2569999999999999</v>
      </c>
      <c r="D42" s="10" t="s">
        <v>310</v>
      </c>
      <c r="E42" t="e">
        <v>#N/A</v>
      </c>
    </row>
    <row r="43" spans="1:5">
      <c r="A43" s="10" t="s">
        <v>391</v>
      </c>
      <c r="B43" s="10" t="s">
        <v>392</v>
      </c>
      <c r="C43" s="11">
        <v>0.96099999999999997</v>
      </c>
      <c r="D43" s="10" t="s">
        <v>310</v>
      </c>
      <c r="E43" t="e">
        <v>#N/A</v>
      </c>
    </row>
    <row r="44" spans="1:5">
      <c r="A44" s="10" t="s">
        <v>393</v>
      </c>
      <c r="B44" s="10" t="s">
        <v>394</v>
      </c>
      <c r="C44" s="11">
        <v>1.1100000000000001</v>
      </c>
      <c r="D44" s="10" t="s">
        <v>310</v>
      </c>
      <c r="E44">
        <v>2.48</v>
      </c>
    </row>
    <row r="45" spans="1:5">
      <c r="A45" s="10" t="s">
        <v>395</v>
      </c>
      <c r="B45" s="10" t="s">
        <v>396</v>
      </c>
      <c r="C45" s="11">
        <v>1.1299999999999999</v>
      </c>
      <c r="D45" s="10" t="s">
        <v>310</v>
      </c>
      <c r="E45" t="e">
        <v>#N/A</v>
      </c>
    </row>
    <row r="46" spans="1:5">
      <c r="A46" s="10" t="s">
        <v>397</v>
      </c>
      <c r="B46" s="10" t="s">
        <v>398</v>
      </c>
      <c r="C46" s="11">
        <v>0.57699999999999996</v>
      </c>
      <c r="D46" s="10" t="s">
        <v>310</v>
      </c>
      <c r="E46" t="e">
        <v>#N/A</v>
      </c>
    </row>
    <row r="47" spans="1:5">
      <c r="A47" s="10" t="s">
        <v>399</v>
      </c>
      <c r="B47" s="10" t="s">
        <v>400</v>
      </c>
      <c r="C47" s="11">
        <v>0.58099999999999996</v>
      </c>
      <c r="D47" s="10" t="s">
        <v>310</v>
      </c>
      <c r="E47" t="e">
        <v>#N/A</v>
      </c>
    </row>
    <row r="48" spans="1:5">
      <c r="A48" s="10" t="s">
        <v>401</v>
      </c>
      <c r="B48" s="10" t="s">
        <v>402</v>
      </c>
      <c r="C48" s="11">
        <v>0.85</v>
      </c>
      <c r="D48" s="10" t="s">
        <v>310</v>
      </c>
      <c r="E48" t="e">
        <v>#N/A</v>
      </c>
    </row>
    <row r="49" spans="1:5">
      <c r="A49" s="10" t="s">
        <v>403</v>
      </c>
      <c r="B49" s="10" t="s">
        <v>404</v>
      </c>
      <c r="C49" s="11">
        <v>0.86</v>
      </c>
      <c r="D49" s="10" t="s">
        <v>310</v>
      </c>
      <c r="E49" t="e">
        <v>#N/A</v>
      </c>
    </row>
    <row r="50" spans="1:5">
      <c r="A50" s="10" t="s">
        <v>405</v>
      </c>
      <c r="B50" s="10" t="s">
        <v>406</v>
      </c>
      <c r="C50" s="11">
        <v>1.6060000000000001</v>
      </c>
      <c r="D50" s="10" t="s">
        <v>310</v>
      </c>
      <c r="E50" t="e">
        <v>#N/A</v>
      </c>
    </row>
    <row r="51" spans="1:5">
      <c r="A51" s="10" t="s">
        <v>407</v>
      </c>
      <c r="B51" s="10" t="s">
        <v>408</v>
      </c>
      <c r="C51" s="11">
        <v>1.3640000000000001</v>
      </c>
      <c r="D51" s="10" t="s">
        <v>310</v>
      </c>
      <c r="E51" t="e">
        <v>#N/A</v>
      </c>
    </row>
    <row r="52" spans="1:5">
      <c r="A52" s="10" t="s">
        <v>409</v>
      </c>
      <c r="B52" s="10" t="s">
        <v>410</v>
      </c>
      <c r="C52" s="11">
        <v>0.58099999999999996</v>
      </c>
      <c r="D52" s="10" t="s">
        <v>310</v>
      </c>
      <c r="E52" t="e">
        <v>#N/A</v>
      </c>
    </row>
    <row r="53" spans="1:5">
      <c r="A53" s="10" t="s">
        <v>411</v>
      </c>
      <c r="B53" s="10" t="s">
        <v>412</v>
      </c>
      <c r="C53" s="11">
        <v>1.6839999999999999</v>
      </c>
      <c r="D53" s="10" t="s">
        <v>310</v>
      </c>
      <c r="E53" t="e">
        <v>#N/A</v>
      </c>
    </row>
    <row r="54" spans="1:5">
      <c r="A54" s="10" t="s">
        <v>413</v>
      </c>
      <c r="B54" s="10" t="s">
        <v>414</v>
      </c>
      <c r="C54" s="11">
        <v>3.8260000000000001</v>
      </c>
      <c r="D54" s="10" t="s">
        <v>310</v>
      </c>
      <c r="E54" t="e">
        <v>#N/A</v>
      </c>
    </row>
    <row r="55" spans="1:5">
      <c r="A55" s="10" t="s">
        <v>415</v>
      </c>
      <c r="B55" s="10" t="s">
        <v>416</v>
      </c>
      <c r="C55" s="11">
        <v>1.9890000000000001</v>
      </c>
      <c r="D55" s="10" t="s">
        <v>310</v>
      </c>
      <c r="E55" t="e">
        <v>#N/A</v>
      </c>
    </row>
    <row r="56" spans="1:5">
      <c r="A56" s="10" t="s">
        <v>417</v>
      </c>
      <c r="B56" s="10" t="s">
        <v>418</v>
      </c>
      <c r="C56" s="11">
        <v>2.9260000000000002</v>
      </c>
      <c r="D56" s="10" t="s">
        <v>310</v>
      </c>
      <c r="E56" t="e">
        <v>#N/A</v>
      </c>
    </row>
    <row r="57" spans="1:5">
      <c r="A57" s="10" t="s">
        <v>419</v>
      </c>
      <c r="B57" s="10" t="s">
        <v>420</v>
      </c>
      <c r="C57" s="11">
        <v>1.5369999999999999</v>
      </c>
      <c r="D57" s="10" t="s">
        <v>310</v>
      </c>
      <c r="E57" t="e">
        <v>#N/A</v>
      </c>
    </row>
    <row r="58" spans="1:5">
      <c r="A58" s="10" t="s">
        <v>421</v>
      </c>
      <c r="B58" s="10" t="s">
        <v>422</v>
      </c>
      <c r="C58" s="11">
        <v>1.403</v>
      </c>
      <c r="D58" s="10" t="s">
        <v>310</v>
      </c>
      <c r="E58" t="e">
        <v>#N/A</v>
      </c>
    </row>
    <row r="59" spans="1:5">
      <c r="A59" s="10" t="s">
        <v>423</v>
      </c>
      <c r="B59" s="10" t="s">
        <v>424</v>
      </c>
      <c r="C59" s="11">
        <v>0.73099999999999998</v>
      </c>
      <c r="D59" s="10" t="s">
        <v>310</v>
      </c>
      <c r="E59" t="e">
        <v>#N/A</v>
      </c>
    </row>
    <row r="60" spans="1:5">
      <c r="A60" s="10" t="s">
        <v>425</v>
      </c>
      <c r="B60" s="10" t="s">
        <v>426</v>
      </c>
      <c r="C60" s="11">
        <v>1.071</v>
      </c>
      <c r="D60" s="10" t="s">
        <v>310</v>
      </c>
      <c r="E60" t="e">
        <v>#N/A</v>
      </c>
    </row>
    <row r="61" spans="1:5">
      <c r="A61" s="10" t="s">
        <v>427</v>
      </c>
      <c r="B61" s="10" t="s">
        <v>428</v>
      </c>
      <c r="C61" s="11">
        <v>2.0459999999999998</v>
      </c>
      <c r="D61" s="10" t="s">
        <v>310</v>
      </c>
      <c r="E61" t="e">
        <v>#N/A</v>
      </c>
    </row>
    <row r="62" spans="1:5">
      <c r="A62" s="10" t="s">
        <v>429</v>
      </c>
      <c r="B62" s="10" t="s">
        <v>430</v>
      </c>
      <c r="C62" s="11">
        <v>3.2269999999999999</v>
      </c>
      <c r="D62" s="10" t="s">
        <v>310</v>
      </c>
      <c r="E62" t="e">
        <v>#N/A</v>
      </c>
    </row>
    <row r="63" spans="1:5">
      <c r="A63" s="10" t="s">
        <v>431</v>
      </c>
      <c r="B63" s="10" t="s">
        <v>432</v>
      </c>
      <c r="C63" s="11">
        <v>1.6839999999999999</v>
      </c>
      <c r="D63" s="10" t="s">
        <v>310</v>
      </c>
      <c r="E63" t="e">
        <v>#N/A</v>
      </c>
    </row>
    <row r="64" spans="1:5">
      <c r="A64" s="10" t="s">
        <v>433</v>
      </c>
      <c r="B64" s="10" t="s">
        <v>434</v>
      </c>
      <c r="C64" s="11">
        <v>1.6839999999999999</v>
      </c>
      <c r="D64" s="10" t="s">
        <v>310</v>
      </c>
      <c r="E64" t="e">
        <v>#N/A</v>
      </c>
    </row>
    <row r="65" spans="1:5">
      <c r="A65" s="10" t="s">
        <v>435</v>
      </c>
      <c r="B65" s="10" t="s">
        <v>436</v>
      </c>
      <c r="C65" s="11">
        <v>1.2749999999999999</v>
      </c>
      <c r="D65" s="10" t="s">
        <v>310</v>
      </c>
      <c r="E65" t="e">
        <v>#N/A</v>
      </c>
    </row>
    <row r="66" spans="1:5">
      <c r="A66" s="10" t="s">
        <v>437</v>
      </c>
      <c r="B66" s="10" t="s">
        <v>438</v>
      </c>
      <c r="C66" s="11">
        <v>1.31</v>
      </c>
      <c r="D66" s="10" t="s">
        <v>310</v>
      </c>
      <c r="E66" t="e">
        <v>#N/A</v>
      </c>
    </row>
    <row r="67" spans="1:5">
      <c r="A67" s="10" t="s">
        <v>439</v>
      </c>
      <c r="B67" s="10" t="s">
        <v>440</v>
      </c>
      <c r="C67" s="11">
        <v>2.4740000000000002</v>
      </c>
      <c r="D67" s="10" t="s">
        <v>310</v>
      </c>
      <c r="E67" t="e">
        <v>#N/A</v>
      </c>
    </row>
    <row r="68" spans="1:5">
      <c r="A68" s="10" t="s">
        <v>441</v>
      </c>
      <c r="B68" s="10" t="s">
        <v>442</v>
      </c>
      <c r="C68" s="11">
        <v>2.0819999999999999</v>
      </c>
      <c r="D68" s="10" t="s">
        <v>310</v>
      </c>
      <c r="E68" t="e">
        <v>#N/A</v>
      </c>
    </row>
    <row r="69" spans="1:5">
      <c r="A69" s="10" t="s">
        <v>443</v>
      </c>
      <c r="B69" s="10" t="s">
        <v>444</v>
      </c>
      <c r="C69" s="11">
        <v>0.20100000000000001</v>
      </c>
      <c r="D69" s="10" t="s">
        <v>310</v>
      </c>
      <c r="E69" t="e">
        <v>#N/A</v>
      </c>
    </row>
    <row r="70" spans="1:5">
      <c r="A70" s="10" t="s">
        <v>445</v>
      </c>
      <c r="B70" s="10" t="s">
        <v>446</v>
      </c>
      <c r="C70" s="11">
        <v>0.20599999999999999</v>
      </c>
      <c r="D70" s="10" t="s">
        <v>310</v>
      </c>
      <c r="E70" t="e">
        <v>#N/A</v>
      </c>
    </row>
    <row r="71" spans="1:5">
      <c r="A71" s="10" t="s">
        <v>447</v>
      </c>
      <c r="B71" s="10" t="s">
        <v>448</v>
      </c>
      <c r="C71" s="11">
        <v>1.988</v>
      </c>
      <c r="D71" s="10" t="s">
        <v>310</v>
      </c>
      <c r="E71" t="e">
        <v>#N/A</v>
      </c>
    </row>
    <row r="72" spans="1:5">
      <c r="A72" s="10" t="s">
        <v>449</v>
      </c>
      <c r="B72" s="10" t="s">
        <v>450</v>
      </c>
      <c r="C72" s="11">
        <v>2.9260000000000002</v>
      </c>
      <c r="D72" s="10" t="s">
        <v>310</v>
      </c>
      <c r="E72" t="e">
        <v>#N/A</v>
      </c>
    </row>
    <row r="73" spans="1:5">
      <c r="A73" s="10" t="s">
        <v>451</v>
      </c>
      <c r="B73" s="10" t="s">
        <v>452</v>
      </c>
      <c r="C73" s="11">
        <v>4.4139999999999997</v>
      </c>
      <c r="D73" s="10" t="s">
        <v>310</v>
      </c>
      <c r="E73" t="e">
        <v>#N/A</v>
      </c>
    </row>
    <row r="74" spans="1:5">
      <c r="A74" s="10" t="s">
        <v>453</v>
      </c>
      <c r="B74" s="10" t="s">
        <v>454</v>
      </c>
      <c r="C74" s="11">
        <v>2.2829999999999999</v>
      </c>
      <c r="D74" s="10" t="s">
        <v>310</v>
      </c>
      <c r="E74" t="e">
        <v>#N/A</v>
      </c>
    </row>
    <row r="75" spans="1:5">
      <c r="A75" s="10" t="s">
        <v>455</v>
      </c>
      <c r="B75" s="10" t="s">
        <v>456</v>
      </c>
      <c r="C75" s="11">
        <v>3.3660000000000001</v>
      </c>
      <c r="D75" s="10" t="s">
        <v>310</v>
      </c>
      <c r="E75" t="e">
        <v>#N/A</v>
      </c>
    </row>
    <row r="76" spans="1:5">
      <c r="A76" s="10" t="s">
        <v>457</v>
      </c>
      <c r="B76" s="10" t="s">
        <v>458</v>
      </c>
      <c r="C76" s="11">
        <v>4.7039999999999997</v>
      </c>
      <c r="D76" s="10" t="s">
        <v>310</v>
      </c>
      <c r="E76" t="e">
        <v>#N/A</v>
      </c>
    </row>
    <row r="77" spans="1:5">
      <c r="A77" s="10" t="s">
        <v>459</v>
      </c>
      <c r="B77" s="10" t="s">
        <v>460</v>
      </c>
      <c r="C77" s="11">
        <v>2.2919999999999998</v>
      </c>
      <c r="D77" s="10" t="s">
        <v>310</v>
      </c>
      <c r="E77" t="e">
        <v>#N/A</v>
      </c>
    </row>
    <row r="78" spans="1:5">
      <c r="A78" s="10" t="s">
        <v>461</v>
      </c>
      <c r="B78" s="10" t="s">
        <v>462</v>
      </c>
      <c r="C78" s="11">
        <v>3.3490000000000002</v>
      </c>
      <c r="D78" s="10" t="s">
        <v>310</v>
      </c>
      <c r="E78" t="e">
        <v>#N/A</v>
      </c>
    </row>
    <row r="79" spans="1:5">
      <c r="A79" s="10" t="s">
        <v>463</v>
      </c>
      <c r="B79" s="10" t="s">
        <v>464</v>
      </c>
      <c r="C79" s="11">
        <v>4.2370000000000001</v>
      </c>
      <c r="D79" s="10" t="s">
        <v>310</v>
      </c>
      <c r="E79" t="e">
        <v>#N/A</v>
      </c>
    </row>
    <row r="80" spans="1:5">
      <c r="A80" s="10" t="s">
        <v>465</v>
      </c>
      <c r="B80" s="10" t="s">
        <v>466</v>
      </c>
      <c r="C80" s="11">
        <v>4.2370000000000001</v>
      </c>
      <c r="D80" s="10" t="s">
        <v>310</v>
      </c>
      <c r="E80" t="e">
        <v>#N/A</v>
      </c>
    </row>
    <row r="81" spans="1:5">
      <c r="A81" s="10" t="s">
        <v>467</v>
      </c>
      <c r="B81" s="10" t="s">
        <v>468</v>
      </c>
      <c r="C81" s="11">
        <v>5.1189999999999998</v>
      </c>
      <c r="D81" s="10" t="s">
        <v>310</v>
      </c>
      <c r="E81" t="e">
        <v>#N/A</v>
      </c>
    </row>
    <row r="82" spans="1:5">
      <c r="A82" s="10" t="s">
        <v>469</v>
      </c>
      <c r="B82" s="10" t="s">
        <v>470</v>
      </c>
      <c r="C82" s="11">
        <v>0.40500000000000003</v>
      </c>
      <c r="D82" s="10" t="s">
        <v>310</v>
      </c>
      <c r="E82" t="e">
        <v>#N/A</v>
      </c>
    </row>
    <row r="83" spans="1:5">
      <c r="A83" s="10" t="s">
        <v>471</v>
      </c>
      <c r="B83" s="10" t="s">
        <v>472</v>
      </c>
      <c r="C83" s="11">
        <v>0.47699999999999998</v>
      </c>
      <c r="D83" s="10" t="s">
        <v>310</v>
      </c>
      <c r="E83" t="e">
        <v>#N/A</v>
      </c>
    </row>
    <row r="84" spans="1:5">
      <c r="A84" s="10" t="s">
        <v>473</v>
      </c>
      <c r="B84" s="10" t="s">
        <v>474</v>
      </c>
      <c r="C84" s="11">
        <v>0.33</v>
      </c>
      <c r="D84" s="10" t="s">
        <v>310</v>
      </c>
      <c r="E84" t="e">
        <v>#N/A</v>
      </c>
    </row>
    <row r="85" spans="1:5">
      <c r="A85" s="10" t="s">
        <v>475</v>
      </c>
      <c r="B85" s="10" t="s">
        <v>476</v>
      </c>
      <c r="C85" s="11">
        <v>0.25800000000000001</v>
      </c>
      <c r="D85" s="10" t="s">
        <v>310</v>
      </c>
      <c r="E85" t="e">
        <v>#N/A</v>
      </c>
    </row>
    <row r="86" spans="1:5">
      <c r="A86" s="10" t="s">
        <v>477</v>
      </c>
      <c r="B86" s="10" t="s">
        <v>478</v>
      </c>
      <c r="C86" s="11">
        <v>0.55200000000000005</v>
      </c>
      <c r="D86" s="10" t="s">
        <v>310</v>
      </c>
      <c r="E86" t="e">
        <v>#N/A</v>
      </c>
    </row>
    <row r="87" spans="1:5">
      <c r="A87" s="10" t="s">
        <v>479</v>
      </c>
      <c r="B87" s="10" t="s">
        <v>480</v>
      </c>
      <c r="C87" s="11">
        <v>0.84599999999999997</v>
      </c>
      <c r="D87" s="10" t="s">
        <v>310</v>
      </c>
      <c r="E87" t="e">
        <v>#N/A</v>
      </c>
    </row>
    <row r="88" spans="1:5">
      <c r="A88" s="10" t="s">
        <v>481</v>
      </c>
      <c r="B88" s="10" t="s">
        <v>482</v>
      </c>
      <c r="C88" s="11">
        <v>1.42</v>
      </c>
      <c r="D88" s="10" t="s">
        <v>310</v>
      </c>
      <c r="E88" t="e">
        <v>#N/A</v>
      </c>
    </row>
    <row r="89" spans="1:5">
      <c r="A89" s="10" t="s">
        <v>483</v>
      </c>
      <c r="B89" s="10" t="s">
        <v>484</v>
      </c>
      <c r="C89" s="11">
        <v>1.73</v>
      </c>
      <c r="D89" s="10" t="s">
        <v>310</v>
      </c>
      <c r="E89" t="e">
        <v>#N/A</v>
      </c>
    </row>
    <row r="90" spans="1:5">
      <c r="A90" s="10" t="s">
        <v>485</v>
      </c>
      <c r="B90" s="10" t="s">
        <v>486</v>
      </c>
      <c r="C90" s="11">
        <v>1.85</v>
      </c>
      <c r="D90" s="10" t="s">
        <v>310</v>
      </c>
      <c r="E90" t="e">
        <v>#N/A</v>
      </c>
    </row>
    <row r="91" spans="1:5">
      <c r="A91" s="10" t="s">
        <v>487</v>
      </c>
      <c r="B91" s="10" t="s">
        <v>488</v>
      </c>
      <c r="C91" s="11">
        <v>2.16</v>
      </c>
      <c r="D91" s="10" t="s">
        <v>310</v>
      </c>
      <c r="E91" t="e">
        <v>#N/A</v>
      </c>
    </row>
    <row r="92" spans="1:5">
      <c r="A92" s="10" t="s">
        <v>489</v>
      </c>
      <c r="B92" s="10" t="s">
        <v>490</v>
      </c>
      <c r="C92" s="11">
        <v>1.74</v>
      </c>
      <c r="D92" s="10" t="s">
        <v>310</v>
      </c>
      <c r="E92" t="e">
        <v>#N/A</v>
      </c>
    </row>
    <row r="93" spans="1:5">
      <c r="A93" s="10" t="s">
        <v>491</v>
      </c>
      <c r="B93" s="10" t="s">
        <v>492</v>
      </c>
      <c r="C93" s="11">
        <v>3.09</v>
      </c>
      <c r="D93" s="10" t="s">
        <v>310</v>
      </c>
      <c r="E93" t="e">
        <v>#N/A</v>
      </c>
    </row>
    <row r="94" spans="1:5">
      <c r="A94" s="10" t="s">
        <v>493</v>
      </c>
      <c r="B94" s="10" t="s">
        <v>494</v>
      </c>
      <c r="C94" s="11">
        <v>2.83</v>
      </c>
      <c r="D94" s="10" t="s">
        <v>310</v>
      </c>
      <c r="E94" t="e">
        <v>#N/A</v>
      </c>
    </row>
    <row r="95" spans="1:5">
      <c r="A95" s="10" t="s">
        <v>495</v>
      </c>
      <c r="B95" s="10" t="s">
        <v>496</v>
      </c>
      <c r="C95" s="11">
        <v>3</v>
      </c>
      <c r="D95" s="10" t="s">
        <v>310</v>
      </c>
      <c r="E95" t="e">
        <v>#N/A</v>
      </c>
    </row>
    <row r="96" spans="1:5">
      <c r="A96" s="10" t="s">
        <v>497</v>
      </c>
      <c r="B96" s="10" t="s">
        <v>498</v>
      </c>
      <c r="C96" s="11">
        <v>3.63</v>
      </c>
      <c r="D96" s="10" t="s">
        <v>310</v>
      </c>
      <c r="E96" t="e">
        <v>#N/A</v>
      </c>
    </row>
    <row r="97" spans="1:5">
      <c r="A97" s="10" t="s">
        <v>499</v>
      </c>
      <c r="B97" s="10" t="s">
        <v>500</v>
      </c>
      <c r="C97" s="11">
        <v>2.83</v>
      </c>
      <c r="D97" s="10" t="s">
        <v>310</v>
      </c>
      <c r="E97" t="e">
        <v>#N/A</v>
      </c>
    </row>
    <row r="98" spans="1:5">
      <c r="A98" s="10" t="s">
        <v>501</v>
      </c>
      <c r="B98" s="10" t="s">
        <v>502</v>
      </c>
      <c r="C98" s="11">
        <v>4.03</v>
      </c>
      <c r="D98" s="10" t="s">
        <v>310</v>
      </c>
      <c r="E98" t="e">
        <v>#N/A</v>
      </c>
    </row>
    <row r="99" spans="1:5">
      <c r="A99" s="10" t="s">
        <v>503</v>
      </c>
      <c r="B99" s="10" t="s">
        <v>504</v>
      </c>
      <c r="C99" s="11">
        <v>0.442</v>
      </c>
      <c r="D99" s="10" t="s">
        <v>310</v>
      </c>
      <c r="E99" t="e">
        <v>#N/A</v>
      </c>
    </row>
    <row r="100" spans="1:5">
      <c r="A100" s="10" t="s">
        <v>505</v>
      </c>
      <c r="B100" s="10" t="s">
        <v>506</v>
      </c>
      <c r="C100" s="11">
        <v>0.437</v>
      </c>
      <c r="D100" s="10" t="s">
        <v>310</v>
      </c>
      <c r="E100" t="e">
        <v>#N/A</v>
      </c>
    </row>
    <row r="101" spans="1:5">
      <c r="A101" s="10" t="s">
        <v>507</v>
      </c>
      <c r="B101" s="10" t="s">
        <v>508</v>
      </c>
      <c r="C101" s="11">
        <v>0.36799999999999999</v>
      </c>
      <c r="D101" s="10" t="s">
        <v>310</v>
      </c>
      <c r="E101" t="e">
        <v>#N/A</v>
      </c>
    </row>
    <row r="102" spans="1:5">
      <c r="A102" s="10" t="s">
        <v>509</v>
      </c>
      <c r="B102" s="10" t="s">
        <v>510</v>
      </c>
      <c r="C102" s="11">
        <v>0.36399999999999999</v>
      </c>
      <c r="D102" s="10" t="s">
        <v>310</v>
      </c>
      <c r="E102" t="e">
        <v>#N/A</v>
      </c>
    </row>
    <row r="103" spans="1:5">
      <c r="A103" s="10" t="s">
        <v>511</v>
      </c>
      <c r="B103" s="10" t="s">
        <v>512</v>
      </c>
      <c r="C103" s="11">
        <v>0.14699999999999999</v>
      </c>
      <c r="D103" s="10" t="s">
        <v>310</v>
      </c>
      <c r="E103" t="e">
        <v>#N/A</v>
      </c>
    </row>
    <row r="104" spans="1:5">
      <c r="A104" s="10" t="s">
        <v>513</v>
      </c>
      <c r="B104" s="10" t="s">
        <v>514</v>
      </c>
      <c r="C104" s="11">
        <v>0.14499999999999999</v>
      </c>
      <c r="D104" s="10" t="s">
        <v>310</v>
      </c>
      <c r="E104" t="e">
        <v>#N/A</v>
      </c>
    </row>
    <row r="105" spans="1:5">
      <c r="A105" s="10" t="s">
        <v>515</v>
      </c>
      <c r="B105" s="10" t="s">
        <v>516</v>
      </c>
      <c r="C105" s="11">
        <v>0.51600000000000001</v>
      </c>
      <c r="D105" s="10" t="s">
        <v>310</v>
      </c>
      <c r="E105" t="e">
        <v>#N/A</v>
      </c>
    </row>
    <row r="106" spans="1:5">
      <c r="A106" s="10" t="s">
        <v>517</v>
      </c>
      <c r="B106" s="10" t="s">
        <v>518</v>
      </c>
      <c r="C106" s="11">
        <v>0.51</v>
      </c>
      <c r="D106" s="10" t="s">
        <v>310</v>
      </c>
      <c r="E106" t="e">
        <v>#N/A</v>
      </c>
    </row>
    <row r="107" spans="1:5">
      <c r="A107" s="10" t="s">
        <v>519</v>
      </c>
      <c r="B107" s="10" t="s">
        <v>520</v>
      </c>
      <c r="C107" s="11">
        <v>0.29499999999999998</v>
      </c>
      <c r="D107" s="10" t="s">
        <v>310</v>
      </c>
      <c r="E107" t="e">
        <v>#N/A</v>
      </c>
    </row>
    <row r="108" spans="1:5">
      <c r="A108" s="10" t="s">
        <v>521</v>
      </c>
      <c r="B108" s="10" t="s">
        <v>522</v>
      </c>
      <c r="C108" s="11">
        <v>0.29199999999999998</v>
      </c>
      <c r="D108" s="10" t="s">
        <v>310</v>
      </c>
      <c r="E108" t="e">
        <v>#N/A</v>
      </c>
    </row>
    <row r="109" spans="1:5">
      <c r="A109" s="10" t="s">
        <v>523</v>
      </c>
      <c r="B109" s="10" t="s">
        <v>524</v>
      </c>
      <c r="C109" s="11">
        <v>0.73599999999999999</v>
      </c>
      <c r="D109" s="10" t="s">
        <v>310</v>
      </c>
      <c r="E109" t="e">
        <v>#N/A</v>
      </c>
    </row>
    <row r="110" spans="1:5">
      <c r="A110" s="10" t="s">
        <v>525</v>
      </c>
      <c r="B110" s="10" t="s">
        <v>526</v>
      </c>
      <c r="C110" s="11">
        <v>0.72899999999999998</v>
      </c>
      <c r="D110" s="10" t="s">
        <v>310</v>
      </c>
      <c r="E110" t="e">
        <v>#N/A</v>
      </c>
    </row>
    <row r="111" spans="1:5">
      <c r="A111" s="10" t="s">
        <v>527</v>
      </c>
      <c r="B111" s="10" t="s">
        <v>528</v>
      </c>
      <c r="C111" s="11">
        <v>0.80900000000000005</v>
      </c>
      <c r="D111" s="10" t="s">
        <v>310</v>
      </c>
      <c r="E111" t="e">
        <v>#N/A</v>
      </c>
    </row>
    <row r="112" spans="1:5">
      <c r="A112" s="10" t="s">
        <v>529</v>
      </c>
      <c r="B112" s="10" t="s">
        <v>530</v>
      </c>
      <c r="C112" s="11">
        <v>0.58899999999999997</v>
      </c>
      <c r="D112" s="10" t="s">
        <v>310</v>
      </c>
      <c r="E112" t="e">
        <v>#N/A</v>
      </c>
    </row>
    <row r="113" spans="1:5">
      <c r="A113" s="10" t="s">
        <v>531</v>
      </c>
      <c r="B113" s="10" t="s">
        <v>532</v>
      </c>
      <c r="C113" s="11">
        <v>0.58299999999999996</v>
      </c>
      <c r="D113" s="10" t="s">
        <v>310</v>
      </c>
      <c r="E113" t="e">
        <v>#N/A</v>
      </c>
    </row>
    <row r="114" spans="1:5">
      <c r="A114" s="10" t="s">
        <v>533</v>
      </c>
      <c r="B114" s="10" t="s">
        <v>534</v>
      </c>
      <c r="C114" s="11">
        <v>1.03</v>
      </c>
      <c r="D114" s="10" t="s">
        <v>310</v>
      </c>
      <c r="E114" t="e">
        <v>#N/A</v>
      </c>
    </row>
    <row r="115" spans="1:5">
      <c r="A115" s="10" t="s">
        <v>535</v>
      </c>
      <c r="B115" s="10" t="s">
        <v>536</v>
      </c>
      <c r="C115" s="11">
        <v>0.95699999999999996</v>
      </c>
      <c r="D115" s="10" t="s">
        <v>310</v>
      </c>
      <c r="E115" t="e">
        <v>#N/A</v>
      </c>
    </row>
    <row r="116" spans="1:5">
      <c r="A116" s="10" t="s">
        <v>537</v>
      </c>
      <c r="B116" s="10" t="s">
        <v>538</v>
      </c>
      <c r="C116" s="11">
        <v>0.221</v>
      </c>
      <c r="D116" s="10" t="s">
        <v>310</v>
      </c>
      <c r="E116" t="e">
        <v>#N/A</v>
      </c>
    </row>
    <row r="117" spans="1:5">
      <c r="A117" s="10" t="s">
        <v>539</v>
      </c>
      <c r="B117" s="10" t="s">
        <v>540</v>
      </c>
      <c r="C117" s="11">
        <v>0.219</v>
      </c>
      <c r="D117" s="10" t="s">
        <v>310</v>
      </c>
      <c r="E117" t="e">
        <v>#N/A</v>
      </c>
    </row>
    <row r="118" spans="1:5">
      <c r="A118" s="10" t="s">
        <v>541</v>
      </c>
      <c r="B118" s="10" t="s">
        <v>542</v>
      </c>
      <c r="C118" s="11">
        <v>0.88300000000000001</v>
      </c>
      <c r="D118" s="10" t="s">
        <v>310</v>
      </c>
      <c r="E118" t="e">
        <v>#N/A</v>
      </c>
    </row>
    <row r="119" spans="1:5">
      <c r="A119" s="10" t="s">
        <v>543</v>
      </c>
      <c r="B119" s="10" t="s">
        <v>544</v>
      </c>
      <c r="C119" s="11">
        <v>0.874</v>
      </c>
      <c r="D119" s="10" t="s">
        <v>310</v>
      </c>
      <c r="E119" t="e">
        <v>#N/A</v>
      </c>
    </row>
    <row r="120" spans="1:5">
      <c r="A120" s="10" t="s">
        <v>545</v>
      </c>
      <c r="B120" s="10" t="s">
        <v>546</v>
      </c>
      <c r="C120" s="11">
        <v>1.32</v>
      </c>
      <c r="D120" s="10" t="s">
        <v>310</v>
      </c>
      <c r="E120" t="e">
        <v>#N/A</v>
      </c>
    </row>
    <row r="121" spans="1:5">
      <c r="A121" s="10" t="s">
        <v>547</v>
      </c>
      <c r="B121" s="10" t="s">
        <v>548</v>
      </c>
      <c r="C121" s="11">
        <v>1.18</v>
      </c>
      <c r="D121" s="10" t="s">
        <v>310</v>
      </c>
      <c r="E121" t="e">
        <v>#N/A</v>
      </c>
    </row>
    <row r="122" spans="1:5">
      <c r="A122" s="10" t="s">
        <v>549</v>
      </c>
      <c r="B122" s="10" t="s">
        <v>550</v>
      </c>
      <c r="C122" s="11">
        <v>1.47</v>
      </c>
      <c r="D122" s="10" t="s">
        <v>310</v>
      </c>
      <c r="E122" t="e">
        <v>#N/A</v>
      </c>
    </row>
    <row r="123" spans="1:5">
      <c r="A123" s="10" t="s">
        <v>551</v>
      </c>
      <c r="B123" s="10" t="s">
        <v>552</v>
      </c>
      <c r="C123" s="11">
        <v>0.182</v>
      </c>
      <c r="D123" s="10" t="s">
        <v>310</v>
      </c>
      <c r="E123" t="e">
        <v>#N/A</v>
      </c>
    </row>
    <row r="124" spans="1:5">
      <c r="A124" s="10" t="s">
        <v>553</v>
      </c>
      <c r="B124" s="10" t="s">
        <v>554</v>
      </c>
      <c r="C124" s="11">
        <v>1.76</v>
      </c>
      <c r="D124" s="10" t="s">
        <v>310</v>
      </c>
      <c r="E124" t="e">
        <v>#N/A</v>
      </c>
    </row>
    <row r="125" spans="1:5">
      <c r="A125" s="10" t="s">
        <v>555</v>
      </c>
      <c r="B125" s="10" t="s">
        <v>556</v>
      </c>
      <c r="C125" s="11">
        <v>2.35</v>
      </c>
      <c r="D125" s="10" t="s">
        <v>310</v>
      </c>
      <c r="E125" t="e">
        <v>#N/A</v>
      </c>
    </row>
    <row r="126" spans="1:5">
      <c r="A126" s="10" t="s">
        <v>557</v>
      </c>
      <c r="B126" s="10" t="s">
        <v>558</v>
      </c>
      <c r="C126" s="11">
        <v>0.221</v>
      </c>
      <c r="D126" s="10" t="s">
        <v>310</v>
      </c>
      <c r="E126" t="e">
        <v>#N/A</v>
      </c>
    </row>
    <row r="127" spans="1:5">
      <c r="A127" s="10" t="s">
        <v>559</v>
      </c>
      <c r="B127" s="10" t="s">
        <v>560</v>
      </c>
      <c r="C127" s="11">
        <v>0.219</v>
      </c>
      <c r="D127" s="10" t="s">
        <v>310</v>
      </c>
      <c r="E127" t="e">
        <v>#N/A</v>
      </c>
    </row>
    <row r="128" spans="1:5">
      <c r="A128" s="10" t="s">
        <v>561</v>
      </c>
      <c r="B128" s="10" t="s">
        <v>562</v>
      </c>
      <c r="C128" s="11">
        <v>0.184</v>
      </c>
      <c r="D128" s="10" t="s">
        <v>310</v>
      </c>
      <c r="E128" t="e">
        <v>#N/A</v>
      </c>
    </row>
    <row r="129" spans="1:5">
      <c r="A129" s="10" t="s">
        <v>563</v>
      </c>
      <c r="B129" s="10" t="s">
        <v>564</v>
      </c>
      <c r="C129" s="11">
        <v>0.182</v>
      </c>
      <c r="D129" s="10" t="s">
        <v>310</v>
      </c>
      <c r="E129" t="e">
        <v>#N/A</v>
      </c>
    </row>
    <row r="130" spans="1:5">
      <c r="A130" s="10" t="s">
        <v>565</v>
      </c>
      <c r="B130" s="10" t="s">
        <v>566</v>
      </c>
      <c r="C130" s="11">
        <v>7.5999999999999998E-2</v>
      </c>
      <c r="D130" s="10" t="s">
        <v>310</v>
      </c>
      <c r="E130" t="e">
        <v>#N/A</v>
      </c>
    </row>
    <row r="131" spans="1:5">
      <c r="A131" s="10" t="s">
        <v>567</v>
      </c>
      <c r="B131" s="10" t="s">
        <v>568</v>
      </c>
      <c r="C131" s="11">
        <v>7.2999999999999995E-2</v>
      </c>
      <c r="D131" s="10" t="s">
        <v>310</v>
      </c>
      <c r="E131" t="e">
        <v>#N/A</v>
      </c>
    </row>
    <row r="132" spans="1:5">
      <c r="A132" s="10" t="s">
        <v>569</v>
      </c>
      <c r="B132" s="10" t="s">
        <v>570</v>
      </c>
      <c r="C132" s="11">
        <v>0.14699999999999999</v>
      </c>
      <c r="D132" s="10" t="s">
        <v>310</v>
      </c>
      <c r="E132" t="e">
        <v>#N/A</v>
      </c>
    </row>
    <row r="133" spans="1:5">
      <c r="A133" s="10" t="s">
        <v>571</v>
      </c>
      <c r="B133" s="10" t="s">
        <v>572</v>
      </c>
      <c r="C133" s="11">
        <v>0.14499999999999999</v>
      </c>
      <c r="D133" s="10" t="s">
        <v>310</v>
      </c>
      <c r="E133" t="e">
        <v>#N/A</v>
      </c>
    </row>
    <row r="134" spans="1:5">
      <c r="A134" s="10" t="s">
        <v>573</v>
      </c>
      <c r="B134" s="10" t="s">
        <v>574</v>
      </c>
      <c r="C134" s="11">
        <v>0.36799999999999999</v>
      </c>
      <c r="D134" s="10" t="s">
        <v>310</v>
      </c>
      <c r="E134" t="e">
        <v>#N/A</v>
      </c>
    </row>
    <row r="135" spans="1:5">
      <c r="A135" s="10" t="s">
        <v>575</v>
      </c>
      <c r="B135" s="10" t="s">
        <v>576</v>
      </c>
      <c r="C135" s="11">
        <v>0.36399999999999999</v>
      </c>
      <c r="D135" s="10" t="s">
        <v>310</v>
      </c>
      <c r="E135" t="e">
        <v>#N/A</v>
      </c>
    </row>
    <row r="136" spans="1:5">
      <c r="A136" s="10" t="s">
        <v>577</v>
      </c>
      <c r="B136" s="10" t="s">
        <v>578</v>
      </c>
      <c r="C136" s="11">
        <v>0.29499999999999998</v>
      </c>
      <c r="D136" s="10" t="s">
        <v>310</v>
      </c>
      <c r="E136" t="e">
        <v>#N/A</v>
      </c>
    </row>
    <row r="137" spans="1:5">
      <c r="A137" s="10" t="s">
        <v>579</v>
      </c>
      <c r="B137" s="10" t="s">
        <v>580</v>
      </c>
      <c r="C137" s="11">
        <v>0.29199999999999998</v>
      </c>
      <c r="D137" s="10" t="s">
        <v>310</v>
      </c>
      <c r="E137" t="e">
        <v>#N/A</v>
      </c>
    </row>
    <row r="138" spans="1:5">
      <c r="A138" s="10" t="s">
        <v>581</v>
      </c>
      <c r="B138" s="10" t="s">
        <v>582</v>
      </c>
      <c r="C138" s="11">
        <v>0.11</v>
      </c>
      <c r="D138" s="10" t="s">
        <v>310</v>
      </c>
      <c r="E138" t="e">
        <v>#N/A</v>
      </c>
    </row>
    <row r="139" spans="1:5">
      <c r="A139" s="10" t="s">
        <v>583</v>
      </c>
      <c r="B139" s="10" t="s">
        <v>584</v>
      </c>
      <c r="C139" s="11">
        <v>0.109</v>
      </c>
      <c r="D139" s="10" t="s">
        <v>310</v>
      </c>
      <c r="E139" t="e">
        <v>#N/A</v>
      </c>
    </row>
    <row r="140" spans="1:5">
      <c r="A140" s="10" t="s">
        <v>585</v>
      </c>
      <c r="B140" s="10" t="s">
        <v>586</v>
      </c>
      <c r="C140" s="11">
        <v>9.1999999999999998E-2</v>
      </c>
      <c r="D140" s="10" t="s">
        <v>310</v>
      </c>
      <c r="E140" t="e">
        <v>#N/A</v>
      </c>
    </row>
    <row r="141" spans="1:5">
      <c r="A141" s="10" t="s">
        <v>587</v>
      </c>
      <c r="B141" s="10" t="s">
        <v>588</v>
      </c>
      <c r="C141" s="11">
        <v>9.0999999999999998E-2</v>
      </c>
      <c r="D141" s="10" t="s">
        <v>310</v>
      </c>
      <c r="E141" t="e">
        <v>#N/A</v>
      </c>
    </row>
    <row r="142" spans="1:5">
      <c r="A142" s="10" t="s">
        <v>589</v>
      </c>
      <c r="B142" s="10" t="s">
        <v>590</v>
      </c>
      <c r="C142" s="11">
        <v>0.33100000000000002</v>
      </c>
      <c r="D142" s="10" t="s">
        <v>310</v>
      </c>
      <c r="E142" t="e">
        <v>#N/A</v>
      </c>
    </row>
    <row r="143" spans="1:5">
      <c r="A143" s="10" t="s">
        <v>591</v>
      </c>
      <c r="B143" s="10" t="s">
        <v>592</v>
      </c>
      <c r="C143" s="11">
        <v>0.32800000000000001</v>
      </c>
      <c r="D143" s="10" t="s">
        <v>310</v>
      </c>
      <c r="E143" t="e">
        <v>#N/A</v>
      </c>
    </row>
    <row r="144" spans="1:5">
      <c r="A144" s="10" t="s">
        <v>593</v>
      </c>
      <c r="B144" s="10" t="s">
        <v>594</v>
      </c>
      <c r="C144" s="11">
        <v>0.27600000000000002</v>
      </c>
      <c r="D144" s="10" t="s">
        <v>310</v>
      </c>
      <c r="E144" t="e">
        <v>#N/A</v>
      </c>
    </row>
    <row r="145" spans="1:5">
      <c r="A145" s="10" t="s">
        <v>595</v>
      </c>
      <c r="B145" s="10" t="s">
        <v>596</v>
      </c>
      <c r="C145" s="11">
        <v>0.27400000000000002</v>
      </c>
      <c r="D145" s="10" t="s">
        <v>310</v>
      </c>
      <c r="E145" t="e">
        <v>#N/A</v>
      </c>
    </row>
    <row r="146" spans="1:5">
      <c r="A146" s="10" t="s">
        <v>597</v>
      </c>
      <c r="B146" s="10" t="s">
        <v>598</v>
      </c>
      <c r="C146" s="11">
        <v>0.11</v>
      </c>
      <c r="D146" s="10" t="s">
        <v>310</v>
      </c>
      <c r="E146" t="e">
        <v>#N/A</v>
      </c>
    </row>
    <row r="147" spans="1:5">
      <c r="A147" s="10" t="s">
        <v>599</v>
      </c>
      <c r="B147" s="10" t="s">
        <v>600</v>
      </c>
      <c r="C147" s="11">
        <v>0.109</v>
      </c>
      <c r="D147" s="10" t="s">
        <v>310</v>
      </c>
      <c r="E147" t="e">
        <v>#N/A</v>
      </c>
    </row>
    <row r="148" spans="1:5">
      <c r="A148" s="10" t="s">
        <v>601</v>
      </c>
      <c r="B148" s="10" t="s">
        <v>602</v>
      </c>
      <c r="C148" s="11">
        <v>0.38700000000000001</v>
      </c>
      <c r="D148" s="10" t="s">
        <v>310</v>
      </c>
      <c r="E148" t="e">
        <v>#N/A</v>
      </c>
    </row>
    <row r="149" spans="1:5">
      <c r="A149" s="10" t="s">
        <v>603</v>
      </c>
      <c r="B149" s="10" t="s">
        <v>604</v>
      </c>
      <c r="C149" s="11">
        <v>0.221</v>
      </c>
      <c r="D149" s="10" t="s">
        <v>310</v>
      </c>
      <c r="E149" t="e">
        <v>#N/A</v>
      </c>
    </row>
    <row r="150" spans="1:5">
      <c r="A150" s="10" t="s">
        <v>605</v>
      </c>
      <c r="B150" s="10" t="s">
        <v>606</v>
      </c>
      <c r="C150" s="11">
        <v>0.219</v>
      </c>
      <c r="D150" s="10" t="s">
        <v>310</v>
      </c>
      <c r="E150" t="e">
        <v>#N/A</v>
      </c>
    </row>
    <row r="151" spans="1:5">
      <c r="A151" s="10" t="s">
        <v>607</v>
      </c>
      <c r="B151" s="10" t="s">
        <v>608</v>
      </c>
      <c r="C151" s="11">
        <v>0.55200000000000005</v>
      </c>
      <c r="D151" s="10" t="s">
        <v>310</v>
      </c>
      <c r="E151" t="e">
        <v>#N/A</v>
      </c>
    </row>
    <row r="152" spans="1:5">
      <c r="A152" s="10" t="s">
        <v>609</v>
      </c>
      <c r="B152" s="10" t="s">
        <v>610</v>
      </c>
      <c r="C152" s="11">
        <v>0.54600000000000004</v>
      </c>
      <c r="D152" s="10" t="s">
        <v>310</v>
      </c>
      <c r="E152" t="e">
        <v>#N/A</v>
      </c>
    </row>
    <row r="153" spans="1:5">
      <c r="A153" s="10" t="s">
        <v>611</v>
      </c>
      <c r="B153" s="10" t="s">
        <v>612</v>
      </c>
      <c r="C153" s="11">
        <v>0.442</v>
      </c>
      <c r="D153" s="10" t="s">
        <v>310</v>
      </c>
      <c r="E153" t="e">
        <v>#N/A</v>
      </c>
    </row>
    <row r="154" spans="1:5">
      <c r="A154" s="10" t="s">
        <v>613</v>
      </c>
      <c r="B154" s="10" t="s">
        <v>614</v>
      </c>
      <c r="C154" s="11">
        <v>0.437</v>
      </c>
      <c r="D154" s="10" t="s">
        <v>310</v>
      </c>
      <c r="E154" t="e">
        <v>#N/A</v>
      </c>
    </row>
    <row r="155" spans="1:5">
      <c r="A155" s="10" t="s">
        <v>615</v>
      </c>
      <c r="B155" s="10" t="s">
        <v>616</v>
      </c>
      <c r="C155" s="11">
        <v>0.77300000000000002</v>
      </c>
      <c r="D155" s="10" t="s">
        <v>310</v>
      </c>
      <c r="E155" t="e">
        <v>#N/A</v>
      </c>
    </row>
    <row r="156" spans="1:5">
      <c r="A156" s="10" t="s">
        <v>617</v>
      </c>
      <c r="B156" s="10" t="s">
        <v>618</v>
      </c>
      <c r="C156" s="11">
        <v>0.16600000000000001</v>
      </c>
      <c r="D156" s="10" t="s">
        <v>310</v>
      </c>
      <c r="E156" t="e">
        <v>#N/A</v>
      </c>
    </row>
    <row r="157" spans="1:5">
      <c r="A157" s="10" t="s">
        <v>619</v>
      </c>
      <c r="B157" s="10" t="s">
        <v>620</v>
      </c>
      <c r="C157" s="11">
        <v>0.16400000000000001</v>
      </c>
      <c r="D157" s="10" t="s">
        <v>310</v>
      </c>
      <c r="E157" t="e">
        <v>#N/A</v>
      </c>
    </row>
    <row r="158" spans="1:5">
      <c r="A158" s="10" t="s">
        <v>621</v>
      </c>
      <c r="B158" s="10" t="s">
        <v>622</v>
      </c>
      <c r="C158" s="11">
        <v>0.66300000000000003</v>
      </c>
      <c r="D158" s="10" t="s">
        <v>310</v>
      </c>
      <c r="E158" t="e">
        <v>#N/A</v>
      </c>
    </row>
    <row r="159" spans="1:5">
      <c r="A159" s="10" t="s">
        <v>623</v>
      </c>
      <c r="B159" s="10" t="s">
        <v>624</v>
      </c>
      <c r="C159" s="11">
        <v>0.88300000000000001</v>
      </c>
      <c r="D159" s="10" t="s">
        <v>310</v>
      </c>
      <c r="E159" t="e">
        <v>#N/A</v>
      </c>
    </row>
    <row r="160" spans="1:5">
      <c r="A160" s="10" t="s">
        <v>625</v>
      </c>
      <c r="B160" s="10" t="s">
        <v>626</v>
      </c>
      <c r="C160" s="11">
        <v>0.66200000000000003</v>
      </c>
      <c r="D160" s="10" t="s">
        <v>310</v>
      </c>
      <c r="E160" t="e">
        <v>#N/A</v>
      </c>
    </row>
    <row r="161" spans="1:5">
      <c r="A161" s="10" t="s">
        <v>627</v>
      </c>
      <c r="B161" s="10" t="s">
        <v>628</v>
      </c>
      <c r="C161" s="11">
        <v>0.65600000000000003</v>
      </c>
      <c r="D161" s="10" t="s">
        <v>310</v>
      </c>
      <c r="E161" t="e">
        <v>#N/A</v>
      </c>
    </row>
    <row r="162" spans="1:5">
      <c r="A162" s="10" t="s">
        <v>629</v>
      </c>
      <c r="B162" s="10" t="s">
        <v>630</v>
      </c>
      <c r="C162" s="11">
        <v>0.55200000000000005</v>
      </c>
      <c r="D162" s="10" t="s">
        <v>310</v>
      </c>
      <c r="E162" t="e">
        <v>#N/A</v>
      </c>
    </row>
    <row r="163" spans="1:5">
      <c r="A163" s="10" t="s">
        <v>631</v>
      </c>
      <c r="B163" s="10" t="s">
        <v>632</v>
      </c>
      <c r="C163" s="11">
        <v>0.54600000000000004</v>
      </c>
      <c r="D163" s="10" t="s">
        <v>310</v>
      </c>
      <c r="E163" t="e">
        <v>#N/A</v>
      </c>
    </row>
    <row r="164" spans="1:5">
      <c r="A164" s="10" t="s">
        <v>633</v>
      </c>
      <c r="B164" s="10" t="s">
        <v>634</v>
      </c>
      <c r="C164" s="11">
        <v>0.221</v>
      </c>
      <c r="D164" s="10" t="s">
        <v>310</v>
      </c>
      <c r="E164" t="e">
        <v>#N/A</v>
      </c>
    </row>
    <row r="165" spans="1:5">
      <c r="A165" s="10" t="s">
        <v>635</v>
      </c>
      <c r="B165" s="10" t="s">
        <v>636</v>
      </c>
      <c r="C165" s="11">
        <v>0.219</v>
      </c>
      <c r="D165" s="10" t="s">
        <v>310</v>
      </c>
      <c r="E165" t="e">
        <v>#N/A</v>
      </c>
    </row>
    <row r="166" spans="1:5">
      <c r="A166" s="10" t="s">
        <v>637</v>
      </c>
      <c r="B166" s="10" t="s">
        <v>638</v>
      </c>
      <c r="C166" s="11">
        <v>0.77100000000000002</v>
      </c>
      <c r="D166" s="10" t="s">
        <v>310</v>
      </c>
      <c r="E166" t="e">
        <v>#N/A</v>
      </c>
    </row>
    <row r="167" spans="1:5">
      <c r="A167" s="10" t="s">
        <v>639</v>
      </c>
      <c r="B167" s="10" t="s">
        <v>640</v>
      </c>
      <c r="C167" s="11">
        <v>0.442</v>
      </c>
      <c r="D167" s="10" t="s">
        <v>310</v>
      </c>
      <c r="E167" t="e">
        <v>#N/A</v>
      </c>
    </row>
    <row r="168" spans="1:5">
      <c r="A168" s="10" t="s">
        <v>641</v>
      </c>
      <c r="B168" s="10" t="s">
        <v>642</v>
      </c>
      <c r="C168" s="11">
        <v>0.437</v>
      </c>
      <c r="D168" s="10" t="s">
        <v>310</v>
      </c>
      <c r="E168" t="e">
        <v>#N/A</v>
      </c>
    </row>
    <row r="169" spans="1:5">
      <c r="A169" s="10" t="s">
        <v>643</v>
      </c>
      <c r="B169" s="10" t="s">
        <v>644</v>
      </c>
      <c r="C169" s="11">
        <v>1.1000000000000001</v>
      </c>
      <c r="D169" s="10" t="s">
        <v>310</v>
      </c>
      <c r="E169" t="e">
        <v>#N/A</v>
      </c>
    </row>
    <row r="170" spans="1:5">
      <c r="A170" s="10" t="s">
        <v>645</v>
      </c>
      <c r="B170" s="10" t="s">
        <v>646</v>
      </c>
      <c r="C170" s="11">
        <v>0.88300000000000001</v>
      </c>
      <c r="D170" s="10" t="s">
        <v>310</v>
      </c>
      <c r="E170" t="e">
        <v>#N/A</v>
      </c>
    </row>
    <row r="171" spans="1:5">
      <c r="A171" s="10" t="s">
        <v>647</v>
      </c>
      <c r="B171" s="10" t="s">
        <v>648</v>
      </c>
      <c r="C171" s="11">
        <v>0.874</v>
      </c>
      <c r="D171" s="10" t="s">
        <v>310</v>
      </c>
      <c r="E171" t="e">
        <v>#N/A</v>
      </c>
    </row>
    <row r="172" spans="1:5">
      <c r="A172" s="10" t="s">
        <v>649</v>
      </c>
      <c r="B172" s="10" t="s">
        <v>650</v>
      </c>
      <c r="C172" s="11">
        <v>1.54</v>
      </c>
      <c r="D172" s="10" t="s">
        <v>310</v>
      </c>
      <c r="E172" t="e">
        <v>#N/A</v>
      </c>
    </row>
    <row r="173" spans="1:5">
      <c r="A173" s="10" t="s">
        <v>651</v>
      </c>
      <c r="B173" s="10" t="s">
        <v>652</v>
      </c>
      <c r="C173" s="11">
        <v>0.33100000000000002</v>
      </c>
      <c r="D173" s="10" t="s">
        <v>310</v>
      </c>
      <c r="E173" t="e">
        <v>#N/A</v>
      </c>
    </row>
    <row r="174" spans="1:5">
      <c r="A174" s="10" t="s">
        <v>653</v>
      </c>
      <c r="B174" s="10" t="s">
        <v>654</v>
      </c>
      <c r="C174" s="11">
        <v>0.32800000000000001</v>
      </c>
      <c r="D174" s="10" t="s">
        <v>310</v>
      </c>
      <c r="E174" t="e">
        <v>#N/A</v>
      </c>
    </row>
    <row r="175" spans="1:5">
      <c r="A175" s="10" t="s">
        <v>655</v>
      </c>
      <c r="B175" s="10" t="s">
        <v>656</v>
      </c>
      <c r="C175" s="11">
        <v>1.32</v>
      </c>
      <c r="D175" s="10" t="s">
        <v>310</v>
      </c>
      <c r="E175" t="e">
        <v>#N/A</v>
      </c>
    </row>
    <row r="176" spans="1:5">
      <c r="A176" s="10" t="s">
        <v>657</v>
      </c>
      <c r="B176" s="10" t="s">
        <v>658</v>
      </c>
      <c r="C176" s="11">
        <v>1.31</v>
      </c>
      <c r="D176" s="10" t="s">
        <v>310</v>
      </c>
      <c r="E176" t="e">
        <v>#N/A</v>
      </c>
    </row>
    <row r="177" spans="1:5">
      <c r="A177" s="10" t="s">
        <v>659</v>
      </c>
      <c r="B177" s="10" t="s">
        <v>660</v>
      </c>
      <c r="C177" s="11">
        <v>1.99</v>
      </c>
      <c r="D177" s="10" t="s">
        <v>310</v>
      </c>
      <c r="E177" t="e">
        <v>#N/A</v>
      </c>
    </row>
    <row r="178" spans="1:5">
      <c r="A178" s="10" t="s">
        <v>661</v>
      </c>
      <c r="B178" s="10" t="s">
        <v>662</v>
      </c>
      <c r="C178" s="11">
        <v>1.77</v>
      </c>
      <c r="D178" s="10" t="s">
        <v>310</v>
      </c>
      <c r="E178" t="e">
        <v>#N/A</v>
      </c>
    </row>
    <row r="179" spans="1:5">
      <c r="A179" s="10" t="s">
        <v>663</v>
      </c>
      <c r="B179" s="10" t="s">
        <v>664</v>
      </c>
      <c r="C179" s="11">
        <v>2.2000000000000002</v>
      </c>
      <c r="D179" s="10" t="s">
        <v>310</v>
      </c>
      <c r="E179" t="e">
        <v>#N/A</v>
      </c>
    </row>
    <row r="180" spans="1:5">
      <c r="A180" s="10" t="s">
        <v>665</v>
      </c>
      <c r="B180" s="10" t="s">
        <v>666</v>
      </c>
      <c r="C180" s="11">
        <v>0.27400000000000002</v>
      </c>
      <c r="D180" s="10" t="s">
        <v>310</v>
      </c>
      <c r="E180" t="e">
        <v>#N/A</v>
      </c>
    </row>
    <row r="181" spans="1:5">
      <c r="A181" s="10" t="s">
        <v>667</v>
      </c>
      <c r="B181" s="10" t="s">
        <v>668</v>
      </c>
      <c r="C181" s="11">
        <v>2.65</v>
      </c>
      <c r="D181" s="10" t="s">
        <v>310</v>
      </c>
      <c r="E181" t="e">
        <v>#N/A</v>
      </c>
    </row>
    <row r="182" spans="1:5">
      <c r="A182" s="10" t="s">
        <v>669</v>
      </c>
      <c r="B182" s="10" t="s">
        <v>670</v>
      </c>
      <c r="C182" s="11">
        <v>0.55200000000000005</v>
      </c>
      <c r="D182" s="10" t="s">
        <v>310</v>
      </c>
      <c r="E182" t="e">
        <v>#N/A</v>
      </c>
    </row>
    <row r="183" spans="1:5">
      <c r="A183" s="10" t="s">
        <v>671</v>
      </c>
      <c r="B183" s="10" t="s">
        <v>672</v>
      </c>
      <c r="C183" s="11">
        <v>0.46</v>
      </c>
      <c r="D183" s="10" t="s">
        <v>310</v>
      </c>
      <c r="E183" t="e">
        <v>#N/A</v>
      </c>
    </row>
    <row r="184" spans="1:5">
      <c r="A184" s="10" t="s">
        <v>673</v>
      </c>
      <c r="B184" s="10" t="s">
        <v>674</v>
      </c>
      <c r="C184" s="11">
        <v>0.184</v>
      </c>
      <c r="D184" s="10" t="s">
        <v>310</v>
      </c>
      <c r="E184" t="e">
        <v>#N/A</v>
      </c>
    </row>
    <row r="185" spans="1:5">
      <c r="A185" s="10" t="s">
        <v>675</v>
      </c>
      <c r="B185" s="10" t="s">
        <v>676</v>
      </c>
      <c r="C185" s="11">
        <v>0.36799999999999999</v>
      </c>
      <c r="D185" s="10" t="s">
        <v>310</v>
      </c>
      <c r="E185" t="e">
        <v>#N/A</v>
      </c>
    </row>
    <row r="186" spans="1:5">
      <c r="A186" s="10" t="s">
        <v>677</v>
      </c>
      <c r="B186" s="10" t="s">
        <v>678</v>
      </c>
      <c r="C186" s="11">
        <v>0.73599999999999999</v>
      </c>
      <c r="D186" s="10" t="s">
        <v>310</v>
      </c>
      <c r="E186" t="e">
        <v>#N/A</v>
      </c>
    </row>
    <row r="187" spans="1:5">
      <c r="A187" s="10" t="s">
        <v>679</v>
      </c>
      <c r="B187" s="10" t="s">
        <v>680</v>
      </c>
      <c r="C187" s="11">
        <v>0.27600000000000002</v>
      </c>
      <c r="D187" s="10" t="s">
        <v>310</v>
      </c>
      <c r="E187" t="e">
        <v>#N/A</v>
      </c>
    </row>
    <row r="188" spans="1:5">
      <c r="A188" s="10" t="s">
        <v>681</v>
      </c>
      <c r="B188" s="10" t="s">
        <v>682</v>
      </c>
      <c r="C188" s="11">
        <v>1.1000000000000001</v>
      </c>
      <c r="D188" s="10" t="s">
        <v>310</v>
      </c>
      <c r="E188" t="e">
        <v>#N/A</v>
      </c>
    </row>
    <row r="189" spans="1:5">
      <c r="A189" s="10" t="s">
        <v>683</v>
      </c>
      <c r="B189" s="10" t="s">
        <v>684</v>
      </c>
      <c r="C189" s="11">
        <v>1.49</v>
      </c>
      <c r="D189" s="10" t="s">
        <v>310</v>
      </c>
      <c r="E189">
        <v>0.8</v>
      </c>
    </row>
    <row r="190" spans="1:5">
      <c r="A190" s="10" t="s">
        <v>685</v>
      </c>
      <c r="B190" s="10" t="s">
        <v>686</v>
      </c>
      <c r="C190" s="11">
        <v>0.8</v>
      </c>
      <c r="D190" s="10" t="s">
        <v>310</v>
      </c>
      <c r="E190">
        <v>0.8</v>
      </c>
    </row>
    <row r="191" spans="1:5">
      <c r="A191" s="10" t="s">
        <v>687</v>
      </c>
      <c r="B191" s="10" t="s">
        <v>688</v>
      </c>
      <c r="C191" s="11">
        <v>2.34</v>
      </c>
      <c r="D191" s="10" t="s">
        <v>310</v>
      </c>
      <c r="E191">
        <v>0.8</v>
      </c>
    </row>
    <row r="192" spans="1:5">
      <c r="A192" s="10" t="s">
        <v>689</v>
      </c>
      <c r="B192" s="10" t="s">
        <v>690</v>
      </c>
      <c r="C192" s="11">
        <v>1.23</v>
      </c>
      <c r="D192" s="10" t="s">
        <v>310</v>
      </c>
      <c r="E192">
        <v>0.8</v>
      </c>
    </row>
    <row r="193" spans="1:5">
      <c r="A193" s="10" t="s">
        <v>691</v>
      </c>
      <c r="B193" s="10" t="s">
        <v>692</v>
      </c>
      <c r="C193" s="11">
        <v>1.8</v>
      </c>
      <c r="D193" s="10" t="s">
        <v>310</v>
      </c>
      <c r="E193">
        <v>0.8</v>
      </c>
    </row>
    <row r="194" spans="1:5">
      <c r="A194" s="10" t="s">
        <v>693</v>
      </c>
      <c r="B194" s="10" t="s">
        <v>694</v>
      </c>
      <c r="C194" s="11">
        <v>1.1599999999999999</v>
      </c>
      <c r="D194" s="10" t="s">
        <v>310</v>
      </c>
      <c r="E194">
        <v>0.8</v>
      </c>
    </row>
    <row r="195" spans="1:5">
      <c r="A195" s="10" t="s">
        <v>695</v>
      </c>
      <c r="B195" s="10" t="s">
        <v>696</v>
      </c>
      <c r="C195" s="11">
        <v>1.92</v>
      </c>
      <c r="D195" s="10" t="s">
        <v>310</v>
      </c>
      <c r="E195">
        <v>0.8</v>
      </c>
    </row>
    <row r="196" spans="1:5">
      <c r="A196" s="10" t="s">
        <v>697</v>
      </c>
      <c r="B196" s="10" t="s">
        <v>698</v>
      </c>
      <c r="C196" s="11">
        <v>1.01</v>
      </c>
      <c r="D196" s="10" t="s">
        <v>310</v>
      </c>
      <c r="E196">
        <v>0.8</v>
      </c>
    </row>
    <row r="197" spans="1:5">
      <c r="A197" s="10" t="s">
        <v>699</v>
      </c>
      <c r="B197" s="10" t="s">
        <v>700</v>
      </c>
      <c r="C197" s="11">
        <v>1.48</v>
      </c>
      <c r="D197" s="10" t="s">
        <v>310</v>
      </c>
      <c r="E197">
        <v>0.8</v>
      </c>
    </row>
    <row r="198" spans="1:5">
      <c r="A198" s="10" t="s">
        <v>701</v>
      </c>
      <c r="B198" s="10" t="s">
        <v>702</v>
      </c>
      <c r="C198" s="11">
        <v>0.38</v>
      </c>
      <c r="D198" s="10" t="s">
        <v>310</v>
      </c>
      <c r="E198">
        <v>0.8</v>
      </c>
    </row>
    <row r="199" spans="1:5">
      <c r="A199" s="10" t="s">
        <v>703</v>
      </c>
      <c r="B199" s="10" t="s">
        <v>704</v>
      </c>
      <c r="C199" s="11">
        <v>1.44</v>
      </c>
      <c r="D199" s="10" t="s">
        <v>310</v>
      </c>
      <c r="E199">
        <v>0.8</v>
      </c>
    </row>
    <row r="200" spans="1:5">
      <c r="A200" s="10" t="s">
        <v>705</v>
      </c>
      <c r="B200" s="10" t="s">
        <v>706</v>
      </c>
      <c r="C200" s="11">
        <v>2.12</v>
      </c>
      <c r="D200" s="10" t="s">
        <v>310</v>
      </c>
      <c r="E200">
        <v>0.8</v>
      </c>
    </row>
    <row r="201" spans="1:5">
      <c r="A201" s="10" t="s">
        <v>707</v>
      </c>
      <c r="B201" s="10" t="s">
        <v>708</v>
      </c>
      <c r="C201" s="11">
        <v>1.44</v>
      </c>
      <c r="D201" s="10" t="s">
        <v>310</v>
      </c>
      <c r="E201">
        <v>0.8</v>
      </c>
    </row>
    <row r="202" spans="1:5">
      <c r="A202" s="10" t="s">
        <v>709</v>
      </c>
      <c r="B202" s="10" t="s">
        <v>710</v>
      </c>
      <c r="C202" s="11">
        <v>3.19</v>
      </c>
      <c r="D202" s="10" t="s">
        <v>310</v>
      </c>
      <c r="E202">
        <v>0.8</v>
      </c>
    </row>
    <row r="203" spans="1:5">
      <c r="A203" s="10" t="s">
        <v>711</v>
      </c>
      <c r="B203" s="10" t="s">
        <v>712</v>
      </c>
      <c r="C203" s="11">
        <v>4.0999999999999996</v>
      </c>
      <c r="D203" s="10" t="s">
        <v>310</v>
      </c>
      <c r="E203">
        <v>0.8</v>
      </c>
    </row>
    <row r="204" spans="1:5">
      <c r="A204" s="10" t="s">
        <v>713</v>
      </c>
      <c r="B204" s="10" t="s">
        <v>714</v>
      </c>
      <c r="C204" s="11">
        <v>3.07</v>
      </c>
      <c r="D204" s="10" t="s">
        <v>310</v>
      </c>
      <c r="E204">
        <v>0.8</v>
      </c>
    </row>
    <row r="205" spans="1:5">
      <c r="A205" s="10" t="s">
        <v>715</v>
      </c>
      <c r="B205" s="10" t="s">
        <v>716</v>
      </c>
      <c r="C205" s="11">
        <v>5.9</v>
      </c>
      <c r="D205" s="10" t="s">
        <v>310</v>
      </c>
      <c r="E205">
        <v>0.8</v>
      </c>
    </row>
    <row r="206" spans="1:5">
      <c r="A206" s="10" t="s">
        <v>717</v>
      </c>
      <c r="B206" s="10" t="s">
        <v>718</v>
      </c>
      <c r="C206" s="11">
        <v>5</v>
      </c>
      <c r="D206" s="10" t="s">
        <v>310</v>
      </c>
      <c r="E206">
        <v>0.8</v>
      </c>
    </row>
    <row r="207" spans="1:5">
      <c r="A207" s="10" t="s">
        <v>719</v>
      </c>
      <c r="B207" s="10" t="s">
        <v>720</v>
      </c>
      <c r="C207" s="11">
        <v>3.62</v>
      </c>
      <c r="D207" s="10" t="s">
        <v>310</v>
      </c>
      <c r="E207">
        <v>0.8</v>
      </c>
    </row>
    <row r="208" spans="1:5">
      <c r="A208" s="10" t="s">
        <v>721</v>
      </c>
      <c r="B208" s="10" t="s">
        <v>722</v>
      </c>
      <c r="C208" s="11">
        <v>2.75</v>
      </c>
      <c r="D208" s="10" t="s">
        <v>310</v>
      </c>
      <c r="E208">
        <v>0.8</v>
      </c>
    </row>
    <row r="209" spans="1:5">
      <c r="A209" s="10" t="s">
        <v>723</v>
      </c>
      <c r="B209" s="10" t="s">
        <v>724</v>
      </c>
      <c r="C209" s="11">
        <v>3.19</v>
      </c>
      <c r="D209" s="10" t="s">
        <v>310</v>
      </c>
      <c r="E209">
        <v>0.8</v>
      </c>
    </row>
    <row r="210" spans="1:5">
      <c r="A210" s="10" t="s">
        <v>725</v>
      </c>
      <c r="B210" s="10" t="s">
        <v>726</v>
      </c>
      <c r="C210" s="11">
        <v>1.65</v>
      </c>
      <c r="D210" s="10" t="s">
        <v>310</v>
      </c>
      <c r="E210">
        <v>0.8</v>
      </c>
    </row>
    <row r="211" spans="1:5">
      <c r="A211" s="10" t="s">
        <v>727</v>
      </c>
      <c r="B211" s="10" t="s">
        <v>728</v>
      </c>
      <c r="C211" s="11">
        <v>2.44</v>
      </c>
      <c r="D211" s="10" t="s">
        <v>310</v>
      </c>
      <c r="E211">
        <v>0.8</v>
      </c>
    </row>
    <row r="212" spans="1:5">
      <c r="A212" s="10" t="s">
        <v>729</v>
      </c>
      <c r="B212" s="10" t="s">
        <v>730</v>
      </c>
      <c r="C212" s="11">
        <v>4.7</v>
      </c>
      <c r="D212" s="10" t="s">
        <v>310</v>
      </c>
      <c r="E212">
        <v>0.8</v>
      </c>
    </row>
    <row r="213" spans="1:5">
      <c r="A213" s="10" t="s">
        <v>731</v>
      </c>
      <c r="B213" s="10" t="s">
        <v>732</v>
      </c>
      <c r="C213" s="11">
        <v>3.92</v>
      </c>
      <c r="D213" s="10" t="s">
        <v>310</v>
      </c>
      <c r="E213">
        <v>0.8</v>
      </c>
    </row>
    <row r="214" spans="1:5">
      <c r="A214" s="10" t="s">
        <v>733</v>
      </c>
      <c r="B214" s="10" t="s">
        <v>734</v>
      </c>
      <c r="C214" s="11">
        <v>4.9000000000000004</v>
      </c>
      <c r="D214" s="10" t="s">
        <v>310</v>
      </c>
      <c r="E214">
        <v>0.8</v>
      </c>
    </row>
    <row r="215" spans="1:5">
      <c r="A215" s="10" t="s">
        <v>735</v>
      </c>
      <c r="B215" s="10" t="s">
        <v>736</v>
      </c>
      <c r="C215" s="11">
        <v>5.8</v>
      </c>
      <c r="D215" s="10" t="s">
        <v>310</v>
      </c>
      <c r="E215">
        <v>0.8</v>
      </c>
    </row>
    <row r="216" spans="1:5">
      <c r="A216" s="10" t="s">
        <v>737</v>
      </c>
      <c r="B216" s="10" t="s">
        <v>738</v>
      </c>
      <c r="C216" s="11">
        <v>8.5</v>
      </c>
      <c r="D216" s="10" t="s">
        <v>310</v>
      </c>
      <c r="E216">
        <v>0.8</v>
      </c>
    </row>
    <row r="217" spans="1:5">
      <c r="A217" s="10" t="s">
        <v>739</v>
      </c>
      <c r="B217" s="10" t="s">
        <v>740</v>
      </c>
      <c r="C217" s="11">
        <v>7.2</v>
      </c>
      <c r="D217" s="10" t="s">
        <v>310</v>
      </c>
      <c r="E217">
        <v>0.8</v>
      </c>
    </row>
    <row r="218" spans="1:5">
      <c r="A218" s="10" t="s">
        <v>741</v>
      </c>
      <c r="B218" s="10" t="s">
        <v>742</v>
      </c>
      <c r="C218" s="11">
        <v>5.4</v>
      </c>
      <c r="D218" s="10" t="s">
        <v>310</v>
      </c>
      <c r="E218">
        <v>0.8</v>
      </c>
    </row>
    <row r="219" spans="1:5">
      <c r="A219" s="10" t="s">
        <v>743</v>
      </c>
      <c r="B219" s="10" t="s">
        <v>744</v>
      </c>
      <c r="C219" s="11">
        <v>7.9</v>
      </c>
      <c r="D219" s="10" t="s">
        <v>310</v>
      </c>
      <c r="E219">
        <v>0.8</v>
      </c>
    </row>
    <row r="220" spans="1:5">
      <c r="A220" s="10" t="s">
        <v>745</v>
      </c>
      <c r="B220" s="10" t="s">
        <v>746</v>
      </c>
      <c r="C220" s="11">
        <v>6.6</v>
      </c>
      <c r="D220" s="10" t="s">
        <v>310</v>
      </c>
      <c r="E220">
        <v>0.8</v>
      </c>
    </row>
    <row r="221" spans="1:5">
      <c r="A221" s="10" t="s">
        <v>747</v>
      </c>
      <c r="B221" s="10" t="s">
        <v>748</v>
      </c>
      <c r="C221" s="11">
        <v>4.5</v>
      </c>
      <c r="D221" s="10" t="s">
        <v>310</v>
      </c>
      <c r="E221">
        <v>0.8</v>
      </c>
    </row>
    <row r="222" spans="1:5">
      <c r="A222" s="10" t="s">
        <v>749</v>
      </c>
      <c r="B222" s="10" t="s">
        <v>750</v>
      </c>
      <c r="C222" s="11">
        <v>3.39</v>
      </c>
      <c r="D222" s="10" t="s">
        <v>310</v>
      </c>
      <c r="E222">
        <v>0.8</v>
      </c>
    </row>
    <row r="223" spans="1:5">
      <c r="A223" s="10" t="s">
        <v>751</v>
      </c>
      <c r="B223" s="10" t="s">
        <v>752</v>
      </c>
      <c r="C223" s="11">
        <v>6.6</v>
      </c>
      <c r="D223" s="10" t="s">
        <v>310</v>
      </c>
      <c r="E223">
        <v>0.8</v>
      </c>
    </row>
    <row r="224" spans="1:5">
      <c r="A224" s="10" t="s">
        <v>753</v>
      </c>
      <c r="B224" s="10" t="s">
        <v>754</v>
      </c>
      <c r="C224" s="11">
        <v>5.6</v>
      </c>
      <c r="D224" s="10" t="s">
        <v>310</v>
      </c>
      <c r="E224">
        <v>0.8</v>
      </c>
    </row>
    <row r="225" spans="1:5">
      <c r="A225" s="10" t="s">
        <v>755</v>
      </c>
      <c r="B225" s="10" t="s">
        <v>756</v>
      </c>
      <c r="C225" s="11">
        <v>4.0999999999999996</v>
      </c>
      <c r="D225" s="10" t="s">
        <v>310</v>
      </c>
      <c r="E225">
        <v>0.8</v>
      </c>
    </row>
    <row r="226" spans="1:5">
      <c r="A226" s="10" t="s">
        <v>757</v>
      </c>
      <c r="B226" s="10" t="s">
        <v>758</v>
      </c>
      <c r="C226" s="11">
        <v>3.07</v>
      </c>
      <c r="D226" s="10" t="s">
        <v>310</v>
      </c>
      <c r="E226">
        <v>0.8</v>
      </c>
    </row>
    <row r="227" spans="1:5">
      <c r="A227" s="10" t="s">
        <v>759</v>
      </c>
      <c r="B227" s="10" t="s">
        <v>760</v>
      </c>
      <c r="C227" s="11">
        <v>5.9</v>
      </c>
      <c r="D227" s="10" t="s">
        <v>310</v>
      </c>
      <c r="E227">
        <v>0.8</v>
      </c>
    </row>
    <row r="228" spans="1:5">
      <c r="A228" s="10" t="s">
        <v>761</v>
      </c>
      <c r="B228" s="10" t="s">
        <v>762</v>
      </c>
      <c r="C228" s="11">
        <v>5</v>
      </c>
      <c r="D228" s="10" t="s">
        <v>310</v>
      </c>
      <c r="E228">
        <v>0.8</v>
      </c>
    </row>
    <row r="229" spans="1:5">
      <c r="A229" s="10" t="s">
        <v>763</v>
      </c>
      <c r="B229" s="10" t="s">
        <v>764</v>
      </c>
      <c r="C229" s="11">
        <v>9.4</v>
      </c>
      <c r="D229" s="10" t="s">
        <v>310</v>
      </c>
      <c r="E229">
        <v>0.8</v>
      </c>
    </row>
    <row r="230" spans="1:5">
      <c r="A230" s="10" t="s">
        <v>765</v>
      </c>
      <c r="B230" s="10" t="s">
        <v>766</v>
      </c>
      <c r="C230" s="11">
        <v>4.9000000000000004</v>
      </c>
      <c r="D230" s="10" t="s">
        <v>310</v>
      </c>
      <c r="E230">
        <v>0.8</v>
      </c>
    </row>
    <row r="231" spans="1:5">
      <c r="A231" s="10" t="s">
        <v>767</v>
      </c>
      <c r="B231" s="10" t="s">
        <v>768</v>
      </c>
      <c r="C231" s="11">
        <v>3.71</v>
      </c>
      <c r="D231" s="10" t="s">
        <v>310</v>
      </c>
      <c r="E231">
        <v>0.8</v>
      </c>
    </row>
    <row r="232" spans="1:5">
      <c r="A232" s="10" t="s">
        <v>769</v>
      </c>
      <c r="B232" s="10" t="s">
        <v>770</v>
      </c>
      <c r="C232" s="11">
        <v>7.2</v>
      </c>
      <c r="D232" s="10" t="s">
        <v>310</v>
      </c>
      <c r="E232">
        <v>0.8</v>
      </c>
    </row>
    <row r="233" spans="1:5">
      <c r="A233" s="10" t="s">
        <v>771</v>
      </c>
      <c r="B233" s="10" t="s">
        <v>772</v>
      </c>
      <c r="C233" s="11">
        <v>6.1</v>
      </c>
      <c r="D233" s="10" t="s">
        <v>310</v>
      </c>
      <c r="E233">
        <v>0.8</v>
      </c>
    </row>
    <row r="234" spans="1:5">
      <c r="A234" s="10" t="s">
        <v>773</v>
      </c>
      <c r="B234" s="10" t="s">
        <v>774</v>
      </c>
      <c r="C234" s="11">
        <v>0.59</v>
      </c>
      <c r="D234" s="10" t="s">
        <v>310</v>
      </c>
      <c r="E234">
        <v>0.8</v>
      </c>
    </row>
    <row r="235" spans="1:5">
      <c r="A235" s="10" t="s">
        <v>775</v>
      </c>
      <c r="B235" s="10" t="s">
        <v>776</v>
      </c>
      <c r="C235" s="11">
        <v>9.7200000000000006</v>
      </c>
      <c r="D235" s="10" t="s">
        <v>310</v>
      </c>
      <c r="E235">
        <v>0.8</v>
      </c>
    </row>
    <row r="236" spans="1:5">
      <c r="A236" s="10" t="s">
        <v>777</v>
      </c>
      <c r="B236" s="10" t="s">
        <v>778</v>
      </c>
      <c r="C236" s="11">
        <v>11.1</v>
      </c>
      <c r="D236" s="10" t="s">
        <v>310</v>
      </c>
      <c r="E236">
        <v>0.8</v>
      </c>
    </row>
    <row r="237" spans="1:5">
      <c r="A237" s="10" t="s">
        <v>779</v>
      </c>
      <c r="B237" s="10" t="s">
        <v>780</v>
      </c>
      <c r="C237" s="11">
        <v>6.2</v>
      </c>
      <c r="D237" s="10" t="s">
        <v>310</v>
      </c>
      <c r="E237">
        <v>0.8</v>
      </c>
    </row>
    <row r="238" spans="1:5">
      <c r="A238" s="10" t="s">
        <v>781</v>
      </c>
      <c r="B238" s="10" t="s">
        <v>782</v>
      </c>
      <c r="C238" s="11">
        <v>9.1</v>
      </c>
      <c r="D238" s="10" t="s">
        <v>310</v>
      </c>
      <c r="E238">
        <v>0.8</v>
      </c>
    </row>
    <row r="239" spans="1:5">
      <c r="A239" s="10" t="s">
        <v>783</v>
      </c>
      <c r="B239" s="10" t="s">
        <v>784</v>
      </c>
      <c r="C239" s="11">
        <v>7.7</v>
      </c>
      <c r="D239" s="10" t="s">
        <v>310</v>
      </c>
      <c r="E239">
        <v>0.8</v>
      </c>
    </row>
    <row r="240" spans="1:5">
      <c r="A240" s="10" t="s">
        <v>785</v>
      </c>
      <c r="B240" s="10" t="s">
        <v>786</v>
      </c>
      <c r="C240" s="11">
        <v>5.8</v>
      </c>
      <c r="D240" s="10" t="s">
        <v>310</v>
      </c>
      <c r="E240">
        <v>0.8</v>
      </c>
    </row>
    <row r="241" spans="1:5">
      <c r="A241" s="10" t="s">
        <v>787</v>
      </c>
      <c r="B241" s="10" t="s">
        <v>788</v>
      </c>
      <c r="C241" s="11">
        <v>8.5</v>
      </c>
      <c r="D241" s="10" t="s">
        <v>310</v>
      </c>
      <c r="E241">
        <v>0.8</v>
      </c>
    </row>
    <row r="242" spans="1:5">
      <c r="A242" s="10" t="s">
        <v>789</v>
      </c>
      <c r="B242" s="10" t="s">
        <v>790</v>
      </c>
      <c r="C242" s="11">
        <v>7.2</v>
      </c>
      <c r="D242" s="10" t="s">
        <v>310</v>
      </c>
      <c r="E242">
        <v>0.8</v>
      </c>
    </row>
    <row r="243" spans="1:5">
      <c r="A243" s="10" t="s">
        <v>791</v>
      </c>
      <c r="B243" s="10" t="s">
        <v>792</v>
      </c>
      <c r="C243" s="11">
        <v>12.8</v>
      </c>
      <c r="D243" s="10" t="s">
        <v>310</v>
      </c>
      <c r="E243">
        <v>0.8</v>
      </c>
    </row>
    <row r="244" spans="1:5">
      <c r="A244" s="10" t="s">
        <v>793</v>
      </c>
      <c r="B244" s="10" t="s">
        <v>794</v>
      </c>
      <c r="C244" s="11">
        <v>6.6</v>
      </c>
      <c r="D244" s="10" t="s">
        <v>310</v>
      </c>
      <c r="E244">
        <v>0.8</v>
      </c>
    </row>
    <row r="245" spans="1:5">
      <c r="A245" s="10" t="s">
        <v>795</v>
      </c>
      <c r="B245" s="10" t="s">
        <v>796</v>
      </c>
      <c r="C245" s="11">
        <v>9.8000000000000007</v>
      </c>
      <c r="D245" s="10" t="s">
        <v>310</v>
      </c>
      <c r="E245">
        <v>0.8</v>
      </c>
    </row>
    <row r="246" spans="1:5">
      <c r="A246" s="10" t="s">
        <v>797</v>
      </c>
      <c r="B246" s="10" t="s">
        <v>798</v>
      </c>
      <c r="C246" s="11">
        <v>8.1999999999999993</v>
      </c>
      <c r="D246" s="10" t="s">
        <v>310</v>
      </c>
      <c r="E246">
        <v>0.8</v>
      </c>
    </row>
    <row r="247" spans="1:5">
      <c r="A247" s="10" t="s">
        <v>799</v>
      </c>
      <c r="B247" s="10" t="s">
        <v>800</v>
      </c>
      <c r="C247" s="11">
        <v>7</v>
      </c>
      <c r="D247" s="10" t="s">
        <v>310</v>
      </c>
      <c r="E247">
        <v>0.8</v>
      </c>
    </row>
    <row r="248" spans="1:5">
      <c r="A248" s="10" t="s">
        <v>801</v>
      </c>
      <c r="B248" s="10" t="s">
        <v>802</v>
      </c>
      <c r="C248" s="11">
        <v>10.4</v>
      </c>
      <c r="D248" s="10" t="s">
        <v>310</v>
      </c>
      <c r="E248">
        <v>0.8</v>
      </c>
    </row>
    <row r="249" spans="1:5">
      <c r="A249" s="10" t="s">
        <v>803</v>
      </c>
      <c r="B249" s="10" t="s">
        <v>804</v>
      </c>
      <c r="C249" s="11">
        <v>8.6999999999999993</v>
      </c>
      <c r="D249" s="10" t="s">
        <v>310</v>
      </c>
      <c r="E249">
        <v>0.8</v>
      </c>
    </row>
    <row r="250" spans="1:5">
      <c r="A250" s="10" t="s">
        <v>805</v>
      </c>
      <c r="B250" s="10" t="s">
        <v>806</v>
      </c>
      <c r="C250" s="11">
        <v>6.6</v>
      </c>
      <c r="D250" s="10" t="s">
        <v>310</v>
      </c>
      <c r="E250">
        <v>0.8</v>
      </c>
    </row>
    <row r="251" spans="1:5">
      <c r="A251" s="10" t="s">
        <v>807</v>
      </c>
      <c r="B251" s="10" t="s">
        <v>808</v>
      </c>
      <c r="C251" s="11">
        <v>9.8000000000000007</v>
      </c>
      <c r="D251" s="10" t="s">
        <v>310</v>
      </c>
      <c r="E251">
        <v>0.8</v>
      </c>
    </row>
    <row r="252" spans="1:5">
      <c r="A252" s="10" t="s">
        <v>809</v>
      </c>
      <c r="B252" s="10" t="s">
        <v>810</v>
      </c>
      <c r="C252" s="11">
        <v>8.1999999999999993</v>
      </c>
      <c r="D252" s="10" t="s">
        <v>310</v>
      </c>
      <c r="E252">
        <v>0.8</v>
      </c>
    </row>
    <row r="253" spans="1:5">
      <c r="A253" s="10" t="s">
        <v>811</v>
      </c>
      <c r="B253" s="10" t="s">
        <v>812</v>
      </c>
      <c r="C253" s="11">
        <v>16.2</v>
      </c>
      <c r="D253" s="10" t="s">
        <v>310</v>
      </c>
      <c r="E253">
        <v>0.8</v>
      </c>
    </row>
    <row r="254" spans="1:5">
      <c r="A254" s="10" t="s">
        <v>813</v>
      </c>
      <c r="B254" s="10" t="s">
        <v>814</v>
      </c>
      <c r="C254" s="11">
        <v>12.3</v>
      </c>
      <c r="D254" s="10" t="s">
        <v>310</v>
      </c>
      <c r="E254">
        <v>0.8</v>
      </c>
    </row>
    <row r="255" spans="1:5">
      <c r="A255" s="10" t="s">
        <v>815</v>
      </c>
      <c r="B255" s="10" t="s">
        <v>816</v>
      </c>
      <c r="C255" s="11">
        <v>10.3</v>
      </c>
      <c r="D255" s="10" t="s">
        <v>310</v>
      </c>
      <c r="E255">
        <v>0.8</v>
      </c>
    </row>
    <row r="256" spans="1:5">
      <c r="A256" s="10" t="s">
        <v>817</v>
      </c>
      <c r="B256" s="10" t="s">
        <v>818</v>
      </c>
      <c r="C256" s="11">
        <v>0.48</v>
      </c>
      <c r="D256" s="10" t="s">
        <v>310</v>
      </c>
      <c r="E256">
        <v>0.8</v>
      </c>
    </row>
    <row r="257" spans="1:5">
      <c r="A257" s="10" t="s">
        <v>819</v>
      </c>
      <c r="B257" s="10" t="s">
        <v>820</v>
      </c>
      <c r="C257" s="11">
        <v>7.9</v>
      </c>
      <c r="D257" s="10" t="s">
        <v>310</v>
      </c>
      <c r="E257">
        <v>0.8</v>
      </c>
    </row>
    <row r="258" spans="1:5">
      <c r="A258" s="10" t="s">
        <v>821</v>
      </c>
      <c r="B258" s="10" t="s">
        <v>822</v>
      </c>
      <c r="C258" s="11">
        <v>11.7</v>
      </c>
      <c r="D258" s="10" t="s">
        <v>310</v>
      </c>
      <c r="E258">
        <v>0.8</v>
      </c>
    </row>
    <row r="259" spans="1:5">
      <c r="A259" s="10" t="s">
        <v>823</v>
      </c>
      <c r="B259" s="10" t="s">
        <v>824</v>
      </c>
      <c r="C259" s="11">
        <v>9.8000000000000007</v>
      </c>
      <c r="D259" s="10" t="s">
        <v>310</v>
      </c>
      <c r="E259">
        <v>0.8</v>
      </c>
    </row>
    <row r="260" spans="1:5">
      <c r="A260" s="10" t="s">
        <v>825</v>
      </c>
      <c r="B260" s="10" t="s">
        <v>826</v>
      </c>
      <c r="C260" s="11">
        <v>12.3</v>
      </c>
      <c r="D260" s="10" t="s">
        <v>310</v>
      </c>
      <c r="E260">
        <v>0.8</v>
      </c>
    </row>
    <row r="261" spans="1:5">
      <c r="A261" s="10" t="s">
        <v>827</v>
      </c>
      <c r="B261" s="10" t="s">
        <v>828</v>
      </c>
      <c r="C261" s="11">
        <v>10.3</v>
      </c>
      <c r="D261" s="10" t="s">
        <v>310</v>
      </c>
      <c r="E261">
        <v>0.8</v>
      </c>
    </row>
    <row r="262" spans="1:5">
      <c r="A262" s="10" t="s">
        <v>829</v>
      </c>
      <c r="B262" s="10" t="s">
        <v>830</v>
      </c>
      <c r="C262" s="11">
        <v>14.9</v>
      </c>
      <c r="D262" s="10" t="s">
        <v>310</v>
      </c>
      <c r="E262">
        <v>0.8</v>
      </c>
    </row>
    <row r="263" spans="1:5">
      <c r="A263" s="10" t="s">
        <v>831</v>
      </c>
      <c r="B263" s="10" t="s">
        <v>832</v>
      </c>
      <c r="C263" s="11">
        <v>12.5</v>
      </c>
      <c r="D263" s="10" t="s">
        <v>310</v>
      </c>
      <c r="E263">
        <v>0.8</v>
      </c>
    </row>
    <row r="264" spans="1:5">
      <c r="A264" s="10" t="s">
        <v>833</v>
      </c>
      <c r="B264" s="10" t="s">
        <v>834</v>
      </c>
      <c r="C264" s="11">
        <v>0.94</v>
      </c>
      <c r="D264" s="10" t="s">
        <v>310</v>
      </c>
      <c r="E264">
        <v>4</v>
      </c>
    </row>
    <row r="265" spans="1:5">
      <c r="A265" s="10" t="s">
        <v>835</v>
      </c>
      <c r="B265" s="10" t="s">
        <v>836</v>
      </c>
      <c r="C265" s="11">
        <v>0.94</v>
      </c>
      <c r="D265" s="10" t="s">
        <v>310</v>
      </c>
      <c r="E265">
        <v>4</v>
      </c>
    </row>
    <row r="266" spans="1:5">
      <c r="A266" s="10" t="s">
        <v>837</v>
      </c>
      <c r="B266" s="10" t="s">
        <v>838</v>
      </c>
      <c r="C266" s="11">
        <v>0.78600000000000003</v>
      </c>
      <c r="D266" s="10" t="s">
        <v>310</v>
      </c>
      <c r="E266">
        <v>4</v>
      </c>
    </row>
    <row r="267" spans="1:5">
      <c r="A267" s="10" t="s">
        <v>839</v>
      </c>
      <c r="B267" s="10" t="s">
        <v>840</v>
      </c>
      <c r="C267" s="11">
        <v>0.78600000000000003</v>
      </c>
      <c r="D267" s="10" t="s">
        <v>310</v>
      </c>
      <c r="E267">
        <v>4</v>
      </c>
    </row>
    <row r="268" spans="1:5">
      <c r="A268" s="10" t="s">
        <v>841</v>
      </c>
      <c r="B268" s="10" t="s">
        <v>842</v>
      </c>
      <c r="C268" s="11">
        <v>0.29399999999999998</v>
      </c>
      <c r="D268" s="10" t="s">
        <v>310</v>
      </c>
      <c r="E268">
        <v>4</v>
      </c>
    </row>
    <row r="269" spans="1:5">
      <c r="A269" s="10" t="s">
        <v>843</v>
      </c>
      <c r="B269" s="10" t="s">
        <v>844</v>
      </c>
      <c r="C269" s="11">
        <v>0.29399999999999998</v>
      </c>
      <c r="D269" s="10" t="s">
        <v>310</v>
      </c>
      <c r="E269">
        <v>4</v>
      </c>
    </row>
    <row r="270" spans="1:5">
      <c r="A270" s="10" t="s">
        <v>845</v>
      </c>
      <c r="B270" s="10" t="s">
        <v>846</v>
      </c>
      <c r="C270" s="11">
        <v>0.58099999999999996</v>
      </c>
      <c r="D270" s="10" t="s">
        <v>310</v>
      </c>
      <c r="E270">
        <v>4</v>
      </c>
    </row>
    <row r="271" spans="1:5">
      <c r="A271" s="10" t="s">
        <v>847</v>
      </c>
      <c r="B271" s="10" t="s">
        <v>848</v>
      </c>
      <c r="C271" s="11">
        <v>0.58099999999999996</v>
      </c>
      <c r="D271" s="10" t="s">
        <v>310</v>
      </c>
      <c r="E271">
        <v>4</v>
      </c>
    </row>
    <row r="272" spans="1:5">
      <c r="A272" s="10" t="s">
        <v>849</v>
      </c>
      <c r="B272" s="10" t="s">
        <v>850</v>
      </c>
      <c r="C272" s="11">
        <v>2</v>
      </c>
      <c r="D272" s="10" t="s">
        <v>310</v>
      </c>
      <c r="E272">
        <v>4</v>
      </c>
    </row>
    <row r="273" spans="1:5">
      <c r="A273" s="10" t="s">
        <v>851</v>
      </c>
      <c r="B273" s="10" t="s">
        <v>852</v>
      </c>
      <c r="C273" s="11">
        <v>2</v>
      </c>
      <c r="D273" s="10" t="s">
        <v>310</v>
      </c>
      <c r="E273">
        <v>4</v>
      </c>
    </row>
    <row r="274" spans="1:5">
      <c r="A274" s="10" t="s">
        <v>853</v>
      </c>
      <c r="B274" s="10" t="s">
        <v>854</v>
      </c>
      <c r="C274" s="11">
        <v>1.26</v>
      </c>
      <c r="D274" s="10" t="s">
        <v>310</v>
      </c>
      <c r="E274">
        <v>4</v>
      </c>
    </row>
    <row r="275" spans="1:5">
      <c r="A275" s="10" t="s">
        <v>855</v>
      </c>
      <c r="B275" s="10" t="s">
        <v>856</v>
      </c>
      <c r="C275" s="11">
        <v>1.26</v>
      </c>
      <c r="D275" s="10" t="s">
        <v>310</v>
      </c>
      <c r="E275">
        <v>4</v>
      </c>
    </row>
    <row r="276" spans="1:5">
      <c r="A276" s="10" t="s">
        <v>857</v>
      </c>
      <c r="B276" s="10" t="s">
        <v>858</v>
      </c>
      <c r="C276" s="11">
        <v>3.15</v>
      </c>
      <c r="D276" s="10" t="s">
        <v>310</v>
      </c>
      <c r="E276">
        <v>4</v>
      </c>
    </row>
    <row r="277" spans="1:5">
      <c r="A277" s="10" t="s">
        <v>859</v>
      </c>
      <c r="B277" s="10" t="s">
        <v>860</v>
      </c>
      <c r="C277" s="11">
        <v>3.15</v>
      </c>
      <c r="D277" s="10" t="s">
        <v>310</v>
      </c>
      <c r="E277">
        <v>4</v>
      </c>
    </row>
    <row r="278" spans="1:5">
      <c r="A278" s="10" t="s">
        <v>861</v>
      </c>
      <c r="B278" s="10" t="s">
        <v>862</v>
      </c>
      <c r="C278" s="11">
        <v>0.39100000000000001</v>
      </c>
      <c r="D278" s="10" t="s">
        <v>310</v>
      </c>
      <c r="E278">
        <v>4</v>
      </c>
    </row>
    <row r="279" spans="1:5">
      <c r="A279" s="10" t="s">
        <v>863</v>
      </c>
      <c r="B279" s="10" t="s">
        <v>864</v>
      </c>
      <c r="C279" s="11">
        <v>0.39100000000000001</v>
      </c>
      <c r="D279" s="10" t="s">
        <v>310</v>
      </c>
      <c r="E279">
        <v>4</v>
      </c>
    </row>
    <row r="280" spans="1:5">
      <c r="A280" s="10" t="s">
        <v>865</v>
      </c>
      <c r="B280" s="10" t="s">
        <v>866</v>
      </c>
      <c r="C280" s="11">
        <v>2.62</v>
      </c>
      <c r="D280" s="10" t="s">
        <v>310</v>
      </c>
      <c r="E280">
        <v>4</v>
      </c>
    </row>
    <row r="281" spans="1:5">
      <c r="A281" s="10" t="s">
        <v>867</v>
      </c>
      <c r="B281" s="10" t="s">
        <v>868</v>
      </c>
      <c r="C281" s="11">
        <v>2.62</v>
      </c>
      <c r="D281" s="10" t="s">
        <v>310</v>
      </c>
      <c r="E281">
        <v>4</v>
      </c>
    </row>
    <row r="282" spans="1:5">
      <c r="A282" s="10" t="s">
        <v>869</v>
      </c>
      <c r="B282" s="10" t="s">
        <v>870</v>
      </c>
      <c r="C282" s="11">
        <v>3.73</v>
      </c>
      <c r="D282" s="10" t="s">
        <v>310</v>
      </c>
      <c r="E282">
        <v>4</v>
      </c>
    </row>
    <row r="283" spans="1:5">
      <c r="A283" s="10" t="s">
        <v>871</v>
      </c>
      <c r="B283" s="10" t="s">
        <v>872</v>
      </c>
      <c r="C283" s="11">
        <v>3.73</v>
      </c>
      <c r="D283" s="10" t="s">
        <v>310</v>
      </c>
      <c r="E283">
        <v>4</v>
      </c>
    </row>
    <row r="284" spans="1:5">
      <c r="A284" s="10" t="s">
        <v>873</v>
      </c>
      <c r="B284" s="10" t="s">
        <v>874</v>
      </c>
      <c r="C284" s="11">
        <v>5.0599999999999996</v>
      </c>
      <c r="D284" s="10" t="s">
        <v>310</v>
      </c>
      <c r="E284">
        <v>4</v>
      </c>
    </row>
    <row r="285" spans="1:5">
      <c r="A285" s="10" t="s">
        <v>875</v>
      </c>
      <c r="B285" s="10" t="s">
        <v>876</v>
      </c>
      <c r="C285" s="11">
        <v>5.0599999999999996</v>
      </c>
      <c r="D285" s="10" t="s">
        <v>310</v>
      </c>
      <c r="E285">
        <v>4</v>
      </c>
    </row>
    <row r="286" spans="1:5">
      <c r="A286" s="10" t="s">
        <v>877</v>
      </c>
      <c r="B286" s="10" t="s">
        <v>878</v>
      </c>
      <c r="C286" s="11">
        <v>6.56</v>
      </c>
      <c r="D286" s="10" t="s">
        <v>310</v>
      </c>
      <c r="E286">
        <v>4</v>
      </c>
    </row>
    <row r="287" spans="1:5">
      <c r="A287" s="10" t="s">
        <v>879</v>
      </c>
      <c r="B287" s="10" t="s">
        <v>880</v>
      </c>
      <c r="C287" s="11">
        <v>6.56</v>
      </c>
      <c r="D287" s="10" t="s">
        <v>310</v>
      </c>
      <c r="E287">
        <v>4</v>
      </c>
    </row>
    <row r="288" spans="1:5">
      <c r="A288" s="10" t="s">
        <v>881</v>
      </c>
      <c r="B288" s="10" t="s">
        <v>882</v>
      </c>
      <c r="C288" s="11">
        <v>9.8800000000000008</v>
      </c>
      <c r="D288" s="10" t="s">
        <v>310</v>
      </c>
      <c r="E288">
        <v>4</v>
      </c>
    </row>
    <row r="289" spans="1:5">
      <c r="A289" s="10" t="s">
        <v>883</v>
      </c>
      <c r="B289" s="10" t="s">
        <v>884</v>
      </c>
      <c r="C289" s="11">
        <v>9.8800000000000008</v>
      </c>
      <c r="D289" s="10" t="s">
        <v>310</v>
      </c>
      <c r="E289">
        <v>4</v>
      </c>
    </row>
    <row r="290" spans="1:5">
      <c r="A290" s="10" t="s">
        <v>885</v>
      </c>
      <c r="B290" s="10" t="s">
        <v>886</v>
      </c>
      <c r="C290" s="11">
        <v>0.63500000000000001</v>
      </c>
      <c r="D290" s="10" t="s">
        <v>310</v>
      </c>
      <c r="E290">
        <v>4</v>
      </c>
    </row>
    <row r="291" spans="1:5">
      <c r="A291" s="10" t="s">
        <v>887</v>
      </c>
      <c r="B291" s="10" t="s">
        <v>888</v>
      </c>
      <c r="C291" s="11">
        <v>0.63500000000000001</v>
      </c>
      <c r="D291" s="10" t="s">
        <v>310</v>
      </c>
      <c r="E291">
        <v>4</v>
      </c>
    </row>
    <row r="292" spans="1:5">
      <c r="A292" s="10" t="s">
        <v>889</v>
      </c>
      <c r="B292" s="10" t="s">
        <v>890</v>
      </c>
      <c r="C292" s="11">
        <v>1.1599999999999999</v>
      </c>
      <c r="D292" s="10" t="s">
        <v>310</v>
      </c>
      <c r="E292">
        <v>4</v>
      </c>
    </row>
    <row r="293" spans="1:5">
      <c r="A293" s="10" t="s">
        <v>891</v>
      </c>
      <c r="B293" s="10" t="s">
        <v>892</v>
      </c>
      <c r="C293" s="11">
        <v>1.1599999999999999</v>
      </c>
      <c r="D293" s="10" t="s">
        <v>310</v>
      </c>
      <c r="E293">
        <v>4</v>
      </c>
    </row>
    <row r="294" spans="1:5">
      <c r="A294" s="10" t="s">
        <v>893</v>
      </c>
      <c r="B294" s="10" t="s">
        <v>894</v>
      </c>
      <c r="C294" s="11">
        <v>0.86599999999999999</v>
      </c>
      <c r="D294" s="10" t="s">
        <v>310</v>
      </c>
      <c r="E294">
        <v>4</v>
      </c>
    </row>
    <row r="295" spans="1:5">
      <c r="A295" s="10" t="s">
        <v>895</v>
      </c>
      <c r="B295" s="10" t="s">
        <v>896</v>
      </c>
      <c r="C295" s="11">
        <v>0.86599999999999999</v>
      </c>
      <c r="D295" s="10" t="s">
        <v>310</v>
      </c>
      <c r="E295">
        <v>4</v>
      </c>
    </row>
    <row r="296" spans="1:5">
      <c r="A296" s="10" t="s">
        <v>897</v>
      </c>
      <c r="B296" s="10" t="s">
        <v>898</v>
      </c>
      <c r="C296" s="11">
        <v>3.7</v>
      </c>
      <c r="D296" s="10" t="s">
        <v>310</v>
      </c>
      <c r="E296">
        <v>4</v>
      </c>
    </row>
    <row r="297" spans="1:5">
      <c r="A297" s="10" t="s">
        <v>899</v>
      </c>
      <c r="B297" s="10" t="s">
        <v>900</v>
      </c>
      <c r="C297" s="11">
        <v>3.7</v>
      </c>
      <c r="D297" s="10" t="s">
        <v>310</v>
      </c>
      <c r="E297">
        <v>4</v>
      </c>
    </row>
    <row r="298" spans="1:5">
      <c r="A298" s="10" t="s">
        <v>901</v>
      </c>
      <c r="B298" s="10" t="s">
        <v>902</v>
      </c>
      <c r="C298" s="11">
        <v>2.08</v>
      </c>
      <c r="D298" s="10" t="s">
        <v>310</v>
      </c>
      <c r="E298">
        <v>4</v>
      </c>
    </row>
    <row r="299" spans="1:5">
      <c r="A299" s="10" t="s">
        <v>903</v>
      </c>
      <c r="B299" s="10" t="s">
        <v>904</v>
      </c>
      <c r="C299" s="11">
        <v>2.08</v>
      </c>
      <c r="D299" s="10" t="s">
        <v>310</v>
      </c>
      <c r="E299">
        <v>4</v>
      </c>
    </row>
    <row r="300" spans="1:5">
      <c r="A300" s="10" t="s">
        <v>905</v>
      </c>
      <c r="B300" s="10" t="s">
        <v>906</v>
      </c>
      <c r="C300" s="11">
        <v>2.95</v>
      </c>
      <c r="D300" s="10" t="s">
        <v>310</v>
      </c>
      <c r="E300">
        <v>4</v>
      </c>
    </row>
    <row r="301" spans="1:5">
      <c r="A301" s="10" t="s">
        <v>907</v>
      </c>
      <c r="B301" s="10" t="s">
        <v>908</v>
      </c>
      <c r="C301" s="11">
        <v>2.95</v>
      </c>
      <c r="D301" s="10" t="s">
        <v>310</v>
      </c>
      <c r="E301">
        <v>4</v>
      </c>
    </row>
    <row r="302" spans="1:5">
      <c r="A302" s="10" t="s">
        <v>909</v>
      </c>
      <c r="B302" s="10" t="s">
        <v>910</v>
      </c>
      <c r="C302" s="11">
        <v>1.85</v>
      </c>
      <c r="D302" s="10" t="s">
        <v>310</v>
      </c>
      <c r="E302">
        <v>4</v>
      </c>
    </row>
    <row r="303" spans="1:5">
      <c r="A303" s="10" t="s">
        <v>911</v>
      </c>
      <c r="B303" s="10" t="s">
        <v>912</v>
      </c>
      <c r="C303" s="11">
        <v>1.85</v>
      </c>
      <c r="D303" s="10" t="s">
        <v>310</v>
      </c>
      <c r="E303">
        <v>4</v>
      </c>
    </row>
    <row r="304" spans="1:5">
      <c r="A304" s="10" t="s">
        <v>913</v>
      </c>
      <c r="B304" s="10" t="s">
        <v>914</v>
      </c>
      <c r="C304" s="11">
        <v>1.62</v>
      </c>
      <c r="D304" s="10" t="s">
        <v>310</v>
      </c>
      <c r="E304">
        <v>4</v>
      </c>
    </row>
    <row r="305" spans="1:5">
      <c r="A305" s="10" t="s">
        <v>915</v>
      </c>
      <c r="B305" s="10" t="s">
        <v>916</v>
      </c>
      <c r="C305" s="11">
        <v>1.62</v>
      </c>
      <c r="D305" s="10" t="s">
        <v>310</v>
      </c>
      <c r="E305">
        <v>4</v>
      </c>
    </row>
    <row r="306" spans="1:5">
      <c r="A306" s="10" t="s">
        <v>917</v>
      </c>
      <c r="B306" s="10" t="s">
        <v>918</v>
      </c>
      <c r="C306" s="11">
        <v>2.31</v>
      </c>
      <c r="D306" s="10" t="s">
        <v>310</v>
      </c>
      <c r="E306">
        <v>4</v>
      </c>
    </row>
    <row r="307" spans="1:5">
      <c r="A307" s="10" t="s">
        <v>919</v>
      </c>
      <c r="B307" s="10" t="s">
        <v>920</v>
      </c>
      <c r="C307" s="11">
        <v>2.31</v>
      </c>
      <c r="D307" s="10" t="s">
        <v>310</v>
      </c>
      <c r="E307">
        <v>4</v>
      </c>
    </row>
    <row r="308" spans="1:5">
      <c r="A308" s="10" t="s">
        <v>921</v>
      </c>
      <c r="B308" s="10" t="s">
        <v>922</v>
      </c>
      <c r="C308" s="11">
        <v>2.25</v>
      </c>
      <c r="D308" s="10" t="s">
        <v>310</v>
      </c>
      <c r="E308">
        <v>4</v>
      </c>
    </row>
    <row r="309" spans="1:5">
      <c r="A309" s="10" t="s">
        <v>923</v>
      </c>
      <c r="B309" s="10" t="s">
        <v>924</v>
      </c>
      <c r="C309" s="11">
        <v>2.25</v>
      </c>
      <c r="D309" s="10" t="s">
        <v>310</v>
      </c>
      <c r="E309">
        <v>4</v>
      </c>
    </row>
    <row r="310" spans="1:5">
      <c r="A310" s="10" t="s">
        <v>925</v>
      </c>
      <c r="B310" s="10" t="s">
        <v>926</v>
      </c>
      <c r="C310" s="11">
        <v>1.33</v>
      </c>
      <c r="D310" s="10" t="s">
        <v>310</v>
      </c>
      <c r="E310">
        <v>4</v>
      </c>
    </row>
    <row r="311" spans="1:5">
      <c r="A311" s="10" t="s">
        <v>927</v>
      </c>
      <c r="B311" s="10" t="s">
        <v>928</v>
      </c>
      <c r="C311" s="11">
        <v>1.33</v>
      </c>
      <c r="D311" s="10" t="s">
        <v>310</v>
      </c>
      <c r="E311">
        <v>4</v>
      </c>
    </row>
    <row r="312" spans="1:5">
      <c r="A312" s="10" t="s">
        <v>929</v>
      </c>
      <c r="B312" s="10" t="s">
        <v>930</v>
      </c>
      <c r="C312" s="11">
        <v>5.54</v>
      </c>
      <c r="D312" s="10" t="s">
        <v>310</v>
      </c>
      <c r="E312">
        <v>4</v>
      </c>
    </row>
    <row r="313" spans="1:5">
      <c r="A313" s="10" t="s">
        <v>931</v>
      </c>
      <c r="B313" s="10" t="s">
        <v>932</v>
      </c>
      <c r="C313" s="11">
        <v>5.54</v>
      </c>
      <c r="D313" s="10" t="s">
        <v>310</v>
      </c>
      <c r="E313">
        <v>4</v>
      </c>
    </row>
    <row r="314" spans="1:5">
      <c r="A314" s="10" t="s">
        <v>933</v>
      </c>
      <c r="B314" s="10" t="s">
        <v>934</v>
      </c>
      <c r="C314" s="11">
        <v>3</v>
      </c>
      <c r="D314" s="10" t="s">
        <v>310</v>
      </c>
      <c r="E314">
        <v>4</v>
      </c>
    </row>
    <row r="315" spans="1:5">
      <c r="A315" s="10" t="s">
        <v>935</v>
      </c>
      <c r="B315" s="10" t="s">
        <v>936</v>
      </c>
      <c r="C315" s="11">
        <v>3</v>
      </c>
      <c r="D315" s="10" t="s">
        <v>310</v>
      </c>
      <c r="E315">
        <v>4</v>
      </c>
    </row>
    <row r="316" spans="1:5">
      <c r="A316" s="10" t="s">
        <v>937</v>
      </c>
      <c r="B316" s="10" t="s">
        <v>938</v>
      </c>
      <c r="C316" s="11">
        <v>4.62</v>
      </c>
      <c r="D316" s="10" t="s">
        <v>310</v>
      </c>
      <c r="E316">
        <v>4</v>
      </c>
    </row>
    <row r="317" spans="1:5">
      <c r="A317" s="10" t="s">
        <v>939</v>
      </c>
      <c r="B317" s="10" t="s">
        <v>940</v>
      </c>
      <c r="C317" s="11">
        <v>4.62</v>
      </c>
      <c r="D317" s="10" t="s">
        <v>310</v>
      </c>
      <c r="E317">
        <v>4</v>
      </c>
    </row>
    <row r="318" spans="1:5">
      <c r="A318" s="10" t="s">
        <v>941</v>
      </c>
      <c r="B318" s="10" t="s">
        <v>942</v>
      </c>
      <c r="C318" s="11">
        <v>3.98</v>
      </c>
      <c r="D318" s="10" t="s">
        <v>310</v>
      </c>
      <c r="E318">
        <v>4</v>
      </c>
    </row>
    <row r="319" spans="1:5">
      <c r="A319" s="10" t="s">
        <v>943</v>
      </c>
      <c r="B319" s="10" t="s">
        <v>944</v>
      </c>
      <c r="C319" s="11">
        <v>3.98</v>
      </c>
      <c r="D319" s="10" t="s">
        <v>310</v>
      </c>
      <c r="E319">
        <v>4</v>
      </c>
    </row>
    <row r="320" spans="1:5">
      <c r="A320" s="10" t="s">
        <v>945</v>
      </c>
      <c r="B320" s="10" t="s">
        <v>946</v>
      </c>
      <c r="C320" s="11">
        <v>2.54</v>
      </c>
      <c r="D320" s="10" t="s">
        <v>310</v>
      </c>
      <c r="E320">
        <v>4</v>
      </c>
    </row>
    <row r="321" spans="1:5">
      <c r="A321" s="10" t="s">
        <v>947</v>
      </c>
      <c r="B321" s="10" t="s">
        <v>948</v>
      </c>
      <c r="C321" s="11">
        <v>2.54</v>
      </c>
      <c r="D321" s="10" t="s">
        <v>310</v>
      </c>
      <c r="E321">
        <v>4</v>
      </c>
    </row>
    <row r="322" spans="1:5">
      <c r="A322" s="10" t="s">
        <v>949</v>
      </c>
      <c r="B322" s="10" t="s">
        <v>950</v>
      </c>
      <c r="C322" s="11">
        <v>6</v>
      </c>
      <c r="D322" s="10" t="s">
        <v>310</v>
      </c>
      <c r="E322">
        <v>4</v>
      </c>
    </row>
    <row r="323" spans="1:5">
      <c r="A323" s="10" t="s">
        <v>951</v>
      </c>
      <c r="B323" s="10" t="s">
        <v>952</v>
      </c>
      <c r="C323" s="11">
        <v>6</v>
      </c>
      <c r="D323" s="10" t="s">
        <v>310</v>
      </c>
      <c r="E323">
        <v>4</v>
      </c>
    </row>
    <row r="324" spans="1:5">
      <c r="A324" s="10" t="s">
        <v>953</v>
      </c>
      <c r="B324" s="10" t="s">
        <v>954</v>
      </c>
      <c r="C324" s="11">
        <v>1.79</v>
      </c>
      <c r="D324" s="10" t="s">
        <v>310</v>
      </c>
      <c r="E324">
        <v>4</v>
      </c>
    </row>
    <row r="325" spans="1:5">
      <c r="A325" s="10" t="s">
        <v>955</v>
      </c>
      <c r="B325" s="10" t="s">
        <v>956</v>
      </c>
      <c r="C325" s="11">
        <v>1.79</v>
      </c>
      <c r="D325" s="10" t="s">
        <v>310</v>
      </c>
      <c r="E325">
        <v>4</v>
      </c>
    </row>
    <row r="326" spans="1:5">
      <c r="A326" s="10" t="s">
        <v>957</v>
      </c>
      <c r="B326" s="10" t="s">
        <v>958</v>
      </c>
      <c r="C326" s="11">
        <v>7.39</v>
      </c>
      <c r="D326" s="10" t="s">
        <v>310</v>
      </c>
      <c r="E326">
        <v>4</v>
      </c>
    </row>
    <row r="327" spans="1:5">
      <c r="A327" s="10" t="s">
        <v>959</v>
      </c>
      <c r="B327" s="10" t="s">
        <v>960</v>
      </c>
      <c r="C327" s="11">
        <v>7.39</v>
      </c>
      <c r="D327" s="10" t="s">
        <v>310</v>
      </c>
      <c r="E327">
        <v>4</v>
      </c>
    </row>
    <row r="328" spans="1:5">
      <c r="A328" s="10" t="s">
        <v>961</v>
      </c>
      <c r="B328" s="10" t="s">
        <v>962</v>
      </c>
      <c r="C328" s="11">
        <v>6.47</v>
      </c>
      <c r="D328" s="10" t="s">
        <v>310</v>
      </c>
      <c r="E328">
        <v>4</v>
      </c>
    </row>
    <row r="329" spans="1:5">
      <c r="A329" s="10" t="s">
        <v>963</v>
      </c>
      <c r="B329" s="10" t="s">
        <v>964</v>
      </c>
      <c r="C329" s="11">
        <v>6.47</v>
      </c>
      <c r="D329" s="10" t="s">
        <v>310</v>
      </c>
      <c r="E329">
        <v>4</v>
      </c>
    </row>
    <row r="330" spans="1:5">
      <c r="A330" s="10" t="s">
        <v>965</v>
      </c>
      <c r="B330" s="10" t="s">
        <v>966</v>
      </c>
      <c r="C330" s="11">
        <v>3.46</v>
      </c>
      <c r="D330" s="10" t="s">
        <v>310</v>
      </c>
      <c r="E330">
        <v>4</v>
      </c>
    </row>
    <row r="331" spans="1:5">
      <c r="A331" s="10" t="s">
        <v>967</v>
      </c>
      <c r="B331" s="10" t="s">
        <v>968</v>
      </c>
      <c r="C331" s="11">
        <v>3.46</v>
      </c>
      <c r="D331" s="10" t="s">
        <v>310</v>
      </c>
      <c r="E331">
        <v>4</v>
      </c>
    </row>
    <row r="332" spans="1:5">
      <c r="A332" s="10" t="s">
        <v>969</v>
      </c>
      <c r="B332" s="10" t="s">
        <v>970</v>
      </c>
      <c r="C332" s="11">
        <v>9.24</v>
      </c>
      <c r="D332" s="10" t="s">
        <v>310</v>
      </c>
      <c r="E332">
        <v>4</v>
      </c>
    </row>
    <row r="333" spans="1:5">
      <c r="A333" s="10" t="s">
        <v>971</v>
      </c>
      <c r="B333" s="10" t="s">
        <v>972</v>
      </c>
      <c r="C333" s="11">
        <v>9.24</v>
      </c>
      <c r="D333" s="10" t="s">
        <v>310</v>
      </c>
      <c r="E333">
        <v>4</v>
      </c>
    </row>
    <row r="334" spans="1:5">
      <c r="A334" s="10" t="s">
        <v>973</v>
      </c>
      <c r="B334" s="10" t="s">
        <v>974</v>
      </c>
      <c r="C334" s="11">
        <v>8.31</v>
      </c>
      <c r="D334" s="10" t="s">
        <v>310</v>
      </c>
      <c r="E334">
        <v>4</v>
      </c>
    </row>
    <row r="335" spans="1:5">
      <c r="A335" s="10" t="s">
        <v>975</v>
      </c>
      <c r="B335" s="10" t="s">
        <v>976</v>
      </c>
      <c r="C335" s="11">
        <v>8.31</v>
      </c>
      <c r="D335" s="10" t="s">
        <v>310</v>
      </c>
      <c r="E335">
        <v>4</v>
      </c>
    </row>
    <row r="336" spans="1:5">
      <c r="A336" s="10" t="s">
        <v>977</v>
      </c>
      <c r="B336" s="10" t="s">
        <v>978</v>
      </c>
      <c r="C336" s="11">
        <v>4.3899999999999997</v>
      </c>
      <c r="D336" s="10" t="s">
        <v>310</v>
      </c>
      <c r="E336">
        <v>4</v>
      </c>
    </row>
    <row r="337" spans="1:5">
      <c r="A337" s="10" t="s">
        <v>979</v>
      </c>
      <c r="B337" s="10" t="s">
        <v>980</v>
      </c>
      <c r="C337" s="11">
        <v>4.3899999999999997</v>
      </c>
      <c r="D337" s="10" t="s">
        <v>310</v>
      </c>
      <c r="E337">
        <v>4</v>
      </c>
    </row>
    <row r="338" spans="1:5">
      <c r="A338" s="10" t="s">
        <v>981</v>
      </c>
      <c r="B338" s="10" t="s">
        <v>982</v>
      </c>
      <c r="C338" s="11">
        <v>2.7</v>
      </c>
      <c r="D338" s="10" t="s">
        <v>310</v>
      </c>
      <c r="E338">
        <v>4</v>
      </c>
    </row>
    <row r="339" spans="1:5">
      <c r="A339" s="10" t="s">
        <v>983</v>
      </c>
      <c r="B339" s="10" t="s">
        <v>984</v>
      </c>
      <c r="C339" s="11">
        <v>2.7</v>
      </c>
      <c r="D339" s="10" t="s">
        <v>310</v>
      </c>
      <c r="E339">
        <v>4</v>
      </c>
    </row>
    <row r="340" spans="1:5">
      <c r="A340" s="10" t="s">
        <v>985</v>
      </c>
      <c r="B340" s="10" t="s">
        <v>986</v>
      </c>
      <c r="C340" s="11">
        <v>11</v>
      </c>
      <c r="D340" s="10" t="s">
        <v>310</v>
      </c>
      <c r="E340">
        <v>4</v>
      </c>
    </row>
    <row r="341" spans="1:5">
      <c r="A341" s="10" t="s">
        <v>987</v>
      </c>
      <c r="B341" s="10" t="s">
        <v>988</v>
      </c>
      <c r="C341" s="11">
        <v>11</v>
      </c>
      <c r="D341" s="10" t="s">
        <v>310</v>
      </c>
      <c r="E341">
        <v>4</v>
      </c>
    </row>
    <row r="342" spans="1:5">
      <c r="A342" s="10" t="s">
        <v>989</v>
      </c>
      <c r="B342" s="10" t="s">
        <v>990</v>
      </c>
      <c r="C342" s="11">
        <v>10.1</v>
      </c>
      <c r="D342" s="10" t="s">
        <v>310</v>
      </c>
      <c r="E342">
        <v>4</v>
      </c>
    </row>
    <row r="343" spans="1:5">
      <c r="A343" s="10" t="s">
        <v>991</v>
      </c>
      <c r="B343" s="10" t="s">
        <v>992</v>
      </c>
      <c r="C343" s="11">
        <v>10.1</v>
      </c>
      <c r="D343" s="10" t="s">
        <v>310</v>
      </c>
      <c r="E343">
        <v>4</v>
      </c>
    </row>
    <row r="344" spans="1:5">
      <c r="A344" s="10" t="s">
        <v>993</v>
      </c>
      <c r="B344" s="10" t="s">
        <v>994</v>
      </c>
      <c r="C344" s="11">
        <v>5.31</v>
      </c>
      <c r="D344" s="10" t="s">
        <v>310</v>
      </c>
      <c r="E344">
        <v>4</v>
      </c>
    </row>
    <row r="345" spans="1:5">
      <c r="A345" s="10" t="s">
        <v>995</v>
      </c>
      <c r="B345" s="10" t="s">
        <v>996</v>
      </c>
      <c r="C345" s="11">
        <v>5.31</v>
      </c>
      <c r="D345" s="10" t="s">
        <v>310</v>
      </c>
      <c r="E345">
        <v>4</v>
      </c>
    </row>
    <row r="346" spans="1:5">
      <c r="A346" s="10" t="s">
        <v>997</v>
      </c>
      <c r="B346" s="10" t="s">
        <v>998</v>
      </c>
      <c r="C346" s="11">
        <v>1.8440000000000001</v>
      </c>
      <c r="D346" s="10" t="s">
        <v>310</v>
      </c>
      <c r="E346">
        <v>4</v>
      </c>
    </row>
    <row r="347" spans="1:5">
      <c r="A347" s="10" t="s">
        <v>999</v>
      </c>
      <c r="B347" s="10" t="s">
        <v>1000</v>
      </c>
      <c r="C347" s="11">
        <v>1.8440000000000001</v>
      </c>
      <c r="D347" s="10" t="s">
        <v>310</v>
      </c>
      <c r="E347">
        <v>4</v>
      </c>
    </row>
    <row r="348" spans="1:5">
      <c r="A348" s="10" t="s">
        <v>1001</v>
      </c>
      <c r="B348" s="10" t="s">
        <v>1002</v>
      </c>
      <c r="C348" s="11">
        <v>12</v>
      </c>
      <c r="D348" s="10" t="s">
        <v>310</v>
      </c>
      <c r="E348">
        <v>4</v>
      </c>
    </row>
    <row r="349" spans="1:5">
      <c r="A349" s="10" t="s">
        <v>1003</v>
      </c>
      <c r="B349" s="10" t="s">
        <v>1004</v>
      </c>
      <c r="C349" s="11">
        <v>12</v>
      </c>
      <c r="D349" s="10" t="s">
        <v>310</v>
      </c>
      <c r="E349">
        <v>4</v>
      </c>
    </row>
    <row r="350" spans="1:5">
      <c r="A350" s="10" t="s">
        <v>1005</v>
      </c>
      <c r="B350" s="10" t="s">
        <v>1006</v>
      </c>
      <c r="C350" s="11">
        <v>10.5</v>
      </c>
      <c r="D350" s="10" t="s">
        <v>310</v>
      </c>
      <c r="E350">
        <v>4</v>
      </c>
    </row>
    <row r="351" spans="1:5">
      <c r="A351" s="10" t="s">
        <v>1007</v>
      </c>
      <c r="B351" s="10" t="s">
        <v>1008</v>
      </c>
      <c r="C351" s="11">
        <v>10.5</v>
      </c>
      <c r="D351" s="10" t="s">
        <v>310</v>
      </c>
      <c r="E351">
        <v>4</v>
      </c>
    </row>
    <row r="352" spans="1:5">
      <c r="A352" s="10" t="s">
        <v>1009</v>
      </c>
      <c r="B352" s="10" t="s">
        <v>1010</v>
      </c>
      <c r="C352" s="11">
        <v>0.69099999999999995</v>
      </c>
      <c r="D352" s="10" t="s">
        <v>310</v>
      </c>
      <c r="E352">
        <v>4</v>
      </c>
    </row>
    <row r="353" spans="1:5">
      <c r="A353" s="10" t="s">
        <v>1011</v>
      </c>
      <c r="B353" s="10" t="s">
        <v>1012</v>
      </c>
      <c r="C353" s="11">
        <v>0.67600000000000005</v>
      </c>
      <c r="D353" s="10" t="s">
        <v>310</v>
      </c>
      <c r="E353">
        <v>4</v>
      </c>
    </row>
    <row r="354" spans="1:5">
      <c r="A354" s="10" t="s">
        <v>1013</v>
      </c>
      <c r="B354" s="10" t="s">
        <v>1014</v>
      </c>
      <c r="C354" s="11">
        <v>0.97099999999999997</v>
      </c>
      <c r="D354" s="10" t="s">
        <v>310</v>
      </c>
      <c r="E354">
        <v>4</v>
      </c>
    </row>
    <row r="355" spans="1:5">
      <c r="A355" s="10" t="s">
        <v>1015</v>
      </c>
      <c r="B355" s="10" t="s">
        <v>1016</v>
      </c>
      <c r="C355" s="11">
        <v>1.103</v>
      </c>
      <c r="D355" s="10" t="s">
        <v>310</v>
      </c>
      <c r="E355">
        <v>4</v>
      </c>
    </row>
    <row r="356" spans="1:5">
      <c r="A356" s="10" t="s">
        <v>1017</v>
      </c>
      <c r="B356" s="10" t="s">
        <v>1018</v>
      </c>
      <c r="C356" s="11">
        <v>1.103</v>
      </c>
      <c r="D356" s="10" t="s">
        <v>310</v>
      </c>
      <c r="E356">
        <v>4</v>
      </c>
    </row>
    <row r="357" spans="1:5">
      <c r="A357" s="10" t="s">
        <v>1019</v>
      </c>
      <c r="B357" s="10" t="s">
        <v>1020</v>
      </c>
      <c r="C357" s="11">
        <v>1.2749999999999999</v>
      </c>
      <c r="D357" s="10" t="s">
        <v>310</v>
      </c>
      <c r="E357">
        <v>4</v>
      </c>
    </row>
    <row r="358" spans="1:5">
      <c r="A358" s="10" t="s">
        <v>1021</v>
      </c>
      <c r="B358" s="10" t="s">
        <v>1022</v>
      </c>
      <c r="C358" s="11">
        <v>1.861</v>
      </c>
      <c r="D358" s="10" t="s">
        <v>310</v>
      </c>
      <c r="E358">
        <v>4</v>
      </c>
    </row>
    <row r="359" spans="1:5">
      <c r="A359" s="10" t="s">
        <v>1023</v>
      </c>
      <c r="B359" s="10" t="s">
        <v>1024</v>
      </c>
      <c r="C359" s="11">
        <v>0.82399999999999995</v>
      </c>
      <c r="D359" s="10" t="s">
        <v>310</v>
      </c>
      <c r="E359">
        <v>4</v>
      </c>
    </row>
    <row r="360" spans="1:5">
      <c r="A360" s="10" t="s">
        <v>1025</v>
      </c>
      <c r="B360" s="10" t="s">
        <v>1026</v>
      </c>
      <c r="C360" s="11">
        <v>0.82399999999999995</v>
      </c>
      <c r="D360" s="10" t="s">
        <v>310</v>
      </c>
      <c r="E360">
        <v>4</v>
      </c>
    </row>
    <row r="361" spans="1:5">
      <c r="A361" s="10" t="s">
        <v>1027</v>
      </c>
      <c r="B361" s="10" t="s">
        <v>1028</v>
      </c>
      <c r="C361" s="11">
        <v>1.1259999999999999</v>
      </c>
      <c r="D361" s="10" t="s">
        <v>310</v>
      </c>
      <c r="E361">
        <v>4</v>
      </c>
    </row>
    <row r="362" spans="1:5">
      <c r="A362" s="10" t="s">
        <v>1029</v>
      </c>
      <c r="B362" s="10" t="s">
        <v>1030</v>
      </c>
      <c r="C362" s="11">
        <v>1.35</v>
      </c>
      <c r="D362" s="10" t="s">
        <v>310</v>
      </c>
      <c r="E362">
        <v>4</v>
      </c>
    </row>
    <row r="363" spans="1:5">
      <c r="A363" s="10" t="s">
        <v>1031</v>
      </c>
      <c r="B363" s="10" t="s">
        <v>1032</v>
      </c>
      <c r="C363" s="11">
        <v>1.4239999999999999</v>
      </c>
      <c r="D363" s="10" t="s">
        <v>310</v>
      </c>
      <c r="E363">
        <v>4</v>
      </c>
    </row>
    <row r="364" spans="1:5">
      <c r="A364" s="10" t="s">
        <v>1033</v>
      </c>
      <c r="B364" s="10" t="s">
        <v>1034</v>
      </c>
      <c r="C364" s="11">
        <v>2.024</v>
      </c>
      <c r="D364" s="10" t="s">
        <v>310</v>
      </c>
      <c r="E364">
        <v>4</v>
      </c>
    </row>
    <row r="365" spans="1:5">
      <c r="A365" s="10" t="s">
        <v>1035</v>
      </c>
      <c r="B365" s="10" t="s">
        <v>1036</v>
      </c>
      <c r="C365" s="11">
        <v>1.409</v>
      </c>
      <c r="D365" s="10" t="s">
        <v>310</v>
      </c>
      <c r="E365">
        <v>4</v>
      </c>
    </row>
    <row r="366" spans="1:5">
      <c r="A366" s="10" t="s">
        <v>1037</v>
      </c>
      <c r="B366" s="10" t="s">
        <v>1038</v>
      </c>
      <c r="C366" s="11">
        <v>1.4119999999999999</v>
      </c>
      <c r="D366" s="10" t="s">
        <v>310</v>
      </c>
      <c r="E366">
        <v>4</v>
      </c>
    </row>
    <row r="367" spans="1:5">
      <c r="A367" s="10" t="s">
        <v>1039</v>
      </c>
      <c r="B367" s="10" t="s">
        <v>1040</v>
      </c>
      <c r="C367" s="11">
        <v>2.7</v>
      </c>
      <c r="D367" s="10" t="s">
        <v>310</v>
      </c>
      <c r="E367">
        <v>4</v>
      </c>
    </row>
    <row r="368" spans="1:5">
      <c r="A368" s="10" t="s">
        <v>1041</v>
      </c>
      <c r="B368" s="10" t="s">
        <v>1042</v>
      </c>
      <c r="C368" s="11">
        <v>1.726</v>
      </c>
      <c r="D368" s="10" t="s">
        <v>310</v>
      </c>
      <c r="E368">
        <v>4</v>
      </c>
    </row>
    <row r="369" spans="1:5">
      <c r="A369" s="10" t="s">
        <v>1043</v>
      </c>
      <c r="B369" s="10" t="s">
        <v>1044</v>
      </c>
      <c r="C369" s="11">
        <v>1.726</v>
      </c>
      <c r="D369" s="10" t="s">
        <v>310</v>
      </c>
      <c r="E369">
        <v>4</v>
      </c>
    </row>
    <row r="370" spans="1:5">
      <c r="A370" s="10" t="s">
        <v>1045</v>
      </c>
      <c r="B370" s="10" t="s">
        <v>1046</v>
      </c>
      <c r="C370" s="11">
        <v>4.726</v>
      </c>
      <c r="D370" s="10" t="s">
        <v>310</v>
      </c>
      <c r="E370">
        <v>4</v>
      </c>
    </row>
    <row r="371" spans="1:5">
      <c r="A371" s="10" t="s">
        <v>1047</v>
      </c>
      <c r="B371" s="10" t="s">
        <v>1048</v>
      </c>
      <c r="C371" s="11">
        <v>2.0249999999999999</v>
      </c>
      <c r="D371" s="10" t="s">
        <v>310</v>
      </c>
      <c r="E371">
        <v>4</v>
      </c>
    </row>
    <row r="372" spans="1:5">
      <c r="A372" s="10" t="s">
        <v>1049</v>
      </c>
      <c r="B372" s="10" t="s">
        <v>1050</v>
      </c>
      <c r="C372" s="11">
        <v>2.0249999999999999</v>
      </c>
      <c r="D372" s="10" t="s">
        <v>310</v>
      </c>
      <c r="E372">
        <v>4</v>
      </c>
    </row>
    <row r="373" spans="1:5">
      <c r="A373" s="10" t="s">
        <v>1051</v>
      </c>
      <c r="B373" s="10" t="s">
        <v>1052</v>
      </c>
      <c r="C373" s="11">
        <v>2.3260000000000001</v>
      </c>
      <c r="D373" s="10" t="s">
        <v>310</v>
      </c>
      <c r="E373">
        <v>4</v>
      </c>
    </row>
    <row r="374" spans="1:5">
      <c r="A374" s="10" t="s">
        <v>1053</v>
      </c>
      <c r="B374" s="10" t="s">
        <v>1054</v>
      </c>
      <c r="C374" s="11">
        <v>2.3260000000000001</v>
      </c>
      <c r="D374" s="10" t="s">
        <v>310</v>
      </c>
      <c r="E374">
        <v>4</v>
      </c>
    </row>
    <row r="375" spans="1:5">
      <c r="A375" s="10" t="s">
        <v>1055</v>
      </c>
      <c r="B375" s="10" t="s">
        <v>1056</v>
      </c>
      <c r="C375" s="11">
        <v>4.5</v>
      </c>
      <c r="D375" s="10" t="s">
        <v>310</v>
      </c>
      <c r="E375">
        <v>4</v>
      </c>
    </row>
    <row r="376" spans="1:5">
      <c r="A376" s="10" t="s">
        <v>1057</v>
      </c>
      <c r="B376" s="10" t="s">
        <v>1058</v>
      </c>
      <c r="C376" s="11">
        <v>2.9239999999999999</v>
      </c>
      <c r="D376" s="10" t="s">
        <v>310</v>
      </c>
      <c r="E376">
        <v>4</v>
      </c>
    </row>
    <row r="377" spans="1:5">
      <c r="A377" s="10" t="s">
        <v>1059</v>
      </c>
      <c r="B377" s="10" t="s">
        <v>1060</v>
      </c>
      <c r="C377" s="11">
        <v>5.6779999999999999</v>
      </c>
      <c r="D377" s="10" t="s">
        <v>310</v>
      </c>
      <c r="E377">
        <v>4</v>
      </c>
    </row>
    <row r="378" spans="1:5">
      <c r="A378" s="10" t="s">
        <v>1061</v>
      </c>
      <c r="B378" s="10" t="s">
        <v>1062</v>
      </c>
      <c r="C378" s="11">
        <v>0.6</v>
      </c>
      <c r="D378" s="10" t="s">
        <v>310</v>
      </c>
      <c r="E378">
        <v>4</v>
      </c>
    </row>
    <row r="379" spans="1:5">
      <c r="A379" s="10" t="s">
        <v>1063</v>
      </c>
      <c r="B379" s="10" t="s">
        <v>1064</v>
      </c>
      <c r="C379" s="11">
        <v>3.9</v>
      </c>
      <c r="D379" s="10" t="s">
        <v>310</v>
      </c>
      <c r="E379">
        <v>4</v>
      </c>
    </row>
    <row r="380" spans="1:5">
      <c r="A380" s="10" t="s">
        <v>1065</v>
      </c>
      <c r="B380" s="10" t="s">
        <v>1066</v>
      </c>
      <c r="C380" s="11">
        <v>3.3719999999999999</v>
      </c>
      <c r="D380" s="10" t="s">
        <v>310</v>
      </c>
      <c r="E380">
        <v>4</v>
      </c>
    </row>
    <row r="381" spans="1:5">
      <c r="A381" s="10" t="s">
        <v>1067</v>
      </c>
      <c r="B381" s="10" t="s">
        <v>1068</v>
      </c>
      <c r="C381" s="11">
        <v>4.9980000000000002</v>
      </c>
      <c r="D381" s="10" t="s">
        <v>310</v>
      </c>
      <c r="E381">
        <v>4</v>
      </c>
    </row>
    <row r="382" spans="1:5">
      <c r="A382" s="10" t="s">
        <v>1069</v>
      </c>
      <c r="B382" s="10" t="s">
        <v>1070</v>
      </c>
      <c r="C382" s="11">
        <v>3.931</v>
      </c>
      <c r="D382" s="10" t="s">
        <v>310</v>
      </c>
      <c r="E382">
        <v>4</v>
      </c>
    </row>
    <row r="383" spans="1:5">
      <c r="A383" s="10" t="s">
        <v>1071</v>
      </c>
      <c r="B383" s="10" t="s">
        <v>1072</v>
      </c>
      <c r="C383" s="11">
        <v>5.6360000000000001</v>
      </c>
      <c r="D383" s="10" t="s">
        <v>310</v>
      </c>
      <c r="E383">
        <v>4</v>
      </c>
    </row>
    <row r="384" spans="1:5">
      <c r="A384" s="10" t="s">
        <v>1073</v>
      </c>
      <c r="B384" s="10" t="s">
        <v>1074</v>
      </c>
      <c r="C384" s="11">
        <v>6.7619999999999996</v>
      </c>
      <c r="D384" s="10" t="s">
        <v>310</v>
      </c>
      <c r="E384">
        <v>4</v>
      </c>
    </row>
    <row r="385" spans="1:5">
      <c r="A385" s="10" t="s">
        <v>1075</v>
      </c>
      <c r="B385" s="10" t="s">
        <v>1076</v>
      </c>
      <c r="C385" s="11">
        <v>10.125999999999999</v>
      </c>
      <c r="D385" s="10" t="s">
        <v>310</v>
      </c>
      <c r="E385">
        <v>4</v>
      </c>
    </row>
    <row r="386" spans="1:5">
      <c r="A386" s="10" t="s">
        <v>1077</v>
      </c>
      <c r="B386" s="10" t="s">
        <v>1078</v>
      </c>
      <c r="C386" s="11">
        <v>10.805</v>
      </c>
      <c r="D386" s="10" t="s">
        <v>310</v>
      </c>
      <c r="E386">
        <v>4</v>
      </c>
    </row>
    <row r="387" spans="1:5">
      <c r="A387" s="10" t="s">
        <v>1079</v>
      </c>
      <c r="B387" s="10" t="s">
        <v>1080</v>
      </c>
      <c r="C387" s="11">
        <v>11.925000000000001</v>
      </c>
      <c r="D387" s="10" t="s">
        <v>310</v>
      </c>
      <c r="E387">
        <v>4</v>
      </c>
    </row>
    <row r="388" spans="1:5">
      <c r="A388" s="10" t="s">
        <v>1081</v>
      </c>
      <c r="B388" s="10" t="s">
        <v>1082</v>
      </c>
      <c r="C388" s="11">
        <v>0.51600000000000001</v>
      </c>
      <c r="D388" s="10" t="s">
        <v>310</v>
      </c>
      <c r="E388">
        <v>4</v>
      </c>
    </row>
    <row r="389" spans="1:5">
      <c r="A389" s="10" t="s">
        <v>1083</v>
      </c>
      <c r="B389" s="10" t="s">
        <v>1084</v>
      </c>
      <c r="C389" s="11">
        <v>0.28000000000000003</v>
      </c>
      <c r="D389" s="10" t="s">
        <v>310</v>
      </c>
      <c r="E389">
        <v>4</v>
      </c>
    </row>
    <row r="390" spans="1:5">
      <c r="A390" s="10" t="s">
        <v>1085</v>
      </c>
      <c r="B390" s="10" t="s">
        <v>1086</v>
      </c>
      <c r="C390" s="11">
        <v>0.81</v>
      </c>
      <c r="D390" s="10" t="s">
        <v>310</v>
      </c>
      <c r="E390">
        <v>4</v>
      </c>
    </row>
    <row r="391" spans="1:5">
      <c r="A391" s="10" t="s">
        <v>1087</v>
      </c>
      <c r="B391" s="10" t="s">
        <v>1088</v>
      </c>
      <c r="C391" s="11">
        <v>0.67600000000000005</v>
      </c>
      <c r="D391" s="10" t="s">
        <v>310</v>
      </c>
      <c r="E391">
        <v>4</v>
      </c>
    </row>
    <row r="392" spans="1:5">
      <c r="A392" s="10" t="s">
        <v>1089</v>
      </c>
      <c r="B392" s="10" t="s">
        <v>1090</v>
      </c>
      <c r="C392" s="11">
        <v>0.95599999999999996</v>
      </c>
      <c r="D392" s="10" t="s">
        <v>310</v>
      </c>
      <c r="E392">
        <v>4</v>
      </c>
    </row>
    <row r="393" spans="1:5">
      <c r="A393" s="10" t="s">
        <v>1091</v>
      </c>
      <c r="B393" s="10" t="s">
        <v>1092</v>
      </c>
      <c r="C393" s="11">
        <v>1.103</v>
      </c>
      <c r="D393" s="10" t="s">
        <v>310</v>
      </c>
      <c r="E393">
        <v>4</v>
      </c>
    </row>
    <row r="394" spans="1:5">
      <c r="A394" s="10" t="s">
        <v>1093</v>
      </c>
      <c r="B394" s="10" t="s">
        <v>1094</v>
      </c>
      <c r="C394" s="11">
        <v>2.0579999999999998</v>
      </c>
      <c r="D394" s="10" t="s">
        <v>310</v>
      </c>
      <c r="E394">
        <v>4</v>
      </c>
    </row>
    <row r="395" spans="1:5">
      <c r="A395" s="10" t="s">
        <v>1095</v>
      </c>
      <c r="B395" s="10" t="s">
        <v>1096</v>
      </c>
      <c r="C395" s="11">
        <v>1.6910000000000001</v>
      </c>
      <c r="D395" s="10" t="s">
        <v>310</v>
      </c>
      <c r="E395">
        <v>4</v>
      </c>
    </row>
    <row r="396" spans="1:5">
      <c r="A396" s="10" t="s">
        <v>1097</v>
      </c>
      <c r="B396" s="10" t="s">
        <v>1098</v>
      </c>
      <c r="C396" s="11">
        <v>3.234</v>
      </c>
      <c r="D396" s="10" t="s">
        <v>310</v>
      </c>
      <c r="E396">
        <v>4</v>
      </c>
    </row>
    <row r="397" spans="1:5">
      <c r="A397" s="10" t="s">
        <v>1099</v>
      </c>
      <c r="B397" s="10" t="s">
        <v>1100</v>
      </c>
      <c r="C397" s="11">
        <v>0.36799999999999999</v>
      </c>
      <c r="D397" s="10" t="s">
        <v>310</v>
      </c>
      <c r="E397">
        <v>4</v>
      </c>
    </row>
    <row r="398" spans="1:5">
      <c r="A398" s="10" t="s">
        <v>1101</v>
      </c>
      <c r="B398" s="10" t="s">
        <v>1102</v>
      </c>
      <c r="C398" s="11">
        <v>2.2789999999999999</v>
      </c>
      <c r="D398" s="10" t="s">
        <v>310</v>
      </c>
      <c r="E398">
        <v>4</v>
      </c>
    </row>
    <row r="399" spans="1:5">
      <c r="A399" s="10" t="s">
        <v>1103</v>
      </c>
      <c r="B399" s="10" t="s">
        <v>1104</v>
      </c>
      <c r="C399" s="11">
        <v>4.41</v>
      </c>
      <c r="D399" s="10" t="s">
        <v>310</v>
      </c>
      <c r="E399">
        <v>4</v>
      </c>
    </row>
    <row r="400" spans="1:5">
      <c r="A400" s="10" t="s">
        <v>1105</v>
      </c>
      <c r="B400" s="10" t="s">
        <v>1106</v>
      </c>
      <c r="C400" s="11">
        <v>4.758</v>
      </c>
      <c r="D400" s="10" t="s">
        <v>310</v>
      </c>
      <c r="E400">
        <v>4</v>
      </c>
    </row>
    <row r="401" spans="1:5">
      <c r="A401" s="10" t="s">
        <v>1107</v>
      </c>
      <c r="B401" s="10" t="s">
        <v>1108</v>
      </c>
      <c r="C401" s="11">
        <v>4.2359999999999998</v>
      </c>
      <c r="D401" s="10" t="s">
        <v>310</v>
      </c>
      <c r="E401">
        <v>4</v>
      </c>
    </row>
    <row r="402" spans="1:5">
      <c r="A402" s="10" t="s">
        <v>1109</v>
      </c>
      <c r="B402" s="10" t="s">
        <v>1110</v>
      </c>
      <c r="C402" s="11">
        <v>0.85</v>
      </c>
      <c r="D402" s="10" t="s">
        <v>310</v>
      </c>
      <c r="E402" t="e">
        <v>#N/A</v>
      </c>
    </row>
    <row r="403" spans="1:5">
      <c r="A403" s="10" t="s">
        <v>1111</v>
      </c>
      <c r="B403" s="10" t="s">
        <v>1112</v>
      </c>
      <c r="C403" s="11">
        <v>1.2749999999999999</v>
      </c>
      <c r="D403" s="10" t="s">
        <v>310</v>
      </c>
      <c r="E403" t="e">
        <v>#N/A</v>
      </c>
    </row>
    <row r="404" spans="1:5">
      <c r="A404" s="10" t="s">
        <v>1113</v>
      </c>
      <c r="B404" s="10" t="s">
        <v>1114</v>
      </c>
      <c r="C404" s="11">
        <v>1.0629999999999999</v>
      </c>
      <c r="D404" s="10" t="s">
        <v>310</v>
      </c>
      <c r="E404" t="e">
        <v>#N/A</v>
      </c>
    </row>
    <row r="405" spans="1:5">
      <c r="A405" s="10" t="s">
        <v>1115</v>
      </c>
      <c r="B405" s="10" t="s">
        <v>1116</v>
      </c>
      <c r="C405" s="11">
        <v>0.42499999999999999</v>
      </c>
      <c r="D405" s="10" t="s">
        <v>310</v>
      </c>
      <c r="E405" t="e">
        <v>#N/A</v>
      </c>
    </row>
    <row r="406" spans="1:5">
      <c r="A406" s="10" t="s">
        <v>1117</v>
      </c>
      <c r="B406" s="10" t="s">
        <v>1118</v>
      </c>
      <c r="C406" s="11">
        <v>1.488</v>
      </c>
      <c r="D406" s="10" t="s">
        <v>310</v>
      </c>
      <c r="E406" t="e">
        <v>#N/A</v>
      </c>
    </row>
    <row r="407" spans="1:5">
      <c r="A407" s="10" t="s">
        <v>1119</v>
      </c>
      <c r="B407" s="10" t="s">
        <v>1120</v>
      </c>
      <c r="C407" s="11">
        <v>1.7</v>
      </c>
      <c r="D407" s="10" t="s">
        <v>310</v>
      </c>
      <c r="E407" t="e">
        <v>#N/A</v>
      </c>
    </row>
    <row r="408" spans="1:5">
      <c r="A408" s="10" t="s">
        <v>1121</v>
      </c>
      <c r="B408" s="10" t="s">
        <v>1122</v>
      </c>
      <c r="C408" s="11">
        <v>2.125</v>
      </c>
      <c r="D408" s="10" t="s">
        <v>310</v>
      </c>
      <c r="E408" t="e">
        <v>#N/A</v>
      </c>
    </row>
    <row r="409" spans="1:5">
      <c r="A409" s="10" t="s">
        <v>1123</v>
      </c>
      <c r="B409" s="10" t="s">
        <v>1124</v>
      </c>
      <c r="C409" s="11">
        <v>2.3380000000000001</v>
      </c>
      <c r="D409" s="10" t="s">
        <v>310</v>
      </c>
      <c r="E409" t="e">
        <v>#N/A</v>
      </c>
    </row>
    <row r="410" spans="1:5">
      <c r="A410" s="10" t="s">
        <v>1125</v>
      </c>
      <c r="B410" s="10" t="s">
        <v>1126</v>
      </c>
      <c r="C410" s="11">
        <v>2.5499999999999998</v>
      </c>
      <c r="D410" s="10" t="s">
        <v>310</v>
      </c>
      <c r="E410" t="e">
        <v>#N/A</v>
      </c>
    </row>
    <row r="411" spans="1:5">
      <c r="A411" s="10" t="s">
        <v>1127</v>
      </c>
      <c r="B411" s="10" t="s">
        <v>1128</v>
      </c>
      <c r="C411" s="11">
        <v>2.9750000000000001</v>
      </c>
      <c r="D411" s="10" t="s">
        <v>310</v>
      </c>
      <c r="E411" t="e">
        <v>#N/A</v>
      </c>
    </row>
    <row r="412" spans="1:5">
      <c r="A412" s="10" t="s">
        <v>1129</v>
      </c>
      <c r="B412" s="10" t="s">
        <v>1130</v>
      </c>
      <c r="C412" s="11">
        <v>0.63800000000000001</v>
      </c>
      <c r="D412" s="10" t="s">
        <v>310</v>
      </c>
      <c r="E412" t="e">
        <v>#N/A</v>
      </c>
    </row>
    <row r="413" spans="1:5">
      <c r="A413" s="10" t="s">
        <v>1131</v>
      </c>
      <c r="B413" s="10" t="s">
        <v>1132</v>
      </c>
      <c r="C413" s="11">
        <v>3.4</v>
      </c>
      <c r="D413" s="10" t="s">
        <v>310</v>
      </c>
      <c r="E413" t="e">
        <v>#N/A</v>
      </c>
    </row>
    <row r="414" spans="1:5">
      <c r="A414" s="10" t="s">
        <v>1133</v>
      </c>
      <c r="B414" s="10" t="s">
        <v>1134</v>
      </c>
      <c r="C414" s="11">
        <v>3.8250000000000002</v>
      </c>
      <c r="D414" s="10" t="s">
        <v>310</v>
      </c>
      <c r="E414" t="e">
        <v>#N/A</v>
      </c>
    </row>
    <row r="415" spans="1:5">
      <c r="A415" s="10" t="s">
        <v>1135</v>
      </c>
      <c r="B415" s="10" t="s">
        <v>1136</v>
      </c>
      <c r="C415" s="11">
        <v>4.25</v>
      </c>
      <c r="D415" s="10" t="s">
        <v>310</v>
      </c>
      <c r="E415" t="e">
        <v>#N/A</v>
      </c>
    </row>
    <row r="416" spans="1:5">
      <c r="A416" s="10" t="s">
        <v>1137</v>
      </c>
      <c r="B416" s="10" t="s">
        <v>1138</v>
      </c>
      <c r="C416" s="11">
        <v>4.6749999999999998</v>
      </c>
      <c r="D416" s="10" t="s">
        <v>310</v>
      </c>
      <c r="E416" t="e">
        <v>#N/A</v>
      </c>
    </row>
    <row r="417" spans="1:5">
      <c r="A417" s="10" t="s">
        <v>1139</v>
      </c>
      <c r="B417" s="10" t="s">
        <v>1140</v>
      </c>
      <c r="C417" s="11">
        <v>0.53100000000000003</v>
      </c>
      <c r="D417" s="10" t="s">
        <v>310</v>
      </c>
      <c r="E417" t="e">
        <v>#N/A</v>
      </c>
    </row>
    <row r="418" spans="1:5">
      <c r="A418" s="10" t="s">
        <v>1141</v>
      </c>
      <c r="B418" s="10" t="s">
        <v>1142</v>
      </c>
      <c r="C418" s="11">
        <v>5.0999999999999996</v>
      </c>
      <c r="D418" s="10" t="s">
        <v>310</v>
      </c>
      <c r="E418" t="e">
        <v>#N/A</v>
      </c>
    </row>
    <row r="419" spans="1:5">
      <c r="A419" s="10" t="s">
        <v>1143</v>
      </c>
      <c r="B419" s="10" t="s">
        <v>1144</v>
      </c>
      <c r="C419" s="11">
        <v>5.95</v>
      </c>
      <c r="D419" s="10" t="s">
        <v>310</v>
      </c>
      <c r="E419" t="e">
        <v>#N/A</v>
      </c>
    </row>
    <row r="420" spans="1:5">
      <c r="A420" s="10" t="s">
        <v>1145</v>
      </c>
      <c r="B420" s="10" t="s">
        <v>1146</v>
      </c>
      <c r="C420" s="11">
        <v>6.8</v>
      </c>
      <c r="D420" s="10" t="s">
        <v>310</v>
      </c>
      <c r="E420" t="e">
        <v>#N/A</v>
      </c>
    </row>
    <row r="421" spans="1:5">
      <c r="A421" s="10" t="s">
        <v>1147</v>
      </c>
      <c r="B421" s="10" t="s">
        <v>1148</v>
      </c>
      <c r="C421" s="11">
        <v>0.42499999999999999</v>
      </c>
      <c r="D421" s="10" t="s">
        <v>310</v>
      </c>
      <c r="E421" t="e">
        <v>#N/A</v>
      </c>
    </row>
    <row r="422" spans="1:5">
      <c r="A422" s="10" t="s">
        <v>1149</v>
      </c>
      <c r="B422" s="10" t="s">
        <v>1150</v>
      </c>
      <c r="C422" s="11">
        <v>0.63800000000000001</v>
      </c>
      <c r="D422" s="10" t="s">
        <v>310</v>
      </c>
      <c r="E422" t="e">
        <v>#N/A</v>
      </c>
    </row>
    <row r="423" spans="1:5">
      <c r="A423" s="10" t="s">
        <v>1151</v>
      </c>
      <c r="B423" s="10" t="s">
        <v>1152</v>
      </c>
      <c r="C423" s="11">
        <v>0.53100000000000003</v>
      </c>
      <c r="D423" s="10" t="s">
        <v>310</v>
      </c>
      <c r="E423" t="e">
        <v>#N/A</v>
      </c>
    </row>
    <row r="424" spans="1:5">
      <c r="A424" s="10" t="s">
        <v>1153</v>
      </c>
      <c r="B424" s="10" t="s">
        <v>1154</v>
      </c>
      <c r="C424" s="11">
        <v>0.21299999999999999</v>
      </c>
      <c r="D424" s="10" t="s">
        <v>310</v>
      </c>
      <c r="E424" t="e">
        <v>#N/A</v>
      </c>
    </row>
    <row r="425" spans="1:5">
      <c r="A425" s="10" t="s">
        <v>1155</v>
      </c>
      <c r="B425" s="10" t="s">
        <v>1156</v>
      </c>
      <c r="C425" s="11">
        <v>0.74399999999999999</v>
      </c>
      <c r="D425" s="10" t="s">
        <v>310</v>
      </c>
      <c r="E425" t="e">
        <v>#N/A</v>
      </c>
    </row>
    <row r="426" spans="1:5">
      <c r="A426" s="10" t="s">
        <v>1157</v>
      </c>
      <c r="B426" s="10" t="s">
        <v>1158</v>
      </c>
      <c r="C426" s="11">
        <v>0.85</v>
      </c>
      <c r="D426" s="10" t="s">
        <v>310</v>
      </c>
      <c r="E426" t="e">
        <v>#N/A</v>
      </c>
    </row>
    <row r="427" spans="1:5">
      <c r="A427" s="10" t="s">
        <v>1159</v>
      </c>
      <c r="B427" s="10" t="s">
        <v>1160</v>
      </c>
      <c r="C427" s="11">
        <v>1.06</v>
      </c>
      <c r="D427" s="10" t="s">
        <v>310</v>
      </c>
      <c r="E427" t="e">
        <v>#N/A</v>
      </c>
    </row>
    <row r="428" spans="1:5">
      <c r="A428" s="10" t="s">
        <v>1161</v>
      </c>
      <c r="B428" s="10" t="s">
        <v>1162</v>
      </c>
      <c r="C428" s="11">
        <v>1.28</v>
      </c>
      <c r="D428" s="10" t="s">
        <v>310</v>
      </c>
      <c r="E428" t="e">
        <v>#N/A</v>
      </c>
    </row>
    <row r="429" spans="1:5">
      <c r="A429" s="10" t="s">
        <v>1163</v>
      </c>
      <c r="B429" s="10" t="s">
        <v>1164</v>
      </c>
      <c r="C429" s="11">
        <v>0.31900000000000001</v>
      </c>
      <c r="D429" s="10" t="s">
        <v>310</v>
      </c>
      <c r="E429" t="e">
        <v>#N/A</v>
      </c>
    </row>
    <row r="430" spans="1:5">
      <c r="A430" s="10" t="s">
        <v>1165</v>
      </c>
      <c r="B430" s="10" t="s">
        <v>1166</v>
      </c>
      <c r="C430" s="11">
        <v>1.7</v>
      </c>
      <c r="D430" s="10" t="s">
        <v>310</v>
      </c>
      <c r="E430" t="e">
        <v>#N/A</v>
      </c>
    </row>
    <row r="431" spans="1:5">
      <c r="A431" s="10" t="s">
        <v>1167</v>
      </c>
      <c r="B431" s="10" t="s">
        <v>1168</v>
      </c>
      <c r="C431" s="11">
        <v>2.13</v>
      </c>
      <c r="D431" s="10" t="s">
        <v>310</v>
      </c>
      <c r="E431" t="e">
        <v>#N/A</v>
      </c>
    </row>
    <row r="432" spans="1:5">
      <c r="A432" s="10" t="s">
        <v>1169</v>
      </c>
      <c r="B432" s="10" t="s">
        <v>1170</v>
      </c>
      <c r="C432" s="11">
        <v>0.26600000000000001</v>
      </c>
      <c r="D432" s="10" t="s">
        <v>310</v>
      </c>
      <c r="E432" t="e">
        <v>#N/A</v>
      </c>
    </row>
    <row r="433" spans="1:5">
      <c r="A433" s="10" t="s">
        <v>1171</v>
      </c>
      <c r="B433" s="10" t="s">
        <v>1172</v>
      </c>
      <c r="C433" s="11">
        <v>2.5499999999999998</v>
      </c>
      <c r="D433" s="10" t="s">
        <v>310</v>
      </c>
      <c r="E433" t="e">
        <v>#N/A</v>
      </c>
    </row>
    <row r="434" spans="1:5">
      <c r="A434" s="10" t="s">
        <v>1173</v>
      </c>
      <c r="B434" s="10" t="s">
        <v>1174</v>
      </c>
      <c r="C434" s="11">
        <v>0.63800000000000001</v>
      </c>
      <c r="D434" s="10" t="s">
        <v>310</v>
      </c>
      <c r="E434" t="e">
        <v>#N/A</v>
      </c>
    </row>
    <row r="435" spans="1:5">
      <c r="A435" s="10" t="s">
        <v>1175</v>
      </c>
      <c r="B435" s="10" t="s">
        <v>1176</v>
      </c>
      <c r="C435" s="11">
        <v>0.95599999999999996</v>
      </c>
      <c r="D435" s="10" t="s">
        <v>310</v>
      </c>
      <c r="E435" t="e">
        <v>#N/A</v>
      </c>
    </row>
    <row r="436" spans="1:5">
      <c r="A436" s="10" t="s">
        <v>1177</v>
      </c>
      <c r="B436" s="10" t="s">
        <v>1178</v>
      </c>
      <c r="C436" s="11">
        <v>0.79700000000000004</v>
      </c>
      <c r="D436" s="10" t="s">
        <v>310</v>
      </c>
      <c r="E436" t="e">
        <v>#N/A</v>
      </c>
    </row>
    <row r="437" spans="1:5">
      <c r="A437" s="10" t="s">
        <v>1179</v>
      </c>
      <c r="B437" s="10" t="s">
        <v>1180</v>
      </c>
      <c r="C437" s="11">
        <v>0.31900000000000001</v>
      </c>
      <c r="D437" s="10" t="s">
        <v>310</v>
      </c>
      <c r="E437" t="e">
        <v>#N/A</v>
      </c>
    </row>
    <row r="438" spans="1:5">
      <c r="A438" s="10" t="s">
        <v>1181</v>
      </c>
      <c r="B438" s="10" t="s">
        <v>1182</v>
      </c>
      <c r="C438" s="11">
        <v>1.1200000000000001</v>
      </c>
      <c r="D438" s="10" t="s">
        <v>310</v>
      </c>
      <c r="E438" t="e">
        <v>#N/A</v>
      </c>
    </row>
    <row r="439" spans="1:5">
      <c r="A439" s="10" t="s">
        <v>1183</v>
      </c>
      <c r="B439" s="10" t="s">
        <v>1184</v>
      </c>
      <c r="C439" s="11">
        <v>1.28</v>
      </c>
      <c r="D439" s="10" t="s">
        <v>310</v>
      </c>
      <c r="E439" t="e">
        <v>#N/A</v>
      </c>
    </row>
    <row r="440" spans="1:5">
      <c r="A440" s="10" t="s">
        <v>1185</v>
      </c>
      <c r="B440" s="10" t="s">
        <v>1186</v>
      </c>
      <c r="C440" s="11">
        <v>1.59</v>
      </c>
      <c r="D440" s="10" t="s">
        <v>310</v>
      </c>
      <c r="E440" t="e">
        <v>#N/A</v>
      </c>
    </row>
    <row r="441" spans="1:5">
      <c r="A441" s="10" t="s">
        <v>1187</v>
      </c>
      <c r="B441" s="10" t="s">
        <v>1188</v>
      </c>
      <c r="C441" s="11">
        <v>1.91</v>
      </c>
      <c r="D441" s="10" t="s">
        <v>310</v>
      </c>
      <c r="E441" t="e">
        <v>#N/A</v>
      </c>
    </row>
    <row r="442" spans="1:5">
      <c r="A442" s="10" t="s">
        <v>1189</v>
      </c>
      <c r="B442" s="10" t="s">
        <v>1190</v>
      </c>
      <c r="C442" s="11">
        <v>0.47799999999999998</v>
      </c>
      <c r="D442" s="10" t="s">
        <v>310</v>
      </c>
      <c r="E442" t="e">
        <v>#N/A</v>
      </c>
    </row>
    <row r="443" spans="1:5">
      <c r="A443" s="10" t="s">
        <v>1191</v>
      </c>
      <c r="B443" s="10" t="s">
        <v>1192</v>
      </c>
      <c r="C443" s="11">
        <v>2.5499999999999998</v>
      </c>
      <c r="D443" s="10" t="s">
        <v>310</v>
      </c>
      <c r="E443" t="e">
        <v>#N/A</v>
      </c>
    </row>
    <row r="444" spans="1:5">
      <c r="A444" s="10" t="s">
        <v>1193</v>
      </c>
      <c r="B444" s="10" t="s">
        <v>1194</v>
      </c>
      <c r="C444" s="11">
        <v>3.19</v>
      </c>
      <c r="D444" s="10" t="s">
        <v>310</v>
      </c>
      <c r="E444" t="e">
        <v>#N/A</v>
      </c>
    </row>
    <row r="445" spans="1:5">
      <c r="A445" s="10" t="s">
        <v>1195</v>
      </c>
      <c r="B445" s="10" t="s">
        <v>1196</v>
      </c>
      <c r="C445" s="11">
        <v>0.39800000000000002</v>
      </c>
      <c r="D445" s="10" t="s">
        <v>310</v>
      </c>
      <c r="E445" t="e">
        <v>#N/A</v>
      </c>
    </row>
    <row r="446" spans="1:5">
      <c r="A446" s="10" t="s">
        <v>1197</v>
      </c>
      <c r="B446" s="10" t="s">
        <v>1198</v>
      </c>
      <c r="C446" s="11">
        <v>3.83</v>
      </c>
      <c r="D446" s="10" t="s">
        <v>310</v>
      </c>
      <c r="E446" t="e">
        <v>#N/A</v>
      </c>
    </row>
    <row r="447" spans="1:5">
      <c r="A447" s="10" t="s">
        <v>1199</v>
      </c>
      <c r="B447" s="10" t="s">
        <v>1200</v>
      </c>
      <c r="C447" s="11">
        <v>4.47</v>
      </c>
      <c r="D447" s="10" t="s">
        <v>310</v>
      </c>
      <c r="E447" t="e">
        <v>#N/A</v>
      </c>
    </row>
    <row r="448" spans="1:5">
      <c r="A448" s="10" t="s">
        <v>1201</v>
      </c>
      <c r="B448" s="10" t="s">
        <v>1202</v>
      </c>
      <c r="C448" s="11">
        <v>5.0999999999999996</v>
      </c>
      <c r="D448" s="10" t="s">
        <v>310</v>
      </c>
      <c r="E448" t="e">
        <v>#N/A</v>
      </c>
    </row>
    <row r="449" spans="1:5">
      <c r="A449" s="10" t="s">
        <v>1203</v>
      </c>
      <c r="B449" s="10" t="s">
        <v>1204</v>
      </c>
      <c r="C449" s="11">
        <v>1.276</v>
      </c>
      <c r="D449" s="10" t="s">
        <v>310</v>
      </c>
      <c r="E449" t="e">
        <v>#N/A</v>
      </c>
    </row>
    <row r="450" spans="1:5">
      <c r="A450" s="10" t="s">
        <v>1205</v>
      </c>
      <c r="B450" s="10" t="s">
        <v>1206</v>
      </c>
      <c r="C450" s="11">
        <v>1.913</v>
      </c>
      <c r="D450" s="10" t="s">
        <v>310</v>
      </c>
      <c r="E450" t="e">
        <v>#N/A</v>
      </c>
    </row>
    <row r="451" spans="1:5">
      <c r="A451" s="10" t="s">
        <v>1207</v>
      </c>
      <c r="B451" s="10" t="s">
        <v>1208</v>
      </c>
      <c r="C451" s="11">
        <v>1.5940000000000001</v>
      </c>
      <c r="D451" s="10" t="s">
        <v>310</v>
      </c>
      <c r="E451" t="e">
        <v>#N/A</v>
      </c>
    </row>
    <row r="452" spans="1:5">
      <c r="A452" s="10" t="s">
        <v>1209</v>
      </c>
      <c r="B452" s="10" t="s">
        <v>1210</v>
      </c>
      <c r="C452" s="11">
        <v>0.63800000000000001</v>
      </c>
      <c r="D452" s="10" t="s">
        <v>310</v>
      </c>
      <c r="E452" t="e">
        <v>#N/A</v>
      </c>
    </row>
    <row r="453" spans="1:5">
      <c r="A453" s="10" t="s">
        <v>1211</v>
      </c>
      <c r="B453" s="10" t="s">
        <v>1212</v>
      </c>
      <c r="C453" s="11">
        <v>2.5499999999999998</v>
      </c>
      <c r="D453" s="10" t="s">
        <v>310</v>
      </c>
      <c r="E453" t="e">
        <v>#N/A</v>
      </c>
    </row>
    <row r="454" spans="1:5">
      <c r="A454" s="10" t="s">
        <v>1213</v>
      </c>
      <c r="B454" s="10" t="s">
        <v>1214</v>
      </c>
      <c r="C454" s="11">
        <v>3.1880000000000002</v>
      </c>
      <c r="D454" s="10" t="s">
        <v>310</v>
      </c>
      <c r="E454" t="e">
        <v>#N/A</v>
      </c>
    </row>
    <row r="455" spans="1:5">
      <c r="A455" s="10" t="s">
        <v>1215</v>
      </c>
      <c r="B455" s="10" t="s">
        <v>1216</v>
      </c>
      <c r="C455" s="11">
        <v>3.8250000000000002</v>
      </c>
      <c r="D455" s="10" t="s">
        <v>310</v>
      </c>
      <c r="E455" t="e">
        <v>#N/A</v>
      </c>
    </row>
    <row r="456" spans="1:5">
      <c r="A456" s="10" t="s">
        <v>1217</v>
      </c>
      <c r="B456" s="10" t="s">
        <v>1218</v>
      </c>
      <c r="C456" s="11">
        <v>4.4630000000000001</v>
      </c>
      <c r="D456" s="10" t="s">
        <v>310</v>
      </c>
      <c r="E456" t="e">
        <v>#N/A</v>
      </c>
    </row>
    <row r="457" spans="1:5">
      <c r="A457" s="10" t="s">
        <v>1219</v>
      </c>
      <c r="B457" s="10" t="s">
        <v>1220</v>
      </c>
      <c r="C457" s="11">
        <v>0.95599999999999996</v>
      </c>
      <c r="D457" s="10" t="s">
        <v>310</v>
      </c>
      <c r="E457" t="e">
        <v>#N/A</v>
      </c>
    </row>
    <row r="458" spans="1:5">
      <c r="A458" s="10" t="s">
        <v>1221</v>
      </c>
      <c r="B458" s="10" t="s">
        <v>1222</v>
      </c>
      <c r="C458" s="11">
        <v>5.0999999999999996</v>
      </c>
      <c r="D458" s="10" t="s">
        <v>310</v>
      </c>
      <c r="E458" t="e">
        <v>#N/A</v>
      </c>
    </row>
    <row r="459" spans="1:5">
      <c r="A459" s="10" t="s">
        <v>1223</v>
      </c>
      <c r="B459" s="10" t="s">
        <v>1224</v>
      </c>
      <c r="C459" s="11">
        <v>5.7380000000000004</v>
      </c>
      <c r="D459" s="10" t="s">
        <v>310</v>
      </c>
      <c r="E459" t="e">
        <v>#N/A</v>
      </c>
    </row>
    <row r="460" spans="1:5">
      <c r="A460" s="10" t="s">
        <v>1225</v>
      </c>
      <c r="B460" s="10" t="s">
        <v>1226</v>
      </c>
      <c r="C460" s="11">
        <v>6.375</v>
      </c>
      <c r="D460" s="10" t="s">
        <v>310</v>
      </c>
      <c r="E460" t="e">
        <v>#N/A</v>
      </c>
    </row>
    <row r="461" spans="1:5">
      <c r="A461" s="10" t="s">
        <v>1227</v>
      </c>
      <c r="B461" s="10" t="s">
        <v>1228</v>
      </c>
      <c r="C461" s="11">
        <v>7.0129999999999999</v>
      </c>
      <c r="D461" s="10" t="s">
        <v>310</v>
      </c>
      <c r="E461" t="e">
        <v>#N/A</v>
      </c>
    </row>
    <row r="462" spans="1:5">
      <c r="A462" s="10" t="s">
        <v>1229</v>
      </c>
      <c r="B462" s="10" t="s">
        <v>1230</v>
      </c>
      <c r="C462" s="11">
        <v>7.65</v>
      </c>
      <c r="D462" s="10" t="s">
        <v>310</v>
      </c>
      <c r="E462" t="e">
        <v>#N/A</v>
      </c>
    </row>
    <row r="463" spans="1:5">
      <c r="A463" s="10" t="s">
        <v>1231</v>
      </c>
      <c r="B463" s="10" t="s">
        <v>1232</v>
      </c>
      <c r="C463" s="11">
        <v>8.9250000000000007</v>
      </c>
      <c r="D463" s="10" t="s">
        <v>310</v>
      </c>
      <c r="E463" t="e">
        <v>#N/A</v>
      </c>
    </row>
    <row r="464" spans="1:5">
      <c r="A464" s="10" t="s">
        <v>1233</v>
      </c>
      <c r="B464" s="10" t="s">
        <v>1234</v>
      </c>
      <c r="C464" s="11">
        <v>10.199999999999999</v>
      </c>
      <c r="D464" s="10" t="s">
        <v>310</v>
      </c>
      <c r="E464" t="e">
        <v>#N/A</v>
      </c>
    </row>
    <row r="465" spans="1:5">
      <c r="A465" s="10" t="s">
        <v>1235</v>
      </c>
      <c r="B465" s="10" t="s">
        <v>1236</v>
      </c>
      <c r="C465" s="11">
        <v>1.0629999999999999</v>
      </c>
      <c r="D465" s="10" t="s">
        <v>310</v>
      </c>
      <c r="E465" t="e">
        <v>#N/A</v>
      </c>
    </row>
    <row r="466" spans="1:5">
      <c r="A466" s="10" t="s">
        <v>1237</v>
      </c>
      <c r="B466" s="10" t="s">
        <v>1238</v>
      </c>
      <c r="C466" s="11">
        <v>1.5940000000000001</v>
      </c>
      <c r="D466" s="10" t="s">
        <v>310</v>
      </c>
      <c r="E466" t="e">
        <v>#N/A</v>
      </c>
    </row>
    <row r="467" spans="1:5">
      <c r="A467" s="10" t="s">
        <v>1239</v>
      </c>
      <c r="B467" s="10" t="s">
        <v>1240</v>
      </c>
      <c r="C467" s="11">
        <v>1.3280000000000001</v>
      </c>
      <c r="D467" s="10" t="s">
        <v>310</v>
      </c>
      <c r="E467" t="e">
        <v>#N/A</v>
      </c>
    </row>
    <row r="468" spans="1:5">
      <c r="A468" s="10" t="s">
        <v>1241</v>
      </c>
      <c r="B468" s="10" t="s">
        <v>1242</v>
      </c>
      <c r="C468" s="11">
        <v>0.53100000000000003</v>
      </c>
      <c r="D468" s="10" t="s">
        <v>310</v>
      </c>
      <c r="E468" t="e">
        <v>#N/A</v>
      </c>
    </row>
    <row r="469" spans="1:5">
      <c r="A469" s="10" t="s">
        <v>1243</v>
      </c>
      <c r="B469" s="10" t="s">
        <v>1244</v>
      </c>
      <c r="C469" s="11">
        <v>1.859</v>
      </c>
      <c r="D469" s="10" t="s">
        <v>310</v>
      </c>
      <c r="E469" t="e">
        <v>#N/A</v>
      </c>
    </row>
    <row r="470" spans="1:5">
      <c r="A470" s="10" t="s">
        <v>1245</v>
      </c>
      <c r="B470" s="10" t="s">
        <v>1246</v>
      </c>
      <c r="C470" s="11">
        <v>2.125</v>
      </c>
      <c r="D470" s="10" t="s">
        <v>310</v>
      </c>
      <c r="E470" t="e">
        <v>#N/A</v>
      </c>
    </row>
    <row r="471" spans="1:5">
      <c r="A471" s="10" t="s">
        <v>1247</v>
      </c>
      <c r="B471" s="10" t="s">
        <v>1248</v>
      </c>
      <c r="C471" s="11">
        <v>2.6560000000000001</v>
      </c>
      <c r="D471" s="10" t="s">
        <v>310</v>
      </c>
      <c r="E471" t="e">
        <v>#N/A</v>
      </c>
    </row>
    <row r="472" spans="1:5">
      <c r="A472" s="10" t="s">
        <v>1249</v>
      </c>
      <c r="B472" s="10" t="s">
        <v>1250</v>
      </c>
      <c r="C472" s="11">
        <v>3.1880000000000002</v>
      </c>
      <c r="D472" s="10" t="s">
        <v>310</v>
      </c>
      <c r="E472" t="e">
        <v>#N/A</v>
      </c>
    </row>
    <row r="473" spans="1:5">
      <c r="A473" s="10" t="s">
        <v>1251</v>
      </c>
      <c r="B473" s="10" t="s">
        <v>1252</v>
      </c>
      <c r="C473" s="11">
        <v>3.7189999999999999</v>
      </c>
      <c r="D473" s="10" t="s">
        <v>310</v>
      </c>
      <c r="E473" t="e">
        <v>#N/A</v>
      </c>
    </row>
    <row r="474" spans="1:5">
      <c r="A474" s="10" t="s">
        <v>1253</v>
      </c>
      <c r="B474" s="10" t="s">
        <v>1254</v>
      </c>
      <c r="C474" s="11">
        <v>0.79700000000000004</v>
      </c>
      <c r="D474" s="10" t="s">
        <v>310</v>
      </c>
      <c r="E474" t="e">
        <v>#N/A</v>
      </c>
    </row>
    <row r="475" spans="1:5">
      <c r="A475" s="10" t="s">
        <v>1255</v>
      </c>
      <c r="B475" s="10" t="s">
        <v>1256</v>
      </c>
      <c r="C475" s="11">
        <v>4.25</v>
      </c>
      <c r="D475" s="10" t="s">
        <v>310</v>
      </c>
      <c r="E475" t="e">
        <v>#N/A</v>
      </c>
    </row>
    <row r="476" spans="1:5">
      <c r="A476" s="10" t="s">
        <v>1257</v>
      </c>
      <c r="B476" s="10" t="s">
        <v>1258</v>
      </c>
      <c r="C476" s="11">
        <v>4.7809999999999997</v>
      </c>
      <c r="D476" s="10" t="s">
        <v>310</v>
      </c>
      <c r="E476" t="e">
        <v>#N/A</v>
      </c>
    </row>
    <row r="477" spans="1:5">
      <c r="A477" s="10" t="s">
        <v>1259</v>
      </c>
      <c r="B477" s="10" t="s">
        <v>1260</v>
      </c>
      <c r="C477" s="11">
        <v>5.3129999999999997</v>
      </c>
      <c r="D477" s="10" t="s">
        <v>310</v>
      </c>
      <c r="E477" t="e">
        <v>#N/A</v>
      </c>
    </row>
    <row r="478" spans="1:5">
      <c r="A478" s="10" t="s">
        <v>1261</v>
      </c>
      <c r="B478" s="10" t="s">
        <v>1262</v>
      </c>
      <c r="C478" s="11">
        <v>5.8440000000000003</v>
      </c>
      <c r="D478" s="10" t="s">
        <v>310</v>
      </c>
      <c r="E478" t="e">
        <v>#N/A</v>
      </c>
    </row>
    <row r="479" spans="1:5">
      <c r="A479" s="10" t="s">
        <v>1263</v>
      </c>
      <c r="B479" s="10" t="s">
        <v>1264</v>
      </c>
      <c r="C479" s="11">
        <v>0.66400000000000003</v>
      </c>
      <c r="D479" s="10" t="s">
        <v>310</v>
      </c>
      <c r="E479" t="e">
        <v>#N/A</v>
      </c>
    </row>
    <row r="480" spans="1:5">
      <c r="A480" s="10" t="s">
        <v>1265</v>
      </c>
      <c r="B480" s="10" t="s">
        <v>1266</v>
      </c>
      <c r="C480" s="11">
        <v>6.375</v>
      </c>
      <c r="D480" s="10" t="s">
        <v>310</v>
      </c>
      <c r="E480" t="e">
        <v>#N/A</v>
      </c>
    </row>
    <row r="481" spans="1:5">
      <c r="A481" s="10" t="s">
        <v>2849</v>
      </c>
      <c r="B481" s="10" t="s">
        <v>2850</v>
      </c>
      <c r="C481" s="11">
        <v>1.0430999999999999</v>
      </c>
      <c r="D481" s="10" t="s">
        <v>310</v>
      </c>
      <c r="E481">
        <v>1.5</v>
      </c>
    </row>
    <row r="482" spans="1:5">
      <c r="A482" s="10" t="s">
        <v>1267</v>
      </c>
      <c r="B482" s="10" t="s">
        <v>1268</v>
      </c>
      <c r="C482" s="11">
        <v>2.65</v>
      </c>
      <c r="D482" s="10" t="s">
        <v>310</v>
      </c>
      <c r="E482">
        <v>0.8</v>
      </c>
    </row>
    <row r="483" spans="1:5">
      <c r="A483" s="10" t="s">
        <v>1269</v>
      </c>
      <c r="B483" s="10" t="s">
        <v>1270</v>
      </c>
      <c r="C483" s="11">
        <v>0.68</v>
      </c>
      <c r="D483" s="10" t="s">
        <v>310</v>
      </c>
      <c r="E483">
        <v>0.8</v>
      </c>
    </row>
    <row r="484" spans="1:5">
      <c r="A484" s="10" t="s">
        <v>1271</v>
      </c>
      <c r="B484" s="10" t="s">
        <v>1272</v>
      </c>
      <c r="C484" s="11">
        <v>1.17</v>
      </c>
      <c r="D484" s="10" t="s">
        <v>310</v>
      </c>
      <c r="E484">
        <v>0.8</v>
      </c>
    </row>
    <row r="485" spans="1:5">
      <c r="A485" s="10" t="s">
        <v>1273</v>
      </c>
      <c r="B485" s="10" t="s">
        <v>1274</v>
      </c>
      <c r="C485" s="11">
        <v>1</v>
      </c>
      <c r="D485" s="10" t="s">
        <v>310</v>
      </c>
      <c r="E485">
        <v>0.8</v>
      </c>
    </row>
    <row r="486" spans="1:5">
      <c r="A486" s="10" t="s">
        <v>1275</v>
      </c>
      <c r="B486" s="10" t="s">
        <v>1276</v>
      </c>
      <c r="C486" s="11">
        <v>1.55</v>
      </c>
      <c r="D486" s="10" t="s">
        <v>310</v>
      </c>
      <c r="E486">
        <v>0.8</v>
      </c>
    </row>
    <row r="487" spans="1:5">
      <c r="A487" s="10" t="s">
        <v>1277</v>
      </c>
      <c r="B487" s="10" t="s">
        <v>1278</v>
      </c>
      <c r="C487" s="11">
        <v>1.59</v>
      </c>
      <c r="D487" s="10" t="s">
        <v>310</v>
      </c>
      <c r="E487">
        <v>0.8</v>
      </c>
    </row>
    <row r="488" spans="1:5">
      <c r="A488" s="10" t="s">
        <v>1279</v>
      </c>
      <c r="B488" s="10" t="s">
        <v>1280</v>
      </c>
      <c r="C488" s="11">
        <v>1.34</v>
      </c>
      <c r="D488" s="10" t="s">
        <v>310</v>
      </c>
      <c r="E488">
        <v>0.8</v>
      </c>
    </row>
    <row r="489" spans="1:5">
      <c r="A489" s="10" t="s">
        <v>1281</v>
      </c>
      <c r="B489" s="10" t="s">
        <v>1282</v>
      </c>
      <c r="C489" s="11">
        <v>2.57</v>
      </c>
      <c r="D489" s="10" t="s">
        <v>310</v>
      </c>
      <c r="E489">
        <v>0.8</v>
      </c>
    </row>
    <row r="490" spans="1:5">
      <c r="A490" s="10" t="s">
        <v>1283</v>
      </c>
      <c r="B490" s="10" t="s">
        <v>1284</v>
      </c>
      <c r="C490" s="11">
        <v>4.0999999999999996</v>
      </c>
      <c r="D490" s="10" t="s">
        <v>310</v>
      </c>
      <c r="E490">
        <v>0.8</v>
      </c>
    </row>
    <row r="491" spans="1:5">
      <c r="A491" s="10" t="s">
        <v>1285</v>
      </c>
      <c r="B491" s="10" t="s">
        <v>1286</v>
      </c>
      <c r="C491" s="11">
        <v>5</v>
      </c>
      <c r="D491" s="10" t="s">
        <v>310</v>
      </c>
      <c r="E491">
        <v>0.8</v>
      </c>
    </row>
    <row r="492" spans="1:5">
      <c r="A492" s="10" t="s">
        <v>1287</v>
      </c>
      <c r="B492" s="10" t="s">
        <v>1288</v>
      </c>
      <c r="C492" s="11">
        <v>6</v>
      </c>
      <c r="D492" s="10" t="s">
        <v>310</v>
      </c>
      <c r="E492">
        <v>0.8</v>
      </c>
    </row>
    <row r="493" spans="1:5">
      <c r="A493" s="10" t="s">
        <v>1289</v>
      </c>
      <c r="B493" s="10" t="s">
        <v>1290</v>
      </c>
      <c r="C493" s="11">
        <v>4.5</v>
      </c>
      <c r="D493" s="10" t="s">
        <v>310</v>
      </c>
      <c r="E493">
        <v>0.8</v>
      </c>
    </row>
    <row r="494" spans="1:5">
      <c r="A494" s="10" t="s">
        <v>1291</v>
      </c>
      <c r="B494" s="10" t="s">
        <v>1292</v>
      </c>
      <c r="C494" s="11">
        <v>5.4</v>
      </c>
      <c r="D494" s="10" t="s">
        <v>310</v>
      </c>
      <c r="E494">
        <v>0.8</v>
      </c>
    </row>
    <row r="495" spans="1:5">
      <c r="A495" s="10" t="s">
        <v>1293</v>
      </c>
      <c r="B495" s="10" t="s">
        <v>1294</v>
      </c>
      <c r="C495" s="11">
        <v>7.25</v>
      </c>
      <c r="D495" s="10" t="s">
        <v>310</v>
      </c>
      <c r="E495">
        <v>0.8</v>
      </c>
    </row>
    <row r="496" spans="1:5">
      <c r="A496" s="10" t="s">
        <v>1295</v>
      </c>
      <c r="B496" s="10" t="s">
        <v>1296</v>
      </c>
      <c r="C496" s="11">
        <v>6.7</v>
      </c>
      <c r="D496" s="10" t="s">
        <v>310</v>
      </c>
      <c r="E496">
        <v>0.8</v>
      </c>
    </row>
    <row r="497" spans="1:5">
      <c r="A497" s="10" t="s">
        <v>1297</v>
      </c>
      <c r="B497" s="10" t="s">
        <v>1298</v>
      </c>
      <c r="C497" s="11">
        <v>9</v>
      </c>
      <c r="D497" s="10" t="s">
        <v>310</v>
      </c>
      <c r="E497">
        <v>0.8</v>
      </c>
    </row>
    <row r="498" spans="1:5">
      <c r="A498" s="10" t="s">
        <v>1299</v>
      </c>
      <c r="B498" s="10" t="s">
        <v>1300</v>
      </c>
      <c r="C498" s="11">
        <v>10.5</v>
      </c>
      <c r="D498" s="10" t="s">
        <v>310</v>
      </c>
      <c r="E498">
        <v>0.8</v>
      </c>
    </row>
    <row r="499" spans="1:5">
      <c r="A499" s="10" t="s">
        <v>1301</v>
      </c>
      <c r="B499" s="10" t="s">
        <v>1302</v>
      </c>
      <c r="C499" s="11">
        <v>13</v>
      </c>
      <c r="D499" s="10" t="s">
        <v>310</v>
      </c>
      <c r="E499">
        <v>0.8</v>
      </c>
    </row>
    <row r="500" spans="1:5">
      <c r="A500" s="10" t="s">
        <v>1303</v>
      </c>
      <c r="B500" s="10" t="s">
        <v>1304</v>
      </c>
      <c r="C500" s="11">
        <v>8.1999999999999993</v>
      </c>
      <c r="D500" s="10" t="s">
        <v>310</v>
      </c>
      <c r="E500">
        <v>0.8</v>
      </c>
    </row>
    <row r="501" spans="1:5">
      <c r="A501" s="10" t="s">
        <v>1305</v>
      </c>
      <c r="B501" s="10" t="s">
        <v>1306</v>
      </c>
      <c r="C501" s="11">
        <v>12.25</v>
      </c>
      <c r="D501" s="10" t="s">
        <v>310</v>
      </c>
      <c r="E501">
        <v>0.8</v>
      </c>
    </row>
    <row r="502" spans="1:5">
      <c r="A502" s="10" t="s">
        <v>1307</v>
      </c>
      <c r="B502" s="10" t="s">
        <v>1308</v>
      </c>
      <c r="C502" s="11">
        <v>14.75</v>
      </c>
      <c r="D502" s="10" t="s">
        <v>310</v>
      </c>
      <c r="E502">
        <v>0.8</v>
      </c>
    </row>
    <row r="503" spans="1:5">
      <c r="A503" s="10" t="s">
        <v>1309</v>
      </c>
      <c r="B503" s="10" t="s">
        <v>1310</v>
      </c>
      <c r="C503" s="11">
        <v>9.8000000000000007</v>
      </c>
      <c r="D503" s="10" t="s">
        <v>310</v>
      </c>
      <c r="E503">
        <v>0.8</v>
      </c>
    </row>
    <row r="504" spans="1:5">
      <c r="A504" s="10" t="s">
        <v>1311</v>
      </c>
      <c r="B504" s="10" t="s">
        <v>1312</v>
      </c>
      <c r="C504" s="11">
        <v>11.5</v>
      </c>
      <c r="D504" s="10" t="s">
        <v>310</v>
      </c>
      <c r="E504">
        <v>0.8</v>
      </c>
    </row>
    <row r="505" spans="1:5">
      <c r="A505" s="10" t="s">
        <v>1313</v>
      </c>
      <c r="B505" s="10" t="s">
        <v>1314</v>
      </c>
      <c r="C505" s="11">
        <v>13.75</v>
      </c>
      <c r="D505" s="10" t="s">
        <v>310</v>
      </c>
      <c r="E505">
        <v>0.8</v>
      </c>
    </row>
    <row r="506" spans="1:5">
      <c r="A506" s="10" t="s">
        <v>1315</v>
      </c>
      <c r="B506" s="10" t="s">
        <v>1316</v>
      </c>
      <c r="C506" s="11">
        <v>18.75</v>
      </c>
      <c r="D506" s="10" t="s">
        <v>310</v>
      </c>
      <c r="E506">
        <v>0.8</v>
      </c>
    </row>
    <row r="507" spans="1:5">
      <c r="A507" s="10" t="s">
        <v>1317</v>
      </c>
      <c r="B507" s="10" t="s">
        <v>1318</v>
      </c>
      <c r="C507" s="11">
        <v>6.8</v>
      </c>
      <c r="D507" s="10" t="s">
        <v>310</v>
      </c>
      <c r="E507">
        <v>1.25</v>
      </c>
    </row>
    <row r="508" spans="1:5">
      <c r="A508" s="10" t="s">
        <v>1319</v>
      </c>
      <c r="B508" s="10" t="s">
        <v>1320</v>
      </c>
      <c r="C508" s="11">
        <v>6.8</v>
      </c>
      <c r="D508" s="10" t="s">
        <v>310</v>
      </c>
      <c r="E508">
        <v>1.25</v>
      </c>
    </row>
    <row r="509" spans="1:5">
      <c r="A509" s="10" t="s">
        <v>2851</v>
      </c>
      <c r="B509" s="10" t="s">
        <v>2852</v>
      </c>
      <c r="C509" s="11">
        <v>3.4</v>
      </c>
      <c r="D509" s="10" t="s">
        <v>310</v>
      </c>
      <c r="E509">
        <v>1.25</v>
      </c>
    </row>
    <row r="510" spans="1:5">
      <c r="A510" s="10" t="s">
        <v>1321</v>
      </c>
      <c r="B510" s="10" t="s">
        <v>1322</v>
      </c>
      <c r="C510" s="11">
        <v>10.199999999999999</v>
      </c>
      <c r="D510" s="10" t="s">
        <v>310</v>
      </c>
      <c r="E510">
        <v>1.25</v>
      </c>
    </row>
    <row r="511" spans="1:5">
      <c r="A511" s="10" t="s">
        <v>1323</v>
      </c>
      <c r="B511" s="10" t="s">
        <v>1324</v>
      </c>
      <c r="C511" s="11">
        <v>0.85</v>
      </c>
      <c r="D511" s="10" t="s">
        <v>310</v>
      </c>
      <c r="E511">
        <v>1.25</v>
      </c>
    </row>
    <row r="512" spans="1:5">
      <c r="A512" s="10" t="s">
        <v>1325</v>
      </c>
      <c r="B512" s="10" t="s">
        <v>1326</v>
      </c>
      <c r="C512" s="11">
        <v>1.2749999999999999</v>
      </c>
      <c r="D512" s="10" t="s">
        <v>310</v>
      </c>
      <c r="E512">
        <v>1.25</v>
      </c>
    </row>
    <row r="513" spans="1:5">
      <c r="A513" s="10" t="s">
        <v>1327</v>
      </c>
      <c r="B513" s="10" t="s">
        <v>1328</v>
      </c>
      <c r="C513" s="11">
        <v>1.0629999999999999</v>
      </c>
      <c r="D513" s="10" t="s">
        <v>310</v>
      </c>
      <c r="E513">
        <v>1.25</v>
      </c>
    </row>
    <row r="514" spans="1:5">
      <c r="A514" s="10" t="s">
        <v>1329</v>
      </c>
      <c r="B514" s="10" t="s">
        <v>1330</v>
      </c>
      <c r="C514" s="11">
        <v>0.42499999999999999</v>
      </c>
      <c r="D514" s="10" t="s">
        <v>310</v>
      </c>
      <c r="E514">
        <v>1.25</v>
      </c>
    </row>
    <row r="515" spans="1:5">
      <c r="A515" s="10" t="s">
        <v>1331</v>
      </c>
      <c r="B515" s="10" t="s">
        <v>1332</v>
      </c>
      <c r="C515" s="11">
        <v>1.488</v>
      </c>
      <c r="D515" s="10" t="s">
        <v>310</v>
      </c>
      <c r="E515">
        <v>1.25</v>
      </c>
    </row>
    <row r="516" spans="1:5">
      <c r="A516" s="10" t="s">
        <v>1333</v>
      </c>
      <c r="B516" s="10" t="s">
        <v>1334</v>
      </c>
      <c r="C516" s="11">
        <v>1.7</v>
      </c>
      <c r="D516" s="10" t="s">
        <v>310</v>
      </c>
      <c r="E516">
        <v>1.25</v>
      </c>
    </row>
    <row r="517" spans="1:5">
      <c r="A517" s="10" t="s">
        <v>1335</v>
      </c>
      <c r="B517" s="10" t="s">
        <v>1336</v>
      </c>
      <c r="C517" s="11">
        <v>2.125</v>
      </c>
      <c r="D517" s="10" t="s">
        <v>310</v>
      </c>
      <c r="E517">
        <v>1.25</v>
      </c>
    </row>
    <row r="518" spans="1:5">
      <c r="A518" s="10" t="s">
        <v>1337</v>
      </c>
      <c r="B518" s="10" t="s">
        <v>1338</v>
      </c>
      <c r="C518" s="11">
        <v>2.3380000000000001</v>
      </c>
      <c r="D518" s="10" t="s">
        <v>310</v>
      </c>
      <c r="E518">
        <v>1.25</v>
      </c>
    </row>
    <row r="519" spans="1:5">
      <c r="A519" s="10" t="s">
        <v>1339</v>
      </c>
      <c r="B519" s="10" t="s">
        <v>1340</v>
      </c>
      <c r="C519" s="11">
        <v>2.5499999999999998</v>
      </c>
      <c r="D519" s="10" t="s">
        <v>310</v>
      </c>
      <c r="E519">
        <v>1.25</v>
      </c>
    </row>
    <row r="520" spans="1:5">
      <c r="A520" s="10" t="s">
        <v>1341</v>
      </c>
      <c r="B520" s="10" t="s">
        <v>1342</v>
      </c>
      <c r="C520" s="11">
        <v>2.9750000000000001</v>
      </c>
      <c r="D520" s="10" t="s">
        <v>310</v>
      </c>
      <c r="E520">
        <v>1.25</v>
      </c>
    </row>
    <row r="521" spans="1:5">
      <c r="A521" s="10" t="s">
        <v>1343</v>
      </c>
      <c r="B521" s="10" t="s">
        <v>1344</v>
      </c>
      <c r="C521" s="11">
        <v>0.63800000000000001</v>
      </c>
      <c r="D521" s="10" t="s">
        <v>310</v>
      </c>
      <c r="E521">
        <v>1.25</v>
      </c>
    </row>
    <row r="522" spans="1:5">
      <c r="A522" s="10" t="s">
        <v>1345</v>
      </c>
      <c r="B522" s="10" t="s">
        <v>1346</v>
      </c>
      <c r="C522" s="11">
        <v>3.4</v>
      </c>
      <c r="D522" s="10" t="s">
        <v>310</v>
      </c>
      <c r="E522">
        <v>1.25</v>
      </c>
    </row>
    <row r="523" spans="1:5">
      <c r="A523" s="10" t="s">
        <v>1347</v>
      </c>
      <c r="B523" s="10" t="s">
        <v>1348</v>
      </c>
      <c r="C523" s="11">
        <v>3.8250000000000002</v>
      </c>
      <c r="D523" s="10" t="s">
        <v>310</v>
      </c>
      <c r="E523">
        <v>1.25</v>
      </c>
    </row>
    <row r="524" spans="1:5">
      <c r="A524" s="10" t="s">
        <v>1349</v>
      </c>
      <c r="B524" s="10" t="s">
        <v>1350</v>
      </c>
      <c r="C524" s="11">
        <v>4.25</v>
      </c>
      <c r="D524" s="10" t="s">
        <v>310</v>
      </c>
      <c r="E524">
        <v>1.25</v>
      </c>
    </row>
    <row r="525" spans="1:5">
      <c r="A525" s="10" t="s">
        <v>1351</v>
      </c>
      <c r="B525" s="10" t="s">
        <v>1352</v>
      </c>
      <c r="C525" s="11">
        <v>4.6749999999999998</v>
      </c>
      <c r="D525" s="10" t="s">
        <v>310</v>
      </c>
      <c r="E525">
        <v>1.25</v>
      </c>
    </row>
    <row r="526" spans="1:5">
      <c r="A526" s="10" t="s">
        <v>1353</v>
      </c>
      <c r="B526" s="10" t="s">
        <v>1354</v>
      </c>
      <c r="C526" s="11">
        <v>0.53100000000000003</v>
      </c>
      <c r="D526" s="10" t="s">
        <v>310</v>
      </c>
      <c r="E526">
        <v>1.25</v>
      </c>
    </row>
    <row r="527" spans="1:5">
      <c r="A527" s="10" t="s">
        <v>1355</v>
      </c>
      <c r="B527" s="10" t="s">
        <v>1356</v>
      </c>
      <c r="C527" s="11">
        <v>5.0999999999999996</v>
      </c>
      <c r="D527" s="10" t="s">
        <v>310</v>
      </c>
      <c r="E527">
        <v>1.25</v>
      </c>
    </row>
    <row r="528" spans="1:5">
      <c r="A528" s="10" t="s">
        <v>1357</v>
      </c>
      <c r="B528" s="10" t="s">
        <v>1358</v>
      </c>
      <c r="C528" s="11">
        <v>5.95</v>
      </c>
      <c r="D528" s="10" t="s">
        <v>310</v>
      </c>
      <c r="E528">
        <v>1.25</v>
      </c>
    </row>
    <row r="529" spans="1:5">
      <c r="A529" s="10" t="s">
        <v>1359</v>
      </c>
      <c r="B529" s="10" t="s">
        <v>1360</v>
      </c>
      <c r="C529" s="11">
        <v>6.8</v>
      </c>
      <c r="D529" s="10" t="s">
        <v>310</v>
      </c>
      <c r="E529">
        <v>1.25</v>
      </c>
    </row>
    <row r="530" spans="1:5">
      <c r="A530" s="10" t="s">
        <v>1361</v>
      </c>
      <c r="B530" s="10" t="s">
        <v>1362</v>
      </c>
      <c r="C530" s="11">
        <v>27.2</v>
      </c>
      <c r="D530" s="10" t="s">
        <v>310</v>
      </c>
      <c r="E530">
        <v>1.25</v>
      </c>
    </row>
    <row r="531" spans="1:5">
      <c r="A531" s="10" t="s">
        <v>1363</v>
      </c>
      <c r="B531" s="10" t="s">
        <v>1364</v>
      </c>
      <c r="C531" s="11">
        <v>0.42499999999999999</v>
      </c>
      <c r="D531" s="10" t="s">
        <v>310</v>
      </c>
      <c r="E531">
        <v>1.25</v>
      </c>
    </row>
    <row r="532" spans="1:5">
      <c r="A532" s="10" t="s">
        <v>1365</v>
      </c>
      <c r="B532" s="10" t="s">
        <v>1366</v>
      </c>
      <c r="C532" s="11">
        <v>0.63800000000000001</v>
      </c>
      <c r="D532" s="10" t="s">
        <v>310</v>
      </c>
      <c r="E532">
        <v>1.25</v>
      </c>
    </row>
    <row r="533" spans="1:5">
      <c r="A533" s="10" t="s">
        <v>1367</v>
      </c>
      <c r="B533" s="10" t="s">
        <v>1368</v>
      </c>
      <c r="C533" s="11">
        <v>0.53100000000000003</v>
      </c>
      <c r="D533" s="10" t="s">
        <v>310</v>
      </c>
      <c r="E533">
        <v>1.25</v>
      </c>
    </row>
    <row r="534" spans="1:5">
      <c r="A534" s="10" t="s">
        <v>1369</v>
      </c>
      <c r="B534" s="10" t="s">
        <v>1370</v>
      </c>
      <c r="C534" s="11">
        <v>0.21299999999999999</v>
      </c>
      <c r="D534" s="10" t="s">
        <v>310</v>
      </c>
      <c r="E534">
        <v>1.25</v>
      </c>
    </row>
    <row r="535" spans="1:5">
      <c r="A535" s="10" t="s">
        <v>1371</v>
      </c>
      <c r="B535" s="10" t="s">
        <v>1372</v>
      </c>
      <c r="C535" s="11">
        <v>0.74399999999999999</v>
      </c>
      <c r="D535" s="10" t="s">
        <v>310</v>
      </c>
      <c r="E535">
        <v>1.25</v>
      </c>
    </row>
    <row r="536" spans="1:5">
      <c r="A536" s="10" t="s">
        <v>1373</v>
      </c>
      <c r="B536" s="10" t="s">
        <v>1374</v>
      </c>
      <c r="C536" s="11">
        <v>0.85</v>
      </c>
      <c r="D536" s="10" t="s">
        <v>310</v>
      </c>
      <c r="E536">
        <v>1.25</v>
      </c>
    </row>
    <row r="537" spans="1:5">
      <c r="A537" s="10" t="s">
        <v>1375</v>
      </c>
      <c r="B537" s="10" t="s">
        <v>1376</v>
      </c>
      <c r="C537" s="11">
        <v>1.06</v>
      </c>
      <c r="D537" s="10" t="s">
        <v>310</v>
      </c>
      <c r="E537">
        <v>1.25</v>
      </c>
    </row>
    <row r="538" spans="1:5">
      <c r="A538" s="10" t="s">
        <v>1377</v>
      </c>
      <c r="B538" s="10" t="s">
        <v>1378</v>
      </c>
      <c r="C538" s="11">
        <v>1.28</v>
      </c>
      <c r="D538" s="10" t="s">
        <v>310</v>
      </c>
      <c r="E538">
        <v>1.25</v>
      </c>
    </row>
    <row r="539" spans="1:5">
      <c r="A539" s="10" t="s">
        <v>1379</v>
      </c>
      <c r="B539" s="10" t="s">
        <v>1380</v>
      </c>
      <c r="C539" s="11">
        <v>0.31900000000000001</v>
      </c>
      <c r="D539" s="10" t="s">
        <v>310</v>
      </c>
      <c r="E539">
        <v>1.25</v>
      </c>
    </row>
    <row r="540" spans="1:5">
      <c r="A540" s="10" t="s">
        <v>1381</v>
      </c>
      <c r="B540" s="10" t="s">
        <v>1382</v>
      </c>
      <c r="C540" s="11">
        <v>1.7</v>
      </c>
      <c r="D540" s="10" t="s">
        <v>310</v>
      </c>
      <c r="E540">
        <v>1.25</v>
      </c>
    </row>
    <row r="541" spans="1:5">
      <c r="A541" s="10" t="s">
        <v>1383</v>
      </c>
      <c r="B541" s="10" t="s">
        <v>1384</v>
      </c>
      <c r="C541" s="11">
        <v>2.13</v>
      </c>
      <c r="D541" s="10" t="s">
        <v>310</v>
      </c>
      <c r="E541">
        <v>1.25</v>
      </c>
    </row>
    <row r="542" spans="1:5">
      <c r="A542" s="10" t="s">
        <v>1385</v>
      </c>
      <c r="B542" s="10" t="s">
        <v>1386</v>
      </c>
      <c r="C542" s="11">
        <v>0.26600000000000001</v>
      </c>
      <c r="D542" s="10" t="s">
        <v>310</v>
      </c>
      <c r="E542">
        <v>1.25</v>
      </c>
    </row>
    <row r="543" spans="1:5">
      <c r="A543" s="10" t="s">
        <v>1387</v>
      </c>
      <c r="B543" s="10" t="s">
        <v>1388</v>
      </c>
      <c r="C543" s="11">
        <v>2.5499999999999998</v>
      </c>
      <c r="D543" s="10" t="s">
        <v>310</v>
      </c>
      <c r="E543">
        <v>1.25</v>
      </c>
    </row>
    <row r="544" spans="1:5">
      <c r="A544" s="10" t="s">
        <v>1389</v>
      </c>
      <c r="B544" s="10" t="s">
        <v>1390</v>
      </c>
      <c r="C544" s="11">
        <v>2.98</v>
      </c>
      <c r="D544" s="10" t="s">
        <v>310</v>
      </c>
      <c r="E544">
        <v>1.25</v>
      </c>
    </row>
    <row r="545" spans="1:5">
      <c r="A545" s="10" t="s">
        <v>1391</v>
      </c>
      <c r="B545" s="10" t="s">
        <v>1392</v>
      </c>
      <c r="C545" s="11">
        <v>3.4</v>
      </c>
      <c r="D545" s="10" t="s">
        <v>310</v>
      </c>
      <c r="E545">
        <v>1.25</v>
      </c>
    </row>
    <row r="546" spans="1:5">
      <c r="A546" s="10" t="s">
        <v>1393</v>
      </c>
      <c r="B546" s="10" t="s">
        <v>1394</v>
      </c>
      <c r="C546" s="11">
        <v>0.63800000000000001</v>
      </c>
      <c r="D546" s="10" t="s">
        <v>310</v>
      </c>
      <c r="E546">
        <v>1.25</v>
      </c>
    </row>
    <row r="547" spans="1:5">
      <c r="A547" s="10" t="s">
        <v>1395</v>
      </c>
      <c r="B547" s="10" t="s">
        <v>1396</v>
      </c>
      <c r="C547" s="11">
        <v>0.95599999999999996</v>
      </c>
      <c r="D547" s="10" t="s">
        <v>310</v>
      </c>
      <c r="E547">
        <v>1.25</v>
      </c>
    </row>
    <row r="548" spans="1:5">
      <c r="A548" s="10" t="s">
        <v>1397</v>
      </c>
      <c r="B548" s="10" t="s">
        <v>1398</v>
      </c>
      <c r="C548" s="11">
        <v>0.79700000000000004</v>
      </c>
      <c r="D548" s="10" t="s">
        <v>310</v>
      </c>
      <c r="E548">
        <v>1.25</v>
      </c>
    </row>
    <row r="549" spans="1:5">
      <c r="A549" s="10" t="s">
        <v>1399</v>
      </c>
      <c r="B549" s="10" t="s">
        <v>1400</v>
      </c>
      <c r="C549" s="11">
        <v>0.31900000000000001</v>
      </c>
      <c r="D549" s="10" t="s">
        <v>310</v>
      </c>
      <c r="E549">
        <v>1.25</v>
      </c>
    </row>
    <row r="550" spans="1:5">
      <c r="A550" s="10" t="s">
        <v>1401</v>
      </c>
      <c r="B550" s="10" t="s">
        <v>1402</v>
      </c>
      <c r="C550" s="11">
        <v>1.1200000000000001</v>
      </c>
      <c r="D550" s="10" t="s">
        <v>310</v>
      </c>
      <c r="E550">
        <v>1.25</v>
      </c>
    </row>
    <row r="551" spans="1:5">
      <c r="A551" s="10" t="s">
        <v>1403</v>
      </c>
      <c r="B551" s="10" t="s">
        <v>1404</v>
      </c>
      <c r="C551" s="11">
        <v>1.28</v>
      </c>
      <c r="D551" s="10" t="s">
        <v>310</v>
      </c>
      <c r="E551">
        <v>1.25</v>
      </c>
    </row>
    <row r="552" spans="1:5">
      <c r="A552" s="10" t="s">
        <v>1405</v>
      </c>
      <c r="B552" s="10" t="s">
        <v>1406</v>
      </c>
      <c r="C552" s="11">
        <v>1.59</v>
      </c>
      <c r="D552" s="10" t="s">
        <v>310</v>
      </c>
      <c r="E552">
        <v>1.25</v>
      </c>
    </row>
    <row r="553" spans="1:5">
      <c r="A553" s="10" t="s">
        <v>1407</v>
      </c>
      <c r="B553" s="10" t="s">
        <v>1408</v>
      </c>
      <c r="C553" s="11">
        <v>1.91</v>
      </c>
      <c r="D553" s="10" t="s">
        <v>310</v>
      </c>
      <c r="E553">
        <v>1.25</v>
      </c>
    </row>
    <row r="554" spans="1:5">
      <c r="A554" s="10" t="s">
        <v>1409</v>
      </c>
      <c r="B554" s="10" t="s">
        <v>1410</v>
      </c>
      <c r="C554" s="11">
        <v>0.47799999999999998</v>
      </c>
      <c r="D554" s="10" t="s">
        <v>310</v>
      </c>
      <c r="E554">
        <v>1.25</v>
      </c>
    </row>
    <row r="555" spans="1:5">
      <c r="A555" s="10" t="s">
        <v>1411</v>
      </c>
      <c r="B555" s="10" t="s">
        <v>1412</v>
      </c>
      <c r="C555" s="11">
        <v>2.5499999999999998</v>
      </c>
      <c r="D555" s="10" t="s">
        <v>310</v>
      </c>
      <c r="E555">
        <v>1.25</v>
      </c>
    </row>
    <row r="556" spans="1:5">
      <c r="A556" s="10" t="s">
        <v>1413</v>
      </c>
      <c r="B556" s="10" t="s">
        <v>1414</v>
      </c>
      <c r="C556" s="11">
        <v>3.19</v>
      </c>
      <c r="D556" s="10" t="s">
        <v>310</v>
      </c>
      <c r="E556">
        <v>1.25</v>
      </c>
    </row>
    <row r="557" spans="1:5">
      <c r="A557" s="10" t="s">
        <v>1415</v>
      </c>
      <c r="B557" s="10" t="s">
        <v>1416</v>
      </c>
      <c r="C557" s="11">
        <v>0.39800000000000002</v>
      </c>
      <c r="D557" s="10" t="s">
        <v>310</v>
      </c>
      <c r="E557">
        <v>1.25</v>
      </c>
    </row>
    <row r="558" spans="1:5">
      <c r="A558" s="10" t="s">
        <v>1417</v>
      </c>
      <c r="B558" s="10" t="s">
        <v>1418</v>
      </c>
      <c r="C558" s="11">
        <v>3.83</v>
      </c>
      <c r="D558" s="10" t="s">
        <v>310</v>
      </c>
      <c r="E558">
        <v>1.25</v>
      </c>
    </row>
    <row r="559" spans="1:5">
      <c r="A559" s="10" t="s">
        <v>1419</v>
      </c>
      <c r="B559" s="10" t="s">
        <v>1420</v>
      </c>
      <c r="C559" s="11">
        <v>4.47</v>
      </c>
      <c r="D559" s="10" t="s">
        <v>310</v>
      </c>
      <c r="E559">
        <v>1.25</v>
      </c>
    </row>
    <row r="560" spans="1:5">
      <c r="A560" s="10" t="s">
        <v>1421</v>
      </c>
      <c r="B560" s="10" t="s">
        <v>1422</v>
      </c>
      <c r="C560" s="11">
        <v>5.0999999999999996</v>
      </c>
      <c r="D560" s="10" t="s">
        <v>310</v>
      </c>
      <c r="E560">
        <v>1.25</v>
      </c>
    </row>
    <row r="561" spans="1:5">
      <c r="A561" s="10" t="s">
        <v>1423</v>
      </c>
      <c r="B561" s="10" t="s">
        <v>1424</v>
      </c>
      <c r="C561" s="11">
        <v>1.276</v>
      </c>
      <c r="D561" s="10" t="s">
        <v>310</v>
      </c>
      <c r="E561">
        <v>1.25</v>
      </c>
    </row>
    <row r="562" spans="1:5">
      <c r="A562" s="10" t="s">
        <v>1425</v>
      </c>
      <c r="B562" s="10" t="s">
        <v>1426</v>
      </c>
      <c r="C562" s="11">
        <v>1.913</v>
      </c>
      <c r="D562" s="10" t="s">
        <v>310</v>
      </c>
      <c r="E562">
        <v>1.25</v>
      </c>
    </row>
    <row r="563" spans="1:5">
      <c r="A563" s="10" t="s">
        <v>1427</v>
      </c>
      <c r="B563" s="10" t="s">
        <v>1428</v>
      </c>
      <c r="C563" s="11">
        <v>1.5940000000000001</v>
      </c>
      <c r="D563" s="10" t="s">
        <v>310</v>
      </c>
      <c r="E563">
        <v>1.25</v>
      </c>
    </row>
    <row r="564" spans="1:5">
      <c r="A564" s="10" t="s">
        <v>1429</v>
      </c>
      <c r="B564" s="10" t="s">
        <v>1430</v>
      </c>
      <c r="C564" s="11">
        <v>0.63800000000000001</v>
      </c>
      <c r="D564" s="10" t="s">
        <v>310</v>
      </c>
      <c r="E564">
        <v>1.25</v>
      </c>
    </row>
    <row r="565" spans="1:5">
      <c r="A565" s="10" t="s">
        <v>1431</v>
      </c>
      <c r="B565" s="10" t="s">
        <v>1432</v>
      </c>
      <c r="C565" s="11">
        <v>2.5499999999999998</v>
      </c>
      <c r="D565" s="10" t="s">
        <v>310</v>
      </c>
      <c r="E565">
        <v>1.25</v>
      </c>
    </row>
    <row r="566" spans="1:5">
      <c r="A566" s="10" t="s">
        <v>1433</v>
      </c>
      <c r="B566" s="10" t="s">
        <v>1434</v>
      </c>
      <c r="C566" s="11">
        <v>3.1880000000000002</v>
      </c>
      <c r="D566" s="10" t="s">
        <v>310</v>
      </c>
      <c r="E566">
        <v>1.25</v>
      </c>
    </row>
    <row r="567" spans="1:5">
      <c r="A567" s="10" t="s">
        <v>1435</v>
      </c>
      <c r="B567" s="10" t="s">
        <v>1436</v>
      </c>
      <c r="C567" s="11">
        <v>3.8250000000000002</v>
      </c>
      <c r="D567" s="10" t="s">
        <v>310</v>
      </c>
      <c r="E567">
        <v>1.25</v>
      </c>
    </row>
    <row r="568" spans="1:5">
      <c r="A568" s="10" t="s">
        <v>1437</v>
      </c>
      <c r="B568" s="10" t="s">
        <v>1438</v>
      </c>
      <c r="C568" s="11">
        <v>4.4630000000000001</v>
      </c>
      <c r="D568" s="10" t="s">
        <v>310</v>
      </c>
      <c r="E568">
        <v>1.25</v>
      </c>
    </row>
    <row r="569" spans="1:5">
      <c r="A569" s="10" t="s">
        <v>1439</v>
      </c>
      <c r="B569" s="10" t="s">
        <v>1440</v>
      </c>
      <c r="C569" s="11">
        <v>0.95599999999999996</v>
      </c>
      <c r="D569" s="10" t="s">
        <v>310</v>
      </c>
      <c r="E569">
        <v>1.25</v>
      </c>
    </row>
    <row r="570" spans="1:5">
      <c r="A570" s="10" t="s">
        <v>1441</v>
      </c>
      <c r="B570" s="10" t="s">
        <v>1442</v>
      </c>
      <c r="C570" s="11">
        <v>5.0999999999999996</v>
      </c>
      <c r="D570" s="10" t="s">
        <v>310</v>
      </c>
      <c r="E570">
        <v>1.25</v>
      </c>
    </row>
    <row r="571" spans="1:5">
      <c r="A571" s="10" t="s">
        <v>1443</v>
      </c>
      <c r="B571" s="10" t="s">
        <v>1444</v>
      </c>
      <c r="C571" s="11">
        <v>5.7380000000000004</v>
      </c>
      <c r="D571" s="10" t="s">
        <v>310</v>
      </c>
      <c r="E571">
        <v>1.25</v>
      </c>
    </row>
    <row r="572" spans="1:5">
      <c r="A572" s="10" t="s">
        <v>1445</v>
      </c>
      <c r="B572" s="10" t="s">
        <v>1446</v>
      </c>
      <c r="C572" s="11">
        <v>6.375</v>
      </c>
      <c r="D572" s="10" t="s">
        <v>310</v>
      </c>
      <c r="E572">
        <v>1.25</v>
      </c>
    </row>
    <row r="573" spans="1:5">
      <c r="A573" s="10" t="s">
        <v>1447</v>
      </c>
      <c r="B573" s="10" t="s">
        <v>1448</v>
      </c>
      <c r="C573" s="11">
        <v>7.0129999999999999</v>
      </c>
      <c r="D573" s="10" t="s">
        <v>310</v>
      </c>
      <c r="E573">
        <v>1.25</v>
      </c>
    </row>
    <row r="574" spans="1:5">
      <c r="A574" s="10" t="s">
        <v>1449</v>
      </c>
      <c r="B574" s="10" t="s">
        <v>1450</v>
      </c>
      <c r="C574" s="11">
        <v>7.65</v>
      </c>
      <c r="D574" s="10" t="s">
        <v>310</v>
      </c>
      <c r="E574">
        <v>1.25</v>
      </c>
    </row>
    <row r="575" spans="1:5">
      <c r="A575" s="10" t="s">
        <v>1451</v>
      </c>
      <c r="B575" s="10" t="s">
        <v>1452</v>
      </c>
      <c r="C575" s="11">
        <v>8.9250000000000007</v>
      </c>
      <c r="D575" s="10" t="s">
        <v>310</v>
      </c>
      <c r="E575">
        <v>1.25</v>
      </c>
    </row>
    <row r="576" spans="1:5">
      <c r="A576" s="10" t="s">
        <v>1453</v>
      </c>
      <c r="B576" s="10" t="s">
        <v>1454</v>
      </c>
      <c r="C576" s="11">
        <v>10.199999999999999</v>
      </c>
      <c r="D576" s="10" t="s">
        <v>310</v>
      </c>
      <c r="E576">
        <v>1.25</v>
      </c>
    </row>
    <row r="577" spans="1:5">
      <c r="A577" s="10" t="s">
        <v>1455</v>
      </c>
      <c r="B577" s="10" t="s">
        <v>1456</v>
      </c>
      <c r="C577" s="11">
        <v>1.0629999999999999</v>
      </c>
      <c r="D577" s="10" t="s">
        <v>310</v>
      </c>
      <c r="E577">
        <v>1.25</v>
      </c>
    </row>
    <row r="578" spans="1:5">
      <c r="A578" s="10" t="s">
        <v>1457</v>
      </c>
      <c r="B578" s="10" t="s">
        <v>1458</v>
      </c>
      <c r="C578" s="11">
        <v>1.5940000000000001</v>
      </c>
      <c r="D578" s="10" t="s">
        <v>310</v>
      </c>
      <c r="E578">
        <v>1.25</v>
      </c>
    </row>
    <row r="579" spans="1:5">
      <c r="A579" s="10" t="s">
        <v>1459</v>
      </c>
      <c r="B579" s="10" t="s">
        <v>1460</v>
      </c>
      <c r="C579" s="11">
        <v>1.3280000000000001</v>
      </c>
      <c r="D579" s="10" t="s">
        <v>310</v>
      </c>
      <c r="E579">
        <v>1.25</v>
      </c>
    </row>
    <row r="580" spans="1:5">
      <c r="A580" s="10" t="s">
        <v>1461</v>
      </c>
      <c r="B580" s="10" t="s">
        <v>1462</v>
      </c>
      <c r="C580" s="11">
        <v>0.53100000000000003</v>
      </c>
      <c r="D580" s="10" t="s">
        <v>310</v>
      </c>
      <c r="E580">
        <v>1.25</v>
      </c>
    </row>
    <row r="581" spans="1:5">
      <c r="A581" s="10" t="s">
        <v>1463</v>
      </c>
      <c r="B581" s="10" t="s">
        <v>1464</v>
      </c>
      <c r="C581" s="11">
        <v>1.859</v>
      </c>
      <c r="D581" s="10" t="s">
        <v>310</v>
      </c>
      <c r="E581">
        <v>1.25</v>
      </c>
    </row>
    <row r="582" spans="1:5">
      <c r="A582" s="10" t="s">
        <v>1465</v>
      </c>
      <c r="B582" s="10" t="s">
        <v>1466</v>
      </c>
      <c r="C582" s="11">
        <v>2.125</v>
      </c>
      <c r="D582" s="10" t="s">
        <v>310</v>
      </c>
      <c r="E582">
        <v>1.25</v>
      </c>
    </row>
    <row r="583" spans="1:5">
      <c r="A583" s="10" t="s">
        <v>1467</v>
      </c>
      <c r="B583" s="10" t="s">
        <v>1468</v>
      </c>
      <c r="C583" s="11">
        <v>2.6560000000000001</v>
      </c>
      <c r="D583" s="10" t="s">
        <v>310</v>
      </c>
      <c r="E583">
        <v>1.25</v>
      </c>
    </row>
    <row r="584" spans="1:5">
      <c r="A584" s="10" t="s">
        <v>1469</v>
      </c>
      <c r="B584" s="10" t="s">
        <v>1470</v>
      </c>
      <c r="C584" s="11">
        <v>3.1880000000000002</v>
      </c>
      <c r="D584" s="10" t="s">
        <v>310</v>
      </c>
      <c r="E584">
        <v>1.25</v>
      </c>
    </row>
    <row r="585" spans="1:5">
      <c r="A585" s="10" t="s">
        <v>1471</v>
      </c>
      <c r="B585" s="10" t="s">
        <v>1472</v>
      </c>
      <c r="C585" s="11">
        <v>3.7189999999999999</v>
      </c>
      <c r="D585" s="10" t="s">
        <v>310</v>
      </c>
      <c r="E585">
        <v>1.25</v>
      </c>
    </row>
    <row r="586" spans="1:5">
      <c r="A586" s="10" t="s">
        <v>1473</v>
      </c>
      <c r="B586" s="10" t="s">
        <v>1474</v>
      </c>
      <c r="C586" s="11">
        <v>0.79700000000000004</v>
      </c>
      <c r="D586" s="10" t="s">
        <v>310</v>
      </c>
      <c r="E586">
        <v>1.25</v>
      </c>
    </row>
    <row r="587" spans="1:5">
      <c r="A587" s="10" t="s">
        <v>1475</v>
      </c>
      <c r="B587" s="10" t="s">
        <v>1476</v>
      </c>
      <c r="C587" s="11">
        <v>4.25</v>
      </c>
      <c r="D587" s="10" t="s">
        <v>310</v>
      </c>
      <c r="E587">
        <v>1.25</v>
      </c>
    </row>
    <row r="588" spans="1:5">
      <c r="A588" s="10" t="s">
        <v>1477</v>
      </c>
      <c r="B588" s="10" t="s">
        <v>1478</v>
      </c>
      <c r="C588" s="11">
        <v>4.7809999999999997</v>
      </c>
      <c r="D588" s="10" t="s">
        <v>310</v>
      </c>
      <c r="E588">
        <v>1.25</v>
      </c>
    </row>
    <row r="589" spans="1:5">
      <c r="A589" s="10" t="s">
        <v>1479</v>
      </c>
      <c r="B589" s="10" t="s">
        <v>1480</v>
      </c>
      <c r="C589" s="11">
        <v>5.3129999999999997</v>
      </c>
      <c r="D589" s="10" t="s">
        <v>310</v>
      </c>
      <c r="E589">
        <v>1.25</v>
      </c>
    </row>
    <row r="590" spans="1:5">
      <c r="A590" s="10" t="s">
        <v>1481</v>
      </c>
      <c r="B590" s="10" t="s">
        <v>1482</v>
      </c>
      <c r="C590" s="11">
        <v>5.8440000000000003</v>
      </c>
      <c r="D590" s="10" t="s">
        <v>310</v>
      </c>
      <c r="E590">
        <v>1.25</v>
      </c>
    </row>
    <row r="591" spans="1:5">
      <c r="A591" s="10" t="s">
        <v>1483</v>
      </c>
      <c r="B591" s="10" t="s">
        <v>1484</v>
      </c>
      <c r="C591" s="11">
        <v>0.66400000000000003</v>
      </c>
      <c r="D591" s="10" t="s">
        <v>310</v>
      </c>
      <c r="E591">
        <v>1.25</v>
      </c>
    </row>
    <row r="592" spans="1:5">
      <c r="A592" s="10" t="s">
        <v>1485</v>
      </c>
      <c r="B592" s="10" t="s">
        <v>1486</v>
      </c>
      <c r="C592" s="11">
        <v>6.375</v>
      </c>
      <c r="D592" s="10" t="s">
        <v>310</v>
      </c>
      <c r="E592">
        <v>1.25</v>
      </c>
    </row>
    <row r="593" spans="1:5">
      <c r="A593" s="10" t="s">
        <v>1487</v>
      </c>
      <c r="B593" s="10" t="s">
        <v>1488</v>
      </c>
      <c r="C593" s="11">
        <v>7.4379999999999997</v>
      </c>
      <c r="D593" s="10" t="s">
        <v>310</v>
      </c>
      <c r="E593">
        <v>1.25</v>
      </c>
    </row>
    <row r="594" spans="1:5">
      <c r="A594" s="10" t="s">
        <v>1489</v>
      </c>
      <c r="B594" s="10" t="s">
        <v>1490</v>
      </c>
      <c r="C594" s="11">
        <v>8.5</v>
      </c>
      <c r="D594" s="10" t="s">
        <v>310</v>
      </c>
      <c r="E594">
        <v>1.25</v>
      </c>
    </row>
    <row r="595" spans="1:5">
      <c r="A595" s="10" t="s">
        <v>1491</v>
      </c>
      <c r="B595" s="10" t="s">
        <v>1492</v>
      </c>
      <c r="C595" s="11">
        <v>2.673</v>
      </c>
      <c r="D595" s="10" t="s">
        <v>310</v>
      </c>
      <c r="E595">
        <v>1.25</v>
      </c>
    </row>
    <row r="596" spans="1:5">
      <c r="A596" s="10" t="s">
        <v>1493</v>
      </c>
      <c r="B596" s="10" t="s">
        <v>1494</v>
      </c>
      <c r="C596" s="11">
        <v>0.376</v>
      </c>
      <c r="D596" s="10" t="s">
        <v>310</v>
      </c>
      <c r="E596">
        <v>1.25</v>
      </c>
    </row>
    <row r="597" spans="1:5">
      <c r="A597" s="10" t="s">
        <v>1495</v>
      </c>
      <c r="B597" s="10" t="s">
        <v>1496</v>
      </c>
      <c r="C597" s="11">
        <v>2.044</v>
      </c>
      <c r="D597" s="10" t="s">
        <v>310</v>
      </c>
      <c r="E597">
        <v>1.25</v>
      </c>
    </row>
    <row r="598" spans="1:5">
      <c r="A598" s="10" t="s">
        <v>1497</v>
      </c>
      <c r="B598" s="10" t="s">
        <v>1498</v>
      </c>
      <c r="C598" s="11">
        <v>7.1</v>
      </c>
      <c r="D598" s="10" t="s">
        <v>310</v>
      </c>
      <c r="E598" t="e">
        <v>#N/A</v>
      </c>
    </row>
    <row r="599" spans="1:5">
      <c r="A599" s="10" t="s">
        <v>1499</v>
      </c>
      <c r="B599" s="10" t="s">
        <v>1500</v>
      </c>
      <c r="C599" s="11">
        <v>13.8</v>
      </c>
      <c r="D599" s="10" t="s">
        <v>310</v>
      </c>
      <c r="E599" t="e">
        <v>#N/A</v>
      </c>
    </row>
    <row r="600" spans="1:5">
      <c r="A600" s="10" t="s">
        <v>1501</v>
      </c>
      <c r="B600" s="10" t="s">
        <v>1502</v>
      </c>
      <c r="C600" s="11">
        <v>12</v>
      </c>
      <c r="D600" s="10" t="s">
        <v>310</v>
      </c>
      <c r="E600" t="e">
        <v>#N/A</v>
      </c>
    </row>
    <row r="601" spans="1:5">
      <c r="A601" s="10" t="s">
        <v>1503</v>
      </c>
      <c r="B601" s="10" t="s">
        <v>1504</v>
      </c>
      <c r="C601" s="11">
        <v>15.1</v>
      </c>
      <c r="D601" s="10" t="s">
        <v>310</v>
      </c>
      <c r="E601" t="e">
        <v>#N/A</v>
      </c>
    </row>
    <row r="602" spans="1:5">
      <c r="A602" s="10" t="s">
        <v>1505</v>
      </c>
      <c r="B602" s="10" t="s">
        <v>1506</v>
      </c>
      <c r="C602" s="11">
        <v>15.3</v>
      </c>
      <c r="D602" s="10" t="s">
        <v>310</v>
      </c>
      <c r="E602" t="e">
        <v>#N/A</v>
      </c>
    </row>
    <row r="603" spans="1:5">
      <c r="A603" s="10" t="s">
        <v>1507</v>
      </c>
      <c r="B603" s="10" t="s">
        <v>1508</v>
      </c>
      <c r="C603" s="11">
        <v>16.3</v>
      </c>
      <c r="D603" s="10" t="s">
        <v>310</v>
      </c>
      <c r="E603" t="e">
        <v>#N/A</v>
      </c>
    </row>
    <row r="604" spans="1:5">
      <c r="A604" s="10" t="s">
        <v>1509</v>
      </c>
      <c r="B604" s="10" t="s">
        <v>1510</v>
      </c>
      <c r="C604" s="11">
        <v>18</v>
      </c>
      <c r="D604" s="10" t="s">
        <v>310</v>
      </c>
      <c r="E604">
        <v>0.78949999999999987</v>
      </c>
    </row>
    <row r="605" spans="1:5">
      <c r="A605" s="10" t="s">
        <v>1511</v>
      </c>
      <c r="B605" s="10" t="s">
        <v>1512</v>
      </c>
      <c r="C605" s="11">
        <v>22.7</v>
      </c>
      <c r="D605" s="10" t="s">
        <v>310</v>
      </c>
      <c r="E605" t="e">
        <v>#N/A</v>
      </c>
    </row>
    <row r="606" spans="1:5">
      <c r="A606" s="10" t="s">
        <v>1513</v>
      </c>
      <c r="B606" s="10" t="s">
        <v>1514</v>
      </c>
      <c r="C606" s="11">
        <v>18.7</v>
      </c>
      <c r="D606" s="10" t="s">
        <v>310</v>
      </c>
      <c r="E606" t="e">
        <v>#N/A</v>
      </c>
    </row>
    <row r="607" spans="1:5">
      <c r="A607" s="10" t="s">
        <v>1515</v>
      </c>
      <c r="B607" s="10" t="s">
        <v>1516</v>
      </c>
      <c r="C607" s="11">
        <v>8.5</v>
      </c>
      <c r="D607" s="10" t="s">
        <v>310</v>
      </c>
      <c r="E607" t="e">
        <v>#N/A</v>
      </c>
    </row>
    <row r="608" spans="1:5">
      <c r="A608" s="10" t="s">
        <v>1517</v>
      </c>
      <c r="B608" s="10" t="s">
        <v>1518</v>
      </c>
      <c r="C608" s="11">
        <v>2.72</v>
      </c>
      <c r="D608" s="10" t="s">
        <v>310</v>
      </c>
      <c r="E608">
        <v>1.5</v>
      </c>
    </row>
    <row r="609" spans="1:5">
      <c r="A609" s="10" t="s">
        <v>1519</v>
      </c>
      <c r="B609" s="10" t="s">
        <v>1520</v>
      </c>
      <c r="C609" s="11">
        <v>2.27</v>
      </c>
      <c r="D609" s="10" t="s">
        <v>310</v>
      </c>
      <c r="E609">
        <v>1.5</v>
      </c>
    </row>
    <row r="610" spans="1:5">
      <c r="A610" s="10" t="s">
        <v>1521</v>
      </c>
      <c r="B610" s="10" t="s">
        <v>1522</v>
      </c>
      <c r="C610" s="11">
        <v>1.68</v>
      </c>
      <c r="D610" s="10" t="s">
        <v>310</v>
      </c>
      <c r="E610">
        <v>1.5</v>
      </c>
    </row>
    <row r="611" spans="1:5">
      <c r="A611" s="10" t="s">
        <v>1523</v>
      </c>
      <c r="B611" s="10" t="s">
        <v>1524</v>
      </c>
      <c r="C611" s="11">
        <v>5.79</v>
      </c>
      <c r="D611" s="10" t="s">
        <v>310</v>
      </c>
      <c r="E611">
        <v>1.5</v>
      </c>
    </row>
    <row r="612" spans="1:5">
      <c r="A612" s="10" t="s">
        <v>1525</v>
      </c>
      <c r="B612" s="10" t="s">
        <v>1526</v>
      </c>
      <c r="C612" s="11">
        <v>3.65</v>
      </c>
      <c r="D612" s="10" t="s">
        <v>310</v>
      </c>
      <c r="E612">
        <v>1.5</v>
      </c>
    </row>
    <row r="613" spans="1:5">
      <c r="A613" s="10" t="s">
        <v>1527</v>
      </c>
      <c r="B613" s="10" t="s">
        <v>1528</v>
      </c>
      <c r="C613" s="11">
        <v>9.11</v>
      </c>
      <c r="D613" s="10" t="s">
        <v>310</v>
      </c>
      <c r="E613">
        <v>1.5</v>
      </c>
    </row>
    <row r="614" spans="1:5">
      <c r="A614" s="10" t="s">
        <v>1529</v>
      </c>
      <c r="B614" s="10" t="s">
        <v>1530</v>
      </c>
      <c r="C614" s="11">
        <v>12.51</v>
      </c>
      <c r="D614" s="10" t="s">
        <v>310</v>
      </c>
      <c r="E614">
        <v>1.5</v>
      </c>
    </row>
    <row r="615" spans="1:5">
      <c r="A615" s="10" t="s">
        <v>1531</v>
      </c>
      <c r="B615" s="10" t="s">
        <v>1532</v>
      </c>
      <c r="C615" s="11">
        <v>1.1299999999999999</v>
      </c>
      <c r="D615" s="10" t="s">
        <v>310</v>
      </c>
      <c r="E615">
        <v>1.5</v>
      </c>
    </row>
    <row r="616" spans="1:5">
      <c r="A616" s="10" t="s">
        <v>1533</v>
      </c>
      <c r="B616" s="10" t="s">
        <v>1534</v>
      </c>
      <c r="C616" s="11">
        <v>7.58</v>
      </c>
      <c r="D616" s="10" t="s">
        <v>310</v>
      </c>
      <c r="E616">
        <v>1.5</v>
      </c>
    </row>
    <row r="617" spans="1:5">
      <c r="A617" s="10" t="s">
        <v>1535</v>
      </c>
      <c r="B617" s="10" t="s">
        <v>1536</v>
      </c>
      <c r="C617" s="11">
        <v>10.79</v>
      </c>
      <c r="D617" s="10" t="s">
        <v>310</v>
      </c>
      <c r="E617">
        <v>1.5</v>
      </c>
    </row>
    <row r="618" spans="1:5">
      <c r="A618" s="10" t="s">
        <v>1537</v>
      </c>
      <c r="B618" s="10" t="s">
        <v>1538</v>
      </c>
      <c r="C618" s="11">
        <v>14.62</v>
      </c>
      <c r="D618" s="10" t="s">
        <v>310</v>
      </c>
      <c r="E618">
        <v>1.5</v>
      </c>
    </row>
    <row r="619" spans="1:5">
      <c r="A619" s="10" t="s">
        <v>1539</v>
      </c>
      <c r="B619" s="10" t="s">
        <v>1540</v>
      </c>
      <c r="C619" s="11">
        <v>18.97</v>
      </c>
      <c r="D619" s="10" t="s">
        <v>310</v>
      </c>
      <c r="E619">
        <v>1.5</v>
      </c>
    </row>
    <row r="620" spans="1:5">
      <c r="A620" s="10" t="s">
        <v>1541</v>
      </c>
      <c r="B620" s="10" t="s">
        <v>1542</v>
      </c>
      <c r="C620" s="11">
        <v>19.010000000000002</v>
      </c>
      <c r="D620" s="10" t="s">
        <v>310</v>
      </c>
      <c r="E620">
        <v>1.5</v>
      </c>
    </row>
    <row r="621" spans="1:5">
      <c r="A621" s="10" t="s">
        <v>1543</v>
      </c>
      <c r="B621" s="10" t="s">
        <v>1544</v>
      </c>
      <c r="C621" s="11">
        <v>28.55</v>
      </c>
      <c r="D621" s="10" t="s">
        <v>310</v>
      </c>
      <c r="E621">
        <v>1.5</v>
      </c>
    </row>
    <row r="622" spans="1:5">
      <c r="A622" s="10" t="s">
        <v>1545</v>
      </c>
      <c r="B622" s="10" t="s">
        <v>1546</v>
      </c>
      <c r="C622" s="11">
        <v>1.1279999999999999</v>
      </c>
      <c r="D622" s="10" t="s">
        <v>310</v>
      </c>
      <c r="E622">
        <v>1.65</v>
      </c>
    </row>
    <row r="623" spans="1:5">
      <c r="A623" s="10" t="s">
        <v>1547</v>
      </c>
      <c r="B623" s="10" t="s">
        <v>1548</v>
      </c>
      <c r="C623" s="11">
        <v>1.7689999999999999</v>
      </c>
      <c r="D623" s="10" t="s">
        <v>310</v>
      </c>
      <c r="E623">
        <v>1.65</v>
      </c>
    </row>
    <row r="624" spans="1:5">
      <c r="A624" s="10" t="s">
        <v>1549</v>
      </c>
      <c r="B624" s="10" t="s">
        <v>1550</v>
      </c>
      <c r="C624" s="11">
        <v>1.619</v>
      </c>
      <c r="D624" s="10" t="s">
        <v>310</v>
      </c>
      <c r="E624">
        <v>1.65</v>
      </c>
    </row>
    <row r="625" spans="1:5">
      <c r="A625" s="10" t="s">
        <v>1551</v>
      </c>
      <c r="B625" s="10" t="s">
        <v>1552</v>
      </c>
      <c r="C625" s="11">
        <v>3.3380000000000001</v>
      </c>
      <c r="D625" s="10" t="s">
        <v>310</v>
      </c>
      <c r="E625">
        <v>1.65</v>
      </c>
    </row>
    <row r="626" spans="1:5">
      <c r="A626" s="10" t="s">
        <v>1553</v>
      </c>
      <c r="B626" s="10" t="s">
        <v>1554</v>
      </c>
      <c r="C626" s="11">
        <v>1.256</v>
      </c>
      <c r="D626" s="10" t="s">
        <v>310</v>
      </c>
      <c r="E626">
        <v>1.65</v>
      </c>
    </row>
    <row r="627" spans="1:5">
      <c r="A627" s="10" t="s">
        <v>1555</v>
      </c>
      <c r="B627" s="10" t="s">
        <v>1556</v>
      </c>
      <c r="C627" s="11">
        <v>0.99619999999999997</v>
      </c>
      <c r="D627" s="10" t="s">
        <v>310</v>
      </c>
      <c r="E627">
        <v>1.65</v>
      </c>
    </row>
    <row r="628" spans="1:5">
      <c r="A628" s="10" t="s">
        <v>1557</v>
      </c>
      <c r="B628" s="10" t="s">
        <v>1558</v>
      </c>
      <c r="C628" s="11">
        <v>0.75929999999999997</v>
      </c>
      <c r="D628" s="10" t="s">
        <v>310</v>
      </c>
      <c r="E628">
        <v>1.65</v>
      </c>
    </row>
    <row r="629" spans="1:5">
      <c r="A629" s="10" t="s">
        <v>1559</v>
      </c>
      <c r="B629" s="10" t="s">
        <v>1560</v>
      </c>
      <c r="C629" s="11">
        <v>2.6339999999999999</v>
      </c>
      <c r="D629" s="10" t="s">
        <v>310</v>
      </c>
      <c r="E629">
        <v>1.65</v>
      </c>
    </row>
    <row r="630" spans="1:5">
      <c r="A630" s="10" t="s">
        <v>1561</v>
      </c>
      <c r="B630" s="10" t="s">
        <v>1562</v>
      </c>
      <c r="C630" s="11">
        <v>3.968</v>
      </c>
      <c r="D630" s="10" t="s">
        <v>310</v>
      </c>
      <c r="E630">
        <v>1.65</v>
      </c>
    </row>
    <row r="631" spans="1:5">
      <c r="A631" s="10" t="s">
        <v>1563</v>
      </c>
      <c r="B631" s="10" t="s">
        <v>1564</v>
      </c>
      <c r="C631" s="11">
        <v>1.0369999999999999</v>
      </c>
      <c r="D631" s="10" t="s">
        <v>310</v>
      </c>
      <c r="E631">
        <v>1.65</v>
      </c>
    </row>
    <row r="632" spans="1:5">
      <c r="A632" s="10" t="s">
        <v>1565</v>
      </c>
      <c r="B632" s="10" t="s">
        <v>1566</v>
      </c>
      <c r="C632" s="11">
        <v>1.448</v>
      </c>
      <c r="D632" s="10" t="s">
        <v>310</v>
      </c>
      <c r="E632">
        <v>1.65</v>
      </c>
    </row>
    <row r="633" spans="1:5">
      <c r="A633" s="10" t="s">
        <v>1567</v>
      </c>
      <c r="B633" s="10" t="s">
        <v>1568</v>
      </c>
      <c r="C633" s="11">
        <v>1.3280000000000001</v>
      </c>
      <c r="D633" s="10" t="s">
        <v>310</v>
      </c>
      <c r="E633">
        <v>1.65</v>
      </c>
    </row>
    <row r="634" spans="1:5">
      <c r="A634" s="10" t="s">
        <v>1569</v>
      </c>
      <c r="B634" s="10" t="s">
        <v>1570</v>
      </c>
      <c r="C634" s="11">
        <v>2.67</v>
      </c>
      <c r="D634" s="10" t="s">
        <v>310</v>
      </c>
      <c r="E634">
        <v>1.65</v>
      </c>
    </row>
    <row r="635" spans="1:5">
      <c r="A635" s="10" t="s">
        <v>1571</v>
      </c>
      <c r="B635" s="10" t="s">
        <v>1572</v>
      </c>
      <c r="C635" s="11">
        <v>1.034</v>
      </c>
      <c r="D635" s="10" t="s">
        <v>310</v>
      </c>
      <c r="E635">
        <v>1.65</v>
      </c>
    </row>
    <row r="636" spans="1:5">
      <c r="A636" s="10" t="s">
        <v>1573</v>
      </c>
      <c r="B636" s="10" t="s">
        <v>1574</v>
      </c>
      <c r="C636" s="11">
        <v>0.8226</v>
      </c>
      <c r="D636" s="10" t="s">
        <v>310</v>
      </c>
      <c r="E636">
        <v>1.65</v>
      </c>
    </row>
    <row r="637" spans="1:5">
      <c r="A637" s="10" t="s">
        <v>1575</v>
      </c>
      <c r="B637" s="10" t="s">
        <v>1576</v>
      </c>
      <c r="C637" s="11">
        <v>0.62849999999999995</v>
      </c>
      <c r="D637" s="10" t="s">
        <v>310</v>
      </c>
      <c r="E637">
        <v>1.65</v>
      </c>
    </row>
    <row r="638" spans="1:5">
      <c r="A638" s="10" t="s">
        <v>1577</v>
      </c>
      <c r="B638" s="10" t="s">
        <v>1578</v>
      </c>
      <c r="C638" s="11">
        <v>2.1320000000000001</v>
      </c>
      <c r="D638" s="10" t="s">
        <v>310</v>
      </c>
      <c r="E638">
        <v>1.65</v>
      </c>
    </row>
    <row r="639" spans="1:5">
      <c r="A639" s="10" t="s">
        <v>1579</v>
      </c>
      <c r="B639" s="10" t="s">
        <v>1580</v>
      </c>
      <c r="C639" s="11">
        <v>0.81289999999999996</v>
      </c>
      <c r="D639" s="10" t="s">
        <v>310</v>
      </c>
      <c r="E639">
        <v>1.65</v>
      </c>
    </row>
    <row r="640" spans="1:5">
      <c r="A640" s="10" t="s">
        <v>1581</v>
      </c>
      <c r="B640" s="10" t="s">
        <v>1582</v>
      </c>
      <c r="C640" s="11">
        <v>0.64910000000000001</v>
      </c>
      <c r="D640" s="10" t="s">
        <v>310</v>
      </c>
      <c r="E640">
        <v>1.65</v>
      </c>
    </row>
    <row r="641" spans="1:5">
      <c r="A641" s="10" t="s">
        <v>1583</v>
      </c>
      <c r="B641" s="10" t="s">
        <v>1584</v>
      </c>
      <c r="C641" s="11">
        <v>1.288</v>
      </c>
      <c r="D641" s="10" t="s">
        <v>310</v>
      </c>
      <c r="E641">
        <v>1.65</v>
      </c>
    </row>
    <row r="642" spans="1:5">
      <c r="A642" s="10" t="s">
        <v>1585</v>
      </c>
      <c r="B642" s="10" t="s">
        <v>1586</v>
      </c>
      <c r="C642" s="11">
        <v>1.1830000000000001</v>
      </c>
      <c r="D642" s="10" t="s">
        <v>310</v>
      </c>
      <c r="E642">
        <v>1.65</v>
      </c>
    </row>
    <row r="643" spans="1:5">
      <c r="A643" s="10" t="s">
        <v>1587</v>
      </c>
      <c r="B643" s="10" t="s">
        <v>1588</v>
      </c>
      <c r="C643" s="11">
        <v>0.92369999999999997</v>
      </c>
      <c r="D643" s="10" t="s">
        <v>310</v>
      </c>
      <c r="E643">
        <v>1.65</v>
      </c>
    </row>
    <row r="644" spans="1:5">
      <c r="A644" s="10" t="s">
        <v>1589</v>
      </c>
      <c r="B644" s="10" t="s">
        <v>1590</v>
      </c>
      <c r="C644" s="11">
        <v>0.7359</v>
      </c>
      <c r="D644" s="10" t="s">
        <v>310</v>
      </c>
      <c r="E644">
        <v>1.65</v>
      </c>
    </row>
    <row r="645" spans="1:5">
      <c r="A645" s="10" t="s">
        <v>1591</v>
      </c>
      <c r="B645" s="10" t="s">
        <v>1592</v>
      </c>
      <c r="C645" s="11">
        <v>0.56299999999999994</v>
      </c>
      <c r="D645" s="10" t="s">
        <v>310</v>
      </c>
      <c r="E645">
        <v>1.65</v>
      </c>
    </row>
    <row r="646" spans="1:5">
      <c r="A646" s="10" t="s">
        <v>1593</v>
      </c>
      <c r="B646" s="10" t="s">
        <v>1594</v>
      </c>
      <c r="C646" s="11">
        <v>1.881</v>
      </c>
      <c r="D646" s="10" t="s">
        <v>310</v>
      </c>
      <c r="E646">
        <v>1.65</v>
      </c>
    </row>
    <row r="647" spans="1:5">
      <c r="A647" s="10" t="s">
        <v>1595</v>
      </c>
      <c r="B647" s="10" t="s">
        <v>1596</v>
      </c>
      <c r="C647" s="11">
        <v>0.49769999999999998</v>
      </c>
      <c r="D647" s="10" t="s">
        <v>310</v>
      </c>
      <c r="E647">
        <v>1.65</v>
      </c>
    </row>
    <row r="648" spans="1:5">
      <c r="A648" s="10" t="s">
        <v>1597</v>
      </c>
      <c r="B648" s="10" t="s">
        <v>1598</v>
      </c>
      <c r="C648" s="11">
        <v>1.63</v>
      </c>
      <c r="D648" s="10" t="s">
        <v>310</v>
      </c>
      <c r="E648">
        <v>1.65</v>
      </c>
    </row>
    <row r="649" spans="1:5">
      <c r="A649" s="10" t="s">
        <v>1599</v>
      </c>
      <c r="B649" s="10" t="s">
        <v>1600</v>
      </c>
      <c r="C649" s="11">
        <v>2.089</v>
      </c>
      <c r="D649" s="10" t="s">
        <v>310</v>
      </c>
      <c r="E649">
        <v>1.65</v>
      </c>
    </row>
    <row r="650" spans="1:5">
      <c r="A650" s="10" t="s">
        <v>1601</v>
      </c>
      <c r="B650" s="10" t="s">
        <v>1602</v>
      </c>
      <c r="C650" s="11">
        <v>1.91</v>
      </c>
      <c r="D650" s="10" t="s">
        <v>310</v>
      </c>
      <c r="E650">
        <v>1.65</v>
      </c>
    </row>
    <row r="651" spans="1:5">
      <c r="A651" s="10" t="s">
        <v>1603</v>
      </c>
      <c r="B651" s="10" t="s">
        <v>1604</v>
      </c>
      <c r="C651" s="11">
        <v>4.0049999999999999</v>
      </c>
      <c r="D651" s="10" t="s">
        <v>310</v>
      </c>
      <c r="E651">
        <v>1.65</v>
      </c>
    </row>
    <row r="652" spans="1:5">
      <c r="A652" s="10" t="s">
        <v>1605</v>
      </c>
      <c r="B652" s="10" t="s">
        <v>1606</v>
      </c>
      <c r="C652" s="11">
        <v>1.478</v>
      </c>
      <c r="D652" s="10" t="s">
        <v>310</v>
      </c>
      <c r="E652">
        <v>1.65</v>
      </c>
    </row>
    <row r="653" spans="1:5">
      <c r="A653" s="10" t="s">
        <v>1607</v>
      </c>
      <c r="B653" s="10" t="s">
        <v>1608</v>
      </c>
      <c r="C653" s="11">
        <v>1.17</v>
      </c>
      <c r="D653" s="10" t="s">
        <v>310</v>
      </c>
      <c r="E653">
        <v>1.65</v>
      </c>
    </row>
    <row r="654" spans="1:5">
      <c r="A654" s="10" t="s">
        <v>1609</v>
      </c>
      <c r="B654" s="10" t="s">
        <v>1610</v>
      </c>
      <c r="C654" s="11">
        <v>0.89019999999999999</v>
      </c>
      <c r="D654" s="10" t="s">
        <v>310</v>
      </c>
      <c r="E654">
        <v>1.65</v>
      </c>
    </row>
    <row r="655" spans="1:5">
      <c r="A655" s="10" t="s">
        <v>1611</v>
      </c>
      <c r="B655" s="10" t="s">
        <v>1612</v>
      </c>
      <c r="C655" s="11">
        <v>3.1360000000000001</v>
      </c>
      <c r="D655" s="10" t="s">
        <v>310</v>
      </c>
      <c r="E655">
        <v>1.65</v>
      </c>
    </row>
    <row r="656" spans="1:5">
      <c r="A656" s="10" t="s">
        <v>1613</v>
      </c>
      <c r="B656" s="10" t="s">
        <v>1614</v>
      </c>
      <c r="C656" s="11">
        <v>5.5069999999999997</v>
      </c>
      <c r="D656" s="10" t="s">
        <v>310</v>
      </c>
      <c r="E656">
        <v>1.65</v>
      </c>
    </row>
    <row r="657" spans="1:5">
      <c r="A657" s="10" t="s">
        <v>1615</v>
      </c>
      <c r="B657" s="10" t="s">
        <v>1616</v>
      </c>
      <c r="C657" s="11">
        <v>4.8040000000000003</v>
      </c>
      <c r="D657" s="10" t="s">
        <v>310</v>
      </c>
      <c r="E657">
        <v>1.65</v>
      </c>
    </row>
    <row r="658" spans="1:5">
      <c r="A658" s="10" t="s">
        <v>1617</v>
      </c>
      <c r="B658" s="10" t="s">
        <v>1618</v>
      </c>
      <c r="C658" s="11">
        <v>1.6080000000000001</v>
      </c>
      <c r="D658" s="10" t="s">
        <v>310</v>
      </c>
      <c r="E658">
        <v>1.65</v>
      </c>
    </row>
    <row r="659" spans="1:5">
      <c r="A659" s="10" t="s">
        <v>1619</v>
      </c>
      <c r="B659" s="10" t="s">
        <v>1620</v>
      </c>
      <c r="C659" s="11">
        <v>1.474</v>
      </c>
      <c r="D659" s="10" t="s">
        <v>310</v>
      </c>
      <c r="E659">
        <v>1.65</v>
      </c>
    </row>
    <row r="660" spans="1:5">
      <c r="A660" s="10" t="s">
        <v>1621</v>
      </c>
      <c r="B660" s="10" t="s">
        <v>1622</v>
      </c>
      <c r="C660" s="11">
        <v>3.004</v>
      </c>
      <c r="D660" s="10" t="s">
        <v>310</v>
      </c>
      <c r="E660">
        <v>1.65</v>
      </c>
    </row>
    <row r="661" spans="1:5">
      <c r="A661" s="10" t="s">
        <v>1623</v>
      </c>
      <c r="B661" s="10" t="s">
        <v>1624</v>
      </c>
      <c r="C661" s="11">
        <v>1.145</v>
      </c>
      <c r="D661" s="10" t="s">
        <v>310</v>
      </c>
      <c r="E661">
        <v>1.65</v>
      </c>
    </row>
    <row r="662" spans="1:5">
      <c r="A662" s="10" t="s">
        <v>1625</v>
      </c>
      <c r="B662" s="10" t="s">
        <v>1626</v>
      </c>
      <c r="C662" s="11">
        <v>0.90939999999999999</v>
      </c>
      <c r="D662" s="10" t="s">
        <v>310</v>
      </c>
      <c r="E662">
        <v>1.65</v>
      </c>
    </row>
    <row r="663" spans="1:5">
      <c r="A663" s="10" t="s">
        <v>1627</v>
      </c>
      <c r="B663" s="10" t="s">
        <v>1628</v>
      </c>
      <c r="C663" s="11">
        <v>0.69389999999999996</v>
      </c>
      <c r="D663" s="10" t="s">
        <v>310</v>
      </c>
      <c r="E663">
        <v>1.65</v>
      </c>
    </row>
    <row r="664" spans="1:5">
      <c r="A664" s="10" t="s">
        <v>1629</v>
      </c>
      <c r="B664" s="10" t="s">
        <v>1630</v>
      </c>
      <c r="C664" s="11">
        <v>2.383</v>
      </c>
      <c r="D664" s="10" t="s">
        <v>310</v>
      </c>
      <c r="E664">
        <v>1.65</v>
      </c>
    </row>
    <row r="665" spans="1:5">
      <c r="A665" s="10" t="s">
        <v>1631</v>
      </c>
      <c r="B665" s="10" t="s">
        <v>1632</v>
      </c>
      <c r="C665" s="11">
        <v>1.929</v>
      </c>
      <c r="D665" s="10" t="s">
        <v>310</v>
      </c>
      <c r="E665">
        <v>1.65</v>
      </c>
    </row>
    <row r="666" spans="1:5">
      <c r="A666" s="10" t="s">
        <v>1633</v>
      </c>
      <c r="B666" s="10" t="s">
        <v>1634</v>
      </c>
      <c r="C666" s="11">
        <v>1.7649999999999999</v>
      </c>
      <c r="D666" s="10" t="s">
        <v>310</v>
      </c>
      <c r="E666">
        <v>1.65</v>
      </c>
    </row>
    <row r="667" spans="1:5">
      <c r="A667" s="10" t="s">
        <v>1635</v>
      </c>
      <c r="B667" s="10" t="s">
        <v>1636</v>
      </c>
      <c r="C667" s="11">
        <v>3.6709999999999998</v>
      </c>
      <c r="D667" s="10" t="s">
        <v>310</v>
      </c>
      <c r="E667">
        <v>1.65</v>
      </c>
    </row>
    <row r="668" spans="1:5">
      <c r="A668" s="10" t="s">
        <v>1637</v>
      </c>
      <c r="B668" s="10" t="s">
        <v>1638</v>
      </c>
      <c r="C668" s="11">
        <v>1.367</v>
      </c>
      <c r="D668" s="10" t="s">
        <v>310</v>
      </c>
      <c r="E668">
        <v>1.65</v>
      </c>
    </row>
    <row r="669" spans="1:5">
      <c r="A669" s="10" t="s">
        <v>1639</v>
      </c>
      <c r="B669" s="10" t="s">
        <v>1640</v>
      </c>
      <c r="C669" s="11">
        <v>1.083</v>
      </c>
      <c r="D669" s="10" t="s">
        <v>310</v>
      </c>
      <c r="E669">
        <v>1.65</v>
      </c>
    </row>
    <row r="670" spans="1:5">
      <c r="A670" s="10" t="s">
        <v>1641</v>
      </c>
      <c r="B670" s="10" t="s">
        <v>1642</v>
      </c>
      <c r="C670" s="11">
        <v>0.82479999999999998</v>
      </c>
      <c r="D670" s="10" t="s">
        <v>310</v>
      </c>
      <c r="E670">
        <v>1.65</v>
      </c>
    </row>
    <row r="671" spans="1:5">
      <c r="A671" s="10" t="s">
        <v>1643</v>
      </c>
      <c r="B671" s="10" t="s">
        <v>1644</v>
      </c>
      <c r="C671" s="11">
        <v>2.8849999999999998</v>
      </c>
      <c r="D671" s="10" t="s">
        <v>310</v>
      </c>
      <c r="E671">
        <v>1.65</v>
      </c>
    </row>
    <row r="672" spans="1:5">
      <c r="A672" s="10" t="s">
        <v>1645</v>
      </c>
      <c r="B672" s="10" t="s">
        <v>1646</v>
      </c>
      <c r="C672" s="11">
        <v>4.3860000000000001</v>
      </c>
      <c r="D672" s="10" t="s">
        <v>310</v>
      </c>
      <c r="E672">
        <v>1.65</v>
      </c>
    </row>
    <row r="673" spans="1:5">
      <c r="A673" s="10" t="s">
        <v>1647</v>
      </c>
      <c r="B673" s="10" t="s">
        <v>1648</v>
      </c>
      <c r="C673" s="11">
        <v>2.2490000000000001</v>
      </c>
      <c r="D673" s="10" t="s">
        <v>310</v>
      </c>
      <c r="E673">
        <v>1.65</v>
      </c>
    </row>
    <row r="674" spans="1:5">
      <c r="A674" s="10" t="s">
        <v>1649</v>
      </c>
      <c r="B674" s="10" t="s">
        <v>1650</v>
      </c>
      <c r="C674" s="11">
        <v>2.056</v>
      </c>
      <c r="D674" s="10" t="s">
        <v>310</v>
      </c>
      <c r="E674">
        <v>1.65</v>
      </c>
    </row>
    <row r="675" spans="1:5">
      <c r="A675" s="10" t="s">
        <v>1651</v>
      </c>
      <c r="B675" s="10" t="s">
        <v>1652</v>
      </c>
      <c r="C675" s="11">
        <v>4.3390000000000004</v>
      </c>
      <c r="D675" s="10" t="s">
        <v>310</v>
      </c>
      <c r="E675">
        <v>1.65</v>
      </c>
    </row>
    <row r="676" spans="1:5">
      <c r="A676" s="10" t="s">
        <v>1653</v>
      </c>
      <c r="B676" s="10" t="s">
        <v>1654</v>
      </c>
      <c r="C676" s="11">
        <v>1.589</v>
      </c>
      <c r="D676" s="10" t="s">
        <v>310</v>
      </c>
      <c r="E676">
        <v>1.65</v>
      </c>
    </row>
    <row r="677" spans="1:5">
      <c r="A677" s="10" t="s">
        <v>1655</v>
      </c>
      <c r="B677" s="10" t="s">
        <v>1656</v>
      </c>
      <c r="C677" s="11">
        <v>1.2569999999999999</v>
      </c>
      <c r="D677" s="10" t="s">
        <v>310</v>
      </c>
      <c r="E677">
        <v>1.65</v>
      </c>
    </row>
    <row r="678" spans="1:5">
      <c r="A678" s="10" t="s">
        <v>1657</v>
      </c>
      <c r="B678" s="10" t="s">
        <v>1658</v>
      </c>
      <c r="C678" s="11">
        <v>0.9556</v>
      </c>
      <c r="D678" s="10" t="s">
        <v>310</v>
      </c>
      <c r="E678">
        <v>1.65</v>
      </c>
    </row>
    <row r="679" spans="1:5">
      <c r="A679" s="10" t="s">
        <v>1659</v>
      </c>
      <c r="B679" s="10" t="s">
        <v>1660</v>
      </c>
      <c r="C679" s="11">
        <v>3.387</v>
      </c>
      <c r="D679" s="10" t="s">
        <v>310</v>
      </c>
      <c r="E679">
        <v>1.65</v>
      </c>
    </row>
    <row r="680" spans="1:5">
      <c r="A680" s="10" t="s">
        <v>1661</v>
      </c>
      <c r="B680" s="10" t="s">
        <v>1662</v>
      </c>
      <c r="C680" s="11">
        <v>5.2220000000000004</v>
      </c>
      <c r="D680" s="10" t="s">
        <v>310</v>
      </c>
      <c r="E680">
        <v>1.65</v>
      </c>
    </row>
    <row r="681" spans="1:5">
      <c r="A681" s="10" t="s">
        <v>1663</v>
      </c>
      <c r="B681" s="10" t="s">
        <v>1664</v>
      </c>
      <c r="C681" s="11">
        <v>2.4089999999999998</v>
      </c>
      <c r="D681" s="10" t="s">
        <v>310</v>
      </c>
      <c r="E681">
        <v>1.65</v>
      </c>
    </row>
    <row r="682" spans="1:5">
      <c r="A682" s="10" t="s">
        <v>1665</v>
      </c>
      <c r="B682" s="10" t="s">
        <v>1666</v>
      </c>
      <c r="C682" s="11">
        <v>3.05</v>
      </c>
      <c r="D682" s="10" t="s">
        <v>310</v>
      </c>
      <c r="E682">
        <v>1.65</v>
      </c>
    </row>
    <row r="683" spans="1:5">
      <c r="A683" s="10" t="s">
        <v>1667</v>
      </c>
      <c r="B683" s="10" t="s">
        <v>1668</v>
      </c>
      <c r="C683" s="11">
        <v>10.68</v>
      </c>
      <c r="D683" s="10" t="s">
        <v>310</v>
      </c>
      <c r="E683">
        <v>1.65</v>
      </c>
    </row>
    <row r="684" spans="1:5">
      <c r="A684" s="10" t="s">
        <v>1669</v>
      </c>
      <c r="B684" s="10" t="s">
        <v>1670</v>
      </c>
      <c r="C684" s="11">
        <v>2.7829999999999999</v>
      </c>
      <c r="D684" s="10" t="s">
        <v>310</v>
      </c>
      <c r="E684">
        <v>1.65</v>
      </c>
    </row>
    <row r="685" spans="1:5">
      <c r="A685" s="10" t="s">
        <v>1671</v>
      </c>
      <c r="B685" s="10" t="s">
        <v>1672</v>
      </c>
      <c r="C685" s="11">
        <v>6.008</v>
      </c>
      <c r="D685" s="10" t="s">
        <v>310</v>
      </c>
      <c r="E685">
        <v>1.65</v>
      </c>
    </row>
    <row r="686" spans="1:5">
      <c r="A686" s="10" t="s">
        <v>1673</v>
      </c>
      <c r="B686" s="10" t="s">
        <v>1674</v>
      </c>
      <c r="C686" s="11">
        <v>2.1429999999999998</v>
      </c>
      <c r="D686" s="10" t="s">
        <v>310</v>
      </c>
      <c r="E686">
        <v>1.65</v>
      </c>
    </row>
    <row r="687" spans="1:5">
      <c r="A687" s="10" t="s">
        <v>1675</v>
      </c>
      <c r="B687" s="10" t="s">
        <v>1676</v>
      </c>
      <c r="C687" s="11">
        <v>1.69</v>
      </c>
      <c r="D687" s="10" t="s">
        <v>310</v>
      </c>
      <c r="E687">
        <v>1.65</v>
      </c>
    </row>
    <row r="688" spans="1:5">
      <c r="A688" s="10" t="s">
        <v>1677</v>
      </c>
      <c r="B688" s="10" t="s">
        <v>1678</v>
      </c>
      <c r="C688" s="11">
        <v>1.2829999999999999</v>
      </c>
      <c r="D688" s="10" t="s">
        <v>310</v>
      </c>
      <c r="E688">
        <v>1.65</v>
      </c>
    </row>
    <row r="689" spans="1:5">
      <c r="A689" s="10" t="s">
        <v>1679</v>
      </c>
      <c r="B689" s="10" t="s">
        <v>1680</v>
      </c>
      <c r="C689" s="11">
        <v>4.6420000000000003</v>
      </c>
      <c r="D689" s="10" t="s">
        <v>310</v>
      </c>
      <c r="E689">
        <v>1.65</v>
      </c>
    </row>
    <row r="690" spans="1:5">
      <c r="A690" s="10" t="s">
        <v>1681</v>
      </c>
      <c r="B690" s="10" t="s">
        <v>1682</v>
      </c>
      <c r="C690" s="11">
        <v>8.5109999999999992</v>
      </c>
      <c r="D690" s="10" t="s">
        <v>310</v>
      </c>
      <c r="E690">
        <v>1.65</v>
      </c>
    </row>
    <row r="691" spans="1:5">
      <c r="A691" s="10" t="s">
        <v>1683</v>
      </c>
      <c r="B691" s="10" t="s">
        <v>1684</v>
      </c>
      <c r="C691" s="11">
        <v>7.3109999999999999</v>
      </c>
      <c r="D691" s="10" t="s">
        <v>310</v>
      </c>
      <c r="E691">
        <v>1.65</v>
      </c>
    </row>
    <row r="692" spans="1:5">
      <c r="A692" s="10" t="s">
        <v>1685</v>
      </c>
      <c r="B692" s="10" t="s">
        <v>1686</v>
      </c>
      <c r="C692" s="11">
        <v>2.2010000000000001</v>
      </c>
      <c r="D692" s="10" t="s">
        <v>310</v>
      </c>
      <c r="E692">
        <v>1.65</v>
      </c>
    </row>
    <row r="693" spans="1:5">
      <c r="A693" s="10" t="s">
        <v>1687</v>
      </c>
      <c r="B693" s="10" t="s">
        <v>1688</v>
      </c>
      <c r="C693" s="11">
        <v>4.673</v>
      </c>
      <c r="D693" s="10" t="s">
        <v>310</v>
      </c>
      <c r="E693">
        <v>1.65</v>
      </c>
    </row>
    <row r="694" spans="1:5">
      <c r="A694" s="10" t="s">
        <v>1689</v>
      </c>
      <c r="B694" s="10" t="s">
        <v>1690</v>
      </c>
      <c r="C694" s="11">
        <v>2.73</v>
      </c>
      <c r="D694" s="10" t="s">
        <v>310</v>
      </c>
      <c r="E694">
        <v>1.65</v>
      </c>
    </row>
    <row r="695" spans="1:5">
      <c r="A695" s="10" t="s">
        <v>1691</v>
      </c>
      <c r="B695" s="10" t="s">
        <v>1692</v>
      </c>
      <c r="C695" s="11">
        <v>2.492</v>
      </c>
      <c r="D695" s="10" t="s">
        <v>310</v>
      </c>
      <c r="E695">
        <v>1.65</v>
      </c>
    </row>
    <row r="696" spans="1:5">
      <c r="A696" s="10" t="s">
        <v>1693</v>
      </c>
      <c r="B696" s="10" t="s">
        <v>1694</v>
      </c>
      <c r="C696" s="11">
        <v>5.34</v>
      </c>
      <c r="D696" s="10" t="s">
        <v>310</v>
      </c>
      <c r="E696">
        <v>1.65</v>
      </c>
    </row>
    <row r="697" spans="1:5">
      <c r="A697" s="10" t="s">
        <v>1695</v>
      </c>
      <c r="B697" s="10" t="s">
        <v>1696</v>
      </c>
      <c r="C697" s="11">
        <v>1.921</v>
      </c>
      <c r="D697" s="10" t="s">
        <v>310</v>
      </c>
      <c r="E697">
        <v>1.65</v>
      </c>
    </row>
    <row r="698" spans="1:5">
      <c r="A698" s="10" t="s">
        <v>1697</v>
      </c>
      <c r="B698" s="10" t="s">
        <v>1698</v>
      </c>
      <c r="C698" s="11">
        <v>1.5169999999999999</v>
      </c>
      <c r="D698" s="10" t="s">
        <v>310</v>
      </c>
      <c r="E698">
        <v>1.65</v>
      </c>
    </row>
    <row r="699" spans="1:5">
      <c r="A699" s="10" t="s">
        <v>1699</v>
      </c>
      <c r="B699" s="10" t="s">
        <v>1700</v>
      </c>
      <c r="C699" s="11">
        <v>1.1519999999999999</v>
      </c>
      <c r="D699" s="10" t="s">
        <v>310</v>
      </c>
      <c r="E699">
        <v>1.65</v>
      </c>
    </row>
    <row r="700" spans="1:5">
      <c r="A700" s="10" t="s">
        <v>1701</v>
      </c>
      <c r="B700" s="10" t="s">
        <v>1702</v>
      </c>
      <c r="C700" s="11">
        <v>4.1399999999999997</v>
      </c>
      <c r="D700" s="10" t="s">
        <v>310</v>
      </c>
      <c r="E700">
        <v>1.65</v>
      </c>
    </row>
    <row r="701" spans="1:5">
      <c r="A701" s="10" t="s">
        <v>1703</v>
      </c>
      <c r="B701" s="10" t="s">
        <v>1704</v>
      </c>
      <c r="C701" s="11">
        <v>7.5090000000000003</v>
      </c>
      <c r="D701" s="10" t="s">
        <v>310</v>
      </c>
      <c r="E701">
        <v>1.65</v>
      </c>
    </row>
    <row r="702" spans="1:5">
      <c r="A702" s="10" t="s">
        <v>1705</v>
      </c>
      <c r="B702" s="10" t="s">
        <v>1706</v>
      </c>
      <c r="C702" s="11">
        <v>6.4749999999999996</v>
      </c>
      <c r="D702" s="10" t="s">
        <v>310</v>
      </c>
      <c r="E702">
        <v>1.65</v>
      </c>
    </row>
    <row r="703" spans="1:5">
      <c r="A703" s="10" t="s">
        <v>1707</v>
      </c>
      <c r="B703" s="10" t="s">
        <v>1708</v>
      </c>
      <c r="C703" s="11">
        <v>1.6990000000000001</v>
      </c>
      <c r="D703" s="10" t="s">
        <v>310</v>
      </c>
      <c r="E703">
        <v>1.65</v>
      </c>
    </row>
    <row r="704" spans="1:5">
      <c r="A704" s="10" t="s">
        <v>1709</v>
      </c>
      <c r="B704" s="10" t="s">
        <v>1710</v>
      </c>
      <c r="C704" s="11">
        <v>1.343</v>
      </c>
      <c r="D704" s="10" t="s">
        <v>310</v>
      </c>
      <c r="E704">
        <v>1.65</v>
      </c>
    </row>
    <row r="705" spans="1:5">
      <c r="A705" s="10" t="s">
        <v>1711</v>
      </c>
      <c r="B705" s="10" t="s">
        <v>1712</v>
      </c>
      <c r="C705" s="11">
        <v>2.57</v>
      </c>
      <c r="D705" s="10" t="s">
        <v>310</v>
      </c>
      <c r="E705">
        <v>1.65</v>
      </c>
    </row>
    <row r="706" spans="1:5">
      <c r="A706" s="10" t="s">
        <v>1713</v>
      </c>
      <c r="B706" s="10" t="s">
        <v>1714</v>
      </c>
      <c r="C706" s="11">
        <v>1.43</v>
      </c>
      <c r="D706" s="10" t="s">
        <v>310</v>
      </c>
      <c r="E706">
        <v>1.65</v>
      </c>
    </row>
    <row r="707" spans="1:5">
      <c r="A707" s="10" t="s">
        <v>1715</v>
      </c>
      <c r="B707" s="10" t="s">
        <v>1716</v>
      </c>
      <c r="C707" s="11">
        <v>1.0860000000000001</v>
      </c>
      <c r="D707" s="10" t="s">
        <v>310</v>
      </c>
      <c r="E707">
        <v>1.65</v>
      </c>
    </row>
    <row r="708" spans="1:5">
      <c r="A708" s="10" t="s">
        <v>1717</v>
      </c>
      <c r="B708" s="10" t="s">
        <v>1718</v>
      </c>
      <c r="C708" s="11">
        <v>3.8889999999999998</v>
      </c>
      <c r="D708" s="10" t="s">
        <v>310</v>
      </c>
      <c r="E708">
        <v>1.65</v>
      </c>
    </row>
    <row r="709" spans="1:5">
      <c r="A709" s="10" t="s">
        <v>1719</v>
      </c>
      <c r="B709" s="10" t="s">
        <v>1720</v>
      </c>
      <c r="C709" s="11">
        <v>1.0209999999999999</v>
      </c>
      <c r="D709" s="10" t="s">
        <v>310</v>
      </c>
      <c r="E709">
        <v>1.65</v>
      </c>
    </row>
    <row r="710" spans="1:5">
      <c r="A710" s="10" t="s">
        <v>1721</v>
      </c>
      <c r="B710" s="10" t="s">
        <v>1722</v>
      </c>
      <c r="C710" s="11">
        <v>3.6379999999999999</v>
      </c>
      <c r="D710" s="10" t="s">
        <v>310</v>
      </c>
      <c r="E710">
        <v>1.65</v>
      </c>
    </row>
    <row r="711" spans="1:5">
      <c r="A711" s="10" t="s">
        <v>1723</v>
      </c>
      <c r="B711" s="10" t="s">
        <v>1724</v>
      </c>
      <c r="C711" s="11">
        <v>3.371</v>
      </c>
      <c r="D711" s="10" t="s">
        <v>310</v>
      </c>
      <c r="E711">
        <v>1.65</v>
      </c>
    </row>
    <row r="712" spans="1:5">
      <c r="A712" s="10" t="s">
        <v>1725</v>
      </c>
      <c r="B712" s="10" t="s">
        <v>1726</v>
      </c>
      <c r="C712" s="11">
        <v>12.02</v>
      </c>
      <c r="D712" s="10" t="s">
        <v>310</v>
      </c>
      <c r="E712">
        <v>1.65</v>
      </c>
    </row>
    <row r="713" spans="1:5">
      <c r="A713" s="10" t="s">
        <v>1727</v>
      </c>
      <c r="B713" s="10" t="s">
        <v>1728</v>
      </c>
      <c r="C713" s="11">
        <v>6.6749999999999998</v>
      </c>
      <c r="D713" s="10" t="s">
        <v>310</v>
      </c>
      <c r="E713">
        <v>1.65</v>
      </c>
    </row>
    <row r="714" spans="1:5">
      <c r="A714" s="10" t="s">
        <v>1729</v>
      </c>
      <c r="B714" s="10" t="s">
        <v>1730</v>
      </c>
      <c r="C714" s="11">
        <v>2.3639999999999999</v>
      </c>
      <c r="D714" s="10" t="s">
        <v>310</v>
      </c>
      <c r="E714">
        <v>1.65</v>
      </c>
    </row>
    <row r="715" spans="1:5">
      <c r="A715" s="10" t="s">
        <v>1731</v>
      </c>
      <c r="B715" s="10" t="s">
        <v>1732</v>
      </c>
      <c r="C715" s="11">
        <v>1.8640000000000001</v>
      </c>
      <c r="D715" s="10" t="s">
        <v>310</v>
      </c>
      <c r="E715">
        <v>1.65</v>
      </c>
    </row>
    <row r="716" spans="1:5">
      <c r="A716" s="10" t="s">
        <v>1733</v>
      </c>
      <c r="B716" s="10" t="s">
        <v>1734</v>
      </c>
      <c r="C716" s="11">
        <v>1.413</v>
      </c>
      <c r="D716" s="10" t="s">
        <v>310</v>
      </c>
      <c r="E716">
        <v>1.65</v>
      </c>
    </row>
    <row r="717" spans="1:5">
      <c r="A717" s="10" t="s">
        <v>1735</v>
      </c>
      <c r="B717" s="10" t="s">
        <v>1736</v>
      </c>
      <c r="C717" s="11">
        <v>5.1440000000000001</v>
      </c>
      <c r="D717" s="10" t="s">
        <v>310</v>
      </c>
      <c r="E717">
        <v>1.65</v>
      </c>
    </row>
    <row r="718" spans="1:5">
      <c r="A718" s="10" t="s">
        <v>1737</v>
      </c>
      <c r="B718" s="10" t="s">
        <v>1738</v>
      </c>
      <c r="C718" s="11">
        <v>9.5120000000000005</v>
      </c>
      <c r="D718" s="10" t="s">
        <v>310</v>
      </c>
      <c r="E718">
        <v>1.65</v>
      </c>
    </row>
    <row r="719" spans="1:5">
      <c r="A719" s="10" t="s">
        <v>1739</v>
      </c>
      <c r="B719" s="10" t="s">
        <v>1740</v>
      </c>
      <c r="C719" s="11">
        <v>8.1470000000000002</v>
      </c>
      <c r="D719" s="10" t="s">
        <v>310</v>
      </c>
      <c r="E719">
        <v>1.65</v>
      </c>
    </row>
    <row r="720" spans="1:5">
      <c r="A720" s="10" t="s">
        <v>1741</v>
      </c>
      <c r="B720" s="10" t="s">
        <v>1742</v>
      </c>
      <c r="C720" s="11">
        <v>6.508</v>
      </c>
      <c r="D720" s="10" t="s">
        <v>310</v>
      </c>
      <c r="E720">
        <v>1.65</v>
      </c>
    </row>
    <row r="721" spans="1:5">
      <c r="A721" s="10" t="s">
        <v>1743</v>
      </c>
      <c r="B721" s="10" t="s">
        <v>1744</v>
      </c>
      <c r="C721" s="11">
        <v>2.89</v>
      </c>
      <c r="D721" s="10" t="s">
        <v>310</v>
      </c>
      <c r="E721">
        <v>1.65</v>
      </c>
    </row>
    <row r="722" spans="1:5">
      <c r="A722" s="10" t="s">
        <v>1745</v>
      </c>
      <c r="B722" s="10" t="s">
        <v>1746</v>
      </c>
      <c r="C722" s="11">
        <v>5.6740000000000004</v>
      </c>
      <c r="D722" s="10" t="s">
        <v>310</v>
      </c>
      <c r="E722">
        <v>1.65</v>
      </c>
    </row>
    <row r="723" spans="1:5">
      <c r="A723" s="10" t="s">
        <v>1747</v>
      </c>
      <c r="B723" s="10" t="s">
        <v>1748</v>
      </c>
      <c r="C723" s="11">
        <v>2.032</v>
      </c>
      <c r="D723" s="10" t="s">
        <v>310</v>
      </c>
      <c r="E723">
        <v>1.65</v>
      </c>
    </row>
    <row r="724" spans="1:5" s="69" customFormat="1">
      <c r="A724" s="67" t="s">
        <v>2835</v>
      </c>
      <c r="B724" s="67" t="s">
        <v>2836</v>
      </c>
      <c r="C724" s="68">
        <v>3.6970000000000001</v>
      </c>
      <c r="D724" s="67" t="s">
        <v>310</v>
      </c>
      <c r="E724" s="69">
        <v>1.65</v>
      </c>
    </row>
    <row r="725" spans="1:5">
      <c r="A725" s="10" t="s">
        <v>1749</v>
      </c>
      <c r="B725" s="10" t="s">
        <v>1750</v>
      </c>
      <c r="C725" s="11">
        <v>1.6040000000000001</v>
      </c>
      <c r="D725" s="10" t="s">
        <v>310</v>
      </c>
      <c r="E725">
        <v>1.65</v>
      </c>
    </row>
    <row r="726" spans="1:5">
      <c r="A726" s="10" t="s">
        <v>1751</v>
      </c>
      <c r="B726" s="10" t="s">
        <v>1752</v>
      </c>
      <c r="C726" s="11">
        <v>4.391</v>
      </c>
      <c r="D726" s="10" t="s">
        <v>310</v>
      </c>
      <c r="E726">
        <v>1.65</v>
      </c>
    </row>
    <row r="727" spans="1:5">
      <c r="A727" s="10" t="s">
        <v>1753</v>
      </c>
      <c r="B727" s="10" t="s">
        <v>1754</v>
      </c>
      <c r="C727" s="11">
        <v>6.8929999999999998</v>
      </c>
      <c r="D727" s="10" t="s">
        <v>310</v>
      </c>
      <c r="E727">
        <v>1.65</v>
      </c>
    </row>
    <row r="728" spans="1:5">
      <c r="A728" s="10" t="s">
        <v>1755</v>
      </c>
      <c r="B728" s="10" t="s">
        <v>1756</v>
      </c>
      <c r="C728" s="11">
        <v>5.6390000000000002</v>
      </c>
      <c r="D728" s="10" t="s">
        <v>310</v>
      </c>
      <c r="E728">
        <v>1.65</v>
      </c>
    </row>
    <row r="729" spans="1:5">
      <c r="A729" s="10" t="s">
        <v>1757</v>
      </c>
      <c r="B729" s="10" t="s">
        <v>1758</v>
      </c>
      <c r="C729" s="11">
        <v>3.21</v>
      </c>
      <c r="D729" s="10" t="s">
        <v>310</v>
      </c>
      <c r="E729">
        <v>1.65</v>
      </c>
    </row>
    <row r="730" spans="1:5">
      <c r="A730" s="10" t="s">
        <v>1759</v>
      </c>
      <c r="B730" s="10" t="s">
        <v>1760</v>
      </c>
      <c r="C730" s="11">
        <v>2.9289999999999998</v>
      </c>
      <c r="D730" s="10" t="s">
        <v>310</v>
      </c>
      <c r="E730">
        <v>1.65</v>
      </c>
    </row>
    <row r="731" spans="1:5">
      <c r="A731" s="10" t="s">
        <v>1761</v>
      </c>
      <c r="B731" s="10" t="s">
        <v>1762</v>
      </c>
      <c r="C731" s="11">
        <v>1.7769999999999999</v>
      </c>
      <c r="D731" s="10" t="s">
        <v>310</v>
      </c>
      <c r="E731">
        <v>1.65</v>
      </c>
    </row>
    <row r="732" spans="1:5">
      <c r="A732" s="10" t="s">
        <v>1763</v>
      </c>
      <c r="B732" s="10" t="s">
        <v>1764</v>
      </c>
      <c r="C732" s="11">
        <v>1.3480000000000001</v>
      </c>
      <c r="D732" s="10" t="s">
        <v>310</v>
      </c>
      <c r="E732">
        <v>1.65</v>
      </c>
    </row>
    <row r="733" spans="1:5">
      <c r="A733" s="10" t="s">
        <v>1765</v>
      </c>
      <c r="B733" s="10" t="s">
        <v>1766</v>
      </c>
      <c r="C733" s="11">
        <v>4.8929999999999998</v>
      </c>
      <c r="D733" s="10" t="s">
        <v>310</v>
      </c>
      <c r="E733">
        <v>1.65</v>
      </c>
    </row>
    <row r="734" spans="1:5">
      <c r="A734" s="10" t="s">
        <v>1767</v>
      </c>
      <c r="B734" s="10" t="s">
        <v>1768</v>
      </c>
      <c r="C734" s="11">
        <v>3.5310000000000001</v>
      </c>
      <c r="D734" s="10" t="s">
        <v>310</v>
      </c>
      <c r="E734">
        <v>1.65</v>
      </c>
    </row>
    <row r="735" spans="1:5">
      <c r="A735" s="10" t="s">
        <v>1769</v>
      </c>
      <c r="B735" s="10" t="s">
        <v>1770</v>
      </c>
      <c r="C735" s="11">
        <v>2.4750000000000001</v>
      </c>
      <c r="D735" s="10" t="s">
        <v>310</v>
      </c>
      <c r="E735">
        <v>1.65</v>
      </c>
    </row>
    <row r="736" spans="1:5">
      <c r="A736" s="10" t="s">
        <v>1771</v>
      </c>
      <c r="B736" s="10" t="s">
        <v>1772</v>
      </c>
      <c r="C736" s="11">
        <v>1.9510000000000001</v>
      </c>
      <c r="D736" s="10" t="s">
        <v>310</v>
      </c>
      <c r="E736">
        <v>1.65</v>
      </c>
    </row>
    <row r="737" spans="1:5">
      <c r="A737" s="10" t="s">
        <v>1773</v>
      </c>
      <c r="B737" s="10" t="s">
        <v>1774</v>
      </c>
      <c r="C737" s="11">
        <v>3.6909999999999998</v>
      </c>
      <c r="D737" s="10" t="s">
        <v>310</v>
      </c>
      <c r="E737">
        <v>1.65</v>
      </c>
    </row>
    <row r="738" spans="1:5">
      <c r="A738" s="10" t="s">
        <v>1775</v>
      </c>
      <c r="B738" s="10" t="s">
        <v>1776</v>
      </c>
      <c r="C738" s="11">
        <v>13.35</v>
      </c>
      <c r="D738" s="10" t="s">
        <v>310</v>
      </c>
      <c r="E738">
        <v>1.65</v>
      </c>
    </row>
    <row r="739" spans="1:5">
      <c r="A739" s="10" t="s">
        <v>1777</v>
      </c>
      <c r="B739" s="10" t="s">
        <v>1778</v>
      </c>
      <c r="C739" s="11">
        <v>4.3319999999999999</v>
      </c>
      <c r="D739" s="10" t="s">
        <v>310</v>
      </c>
      <c r="E739">
        <v>1.65</v>
      </c>
    </row>
    <row r="740" spans="1:5">
      <c r="A740" s="10" t="s">
        <v>1779</v>
      </c>
      <c r="B740" s="10" t="s">
        <v>1780</v>
      </c>
      <c r="C740" s="11">
        <v>8.6780000000000008</v>
      </c>
      <c r="D740" s="10" t="s">
        <v>310</v>
      </c>
      <c r="E740">
        <v>1.65</v>
      </c>
    </row>
    <row r="741" spans="1:5">
      <c r="A741" s="10" t="s">
        <v>1781</v>
      </c>
      <c r="B741" s="10" t="s">
        <v>1782</v>
      </c>
      <c r="C741" s="11">
        <v>3.0289999999999999</v>
      </c>
      <c r="D741" s="10" t="s">
        <v>310</v>
      </c>
      <c r="E741">
        <v>1.65</v>
      </c>
    </row>
    <row r="742" spans="1:5">
      <c r="A742" s="10" t="s">
        <v>1783</v>
      </c>
      <c r="B742" s="10" t="s">
        <v>1784</v>
      </c>
      <c r="C742" s="11">
        <v>2.3849999999999998</v>
      </c>
      <c r="D742" s="10" t="s">
        <v>310</v>
      </c>
      <c r="E742">
        <v>1.65</v>
      </c>
    </row>
    <row r="743" spans="1:5">
      <c r="A743" s="10" t="s">
        <v>1785</v>
      </c>
      <c r="B743" s="10" t="s">
        <v>1786</v>
      </c>
      <c r="C743" s="11">
        <v>6.65</v>
      </c>
      <c r="D743" s="10" t="s">
        <v>310</v>
      </c>
      <c r="E743">
        <v>1.65</v>
      </c>
    </row>
    <row r="744" spans="1:5">
      <c r="A744" s="10" t="s">
        <v>1787</v>
      </c>
      <c r="B744" s="10" t="s">
        <v>1788</v>
      </c>
      <c r="C744" s="11">
        <v>12.52</v>
      </c>
      <c r="D744" s="10" t="s">
        <v>310</v>
      </c>
      <c r="E744">
        <v>1.65</v>
      </c>
    </row>
    <row r="745" spans="1:5">
      <c r="A745" s="10" t="s">
        <v>1789</v>
      </c>
      <c r="B745" s="10" t="s">
        <v>1790</v>
      </c>
      <c r="C745" s="11">
        <v>10.65</v>
      </c>
      <c r="D745" s="10" t="s">
        <v>310</v>
      </c>
      <c r="E745">
        <v>1.65</v>
      </c>
    </row>
    <row r="746" spans="1:5">
      <c r="A746" s="10" t="s">
        <v>1791</v>
      </c>
      <c r="B746" s="10" t="s">
        <v>1792</v>
      </c>
      <c r="C746" s="11">
        <v>3.3650000000000002</v>
      </c>
      <c r="D746" s="10" t="s">
        <v>310</v>
      </c>
      <c r="E746">
        <v>1.65</v>
      </c>
    </row>
    <row r="747" spans="1:5">
      <c r="A747" s="10" t="s">
        <v>1793</v>
      </c>
      <c r="B747" s="10" t="s">
        <v>1794</v>
      </c>
      <c r="C747" s="11">
        <v>7.343</v>
      </c>
      <c r="D747" s="10" t="s">
        <v>310</v>
      </c>
      <c r="E747">
        <v>1.65</v>
      </c>
    </row>
    <row r="748" spans="1:5">
      <c r="A748" s="10" t="s">
        <v>1795</v>
      </c>
      <c r="B748" s="10" t="s">
        <v>1796</v>
      </c>
      <c r="C748" s="11">
        <v>4.0110000000000001</v>
      </c>
      <c r="D748" s="10" t="s">
        <v>310</v>
      </c>
      <c r="E748">
        <v>1.65</v>
      </c>
    </row>
    <row r="749" spans="1:5">
      <c r="A749" s="10" t="s">
        <v>1797</v>
      </c>
      <c r="B749" s="10" t="s">
        <v>1798</v>
      </c>
      <c r="C749" s="11">
        <v>8.01</v>
      </c>
      <c r="D749" s="10" t="s">
        <v>310</v>
      </c>
      <c r="E749">
        <v>1.65</v>
      </c>
    </row>
    <row r="750" spans="1:5">
      <c r="A750" s="10" t="s">
        <v>1799</v>
      </c>
      <c r="B750" s="10" t="s">
        <v>1800</v>
      </c>
      <c r="C750" s="11">
        <v>2.2109999999999999</v>
      </c>
      <c r="D750" s="10" t="s">
        <v>310</v>
      </c>
      <c r="E750">
        <v>1.65</v>
      </c>
    </row>
    <row r="751" spans="1:5">
      <c r="A751" s="10" t="s">
        <v>1801</v>
      </c>
      <c r="B751" s="10" t="s">
        <v>1802</v>
      </c>
      <c r="C751" s="11">
        <v>6.1479999999999997</v>
      </c>
      <c r="D751" s="10" t="s">
        <v>310</v>
      </c>
      <c r="E751">
        <v>1.65</v>
      </c>
    </row>
    <row r="752" spans="1:5">
      <c r="A752" s="10" t="s">
        <v>1803</v>
      </c>
      <c r="B752" s="10" t="s">
        <v>1804</v>
      </c>
      <c r="C752" s="11">
        <v>11.51</v>
      </c>
      <c r="D752" s="10" t="s">
        <v>310</v>
      </c>
      <c r="E752">
        <v>1.65</v>
      </c>
    </row>
    <row r="753" spans="1:5">
      <c r="A753" s="10" t="s">
        <v>1805</v>
      </c>
      <c r="B753" s="10" t="s">
        <v>1806</v>
      </c>
      <c r="C753" s="11">
        <v>9.8179999999999996</v>
      </c>
      <c r="D753" s="10" t="s">
        <v>310</v>
      </c>
      <c r="E753">
        <v>1.65</v>
      </c>
    </row>
    <row r="754" spans="1:5">
      <c r="A754" s="10" t="s">
        <v>1807</v>
      </c>
      <c r="B754" s="10" t="s">
        <v>1808</v>
      </c>
      <c r="C754" s="11">
        <v>2.5859999999999999</v>
      </c>
      <c r="D754" s="10" t="s">
        <v>310</v>
      </c>
      <c r="E754">
        <v>1.65</v>
      </c>
    </row>
    <row r="755" spans="1:5">
      <c r="A755" s="10" t="s">
        <v>1809</v>
      </c>
      <c r="B755" s="10" t="s">
        <v>1810</v>
      </c>
      <c r="C755" s="11">
        <v>2.0369999999999999</v>
      </c>
      <c r="D755" s="10" t="s">
        <v>310</v>
      </c>
      <c r="E755">
        <v>1.65</v>
      </c>
    </row>
    <row r="756" spans="1:5">
      <c r="A756" s="10" t="s">
        <v>1811</v>
      </c>
      <c r="B756" s="10" t="s">
        <v>1812</v>
      </c>
      <c r="C756" s="11">
        <v>3.851</v>
      </c>
      <c r="D756" s="10" t="s">
        <v>310</v>
      </c>
      <c r="E756">
        <v>1.65</v>
      </c>
    </row>
    <row r="757" spans="1:5">
      <c r="A757" s="10" t="s">
        <v>1813</v>
      </c>
      <c r="B757" s="10" t="s">
        <v>1814</v>
      </c>
      <c r="C757" s="11">
        <v>2.1240000000000001</v>
      </c>
      <c r="D757" s="10" t="s">
        <v>310</v>
      </c>
      <c r="E757">
        <v>1.65</v>
      </c>
    </row>
    <row r="758" spans="1:5">
      <c r="A758" s="10" t="s">
        <v>1815</v>
      </c>
      <c r="B758" s="10" t="s">
        <v>1816</v>
      </c>
      <c r="C758" s="11">
        <v>5.6459999999999999</v>
      </c>
      <c r="D758" s="10" t="s">
        <v>310</v>
      </c>
      <c r="E758">
        <v>1.65</v>
      </c>
    </row>
    <row r="759" spans="1:5">
      <c r="A759" s="10" t="s">
        <v>1817</v>
      </c>
      <c r="B759" s="10" t="s">
        <v>1818</v>
      </c>
      <c r="C759" s="11">
        <v>4.6520000000000001</v>
      </c>
      <c r="D759" s="10" t="s">
        <v>310</v>
      </c>
      <c r="E759">
        <v>1.65</v>
      </c>
    </row>
    <row r="760" spans="1:5">
      <c r="A760" s="10" t="s">
        <v>1819</v>
      </c>
      <c r="B760" s="10" t="s">
        <v>1820</v>
      </c>
      <c r="C760" s="11">
        <v>9.3450000000000006</v>
      </c>
      <c r="D760" s="10" t="s">
        <v>310</v>
      </c>
      <c r="E760">
        <v>1.65</v>
      </c>
    </row>
    <row r="761" spans="1:5">
      <c r="A761" s="10" t="s">
        <v>1821</v>
      </c>
      <c r="B761" s="10" t="s">
        <v>1822</v>
      </c>
      <c r="C761" s="11">
        <v>2.5579999999999998</v>
      </c>
      <c r="D761" s="10" t="s">
        <v>310</v>
      </c>
      <c r="E761">
        <v>1.65</v>
      </c>
    </row>
    <row r="762" spans="1:5">
      <c r="A762" s="10" t="s">
        <v>1823</v>
      </c>
      <c r="B762" s="10" t="s">
        <v>1824</v>
      </c>
      <c r="C762" s="11">
        <v>7.1520000000000001</v>
      </c>
      <c r="D762" s="10" t="s">
        <v>310</v>
      </c>
      <c r="E762">
        <v>1.65</v>
      </c>
    </row>
    <row r="763" spans="1:5">
      <c r="A763" s="10" t="s">
        <v>1825</v>
      </c>
      <c r="B763" s="10" t="s">
        <v>1826</v>
      </c>
      <c r="C763" s="11">
        <v>13.52</v>
      </c>
      <c r="D763" s="10" t="s">
        <v>310</v>
      </c>
      <c r="E763">
        <v>1.65</v>
      </c>
    </row>
    <row r="764" spans="1:5">
      <c r="A764" s="10" t="s">
        <v>1827</v>
      </c>
      <c r="B764" s="10" t="s">
        <v>1828</v>
      </c>
      <c r="C764" s="11">
        <v>1149</v>
      </c>
      <c r="D764" s="10" t="s">
        <v>310</v>
      </c>
      <c r="E764">
        <v>1.65</v>
      </c>
    </row>
    <row r="765" spans="1:5">
      <c r="A765" s="10" t="s">
        <v>1829</v>
      </c>
      <c r="B765" s="10" t="s">
        <v>1830</v>
      </c>
      <c r="C765" s="11">
        <v>10.51</v>
      </c>
      <c r="D765" s="10" t="s">
        <v>310</v>
      </c>
      <c r="E765">
        <v>1.65</v>
      </c>
    </row>
    <row r="766" spans="1:5">
      <c r="A766" s="10" t="s">
        <v>1831</v>
      </c>
      <c r="B766" s="10" t="s">
        <v>1832</v>
      </c>
      <c r="C766" s="11">
        <v>4.1719999999999997</v>
      </c>
      <c r="D766" s="10" t="s">
        <v>310</v>
      </c>
      <c r="E766">
        <v>1.65</v>
      </c>
    </row>
    <row r="767" spans="1:5">
      <c r="A767" s="10" t="s">
        <v>1833</v>
      </c>
      <c r="B767" s="10" t="s">
        <v>1834</v>
      </c>
      <c r="C767" s="11">
        <v>8.3439999999999994</v>
      </c>
      <c r="D767" s="10" t="s">
        <v>310</v>
      </c>
      <c r="E767">
        <v>1.65</v>
      </c>
    </row>
    <row r="768" spans="1:5">
      <c r="A768" s="10" t="s">
        <v>1835</v>
      </c>
      <c r="B768" s="10" t="s">
        <v>1836</v>
      </c>
      <c r="C768" s="11">
        <v>6.399</v>
      </c>
      <c r="D768" s="10" t="s">
        <v>310</v>
      </c>
      <c r="E768">
        <v>1.65</v>
      </c>
    </row>
    <row r="769" spans="1:5">
      <c r="A769" s="10" t="s">
        <v>1837</v>
      </c>
      <c r="B769" s="10" t="s">
        <v>1838</v>
      </c>
      <c r="C769" s="11">
        <v>12.02</v>
      </c>
      <c r="D769" s="10" t="s">
        <v>310</v>
      </c>
      <c r="E769">
        <v>1.65</v>
      </c>
    </row>
    <row r="770" spans="1:5">
      <c r="A770" s="10" t="s">
        <v>1839</v>
      </c>
      <c r="B770" s="10" t="s">
        <v>1840</v>
      </c>
      <c r="C770" s="11">
        <v>10.24</v>
      </c>
      <c r="D770" s="10" t="s">
        <v>310</v>
      </c>
      <c r="E770">
        <v>1.65</v>
      </c>
    </row>
    <row r="771" spans="1:5">
      <c r="A771" s="10" t="s">
        <v>1841</v>
      </c>
      <c r="B771" s="10" t="s">
        <v>1842</v>
      </c>
      <c r="C771" s="11">
        <v>0.80740000000000001</v>
      </c>
      <c r="D771" s="10" t="s">
        <v>310</v>
      </c>
      <c r="E771">
        <v>1.65</v>
      </c>
    </row>
    <row r="772" spans="1:5">
      <c r="A772" s="10" t="s">
        <v>1843</v>
      </c>
      <c r="B772" s="10" t="s">
        <v>1844</v>
      </c>
      <c r="C772" s="11">
        <v>0.74619999999999997</v>
      </c>
      <c r="D772" s="10" t="s">
        <v>310</v>
      </c>
      <c r="E772">
        <v>1.65</v>
      </c>
    </row>
    <row r="773" spans="1:5">
      <c r="A773" s="10" t="s">
        <v>1845</v>
      </c>
      <c r="B773" s="10" t="s">
        <v>1846</v>
      </c>
      <c r="C773" s="11">
        <v>0.59130000000000005</v>
      </c>
      <c r="D773" s="10" t="s">
        <v>310</v>
      </c>
      <c r="E773">
        <v>1.65</v>
      </c>
    </row>
    <row r="774" spans="1:5">
      <c r="A774" s="10" t="s">
        <v>1847</v>
      </c>
      <c r="B774" s="10" t="s">
        <v>1848</v>
      </c>
      <c r="C774" s="11">
        <v>0.47549999999999998</v>
      </c>
      <c r="D774" s="10" t="s">
        <v>310</v>
      </c>
      <c r="E774">
        <v>1.65</v>
      </c>
    </row>
    <row r="775" spans="1:5">
      <c r="A775" s="10" t="s">
        <v>1849</v>
      </c>
      <c r="B775" s="10" t="s">
        <v>1850</v>
      </c>
      <c r="C775" s="11">
        <v>0.36680000000000001</v>
      </c>
      <c r="D775" s="10" t="s">
        <v>310</v>
      </c>
      <c r="E775">
        <v>1.65</v>
      </c>
    </row>
    <row r="776" spans="1:5">
      <c r="A776" s="10" t="s">
        <v>1851</v>
      </c>
      <c r="B776" s="10" t="s">
        <v>1852</v>
      </c>
      <c r="C776" s="11">
        <v>8.9819999999999993</v>
      </c>
      <c r="D776" s="10" t="s">
        <v>310</v>
      </c>
      <c r="E776">
        <v>1.65</v>
      </c>
    </row>
    <row r="777" spans="1:5">
      <c r="A777" s="10" t="s">
        <v>1853</v>
      </c>
      <c r="B777" s="10" t="s">
        <v>1854</v>
      </c>
      <c r="C777" s="11">
        <v>4.492</v>
      </c>
      <c r="D777" s="10" t="s">
        <v>310</v>
      </c>
      <c r="E777">
        <v>1.65</v>
      </c>
    </row>
    <row r="778" spans="1:5">
      <c r="A778" s="10" t="s">
        <v>1855</v>
      </c>
      <c r="B778" s="10" t="s">
        <v>1856</v>
      </c>
      <c r="C778" s="11">
        <v>9.0109999999999992</v>
      </c>
      <c r="D778" s="10" t="s">
        <v>310</v>
      </c>
      <c r="E778">
        <v>1.65</v>
      </c>
    </row>
    <row r="779" spans="1:5">
      <c r="A779" s="10" t="s">
        <v>1857</v>
      </c>
      <c r="B779" s="10" t="s">
        <v>1858</v>
      </c>
      <c r="C779" s="11">
        <v>2.4710000000000001</v>
      </c>
      <c r="D779" s="10" t="s">
        <v>310</v>
      </c>
      <c r="E779">
        <v>1.65</v>
      </c>
    </row>
    <row r="780" spans="1:5">
      <c r="A780" s="10" t="s">
        <v>1859</v>
      </c>
      <c r="B780" s="10" t="s">
        <v>1860</v>
      </c>
      <c r="C780" s="11">
        <v>6.8840000000000003</v>
      </c>
      <c r="D780" s="10" t="s">
        <v>310</v>
      </c>
      <c r="E780">
        <v>1.65</v>
      </c>
    </row>
    <row r="781" spans="1:5">
      <c r="A781" s="10" t="s">
        <v>1861</v>
      </c>
      <c r="B781" s="10" t="s">
        <v>1862</v>
      </c>
      <c r="C781" s="11">
        <v>11.07</v>
      </c>
      <c r="D781" s="10" t="s">
        <v>310</v>
      </c>
      <c r="E781">
        <v>1.65</v>
      </c>
    </row>
    <row r="782" spans="1:5">
      <c r="A782" s="10" t="s">
        <v>1863</v>
      </c>
      <c r="B782" s="10" t="s">
        <v>1864</v>
      </c>
      <c r="C782" s="11">
        <v>9.6790000000000003</v>
      </c>
      <c r="D782" s="10" t="s">
        <v>310</v>
      </c>
      <c r="E782">
        <v>1.65</v>
      </c>
    </row>
    <row r="783" spans="1:5">
      <c r="A783" s="10" t="s">
        <v>1865</v>
      </c>
      <c r="B783" s="10" t="s">
        <v>1866</v>
      </c>
      <c r="C783" s="11">
        <v>11.91</v>
      </c>
      <c r="D783" s="10" t="s">
        <v>310</v>
      </c>
      <c r="E783">
        <v>1.65</v>
      </c>
    </row>
    <row r="784" spans="1:5">
      <c r="A784" s="10" t="s">
        <v>1867</v>
      </c>
      <c r="B784" s="10" t="s">
        <v>1868</v>
      </c>
      <c r="C784" s="11">
        <v>0.1706</v>
      </c>
      <c r="D784" s="10" t="s">
        <v>310</v>
      </c>
      <c r="E784">
        <v>1.65</v>
      </c>
    </row>
    <row r="785" spans="1:5">
      <c r="A785" s="10" t="s">
        <v>1869</v>
      </c>
      <c r="B785" s="10" t="s">
        <v>1870</v>
      </c>
      <c r="C785" s="11">
        <v>4.9729999999999999</v>
      </c>
      <c r="D785" s="10" t="s">
        <v>310</v>
      </c>
      <c r="E785">
        <v>1.65</v>
      </c>
    </row>
    <row r="786" spans="1:5">
      <c r="A786" s="10" t="s">
        <v>1871</v>
      </c>
      <c r="B786" s="10" t="s">
        <v>1872</v>
      </c>
      <c r="C786" s="11">
        <v>5.6130000000000004</v>
      </c>
      <c r="D786" s="10" t="s">
        <v>310</v>
      </c>
      <c r="E786">
        <v>1.65</v>
      </c>
    </row>
    <row r="787" spans="1:5">
      <c r="A787" s="10" t="s">
        <v>1873</v>
      </c>
      <c r="B787" s="10" t="s">
        <v>1874</v>
      </c>
      <c r="C787" s="11">
        <v>11.35</v>
      </c>
      <c r="D787" s="10" t="s">
        <v>310</v>
      </c>
      <c r="E787">
        <v>1.65</v>
      </c>
    </row>
    <row r="788" spans="1:5">
      <c r="A788" s="10" t="s">
        <v>1875</v>
      </c>
      <c r="B788" s="10" t="s">
        <v>1876</v>
      </c>
      <c r="C788" s="11">
        <v>8.6579999999999995</v>
      </c>
      <c r="D788" s="10" t="s">
        <v>310</v>
      </c>
      <c r="E788">
        <v>1.65</v>
      </c>
    </row>
    <row r="789" spans="1:5">
      <c r="A789" s="10" t="s">
        <v>1877</v>
      </c>
      <c r="B789" s="10" t="s">
        <v>1878</v>
      </c>
      <c r="C789" s="11">
        <v>16.52</v>
      </c>
      <c r="D789" s="10" t="s">
        <v>310</v>
      </c>
      <c r="E789">
        <v>1.65</v>
      </c>
    </row>
    <row r="790" spans="1:5">
      <c r="A790" s="10" t="s">
        <v>1879</v>
      </c>
      <c r="B790" s="10" t="s">
        <v>1880</v>
      </c>
      <c r="C790" s="11">
        <v>14</v>
      </c>
      <c r="D790" s="10" t="s">
        <v>310</v>
      </c>
      <c r="E790">
        <v>1.65</v>
      </c>
    </row>
    <row r="791" spans="1:5">
      <c r="A791" s="10" t="s">
        <v>1881</v>
      </c>
      <c r="B791" s="10" t="s">
        <v>1882</v>
      </c>
      <c r="C791" s="11">
        <v>4.53</v>
      </c>
      <c r="D791" s="10" t="s">
        <v>310</v>
      </c>
      <c r="E791">
        <v>1.65</v>
      </c>
    </row>
    <row r="792" spans="1:5">
      <c r="A792" s="10" t="s">
        <v>1883</v>
      </c>
      <c r="B792" s="10" t="s">
        <v>1884</v>
      </c>
      <c r="C792" s="11">
        <v>10.01</v>
      </c>
      <c r="D792" s="10" t="s">
        <v>310</v>
      </c>
      <c r="E792">
        <v>1.65</v>
      </c>
    </row>
    <row r="793" spans="1:5">
      <c r="A793" s="10" t="s">
        <v>1885</v>
      </c>
      <c r="B793" s="10" t="s">
        <v>1886</v>
      </c>
      <c r="C793" s="11">
        <v>5.2930000000000001</v>
      </c>
      <c r="D793" s="10" t="s">
        <v>310</v>
      </c>
      <c r="E793">
        <v>1.65</v>
      </c>
    </row>
    <row r="794" spans="1:5">
      <c r="A794" s="10" t="s">
        <v>1887</v>
      </c>
      <c r="B794" s="10" t="s">
        <v>1888</v>
      </c>
      <c r="C794" s="11">
        <v>10.68</v>
      </c>
      <c r="D794" s="10" t="s">
        <v>310</v>
      </c>
      <c r="E794">
        <v>1.65</v>
      </c>
    </row>
    <row r="795" spans="1:5">
      <c r="A795" s="10" t="s">
        <v>1889</v>
      </c>
      <c r="B795" s="10" t="s">
        <v>1890</v>
      </c>
      <c r="C795" s="11">
        <v>8.1560000000000006</v>
      </c>
      <c r="D795" s="10" t="s">
        <v>310</v>
      </c>
      <c r="E795">
        <v>1.65</v>
      </c>
    </row>
    <row r="796" spans="1:5">
      <c r="A796" s="10" t="s">
        <v>1891</v>
      </c>
      <c r="B796" s="10" t="s">
        <v>1892</v>
      </c>
      <c r="C796" s="11">
        <v>3.472</v>
      </c>
      <c r="D796" s="10" t="s">
        <v>310</v>
      </c>
      <c r="E796">
        <v>1.65</v>
      </c>
    </row>
    <row r="797" spans="1:5">
      <c r="A797" s="10" t="s">
        <v>1893</v>
      </c>
      <c r="B797" s="10" t="s">
        <v>1894</v>
      </c>
      <c r="C797" s="11">
        <v>2.7320000000000002</v>
      </c>
      <c r="D797" s="10" t="s">
        <v>310</v>
      </c>
      <c r="E797">
        <v>1.65</v>
      </c>
    </row>
    <row r="798" spans="1:5">
      <c r="A798" s="10" t="s">
        <v>1895</v>
      </c>
      <c r="B798" s="10" t="s">
        <v>1896</v>
      </c>
      <c r="C798" s="11">
        <v>7.6539999999999999</v>
      </c>
      <c r="D798" s="10" t="s">
        <v>310</v>
      </c>
      <c r="E798">
        <v>1.65</v>
      </c>
    </row>
    <row r="799" spans="1:5">
      <c r="A799" s="10" t="s">
        <v>1897</v>
      </c>
      <c r="B799" s="10" t="s">
        <v>1898</v>
      </c>
      <c r="C799" s="11">
        <v>5.9340000000000002</v>
      </c>
      <c r="D799" s="10" t="s">
        <v>310</v>
      </c>
      <c r="E799">
        <v>1.65</v>
      </c>
    </row>
    <row r="800" spans="1:5">
      <c r="A800" s="10" t="s">
        <v>1899</v>
      </c>
      <c r="B800" s="10" t="s">
        <v>1900</v>
      </c>
      <c r="C800" s="11">
        <v>12.02</v>
      </c>
      <c r="D800" s="10" t="s">
        <v>310</v>
      </c>
      <c r="E800">
        <v>1.65</v>
      </c>
    </row>
    <row r="801" spans="1:5">
      <c r="A801" s="10" t="s">
        <v>1901</v>
      </c>
      <c r="B801" s="10" t="s">
        <v>1902</v>
      </c>
      <c r="C801" s="11">
        <v>9.16</v>
      </c>
      <c r="D801" s="10" t="s">
        <v>310</v>
      </c>
      <c r="E801">
        <v>1.65</v>
      </c>
    </row>
    <row r="802" spans="1:5">
      <c r="A802" s="10" t="s">
        <v>1903</v>
      </c>
      <c r="B802" s="10" t="s">
        <v>1904</v>
      </c>
      <c r="C802" s="11">
        <v>17.52</v>
      </c>
      <c r="D802" s="10" t="s">
        <v>310</v>
      </c>
      <c r="E802">
        <v>1.65</v>
      </c>
    </row>
    <row r="803" spans="1:5">
      <c r="A803" s="10" t="s">
        <v>1905</v>
      </c>
      <c r="B803" s="10" t="s">
        <v>1906</v>
      </c>
      <c r="C803" s="11">
        <v>14.83</v>
      </c>
      <c r="D803" s="10" t="s">
        <v>310</v>
      </c>
      <c r="E803">
        <v>1.65</v>
      </c>
    </row>
    <row r="804" spans="1:5">
      <c r="A804" s="10" t="s">
        <v>1907</v>
      </c>
      <c r="B804" s="10" t="s">
        <v>1908</v>
      </c>
      <c r="C804" s="11">
        <v>14.52</v>
      </c>
      <c r="D804" s="10" t="s">
        <v>310</v>
      </c>
      <c r="E804">
        <v>1.65</v>
      </c>
    </row>
    <row r="805" spans="1:5">
      <c r="A805" s="10" t="s">
        <v>1909</v>
      </c>
      <c r="B805" s="10" t="s">
        <v>1910</v>
      </c>
      <c r="C805" s="11">
        <v>11.01</v>
      </c>
      <c r="D805" s="10" t="s">
        <v>310</v>
      </c>
      <c r="E805">
        <v>1.65</v>
      </c>
    </row>
    <row r="806" spans="1:5">
      <c r="A806" s="10" t="s">
        <v>1911</v>
      </c>
      <c r="B806" s="10" t="s">
        <v>1912</v>
      </c>
      <c r="C806" s="11">
        <v>8.407</v>
      </c>
      <c r="D806" s="10" t="s">
        <v>310</v>
      </c>
      <c r="E806">
        <v>1.65</v>
      </c>
    </row>
    <row r="807" spans="1:5">
      <c r="A807" s="10" t="s">
        <v>1913</v>
      </c>
      <c r="B807" s="10" t="s">
        <v>1914</v>
      </c>
      <c r="C807" s="11">
        <v>16.02</v>
      </c>
      <c r="D807" s="10" t="s">
        <v>310</v>
      </c>
      <c r="E807">
        <v>1.65</v>
      </c>
    </row>
    <row r="808" spans="1:5">
      <c r="A808" s="10" t="s">
        <v>1915</v>
      </c>
      <c r="B808" s="10" t="s">
        <v>1916</v>
      </c>
      <c r="C808" s="11">
        <v>12.33</v>
      </c>
      <c r="D808" s="10" t="s">
        <v>310</v>
      </c>
      <c r="E808">
        <v>1.65</v>
      </c>
    </row>
    <row r="809" spans="1:5">
      <c r="A809" s="10" t="s">
        <v>1917</v>
      </c>
      <c r="B809" s="10" t="s">
        <v>1918</v>
      </c>
      <c r="C809" s="11">
        <v>11.68</v>
      </c>
      <c r="D809" s="10" t="s">
        <v>310</v>
      </c>
      <c r="E809">
        <v>1.65</v>
      </c>
    </row>
    <row r="810" spans="1:5">
      <c r="A810" s="10" t="s">
        <v>1919</v>
      </c>
      <c r="B810" s="10" t="s">
        <v>1920</v>
      </c>
      <c r="C810" s="11">
        <v>8.9090000000000007</v>
      </c>
      <c r="D810" s="10" t="s">
        <v>310</v>
      </c>
      <c r="E810">
        <v>1.65</v>
      </c>
    </row>
    <row r="811" spans="1:5">
      <c r="A811" s="10" t="s">
        <v>1921</v>
      </c>
      <c r="B811" s="10" t="s">
        <v>1922</v>
      </c>
      <c r="C811" s="11">
        <v>6.2539999999999996</v>
      </c>
      <c r="D811" s="10" t="s">
        <v>310</v>
      </c>
      <c r="E811">
        <v>1.65</v>
      </c>
    </row>
    <row r="812" spans="1:5">
      <c r="A812" s="10" t="s">
        <v>1923</v>
      </c>
      <c r="B812" s="10" t="s">
        <v>1924</v>
      </c>
      <c r="C812" s="11">
        <v>6.8949999999999996</v>
      </c>
      <c r="D812" s="10" t="s">
        <v>310</v>
      </c>
      <c r="E812">
        <v>1.65</v>
      </c>
    </row>
    <row r="813" spans="1:5">
      <c r="A813" s="10" t="s">
        <v>1925</v>
      </c>
      <c r="B813" s="10" t="s">
        <v>1926</v>
      </c>
      <c r="C813" s="11">
        <v>14.02</v>
      </c>
      <c r="D813" s="10" t="s">
        <v>310</v>
      </c>
      <c r="E813">
        <v>1.65</v>
      </c>
    </row>
    <row r="814" spans="1:5">
      <c r="A814" s="10" t="s">
        <v>1927</v>
      </c>
      <c r="B814" s="10" t="s">
        <v>1928</v>
      </c>
      <c r="C814" s="11">
        <v>3.7730000000000001</v>
      </c>
      <c r="D814" s="10" t="s">
        <v>310</v>
      </c>
      <c r="E814">
        <v>1.65</v>
      </c>
    </row>
    <row r="815" spans="1:5">
      <c r="A815" s="10" t="s">
        <v>1929</v>
      </c>
      <c r="B815" s="10" t="s">
        <v>1930</v>
      </c>
      <c r="C815" s="11">
        <v>10.67</v>
      </c>
      <c r="D815" s="10" t="s">
        <v>310</v>
      </c>
      <c r="E815">
        <v>1.65</v>
      </c>
    </row>
    <row r="816" spans="1:5">
      <c r="A816" s="10" t="s">
        <v>1931</v>
      </c>
      <c r="B816" s="10" t="s">
        <v>1932</v>
      </c>
      <c r="C816" s="11">
        <v>20.53</v>
      </c>
      <c r="D816" s="10" t="s">
        <v>310</v>
      </c>
      <c r="E816">
        <v>1.65</v>
      </c>
    </row>
    <row r="817" spans="1:5">
      <c r="A817" s="10" t="s">
        <v>1933</v>
      </c>
      <c r="B817" s="10" t="s">
        <v>1934</v>
      </c>
      <c r="C817" s="11">
        <v>17.34</v>
      </c>
      <c r="D817" s="10" t="s">
        <v>310</v>
      </c>
      <c r="E817">
        <v>1.65</v>
      </c>
    </row>
    <row r="818" spans="1:5">
      <c r="A818" s="10" t="s">
        <v>1935</v>
      </c>
      <c r="B818" s="10" t="s">
        <v>1936</v>
      </c>
      <c r="C818" s="11">
        <v>12.68</v>
      </c>
      <c r="D818" s="10" t="s">
        <v>310</v>
      </c>
      <c r="E818">
        <v>1.65</v>
      </c>
    </row>
    <row r="819" spans="1:5">
      <c r="A819" s="10" t="s">
        <v>1937</v>
      </c>
      <c r="B819" s="10" t="s">
        <v>1938</v>
      </c>
      <c r="C819" s="11">
        <v>6.5750000000000002</v>
      </c>
      <c r="D819" s="10" t="s">
        <v>310</v>
      </c>
      <c r="E819">
        <v>1.65</v>
      </c>
    </row>
    <row r="820" spans="1:5">
      <c r="A820" s="10" t="s">
        <v>1939</v>
      </c>
      <c r="B820" s="10" t="s">
        <v>1940</v>
      </c>
      <c r="C820" s="11">
        <v>13.35</v>
      </c>
      <c r="D820" s="10" t="s">
        <v>310</v>
      </c>
      <c r="E820">
        <v>1.65</v>
      </c>
    </row>
    <row r="821" spans="1:5">
      <c r="A821" s="10" t="s">
        <v>1941</v>
      </c>
      <c r="B821" s="10" t="s">
        <v>1942</v>
      </c>
      <c r="C821" s="11">
        <v>10.16</v>
      </c>
      <c r="D821" s="10" t="s">
        <v>310</v>
      </c>
      <c r="E821">
        <v>1.65</v>
      </c>
    </row>
    <row r="822" spans="1:5">
      <c r="A822" s="10" t="s">
        <v>1943</v>
      </c>
      <c r="B822" s="10" t="s">
        <v>1944</v>
      </c>
      <c r="C822" s="11">
        <v>19.52</v>
      </c>
      <c r="D822" s="10" t="s">
        <v>310</v>
      </c>
      <c r="E822">
        <v>1.65</v>
      </c>
    </row>
    <row r="823" spans="1:5">
      <c r="A823" s="10" t="s">
        <v>1945</v>
      </c>
      <c r="B823" s="10" t="s">
        <v>1946</v>
      </c>
      <c r="C823" s="11">
        <v>16.5</v>
      </c>
      <c r="D823" s="10" t="s">
        <v>310</v>
      </c>
      <c r="E823">
        <v>1.65</v>
      </c>
    </row>
    <row r="824" spans="1:5">
      <c r="A824" s="10" t="s">
        <v>1947</v>
      </c>
      <c r="B824" s="10" t="s">
        <v>1948</v>
      </c>
      <c r="C824" s="11">
        <v>4.359</v>
      </c>
      <c r="D824" s="10" t="s">
        <v>310</v>
      </c>
      <c r="E824">
        <v>1.65</v>
      </c>
    </row>
    <row r="825" spans="1:5">
      <c r="A825" s="10" t="s">
        <v>1949</v>
      </c>
      <c r="B825" s="10" t="s">
        <v>1950</v>
      </c>
      <c r="C825" s="11">
        <v>3.4260000000000002</v>
      </c>
      <c r="D825" s="10" t="s">
        <v>310</v>
      </c>
      <c r="E825">
        <v>1.65</v>
      </c>
    </row>
    <row r="826" spans="1:5">
      <c r="A826" s="10" t="s">
        <v>1951</v>
      </c>
      <c r="B826" s="10" t="s">
        <v>1952</v>
      </c>
      <c r="C826" s="11">
        <v>9.6620000000000008</v>
      </c>
      <c r="D826" s="10" t="s">
        <v>310</v>
      </c>
      <c r="E826">
        <v>1.65</v>
      </c>
    </row>
    <row r="827" spans="1:5">
      <c r="A827" s="10" t="s">
        <v>1953</v>
      </c>
      <c r="B827" s="10" t="s">
        <v>1954</v>
      </c>
      <c r="C827" s="11">
        <v>7.2149999999999999</v>
      </c>
      <c r="D827" s="10" t="s">
        <v>310</v>
      </c>
      <c r="E827">
        <v>1.65</v>
      </c>
    </row>
    <row r="828" spans="1:5">
      <c r="A828" s="10" t="s">
        <v>1955</v>
      </c>
      <c r="B828" s="10" t="s">
        <v>1956</v>
      </c>
      <c r="C828" s="11">
        <v>14.69</v>
      </c>
      <c r="D828" s="10" t="s">
        <v>310</v>
      </c>
      <c r="E828">
        <v>1.65</v>
      </c>
    </row>
    <row r="829" spans="1:5">
      <c r="A829" s="10" t="s">
        <v>1957</v>
      </c>
      <c r="B829" s="10" t="s">
        <v>1958</v>
      </c>
      <c r="C829" s="11">
        <v>11.17</v>
      </c>
      <c r="D829" s="10" t="s">
        <v>310</v>
      </c>
      <c r="E829">
        <v>1.65</v>
      </c>
    </row>
    <row r="830" spans="1:5">
      <c r="A830" s="10" t="s">
        <v>1959</v>
      </c>
      <c r="B830" s="10" t="s">
        <v>1960</v>
      </c>
      <c r="C830" s="11">
        <v>21.53</v>
      </c>
      <c r="D830" s="10" t="s">
        <v>310</v>
      </c>
      <c r="E830">
        <v>1.65</v>
      </c>
    </row>
    <row r="831" spans="1:5">
      <c r="A831" s="10" t="s">
        <v>1961</v>
      </c>
      <c r="B831" s="10" t="s">
        <v>1962</v>
      </c>
      <c r="C831" s="11">
        <v>15.67</v>
      </c>
      <c r="D831" s="10" t="s">
        <v>310</v>
      </c>
      <c r="E831">
        <v>1.65</v>
      </c>
    </row>
    <row r="832" spans="1:5">
      <c r="A832" s="10" t="s">
        <v>1963</v>
      </c>
      <c r="B832" s="10" t="s">
        <v>1964</v>
      </c>
      <c r="C832" s="11">
        <v>18.52</v>
      </c>
      <c r="D832" s="10" t="s">
        <v>310</v>
      </c>
      <c r="E832">
        <v>1.65</v>
      </c>
    </row>
    <row r="833" spans="1:5">
      <c r="A833" s="10" t="s">
        <v>1965</v>
      </c>
      <c r="B833" s="10" t="s">
        <v>1966</v>
      </c>
      <c r="C833" s="11">
        <v>7.5359999999999996</v>
      </c>
      <c r="D833" s="10" t="s">
        <v>310</v>
      </c>
      <c r="E833">
        <v>1.65</v>
      </c>
    </row>
    <row r="834" spans="1:5">
      <c r="A834" s="10" t="s">
        <v>1967</v>
      </c>
      <c r="B834" s="10" t="s">
        <v>1968</v>
      </c>
      <c r="C834" s="11">
        <v>16.690000000000001</v>
      </c>
      <c r="D834" s="10" t="s">
        <v>310</v>
      </c>
      <c r="E834">
        <v>1.65</v>
      </c>
    </row>
    <row r="835" spans="1:5">
      <c r="A835" s="10" t="s">
        <v>1969</v>
      </c>
      <c r="B835" s="10" t="s">
        <v>1970</v>
      </c>
      <c r="C835" s="11">
        <v>12.67</v>
      </c>
      <c r="D835" s="10" t="s">
        <v>310</v>
      </c>
      <c r="E835">
        <v>1.65</v>
      </c>
    </row>
    <row r="836" spans="1:5">
      <c r="A836" s="10" t="s">
        <v>1971</v>
      </c>
      <c r="B836" s="10" t="s">
        <v>1972</v>
      </c>
      <c r="C836" s="11">
        <v>24.53</v>
      </c>
      <c r="D836" s="10" t="s">
        <v>310</v>
      </c>
      <c r="E836">
        <v>1.65</v>
      </c>
    </row>
    <row r="837" spans="1:5">
      <c r="A837" s="10" t="s">
        <v>1973</v>
      </c>
      <c r="B837" s="10" t="s">
        <v>1974</v>
      </c>
      <c r="C837" s="11">
        <v>15.35</v>
      </c>
      <c r="D837" s="10" t="s">
        <v>310</v>
      </c>
      <c r="E837">
        <v>1.65</v>
      </c>
    </row>
    <row r="838" spans="1:5">
      <c r="A838" s="10" t="s">
        <v>1975</v>
      </c>
      <c r="B838" s="10" t="s">
        <v>1976</v>
      </c>
      <c r="C838" s="11">
        <v>8.1769999999999996</v>
      </c>
      <c r="D838" s="10" t="s">
        <v>310</v>
      </c>
      <c r="E838">
        <v>1.65</v>
      </c>
    </row>
    <row r="839" spans="1:5">
      <c r="A839" s="10" t="s">
        <v>1977</v>
      </c>
      <c r="B839" s="10" t="s">
        <v>1978</v>
      </c>
      <c r="C839" s="11">
        <v>16.02</v>
      </c>
      <c r="D839" s="10" t="s">
        <v>310</v>
      </c>
      <c r="E839">
        <v>1.65</v>
      </c>
    </row>
    <row r="840" spans="1:5">
      <c r="A840" s="10" t="s">
        <v>1979</v>
      </c>
      <c r="B840" s="10" t="s">
        <v>1980</v>
      </c>
      <c r="C840" s="11">
        <v>12.17</v>
      </c>
      <c r="D840" s="10" t="s">
        <v>310</v>
      </c>
      <c r="E840">
        <v>1.65</v>
      </c>
    </row>
    <row r="841" spans="1:5">
      <c r="A841" s="10" t="s">
        <v>1981</v>
      </c>
      <c r="B841" s="10" t="s">
        <v>1982</v>
      </c>
      <c r="C841" s="11">
        <v>5.2450000000000001</v>
      </c>
      <c r="D841" s="10" t="s">
        <v>310</v>
      </c>
      <c r="E841">
        <v>1.65</v>
      </c>
    </row>
    <row r="842" spans="1:5">
      <c r="A842" s="10" t="s">
        <v>1983</v>
      </c>
      <c r="B842" s="10" t="s">
        <v>1984</v>
      </c>
      <c r="C842" s="11">
        <v>4.12</v>
      </c>
      <c r="D842" s="10" t="s">
        <v>310</v>
      </c>
      <c r="E842">
        <v>1.65</v>
      </c>
    </row>
    <row r="843" spans="1:5">
      <c r="A843" s="10" t="s">
        <v>1985</v>
      </c>
      <c r="B843" s="10" t="s">
        <v>1986</v>
      </c>
      <c r="C843" s="11">
        <v>11.67</v>
      </c>
      <c r="D843" s="10" t="s">
        <v>310</v>
      </c>
      <c r="E843">
        <v>1.65</v>
      </c>
    </row>
    <row r="844" spans="1:5">
      <c r="A844" s="10" t="s">
        <v>1987</v>
      </c>
      <c r="B844" s="10" t="s">
        <v>1988</v>
      </c>
      <c r="C844" s="11">
        <v>17.36</v>
      </c>
      <c r="D844" s="10" t="s">
        <v>310</v>
      </c>
      <c r="E844">
        <v>1.65</v>
      </c>
    </row>
    <row r="845" spans="1:5">
      <c r="A845" s="10" t="s">
        <v>1989</v>
      </c>
      <c r="B845" s="10" t="s">
        <v>1990</v>
      </c>
      <c r="C845" s="11">
        <v>25.53</v>
      </c>
      <c r="D845" s="10" t="s">
        <v>310</v>
      </c>
      <c r="E845">
        <v>1.65</v>
      </c>
    </row>
    <row r="846" spans="1:5">
      <c r="A846" s="10" t="s">
        <v>1991</v>
      </c>
      <c r="B846" s="10" t="s">
        <v>1992</v>
      </c>
      <c r="C846" s="11">
        <v>22.53</v>
      </c>
      <c r="D846" s="10" t="s">
        <v>310</v>
      </c>
      <c r="E846">
        <v>1.65</v>
      </c>
    </row>
    <row r="847" spans="1:5">
      <c r="A847" s="10" t="s">
        <v>1993</v>
      </c>
      <c r="B847" s="10" t="s">
        <v>1994</v>
      </c>
      <c r="C847" s="11">
        <v>19.010000000000002</v>
      </c>
      <c r="D847" s="10" t="s">
        <v>310</v>
      </c>
      <c r="E847">
        <v>1.65</v>
      </c>
    </row>
    <row r="848" spans="1:5">
      <c r="A848" s="10" t="s">
        <v>1995</v>
      </c>
      <c r="B848" s="10" t="s">
        <v>1996</v>
      </c>
      <c r="C848" s="11">
        <v>19.36</v>
      </c>
      <c r="D848" s="10" t="s">
        <v>310</v>
      </c>
      <c r="E848">
        <v>1.65</v>
      </c>
    </row>
    <row r="849" spans="1:5">
      <c r="A849" s="10" t="s">
        <v>1997</v>
      </c>
      <c r="B849" s="10" t="s">
        <v>1998</v>
      </c>
      <c r="C849" s="11">
        <v>28.54</v>
      </c>
      <c r="D849" s="10" t="s">
        <v>310</v>
      </c>
      <c r="E849">
        <v>1.65</v>
      </c>
    </row>
    <row r="850" spans="1:5">
      <c r="A850" s="10" t="s">
        <v>1999</v>
      </c>
      <c r="B850" s="10" t="s">
        <v>2000</v>
      </c>
      <c r="C850" s="11">
        <v>18.02</v>
      </c>
      <c r="D850" s="10" t="s">
        <v>310</v>
      </c>
      <c r="E850">
        <v>1.65</v>
      </c>
    </row>
    <row r="851" spans="1:5">
      <c r="A851" s="10" t="s">
        <v>2001</v>
      </c>
      <c r="B851" s="10" t="s">
        <v>2002</v>
      </c>
      <c r="C851" s="11">
        <v>13.68</v>
      </c>
      <c r="D851" s="10" t="s">
        <v>310</v>
      </c>
      <c r="E851">
        <v>1.65</v>
      </c>
    </row>
    <row r="852" spans="1:5">
      <c r="A852" s="10" t="s">
        <v>2003</v>
      </c>
      <c r="B852" s="10" t="s">
        <v>2004</v>
      </c>
      <c r="C852" s="11">
        <v>0.70209999999999995</v>
      </c>
      <c r="D852" s="10" t="s">
        <v>310</v>
      </c>
      <c r="E852">
        <v>1.65</v>
      </c>
    </row>
    <row r="853" spans="1:5">
      <c r="A853" s="10" t="s">
        <v>2005</v>
      </c>
      <c r="B853" s="10" t="s">
        <v>2006</v>
      </c>
      <c r="C853" s="11">
        <v>0.56230000000000002</v>
      </c>
      <c r="D853" s="10" t="s">
        <v>310</v>
      </c>
      <c r="E853">
        <v>1.65</v>
      </c>
    </row>
    <row r="854" spans="1:5">
      <c r="A854" s="10" t="s">
        <v>2007</v>
      </c>
      <c r="B854" s="10" t="s">
        <v>2008</v>
      </c>
      <c r="C854" s="11">
        <v>0.43230000000000002</v>
      </c>
      <c r="D854" s="10" t="s">
        <v>310</v>
      </c>
      <c r="E854">
        <v>1.65</v>
      </c>
    </row>
    <row r="855" spans="1:5">
      <c r="A855" s="10" t="s">
        <v>2009</v>
      </c>
      <c r="B855" s="10" t="s">
        <v>2010</v>
      </c>
      <c r="C855" s="11">
        <v>10.51</v>
      </c>
      <c r="D855" s="10" t="s">
        <v>310</v>
      </c>
      <c r="E855">
        <v>1.65</v>
      </c>
    </row>
    <row r="856" spans="1:5">
      <c r="A856" s="10" t="s">
        <v>2011</v>
      </c>
      <c r="B856" s="10" t="s">
        <v>2012</v>
      </c>
      <c r="C856" s="11">
        <v>22.03</v>
      </c>
      <c r="D856" s="10" t="s">
        <v>310</v>
      </c>
      <c r="E856">
        <v>1.65</v>
      </c>
    </row>
    <row r="857" spans="1:5">
      <c r="A857" s="10" t="s">
        <v>2013</v>
      </c>
      <c r="B857" s="10" t="s">
        <v>2014</v>
      </c>
      <c r="C857" s="11">
        <v>32.54</v>
      </c>
      <c r="D857" s="10" t="s">
        <v>310</v>
      </c>
      <c r="E857">
        <v>1.65</v>
      </c>
    </row>
    <row r="858" spans="1:5">
      <c r="A858" s="10" t="s">
        <v>2015</v>
      </c>
      <c r="B858" s="10" t="s">
        <v>2016</v>
      </c>
      <c r="C858" s="11">
        <v>20.69</v>
      </c>
      <c r="D858" s="10" t="s">
        <v>310</v>
      </c>
      <c r="E858">
        <v>1.65</v>
      </c>
    </row>
    <row r="859" spans="1:5">
      <c r="A859" s="10" t="s">
        <v>2017</v>
      </c>
      <c r="B859" s="10" t="s">
        <v>2018</v>
      </c>
      <c r="C859" s="11">
        <v>10.345000000000001</v>
      </c>
      <c r="D859" s="10" t="s">
        <v>310</v>
      </c>
      <c r="E859">
        <v>1.65</v>
      </c>
    </row>
    <row r="860" spans="1:5">
      <c r="A860" s="10" t="s">
        <v>2019</v>
      </c>
      <c r="B860" s="10" t="s">
        <v>2020</v>
      </c>
      <c r="C860" s="11">
        <v>30.54</v>
      </c>
      <c r="D860" s="10" t="s">
        <v>310</v>
      </c>
      <c r="E860">
        <v>1.65</v>
      </c>
    </row>
    <row r="861" spans="1:5">
      <c r="A861" s="10" t="s">
        <v>2021</v>
      </c>
      <c r="B861" s="10" t="s">
        <v>2022</v>
      </c>
      <c r="C861" s="11">
        <v>1.766</v>
      </c>
      <c r="D861" s="10" t="s">
        <v>310</v>
      </c>
      <c r="E861">
        <v>1.65</v>
      </c>
    </row>
    <row r="862" spans="1:5">
      <c r="A862" s="10" t="s">
        <v>2023</v>
      </c>
      <c r="B862" s="10" t="s">
        <v>2024</v>
      </c>
      <c r="C862" s="11">
        <v>1.288</v>
      </c>
      <c r="D862" s="10" t="s">
        <v>310</v>
      </c>
      <c r="E862">
        <v>1.65</v>
      </c>
    </row>
    <row r="863" spans="1:5">
      <c r="A863" s="10" t="s">
        <v>2025</v>
      </c>
      <c r="B863" s="10" t="s">
        <v>2026</v>
      </c>
      <c r="C863" s="11">
        <v>1.036</v>
      </c>
      <c r="D863" s="10" t="s">
        <v>310</v>
      </c>
      <c r="E863">
        <v>1.65</v>
      </c>
    </row>
    <row r="864" spans="1:5">
      <c r="A864" s="10" t="s">
        <v>2027</v>
      </c>
      <c r="B864" s="10" t="s">
        <v>2028</v>
      </c>
      <c r="C864" s="11">
        <v>8.3000000000000004E-2</v>
      </c>
      <c r="D864" s="10" t="s">
        <v>310</v>
      </c>
      <c r="E864">
        <v>1.65</v>
      </c>
    </row>
    <row r="865" spans="1:5">
      <c r="A865" s="10" t="s">
        <v>2029</v>
      </c>
      <c r="B865" s="10" t="s">
        <v>2030</v>
      </c>
      <c r="C865" s="11">
        <v>2.25</v>
      </c>
      <c r="D865" s="10" t="s">
        <v>310</v>
      </c>
      <c r="E865">
        <v>1.65</v>
      </c>
    </row>
    <row r="866" spans="1:5">
      <c r="A866" s="10" t="s">
        <v>2031</v>
      </c>
      <c r="B866" s="10" t="s">
        <v>2032</v>
      </c>
      <c r="C866" s="11">
        <v>2.5819999999999999</v>
      </c>
      <c r="D866" s="10" t="s">
        <v>310</v>
      </c>
      <c r="E866">
        <v>1.65</v>
      </c>
    </row>
    <row r="867" spans="1:5">
      <c r="A867" s="10" t="s">
        <v>2033</v>
      </c>
      <c r="B867" s="10" t="s">
        <v>2034</v>
      </c>
      <c r="C867" s="11">
        <v>1.9</v>
      </c>
      <c r="D867" s="10" t="s">
        <v>310</v>
      </c>
      <c r="E867">
        <v>1.65</v>
      </c>
    </row>
    <row r="868" spans="1:5">
      <c r="A868" s="10" t="s">
        <v>2035</v>
      </c>
      <c r="B868" s="10" t="s">
        <v>2036</v>
      </c>
      <c r="C868" s="11">
        <v>1.7110000000000001</v>
      </c>
      <c r="D868" s="10" t="s">
        <v>310</v>
      </c>
      <c r="E868">
        <v>1.65</v>
      </c>
    </row>
    <row r="869" spans="1:5">
      <c r="A869" s="10" t="s">
        <v>2037</v>
      </c>
      <c r="B869" s="10" t="s">
        <v>2038</v>
      </c>
      <c r="C869" s="11">
        <v>1.59</v>
      </c>
      <c r="D869" s="10" t="s">
        <v>310</v>
      </c>
      <c r="E869">
        <v>1.65</v>
      </c>
    </row>
    <row r="870" spans="1:5">
      <c r="A870" s="10" t="s">
        <v>2039</v>
      </c>
      <c r="B870" s="10" t="s">
        <v>2040</v>
      </c>
      <c r="C870" s="11">
        <v>1.2569999999999999</v>
      </c>
      <c r="D870" s="10" t="s">
        <v>310</v>
      </c>
      <c r="E870">
        <v>1.65</v>
      </c>
    </row>
    <row r="871" spans="1:5">
      <c r="A871" s="10" t="s">
        <v>2041</v>
      </c>
      <c r="B871" s="10" t="s">
        <v>2042</v>
      </c>
      <c r="C871" s="11">
        <v>2.1349999999999998</v>
      </c>
      <c r="D871" s="10" t="s">
        <v>310</v>
      </c>
      <c r="E871">
        <v>1.65</v>
      </c>
    </row>
    <row r="872" spans="1:5">
      <c r="A872" s="10" t="s">
        <v>2043</v>
      </c>
      <c r="B872" s="10" t="s">
        <v>2044</v>
      </c>
      <c r="C872" s="11">
        <v>4.32</v>
      </c>
      <c r="D872" s="10" t="s">
        <v>310</v>
      </c>
      <c r="E872">
        <v>1.65</v>
      </c>
    </row>
    <row r="873" spans="1:5">
      <c r="A873" s="10" t="s">
        <v>2045</v>
      </c>
      <c r="B873" s="10" t="s">
        <v>2046</v>
      </c>
      <c r="C873" s="11">
        <v>1.994</v>
      </c>
      <c r="D873" s="10" t="s">
        <v>310</v>
      </c>
      <c r="E873">
        <v>1.65</v>
      </c>
    </row>
    <row r="874" spans="1:5">
      <c r="A874" s="10" t="s">
        <v>2047</v>
      </c>
      <c r="B874" s="10" t="s">
        <v>2048</v>
      </c>
      <c r="C874" s="11">
        <v>1.8520000000000001</v>
      </c>
      <c r="D874" s="10" t="s">
        <v>310</v>
      </c>
      <c r="E874">
        <v>1.65</v>
      </c>
    </row>
    <row r="875" spans="1:5">
      <c r="A875" s="10" t="s">
        <v>2049</v>
      </c>
      <c r="B875" s="10" t="s">
        <v>2050</v>
      </c>
      <c r="C875" s="11">
        <v>3.476</v>
      </c>
      <c r="D875" s="10" t="s">
        <v>310</v>
      </c>
      <c r="E875">
        <v>1.65</v>
      </c>
    </row>
    <row r="876" spans="1:5">
      <c r="A876" s="10" t="s">
        <v>2051</v>
      </c>
      <c r="B876" s="10" t="s">
        <v>2052</v>
      </c>
      <c r="C876" s="11">
        <v>2.4460000000000002</v>
      </c>
      <c r="D876" s="10" t="s">
        <v>310</v>
      </c>
      <c r="E876">
        <v>1.65</v>
      </c>
    </row>
    <row r="877" spans="1:5">
      <c r="A877" s="10" t="s">
        <v>2053</v>
      </c>
      <c r="B877" s="10" t="s">
        <v>2054</v>
      </c>
      <c r="C877" s="11">
        <v>1.9319999999999999</v>
      </c>
      <c r="D877" s="10" t="s">
        <v>310</v>
      </c>
      <c r="E877">
        <v>1.65</v>
      </c>
    </row>
    <row r="878" spans="1:5">
      <c r="A878" s="10" t="s">
        <v>2055</v>
      </c>
      <c r="B878" s="10" t="s">
        <v>2056</v>
      </c>
      <c r="C878" s="11">
        <v>5.08</v>
      </c>
      <c r="D878" s="10" t="s">
        <v>310</v>
      </c>
      <c r="E878">
        <v>1.65</v>
      </c>
    </row>
    <row r="879" spans="1:5">
      <c r="A879" s="10" t="s">
        <v>2057</v>
      </c>
      <c r="B879" s="10" t="s">
        <v>2058</v>
      </c>
      <c r="C879" s="11">
        <v>4.96</v>
      </c>
      <c r="D879" s="10" t="s">
        <v>310</v>
      </c>
      <c r="E879">
        <v>1.65</v>
      </c>
    </row>
    <row r="880" spans="1:5">
      <c r="A880" s="10" t="s">
        <v>2059</v>
      </c>
      <c r="B880" s="10" t="s">
        <v>2060</v>
      </c>
      <c r="C880" s="11">
        <v>2.1349999999999998</v>
      </c>
      <c r="D880" s="10" t="s">
        <v>310</v>
      </c>
      <c r="E880">
        <v>1.65</v>
      </c>
    </row>
    <row r="881" spans="1:5">
      <c r="A881" s="10" t="s">
        <v>2061</v>
      </c>
      <c r="B881" s="10" t="s">
        <v>2062</v>
      </c>
      <c r="C881" s="11">
        <v>3.76</v>
      </c>
      <c r="D881" s="10" t="s">
        <v>310</v>
      </c>
      <c r="E881">
        <v>1.65</v>
      </c>
    </row>
    <row r="882" spans="1:5">
      <c r="A882" s="10" t="s">
        <v>2063</v>
      </c>
      <c r="B882" s="10" t="s">
        <v>2064</v>
      </c>
      <c r="C882" s="11">
        <v>7.11</v>
      </c>
      <c r="D882" s="10" t="s">
        <v>310</v>
      </c>
      <c r="E882">
        <v>1.65</v>
      </c>
    </row>
    <row r="883" spans="1:5">
      <c r="A883" s="10" t="s">
        <v>2065</v>
      </c>
      <c r="B883" s="10" t="s">
        <v>2066</v>
      </c>
      <c r="C883" s="11">
        <v>2.6989999999999998</v>
      </c>
      <c r="D883" s="10" t="s">
        <v>310</v>
      </c>
      <c r="E883">
        <v>1.65</v>
      </c>
    </row>
    <row r="884" spans="1:5">
      <c r="A884" s="10" t="s">
        <v>2067</v>
      </c>
      <c r="B884" s="10" t="s">
        <v>2068</v>
      </c>
      <c r="C884" s="11">
        <v>5.59</v>
      </c>
      <c r="D884" s="10" t="s">
        <v>310</v>
      </c>
      <c r="E884">
        <v>1.65</v>
      </c>
    </row>
    <row r="885" spans="1:5" s="69" customFormat="1">
      <c r="A885" s="67" t="s">
        <v>2069</v>
      </c>
      <c r="B885" s="67" t="s">
        <v>2070</v>
      </c>
      <c r="C885" s="68">
        <v>4.58</v>
      </c>
      <c r="D885" s="67" t="s">
        <v>310</v>
      </c>
      <c r="E885" s="69">
        <v>1.65</v>
      </c>
    </row>
    <row r="886" spans="1:5">
      <c r="A886" s="10" t="s">
        <v>2071</v>
      </c>
      <c r="B886" s="10" t="s">
        <v>2072</v>
      </c>
      <c r="C886" s="11">
        <v>5.0289999999999999</v>
      </c>
      <c r="D886" s="10" t="s">
        <v>310</v>
      </c>
      <c r="E886">
        <v>1.65</v>
      </c>
    </row>
    <row r="887" spans="1:5">
      <c r="A887" s="10" t="s">
        <v>2073</v>
      </c>
      <c r="B887" s="10" t="s">
        <v>2074</v>
      </c>
      <c r="C887" s="11">
        <v>8.81</v>
      </c>
      <c r="D887" s="10" t="s">
        <v>310</v>
      </c>
      <c r="E887">
        <v>1.65</v>
      </c>
    </row>
    <row r="888" spans="1:5">
      <c r="A888" s="10" t="s">
        <v>2075</v>
      </c>
      <c r="B888" s="10" t="s">
        <v>2076</v>
      </c>
      <c r="C888" s="11">
        <v>6.87</v>
      </c>
      <c r="D888" s="10" t="s">
        <v>310</v>
      </c>
      <c r="E888">
        <v>1.65</v>
      </c>
    </row>
    <row r="889" spans="1:5">
      <c r="A889" s="10" t="s">
        <v>2077</v>
      </c>
      <c r="B889" s="10" t="s">
        <v>2078</v>
      </c>
      <c r="C889" s="11">
        <v>5.516</v>
      </c>
      <c r="D889" s="10" t="s">
        <v>310</v>
      </c>
      <c r="E889">
        <v>1.65</v>
      </c>
    </row>
    <row r="890" spans="1:5">
      <c r="A890" s="10" t="s">
        <v>2079</v>
      </c>
      <c r="B890" s="10" t="s">
        <v>2080</v>
      </c>
      <c r="C890" s="11">
        <v>10.51</v>
      </c>
      <c r="D890" s="10" t="s">
        <v>310</v>
      </c>
      <c r="E890">
        <v>1.65</v>
      </c>
    </row>
    <row r="891" spans="1:5">
      <c r="A891" s="10" t="s">
        <v>2081</v>
      </c>
      <c r="B891" s="10" t="s">
        <v>2082</v>
      </c>
      <c r="C891" s="11">
        <v>8.15</v>
      </c>
      <c r="D891" s="10" t="s">
        <v>310</v>
      </c>
      <c r="E891">
        <v>1.65</v>
      </c>
    </row>
    <row r="892" spans="1:5">
      <c r="A892" s="10" t="s">
        <v>2083</v>
      </c>
      <c r="B892" s="10" t="s">
        <v>2084</v>
      </c>
      <c r="C892" s="11">
        <v>8.4390000000000001</v>
      </c>
      <c r="D892" s="10" t="s">
        <v>310</v>
      </c>
      <c r="E892">
        <v>1.65</v>
      </c>
    </row>
    <row r="893" spans="1:5">
      <c r="A893" s="10" t="s">
        <v>2085</v>
      </c>
      <c r="B893" s="10" t="s">
        <v>2086</v>
      </c>
      <c r="C893" s="11">
        <v>10.51</v>
      </c>
      <c r="D893" s="10" t="s">
        <v>310</v>
      </c>
      <c r="E893">
        <v>1.65</v>
      </c>
    </row>
    <row r="894" spans="1:5">
      <c r="A894" s="10" t="s">
        <v>2087</v>
      </c>
      <c r="B894" s="10" t="s">
        <v>2088</v>
      </c>
      <c r="C894" s="11">
        <v>8.15</v>
      </c>
      <c r="D894" s="10" t="s">
        <v>310</v>
      </c>
      <c r="E894">
        <v>1.65</v>
      </c>
    </row>
    <row r="895" spans="1:5">
      <c r="A895" s="10" t="s">
        <v>2089</v>
      </c>
      <c r="B895" s="10" t="s">
        <v>2090</v>
      </c>
      <c r="C895" s="11">
        <v>21.63</v>
      </c>
      <c r="D895" s="10" t="s">
        <v>310</v>
      </c>
      <c r="E895">
        <v>1.65</v>
      </c>
    </row>
    <row r="896" spans="1:5">
      <c r="A896" s="10" t="s">
        <v>2091</v>
      </c>
      <c r="B896" s="10" t="s">
        <v>2092</v>
      </c>
      <c r="C896" s="11">
        <v>12.21</v>
      </c>
      <c r="D896" s="10" t="s">
        <v>310</v>
      </c>
      <c r="E896">
        <v>1.65</v>
      </c>
    </row>
    <row r="897" spans="1:5">
      <c r="A897" s="10" t="s">
        <v>2093</v>
      </c>
      <c r="B897" s="10" t="s">
        <v>2094</v>
      </c>
      <c r="C897" s="11">
        <v>9.42</v>
      </c>
      <c r="D897" s="10" t="s">
        <v>310</v>
      </c>
      <c r="E897">
        <v>1.65</v>
      </c>
    </row>
    <row r="898" spans="1:5">
      <c r="A898" s="10" t="s">
        <v>2095</v>
      </c>
      <c r="B898" s="10" t="s">
        <v>2096</v>
      </c>
      <c r="C898" s="11">
        <v>17.27</v>
      </c>
      <c r="D898" s="10" t="s">
        <v>310</v>
      </c>
      <c r="E898">
        <v>1.65</v>
      </c>
    </row>
    <row r="899" spans="1:5">
      <c r="A899" s="10" t="s">
        <v>2097</v>
      </c>
      <c r="B899" s="10" t="s">
        <v>2098</v>
      </c>
      <c r="C899" s="11">
        <v>14.83</v>
      </c>
      <c r="D899" s="10" t="s">
        <v>310</v>
      </c>
      <c r="E899">
        <v>1.65</v>
      </c>
    </row>
    <row r="900" spans="1:5">
      <c r="A900" s="10" t="s">
        <v>2099</v>
      </c>
      <c r="B900" s="10" t="s">
        <v>2100</v>
      </c>
      <c r="C900" s="11">
        <v>12.21</v>
      </c>
      <c r="D900" s="10" t="s">
        <v>310</v>
      </c>
      <c r="E900">
        <v>1.65</v>
      </c>
    </row>
    <row r="901" spans="1:5">
      <c r="A901" s="10" t="s">
        <v>2101</v>
      </c>
      <c r="B901" s="10" t="s">
        <v>2102</v>
      </c>
      <c r="C901" s="11">
        <v>9.42</v>
      </c>
      <c r="D901" s="10" t="s">
        <v>310</v>
      </c>
      <c r="E901">
        <v>1.65</v>
      </c>
    </row>
    <row r="902" spans="1:5">
      <c r="A902" s="10" t="s">
        <v>2103</v>
      </c>
      <c r="B902" s="10" t="s">
        <v>2104</v>
      </c>
      <c r="C902" s="11">
        <v>25.03</v>
      </c>
      <c r="D902" s="10" t="s">
        <v>310</v>
      </c>
      <c r="E902">
        <v>1.65</v>
      </c>
    </row>
    <row r="903" spans="1:5">
      <c r="A903" s="10" t="s">
        <v>2105</v>
      </c>
      <c r="B903" s="10" t="s">
        <v>2106</v>
      </c>
      <c r="C903" s="11">
        <v>13.91</v>
      </c>
      <c r="D903" s="10" t="s">
        <v>310</v>
      </c>
      <c r="E903">
        <v>1.65</v>
      </c>
    </row>
    <row r="904" spans="1:5">
      <c r="A904" s="10" t="s">
        <v>2107</v>
      </c>
      <c r="B904" s="10" t="s">
        <v>2108</v>
      </c>
      <c r="C904" s="11">
        <v>10.7</v>
      </c>
      <c r="D904" s="10" t="s">
        <v>310</v>
      </c>
      <c r="E904">
        <v>1.65</v>
      </c>
    </row>
    <row r="905" spans="1:5">
      <c r="A905" s="10" t="s">
        <v>2109</v>
      </c>
      <c r="B905" s="10" t="s">
        <v>2110</v>
      </c>
      <c r="C905" s="11">
        <v>19.82</v>
      </c>
      <c r="D905" s="10" t="s">
        <v>310</v>
      </c>
      <c r="E905">
        <v>1.65</v>
      </c>
    </row>
    <row r="906" spans="1:5">
      <c r="A906" s="10" t="s">
        <v>2111</v>
      </c>
      <c r="B906" s="10" t="s">
        <v>2112</v>
      </c>
      <c r="C906" s="11">
        <v>16.96</v>
      </c>
      <c r="D906" s="10" t="s">
        <v>310</v>
      </c>
      <c r="E906">
        <v>1.65</v>
      </c>
    </row>
    <row r="907" spans="1:5">
      <c r="A907" s="10" t="s">
        <v>2113</v>
      </c>
      <c r="B907" s="10" t="s">
        <v>2114</v>
      </c>
      <c r="C907" s="11">
        <v>28.43</v>
      </c>
      <c r="D907" s="10" t="s">
        <v>310</v>
      </c>
      <c r="E907">
        <v>1.65</v>
      </c>
    </row>
    <row r="908" spans="1:5">
      <c r="A908" s="10" t="s">
        <v>2115</v>
      </c>
      <c r="B908" s="10" t="s">
        <v>2116</v>
      </c>
      <c r="C908" s="11">
        <v>15.62</v>
      </c>
      <c r="D908" s="10" t="s">
        <v>310</v>
      </c>
      <c r="E908">
        <v>1.65</v>
      </c>
    </row>
    <row r="909" spans="1:5">
      <c r="A909" s="10" t="s">
        <v>2117</v>
      </c>
      <c r="B909" s="10" t="s">
        <v>2118</v>
      </c>
      <c r="C909" s="11">
        <v>11.97</v>
      </c>
      <c r="D909" s="10" t="s">
        <v>310</v>
      </c>
      <c r="E909">
        <v>1.65</v>
      </c>
    </row>
    <row r="910" spans="1:5">
      <c r="A910" s="10" t="s">
        <v>2119</v>
      </c>
      <c r="B910" s="10" t="s">
        <v>2120</v>
      </c>
      <c r="C910" s="11">
        <v>22.37</v>
      </c>
      <c r="D910" s="10" t="s">
        <v>310</v>
      </c>
      <c r="E910">
        <v>1.65</v>
      </c>
    </row>
    <row r="911" spans="1:5">
      <c r="A911" s="10" t="s">
        <v>2121</v>
      </c>
      <c r="B911" s="10" t="s">
        <v>2122</v>
      </c>
      <c r="C911" s="11">
        <v>19.079999999999998</v>
      </c>
      <c r="D911" s="10" t="s">
        <v>310</v>
      </c>
      <c r="E911">
        <v>1.65</v>
      </c>
    </row>
    <row r="912" spans="1:5">
      <c r="A912" s="10" t="s">
        <v>2123</v>
      </c>
      <c r="B912" s="10" t="s">
        <v>2124</v>
      </c>
      <c r="C912" s="11">
        <v>17.32</v>
      </c>
      <c r="D912" s="10" t="s">
        <v>310</v>
      </c>
      <c r="E912">
        <v>1.65</v>
      </c>
    </row>
    <row r="913" spans="1:5">
      <c r="A913" s="10" t="s">
        <v>2125</v>
      </c>
      <c r="B913" s="10" t="s">
        <v>2126</v>
      </c>
      <c r="C913" s="11">
        <v>24.5</v>
      </c>
      <c r="D913" s="10" t="s">
        <v>310</v>
      </c>
      <c r="E913">
        <v>1.65</v>
      </c>
    </row>
    <row r="914" spans="1:5">
      <c r="A914" s="10" t="s">
        <v>2127</v>
      </c>
      <c r="B914" s="10" t="s">
        <v>2128</v>
      </c>
      <c r="C914" s="11">
        <v>19.02</v>
      </c>
      <c r="D914" s="10" t="s">
        <v>310</v>
      </c>
      <c r="E914">
        <v>1.65</v>
      </c>
    </row>
    <row r="915" spans="1:5">
      <c r="A915" s="10" t="s">
        <v>2129</v>
      </c>
      <c r="B915" s="10" t="s">
        <v>2130</v>
      </c>
      <c r="C915" s="11">
        <v>14.53</v>
      </c>
      <c r="D915" s="10" t="s">
        <v>310</v>
      </c>
      <c r="E915">
        <v>1.65</v>
      </c>
    </row>
    <row r="916" spans="1:5">
      <c r="A916" s="10" t="s">
        <v>2131</v>
      </c>
      <c r="B916" s="10" t="s">
        <v>2132</v>
      </c>
      <c r="C916" s="11">
        <v>27.48</v>
      </c>
      <c r="D916" s="10" t="s">
        <v>310</v>
      </c>
      <c r="E916">
        <v>1.65</v>
      </c>
    </row>
    <row r="917" spans="1:5">
      <c r="A917" s="10" t="s">
        <v>2133</v>
      </c>
      <c r="B917" s="10" t="s">
        <v>2134</v>
      </c>
      <c r="C917" s="11">
        <v>23.02</v>
      </c>
      <c r="D917" s="10" t="s">
        <v>310</v>
      </c>
      <c r="E917">
        <v>1.65</v>
      </c>
    </row>
    <row r="918" spans="1:5">
      <c r="A918" s="10" t="s">
        <v>2135</v>
      </c>
      <c r="B918" s="10" t="s">
        <v>2136</v>
      </c>
      <c r="C918" s="11">
        <v>11.97</v>
      </c>
      <c r="D918" s="10" t="s">
        <v>310</v>
      </c>
      <c r="E918">
        <v>1.65</v>
      </c>
    </row>
    <row r="919" spans="1:5">
      <c r="A919" s="10" t="s">
        <v>2137</v>
      </c>
      <c r="B919" s="10" t="s">
        <v>2138</v>
      </c>
      <c r="C919" s="11">
        <v>9.01</v>
      </c>
      <c r="D919" s="10" t="s">
        <v>310</v>
      </c>
      <c r="E919">
        <v>1.65</v>
      </c>
    </row>
    <row r="920" spans="1:5">
      <c r="A920" s="10" t="s">
        <v>2139</v>
      </c>
      <c r="B920" s="10" t="s">
        <v>2140</v>
      </c>
      <c r="C920" s="11">
        <v>17.32</v>
      </c>
      <c r="D920" s="10" t="s">
        <v>310</v>
      </c>
      <c r="E920">
        <v>1.65</v>
      </c>
    </row>
    <row r="921" spans="1:5">
      <c r="A921" s="10" t="s">
        <v>2141</v>
      </c>
      <c r="B921" s="10" t="s">
        <v>2142</v>
      </c>
      <c r="C921" s="11">
        <v>13.25</v>
      </c>
      <c r="D921" s="10" t="s">
        <v>310</v>
      </c>
      <c r="E921">
        <v>1.65</v>
      </c>
    </row>
    <row r="922" spans="1:5">
      <c r="A922" s="10" t="s">
        <v>2143</v>
      </c>
      <c r="B922" s="10" t="s">
        <v>2144</v>
      </c>
      <c r="C922" s="11">
        <v>35.24</v>
      </c>
      <c r="D922" s="10" t="s">
        <v>310</v>
      </c>
      <c r="E922">
        <v>1.65</v>
      </c>
    </row>
    <row r="923" spans="1:5">
      <c r="A923" s="10" t="s">
        <v>2145</v>
      </c>
      <c r="B923" s="10" t="s">
        <v>2146</v>
      </c>
      <c r="C923" s="11">
        <v>19.02</v>
      </c>
      <c r="D923" s="10" t="s">
        <v>310</v>
      </c>
      <c r="E923">
        <v>1.65</v>
      </c>
    </row>
    <row r="924" spans="1:5">
      <c r="A924" s="10" t="s">
        <v>2147</v>
      </c>
      <c r="B924" s="10" t="s">
        <v>2148</v>
      </c>
      <c r="C924" s="11">
        <v>14.53</v>
      </c>
      <c r="D924" s="10" t="s">
        <v>310</v>
      </c>
      <c r="E924">
        <v>1.65</v>
      </c>
    </row>
    <row r="925" spans="1:5">
      <c r="A925" s="10" t="s">
        <v>2149</v>
      </c>
      <c r="B925" s="10" t="s">
        <v>2150</v>
      </c>
      <c r="C925" s="11">
        <v>27.48</v>
      </c>
      <c r="D925" s="10" t="s">
        <v>310</v>
      </c>
      <c r="E925">
        <v>1.65</v>
      </c>
    </row>
    <row r="926" spans="1:5">
      <c r="A926" s="10" t="s">
        <v>2151</v>
      </c>
      <c r="B926" s="10" t="s">
        <v>2152</v>
      </c>
      <c r="C926" s="11">
        <v>23.34</v>
      </c>
      <c r="D926" s="10" t="s">
        <v>310</v>
      </c>
      <c r="E926">
        <v>1.65</v>
      </c>
    </row>
    <row r="927" spans="1:5">
      <c r="A927" s="10" t="s">
        <v>2153</v>
      </c>
      <c r="B927" s="10" t="s">
        <v>2154</v>
      </c>
      <c r="C927" s="11">
        <v>22.42</v>
      </c>
      <c r="D927" s="10" t="s">
        <v>310</v>
      </c>
      <c r="E927">
        <v>1.65</v>
      </c>
    </row>
    <row r="928" spans="1:5">
      <c r="A928" s="10" t="s">
        <v>2155</v>
      </c>
      <c r="B928" s="10" t="s">
        <v>2156</v>
      </c>
      <c r="C928" s="11">
        <v>17.079999999999998</v>
      </c>
      <c r="D928" s="10" t="s">
        <v>310</v>
      </c>
      <c r="E928">
        <v>1.65</v>
      </c>
    </row>
    <row r="929" spans="1:5">
      <c r="A929" s="10" t="s">
        <v>2157</v>
      </c>
      <c r="B929" s="10" t="s">
        <v>2158</v>
      </c>
      <c r="C929" s="11">
        <v>32.58</v>
      </c>
      <c r="D929" s="10" t="s">
        <v>310</v>
      </c>
      <c r="E929">
        <v>1.65</v>
      </c>
    </row>
    <row r="930" spans="1:5">
      <c r="A930" s="10" t="s">
        <v>2159</v>
      </c>
      <c r="B930" s="10" t="s">
        <v>2160</v>
      </c>
      <c r="C930" s="11">
        <v>27.59</v>
      </c>
      <c r="D930" s="10" t="s">
        <v>310</v>
      </c>
      <c r="E930">
        <v>1.65</v>
      </c>
    </row>
    <row r="931" spans="1:5">
      <c r="A931" s="10" t="s">
        <v>2161</v>
      </c>
      <c r="B931" s="10" t="s">
        <v>2162</v>
      </c>
      <c r="C931" s="11">
        <v>1.49</v>
      </c>
      <c r="D931" s="10" t="s">
        <v>310</v>
      </c>
      <c r="E931">
        <v>4</v>
      </c>
    </row>
    <row r="932" spans="1:5">
      <c r="A932" s="10" t="s">
        <v>2163</v>
      </c>
      <c r="B932" s="10" t="s">
        <v>2164</v>
      </c>
      <c r="C932" s="11">
        <v>1.49</v>
      </c>
      <c r="D932" s="10" t="s">
        <v>310</v>
      </c>
      <c r="E932">
        <v>4</v>
      </c>
    </row>
    <row r="933" spans="1:5">
      <c r="A933" s="10" t="s">
        <v>2165</v>
      </c>
      <c r="B933" s="10" t="s">
        <v>2166</v>
      </c>
      <c r="C933" s="11">
        <v>0.8</v>
      </c>
      <c r="D933" s="10" t="s">
        <v>310</v>
      </c>
      <c r="E933">
        <v>4</v>
      </c>
    </row>
    <row r="934" spans="1:5">
      <c r="A934" s="10" t="s">
        <v>2167</v>
      </c>
      <c r="B934" s="10" t="s">
        <v>2168</v>
      </c>
      <c r="C934" s="11">
        <v>0.8</v>
      </c>
      <c r="D934" s="10" t="s">
        <v>310</v>
      </c>
      <c r="E934">
        <v>4</v>
      </c>
    </row>
    <row r="935" spans="1:5">
      <c r="A935" s="10" t="s">
        <v>2169</v>
      </c>
      <c r="B935" s="10" t="s">
        <v>2170</v>
      </c>
      <c r="C935" s="11">
        <v>2.34</v>
      </c>
      <c r="D935" s="10" t="s">
        <v>310</v>
      </c>
      <c r="E935">
        <v>4</v>
      </c>
    </row>
    <row r="936" spans="1:5">
      <c r="A936" s="10" t="s">
        <v>2171</v>
      </c>
      <c r="B936" s="10" t="s">
        <v>2172</v>
      </c>
      <c r="C936" s="11">
        <v>2.34</v>
      </c>
      <c r="D936" s="10" t="s">
        <v>310</v>
      </c>
      <c r="E936">
        <v>4</v>
      </c>
    </row>
    <row r="937" spans="1:5">
      <c r="A937" s="10" t="s">
        <v>2173</v>
      </c>
      <c r="B937" s="10" t="s">
        <v>2174</v>
      </c>
      <c r="C937" s="11">
        <v>1.23</v>
      </c>
      <c r="D937" s="10" t="s">
        <v>310</v>
      </c>
      <c r="E937">
        <v>4</v>
      </c>
    </row>
    <row r="938" spans="1:5">
      <c r="A938" s="10" t="s">
        <v>2175</v>
      </c>
      <c r="B938" s="10" t="s">
        <v>2176</v>
      </c>
      <c r="C938" s="11">
        <v>1.23</v>
      </c>
      <c r="D938" s="10" t="s">
        <v>310</v>
      </c>
      <c r="E938">
        <v>4</v>
      </c>
    </row>
    <row r="939" spans="1:5">
      <c r="A939" s="10" t="s">
        <v>2177</v>
      </c>
      <c r="B939" s="10" t="s">
        <v>2178</v>
      </c>
      <c r="C939" s="11">
        <v>1.8</v>
      </c>
      <c r="D939" s="10" t="s">
        <v>310</v>
      </c>
      <c r="E939">
        <v>4</v>
      </c>
    </row>
    <row r="940" spans="1:5">
      <c r="A940" s="10" t="s">
        <v>2179</v>
      </c>
      <c r="B940" s="10" t="s">
        <v>2180</v>
      </c>
      <c r="C940" s="11">
        <v>1.8</v>
      </c>
      <c r="D940" s="10" t="s">
        <v>310</v>
      </c>
      <c r="E940">
        <v>4</v>
      </c>
    </row>
    <row r="941" spans="1:5">
      <c r="A941" s="10" t="s">
        <v>2181</v>
      </c>
      <c r="B941" s="10" t="s">
        <v>2182</v>
      </c>
      <c r="C941" s="11">
        <v>1.1599999999999999</v>
      </c>
      <c r="D941" s="10" t="s">
        <v>310</v>
      </c>
      <c r="E941">
        <v>4</v>
      </c>
    </row>
    <row r="942" spans="1:5">
      <c r="A942" s="10" t="s">
        <v>2183</v>
      </c>
      <c r="B942" s="10" t="s">
        <v>2184</v>
      </c>
      <c r="C942" s="11">
        <v>1.1599999999999999</v>
      </c>
      <c r="D942" s="10" t="s">
        <v>310</v>
      </c>
      <c r="E942">
        <v>4</v>
      </c>
    </row>
    <row r="943" spans="1:5">
      <c r="A943" s="10" t="s">
        <v>2185</v>
      </c>
      <c r="B943" s="10" t="s">
        <v>2186</v>
      </c>
      <c r="C943" s="11">
        <v>1.92</v>
      </c>
      <c r="D943" s="10" t="s">
        <v>310</v>
      </c>
      <c r="E943">
        <v>4</v>
      </c>
    </row>
    <row r="944" spans="1:5">
      <c r="A944" s="10" t="s">
        <v>2187</v>
      </c>
      <c r="B944" s="10" t="s">
        <v>2188</v>
      </c>
      <c r="C944" s="11">
        <v>1.92</v>
      </c>
      <c r="D944" s="10" t="s">
        <v>310</v>
      </c>
      <c r="E944">
        <v>4</v>
      </c>
    </row>
    <row r="945" spans="1:5">
      <c r="A945" s="10" t="s">
        <v>2189</v>
      </c>
      <c r="B945" s="10" t="s">
        <v>2190</v>
      </c>
      <c r="C945" s="11">
        <v>1.01</v>
      </c>
      <c r="D945" s="10" t="s">
        <v>310</v>
      </c>
      <c r="E945">
        <v>4</v>
      </c>
    </row>
    <row r="946" spans="1:5">
      <c r="A946" s="10" t="s">
        <v>2191</v>
      </c>
      <c r="B946" s="10" t="s">
        <v>2192</v>
      </c>
      <c r="C946" s="11">
        <v>1.01</v>
      </c>
      <c r="D946" s="10" t="s">
        <v>310</v>
      </c>
      <c r="E946">
        <v>4</v>
      </c>
    </row>
    <row r="947" spans="1:5">
      <c r="A947" s="10" t="s">
        <v>2193</v>
      </c>
      <c r="B947" s="10" t="s">
        <v>2194</v>
      </c>
      <c r="C947" s="11">
        <v>1.48</v>
      </c>
      <c r="D947" s="10" t="s">
        <v>310</v>
      </c>
      <c r="E947">
        <v>4</v>
      </c>
    </row>
    <row r="948" spans="1:5">
      <c r="A948" s="10" t="s">
        <v>2195</v>
      </c>
      <c r="B948" s="10" t="s">
        <v>2196</v>
      </c>
      <c r="C948" s="11">
        <v>1.48</v>
      </c>
      <c r="D948" s="10" t="s">
        <v>310</v>
      </c>
      <c r="E948">
        <v>4</v>
      </c>
    </row>
    <row r="949" spans="1:5">
      <c r="A949" s="10" t="s">
        <v>2197</v>
      </c>
      <c r="B949" s="10" t="s">
        <v>2198</v>
      </c>
      <c r="C949" s="11">
        <v>4.0999999999999996</v>
      </c>
      <c r="D949" s="10" t="s">
        <v>310</v>
      </c>
      <c r="E949">
        <v>4</v>
      </c>
    </row>
    <row r="950" spans="1:5">
      <c r="A950" s="10" t="s">
        <v>2199</v>
      </c>
      <c r="B950" s="10" t="s">
        <v>2200</v>
      </c>
      <c r="C950" s="11">
        <v>4.0999999999999996</v>
      </c>
      <c r="D950" s="10" t="s">
        <v>310</v>
      </c>
      <c r="E950">
        <v>4</v>
      </c>
    </row>
    <row r="951" spans="1:5">
      <c r="A951" s="10" t="s">
        <v>2201</v>
      </c>
      <c r="B951" s="10" t="s">
        <v>2202</v>
      </c>
      <c r="C951" s="11">
        <v>3.07</v>
      </c>
      <c r="D951" s="10" t="s">
        <v>310</v>
      </c>
      <c r="E951">
        <v>4</v>
      </c>
    </row>
    <row r="952" spans="1:5">
      <c r="A952" s="10" t="s">
        <v>2203</v>
      </c>
      <c r="B952" s="10" t="s">
        <v>2204</v>
      </c>
      <c r="C952" s="11">
        <v>3.07</v>
      </c>
      <c r="D952" s="10" t="s">
        <v>310</v>
      </c>
      <c r="E952">
        <v>4</v>
      </c>
    </row>
    <row r="953" spans="1:5">
      <c r="A953" s="10" t="s">
        <v>2205</v>
      </c>
      <c r="B953" s="10" t="s">
        <v>2206</v>
      </c>
      <c r="C953" s="11">
        <v>5.9</v>
      </c>
      <c r="D953" s="10" t="s">
        <v>310</v>
      </c>
      <c r="E953">
        <v>4</v>
      </c>
    </row>
    <row r="954" spans="1:5">
      <c r="A954" s="10" t="s">
        <v>2207</v>
      </c>
      <c r="B954" s="10" t="s">
        <v>2208</v>
      </c>
      <c r="C954" s="11">
        <v>5.9</v>
      </c>
      <c r="D954" s="10" t="s">
        <v>310</v>
      </c>
      <c r="E954">
        <v>4</v>
      </c>
    </row>
    <row r="955" spans="1:5">
      <c r="A955" s="10" t="s">
        <v>2209</v>
      </c>
      <c r="B955" s="10" t="s">
        <v>2210</v>
      </c>
      <c r="C955" s="11">
        <v>3.19</v>
      </c>
      <c r="D955" s="10" t="s">
        <v>310</v>
      </c>
      <c r="E955">
        <v>4</v>
      </c>
    </row>
    <row r="956" spans="1:5">
      <c r="A956" s="10" t="s">
        <v>2211</v>
      </c>
      <c r="B956" s="10" t="s">
        <v>2212</v>
      </c>
      <c r="C956" s="11">
        <v>3.19</v>
      </c>
      <c r="D956" s="10" t="s">
        <v>310</v>
      </c>
      <c r="E956">
        <v>4</v>
      </c>
    </row>
    <row r="957" spans="1:5">
      <c r="A957" s="10" t="s">
        <v>2213</v>
      </c>
      <c r="B957" s="10" t="s">
        <v>2214</v>
      </c>
      <c r="C957" s="11">
        <v>1.65</v>
      </c>
      <c r="D957" s="10" t="s">
        <v>310</v>
      </c>
      <c r="E957">
        <v>4</v>
      </c>
    </row>
    <row r="958" spans="1:5">
      <c r="A958" s="10" t="s">
        <v>2215</v>
      </c>
      <c r="B958" s="10" t="s">
        <v>2216</v>
      </c>
      <c r="C958" s="11">
        <v>1.65</v>
      </c>
      <c r="D958" s="10" t="s">
        <v>310</v>
      </c>
      <c r="E958">
        <v>4</v>
      </c>
    </row>
    <row r="959" spans="1:5">
      <c r="A959" s="10" t="s">
        <v>2217</v>
      </c>
      <c r="B959" s="10" t="s">
        <v>2218</v>
      </c>
      <c r="C959" s="11">
        <v>2.44</v>
      </c>
      <c r="D959" s="10" t="s">
        <v>310</v>
      </c>
      <c r="E959">
        <v>4</v>
      </c>
    </row>
    <row r="960" spans="1:5">
      <c r="A960" s="10" t="s">
        <v>2219</v>
      </c>
      <c r="B960" s="10" t="s">
        <v>2220</v>
      </c>
      <c r="C960" s="11">
        <v>2.44</v>
      </c>
      <c r="D960" s="10" t="s">
        <v>310</v>
      </c>
      <c r="E960">
        <v>4</v>
      </c>
    </row>
    <row r="961" spans="1:5">
      <c r="A961" s="10" t="s">
        <v>2221</v>
      </c>
      <c r="B961" s="10" t="s">
        <v>2222</v>
      </c>
      <c r="C961" s="11">
        <v>4.7</v>
      </c>
      <c r="D961" s="10" t="s">
        <v>310</v>
      </c>
      <c r="E961">
        <v>4</v>
      </c>
    </row>
    <row r="962" spans="1:5">
      <c r="A962" s="10" t="s">
        <v>2223</v>
      </c>
      <c r="B962" s="10" t="s">
        <v>2224</v>
      </c>
      <c r="C962" s="11">
        <v>4.7</v>
      </c>
      <c r="D962" s="10" t="s">
        <v>310</v>
      </c>
      <c r="E962">
        <v>4</v>
      </c>
    </row>
    <row r="963" spans="1:5">
      <c r="A963" s="10" t="s">
        <v>2225</v>
      </c>
      <c r="B963" s="10" t="s">
        <v>2226</v>
      </c>
      <c r="C963" s="11">
        <v>5.8</v>
      </c>
      <c r="D963" s="10" t="s">
        <v>310</v>
      </c>
      <c r="E963">
        <v>4</v>
      </c>
    </row>
    <row r="964" spans="1:5">
      <c r="A964" s="10" t="s">
        <v>2227</v>
      </c>
      <c r="B964" s="10" t="s">
        <v>2228</v>
      </c>
      <c r="C964" s="11">
        <v>5.8</v>
      </c>
      <c r="D964" s="10" t="s">
        <v>310</v>
      </c>
      <c r="E964">
        <v>4</v>
      </c>
    </row>
    <row r="965" spans="1:5">
      <c r="A965" s="10" t="s">
        <v>2229</v>
      </c>
      <c r="B965" s="10" t="s">
        <v>2230</v>
      </c>
      <c r="C965" s="11">
        <v>4.0999999999999996</v>
      </c>
      <c r="D965" s="10" t="s">
        <v>310</v>
      </c>
      <c r="E965">
        <v>4</v>
      </c>
    </row>
    <row r="966" spans="1:5">
      <c r="A966" s="10" t="s">
        <v>2231</v>
      </c>
      <c r="B966" s="10" t="s">
        <v>2232</v>
      </c>
      <c r="C966" s="11">
        <v>4.0999999999999996</v>
      </c>
      <c r="D966" s="10" t="s">
        <v>310</v>
      </c>
      <c r="E966">
        <v>4</v>
      </c>
    </row>
    <row r="967" spans="1:5">
      <c r="A967" s="10" t="s">
        <v>2233</v>
      </c>
      <c r="B967" s="10" t="s">
        <v>2234</v>
      </c>
      <c r="C967" s="11">
        <v>3.07</v>
      </c>
      <c r="D967" s="10" t="s">
        <v>310</v>
      </c>
      <c r="E967">
        <v>4</v>
      </c>
    </row>
    <row r="968" spans="1:5">
      <c r="A968" s="10" t="s">
        <v>2235</v>
      </c>
      <c r="B968" s="10" t="s">
        <v>2236</v>
      </c>
      <c r="C968" s="11">
        <v>3.07</v>
      </c>
      <c r="D968" s="10" t="s">
        <v>310</v>
      </c>
      <c r="E968">
        <v>4</v>
      </c>
    </row>
    <row r="969" spans="1:5">
      <c r="A969" s="10" t="s">
        <v>2237</v>
      </c>
      <c r="B969" s="10" t="s">
        <v>2238</v>
      </c>
      <c r="C969" s="11">
        <v>4.9000000000000004</v>
      </c>
      <c r="D969" s="10" t="s">
        <v>310</v>
      </c>
      <c r="E969">
        <v>4</v>
      </c>
    </row>
    <row r="970" spans="1:5">
      <c r="A970" s="10" t="s">
        <v>2239</v>
      </c>
      <c r="B970" s="10" t="s">
        <v>2240</v>
      </c>
      <c r="C970" s="11">
        <v>4.9000000000000004</v>
      </c>
      <c r="D970" s="10" t="s">
        <v>310</v>
      </c>
      <c r="E970">
        <v>4</v>
      </c>
    </row>
    <row r="971" spans="1:5">
      <c r="A971" s="10" t="s">
        <v>2241</v>
      </c>
      <c r="B971" s="10" t="s">
        <v>2242</v>
      </c>
      <c r="C971" s="11">
        <v>7.2</v>
      </c>
      <c r="D971" s="10" t="s">
        <v>310</v>
      </c>
      <c r="E971">
        <v>4</v>
      </c>
    </row>
    <row r="972" spans="1:5">
      <c r="A972" s="10" t="s">
        <v>2243</v>
      </c>
      <c r="B972" s="10" t="s">
        <v>2244</v>
      </c>
      <c r="C972" s="11">
        <v>7.2</v>
      </c>
      <c r="D972" s="10" t="s">
        <v>310</v>
      </c>
      <c r="E972">
        <v>4</v>
      </c>
    </row>
    <row r="973" spans="1:5">
      <c r="A973" s="10" t="s">
        <v>2245</v>
      </c>
      <c r="B973" s="10" t="s">
        <v>2246</v>
      </c>
      <c r="C973" s="11">
        <v>6.1</v>
      </c>
      <c r="D973" s="10" t="s">
        <v>310</v>
      </c>
      <c r="E973">
        <v>4</v>
      </c>
    </row>
    <row r="974" spans="1:5">
      <c r="A974" s="10" t="s">
        <v>2247</v>
      </c>
      <c r="B974" s="10" t="s">
        <v>2248</v>
      </c>
      <c r="C974" s="11">
        <v>6.1</v>
      </c>
      <c r="D974" s="10" t="s">
        <v>310</v>
      </c>
      <c r="E974">
        <v>4</v>
      </c>
    </row>
    <row r="975" spans="1:5">
      <c r="A975" s="10" t="s">
        <v>2249</v>
      </c>
      <c r="B975" s="10" t="s">
        <v>2250</v>
      </c>
      <c r="C975" s="11">
        <v>0.59</v>
      </c>
      <c r="D975" s="10" t="s">
        <v>310</v>
      </c>
      <c r="E975">
        <v>4</v>
      </c>
    </row>
    <row r="976" spans="1:5">
      <c r="A976" s="10" t="s">
        <v>2251</v>
      </c>
      <c r="B976" s="10" t="s">
        <v>2252</v>
      </c>
      <c r="C976" s="11">
        <v>0.59</v>
      </c>
      <c r="D976" s="10" t="s">
        <v>310</v>
      </c>
      <c r="E976">
        <v>4</v>
      </c>
    </row>
    <row r="977" spans="1:5">
      <c r="A977" s="10" t="s">
        <v>2253</v>
      </c>
      <c r="B977" s="10" t="s">
        <v>2254</v>
      </c>
      <c r="C977" s="11">
        <v>5.8</v>
      </c>
      <c r="D977" s="10" t="s">
        <v>310</v>
      </c>
      <c r="E977">
        <v>4</v>
      </c>
    </row>
    <row r="978" spans="1:5">
      <c r="A978" s="10" t="s">
        <v>2255</v>
      </c>
      <c r="B978" s="10" t="s">
        <v>2256</v>
      </c>
      <c r="C978" s="11">
        <v>5.8</v>
      </c>
      <c r="D978" s="10" t="s">
        <v>310</v>
      </c>
      <c r="E978">
        <v>4</v>
      </c>
    </row>
    <row r="979" spans="1:5">
      <c r="A979" s="10" t="s">
        <v>2257</v>
      </c>
      <c r="B979" s="10" t="s">
        <v>2258</v>
      </c>
      <c r="C979" s="11">
        <v>8.5</v>
      </c>
      <c r="D979" s="10" t="s">
        <v>310</v>
      </c>
      <c r="E979">
        <v>4</v>
      </c>
    </row>
    <row r="980" spans="1:5">
      <c r="A980" s="10" t="s">
        <v>2259</v>
      </c>
      <c r="B980" s="10" t="s">
        <v>2260</v>
      </c>
      <c r="C980" s="11">
        <v>8.5</v>
      </c>
      <c r="D980" s="10" t="s">
        <v>310</v>
      </c>
      <c r="E980">
        <v>4</v>
      </c>
    </row>
    <row r="981" spans="1:5">
      <c r="A981" s="10" t="s">
        <v>2261</v>
      </c>
      <c r="B981" s="10" t="s">
        <v>2262</v>
      </c>
      <c r="C981" s="11">
        <v>6.6</v>
      </c>
      <c r="D981" s="10" t="s">
        <v>310</v>
      </c>
      <c r="E981">
        <v>4</v>
      </c>
    </row>
    <row r="982" spans="1:5">
      <c r="A982" s="10" t="s">
        <v>2263</v>
      </c>
      <c r="B982" s="10" t="s">
        <v>2264</v>
      </c>
      <c r="C982" s="11">
        <v>6.6</v>
      </c>
      <c r="D982" s="10" t="s">
        <v>310</v>
      </c>
      <c r="E982">
        <v>4</v>
      </c>
    </row>
    <row r="983" spans="1:5">
      <c r="A983" s="10" t="s">
        <v>2265</v>
      </c>
      <c r="B983" s="10" t="s">
        <v>2266</v>
      </c>
      <c r="C983" s="11">
        <v>9.8000000000000007</v>
      </c>
      <c r="D983" s="10" t="s">
        <v>310</v>
      </c>
      <c r="E983">
        <v>4</v>
      </c>
    </row>
    <row r="984" spans="1:5">
      <c r="A984" s="10" t="s">
        <v>2267</v>
      </c>
      <c r="B984" s="10" t="s">
        <v>2268</v>
      </c>
      <c r="C984" s="11">
        <v>9.8000000000000007</v>
      </c>
      <c r="D984" s="10" t="s">
        <v>310</v>
      </c>
      <c r="E984">
        <v>4</v>
      </c>
    </row>
    <row r="985" spans="1:5">
      <c r="A985" s="10" t="s">
        <v>2269</v>
      </c>
      <c r="B985" s="10" t="s">
        <v>2270</v>
      </c>
      <c r="C985" s="11">
        <v>9.85</v>
      </c>
      <c r="D985" s="10" t="s">
        <v>310</v>
      </c>
      <c r="E985">
        <v>4</v>
      </c>
    </row>
    <row r="986" spans="1:5">
      <c r="A986" s="10" t="s">
        <v>2271</v>
      </c>
      <c r="B986" s="10" t="s">
        <v>2272</v>
      </c>
      <c r="C986" s="11">
        <v>9.85</v>
      </c>
      <c r="D986" s="10" t="s">
        <v>310</v>
      </c>
      <c r="E986">
        <v>4</v>
      </c>
    </row>
    <row r="987" spans="1:5">
      <c r="A987" s="10" t="s">
        <v>2273</v>
      </c>
      <c r="B987" s="10" t="s">
        <v>2274</v>
      </c>
      <c r="C987" s="11">
        <v>1.2</v>
      </c>
      <c r="D987" s="10" t="s">
        <v>310</v>
      </c>
      <c r="E987">
        <v>4</v>
      </c>
    </row>
    <row r="988" spans="1:5">
      <c r="A988" s="10" t="s">
        <v>2275</v>
      </c>
      <c r="B988" s="10" t="s">
        <v>2276</v>
      </c>
      <c r="C988" s="11">
        <v>3.15</v>
      </c>
      <c r="D988" s="10" t="s">
        <v>310</v>
      </c>
      <c r="E988">
        <v>4</v>
      </c>
    </row>
    <row r="989" spans="1:5">
      <c r="A989" s="10" t="s">
        <v>2277</v>
      </c>
      <c r="B989" s="10" t="s">
        <v>2278</v>
      </c>
      <c r="C989" s="11">
        <v>1.53</v>
      </c>
      <c r="D989" s="10" t="s">
        <v>310</v>
      </c>
      <c r="E989">
        <v>4</v>
      </c>
    </row>
    <row r="990" spans="1:5">
      <c r="A990" s="10" t="s">
        <v>2279</v>
      </c>
      <c r="B990" s="10" t="s">
        <v>2280</v>
      </c>
      <c r="C990" s="11">
        <v>4.75</v>
      </c>
      <c r="D990" s="10" t="s">
        <v>310</v>
      </c>
      <c r="E990">
        <v>4</v>
      </c>
    </row>
    <row r="991" spans="1:5">
      <c r="A991" s="10" t="s">
        <v>2281</v>
      </c>
      <c r="B991" s="10" t="s">
        <v>2282</v>
      </c>
      <c r="C991" s="11">
        <v>1.2749999999999999</v>
      </c>
      <c r="D991" s="10" t="s">
        <v>310</v>
      </c>
      <c r="E991">
        <v>4</v>
      </c>
    </row>
    <row r="992" spans="1:5">
      <c r="A992" s="10" t="s">
        <v>2283</v>
      </c>
      <c r="B992" s="10" t="s">
        <v>2284</v>
      </c>
      <c r="C992" s="11">
        <v>1.0629999999999999</v>
      </c>
      <c r="D992" s="10" t="s">
        <v>310</v>
      </c>
      <c r="E992">
        <v>4</v>
      </c>
    </row>
    <row r="993" spans="1:5">
      <c r="A993" s="10" t="s">
        <v>2285</v>
      </c>
      <c r="B993" s="10" t="s">
        <v>2286</v>
      </c>
      <c r="C993" s="11">
        <v>0.42499999999999999</v>
      </c>
      <c r="D993" s="10" t="s">
        <v>310</v>
      </c>
      <c r="E993">
        <v>4</v>
      </c>
    </row>
    <row r="994" spans="1:5">
      <c r="A994" s="10" t="s">
        <v>2287</v>
      </c>
      <c r="B994" s="10" t="s">
        <v>2288</v>
      </c>
      <c r="C994" s="11">
        <v>0.85</v>
      </c>
      <c r="D994" s="10" t="s">
        <v>310</v>
      </c>
      <c r="E994">
        <v>4</v>
      </c>
    </row>
    <row r="995" spans="1:5">
      <c r="A995" s="10" t="s">
        <v>2289</v>
      </c>
      <c r="B995" s="10" t="s">
        <v>2290</v>
      </c>
      <c r="C995" s="11">
        <v>1.488</v>
      </c>
      <c r="D995" s="10" t="s">
        <v>310</v>
      </c>
      <c r="E995">
        <v>4</v>
      </c>
    </row>
    <row r="996" spans="1:5">
      <c r="A996" s="10" t="s">
        <v>2291</v>
      </c>
      <c r="B996" s="10" t="s">
        <v>2292</v>
      </c>
      <c r="C996" s="11">
        <v>2.125</v>
      </c>
      <c r="D996" s="10" t="s">
        <v>310</v>
      </c>
      <c r="E996">
        <v>4</v>
      </c>
    </row>
    <row r="997" spans="1:5">
      <c r="A997" s="10" t="s">
        <v>2293</v>
      </c>
      <c r="B997" s="10" t="s">
        <v>2294</v>
      </c>
      <c r="C997" s="11">
        <v>1.7</v>
      </c>
      <c r="D997" s="10" t="s">
        <v>310</v>
      </c>
      <c r="E997">
        <v>4</v>
      </c>
    </row>
    <row r="998" spans="1:5">
      <c r="A998" s="10" t="s">
        <v>2295</v>
      </c>
      <c r="B998" s="10" t="s">
        <v>2296</v>
      </c>
      <c r="C998" s="11">
        <v>2.5499999999999998</v>
      </c>
      <c r="D998" s="10" t="s">
        <v>310</v>
      </c>
      <c r="E998">
        <v>4</v>
      </c>
    </row>
    <row r="999" spans="1:5">
      <c r="A999" s="10" t="s">
        <v>2297</v>
      </c>
      <c r="B999" s="10" t="s">
        <v>2298</v>
      </c>
      <c r="C999" s="11">
        <v>0.63749999999999996</v>
      </c>
      <c r="D999" s="10" t="s">
        <v>310</v>
      </c>
      <c r="E999">
        <v>4</v>
      </c>
    </row>
    <row r="1000" spans="1:5">
      <c r="A1000" s="10" t="s">
        <v>2299</v>
      </c>
      <c r="B1000" s="10" t="s">
        <v>2300</v>
      </c>
      <c r="C1000" s="11">
        <v>3.4</v>
      </c>
      <c r="D1000" s="10" t="s">
        <v>310</v>
      </c>
      <c r="E1000">
        <v>4</v>
      </c>
    </row>
    <row r="1001" spans="1:5">
      <c r="A1001" s="10" t="s">
        <v>2301</v>
      </c>
      <c r="B1001" s="10" t="s">
        <v>2302</v>
      </c>
      <c r="C1001" s="11">
        <v>0.53129999999999999</v>
      </c>
      <c r="D1001" s="10" t="s">
        <v>310</v>
      </c>
      <c r="E1001">
        <v>4</v>
      </c>
    </row>
    <row r="1002" spans="1:5">
      <c r="A1002" s="10" t="s">
        <v>2303</v>
      </c>
      <c r="B1002" s="10" t="s">
        <v>2304</v>
      </c>
      <c r="C1002" s="11">
        <v>5.0999999999999996</v>
      </c>
      <c r="D1002" s="10" t="s">
        <v>310</v>
      </c>
      <c r="E1002">
        <v>4</v>
      </c>
    </row>
    <row r="1003" spans="1:5">
      <c r="A1003" s="10" t="s">
        <v>2305</v>
      </c>
      <c r="B1003" s="10" t="s">
        <v>2306</v>
      </c>
      <c r="C1003" s="11">
        <v>0.63749999999999996</v>
      </c>
      <c r="D1003" s="10" t="s">
        <v>310</v>
      </c>
      <c r="E1003">
        <v>4</v>
      </c>
    </row>
    <row r="1004" spans="1:5">
      <c r="A1004" s="10" t="s">
        <v>2307</v>
      </c>
      <c r="B1004" s="10" t="s">
        <v>2308</v>
      </c>
      <c r="C1004" s="11">
        <v>0.53129999999999999</v>
      </c>
      <c r="D1004" s="10" t="s">
        <v>310</v>
      </c>
      <c r="E1004">
        <v>4</v>
      </c>
    </row>
    <row r="1005" spans="1:5">
      <c r="A1005" s="10" t="s">
        <v>2309</v>
      </c>
      <c r="B1005" s="10" t="s">
        <v>2310</v>
      </c>
      <c r="C1005" s="11">
        <v>0.21249999999999999</v>
      </c>
      <c r="D1005" s="10" t="s">
        <v>310</v>
      </c>
      <c r="E1005">
        <v>4</v>
      </c>
    </row>
    <row r="1006" spans="1:5">
      <c r="A1006" s="10" t="s">
        <v>2311</v>
      </c>
      <c r="B1006" s="10" t="s">
        <v>2312</v>
      </c>
      <c r="C1006" s="11">
        <v>0.42499999999999999</v>
      </c>
      <c r="D1006" s="10" t="s">
        <v>310</v>
      </c>
      <c r="E1006">
        <v>4</v>
      </c>
    </row>
    <row r="1007" spans="1:5">
      <c r="A1007" s="10" t="s">
        <v>2313</v>
      </c>
      <c r="B1007" s="10" t="s">
        <v>2314</v>
      </c>
      <c r="C1007" s="11">
        <v>1.0629999999999999</v>
      </c>
      <c r="D1007" s="10" t="s">
        <v>310</v>
      </c>
      <c r="E1007">
        <v>4</v>
      </c>
    </row>
    <row r="1008" spans="1:5">
      <c r="A1008" s="10" t="s">
        <v>2315</v>
      </c>
      <c r="B1008" s="10" t="s">
        <v>2316</v>
      </c>
      <c r="C1008" s="11">
        <v>0.85</v>
      </c>
      <c r="D1008" s="10" t="s">
        <v>310</v>
      </c>
      <c r="E1008">
        <v>4</v>
      </c>
    </row>
    <row r="1009" spans="1:5">
      <c r="A1009" s="10" t="s">
        <v>2317</v>
      </c>
      <c r="B1009" s="10" t="s">
        <v>2318</v>
      </c>
      <c r="C1009" s="11">
        <v>1.2749999999999999</v>
      </c>
      <c r="D1009" s="10" t="s">
        <v>310</v>
      </c>
      <c r="E1009">
        <v>4</v>
      </c>
    </row>
    <row r="1010" spans="1:5">
      <c r="A1010" s="10" t="s">
        <v>2319</v>
      </c>
      <c r="B1010" s="10" t="s">
        <v>2320</v>
      </c>
      <c r="C1010" s="11">
        <v>0.31879999999999997</v>
      </c>
      <c r="D1010" s="10" t="s">
        <v>310</v>
      </c>
      <c r="E1010">
        <v>4</v>
      </c>
    </row>
    <row r="1011" spans="1:5">
      <c r="A1011" s="10" t="s">
        <v>2321</v>
      </c>
      <c r="B1011" s="10" t="s">
        <v>2322</v>
      </c>
      <c r="C1011" s="11">
        <v>0.2656</v>
      </c>
      <c r="D1011" s="10" t="s">
        <v>310</v>
      </c>
      <c r="E1011">
        <v>4</v>
      </c>
    </row>
    <row r="1012" spans="1:5">
      <c r="A1012" s="10" t="s">
        <v>2323</v>
      </c>
      <c r="B1012" s="10" t="s">
        <v>2324</v>
      </c>
      <c r="C1012" s="11">
        <v>0.95630000000000004</v>
      </c>
      <c r="D1012" s="10" t="s">
        <v>310</v>
      </c>
      <c r="E1012">
        <v>4</v>
      </c>
    </row>
    <row r="1013" spans="1:5">
      <c r="A1013" s="10" t="s">
        <v>2325</v>
      </c>
      <c r="B1013" s="10" t="s">
        <v>2326</v>
      </c>
      <c r="C1013" s="11">
        <v>0.79690000000000005</v>
      </c>
      <c r="D1013" s="10" t="s">
        <v>310</v>
      </c>
      <c r="E1013">
        <v>4</v>
      </c>
    </row>
    <row r="1014" spans="1:5">
      <c r="A1014" s="10" t="s">
        <v>2327</v>
      </c>
      <c r="B1014" s="10" t="s">
        <v>2328</v>
      </c>
      <c r="C1014" s="11">
        <v>0.31879999999999997</v>
      </c>
      <c r="D1014" s="10" t="s">
        <v>310</v>
      </c>
      <c r="E1014">
        <v>4</v>
      </c>
    </row>
    <row r="1015" spans="1:5">
      <c r="A1015" s="10" t="s">
        <v>2329</v>
      </c>
      <c r="B1015" s="10" t="s">
        <v>2330</v>
      </c>
      <c r="C1015" s="11">
        <v>0.63749999999999996</v>
      </c>
      <c r="D1015" s="10" t="s">
        <v>310</v>
      </c>
      <c r="E1015">
        <v>4</v>
      </c>
    </row>
    <row r="1016" spans="1:5">
      <c r="A1016" s="10" t="s">
        <v>2331</v>
      </c>
      <c r="B1016" s="10" t="s">
        <v>2332</v>
      </c>
      <c r="C1016" s="11">
        <v>1.1160000000000001</v>
      </c>
      <c r="D1016" s="10" t="s">
        <v>310</v>
      </c>
      <c r="E1016">
        <v>4</v>
      </c>
    </row>
    <row r="1017" spans="1:5">
      <c r="A1017" s="10" t="s">
        <v>2333</v>
      </c>
      <c r="B1017" s="10" t="s">
        <v>2334</v>
      </c>
      <c r="C1017" s="11">
        <v>1.5940000000000001</v>
      </c>
      <c r="D1017" s="10" t="s">
        <v>310</v>
      </c>
      <c r="E1017">
        <v>4</v>
      </c>
    </row>
    <row r="1018" spans="1:5">
      <c r="A1018" s="10" t="s">
        <v>2335</v>
      </c>
      <c r="B1018" s="10" t="s">
        <v>2336</v>
      </c>
      <c r="C1018" s="11">
        <v>1.2749999999999999</v>
      </c>
      <c r="D1018" s="10" t="s">
        <v>310</v>
      </c>
      <c r="E1018">
        <v>4</v>
      </c>
    </row>
    <row r="1019" spans="1:5">
      <c r="A1019" s="10" t="s">
        <v>2337</v>
      </c>
      <c r="B1019" s="10" t="s">
        <v>2338</v>
      </c>
      <c r="C1019" s="11">
        <v>1.913</v>
      </c>
      <c r="D1019" s="10" t="s">
        <v>310</v>
      </c>
      <c r="E1019">
        <v>4</v>
      </c>
    </row>
    <row r="1020" spans="1:5">
      <c r="A1020" s="10" t="s">
        <v>2339</v>
      </c>
      <c r="B1020" s="10" t="s">
        <v>2340</v>
      </c>
      <c r="C1020" s="11">
        <v>0.47810000000000002</v>
      </c>
      <c r="D1020" s="10" t="s">
        <v>310</v>
      </c>
      <c r="E1020">
        <v>4</v>
      </c>
    </row>
    <row r="1021" spans="1:5">
      <c r="A1021" s="10" t="s">
        <v>2341</v>
      </c>
      <c r="B1021" s="10" t="s">
        <v>2342</v>
      </c>
      <c r="C1021" s="11">
        <v>0.39839999999999998</v>
      </c>
      <c r="D1021" s="10" t="s">
        <v>310</v>
      </c>
      <c r="E1021">
        <v>4</v>
      </c>
    </row>
    <row r="1022" spans="1:5">
      <c r="A1022" s="10" t="s">
        <v>2343</v>
      </c>
      <c r="B1022" s="10" t="s">
        <v>2344</v>
      </c>
      <c r="C1022" s="11">
        <v>1.913</v>
      </c>
      <c r="D1022" s="10" t="s">
        <v>310</v>
      </c>
      <c r="E1022">
        <v>4</v>
      </c>
    </row>
    <row r="1023" spans="1:5">
      <c r="A1023" s="10" t="s">
        <v>2345</v>
      </c>
      <c r="B1023" s="10" t="s">
        <v>2346</v>
      </c>
      <c r="C1023" s="11">
        <v>1.5940000000000001</v>
      </c>
      <c r="D1023" s="10" t="s">
        <v>310</v>
      </c>
      <c r="E1023">
        <v>4</v>
      </c>
    </row>
    <row r="1024" spans="1:5">
      <c r="A1024" s="10" t="s">
        <v>2347</v>
      </c>
      <c r="B1024" s="10" t="s">
        <v>2348</v>
      </c>
      <c r="C1024" s="11">
        <v>0.63749999999999996</v>
      </c>
      <c r="D1024" s="10" t="s">
        <v>310</v>
      </c>
      <c r="E1024">
        <v>4</v>
      </c>
    </row>
    <row r="1025" spans="1:5">
      <c r="A1025" s="10" t="s">
        <v>2349</v>
      </c>
      <c r="B1025" s="10" t="s">
        <v>2350</v>
      </c>
      <c r="C1025" s="11">
        <v>1.2749999999999999</v>
      </c>
      <c r="D1025" s="10" t="s">
        <v>310</v>
      </c>
      <c r="E1025">
        <v>4</v>
      </c>
    </row>
    <row r="1026" spans="1:5">
      <c r="A1026" s="10" t="s">
        <v>2351</v>
      </c>
      <c r="B1026" s="10" t="s">
        <v>2352</v>
      </c>
      <c r="C1026" s="11">
        <v>2.2309999999999999</v>
      </c>
      <c r="D1026" s="10" t="s">
        <v>310</v>
      </c>
      <c r="E1026">
        <v>4</v>
      </c>
    </row>
    <row r="1027" spans="1:5">
      <c r="A1027" s="10" t="s">
        <v>2353</v>
      </c>
      <c r="B1027" s="10" t="s">
        <v>2354</v>
      </c>
      <c r="C1027" s="11">
        <v>3.1880000000000002</v>
      </c>
      <c r="D1027" s="10" t="s">
        <v>310</v>
      </c>
      <c r="E1027">
        <v>4</v>
      </c>
    </row>
    <row r="1028" spans="1:5">
      <c r="A1028" s="10" t="s">
        <v>2355</v>
      </c>
      <c r="B1028" s="10" t="s">
        <v>2356</v>
      </c>
      <c r="C1028" s="11">
        <v>2.5499999999999998</v>
      </c>
      <c r="D1028" s="10" t="s">
        <v>310</v>
      </c>
      <c r="E1028">
        <v>4</v>
      </c>
    </row>
    <row r="1029" spans="1:5">
      <c r="A1029" s="10" t="s">
        <v>2357</v>
      </c>
      <c r="B1029" s="10" t="s">
        <v>2358</v>
      </c>
      <c r="C1029" s="11">
        <v>3.8250000000000002</v>
      </c>
      <c r="D1029" s="10" t="s">
        <v>310</v>
      </c>
      <c r="E1029">
        <v>4</v>
      </c>
    </row>
    <row r="1030" spans="1:5">
      <c r="A1030" s="10" t="s">
        <v>2359</v>
      </c>
      <c r="B1030" s="10" t="s">
        <v>2360</v>
      </c>
      <c r="C1030" s="11">
        <v>0.95630000000000004</v>
      </c>
      <c r="D1030" s="10" t="s">
        <v>310</v>
      </c>
      <c r="E1030">
        <v>4</v>
      </c>
    </row>
    <row r="1031" spans="1:5">
      <c r="A1031" s="10" t="s">
        <v>2361</v>
      </c>
      <c r="B1031" s="10" t="s">
        <v>2362</v>
      </c>
      <c r="C1031" s="11">
        <v>5.0999999999999996</v>
      </c>
      <c r="D1031" s="10" t="s">
        <v>310</v>
      </c>
      <c r="E1031">
        <v>4</v>
      </c>
    </row>
    <row r="1032" spans="1:5">
      <c r="A1032" s="10" t="s">
        <v>2363</v>
      </c>
      <c r="B1032" s="10" t="s">
        <v>2364</v>
      </c>
      <c r="C1032" s="11">
        <v>6.375</v>
      </c>
      <c r="D1032" s="10" t="s">
        <v>310</v>
      </c>
      <c r="E1032">
        <v>4</v>
      </c>
    </row>
    <row r="1033" spans="1:5">
      <c r="A1033" s="10" t="s">
        <v>2365</v>
      </c>
      <c r="B1033" s="10" t="s">
        <v>2366</v>
      </c>
      <c r="C1033" s="11">
        <v>7.65</v>
      </c>
      <c r="D1033" s="10" t="s">
        <v>310</v>
      </c>
      <c r="E1033">
        <v>4</v>
      </c>
    </row>
    <row r="1034" spans="1:5">
      <c r="A1034" s="10" t="s">
        <v>2367</v>
      </c>
      <c r="B1034" s="10" t="s">
        <v>2368</v>
      </c>
      <c r="C1034" s="11">
        <v>2.718</v>
      </c>
      <c r="D1034" s="10" t="s">
        <v>310</v>
      </c>
      <c r="E1034">
        <v>4</v>
      </c>
    </row>
    <row r="1035" spans="1:5">
      <c r="A1035" s="10" t="s">
        <v>2369</v>
      </c>
      <c r="B1035" s="10" t="s">
        <v>2370</v>
      </c>
      <c r="C1035" s="11">
        <v>2.2730000000000001</v>
      </c>
      <c r="D1035" s="10" t="s">
        <v>310</v>
      </c>
      <c r="E1035">
        <v>4</v>
      </c>
    </row>
    <row r="1036" spans="1:5">
      <c r="A1036" s="10" t="s">
        <v>2371</v>
      </c>
      <c r="B1036" s="10" t="s">
        <v>2372</v>
      </c>
      <c r="C1036" s="11">
        <v>0.85099999999999998</v>
      </c>
      <c r="D1036" s="10" t="s">
        <v>310</v>
      </c>
      <c r="E1036">
        <v>4</v>
      </c>
    </row>
    <row r="1037" spans="1:5">
      <c r="A1037" s="10" t="s">
        <v>2373</v>
      </c>
      <c r="B1037" s="10" t="s">
        <v>2374</v>
      </c>
      <c r="C1037" s="11">
        <v>1.679</v>
      </c>
      <c r="D1037" s="10" t="s">
        <v>310</v>
      </c>
      <c r="E1037">
        <v>4</v>
      </c>
    </row>
    <row r="1038" spans="1:5">
      <c r="A1038" s="10" t="s">
        <v>2375</v>
      </c>
      <c r="B1038" s="10" t="s">
        <v>2376</v>
      </c>
      <c r="C1038" s="11">
        <v>5.7930000000000001</v>
      </c>
      <c r="D1038" s="10" t="s">
        <v>310</v>
      </c>
      <c r="E1038">
        <v>4</v>
      </c>
    </row>
    <row r="1039" spans="1:5">
      <c r="A1039" s="10" t="s">
        <v>2377</v>
      </c>
      <c r="B1039" s="10" t="s">
        <v>2378</v>
      </c>
      <c r="C1039" s="11">
        <v>3.653</v>
      </c>
      <c r="D1039" s="10" t="s">
        <v>310</v>
      </c>
      <c r="E1039">
        <v>4</v>
      </c>
    </row>
    <row r="1040" spans="1:5">
      <c r="A1040" s="10" t="s">
        <v>2379</v>
      </c>
      <c r="B1040" s="10" t="s">
        <v>2380</v>
      </c>
      <c r="C1040" s="11">
        <v>9.109</v>
      </c>
      <c r="D1040" s="10" t="s">
        <v>310</v>
      </c>
      <c r="E1040">
        <v>4</v>
      </c>
    </row>
    <row r="1041" spans="1:5">
      <c r="A1041" s="10" t="s">
        <v>2381</v>
      </c>
      <c r="B1041" s="10" t="s">
        <v>2382</v>
      </c>
      <c r="C1041" s="11">
        <v>1.131</v>
      </c>
      <c r="D1041" s="10" t="s">
        <v>310</v>
      </c>
      <c r="E1041">
        <v>4</v>
      </c>
    </row>
    <row r="1042" spans="1:5">
      <c r="A1042" s="10" t="s">
        <v>2383</v>
      </c>
      <c r="B1042" s="10" t="s">
        <v>2384</v>
      </c>
      <c r="C1042" s="11">
        <v>7.5759999999999996</v>
      </c>
      <c r="D1042" s="10" t="s">
        <v>310</v>
      </c>
      <c r="E1042">
        <v>4</v>
      </c>
    </row>
    <row r="1043" spans="1:5">
      <c r="A1043" s="10" t="s">
        <v>2385</v>
      </c>
      <c r="B1043" s="10" t="s">
        <v>2386</v>
      </c>
      <c r="C1043" s="11">
        <v>10.79</v>
      </c>
      <c r="D1043" s="10" t="s">
        <v>310</v>
      </c>
      <c r="E1043">
        <v>4</v>
      </c>
    </row>
    <row r="1044" spans="1:5">
      <c r="A1044" s="10" t="s">
        <v>2387</v>
      </c>
      <c r="B1044" s="10" t="s">
        <v>2388</v>
      </c>
      <c r="C1044" s="11">
        <v>14.62</v>
      </c>
      <c r="D1044" s="10" t="s">
        <v>310</v>
      </c>
      <c r="E1044">
        <v>4</v>
      </c>
    </row>
    <row r="1045" spans="1:5">
      <c r="A1045" s="10" t="s">
        <v>2389</v>
      </c>
      <c r="B1045" s="10" t="s">
        <v>2390</v>
      </c>
      <c r="C1045" s="11">
        <v>18.97</v>
      </c>
      <c r="D1045" s="10" t="s">
        <v>310</v>
      </c>
      <c r="E1045">
        <v>4</v>
      </c>
    </row>
    <row r="1046" spans="1:5">
      <c r="A1046" s="10" t="s">
        <v>2853</v>
      </c>
      <c r="B1046" s="10" t="s">
        <v>2854</v>
      </c>
      <c r="C1046" s="11">
        <v>20</v>
      </c>
      <c r="D1046" s="10" t="s">
        <v>310</v>
      </c>
      <c r="E1046">
        <v>4</v>
      </c>
    </row>
    <row r="1047" spans="1:5">
      <c r="A1047" s="10" t="s">
        <v>2391</v>
      </c>
      <c r="B1047" s="10" t="s">
        <v>2392</v>
      </c>
      <c r="C1047" s="11">
        <v>1.1279999999999999</v>
      </c>
      <c r="D1047" s="10" t="s">
        <v>310</v>
      </c>
      <c r="E1047">
        <v>4</v>
      </c>
    </row>
    <row r="1048" spans="1:5">
      <c r="A1048" s="10" t="s">
        <v>2393</v>
      </c>
      <c r="B1048" s="10" t="s">
        <v>2394</v>
      </c>
      <c r="C1048" s="11">
        <v>1.7689999999999999</v>
      </c>
      <c r="D1048" s="10" t="s">
        <v>310</v>
      </c>
      <c r="E1048">
        <v>4</v>
      </c>
    </row>
    <row r="1049" spans="1:5">
      <c r="A1049" s="10" t="s">
        <v>2395</v>
      </c>
      <c r="B1049" s="10" t="s">
        <v>2396</v>
      </c>
      <c r="C1049" s="11">
        <v>3.3380000000000001</v>
      </c>
      <c r="D1049" s="10" t="s">
        <v>310</v>
      </c>
      <c r="E1049">
        <v>4</v>
      </c>
    </row>
    <row r="1050" spans="1:5">
      <c r="A1050" s="10" t="s">
        <v>2397</v>
      </c>
      <c r="B1050" s="10" t="s">
        <v>2398</v>
      </c>
      <c r="C1050" s="11">
        <v>1.256</v>
      </c>
      <c r="D1050" s="10" t="s">
        <v>310</v>
      </c>
      <c r="E1050">
        <v>4</v>
      </c>
    </row>
    <row r="1051" spans="1:5">
      <c r="A1051" s="10" t="s">
        <v>2399</v>
      </c>
      <c r="B1051" s="10" t="s">
        <v>2400</v>
      </c>
      <c r="C1051" s="11">
        <v>0.996</v>
      </c>
      <c r="D1051" s="10" t="s">
        <v>310</v>
      </c>
      <c r="E1051">
        <v>4</v>
      </c>
    </row>
    <row r="1052" spans="1:5">
      <c r="A1052" s="10" t="s">
        <v>2401</v>
      </c>
      <c r="B1052" s="10" t="s">
        <v>2402</v>
      </c>
      <c r="C1052" s="11">
        <v>0.82650000000000001</v>
      </c>
      <c r="D1052" s="10" t="s">
        <v>310</v>
      </c>
      <c r="E1052">
        <v>4</v>
      </c>
    </row>
    <row r="1053" spans="1:5">
      <c r="A1053" s="10" t="s">
        <v>2403</v>
      </c>
      <c r="B1053" s="10" t="s">
        <v>2404</v>
      </c>
      <c r="C1053" s="11">
        <v>0.75900000000000001</v>
      </c>
      <c r="D1053" s="10" t="s">
        <v>310</v>
      </c>
      <c r="E1053">
        <v>4</v>
      </c>
    </row>
    <row r="1054" spans="1:5">
      <c r="A1054" s="10" t="s">
        <v>2405</v>
      </c>
      <c r="B1054" s="10" t="s">
        <v>2406</v>
      </c>
      <c r="C1054" s="11">
        <v>2.6339999999999999</v>
      </c>
      <c r="D1054" s="10" t="s">
        <v>310</v>
      </c>
      <c r="E1054">
        <v>4</v>
      </c>
    </row>
    <row r="1055" spans="1:5">
      <c r="A1055" s="10" t="s">
        <v>2407</v>
      </c>
      <c r="B1055" s="10" t="s">
        <v>2408</v>
      </c>
      <c r="C1055" s="11">
        <v>1.448</v>
      </c>
      <c r="D1055" s="10" t="s">
        <v>310</v>
      </c>
      <c r="E1055">
        <v>4</v>
      </c>
    </row>
    <row r="1056" spans="1:5">
      <c r="A1056" s="10" t="s">
        <v>2409</v>
      </c>
      <c r="B1056" s="10" t="s">
        <v>2410</v>
      </c>
      <c r="C1056" s="11">
        <v>2.67</v>
      </c>
      <c r="D1056" s="10" t="s">
        <v>310</v>
      </c>
      <c r="E1056">
        <v>4</v>
      </c>
    </row>
    <row r="1057" spans="1:5">
      <c r="A1057" s="10" t="s">
        <v>2411</v>
      </c>
      <c r="B1057" s="10" t="s">
        <v>2412</v>
      </c>
      <c r="C1057" s="11">
        <v>1.034</v>
      </c>
      <c r="D1057" s="10" t="s">
        <v>310</v>
      </c>
      <c r="E1057">
        <v>4</v>
      </c>
    </row>
    <row r="1058" spans="1:5">
      <c r="A1058" s="10" t="s">
        <v>2413</v>
      </c>
      <c r="B1058" s="10" t="s">
        <v>2414</v>
      </c>
      <c r="C1058" s="11">
        <v>0.82299999999999995</v>
      </c>
      <c r="D1058" s="10" t="s">
        <v>310</v>
      </c>
      <c r="E1058">
        <v>4</v>
      </c>
    </row>
    <row r="1059" spans="1:5">
      <c r="A1059" s="10" t="s">
        <v>2415</v>
      </c>
      <c r="B1059" s="10" t="s">
        <v>2416</v>
      </c>
      <c r="C1059" s="11">
        <v>0.629</v>
      </c>
      <c r="D1059" s="10" t="s">
        <v>310</v>
      </c>
      <c r="E1059">
        <v>4</v>
      </c>
    </row>
    <row r="1060" spans="1:5">
      <c r="A1060" s="10" t="s">
        <v>2417</v>
      </c>
      <c r="B1060" s="10" t="s">
        <v>2418</v>
      </c>
      <c r="C1060" s="11">
        <v>2.0030000000000001</v>
      </c>
      <c r="D1060" s="10" t="s">
        <v>310</v>
      </c>
      <c r="E1060">
        <v>4</v>
      </c>
    </row>
    <row r="1061" spans="1:5">
      <c r="A1061" s="10" t="s">
        <v>2419</v>
      </c>
      <c r="B1061" s="10" t="s">
        <v>2420</v>
      </c>
      <c r="C1061" s="11">
        <v>2.1320000000000001</v>
      </c>
      <c r="D1061" s="10" t="s">
        <v>310</v>
      </c>
      <c r="E1061">
        <v>4</v>
      </c>
    </row>
    <row r="1062" spans="1:5">
      <c r="A1062" s="10" t="s">
        <v>2421</v>
      </c>
      <c r="B1062" s="10" t="s">
        <v>2422</v>
      </c>
      <c r="C1062" s="11">
        <v>0.81299999999999994</v>
      </c>
      <c r="D1062" s="10" t="s">
        <v>310</v>
      </c>
      <c r="E1062">
        <v>4</v>
      </c>
    </row>
    <row r="1063" spans="1:5">
      <c r="A1063" s="10" t="s">
        <v>2423</v>
      </c>
      <c r="B1063" s="10" t="s">
        <v>2424</v>
      </c>
      <c r="C1063" s="11">
        <v>0.64900000000000002</v>
      </c>
      <c r="D1063" s="10" t="s">
        <v>310</v>
      </c>
      <c r="E1063">
        <v>4</v>
      </c>
    </row>
    <row r="1064" spans="1:5">
      <c r="A1064" s="10" t="s">
        <v>2425</v>
      </c>
      <c r="B1064" s="10" t="s">
        <v>2426</v>
      </c>
      <c r="C1064" s="11">
        <v>0.65</v>
      </c>
      <c r="D1064" s="10" t="s">
        <v>310</v>
      </c>
      <c r="E1064">
        <v>4</v>
      </c>
    </row>
    <row r="1065" spans="1:5">
      <c r="A1065" s="10" t="s">
        <v>2427</v>
      </c>
      <c r="B1065" s="10" t="s">
        <v>2428</v>
      </c>
      <c r="C1065" s="11">
        <v>0.498</v>
      </c>
      <c r="D1065" s="10" t="s">
        <v>310</v>
      </c>
      <c r="E1065">
        <v>4</v>
      </c>
    </row>
    <row r="1066" spans="1:5">
      <c r="A1066" s="10" t="s">
        <v>2429</v>
      </c>
      <c r="B1066" s="10" t="s">
        <v>2430</v>
      </c>
      <c r="C1066" s="11">
        <v>1.63</v>
      </c>
      <c r="D1066" s="10" t="s">
        <v>310</v>
      </c>
      <c r="E1066">
        <v>4</v>
      </c>
    </row>
    <row r="1067" spans="1:5">
      <c r="A1067" s="10" t="s">
        <v>2431</v>
      </c>
      <c r="B1067" s="10" t="s">
        <v>2432</v>
      </c>
      <c r="C1067" s="11">
        <v>2.089</v>
      </c>
      <c r="D1067" s="10" t="s">
        <v>310</v>
      </c>
      <c r="E1067">
        <v>4</v>
      </c>
    </row>
    <row r="1068" spans="1:5">
      <c r="A1068" s="10" t="s">
        <v>2433</v>
      </c>
      <c r="B1068" s="10" t="s">
        <v>2434</v>
      </c>
      <c r="C1068" s="11">
        <v>117</v>
      </c>
      <c r="D1068" s="10" t="s">
        <v>310</v>
      </c>
      <c r="E1068">
        <v>4</v>
      </c>
    </row>
    <row r="1069" spans="1:5">
      <c r="A1069" s="10" t="s">
        <v>2435</v>
      </c>
      <c r="B1069" s="10" t="s">
        <v>2436</v>
      </c>
      <c r="C1069" s="11">
        <v>0.89</v>
      </c>
      <c r="D1069" s="10" t="s">
        <v>310</v>
      </c>
      <c r="E1069">
        <v>4</v>
      </c>
    </row>
    <row r="1070" spans="1:5">
      <c r="A1070" s="10" t="s">
        <v>2437</v>
      </c>
      <c r="B1070" s="10" t="s">
        <v>2438</v>
      </c>
      <c r="C1070" s="11">
        <v>3.1360000000000001</v>
      </c>
      <c r="D1070" s="10" t="s">
        <v>310</v>
      </c>
      <c r="E1070">
        <v>4</v>
      </c>
    </row>
    <row r="1071" spans="1:5">
      <c r="A1071" s="10" t="s">
        <v>2439</v>
      </c>
      <c r="B1071" s="10" t="s">
        <v>2440</v>
      </c>
      <c r="C1071" s="11">
        <v>2.4089999999999998</v>
      </c>
      <c r="D1071" s="10" t="s">
        <v>310</v>
      </c>
      <c r="E1071">
        <v>4</v>
      </c>
    </row>
    <row r="1072" spans="1:5">
      <c r="A1072" s="10" t="s">
        <v>2441</v>
      </c>
      <c r="B1072" s="10" t="s">
        <v>2442</v>
      </c>
      <c r="C1072" s="11">
        <v>3.05</v>
      </c>
      <c r="D1072" s="10" t="s">
        <v>310</v>
      </c>
      <c r="E1072">
        <v>4</v>
      </c>
    </row>
    <row r="1073" spans="1:5">
      <c r="A1073" s="10" t="s">
        <v>2443</v>
      </c>
      <c r="B1073" s="10" t="s">
        <v>2444</v>
      </c>
      <c r="C1073" s="11">
        <v>6.008</v>
      </c>
      <c r="D1073" s="10" t="s">
        <v>310</v>
      </c>
      <c r="E1073">
        <v>4</v>
      </c>
    </row>
    <row r="1074" spans="1:5">
      <c r="A1074" s="10" t="s">
        <v>2445</v>
      </c>
      <c r="B1074" s="10" t="s">
        <v>2446</v>
      </c>
      <c r="C1074" s="11">
        <v>2.1429999999999998</v>
      </c>
      <c r="D1074" s="10" t="s">
        <v>310</v>
      </c>
      <c r="E1074">
        <v>4</v>
      </c>
    </row>
    <row r="1075" spans="1:5">
      <c r="A1075" s="10" t="s">
        <v>2447</v>
      </c>
      <c r="B1075" s="10" t="s">
        <v>2448</v>
      </c>
      <c r="C1075" s="11">
        <v>1.69</v>
      </c>
      <c r="D1075" s="10" t="s">
        <v>310</v>
      </c>
      <c r="E1075">
        <v>4</v>
      </c>
    </row>
    <row r="1076" spans="1:5">
      <c r="A1076" s="10" t="s">
        <v>2449</v>
      </c>
      <c r="B1076" s="10" t="s">
        <v>2450</v>
      </c>
      <c r="C1076" s="11">
        <v>1.2829999999999999</v>
      </c>
      <c r="D1076" s="10" t="s">
        <v>310</v>
      </c>
      <c r="E1076">
        <v>4</v>
      </c>
    </row>
    <row r="1077" spans="1:5">
      <c r="A1077" s="10" t="s">
        <v>2451</v>
      </c>
      <c r="B1077" s="10" t="s">
        <v>2452</v>
      </c>
      <c r="C1077" s="11">
        <v>4.673</v>
      </c>
      <c r="D1077" s="10" t="s">
        <v>310</v>
      </c>
      <c r="E1077">
        <v>4</v>
      </c>
    </row>
    <row r="1078" spans="1:5">
      <c r="A1078" s="10" t="s">
        <v>2453</v>
      </c>
      <c r="B1078" s="10" t="s">
        <v>2454</v>
      </c>
      <c r="C1078" s="11">
        <v>1.6990000000000001</v>
      </c>
      <c r="D1078" s="10" t="s">
        <v>310</v>
      </c>
      <c r="E1078">
        <v>4</v>
      </c>
    </row>
    <row r="1079" spans="1:5">
      <c r="A1079" s="10" t="s">
        <v>2455</v>
      </c>
      <c r="B1079" s="10" t="s">
        <v>2456</v>
      </c>
      <c r="C1079" s="11">
        <v>1.343</v>
      </c>
      <c r="D1079" s="10" t="s">
        <v>310</v>
      </c>
      <c r="E1079">
        <v>4</v>
      </c>
    </row>
    <row r="1080" spans="1:5">
      <c r="A1080" s="10" t="s">
        <v>2457</v>
      </c>
      <c r="B1080" s="10" t="s">
        <v>2458</v>
      </c>
      <c r="C1080" s="11">
        <v>1.0209999999999999</v>
      </c>
      <c r="D1080" s="10" t="s">
        <v>310</v>
      </c>
      <c r="E1080">
        <v>4</v>
      </c>
    </row>
    <row r="1081" spans="1:5">
      <c r="A1081" s="10" t="s">
        <v>2459</v>
      </c>
      <c r="B1081" s="10" t="s">
        <v>2460</v>
      </c>
      <c r="C1081" s="11">
        <v>3.6379999999999999</v>
      </c>
      <c r="D1081" s="10" t="s">
        <v>310</v>
      </c>
      <c r="E1081">
        <v>4</v>
      </c>
    </row>
    <row r="1082" spans="1:5">
      <c r="A1082" s="10" t="s">
        <v>2461</v>
      </c>
      <c r="B1082" s="10" t="s">
        <v>2462</v>
      </c>
      <c r="C1082" s="11">
        <v>3.371</v>
      </c>
      <c r="D1082" s="10" t="s">
        <v>310</v>
      </c>
      <c r="E1082">
        <v>4</v>
      </c>
    </row>
    <row r="1083" spans="1:5">
      <c r="A1083" s="10" t="s">
        <v>2463</v>
      </c>
      <c r="B1083" s="10" t="s">
        <v>2464</v>
      </c>
      <c r="C1083" s="11">
        <v>3.6909999999999998</v>
      </c>
      <c r="D1083" s="10" t="s">
        <v>310</v>
      </c>
      <c r="E1083">
        <v>4</v>
      </c>
    </row>
    <row r="1084" spans="1:5">
      <c r="A1084" s="10" t="s">
        <v>2465</v>
      </c>
      <c r="B1084" s="10" t="s">
        <v>2466</v>
      </c>
      <c r="C1084" s="11">
        <v>4.3319999999999999</v>
      </c>
      <c r="D1084" s="10" t="s">
        <v>310</v>
      </c>
      <c r="E1084">
        <v>4</v>
      </c>
    </row>
    <row r="1085" spans="1:5">
      <c r="A1085" s="10" t="s">
        <v>2467</v>
      </c>
      <c r="B1085" s="10" t="s">
        <v>2468</v>
      </c>
      <c r="C1085" s="11">
        <v>2.3849999999999998</v>
      </c>
      <c r="D1085" s="10" t="s">
        <v>310</v>
      </c>
      <c r="E1085">
        <v>4</v>
      </c>
    </row>
    <row r="1086" spans="1:5">
      <c r="A1086" s="10" t="s">
        <v>2469</v>
      </c>
      <c r="B1086" s="10" t="s">
        <v>2470</v>
      </c>
      <c r="C1086" s="11">
        <v>4.0110000000000001</v>
      </c>
      <c r="D1086" s="10" t="s">
        <v>310</v>
      </c>
      <c r="E1086">
        <v>4</v>
      </c>
    </row>
    <row r="1087" spans="1:5">
      <c r="A1087" s="10" t="s">
        <v>2471</v>
      </c>
      <c r="B1087" s="10" t="s">
        <v>2472</v>
      </c>
      <c r="C1087" s="11">
        <v>7.343</v>
      </c>
      <c r="D1087" s="10" t="s">
        <v>310</v>
      </c>
      <c r="E1087">
        <v>4</v>
      </c>
    </row>
    <row r="1088" spans="1:5">
      <c r="A1088" s="10" t="s">
        <v>2473</v>
      </c>
      <c r="B1088" s="10" t="s">
        <v>2474</v>
      </c>
      <c r="C1088" s="11">
        <v>2.5859999999999999</v>
      </c>
      <c r="D1088" s="10" t="s">
        <v>310</v>
      </c>
      <c r="E1088">
        <v>4</v>
      </c>
    </row>
    <row r="1089" spans="1:5">
      <c r="A1089" s="10" t="s">
        <v>2475</v>
      </c>
      <c r="B1089" s="10" t="s">
        <v>2476</v>
      </c>
      <c r="C1089" s="11">
        <v>2.0369999999999999</v>
      </c>
      <c r="D1089" s="10" t="s">
        <v>310</v>
      </c>
      <c r="E1089">
        <v>4</v>
      </c>
    </row>
    <row r="1090" spans="1:5">
      <c r="A1090" s="10" t="s">
        <v>2477</v>
      </c>
      <c r="B1090" s="10" t="s">
        <v>2478</v>
      </c>
      <c r="C1090" s="11">
        <v>5.6459999999999999</v>
      </c>
      <c r="D1090" s="10" t="s">
        <v>310</v>
      </c>
      <c r="E1090">
        <v>4</v>
      </c>
    </row>
    <row r="1091" spans="1:5">
      <c r="A1091" s="10" t="s">
        <v>2479</v>
      </c>
      <c r="B1091" s="10" t="s">
        <v>2480</v>
      </c>
      <c r="C1091" s="11">
        <v>0.80700000000000005</v>
      </c>
      <c r="D1091" s="10" t="s">
        <v>310</v>
      </c>
      <c r="E1091">
        <v>4</v>
      </c>
    </row>
    <row r="1092" spans="1:5">
      <c r="A1092" s="10" t="s">
        <v>2481</v>
      </c>
      <c r="B1092" s="10" t="s">
        <v>2482</v>
      </c>
      <c r="C1092" s="11">
        <v>0.47599999999999998</v>
      </c>
      <c r="D1092" s="10" t="s">
        <v>310</v>
      </c>
      <c r="E1092">
        <v>4</v>
      </c>
    </row>
    <row r="1093" spans="1:5">
      <c r="A1093" s="10" t="s">
        <v>2483</v>
      </c>
      <c r="B1093" s="10" t="s">
        <v>2484</v>
      </c>
      <c r="C1093" s="11">
        <v>0.36699999999999999</v>
      </c>
      <c r="D1093" s="10" t="s">
        <v>310</v>
      </c>
      <c r="E1093">
        <v>4</v>
      </c>
    </row>
    <row r="1094" spans="1:5">
      <c r="A1094" s="10" t="s">
        <v>2485</v>
      </c>
      <c r="B1094" s="10" t="s">
        <v>2486</v>
      </c>
      <c r="C1094" s="11">
        <v>4.9729999999999999</v>
      </c>
      <c r="D1094" s="10" t="s">
        <v>310</v>
      </c>
      <c r="E1094">
        <v>4</v>
      </c>
    </row>
    <row r="1095" spans="1:5">
      <c r="A1095" s="10" t="s">
        <v>2487</v>
      </c>
      <c r="B1095" s="10" t="s">
        <v>2488</v>
      </c>
      <c r="C1095" s="11">
        <v>3.472</v>
      </c>
      <c r="D1095" s="10" t="s">
        <v>310</v>
      </c>
      <c r="E1095">
        <v>4</v>
      </c>
    </row>
    <row r="1096" spans="1:5">
      <c r="A1096" s="10" t="s">
        <v>2489</v>
      </c>
      <c r="B1096" s="10" t="s">
        <v>2490</v>
      </c>
      <c r="C1096" s="11">
        <v>2.7320000000000002</v>
      </c>
      <c r="D1096" s="10" t="s">
        <v>310</v>
      </c>
      <c r="E1096">
        <v>4</v>
      </c>
    </row>
    <row r="1097" spans="1:5">
      <c r="A1097" s="10" t="s">
        <v>2491</v>
      </c>
      <c r="B1097" s="10" t="s">
        <v>2492</v>
      </c>
      <c r="C1097" s="11">
        <v>6.2539999999999996</v>
      </c>
      <c r="D1097" s="10" t="s">
        <v>310</v>
      </c>
      <c r="E1097">
        <v>4</v>
      </c>
    </row>
    <row r="1098" spans="1:5">
      <c r="A1098" s="10" t="s">
        <v>2493</v>
      </c>
      <c r="B1098" s="10" t="s">
        <v>2494</v>
      </c>
      <c r="C1098" s="11">
        <v>7.5359999999999996</v>
      </c>
      <c r="D1098" s="10" t="s">
        <v>310</v>
      </c>
      <c r="E1098">
        <v>4</v>
      </c>
    </row>
    <row r="1099" spans="1:5">
      <c r="A1099" s="10" t="s">
        <v>2495</v>
      </c>
      <c r="B1099" s="10" t="s">
        <v>2496</v>
      </c>
      <c r="C1099" s="11">
        <v>0.96799999999999997</v>
      </c>
      <c r="D1099" s="10" t="s">
        <v>310</v>
      </c>
      <c r="E1099">
        <v>4</v>
      </c>
    </row>
    <row r="1100" spans="1:5">
      <c r="A1100" s="10" t="s">
        <v>2497</v>
      </c>
      <c r="B1100" s="10" t="s">
        <v>2498</v>
      </c>
      <c r="C1100" s="11">
        <v>0.56200000000000006</v>
      </c>
      <c r="D1100" s="10" t="s">
        <v>310</v>
      </c>
      <c r="E1100">
        <v>4</v>
      </c>
    </row>
    <row r="1101" spans="1:5">
      <c r="A1101" s="10" t="s">
        <v>2499</v>
      </c>
      <c r="B1101" s="10" t="s">
        <v>2500</v>
      </c>
      <c r="C1101" s="11">
        <v>0.432</v>
      </c>
      <c r="D1101" s="10" t="s">
        <v>310</v>
      </c>
      <c r="E1101">
        <v>4</v>
      </c>
    </row>
    <row r="1102" spans="1:5">
      <c r="A1102" s="10" t="s">
        <v>2501</v>
      </c>
      <c r="B1102" s="10" t="s">
        <v>2502</v>
      </c>
      <c r="C1102" s="11">
        <v>1.929</v>
      </c>
      <c r="D1102" s="10" t="s">
        <v>310</v>
      </c>
      <c r="E1102">
        <v>4</v>
      </c>
    </row>
    <row r="1103" spans="1:5">
      <c r="A1103" s="10" t="s">
        <v>2503</v>
      </c>
      <c r="B1103" s="10" t="s">
        <v>2504</v>
      </c>
      <c r="C1103" s="11">
        <v>2.2519999999999998</v>
      </c>
      <c r="D1103" s="10" t="s">
        <v>310</v>
      </c>
      <c r="E1103">
        <v>4</v>
      </c>
    </row>
    <row r="1104" spans="1:5">
      <c r="A1104" s="10" t="s">
        <v>2505</v>
      </c>
      <c r="B1104" s="10" t="s">
        <v>2506</v>
      </c>
      <c r="C1104" s="11">
        <v>1.27</v>
      </c>
      <c r="D1104" s="10" t="s">
        <v>310</v>
      </c>
      <c r="E1104">
        <v>4</v>
      </c>
    </row>
    <row r="1105" spans="1:5">
      <c r="A1105" s="10" t="s">
        <v>2507</v>
      </c>
      <c r="B1105" s="10" t="s">
        <v>2508</v>
      </c>
      <c r="C1105" s="11">
        <v>3.8839999999999999</v>
      </c>
      <c r="D1105" s="10" t="s">
        <v>310</v>
      </c>
      <c r="E1105">
        <v>4</v>
      </c>
    </row>
    <row r="1106" spans="1:5">
      <c r="A1106" s="10" t="s">
        <v>2509</v>
      </c>
      <c r="B1106" s="10" t="s">
        <v>2510</v>
      </c>
      <c r="C1106" s="11">
        <v>5.6790000000000003</v>
      </c>
      <c r="D1106" s="10" t="s">
        <v>310</v>
      </c>
      <c r="E1106">
        <v>4</v>
      </c>
    </row>
    <row r="1107" spans="1:5">
      <c r="A1107" s="10" t="s">
        <v>2511</v>
      </c>
      <c r="B1107" s="10" t="s">
        <v>2512</v>
      </c>
      <c r="C1107" s="11">
        <v>4.7</v>
      </c>
      <c r="D1107" s="10" t="s">
        <v>310</v>
      </c>
      <c r="E1107">
        <v>4</v>
      </c>
    </row>
    <row r="1108" spans="1:5">
      <c r="A1108" s="10" t="s">
        <v>2513</v>
      </c>
      <c r="B1108" s="10" t="s">
        <v>2514</v>
      </c>
      <c r="C1108" s="11">
        <v>10</v>
      </c>
      <c r="D1108" s="10" t="s">
        <v>310</v>
      </c>
      <c r="E1108">
        <v>4</v>
      </c>
    </row>
    <row r="1109" spans="1:5">
      <c r="A1109" s="10" t="s">
        <v>2515</v>
      </c>
      <c r="B1109" s="10" t="s">
        <v>2516</v>
      </c>
      <c r="C1109" s="11">
        <v>6.9029999999999996</v>
      </c>
      <c r="D1109" s="10" t="s">
        <v>310</v>
      </c>
      <c r="E1109">
        <v>4</v>
      </c>
    </row>
    <row r="1110" spans="1:5">
      <c r="A1110" s="10" t="s">
        <v>2517</v>
      </c>
      <c r="B1110" s="10" t="s">
        <v>2518</v>
      </c>
      <c r="C1110" s="11">
        <v>10.89</v>
      </c>
      <c r="D1110" s="10" t="s">
        <v>310</v>
      </c>
      <c r="E1110">
        <v>4</v>
      </c>
    </row>
    <row r="1111" spans="1:5">
      <c r="A1111" s="10" t="s">
        <v>2519</v>
      </c>
      <c r="B1111" s="10" t="s">
        <v>2520</v>
      </c>
      <c r="C1111" s="11">
        <v>8.1270000000000007</v>
      </c>
      <c r="D1111" s="10" t="s">
        <v>310</v>
      </c>
      <c r="E1111">
        <v>4</v>
      </c>
    </row>
    <row r="1112" spans="1:5">
      <c r="A1112" s="10" t="s">
        <v>2521</v>
      </c>
      <c r="B1112" s="10" t="s">
        <v>2522</v>
      </c>
      <c r="C1112" s="11">
        <v>12.68</v>
      </c>
      <c r="D1112" s="10" t="s">
        <v>310</v>
      </c>
      <c r="E1112">
        <v>4</v>
      </c>
    </row>
    <row r="1113" spans="1:5">
      <c r="A1113" s="10" t="s">
        <v>2523</v>
      </c>
      <c r="B1113" s="10" t="s">
        <v>2524</v>
      </c>
      <c r="C1113" s="11">
        <v>9.27</v>
      </c>
      <c r="D1113" s="10" t="s">
        <v>310</v>
      </c>
      <c r="E1113">
        <v>4</v>
      </c>
    </row>
    <row r="1114" spans="1:5">
      <c r="A1114" s="10" t="s">
        <v>2525</v>
      </c>
      <c r="B1114" s="10" t="s">
        <v>2526</v>
      </c>
      <c r="C1114" s="11">
        <v>12.68</v>
      </c>
      <c r="D1114" s="10" t="s">
        <v>310</v>
      </c>
      <c r="E1114">
        <v>4</v>
      </c>
    </row>
    <row r="1115" spans="1:5">
      <c r="A1115" s="10" t="s">
        <v>2527</v>
      </c>
      <c r="B1115" s="10" t="s">
        <v>2528</v>
      </c>
      <c r="C1115" s="11">
        <v>9.27</v>
      </c>
      <c r="D1115" s="10" t="s">
        <v>310</v>
      </c>
      <c r="E1115">
        <v>4</v>
      </c>
    </row>
    <row r="1116" spans="1:5">
      <c r="A1116" s="10" t="s">
        <v>2529</v>
      </c>
      <c r="B1116" s="10" t="s">
        <v>2530</v>
      </c>
      <c r="C1116" s="11">
        <v>10.52</v>
      </c>
      <c r="D1116" s="10" t="s">
        <v>310</v>
      </c>
      <c r="E1116">
        <v>4</v>
      </c>
    </row>
    <row r="1117" spans="1:5">
      <c r="A1117" s="10" t="s">
        <v>2531</v>
      </c>
      <c r="B1117" s="10" t="s">
        <v>2532</v>
      </c>
      <c r="C1117" s="11">
        <v>16.350000000000001</v>
      </c>
      <c r="D1117" s="10" t="s">
        <v>310</v>
      </c>
      <c r="E1117">
        <v>4</v>
      </c>
    </row>
    <row r="1118" spans="1:5">
      <c r="A1118" s="10" t="s">
        <v>2533</v>
      </c>
      <c r="B1118" s="10" t="s">
        <v>2534</v>
      </c>
      <c r="C1118" s="11">
        <v>23.6</v>
      </c>
      <c r="D1118" s="10" t="s">
        <v>310</v>
      </c>
      <c r="E1118">
        <v>4</v>
      </c>
    </row>
    <row r="1119" spans="1:5">
      <c r="A1119" s="10" t="s">
        <v>2535</v>
      </c>
      <c r="B1119" s="10" t="s">
        <v>2536</v>
      </c>
      <c r="C1119" s="11">
        <v>11.9</v>
      </c>
      <c r="D1119" s="10" t="s">
        <v>310</v>
      </c>
      <c r="E1119">
        <v>4</v>
      </c>
    </row>
    <row r="1120" spans="1:5">
      <c r="A1120" s="10" t="s">
        <v>2537</v>
      </c>
      <c r="B1120" s="10" t="s">
        <v>2538</v>
      </c>
      <c r="C1120" s="11">
        <v>1.4359999999999999</v>
      </c>
      <c r="D1120" s="10" t="s">
        <v>310</v>
      </c>
      <c r="E1120">
        <v>4</v>
      </c>
    </row>
    <row r="1121" spans="1:5">
      <c r="A1121" s="10" t="s">
        <v>2539</v>
      </c>
      <c r="B1121" s="10" t="s">
        <v>2540</v>
      </c>
      <c r="C1121" s="11">
        <v>0.82699999999999996</v>
      </c>
      <c r="D1121" s="10" t="s">
        <v>310</v>
      </c>
      <c r="E1121">
        <v>4</v>
      </c>
    </row>
    <row r="1122" spans="1:5">
      <c r="A1122" s="10" t="s">
        <v>2541</v>
      </c>
      <c r="B1122" s="10" t="s">
        <v>2542</v>
      </c>
      <c r="C1122" s="11">
        <v>2.2549999999999999</v>
      </c>
      <c r="D1122" s="10" t="s">
        <v>310</v>
      </c>
      <c r="E1122">
        <v>4</v>
      </c>
    </row>
    <row r="1123" spans="1:5">
      <c r="A1123" s="10" t="s">
        <v>2543</v>
      </c>
      <c r="B1123" s="10" t="s">
        <v>2544</v>
      </c>
      <c r="C1123" s="11">
        <v>1.61</v>
      </c>
      <c r="D1123" s="10" t="s">
        <v>310</v>
      </c>
      <c r="E1123">
        <v>4</v>
      </c>
    </row>
    <row r="1124" spans="1:5">
      <c r="A1124" s="10" t="s">
        <v>2545</v>
      </c>
      <c r="B1124" s="10" t="s">
        <v>2546</v>
      </c>
      <c r="C1124" s="11">
        <v>1.27</v>
      </c>
      <c r="D1124" s="10" t="s">
        <v>310</v>
      </c>
      <c r="E1124">
        <v>4</v>
      </c>
    </row>
    <row r="1125" spans="1:5">
      <c r="A1125" s="10" t="s">
        <v>2547</v>
      </c>
      <c r="B1125" s="10" t="s">
        <v>2548</v>
      </c>
      <c r="C1125" s="11">
        <v>3.63</v>
      </c>
      <c r="D1125" s="10" t="s">
        <v>310</v>
      </c>
      <c r="E1125">
        <v>4</v>
      </c>
    </row>
    <row r="1126" spans="1:5">
      <c r="A1126" s="10" t="s">
        <v>2549</v>
      </c>
      <c r="B1126" s="10" t="s">
        <v>2550</v>
      </c>
      <c r="C1126" s="11">
        <v>1.8440000000000001</v>
      </c>
      <c r="D1126" s="10" t="s">
        <v>310</v>
      </c>
      <c r="E1126">
        <v>4</v>
      </c>
    </row>
    <row r="1127" spans="1:5">
      <c r="A1127" s="10" t="s">
        <v>2551</v>
      </c>
      <c r="B1127" s="10" t="s">
        <v>2552</v>
      </c>
      <c r="C1127" s="11">
        <v>1.3169999999999999</v>
      </c>
      <c r="D1127" s="10" t="s">
        <v>310</v>
      </c>
      <c r="E1127">
        <v>4</v>
      </c>
    </row>
    <row r="1128" spans="1:5">
      <c r="A1128" s="10" t="s">
        <v>2553</v>
      </c>
      <c r="B1128" s="10" t="s">
        <v>2554</v>
      </c>
      <c r="C1128" s="11">
        <v>1.05</v>
      </c>
      <c r="D1128" s="10" t="s">
        <v>310</v>
      </c>
      <c r="E1128">
        <v>4</v>
      </c>
    </row>
    <row r="1129" spans="1:5">
      <c r="A1129" s="10" t="s">
        <v>2555</v>
      </c>
      <c r="B1129" s="10" t="s">
        <v>2556</v>
      </c>
      <c r="C1129" s="11">
        <v>1.88</v>
      </c>
      <c r="D1129" s="10" t="s">
        <v>310</v>
      </c>
      <c r="E1129">
        <v>4</v>
      </c>
    </row>
    <row r="1130" spans="1:5">
      <c r="A1130" s="10" t="s">
        <v>2557</v>
      </c>
      <c r="B1130" s="10" t="s">
        <v>2558</v>
      </c>
      <c r="C1130" s="11">
        <v>5.68</v>
      </c>
      <c r="D1130" s="10" t="s">
        <v>310</v>
      </c>
      <c r="E1130">
        <v>4</v>
      </c>
    </row>
    <row r="1131" spans="1:5">
      <c r="A1131" s="10" t="s">
        <v>2559</v>
      </c>
      <c r="B1131" s="10" t="s">
        <v>2560</v>
      </c>
      <c r="C1131" s="11">
        <v>3.0680000000000001</v>
      </c>
      <c r="D1131" s="10" t="s">
        <v>310</v>
      </c>
      <c r="E1131">
        <v>4</v>
      </c>
    </row>
    <row r="1132" spans="1:5">
      <c r="A1132" s="10" t="s">
        <v>2561</v>
      </c>
      <c r="B1132" s="10" t="s">
        <v>2562</v>
      </c>
      <c r="C1132" s="11">
        <v>6.01</v>
      </c>
      <c r="D1132" s="10" t="s">
        <v>310</v>
      </c>
      <c r="E1132">
        <v>4</v>
      </c>
    </row>
    <row r="1133" spans="1:5">
      <c r="A1133" s="10" t="s">
        <v>2563</v>
      </c>
      <c r="B1133" s="10" t="s">
        <v>2564</v>
      </c>
      <c r="C1133" s="11">
        <v>2.1640000000000001</v>
      </c>
      <c r="D1133" s="10" t="s">
        <v>310</v>
      </c>
      <c r="E1133">
        <v>4</v>
      </c>
    </row>
    <row r="1134" spans="1:5">
      <c r="A1134" s="10" t="s">
        <v>2565</v>
      </c>
      <c r="B1134" s="10" t="s">
        <v>2566</v>
      </c>
      <c r="C1134" s="11">
        <v>1.71</v>
      </c>
      <c r="D1134" s="10" t="s">
        <v>310</v>
      </c>
      <c r="E1134">
        <v>4</v>
      </c>
    </row>
    <row r="1135" spans="1:5">
      <c r="A1135" s="10" t="s">
        <v>2567</v>
      </c>
      <c r="B1135" s="10" t="s">
        <v>2568</v>
      </c>
      <c r="C1135" s="11">
        <v>4.46</v>
      </c>
      <c r="D1135" s="10" t="s">
        <v>310</v>
      </c>
      <c r="E1135">
        <v>4</v>
      </c>
    </row>
    <row r="1136" spans="1:5">
      <c r="A1136" s="10" t="s">
        <v>2569</v>
      </c>
      <c r="B1136" s="10" t="s">
        <v>2570</v>
      </c>
      <c r="C1136" s="11">
        <v>4.4550000000000001</v>
      </c>
      <c r="D1136" s="10" t="s">
        <v>310</v>
      </c>
      <c r="E1136">
        <v>4</v>
      </c>
    </row>
    <row r="1137" spans="1:5">
      <c r="A1137" s="10" t="s">
        <v>2571</v>
      </c>
      <c r="B1137" s="10" t="s">
        <v>2572</v>
      </c>
      <c r="C1137" s="11">
        <v>4.7</v>
      </c>
      <c r="D1137" s="10" t="s">
        <v>310</v>
      </c>
      <c r="E1137">
        <v>4</v>
      </c>
    </row>
    <row r="1138" spans="1:5">
      <c r="A1138" s="10" t="s">
        <v>2573</v>
      </c>
      <c r="B1138" s="10" t="s">
        <v>2574</v>
      </c>
      <c r="C1138" s="11">
        <v>10</v>
      </c>
      <c r="D1138" s="10" t="s">
        <v>310</v>
      </c>
      <c r="E1138">
        <v>4</v>
      </c>
    </row>
    <row r="1139" spans="1:5">
      <c r="A1139" s="10" t="s">
        <v>2575</v>
      </c>
      <c r="B1139" s="10" t="s">
        <v>2576</v>
      </c>
      <c r="C1139" s="11">
        <v>3.2930000000000001</v>
      </c>
      <c r="D1139" s="10" t="s">
        <v>310</v>
      </c>
      <c r="E1139">
        <v>4</v>
      </c>
    </row>
    <row r="1140" spans="1:5">
      <c r="A1140" s="10" t="s">
        <v>2577</v>
      </c>
      <c r="B1140" s="10" t="s">
        <v>2578</v>
      </c>
      <c r="C1140" s="11">
        <v>6.9</v>
      </c>
      <c r="D1140" s="10" t="s">
        <v>310</v>
      </c>
      <c r="E1140">
        <v>4</v>
      </c>
    </row>
    <row r="1141" spans="1:5">
      <c r="A1141" s="10" t="s">
        <v>2579</v>
      </c>
      <c r="B1141" s="10" t="s">
        <v>2580</v>
      </c>
      <c r="C1141" s="11">
        <v>6.9029999999999996</v>
      </c>
      <c r="D1141" s="10" t="s">
        <v>310</v>
      </c>
      <c r="E1141">
        <v>4</v>
      </c>
    </row>
    <row r="1142" spans="1:5">
      <c r="A1142" s="10" t="s">
        <v>2581</v>
      </c>
      <c r="B1142" s="10" t="s">
        <v>2582</v>
      </c>
      <c r="C1142" s="11">
        <v>6.26</v>
      </c>
      <c r="D1142" s="10" t="s">
        <v>310</v>
      </c>
      <c r="E1142">
        <v>4</v>
      </c>
    </row>
    <row r="1143" spans="1:5">
      <c r="A1143" s="10" t="s">
        <v>2583</v>
      </c>
      <c r="B1143" s="10" t="s">
        <v>2584</v>
      </c>
      <c r="C1143" s="11">
        <v>12.68</v>
      </c>
      <c r="D1143" s="10" t="s">
        <v>310</v>
      </c>
      <c r="E1143">
        <v>4</v>
      </c>
    </row>
    <row r="1144" spans="1:5">
      <c r="A1144" s="10" t="s">
        <v>2585</v>
      </c>
      <c r="B1144" s="10" t="s">
        <v>2586</v>
      </c>
      <c r="C1144" s="11">
        <v>9.27</v>
      </c>
      <c r="D1144" s="10" t="s">
        <v>310</v>
      </c>
      <c r="E1144">
        <v>4</v>
      </c>
    </row>
    <row r="1145" spans="1:5">
      <c r="A1145" s="10" t="s">
        <v>2587</v>
      </c>
      <c r="B1145" s="10" t="s">
        <v>2588</v>
      </c>
      <c r="C1145" s="11">
        <v>9.27</v>
      </c>
      <c r="D1145" s="10" t="s">
        <v>310</v>
      </c>
      <c r="E1145">
        <v>4</v>
      </c>
    </row>
    <row r="1146" spans="1:5">
      <c r="A1146" s="10" t="s">
        <v>2589</v>
      </c>
      <c r="B1146" s="10" t="s">
        <v>2590</v>
      </c>
      <c r="C1146" s="11">
        <v>18.77</v>
      </c>
      <c r="D1146" s="10" t="s">
        <v>310</v>
      </c>
      <c r="E1146">
        <v>4</v>
      </c>
    </row>
    <row r="1147" spans="1:5">
      <c r="A1147" s="10" t="s">
        <v>2591</v>
      </c>
      <c r="B1147" s="10" t="s">
        <v>2592</v>
      </c>
      <c r="C1147" s="11">
        <v>1.448</v>
      </c>
      <c r="D1147" s="10" t="s">
        <v>310</v>
      </c>
      <c r="E1147">
        <v>1.65</v>
      </c>
    </row>
    <row r="1148" spans="1:5">
      <c r="A1148" s="10" t="s">
        <v>2593</v>
      </c>
      <c r="B1148" s="10" t="s">
        <v>2594</v>
      </c>
      <c r="C1148" s="11">
        <v>1.034</v>
      </c>
      <c r="D1148" s="10" t="s">
        <v>310</v>
      </c>
      <c r="E1148">
        <v>1.65</v>
      </c>
    </row>
    <row r="1149" spans="1:5">
      <c r="A1149" s="10" t="s">
        <v>2595</v>
      </c>
      <c r="B1149" s="10" t="s">
        <v>2596</v>
      </c>
      <c r="C1149" s="11">
        <v>0.8226</v>
      </c>
      <c r="D1149" s="10" t="s">
        <v>310</v>
      </c>
      <c r="E1149">
        <v>1.65</v>
      </c>
    </row>
    <row r="1150" spans="1:5">
      <c r="A1150" s="10" t="s">
        <v>2597</v>
      </c>
      <c r="B1150" s="10" t="s">
        <v>2598</v>
      </c>
      <c r="C1150" s="11">
        <v>2.2490000000000001</v>
      </c>
      <c r="D1150" s="10" t="s">
        <v>310</v>
      </c>
      <c r="E1150">
        <v>1.65</v>
      </c>
    </row>
    <row r="1151" spans="1:5">
      <c r="A1151" s="10" t="s">
        <v>2599</v>
      </c>
      <c r="B1151" s="10" t="s">
        <v>2600</v>
      </c>
      <c r="C1151" s="11">
        <v>4.25</v>
      </c>
      <c r="D1151" s="10" t="s">
        <v>310</v>
      </c>
      <c r="E1151">
        <v>1.65</v>
      </c>
    </row>
    <row r="1152" spans="1:5">
      <c r="A1152" s="10" t="s">
        <v>2601</v>
      </c>
      <c r="B1152" s="10" t="s">
        <v>2602</v>
      </c>
      <c r="C1152" s="11">
        <v>1.589</v>
      </c>
      <c r="D1152" s="10" t="s">
        <v>310</v>
      </c>
      <c r="E1152">
        <v>1.65</v>
      </c>
    </row>
    <row r="1153" spans="1:5">
      <c r="A1153" s="10" t="s">
        <v>2603</v>
      </c>
      <c r="B1153" s="10" t="s">
        <v>2604</v>
      </c>
      <c r="C1153" s="11">
        <v>1.2569999999999999</v>
      </c>
      <c r="D1153" s="10" t="s">
        <v>310</v>
      </c>
      <c r="E1153">
        <v>1.65</v>
      </c>
    </row>
    <row r="1154" spans="1:5">
      <c r="A1154" s="10" t="s">
        <v>2605</v>
      </c>
      <c r="B1154" s="10" t="s">
        <v>2606</v>
      </c>
      <c r="C1154" s="11">
        <v>3.04</v>
      </c>
      <c r="D1154" s="10" t="s">
        <v>310</v>
      </c>
      <c r="E1154">
        <v>1.65</v>
      </c>
    </row>
    <row r="1155" spans="1:5">
      <c r="A1155" s="10" t="s">
        <v>2607</v>
      </c>
      <c r="B1155" s="10" t="s">
        <v>2608</v>
      </c>
      <c r="C1155" s="11">
        <v>1.8440000000000001</v>
      </c>
      <c r="D1155" s="10" t="s">
        <v>310</v>
      </c>
      <c r="E1155">
        <v>1.65</v>
      </c>
    </row>
    <row r="1156" spans="1:5">
      <c r="A1156" s="10" t="s">
        <v>2609</v>
      </c>
      <c r="B1156" s="10" t="s">
        <v>2610</v>
      </c>
      <c r="C1156" s="11">
        <v>1.3169999999999999</v>
      </c>
      <c r="D1156" s="10" t="s">
        <v>310</v>
      </c>
      <c r="E1156">
        <v>1.65</v>
      </c>
    </row>
    <row r="1157" spans="1:5">
      <c r="A1157" s="10" t="s">
        <v>2611</v>
      </c>
      <c r="B1157" s="10" t="s">
        <v>2612</v>
      </c>
      <c r="C1157" s="11">
        <v>1.0469999999999999</v>
      </c>
      <c r="D1157" s="10" t="s">
        <v>310</v>
      </c>
      <c r="E1157">
        <v>1.65</v>
      </c>
    </row>
    <row r="1158" spans="1:5">
      <c r="A1158" s="10" t="s">
        <v>2613</v>
      </c>
      <c r="B1158" s="10" t="s">
        <v>2614</v>
      </c>
      <c r="C1158" s="11">
        <v>2.4</v>
      </c>
      <c r="D1158" s="10" t="s">
        <v>310</v>
      </c>
      <c r="E1158">
        <v>1.65</v>
      </c>
    </row>
    <row r="1159" spans="1:5">
      <c r="A1159" s="10" t="s">
        <v>2615</v>
      </c>
      <c r="B1159" s="10" t="s">
        <v>2616</v>
      </c>
      <c r="C1159" s="11">
        <v>2.13</v>
      </c>
      <c r="D1159" s="10" t="s">
        <v>310</v>
      </c>
      <c r="E1159">
        <v>1.65</v>
      </c>
    </row>
    <row r="1160" spans="1:5">
      <c r="A1160" s="10" t="s">
        <v>2617</v>
      </c>
      <c r="B1160" s="10" t="s">
        <v>2618</v>
      </c>
      <c r="C1160" s="11">
        <v>3.9</v>
      </c>
      <c r="D1160" s="10" t="s">
        <v>310</v>
      </c>
      <c r="E1160">
        <v>1.65</v>
      </c>
    </row>
    <row r="1161" spans="1:5">
      <c r="A1161" s="10" t="s">
        <v>2619</v>
      </c>
      <c r="B1161" s="10" t="s">
        <v>2620</v>
      </c>
      <c r="C1161" s="11">
        <v>5.59</v>
      </c>
      <c r="D1161" s="10" t="s">
        <v>310</v>
      </c>
      <c r="E1161">
        <v>1.65</v>
      </c>
    </row>
    <row r="1162" spans="1:5">
      <c r="A1162" s="10" t="s">
        <v>2621</v>
      </c>
      <c r="B1162" s="10" t="s">
        <v>2622</v>
      </c>
      <c r="C1162" s="11">
        <v>7.11</v>
      </c>
      <c r="D1162" s="10" t="s">
        <v>310</v>
      </c>
      <c r="E1162">
        <v>1.65</v>
      </c>
    </row>
    <row r="1163" spans="1:5">
      <c r="A1163" s="10" t="s">
        <v>2623</v>
      </c>
      <c r="B1163" s="10" t="s">
        <v>2624</v>
      </c>
      <c r="C1163" s="11">
        <v>8.43</v>
      </c>
      <c r="D1163" s="10" t="s">
        <v>310</v>
      </c>
      <c r="E1163">
        <v>1.65</v>
      </c>
    </row>
    <row r="1164" spans="1:5">
      <c r="A1164" s="10" t="s">
        <v>2625</v>
      </c>
      <c r="B1164" s="10" t="s">
        <v>2626</v>
      </c>
      <c r="C1164" s="11">
        <v>3.05</v>
      </c>
      <c r="D1164" s="10" t="s">
        <v>310</v>
      </c>
      <c r="E1164">
        <v>1.65</v>
      </c>
    </row>
    <row r="1165" spans="1:5">
      <c r="A1165" s="10" t="s">
        <v>2627</v>
      </c>
      <c r="B1165" s="10" t="s">
        <v>2628</v>
      </c>
      <c r="C1165" s="11">
        <v>2.46</v>
      </c>
      <c r="D1165" s="10" t="s">
        <v>310</v>
      </c>
      <c r="E1165">
        <v>1.65</v>
      </c>
    </row>
    <row r="1166" spans="1:5">
      <c r="A1166" s="10" t="s">
        <v>2629</v>
      </c>
      <c r="B1166" s="10" t="s">
        <v>2630</v>
      </c>
      <c r="C1166" s="11">
        <v>5.41</v>
      </c>
      <c r="D1166" s="10" t="s">
        <v>310</v>
      </c>
      <c r="E1166">
        <v>1.65</v>
      </c>
    </row>
    <row r="1167" spans="1:5">
      <c r="A1167" s="10" t="s">
        <v>2631</v>
      </c>
      <c r="B1167" s="10" t="s">
        <v>2632</v>
      </c>
      <c r="C1167" s="11">
        <v>4.32</v>
      </c>
      <c r="D1167" s="10" t="s">
        <v>310</v>
      </c>
      <c r="E1167">
        <v>1.65</v>
      </c>
    </row>
    <row r="1168" spans="1:5">
      <c r="A1168" s="10" t="s">
        <v>2633</v>
      </c>
      <c r="B1168" s="10" t="s">
        <v>2634</v>
      </c>
      <c r="C1168" s="11">
        <v>6.32</v>
      </c>
      <c r="D1168" s="10" t="s">
        <v>310</v>
      </c>
      <c r="E1168">
        <v>1.65</v>
      </c>
    </row>
    <row r="1169" spans="1:5">
      <c r="A1169" s="10" t="s">
        <v>2635</v>
      </c>
      <c r="B1169" s="10" t="s">
        <v>2636</v>
      </c>
      <c r="C1169" s="11">
        <v>5.61</v>
      </c>
      <c r="D1169" s="10" t="s">
        <v>310</v>
      </c>
      <c r="E1169">
        <v>1.65</v>
      </c>
    </row>
    <row r="1170" spans="1:5">
      <c r="A1170" s="10" t="s">
        <v>2637</v>
      </c>
      <c r="B1170" s="10" t="s">
        <v>2638</v>
      </c>
      <c r="C1170" s="11">
        <v>10.81</v>
      </c>
      <c r="D1170" s="10" t="s">
        <v>310</v>
      </c>
      <c r="E1170">
        <v>1.65</v>
      </c>
    </row>
    <row r="1171" spans="1:5">
      <c r="A1171" s="10" t="s">
        <v>2639</v>
      </c>
      <c r="B1171" s="10" t="s">
        <v>2640</v>
      </c>
      <c r="C1171" s="11">
        <v>8.15</v>
      </c>
      <c r="D1171" s="10" t="s">
        <v>310</v>
      </c>
      <c r="E1171">
        <v>1.65</v>
      </c>
    </row>
    <row r="1172" spans="1:5">
      <c r="A1172" s="10" t="s">
        <v>2641</v>
      </c>
      <c r="B1172" s="10" t="s">
        <v>2642</v>
      </c>
      <c r="C1172" s="11">
        <v>14.71</v>
      </c>
      <c r="D1172" s="10" t="s">
        <v>310</v>
      </c>
      <c r="E1172">
        <v>1.65</v>
      </c>
    </row>
    <row r="1173" spans="1:5">
      <c r="A1173" s="10" t="s">
        <v>2643</v>
      </c>
      <c r="B1173" s="10" t="s">
        <v>2644</v>
      </c>
      <c r="C1173" s="11">
        <v>12.7</v>
      </c>
      <c r="D1173" s="10" t="s">
        <v>310</v>
      </c>
      <c r="E1173">
        <v>1.65</v>
      </c>
    </row>
    <row r="1174" spans="1:5">
      <c r="A1174" s="10" t="s">
        <v>2645</v>
      </c>
      <c r="B1174" s="10" t="s">
        <v>2646</v>
      </c>
      <c r="C1174" s="11">
        <v>4.75</v>
      </c>
      <c r="D1174" s="10" t="s">
        <v>310</v>
      </c>
      <c r="E1174">
        <v>1.65</v>
      </c>
    </row>
    <row r="1175" spans="1:5">
      <c r="A1175" s="10" t="s">
        <v>2647</v>
      </c>
      <c r="B1175" s="10" t="s">
        <v>2648</v>
      </c>
      <c r="C1175" s="11">
        <v>8.81</v>
      </c>
      <c r="D1175" s="10" t="s">
        <v>310</v>
      </c>
      <c r="E1175">
        <v>1.65</v>
      </c>
    </row>
    <row r="1176" spans="1:5">
      <c r="A1176" s="10" t="s">
        <v>2649</v>
      </c>
      <c r="B1176" s="10" t="s">
        <v>2650</v>
      </c>
      <c r="C1176" s="11">
        <v>6.87</v>
      </c>
      <c r="D1176" s="10" t="s">
        <v>310</v>
      </c>
      <c r="E1176">
        <v>1.65</v>
      </c>
    </row>
    <row r="1177" spans="1:5">
      <c r="A1177" s="10" t="s">
        <v>2651</v>
      </c>
      <c r="B1177" s="10" t="s">
        <v>2652</v>
      </c>
      <c r="C1177" s="11">
        <v>12.16</v>
      </c>
      <c r="D1177" s="10" t="s">
        <v>310</v>
      </c>
      <c r="E1177">
        <v>1.65</v>
      </c>
    </row>
    <row r="1178" spans="1:5">
      <c r="A1178" s="10" t="s">
        <v>2653</v>
      </c>
      <c r="B1178" s="10" t="s">
        <v>2654</v>
      </c>
      <c r="C1178" s="11">
        <v>10.58</v>
      </c>
      <c r="D1178" s="10" t="s">
        <v>310</v>
      </c>
      <c r="E1178">
        <v>1.65</v>
      </c>
    </row>
    <row r="1179" spans="1:5">
      <c r="A1179" s="10" t="s">
        <v>2655</v>
      </c>
      <c r="B1179" s="10" t="s">
        <v>2656</v>
      </c>
      <c r="C1179" s="11">
        <v>1.028</v>
      </c>
      <c r="D1179" s="10" t="s">
        <v>310</v>
      </c>
      <c r="E1179">
        <v>1.65</v>
      </c>
    </row>
    <row r="1180" spans="1:5">
      <c r="A1180" s="10" t="s">
        <v>2657</v>
      </c>
      <c r="B1180" s="10" t="s">
        <v>2658</v>
      </c>
      <c r="C1180" s="11">
        <v>0.60489999999999999</v>
      </c>
      <c r="D1180" s="10" t="s">
        <v>310</v>
      </c>
      <c r="E1180">
        <v>1.65</v>
      </c>
    </row>
    <row r="1181" spans="1:5">
      <c r="A1181" s="10" t="s">
        <v>2659</v>
      </c>
      <c r="B1181" s="10" t="s">
        <v>2660</v>
      </c>
      <c r="C1181" s="11">
        <v>13.91</v>
      </c>
      <c r="D1181" s="10" t="s">
        <v>310</v>
      </c>
      <c r="E1181">
        <v>1.65</v>
      </c>
    </row>
    <row r="1182" spans="1:5">
      <c r="A1182" s="10" t="s">
        <v>2661</v>
      </c>
      <c r="B1182" s="10" t="s">
        <v>2662</v>
      </c>
      <c r="C1182" s="11">
        <v>10.7</v>
      </c>
      <c r="D1182" s="10" t="s">
        <v>310</v>
      </c>
      <c r="E1182">
        <v>1.65</v>
      </c>
    </row>
    <row r="1183" spans="1:5">
      <c r="A1183" s="10" t="s">
        <v>2663</v>
      </c>
      <c r="B1183" s="10" t="s">
        <v>2664</v>
      </c>
      <c r="C1183" s="11">
        <v>19.82</v>
      </c>
      <c r="D1183" s="10" t="s">
        <v>310</v>
      </c>
      <c r="E1183">
        <v>1.65</v>
      </c>
    </row>
    <row r="1184" spans="1:5">
      <c r="A1184" s="10" t="s">
        <v>2665</v>
      </c>
      <c r="B1184" s="10" t="s">
        <v>2666</v>
      </c>
      <c r="C1184" s="11">
        <v>16.96</v>
      </c>
      <c r="D1184" s="10" t="s">
        <v>310</v>
      </c>
      <c r="E1184">
        <v>1.65</v>
      </c>
    </row>
    <row r="1185" spans="1:5">
      <c r="A1185" s="10" t="s">
        <v>2667</v>
      </c>
      <c r="B1185" s="10" t="s">
        <v>2668</v>
      </c>
      <c r="C1185" s="11">
        <v>6.46</v>
      </c>
      <c r="D1185" s="10" t="s">
        <v>310</v>
      </c>
      <c r="E1185">
        <v>1.65</v>
      </c>
    </row>
    <row r="1186" spans="1:5">
      <c r="A1186" s="10" t="s">
        <v>2669</v>
      </c>
      <c r="B1186" s="10" t="s">
        <v>2670</v>
      </c>
      <c r="C1186" s="11">
        <v>21.61</v>
      </c>
      <c r="D1186" s="10" t="s">
        <v>310</v>
      </c>
      <c r="E1186">
        <v>1.65</v>
      </c>
    </row>
    <row r="1187" spans="1:5">
      <c r="A1187" s="10" t="s">
        <v>2671</v>
      </c>
      <c r="B1187" s="10" t="s">
        <v>2672</v>
      </c>
      <c r="C1187" s="11">
        <v>12.21</v>
      </c>
      <c r="D1187" s="10" t="s">
        <v>310</v>
      </c>
      <c r="E1187">
        <v>1.65</v>
      </c>
    </row>
    <row r="1188" spans="1:5">
      <c r="A1188" s="10" t="s">
        <v>2673</v>
      </c>
      <c r="B1188" s="10" t="s">
        <v>2674</v>
      </c>
      <c r="C1188" s="11">
        <v>9.42</v>
      </c>
      <c r="D1188" s="10" t="s">
        <v>310</v>
      </c>
      <c r="E1188">
        <v>1.65</v>
      </c>
    </row>
    <row r="1189" spans="1:5">
      <c r="A1189" s="10" t="s">
        <v>2675</v>
      </c>
      <c r="B1189" s="10" t="s">
        <v>2676</v>
      </c>
      <c r="C1189" s="11">
        <v>17.3</v>
      </c>
      <c r="D1189" s="10" t="s">
        <v>310</v>
      </c>
      <c r="E1189">
        <v>1.65</v>
      </c>
    </row>
    <row r="1190" spans="1:5">
      <c r="A1190" s="10" t="s">
        <v>2677</v>
      </c>
      <c r="B1190" s="10" t="s">
        <v>2678</v>
      </c>
      <c r="C1190" s="11">
        <v>14.83</v>
      </c>
      <c r="D1190" s="10" t="s">
        <v>310</v>
      </c>
      <c r="E1190">
        <v>1.65</v>
      </c>
    </row>
    <row r="1191" spans="1:5">
      <c r="A1191" s="10" t="s">
        <v>2679</v>
      </c>
      <c r="B1191" s="10" t="s">
        <v>2680</v>
      </c>
      <c r="C1191" s="11">
        <v>17.32</v>
      </c>
      <c r="D1191" s="10" t="s">
        <v>310</v>
      </c>
      <c r="E1191">
        <v>1.65</v>
      </c>
    </row>
    <row r="1192" spans="1:5">
      <c r="A1192" s="10" t="s">
        <v>2681</v>
      </c>
      <c r="B1192" s="10" t="s">
        <v>2682</v>
      </c>
      <c r="C1192" s="11">
        <v>29.43</v>
      </c>
      <c r="D1192" s="10" t="s">
        <v>310</v>
      </c>
      <c r="E1192">
        <v>1.65</v>
      </c>
    </row>
    <row r="1193" spans="1:5">
      <c r="A1193" s="10" t="s">
        <v>2683</v>
      </c>
      <c r="B1193" s="10" t="s">
        <v>2684</v>
      </c>
      <c r="C1193" s="11">
        <v>28.43</v>
      </c>
      <c r="D1193" s="10" t="s">
        <v>310</v>
      </c>
      <c r="E1193">
        <v>1.65</v>
      </c>
    </row>
    <row r="1194" spans="1:5">
      <c r="A1194" s="10" t="s">
        <v>2685</v>
      </c>
      <c r="B1194" s="10" t="s">
        <v>2686</v>
      </c>
      <c r="C1194" s="11">
        <v>15.62</v>
      </c>
      <c r="D1194" s="10" t="s">
        <v>310</v>
      </c>
      <c r="E1194">
        <v>1.65</v>
      </c>
    </row>
    <row r="1195" spans="1:5">
      <c r="A1195" s="10" t="s">
        <v>2687</v>
      </c>
      <c r="B1195" s="10" t="s">
        <v>2688</v>
      </c>
      <c r="C1195" s="11">
        <v>11.97</v>
      </c>
      <c r="D1195" s="10" t="s">
        <v>310</v>
      </c>
      <c r="E1195">
        <v>1.65</v>
      </c>
    </row>
    <row r="1196" spans="1:5">
      <c r="A1196" s="10" t="s">
        <v>2689</v>
      </c>
      <c r="B1196" s="10" t="s">
        <v>2690</v>
      </c>
      <c r="C1196" s="11">
        <v>22.37</v>
      </c>
      <c r="D1196" s="10" t="s">
        <v>310</v>
      </c>
      <c r="E1196">
        <v>1.65</v>
      </c>
    </row>
    <row r="1197" spans="1:5">
      <c r="A1197" s="10" t="s">
        <v>2691</v>
      </c>
      <c r="B1197" s="10" t="s">
        <v>2692</v>
      </c>
      <c r="C1197" s="11">
        <v>19.079999999999998</v>
      </c>
      <c r="D1197" s="10" t="s">
        <v>310</v>
      </c>
      <c r="E1197">
        <v>1.65</v>
      </c>
    </row>
    <row r="1198" spans="1:5">
      <c r="A1198" s="10" t="s">
        <v>2693</v>
      </c>
      <c r="B1198" s="10" t="s">
        <v>2694</v>
      </c>
      <c r="C1198" s="11">
        <v>35.24</v>
      </c>
      <c r="D1198" s="10" t="s">
        <v>310</v>
      </c>
      <c r="E1198">
        <v>1.65</v>
      </c>
    </row>
    <row r="1199" spans="1:5" s="69" customFormat="1">
      <c r="A1199" s="67" t="s">
        <v>2695</v>
      </c>
      <c r="B1199" s="67" t="s">
        <v>2696</v>
      </c>
      <c r="C1199" s="68">
        <v>19.02</v>
      </c>
      <c r="D1199" s="67" t="s">
        <v>310</v>
      </c>
      <c r="E1199" s="69">
        <v>1.65</v>
      </c>
    </row>
    <row r="1200" spans="1:5">
      <c r="A1200" s="10" t="s">
        <v>2697</v>
      </c>
      <c r="B1200" s="10" t="s">
        <v>2698</v>
      </c>
      <c r="C1200" s="11">
        <v>14.53</v>
      </c>
      <c r="D1200" s="10" t="s">
        <v>310</v>
      </c>
      <c r="E1200">
        <v>1.65</v>
      </c>
    </row>
    <row r="1201" spans="1:5">
      <c r="A1201" s="10" t="s">
        <v>2699</v>
      </c>
      <c r="B1201" s="10" t="s">
        <v>2700</v>
      </c>
      <c r="C1201" s="11">
        <v>27.48</v>
      </c>
      <c r="D1201" s="10" t="s">
        <v>310</v>
      </c>
      <c r="E1201">
        <v>1.65</v>
      </c>
    </row>
    <row r="1202" spans="1:5">
      <c r="A1202" s="10" t="s">
        <v>2701</v>
      </c>
      <c r="B1202" s="10" t="s">
        <v>2702</v>
      </c>
      <c r="C1202" s="11">
        <v>23.34</v>
      </c>
      <c r="D1202" s="10" t="s">
        <v>310</v>
      </c>
      <c r="E1202">
        <v>1.65</v>
      </c>
    </row>
    <row r="1203" spans="1:5">
      <c r="A1203" s="10" t="s">
        <v>2703</v>
      </c>
      <c r="B1203" s="10" t="s">
        <v>2704</v>
      </c>
      <c r="C1203" s="11">
        <v>22.42</v>
      </c>
      <c r="D1203" s="10" t="s">
        <v>310</v>
      </c>
      <c r="E1203">
        <v>1.65</v>
      </c>
    </row>
    <row r="1204" spans="1:5">
      <c r="A1204" s="10" t="s">
        <v>2705</v>
      </c>
      <c r="B1204" s="10" t="s">
        <v>2706</v>
      </c>
      <c r="C1204" s="11">
        <v>32.58</v>
      </c>
      <c r="D1204" s="10" t="s">
        <v>310</v>
      </c>
      <c r="E1204">
        <v>1.65</v>
      </c>
    </row>
    <row r="1205" spans="1:5">
      <c r="A1205" s="10" t="s">
        <v>2707</v>
      </c>
      <c r="B1205" s="10" t="s">
        <v>2708</v>
      </c>
      <c r="C1205" s="11">
        <v>27.59</v>
      </c>
      <c r="D1205" s="10" t="s">
        <v>310</v>
      </c>
      <c r="E1205">
        <v>1.65</v>
      </c>
    </row>
    <row r="1206" spans="1:5">
      <c r="A1206" s="10" t="s">
        <v>2709</v>
      </c>
      <c r="B1206" s="10" t="s">
        <v>2710</v>
      </c>
      <c r="C1206" s="11">
        <v>13</v>
      </c>
      <c r="D1206" s="10" t="s">
        <v>310</v>
      </c>
      <c r="E1206" t="e">
        <v>#N/A</v>
      </c>
    </row>
    <row r="1207" spans="1:5">
      <c r="A1207" s="10" t="s">
        <v>2711</v>
      </c>
      <c r="B1207" s="10" t="s">
        <v>2712</v>
      </c>
      <c r="C1207" s="11">
        <v>16</v>
      </c>
      <c r="D1207" s="10" t="s">
        <v>310</v>
      </c>
      <c r="E1207" t="e">
        <v>#N/A</v>
      </c>
    </row>
    <row r="1208" spans="1:5">
      <c r="A1208" s="10" t="s">
        <v>2713</v>
      </c>
      <c r="B1208" s="10" t="s">
        <v>2714</v>
      </c>
      <c r="C1208" s="11">
        <v>19</v>
      </c>
      <c r="D1208" s="10" t="s">
        <v>310</v>
      </c>
      <c r="E1208" t="e">
        <v>#N/A</v>
      </c>
    </row>
    <row r="1209" spans="1:5">
      <c r="A1209" s="10" t="s">
        <v>2715</v>
      </c>
      <c r="B1209" s="10" t="s">
        <v>2716</v>
      </c>
      <c r="C1209" s="11">
        <v>12</v>
      </c>
      <c r="D1209" s="10" t="s">
        <v>310</v>
      </c>
      <c r="E1209" t="e">
        <v>#N/A</v>
      </c>
    </row>
    <row r="1210" spans="1:5">
      <c r="A1210" s="10" t="s">
        <v>2717</v>
      </c>
      <c r="B1210" s="10" t="s">
        <v>2718</v>
      </c>
      <c r="C1210" s="11">
        <v>15</v>
      </c>
      <c r="D1210" s="10" t="s">
        <v>310</v>
      </c>
      <c r="E1210" t="e">
        <v>#N/A</v>
      </c>
    </row>
    <row r="1211" spans="1:5">
      <c r="A1211" s="10" t="s">
        <v>2719</v>
      </c>
      <c r="B1211" s="10" t="s">
        <v>2720</v>
      </c>
      <c r="C1211" s="11">
        <v>16</v>
      </c>
      <c r="D1211" s="10" t="s">
        <v>310</v>
      </c>
      <c r="E1211" t="e">
        <v>#N/A</v>
      </c>
    </row>
    <row r="1212" spans="1:5">
      <c r="A1212" s="10" t="s">
        <v>2721</v>
      </c>
      <c r="B1212" s="10" t="s">
        <v>2722</v>
      </c>
      <c r="C1212" s="11">
        <v>20</v>
      </c>
      <c r="D1212" s="10" t="s">
        <v>310</v>
      </c>
      <c r="E1212" t="e">
        <v>#N/A</v>
      </c>
    </row>
    <row r="1213" spans="1:5">
      <c r="A1213" s="10" t="s">
        <v>2723</v>
      </c>
      <c r="B1213" s="10" t="s">
        <v>2724</v>
      </c>
      <c r="C1213" s="11">
        <v>9</v>
      </c>
      <c r="D1213" s="10" t="s">
        <v>310</v>
      </c>
      <c r="E1213" t="e">
        <v>#N/A</v>
      </c>
    </row>
    <row r="1214" spans="1:5">
      <c r="A1214" s="10" t="s">
        <v>2725</v>
      </c>
      <c r="B1214" s="10" t="s">
        <v>2726</v>
      </c>
      <c r="C1214" s="11">
        <v>14</v>
      </c>
      <c r="D1214" s="10" t="s">
        <v>310</v>
      </c>
      <c r="E1214">
        <v>0.4</v>
      </c>
    </row>
    <row r="1215" spans="1:5">
      <c r="A1215" s="10" t="s">
        <v>2727</v>
      </c>
      <c r="B1215" s="10" t="s">
        <v>2728</v>
      </c>
      <c r="C1215" s="11">
        <v>13</v>
      </c>
      <c r="D1215" s="10" t="s">
        <v>310</v>
      </c>
      <c r="E1215" t="e">
        <v>#N/A</v>
      </c>
    </row>
    <row r="1216" spans="1:5">
      <c r="A1216" s="10" t="s">
        <v>2729</v>
      </c>
      <c r="B1216" s="10" t="s">
        <v>2730</v>
      </c>
      <c r="C1216" s="11">
        <v>16</v>
      </c>
      <c r="D1216" s="10" t="s">
        <v>310</v>
      </c>
      <c r="E1216" t="e">
        <v>#N/A</v>
      </c>
    </row>
    <row r="1217" spans="1:5">
      <c r="A1217" s="10" t="s">
        <v>2731</v>
      </c>
      <c r="B1217" s="10" t="s">
        <v>2732</v>
      </c>
      <c r="C1217" s="11">
        <v>19</v>
      </c>
      <c r="D1217" s="10" t="s">
        <v>310</v>
      </c>
      <c r="E1217" t="e">
        <v>#N/A</v>
      </c>
    </row>
    <row r="1218" spans="1:5">
      <c r="A1218" s="10" t="s">
        <v>2733</v>
      </c>
      <c r="B1218" s="10" t="s">
        <v>2734</v>
      </c>
      <c r="C1218" s="11">
        <v>12</v>
      </c>
      <c r="D1218" s="10" t="s">
        <v>310</v>
      </c>
      <c r="E1218" t="e">
        <v>#N/A</v>
      </c>
    </row>
    <row r="1219" spans="1:5">
      <c r="A1219" s="10" t="s">
        <v>2735</v>
      </c>
      <c r="B1219" s="10" t="s">
        <v>2736</v>
      </c>
      <c r="C1219" s="11">
        <v>15</v>
      </c>
      <c r="D1219" s="10" t="s">
        <v>310</v>
      </c>
      <c r="E1219" t="e">
        <v>#N/A</v>
      </c>
    </row>
    <row r="1220" spans="1:5">
      <c r="A1220" s="10" t="s">
        <v>2737</v>
      </c>
      <c r="B1220" s="10" t="s">
        <v>2738</v>
      </c>
      <c r="C1220" s="11">
        <v>16</v>
      </c>
      <c r="D1220" s="10" t="s">
        <v>310</v>
      </c>
      <c r="E1220" t="e">
        <v>#N/A</v>
      </c>
    </row>
    <row r="1221" spans="1:5">
      <c r="A1221" s="10" t="s">
        <v>2739</v>
      </c>
      <c r="B1221" s="10" t="s">
        <v>2740</v>
      </c>
      <c r="C1221" s="11">
        <v>20</v>
      </c>
      <c r="D1221" s="10" t="s">
        <v>310</v>
      </c>
      <c r="E1221" t="e">
        <v>#N/A</v>
      </c>
    </row>
    <row r="1222" spans="1:5">
      <c r="A1222" s="10" t="s">
        <v>2741</v>
      </c>
      <c r="B1222" s="10" t="s">
        <v>2742</v>
      </c>
      <c r="C1222" s="11">
        <v>25</v>
      </c>
      <c r="D1222" s="10" t="s">
        <v>310</v>
      </c>
      <c r="E1222" t="e">
        <v>#N/A</v>
      </c>
    </row>
    <row r="1223" spans="1:5">
      <c r="A1223" s="10" t="s">
        <v>2743</v>
      </c>
      <c r="B1223" s="10" t="s">
        <v>2744</v>
      </c>
      <c r="C1223" s="11">
        <v>9</v>
      </c>
      <c r="D1223" s="10" t="s">
        <v>310</v>
      </c>
      <c r="E1223" t="e">
        <v>#N/A</v>
      </c>
    </row>
    <row r="1224" spans="1:5">
      <c r="A1224" s="10" t="s">
        <v>2745</v>
      </c>
      <c r="B1224" s="10" t="s">
        <v>2746</v>
      </c>
      <c r="C1224" s="11">
        <v>10</v>
      </c>
      <c r="D1224" s="10" t="s">
        <v>310</v>
      </c>
      <c r="E1224" t="e">
        <v>#N/A</v>
      </c>
    </row>
    <row r="1225" spans="1:5">
      <c r="A1225" s="10" t="s">
        <v>2747</v>
      </c>
      <c r="B1225" s="10" t="s">
        <v>2748</v>
      </c>
      <c r="C1225" s="11">
        <v>13</v>
      </c>
      <c r="D1225" s="10" t="s">
        <v>310</v>
      </c>
      <c r="E1225" t="e">
        <v>#N/A</v>
      </c>
    </row>
    <row r="1226" spans="1:5">
      <c r="A1226" s="10" t="s">
        <v>2749</v>
      </c>
      <c r="B1226" s="10" t="s">
        <v>2750</v>
      </c>
      <c r="C1226" s="11">
        <v>15</v>
      </c>
      <c r="D1226" s="10" t="s">
        <v>310</v>
      </c>
      <c r="E1226" t="e">
        <v>#N/A</v>
      </c>
    </row>
    <row r="1227" spans="1:5">
      <c r="A1227" s="10" t="s">
        <v>2751</v>
      </c>
      <c r="B1227" s="10" t="s">
        <v>2752</v>
      </c>
      <c r="C1227" s="11">
        <v>18</v>
      </c>
      <c r="D1227" s="10" t="s">
        <v>310</v>
      </c>
      <c r="E1227" t="e">
        <v>#N/A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B60D97-A6E0-439C-B109-0D616C1933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FB Laser</vt:lpstr>
      <vt:lpstr>Tube Laser</vt:lpstr>
      <vt:lpstr>Notes</vt:lpstr>
      <vt:lpstr>Forming</vt:lpstr>
      <vt:lpstr>Tube Bending</vt:lpstr>
      <vt:lpstr>Welding</vt:lpstr>
      <vt:lpstr>Machining</vt:lpstr>
      <vt:lpstr>Hardware Install</vt:lpstr>
      <vt:lpstr>Finishing</vt:lpstr>
      <vt:lpstr>Quote Info</vt:lpstr>
      <vt:lpstr>Phase Codes</vt:lpstr>
      <vt:lpstr>FB Data</vt:lpstr>
      <vt:lpstr>TL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</dc:creator>
  <cp:lastModifiedBy>Michael Schneider</cp:lastModifiedBy>
  <dcterms:created xsi:type="dcterms:W3CDTF">2020-03-13T20:06:18Z</dcterms:created>
  <dcterms:modified xsi:type="dcterms:W3CDTF">2023-09-12T17:56:02Z</dcterms:modified>
</cp:coreProperties>
</file>