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tmp" ContentType="image/p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jwmcd-my.sharepoint.com/personal/dadams_jwmcd_com/Documents/Shared/"/>
    </mc:Choice>
  </mc:AlternateContent>
  <xr:revisionPtr revIDLastSave="0" documentId="8_{5DB1C413-81D4-449F-85D5-BCE4EC8EC417}" xr6:coauthVersionLast="47" xr6:coauthVersionMax="47" xr10:uidLastSave="{00000000-0000-0000-0000-000000000000}"/>
  <bookViews>
    <workbookView xWindow="-120" yWindow="-120" windowWidth="29040" windowHeight="15720" tabRatio="926" firstSheet="2" activeTab="2" xr2:uid="{00000000-000D-0000-FFFF-FFFF00000000}"/>
  </bookViews>
  <sheets>
    <sheet name="Production Schedule" sheetId="1" r:id="rId1"/>
    <sheet name="Pre-Release" sheetId="9" r:id="rId2"/>
    <sheet name="AXYZ Titans CNC Schedule" sheetId="11" r:id="rId3"/>
    <sheet name="AXYZ CNC Schedule" sheetId="10" r:id="rId4"/>
    <sheet name="Clean and Brake Schedule" sheetId="12" r:id="rId5"/>
    <sheet name="Fab Schedule" sheetId="13" r:id="rId6"/>
    <sheet name="Shear Schedule" sheetId="17" r:id="rId7"/>
    <sheet name="Cidan Schedule" sheetId="18" r:id="rId8"/>
    <sheet name="Extrusion Saw Schedule" sheetId="26" r:id="rId9"/>
    <sheet name="Punch Schedule" sheetId="21" r:id="rId10"/>
    <sheet name="Roller Schedule" sheetId="27" r:id="rId11"/>
    <sheet name="Ship Schedule" sheetId="22" r:id="rId12"/>
    <sheet name="Notes" sheetId="14" r:id="rId13"/>
    <sheet name="Job Operations" sheetId="6" r:id="rId14"/>
    <sheet name="Comments" sheetId="2" r:id="rId15"/>
    <sheet name="Lookup" sheetId="15" state="hidden" r:id="rId16"/>
    <sheet name="Future Notes" sheetId="23" r:id="rId17"/>
    <sheet name="Meleta Schedule" sheetId="28" r:id="rId18"/>
    <sheet name="Forcast" sheetId="24" r:id="rId19"/>
    <sheet name="Summary Dashboard" sheetId="30" r:id="rId20"/>
  </sheets>
  <definedNames>
    <definedName name="_xlnm._FilterDatabase" localSheetId="8" hidden="1">'Extrusion Saw Schedule'!$A$6:$L$16</definedName>
    <definedName name="_xlnm._FilterDatabase" localSheetId="5" hidden="1">'Fab Schedule'!$H$1:$H$100</definedName>
    <definedName name="_xlnm._FilterDatabase" localSheetId="11" hidden="1">'Ship Schedule'!$A$4:$H$289</definedName>
    <definedName name="AllJobIDs">_xlfn.ANCHORARRAY(Lookup!$A$2)</definedName>
    <definedName name="FilteredJobIDs">_xlfn.ANCHORARRAY(Lookup!$C$2)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89" i="14" l="1"/>
  <c r="C263" i="14"/>
  <c r="C262" i="14"/>
  <c r="C199" i="14"/>
  <c r="E199" i="14" s="1"/>
  <c r="C194" i="14"/>
  <c r="O33" i="28"/>
  <c r="O32" i="28"/>
  <c r="O31" i="28"/>
  <c r="F199" i="14" l="1"/>
  <c r="E262" i="14"/>
  <c r="F262" i="14" s="1"/>
  <c r="E263" i="14"/>
  <c r="F263" i="14" s="1"/>
  <c r="E289" i="14"/>
  <c r="F289" i="14" s="1"/>
  <c r="E194" i="14"/>
  <c r="F194" i="14" s="1"/>
  <c r="C321" i="14" l="1"/>
  <c r="C320" i="14"/>
  <c r="C319" i="14"/>
  <c r="C318" i="14"/>
  <c r="C317" i="14"/>
  <c r="C316" i="14"/>
  <c r="C315" i="14"/>
  <c r="C314" i="14"/>
  <c r="C313" i="14"/>
  <c r="C312" i="14"/>
  <c r="C311" i="14"/>
  <c r="C310" i="14"/>
  <c r="C309" i="14"/>
  <c r="C308" i="14"/>
  <c r="C306" i="14"/>
  <c r="C305" i="14"/>
  <c r="C304" i="14"/>
  <c r="C303" i="14"/>
  <c r="C302" i="14"/>
  <c r="C301" i="14"/>
  <c r="C300" i="14"/>
  <c r="C299" i="14"/>
  <c r="C298" i="14"/>
  <c r="C297" i="14"/>
  <c r="C296" i="14"/>
  <c r="C295" i="14"/>
  <c r="C294" i="14"/>
  <c r="C293" i="14"/>
  <c r="C292" i="14"/>
  <c r="C291" i="14"/>
  <c r="C290" i="14"/>
  <c r="C288" i="14"/>
  <c r="C287" i="14"/>
  <c r="C286" i="14"/>
  <c r="C285" i="14"/>
  <c r="C284" i="14"/>
  <c r="C283" i="14"/>
  <c r="C282" i="14"/>
  <c r="C281" i="14"/>
  <c r="C280" i="14"/>
  <c r="C279" i="14"/>
  <c r="C278" i="14"/>
  <c r="C277" i="14"/>
  <c r="C276" i="14"/>
  <c r="C275" i="14"/>
  <c r="C274" i="14"/>
  <c r="C273" i="14"/>
  <c r="C272" i="14"/>
  <c r="C271" i="14"/>
  <c r="C270" i="14"/>
  <c r="C268" i="14"/>
  <c r="C267" i="14"/>
  <c r="C266" i="14"/>
  <c r="C265" i="14"/>
  <c r="C264" i="14"/>
  <c r="C261" i="14"/>
  <c r="C260" i="14"/>
  <c r="C259" i="14"/>
  <c r="C258" i="14"/>
  <c r="C257" i="14"/>
  <c r="C256" i="14"/>
  <c r="C255" i="14"/>
  <c r="C254" i="14"/>
  <c r="C253" i="14"/>
  <c r="C252" i="14"/>
  <c r="C251" i="14"/>
  <c r="C250" i="14"/>
  <c r="C249" i="14"/>
  <c r="C248" i="14"/>
  <c r="C247" i="14"/>
  <c r="C246" i="14"/>
  <c r="C245" i="14"/>
  <c r="C244" i="14"/>
  <c r="C243" i="14"/>
  <c r="C242" i="14"/>
  <c r="C241" i="14"/>
  <c r="C240" i="14"/>
  <c r="C239" i="14"/>
  <c r="C238" i="14"/>
  <c r="C237" i="14"/>
  <c r="C236" i="14"/>
  <c r="C235" i="14"/>
  <c r="C234" i="14"/>
  <c r="C233" i="14"/>
  <c r="C232" i="14"/>
  <c r="C231" i="14"/>
  <c r="C230" i="14"/>
  <c r="C229" i="14"/>
  <c r="C228" i="14"/>
  <c r="C227" i="14"/>
  <c r="C226" i="14"/>
  <c r="C225" i="14"/>
  <c r="C224" i="14"/>
  <c r="C223" i="14"/>
  <c r="C222" i="14"/>
  <c r="C221" i="14"/>
  <c r="C220" i="14"/>
  <c r="C219" i="14"/>
  <c r="C218" i="14"/>
  <c r="C217" i="14"/>
  <c r="C216" i="14"/>
  <c r="C215" i="14"/>
  <c r="C214" i="14"/>
  <c r="C213" i="14"/>
  <c r="C212" i="14"/>
  <c r="C211" i="14"/>
  <c r="C210" i="14"/>
  <c r="C209" i="14"/>
  <c r="C208" i="14"/>
  <c r="C207" i="14"/>
  <c r="C206" i="14"/>
  <c r="C205" i="14"/>
  <c r="C204" i="14"/>
  <c r="C203" i="14"/>
  <c r="C202" i="14"/>
  <c r="C201" i="14"/>
  <c r="C200" i="14"/>
  <c r="C198" i="14"/>
  <c r="C197" i="14"/>
  <c r="C196" i="14"/>
  <c r="C195" i="14"/>
  <c r="C193" i="14"/>
  <c r="C192" i="14"/>
  <c r="C191" i="14"/>
  <c r="C190" i="14"/>
  <c r="C189" i="14"/>
  <c r="C188" i="14"/>
  <c r="C187" i="14"/>
  <c r="C186" i="14"/>
  <c r="C185" i="14"/>
  <c r="C184" i="14"/>
  <c r="C183" i="14"/>
  <c r="C182" i="14"/>
  <c r="C181" i="14"/>
  <c r="C180" i="14"/>
  <c r="C179" i="14"/>
  <c r="C178" i="14"/>
  <c r="C177" i="14"/>
  <c r="C176" i="14"/>
  <c r="C175" i="14"/>
  <c r="C174" i="14"/>
  <c r="C173" i="14"/>
  <c r="C172" i="14"/>
  <c r="C171" i="14"/>
  <c r="C169" i="14"/>
  <c r="C168" i="14"/>
  <c r="C167" i="14"/>
  <c r="C166" i="14"/>
  <c r="C165" i="14"/>
  <c r="C164" i="14"/>
  <c r="C163" i="14"/>
  <c r="C162" i="14"/>
  <c r="C161" i="14"/>
  <c r="C160" i="14"/>
  <c r="C159" i="14"/>
  <c r="C158" i="14"/>
  <c r="C157" i="14"/>
  <c r="C155" i="14"/>
  <c r="C154" i="14"/>
  <c r="C153" i="14"/>
  <c r="C152" i="14"/>
  <c r="C151" i="14"/>
  <c r="C150" i="14"/>
  <c r="C149" i="14"/>
  <c r="C148" i="14"/>
  <c r="C146" i="14"/>
  <c r="C145" i="14"/>
  <c r="C144" i="14"/>
  <c r="C143" i="14"/>
  <c r="C142" i="14"/>
  <c r="C141" i="14"/>
  <c r="C140" i="14"/>
  <c r="C139" i="14"/>
  <c r="C138" i="14"/>
  <c r="C137" i="14"/>
  <c r="C136" i="14"/>
  <c r="C135" i="14"/>
  <c r="C134" i="14"/>
  <c r="C133" i="14"/>
  <c r="C132" i="14"/>
  <c r="C131" i="14"/>
  <c r="C130" i="14"/>
  <c r="C129" i="14"/>
  <c r="C128" i="14"/>
  <c r="C127" i="14"/>
  <c r="C126" i="14"/>
  <c r="C125" i="14"/>
  <c r="C124" i="14"/>
  <c r="C123" i="14"/>
  <c r="C122" i="14"/>
  <c r="C121" i="14"/>
  <c r="C120" i="14"/>
  <c r="C119" i="14"/>
  <c r="C118" i="14"/>
  <c r="C117" i="14"/>
  <c r="C116" i="14"/>
  <c r="C115" i="14"/>
  <c r="C114" i="14"/>
  <c r="C113" i="14"/>
  <c r="C112" i="14"/>
  <c r="C111" i="14"/>
  <c r="C110" i="14"/>
  <c r="C109" i="14"/>
  <c r="C108" i="14"/>
  <c r="C107" i="14"/>
  <c r="C106" i="14"/>
  <c r="C105" i="14"/>
  <c r="C104" i="14"/>
  <c r="C103" i="14"/>
  <c r="C102" i="14"/>
  <c r="C101" i="14"/>
  <c r="C100" i="14"/>
  <c r="C99" i="14"/>
  <c r="C98" i="14"/>
  <c r="C97" i="14"/>
  <c r="C96" i="14"/>
  <c r="C95" i="14"/>
  <c r="C94" i="14"/>
  <c r="C93" i="14"/>
  <c r="C92" i="14"/>
  <c r="C91" i="14"/>
  <c r="C90" i="14"/>
  <c r="C89" i="14"/>
  <c r="C88" i="14"/>
  <c r="C87" i="14"/>
  <c r="C86" i="14"/>
  <c r="C85" i="14"/>
  <c r="C84" i="14"/>
  <c r="C83" i="14"/>
  <c r="C82" i="14"/>
  <c r="C81" i="14"/>
  <c r="C80" i="14"/>
  <c r="C79" i="14"/>
  <c r="C78" i="14"/>
  <c r="C77" i="14"/>
  <c r="C76" i="14"/>
  <c r="C75" i="14"/>
  <c r="C74" i="14"/>
  <c r="C73" i="14"/>
  <c r="C72" i="14"/>
  <c r="C71" i="14"/>
  <c r="C70" i="14"/>
  <c r="C69" i="14"/>
  <c r="C68" i="14"/>
  <c r="C67" i="14"/>
  <c r="C66" i="14"/>
  <c r="C65" i="14"/>
  <c r="C64" i="14"/>
  <c r="C63" i="14"/>
  <c r="C62" i="14"/>
  <c r="C61" i="14"/>
  <c r="C60" i="14"/>
  <c r="C59" i="14"/>
  <c r="C58" i="14"/>
  <c r="C57" i="14"/>
  <c r="C56" i="14"/>
  <c r="C55" i="14"/>
  <c r="C54" i="14"/>
  <c r="C53" i="14"/>
  <c r="C52" i="14"/>
  <c r="C51" i="14"/>
  <c r="C50" i="14"/>
  <c r="C49" i="14"/>
  <c r="C48" i="14"/>
  <c r="C47" i="14"/>
  <c r="C46" i="14"/>
  <c r="C45" i="14"/>
  <c r="C44" i="14"/>
  <c r="C43" i="14"/>
  <c r="C42" i="14"/>
  <c r="C41" i="14"/>
  <c r="C40" i="14"/>
  <c r="C39" i="14"/>
  <c r="C38" i="14"/>
  <c r="C37" i="14"/>
  <c r="C36" i="14"/>
  <c r="C35" i="14"/>
  <c r="C34" i="14"/>
  <c r="C33" i="14"/>
  <c r="C32" i="14"/>
  <c r="C31" i="14"/>
  <c r="C30" i="14"/>
  <c r="C29" i="14"/>
  <c r="C28" i="14"/>
  <c r="C27" i="14"/>
  <c r="C26" i="14"/>
  <c r="C25" i="14"/>
  <c r="C24" i="14"/>
  <c r="C23" i="14"/>
  <c r="C21" i="14"/>
  <c r="C20" i="14"/>
  <c r="C19" i="14"/>
  <c r="C18" i="14"/>
  <c r="C17" i="14"/>
  <c r="C16" i="14"/>
  <c r="C15" i="14"/>
  <c r="C14" i="14"/>
  <c r="C13" i="14"/>
  <c r="C12" i="14"/>
  <c r="C11" i="14"/>
  <c r="C10" i="14"/>
  <c r="C9" i="14"/>
  <c r="C8" i="14"/>
  <c r="C7" i="14"/>
  <c r="C6" i="14"/>
  <c r="C5" i="14"/>
  <c r="C4" i="14"/>
  <c r="C3" i="14"/>
  <c r="C2" i="14"/>
  <c r="P13" i="28"/>
  <c r="P14" i="28"/>
  <c r="P15" i="28"/>
  <c r="P16" i="28"/>
  <c r="P17" i="28"/>
  <c r="P18" i="28"/>
  <c r="P19" i="28"/>
  <c r="P20" i="28"/>
  <c r="P21" i="28"/>
  <c r="P22" i="28"/>
  <c r="P23" i="28"/>
  <c r="P24" i="28"/>
  <c r="P25" i="28"/>
  <c r="P26" i="28"/>
  <c r="P27" i="28"/>
  <c r="P28" i="28"/>
  <c r="P29" i="28"/>
  <c r="P30" i="28"/>
  <c r="P31" i="28"/>
  <c r="P32" i="28"/>
  <c r="P33" i="28"/>
  <c r="O13" i="28"/>
  <c r="O14" i="28"/>
  <c r="O15" i="28"/>
  <c r="Q15" i="28" s="1"/>
  <c r="O16" i="28"/>
  <c r="Q16" i="28" s="1"/>
  <c r="O17" i="28"/>
  <c r="Q17" i="28" s="1"/>
  <c r="O18" i="28"/>
  <c r="Q18" i="28" s="1"/>
  <c r="O19" i="28"/>
  <c r="Q19" i="28" s="1"/>
  <c r="O20" i="28"/>
  <c r="Q20" i="28" s="1"/>
  <c r="O21" i="28"/>
  <c r="Q21" i="28" s="1"/>
  <c r="O22" i="28"/>
  <c r="Q22" i="28" s="1"/>
  <c r="O23" i="28"/>
  <c r="Q23" i="28" s="1"/>
  <c r="O24" i="28"/>
  <c r="Q24" i="28" s="1"/>
  <c r="O25" i="28"/>
  <c r="Q25" i="28" s="1"/>
  <c r="O26" i="28"/>
  <c r="Q26" i="28" s="1"/>
  <c r="O27" i="28"/>
  <c r="Q27" i="28" s="1"/>
  <c r="O28" i="28"/>
  <c r="Q28" i="28" s="1"/>
  <c r="O29" i="28"/>
  <c r="Q29" i="28" s="1"/>
  <c r="O30" i="28"/>
  <c r="Q30" i="28" s="1"/>
  <c r="Q31" i="28"/>
  <c r="Q32" i="28"/>
  <c r="Q33" i="28"/>
  <c r="K21" i="22"/>
  <c r="A5" i="22" a="1"/>
  <c r="A18" i="30" a="1"/>
  <c r="A18" i="30" s="1"/>
  <c r="H18" i="30" s="1"/>
  <c r="J35" i="30" a="1"/>
  <c r="J35" i="30" s="1"/>
  <c r="G35" i="30" a="1"/>
  <c r="G35" i="30" s="1"/>
  <c r="D35" i="30" a="1"/>
  <c r="D35" i="30" s="1"/>
  <c r="B42" i="30"/>
  <c r="B41" i="30"/>
  <c r="B40" i="30"/>
  <c r="B39" i="30"/>
  <c r="B38" i="30"/>
  <c r="B37" i="30"/>
  <c r="N33" i="30" a="1"/>
  <c r="N33" i="30" s="1"/>
  <c r="M33" i="30" a="1"/>
  <c r="M33" i="30" s="1"/>
  <c r="N32" i="30" a="1"/>
  <c r="N32" i="30" s="1"/>
  <c r="M32" i="30" a="1"/>
  <c r="M32" i="30" s="1"/>
  <c r="N31" i="30" a="1"/>
  <c r="N31" i="30" s="1"/>
  <c r="M31" i="30" a="1"/>
  <c r="M31" i="30" s="1"/>
  <c r="L33" i="30" a="1"/>
  <c r="L33" i="30" s="1"/>
  <c r="K33" i="30" a="1"/>
  <c r="K33" i="30" s="1"/>
  <c r="L32" i="30" a="1"/>
  <c r="L32" i="30" s="1"/>
  <c r="K32" i="30" a="1"/>
  <c r="K32" i="30" s="1"/>
  <c r="L31" i="30" a="1"/>
  <c r="L31" i="30" s="1"/>
  <c r="K31" i="30" a="1"/>
  <c r="K31" i="30" s="1"/>
  <c r="J33" i="30" a="1"/>
  <c r="J33" i="30" s="1"/>
  <c r="I33" i="30" a="1"/>
  <c r="I33" i="30" s="1"/>
  <c r="J32" i="30" a="1"/>
  <c r="J32" i="30" s="1"/>
  <c r="I32" i="30" a="1"/>
  <c r="I32" i="30" s="1"/>
  <c r="J31" i="30" a="1"/>
  <c r="J31" i="30" s="1"/>
  <c r="I31" i="30" a="1"/>
  <c r="I31" i="30" s="1"/>
  <c r="H33" i="30" a="1"/>
  <c r="H33" i="30" s="1"/>
  <c r="G33" i="30" a="1"/>
  <c r="G33" i="30" s="1"/>
  <c r="H32" i="30" a="1"/>
  <c r="H32" i="30" s="1"/>
  <c r="G32" i="30" a="1"/>
  <c r="G32" i="30" s="1"/>
  <c r="H31" i="30" a="1"/>
  <c r="H31" i="30" s="1"/>
  <c r="G31" i="30" a="1"/>
  <c r="G31" i="30" s="1"/>
  <c r="F33" i="30" a="1"/>
  <c r="F33" i="30" s="1"/>
  <c r="E33" i="30" a="1"/>
  <c r="E33" i="30" s="1"/>
  <c r="F32" i="30" a="1"/>
  <c r="F32" i="30" s="1"/>
  <c r="E32" i="30" a="1"/>
  <c r="E32" i="30" s="1"/>
  <c r="F31" i="30" a="1"/>
  <c r="F31" i="30" s="1"/>
  <c r="E31" i="30" a="1"/>
  <c r="E31" i="30" s="1"/>
  <c r="D33" i="30" a="1"/>
  <c r="D33" i="30" s="1"/>
  <c r="C33" i="30" a="1"/>
  <c r="C33" i="30" s="1"/>
  <c r="D32" i="30" a="1"/>
  <c r="D32" i="30" s="1"/>
  <c r="C32" i="30" a="1"/>
  <c r="C32" i="30" s="1"/>
  <c r="D31" i="30" a="1"/>
  <c r="D31" i="30" s="1"/>
  <c r="C31" i="30" a="1"/>
  <c r="C31" i="30" s="1"/>
  <c r="B33" i="30" a="1"/>
  <c r="B33" i="30" s="1"/>
  <c r="A33" i="30" a="1"/>
  <c r="A33" i="30" s="1"/>
  <c r="B32" i="30" a="1"/>
  <c r="B32" i="30" s="1"/>
  <c r="A32" i="30" a="1"/>
  <c r="A32" i="30" s="1"/>
  <c r="B31" i="30" a="1"/>
  <c r="B31" i="30" s="1"/>
  <c r="A31" i="30" a="1"/>
  <c r="A31" i="30" s="1"/>
  <c r="A6" i="30" a="1"/>
  <c r="A6" i="30" s="1"/>
  <c r="I2" i="30"/>
  <c r="A2" i="30" s="1"/>
  <c r="AE19" i="28"/>
  <c r="E3" i="14" l="1"/>
  <c r="F3" i="14" s="1"/>
  <c r="D3" i="14" s="1"/>
  <c r="E4" i="14"/>
  <c r="F4" i="14" s="1"/>
  <c r="D4" i="14" s="1"/>
  <c r="E25" i="14"/>
  <c r="F25" i="14" s="1"/>
  <c r="D25" i="14" s="1"/>
  <c r="E47" i="14"/>
  <c r="F47" i="14" s="1"/>
  <c r="D47" i="14" s="1"/>
  <c r="E69" i="14"/>
  <c r="F69" i="14" s="1"/>
  <c r="D69" i="14" s="1"/>
  <c r="E91" i="14"/>
  <c r="F91" i="14" s="1"/>
  <c r="D91" i="14" s="1"/>
  <c r="E113" i="14"/>
  <c r="F113" i="14" s="1"/>
  <c r="D113" i="14" s="1"/>
  <c r="E135" i="14"/>
  <c r="F135" i="14" s="1"/>
  <c r="D135" i="14" s="1"/>
  <c r="E158" i="14"/>
  <c r="F158" i="14" s="1"/>
  <c r="D158" i="14" s="1"/>
  <c r="E181" i="14"/>
  <c r="F181" i="14" s="1"/>
  <c r="D181" i="14" s="1"/>
  <c r="E204" i="14"/>
  <c r="F204" i="14" s="1"/>
  <c r="D204" i="14" s="1"/>
  <c r="E224" i="14"/>
  <c r="F224" i="14" s="1"/>
  <c r="D224" i="14" s="1"/>
  <c r="E246" i="14"/>
  <c r="F246" i="14" s="1"/>
  <c r="D246" i="14" s="1"/>
  <c r="E271" i="14"/>
  <c r="F271" i="14" s="1"/>
  <c r="D271" i="14" s="1"/>
  <c r="E317" i="14"/>
  <c r="F317" i="14" s="1"/>
  <c r="D317" i="14" s="1"/>
  <c r="E294" i="14"/>
  <c r="F294" i="14" s="1"/>
  <c r="D294" i="14" s="1"/>
  <c r="E5" i="14"/>
  <c r="F5" i="14" s="1"/>
  <c r="D5" i="14" s="1"/>
  <c r="E26" i="14"/>
  <c r="F26" i="14" s="1"/>
  <c r="D26" i="14" s="1"/>
  <c r="E48" i="14"/>
  <c r="F48" i="14" s="1"/>
  <c r="D48" i="14" s="1"/>
  <c r="E70" i="14"/>
  <c r="F70" i="14" s="1"/>
  <c r="D70" i="14" s="1"/>
  <c r="E92" i="14"/>
  <c r="F92" i="14" s="1"/>
  <c r="D92" i="14" s="1"/>
  <c r="E114" i="14"/>
  <c r="F114" i="14" s="1"/>
  <c r="D114" i="14" s="1"/>
  <c r="E136" i="14"/>
  <c r="F136" i="14" s="1"/>
  <c r="D136" i="14" s="1"/>
  <c r="E159" i="14"/>
  <c r="F159" i="14" s="1"/>
  <c r="D159" i="14" s="1"/>
  <c r="E182" i="14"/>
  <c r="F182" i="14" s="1"/>
  <c r="D182" i="14" s="1"/>
  <c r="E205" i="14"/>
  <c r="F205" i="14" s="1"/>
  <c r="D205" i="14" s="1"/>
  <c r="E225" i="14"/>
  <c r="F225" i="14" s="1"/>
  <c r="D225" i="14" s="1"/>
  <c r="E247" i="14"/>
  <c r="F247" i="14" s="1"/>
  <c r="D247" i="14" s="1"/>
  <c r="E272" i="14"/>
  <c r="F272" i="14" s="1"/>
  <c r="D272" i="14" s="1"/>
  <c r="E295" i="14"/>
  <c r="F295" i="14" s="1"/>
  <c r="D295" i="14" s="1"/>
  <c r="E318" i="14"/>
  <c r="F318" i="14" s="1"/>
  <c r="D318" i="14" s="1"/>
  <c r="E148" i="14"/>
  <c r="F148" i="14" s="1"/>
  <c r="D148" i="14" s="1"/>
  <c r="E6" i="14"/>
  <c r="F6" i="14" s="1"/>
  <c r="D6" i="14" s="1"/>
  <c r="E27" i="14"/>
  <c r="F27" i="14" s="1"/>
  <c r="D27" i="14" s="1"/>
  <c r="E49" i="14"/>
  <c r="F49" i="14" s="1"/>
  <c r="D49" i="14" s="1"/>
  <c r="E71" i="14"/>
  <c r="F71" i="14" s="1"/>
  <c r="D71" i="14" s="1"/>
  <c r="E93" i="14"/>
  <c r="F93" i="14" s="1"/>
  <c r="D93" i="14" s="1"/>
  <c r="E115" i="14"/>
  <c r="F115" i="14" s="1"/>
  <c r="D115" i="14" s="1"/>
  <c r="E137" i="14"/>
  <c r="F137" i="14" s="1"/>
  <c r="D137" i="14" s="1"/>
  <c r="E160" i="14"/>
  <c r="F160" i="14" s="1"/>
  <c r="D160" i="14" s="1"/>
  <c r="E183" i="14"/>
  <c r="F183" i="14" s="1"/>
  <c r="D183" i="14" s="1"/>
  <c r="E206" i="14"/>
  <c r="F206" i="14" s="1"/>
  <c r="D206" i="14" s="1"/>
  <c r="E226" i="14"/>
  <c r="F226" i="14" s="1"/>
  <c r="D226" i="14" s="1"/>
  <c r="E248" i="14"/>
  <c r="F248" i="14" s="1"/>
  <c r="D248" i="14" s="1"/>
  <c r="E273" i="14"/>
  <c r="F273" i="14" s="1"/>
  <c r="D273" i="14" s="1"/>
  <c r="E296" i="14"/>
  <c r="F296" i="14" s="1"/>
  <c r="D296" i="14" s="1"/>
  <c r="E319" i="14"/>
  <c r="F319" i="14" s="1"/>
  <c r="D319" i="14" s="1"/>
  <c r="E7" i="14"/>
  <c r="F7" i="14" s="1"/>
  <c r="D7" i="14" s="1"/>
  <c r="E28" i="14"/>
  <c r="F28" i="14" s="1"/>
  <c r="D28" i="14" s="1"/>
  <c r="E50" i="14"/>
  <c r="F50" i="14" s="1"/>
  <c r="D50" i="14" s="1"/>
  <c r="E72" i="14"/>
  <c r="F72" i="14" s="1"/>
  <c r="D72" i="14" s="1"/>
  <c r="E94" i="14"/>
  <c r="F94" i="14" s="1"/>
  <c r="D94" i="14" s="1"/>
  <c r="E116" i="14"/>
  <c r="F116" i="14" s="1"/>
  <c r="D116" i="14" s="1"/>
  <c r="E138" i="14"/>
  <c r="F138" i="14" s="1"/>
  <c r="D138" i="14" s="1"/>
  <c r="E161" i="14"/>
  <c r="F161" i="14" s="1"/>
  <c r="D161" i="14" s="1"/>
  <c r="E184" i="14"/>
  <c r="F184" i="14" s="1"/>
  <c r="D184" i="14" s="1"/>
  <c r="E207" i="14"/>
  <c r="F207" i="14" s="1"/>
  <c r="D207" i="14" s="1"/>
  <c r="E227" i="14"/>
  <c r="F227" i="14" s="1"/>
  <c r="D227" i="14" s="1"/>
  <c r="E249" i="14"/>
  <c r="F249" i="14" s="1"/>
  <c r="D249" i="14" s="1"/>
  <c r="E274" i="14"/>
  <c r="F274" i="14" s="1"/>
  <c r="D274" i="14" s="1"/>
  <c r="E297" i="14"/>
  <c r="F297" i="14" s="1"/>
  <c r="D297" i="14" s="1"/>
  <c r="E320" i="14"/>
  <c r="F320" i="14" s="1"/>
  <c r="D320" i="14" s="1"/>
  <c r="E228" i="14"/>
  <c r="F228" i="14" s="1"/>
  <c r="D228" i="14" s="1"/>
  <c r="E9" i="14"/>
  <c r="F9" i="14" s="1"/>
  <c r="D9" i="14" s="1"/>
  <c r="E30" i="14"/>
  <c r="F30" i="14"/>
  <c r="D30" i="14" s="1"/>
  <c r="E52" i="14"/>
  <c r="F52" i="14" s="1"/>
  <c r="D52" i="14" s="1"/>
  <c r="E74" i="14"/>
  <c r="F74" i="14" s="1"/>
  <c r="D74" i="14" s="1"/>
  <c r="E96" i="14"/>
  <c r="F96" i="14" s="1"/>
  <c r="D96" i="14" s="1"/>
  <c r="E118" i="14"/>
  <c r="F118" i="14" s="1"/>
  <c r="D118" i="14" s="1"/>
  <c r="E140" i="14"/>
  <c r="F140" i="14" s="1"/>
  <c r="D140" i="14" s="1"/>
  <c r="E163" i="14"/>
  <c r="F163" i="14" s="1"/>
  <c r="D163" i="14" s="1"/>
  <c r="E186" i="14"/>
  <c r="F186" i="14" s="1"/>
  <c r="D186" i="14" s="1"/>
  <c r="E209" i="14"/>
  <c r="F209" i="14" s="1"/>
  <c r="D209" i="14" s="1"/>
  <c r="E229" i="14"/>
  <c r="F229" i="14" s="1"/>
  <c r="D229" i="14" s="1"/>
  <c r="E251" i="14"/>
  <c r="F251" i="14" s="1"/>
  <c r="D251" i="14" s="1"/>
  <c r="E276" i="14"/>
  <c r="F276" i="14" s="1"/>
  <c r="D276" i="14" s="1"/>
  <c r="E299" i="14"/>
  <c r="F299" i="14" s="1"/>
  <c r="D299" i="14" s="1"/>
  <c r="E250" i="14"/>
  <c r="F250" i="14" s="1"/>
  <c r="D250" i="14" s="1"/>
  <c r="E10" i="14"/>
  <c r="F10" i="14" s="1"/>
  <c r="D10" i="14" s="1"/>
  <c r="E31" i="14"/>
  <c r="F31" i="14" s="1"/>
  <c r="D31" i="14" s="1"/>
  <c r="E53" i="14"/>
  <c r="F53" i="14" s="1"/>
  <c r="D53" i="14" s="1"/>
  <c r="E75" i="14"/>
  <c r="F75" i="14" s="1"/>
  <c r="D75" i="14" s="1"/>
  <c r="E97" i="14"/>
  <c r="F97" i="14" s="1"/>
  <c r="D97" i="14" s="1"/>
  <c r="E119" i="14"/>
  <c r="F119" i="14" s="1"/>
  <c r="D119" i="14" s="1"/>
  <c r="E141" i="14"/>
  <c r="F141" i="14" s="1"/>
  <c r="D141" i="14" s="1"/>
  <c r="E164" i="14"/>
  <c r="F164" i="14" s="1"/>
  <c r="D164" i="14" s="1"/>
  <c r="E187" i="14"/>
  <c r="F187" i="14" s="1"/>
  <c r="D187" i="14" s="1"/>
  <c r="E210" i="14"/>
  <c r="F210" i="14" s="1"/>
  <c r="D210" i="14" s="1"/>
  <c r="E230" i="14"/>
  <c r="F230" i="14" s="1"/>
  <c r="D230" i="14" s="1"/>
  <c r="E252" i="14"/>
  <c r="F252" i="14"/>
  <c r="D252" i="14" s="1"/>
  <c r="E277" i="14"/>
  <c r="F277" i="14" s="1"/>
  <c r="D277" i="14" s="1"/>
  <c r="E300" i="14"/>
  <c r="F300" i="14" s="1"/>
  <c r="D300" i="14" s="1"/>
  <c r="E275" i="14"/>
  <c r="F275" i="14" s="1"/>
  <c r="D275" i="14" s="1"/>
  <c r="E11" i="14"/>
  <c r="F11" i="14" s="1"/>
  <c r="D11" i="14" s="1"/>
  <c r="E32" i="14"/>
  <c r="F32" i="14" s="1"/>
  <c r="D32" i="14" s="1"/>
  <c r="E54" i="14"/>
  <c r="F54" i="14" s="1"/>
  <c r="D54" i="14" s="1"/>
  <c r="E76" i="14"/>
  <c r="F76" i="14" s="1"/>
  <c r="D76" i="14" s="1"/>
  <c r="E98" i="14"/>
  <c r="F98" i="14" s="1"/>
  <c r="D98" i="14" s="1"/>
  <c r="E120" i="14"/>
  <c r="F120" i="14" s="1"/>
  <c r="D120" i="14" s="1"/>
  <c r="E142" i="14"/>
  <c r="F142" i="14" s="1"/>
  <c r="D142" i="14" s="1"/>
  <c r="E165" i="14"/>
  <c r="F165" i="14"/>
  <c r="D165" i="14" s="1"/>
  <c r="E188" i="14"/>
  <c r="F188" i="14" s="1"/>
  <c r="D188" i="14" s="1"/>
  <c r="E211" i="14"/>
  <c r="F211" i="14" s="1"/>
  <c r="D211" i="14" s="1"/>
  <c r="E231" i="14"/>
  <c r="F231" i="14" s="1"/>
  <c r="D231" i="14" s="1"/>
  <c r="E253" i="14"/>
  <c r="F253" i="14" s="1"/>
  <c r="D253" i="14" s="1"/>
  <c r="E278" i="14"/>
  <c r="F278" i="14"/>
  <c r="D278" i="14" s="1"/>
  <c r="E301" i="14"/>
  <c r="F301" i="14" s="1"/>
  <c r="D301" i="14" s="1"/>
  <c r="E321" i="14"/>
  <c r="F321" i="14" s="1"/>
  <c r="D321" i="14" s="1"/>
  <c r="E33" i="14"/>
  <c r="F33" i="14" s="1"/>
  <c r="D33" i="14" s="1"/>
  <c r="E55" i="14"/>
  <c r="F55" i="14" s="1"/>
  <c r="D55" i="14" s="1"/>
  <c r="E77" i="14"/>
  <c r="F77" i="14" s="1"/>
  <c r="D77" i="14" s="1"/>
  <c r="E99" i="14"/>
  <c r="F99" i="14" s="1"/>
  <c r="D99" i="14" s="1"/>
  <c r="E121" i="14"/>
  <c r="F121" i="14" s="1"/>
  <c r="D121" i="14" s="1"/>
  <c r="E143" i="14"/>
  <c r="F143" i="14" s="1"/>
  <c r="D143" i="14" s="1"/>
  <c r="E166" i="14"/>
  <c r="F166" i="14" s="1"/>
  <c r="D166" i="14" s="1"/>
  <c r="E189" i="14"/>
  <c r="F189" i="14" s="1"/>
  <c r="D189" i="14" s="1"/>
  <c r="E212" i="14"/>
  <c r="F212" i="14" s="1"/>
  <c r="D212" i="14" s="1"/>
  <c r="E232" i="14"/>
  <c r="F232" i="14" s="1"/>
  <c r="D232" i="14" s="1"/>
  <c r="E254" i="14"/>
  <c r="F254" i="14" s="1"/>
  <c r="D254" i="14" s="1"/>
  <c r="E279" i="14"/>
  <c r="F279" i="14" s="1"/>
  <c r="D279" i="14" s="1"/>
  <c r="E302" i="14"/>
  <c r="F302" i="14" s="1"/>
  <c r="D302" i="14" s="1"/>
  <c r="E298" i="14"/>
  <c r="F298" i="14" s="1"/>
  <c r="D298" i="14" s="1"/>
  <c r="E12" i="14"/>
  <c r="F12" i="14" s="1"/>
  <c r="D12" i="14" s="1"/>
  <c r="E34" i="14"/>
  <c r="F34" i="14" s="1"/>
  <c r="D34" i="14" s="1"/>
  <c r="E56" i="14"/>
  <c r="F56" i="14" s="1"/>
  <c r="D56" i="14" s="1"/>
  <c r="E78" i="14"/>
  <c r="F78" i="14" s="1"/>
  <c r="D78" i="14" s="1"/>
  <c r="E100" i="14"/>
  <c r="F100" i="14" s="1"/>
  <c r="D100" i="14" s="1"/>
  <c r="E122" i="14"/>
  <c r="F122" i="14" s="1"/>
  <c r="D122" i="14" s="1"/>
  <c r="E144" i="14"/>
  <c r="F144" i="14" s="1"/>
  <c r="D144" i="14" s="1"/>
  <c r="E167" i="14"/>
  <c r="F167" i="14" s="1"/>
  <c r="D167" i="14" s="1"/>
  <c r="E190" i="14"/>
  <c r="F190" i="14" s="1"/>
  <c r="D190" i="14" s="1"/>
  <c r="E213" i="14"/>
  <c r="F213" i="14" s="1"/>
  <c r="D213" i="14" s="1"/>
  <c r="E233" i="14"/>
  <c r="F233" i="14" s="1"/>
  <c r="D233" i="14" s="1"/>
  <c r="E255" i="14"/>
  <c r="F255" i="14" s="1"/>
  <c r="D255" i="14" s="1"/>
  <c r="E280" i="14"/>
  <c r="F280" i="14" s="1"/>
  <c r="D280" i="14" s="1"/>
  <c r="E303" i="14"/>
  <c r="F303" i="14" s="1"/>
  <c r="D303" i="14" s="1"/>
  <c r="E208" i="14"/>
  <c r="F208" i="14" s="1"/>
  <c r="D208" i="14" s="1"/>
  <c r="E35" i="14"/>
  <c r="F35" i="14" s="1"/>
  <c r="D35" i="14" s="1"/>
  <c r="E57" i="14"/>
  <c r="F57" i="14" s="1"/>
  <c r="D57" i="14" s="1"/>
  <c r="E79" i="14"/>
  <c r="F79" i="14"/>
  <c r="D79" i="14" s="1"/>
  <c r="E101" i="14"/>
  <c r="F101" i="14" s="1"/>
  <c r="D101" i="14" s="1"/>
  <c r="E123" i="14"/>
  <c r="F123" i="14" s="1"/>
  <c r="D123" i="14" s="1"/>
  <c r="E145" i="14"/>
  <c r="F145" i="14" s="1"/>
  <c r="D145" i="14" s="1"/>
  <c r="E168" i="14"/>
  <c r="F168" i="14" s="1"/>
  <c r="D168" i="14" s="1"/>
  <c r="E191" i="14"/>
  <c r="F191" i="14" s="1"/>
  <c r="D191" i="14" s="1"/>
  <c r="E214" i="14"/>
  <c r="F214" i="14" s="1"/>
  <c r="D214" i="14" s="1"/>
  <c r="E234" i="14"/>
  <c r="F234" i="14" s="1"/>
  <c r="D234" i="14" s="1"/>
  <c r="E256" i="14"/>
  <c r="F256" i="14" s="1"/>
  <c r="D256" i="14" s="1"/>
  <c r="E281" i="14"/>
  <c r="F281" i="14" s="1"/>
  <c r="D281" i="14" s="1"/>
  <c r="E304" i="14"/>
  <c r="F304" i="14" s="1"/>
  <c r="D304" i="14" s="1"/>
  <c r="E185" i="14"/>
  <c r="F185" i="14" s="1"/>
  <c r="D185" i="14" s="1"/>
  <c r="E13" i="14"/>
  <c r="F13" i="14" s="1"/>
  <c r="D13" i="14" s="1"/>
  <c r="E36" i="14"/>
  <c r="F36" i="14" s="1"/>
  <c r="D36" i="14" s="1"/>
  <c r="E58" i="14"/>
  <c r="F58" i="14" s="1"/>
  <c r="D58" i="14" s="1"/>
  <c r="E80" i="14"/>
  <c r="F80" i="14" s="1"/>
  <c r="D80" i="14" s="1"/>
  <c r="E102" i="14"/>
  <c r="F102" i="14" s="1"/>
  <c r="D102" i="14" s="1"/>
  <c r="E124" i="14"/>
  <c r="F124" i="14" s="1"/>
  <c r="D124" i="14" s="1"/>
  <c r="E146" i="14"/>
  <c r="F146" i="14" s="1"/>
  <c r="D146" i="14" s="1"/>
  <c r="E169" i="14"/>
  <c r="F169" i="14" s="1"/>
  <c r="D169" i="14" s="1"/>
  <c r="E192" i="14"/>
  <c r="F192" i="14" s="1"/>
  <c r="D192" i="14" s="1"/>
  <c r="E215" i="14"/>
  <c r="F215" i="14" s="1"/>
  <c r="D215" i="14" s="1"/>
  <c r="E235" i="14"/>
  <c r="F235" i="14" s="1"/>
  <c r="D235" i="14" s="1"/>
  <c r="E257" i="14"/>
  <c r="F257" i="14" s="1"/>
  <c r="D257" i="14" s="1"/>
  <c r="E282" i="14"/>
  <c r="F282" i="14" s="1"/>
  <c r="D282" i="14" s="1"/>
  <c r="E305" i="14"/>
  <c r="F305" i="14" s="1"/>
  <c r="D305" i="14" s="1"/>
  <c r="E8" i="14"/>
  <c r="F8" i="14" s="1"/>
  <c r="D8" i="14" s="1"/>
  <c r="E29" i="14"/>
  <c r="F29" i="14" s="1"/>
  <c r="D29" i="14" s="1"/>
  <c r="E51" i="14"/>
  <c r="F51" i="14" s="1"/>
  <c r="D51" i="14" s="1"/>
  <c r="E73" i="14"/>
  <c r="F73" i="14" s="1"/>
  <c r="D73" i="14" s="1"/>
  <c r="E95" i="14"/>
  <c r="F95" i="14" s="1"/>
  <c r="D95" i="14" s="1"/>
  <c r="E117" i="14"/>
  <c r="F117" i="14" s="1"/>
  <c r="D117" i="14" s="1"/>
  <c r="E139" i="14"/>
  <c r="F139" i="14" s="1"/>
  <c r="D139" i="14" s="1"/>
  <c r="E162" i="14"/>
  <c r="F162" i="14" s="1"/>
  <c r="D162" i="14" s="1"/>
  <c r="E14" i="14"/>
  <c r="F14" i="14" s="1"/>
  <c r="D14" i="14" s="1"/>
  <c r="E37" i="14"/>
  <c r="F37" i="14" s="1"/>
  <c r="D37" i="14" s="1"/>
  <c r="E59" i="14"/>
  <c r="F59" i="14" s="1"/>
  <c r="D59" i="14" s="1"/>
  <c r="E81" i="14"/>
  <c r="F81" i="14" s="1"/>
  <c r="D81" i="14" s="1"/>
  <c r="E103" i="14"/>
  <c r="F103" i="14" s="1"/>
  <c r="D103" i="14" s="1"/>
  <c r="E125" i="14"/>
  <c r="F125" i="14" s="1"/>
  <c r="D125" i="14" s="1"/>
  <c r="E258" i="14"/>
  <c r="F258" i="14" s="1"/>
  <c r="D258" i="14" s="1"/>
  <c r="E15" i="14"/>
  <c r="F15" i="14" s="1"/>
  <c r="D15" i="14" s="1"/>
  <c r="E38" i="14"/>
  <c r="F38" i="14" s="1"/>
  <c r="D38" i="14" s="1"/>
  <c r="E60" i="14"/>
  <c r="F60" i="14" s="1"/>
  <c r="D60" i="14" s="1"/>
  <c r="E82" i="14"/>
  <c r="F82" i="14" s="1"/>
  <c r="D82" i="14" s="1"/>
  <c r="E104" i="14"/>
  <c r="F104" i="14" s="1"/>
  <c r="D104" i="14" s="1"/>
  <c r="E126" i="14"/>
  <c r="F126" i="14" s="1"/>
  <c r="D126" i="14" s="1"/>
  <c r="E149" i="14"/>
  <c r="F149" i="14" s="1"/>
  <c r="D149" i="14" s="1"/>
  <c r="E172" i="14"/>
  <c r="F172" i="14" s="1"/>
  <c r="D172" i="14" s="1"/>
  <c r="E195" i="14"/>
  <c r="F195" i="14" s="1"/>
  <c r="D195" i="14" s="1"/>
  <c r="E217" i="14"/>
  <c r="F217" i="14" s="1"/>
  <c r="D217" i="14" s="1"/>
  <c r="E237" i="14"/>
  <c r="F237" i="14" s="1"/>
  <c r="D237" i="14" s="1"/>
  <c r="E259" i="14"/>
  <c r="F259" i="14" s="1"/>
  <c r="D259" i="14" s="1"/>
  <c r="E284" i="14"/>
  <c r="F284" i="14" s="1"/>
  <c r="D284" i="14" s="1"/>
  <c r="E308" i="14"/>
  <c r="F308" i="14" s="1"/>
  <c r="D308" i="14" s="1"/>
  <c r="E193" i="14"/>
  <c r="F193" i="14" s="1"/>
  <c r="D193" i="14" s="1"/>
  <c r="E216" i="14"/>
  <c r="F216" i="14" s="1"/>
  <c r="D216" i="14" s="1"/>
  <c r="E236" i="14"/>
  <c r="F236" i="14" s="1"/>
  <c r="D236" i="14" s="1"/>
  <c r="E283" i="14"/>
  <c r="F283" i="14" s="1"/>
  <c r="D283" i="14" s="1"/>
  <c r="E306" i="14"/>
  <c r="F306" i="14" s="1"/>
  <c r="D306" i="14" s="1"/>
  <c r="E16" i="14"/>
  <c r="F16" i="14" s="1"/>
  <c r="D16" i="14" s="1"/>
  <c r="E39" i="14"/>
  <c r="F39" i="14" s="1"/>
  <c r="D39" i="14" s="1"/>
  <c r="E61" i="14"/>
  <c r="F61" i="14" s="1"/>
  <c r="D61" i="14" s="1"/>
  <c r="E83" i="14"/>
  <c r="F83" i="14" s="1"/>
  <c r="D83" i="14" s="1"/>
  <c r="E105" i="14"/>
  <c r="F105" i="14" s="1"/>
  <c r="D105" i="14" s="1"/>
  <c r="E150" i="14"/>
  <c r="F150" i="14" s="1"/>
  <c r="D150" i="14" s="1"/>
  <c r="E173" i="14"/>
  <c r="F173" i="14" s="1"/>
  <c r="D173" i="14" s="1"/>
  <c r="E196" i="14"/>
  <c r="F196" i="14" s="1"/>
  <c r="D196" i="14" s="1"/>
  <c r="E238" i="14"/>
  <c r="F238" i="14" s="1"/>
  <c r="D238" i="14" s="1"/>
  <c r="E309" i="14"/>
  <c r="F309" i="14" s="1"/>
  <c r="D309" i="14" s="1"/>
  <c r="E260" i="14"/>
  <c r="F260" i="14" s="1"/>
  <c r="D260" i="14" s="1"/>
  <c r="E17" i="14"/>
  <c r="F17" i="14" s="1"/>
  <c r="D17" i="14" s="1"/>
  <c r="E40" i="14"/>
  <c r="F40" i="14" s="1"/>
  <c r="D40" i="14" s="1"/>
  <c r="E62" i="14"/>
  <c r="F62" i="14" s="1"/>
  <c r="D62" i="14" s="1"/>
  <c r="E84" i="14"/>
  <c r="F84" i="14" s="1"/>
  <c r="D84" i="14" s="1"/>
  <c r="E106" i="14"/>
  <c r="F106" i="14" s="1"/>
  <c r="D106" i="14" s="1"/>
  <c r="E128" i="14"/>
  <c r="F128" i="14" s="1"/>
  <c r="D128" i="14" s="1"/>
  <c r="E151" i="14"/>
  <c r="F151" i="14" s="1"/>
  <c r="D151" i="14" s="1"/>
  <c r="E174" i="14"/>
  <c r="F174" i="14" s="1"/>
  <c r="D174" i="14" s="1"/>
  <c r="E197" i="14"/>
  <c r="F197" i="14" s="1"/>
  <c r="D197" i="14" s="1"/>
  <c r="E239" i="14"/>
  <c r="F239" i="14" s="1"/>
  <c r="D239" i="14" s="1"/>
  <c r="E261" i="14"/>
  <c r="F261" i="14" s="1"/>
  <c r="D261" i="14" s="1"/>
  <c r="E286" i="14"/>
  <c r="F286" i="14" s="1"/>
  <c r="D286" i="14" s="1"/>
  <c r="E310" i="14"/>
  <c r="F310" i="14" s="1"/>
  <c r="D310" i="14" s="1"/>
  <c r="E285" i="14"/>
  <c r="F285" i="14" s="1"/>
  <c r="D285" i="14" s="1"/>
  <c r="E18" i="14"/>
  <c r="F18" i="14" s="1"/>
  <c r="D18" i="14" s="1"/>
  <c r="E41" i="14"/>
  <c r="F41" i="14" s="1"/>
  <c r="D41" i="14" s="1"/>
  <c r="E63" i="14"/>
  <c r="F63" i="14" s="1"/>
  <c r="D63" i="14" s="1"/>
  <c r="E85" i="14"/>
  <c r="F85" i="14" s="1"/>
  <c r="D85" i="14" s="1"/>
  <c r="E107" i="14"/>
  <c r="F107" i="14" s="1"/>
  <c r="D107" i="14" s="1"/>
  <c r="E129" i="14"/>
  <c r="F129" i="14" s="1"/>
  <c r="D129" i="14" s="1"/>
  <c r="E152" i="14"/>
  <c r="F152" i="14" s="1"/>
  <c r="D152" i="14" s="1"/>
  <c r="E175" i="14"/>
  <c r="F175" i="14" s="1"/>
  <c r="D175" i="14" s="1"/>
  <c r="E198" i="14"/>
  <c r="F198" i="14" s="1"/>
  <c r="D198" i="14" s="1"/>
  <c r="E240" i="14"/>
  <c r="F240" i="14" s="1"/>
  <c r="D240" i="14" s="1"/>
  <c r="E264" i="14"/>
  <c r="F264" i="14" s="1"/>
  <c r="D264" i="14" s="1"/>
  <c r="E287" i="14"/>
  <c r="F287" i="14" s="1"/>
  <c r="D287" i="14" s="1"/>
  <c r="E311" i="14"/>
  <c r="F311" i="14" s="1"/>
  <c r="D311" i="14" s="1"/>
  <c r="E127" i="14"/>
  <c r="F127" i="14" s="1"/>
  <c r="D127" i="14" s="1"/>
  <c r="E19" i="14"/>
  <c r="F19" i="14" s="1"/>
  <c r="D19" i="14" s="1"/>
  <c r="E42" i="14"/>
  <c r="F42" i="14" s="1"/>
  <c r="D42" i="14" s="1"/>
  <c r="E64" i="14"/>
  <c r="F64" i="14" s="1"/>
  <c r="D64" i="14" s="1"/>
  <c r="E86" i="14"/>
  <c r="F86" i="14" s="1"/>
  <c r="D86" i="14" s="1"/>
  <c r="E108" i="14"/>
  <c r="F108" i="14" s="1"/>
  <c r="D108" i="14" s="1"/>
  <c r="E130" i="14"/>
  <c r="F130" i="14" s="1"/>
  <c r="D130" i="14" s="1"/>
  <c r="E153" i="14"/>
  <c r="F153" i="14" s="1"/>
  <c r="D153" i="14" s="1"/>
  <c r="E176" i="14"/>
  <c r="F176" i="14" s="1"/>
  <c r="D176" i="14" s="1"/>
  <c r="E200" i="14"/>
  <c r="F200" i="14" s="1"/>
  <c r="D200" i="14" s="1"/>
  <c r="E219" i="14"/>
  <c r="F219" i="14" s="1"/>
  <c r="D219" i="14" s="1"/>
  <c r="E241" i="14"/>
  <c r="F241" i="14" s="1"/>
  <c r="D241" i="14" s="1"/>
  <c r="E265" i="14"/>
  <c r="F265" i="14" s="1"/>
  <c r="D265" i="14" s="1"/>
  <c r="E288" i="14"/>
  <c r="F288" i="14" s="1"/>
  <c r="D288" i="14" s="1"/>
  <c r="E312" i="14"/>
  <c r="F312" i="14" s="1"/>
  <c r="D312" i="14" s="1"/>
  <c r="E218" i="14"/>
  <c r="F218" i="14" s="1"/>
  <c r="D218" i="14" s="1"/>
  <c r="E20" i="14"/>
  <c r="F20" i="14" s="1"/>
  <c r="D20" i="14" s="1"/>
  <c r="E43" i="14"/>
  <c r="F43" i="14" s="1"/>
  <c r="D43" i="14" s="1"/>
  <c r="E65" i="14"/>
  <c r="F65" i="14" s="1"/>
  <c r="D65" i="14" s="1"/>
  <c r="E87" i="14"/>
  <c r="F87" i="14" s="1"/>
  <c r="D87" i="14" s="1"/>
  <c r="E109" i="14"/>
  <c r="F109" i="14" s="1"/>
  <c r="D109" i="14" s="1"/>
  <c r="E131" i="14"/>
  <c r="F131" i="14" s="1"/>
  <c r="D131" i="14" s="1"/>
  <c r="E154" i="14"/>
  <c r="F154" i="14" s="1"/>
  <c r="D154" i="14" s="1"/>
  <c r="E177" i="14"/>
  <c r="F177" i="14" s="1"/>
  <c r="D177" i="14" s="1"/>
  <c r="E220" i="14"/>
  <c r="F220" i="14" s="1"/>
  <c r="D220" i="14" s="1"/>
  <c r="E242" i="14"/>
  <c r="F242" i="14" s="1"/>
  <c r="D242" i="14" s="1"/>
  <c r="E266" i="14"/>
  <c r="F266" i="14" s="1"/>
  <c r="D266" i="14" s="1"/>
  <c r="E290" i="14"/>
  <c r="F290" i="14" s="1"/>
  <c r="D290" i="14" s="1"/>
  <c r="E313" i="14"/>
  <c r="F313" i="14" s="1"/>
  <c r="D313" i="14" s="1"/>
  <c r="E171" i="14"/>
  <c r="F171" i="14" s="1"/>
  <c r="D171" i="14" s="1"/>
  <c r="E21" i="14"/>
  <c r="F21" i="14" s="1"/>
  <c r="D21" i="14" s="1"/>
  <c r="E44" i="14"/>
  <c r="F44" i="14" s="1"/>
  <c r="D44" i="14" s="1"/>
  <c r="E66" i="14"/>
  <c r="F66" i="14" s="1"/>
  <c r="D66" i="14" s="1"/>
  <c r="E88" i="14"/>
  <c r="F88" i="14" s="1"/>
  <c r="D88" i="14" s="1"/>
  <c r="E110" i="14"/>
  <c r="F110" i="14" s="1"/>
  <c r="D110" i="14" s="1"/>
  <c r="E132" i="14"/>
  <c r="F132" i="14" s="1"/>
  <c r="D132" i="14" s="1"/>
  <c r="E155" i="14"/>
  <c r="F155" i="14" s="1"/>
  <c r="D155" i="14" s="1"/>
  <c r="E178" i="14"/>
  <c r="F178" i="14" s="1"/>
  <c r="D178" i="14" s="1"/>
  <c r="E201" i="14"/>
  <c r="F201" i="14" s="1"/>
  <c r="D201" i="14" s="1"/>
  <c r="E221" i="14"/>
  <c r="F221" i="14" s="1"/>
  <c r="D221" i="14" s="1"/>
  <c r="E243" i="14"/>
  <c r="F243" i="14" s="1"/>
  <c r="D243" i="14" s="1"/>
  <c r="E267" i="14"/>
  <c r="F267" i="14" s="1"/>
  <c r="D267" i="14" s="1"/>
  <c r="E291" i="14"/>
  <c r="F291" i="14" s="1"/>
  <c r="D291" i="14" s="1"/>
  <c r="E314" i="14"/>
  <c r="F314" i="14" s="1"/>
  <c r="D314" i="14" s="1"/>
  <c r="E2" i="14"/>
  <c r="F2" i="14" s="1"/>
  <c r="D2" i="14" s="1"/>
  <c r="E23" i="14"/>
  <c r="F23" i="14"/>
  <c r="D23" i="14" s="1"/>
  <c r="E45" i="14"/>
  <c r="F45" i="14" s="1"/>
  <c r="D45" i="14" s="1"/>
  <c r="E67" i="14"/>
  <c r="F67" i="14" s="1"/>
  <c r="D67" i="14" s="1"/>
  <c r="E89" i="14"/>
  <c r="F89" i="14" s="1"/>
  <c r="D89" i="14" s="1"/>
  <c r="E111" i="14"/>
  <c r="F111" i="14" s="1"/>
  <c r="D111" i="14" s="1"/>
  <c r="E133" i="14"/>
  <c r="F133" i="14" s="1"/>
  <c r="D133" i="14" s="1"/>
  <c r="E157" i="14"/>
  <c r="F157" i="14" s="1"/>
  <c r="D157" i="14" s="1"/>
  <c r="E179" i="14"/>
  <c r="F179" i="14" s="1"/>
  <c r="D179" i="14" s="1"/>
  <c r="E202" i="14"/>
  <c r="F202" i="14" s="1"/>
  <c r="D202" i="14" s="1"/>
  <c r="E222" i="14"/>
  <c r="F222" i="14" s="1"/>
  <c r="D222" i="14" s="1"/>
  <c r="E244" i="14"/>
  <c r="F244" i="14" s="1"/>
  <c r="D244" i="14" s="1"/>
  <c r="E268" i="14"/>
  <c r="F268" i="14" s="1"/>
  <c r="D268" i="14" s="1"/>
  <c r="E292" i="14"/>
  <c r="F292" i="14" s="1"/>
  <c r="D292" i="14" s="1"/>
  <c r="E315" i="14"/>
  <c r="F315" i="14" s="1"/>
  <c r="D315" i="14" s="1"/>
  <c r="E24" i="14"/>
  <c r="F24" i="14" s="1"/>
  <c r="D24" i="14" s="1"/>
  <c r="E46" i="14"/>
  <c r="F46" i="14" s="1"/>
  <c r="D46" i="14" s="1"/>
  <c r="E68" i="14"/>
  <c r="F68" i="14" s="1"/>
  <c r="D68" i="14" s="1"/>
  <c r="E90" i="14"/>
  <c r="F90" i="14" s="1"/>
  <c r="D90" i="14" s="1"/>
  <c r="E112" i="14"/>
  <c r="F112" i="14" s="1"/>
  <c r="D112" i="14" s="1"/>
  <c r="E134" i="14"/>
  <c r="F134" i="14" s="1"/>
  <c r="D134" i="14" s="1"/>
  <c r="E180" i="14"/>
  <c r="F180" i="14" s="1"/>
  <c r="D180" i="14" s="1"/>
  <c r="E203" i="14"/>
  <c r="F203" i="14" s="1"/>
  <c r="D203" i="14" s="1"/>
  <c r="E223" i="14"/>
  <c r="F223" i="14" s="1"/>
  <c r="D223" i="14" s="1"/>
  <c r="E245" i="14"/>
  <c r="F245" i="14" s="1"/>
  <c r="D245" i="14" s="1"/>
  <c r="E270" i="14"/>
  <c r="F270" i="14" s="1"/>
  <c r="D270" i="14" s="1"/>
  <c r="E293" i="14"/>
  <c r="F293" i="14" s="1"/>
  <c r="D293" i="14" s="1"/>
  <c r="E316" i="14"/>
  <c r="F316" i="14" s="1"/>
  <c r="D316" i="14" s="1"/>
  <c r="A5" i="22"/>
  <c r="H25" i="22" s="1"/>
  <c r="H91" i="22"/>
  <c r="H113" i="22"/>
  <c r="H135" i="22"/>
  <c r="K2" i="22"/>
  <c r="H182" i="22"/>
  <c r="H204" i="22"/>
  <c r="H205" i="22"/>
  <c r="H249" i="22"/>
  <c r="H297" i="22"/>
  <c r="H12" i="22"/>
  <c r="H34" i="22"/>
  <c r="H100" i="22"/>
  <c r="H26" i="30"/>
  <c r="H25" i="30"/>
  <c r="H24" i="30"/>
  <c r="H23" i="30"/>
  <c r="H22" i="30"/>
  <c r="H21" i="30"/>
  <c r="H20" i="30"/>
  <c r="H19" i="30"/>
  <c r="K38" i="28"/>
  <c r="K8" i="28"/>
  <c r="K7" i="28"/>
  <c r="K6" i="28"/>
  <c r="K5" i="28"/>
  <c r="K4" i="28"/>
  <c r="K3" i="28"/>
  <c r="H1" i="27"/>
  <c r="G1" i="27"/>
  <c r="F1" i="27"/>
  <c r="E1" i="27"/>
  <c r="H1" i="26"/>
  <c r="G1" i="26"/>
  <c r="F1" i="26"/>
  <c r="E1" i="26"/>
  <c r="H122" i="22" l="1"/>
  <c r="H78" i="22"/>
  <c r="H56" i="22"/>
  <c r="H271" i="22"/>
  <c r="H227" i="22"/>
  <c r="H160" i="22"/>
  <c r="H69" i="22"/>
  <c r="H47" i="22"/>
  <c r="K22" i="22"/>
  <c r="H157" i="22"/>
  <c r="H49" i="22"/>
  <c r="H226" i="22"/>
  <c r="H96" i="22"/>
  <c r="H11" i="22"/>
  <c r="H188" i="22"/>
  <c r="H190" i="22"/>
  <c r="H179" i="22"/>
  <c r="H71" i="22"/>
  <c r="H248" i="22"/>
  <c r="H118" i="22"/>
  <c r="H33" i="22"/>
  <c r="H210" i="22"/>
  <c r="H168" i="22"/>
  <c r="H201" i="22"/>
  <c r="H93" i="22"/>
  <c r="H270" i="22"/>
  <c r="H140" i="22"/>
  <c r="H55" i="22"/>
  <c r="H232" i="22"/>
  <c r="H146" i="22"/>
  <c r="H223" i="22"/>
  <c r="H115" i="22"/>
  <c r="H292" i="22"/>
  <c r="H162" i="22"/>
  <c r="H77" i="22"/>
  <c r="H254" i="22"/>
  <c r="H124" i="22"/>
  <c r="H245" i="22"/>
  <c r="H137" i="22"/>
  <c r="H7" i="22"/>
  <c r="H184" i="22"/>
  <c r="H99" i="22"/>
  <c r="H276" i="22"/>
  <c r="H102" i="22"/>
  <c r="H267" i="22"/>
  <c r="H159" i="22"/>
  <c r="H29" i="22"/>
  <c r="H206" i="22"/>
  <c r="H121" i="22"/>
  <c r="H13" i="22"/>
  <c r="H80" i="22"/>
  <c r="H289" i="22"/>
  <c r="H181" i="22"/>
  <c r="H51" i="22"/>
  <c r="H228" i="22"/>
  <c r="H143" i="22"/>
  <c r="H35" i="22"/>
  <c r="H58" i="22"/>
  <c r="H26" i="22"/>
  <c r="H203" i="22"/>
  <c r="H73" i="22"/>
  <c r="H250" i="22"/>
  <c r="H165" i="22"/>
  <c r="H57" i="22"/>
  <c r="H36" i="22"/>
  <c r="H48" i="22"/>
  <c r="H225" i="22"/>
  <c r="H95" i="22"/>
  <c r="H10" i="22"/>
  <c r="H187" i="22"/>
  <c r="H79" i="22"/>
  <c r="H14" i="22"/>
  <c r="H70" i="22"/>
  <c r="H247" i="22"/>
  <c r="H117" i="22"/>
  <c r="H32" i="22"/>
  <c r="H209" i="22"/>
  <c r="H101" i="22"/>
  <c r="H92" i="22"/>
  <c r="H269" i="22"/>
  <c r="H139" i="22"/>
  <c r="H54" i="22"/>
  <c r="H231" i="22"/>
  <c r="H123" i="22"/>
  <c r="H114" i="22"/>
  <c r="H291" i="22"/>
  <c r="H161" i="22"/>
  <c r="H76" i="22"/>
  <c r="H253" i="22"/>
  <c r="H145" i="22"/>
  <c r="H136" i="22"/>
  <c r="H6" i="22"/>
  <c r="H183" i="22"/>
  <c r="H98" i="22"/>
  <c r="H275" i="22"/>
  <c r="H138" i="22"/>
  <c r="H296" i="22"/>
  <c r="H116" i="22"/>
  <c r="H274" i="22"/>
  <c r="H94" i="22"/>
  <c r="H212" i="22"/>
  <c r="H252" i="22"/>
  <c r="H72" i="22"/>
  <c r="H234" i="22"/>
  <c r="H230" i="22"/>
  <c r="H50" i="22"/>
  <c r="H256" i="22"/>
  <c r="H208" i="22"/>
  <c r="H28" i="22"/>
  <c r="H278" i="22"/>
  <c r="H186" i="22"/>
  <c r="H27" i="22"/>
  <c r="H277" i="22"/>
  <c r="H164" i="22"/>
  <c r="H255" i="22"/>
  <c r="H142" i="22"/>
  <c r="H290" i="22"/>
  <c r="H233" i="22"/>
  <c r="H120" i="22"/>
  <c r="H268" i="22"/>
  <c r="H211" i="22"/>
  <c r="H74" i="22"/>
  <c r="H246" i="22"/>
  <c r="H189" i="22"/>
  <c r="H52" i="22"/>
  <c r="H224" i="22"/>
  <c r="H167" i="22"/>
  <c r="H30" i="22"/>
  <c r="H202" i="22"/>
  <c r="H166" i="22"/>
  <c r="H8" i="22"/>
  <c r="H180" i="22"/>
  <c r="H144" i="22"/>
  <c r="H293" i="22"/>
  <c r="H158" i="22"/>
  <c r="H40" i="22"/>
  <c r="H84" i="22"/>
  <c r="H128" i="22"/>
  <c r="H172" i="22"/>
  <c r="H216" i="22"/>
  <c r="H260" i="22"/>
  <c r="H41" i="22"/>
  <c r="H85" i="22"/>
  <c r="H129" i="22"/>
  <c r="H173" i="22"/>
  <c r="H217" i="22"/>
  <c r="H261" i="22"/>
  <c r="H42" i="22"/>
  <c r="H86" i="22"/>
  <c r="H130" i="22"/>
  <c r="H174" i="22"/>
  <c r="H218" i="22"/>
  <c r="H262" i="22"/>
  <c r="H43" i="22"/>
  <c r="H87" i="22"/>
  <c r="H131" i="22"/>
  <c r="H175" i="22"/>
  <c r="H219" i="22"/>
  <c r="H263" i="22"/>
  <c r="H44" i="22"/>
  <c r="H88" i="22"/>
  <c r="H132" i="22"/>
  <c r="H176" i="22"/>
  <c r="H220" i="22"/>
  <c r="H264" i="22"/>
  <c r="H45" i="22"/>
  <c r="H89" i="22"/>
  <c r="H133" i="22"/>
  <c r="H177" i="22"/>
  <c r="H221" i="22"/>
  <c r="H265" i="22"/>
  <c r="H46" i="22"/>
  <c r="H90" i="22"/>
  <c r="H134" i="22"/>
  <c r="H178" i="22"/>
  <c r="H222" i="22"/>
  <c r="H266" i="22"/>
  <c r="H9" i="22"/>
  <c r="H53" i="22"/>
  <c r="H97" i="22"/>
  <c r="H141" i="22"/>
  <c r="H185" i="22"/>
  <c r="H229" i="22"/>
  <c r="H272" i="22"/>
  <c r="H15" i="22"/>
  <c r="H59" i="22"/>
  <c r="H103" i="22"/>
  <c r="H147" i="22"/>
  <c r="H191" i="22"/>
  <c r="H235" i="22"/>
  <c r="H273" i="22"/>
  <c r="H16" i="22"/>
  <c r="H60" i="22"/>
  <c r="H104" i="22"/>
  <c r="H148" i="22"/>
  <c r="H192" i="22"/>
  <c r="H236" i="22"/>
  <c r="H279" i="22"/>
  <c r="H17" i="22"/>
  <c r="H61" i="22"/>
  <c r="H105" i="22"/>
  <c r="H149" i="22"/>
  <c r="H193" i="22"/>
  <c r="H237" i="22"/>
  <c r="H280" i="22"/>
  <c r="H18" i="22"/>
  <c r="H62" i="22"/>
  <c r="H106" i="22"/>
  <c r="H150" i="22"/>
  <c r="H194" i="22"/>
  <c r="H238" i="22"/>
  <c r="H281" i="22"/>
  <c r="H19" i="22"/>
  <c r="H63" i="22"/>
  <c r="H107" i="22"/>
  <c r="H151" i="22"/>
  <c r="H195" i="22"/>
  <c r="H239" i="22"/>
  <c r="H282" i="22"/>
  <c r="H20" i="22"/>
  <c r="H23" i="22"/>
  <c r="H67" i="22"/>
  <c r="H111" i="22"/>
  <c r="H155" i="22"/>
  <c r="H199" i="22"/>
  <c r="H243" i="22"/>
  <c r="H286" i="22"/>
  <c r="H24" i="22"/>
  <c r="H68" i="22"/>
  <c r="H112" i="22"/>
  <c r="H156" i="22"/>
  <c r="H200" i="22"/>
  <c r="H244" i="22"/>
  <c r="H287" i="22"/>
  <c r="H110" i="22"/>
  <c r="H251" i="22"/>
  <c r="H294" i="22"/>
  <c r="H169" i="22"/>
  <c r="H37" i="22"/>
  <c r="H171" i="22"/>
  <c r="H196" i="22"/>
  <c r="H197" i="22"/>
  <c r="H65" i="22"/>
  <c r="H198" i="22"/>
  <c r="H119" i="22"/>
  <c r="H257" i="22"/>
  <c r="H125" i="22"/>
  <c r="H258" i="22"/>
  <c r="H126" i="22"/>
  <c r="H259" i="22"/>
  <c r="H127" i="22"/>
  <c r="H283" i="22"/>
  <c r="H152" i="22"/>
  <c r="H284" i="22"/>
  <c r="H153" i="22"/>
  <c r="H285" i="22"/>
  <c r="H21" i="22"/>
  <c r="H154" i="22"/>
  <c r="H288" i="22"/>
  <c r="H22" i="22"/>
  <c r="H163" i="22"/>
  <c r="H31" i="22"/>
  <c r="H295" i="22"/>
  <c r="H170" i="22"/>
  <c r="H38" i="22"/>
  <c r="H39" i="22"/>
  <c r="H64" i="22"/>
  <c r="H66" i="22"/>
  <c r="H207" i="22"/>
  <c r="H75" i="22"/>
  <c r="H213" i="22"/>
  <c r="H81" i="22"/>
  <c r="H214" i="22"/>
  <c r="H82" i="22"/>
  <c r="H215" i="22"/>
  <c r="H83" i="22"/>
  <c r="H240" i="22"/>
  <c r="H108" i="22"/>
  <c r="H241" i="22"/>
  <c r="H109" i="22"/>
  <c r="H242" i="22"/>
  <c r="K4" i="22" a="1"/>
  <c r="K4" i="22" s="1"/>
  <c r="K3" i="22" a="1"/>
  <c r="K3" i="22" s="1"/>
  <c r="H5" i="22"/>
  <c r="J32" i="22" a="1"/>
  <c r="J32" i="22" s="1"/>
  <c r="K29" i="22"/>
  <c r="J9" i="22" a="1"/>
  <c r="J9" i="22" s="1"/>
  <c r="J24" i="22" a="1"/>
  <c r="J24" i="22" s="1"/>
  <c r="K9" i="28"/>
  <c r="V37" i="24"/>
  <c r="U37" i="24"/>
  <c r="T37" i="24"/>
  <c r="S37" i="24"/>
  <c r="R37" i="24"/>
  <c r="Q37" i="24"/>
  <c r="P37" i="24"/>
  <c r="O37" i="24"/>
  <c r="N37" i="24"/>
  <c r="M37" i="24"/>
  <c r="L37" i="24"/>
  <c r="K37" i="24"/>
  <c r="J37" i="24"/>
  <c r="I37" i="24"/>
  <c r="H37" i="24"/>
  <c r="G37" i="24"/>
  <c r="F37" i="24"/>
  <c r="E37" i="24"/>
  <c r="D37" i="24"/>
  <c r="K5" i="22" l="1"/>
  <c r="M90" i="13"/>
  <c r="M91" i="13"/>
  <c r="M92" i="13"/>
  <c r="M93" i="13"/>
  <c r="M94" i="13"/>
  <c r="M95" i="13"/>
  <c r="M96" i="13"/>
  <c r="M97" i="13"/>
  <c r="M98" i="13"/>
  <c r="M99" i="13"/>
  <c r="M100" i="13"/>
  <c r="H1" i="21"/>
  <c r="L88" i="12"/>
  <c r="L89" i="12"/>
  <c r="L90" i="12"/>
  <c r="L91" i="12"/>
  <c r="L92" i="12"/>
  <c r="L93" i="12"/>
  <c r="L94" i="12"/>
  <c r="L95" i="12"/>
  <c r="L96" i="12"/>
  <c r="L97" i="12"/>
  <c r="L98" i="12"/>
  <c r="L99" i="12"/>
  <c r="L100" i="12"/>
  <c r="K88" i="12"/>
  <c r="K89" i="12"/>
  <c r="K90" i="12"/>
  <c r="K91" i="12"/>
  <c r="K92" i="12"/>
  <c r="K93" i="12"/>
  <c r="K94" i="12"/>
  <c r="K95" i="12"/>
  <c r="K96" i="12"/>
  <c r="K97" i="12"/>
  <c r="K98" i="12"/>
  <c r="K99" i="12"/>
  <c r="K100" i="12"/>
  <c r="J88" i="12"/>
  <c r="J89" i="12"/>
  <c r="J90" i="12"/>
  <c r="J91" i="12"/>
  <c r="J92" i="12"/>
  <c r="J93" i="12"/>
  <c r="J94" i="12"/>
  <c r="J95" i="12"/>
  <c r="J96" i="12"/>
  <c r="J97" i="12"/>
  <c r="J98" i="12"/>
  <c r="J99" i="12"/>
  <c r="J100" i="12"/>
  <c r="G88" i="12"/>
  <c r="G89" i="12"/>
  <c r="G90" i="12"/>
  <c r="G91" i="12"/>
  <c r="G92" i="12"/>
  <c r="G93" i="12"/>
  <c r="G94" i="12"/>
  <c r="G95" i="12"/>
  <c r="G96" i="12"/>
  <c r="G97" i="12"/>
  <c r="G98" i="12"/>
  <c r="G99" i="12"/>
  <c r="G100" i="12"/>
  <c r="F88" i="12"/>
  <c r="F89" i="12"/>
  <c r="F90" i="12"/>
  <c r="F91" i="12"/>
  <c r="F92" i="12"/>
  <c r="F93" i="12"/>
  <c r="F94" i="12"/>
  <c r="F95" i="12"/>
  <c r="F96" i="12"/>
  <c r="F97" i="12"/>
  <c r="F98" i="12"/>
  <c r="F99" i="12"/>
  <c r="F100" i="12"/>
  <c r="E88" i="12"/>
  <c r="E89" i="12"/>
  <c r="E90" i="12"/>
  <c r="E91" i="12"/>
  <c r="E92" i="12"/>
  <c r="E93" i="12"/>
  <c r="E94" i="12"/>
  <c r="E95" i="12"/>
  <c r="E96" i="12"/>
  <c r="E97" i="12"/>
  <c r="E98" i="12"/>
  <c r="E99" i="12"/>
  <c r="E100" i="12"/>
  <c r="D88" i="12"/>
  <c r="D89" i="12"/>
  <c r="D90" i="12"/>
  <c r="D91" i="12"/>
  <c r="D92" i="12"/>
  <c r="D93" i="12"/>
  <c r="D94" i="12"/>
  <c r="D95" i="12"/>
  <c r="D96" i="12"/>
  <c r="D97" i="12"/>
  <c r="D98" i="12"/>
  <c r="D99" i="12"/>
  <c r="D100" i="12"/>
  <c r="C88" i="12"/>
  <c r="C89" i="12"/>
  <c r="C90" i="12"/>
  <c r="C91" i="12"/>
  <c r="C92" i="12"/>
  <c r="C93" i="12"/>
  <c r="C94" i="12"/>
  <c r="C95" i="12"/>
  <c r="C96" i="12"/>
  <c r="C97" i="12"/>
  <c r="C98" i="12"/>
  <c r="C99" i="12"/>
  <c r="C100" i="12"/>
  <c r="B88" i="12"/>
  <c r="B89" i="12"/>
  <c r="B90" i="12"/>
  <c r="B91" i="12"/>
  <c r="B92" i="12"/>
  <c r="B93" i="12"/>
  <c r="B94" i="12"/>
  <c r="B95" i="12"/>
  <c r="B96" i="12"/>
  <c r="B97" i="12"/>
  <c r="B98" i="12"/>
  <c r="B99" i="12"/>
  <c r="B100" i="12"/>
  <c r="G1" i="21"/>
  <c r="F1" i="21"/>
  <c r="E1" i="21"/>
  <c r="L12" i="21"/>
  <c r="L13" i="21"/>
  <c r="L14" i="21"/>
  <c r="L15" i="21"/>
  <c r="L16" i="21"/>
  <c r="L17" i="21"/>
  <c r="L18" i="21"/>
  <c r="L19" i="21"/>
  <c r="L20" i="21"/>
  <c r="L21" i="21"/>
  <c r="L22" i="21"/>
  <c r="L23" i="21"/>
  <c r="L24" i="21"/>
  <c r="L25" i="21"/>
  <c r="L26" i="21"/>
  <c r="L27" i="21"/>
  <c r="L28" i="21"/>
  <c r="L29" i="21"/>
  <c r="L30" i="21"/>
  <c r="L31" i="21"/>
  <c r="L32" i="21"/>
  <c r="L33" i="21"/>
  <c r="L34" i="21"/>
  <c r="L35" i="21"/>
  <c r="L36" i="21"/>
  <c r="L37" i="21"/>
  <c r="L38" i="21"/>
  <c r="L39" i="21"/>
  <c r="L40" i="21"/>
  <c r="L41" i="21"/>
  <c r="L42" i="21"/>
  <c r="L43" i="21"/>
  <c r="L44" i="21"/>
  <c r="L45" i="21"/>
  <c r="L46" i="21"/>
  <c r="L47" i="21"/>
  <c r="L48" i="21"/>
  <c r="L49" i="21"/>
  <c r="L50" i="21"/>
  <c r="B12" i="21"/>
  <c r="C12" i="21"/>
  <c r="D12" i="21"/>
  <c r="E12" i="21"/>
  <c r="F12" i="21"/>
  <c r="G12" i="21"/>
  <c r="H12" i="21"/>
  <c r="I12" i="21"/>
  <c r="J12" i="21"/>
  <c r="K12" i="21"/>
  <c r="B13" i="21"/>
  <c r="C13" i="21"/>
  <c r="D13" i="21"/>
  <c r="E13" i="21"/>
  <c r="F13" i="21"/>
  <c r="G13" i="21"/>
  <c r="H13" i="21"/>
  <c r="I13" i="21"/>
  <c r="J13" i="21"/>
  <c r="K13" i="21"/>
  <c r="B14" i="21"/>
  <c r="C14" i="21"/>
  <c r="D14" i="21"/>
  <c r="E14" i="21"/>
  <c r="F14" i="21"/>
  <c r="G14" i="21"/>
  <c r="H14" i="21"/>
  <c r="I14" i="21"/>
  <c r="J14" i="21"/>
  <c r="K14" i="21"/>
  <c r="B15" i="21"/>
  <c r="C15" i="21"/>
  <c r="D15" i="21"/>
  <c r="E15" i="21"/>
  <c r="F15" i="21"/>
  <c r="G15" i="21"/>
  <c r="H15" i="21"/>
  <c r="I15" i="21"/>
  <c r="J15" i="21"/>
  <c r="K15" i="21"/>
  <c r="B16" i="21"/>
  <c r="C16" i="21"/>
  <c r="D16" i="21"/>
  <c r="E16" i="21"/>
  <c r="F16" i="21"/>
  <c r="G16" i="21"/>
  <c r="H16" i="21"/>
  <c r="I16" i="21"/>
  <c r="J16" i="21"/>
  <c r="K16" i="21"/>
  <c r="B17" i="21"/>
  <c r="C17" i="21"/>
  <c r="D17" i="21"/>
  <c r="E17" i="21"/>
  <c r="F17" i="21"/>
  <c r="G17" i="21"/>
  <c r="H17" i="21"/>
  <c r="I17" i="21"/>
  <c r="J17" i="21"/>
  <c r="K17" i="21"/>
  <c r="B18" i="21"/>
  <c r="C18" i="21"/>
  <c r="D18" i="21"/>
  <c r="E18" i="21"/>
  <c r="F18" i="21"/>
  <c r="G18" i="21"/>
  <c r="H18" i="21"/>
  <c r="I18" i="21"/>
  <c r="J18" i="21"/>
  <c r="K18" i="21"/>
  <c r="B19" i="21"/>
  <c r="C19" i="21"/>
  <c r="D19" i="21"/>
  <c r="E19" i="21"/>
  <c r="F19" i="21"/>
  <c r="G19" i="21"/>
  <c r="H19" i="21"/>
  <c r="I19" i="21"/>
  <c r="J19" i="21"/>
  <c r="K19" i="21"/>
  <c r="B20" i="21"/>
  <c r="C20" i="21"/>
  <c r="D20" i="21"/>
  <c r="E20" i="21"/>
  <c r="F20" i="21"/>
  <c r="G20" i="21"/>
  <c r="H20" i="21"/>
  <c r="I20" i="21"/>
  <c r="J20" i="21"/>
  <c r="K20" i="21"/>
  <c r="B21" i="21"/>
  <c r="C21" i="21"/>
  <c r="D21" i="21"/>
  <c r="E21" i="21"/>
  <c r="F21" i="21"/>
  <c r="G21" i="21"/>
  <c r="H21" i="21"/>
  <c r="I21" i="21"/>
  <c r="J21" i="21"/>
  <c r="K21" i="21"/>
  <c r="B22" i="21"/>
  <c r="C22" i="21"/>
  <c r="D22" i="21"/>
  <c r="E22" i="21"/>
  <c r="F22" i="21"/>
  <c r="G22" i="21"/>
  <c r="H22" i="21"/>
  <c r="I22" i="21"/>
  <c r="J22" i="21"/>
  <c r="K22" i="21"/>
  <c r="B23" i="21"/>
  <c r="C23" i="21"/>
  <c r="D23" i="21"/>
  <c r="E23" i="21"/>
  <c r="F23" i="21"/>
  <c r="G23" i="21"/>
  <c r="H23" i="21"/>
  <c r="I23" i="21"/>
  <c r="J23" i="21"/>
  <c r="K23" i="21"/>
  <c r="B24" i="21"/>
  <c r="C24" i="21"/>
  <c r="D24" i="21"/>
  <c r="E24" i="21"/>
  <c r="F24" i="21"/>
  <c r="G24" i="21"/>
  <c r="H24" i="21"/>
  <c r="I24" i="21"/>
  <c r="J24" i="21"/>
  <c r="K24" i="21"/>
  <c r="B25" i="21"/>
  <c r="C25" i="21"/>
  <c r="D25" i="21"/>
  <c r="E25" i="21"/>
  <c r="F25" i="21"/>
  <c r="G25" i="21"/>
  <c r="H25" i="21"/>
  <c r="I25" i="21"/>
  <c r="J25" i="21"/>
  <c r="K25" i="21"/>
  <c r="B26" i="21"/>
  <c r="C26" i="21"/>
  <c r="D26" i="21"/>
  <c r="E26" i="21"/>
  <c r="F26" i="21"/>
  <c r="G26" i="21"/>
  <c r="H26" i="21"/>
  <c r="I26" i="21"/>
  <c r="J26" i="21"/>
  <c r="K26" i="21"/>
  <c r="B27" i="21"/>
  <c r="C27" i="21"/>
  <c r="D27" i="21"/>
  <c r="E27" i="21"/>
  <c r="F27" i="21"/>
  <c r="G27" i="21"/>
  <c r="H27" i="21"/>
  <c r="I27" i="21"/>
  <c r="J27" i="21"/>
  <c r="K27" i="21"/>
  <c r="B28" i="21"/>
  <c r="C28" i="21"/>
  <c r="D28" i="21"/>
  <c r="E28" i="21"/>
  <c r="F28" i="21"/>
  <c r="G28" i="21"/>
  <c r="H28" i="21"/>
  <c r="I28" i="21"/>
  <c r="J28" i="21"/>
  <c r="K28" i="21"/>
  <c r="B29" i="21"/>
  <c r="C29" i="21"/>
  <c r="D29" i="21"/>
  <c r="E29" i="21"/>
  <c r="F29" i="21"/>
  <c r="G29" i="21"/>
  <c r="H29" i="21"/>
  <c r="I29" i="21"/>
  <c r="J29" i="21"/>
  <c r="K29" i="21"/>
  <c r="B30" i="21"/>
  <c r="C30" i="21"/>
  <c r="D30" i="21"/>
  <c r="E30" i="21"/>
  <c r="F30" i="21"/>
  <c r="G30" i="21"/>
  <c r="H30" i="21"/>
  <c r="I30" i="21"/>
  <c r="J30" i="21"/>
  <c r="K30" i="21"/>
  <c r="B31" i="21"/>
  <c r="C31" i="21"/>
  <c r="D31" i="21"/>
  <c r="E31" i="21"/>
  <c r="F31" i="21"/>
  <c r="G31" i="21"/>
  <c r="H31" i="21"/>
  <c r="I31" i="21"/>
  <c r="J31" i="21"/>
  <c r="K31" i="21"/>
  <c r="B32" i="21"/>
  <c r="C32" i="21"/>
  <c r="D32" i="21"/>
  <c r="E32" i="21"/>
  <c r="F32" i="21"/>
  <c r="G32" i="21"/>
  <c r="H32" i="21"/>
  <c r="I32" i="21"/>
  <c r="J32" i="21"/>
  <c r="K32" i="21"/>
  <c r="B33" i="21"/>
  <c r="C33" i="21"/>
  <c r="D33" i="21"/>
  <c r="E33" i="21"/>
  <c r="F33" i="21"/>
  <c r="G33" i="21"/>
  <c r="H33" i="21"/>
  <c r="I33" i="21"/>
  <c r="J33" i="21"/>
  <c r="K33" i="21"/>
  <c r="B34" i="21"/>
  <c r="C34" i="21"/>
  <c r="D34" i="21"/>
  <c r="E34" i="21"/>
  <c r="F34" i="21"/>
  <c r="G34" i="21"/>
  <c r="H34" i="21"/>
  <c r="I34" i="21"/>
  <c r="J34" i="21"/>
  <c r="K34" i="21"/>
  <c r="B35" i="21"/>
  <c r="C35" i="21"/>
  <c r="D35" i="21"/>
  <c r="E35" i="21"/>
  <c r="F35" i="21"/>
  <c r="G35" i="21"/>
  <c r="H35" i="21"/>
  <c r="I35" i="21"/>
  <c r="J35" i="21"/>
  <c r="K35" i="21"/>
  <c r="B36" i="21"/>
  <c r="C36" i="21"/>
  <c r="D36" i="21"/>
  <c r="E36" i="21"/>
  <c r="F36" i="21"/>
  <c r="G36" i="21"/>
  <c r="H36" i="21"/>
  <c r="I36" i="21"/>
  <c r="J36" i="21"/>
  <c r="K36" i="21"/>
  <c r="B37" i="21"/>
  <c r="C37" i="21"/>
  <c r="D37" i="21"/>
  <c r="E37" i="21"/>
  <c r="F37" i="21"/>
  <c r="G37" i="21"/>
  <c r="H37" i="21"/>
  <c r="I37" i="21"/>
  <c r="J37" i="21"/>
  <c r="K37" i="21"/>
  <c r="B38" i="21"/>
  <c r="C38" i="21"/>
  <c r="D38" i="21"/>
  <c r="E38" i="21"/>
  <c r="F38" i="21"/>
  <c r="G38" i="21"/>
  <c r="H38" i="21"/>
  <c r="I38" i="21"/>
  <c r="J38" i="21"/>
  <c r="K38" i="21"/>
  <c r="B39" i="21"/>
  <c r="C39" i="21"/>
  <c r="D39" i="21"/>
  <c r="E39" i="21"/>
  <c r="F39" i="21"/>
  <c r="G39" i="21"/>
  <c r="H39" i="21"/>
  <c r="I39" i="21"/>
  <c r="J39" i="21"/>
  <c r="K39" i="21"/>
  <c r="B40" i="21"/>
  <c r="C40" i="21"/>
  <c r="D40" i="21"/>
  <c r="E40" i="21"/>
  <c r="F40" i="21"/>
  <c r="G40" i="21"/>
  <c r="H40" i="21"/>
  <c r="I40" i="21"/>
  <c r="J40" i="21"/>
  <c r="K40" i="21"/>
  <c r="B41" i="21"/>
  <c r="C41" i="21"/>
  <c r="D41" i="21"/>
  <c r="E41" i="21"/>
  <c r="F41" i="21"/>
  <c r="G41" i="21"/>
  <c r="H41" i="21"/>
  <c r="I41" i="21"/>
  <c r="J41" i="21"/>
  <c r="K41" i="21"/>
  <c r="B42" i="21"/>
  <c r="C42" i="21"/>
  <c r="D42" i="21"/>
  <c r="E42" i="21"/>
  <c r="F42" i="21"/>
  <c r="G42" i="21"/>
  <c r="H42" i="21"/>
  <c r="I42" i="21"/>
  <c r="J42" i="21"/>
  <c r="K42" i="21"/>
  <c r="B43" i="21"/>
  <c r="C43" i="21"/>
  <c r="D43" i="21"/>
  <c r="E43" i="21"/>
  <c r="F43" i="21"/>
  <c r="G43" i="21"/>
  <c r="H43" i="21"/>
  <c r="I43" i="21"/>
  <c r="J43" i="21"/>
  <c r="K43" i="21"/>
  <c r="B44" i="21"/>
  <c r="C44" i="21"/>
  <c r="D44" i="21"/>
  <c r="E44" i="21"/>
  <c r="F44" i="21"/>
  <c r="G44" i="21"/>
  <c r="H44" i="21"/>
  <c r="I44" i="21"/>
  <c r="J44" i="21"/>
  <c r="K44" i="21"/>
  <c r="B45" i="21"/>
  <c r="C45" i="21"/>
  <c r="D45" i="21"/>
  <c r="E45" i="21"/>
  <c r="F45" i="21"/>
  <c r="G45" i="21"/>
  <c r="H45" i="21"/>
  <c r="I45" i="21"/>
  <c r="J45" i="21"/>
  <c r="K45" i="21"/>
  <c r="B46" i="21"/>
  <c r="C46" i="21"/>
  <c r="D46" i="21"/>
  <c r="E46" i="21"/>
  <c r="F46" i="21"/>
  <c r="G46" i="21"/>
  <c r="H46" i="21"/>
  <c r="I46" i="21"/>
  <c r="J46" i="21"/>
  <c r="K46" i="21"/>
  <c r="B47" i="21"/>
  <c r="C47" i="21"/>
  <c r="D47" i="21"/>
  <c r="E47" i="21"/>
  <c r="F47" i="21"/>
  <c r="G47" i="21"/>
  <c r="H47" i="21"/>
  <c r="I47" i="21"/>
  <c r="J47" i="21"/>
  <c r="K47" i="21"/>
  <c r="B48" i="21"/>
  <c r="C48" i="21"/>
  <c r="D48" i="21"/>
  <c r="E48" i="21"/>
  <c r="F48" i="21"/>
  <c r="G48" i="21"/>
  <c r="H48" i="21"/>
  <c r="I48" i="21"/>
  <c r="J48" i="21"/>
  <c r="K48" i="21"/>
  <c r="B49" i="21"/>
  <c r="C49" i="21"/>
  <c r="D49" i="21"/>
  <c r="E49" i="21"/>
  <c r="F49" i="21"/>
  <c r="G49" i="21"/>
  <c r="H49" i="21"/>
  <c r="I49" i="21"/>
  <c r="J49" i="21"/>
  <c r="K49" i="21"/>
  <c r="B50" i="21"/>
  <c r="C50" i="21"/>
  <c r="D50" i="21"/>
  <c r="E50" i="21"/>
  <c r="F50" i="21"/>
  <c r="G50" i="21"/>
  <c r="H50" i="21"/>
  <c r="I50" i="21"/>
  <c r="J50" i="21"/>
  <c r="K50" i="21"/>
  <c r="A5" i="6" l="1" a="1"/>
  <c r="D16" i="6" s="1"/>
  <c r="M100" i="18"/>
  <c r="I100" i="18"/>
  <c r="M99" i="18"/>
  <c r="I99" i="18"/>
  <c r="M98" i="18"/>
  <c r="I98" i="18"/>
  <c r="M97" i="18"/>
  <c r="I97" i="18"/>
  <c r="M96" i="18"/>
  <c r="I96" i="18"/>
  <c r="M95" i="18"/>
  <c r="I95" i="18"/>
  <c r="M94" i="18"/>
  <c r="I94" i="18"/>
  <c r="M93" i="18"/>
  <c r="I93" i="18"/>
  <c r="M92" i="18"/>
  <c r="I92" i="18"/>
  <c r="M91" i="18"/>
  <c r="I91" i="18"/>
  <c r="M90" i="18"/>
  <c r="I90" i="18"/>
  <c r="M89" i="18"/>
  <c r="I89" i="18"/>
  <c r="M88" i="18"/>
  <c r="I88" i="18"/>
  <c r="M87" i="18"/>
  <c r="I87" i="18"/>
  <c r="M86" i="18"/>
  <c r="I86" i="18"/>
  <c r="M85" i="18"/>
  <c r="I85" i="18"/>
  <c r="M84" i="18"/>
  <c r="I84" i="18"/>
  <c r="M83" i="18"/>
  <c r="I83" i="18"/>
  <c r="M82" i="18"/>
  <c r="I82" i="18"/>
  <c r="M81" i="18"/>
  <c r="I81" i="18"/>
  <c r="M80" i="18"/>
  <c r="I80" i="18"/>
  <c r="M79" i="18"/>
  <c r="I79" i="18"/>
  <c r="M78" i="18"/>
  <c r="I78" i="18"/>
  <c r="M77" i="18"/>
  <c r="I77" i="18"/>
  <c r="M76" i="18"/>
  <c r="I76" i="18"/>
  <c r="M75" i="18"/>
  <c r="I75" i="18"/>
  <c r="M74" i="18"/>
  <c r="I74" i="18"/>
  <c r="M73" i="18"/>
  <c r="I73" i="18"/>
  <c r="M72" i="18"/>
  <c r="I72" i="18"/>
  <c r="M71" i="18"/>
  <c r="I71" i="18"/>
  <c r="M70" i="18"/>
  <c r="I70" i="18"/>
  <c r="M69" i="18"/>
  <c r="I69" i="18"/>
  <c r="M68" i="18"/>
  <c r="I68" i="18"/>
  <c r="M67" i="18"/>
  <c r="I67" i="18"/>
  <c r="M66" i="18"/>
  <c r="I66" i="18"/>
  <c r="M65" i="18"/>
  <c r="I65" i="18"/>
  <c r="M64" i="18"/>
  <c r="I64" i="18"/>
  <c r="M63" i="18"/>
  <c r="I63" i="18"/>
  <c r="M62" i="18"/>
  <c r="I62" i="18"/>
  <c r="M61" i="18"/>
  <c r="I61" i="18"/>
  <c r="M60" i="18"/>
  <c r="I60" i="18"/>
  <c r="M59" i="18"/>
  <c r="I59" i="18"/>
  <c r="M58" i="18"/>
  <c r="I58" i="18"/>
  <c r="M57" i="18"/>
  <c r="I57" i="18"/>
  <c r="M56" i="18"/>
  <c r="I56" i="18"/>
  <c r="M55" i="18"/>
  <c r="I55" i="18"/>
  <c r="M54" i="18"/>
  <c r="I54" i="18"/>
  <c r="M53" i="18"/>
  <c r="I53" i="18"/>
  <c r="M52" i="18"/>
  <c r="I52" i="18"/>
  <c r="M51" i="18"/>
  <c r="I51" i="18"/>
  <c r="M50" i="18"/>
  <c r="I50" i="18"/>
  <c r="M49" i="18"/>
  <c r="I49" i="18"/>
  <c r="M48" i="18"/>
  <c r="I48" i="18"/>
  <c r="M47" i="18"/>
  <c r="I47" i="18"/>
  <c r="M46" i="18"/>
  <c r="I46" i="18"/>
  <c r="M45" i="18"/>
  <c r="I45" i="18"/>
  <c r="M44" i="18"/>
  <c r="I44" i="18"/>
  <c r="M43" i="18"/>
  <c r="I43" i="18"/>
  <c r="M42" i="18"/>
  <c r="I42" i="18"/>
  <c r="M41" i="18"/>
  <c r="I41" i="18"/>
  <c r="M40" i="18"/>
  <c r="I40" i="18"/>
  <c r="M39" i="18"/>
  <c r="I39" i="18"/>
  <c r="M38" i="18"/>
  <c r="I38" i="18"/>
  <c r="M37" i="18"/>
  <c r="I37" i="18"/>
  <c r="M36" i="18"/>
  <c r="I36" i="18"/>
  <c r="M35" i="18"/>
  <c r="I35" i="18"/>
  <c r="M34" i="18"/>
  <c r="I34" i="18"/>
  <c r="M33" i="18"/>
  <c r="I33" i="18"/>
  <c r="M32" i="18"/>
  <c r="I32" i="18"/>
  <c r="M31" i="18"/>
  <c r="I31" i="18"/>
  <c r="M30" i="18"/>
  <c r="I30" i="18"/>
  <c r="M29" i="18"/>
  <c r="I29" i="18"/>
  <c r="M28" i="18"/>
  <c r="I28" i="18"/>
  <c r="M27" i="18"/>
  <c r="I27" i="18"/>
  <c r="M26" i="18"/>
  <c r="I26" i="18"/>
  <c r="M25" i="18"/>
  <c r="I25" i="18"/>
  <c r="L100" i="18"/>
  <c r="K100" i="18"/>
  <c r="J100" i="18"/>
  <c r="H100" i="18"/>
  <c r="G100" i="18"/>
  <c r="F100" i="18"/>
  <c r="E100" i="18"/>
  <c r="D100" i="18"/>
  <c r="C100" i="18"/>
  <c r="B100" i="18"/>
  <c r="L99" i="18"/>
  <c r="K99" i="18"/>
  <c r="J99" i="18"/>
  <c r="H99" i="18"/>
  <c r="G99" i="18"/>
  <c r="F99" i="18"/>
  <c r="E99" i="18"/>
  <c r="D99" i="18"/>
  <c r="C99" i="18"/>
  <c r="B99" i="18"/>
  <c r="L98" i="18"/>
  <c r="K98" i="18"/>
  <c r="J98" i="18"/>
  <c r="H98" i="18"/>
  <c r="G98" i="18"/>
  <c r="F98" i="18"/>
  <c r="E98" i="18"/>
  <c r="D98" i="18"/>
  <c r="C98" i="18"/>
  <c r="B98" i="18"/>
  <c r="L97" i="18"/>
  <c r="K97" i="18"/>
  <c r="J97" i="18"/>
  <c r="H97" i="18"/>
  <c r="G97" i="18"/>
  <c r="F97" i="18"/>
  <c r="E97" i="18"/>
  <c r="D97" i="18"/>
  <c r="C97" i="18"/>
  <c r="B97" i="18"/>
  <c r="L96" i="18"/>
  <c r="K96" i="18"/>
  <c r="J96" i="18"/>
  <c r="H96" i="18"/>
  <c r="G96" i="18"/>
  <c r="F96" i="18"/>
  <c r="E96" i="18"/>
  <c r="D96" i="18"/>
  <c r="C96" i="18"/>
  <c r="B96" i="18"/>
  <c r="L95" i="18"/>
  <c r="K95" i="18"/>
  <c r="J95" i="18"/>
  <c r="H95" i="18"/>
  <c r="G95" i="18"/>
  <c r="F95" i="18"/>
  <c r="E95" i="18"/>
  <c r="D95" i="18"/>
  <c r="C95" i="18"/>
  <c r="B95" i="18"/>
  <c r="L94" i="18"/>
  <c r="K94" i="18"/>
  <c r="J94" i="18"/>
  <c r="H94" i="18"/>
  <c r="G94" i="18"/>
  <c r="F94" i="18"/>
  <c r="E94" i="18"/>
  <c r="D94" i="18"/>
  <c r="C94" i="18"/>
  <c r="B94" i="18"/>
  <c r="L93" i="18"/>
  <c r="K93" i="18"/>
  <c r="J93" i="18"/>
  <c r="H93" i="18"/>
  <c r="G93" i="18"/>
  <c r="F93" i="18"/>
  <c r="E93" i="18"/>
  <c r="D93" i="18"/>
  <c r="C93" i="18"/>
  <c r="B93" i="18"/>
  <c r="L92" i="18"/>
  <c r="K92" i="18"/>
  <c r="J92" i="18"/>
  <c r="H92" i="18"/>
  <c r="G92" i="18"/>
  <c r="F92" i="18"/>
  <c r="E92" i="18"/>
  <c r="D92" i="18"/>
  <c r="C92" i="18"/>
  <c r="B92" i="18"/>
  <c r="L91" i="18"/>
  <c r="K91" i="18"/>
  <c r="J91" i="18"/>
  <c r="H91" i="18"/>
  <c r="G91" i="18"/>
  <c r="F91" i="18"/>
  <c r="E91" i="18"/>
  <c r="D91" i="18"/>
  <c r="C91" i="18"/>
  <c r="B91" i="18"/>
  <c r="L90" i="18"/>
  <c r="K90" i="18"/>
  <c r="J90" i="18"/>
  <c r="H90" i="18"/>
  <c r="G90" i="18"/>
  <c r="F90" i="18"/>
  <c r="E90" i="18"/>
  <c r="D90" i="18"/>
  <c r="C90" i="18"/>
  <c r="B90" i="18"/>
  <c r="L89" i="18"/>
  <c r="K89" i="18"/>
  <c r="J89" i="18"/>
  <c r="H89" i="18"/>
  <c r="G89" i="18"/>
  <c r="F89" i="18"/>
  <c r="E89" i="18"/>
  <c r="D89" i="18"/>
  <c r="C89" i="18"/>
  <c r="B89" i="18"/>
  <c r="L88" i="18"/>
  <c r="K88" i="18"/>
  <c r="J88" i="18"/>
  <c r="H88" i="18"/>
  <c r="G88" i="18"/>
  <c r="F88" i="18"/>
  <c r="E88" i="18"/>
  <c r="D88" i="18"/>
  <c r="C88" i="18"/>
  <c r="B88" i="18"/>
  <c r="L87" i="18"/>
  <c r="K87" i="18"/>
  <c r="J87" i="18"/>
  <c r="H87" i="18"/>
  <c r="G87" i="18"/>
  <c r="F87" i="18"/>
  <c r="E87" i="18"/>
  <c r="D87" i="18"/>
  <c r="C87" i="18"/>
  <c r="B87" i="18"/>
  <c r="L86" i="18"/>
  <c r="K86" i="18"/>
  <c r="J86" i="18"/>
  <c r="H86" i="18"/>
  <c r="G86" i="18"/>
  <c r="F86" i="18"/>
  <c r="E86" i="18"/>
  <c r="D86" i="18"/>
  <c r="C86" i="18"/>
  <c r="B86" i="18"/>
  <c r="L85" i="18"/>
  <c r="K85" i="18"/>
  <c r="J85" i="18"/>
  <c r="H85" i="18"/>
  <c r="G85" i="18"/>
  <c r="F85" i="18"/>
  <c r="E85" i="18"/>
  <c r="D85" i="18"/>
  <c r="C85" i="18"/>
  <c r="B85" i="18"/>
  <c r="L84" i="18"/>
  <c r="K84" i="18"/>
  <c r="J84" i="18"/>
  <c r="H84" i="18"/>
  <c r="G84" i="18"/>
  <c r="F84" i="18"/>
  <c r="E84" i="18"/>
  <c r="D84" i="18"/>
  <c r="C84" i="18"/>
  <c r="B84" i="18"/>
  <c r="L83" i="18"/>
  <c r="K83" i="18"/>
  <c r="J83" i="18"/>
  <c r="H83" i="18"/>
  <c r="G83" i="18"/>
  <c r="F83" i="18"/>
  <c r="E83" i="18"/>
  <c r="D83" i="18"/>
  <c r="C83" i="18"/>
  <c r="B83" i="18"/>
  <c r="L82" i="18"/>
  <c r="K82" i="18"/>
  <c r="J82" i="18"/>
  <c r="H82" i="18"/>
  <c r="G82" i="18"/>
  <c r="F82" i="18"/>
  <c r="E82" i="18"/>
  <c r="D82" i="18"/>
  <c r="C82" i="18"/>
  <c r="B82" i="18"/>
  <c r="L81" i="18"/>
  <c r="K81" i="18"/>
  <c r="J81" i="18"/>
  <c r="H81" i="18"/>
  <c r="G81" i="18"/>
  <c r="F81" i="18"/>
  <c r="E81" i="18"/>
  <c r="D81" i="18"/>
  <c r="C81" i="18"/>
  <c r="B81" i="18"/>
  <c r="L80" i="18"/>
  <c r="K80" i="18"/>
  <c r="J80" i="18"/>
  <c r="H80" i="18"/>
  <c r="G80" i="18"/>
  <c r="F80" i="18"/>
  <c r="E80" i="18"/>
  <c r="D80" i="18"/>
  <c r="C80" i="18"/>
  <c r="B80" i="18"/>
  <c r="L79" i="18"/>
  <c r="K79" i="18"/>
  <c r="J79" i="18"/>
  <c r="H79" i="18"/>
  <c r="G79" i="18"/>
  <c r="F79" i="18"/>
  <c r="E79" i="18"/>
  <c r="D79" i="18"/>
  <c r="C79" i="18"/>
  <c r="B79" i="18"/>
  <c r="L78" i="18"/>
  <c r="K78" i="18"/>
  <c r="J78" i="18"/>
  <c r="H78" i="18"/>
  <c r="G78" i="18"/>
  <c r="F78" i="18"/>
  <c r="E78" i="18"/>
  <c r="D78" i="18"/>
  <c r="C78" i="18"/>
  <c r="B78" i="18"/>
  <c r="L77" i="18"/>
  <c r="K77" i="18"/>
  <c r="J77" i="18"/>
  <c r="H77" i="18"/>
  <c r="G77" i="18"/>
  <c r="F77" i="18"/>
  <c r="E77" i="18"/>
  <c r="D77" i="18"/>
  <c r="C77" i="18"/>
  <c r="B77" i="18"/>
  <c r="L76" i="18"/>
  <c r="K76" i="18"/>
  <c r="J76" i="18"/>
  <c r="H76" i="18"/>
  <c r="G76" i="18"/>
  <c r="F76" i="18"/>
  <c r="E76" i="18"/>
  <c r="D76" i="18"/>
  <c r="C76" i="18"/>
  <c r="B76" i="18"/>
  <c r="L75" i="18"/>
  <c r="K75" i="18"/>
  <c r="J75" i="18"/>
  <c r="H75" i="18"/>
  <c r="G75" i="18"/>
  <c r="F75" i="18"/>
  <c r="E75" i="18"/>
  <c r="D75" i="18"/>
  <c r="C75" i="18"/>
  <c r="B75" i="18"/>
  <c r="L74" i="18"/>
  <c r="K74" i="18"/>
  <c r="J74" i="18"/>
  <c r="H74" i="18"/>
  <c r="G74" i="18"/>
  <c r="F74" i="18"/>
  <c r="E74" i="18"/>
  <c r="D74" i="18"/>
  <c r="C74" i="18"/>
  <c r="B74" i="18"/>
  <c r="L73" i="18"/>
  <c r="K73" i="18"/>
  <c r="J73" i="18"/>
  <c r="H73" i="18"/>
  <c r="G73" i="18"/>
  <c r="F73" i="18"/>
  <c r="E73" i="18"/>
  <c r="D73" i="18"/>
  <c r="C73" i="18"/>
  <c r="B73" i="18"/>
  <c r="L72" i="18"/>
  <c r="K72" i="18"/>
  <c r="J72" i="18"/>
  <c r="H72" i="18"/>
  <c r="G72" i="18"/>
  <c r="F72" i="18"/>
  <c r="E72" i="18"/>
  <c r="D72" i="18"/>
  <c r="C72" i="18"/>
  <c r="B72" i="18"/>
  <c r="L71" i="18"/>
  <c r="K71" i="18"/>
  <c r="J71" i="18"/>
  <c r="H71" i="18"/>
  <c r="G71" i="18"/>
  <c r="F71" i="18"/>
  <c r="E71" i="18"/>
  <c r="D71" i="18"/>
  <c r="C71" i="18"/>
  <c r="B71" i="18"/>
  <c r="L70" i="18"/>
  <c r="K70" i="18"/>
  <c r="J70" i="18"/>
  <c r="H70" i="18"/>
  <c r="G70" i="18"/>
  <c r="F70" i="18"/>
  <c r="E70" i="18"/>
  <c r="D70" i="18"/>
  <c r="C70" i="18"/>
  <c r="B70" i="18"/>
  <c r="L69" i="18"/>
  <c r="K69" i="18"/>
  <c r="J69" i="18"/>
  <c r="H69" i="18"/>
  <c r="G69" i="18"/>
  <c r="F69" i="18"/>
  <c r="E69" i="18"/>
  <c r="D69" i="18"/>
  <c r="C69" i="18"/>
  <c r="B69" i="18"/>
  <c r="L68" i="18"/>
  <c r="K68" i="18"/>
  <c r="J68" i="18"/>
  <c r="H68" i="18"/>
  <c r="G68" i="18"/>
  <c r="F68" i="18"/>
  <c r="E68" i="18"/>
  <c r="D68" i="18"/>
  <c r="C68" i="18"/>
  <c r="B68" i="18"/>
  <c r="L67" i="18"/>
  <c r="K67" i="18"/>
  <c r="J67" i="18"/>
  <c r="H67" i="18"/>
  <c r="G67" i="18"/>
  <c r="F67" i="18"/>
  <c r="E67" i="18"/>
  <c r="D67" i="18"/>
  <c r="C67" i="18"/>
  <c r="B67" i="18"/>
  <c r="L66" i="18"/>
  <c r="K66" i="18"/>
  <c r="J66" i="18"/>
  <c r="H66" i="18"/>
  <c r="G66" i="18"/>
  <c r="F66" i="18"/>
  <c r="E66" i="18"/>
  <c r="D66" i="18"/>
  <c r="C66" i="18"/>
  <c r="B66" i="18"/>
  <c r="L65" i="18"/>
  <c r="K65" i="18"/>
  <c r="J65" i="18"/>
  <c r="H65" i="18"/>
  <c r="G65" i="18"/>
  <c r="F65" i="18"/>
  <c r="E65" i="18"/>
  <c r="D65" i="18"/>
  <c r="C65" i="18"/>
  <c r="B65" i="18"/>
  <c r="L64" i="18"/>
  <c r="K64" i="18"/>
  <c r="J64" i="18"/>
  <c r="H64" i="18"/>
  <c r="G64" i="18"/>
  <c r="F64" i="18"/>
  <c r="E64" i="18"/>
  <c r="D64" i="18"/>
  <c r="C64" i="18"/>
  <c r="B64" i="18"/>
  <c r="L63" i="18"/>
  <c r="K63" i="18"/>
  <c r="J63" i="18"/>
  <c r="H63" i="18"/>
  <c r="G63" i="18"/>
  <c r="F63" i="18"/>
  <c r="E63" i="18"/>
  <c r="D63" i="18"/>
  <c r="C63" i="18"/>
  <c r="B63" i="18"/>
  <c r="L62" i="18"/>
  <c r="K62" i="18"/>
  <c r="J62" i="18"/>
  <c r="H62" i="18"/>
  <c r="G62" i="18"/>
  <c r="F62" i="18"/>
  <c r="E62" i="18"/>
  <c r="D62" i="18"/>
  <c r="C62" i="18"/>
  <c r="B62" i="18"/>
  <c r="L61" i="18"/>
  <c r="K61" i="18"/>
  <c r="J61" i="18"/>
  <c r="H61" i="18"/>
  <c r="G61" i="18"/>
  <c r="F61" i="18"/>
  <c r="E61" i="18"/>
  <c r="D61" i="18"/>
  <c r="C61" i="18"/>
  <c r="B61" i="18"/>
  <c r="L60" i="18"/>
  <c r="K60" i="18"/>
  <c r="J60" i="18"/>
  <c r="H60" i="18"/>
  <c r="G60" i="18"/>
  <c r="F60" i="18"/>
  <c r="E60" i="18"/>
  <c r="D60" i="18"/>
  <c r="C60" i="18"/>
  <c r="B60" i="18"/>
  <c r="L59" i="18"/>
  <c r="K59" i="18"/>
  <c r="J59" i="18"/>
  <c r="H59" i="18"/>
  <c r="G59" i="18"/>
  <c r="F59" i="18"/>
  <c r="E59" i="18"/>
  <c r="D59" i="18"/>
  <c r="C59" i="18"/>
  <c r="B59" i="18"/>
  <c r="L58" i="18"/>
  <c r="K58" i="18"/>
  <c r="J58" i="18"/>
  <c r="H58" i="18"/>
  <c r="G58" i="18"/>
  <c r="F58" i="18"/>
  <c r="E58" i="18"/>
  <c r="D58" i="18"/>
  <c r="C58" i="18"/>
  <c r="B58" i="18"/>
  <c r="L57" i="18"/>
  <c r="K57" i="18"/>
  <c r="J57" i="18"/>
  <c r="H57" i="18"/>
  <c r="G57" i="18"/>
  <c r="F57" i="18"/>
  <c r="E57" i="18"/>
  <c r="D57" i="18"/>
  <c r="C57" i="18"/>
  <c r="B57" i="18"/>
  <c r="L56" i="18"/>
  <c r="K56" i="18"/>
  <c r="J56" i="18"/>
  <c r="H56" i="18"/>
  <c r="G56" i="18"/>
  <c r="F56" i="18"/>
  <c r="E56" i="18"/>
  <c r="D56" i="18"/>
  <c r="C56" i="18"/>
  <c r="B56" i="18"/>
  <c r="L55" i="18"/>
  <c r="K55" i="18"/>
  <c r="J55" i="18"/>
  <c r="H55" i="18"/>
  <c r="G55" i="18"/>
  <c r="F55" i="18"/>
  <c r="E55" i="18"/>
  <c r="D55" i="18"/>
  <c r="C55" i="18"/>
  <c r="B55" i="18"/>
  <c r="L54" i="18"/>
  <c r="K54" i="18"/>
  <c r="J54" i="18"/>
  <c r="H54" i="18"/>
  <c r="G54" i="18"/>
  <c r="F54" i="18"/>
  <c r="E54" i="18"/>
  <c r="D54" i="18"/>
  <c r="C54" i="18"/>
  <c r="B54" i="18"/>
  <c r="L53" i="18"/>
  <c r="K53" i="18"/>
  <c r="J53" i="18"/>
  <c r="H53" i="18"/>
  <c r="G53" i="18"/>
  <c r="F53" i="18"/>
  <c r="E53" i="18"/>
  <c r="D53" i="18"/>
  <c r="C53" i="18"/>
  <c r="B53" i="18"/>
  <c r="L52" i="18"/>
  <c r="K52" i="18"/>
  <c r="J52" i="18"/>
  <c r="H52" i="18"/>
  <c r="G52" i="18"/>
  <c r="F52" i="18"/>
  <c r="E52" i="18"/>
  <c r="D52" i="18"/>
  <c r="C52" i="18"/>
  <c r="B52" i="18"/>
  <c r="L51" i="18"/>
  <c r="K51" i="18"/>
  <c r="J51" i="18"/>
  <c r="H51" i="18"/>
  <c r="G51" i="18"/>
  <c r="F51" i="18"/>
  <c r="E51" i="18"/>
  <c r="D51" i="18"/>
  <c r="C51" i="18"/>
  <c r="B51" i="18"/>
  <c r="L50" i="18"/>
  <c r="K50" i="18"/>
  <c r="J50" i="18"/>
  <c r="H50" i="18"/>
  <c r="G50" i="18"/>
  <c r="F50" i="18"/>
  <c r="E50" i="18"/>
  <c r="D50" i="18"/>
  <c r="C50" i="18"/>
  <c r="B50" i="18"/>
  <c r="L49" i="18"/>
  <c r="K49" i="18"/>
  <c r="J49" i="18"/>
  <c r="H49" i="18"/>
  <c r="G49" i="18"/>
  <c r="F49" i="18"/>
  <c r="E49" i="18"/>
  <c r="D49" i="18"/>
  <c r="C49" i="18"/>
  <c r="B49" i="18"/>
  <c r="L48" i="18"/>
  <c r="K48" i="18"/>
  <c r="J48" i="18"/>
  <c r="H48" i="18"/>
  <c r="G48" i="18"/>
  <c r="F48" i="18"/>
  <c r="E48" i="18"/>
  <c r="D48" i="18"/>
  <c r="C48" i="18"/>
  <c r="B48" i="18"/>
  <c r="L47" i="18"/>
  <c r="K47" i="18"/>
  <c r="J47" i="18"/>
  <c r="H47" i="18"/>
  <c r="G47" i="18"/>
  <c r="F47" i="18"/>
  <c r="E47" i="18"/>
  <c r="D47" i="18"/>
  <c r="C47" i="18"/>
  <c r="B47" i="18"/>
  <c r="L46" i="18"/>
  <c r="K46" i="18"/>
  <c r="J46" i="18"/>
  <c r="H46" i="18"/>
  <c r="G46" i="18"/>
  <c r="F46" i="18"/>
  <c r="E46" i="18"/>
  <c r="D46" i="18"/>
  <c r="C46" i="18"/>
  <c r="B46" i="18"/>
  <c r="L45" i="18"/>
  <c r="K45" i="18"/>
  <c r="J45" i="18"/>
  <c r="H45" i="18"/>
  <c r="G45" i="18"/>
  <c r="F45" i="18"/>
  <c r="E45" i="18"/>
  <c r="D45" i="18"/>
  <c r="C45" i="18"/>
  <c r="B45" i="18"/>
  <c r="L44" i="18"/>
  <c r="K44" i="18"/>
  <c r="J44" i="18"/>
  <c r="H44" i="18"/>
  <c r="G44" i="18"/>
  <c r="F44" i="18"/>
  <c r="E44" i="18"/>
  <c r="D44" i="18"/>
  <c r="C44" i="18"/>
  <c r="B44" i="18"/>
  <c r="L43" i="18"/>
  <c r="K43" i="18"/>
  <c r="J43" i="18"/>
  <c r="H43" i="18"/>
  <c r="G43" i="18"/>
  <c r="F43" i="18"/>
  <c r="E43" i="18"/>
  <c r="D43" i="18"/>
  <c r="C43" i="18"/>
  <c r="B43" i="18"/>
  <c r="L42" i="18"/>
  <c r="K42" i="18"/>
  <c r="J42" i="18"/>
  <c r="H42" i="18"/>
  <c r="G42" i="18"/>
  <c r="F42" i="18"/>
  <c r="E42" i="18"/>
  <c r="D42" i="18"/>
  <c r="C42" i="18"/>
  <c r="B42" i="18"/>
  <c r="L41" i="18"/>
  <c r="K41" i="18"/>
  <c r="J41" i="18"/>
  <c r="H41" i="18"/>
  <c r="G41" i="18"/>
  <c r="F41" i="18"/>
  <c r="E41" i="18"/>
  <c r="D41" i="18"/>
  <c r="C41" i="18"/>
  <c r="B41" i="18"/>
  <c r="L40" i="18"/>
  <c r="K40" i="18"/>
  <c r="J40" i="18"/>
  <c r="H40" i="18"/>
  <c r="G40" i="18"/>
  <c r="F40" i="18"/>
  <c r="E40" i="18"/>
  <c r="D40" i="18"/>
  <c r="C40" i="18"/>
  <c r="B40" i="18"/>
  <c r="L39" i="18"/>
  <c r="K39" i="18"/>
  <c r="J39" i="18"/>
  <c r="H39" i="18"/>
  <c r="G39" i="18"/>
  <c r="F39" i="18"/>
  <c r="E39" i="18"/>
  <c r="D39" i="18"/>
  <c r="C39" i="18"/>
  <c r="B39" i="18"/>
  <c r="L38" i="18"/>
  <c r="K38" i="18"/>
  <c r="J38" i="18"/>
  <c r="H38" i="18"/>
  <c r="G38" i="18"/>
  <c r="F38" i="18"/>
  <c r="E38" i="18"/>
  <c r="D38" i="18"/>
  <c r="C38" i="18"/>
  <c r="B38" i="18"/>
  <c r="L37" i="18"/>
  <c r="K37" i="18"/>
  <c r="J37" i="18"/>
  <c r="H37" i="18"/>
  <c r="G37" i="18"/>
  <c r="F37" i="18"/>
  <c r="E37" i="18"/>
  <c r="D37" i="18"/>
  <c r="C37" i="18"/>
  <c r="B37" i="18"/>
  <c r="L36" i="18"/>
  <c r="K36" i="18"/>
  <c r="J36" i="18"/>
  <c r="H36" i="18"/>
  <c r="G36" i="18"/>
  <c r="F36" i="18"/>
  <c r="E36" i="18"/>
  <c r="D36" i="18"/>
  <c r="C36" i="18"/>
  <c r="B36" i="18"/>
  <c r="L35" i="18"/>
  <c r="K35" i="18"/>
  <c r="J35" i="18"/>
  <c r="H35" i="18"/>
  <c r="G35" i="18"/>
  <c r="F35" i="18"/>
  <c r="E35" i="18"/>
  <c r="D35" i="18"/>
  <c r="C35" i="18"/>
  <c r="B35" i="18"/>
  <c r="L34" i="18"/>
  <c r="K34" i="18"/>
  <c r="J34" i="18"/>
  <c r="H34" i="18"/>
  <c r="G34" i="18"/>
  <c r="F34" i="18"/>
  <c r="E34" i="18"/>
  <c r="D34" i="18"/>
  <c r="C34" i="18"/>
  <c r="B34" i="18"/>
  <c r="L33" i="18"/>
  <c r="K33" i="18"/>
  <c r="J33" i="18"/>
  <c r="H33" i="18"/>
  <c r="G33" i="18"/>
  <c r="F33" i="18"/>
  <c r="E33" i="18"/>
  <c r="D33" i="18"/>
  <c r="C33" i="18"/>
  <c r="B33" i="18"/>
  <c r="L32" i="18"/>
  <c r="K32" i="18"/>
  <c r="J32" i="18"/>
  <c r="H32" i="18"/>
  <c r="G32" i="18"/>
  <c r="F32" i="18"/>
  <c r="E32" i="18"/>
  <c r="D32" i="18"/>
  <c r="C32" i="18"/>
  <c r="B32" i="18"/>
  <c r="L31" i="18"/>
  <c r="K31" i="18"/>
  <c r="J31" i="18"/>
  <c r="H31" i="18"/>
  <c r="G31" i="18"/>
  <c r="F31" i="18"/>
  <c r="E31" i="18"/>
  <c r="D31" i="18"/>
  <c r="C31" i="18"/>
  <c r="B31" i="18"/>
  <c r="L30" i="18"/>
  <c r="K30" i="18"/>
  <c r="J30" i="18"/>
  <c r="H30" i="18"/>
  <c r="G30" i="18"/>
  <c r="F30" i="18"/>
  <c r="E30" i="18"/>
  <c r="D30" i="18"/>
  <c r="C30" i="18"/>
  <c r="B30" i="18"/>
  <c r="L29" i="18"/>
  <c r="K29" i="18"/>
  <c r="J29" i="18"/>
  <c r="H29" i="18"/>
  <c r="G29" i="18"/>
  <c r="F29" i="18"/>
  <c r="E29" i="18"/>
  <c r="D29" i="18"/>
  <c r="C29" i="18"/>
  <c r="B29" i="18"/>
  <c r="L28" i="18"/>
  <c r="K28" i="18"/>
  <c r="J28" i="18"/>
  <c r="H28" i="18"/>
  <c r="G28" i="18"/>
  <c r="F28" i="18"/>
  <c r="E28" i="18"/>
  <c r="D28" i="18"/>
  <c r="C28" i="18"/>
  <c r="B28" i="18"/>
  <c r="L27" i="18"/>
  <c r="K27" i="18"/>
  <c r="J27" i="18"/>
  <c r="H27" i="18"/>
  <c r="G27" i="18"/>
  <c r="F27" i="18"/>
  <c r="E27" i="18"/>
  <c r="D27" i="18"/>
  <c r="C27" i="18"/>
  <c r="B27" i="18"/>
  <c r="L26" i="18"/>
  <c r="K26" i="18"/>
  <c r="J26" i="18"/>
  <c r="H26" i="18"/>
  <c r="G26" i="18"/>
  <c r="F26" i="18"/>
  <c r="E26" i="18"/>
  <c r="D26" i="18"/>
  <c r="C26" i="18"/>
  <c r="B26" i="18"/>
  <c r="L25" i="18"/>
  <c r="K25" i="18"/>
  <c r="J25" i="18"/>
  <c r="H25" i="18"/>
  <c r="G25" i="18"/>
  <c r="F25" i="18"/>
  <c r="E25" i="18"/>
  <c r="D25" i="18"/>
  <c r="C25" i="18"/>
  <c r="B25" i="18"/>
  <c r="M100" i="17"/>
  <c r="M99" i="17"/>
  <c r="M98" i="17"/>
  <c r="M97" i="17"/>
  <c r="M96" i="17"/>
  <c r="M95" i="17"/>
  <c r="M94" i="17"/>
  <c r="M93" i="17"/>
  <c r="M92" i="17"/>
  <c r="M91" i="17"/>
  <c r="M90" i="17"/>
  <c r="M89" i="17"/>
  <c r="M88" i="17"/>
  <c r="M87" i="17"/>
  <c r="M86" i="17"/>
  <c r="M85" i="17"/>
  <c r="M84" i="17"/>
  <c r="M83" i="17"/>
  <c r="M82" i="17"/>
  <c r="M81" i="17"/>
  <c r="M80" i="17"/>
  <c r="M79" i="17"/>
  <c r="M78" i="17"/>
  <c r="M77" i="17"/>
  <c r="M76" i="17"/>
  <c r="M75" i="17"/>
  <c r="M74" i="17"/>
  <c r="M73" i="17"/>
  <c r="M72" i="17"/>
  <c r="M71" i="17"/>
  <c r="M70" i="17"/>
  <c r="M69" i="17"/>
  <c r="M68" i="17"/>
  <c r="M67" i="17"/>
  <c r="M66" i="17"/>
  <c r="M65" i="17"/>
  <c r="M64" i="17"/>
  <c r="M63" i="17"/>
  <c r="M62" i="17"/>
  <c r="M61" i="17"/>
  <c r="M60" i="17"/>
  <c r="M59" i="17"/>
  <c r="M58" i="17"/>
  <c r="M57" i="17"/>
  <c r="M56" i="17"/>
  <c r="M55" i="17"/>
  <c r="M54" i="17"/>
  <c r="M53" i="17"/>
  <c r="M52" i="17"/>
  <c r="M51" i="17"/>
  <c r="M50" i="17"/>
  <c r="M49" i="17"/>
  <c r="M48" i="17"/>
  <c r="M47" i="17"/>
  <c r="M46" i="17"/>
  <c r="M45" i="17"/>
  <c r="M44" i="17"/>
  <c r="M43" i="17"/>
  <c r="M42" i="17"/>
  <c r="M41" i="17"/>
  <c r="M40" i="17"/>
  <c r="M39" i="17"/>
  <c r="M38" i="17"/>
  <c r="M37" i="17"/>
  <c r="M36" i="17"/>
  <c r="M35" i="17"/>
  <c r="M34" i="17"/>
  <c r="M33" i="17"/>
  <c r="M32" i="17"/>
  <c r="M31" i="17"/>
  <c r="M30" i="17"/>
  <c r="M29" i="17"/>
  <c r="M28" i="17"/>
  <c r="M27" i="17"/>
  <c r="I100" i="17"/>
  <c r="I99" i="17"/>
  <c r="I98" i="17"/>
  <c r="I97" i="17"/>
  <c r="I96" i="17"/>
  <c r="I95" i="17"/>
  <c r="I94" i="17"/>
  <c r="I93" i="17"/>
  <c r="I92" i="17"/>
  <c r="I91" i="17"/>
  <c r="I90" i="17"/>
  <c r="I89" i="17"/>
  <c r="I88" i="17"/>
  <c r="I87" i="17"/>
  <c r="I86" i="17"/>
  <c r="I85" i="17"/>
  <c r="I84" i="17"/>
  <c r="I83" i="17"/>
  <c r="I82" i="17"/>
  <c r="I81" i="17"/>
  <c r="I80" i="17"/>
  <c r="I79" i="17"/>
  <c r="I78" i="17"/>
  <c r="I77" i="17"/>
  <c r="I76" i="17"/>
  <c r="I75" i="17"/>
  <c r="I74" i="17"/>
  <c r="I73" i="17"/>
  <c r="I72" i="17"/>
  <c r="I71" i="17"/>
  <c r="I70" i="17"/>
  <c r="I69" i="17"/>
  <c r="I68" i="17"/>
  <c r="I67" i="17"/>
  <c r="I66" i="17"/>
  <c r="I65" i="17"/>
  <c r="I64" i="17"/>
  <c r="I63" i="17"/>
  <c r="I62" i="17"/>
  <c r="I61" i="17"/>
  <c r="I60" i="17"/>
  <c r="I59" i="17"/>
  <c r="I58" i="17"/>
  <c r="I57" i="17"/>
  <c r="I56" i="17"/>
  <c r="I55" i="17"/>
  <c r="I54" i="17"/>
  <c r="I53" i="17"/>
  <c r="I52" i="17"/>
  <c r="I51" i="17"/>
  <c r="I50" i="17"/>
  <c r="I49" i="17"/>
  <c r="I48" i="17"/>
  <c r="I47" i="17"/>
  <c r="I46" i="17"/>
  <c r="I45" i="17"/>
  <c r="I44" i="17"/>
  <c r="I43" i="17"/>
  <c r="I42" i="17"/>
  <c r="I41" i="17"/>
  <c r="I40" i="17"/>
  <c r="I39" i="17"/>
  <c r="I38" i="17"/>
  <c r="I37" i="17"/>
  <c r="I36" i="17"/>
  <c r="I35" i="17"/>
  <c r="I34" i="17"/>
  <c r="I33" i="17"/>
  <c r="I32" i="17"/>
  <c r="I31" i="17"/>
  <c r="I30" i="17"/>
  <c r="I29" i="17"/>
  <c r="I28" i="17"/>
  <c r="I27" i="17"/>
  <c r="B100" i="17"/>
  <c r="C100" i="17"/>
  <c r="D100" i="17"/>
  <c r="E100" i="17"/>
  <c r="F100" i="17"/>
  <c r="G100" i="17"/>
  <c r="H100" i="17"/>
  <c r="J100" i="17"/>
  <c r="K100" i="17"/>
  <c r="L100" i="17"/>
  <c r="B99" i="17"/>
  <c r="C99" i="17"/>
  <c r="D99" i="17"/>
  <c r="E99" i="17"/>
  <c r="F99" i="17"/>
  <c r="G99" i="17"/>
  <c r="H99" i="17"/>
  <c r="J99" i="17"/>
  <c r="K99" i="17"/>
  <c r="L99" i="17"/>
  <c r="B98" i="17"/>
  <c r="C98" i="17"/>
  <c r="D98" i="17"/>
  <c r="E98" i="17"/>
  <c r="F98" i="17"/>
  <c r="G98" i="17"/>
  <c r="H98" i="17"/>
  <c r="J98" i="17"/>
  <c r="K98" i="17"/>
  <c r="L98" i="17"/>
  <c r="B97" i="17"/>
  <c r="C97" i="17"/>
  <c r="D97" i="17"/>
  <c r="E97" i="17"/>
  <c r="F97" i="17"/>
  <c r="G97" i="17"/>
  <c r="H97" i="17"/>
  <c r="J97" i="17"/>
  <c r="K97" i="17"/>
  <c r="L97" i="17"/>
  <c r="B96" i="17"/>
  <c r="C96" i="17"/>
  <c r="D96" i="17"/>
  <c r="E96" i="17"/>
  <c r="F96" i="17"/>
  <c r="G96" i="17"/>
  <c r="H96" i="17"/>
  <c r="J96" i="17"/>
  <c r="K96" i="17"/>
  <c r="L96" i="17"/>
  <c r="B95" i="17"/>
  <c r="C95" i="17"/>
  <c r="D95" i="17"/>
  <c r="E95" i="17"/>
  <c r="F95" i="17"/>
  <c r="G95" i="17"/>
  <c r="H95" i="17"/>
  <c r="J95" i="17"/>
  <c r="K95" i="17"/>
  <c r="L95" i="17"/>
  <c r="B94" i="17"/>
  <c r="C94" i="17"/>
  <c r="D94" i="17"/>
  <c r="E94" i="17"/>
  <c r="F94" i="17"/>
  <c r="G94" i="17"/>
  <c r="H94" i="17"/>
  <c r="J94" i="17"/>
  <c r="K94" i="17"/>
  <c r="L94" i="17"/>
  <c r="B93" i="17"/>
  <c r="C93" i="17"/>
  <c r="D93" i="17"/>
  <c r="E93" i="17"/>
  <c r="F93" i="17"/>
  <c r="G93" i="17"/>
  <c r="H93" i="17"/>
  <c r="J93" i="17"/>
  <c r="K93" i="17"/>
  <c r="L93" i="17"/>
  <c r="B92" i="17"/>
  <c r="C92" i="17"/>
  <c r="D92" i="17"/>
  <c r="E92" i="17"/>
  <c r="F92" i="17"/>
  <c r="G92" i="17"/>
  <c r="H92" i="17"/>
  <c r="J92" i="17"/>
  <c r="K92" i="17"/>
  <c r="L92" i="17"/>
  <c r="B91" i="17"/>
  <c r="C91" i="17"/>
  <c r="D91" i="17"/>
  <c r="E91" i="17"/>
  <c r="F91" i="17"/>
  <c r="G91" i="17"/>
  <c r="H91" i="17"/>
  <c r="J91" i="17"/>
  <c r="K91" i="17"/>
  <c r="L91" i="17"/>
  <c r="B90" i="17"/>
  <c r="C90" i="17"/>
  <c r="D90" i="17"/>
  <c r="E90" i="17"/>
  <c r="F90" i="17"/>
  <c r="G90" i="17"/>
  <c r="H90" i="17"/>
  <c r="J90" i="17"/>
  <c r="K90" i="17"/>
  <c r="L90" i="17"/>
  <c r="B89" i="17"/>
  <c r="C89" i="17"/>
  <c r="D89" i="17"/>
  <c r="E89" i="17"/>
  <c r="F89" i="17"/>
  <c r="G89" i="17"/>
  <c r="H89" i="17"/>
  <c r="J89" i="17"/>
  <c r="K89" i="17"/>
  <c r="L89" i="17"/>
  <c r="B88" i="17"/>
  <c r="C88" i="17"/>
  <c r="D88" i="17"/>
  <c r="E88" i="17"/>
  <c r="F88" i="17"/>
  <c r="G88" i="17"/>
  <c r="H88" i="17"/>
  <c r="J88" i="17"/>
  <c r="K88" i="17"/>
  <c r="L88" i="17"/>
  <c r="B87" i="17"/>
  <c r="C87" i="17"/>
  <c r="D87" i="17"/>
  <c r="E87" i="17"/>
  <c r="F87" i="17"/>
  <c r="G87" i="17"/>
  <c r="H87" i="17"/>
  <c r="J87" i="17"/>
  <c r="K87" i="17"/>
  <c r="L87" i="17"/>
  <c r="B86" i="17"/>
  <c r="C86" i="17"/>
  <c r="D86" i="17"/>
  <c r="E86" i="17"/>
  <c r="F86" i="17"/>
  <c r="G86" i="17"/>
  <c r="H86" i="17"/>
  <c r="J86" i="17"/>
  <c r="K86" i="17"/>
  <c r="L86" i="17"/>
  <c r="B85" i="17"/>
  <c r="C85" i="17"/>
  <c r="D85" i="17"/>
  <c r="E85" i="17"/>
  <c r="F85" i="17"/>
  <c r="G85" i="17"/>
  <c r="H85" i="17"/>
  <c r="J85" i="17"/>
  <c r="K85" i="17"/>
  <c r="L85" i="17"/>
  <c r="B84" i="17"/>
  <c r="C84" i="17"/>
  <c r="D84" i="17"/>
  <c r="E84" i="17"/>
  <c r="F84" i="17"/>
  <c r="G84" i="17"/>
  <c r="H84" i="17"/>
  <c r="J84" i="17"/>
  <c r="K84" i="17"/>
  <c r="L84" i="17"/>
  <c r="B83" i="17"/>
  <c r="C83" i="17"/>
  <c r="D83" i="17"/>
  <c r="E83" i="17"/>
  <c r="F83" i="17"/>
  <c r="G83" i="17"/>
  <c r="H83" i="17"/>
  <c r="J83" i="17"/>
  <c r="K83" i="17"/>
  <c r="L83" i="17"/>
  <c r="B82" i="17"/>
  <c r="C82" i="17"/>
  <c r="D82" i="17"/>
  <c r="E82" i="17"/>
  <c r="F82" i="17"/>
  <c r="G82" i="17"/>
  <c r="H82" i="17"/>
  <c r="J82" i="17"/>
  <c r="K82" i="17"/>
  <c r="L82" i="17"/>
  <c r="B81" i="17"/>
  <c r="C81" i="17"/>
  <c r="D81" i="17"/>
  <c r="E81" i="17"/>
  <c r="F81" i="17"/>
  <c r="G81" i="17"/>
  <c r="H81" i="17"/>
  <c r="J81" i="17"/>
  <c r="K81" i="17"/>
  <c r="L81" i="17"/>
  <c r="B80" i="17"/>
  <c r="C80" i="17"/>
  <c r="D80" i="17"/>
  <c r="E80" i="17"/>
  <c r="F80" i="17"/>
  <c r="G80" i="17"/>
  <c r="H80" i="17"/>
  <c r="J80" i="17"/>
  <c r="K80" i="17"/>
  <c r="L80" i="17"/>
  <c r="B79" i="17"/>
  <c r="C79" i="17"/>
  <c r="D79" i="17"/>
  <c r="E79" i="17"/>
  <c r="F79" i="17"/>
  <c r="G79" i="17"/>
  <c r="H79" i="17"/>
  <c r="J79" i="17"/>
  <c r="K79" i="17"/>
  <c r="L79" i="17"/>
  <c r="B78" i="17"/>
  <c r="C78" i="17"/>
  <c r="D78" i="17"/>
  <c r="E78" i="17"/>
  <c r="F78" i="17"/>
  <c r="G78" i="17"/>
  <c r="H78" i="17"/>
  <c r="J78" i="17"/>
  <c r="K78" i="17"/>
  <c r="L78" i="17"/>
  <c r="B77" i="17"/>
  <c r="C77" i="17"/>
  <c r="D77" i="17"/>
  <c r="E77" i="17"/>
  <c r="F77" i="17"/>
  <c r="G77" i="17"/>
  <c r="H77" i="17"/>
  <c r="J77" i="17"/>
  <c r="K77" i="17"/>
  <c r="L77" i="17"/>
  <c r="B76" i="17"/>
  <c r="C76" i="17"/>
  <c r="D76" i="17"/>
  <c r="E76" i="17"/>
  <c r="F76" i="17"/>
  <c r="G76" i="17"/>
  <c r="H76" i="17"/>
  <c r="J76" i="17"/>
  <c r="K76" i="17"/>
  <c r="L76" i="17"/>
  <c r="B75" i="17"/>
  <c r="C75" i="17"/>
  <c r="D75" i="17"/>
  <c r="E75" i="17"/>
  <c r="F75" i="17"/>
  <c r="G75" i="17"/>
  <c r="H75" i="17"/>
  <c r="J75" i="17"/>
  <c r="K75" i="17"/>
  <c r="L75" i="17"/>
  <c r="B74" i="17"/>
  <c r="C74" i="17"/>
  <c r="D74" i="17"/>
  <c r="E74" i="17"/>
  <c r="F74" i="17"/>
  <c r="G74" i="17"/>
  <c r="H74" i="17"/>
  <c r="J74" i="17"/>
  <c r="K74" i="17"/>
  <c r="L74" i="17"/>
  <c r="B73" i="17"/>
  <c r="C73" i="17"/>
  <c r="D73" i="17"/>
  <c r="E73" i="17"/>
  <c r="F73" i="17"/>
  <c r="G73" i="17"/>
  <c r="H73" i="17"/>
  <c r="J73" i="17"/>
  <c r="K73" i="17"/>
  <c r="L73" i="17"/>
  <c r="B72" i="17"/>
  <c r="C72" i="17"/>
  <c r="D72" i="17"/>
  <c r="E72" i="17"/>
  <c r="F72" i="17"/>
  <c r="G72" i="17"/>
  <c r="H72" i="17"/>
  <c r="J72" i="17"/>
  <c r="K72" i="17"/>
  <c r="L72" i="17"/>
  <c r="B71" i="17"/>
  <c r="C71" i="17"/>
  <c r="D71" i="17"/>
  <c r="E71" i="17"/>
  <c r="F71" i="17"/>
  <c r="G71" i="17"/>
  <c r="H71" i="17"/>
  <c r="J71" i="17"/>
  <c r="K71" i="17"/>
  <c r="L71" i="17"/>
  <c r="B70" i="17"/>
  <c r="C70" i="17"/>
  <c r="D70" i="17"/>
  <c r="E70" i="17"/>
  <c r="F70" i="17"/>
  <c r="G70" i="17"/>
  <c r="H70" i="17"/>
  <c r="J70" i="17"/>
  <c r="K70" i="17"/>
  <c r="L70" i="17"/>
  <c r="B69" i="17"/>
  <c r="C69" i="17"/>
  <c r="D69" i="17"/>
  <c r="E69" i="17"/>
  <c r="F69" i="17"/>
  <c r="G69" i="17"/>
  <c r="H69" i="17"/>
  <c r="J69" i="17"/>
  <c r="K69" i="17"/>
  <c r="L69" i="17"/>
  <c r="B68" i="17"/>
  <c r="C68" i="17"/>
  <c r="D68" i="17"/>
  <c r="E68" i="17"/>
  <c r="F68" i="17"/>
  <c r="G68" i="17"/>
  <c r="H68" i="17"/>
  <c r="J68" i="17"/>
  <c r="K68" i="17"/>
  <c r="L68" i="17"/>
  <c r="B67" i="17"/>
  <c r="C67" i="17"/>
  <c r="D67" i="17"/>
  <c r="E67" i="17"/>
  <c r="F67" i="17"/>
  <c r="G67" i="17"/>
  <c r="H67" i="17"/>
  <c r="J67" i="17"/>
  <c r="K67" i="17"/>
  <c r="L67" i="17"/>
  <c r="B66" i="17"/>
  <c r="C66" i="17"/>
  <c r="D66" i="17"/>
  <c r="E66" i="17"/>
  <c r="F66" i="17"/>
  <c r="G66" i="17"/>
  <c r="H66" i="17"/>
  <c r="J66" i="17"/>
  <c r="K66" i="17"/>
  <c r="L66" i="17"/>
  <c r="B65" i="17"/>
  <c r="C65" i="17"/>
  <c r="D65" i="17"/>
  <c r="E65" i="17"/>
  <c r="F65" i="17"/>
  <c r="G65" i="17"/>
  <c r="H65" i="17"/>
  <c r="J65" i="17"/>
  <c r="K65" i="17"/>
  <c r="L65" i="17"/>
  <c r="B64" i="17"/>
  <c r="C64" i="17"/>
  <c r="D64" i="17"/>
  <c r="E64" i="17"/>
  <c r="F64" i="17"/>
  <c r="G64" i="17"/>
  <c r="H64" i="17"/>
  <c r="J64" i="17"/>
  <c r="K64" i="17"/>
  <c r="L64" i="17"/>
  <c r="B63" i="17"/>
  <c r="C63" i="17"/>
  <c r="D63" i="17"/>
  <c r="E63" i="17"/>
  <c r="F63" i="17"/>
  <c r="G63" i="17"/>
  <c r="H63" i="17"/>
  <c r="J63" i="17"/>
  <c r="K63" i="17"/>
  <c r="L63" i="17"/>
  <c r="B62" i="17"/>
  <c r="C62" i="17"/>
  <c r="D62" i="17"/>
  <c r="E62" i="17"/>
  <c r="F62" i="17"/>
  <c r="G62" i="17"/>
  <c r="H62" i="17"/>
  <c r="J62" i="17"/>
  <c r="K62" i="17"/>
  <c r="L62" i="17"/>
  <c r="B61" i="17"/>
  <c r="C61" i="17"/>
  <c r="D61" i="17"/>
  <c r="E61" i="17"/>
  <c r="F61" i="17"/>
  <c r="G61" i="17"/>
  <c r="H61" i="17"/>
  <c r="J61" i="17"/>
  <c r="K61" i="17"/>
  <c r="L61" i="17"/>
  <c r="B60" i="17"/>
  <c r="C60" i="17"/>
  <c r="D60" i="17"/>
  <c r="E60" i="17"/>
  <c r="F60" i="17"/>
  <c r="G60" i="17"/>
  <c r="H60" i="17"/>
  <c r="J60" i="17"/>
  <c r="K60" i="17"/>
  <c r="L60" i="17"/>
  <c r="B59" i="17"/>
  <c r="C59" i="17"/>
  <c r="D59" i="17"/>
  <c r="E59" i="17"/>
  <c r="F59" i="17"/>
  <c r="G59" i="17"/>
  <c r="H59" i="17"/>
  <c r="J59" i="17"/>
  <c r="K59" i="17"/>
  <c r="L59" i="17"/>
  <c r="B58" i="17"/>
  <c r="C58" i="17"/>
  <c r="D58" i="17"/>
  <c r="E58" i="17"/>
  <c r="F58" i="17"/>
  <c r="G58" i="17"/>
  <c r="H58" i="17"/>
  <c r="J58" i="17"/>
  <c r="K58" i="17"/>
  <c r="L58" i="17"/>
  <c r="B57" i="17"/>
  <c r="C57" i="17"/>
  <c r="D57" i="17"/>
  <c r="E57" i="17"/>
  <c r="F57" i="17"/>
  <c r="G57" i="17"/>
  <c r="H57" i="17"/>
  <c r="J57" i="17"/>
  <c r="K57" i="17"/>
  <c r="L57" i="17"/>
  <c r="B56" i="17"/>
  <c r="C56" i="17"/>
  <c r="D56" i="17"/>
  <c r="E56" i="17"/>
  <c r="F56" i="17"/>
  <c r="G56" i="17"/>
  <c r="H56" i="17"/>
  <c r="J56" i="17"/>
  <c r="K56" i="17"/>
  <c r="L56" i="17"/>
  <c r="B55" i="17"/>
  <c r="C55" i="17"/>
  <c r="D55" i="17"/>
  <c r="E55" i="17"/>
  <c r="F55" i="17"/>
  <c r="G55" i="17"/>
  <c r="H55" i="17"/>
  <c r="J55" i="17"/>
  <c r="K55" i="17"/>
  <c r="L55" i="17"/>
  <c r="B54" i="17"/>
  <c r="C54" i="17"/>
  <c r="D54" i="17"/>
  <c r="E54" i="17"/>
  <c r="F54" i="17"/>
  <c r="G54" i="17"/>
  <c r="H54" i="17"/>
  <c r="J54" i="17"/>
  <c r="K54" i="17"/>
  <c r="L54" i="17"/>
  <c r="B53" i="17"/>
  <c r="C53" i="17"/>
  <c r="D53" i="17"/>
  <c r="E53" i="17"/>
  <c r="F53" i="17"/>
  <c r="G53" i="17"/>
  <c r="H53" i="17"/>
  <c r="J53" i="17"/>
  <c r="K53" i="17"/>
  <c r="L53" i="17"/>
  <c r="B52" i="17"/>
  <c r="C52" i="17"/>
  <c r="D52" i="17"/>
  <c r="E52" i="17"/>
  <c r="F52" i="17"/>
  <c r="G52" i="17"/>
  <c r="H52" i="17"/>
  <c r="J52" i="17"/>
  <c r="K52" i="17"/>
  <c r="L52" i="17"/>
  <c r="B51" i="17"/>
  <c r="C51" i="17"/>
  <c r="D51" i="17"/>
  <c r="E51" i="17"/>
  <c r="F51" i="17"/>
  <c r="G51" i="17"/>
  <c r="H51" i="17"/>
  <c r="J51" i="17"/>
  <c r="K51" i="17"/>
  <c r="L51" i="17"/>
  <c r="B50" i="17"/>
  <c r="C50" i="17"/>
  <c r="D50" i="17"/>
  <c r="E50" i="17"/>
  <c r="F50" i="17"/>
  <c r="G50" i="17"/>
  <c r="H50" i="17"/>
  <c r="J50" i="17"/>
  <c r="K50" i="17"/>
  <c r="L50" i="17"/>
  <c r="B49" i="17"/>
  <c r="C49" i="17"/>
  <c r="D49" i="17"/>
  <c r="E49" i="17"/>
  <c r="F49" i="17"/>
  <c r="G49" i="17"/>
  <c r="H49" i="17"/>
  <c r="J49" i="17"/>
  <c r="K49" i="17"/>
  <c r="L49" i="17"/>
  <c r="B48" i="17"/>
  <c r="C48" i="17"/>
  <c r="D48" i="17"/>
  <c r="E48" i="17"/>
  <c r="F48" i="17"/>
  <c r="G48" i="17"/>
  <c r="H48" i="17"/>
  <c r="J48" i="17"/>
  <c r="K48" i="17"/>
  <c r="L48" i="17"/>
  <c r="B47" i="17"/>
  <c r="C47" i="17"/>
  <c r="D47" i="17"/>
  <c r="E47" i="17"/>
  <c r="F47" i="17"/>
  <c r="G47" i="17"/>
  <c r="H47" i="17"/>
  <c r="J47" i="17"/>
  <c r="K47" i="17"/>
  <c r="L47" i="17"/>
  <c r="B46" i="17"/>
  <c r="C46" i="17"/>
  <c r="D46" i="17"/>
  <c r="E46" i="17"/>
  <c r="F46" i="17"/>
  <c r="G46" i="17"/>
  <c r="H46" i="17"/>
  <c r="J46" i="17"/>
  <c r="K46" i="17"/>
  <c r="L46" i="17"/>
  <c r="B45" i="17"/>
  <c r="C45" i="17"/>
  <c r="D45" i="17"/>
  <c r="E45" i="17"/>
  <c r="F45" i="17"/>
  <c r="G45" i="17"/>
  <c r="H45" i="17"/>
  <c r="J45" i="17"/>
  <c r="K45" i="17"/>
  <c r="L45" i="17"/>
  <c r="B44" i="17"/>
  <c r="C44" i="17"/>
  <c r="D44" i="17"/>
  <c r="E44" i="17"/>
  <c r="F44" i="17"/>
  <c r="G44" i="17"/>
  <c r="H44" i="17"/>
  <c r="J44" i="17"/>
  <c r="K44" i="17"/>
  <c r="L44" i="17"/>
  <c r="B43" i="17"/>
  <c r="C43" i="17"/>
  <c r="D43" i="17"/>
  <c r="E43" i="17"/>
  <c r="F43" i="17"/>
  <c r="G43" i="17"/>
  <c r="H43" i="17"/>
  <c r="J43" i="17"/>
  <c r="K43" i="17"/>
  <c r="L43" i="17"/>
  <c r="B42" i="17"/>
  <c r="C42" i="17"/>
  <c r="D42" i="17"/>
  <c r="E42" i="17"/>
  <c r="F42" i="17"/>
  <c r="G42" i="17"/>
  <c r="H42" i="17"/>
  <c r="J42" i="17"/>
  <c r="K42" i="17"/>
  <c r="L42" i="17"/>
  <c r="B41" i="17"/>
  <c r="C41" i="17"/>
  <c r="D41" i="17"/>
  <c r="E41" i="17"/>
  <c r="F41" i="17"/>
  <c r="G41" i="17"/>
  <c r="H41" i="17"/>
  <c r="J41" i="17"/>
  <c r="K41" i="17"/>
  <c r="L41" i="17"/>
  <c r="B40" i="17"/>
  <c r="C40" i="17"/>
  <c r="D40" i="17"/>
  <c r="E40" i="17"/>
  <c r="F40" i="17"/>
  <c r="G40" i="17"/>
  <c r="H40" i="17"/>
  <c r="J40" i="17"/>
  <c r="K40" i="17"/>
  <c r="L40" i="17"/>
  <c r="B39" i="17"/>
  <c r="C39" i="17"/>
  <c r="D39" i="17"/>
  <c r="E39" i="17"/>
  <c r="F39" i="17"/>
  <c r="G39" i="17"/>
  <c r="H39" i="17"/>
  <c r="J39" i="17"/>
  <c r="K39" i="17"/>
  <c r="L39" i="17"/>
  <c r="B38" i="17"/>
  <c r="C38" i="17"/>
  <c r="D38" i="17"/>
  <c r="E38" i="17"/>
  <c r="F38" i="17"/>
  <c r="G38" i="17"/>
  <c r="H38" i="17"/>
  <c r="J38" i="17"/>
  <c r="K38" i="17"/>
  <c r="L38" i="17"/>
  <c r="B37" i="17"/>
  <c r="C37" i="17"/>
  <c r="D37" i="17"/>
  <c r="E37" i="17"/>
  <c r="F37" i="17"/>
  <c r="G37" i="17"/>
  <c r="H37" i="17"/>
  <c r="J37" i="17"/>
  <c r="K37" i="17"/>
  <c r="L37" i="17"/>
  <c r="B36" i="17"/>
  <c r="C36" i="17"/>
  <c r="D36" i="17"/>
  <c r="E36" i="17"/>
  <c r="F36" i="17"/>
  <c r="G36" i="17"/>
  <c r="H36" i="17"/>
  <c r="J36" i="17"/>
  <c r="K36" i="17"/>
  <c r="L36" i="17"/>
  <c r="B35" i="17"/>
  <c r="C35" i="17"/>
  <c r="D35" i="17"/>
  <c r="E35" i="17"/>
  <c r="F35" i="17"/>
  <c r="G35" i="17"/>
  <c r="H35" i="17"/>
  <c r="J35" i="17"/>
  <c r="K35" i="17"/>
  <c r="L35" i="17"/>
  <c r="B34" i="17"/>
  <c r="C34" i="17"/>
  <c r="D34" i="17"/>
  <c r="E34" i="17"/>
  <c r="F34" i="17"/>
  <c r="G34" i="17"/>
  <c r="H34" i="17"/>
  <c r="J34" i="17"/>
  <c r="K34" i="17"/>
  <c r="L34" i="17"/>
  <c r="B33" i="17"/>
  <c r="C33" i="17"/>
  <c r="D33" i="17"/>
  <c r="E33" i="17"/>
  <c r="F33" i="17"/>
  <c r="G33" i="17"/>
  <c r="H33" i="17"/>
  <c r="J33" i="17"/>
  <c r="K33" i="17"/>
  <c r="L33" i="17"/>
  <c r="B32" i="17"/>
  <c r="C32" i="17"/>
  <c r="D32" i="17"/>
  <c r="E32" i="17"/>
  <c r="F32" i="17"/>
  <c r="G32" i="17"/>
  <c r="H32" i="17"/>
  <c r="J32" i="17"/>
  <c r="K32" i="17"/>
  <c r="L32" i="17"/>
  <c r="B31" i="17"/>
  <c r="C31" i="17"/>
  <c r="D31" i="17"/>
  <c r="E31" i="17"/>
  <c r="F31" i="17"/>
  <c r="G31" i="17"/>
  <c r="H31" i="17"/>
  <c r="J31" i="17"/>
  <c r="K31" i="17"/>
  <c r="L31" i="17"/>
  <c r="B30" i="17"/>
  <c r="C30" i="17"/>
  <c r="D30" i="17"/>
  <c r="E30" i="17"/>
  <c r="F30" i="17"/>
  <c r="G30" i="17"/>
  <c r="H30" i="17"/>
  <c r="J30" i="17"/>
  <c r="K30" i="17"/>
  <c r="L30" i="17"/>
  <c r="B29" i="17"/>
  <c r="C29" i="17"/>
  <c r="D29" i="17"/>
  <c r="E29" i="17"/>
  <c r="F29" i="17"/>
  <c r="G29" i="17"/>
  <c r="H29" i="17"/>
  <c r="J29" i="17"/>
  <c r="K29" i="17"/>
  <c r="L29" i="17"/>
  <c r="B28" i="17"/>
  <c r="C28" i="17"/>
  <c r="D28" i="17"/>
  <c r="E28" i="17"/>
  <c r="F28" i="17"/>
  <c r="G28" i="17"/>
  <c r="H28" i="17"/>
  <c r="J28" i="17"/>
  <c r="K28" i="17"/>
  <c r="L28" i="17"/>
  <c r="B27" i="17"/>
  <c r="C27" i="17"/>
  <c r="D27" i="17"/>
  <c r="E27" i="17"/>
  <c r="F27" i="17"/>
  <c r="G27" i="17"/>
  <c r="H27" i="17"/>
  <c r="J27" i="17"/>
  <c r="K27" i="17"/>
  <c r="L27" i="17"/>
  <c r="D325" i="14"/>
  <c r="W304" i="6" l="1" a="1"/>
  <c r="W304" i="6" s="1"/>
  <c r="B304" i="6"/>
  <c r="W303" i="6" a="1"/>
  <c r="W303" i="6" s="1"/>
  <c r="L303" i="6"/>
  <c r="AA303" i="6" s="1"/>
  <c r="U304" i="6" a="1"/>
  <c r="U304" i="6" s="1"/>
  <c r="K303" i="6"/>
  <c r="U303" i="6" a="1"/>
  <c r="U303" i="6" s="1"/>
  <c r="J303" i="6"/>
  <c r="S304" i="6" a="1"/>
  <c r="S304" i="6" s="1"/>
  <c r="I303" i="6"/>
  <c r="S303" i="6" a="1"/>
  <c r="S303" i="6" s="1"/>
  <c r="H303" i="6"/>
  <c r="Q304" i="6" a="1"/>
  <c r="Q304" i="6" s="1"/>
  <c r="G303" i="6"/>
  <c r="Q303" i="6" a="1"/>
  <c r="Q303" i="6" s="1"/>
  <c r="F303" i="6"/>
  <c r="O304" i="6" a="1"/>
  <c r="O304" i="6" s="1"/>
  <c r="E303" i="6"/>
  <c r="O303" i="6" a="1"/>
  <c r="O303" i="6" s="1"/>
  <c r="D303" i="6"/>
  <c r="M304" i="6" a="1"/>
  <c r="M304" i="6" s="1"/>
  <c r="C303" i="6"/>
  <c r="M303" i="6" a="1"/>
  <c r="M303" i="6" s="1"/>
  <c r="B303" i="6"/>
  <c r="L304" i="6"/>
  <c r="AA304" i="6" s="1"/>
  <c r="C304" i="6"/>
  <c r="D304" i="6"/>
  <c r="E304" i="6"/>
  <c r="F304" i="6"/>
  <c r="G304" i="6"/>
  <c r="H304" i="6"/>
  <c r="I304" i="6"/>
  <c r="J304" i="6"/>
  <c r="K304" i="6"/>
  <c r="E302" i="6"/>
  <c r="D302" i="6"/>
  <c r="B302" i="6"/>
  <c r="J302" i="6"/>
  <c r="F302" i="6"/>
  <c r="G302" i="6"/>
  <c r="I302" i="6"/>
  <c r="Y302" i="6" s="1"/>
  <c r="K302" i="6"/>
  <c r="O302" i="6" a="1"/>
  <c r="O302" i="6" s="1"/>
  <c r="Q302" i="6" a="1"/>
  <c r="Q302" i="6" s="1"/>
  <c r="C302" i="6"/>
  <c r="U302" i="6" a="1"/>
  <c r="U302" i="6" s="1"/>
  <c r="W302" i="6" a="1"/>
  <c r="W302" i="6" s="1"/>
  <c r="H302" i="6"/>
  <c r="L302" i="6"/>
  <c r="AA302" i="6" s="1"/>
  <c r="M302" i="6" a="1"/>
  <c r="M302" i="6" s="1"/>
  <c r="S302" i="6" a="1"/>
  <c r="S302" i="6" s="1"/>
  <c r="W300" i="6" a="1"/>
  <c r="W300" i="6" s="1"/>
  <c r="E301" i="6"/>
  <c r="D301" i="6"/>
  <c r="M301" i="6" a="1"/>
  <c r="M301" i="6" s="1"/>
  <c r="C301" i="6"/>
  <c r="M300" i="6" a="1"/>
  <c r="M300" i="6" s="1"/>
  <c r="B301" i="6"/>
  <c r="U301" i="6" a="1"/>
  <c r="U301" i="6" s="1"/>
  <c r="L300" i="6"/>
  <c r="AA300" i="6" s="1"/>
  <c r="U300" i="6" a="1"/>
  <c r="U300" i="6" s="1"/>
  <c r="K300" i="6"/>
  <c r="J300" i="6"/>
  <c r="I300" i="6"/>
  <c r="Y300" i="6" s="1"/>
  <c r="H300" i="6"/>
  <c r="S301" i="6" a="1"/>
  <c r="S301" i="6" s="1"/>
  <c r="G300" i="6"/>
  <c r="E300" i="6"/>
  <c r="S300" i="6" a="1"/>
  <c r="S300" i="6" s="1"/>
  <c r="F300" i="6"/>
  <c r="C300" i="6"/>
  <c r="Q301" i="6" a="1"/>
  <c r="Q301" i="6" s="1"/>
  <c r="B300" i="6"/>
  <c r="Q300" i="6" a="1"/>
  <c r="Q300" i="6" s="1"/>
  <c r="L301" i="6"/>
  <c r="AA301" i="6" s="1"/>
  <c r="F301" i="6"/>
  <c r="W301" i="6" a="1"/>
  <c r="W301" i="6" s="1"/>
  <c r="G301" i="6"/>
  <c r="O300" i="6" a="1"/>
  <c r="O300" i="6" s="1"/>
  <c r="D300" i="6"/>
  <c r="H301" i="6"/>
  <c r="O301" i="6" a="1"/>
  <c r="O301" i="6" s="1"/>
  <c r="I301" i="6"/>
  <c r="J301" i="6"/>
  <c r="K301" i="6"/>
  <c r="Q299" i="6" a="1"/>
  <c r="Q299" i="6" s="1"/>
  <c r="F298" i="6"/>
  <c r="D298" i="6"/>
  <c r="C298" i="6"/>
  <c r="W299" i="6" a="1"/>
  <c r="W299" i="6" s="1"/>
  <c r="Q298" i="6" a="1"/>
  <c r="Q298" i="6" s="1"/>
  <c r="E298" i="6"/>
  <c r="L299" i="6"/>
  <c r="AA299" i="6" s="1"/>
  <c r="W298" i="6" a="1"/>
  <c r="W298" i="6" s="1"/>
  <c r="I298" i="6"/>
  <c r="Y298" i="6" s="1"/>
  <c r="B298" i="6"/>
  <c r="G298" i="6"/>
  <c r="H298" i="6"/>
  <c r="L298" i="6"/>
  <c r="AA298" i="6" s="1"/>
  <c r="S298" i="6" a="1"/>
  <c r="S298" i="6" s="1"/>
  <c r="B299" i="6"/>
  <c r="M298" i="6" a="1"/>
  <c r="M298" i="6" s="1"/>
  <c r="S299" i="6" a="1"/>
  <c r="S299" i="6" s="1"/>
  <c r="J298" i="6"/>
  <c r="K298" i="6"/>
  <c r="C299" i="6"/>
  <c r="M299" i="6" a="1"/>
  <c r="M299" i="6" s="1"/>
  <c r="F299" i="6"/>
  <c r="D299" i="6"/>
  <c r="E299" i="6"/>
  <c r="G299" i="6"/>
  <c r="I299" i="6"/>
  <c r="Y299" i="6" s="1"/>
  <c r="O298" i="6" a="1"/>
  <c r="O298" i="6" s="1"/>
  <c r="U299" i="6" a="1"/>
  <c r="U299" i="6" s="1"/>
  <c r="H299" i="6"/>
  <c r="U298" i="6" a="1"/>
  <c r="U298" i="6" s="1"/>
  <c r="J299" i="6"/>
  <c r="O299" i="6" a="1"/>
  <c r="O299" i="6" s="1"/>
  <c r="K299" i="6"/>
  <c r="I296" i="6"/>
  <c r="C296" i="6"/>
  <c r="B297" i="6"/>
  <c r="M297" i="6" a="1"/>
  <c r="M297" i="6" s="1"/>
  <c r="S297" i="6" a="1"/>
  <c r="S297" i="6" s="1"/>
  <c r="D297" i="6"/>
  <c r="E297" i="6"/>
  <c r="F297" i="6"/>
  <c r="G297" i="6"/>
  <c r="I297" i="6"/>
  <c r="Y297" i="6" s="1"/>
  <c r="C297" i="6"/>
  <c r="O297" i="6" a="1"/>
  <c r="O297" i="6" s="1"/>
  <c r="J297" i="6"/>
  <c r="K297" i="6"/>
  <c r="L297" i="6"/>
  <c r="AA297" i="6" s="1"/>
  <c r="U297" i="6" a="1"/>
  <c r="U297" i="6" s="1"/>
  <c r="Q297" i="6" a="1"/>
  <c r="Q297" i="6" s="1"/>
  <c r="W297" i="6" a="1"/>
  <c r="W297" i="6" s="1"/>
  <c r="H297" i="6"/>
  <c r="W218" i="6" a="1"/>
  <c r="W218" i="6" s="1"/>
  <c r="W94" i="6" a="1"/>
  <c r="W94" i="6" s="1"/>
  <c r="U176" i="6" a="1"/>
  <c r="U176" i="6" s="1"/>
  <c r="U65" i="6" a="1"/>
  <c r="U65" i="6" s="1"/>
  <c r="S249" i="6" a="1"/>
  <c r="S249" i="6" s="1"/>
  <c r="S124" i="6" a="1"/>
  <c r="S124" i="6" s="1"/>
  <c r="Q195" i="6" a="1"/>
  <c r="Q195" i="6" s="1"/>
  <c r="Q93" i="6" a="1"/>
  <c r="Q93" i="6" s="1"/>
  <c r="O189" i="6" a="1"/>
  <c r="O189" i="6" s="1"/>
  <c r="O82" i="6" a="1"/>
  <c r="O82" i="6" s="1"/>
  <c r="M195" i="6" a="1"/>
  <c r="M195" i="6" s="1"/>
  <c r="M107" i="6" a="1"/>
  <c r="M107" i="6" s="1"/>
  <c r="J295" i="6"/>
  <c r="I288" i="6"/>
  <c r="B281" i="6"/>
  <c r="F275" i="6"/>
  <c r="I268" i="6"/>
  <c r="I262" i="6"/>
  <c r="D257" i="6"/>
  <c r="F250" i="6"/>
  <c r="L244" i="6"/>
  <c r="H239" i="6"/>
  <c r="C234" i="6"/>
  <c r="K229" i="6"/>
  <c r="G224" i="6"/>
  <c r="B220" i="6"/>
  <c r="J215" i="6"/>
  <c r="B211" i="6"/>
  <c r="L206" i="6"/>
  <c r="D203" i="6"/>
  <c r="L198" i="6"/>
  <c r="F195" i="6"/>
  <c r="C192" i="6"/>
  <c r="L187" i="6"/>
  <c r="H184" i="6"/>
  <c r="C181" i="6"/>
  <c r="E177" i="6"/>
  <c r="F173" i="6"/>
  <c r="C170" i="6"/>
  <c r="H166" i="6"/>
  <c r="B163" i="6"/>
  <c r="C160" i="6"/>
  <c r="E157" i="6"/>
  <c r="J153" i="6"/>
  <c r="K150" i="6"/>
  <c r="J147" i="6"/>
  <c r="I144" i="6"/>
  <c r="E141" i="6"/>
  <c r="G138" i="6"/>
  <c r="E135" i="6"/>
  <c r="L131" i="6"/>
  <c r="L128" i="6"/>
  <c r="C126" i="6"/>
  <c r="L122" i="6"/>
  <c r="L119" i="6"/>
  <c r="B117" i="6"/>
  <c r="B114" i="6"/>
  <c r="B111" i="6"/>
  <c r="C108" i="6"/>
  <c r="G105" i="6"/>
  <c r="I102" i="6"/>
  <c r="I99" i="6"/>
  <c r="L96" i="6"/>
  <c r="D94" i="6"/>
  <c r="F91" i="6"/>
  <c r="G88" i="6"/>
  <c r="G85" i="6"/>
  <c r="K82" i="6"/>
  <c r="C80" i="6"/>
  <c r="C77" i="6"/>
  <c r="F74" i="6"/>
  <c r="H71" i="6"/>
  <c r="J68" i="6"/>
  <c r="B66" i="6"/>
  <c r="C63" i="6"/>
  <c r="C60" i="6"/>
  <c r="G57" i="6"/>
  <c r="K54" i="6"/>
  <c r="J51" i="6"/>
  <c r="B49" i="6"/>
  <c r="D46" i="6"/>
  <c r="G43" i="6"/>
  <c r="W203" i="6" a="1"/>
  <c r="W203" i="6" s="1"/>
  <c r="W83" i="6" a="1"/>
  <c r="W83" i="6" s="1"/>
  <c r="U172" i="6" a="1"/>
  <c r="U172" i="6" s="1"/>
  <c r="U33" i="6" a="1"/>
  <c r="U33" i="6" s="1"/>
  <c r="S245" i="6" a="1"/>
  <c r="S245" i="6" s="1"/>
  <c r="S110" i="6" a="1"/>
  <c r="S110" i="6" s="1"/>
  <c r="Q193" i="6" a="1"/>
  <c r="Q193" i="6" s="1"/>
  <c r="Q63" i="6" a="1"/>
  <c r="Q63" i="6" s="1"/>
  <c r="O291" i="6" a="1"/>
  <c r="O291" i="6" s="1"/>
  <c r="O173" i="6" a="1"/>
  <c r="O173" i="6" s="1"/>
  <c r="O80" i="6" a="1"/>
  <c r="O80" i="6" s="1"/>
  <c r="M282" i="6" a="1"/>
  <c r="M282" i="6" s="1"/>
  <c r="M184" i="6" a="1"/>
  <c r="M184" i="6" s="1"/>
  <c r="M75" i="6" a="1"/>
  <c r="M75" i="6" s="1"/>
  <c r="H295" i="6"/>
  <c r="G287" i="6"/>
  <c r="K280" i="6"/>
  <c r="L274" i="6"/>
  <c r="D268" i="6"/>
  <c r="W195" i="6" a="1"/>
  <c r="W195" i="6" s="1"/>
  <c r="W66" i="6" a="1"/>
  <c r="W66" i="6" s="1"/>
  <c r="U278" i="6" a="1"/>
  <c r="U278" i="6" s="1"/>
  <c r="U169" i="6" a="1"/>
  <c r="U169" i="6" s="1"/>
  <c r="U19" i="6" a="1"/>
  <c r="U19" i="6" s="1"/>
  <c r="S232" i="6" a="1"/>
  <c r="S232" i="6" s="1"/>
  <c r="S95" i="6" a="1"/>
  <c r="S95" i="6" s="1"/>
  <c r="Q173" i="6" a="1"/>
  <c r="Q173" i="6" s="1"/>
  <c r="Q60" i="6" a="1"/>
  <c r="Q60" i="6" s="1"/>
  <c r="O287" i="6" a="1"/>
  <c r="O287" i="6" s="1"/>
  <c r="O167" i="6" a="1"/>
  <c r="O167" i="6" s="1"/>
  <c r="O67" i="6" a="1"/>
  <c r="O67" i="6" s="1"/>
  <c r="M274" i="6" a="1"/>
  <c r="M274" i="6" s="1"/>
  <c r="M171" i="6" a="1"/>
  <c r="M171" i="6" s="1"/>
  <c r="M63" i="6" a="1"/>
  <c r="M63" i="6" s="1"/>
  <c r="W193" i="6" a="1"/>
  <c r="W193" i="6" s="1"/>
  <c r="W52" i="6" a="1"/>
  <c r="W52" i="6" s="1"/>
  <c r="U272" i="6" a="1"/>
  <c r="U272" i="6" s="1"/>
  <c r="U168" i="6" a="1"/>
  <c r="U168" i="6" s="1"/>
  <c r="U16" i="6" a="1"/>
  <c r="U16" i="6" s="1"/>
  <c r="S231" i="6" a="1"/>
  <c r="S231" i="6" s="1"/>
  <c r="S92" i="6" a="1"/>
  <c r="S92" i="6" s="1"/>
  <c r="Q292" i="6" a="1"/>
  <c r="Q292" i="6" s="1"/>
  <c r="Q171" i="6" a="1"/>
  <c r="Q171" i="6" s="1"/>
  <c r="Q51" i="6" a="1"/>
  <c r="Q51" i="6" s="1"/>
  <c r="O286" i="6" a="1"/>
  <c r="O286" i="6" s="1"/>
  <c r="O160" i="6" a="1"/>
  <c r="O160" i="6" s="1"/>
  <c r="O41" i="6" a="1"/>
  <c r="O41" i="6" s="1"/>
  <c r="M271" i="6" a="1"/>
  <c r="M271" i="6" s="1"/>
  <c r="M169" i="6" a="1"/>
  <c r="M169" i="6" s="1"/>
  <c r="M57" i="6" a="1"/>
  <c r="M57" i="6" s="1"/>
  <c r="H294" i="6"/>
  <c r="B286" i="6"/>
  <c r="E280" i="6"/>
  <c r="J272" i="6"/>
  <c r="D267" i="6"/>
  <c r="W291" i="6" a="1"/>
  <c r="W291" i="6" s="1"/>
  <c r="W171" i="6" a="1"/>
  <c r="W171" i="6" s="1"/>
  <c r="W26" i="6" a="1"/>
  <c r="W26" i="6" s="1"/>
  <c r="U258" i="6" a="1"/>
  <c r="U258" i="6" s="1"/>
  <c r="U109" i="6" a="1"/>
  <c r="U109" i="6" s="1"/>
  <c r="S175" i="6" a="1"/>
  <c r="S175" i="6" s="1"/>
  <c r="S50" i="6" a="1"/>
  <c r="S50" i="6" s="1"/>
  <c r="Q256" i="6" a="1"/>
  <c r="Q256" i="6" s="1"/>
  <c r="Q128" i="6" a="1"/>
  <c r="Q128" i="6" s="1"/>
  <c r="Q29" i="6" a="1"/>
  <c r="Q29" i="6" s="1"/>
  <c r="O246" i="6" a="1"/>
  <c r="O246" i="6" s="1"/>
  <c r="O145" i="6" a="1"/>
  <c r="O145" i="6" s="1"/>
  <c r="O25" i="6" a="1"/>
  <c r="O25" i="6" s="1"/>
  <c r="M250" i="6" a="1"/>
  <c r="M250" i="6" s="1"/>
  <c r="M130" i="6" a="1"/>
  <c r="M130" i="6" s="1"/>
  <c r="M49" i="6" a="1"/>
  <c r="M49" i="6" s="1"/>
  <c r="K291" i="6"/>
  <c r="L284" i="6"/>
  <c r="E278" i="6"/>
  <c r="B272" i="6"/>
  <c r="K265" i="6"/>
  <c r="D259" i="6"/>
  <c r="F253" i="6"/>
  <c r="D248" i="6"/>
  <c r="J241" i="6"/>
  <c r="J236" i="6"/>
  <c r="E232" i="6"/>
  <c r="D227" i="6"/>
  <c r="I222" i="6"/>
  <c r="F217" i="6"/>
  <c r="F213" i="6"/>
  <c r="E209" i="6"/>
  <c r="K204" i="6"/>
  <c r="C201" i="6"/>
  <c r="E197" i="6"/>
  <c r="E193" i="6"/>
  <c r="B190" i="6"/>
  <c r="I186" i="6"/>
  <c r="H182" i="6"/>
  <c r="D179" i="6"/>
  <c r="G175" i="6"/>
  <c r="B172" i="6"/>
  <c r="B168" i="6"/>
  <c r="K164" i="6"/>
  <c r="L161" i="6"/>
  <c r="F158" i="6"/>
  <c r="G155" i="6"/>
  <c r="G152" i="6"/>
  <c r="D149" i="6"/>
  <c r="L145" i="6"/>
  <c r="C143" i="6"/>
  <c r="J139" i="6"/>
  <c r="I136" i="6"/>
  <c r="G133" i="6"/>
  <c r="I130" i="6"/>
  <c r="E127" i="6"/>
  <c r="G124" i="6"/>
  <c r="I121" i="6"/>
  <c r="H118" i="6"/>
  <c r="G115" i="6"/>
  <c r="H112" i="6"/>
  <c r="J109" i="6"/>
  <c r="K106" i="6"/>
  <c r="K103" i="6"/>
  <c r="D101" i="6"/>
  <c r="H98" i="6"/>
  <c r="G95" i="6"/>
  <c r="I92" i="6"/>
  <c r="J89" i="6"/>
  <c r="C87" i="6"/>
  <c r="G84" i="6"/>
  <c r="E81" i="6"/>
  <c r="H78" i="6"/>
  <c r="K75" i="6"/>
  <c r="B73" i="6"/>
  <c r="C70" i="6"/>
  <c r="E67" i="6"/>
  <c r="G64" i="6"/>
  <c r="J61" i="6"/>
  <c r="C59" i="6"/>
  <c r="L55" i="6"/>
  <c r="D53" i="6"/>
  <c r="H50" i="6"/>
  <c r="I47" i="6"/>
  <c r="K44" i="6"/>
  <c r="W290" i="6" a="1"/>
  <c r="W290" i="6" s="1"/>
  <c r="W164" i="6" a="1"/>
  <c r="W164" i="6" s="1"/>
  <c r="W25" i="6" a="1"/>
  <c r="W25" i="6" s="1"/>
  <c r="U249" i="6" a="1"/>
  <c r="U249" i="6" s="1"/>
  <c r="U108" i="6" a="1"/>
  <c r="U108" i="6" s="1"/>
  <c r="S174" i="6" a="1"/>
  <c r="S174" i="6" s="1"/>
  <c r="S38" i="6" a="1"/>
  <c r="S38" i="6" s="1"/>
  <c r="Q255" i="6" a="1"/>
  <c r="Q255" i="6" s="1"/>
  <c r="Q127" i="6" a="1"/>
  <c r="Q127" i="6" s="1"/>
  <c r="Q26" i="6" a="1"/>
  <c r="Q26" i="6" s="1"/>
  <c r="O243" i="6" a="1"/>
  <c r="O243" i="6" s="1"/>
  <c r="O137" i="6" a="1"/>
  <c r="O137" i="6" s="1"/>
  <c r="O17" i="6" a="1"/>
  <c r="O17" i="6" s="1"/>
  <c r="M248" i="6" a="1"/>
  <c r="M248" i="6" s="1"/>
  <c r="M126" i="6" a="1"/>
  <c r="M126" i="6" s="1"/>
  <c r="M42" i="6" a="1"/>
  <c r="M42" i="6" s="1"/>
  <c r="D291" i="6"/>
  <c r="F284" i="6"/>
  <c r="J277" i="6"/>
  <c r="K271" i="6"/>
  <c r="J265" i="6"/>
  <c r="C259" i="6"/>
  <c r="E253" i="6"/>
  <c r="E247" i="6"/>
  <c r="I241" i="6"/>
  <c r="I236" i="6"/>
  <c r="I231" i="6"/>
  <c r="J226" i="6"/>
  <c r="H222" i="6"/>
  <c r="E217" i="6"/>
  <c r="E213" i="6"/>
  <c r="L208" i="6"/>
  <c r="J204" i="6"/>
  <c r="B201" i="6"/>
  <c r="D197" i="6"/>
  <c r="D193" i="6"/>
  <c r="L189" i="6"/>
  <c r="G186" i="6"/>
  <c r="F182" i="6"/>
  <c r="C179" i="6"/>
  <c r="F175" i="6"/>
  <c r="I171" i="6"/>
  <c r="L167" i="6"/>
  <c r="J164" i="6"/>
  <c r="I161" i="6"/>
  <c r="D158" i="6"/>
  <c r="F155" i="6"/>
  <c r="F152" i="6"/>
  <c r="B149" i="6"/>
  <c r="K145" i="6"/>
  <c r="B143" i="6"/>
  <c r="I139" i="6"/>
  <c r="H136" i="6"/>
  <c r="F133" i="6"/>
  <c r="H130" i="6"/>
  <c r="C127" i="6"/>
  <c r="F124" i="6"/>
  <c r="H121" i="6"/>
  <c r="F118" i="6"/>
  <c r="F115" i="6"/>
  <c r="G112" i="6"/>
  <c r="G109" i="6"/>
  <c r="H106" i="6"/>
  <c r="J103" i="6"/>
  <c r="C101" i="6"/>
  <c r="G98" i="6"/>
  <c r="E95" i="6"/>
  <c r="H92" i="6"/>
  <c r="I89" i="6"/>
  <c r="B87" i="6"/>
  <c r="C84" i="6"/>
  <c r="D81" i="6"/>
  <c r="G78" i="6"/>
  <c r="J75" i="6"/>
  <c r="L72" i="6"/>
  <c r="L69" i="6"/>
  <c r="D67" i="6"/>
  <c r="F64" i="6"/>
  <c r="I61" i="6"/>
  <c r="K58" i="6"/>
  <c r="K55" i="6"/>
  <c r="C53" i="6"/>
  <c r="G50" i="6"/>
  <c r="H47" i="6"/>
  <c r="I44" i="6"/>
  <c r="W289" i="6" a="1"/>
  <c r="W289" i="6" s="1"/>
  <c r="W136" i="6" a="1"/>
  <c r="W136" i="6" s="1"/>
  <c r="W24" i="6" a="1"/>
  <c r="W24" i="6" s="1"/>
  <c r="U242" i="6" a="1"/>
  <c r="U242" i="6" s="1"/>
  <c r="U107" i="6" a="1"/>
  <c r="U107" i="6" s="1"/>
  <c r="S173" i="6" a="1"/>
  <c r="S173" i="6" s="1"/>
  <c r="S37" i="6" a="1"/>
  <c r="S37" i="6" s="1"/>
  <c r="Q254" i="6" a="1"/>
  <c r="Q254" i="6" s="1"/>
  <c r="Q126" i="6" a="1"/>
  <c r="Q126" i="6" s="1"/>
  <c r="Q20" i="6" a="1"/>
  <c r="Q20" i="6" s="1"/>
  <c r="O241" i="6" a="1"/>
  <c r="O241" i="6" s="1"/>
  <c r="O136" i="6" a="1"/>
  <c r="O136" i="6" s="1"/>
  <c r="O16" i="6" a="1"/>
  <c r="O16" i="6" s="1"/>
  <c r="M239" i="6" a="1"/>
  <c r="M239" i="6" s="1"/>
  <c r="M121" i="6" a="1"/>
  <c r="M121" i="6" s="1"/>
  <c r="M40" i="6" a="1"/>
  <c r="M40" i="6" s="1"/>
  <c r="C291" i="6"/>
  <c r="E284" i="6"/>
  <c r="K276" i="6"/>
  <c r="F271" i="6"/>
  <c r="G265" i="6"/>
  <c r="I258" i="6"/>
  <c r="D253" i="6"/>
  <c r="D247" i="6"/>
  <c r="F241" i="6"/>
  <c r="G236" i="6"/>
  <c r="E231" i="6"/>
  <c r="I226" i="6"/>
  <c r="W192" i="6" a="1"/>
  <c r="W192" i="6" s="1"/>
  <c r="U175" i="6" a="1"/>
  <c r="U175" i="6" s="1"/>
  <c r="S167" i="6" a="1"/>
  <c r="S167" i="6" s="1"/>
  <c r="Q123" i="6" a="1"/>
  <c r="Q123" i="6" s="1"/>
  <c r="O153" i="6" a="1"/>
  <c r="O153" i="6" s="1"/>
  <c r="M168" i="6" a="1"/>
  <c r="M168" i="6" s="1"/>
  <c r="M11" i="6" a="1"/>
  <c r="M11" i="6" s="1"/>
  <c r="C287" i="6"/>
  <c r="H278" i="6"/>
  <c r="C270" i="6"/>
  <c r="E262" i="6"/>
  <c r="C254" i="6"/>
  <c r="G246" i="6"/>
  <c r="G240" i="6"/>
  <c r="K233" i="6"/>
  <c r="K227" i="6"/>
  <c r="J222" i="6"/>
  <c r="B217" i="6"/>
  <c r="B212" i="6"/>
  <c r="C207" i="6"/>
  <c r="C202" i="6"/>
  <c r="B198" i="6"/>
  <c r="I193" i="6"/>
  <c r="J189" i="6"/>
  <c r="E185" i="6"/>
  <c r="F181" i="6"/>
  <c r="L176" i="6"/>
  <c r="L172" i="6"/>
  <c r="I168" i="6"/>
  <c r="I164" i="6"/>
  <c r="J160" i="6"/>
  <c r="H157" i="6"/>
  <c r="H153" i="6"/>
  <c r="D150" i="6"/>
  <c r="I146" i="6"/>
  <c r="D143" i="6"/>
  <c r="C139" i="6"/>
  <c r="I135" i="6"/>
  <c r="C132" i="6"/>
  <c r="I128" i="6"/>
  <c r="B125" i="6"/>
  <c r="K121" i="6"/>
  <c r="L117" i="6"/>
  <c r="J114" i="6"/>
  <c r="E111" i="6"/>
  <c r="L107" i="6"/>
  <c r="K104" i="6"/>
  <c r="G101" i="6"/>
  <c r="C98" i="6"/>
  <c r="K94" i="6"/>
  <c r="I91" i="6"/>
  <c r="F88" i="6"/>
  <c r="C85" i="6"/>
  <c r="C82" i="6"/>
  <c r="I78" i="6"/>
  <c r="G75" i="6"/>
  <c r="B72" i="6"/>
  <c r="W186" i="6" a="1"/>
  <c r="W186" i="6" s="1"/>
  <c r="U171" i="6" a="1"/>
  <c r="U171" i="6" s="1"/>
  <c r="S165" i="6" a="1"/>
  <c r="S165" i="6" s="1"/>
  <c r="Q122" i="6" a="1"/>
  <c r="Q122" i="6" s="1"/>
  <c r="O146" i="6" a="1"/>
  <c r="O146" i="6" s="1"/>
  <c r="M164" i="6" a="1"/>
  <c r="M164" i="6" s="1"/>
  <c r="M7" i="6" a="1"/>
  <c r="M7" i="6" s="1"/>
  <c r="G286" i="6"/>
  <c r="H276" i="6"/>
  <c r="E269" i="6"/>
  <c r="D262" i="6"/>
  <c r="B254" i="6"/>
  <c r="D246" i="6"/>
  <c r="D240" i="6"/>
  <c r="J233" i="6"/>
  <c r="H227" i="6"/>
  <c r="G222" i="6"/>
  <c r="J216" i="6"/>
  <c r="L211" i="6"/>
  <c r="K206" i="6"/>
  <c r="B202" i="6"/>
  <c r="K197" i="6"/>
  <c r="F193" i="6"/>
  <c r="I189" i="6"/>
  <c r="B185" i="6"/>
  <c r="D181" i="6"/>
  <c r="K176" i="6"/>
  <c r="K172" i="6"/>
  <c r="F168" i="6"/>
  <c r="H164" i="6"/>
  <c r="I160" i="6"/>
  <c r="G157" i="6"/>
  <c r="G153" i="6"/>
  <c r="C150" i="6"/>
  <c r="D146" i="6"/>
  <c r="K142" i="6"/>
  <c r="B139" i="6"/>
  <c r="H135" i="6"/>
  <c r="I131" i="6"/>
  <c r="H128" i="6"/>
  <c r="K124" i="6"/>
  <c r="J121" i="6"/>
  <c r="K117" i="6"/>
  <c r="I114" i="6"/>
  <c r="C111" i="6"/>
  <c r="K107" i="6"/>
  <c r="G104" i="6"/>
  <c r="F101" i="6"/>
  <c r="K97" i="6"/>
  <c r="J94" i="6"/>
  <c r="H91" i="6"/>
  <c r="D88" i="6"/>
  <c r="B85" i="6"/>
  <c r="K81" i="6"/>
  <c r="F78" i="6"/>
  <c r="F75" i="6"/>
  <c r="K71" i="6"/>
  <c r="I68" i="6"/>
  <c r="W182" i="6" a="1"/>
  <c r="W182" i="6" s="1"/>
  <c r="U170" i="6" a="1"/>
  <c r="U170" i="6" s="1"/>
  <c r="S164" i="6" a="1"/>
  <c r="S164" i="6" s="1"/>
  <c r="Q114" i="6" a="1"/>
  <c r="Q114" i="6" s="1"/>
  <c r="O107" i="6" a="1"/>
  <c r="O107" i="6" s="1"/>
  <c r="M149" i="6" a="1"/>
  <c r="M149" i="6" s="1"/>
  <c r="M6" i="6" a="1"/>
  <c r="M6" i="6" s="1"/>
  <c r="C286" i="6"/>
  <c r="F276" i="6"/>
  <c r="D269" i="6"/>
  <c r="K261" i="6"/>
  <c r="G253" i="6"/>
  <c r="K245" i="6"/>
  <c r="C240" i="6"/>
  <c r="I233" i="6"/>
  <c r="G227" i="6"/>
  <c r="B222" i="6"/>
  <c r="I216" i="6"/>
  <c r="E211" i="6"/>
  <c r="J206" i="6"/>
  <c r="J201" i="6"/>
  <c r="J197" i="6"/>
  <c r="C193" i="6"/>
  <c r="F189" i="6"/>
  <c r="L184" i="6"/>
  <c r="B181" i="6"/>
  <c r="J176" i="6"/>
  <c r="J172" i="6"/>
  <c r="C168" i="6"/>
  <c r="G164" i="6"/>
  <c r="H160" i="6"/>
  <c r="F157" i="6"/>
  <c r="F153" i="6"/>
  <c r="B150" i="6"/>
  <c r="C146" i="6"/>
  <c r="J142" i="6"/>
  <c r="L138" i="6"/>
  <c r="G135" i="6"/>
  <c r="H131" i="6"/>
  <c r="G128" i="6"/>
  <c r="J124" i="6"/>
  <c r="G121" i="6"/>
  <c r="J117" i="6"/>
  <c r="H114" i="6"/>
  <c r="J110" i="6"/>
  <c r="J107" i="6"/>
  <c r="F104" i="6"/>
  <c r="E101" i="6"/>
  <c r="J97" i="6"/>
  <c r="I94" i="6"/>
  <c r="G91" i="6"/>
  <c r="B88" i="6"/>
  <c r="L84" i="6"/>
  <c r="J81" i="6"/>
  <c r="D78" i="6"/>
  <c r="C75" i="6"/>
  <c r="J71" i="6"/>
  <c r="H68" i="6"/>
  <c r="E65" i="6"/>
  <c r="B62" i="6"/>
  <c r="J58" i="6"/>
  <c r="F55" i="6"/>
  <c r="G52" i="6"/>
  <c r="K48" i="6"/>
  <c r="I45" i="6"/>
  <c r="I42" i="6"/>
  <c r="J39" i="6"/>
  <c r="D37" i="6"/>
  <c r="I34" i="6"/>
  <c r="C32" i="6"/>
  <c r="C29" i="6"/>
  <c r="G26" i="6"/>
  <c r="J23" i="6"/>
  <c r="D21" i="6"/>
  <c r="G18" i="6"/>
  <c r="H15" i="6"/>
  <c r="B13" i="6"/>
  <c r="G10" i="6"/>
  <c r="J7" i="6"/>
  <c r="W130" i="6" a="1"/>
  <c r="W130" i="6" s="1"/>
  <c r="U117" i="6" a="1"/>
  <c r="U117" i="6" s="1"/>
  <c r="S278" i="6" a="1"/>
  <c r="S278" i="6" s="1"/>
  <c r="S98" i="6" a="1"/>
  <c r="S98" i="6" s="1"/>
  <c r="Q270" i="6" a="1"/>
  <c r="Q270" i="6" s="1"/>
  <c r="Q103" i="6" a="1"/>
  <c r="Q103" i="6" s="1"/>
  <c r="O285" i="6" a="1"/>
  <c r="O285" i="6" s="1"/>
  <c r="O94" i="6" a="1"/>
  <c r="O94" i="6" s="1"/>
  <c r="M278" i="6" a="1"/>
  <c r="M278" i="6" s="1"/>
  <c r="M119" i="6" a="1"/>
  <c r="M119" i="6" s="1"/>
  <c r="I295" i="6"/>
  <c r="Y295" i="6" s="1"/>
  <c r="E285" i="6"/>
  <c r="B276" i="6"/>
  <c r="B268" i="6"/>
  <c r="H260" i="6"/>
  <c r="L252" i="6"/>
  <c r="F245" i="6"/>
  <c r="G238" i="6"/>
  <c r="F233" i="6"/>
  <c r="E226" i="6"/>
  <c r="I220" i="6"/>
  <c r="C216" i="6"/>
  <c r="K210" i="6"/>
  <c r="G206" i="6"/>
  <c r="F201" i="6"/>
  <c r="B197" i="6"/>
  <c r="K192" i="6"/>
  <c r="I188" i="6"/>
  <c r="G184" i="6"/>
  <c r="C180" i="6"/>
  <c r="K175" i="6"/>
  <c r="C172" i="6"/>
  <c r="I167" i="6"/>
  <c r="L163" i="6"/>
  <c r="D160" i="6"/>
  <c r="H156" i="6"/>
  <c r="C153" i="6"/>
  <c r="G149" i="6"/>
  <c r="I145" i="6"/>
  <c r="B142" i="6"/>
  <c r="I138" i="6"/>
  <c r="L134" i="6"/>
  <c r="D131" i="6"/>
  <c r="L127" i="6"/>
  <c r="D124" i="6"/>
  <c r="K120" i="6"/>
  <c r="G117" i="6"/>
  <c r="L113" i="6"/>
  <c r="G110" i="6"/>
  <c r="G107" i="6"/>
  <c r="L103" i="6"/>
  <c r="K100" i="6"/>
  <c r="F97" i="6"/>
  <c r="F94" i="6"/>
  <c r="L90" i="6"/>
  <c r="H87" i="6"/>
  <c r="I84" i="6"/>
  <c r="L80" i="6"/>
  <c r="L77" i="6"/>
  <c r="H74" i="6"/>
  <c r="F71" i="6"/>
  <c r="D68" i="6"/>
  <c r="L64" i="6"/>
  <c r="H61" i="6"/>
  <c r="C58" i="6"/>
  <c r="C55" i="6"/>
  <c r="I51" i="6"/>
  <c r="H48" i="6"/>
  <c r="F45" i="6"/>
  <c r="E42" i="6"/>
  <c r="G39" i="6"/>
  <c r="L36" i="6"/>
  <c r="F34" i="6"/>
  <c r="F31" i="6"/>
  <c r="J28" i="6"/>
  <c r="D26" i="6"/>
  <c r="G23" i="6"/>
  <c r="J20" i="6"/>
  <c r="C18" i="6"/>
  <c r="E15" i="6"/>
  <c r="J12" i="6"/>
  <c r="D10" i="6"/>
  <c r="D7" i="6"/>
  <c r="W129" i="6" a="1"/>
  <c r="W129" i="6" s="1"/>
  <c r="U110" i="6" a="1"/>
  <c r="U110" i="6" s="1"/>
  <c r="S265" i="6" a="1"/>
  <c r="S265" i="6" s="1"/>
  <c r="S96" i="6" a="1"/>
  <c r="S96" i="6" s="1"/>
  <c r="Q269" i="6" a="1"/>
  <c r="Q269" i="6" s="1"/>
  <c r="Q102" i="6" a="1"/>
  <c r="Q102" i="6" s="1"/>
  <c r="O258" i="6" a="1"/>
  <c r="O258" i="6" s="1"/>
  <c r="O93" i="6" a="1"/>
  <c r="O93" i="6" s="1"/>
  <c r="M277" i="6" a="1"/>
  <c r="M277" i="6" s="1"/>
  <c r="M118" i="6" a="1"/>
  <c r="M118" i="6" s="1"/>
  <c r="G295" i="6"/>
  <c r="B285" i="6"/>
  <c r="K275" i="6"/>
  <c r="G267" i="6"/>
  <c r="C260" i="6"/>
  <c r="K252" i="6"/>
  <c r="C245" i="6"/>
  <c r="F238" i="6"/>
  <c r="E233" i="6"/>
  <c r="D226" i="6"/>
  <c r="H220" i="6"/>
  <c r="L215" i="6"/>
  <c r="J210" i="6"/>
  <c r="B206" i="6"/>
  <c r="E201" i="6"/>
  <c r="J196" i="6"/>
  <c r="J192" i="6"/>
  <c r="G188" i="6"/>
  <c r="F184" i="6"/>
  <c r="L179" i="6"/>
  <c r="J175" i="6"/>
  <c r="F171" i="6"/>
  <c r="F167" i="6"/>
  <c r="J163" i="6"/>
  <c r="B160" i="6"/>
  <c r="F156" i="6"/>
  <c r="B153" i="6"/>
  <c r="F149" i="6"/>
  <c r="H145" i="6"/>
  <c r="K141" i="6"/>
  <c r="H138" i="6"/>
  <c r="J134" i="6"/>
  <c r="C131" i="6"/>
  <c r="K127" i="6"/>
  <c r="C124" i="6"/>
  <c r="I120" i="6"/>
  <c r="F117" i="6"/>
  <c r="J113" i="6"/>
  <c r="F110" i="6"/>
  <c r="D107" i="6"/>
  <c r="I103" i="6"/>
  <c r="J100" i="6"/>
  <c r="D97" i="6"/>
  <c r="L93" i="6"/>
  <c r="J90" i="6"/>
  <c r="G87" i="6"/>
  <c r="H84" i="6"/>
  <c r="K80" i="6"/>
  <c r="K77" i="6"/>
  <c r="G74" i="6"/>
  <c r="E71" i="6"/>
  <c r="L67" i="6"/>
  <c r="I64" i="6"/>
  <c r="G61" i="6"/>
  <c r="L57" i="6"/>
  <c r="B55" i="6"/>
  <c r="G51" i="6"/>
  <c r="G48" i="6"/>
  <c r="E45" i="6"/>
  <c r="C42" i="6"/>
  <c r="F39" i="6"/>
  <c r="K36" i="6"/>
  <c r="E34" i="6"/>
  <c r="E31" i="6"/>
  <c r="I28" i="6"/>
  <c r="C26" i="6"/>
  <c r="F23" i="6"/>
  <c r="I20" i="6"/>
  <c r="J17" i="6"/>
  <c r="D15" i="6"/>
  <c r="W294" i="6" a="1"/>
  <c r="W294" i="6" s="1"/>
  <c r="W118" i="6" a="1"/>
  <c r="W118" i="6" s="1"/>
  <c r="U284" i="6" a="1"/>
  <c r="U284" i="6" s="1"/>
  <c r="U105" i="6" a="1"/>
  <c r="U105" i="6" s="1"/>
  <c r="S258" i="6" a="1"/>
  <c r="S258" i="6" s="1"/>
  <c r="S84" i="6" a="1"/>
  <c r="S84" i="6" s="1"/>
  <c r="Q245" i="6" a="1"/>
  <c r="Q245" i="6" s="1"/>
  <c r="Q66" i="6" a="1"/>
  <c r="Q66" i="6" s="1"/>
  <c r="O249" i="6" a="1"/>
  <c r="O249" i="6" s="1"/>
  <c r="O91" i="6" a="1"/>
  <c r="O91" i="6" s="1"/>
  <c r="M263" i="6" a="1"/>
  <c r="M263" i="6" s="1"/>
  <c r="M116" i="6" a="1"/>
  <c r="M116" i="6" s="1"/>
  <c r="I294" i="6"/>
  <c r="C284" i="6"/>
  <c r="G275" i="6"/>
  <c r="F266" i="6"/>
  <c r="G258" i="6"/>
  <c r="E251" i="6"/>
  <c r="I244" i="6"/>
  <c r="D238" i="6"/>
  <c r="F232" i="6"/>
  <c r="J225" i="6"/>
  <c r="F220" i="6"/>
  <c r="D215" i="6"/>
  <c r="H210" i="6"/>
  <c r="G205" i="6"/>
  <c r="L200" i="6"/>
  <c r="F196" i="6"/>
  <c r="H192" i="6"/>
  <c r="K187" i="6"/>
  <c r="B184" i="6"/>
  <c r="H179" i="6"/>
  <c r="H175" i="6"/>
  <c r="L170" i="6"/>
  <c r="C167" i="6"/>
  <c r="C163" i="6"/>
  <c r="K159" i="6"/>
  <c r="L155" i="6"/>
  <c r="I152" i="6"/>
  <c r="J148" i="6"/>
  <c r="F145" i="6"/>
  <c r="G141" i="6"/>
  <c r="L137" i="6"/>
  <c r="F134" i="6"/>
  <c r="L130" i="6"/>
  <c r="B127" i="6"/>
  <c r="L123" i="6"/>
  <c r="W293" i="6" a="1"/>
  <c r="W293" i="6" s="1"/>
  <c r="W116" i="6" a="1"/>
  <c r="W116" i="6" s="1"/>
  <c r="U279" i="6" a="1"/>
  <c r="U279" i="6" s="1"/>
  <c r="U104" i="6" a="1"/>
  <c r="U104" i="6" s="1"/>
  <c r="S257" i="6" a="1"/>
  <c r="S257" i="6" s="1"/>
  <c r="S78" i="6" a="1"/>
  <c r="S78" i="6" s="1"/>
  <c r="Q244" i="6" a="1"/>
  <c r="Q244" i="6" s="1"/>
  <c r="Q62" i="6" a="1"/>
  <c r="Q62" i="6" s="1"/>
  <c r="O236" i="6" a="1"/>
  <c r="O236" i="6" s="1"/>
  <c r="O83" i="6" a="1"/>
  <c r="O83" i="6" s="1"/>
  <c r="M262" i="6" a="1"/>
  <c r="M262" i="6" s="1"/>
  <c r="M115" i="6" a="1"/>
  <c r="M115" i="6" s="1"/>
  <c r="F294" i="6"/>
  <c r="J283" i="6"/>
  <c r="E275" i="6"/>
  <c r="E266" i="6"/>
  <c r="D258" i="6"/>
  <c r="I250" i="6"/>
  <c r="D244" i="6"/>
  <c r="B238" i="6"/>
  <c r="C231" i="6"/>
  <c r="I225" i="6"/>
  <c r="C220" i="6"/>
  <c r="C215" i="6"/>
  <c r="G210" i="6"/>
  <c r="C205" i="6"/>
  <c r="K200" i="6"/>
  <c r="L195" i="6"/>
  <c r="G192" i="6"/>
  <c r="J187" i="6"/>
  <c r="K183" i="6"/>
  <c r="W292" i="6" a="1"/>
  <c r="W292" i="6" s="1"/>
  <c r="W105" i="6" a="1"/>
  <c r="W105" i="6" s="1"/>
  <c r="U271" i="6" a="1"/>
  <c r="U271" i="6" s="1"/>
  <c r="U81" i="6" a="1"/>
  <c r="U81" i="6" s="1"/>
  <c r="S256" i="6" a="1"/>
  <c r="S256" i="6" s="1"/>
  <c r="S72" i="6" a="1"/>
  <c r="S72" i="6" s="1"/>
  <c r="Q242" i="6" a="1"/>
  <c r="Q242" i="6" s="1"/>
  <c r="Q61" i="6" a="1"/>
  <c r="Q61" i="6" s="1"/>
  <c r="O235" i="6" a="1"/>
  <c r="O235" i="6" s="1"/>
  <c r="O81" i="6" a="1"/>
  <c r="O81" i="6" s="1"/>
  <c r="M260" i="6" a="1"/>
  <c r="M260" i="6" s="1"/>
  <c r="M109" i="6" a="1"/>
  <c r="M109" i="6" s="1"/>
  <c r="I292" i="6"/>
  <c r="E283" i="6"/>
  <c r="G274" i="6"/>
  <c r="D266" i="6"/>
  <c r="C258" i="6"/>
  <c r="G250" i="6"/>
  <c r="C244" i="6"/>
  <c r="I237" i="6"/>
  <c r="I230" i="6"/>
  <c r="H225" i="6"/>
  <c r="J219" i="6"/>
  <c r="J214" i="6"/>
  <c r="C210" i="6"/>
  <c r="B205" i="6"/>
  <c r="H200" i="6"/>
  <c r="K195" i="6"/>
  <c r="F192" i="6"/>
  <c r="I187" i="6"/>
  <c r="I183" i="6"/>
  <c r="F179" i="6"/>
  <c r="D175" i="6"/>
  <c r="J170" i="6"/>
  <c r="L166" i="6"/>
  <c r="K162" i="6"/>
  <c r="I159" i="6"/>
  <c r="J155" i="6"/>
  <c r="D152" i="6"/>
  <c r="F148" i="6"/>
  <c r="C145" i="6"/>
  <c r="D141" i="6"/>
  <c r="J137" i="6"/>
  <c r="C134" i="6"/>
  <c r="J130" i="6"/>
  <c r="K126" i="6"/>
  <c r="J123" i="6"/>
  <c r="B120" i="6"/>
  <c r="J116" i="6"/>
  <c r="D113" i="6"/>
  <c r="L109" i="6"/>
  <c r="D106" i="6"/>
  <c r="E103" i="6"/>
  <c r="K99" i="6"/>
  <c r="J96" i="6"/>
  <c r="H93" i="6"/>
  <c r="D90" i="6"/>
  <c r="L86" i="6"/>
  <c r="G83" i="6"/>
  <c r="G80" i="6"/>
  <c r="B77" i="6"/>
  <c r="K73" i="6"/>
  <c r="J70" i="6"/>
  <c r="G67" i="6"/>
  <c r="B64" i="6"/>
  <c r="K60" i="6"/>
  <c r="H57" i="6"/>
  <c r="H54" i="6"/>
  <c r="B51" i="6"/>
  <c r="K47" i="6"/>
  <c r="G44" i="6"/>
  <c r="H41" i="6"/>
  <c r="B39" i="6"/>
  <c r="G36" i="6"/>
  <c r="G33" i="6"/>
  <c r="K30" i="6"/>
  <c r="W284" i="6" a="1"/>
  <c r="W284" i="6" s="1"/>
  <c r="W86" i="6" a="1"/>
  <c r="W86" i="6" s="1"/>
  <c r="U262" i="6" a="1"/>
  <c r="U262" i="6" s="1"/>
  <c r="U74" i="6" a="1"/>
  <c r="U74" i="6" s="1"/>
  <c r="S239" i="6" a="1"/>
  <c r="S239" i="6" s="1"/>
  <c r="S32" i="6" a="1"/>
  <c r="S32" i="6" s="1"/>
  <c r="Q202" i="6" a="1"/>
  <c r="Q202" i="6" s="1"/>
  <c r="Q47" i="6" a="1"/>
  <c r="Q47" i="6" s="1"/>
  <c r="O223" i="6" a="1"/>
  <c r="O223" i="6" s="1"/>
  <c r="O73" i="6" a="1"/>
  <c r="O73" i="6" s="1"/>
  <c r="M237" i="6" a="1"/>
  <c r="M237" i="6" s="1"/>
  <c r="M86" i="6" a="1"/>
  <c r="M86" i="6" s="1"/>
  <c r="L291" i="6"/>
  <c r="E281" i="6"/>
  <c r="G273" i="6"/>
  <c r="C265" i="6"/>
  <c r="J257" i="6"/>
  <c r="D250" i="6"/>
  <c r="F243" i="6"/>
  <c r="K236" i="6"/>
  <c r="E230" i="6"/>
  <c r="D225" i="6"/>
  <c r="H219" i="6"/>
  <c r="B214" i="6"/>
  <c r="H209" i="6"/>
  <c r="F204" i="6"/>
  <c r="L199" i="6"/>
  <c r="H195" i="6"/>
  <c r="G191" i="6"/>
  <c r="G187" i="6"/>
  <c r="E183" i="6"/>
  <c r="L178" i="6"/>
  <c r="K174" i="6"/>
  <c r="W283" i="6" a="1"/>
  <c r="W283" i="6" s="1"/>
  <c r="W82" i="6" a="1"/>
  <c r="W82" i="6" s="1"/>
  <c r="U259" i="6" a="1"/>
  <c r="U259" i="6" s="1"/>
  <c r="U67" i="6" a="1"/>
  <c r="U67" i="6" s="1"/>
  <c r="S235" i="6" a="1"/>
  <c r="S235" i="6" s="1"/>
  <c r="S27" i="6" a="1"/>
  <c r="S27" i="6" s="1"/>
  <c r="Q201" i="6" a="1"/>
  <c r="Q201" i="6" s="1"/>
  <c r="Q43" i="6" a="1"/>
  <c r="Q43" i="6" s="1"/>
  <c r="O220" i="6" a="1"/>
  <c r="O220" i="6" s="1"/>
  <c r="O39" i="6" a="1"/>
  <c r="O39" i="6" s="1"/>
  <c r="M212" i="6" a="1"/>
  <c r="M212" i="6" s="1"/>
  <c r="M71" i="6" a="1"/>
  <c r="M71" i="6" s="1"/>
  <c r="B291" i="6"/>
  <c r="D281" i="6"/>
  <c r="H272" i="6"/>
  <c r="F264" i="6"/>
  <c r="G257" i="6"/>
  <c r="C250" i="6"/>
  <c r="E243" i="6"/>
  <c r="F236" i="6"/>
  <c r="D230" i="6"/>
  <c r="J223" i="6"/>
  <c r="G219" i="6"/>
  <c r="L213" i="6"/>
  <c r="F209" i="6"/>
  <c r="C204" i="6"/>
  <c r="I199" i="6"/>
  <c r="G195" i="6"/>
  <c r="C191" i="6"/>
  <c r="D187" i="6"/>
  <c r="D183" i="6"/>
  <c r="J178" i="6"/>
  <c r="I174" i="6"/>
  <c r="G170" i="6"/>
  <c r="C166" i="6"/>
  <c r="H162" i="6"/>
  <c r="D159" i="6"/>
  <c r="E155" i="6"/>
  <c r="H151" i="6"/>
  <c r="B148" i="6"/>
  <c r="D144" i="6"/>
  <c r="L140" i="6"/>
  <c r="E137" i="6"/>
  <c r="I133" i="6"/>
  <c r="L129" i="6"/>
  <c r="H126" i="6"/>
  <c r="C123" i="6"/>
  <c r="I119" i="6"/>
  <c r="D116" i="6"/>
  <c r="J112" i="6"/>
  <c r="D109" i="6"/>
  <c r="L105" i="6"/>
  <c r="B103" i="6"/>
  <c r="F99" i="6"/>
  <c r="G96" i="6"/>
  <c r="B93" i="6"/>
  <c r="H89" i="6"/>
  <c r="G86" i="6"/>
  <c r="C83" i="6"/>
  <c r="B80" i="6"/>
  <c r="I76" i="6"/>
  <c r="H73" i="6"/>
  <c r="D70" i="6"/>
  <c r="J66" i="6"/>
  <c r="J63" i="6"/>
  <c r="D60" i="6"/>
  <c r="D57" i="6"/>
  <c r="J53" i="6"/>
  <c r="J50" i="6"/>
  <c r="D47" i="6"/>
  <c r="C44" i="6"/>
  <c r="E41" i="6"/>
  <c r="J38" i="6"/>
  <c r="J35" i="6"/>
  <c r="C33" i="6"/>
  <c r="H30" i="6"/>
  <c r="B28" i="6"/>
  <c r="C25" i="6"/>
  <c r="G22" i="6"/>
  <c r="I19" i="6"/>
  <c r="C17" i="6"/>
  <c r="H14" i="6"/>
  <c r="H11" i="6"/>
  <c r="L8" i="6"/>
  <c r="F6" i="6"/>
  <c r="W259" i="6" a="1"/>
  <c r="W259" i="6" s="1"/>
  <c r="W30" i="6" a="1"/>
  <c r="W30" i="6" s="1"/>
  <c r="U235" i="6" a="1"/>
  <c r="U235" i="6" s="1"/>
  <c r="U32" i="6" a="1"/>
  <c r="U32" i="6" s="1"/>
  <c r="S188" i="6" a="1"/>
  <c r="S188" i="6" s="1"/>
  <c r="S16" i="6" a="1"/>
  <c r="S16" i="6" s="1"/>
  <c r="Q191" i="6" a="1"/>
  <c r="Q191" i="6" s="1"/>
  <c r="Q7" i="6" a="1"/>
  <c r="Q7" i="6" s="1"/>
  <c r="O214" i="6" a="1"/>
  <c r="O214" i="6" s="1"/>
  <c r="O28" i="6" a="1"/>
  <c r="O28" i="6" s="1"/>
  <c r="M206" i="6" a="1"/>
  <c r="M206" i="6" s="1"/>
  <c r="M55" i="6" a="1"/>
  <c r="M55" i="6" s="1"/>
  <c r="K289" i="6"/>
  <c r="J280" i="6"/>
  <c r="E272" i="6"/>
  <c r="C263" i="6"/>
  <c r="G256" i="6"/>
  <c r="F249" i="6"/>
  <c r="C242" i="6"/>
  <c r="L235" i="6"/>
  <c r="L229" i="6"/>
  <c r="F223" i="6"/>
  <c r="B219" i="6"/>
  <c r="G213" i="6"/>
  <c r="C208" i="6"/>
  <c r="J203" i="6"/>
  <c r="B199" i="6"/>
  <c r="C195" i="6"/>
  <c r="I190" i="6"/>
  <c r="K186" i="6"/>
  <c r="B182" i="6"/>
  <c r="W29" i="6" a="1"/>
  <c r="W29" i="6" s="1"/>
  <c r="U150" i="6" a="1"/>
  <c r="U150" i="6" s="1"/>
  <c r="S170" i="6" a="1"/>
  <c r="S170" i="6" s="1"/>
  <c r="Q187" i="6" a="1"/>
  <c r="Q187" i="6" s="1"/>
  <c r="O227" i="6" a="1"/>
  <c r="O227" i="6" s="1"/>
  <c r="E276" i="6"/>
  <c r="B261" i="6"/>
  <c r="J245" i="6"/>
  <c r="H233" i="6"/>
  <c r="G221" i="6"/>
  <c r="C211" i="6"/>
  <c r="H201" i="6"/>
  <c r="B193" i="6"/>
  <c r="J184" i="6"/>
  <c r="G177" i="6"/>
  <c r="B170" i="6"/>
  <c r="B164" i="6"/>
  <c r="B158" i="6"/>
  <c r="H152" i="6"/>
  <c r="C147" i="6"/>
  <c r="B141" i="6"/>
  <c r="J135" i="6"/>
  <c r="F129" i="6"/>
  <c r="H124" i="6"/>
  <c r="F119" i="6"/>
  <c r="F114" i="6"/>
  <c r="B109" i="6"/>
  <c r="D104" i="6"/>
  <c r="E99" i="6"/>
  <c r="L94" i="6"/>
  <c r="B90" i="6"/>
  <c r="E85" i="6"/>
  <c r="F80" i="6"/>
  <c r="L75" i="6"/>
  <c r="K70" i="6"/>
  <c r="F66" i="6"/>
  <c r="D62" i="6"/>
  <c r="J57" i="6"/>
  <c r="H53" i="6"/>
  <c r="G49" i="6"/>
  <c r="G45" i="6"/>
  <c r="F41" i="6"/>
  <c r="B38" i="6"/>
  <c r="J34" i="6"/>
  <c r="L30" i="6"/>
  <c r="I27" i="6"/>
  <c r="F24" i="6"/>
  <c r="E21" i="6"/>
  <c r="H17" i="6"/>
  <c r="I14" i="6"/>
  <c r="D11" i="6"/>
  <c r="F8" i="6"/>
  <c r="L190" i="6"/>
  <c r="L52" i="6"/>
  <c r="D17" i="6"/>
  <c r="F132" i="6"/>
  <c r="J15" i="6"/>
  <c r="W201" i="6" a="1"/>
  <c r="W201" i="6" s="1"/>
  <c r="B250" i="6"/>
  <c r="E236" i="6"/>
  <c r="C187" i="6"/>
  <c r="W27" i="6" a="1"/>
  <c r="W27" i="6" s="1"/>
  <c r="U106" i="6" a="1"/>
  <c r="U106" i="6" s="1"/>
  <c r="S168" i="6" a="1"/>
  <c r="S168" i="6" s="1"/>
  <c r="Q170" i="6" a="1"/>
  <c r="Q170" i="6" s="1"/>
  <c r="O219" i="6" a="1"/>
  <c r="O219" i="6" s="1"/>
  <c r="D276" i="6"/>
  <c r="I260" i="6"/>
  <c r="G245" i="6"/>
  <c r="G233" i="6"/>
  <c r="K220" i="6"/>
  <c r="L210" i="6"/>
  <c r="G201" i="6"/>
  <c r="L192" i="6"/>
  <c r="I184" i="6"/>
  <c r="C177" i="6"/>
  <c r="L169" i="6"/>
  <c r="G163" i="6"/>
  <c r="L157" i="6"/>
  <c r="K151" i="6"/>
  <c r="B147" i="6"/>
  <c r="K140" i="6"/>
  <c r="F135" i="6"/>
  <c r="E129" i="6"/>
  <c r="B124" i="6"/>
  <c r="C119" i="6"/>
  <c r="H113" i="6"/>
  <c r="I108" i="6"/>
  <c r="B104" i="6"/>
  <c r="D99" i="6"/>
  <c r="H94" i="6"/>
  <c r="G89" i="6"/>
  <c r="D85" i="6"/>
  <c r="D80" i="6"/>
  <c r="I75" i="6"/>
  <c r="I70" i="6"/>
  <c r="D66" i="6"/>
  <c r="C62" i="6"/>
  <c r="I57" i="6"/>
  <c r="F53" i="6"/>
  <c r="F49" i="6"/>
  <c r="D45" i="6"/>
  <c r="D41" i="6"/>
  <c r="J37" i="6"/>
  <c r="H34" i="6"/>
  <c r="J30" i="6"/>
  <c r="H27" i="6"/>
  <c r="E24" i="6"/>
  <c r="C21" i="6"/>
  <c r="G17" i="6"/>
  <c r="G14" i="6"/>
  <c r="C11" i="6"/>
  <c r="E8" i="6"/>
  <c r="I175" i="6"/>
  <c r="C57" i="6"/>
  <c r="F20" i="6"/>
  <c r="J154" i="6"/>
  <c r="E195" i="6"/>
  <c r="W23" i="6" a="1"/>
  <c r="W23" i="6" s="1"/>
  <c r="U76" i="6" a="1"/>
  <c r="U76" i="6" s="1"/>
  <c r="S128" i="6" a="1"/>
  <c r="S128" i="6" s="1"/>
  <c r="Q169" i="6" a="1"/>
  <c r="Q169" i="6" s="1"/>
  <c r="O215" i="6" a="1"/>
  <c r="O215" i="6" s="1"/>
  <c r="M270" i="6" a="1"/>
  <c r="M270" i="6" s="1"/>
  <c r="L294" i="6"/>
  <c r="J275" i="6"/>
  <c r="H258" i="6"/>
  <c r="K244" i="6"/>
  <c r="K232" i="6"/>
  <c r="G220" i="6"/>
  <c r="I210" i="6"/>
  <c r="D201" i="6"/>
  <c r="I192" i="6"/>
  <c r="C184" i="6"/>
  <c r="I176" i="6"/>
  <c r="K169" i="6"/>
  <c r="L162" i="6"/>
  <c r="K157" i="6"/>
  <c r="J151" i="6"/>
  <c r="K146" i="6"/>
  <c r="J140" i="6"/>
  <c r="B135" i="6"/>
  <c r="D129" i="6"/>
  <c r="K123" i="6"/>
  <c r="B119" i="6"/>
  <c r="F113" i="6"/>
  <c r="H108" i="6"/>
  <c r="H103" i="6"/>
  <c r="C99" i="6"/>
  <c r="G94" i="6"/>
  <c r="F89" i="6"/>
  <c r="K84" i="6"/>
  <c r="L79" i="6"/>
  <c r="H75" i="6"/>
  <c r="H70" i="6"/>
  <c r="C66" i="6"/>
  <c r="L61" i="6"/>
  <c r="F57" i="6"/>
  <c r="E53" i="6"/>
  <c r="D49" i="6"/>
  <c r="L44" i="6"/>
  <c r="C41" i="6"/>
  <c r="H37" i="6"/>
  <c r="G34" i="6"/>
  <c r="I30" i="6"/>
  <c r="E27" i="6"/>
  <c r="D24" i="6"/>
  <c r="B21" i="6"/>
  <c r="F17" i="6"/>
  <c r="D14" i="6"/>
  <c r="B11" i="6"/>
  <c r="D8" i="6"/>
  <c r="I162" i="6"/>
  <c r="I65" i="6"/>
  <c r="L40" i="6"/>
  <c r="J33" i="6"/>
  <c r="B24" i="6"/>
  <c r="K10" i="6"/>
  <c r="B8" i="6"/>
  <c r="G143" i="6"/>
  <c r="C281" i="6"/>
  <c r="H223" i="6"/>
  <c r="W22" i="6" a="1"/>
  <c r="W22" i="6" s="1"/>
  <c r="U66" i="6" a="1"/>
  <c r="U66" i="6" s="1"/>
  <c r="S114" i="6" a="1"/>
  <c r="S114" i="6" s="1"/>
  <c r="Q167" i="6" a="1"/>
  <c r="Q167" i="6" s="1"/>
  <c r="O175" i="6" a="1"/>
  <c r="O175" i="6" s="1"/>
  <c r="M238" i="6" a="1"/>
  <c r="M238" i="6" s="1"/>
  <c r="D292" i="6"/>
  <c r="J273" i="6"/>
  <c r="K257" i="6"/>
  <c r="J243" i="6"/>
  <c r="H230" i="6"/>
  <c r="I219" i="6"/>
  <c r="I209" i="6"/>
  <c r="B200" i="6"/>
  <c r="K191" i="6"/>
  <c r="H183" i="6"/>
  <c r="C176" i="6"/>
  <c r="H169" i="6"/>
  <c r="J162" i="6"/>
  <c r="J157" i="6"/>
  <c r="F151" i="6"/>
  <c r="B146" i="6"/>
  <c r="H140" i="6"/>
  <c r="H134" i="6"/>
  <c r="C129" i="6"/>
  <c r="I123" i="6"/>
  <c r="L118" i="6"/>
  <c r="E113" i="6"/>
  <c r="G108" i="6"/>
  <c r="G103" i="6"/>
  <c r="B99" i="6"/>
  <c r="K93" i="6"/>
  <c r="E89" i="6"/>
  <c r="J84" i="6"/>
  <c r="K79" i="6"/>
  <c r="K74" i="6"/>
  <c r="K69" i="6"/>
  <c r="L65" i="6"/>
  <c r="K61" i="6"/>
  <c r="E57" i="6"/>
  <c r="B53" i="6"/>
  <c r="C49" i="6"/>
  <c r="H44" i="6"/>
  <c r="B41" i="6"/>
  <c r="G37" i="6"/>
  <c r="B34" i="6"/>
  <c r="G30" i="6"/>
  <c r="D27" i="6"/>
  <c r="C24" i="6"/>
  <c r="G20" i="6"/>
  <c r="E17" i="6"/>
  <c r="C14" i="6"/>
  <c r="L10" i="6"/>
  <c r="C8" i="6"/>
  <c r="D169" i="6"/>
  <c r="J69" i="6"/>
  <c r="E44" i="6"/>
  <c r="F37" i="6"/>
  <c r="B27" i="6"/>
  <c r="J13" i="6"/>
  <c r="K115" i="6"/>
  <c r="E6" i="6"/>
  <c r="S260" i="6" a="1"/>
  <c r="S260" i="6" s="1"/>
  <c r="B204" i="6"/>
  <c r="W19" i="6" a="1"/>
  <c r="W19" i="6" s="1"/>
  <c r="U37" i="6" a="1"/>
  <c r="U37" i="6" s="1"/>
  <c r="S87" i="6" a="1"/>
  <c r="S87" i="6" s="1"/>
  <c r="Q141" i="6" a="1"/>
  <c r="Q141" i="6" s="1"/>
  <c r="O171" i="6" a="1"/>
  <c r="O171" i="6" s="1"/>
  <c r="M208" i="6" a="1"/>
  <c r="M208" i="6" s="1"/>
  <c r="K290" i="6"/>
  <c r="G272" i="6"/>
  <c r="E257" i="6"/>
  <c r="G242" i="6"/>
  <c r="C230" i="6"/>
  <c r="F219" i="6"/>
  <c r="K208" i="6"/>
  <c r="G199" i="6"/>
  <c r="K182" i="6"/>
  <c r="I157" i="6"/>
  <c r="D151" i="6"/>
  <c r="J145" i="6"/>
  <c r="G140" i="6"/>
  <c r="D134" i="6"/>
  <c r="B129" i="6"/>
  <c r="D123" i="6"/>
  <c r="I118" i="6"/>
  <c r="C113" i="6"/>
  <c r="F108" i="6"/>
  <c r="F103" i="6"/>
  <c r="L98" i="6"/>
  <c r="J93" i="6"/>
  <c r="D89" i="6"/>
  <c r="B84" i="6"/>
  <c r="H79" i="6"/>
  <c r="J74" i="6"/>
  <c r="F61" i="6"/>
  <c r="J48" i="6"/>
  <c r="F30" i="6"/>
  <c r="K67" i="6"/>
  <c r="U23" i="6" a="1"/>
  <c r="U23" i="6" s="1"/>
  <c r="S33" i="6" a="1"/>
  <c r="S33" i="6" s="1"/>
  <c r="Q113" i="6" a="1"/>
  <c r="Q113" i="6" s="1"/>
  <c r="O168" i="6" a="1"/>
  <c r="O168" i="6" s="1"/>
  <c r="M207" i="6" a="1"/>
  <c r="M207" i="6" s="1"/>
  <c r="F290" i="6"/>
  <c r="F272" i="6"/>
  <c r="C257" i="6"/>
  <c r="D242" i="6"/>
  <c r="B230" i="6"/>
  <c r="C219" i="6"/>
  <c r="G208" i="6"/>
  <c r="D199" i="6"/>
  <c r="J190" i="6"/>
  <c r="C182" i="6"/>
  <c r="E175" i="6"/>
  <c r="C169" i="6"/>
  <c r="G162" i="6"/>
  <c r="D157" i="6"/>
  <c r="C151" i="6"/>
  <c r="G145" i="6"/>
  <c r="F140" i="6"/>
  <c r="B134" i="6"/>
  <c r="K128" i="6"/>
  <c r="J122" i="6"/>
  <c r="C118" i="6"/>
  <c r="K112" i="6"/>
  <c r="D108" i="6"/>
  <c r="D103" i="6"/>
  <c r="K98" i="6"/>
  <c r="I93" i="6"/>
  <c r="C89" i="6"/>
  <c r="K83" i="6"/>
  <c r="E79" i="6"/>
  <c r="C74" i="6"/>
  <c r="H69" i="6"/>
  <c r="H65" i="6"/>
  <c r="C61" i="6"/>
  <c r="B57" i="6"/>
  <c r="K52" i="6"/>
  <c r="I48" i="6"/>
  <c r="D44" i="6"/>
  <c r="K40" i="6"/>
  <c r="E37" i="6"/>
  <c r="H33" i="6"/>
  <c r="E30" i="6"/>
  <c r="L26" i="6"/>
  <c r="I23" i="6"/>
  <c r="E20" i="6"/>
  <c r="B17" i="6"/>
  <c r="I13" i="6"/>
  <c r="J10" i="6"/>
  <c r="G7" i="6"/>
  <c r="K86" i="6"/>
  <c r="U11" i="6" a="1"/>
  <c r="U11" i="6" s="1"/>
  <c r="S24" i="6" a="1"/>
  <c r="S24" i="6" s="1"/>
  <c r="Q109" i="6" a="1"/>
  <c r="Q109" i="6" s="1"/>
  <c r="O159" i="6" a="1"/>
  <c r="O159" i="6" s="1"/>
  <c r="M204" i="6" a="1"/>
  <c r="M204" i="6" s="1"/>
  <c r="F289" i="6"/>
  <c r="E271" i="6"/>
  <c r="D256" i="6"/>
  <c r="E241" i="6"/>
  <c r="J229" i="6"/>
  <c r="F218" i="6"/>
  <c r="B208" i="6"/>
  <c r="K198" i="6"/>
  <c r="H190" i="6"/>
  <c r="L181" i="6"/>
  <c r="L174" i="6"/>
  <c r="L168" i="6"/>
  <c r="F162" i="6"/>
  <c r="J156" i="6"/>
  <c r="B151" i="6"/>
  <c r="E145" i="6"/>
  <c r="B140" i="6"/>
  <c r="J133" i="6"/>
  <c r="J128" i="6"/>
  <c r="H122" i="6"/>
  <c r="I117" i="6"/>
  <c r="I112" i="6"/>
  <c r="B108" i="6"/>
  <c r="C103" i="6"/>
  <c r="J98" i="6"/>
  <c r="E93" i="6"/>
  <c r="B89" i="6"/>
  <c r="J83" i="6"/>
  <c r="C79" i="6"/>
  <c r="B74" i="6"/>
  <c r="G69" i="6"/>
  <c r="F65" i="6"/>
  <c r="B61" i="6"/>
  <c r="L56" i="6"/>
  <c r="J52" i="6"/>
  <c r="F48" i="6"/>
  <c r="B44" i="6"/>
  <c r="H40" i="6"/>
  <c r="C37" i="6"/>
  <c r="F33" i="6"/>
  <c r="D30" i="6"/>
  <c r="K26" i="6"/>
  <c r="H23" i="6"/>
  <c r="C20" i="6"/>
  <c r="L16" i="6"/>
  <c r="H13" i="6"/>
  <c r="I10" i="6"/>
  <c r="F7" i="6"/>
  <c r="B173" i="6"/>
  <c r="O7" i="6" a="1"/>
  <c r="O7" i="6" s="1"/>
  <c r="S17" i="6" a="1"/>
  <c r="S17" i="6" s="1"/>
  <c r="Q100" i="6" a="1"/>
  <c r="Q100" i="6" s="1"/>
  <c r="O155" i="6" a="1"/>
  <c r="O155" i="6" s="1"/>
  <c r="M196" i="6" a="1"/>
  <c r="M196" i="6" s="1"/>
  <c r="E289" i="6"/>
  <c r="C271" i="6"/>
  <c r="C255" i="6"/>
  <c r="C241" i="6"/>
  <c r="G229" i="6"/>
  <c r="C218" i="6"/>
  <c r="L207" i="6"/>
  <c r="J198" i="6"/>
  <c r="G190" i="6"/>
  <c r="K181" i="6"/>
  <c r="G174" i="6"/>
  <c r="K167" i="6"/>
  <c r="D162" i="6"/>
  <c r="C156" i="6"/>
  <c r="L150" i="6"/>
  <c r="B145" i="6"/>
  <c r="G139" i="6"/>
  <c r="E133" i="6"/>
  <c r="F128" i="6"/>
  <c r="G122" i="6"/>
  <c r="H117" i="6"/>
  <c r="F112" i="6"/>
  <c r="I107" i="6"/>
  <c r="L102" i="6"/>
  <c r="I98" i="6"/>
  <c r="D93" i="6"/>
  <c r="J88" i="6"/>
  <c r="E83" i="6"/>
  <c r="B79" i="6"/>
  <c r="L73" i="6"/>
  <c r="F69" i="6"/>
  <c r="D65" i="6"/>
  <c r="J60" i="6"/>
  <c r="K56" i="6"/>
  <c r="I52" i="6"/>
  <c r="D48" i="6"/>
  <c r="J43" i="6"/>
  <c r="G40" i="6"/>
  <c r="B37" i="6"/>
  <c r="D33" i="6"/>
  <c r="C30" i="6"/>
  <c r="I26" i="6"/>
  <c r="E23" i="6"/>
  <c r="B20" i="6"/>
  <c r="K16" i="6"/>
  <c r="F13" i="6"/>
  <c r="H10" i="6"/>
  <c r="C7" i="6"/>
  <c r="I110" i="6"/>
  <c r="W288" i="6" a="1"/>
  <c r="W288" i="6" s="1"/>
  <c r="Q48" i="6" a="1"/>
  <c r="Q48" i="6" s="1"/>
  <c r="O101" i="6" a="1"/>
  <c r="O101" i="6" s="1"/>
  <c r="M185" i="6" a="1"/>
  <c r="M185" i="6" s="1"/>
  <c r="L288" i="6"/>
  <c r="G270" i="6"/>
  <c r="K254" i="6"/>
  <c r="J240" i="6"/>
  <c r="F229" i="6"/>
  <c r="H217" i="6"/>
  <c r="J207" i="6"/>
  <c r="I198" i="6"/>
  <c r="F190" i="6"/>
  <c r="J181" i="6"/>
  <c r="L173" i="6"/>
  <c r="J167" i="6"/>
  <c r="C162" i="6"/>
  <c r="K155" i="6"/>
  <c r="H150" i="6"/>
  <c r="J144" i="6"/>
  <c r="E139" i="6"/>
  <c r="D133" i="6"/>
  <c r="D128" i="6"/>
  <c r="F122" i="6"/>
  <c r="E117" i="6"/>
  <c r="D112" i="6"/>
  <c r="H107" i="6"/>
  <c r="F102" i="6"/>
  <c r="H97" i="6"/>
  <c r="L92" i="6"/>
  <c r="I88" i="6"/>
  <c r="D83" i="6"/>
  <c r="L78" i="6"/>
  <c r="J73" i="6"/>
  <c r="E69" i="6"/>
  <c r="B65" i="6"/>
  <c r="G60" i="6"/>
  <c r="H56" i="6"/>
  <c r="H52" i="6"/>
  <c r="C48" i="6"/>
  <c r="I43" i="6"/>
  <c r="E40" i="6"/>
  <c r="J36" i="6"/>
  <c r="B33" i="6"/>
  <c r="B30" i="6"/>
  <c r="H26" i="6"/>
  <c r="D23" i="6"/>
  <c r="J19" i="6"/>
  <c r="J16" i="6"/>
  <c r="E13" i="6"/>
  <c r="F10" i="6"/>
  <c r="B7" i="6"/>
  <c r="K105" i="6"/>
  <c r="W281" i="6" a="1"/>
  <c r="W281" i="6" s="1"/>
  <c r="Q31" i="6" a="1"/>
  <c r="Q31" i="6" s="1"/>
  <c r="O95" i="6" a="1"/>
  <c r="O95" i="6" s="1"/>
  <c r="M175" i="6" a="1"/>
  <c r="M175" i="6" s="1"/>
  <c r="J288" i="6"/>
  <c r="E270" i="6"/>
  <c r="J254" i="6"/>
  <c r="I240" i="6"/>
  <c r="K228" i="6"/>
  <c r="D217" i="6"/>
  <c r="I207" i="6"/>
  <c r="H198" i="6"/>
  <c r="C190" i="6"/>
  <c r="I181" i="6"/>
  <c r="K173" i="6"/>
  <c r="E167" i="6"/>
  <c r="B162" i="6"/>
  <c r="I155" i="6"/>
  <c r="G150" i="6"/>
  <c r="B144" i="6"/>
  <c r="K138" i="6"/>
  <c r="C133" i="6"/>
  <c r="G127" i="6"/>
  <c r="D122" i="6"/>
  <c r="L116" i="6"/>
  <c r="C112" i="6"/>
  <c r="C107" i="6"/>
  <c r="C102" i="6"/>
  <c r="G97" i="6"/>
  <c r="K92" i="6"/>
  <c r="L87" i="6"/>
  <c r="B83" i="6"/>
  <c r="J78" i="6"/>
  <c r="I73" i="6"/>
  <c r="D69" i="6"/>
  <c r="H64" i="6"/>
  <c r="B60" i="6"/>
  <c r="D56" i="6"/>
  <c r="F52" i="6"/>
  <c r="J47" i="6"/>
  <c r="H43" i="6"/>
  <c r="D40" i="6"/>
  <c r="I36" i="6"/>
  <c r="L32" i="6"/>
  <c r="J29" i="6"/>
  <c r="F26" i="6"/>
  <c r="L22" i="6"/>
  <c r="H19" i="6"/>
  <c r="I16" i="6"/>
  <c r="D13" i="6"/>
  <c r="E10" i="6"/>
  <c r="K6" i="6"/>
  <c r="L120" i="6"/>
  <c r="W280" i="6" a="1"/>
  <c r="W280" i="6" s="1"/>
  <c r="Q14" i="6" a="1"/>
  <c r="Q14" i="6" s="1"/>
  <c r="O92" i="6" a="1"/>
  <c r="O92" i="6" s="1"/>
  <c r="M174" i="6" a="1"/>
  <c r="M174" i="6" s="1"/>
  <c r="E288" i="6"/>
  <c r="D270" i="6"/>
  <c r="I254" i="6"/>
  <c r="H240" i="6"/>
  <c r="G228" i="6"/>
  <c r="C217" i="6"/>
  <c r="F207" i="6"/>
  <c r="C198" i="6"/>
  <c r="K189" i="6"/>
  <c r="H181" i="6"/>
  <c r="H173" i="6"/>
  <c r="B167" i="6"/>
  <c r="H161" i="6"/>
  <c r="H155" i="6"/>
  <c r="F150" i="6"/>
  <c r="K143" i="6"/>
  <c r="J138" i="6"/>
  <c r="B133" i="6"/>
  <c r="L126" i="6"/>
  <c r="C122" i="6"/>
  <c r="K116" i="6"/>
  <c r="B112" i="6"/>
  <c r="L106" i="6"/>
  <c r="B102" i="6"/>
  <c r="C97" i="6"/>
  <c r="G92" i="6"/>
  <c r="I87" i="6"/>
  <c r="L82" i="6"/>
  <c r="C78" i="6"/>
  <c r="G73" i="6"/>
  <c r="C69" i="6"/>
  <c r="D64" i="6"/>
  <c r="L59" i="6"/>
  <c r="B56" i="6"/>
  <c r="B52" i="6"/>
  <c r="G47" i="6"/>
  <c r="F43" i="6"/>
  <c r="C40" i="6"/>
  <c r="H36" i="6"/>
  <c r="K32" i="6"/>
  <c r="G29" i="6"/>
  <c r="E26" i="6"/>
  <c r="K22" i="6"/>
  <c r="G19" i="6"/>
  <c r="F16" i="6"/>
  <c r="C13" i="6"/>
  <c r="C10" i="6"/>
  <c r="J6" i="6"/>
  <c r="D239" i="6"/>
  <c r="D138" i="6"/>
  <c r="J126" i="6"/>
  <c r="I116" i="6"/>
  <c r="F106" i="6"/>
  <c r="L101" i="6"/>
  <c r="B97" i="6"/>
  <c r="F92" i="6"/>
  <c r="F87" i="6"/>
  <c r="B78" i="6"/>
  <c r="F73" i="6"/>
  <c r="K68" i="6"/>
  <c r="C64" i="6"/>
  <c r="K59" i="6"/>
  <c r="I55" i="6"/>
  <c r="C47" i="6"/>
  <c r="E43" i="6"/>
  <c r="I39" i="6"/>
  <c r="D36" i="6"/>
  <c r="J32" i="6"/>
  <c r="F29" i="6"/>
  <c r="B26" i="6"/>
  <c r="F19" i="6"/>
  <c r="E16" i="6"/>
  <c r="L12" i="6"/>
  <c r="I9" i="6"/>
  <c r="I6" i="6"/>
  <c r="F214" i="6"/>
  <c r="E9" i="6"/>
  <c r="U240" i="6" a="1"/>
  <c r="U240" i="6" s="1"/>
  <c r="K263" i="6"/>
  <c r="J213" i="6"/>
  <c r="E179" i="6"/>
  <c r="W251" i="6" a="1"/>
  <c r="W251" i="6" s="1"/>
  <c r="O79" i="6" a="1"/>
  <c r="O79" i="6" s="1"/>
  <c r="M138" i="6" a="1"/>
  <c r="M138" i="6" s="1"/>
  <c r="G285" i="6"/>
  <c r="G268" i="6"/>
  <c r="C253" i="6"/>
  <c r="F227" i="6"/>
  <c r="G216" i="6"/>
  <c r="I206" i="6"/>
  <c r="I197" i="6"/>
  <c r="E189" i="6"/>
  <c r="L180" i="6"/>
  <c r="E173" i="6"/>
  <c r="K166" i="6"/>
  <c r="E161" i="6"/>
  <c r="D155" i="6"/>
  <c r="L149" i="6"/>
  <c r="J143" i="6"/>
  <c r="L132" i="6"/>
  <c r="B122" i="6"/>
  <c r="J111" i="6"/>
  <c r="J82" i="6"/>
  <c r="F51" i="6"/>
  <c r="I22" i="6"/>
  <c r="K91" i="6"/>
  <c r="W223" i="6" a="1"/>
  <c r="W223" i="6" s="1"/>
  <c r="O38" i="6" a="1"/>
  <c r="O38" i="6" s="1"/>
  <c r="M120" i="6" a="1"/>
  <c r="M120" i="6" s="1"/>
  <c r="F285" i="6"/>
  <c r="C268" i="6"/>
  <c r="B253" i="6"/>
  <c r="I238" i="6"/>
  <c r="E227" i="6"/>
  <c r="F216" i="6"/>
  <c r="H206" i="6"/>
  <c r="H197" i="6"/>
  <c r="J188" i="6"/>
  <c r="F180" i="6"/>
  <c r="D173" i="6"/>
  <c r="G166" i="6"/>
  <c r="L160" i="6"/>
  <c r="C155" i="6"/>
  <c r="K149" i="6"/>
  <c r="I143" i="6"/>
  <c r="K137" i="6"/>
  <c r="I132" i="6"/>
  <c r="I126" i="6"/>
  <c r="L121" i="6"/>
  <c r="F116" i="6"/>
  <c r="I111" i="6"/>
  <c r="C106" i="6"/>
  <c r="J101" i="6"/>
  <c r="K96" i="6"/>
  <c r="D92" i="6"/>
  <c r="E87" i="6"/>
  <c r="I82" i="6"/>
  <c r="J77" i="6"/>
  <c r="E73" i="6"/>
  <c r="G68" i="6"/>
  <c r="L63" i="6"/>
  <c r="J59" i="6"/>
  <c r="H55" i="6"/>
  <c r="E51" i="6"/>
  <c r="L46" i="6"/>
  <c r="D43" i="6"/>
  <c r="H39" i="6"/>
  <c r="C36" i="6"/>
  <c r="I32" i="6"/>
  <c r="D29" i="6"/>
  <c r="J25" i="6"/>
  <c r="H22" i="6"/>
  <c r="E19" i="6"/>
  <c r="C16" i="6"/>
  <c r="K12" i="6"/>
  <c r="H9" i="6"/>
  <c r="H6" i="6"/>
  <c r="W202" i="6" a="1"/>
  <c r="W202" i="6" s="1"/>
  <c r="M108" i="6" a="1"/>
  <c r="M108" i="6" s="1"/>
  <c r="J281" i="6"/>
  <c r="E250" i="6"/>
  <c r="F237" i="6"/>
  <c r="H204" i="6"/>
  <c r="I195" i="6"/>
  <c r="G179" i="6"/>
  <c r="I165" i="6"/>
  <c r="G148" i="6"/>
  <c r="F126" i="6"/>
  <c r="H96" i="6"/>
  <c r="G82" i="6"/>
  <c r="H72" i="6"/>
  <c r="I63" i="6"/>
  <c r="E55" i="6"/>
  <c r="J46" i="6"/>
  <c r="D39" i="6"/>
  <c r="G32" i="6"/>
  <c r="H25" i="6"/>
  <c r="C19" i="6"/>
  <c r="H12" i="6"/>
  <c r="W207" i="6" a="1"/>
  <c r="W207" i="6" s="1"/>
  <c r="U263" i="6" a="1"/>
  <c r="U263" i="6" s="1"/>
  <c r="O37" i="6" a="1"/>
  <c r="O37" i="6" s="1"/>
  <c r="M117" i="6" a="1"/>
  <c r="M117" i="6" s="1"/>
  <c r="D284" i="6"/>
  <c r="G266" i="6"/>
  <c r="E252" i="6"/>
  <c r="E238" i="6"/>
  <c r="L225" i="6"/>
  <c r="H215" i="6"/>
  <c r="L205" i="6"/>
  <c r="G196" i="6"/>
  <c r="C188" i="6"/>
  <c r="J179" i="6"/>
  <c r="C173" i="6"/>
  <c r="K165" i="6"/>
  <c r="G160" i="6"/>
  <c r="B155" i="6"/>
  <c r="K148" i="6"/>
  <c r="H143" i="6"/>
  <c r="I137" i="6"/>
  <c r="H132" i="6"/>
  <c r="G126" i="6"/>
  <c r="D121" i="6"/>
  <c r="B116" i="6"/>
  <c r="G111" i="6"/>
  <c r="B106" i="6"/>
  <c r="I101" i="6"/>
  <c r="I96" i="6"/>
  <c r="C92" i="6"/>
  <c r="D87" i="6"/>
  <c r="H82" i="6"/>
  <c r="I77" i="6"/>
  <c r="K72" i="6"/>
  <c r="F68" i="6"/>
  <c r="K63" i="6"/>
  <c r="I59" i="6"/>
  <c r="G55" i="6"/>
  <c r="C51" i="6"/>
  <c r="K46" i="6"/>
  <c r="C43" i="6"/>
  <c r="E39" i="6"/>
  <c r="I35" i="6"/>
  <c r="H32" i="6"/>
  <c r="B29" i="6"/>
  <c r="I25" i="6"/>
  <c r="E22" i="6"/>
  <c r="D19" i="6"/>
  <c r="B16" i="6"/>
  <c r="I12" i="6"/>
  <c r="F9" i="6"/>
  <c r="G6" i="6"/>
  <c r="U241" i="6" a="1"/>
  <c r="U241" i="6" s="1"/>
  <c r="O14" i="6" a="1"/>
  <c r="O14" i="6" s="1"/>
  <c r="D265" i="6"/>
  <c r="E225" i="6"/>
  <c r="H187" i="6"/>
  <c r="F160" i="6"/>
  <c r="F137" i="6"/>
  <c r="H101" i="6"/>
  <c r="H77" i="6"/>
  <c r="H59" i="6"/>
  <c r="L50" i="6"/>
  <c r="B43" i="6"/>
  <c r="H35" i="6"/>
  <c r="K28" i="6"/>
  <c r="D22" i="6"/>
  <c r="W173" i="6" a="1"/>
  <c r="W173" i="6" s="1"/>
  <c r="U208" i="6" a="1"/>
  <c r="U208" i="6" s="1"/>
  <c r="S246" i="6" a="1"/>
  <c r="S246" i="6" s="1"/>
  <c r="Q290" i="6" a="1"/>
  <c r="Q290" i="6" s="1"/>
  <c r="M56" i="6" a="1"/>
  <c r="M56" i="6" s="1"/>
  <c r="L280" i="6"/>
  <c r="F263" i="6"/>
  <c r="G249" i="6"/>
  <c r="B236" i="6"/>
  <c r="G223" i="6"/>
  <c r="H213" i="6"/>
  <c r="L203" i="6"/>
  <c r="D195" i="6"/>
  <c r="L186" i="6"/>
  <c r="G178" i="6"/>
  <c r="H172" i="6"/>
  <c r="G165" i="6"/>
  <c r="J159" i="6"/>
  <c r="D154" i="6"/>
  <c r="C148" i="6"/>
  <c r="E143" i="6"/>
  <c r="L136" i="6"/>
  <c r="F131" i="6"/>
  <c r="B126" i="6"/>
  <c r="D120" i="6"/>
  <c r="H115" i="6"/>
  <c r="D110" i="6"/>
  <c r="I105" i="6"/>
  <c r="L100" i="6"/>
  <c r="B96" i="6"/>
  <c r="E91" i="6"/>
  <c r="F86" i="6"/>
  <c r="D82" i="6"/>
  <c r="J76" i="6"/>
  <c r="D72" i="6"/>
  <c r="H67" i="6"/>
  <c r="E63" i="6"/>
  <c r="F59" i="6"/>
  <c r="L54" i="6"/>
  <c r="I50" i="6"/>
  <c r="G46" i="6"/>
  <c r="G42" i="6"/>
  <c r="L38" i="6"/>
  <c r="E35" i="6"/>
  <c r="E32" i="6"/>
  <c r="G28" i="6"/>
  <c r="F25" i="6"/>
  <c r="B22" i="6"/>
  <c r="L18" i="6"/>
  <c r="F15" i="6"/>
  <c r="F12" i="6"/>
  <c r="B9" i="6"/>
  <c r="C6" i="6"/>
  <c r="W39" i="6" a="1"/>
  <c r="W39" i="6" s="1"/>
  <c r="U161" i="6" a="1"/>
  <c r="U161" i="6" s="1"/>
  <c r="S171" i="6" a="1"/>
  <c r="S171" i="6" s="1"/>
  <c r="Q194" i="6" a="1"/>
  <c r="Q194" i="6" s="1"/>
  <c r="O255" i="6" a="1"/>
  <c r="O255" i="6" s="1"/>
  <c r="M15" i="6" a="1"/>
  <c r="M15" i="6" s="1"/>
  <c r="B279" i="6"/>
  <c r="F262" i="6"/>
  <c r="K246" i="6"/>
  <c r="L233" i="6"/>
  <c r="K222" i="6"/>
  <c r="I212" i="6"/>
  <c r="G202" i="6"/>
  <c r="C194" i="6"/>
  <c r="G185" i="6"/>
  <c r="H177" i="6"/>
  <c r="F170" i="6"/>
  <c r="F164" i="6"/>
  <c r="C158" i="6"/>
  <c r="L152" i="6"/>
  <c r="F147" i="6"/>
  <c r="C141" i="6"/>
  <c r="C136" i="6"/>
  <c r="H129" i="6"/>
  <c r="I124" i="6"/>
  <c r="G119" i="6"/>
  <c r="G114" i="6"/>
  <c r="C109" i="6"/>
  <c r="L104" i="6"/>
  <c r="G99" i="6"/>
  <c r="C95" i="6"/>
  <c r="C90" i="6"/>
  <c r="F85" i="6"/>
  <c r="H80" i="6"/>
  <c r="B76" i="6"/>
  <c r="L70" i="6"/>
  <c r="G66" i="6"/>
  <c r="F62" i="6"/>
  <c r="K57" i="6"/>
  <c r="I53" i="6"/>
  <c r="J49" i="6"/>
  <c r="H45" i="6"/>
  <c r="G41" i="6"/>
  <c r="C38" i="6"/>
  <c r="K34" i="6"/>
  <c r="B31" i="6"/>
  <c r="J27" i="6"/>
  <c r="G24" i="6"/>
  <c r="F21" i="6"/>
  <c r="I17" i="6"/>
  <c r="J14" i="6"/>
  <c r="F11" i="6"/>
  <c r="G8" i="6"/>
  <c r="U190" i="6" a="1"/>
  <c r="U190" i="6" s="1"/>
  <c r="Q285" i="6" a="1"/>
  <c r="Q285" i="6" s="1"/>
  <c r="M64" i="6" a="1"/>
  <c r="M64" i="6" s="1"/>
  <c r="E234" i="6"/>
  <c r="B178" i="6"/>
  <c r="D153" i="6"/>
  <c r="L125" i="6"/>
  <c r="E105" i="6"/>
  <c r="F82" i="6"/>
  <c r="L62" i="6"/>
  <c r="J45" i="6"/>
  <c r="F28" i="6"/>
  <c r="L14" i="6"/>
  <c r="K177" i="6"/>
  <c r="F125" i="6"/>
  <c r="B81" i="6"/>
  <c r="F42" i="6"/>
  <c r="Q196" i="6" a="1"/>
  <c r="Q196" i="6" s="1"/>
  <c r="B223" i="6"/>
  <c r="K147" i="6"/>
  <c r="J80" i="6"/>
  <c r="C28" i="6"/>
  <c r="M38" i="6" a="1"/>
  <c r="M38" i="6" s="1"/>
  <c r="G120" i="6"/>
  <c r="E59" i="6"/>
  <c r="G25" i="6"/>
  <c r="K170" i="6"/>
  <c r="C120" i="6"/>
  <c r="K76" i="6"/>
  <c r="B25" i="6"/>
  <c r="J11" i="6"/>
  <c r="J21" i="6"/>
  <c r="K262" i="6"/>
  <c r="C137" i="6"/>
  <c r="D95" i="6"/>
  <c r="I21" i="6"/>
  <c r="O290" i="6" a="1"/>
  <c r="O290" i="6" s="1"/>
  <c r="E159" i="6"/>
  <c r="H90" i="6"/>
  <c r="I67" i="6"/>
  <c r="U184" i="6" a="1"/>
  <c r="U184" i="6" s="1"/>
  <c r="Q247" i="6" a="1"/>
  <c r="Q247" i="6" s="1"/>
  <c r="M54" i="6" a="1"/>
  <c r="M54" i="6" s="1"/>
  <c r="D223" i="6"/>
  <c r="L177" i="6"/>
  <c r="D148" i="6"/>
  <c r="I125" i="6"/>
  <c r="D105" i="6"/>
  <c r="F81" i="6"/>
  <c r="H62" i="6"/>
  <c r="J42" i="6"/>
  <c r="E28" i="6"/>
  <c r="K14" i="6"/>
  <c r="Q207" i="6" a="1"/>
  <c r="Q207" i="6" s="1"/>
  <c r="C223" i="6"/>
  <c r="L147" i="6"/>
  <c r="G62" i="6"/>
  <c r="D28" i="6"/>
  <c r="I100" i="6"/>
  <c r="B42" i="6"/>
  <c r="C171" i="6"/>
  <c r="C100" i="6"/>
  <c r="D59" i="6"/>
  <c r="G203" i="6"/>
  <c r="D115" i="6"/>
  <c r="C72" i="6"/>
  <c r="H8" i="6"/>
  <c r="L114" i="6"/>
  <c r="M53" i="6" a="1"/>
  <c r="M53" i="6" s="1"/>
  <c r="B101" i="6"/>
  <c r="G12" i="6"/>
  <c r="M39" i="6" a="1"/>
  <c r="M39" i="6" s="1"/>
  <c r="I172" i="6"/>
  <c r="D125" i="6"/>
  <c r="G59" i="6"/>
  <c r="E12" i="6"/>
  <c r="L222" i="6"/>
  <c r="I147" i="6"/>
  <c r="I80" i="6"/>
  <c r="J41" i="6"/>
  <c r="B12" i="6"/>
  <c r="D213" i="6"/>
  <c r="H147" i="6"/>
  <c r="B100" i="6"/>
  <c r="I41" i="6"/>
  <c r="I8" i="6"/>
  <c r="S194" i="6" a="1"/>
  <c r="S194" i="6" s="1"/>
  <c r="B165" i="6"/>
  <c r="F35" i="6"/>
  <c r="I71" i="6"/>
  <c r="D6" i="6"/>
  <c r="D136" i="6"/>
  <c r="L34" i="6"/>
  <c r="J91" i="6"/>
  <c r="C110" i="6"/>
  <c r="C213" i="6"/>
  <c r="I170" i="6"/>
  <c r="F143" i="6"/>
  <c r="K119" i="6"/>
  <c r="J99" i="6"/>
  <c r="G76" i="6"/>
  <c r="F58" i="6"/>
  <c r="C39" i="6"/>
  <c r="K24" i="6"/>
  <c r="G11" i="6"/>
  <c r="J24" i="6"/>
  <c r="I24" i="6"/>
  <c r="W98" i="6" a="1"/>
  <c r="W98" i="6" s="1"/>
  <c r="E279" i="6"/>
  <c r="H203" i="6"/>
  <c r="C165" i="6"/>
  <c r="F141" i="6"/>
  <c r="E115" i="6"/>
  <c r="H95" i="6"/>
  <c r="G72" i="6"/>
  <c r="I54" i="6"/>
  <c r="W74" i="6" a="1"/>
  <c r="W74" i="6" s="1"/>
  <c r="B54" i="6"/>
  <c r="S187" i="6" a="1"/>
  <c r="S187" i="6" s="1"/>
  <c r="I280" i="6"/>
  <c r="L212" i="6"/>
  <c r="H170" i="6"/>
  <c r="I142" i="6"/>
  <c r="J119" i="6"/>
  <c r="F96" i="6"/>
  <c r="F76" i="6"/>
  <c r="D58" i="6"/>
  <c r="K38" i="6"/>
  <c r="D9" i="6"/>
  <c r="S228" i="6" a="1"/>
  <c r="S228" i="6" s="1"/>
  <c r="C203" i="6"/>
  <c r="E249" i="6"/>
  <c r="W132" i="6" a="1"/>
  <c r="W132" i="6" s="1"/>
  <c r="F280" i="6"/>
  <c r="J212" i="6"/>
  <c r="H165" i="6"/>
  <c r="C142" i="6"/>
  <c r="H119" i="6"/>
  <c r="L95" i="6"/>
  <c r="D76" i="6"/>
  <c r="D55" i="6"/>
  <c r="I38" i="6"/>
  <c r="K8" i="6"/>
  <c r="E38" i="6"/>
  <c r="J262" i="6"/>
  <c r="I194" i="6"/>
  <c r="W119" i="6" a="1"/>
  <c r="W119" i="6" s="1"/>
  <c r="F279" i="6"/>
  <c r="I203" i="6"/>
  <c r="D165" i="6"/>
  <c r="I141" i="6"/>
  <c r="I115" i="6"/>
  <c r="K95" i="6"/>
  <c r="C76" i="6"/>
  <c r="J54" i="6"/>
  <c r="F38" i="6"/>
  <c r="C22" i="6"/>
  <c r="J8" i="6"/>
  <c r="L164" i="6"/>
  <c r="S172" i="6" a="1"/>
  <c r="S172" i="6" s="1"/>
  <c r="O288" i="6" a="1"/>
  <c r="O288" i="6" s="1"/>
  <c r="H262" i="6"/>
  <c r="B195" i="6"/>
  <c r="L159" i="6"/>
  <c r="G136" i="6"/>
  <c r="K114" i="6"/>
  <c r="B91" i="6"/>
  <c r="G71" i="6"/>
  <c r="K50" i="6"/>
  <c r="C35" i="6"/>
  <c r="G21" i="6"/>
  <c r="B6" i="6"/>
  <c r="G262" i="6"/>
  <c r="L194" i="6"/>
  <c r="H159" i="6"/>
  <c r="F136" i="6"/>
  <c r="H110" i="6"/>
  <c r="I90" i="6"/>
  <c r="D71" i="6"/>
  <c r="F50" i="6"/>
  <c r="B35" i="6"/>
  <c r="B19" i="6"/>
  <c r="K18" i="6"/>
  <c r="B15" i="6"/>
  <c r="H28" i="6"/>
  <c r="B46" i="6"/>
  <c r="B63" i="6"/>
  <c r="H85" i="6"/>
  <c r="F105" i="6"/>
  <c r="D126" i="6"/>
  <c r="E153" i="6"/>
  <c r="F178" i="6"/>
  <c r="H234" i="6"/>
  <c r="U192" i="6" a="1"/>
  <c r="U192" i="6" s="1"/>
  <c r="H21" i="6"/>
  <c r="D35" i="6"/>
  <c r="J136" i="6"/>
  <c r="C15" i="6"/>
  <c r="D31" i="6"/>
  <c r="C46" i="6"/>
  <c r="F63" i="6"/>
  <c r="L85" i="6"/>
  <c r="H105" i="6"/>
  <c r="C130" i="6"/>
  <c r="L153" i="6"/>
  <c r="I185" i="6"/>
  <c r="D235" i="6"/>
  <c r="U193" i="6" a="1"/>
  <c r="U193" i="6" s="1"/>
  <c r="G15" i="6"/>
  <c r="H31" i="6"/>
  <c r="F46" i="6"/>
  <c r="H66" i="6"/>
  <c r="B86" i="6"/>
  <c r="J105" i="6"/>
  <c r="D130" i="6"/>
  <c r="C154" i="6"/>
  <c r="K185" i="6"/>
  <c r="H235" i="6"/>
  <c r="D18" i="6"/>
  <c r="I31" i="6"/>
  <c r="H46" i="6"/>
  <c r="I66" i="6"/>
  <c r="C86" i="6"/>
  <c r="F109" i="6"/>
  <c r="K130" i="6"/>
  <c r="I154" i="6"/>
  <c r="L185" i="6"/>
  <c r="F248" i="6"/>
  <c r="D50" i="6"/>
  <c r="E18" i="6"/>
  <c r="D32" i="6"/>
  <c r="K49" i="6"/>
  <c r="B67" i="6"/>
  <c r="J86" i="6"/>
  <c r="K109" i="6"/>
  <c r="B131" i="6"/>
  <c r="H158" i="6"/>
  <c r="J186" i="6"/>
  <c r="H248" i="6"/>
  <c r="L53" i="6"/>
  <c r="H18" i="6"/>
  <c r="F32" i="6"/>
  <c r="L49" i="6"/>
  <c r="C67" i="6"/>
  <c r="F90" i="6"/>
  <c r="B110" i="6"/>
  <c r="G131" i="6"/>
  <c r="J158" i="6"/>
  <c r="H194" i="6"/>
  <c r="K248" i="6"/>
  <c r="A5" i="6"/>
  <c r="W282" i="6" a="1"/>
  <c r="W282" i="6" s="1"/>
  <c r="W260" i="6" a="1"/>
  <c r="W260" i="6" s="1"/>
  <c r="W238" i="6" a="1"/>
  <c r="W238" i="6" s="1"/>
  <c r="W216" i="6" a="1"/>
  <c r="W216" i="6" s="1"/>
  <c r="W194" i="6" a="1"/>
  <c r="W194" i="6" s="1"/>
  <c r="W172" i="6" a="1"/>
  <c r="W172" i="6" s="1"/>
  <c r="W150" i="6" a="1"/>
  <c r="W150" i="6" s="1"/>
  <c r="W128" i="6" a="1"/>
  <c r="W128" i="6" s="1"/>
  <c r="W106" i="6" a="1"/>
  <c r="W106" i="6" s="1"/>
  <c r="W84" i="6" a="1"/>
  <c r="W84" i="6" s="1"/>
  <c r="W62" i="6" a="1"/>
  <c r="W62" i="6" s="1"/>
  <c r="W40" i="6" a="1"/>
  <c r="W40" i="6" s="1"/>
  <c r="W18" i="6" a="1"/>
  <c r="W18" i="6" s="1"/>
  <c r="U295" i="6" a="1"/>
  <c r="U295" i="6" s="1"/>
  <c r="U273" i="6" a="1"/>
  <c r="U273" i="6" s="1"/>
  <c r="U251" i="6" a="1"/>
  <c r="U251" i="6" s="1"/>
  <c r="U229" i="6" a="1"/>
  <c r="U229" i="6" s="1"/>
  <c r="U207" i="6" a="1"/>
  <c r="U207" i="6" s="1"/>
  <c r="U185" i="6" a="1"/>
  <c r="U185" i="6" s="1"/>
  <c r="U163" i="6" a="1"/>
  <c r="U163" i="6" s="1"/>
  <c r="U141" i="6" a="1"/>
  <c r="U141" i="6" s="1"/>
  <c r="U119" i="6" a="1"/>
  <c r="U119" i="6" s="1"/>
  <c r="U97" i="6" a="1"/>
  <c r="U97" i="6" s="1"/>
  <c r="U75" i="6" a="1"/>
  <c r="U75" i="6" s="1"/>
  <c r="U53" i="6" a="1"/>
  <c r="U53" i="6" s="1"/>
  <c r="U31" i="6" a="1"/>
  <c r="U31" i="6" s="1"/>
  <c r="U9" i="6" a="1"/>
  <c r="U9" i="6" s="1"/>
  <c r="S287" i="6" a="1"/>
  <c r="S287" i="6" s="1"/>
  <c r="S267" i="6" a="1"/>
  <c r="S267" i="6" s="1"/>
  <c r="S247" i="6" a="1"/>
  <c r="S247" i="6" s="1"/>
  <c r="S227" i="6" a="1"/>
  <c r="S227" i="6" s="1"/>
  <c r="S186" i="6" a="1"/>
  <c r="S186" i="6" s="1"/>
  <c r="S166" i="6" a="1"/>
  <c r="S166" i="6" s="1"/>
  <c r="S146" i="6" a="1"/>
  <c r="S146" i="6" s="1"/>
  <c r="S126" i="6" a="1"/>
  <c r="S126" i="6" s="1"/>
  <c r="S106" i="6" a="1"/>
  <c r="S106" i="6" s="1"/>
  <c r="S65" i="6" a="1"/>
  <c r="S65" i="6" s="1"/>
  <c r="S45" i="6" a="1"/>
  <c r="S45" i="6" s="1"/>
  <c r="S25" i="6" a="1"/>
  <c r="S25" i="6" s="1"/>
  <c r="Q284" i="6" a="1"/>
  <c r="Q284" i="6" s="1"/>
  <c r="Q264" i="6" a="1"/>
  <c r="Q264" i="6" s="1"/>
  <c r="Q243" i="6" a="1"/>
  <c r="Q243" i="6" s="1"/>
  <c r="Q223" i="6" a="1"/>
  <c r="Q223" i="6" s="1"/>
  <c r="Q203" i="6" a="1"/>
  <c r="Q203" i="6" s="1"/>
  <c r="W279" i="6" a="1"/>
  <c r="W279" i="6" s="1"/>
  <c r="W257" i="6" a="1"/>
  <c r="W257" i="6" s="1"/>
  <c r="W235" i="6" a="1"/>
  <c r="W235" i="6" s="1"/>
  <c r="W213" i="6" a="1"/>
  <c r="W213" i="6" s="1"/>
  <c r="W191" i="6" a="1"/>
  <c r="W191" i="6" s="1"/>
  <c r="W169" i="6" a="1"/>
  <c r="W169" i="6" s="1"/>
  <c r="W147" i="6" a="1"/>
  <c r="W147" i="6" s="1"/>
  <c r="W125" i="6" a="1"/>
  <c r="W125" i="6" s="1"/>
  <c r="W103" i="6" a="1"/>
  <c r="W103" i="6" s="1"/>
  <c r="W81" i="6" a="1"/>
  <c r="W81" i="6" s="1"/>
  <c r="W59" i="6" a="1"/>
  <c r="W59" i="6" s="1"/>
  <c r="W37" i="6" a="1"/>
  <c r="W37" i="6" s="1"/>
  <c r="W15" i="6" a="1"/>
  <c r="W15" i="6" s="1"/>
  <c r="U292" i="6" a="1"/>
  <c r="U292" i="6" s="1"/>
  <c r="U270" i="6" a="1"/>
  <c r="U270" i="6" s="1"/>
  <c r="U248" i="6" a="1"/>
  <c r="U248" i="6" s="1"/>
  <c r="U226" i="6" a="1"/>
  <c r="U226" i="6" s="1"/>
  <c r="U204" i="6" a="1"/>
  <c r="U204" i="6" s="1"/>
  <c r="U182" i="6" a="1"/>
  <c r="U182" i="6" s="1"/>
  <c r="U160" i="6" a="1"/>
  <c r="U160" i="6" s="1"/>
  <c r="U138" i="6" a="1"/>
  <c r="U138" i="6" s="1"/>
  <c r="U116" i="6" a="1"/>
  <c r="U116" i="6" s="1"/>
  <c r="U94" i="6" a="1"/>
  <c r="U94" i="6" s="1"/>
  <c r="U72" i="6" a="1"/>
  <c r="U72" i="6" s="1"/>
  <c r="U50" i="6" a="1"/>
  <c r="U50" i="6" s="1"/>
  <c r="U28" i="6" a="1"/>
  <c r="U28" i="6" s="1"/>
  <c r="U6" i="6" a="1"/>
  <c r="U6" i="6" s="1"/>
  <c r="S284" i="6" a="1"/>
  <c r="S284" i="6" s="1"/>
  <c r="S264" i="6" a="1"/>
  <c r="S264" i="6" s="1"/>
  <c r="S244" i="6" a="1"/>
  <c r="S244" i="6" s="1"/>
  <c r="S224" i="6" a="1"/>
  <c r="S224" i="6" s="1"/>
  <c r="S204" i="6" a="1"/>
  <c r="S204" i="6" s="1"/>
  <c r="S184" i="6" a="1"/>
  <c r="S184" i="6" s="1"/>
  <c r="S163" i="6" a="1"/>
  <c r="S163" i="6" s="1"/>
  <c r="S143" i="6" a="1"/>
  <c r="S143" i="6" s="1"/>
  <c r="S123" i="6" a="1"/>
  <c r="S123" i="6" s="1"/>
  <c r="S103" i="6" a="1"/>
  <c r="S103" i="6" s="1"/>
  <c r="S83" i="6" a="1"/>
  <c r="S83" i="6" s="1"/>
  <c r="S63" i="6" a="1"/>
  <c r="S63" i="6" s="1"/>
  <c r="S42" i="6" a="1"/>
  <c r="S42" i="6" s="1"/>
  <c r="S22" i="6" a="1"/>
  <c r="S22" i="6" s="1"/>
  <c r="Q281" i="6" a="1"/>
  <c r="Q281" i="6" s="1"/>
  <c r="Q261" i="6" a="1"/>
  <c r="Q261" i="6" s="1"/>
  <c r="Q241" i="6" a="1"/>
  <c r="Q241" i="6" s="1"/>
  <c r="Q200" i="6" a="1"/>
  <c r="Q200" i="6" s="1"/>
  <c r="Q180" i="6" a="1"/>
  <c r="Q180" i="6" s="1"/>
  <c r="Q160" i="6" a="1"/>
  <c r="Q160" i="6" s="1"/>
  <c r="Q140" i="6" a="1"/>
  <c r="Q140" i="6" s="1"/>
  <c r="Q120" i="6" a="1"/>
  <c r="Q120" i="6" s="1"/>
  <c r="Q79" i="6" a="1"/>
  <c r="Q79" i="6" s="1"/>
  <c r="Q59" i="6" a="1"/>
  <c r="Q59" i="6" s="1"/>
  <c r="Q39" i="6" a="1"/>
  <c r="Q39" i="6" s="1"/>
  <c r="Q19" i="6" a="1"/>
  <c r="Q19" i="6" s="1"/>
  <c r="O276" i="6" a="1"/>
  <c r="O276" i="6" s="1"/>
  <c r="O254" i="6" a="1"/>
  <c r="O254" i="6" s="1"/>
  <c r="O232" i="6" a="1"/>
  <c r="O232" i="6" s="1"/>
  <c r="O210" i="6" a="1"/>
  <c r="O210" i="6" s="1"/>
  <c r="O188" i="6" a="1"/>
  <c r="O188" i="6" s="1"/>
  <c r="O166" i="6" a="1"/>
  <c r="O166" i="6" s="1"/>
  <c r="O144" i="6" a="1"/>
  <c r="O144" i="6" s="1"/>
  <c r="O122" i="6" a="1"/>
  <c r="O122" i="6" s="1"/>
  <c r="O100" i="6" a="1"/>
  <c r="O100" i="6" s="1"/>
  <c r="O78" i="6" a="1"/>
  <c r="O78" i="6" s="1"/>
  <c r="O56" i="6" a="1"/>
  <c r="O56" i="6" s="1"/>
  <c r="O34" i="6" a="1"/>
  <c r="O34" i="6" s="1"/>
  <c r="O12" i="6" a="1"/>
  <c r="O12" i="6" s="1"/>
  <c r="M290" i="6" a="1"/>
  <c r="M290" i="6" s="1"/>
  <c r="M268" i="6" a="1"/>
  <c r="M268" i="6" s="1"/>
  <c r="M246" i="6" a="1"/>
  <c r="M246" i="6" s="1"/>
  <c r="M224" i="6" a="1"/>
  <c r="M224" i="6" s="1"/>
  <c r="M202" i="6" a="1"/>
  <c r="M202" i="6" s="1"/>
  <c r="M180" i="6" a="1"/>
  <c r="M180" i="6" s="1"/>
  <c r="M158" i="6" a="1"/>
  <c r="M158" i="6" s="1"/>
  <c r="M136" i="6" a="1"/>
  <c r="M136" i="6" s="1"/>
  <c r="M114" i="6" a="1"/>
  <c r="M114" i="6" s="1"/>
  <c r="M92" i="6" a="1"/>
  <c r="M92" i="6" s="1"/>
  <c r="M70" i="6" a="1"/>
  <c r="M70" i="6" s="1"/>
  <c r="M48" i="6" a="1"/>
  <c r="M48" i="6" s="1"/>
  <c r="M26" i="6" a="1"/>
  <c r="M26" i="6" s="1"/>
  <c r="F295" i="6"/>
  <c r="F293" i="6"/>
  <c r="F291" i="6"/>
  <c r="W278" i="6" a="1"/>
  <c r="W278" i="6" s="1"/>
  <c r="W256" i="6" a="1"/>
  <c r="W256" i="6" s="1"/>
  <c r="W234" i="6" a="1"/>
  <c r="W234" i="6" s="1"/>
  <c r="W212" i="6" a="1"/>
  <c r="W212" i="6" s="1"/>
  <c r="W190" i="6" a="1"/>
  <c r="W190" i="6" s="1"/>
  <c r="W168" i="6" a="1"/>
  <c r="W168" i="6" s="1"/>
  <c r="W146" i="6" a="1"/>
  <c r="W146" i="6" s="1"/>
  <c r="W124" i="6" a="1"/>
  <c r="W124" i="6" s="1"/>
  <c r="W102" i="6" a="1"/>
  <c r="W102" i="6" s="1"/>
  <c r="W80" i="6" a="1"/>
  <c r="W80" i="6" s="1"/>
  <c r="W58" i="6" a="1"/>
  <c r="W58" i="6" s="1"/>
  <c r="W36" i="6" a="1"/>
  <c r="W36" i="6" s="1"/>
  <c r="W14" i="6" a="1"/>
  <c r="W14" i="6" s="1"/>
  <c r="U291" i="6" a="1"/>
  <c r="U291" i="6" s="1"/>
  <c r="U269" i="6" a="1"/>
  <c r="U269" i="6" s="1"/>
  <c r="U247" i="6" a="1"/>
  <c r="U247" i="6" s="1"/>
  <c r="U225" i="6" a="1"/>
  <c r="U225" i="6" s="1"/>
  <c r="U203" i="6" a="1"/>
  <c r="U203" i="6" s="1"/>
  <c r="U181" i="6" a="1"/>
  <c r="U181" i="6" s="1"/>
  <c r="U159" i="6" a="1"/>
  <c r="U159" i="6" s="1"/>
  <c r="U137" i="6" a="1"/>
  <c r="U137" i="6" s="1"/>
  <c r="U115" i="6" a="1"/>
  <c r="U115" i="6" s="1"/>
  <c r="U93" i="6" a="1"/>
  <c r="U93" i="6" s="1"/>
  <c r="U71" i="6" a="1"/>
  <c r="U71" i="6" s="1"/>
  <c r="U49" i="6" a="1"/>
  <c r="U49" i="6" s="1"/>
  <c r="U27" i="6" a="1"/>
  <c r="U27" i="6" s="1"/>
  <c r="S263" i="6" a="1"/>
  <c r="S263" i="6" s="1"/>
  <c r="S243" i="6" a="1"/>
  <c r="S243" i="6" s="1"/>
  <c r="S223" i="6" a="1"/>
  <c r="S223" i="6" s="1"/>
  <c r="S203" i="6" a="1"/>
  <c r="S203" i="6" s="1"/>
  <c r="S183" i="6" a="1"/>
  <c r="S183" i="6" s="1"/>
  <c r="S142" i="6" a="1"/>
  <c r="S142" i="6" s="1"/>
  <c r="S122" i="6" a="1"/>
  <c r="S122" i="6" s="1"/>
  <c r="S102" i="6" a="1"/>
  <c r="S102" i="6" s="1"/>
  <c r="S82" i="6" a="1"/>
  <c r="S82" i="6" s="1"/>
  <c r="S62" i="6" a="1"/>
  <c r="S62" i="6" s="1"/>
  <c r="S21" i="6" a="1"/>
  <c r="S21" i="6" s="1"/>
  <c r="Q280" i="6" a="1"/>
  <c r="Q280" i="6" s="1"/>
  <c r="Q260" i="6" a="1"/>
  <c r="Q260" i="6" s="1"/>
  <c r="Q240" i="6" a="1"/>
  <c r="Q240" i="6" s="1"/>
  <c r="Q220" i="6" a="1"/>
  <c r="Q220" i="6" s="1"/>
  <c r="Q199" i="6" a="1"/>
  <c r="Q199" i="6" s="1"/>
  <c r="Q179" i="6" a="1"/>
  <c r="Q179" i="6" s="1"/>
  <c r="Q159" i="6" a="1"/>
  <c r="Q159" i="6" s="1"/>
  <c r="Q139" i="6" a="1"/>
  <c r="Q139" i="6" s="1"/>
  <c r="Q119" i="6" a="1"/>
  <c r="Q119" i="6" s="1"/>
  <c r="Q99" i="6" a="1"/>
  <c r="Q99" i="6" s="1"/>
  <c r="Q78" i="6" a="1"/>
  <c r="Q78" i="6" s="1"/>
  <c r="Q58" i="6" a="1"/>
  <c r="Q58" i="6" s="1"/>
  <c r="Q38" i="6" a="1"/>
  <c r="Q38" i="6" s="1"/>
  <c r="Q18" i="6" a="1"/>
  <c r="Q18" i="6" s="1"/>
  <c r="O275" i="6" a="1"/>
  <c r="O275" i="6" s="1"/>
  <c r="O253" i="6" a="1"/>
  <c r="O253" i="6" s="1"/>
  <c r="O231" i="6" a="1"/>
  <c r="O231" i="6" s="1"/>
  <c r="O209" i="6" a="1"/>
  <c r="O209" i="6" s="1"/>
  <c r="O187" i="6" a="1"/>
  <c r="O187" i="6" s="1"/>
  <c r="O165" i="6" a="1"/>
  <c r="O165" i="6" s="1"/>
  <c r="O143" i="6" a="1"/>
  <c r="O143" i="6" s="1"/>
  <c r="O121" i="6" a="1"/>
  <c r="O121" i="6" s="1"/>
  <c r="O99" i="6" a="1"/>
  <c r="O99" i="6" s="1"/>
  <c r="O77" i="6" a="1"/>
  <c r="O77" i="6" s="1"/>
  <c r="O55" i="6" a="1"/>
  <c r="O55" i="6" s="1"/>
  <c r="O33" i="6" a="1"/>
  <c r="O33" i="6" s="1"/>
  <c r="O11" i="6" a="1"/>
  <c r="O11" i="6" s="1"/>
  <c r="M289" i="6" a="1"/>
  <c r="M289" i="6" s="1"/>
  <c r="M267" i="6" a="1"/>
  <c r="M267" i="6" s="1"/>
  <c r="M245" i="6" a="1"/>
  <c r="M245" i="6" s="1"/>
  <c r="M223" i="6" a="1"/>
  <c r="M223" i="6" s="1"/>
  <c r="M201" i="6" a="1"/>
  <c r="M201" i="6" s="1"/>
  <c r="M179" i="6" a="1"/>
  <c r="M179" i="6" s="1"/>
  <c r="M157" i="6" a="1"/>
  <c r="M157" i="6" s="1"/>
  <c r="M135" i="6" a="1"/>
  <c r="M135" i="6" s="1"/>
  <c r="M113" i="6" a="1"/>
  <c r="M113" i="6" s="1"/>
  <c r="M91" i="6" a="1"/>
  <c r="M91" i="6" s="1"/>
  <c r="M69" i="6" a="1"/>
  <c r="M69" i="6" s="1"/>
  <c r="M47" i="6" a="1"/>
  <c r="M47" i="6" s="1"/>
  <c r="M25" i="6" a="1"/>
  <c r="M25" i="6" s="1"/>
  <c r="E295" i="6"/>
  <c r="W277" i="6" a="1"/>
  <c r="W277" i="6" s="1"/>
  <c r="W255" i="6" a="1"/>
  <c r="W255" i="6" s="1"/>
  <c r="W233" i="6" a="1"/>
  <c r="W233" i="6" s="1"/>
  <c r="W211" i="6" a="1"/>
  <c r="W211" i="6" s="1"/>
  <c r="W189" i="6" a="1"/>
  <c r="W189" i="6" s="1"/>
  <c r="W167" i="6" a="1"/>
  <c r="W167" i="6" s="1"/>
  <c r="W145" i="6" a="1"/>
  <c r="W145" i="6" s="1"/>
  <c r="W123" i="6" a="1"/>
  <c r="W123" i="6" s="1"/>
  <c r="W101" i="6" a="1"/>
  <c r="W101" i="6" s="1"/>
  <c r="W79" i="6" a="1"/>
  <c r="W79" i="6" s="1"/>
  <c r="W57" i="6" a="1"/>
  <c r="W57" i="6" s="1"/>
  <c r="W35" i="6" a="1"/>
  <c r="W35" i="6" s="1"/>
  <c r="W13" i="6" a="1"/>
  <c r="W13" i="6" s="1"/>
  <c r="U290" i="6" a="1"/>
  <c r="U290" i="6" s="1"/>
  <c r="U268" i="6" a="1"/>
  <c r="U268" i="6" s="1"/>
  <c r="U246" i="6" a="1"/>
  <c r="U246" i="6" s="1"/>
  <c r="U224" i="6" a="1"/>
  <c r="U224" i="6" s="1"/>
  <c r="U202" i="6" a="1"/>
  <c r="U202" i="6" s="1"/>
  <c r="U180" i="6" a="1"/>
  <c r="U180" i="6" s="1"/>
  <c r="U158" i="6" a="1"/>
  <c r="U158" i="6" s="1"/>
  <c r="U136" i="6" a="1"/>
  <c r="U136" i="6" s="1"/>
  <c r="U114" i="6" a="1"/>
  <c r="U114" i="6" s="1"/>
  <c r="U92" i="6" a="1"/>
  <c r="U92" i="6" s="1"/>
  <c r="U70" i="6" a="1"/>
  <c r="U70" i="6" s="1"/>
  <c r="U48" i="6" a="1"/>
  <c r="U48" i="6" s="1"/>
  <c r="U26" i="6" a="1"/>
  <c r="U26" i="6" s="1"/>
  <c r="S283" i="6" a="1"/>
  <c r="S283" i="6" s="1"/>
  <c r="S262" i="6" a="1"/>
  <c r="S262" i="6" s="1"/>
  <c r="S242" i="6" a="1"/>
  <c r="S242" i="6" s="1"/>
  <c r="S222" i="6" a="1"/>
  <c r="S222" i="6" s="1"/>
  <c r="S202" i="6" a="1"/>
  <c r="S202" i="6" s="1"/>
  <c r="S182" i="6" a="1"/>
  <c r="S182" i="6" s="1"/>
  <c r="S162" i="6" a="1"/>
  <c r="S162" i="6" s="1"/>
  <c r="S141" i="6" a="1"/>
  <c r="S141" i="6" s="1"/>
  <c r="S121" i="6" a="1"/>
  <c r="S121" i="6" s="1"/>
  <c r="S101" i="6" a="1"/>
  <c r="S101" i="6" s="1"/>
  <c r="S81" i="6" a="1"/>
  <c r="S81" i="6" s="1"/>
  <c r="S61" i="6" a="1"/>
  <c r="S61" i="6" s="1"/>
  <c r="S41" i="6" a="1"/>
  <c r="S41" i="6" s="1"/>
  <c r="S20" i="6" a="1"/>
  <c r="S20" i="6" s="1"/>
  <c r="Q279" i="6" a="1"/>
  <c r="Q279" i="6" s="1"/>
  <c r="Q259" i="6" a="1"/>
  <c r="Q259" i="6" s="1"/>
  <c r="Q239" i="6" a="1"/>
  <c r="Q239" i="6" s="1"/>
  <c r="Q219" i="6" a="1"/>
  <c r="Q219" i="6" s="1"/>
  <c r="Q178" i="6" a="1"/>
  <c r="Q178" i="6" s="1"/>
  <c r="Q158" i="6" a="1"/>
  <c r="Q158" i="6" s="1"/>
  <c r="Q138" i="6" a="1"/>
  <c r="Q138" i="6" s="1"/>
  <c r="Q118" i="6" a="1"/>
  <c r="Q118" i="6" s="1"/>
  <c r="Q98" i="6" a="1"/>
  <c r="Q98" i="6" s="1"/>
  <c r="Q57" i="6" a="1"/>
  <c r="Q57" i="6" s="1"/>
  <c r="Q37" i="6" a="1"/>
  <c r="Q37" i="6" s="1"/>
  <c r="Q17" i="6" a="1"/>
  <c r="Q17" i="6" s="1"/>
  <c r="O296" i="6" a="1"/>
  <c r="O296" i="6" s="1"/>
  <c r="O274" i="6" a="1"/>
  <c r="O274" i="6" s="1"/>
  <c r="O252" i="6" a="1"/>
  <c r="O252" i="6" s="1"/>
  <c r="O230" i="6" a="1"/>
  <c r="O230" i="6" s="1"/>
  <c r="O208" i="6" a="1"/>
  <c r="O208" i="6" s="1"/>
  <c r="O186" i="6" a="1"/>
  <c r="O186" i="6" s="1"/>
  <c r="O164" i="6" a="1"/>
  <c r="O164" i="6" s="1"/>
  <c r="O142" i="6" a="1"/>
  <c r="O142" i="6" s="1"/>
  <c r="O120" i="6" a="1"/>
  <c r="O120" i="6" s="1"/>
  <c r="O98" i="6" a="1"/>
  <c r="O98" i="6" s="1"/>
  <c r="O76" i="6" a="1"/>
  <c r="O76" i="6" s="1"/>
  <c r="O54" i="6" a="1"/>
  <c r="O54" i="6" s="1"/>
  <c r="O32" i="6" a="1"/>
  <c r="O32" i="6" s="1"/>
  <c r="O10" i="6" a="1"/>
  <c r="O10" i="6" s="1"/>
  <c r="M288" i="6" a="1"/>
  <c r="M288" i="6" s="1"/>
  <c r="M266" i="6" a="1"/>
  <c r="M266" i="6" s="1"/>
  <c r="M244" i="6" a="1"/>
  <c r="M244" i="6" s="1"/>
  <c r="M222" i="6" a="1"/>
  <c r="M222" i="6" s="1"/>
  <c r="M200" i="6" a="1"/>
  <c r="M200" i="6" s="1"/>
  <c r="M178" i="6" a="1"/>
  <c r="M178" i="6" s="1"/>
  <c r="M156" i="6" a="1"/>
  <c r="M156" i="6" s="1"/>
  <c r="M134" i="6" a="1"/>
  <c r="M134" i="6" s="1"/>
  <c r="M112" i="6" a="1"/>
  <c r="M112" i="6" s="1"/>
  <c r="M90" i="6" a="1"/>
  <c r="M90" i="6" s="1"/>
  <c r="W276" i="6" a="1"/>
  <c r="W276" i="6" s="1"/>
  <c r="W254" i="6" a="1"/>
  <c r="W254" i="6" s="1"/>
  <c r="W232" i="6" a="1"/>
  <c r="W232" i="6" s="1"/>
  <c r="W210" i="6" a="1"/>
  <c r="W210" i="6" s="1"/>
  <c r="W188" i="6" a="1"/>
  <c r="W188" i="6" s="1"/>
  <c r="W166" i="6" a="1"/>
  <c r="W166" i="6" s="1"/>
  <c r="W144" i="6" a="1"/>
  <c r="W144" i="6" s="1"/>
  <c r="W122" i="6" a="1"/>
  <c r="W122" i="6" s="1"/>
  <c r="W100" i="6" a="1"/>
  <c r="W100" i="6" s="1"/>
  <c r="W78" i="6" a="1"/>
  <c r="W78" i="6" s="1"/>
  <c r="W56" i="6" a="1"/>
  <c r="W56" i="6" s="1"/>
  <c r="W34" i="6" a="1"/>
  <c r="W34" i="6" s="1"/>
  <c r="W12" i="6" a="1"/>
  <c r="W12" i="6" s="1"/>
  <c r="U289" i="6" a="1"/>
  <c r="U289" i="6" s="1"/>
  <c r="U267" i="6" a="1"/>
  <c r="U267" i="6" s="1"/>
  <c r="U245" i="6" a="1"/>
  <c r="U245" i="6" s="1"/>
  <c r="U223" i="6" a="1"/>
  <c r="U223" i="6" s="1"/>
  <c r="U201" i="6" a="1"/>
  <c r="U201" i="6" s="1"/>
  <c r="U179" i="6" a="1"/>
  <c r="U179" i="6" s="1"/>
  <c r="U157" i="6" a="1"/>
  <c r="U157" i="6" s="1"/>
  <c r="U135" i="6" a="1"/>
  <c r="U135" i="6" s="1"/>
  <c r="U113" i="6" a="1"/>
  <c r="U113" i="6" s="1"/>
  <c r="U91" i="6" a="1"/>
  <c r="U91" i="6" s="1"/>
  <c r="U69" i="6" a="1"/>
  <c r="U69" i="6" s="1"/>
  <c r="U47" i="6" a="1"/>
  <c r="U47" i="6" s="1"/>
  <c r="U25" i="6" a="1"/>
  <c r="U25" i="6" s="1"/>
  <c r="S282" i="6" a="1"/>
  <c r="S282" i="6" s="1"/>
  <c r="S241" i="6" a="1"/>
  <c r="S241" i="6" s="1"/>
  <c r="S221" i="6" a="1"/>
  <c r="S221" i="6" s="1"/>
  <c r="S201" i="6" a="1"/>
  <c r="S201" i="6" s="1"/>
  <c r="S181" i="6" a="1"/>
  <c r="S181" i="6" s="1"/>
  <c r="S161" i="6" a="1"/>
  <c r="S161" i="6" s="1"/>
  <c r="S120" i="6" a="1"/>
  <c r="S120" i="6" s="1"/>
  <c r="S100" i="6" a="1"/>
  <c r="S100" i="6" s="1"/>
  <c r="S80" i="6" a="1"/>
  <c r="S80" i="6" s="1"/>
  <c r="S60" i="6" a="1"/>
  <c r="S60" i="6" s="1"/>
  <c r="S40" i="6" a="1"/>
  <c r="S40" i="6" s="1"/>
  <c r="Q278" i="6" a="1"/>
  <c r="Q278" i="6" s="1"/>
  <c r="Q258" i="6" a="1"/>
  <c r="Q258" i="6" s="1"/>
  <c r="Q238" i="6" a="1"/>
  <c r="Q238" i="6" s="1"/>
  <c r="Q218" i="6" a="1"/>
  <c r="Q218" i="6" s="1"/>
  <c r="Q198" i="6" a="1"/>
  <c r="Q198" i="6" s="1"/>
  <c r="Q177" i="6" a="1"/>
  <c r="Q177" i="6" s="1"/>
  <c r="Q157" i="6" a="1"/>
  <c r="Q157" i="6" s="1"/>
  <c r="Q137" i="6" a="1"/>
  <c r="Q137" i="6" s="1"/>
  <c r="Q117" i="6" a="1"/>
  <c r="Q117" i="6" s="1"/>
  <c r="Q97" i="6" a="1"/>
  <c r="Q97" i="6" s="1"/>
  <c r="Q77" i="6" a="1"/>
  <c r="Q77" i="6" s="1"/>
  <c r="Q56" i="6" a="1"/>
  <c r="Q56" i="6" s="1"/>
  <c r="Q36" i="6" a="1"/>
  <c r="Q36" i="6" s="1"/>
  <c r="Q16" i="6" a="1"/>
  <c r="Q16" i="6" s="1"/>
  <c r="O295" i="6" a="1"/>
  <c r="O295" i="6" s="1"/>
  <c r="O273" i="6" a="1"/>
  <c r="O273" i="6" s="1"/>
  <c r="O251" i="6" a="1"/>
  <c r="O251" i="6" s="1"/>
  <c r="O229" i="6" a="1"/>
  <c r="O229" i="6" s="1"/>
  <c r="O207" i="6" a="1"/>
  <c r="O207" i="6" s="1"/>
  <c r="O185" i="6" a="1"/>
  <c r="O185" i="6" s="1"/>
  <c r="O163" i="6" a="1"/>
  <c r="O163" i="6" s="1"/>
  <c r="O141" i="6" a="1"/>
  <c r="O141" i="6" s="1"/>
  <c r="O119" i="6" a="1"/>
  <c r="O119" i="6" s="1"/>
  <c r="O97" i="6" a="1"/>
  <c r="O97" i="6" s="1"/>
  <c r="O75" i="6" a="1"/>
  <c r="O75" i="6" s="1"/>
  <c r="O53" i="6" a="1"/>
  <c r="O53" i="6" s="1"/>
  <c r="O31" i="6" a="1"/>
  <c r="O31" i="6" s="1"/>
  <c r="O9" i="6" a="1"/>
  <c r="O9" i="6" s="1"/>
  <c r="M287" i="6" a="1"/>
  <c r="M287" i="6" s="1"/>
  <c r="M265" i="6" a="1"/>
  <c r="M265" i="6" s="1"/>
  <c r="M243" i="6" a="1"/>
  <c r="M243" i="6" s="1"/>
  <c r="M221" i="6" a="1"/>
  <c r="M221" i="6" s="1"/>
  <c r="M199" i="6" a="1"/>
  <c r="M199" i="6" s="1"/>
  <c r="M177" i="6" a="1"/>
  <c r="M177" i="6" s="1"/>
  <c r="M155" i="6" a="1"/>
  <c r="M155" i="6" s="1"/>
  <c r="M133" i="6" a="1"/>
  <c r="M133" i="6" s="1"/>
  <c r="M111" i="6" a="1"/>
  <c r="M111" i="6" s="1"/>
  <c r="M89" i="6" a="1"/>
  <c r="M89" i="6" s="1"/>
  <c r="M67" i="6" a="1"/>
  <c r="M67" i="6" s="1"/>
  <c r="M45" i="6" a="1"/>
  <c r="M45" i="6" s="1"/>
  <c r="M23" i="6" a="1"/>
  <c r="M23" i="6" s="1"/>
  <c r="C295" i="6"/>
  <c r="W275" i="6" a="1"/>
  <c r="W275" i="6" s="1"/>
  <c r="W253" i="6" a="1"/>
  <c r="W253" i="6" s="1"/>
  <c r="W231" i="6" a="1"/>
  <c r="W231" i="6" s="1"/>
  <c r="W209" i="6" a="1"/>
  <c r="W209" i="6" s="1"/>
  <c r="W187" i="6" a="1"/>
  <c r="W187" i="6" s="1"/>
  <c r="W165" i="6" a="1"/>
  <c r="W165" i="6" s="1"/>
  <c r="W143" i="6" a="1"/>
  <c r="W143" i="6" s="1"/>
  <c r="W121" i="6" a="1"/>
  <c r="W121" i="6" s="1"/>
  <c r="W99" i="6" a="1"/>
  <c r="W99" i="6" s="1"/>
  <c r="W77" i="6" a="1"/>
  <c r="W77" i="6" s="1"/>
  <c r="W55" i="6" a="1"/>
  <c r="W55" i="6" s="1"/>
  <c r="W33" i="6" a="1"/>
  <c r="W33" i="6" s="1"/>
  <c r="W11" i="6" a="1"/>
  <c r="W11" i="6" s="1"/>
  <c r="U288" i="6" a="1"/>
  <c r="U288" i="6" s="1"/>
  <c r="U266" i="6" a="1"/>
  <c r="U266" i="6" s="1"/>
  <c r="U244" i="6" a="1"/>
  <c r="U244" i="6" s="1"/>
  <c r="U222" i="6" a="1"/>
  <c r="U222" i="6" s="1"/>
  <c r="U200" i="6" a="1"/>
  <c r="U200" i="6" s="1"/>
  <c r="U178" i="6" a="1"/>
  <c r="U178" i="6" s="1"/>
  <c r="U156" i="6" a="1"/>
  <c r="U156" i="6" s="1"/>
  <c r="U134" i="6" a="1"/>
  <c r="U134" i="6" s="1"/>
  <c r="U112" i="6" a="1"/>
  <c r="U112" i="6" s="1"/>
  <c r="U90" i="6" a="1"/>
  <c r="U90" i="6" s="1"/>
  <c r="U68" i="6" a="1"/>
  <c r="U68" i="6" s="1"/>
  <c r="U46" i="6" a="1"/>
  <c r="U46" i="6" s="1"/>
  <c r="U24" i="6" a="1"/>
  <c r="U24" i="6" s="1"/>
  <c r="S281" i="6" a="1"/>
  <c r="S281" i="6" s="1"/>
  <c r="S261" i="6" a="1"/>
  <c r="S261" i="6" s="1"/>
  <c r="S240" i="6" a="1"/>
  <c r="S240" i="6" s="1"/>
  <c r="S220" i="6" a="1"/>
  <c r="S220" i="6" s="1"/>
  <c r="S200" i="6" a="1"/>
  <c r="S200" i="6" s="1"/>
  <c r="S180" i="6" a="1"/>
  <c r="S180" i="6" s="1"/>
  <c r="S160" i="6" a="1"/>
  <c r="S160" i="6" s="1"/>
  <c r="S140" i="6" a="1"/>
  <c r="S140" i="6" s="1"/>
  <c r="S119" i="6" a="1"/>
  <c r="S119" i="6" s="1"/>
  <c r="S99" i="6" a="1"/>
  <c r="S99" i="6" s="1"/>
  <c r="S79" i="6" a="1"/>
  <c r="S79" i="6" s="1"/>
  <c r="S59" i="6" a="1"/>
  <c r="S59" i="6" s="1"/>
  <c r="S39" i="6" a="1"/>
  <c r="S39" i="6" s="1"/>
  <c r="S19" i="6" a="1"/>
  <c r="S19" i="6" s="1"/>
  <c r="Q277" i="6" a="1"/>
  <c r="Q277" i="6" s="1"/>
  <c r="Q257" i="6" a="1"/>
  <c r="Q257" i="6" s="1"/>
  <c r="Q237" i="6" a="1"/>
  <c r="Q237" i="6" s="1"/>
  <c r="Q217" i="6" a="1"/>
  <c r="Q217" i="6" s="1"/>
  <c r="Q197" i="6" a="1"/>
  <c r="Q197" i="6" s="1"/>
  <c r="Q156" i="6" a="1"/>
  <c r="Q156" i="6" s="1"/>
  <c r="Q136" i="6" a="1"/>
  <c r="Q136" i="6" s="1"/>
  <c r="Q116" i="6" a="1"/>
  <c r="Q116" i="6" s="1"/>
  <c r="Q96" i="6" a="1"/>
  <c r="Q96" i="6" s="1"/>
  <c r="Q76" i="6" a="1"/>
  <c r="Q76" i="6" s="1"/>
  <c r="Q35" i="6" a="1"/>
  <c r="Q35" i="6" s="1"/>
  <c r="Q15" i="6" a="1"/>
  <c r="Q15" i="6" s="1"/>
  <c r="O294" i="6" a="1"/>
  <c r="O294" i="6" s="1"/>
  <c r="O272" i="6" a="1"/>
  <c r="O272" i="6" s="1"/>
  <c r="O250" i="6" a="1"/>
  <c r="O250" i="6" s="1"/>
  <c r="O228" i="6" a="1"/>
  <c r="O228" i="6" s="1"/>
  <c r="O206" i="6" a="1"/>
  <c r="O206" i="6" s="1"/>
  <c r="O184" i="6" a="1"/>
  <c r="O184" i="6" s="1"/>
  <c r="O162" i="6" a="1"/>
  <c r="O162" i="6" s="1"/>
  <c r="O140" i="6" a="1"/>
  <c r="O140" i="6" s="1"/>
  <c r="O118" i="6" a="1"/>
  <c r="O118" i="6" s="1"/>
  <c r="O96" i="6" a="1"/>
  <c r="O96" i="6" s="1"/>
  <c r="O74" i="6" a="1"/>
  <c r="O74" i="6" s="1"/>
  <c r="O52" i="6" a="1"/>
  <c r="O52" i="6" s="1"/>
  <c r="O30" i="6" a="1"/>
  <c r="O30" i="6" s="1"/>
  <c r="O8" i="6" a="1"/>
  <c r="O8" i="6" s="1"/>
  <c r="M286" i="6" a="1"/>
  <c r="M286" i="6" s="1"/>
  <c r="M264" i="6" a="1"/>
  <c r="M264" i="6" s="1"/>
  <c r="M242" i="6" a="1"/>
  <c r="M242" i="6" s="1"/>
  <c r="M220" i="6" a="1"/>
  <c r="M220" i="6" s="1"/>
  <c r="M198" i="6" a="1"/>
  <c r="M198" i="6" s="1"/>
  <c r="M176" i="6" a="1"/>
  <c r="M176" i="6" s="1"/>
  <c r="M154" i="6" a="1"/>
  <c r="M154" i="6" s="1"/>
  <c r="M132" i="6" a="1"/>
  <c r="M132" i="6" s="1"/>
  <c r="M110" i="6" a="1"/>
  <c r="M110" i="6" s="1"/>
  <c r="M88" i="6" a="1"/>
  <c r="M88" i="6" s="1"/>
  <c r="M66" i="6" a="1"/>
  <c r="M66" i="6" s="1"/>
  <c r="M44" i="6" a="1"/>
  <c r="M44" i="6" s="1"/>
  <c r="M22" i="6" a="1"/>
  <c r="M22" i="6" s="1"/>
  <c r="B295" i="6"/>
  <c r="B293" i="6"/>
  <c r="W286" i="6" a="1"/>
  <c r="W286" i="6" s="1"/>
  <c r="W285" i="6" a="1"/>
  <c r="W285" i="6" s="1"/>
  <c r="W263" i="6" a="1"/>
  <c r="W263" i="6" s="1"/>
  <c r="W241" i="6" a="1"/>
  <c r="W241" i="6" s="1"/>
  <c r="W219" i="6" a="1"/>
  <c r="W219" i="6" s="1"/>
  <c r="W197" i="6" a="1"/>
  <c r="W197" i="6" s="1"/>
  <c r="W175" i="6" a="1"/>
  <c r="W175" i="6" s="1"/>
  <c r="W153" i="6" a="1"/>
  <c r="W153" i="6" s="1"/>
  <c r="W131" i="6" a="1"/>
  <c r="W131" i="6" s="1"/>
  <c r="W109" i="6" a="1"/>
  <c r="W109" i="6" s="1"/>
  <c r="W87" i="6" a="1"/>
  <c r="W87" i="6" s="1"/>
  <c r="W65" i="6" a="1"/>
  <c r="W65" i="6" s="1"/>
  <c r="W43" i="6" a="1"/>
  <c r="W43" i="6" s="1"/>
  <c r="W21" i="6" a="1"/>
  <c r="W21" i="6" s="1"/>
  <c r="U276" i="6" a="1"/>
  <c r="U276" i="6" s="1"/>
  <c r="U254" i="6" a="1"/>
  <c r="U254" i="6" s="1"/>
  <c r="U232" i="6" a="1"/>
  <c r="U232" i="6" s="1"/>
  <c r="U210" i="6" a="1"/>
  <c r="U210" i="6" s="1"/>
  <c r="U188" i="6" a="1"/>
  <c r="U188" i="6" s="1"/>
  <c r="U166" i="6" a="1"/>
  <c r="U166" i="6" s="1"/>
  <c r="U144" i="6" a="1"/>
  <c r="U144" i="6" s="1"/>
  <c r="U122" i="6" a="1"/>
  <c r="U122" i="6" s="1"/>
  <c r="U100" i="6" a="1"/>
  <c r="U100" i="6" s="1"/>
  <c r="U78" i="6" a="1"/>
  <c r="U78" i="6" s="1"/>
  <c r="U56" i="6" a="1"/>
  <c r="U56" i="6" s="1"/>
  <c r="U34" i="6" a="1"/>
  <c r="U34" i="6" s="1"/>
  <c r="U12" i="6" a="1"/>
  <c r="U12" i="6" s="1"/>
  <c r="S290" i="6" a="1"/>
  <c r="S290" i="6" s="1"/>
  <c r="S270" i="6" a="1"/>
  <c r="S270" i="6" s="1"/>
  <c r="S250" i="6" a="1"/>
  <c r="S250" i="6" s="1"/>
  <c r="S229" i="6" a="1"/>
  <c r="S229" i="6" s="1"/>
  <c r="S209" i="6" a="1"/>
  <c r="S209" i="6" s="1"/>
  <c r="S189" i="6" a="1"/>
  <c r="S189" i="6" s="1"/>
  <c r="S169" i="6" a="1"/>
  <c r="S169" i="6" s="1"/>
  <c r="S149" i="6" a="1"/>
  <c r="S149" i="6" s="1"/>
  <c r="S129" i="6" a="1"/>
  <c r="S129" i="6" s="1"/>
  <c r="S108" i="6" a="1"/>
  <c r="S108" i="6" s="1"/>
  <c r="S88" i="6" a="1"/>
  <c r="S88" i="6" s="1"/>
  <c r="S68" i="6" a="1"/>
  <c r="S68" i="6" s="1"/>
  <c r="S48" i="6" a="1"/>
  <c r="S48" i="6" s="1"/>
  <c r="S28" i="6" a="1"/>
  <c r="S28" i="6" s="1"/>
  <c r="S8" i="6" a="1"/>
  <c r="S8" i="6" s="1"/>
  <c r="Q266" i="6" a="1"/>
  <c r="Q266" i="6" s="1"/>
  <c r="Q246" i="6" a="1"/>
  <c r="Q246" i="6" s="1"/>
  <c r="Q226" i="6" a="1"/>
  <c r="Q226" i="6" s="1"/>
  <c r="Q206" i="6" a="1"/>
  <c r="Q206" i="6" s="1"/>
  <c r="Q186" i="6" a="1"/>
  <c r="Q186" i="6" s="1"/>
  <c r="Q145" i="6" a="1"/>
  <c r="Q145" i="6" s="1"/>
  <c r="Q125" i="6" a="1"/>
  <c r="Q125" i="6" s="1"/>
  <c r="Q105" i="6" a="1"/>
  <c r="Q105" i="6" s="1"/>
  <c r="Q85" i="6" a="1"/>
  <c r="Q85" i="6" s="1"/>
  <c r="Q65" i="6" a="1"/>
  <c r="Q65" i="6" s="1"/>
  <c r="Q24" i="6" a="1"/>
  <c r="Q24" i="6" s="1"/>
  <c r="O282" i="6" a="1"/>
  <c r="O282" i="6" s="1"/>
  <c r="O260" i="6" a="1"/>
  <c r="O260" i="6" s="1"/>
  <c r="O238" i="6" a="1"/>
  <c r="O238" i="6" s="1"/>
  <c r="O216" i="6" a="1"/>
  <c r="O216" i="6" s="1"/>
  <c r="O194" i="6" a="1"/>
  <c r="O194" i="6" s="1"/>
  <c r="O172" i="6" a="1"/>
  <c r="O172" i="6" s="1"/>
  <c r="O150" i="6" a="1"/>
  <c r="O150" i="6" s="1"/>
  <c r="O128" i="6" a="1"/>
  <c r="O128" i="6" s="1"/>
  <c r="O106" i="6" a="1"/>
  <c r="O106" i="6" s="1"/>
  <c r="O84" i="6" a="1"/>
  <c r="O84" i="6" s="1"/>
  <c r="W274" i="6" a="1"/>
  <c r="W274" i="6" s="1"/>
  <c r="W245" i="6" a="1"/>
  <c r="W245" i="6" s="1"/>
  <c r="W214" i="6" a="1"/>
  <c r="W214" i="6" s="1"/>
  <c r="W180" i="6" a="1"/>
  <c r="W180" i="6" s="1"/>
  <c r="W149" i="6" a="1"/>
  <c r="W149" i="6" s="1"/>
  <c r="W115" i="6" a="1"/>
  <c r="W115" i="6" s="1"/>
  <c r="W85" i="6" a="1"/>
  <c r="W85" i="6" s="1"/>
  <c r="W50" i="6" a="1"/>
  <c r="W50" i="6" s="1"/>
  <c r="W20" i="6" a="1"/>
  <c r="W20" i="6" s="1"/>
  <c r="U285" i="6" a="1"/>
  <c r="U285" i="6" s="1"/>
  <c r="U256" i="6" a="1"/>
  <c r="U256" i="6" s="1"/>
  <c r="U220" i="6" a="1"/>
  <c r="U220" i="6" s="1"/>
  <c r="U191" i="6" a="1"/>
  <c r="U191" i="6" s="1"/>
  <c r="U155" i="6" a="1"/>
  <c r="U155" i="6" s="1"/>
  <c r="U126" i="6" a="1"/>
  <c r="U126" i="6" s="1"/>
  <c r="U95" i="6" a="1"/>
  <c r="U95" i="6" s="1"/>
  <c r="U61" i="6" a="1"/>
  <c r="U61" i="6" s="1"/>
  <c r="U30" i="6" a="1"/>
  <c r="U30" i="6" s="1"/>
  <c r="S213" i="6" a="1"/>
  <c r="S213" i="6" s="1"/>
  <c r="S153" i="6" a="1"/>
  <c r="S153" i="6" s="1"/>
  <c r="S125" i="6" a="1"/>
  <c r="S125" i="6" s="1"/>
  <c r="S94" i="6" a="1"/>
  <c r="S94" i="6" s="1"/>
  <c r="S66" i="6" a="1"/>
  <c r="S66" i="6" s="1"/>
  <c r="S34" i="6" a="1"/>
  <c r="S34" i="6" s="1"/>
  <c r="S7" i="6" a="1"/>
  <c r="S7" i="6" s="1"/>
  <c r="Q283" i="6" a="1"/>
  <c r="Q283" i="6" s="1"/>
  <c r="Q252" i="6" a="1"/>
  <c r="Q252" i="6" s="1"/>
  <c r="Q224" i="6" a="1"/>
  <c r="Q224" i="6" s="1"/>
  <c r="Q192" i="6" a="1"/>
  <c r="Q192" i="6" s="1"/>
  <c r="Q166" i="6" a="1"/>
  <c r="Q166" i="6" s="1"/>
  <c r="Q135" i="6" a="1"/>
  <c r="Q135" i="6" s="1"/>
  <c r="Q110" i="6" a="1"/>
  <c r="Q110" i="6" s="1"/>
  <c r="Q83" i="6" a="1"/>
  <c r="Q83" i="6" s="1"/>
  <c r="Q53" i="6" a="1"/>
  <c r="Q53" i="6" s="1"/>
  <c r="Q27" i="6" a="1"/>
  <c r="Q27" i="6" s="1"/>
  <c r="O270" i="6" a="1"/>
  <c r="O270" i="6" s="1"/>
  <c r="O242" i="6" a="1"/>
  <c r="O242" i="6" s="1"/>
  <c r="O213" i="6" a="1"/>
  <c r="O213" i="6" s="1"/>
  <c r="O180" i="6" a="1"/>
  <c r="O180" i="6" s="1"/>
  <c r="O152" i="6" a="1"/>
  <c r="O152" i="6" s="1"/>
  <c r="O123" i="6" a="1"/>
  <c r="O123" i="6" s="1"/>
  <c r="O90" i="6" a="1"/>
  <c r="O90" i="6" s="1"/>
  <c r="O62" i="6" a="1"/>
  <c r="O62" i="6" s="1"/>
  <c r="O35" i="6" a="1"/>
  <c r="O35" i="6" s="1"/>
  <c r="M276" i="6" a="1"/>
  <c r="M276" i="6" s="1"/>
  <c r="M249" i="6" a="1"/>
  <c r="M249" i="6" s="1"/>
  <c r="M217" i="6" a="1"/>
  <c r="M217" i="6" s="1"/>
  <c r="M190" i="6" a="1"/>
  <c r="M190" i="6" s="1"/>
  <c r="M163" i="6" a="1"/>
  <c r="M163" i="6" s="1"/>
  <c r="M131" i="6" a="1"/>
  <c r="M131" i="6" s="1"/>
  <c r="M104" i="6" a="1"/>
  <c r="M104" i="6" s="1"/>
  <c r="M77" i="6" a="1"/>
  <c r="M77" i="6" s="1"/>
  <c r="M51" i="6" a="1"/>
  <c r="M51" i="6" s="1"/>
  <c r="M21" i="6" a="1"/>
  <c r="M21" i="6" s="1"/>
  <c r="H296" i="6"/>
  <c r="D294" i="6"/>
  <c r="B292" i="6"/>
  <c r="L289" i="6"/>
  <c r="L287" i="6"/>
  <c r="L285" i="6"/>
  <c r="L283" i="6"/>
  <c r="L281" i="6"/>
  <c r="L279" i="6"/>
  <c r="L277" i="6"/>
  <c r="L275" i="6"/>
  <c r="L273" i="6"/>
  <c r="L271" i="6"/>
  <c r="L269" i="6"/>
  <c r="L267" i="6"/>
  <c r="L265" i="6"/>
  <c r="L263" i="6"/>
  <c r="L261" i="6"/>
  <c r="L259" i="6"/>
  <c r="L257" i="6"/>
  <c r="L255" i="6"/>
  <c r="L253" i="6"/>
  <c r="L251" i="6"/>
  <c r="L249" i="6"/>
  <c r="L247" i="6"/>
  <c r="L245" i="6"/>
  <c r="L243" i="6"/>
  <c r="L241" i="6"/>
  <c r="W271" i="6" a="1"/>
  <c r="W271" i="6" s="1"/>
  <c r="W242" i="6" a="1"/>
  <c r="W242" i="6" s="1"/>
  <c r="W206" i="6" a="1"/>
  <c r="W206" i="6" s="1"/>
  <c r="W177" i="6" a="1"/>
  <c r="W177" i="6" s="1"/>
  <c r="W141" i="6" a="1"/>
  <c r="W141" i="6" s="1"/>
  <c r="W112" i="6" a="1"/>
  <c r="W112" i="6" s="1"/>
  <c r="W76" i="6" a="1"/>
  <c r="W76" i="6" s="1"/>
  <c r="W47" i="6" a="1"/>
  <c r="W47" i="6" s="1"/>
  <c r="W16" i="6" a="1"/>
  <c r="W16" i="6" s="1"/>
  <c r="U282" i="6" a="1"/>
  <c r="U282" i="6" s="1"/>
  <c r="U252" i="6" a="1"/>
  <c r="U252" i="6" s="1"/>
  <c r="U217" i="6" a="1"/>
  <c r="U217" i="6" s="1"/>
  <c r="U187" i="6" a="1"/>
  <c r="U187" i="6" s="1"/>
  <c r="U152" i="6" a="1"/>
  <c r="U152" i="6" s="1"/>
  <c r="U123" i="6" a="1"/>
  <c r="U123" i="6" s="1"/>
  <c r="U87" i="6" a="1"/>
  <c r="U87" i="6" s="1"/>
  <c r="U58" i="6" a="1"/>
  <c r="U58" i="6" s="1"/>
  <c r="U22" i="6" a="1"/>
  <c r="U22" i="6" s="1"/>
  <c r="S296" i="6" a="1"/>
  <c r="S296" i="6" s="1"/>
  <c r="S269" i="6" a="1"/>
  <c r="S269" i="6" s="1"/>
  <c r="S237" i="6" a="1"/>
  <c r="S237" i="6" s="1"/>
  <c r="S210" i="6" a="1"/>
  <c r="S210" i="6" s="1"/>
  <c r="S177" i="6" a="1"/>
  <c r="S177" i="6" s="1"/>
  <c r="S151" i="6" a="1"/>
  <c r="S151" i="6" s="1"/>
  <c r="S118" i="6" a="1"/>
  <c r="S118" i="6" s="1"/>
  <c r="S91" i="6" a="1"/>
  <c r="S91" i="6" s="1"/>
  <c r="S58" i="6" a="1"/>
  <c r="S58" i="6" s="1"/>
  <c r="S31" i="6" a="1"/>
  <c r="S31" i="6" s="1"/>
  <c r="Q249" i="6" a="1"/>
  <c r="Q249" i="6" s="1"/>
  <c r="Q216" i="6" a="1"/>
  <c r="Q216" i="6" s="1"/>
  <c r="Q189" i="6" a="1"/>
  <c r="Q189" i="6" s="1"/>
  <c r="Q163" i="6" a="1"/>
  <c r="Q163" i="6" s="1"/>
  <c r="Q107" i="6" a="1"/>
  <c r="Q107" i="6" s="1"/>
  <c r="Q80" i="6" a="1"/>
  <c r="Q80" i="6" s="1"/>
  <c r="Q50" i="6" a="1"/>
  <c r="Q50" i="6" s="1"/>
  <c r="Q23" i="6" a="1"/>
  <c r="Q23" i="6" s="1"/>
  <c r="O267" i="6" a="1"/>
  <c r="O267" i="6" s="1"/>
  <c r="O239" i="6" a="1"/>
  <c r="O239" i="6" s="1"/>
  <c r="O205" i="6" a="1"/>
  <c r="O205" i="6" s="1"/>
  <c r="O177" i="6" a="1"/>
  <c r="O177" i="6" s="1"/>
  <c r="O148" i="6" a="1"/>
  <c r="O148" i="6" s="1"/>
  <c r="O115" i="6" a="1"/>
  <c r="O115" i="6" s="1"/>
  <c r="O87" i="6" a="1"/>
  <c r="O87" i="6" s="1"/>
  <c r="O59" i="6" a="1"/>
  <c r="O59" i="6" s="1"/>
  <c r="O27" i="6" a="1"/>
  <c r="O27" i="6" s="1"/>
  <c r="M273" i="6" a="1"/>
  <c r="M273" i="6" s="1"/>
  <c r="M241" i="6" a="1"/>
  <c r="M241" i="6" s="1"/>
  <c r="M214" i="6" a="1"/>
  <c r="M214" i="6" s="1"/>
  <c r="M187" i="6" a="1"/>
  <c r="M187" i="6" s="1"/>
  <c r="M160" i="6" a="1"/>
  <c r="M160" i="6" s="1"/>
  <c r="M128" i="6" a="1"/>
  <c r="M128" i="6" s="1"/>
  <c r="M101" i="6" a="1"/>
  <c r="M101" i="6" s="1"/>
  <c r="M74" i="6" a="1"/>
  <c r="M74" i="6" s="1"/>
  <c r="M46" i="6" a="1"/>
  <c r="M46" i="6" s="1"/>
  <c r="M18" i="6" a="1"/>
  <c r="M18" i="6" s="1"/>
  <c r="E296" i="6"/>
  <c r="L293" i="6"/>
  <c r="J291" i="6"/>
  <c r="I289" i="6"/>
  <c r="I287" i="6"/>
  <c r="I285" i="6"/>
  <c r="I283" i="6"/>
  <c r="I281" i="6"/>
  <c r="I279" i="6"/>
  <c r="I277" i="6"/>
  <c r="I275" i="6"/>
  <c r="I273" i="6"/>
  <c r="I271" i="6"/>
  <c r="I269" i="6"/>
  <c r="I267" i="6"/>
  <c r="I265" i="6"/>
  <c r="I263" i="6"/>
  <c r="I261" i="6"/>
  <c r="I259" i="6"/>
  <c r="I257" i="6"/>
  <c r="I255" i="6"/>
  <c r="I253" i="6"/>
  <c r="I251" i="6"/>
  <c r="I249" i="6"/>
  <c r="W270" i="6" a="1"/>
  <c r="W270" i="6" s="1"/>
  <c r="W240" i="6" a="1"/>
  <c r="W240" i="6" s="1"/>
  <c r="W205" i="6" a="1"/>
  <c r="W205" i="6" s="1"/>
  <c r="W176" i="6" a="1"/>
  <c r="W176" i="6" s="1"/>
  <c r="W140" i="6" a="1"/>
  <c r="W140" i="6" s="1"/>
  <c r="W111" i="6" a="1"/>
  <c r="W111" i="6" s="1"/>
  <c r="W75" i="6" a="1"/>
  <c r="W75" i="6" s="1"/>
  <c r="W46" i="6" a="1"/>
  <c r="W46" i="6" s="1"/>
  <c r="W10" i="6" a="1"/>
  <c r="W10" i="6" s="1"/>
  <c r="U281" i="6" a="1"/>
  <c r="U281" i="6" s="1"/>
  <c r="U250" i="6" a="1"/>
  <c r="U250" i="6" s="1"/>
  <c r="U216" i="6" a="1"/>
  <c r="U216" i="6" s="1"/>
  <c r="U186" i="6" a="1"/>
  <c r="U186" i="6" s="1"/>
  <c r="U151" i="6" a="1"/>
  <c r="U151" i="6" s="1"/>
  <c r="U121" i="6" a="1"/>
  <c r="U121" i="6" s="1"/>
  <c r="U86" i="6" a="1"/>
  <c r="U86" i="6" s="1"/>
  <c r="U57" i="6" a="1"/>
  <c r="U57" i="6" s="1"/>
  <c r="U21" i="6" a="1"/>
  <c r="U21" i="6" s="1"/>
  <c r="S295" i="6" a="1"/>
  <c r="S295" i="6" s="1"/>
  <c r="S268" i="6" a="1"/>
  <c r="S268" i="6" s="1"/>
  <c r="S236" i="6" a="1"/>
  <c r="S236" i="6" s="1"/>
  <c r="S208" i="6" a="1"/>
  <c r="S208" i="6" s="1"/>
  <c r="S176" i="6" a="1"/>
  <c r="S176" i="6" s="1"/>
  <c r="S150" i="6" a="1"/>
  <c r="S150" i="6" s="1"/>
  <c r="S117" i="6" a="1"/>
  <c r="S117" i="6" s="1"/>
  <c r="S90" i="6" a="1"/>
  <c r="S90" i="6" s="1"/>
  <c r="S57" i="6" a="1"/>
  <c r="S57" i="6" s="1"/>
  <c r="Q275" i="6" a="1"/>
  <c r="Q275" i="6" s="1"/>
  <c r="Q248" i="6" a="1"/>
  <c r="Q248" i="6" s="1"/>
  <c r="Q215" i="6" a="1"/>
  <c r="Q215" i="6" s="1"/>
  <c r="Q188" i="6" a="1"/>
  <c r="Q188" i="6" s="1"/>
  <c r="Q162" i="6" a="1"/>
  <c r="Q162" i="6" s="1"/>
  <c r="Q132" i="6" a="1"/>
  <c r="Q132" i="6" s="1"/>
  <c r="Q106" i="6" a="1"/>
  <c r="Q106" i="6" s="1"/>
  <c r="Q75" i="6" a="1"/>
  <c r="Q75" i="6" s="1"/>
  <c r="Q49" i="6" a="1"/>
  <c r="Q49" i="6" s="1"/>
  <c r="O266" i="6" a="1"/>
  <c r="O266" i="6" s="1"/>
  <c r="O237" i="6" a="1"/>
  <c r="O237" i="6" s="1"/>
  <c r="O204" i="6" a="1"/>
  <c r="O204" i="6" s="1"/>
  <c r="O176" i="6" a="1"/>
  <c r="O176" i="6" s="1"/>
  <c r="O147" i="6" a="1"/>
  <c r="O147" i="6" s="1"/>
  <c r="O114" i="6" a="1"/>
  <c r="O114" i="6" s="1"/>
  <c r="O86" i="6" a="1"/>
  <c r="O86" i="6" s="1"/>
  <c r="O58" i="6" a="1"/>
  <c r="O58" i="6" s="1"/>
  <c r="O26" i="6" a="1"/>
  <c r="O26" i="6" s="1"/>
  <c r="M272" i="6" a="1"/>
  <c r="M272" i="6" s="1"/>
  <c r="M240" i="6" a="1"/>
  <c r="M240" i="6" s="1"/>
  <c r="M213" i="6" a="1"/>
  <c r="M213" i="6" s="1"/>
  <c r="M186" i="6" a="1"/>
  <c r="M186" i="6" s="1"/>
  <c r="M159" i="6" a="1"/>
  <c r="M159" i="6" s="1"/>
  <c r="M127" i="6" a="1"/>
  <c r="M127" i="6" s="1"/>
  <c r="M100" i="6" a="1"/>
  <c r="M100" i="6" s="1"/>
  <c r="M73" i="6" a="1"/>
  <c r="M73" i="6" s="1"/>
  <c r="M43" i="6" a="1"/>
  <c r="M43" i="6" s="1"/>
  <c r="M17" i="6" a="1"/>
  <c r="M17" i="6" s="1"/>
  <c r="D296" i="6"/>
  <c r="K293" i="6"/>
  <c r="I291" i="6"/>
  <c r="H289" i="6"/>
  <c r="H287" i="6"/>
  <c r="H285" i="6"/>
  <c r="H283" i="6"/>
  <c r="H281" i="6"/>
  <c r="H279" i="6"/>
  <c r="H277" i="6"/>
  <c r="H275" i="6"/>
  <c r="H273" i="6"/>
  <c r="H271" i="6"/>
  <c r="H269" i="6"/>
  <c r="H267" i="6"/>
  <c r="H265" i="6"/>
  <c r="H263" i="6"/>
  <c r="H261" i="6"/>
  <c r="H259" i="6"/>
  <c r="H257" i="6"/>
  <c r="H255" i="6"/>
  <c r="H253" i="6"/>
  <c r="H251" i="6"/>
  <c r="H249" i="6"/>
  <c r="H247" i="6"/>
  <c r="H245" i="6"/>
  <c r="H243" i="6"/>
  <c r="W273" i="6" a="1"/>
  <c r="W273" i="6" s="1"/>
  <c r="W237" i="6" a="1"/>
  <c r="W237" i="6" s="1"/>
  <c r="W200" i="6" a="1"/>
  <c r="W200" i="6" s="1"/>
  <c r="W161" i="6" a="1"/>
  <c r="W161" i="6" s="1"/>
  <c r="W127" i="6" a="1"/>
  <c r="W127" i="6" s="1"/>
  <c r="W90" i="6" a="1"/>
  <c r="W90" i="6" s="1"/>
  <c r="W51" i="6" a="1"/>
  <c r="W51" i="6" s="1"/>
  <c r="W9" i="6" a="1"/>
  <c r="W9" i="6" s="1"/>
  <c r="U277" i="6" a="1"/>
  <c r="U277" i="6" s="1"/>
  <c r="U238" i="6" a="1"/>
  <c r="U238" i="6" s="1"/>
  <c r="U199" i="6" a="1"/>
  <c r="U199" i="6" s="1"/>
  <c r="U167" i="6" a="1"/>
  <c r="U167" i="6" s="1"/>
  <c r="U128" i="6" a="1"/>
  <c r="U128" i="6" s="1"/>
  <c r="U88" i="6" a="1"/>
  <c r="U88" i="6" s="1"/>
  <c r="U52" i="6" a="1"/>
  <c r="U52" i="6" s="1"/>
  <c r="U15" i="6" a="1"/>
  <c r="U15" i="6" s="1"/>
  <c r="S286" i="6" a="1"/>
  <c r="S286" i="6" s="1"/>
  <c r="S252" i="6" a="1"/>
  <c r="S252" i="6" s="1"/>
  <c r="S217" i="6" a="1"/>
  <c r="S217" i="6" s="1"/>
  <c r="S185" i="6" a="1"/>
  <c r="S185" i="6" s="1"/>
  <c r="S148" i="6" a="1"/>
  <c r="S148" i="6" s="1"/>
  <c r="S113" i="6" a="1"/>
  <c r="S113" i="6" s="1"/>
  <c r="S77" i="6" a="1"/>
  <c r="S77" i="6" s="1"/>
  <c r="S47" i="6" a="1"/>
  <c r="S47" i="6" s="1"/>
  <c r="S12" i="6" a="1"/>
  <c r="S12" i="6" s="1"/>
  <c r="Q288" i="6" a="1"/>
  <c r="Q288" i="6" s="1"/>
  <c r="Q253" i="6" a="1"/>
  <c r="Q253" i="6" s="1"/>
  <c r="Q214" i="6" a="1"/>
  <c r="Q214" i="6" s="1"/>
  <c r="Q184" i="6" a="1"/>
  <c r="Q184" i="6" s="1"/>
  <c r="Q151" i="6" a="1"/>
  <c r="Q151" i="6" s="1"/>
  <c r="Q55" i="6" a="1"/>
  <c r="Q55" i="6" s="1"/>
  <c r="Q25" i="6" a="1"/>
  <c r="Q25" i="6" s="1"/>
  <c r="O263" i="6" a="1"/>
  <c r="O263" i="6" s="1"/>
  <c r="O226" i="6" a="1"/>
  <c r="O226" i="6" s="1"/>
  <c r="O195" i="6" a="1"/>
  <c r="O195" i="6" s="1"/>
  <c r="O158" i="6" a="1"/>
  <c r="O158" i="6" s="1"/>
  <c r="O126" i="6" a="1"/>
  <c r="O126" i="6" s="1"/>
  <c r="O89" i="6" a="1"/>
  <c r="O89" i="6" s="1"/>
  <c r="O51" i="6" a="1"/>
  <c r="O51" i="6" s="1"/>
  <c r="O21" i="6" a="1"/>
  <c r="O21" i="6" s="1"/>
  <c r="M293" i="6" a="1"/>
  <c r="M293" i="6" s="1"/>
  <c r="M258" i="6" a="1"/>
  <c r="M258" i="6" s="1"/>
  <c r="M228" i="6" a="1"/>
  <c r="M228" i="6" s="1"/>
  <c r="M193" i="6" a="1"/>
  <c r="M193" i="6" s="1"/>
  <c r="M162" i="6" a="1"/>
  <c r="M162" i="6" s="1"/>
  <c r="M125" i="6" a="1"/>
  <c r="M125" i="6" s="1"/>
  <c r="M95" i="6" a="1"/>
  <c r="M95" i="6" s="1"/>
  <c r="M61" i="6" a="1"/>
  <c r="M61" i="6" s="1"/>
  <c r="M32" i="6" a="1"/>
  <c r="M32" i="6" s="1"/>
  <c r="L296" i="6"/>
  <c r="AA296" i="6" s="1"/>
  <c r="E294" i="6"/>
  <c r="H291" i="6"/>
  <c r="D289" i="6"/>
  <c r="L286" i="6"/>
  <c r="I284" i="6"/>
  <c r="F282" i="6"/>
  <c r="C280" i="6"/>
  <c r="W272" i="6" a="1"/>
  <c r="W272" i="6" s="1"/>
  <c r="W236" i="6" a="1"/>
  <c r="W236" i="6" s="1"/>
  <c r="W199" i="6" a="1"/>
  <c r="W199" i="6" s="1"/>
  <c r="W160" i="6" a="1"/>
  <c r="W160" i="6" s="1"/>
  <c r="W126" i="6" a="1"/>
  <c r="W126" i="6" s="1"/>
  <c r="W89" i="6" a="1"/>
  <c r="W89" i="6" s="1"/>
  <c r="W49" i="6" a="1"/>
  <c r="W49" i="6" s="1"/>
  <c r="W8" i="6" a="1"/>
  <c r="W8" i="6" s="1"/>
  <c r="U275" i="6" a="1"/>
  <c r="U275" i="6" s="1"/>
  <c r="U237" i="6" a="1"/>
  <c r="U237" i="6" s="1"/>
  <c r="U198" i="6" a="1"/>
  <c r="U198" i="6" s="1"/>
  <c r="U165" i="6" a="1"/>
  <c r="U165" i="6" s="1"/>
  <c r="U127" i="6" a="1"/>
  <c r="U127" i="6" s="1"/>
  <c r="U85" i="6" a="1"/>
  <c r="U85" i="6" s="1"/>
  <c r="U51" i="6" a="1"/>
  <c r="U51" i="6" s="1"/>
  <c r="U14" i="6" a="1"/>
  <c r="U14" i="6" s="1"/>
  <c r="S285" i="6" a="1"/>
  <c r="S285" i="6" s="1"/>
  <c r="S251" i="6" a="1"/>
  <c r="S251" i="6" s="1"/>
  <c r="S216" i="6" a="1"/>
  <c r="S216" i="6" s="1"/>
  <c r="S179" i="6" a="1"/>
  <c r="S179" i="6" s="1"/>
  <c r="S147" i="6" a="1"/>
  <c r="S147" i="6" s="1"/>
  <c r="S112" i="6" a="1"/>
  <c r="S112" i="6" s="1"/>
  <c r="S76" i="6" a="1"/>
  <c r="S76" i="6" s="1"/>
  <c r="S46" i="6" a="1"/>
  <c r="S46" i="6" s="1"/>
  <c r="S11" i="6" a="1"/>
  <c r="S11" i="6" s="1"/>
  <c r="Q287" i="6" a="1"/>
  <c r="Q287" i="6" s="1"/>
  <c r="Q251" i="6" a="1"/>
  <c r="Q251" i="6" s="1"/>
  <c r="Q213" i="6" a="1"/>
  <c r="Q213" i="6" s="1"/>
  <c r="Q183" i="6" a="1"/>
  <c r="Q183" i="6" s="1"/>
  <c r="Q150" i="6" a="1"/>
  <c r="Q150" i="6" s="1"/>
  <c r="Q121" i="6" a="1"/>
  <c r="Q121" i="6" s="1"/>
  <c r="Q88" i="6" a="1"/>
  <c r="Q88" i="6" s="1"/>
  <c r="Q54" i="6" a="1"/>
  <c r="Q54" i="6" s="1"/>
  <c r="Q22" i="6" a="1"/>
  <c r="Q22" i="6" s="1"/>
  <c r="O293" i="6" a="1"/>
  <c r="O293" i="6" s="1"/>
  <c r="O262" i="6" a="1"/>
  <c r="O262" i="6" s="1"/>
  <c r="O225" i="6" a="1"/>
  <c r="O225" i="6" s="1"/>
  <c r="O193" i="6" a="1"/>
  <c r="O193" i="6" s="1"/>
  <c r="O157" i="6" a="1"/>
  <c r="O157" i="6" s="1"/>
  <c r="O125" i="6" a="1"/>
  <c r="O125" i="6" s="1"/>
  <c r="O88" i="6" a="1"/>
  <c r="O88" i="6" s="1"/>
  <c r="O50" i="6" a="1"/>
  <c r="O50" i="6" s="1"/>
  <c r="O20" i="6" a="1"/>
  <c r="O20" i="6" s="1"/>
  <c r="M292" i="6" a="1"/>
  <c r="M292" i="6" s="1"/>
  <c r="M257" i="6" a="1"/>
  <c r="M257" i="6" s="1"/>
  <c r="M227" i="6" a="1"/>
  <c r="M227" i="6" s="1"/>
  <c r="M192" i="6" a="1"/>
  <c r="M192" i="6" s="1"/>
  <c r="M161" i="6" a="1"/>
  <c r="M161" i="6" s="1"/>
  <c r="M124" i="6" a="1"/>
  <c r="M124" i="6" s="1"/>
  <c r="M94" i="6" a="1"/>
  <c r="M94" i="6" s="1"/>
  <c r="M60" i="6" a="1"/>
  <c r="M60" i="6" s="1"/>
  <c r="M31" i="6" a="1"/>
  <c r="M31" i="6" s="1"/>
  <c r="K296" i="6"/>
  <c r="C294" i="6"/>
  <c r="G291" i="6"/>
  <c r="C289" i="6"/>
  <c r="K286" i="6"/>
  <c r="H284" i="6"/>
  <c r="E282" i="6"/>
  <c r="B280" i="6"/>
  <c r="G277" i="6"/>
  <c r="D275" i="6"/>
  <c r="L272" i="6"/>
  <c r="I270" i="6"/>
  <c r="F268" i="6"/>
  <c r="C266" i="6"/>
  <c r="J263" i="6"/>
  <c r="E261" i="6"/>
  <c r="B259" i="6"/>
  <c r="J256" i="6"/>
  <c r="G254" i="6"/>
  <c r="D252" i="6"/>
  <c r="K249" i="6"/>
  <c r="G247" i="6"/>
  <c r="E245" i="6"/>
  <c r="C243" i="6"/>
  <c r="B241" i="6"/>
  <c r="B239" i="6"/>
  <c r="B237" i="6"/>
  <c r="B235" i="6"/>
  <c r="B233" i="6"/>
  <c r="B231" i="6"/>
  <c r="B229" i="6"/>
  <c r="B227" i="6"/>
  <c r="B225" i="6"/>
  <c r="W269" i="6" a="1"/>
  <c r="W269" i="6" s="1"/>
  <c r="W230" i="6" a="1"/>
  <c r="W230" i="6" s="1"/>
  <c r="W198" i="6" a="1"/>
  <c r="W198" i="6" s="1"/>
  <c r="W159" i="6" a="1"/>
  <c r="W159" i="6" s="1"/>
  <c r="W120" i="6" a="1"/>
  <c r="W120" i="6" s="1"/>
  <c r="W88" i="6" a="1"/>
  <c r="W88" i="6" s="1"/>
  <c r="W48" i="6" a="1"/>
  <c r="W48" i="6" s="1"/>
  <c r="W7" i="6" a="1"/>
  <c r="W7" i="6" s="1"/>
  <c r="U274" i="6" a="1"/>
  <c r="U274" i="6" s="1"/>
  <c r="U236" i="6" a="1"/>
  <c r="U236" i="6" s="1"/>
  <c r="U197" i="6" a="1"/>
  <c r="U197" i="6" s="1"/>
  <c r="U164" i="6" a="1"/>
  <c r="U164" i="6" s="1"/>
  <c r="U125" i="6" a="1"/>
  <c r="U125" i="6" s="1"/>
  <c r="U84" i="6" a="1"/>
  <c r="U84" i="6" s="1"/>
  <c r="U45" i="6" a="1"/>
  <c r="U45" i="6" s="1"/>
  <c r="U13" i="6" a="1"/>
  <c r="U13" i="6" s="1"/>
  <c r="S280" i="6" a="1"/>
  <c r="S280" i="6" s="1"/>
  <c r="S215" i="6" a="1"/>
  <c r="S215" i="6" s="1"/>
  <c r="S178" i="6" a="1"/>
  <c r="S178" i="6" s="1"/>
  <c r="S145" i="6" a="1"/>
  <c r="S145" i="6" s="1"/>
  <c r="S111" i="6" a="1"/>
  <c r="S111" i="6" s="1"/>
  <c r="S75" i="6" a="1"/>
  <c r="S75" i="6" s="1"/>
  <c r="S44" i="6" a="1"/>
  <c r="S44" i="6" s="1"/>
  <c r="S10" i="6" a="1"/>
  <c r="S10" i="6" s="1"/>
  <c r="Q286" i="6" a="1"/>
  <c r="Q286" i="6" s="1"/>
  <c r="Q250" i="6" a="1"/>
  <c r="Q250" i="6" s="1"/>
  <c r="Q212" i="6" a="1"/>
  <c r="Q212" i="6" s="1"/>
  <c r="Q182" i="6" a="1"/>
  <c r="Q182" i="6" s="1"/>
  <c r="Q149" i="6" a="1"/>
  <c r="Q149" i="6" s="1"/>
  <c r="Q115" i="6" a="1"/>
  <c r="Q115" i="6" s="1"/>
  <c r="Q87" i="6" a="1"/>
  <c r="Q87" i="6" s="1"/>
  <c r="Q52" i="6" a="1"/>
  <c r="Q52" i="6" s="1"/>
  <c r="Q21" i="6" a="1"/>
  <c r="Q21" i="6" s="1"/>
  <c r="O292" i="6" a="1"/>
  <c r="O292" i="6" s="1"/>
  <c r="O261" i="6" a="1"/>
  <c r="O261" i="6" s="1"/>
  <c r="O224" i="6" a="1"/>
  <c r="O224" i="6" s="1"/>
  <c r="O192" i="6" a="1"/>
  <c r="O192" i="6" s="1"/>
  <c r="O156" i="6" a="1"/>
  <c r="O156" i="6" s="1"/>
  <c r="O124" i="6" a="1"/>
  <c r="O124" i="6" s="1"/>
  <c r="O85" i="6" a="1"/>
  <c r="O85" i="6" s="1"/>
  <c r="O49" i="6" a="1"/>
  <c r="O49" i="6" s="1"/>
  <c r="O19" i="6" a="1"/>
  <c r="O19" i="6" s="1"/>
  <c r="M291" i="6" a="1"/>
  <c r="M291" i="6" s="1"/>
  <c r="M256" i="6" a="1"/>
  <c r="M256" i="6" s="1"/>
  <c r="M226" i="6" a="1"/>
  <c r="M226" i="6" s="1"/>
  <c r="M191" i="6" a="1"/>
  <c r="M191" i="6" s="1"/>
  <c r="M153" i="6" a="1"/>
  <c r="M153" i="6" s="1"/>
  <c r="M123" i="6" a="1"/>
  <c r="M123" i="6" s="1"/>
  <c r="M93" i="6" a="1"/>
  <c r="M93" i="6" s="1"/>
  <c r="M59" i="6" a="1"/>
  <c r="M59" i="6" s="1"/>
  <c r="M30" i="6" a="1"/>
  <c r="M30" i="6" s="1"/>
  <c r="J296" i="6"/>
  <c r="B294" i="6"/>
  <c r="E291" i="6"/>
  <c r="B289" i="6"/>
  <c r="J286" i="6"/>
  <c r="G284" i="6"/>
  <c r="D282" i="6"/>
  <c r="K279" i="6"/>
  <c r="F277" i="6"/>
  <c r="C275" i="6"/>
  <c r="K272" i="6"/>
  <c r="H270" i="6"/>
  <c r="E268" i="6"/>
  <c r="B266" i="6"/>
  <c r="G263" i="6"/>
  <c r="D261" i="6"/>
  <c r="L258" i="6"/>
  <c r="I256" i="6"/>
  <c r="F254" i="6"/>
  <c r="C252" i="6"/>
  <c r="J249" i="6"/>
  <c r="F247" i="6"/>
  <c r="D245" i="6"/>
  <c r="B243" i="6"/>
  <c r="L240" i="6"/>
  <c r="L238" i="6"/>
  <c r="L236" i="6"/>
  <c r="L234" i="6"/>
  <c r="L232" i="6"/>
  <c r="L230" i="6"/>
  <c r="L228" i="6"/>
  <c r="L226" i="6"/>
  <c r="L224" i="6"/>
  <c r="W268" i="6" a="1"/>
  <c r="W268" i="6" s="1"/>
  <c r="W226" i="6" a="1"/>
  <c r="W226" i="6" s="1"/>
  <c r="W184" i="6" a="1"/>
  <c r="W184" i="6" s="1"/>
  <c r="W139" i="6" a="1"/>
  <c r="W139" i="6" s="1"/>
  <c r="W97" i="6" a="1"/>
  <c r="W97" i="6" s="1"/>
  <c r="W60" i="6" a="1"/>
  <c r="W60" i="6" s="1"/>
  <c r="W17" i="6" a="1"/>
  <c r="W17" i="6" s="1"/>
  <c r="U265" i="6" a="1"/>
  <c r="U265" i="6" s="1"/>
  <c r="U228" i="6" a="1"/>
  <c r="U228" i="6" s="1"/>
  <c r="U183" i="6" a="1"/>
  <c r="U183" i="6" s="1"/>
  <c r="U142" i="6" a="1"/>
  <c r="U142" i="6" s="1"/>
  <c r="U101" i="6" a="1"/>
  <c r="U101" i="6" s="1"/>
  <c r="U55" i="6" a="1"/>
  <c r="U55" i="6" s="1"/>
  <c r="U10" i="6" a="1"/>
  <c r="U10" i="6" s="1"/>
  <c r="S275" i="6" a="1"/>
  <c r="S275" i="6" s="1"/>
  <c r="S234" i="6" a="1"/>
  <c r="S234" i="6" s="1"/>
  <c r="S157" i="6" a="1"/>
  <c r="S157" i="6" s="1"/>
  <c r="S116" i="6" a="1"/>
  <c r="S116" i="6" s="1"/>
  <c r="S36" i="6" a="1"/>
  <c r="S36" i="6" s="1"/>
  <c r="Q268" i="6" a="1"/>
  <c r="Q268" i="6" s="1"/>
  <c r="Q230" i="6" a="1"/>
  <c r="Q230" i="6" s="1"/>
  <c r="Q190" i="6" a="1"/>
  <c r="Q190" i="6" s="1"/>
  <c r="Q152" i="6" a="1"/>
  <c r="Q152" i="6" s="1"/>
  <c r="Q112" i="6" a="1"/>
  <c r="Q112" i="6" s="1"/>
  <c r="Q73" i="6" a="1"/>
  <c r="Q73" i="6" s="1"/>
  <c r="Q41" i="6" a="1"/>
  <c r="Q41" i="6" s="1"/>
  <c r="O277" i="6" a="1"/>
  <c r="O277" i="6" s="1"/>
  <c r="O234" i="6" a="1"/>
  <c r="O234" i="6" s="1"/>
  <c r="O191" i="6" a="1"/>
  <c r="O191" i="6" s="1"/>
  <c r="O151" i="6" a="1"/>
  <c r="O151" i="6" s="1"/>
  <c r="O109" i="6" a="1"/>
  <c r="O109" i="6" s="1"/>
  <c r="O69" i="6" a="1"/>
  <c r="O69" i="6" s="1"/>
  <c r="O36" i="6" a="1"/>
  <c r="O36" i="6" s="1"/>
  <c r="M259" i="6" a="1"/>
  <c r="M259" i="6" s="1"/>
  <c r="M218" i="6" a="1"/>
  <c r="M218" i="6" s="1"/>
  <c r="M182" i="6" a="1"/>
  <c r="M182" i="6" s="1"/>
  <c r="M144" i="6" a="1"/>
  <c r="M144" i="6" s="1"/>
  <c r="M106" i="6" a="1"/>
  <c r="M106" i="6" s="1"/>
  <c r="M68" i="6" a="1"/>
  <c r="M68" i="6" s="1"/>
  <c r="M34" i="6" a="1"/>
  <c r="M34" i="6" s="1"/>
  <c r="G296" i="6"/>
  <c r="E293" i="6"/>
  <c r="H290" i="6"/>
  <c r="B288" i="6"/>
  <c r="D285" i="6"/>
  <c r="I282" i="6"/>
  <c r="J279" i="6"/>
  <c r="C277" i="6"/>
  <c r="I274" i="6"/>
  <c r="D272" i="6"/>
  <c r="G269" i="6"/>
  <c r="B267" i="6"/>
  <c r="H264" i="6"/>
  <c r="C262" i="6"/>
  <c r="F259" i="6"/>
  <c r="L256" i="6"/>
  <c r="E254" i="6"/>
  <c r="J251" i="6"/>
  <c r="C249" i="6"/>
  <c r="J246" i="6"/>
  <c r="F244" i="6"/>
  <c r="B242" i="6"/>
  <c r="J239" i="6"/>
  <c r="H237" i="6"/>
  <c r="F235" i="6"/>
  <c r="D233" i="6"/>
  <c r="K230" i="6"/>
  <c r="I228" i="6"/>
  <c r="G226" i="6"/>
  <c r="E224" i="6"/>
  <c r="E222" i="6"/>
  <c r="E220" i="6"/>
  <c r="E218" i="6"/>
  <c r="E216" i="6"/>
  <c r="E214" i="6"/>
  <c r="E212" i="6"/>
  <c r="E210" i="6"/>
  <c r="E208" i="6"/>
  <c r="E206" i="6"/>
  <c r="E204" i="6"/>
  <c r="E202" i="6"/>
  <c r="E200" i="6"/>
  <c r="E198" i="6"/>
  <c r="E196" i="6"/>
  <c r="E194" i="6"/>
  <c r="E192" i="6"/>
  <c r="E190" i="6"/>
  <c r="E188" i="6"/>
  <c r="E186" i="6"/>
  <c r="E184" i="6"/>
  <c r="E182" i="6"/>
  <c r="E180" i="6"/>
  <c r="E178" i="6"/>
  <c r="E176" i="6"/>
  <c r="E174" i="6"/>
  <c r="E172" i="6"/>
  <c r="E170" i="6"/>
  <c r="E168" i="6"/>
  <c r="E166" i="6"/>
  <c r="E164" i="6"/>
  <c r="E162" i="6"/>
  <c r="E160" i="6"/>
  <c r="E158" i="6"/>
  <c r="E156" i="6"/>
  <c r="E154" i="6"/>
  <c r="E152" i="6"/>
  <c r="E150" i="6"/>
  <c r="E148" i="6"/>
  <c r="E146" i="6"/>
  <c r="E144" i="6"/>
  <c r="E142" i="6"/>
  <c r="E140" i="6"/>
  <c r="E138" i="6"/>
  <c r="E136" i="6"/>
  <c r="E134" i="6"/>
  <c r="E132" i="6"/>
  <c r="E130" i="6"/>
  <c r="E128" i="6"/>
  <c r="E126" i="6"/>
  <c r="E124" i="6"/>
  <c r="E122" i="6"/>
  <c r="E120" i="6"/>
  <c r="E118" i="6"/>
  <c r="E116" i="6"/>
  <c r="E114" i="6"/>
  <c r="E112" i="6"/>
  <c r="E110" i="6"/>
  <c r="E108" i="6"/>
  <c r="E106" i="6"/>
  <c r="E104" i="6"/>
  <c r="E102" i="6"/>
  <c r="E100" i="6"/>
  <c r="E98" i="6"/>
  <c r="E96" i="6"/>
  <c r="E94" i="6"/>
  <c r="E92" i="6"/>
  <c r="E90" i="6"/>
  <c r="E88" i="6"/>
  <c r="E86" i="6"/>
  <c r="E84" i="6"/>
  <c r="E82" i="6"/>
  <c r="E80" i="6"/>
  <c r="E78" i="6"/>
  <c r="E76" i="6"/>
  <c r="E74" i="6"/>
  <c r="E72" i="6"/>
  <c r="E70" i="6"/>
  <c r="E68" i="6"/>
  <c r="E66" i="6"/>
  <c r="E64" i="6"/>
  <c r="E62" i="6"/>
  <c r="E60" i="6"/>
  <c r="E58" i="6"/>
  <c r="E56" i="6"/>
  <c r="E54" i="6"/>
  <c r="E52" i="6"/>
  <c r="E50" i="6"/>
  <c r="E48" i="6"/>
  <c r="E46" i="6"/>
  <c r="W267" i="6" a="1"/>
  <c r="W267" i="6" s="1"/>
  <c r="W225" i="6" a="1"/>
  <c r="W225" i="6" s="1"/>
  <c r="W183" i="6" a="1"/>
  <c r="W183" i="6" s="1"/>
  <c r="W138" i="6" a="1"/>
  <c r="W138" i="6" s="1"/>
  <c r="W96" i="6" a="1"/>
  <c r="W96" i="6" s="1"/>
  <c r="W54" i="6" a="1"/>
  <c r="W54" i="6" s="1"/>
  <c r="W6" i="6" a="1"/>
  <c r="W6" i="6" s="1"/>
  <c r="U264" i="6" a="1"/>
  <c r="U264" i="6" s="1"/>
  <c r="U227" i="6" a="1"/>
  <c r="U227" i="6" s="1"/>
  <c r="U177" i="6" a="1"/>
  <c r="U177" i="6" s="1"/>
  <c r="U140" i="6" a="1"/>
  <c r="U140" i="6" s="1"/>
  <c r="U99" i="6" a="1"/>
  <c r="U99" i="6" s="1"/>
  <c r="U54" i="6" a="1"/>
  <c r="U54" i="6" s="1"/>
  <c r="U8" i="6" a="1"/>
  <c r="U8" i="6" s="1"/>
  <c r="S274" i="6" a="1"/>
  <c r="S274" i="6" s="1"/>
  <c r="S233" i="6" a="1"/>
  <c r="S233" i="6" s="1"/>
  <c r="S195" i="6" a="1"/>
  <c r="S195" i="6" s="1"/>
  <c r="S156" i="6" a="1"/>
  <c r="S156" i="6" s="1"/>
  <c r="S115" i="6" a="1"/>
  <c r="S115" i="6" s="1"/>
  <c r="S74" i="6" a="1"/>
  <c r="S74" i="6" s="1"/>
  <c r="S35" i="6" a="1"/>
  <c r="S35" i="6" s="1"/>
  <c r="Q267" i="6" a="1"/>
  <c r="Q267" i="6" s="1"/>
  <c r="Q229" i="6" a="1"/>
  <c r="Q229" i="6" s="1"/>
  <c r="Q148" i="6" a="1"/>
  <c r="Q148" i="6" s="1"/>
  <c r="Q111" i="6" a="1"/>
  <c r="Q111" i="6" s="1"/>
  <c r="Q72" i="6" a="1"/>
  <c r="Q72" i="6" s="1"/>
  <c r="Q40" i="6" a="1"/>
  <c r="Q40" i="6" s="1"/>
  <c r="O271" i="6" a="1"/>
  <c r="O271" i="6" s="1"/>
  <c r="O233" i="6" a="1"/>
  <c r="O233" i="6" s="1"/>
  <c r="O190" i="6" a="1"/>
  <c r="O190" i="6" s="1"/>
  <c r="O149" i="6" a="1"/>
  <c r="O149" i="6" s="1"/>
  <c r="O108" i="6" a="1"/>
  <c r="O108" i="6" s="1"/>
  <c r="O68" i="6" a="1"/>
  <c r="O68" i="6" s="1"/>
  <c r="O29" i="6" a="1"/>
  <c r="O29" i="6" s="1"/>
  <c r="M296" i="6" a="1"/>
  <c r="M296" i="6" s="1"/>
  <c r="M255" i="6" a="1"/>
  <c r="M255" i="6" s="1"/>
  <c r="M216" i="6" a="1"/>
  <c r="M216" i="6" s="1"/>
  <c r="M181" i="6" a="1"/>
  <c r="M181" i="6" s="1"/>
  <c r="M143" i="6" a="1"/>
  <c r="M143" i="6" s="1"/>
  <c r="M105" i="6" a="1"/>
  <c r="M105" i="6" s="1"/>
  <c r="M65" i="6" a="1"/>
  <c r="M65" i="6" s="1"/>
  <c r="M33" i="6" a="1"/>
  <c r="M33" i="6" s="1"/>
  <c r="F296" i="6"/>
  <c r="D293" i="6"/>
  <c r="G290" i="6"/>
  <c r="K287" i="6"/>
  <c r="C285" i="6"/>
  <c r="H282" i="6"/>
  <c r="G279" i="6"/>
  <c r="B277" i="6"/>
  <c r="H274" i="6"/>
  <c r="C272" i="6"/>
  <c r="F269" i="6"/>
  <c r="L266" i="6"/>
  <c r="G264" i="6"/>
  <c r="B262" i="6"/>
  <c r="E259" i="6"/>
  <c r="K256" i="6"/>
  <c r="D254" i="6"/>
  <c r="G251" i="6"/>
  <c r="B249" i="6"/>
  <c r="I246" i="6"/>
  <c r="E244" i="6"/>
  <c r="K241" i="6"/>
  <c r="I239" i="6"/>
  <c r="G237" i="6"/>
  <c r="E235" i="6"/>
  <c r="C233" i="6"/>
  <c r="J230" i="6"/>
  <c r="H228" i="6"/>
  <c r="F226" i="6"/>
  <c r="D224" i="6"/>
  <c r="D222" i="6"/>
  <c r="D220" i="6"/>
  <c r="D218" i="6"/>
  <c r="D216" i="6"/>
  <c r="D214" i="6"/>
  <c r="D212" i="6"/>
  <c r="D210" i="6"/>
  <c r="D208" i="6"/>
  <c r="D206" i="6"/>
  <c r="D204" i="6"/>
  <c r="D202" i="6"/>
  <c r="D200" i="6"/>
  <c r="D198" i="6"/>
  <c r="D196" i="6"/>
  <c r="D194" i="6"/>
  <c r="D192" i="6"/>
  <c r="D190" i="6"/>
  <c r="D188" i="6"/>
  <c r="D186" i="6"/>
  <c r="D184" i="6"/>
  <c r="D182" i="6"/>
  <c r="D180" i="6"/>
  <c r="D178" i="6"/>
  <c r="D176" i="6"/>
  <c r="D174" i="6"/>
  <c r="D172" i="6"/>
  <c r="D170" i="6"/>
  <c r="D168" i="6"/>
  <c r="D166" i="6"/>
  <c r="W264" i="6" a="1"/>
  <c r="W264" i="6" s="1"/>
  <c r="W222" i="6" a="1"/>
  <c r="W222" i="6" s="1"/>
  <c r="W179" i="6" a="1"/>
  <c r="W179" i="6" s="1"/>
  <c r="W135" i="6" a="1"/>
  <c r="W135" i="6" s="1"/>
  <c r="W93" i="6" a="1"/>
  <c r="W93" i="6" s="1"/>
  <c r="W45" i="6" a="1"/>
  <c r="W45" i="6" s="1"/>
  <c r="U261" i="6" a="1"/>
  <c r="U261" i="6" s="1"/>
  <c r="U218" i="6" a="1"/>
  <c r="U218" i="6" s="1"/>
  <c r="U174" i="6" a="1"/>
  <c r="U174" i="6" s="1"/>
  <c r="U132" i="6" a="1"/>
  <c r="U132" i="6" s="1"/>
  <c r="U89" i="6" a="1"/>
  <c r="U89" i="6" s="1"/>
  <c r="U42" i="6" a="1"/>
  <c r="U42" i="6" s="1"/>
  <c r="S271" i="6" a="1"/>
  <c r="S271" i="6" s="1"/>
  <c r="S230" i="6" a="1"/>
  <c r="S230" i="6" s="1"/>
  <c r="S192" i="6" a="1"/>
  <c r="S192" i="6" s="1"/>
  <c r="S152" i="6" a="1"/>
  <c r="S152" i="6" s="1"/>
  <c r="S109" i="6" a="1"/>
  <c r="S109" i="6" s="1"/>
  <c r="S71" i="6" a="1"/>
  <c r="S71" i="6" s="1"/>
  <c r="S30" i="6" a="1"/>
  <c r="S30" i="6" s="1"/>
  <c r="Q263" i="6" a="1"/>
  <c r="Q263" i="6" s="1"/>
  <c r="Q225" i="6" a="1"/>
  <c r="Q225" i="6" s="1"/>
  <c r="Q181" i="6" a="1"/>
  <c r="Q181" i="6" s="1"/>
  <c r="Q144" i="6" a="1"/>
  <c r="Q144" i="6" s="1"/>
  <c r="Q108" i="6" a="1"/>
  <c r="Q108" i="6" s="1"/>
  <c r="Q69" i="6" a="1"/>
  <c r="Q69" i="6" s="1"/>
  <c r="Q33" i="6" a="1"/>
  <c r="Q33" i="6" s="1"/>
  <c r="O265" i="6" a="1"/>
  <c r="O265" i="6" s="1"/>
  <c r="O222" i="6" a="1"/>
  <c r="O222" i="6" s="1"/>
  <c r="O182" i="6" a="1"/>
  <c r="O182" i="6" s="1"/>
  <c r="O139" i="6" a="1"/>
  <c r="O139" i="6" s="1"/>
  <c r="O104" i="6" a="1"/>
  <c r="O104" i="6" s="1"/>
  <c r="O65" i="6" a="1"/>
  <c r="O65" i="6" s="1"/>
  <c r="O24" i="6" a="1"/>
  <c r="O24" i="6" s="1"/>
  <c r="M285" i="6" a="1"/>
  <c r="M285" i="6" s="1"/>
  <c r="M252" i="6" a="1"/>
  <c r="M252" i="6" s="1"/>
  <c r="M211" i="6" a="1"/>
  <c r="M211" i="6" s="1"/>
  <c r="M173" i="6" a="1"/>
  <c r="M173" i="6" s="1"/>
  <c r="M140" i="6" a="1"/>
  <c r="M140" i="6" s="1"/>
  <c r="M99" i="6" a="1"/>
  <c r="M99" i="6" s="1"/>
  <c r="M62" i="6" a="1"/>
  <c r="M62" i="6" s="1"/>
  <c r="M27" i="6" a="1"/>
  <c r="M27" i="6" s="1"/>
  <c r="L295" i="6"/>
  <c r="AA295" i="6" s="1"/>
  <c r="K292" i="6"/>
  <c r="D290" i="6"/>
  <c r="F287" i="6"/>
  <c r="K284" i="6"/>
  <c r="B282" i="6"/>
  <c r="D279" i="6"/>
  <c r="J276" i="6"/>
  <c r="E274" i="6"/>
  <c r="J271" i="6"/>
  <c r="C269" i="6"/>
  <c r="I266" i="6"/>
  <c r="D264" i="6"/>
  <c r="G261" i="6"/>
  <c r="K258" i="6"/>
  <c r="F256" i="6"/>
  <c r="K253" i="6"/>
  <c r="D251" i="6"/>
  <c r="J248" i="6"/>
  <c r="F246" i="6"/>
  <c r="B244" i="6"/>
  <c r="H241" i="6"/>
  <c r="F239" i="6"/>
  <c r="D237" i="6"/>
  <c r="K234" i="6"/>
  <c r="I232" i="6"/>
  <c r="G230" i="6"/>
  <c r="E228" i="6"/>
  <c r="C226" i="6"/>
  <c r="L223" i="6"/>
  <c r="L221" i="6"/>
  <c r="L219" i="6"/>
  <c r="L217" i="6"/>
  <c r="W262" i="6" a="1"/>
  <c r="W262" i="6" s="1"/>
  <c r="W221" i="6" a="1"/>
  <c r="W221" i="6" s="1"/>
  <c r="W178" i="6" a="1"/>
  <c r="W178" i="6" s="1"/>
  <c r="W134" i="6" a="1"/>
  <c r="W134" i="6" s="1"/>
  <c r="W92" i="6" a="1"/>
  <c r="W92" i="6" s="1"/>
  <c r="W44" i="6" a="1"/>
  <c r="W44" i="6" s="1"/>
  <c r="U260" i="6" a="1"/>
  <c r="U260" i="6" s="1"/>
  <c r="U215" i="6" a="1"/>
  <c r="U215" i="6" s="1"/>
  <c r="U173" i="6" a="1"/>
  <c r="U173" i="6" s="1"/>
  <c r="U131" i="6" a="1"/>
  <c r="U131" i="6" s="1"/>
  <c r="U83" i="6" a="1"/>
  <c r="U83" i="6" s="1"/>
  <c r="U41" i="6" a="1"/>
  <c r="U41" i="6" s="1"/>
  <c r="S266" i="6" a="1"/>
  <c r="S266" i="6" s="1"/>
  <c r="S191" i="6" a="1"/>
  <c r="S191" i="6" s="1"/>
  <c r="S70" i="6" a="1"/>
  <c r="S70" i="6" s="1"/>
  <c r="S29" i="6" a="1"/>
  <c r="S29" i="6" s="1"/>
  <c r="Q296" i="6" a="1"/>
  <c r="Q296" i="6" s="1"/>
  <c r="Q262" i="6" a="1"/>
  <c r="Q262" i="6" s="1"/>
  <c r="Q222" i="6" a="1"/>
  <c r="Q222" i="6" s="1"/>
  <c r="Q176" i="6" a="1"/>
  <c r="Q176" i="6" s="1"/>
  <c r="Q104" i="6" a="1"/>
  <c r="Q104" i="6" s="1"/>
  <c r="Q68" i="6" a="1"/>
  <c r="Q68" i="6" s="1"/>
  <c r="Q32" i="6" a="1"/>
  <c r="Q32" i="6" s="1"/>
  <c r="O264" i="6" a="1"/>
  <c r="O264" i="6" s="1"/>
  <c r="O221" i="6" a="1"/>
  <c r="O221" i="6" s="1"/>
  <c r="O181" i="6" a="1"/>
  <c r="O181" i="6" s="1"/>
  <c r="O138" i="6" a="1"/>
  <c r="O138" i="6" s="1"/>
  <c r="O103" i="6" a="1"/>
  <c r="O103" i="6" s="1"/>
  <c r="O64" i="6" a="1"/>
  <c r="O64" i="6" s="1"/>
  <c r="O23" i="6" a="1"/>
  <c r="O23" i="6" s="1"/>
  <c r="M284" i="6" a="1"/>
  <c r="M284" i="6" s="1"/>
  <c r="M251" i="6" a="1"/>
  <c r="M251" i="6" s="1"/>
  <c r="M210" i="6" a="1"/>
  <c r="M210" i="6" s="1"/>
  <c r="M172" i="6" a="1"/>
  <c r="M172" i="6" s="1"/>
  <c r="M139" i="6" a="1"/>
  <c r="M139" i="6" s="1"/>
  <c r="M98" i="6" a="1"/>
  <c r="M98" i="6" s="1"/>
  <c r="M58" i="6" a="1"/>
  <c r="M58" i="6" s="1"/>
  <c r="M24" i="6" a="1"/>
  <c r="M24" i="6" s="1"/>
  <c r="K295" i="6"/>
  <c r="J292" i="6"/>
  <c r="C290" i="6"/>
  <c r="E287" i="6"/>
  <c r="J284" i="6"/>
  <c r="K281" i="6"/>
  <c r="C279" i="6"/>
  <c r="I276" i="6"/>
  <c r="D274" i="6"/>
  <c r="G271" i="6"/>
  <c r="B269" i="6"/>
  <c r="H266" i="6"/>
  <c r="C264" i="6"/>
  <c r="F261" i="6"/>
  <c r="J258" i="6"/>
  <c r="E256" i="6"/>
  <c r="J253" i="6"/>
  <c r="C251" i="6"/>
  <c r="I248" i="6"/>
  <c r="E246" i="6"/>
  <c r="K243" i="6"/>
  <c r="G241" i="6"/>
  <c r="E239" i="6"/>
  <c r="C237" i="6"/>
  <c r="J234" i="6"/>
  <c r="H232" i="6"/>
  <c r="F230" i="6"/>
  <c r="D228" i="6"/>
  <c r="B226" i="6"/>
  <c r="K223" i="6"/>
  <c r="K221" i="6"/>
  <c r="K219" i="6"/>
  <c r="K217" i="6"/>
  <c r="K215" i="6"/>
  <c r="K213" i="6"/>
  <c r="K211" i="6"/>
  <c r="K209" i="6"/>
  <c r="K207" i="6"/>
  <c r="K205" i="6"/>
  <c r="K203" i="6"/>
  <c r="K201" i="6"/>
  <c r="K199" i="6"/>
  <c r="W266" i="6" a="1"/>
  <c r="W266" i="6" s="1"/>
  <c r="W217" i="6" a="1"/>
  <c r="W217" i="6" s="1"/>
  <c r="W162" i="6" a="1"/>
  <c r="W162" i="6" s="1"/>
  <c r="W110" i="6" a="1"/>
  <c r="W110" i="6" s="1"/>
  <c r="W63" i="6" a="1"/>
  <c r="W63" i="6" s="1"/>
  <c r="U257" i="6" a="1"/>
  <c r="U257" i="6" s="1"/>
  <c r="U206" i="6" a="1"/>
  <c r="U206" i="6" s="1"/>
  <c r="U149" i="6" a="1"/>
  <c r="U149" i="6" s="1"/>
  <c r="U103" i="6" a="1"/>
  <c r="U103" i="6" s="1"/>
  <c r="U40" i="6" a="1"/>
  <c r="U40" i="6" s="1"/>
  <c r="S255" i="6" a="1"/>
  <c r="S255" i="6" s="1"/>
  <c r="S206" i="6" a="1"/>
  <c r="S206" i="6" s="1"/>
  <c r="S159" i="6" a="1"/>
  <c r="S159" i="6" s="1"/>
  <c r="S107" i="6" a="1"/>
  <c r="S107" i="6" s="1"/>
  <c r="S56" i="6" a="1"/>
  <c r="S56" i="6" s="1"/>
  <c r="S14" i="6" a="1"/>
  <c r="S14" i="6" s="1"/>
  <c r="Q276" i="6" a="1"/>
  <c r="Q276" i="6" s="1"/>
  <c r="Q232" i="6" a="1"/>
  <c r="Q232" i="6" s="1"/>
  <c r="Q185" i="6" a="1"/>
  <c r="Q185" i="6" s="1"/>
  <c r="Q134" i="6" a="1"/>
  <c r="Q134" i="6" s="1"/>
  <c r="Q92" i="6" a="1"/>
  <c r="Q92" i="6" s="1"/>
  <c r="Q46" i="6" a="1"/>
  <c r="Q46" i="6" s="1"/>
  <c r="Q6" i="6" a="1"/>
  <c r="Q6" i="6" s="1"/>
  <c r="O269" i="6" a="1"/>
  <c r="O269" i="6" s="1"/>
  <c r="O218" i="6" a="1"/>
  <c r="O218" i="6" s="1"/>
  <c r="O170" i="6" a="1"/>
  <c r="O170" i="6" s="1"/>
  <c r="O117" i="6" a="1"/>
  <c r="O117" i="6" s="1"/>
  <c r="O71" i="6" a="1"/>
  <c r="O71" i="6" s="1"/>
  <c r="O22" i="6" a="1"/>
  <c r="O22" i="6" s="1"/>
  <c r="M280" i="6" a="1"/>
  <c r="M280" i="6" s="1"/>
  <c r="M235" i="6" a="1"/>
  <c r="M235" i="6" s="1"/>
  <c r="M189" i="6" a="1"/>
  <c r="M189" i="6" s="1"/>
  <c r="M145" i="6" a="1"/>
  <c r="M145" i="6" s="1"/>
  <c r="M96" i="6" a="1"/>
  <c r="M96" i="6" s="1"/>
  <c r="M52" i="6" a="1"/>
  <c r="M52" i="6" s="1"/>
  <c r="M9" i="6" a="1"/>
  <c r="M9" i="6" s="1"/>
  <c r="I293" i="6"/>
  <c r="E290" i="6"/>
  <c r="I286" i="6"/>
  <c r="G283" i="6"/>
  <c r="H280" i="6"/>
  <c r="D277" i="6"/>
  <c r="B274" i="6"/>
  <c r="L270" i="6"/>
  <c r="K267" i="6"/>
  <c r="K264" i="6"/>
  <c r="J261" i="6"/>
  <c r="F258" i="6"/>
  <c r="E255" i="6"/>
  <c r="G252" i="6"/>
  <c r="D249" i="6"/>
  <c r="C246" i="6"/>
  <c r="D243" i="6"/>
  <c r="F240" i="6"/>
  <c r="K237" i="6"/>
  <c r="C235" i="6"/>
  <c r="D232" i="6"/>
  <c r="I229" i="6"/>
  <c r="C227" i="6"/>
  <c r="F224" i="6"/>
  <c r="I221" i="6"/>
  <c r="E219" i="6"/>
  <c r="L216" i="6"/>
  <c r="I214" i="6"/>
  <c r="F212" i="6"/>
  <c r="L209" i="6"/>
  <c r="H207" i="6"/>
  <c r="E205" i="6"/>
  <c r="B203" i="6"/>
  <c r="J200" i="6"/>
  <c r="G198" i="6"/>
  <c r="C196" i="6"/>
  <c r="L193" i="6"/>
  <c r="J191" i="6"/>
  <c r="H189" i="6"/>
  <c r="F187" i="6"/>
  <c r="D185" i="6"/>
  <c r="B183" i="6"/>
  <c r="K180" i="6"/>
  <c r="I178" i="6"/>
  <c r="G176" i="6"/>
  <c r="C174" i="6"/>
  <c r="L171" i="6"/>
  <c r="J169" i="6"/>
  <c r="H167" i="6"/>
  <c r="F165" i="6"/>
  <c r="E163" i="6"/>
  <c r="D161" i="6"/>
  <c r="C159" i="6"/>
  <c r="B157" i="6"/>
  <c r="L154" i="6"/>
  <c r="K152" i="6"/>
  <c r="J150" i="6"/>
  <c r="I148" i="6"/>
  <c r="H146" i="6"/>
  <c r="G144" i="6"/>
  <c r="F142" i="6"/>
  <c r="D140" i="6"/>
  <c r="C138" i="6"/>
  <c r="B136" i="6"/>
  <c r="L133" i="6"/>
  <c r="K131" i="6"/>
  <c r="J129" i="6"/>
  <c r="I127" i="6"/>
  <c r="H125" i="6"/>
  <c r="G123" i="6"/>
  <c r="F121" i="6"/>
  <c r="E119" i="6"/>
  <c r="D117" i="6"/>
  <c r="C115" i="6"/>
  <c r="B113" i="6"/>
  <c r="L110" i="6"/>
  <c r="K108" i="6"/>
  <c r="J106" i="6"/>
  <c r="I104" i="6"/>
  <c r="H102" i="6"/>
  <c r="G100" i="6"/>
  <c r="F98" i="6"/>
  <c r="D96" i="6"/>
  <c r="C94" i="6"/>
  <c r="B92" i="6"/>
  <c r="L89" i="6"/>
  <c r="K87" i="6"/>
  <c r="J85" i="6"/>
  <c r="I83" i="6"/>
  <c r="H81" i="6"/>
  <c r="G79" i="6"/>
  <c r="F77" i="6"/>
  <c r="E75" i="6"/>
  <c r="D73" i="6"/>
  <c r="C71" i="6"/>
  <c r="B69" i="6"/>
  <c r="L66" i="6"/>
  <c r="K64" i="6"/>
  <c r="J62" i="6"/>
  <c r="I60" i="6"/>
  <c r="H58" i="6"/>
  <c r="G56" i="6"/>
  <c r="F54" i="6"/>
  <c r="D52" i="6"/>
  <c r="C50" i="6"/>
  <c r="B48" i="6"/>
  <c r="L45" i="6"/>
  <c r="L43" i="6"/>
  <c r="L41" i="6"/>
  <c r="L39" i="6"/>
  <c r="L37" i="6"/>
  <c r="L35" i="6"/>
  <c r="L33" i="6"/>
  <c r="L31" i="6"/>
  <c r="L29" i="6"/>
  <c r="L27" i="6"/>
  <c r="L25" i="6"/>
  <c r="L23" i="6"/>
  <c r="L21" i="6"/>
  <c r="L19" i="6"/>
  <c r="L17" i="6"/>
  <c r="L15" i="6"/>
  <c r="L13" i="6"/>
  <c r="L11" i="6"/>
  <c r="L9" i="6"/>
  <c r="L7" i="6"/>
  <c r="W265" i="6" a="1"/>
  <c r="W265" i="6" s="1"/>
  <c r="W215" i="6" a="1"/>
  <c r="W215" i="6" s="1"/>
  <c r="W158" i="6" a="1"/>
  <c r="W158" i="6" s="1"/>
  <c r="W108" i="6" a="1"/>
  <c r="W108" i="6" s="1"/>
  <c r="W61" i="6" a="1"/>
  <c r="W61" i="6" s="1"/>
  <c r="U255" i="6" a="1"/>
  <c r="U255" i="6" s="1"/>
  <c r="U205" i="6" a="1"/>
  <c r="U205" i="6" s="1"/>
  <c r="U148" i="6" a="1"/>
  <c r="U148" i="6" s="1"/>
  <c r="U102" i="6" a="1"/>
  <c r="U102" i="6" s="1"/>
  <c r="U39" i="6" a="1"/>
  <c r="U39" i="6" s="1"/>
  <c r="S254" i="6" a="1"/>
  <c r="S254" i="6" s="1"/>
  <c r="S205" i="6" a="1"/>
  <c r="S205" i="6" s="1"/>
  <c r="S158" i="6" a="1"/>
  <c r="S158" i="6" s="1"/>
  <c r="S105" i="6" a="1"/>
  <c r="S105" i="6" s="1"/>
  <c r="S55" i="6" a="1"/>
  <c r="S55" i="6" s="1"/>
  <c r="S13" i="6" a="1"/>
  <c r="S13" i="6" s="1"/>
  <c r="Q274" i="6" a="1"/>
  <c r="Q274" i="6" s="1"/>
  <c r="Q175" i="6" a="1"/>
  <c r="Q175" i="6" s="1"/>
  <c r="Q133" i="6" a="1"/>
  <c r="Q133" i="6" s="1"/>
  <c r="Q91" i="6" a="1"/>
  <c r="Q91" i="6" s="1"/>
  <c r="Q45" i="6" a="1"/>
  <c r="Q45" i="6" s="1"/>
  <c r="O268" i="6" a="1"/>
  <c r="O268" i="6" s="1"/>
  <c r="O217" i="6" a="1"/>
  <c r="O217" i="6" s="1"/>
  <c r="O169" i="6" a="1"/>
  <c r="O169" i="6" s="1"/>
  <c r="O116" i="6" a="1"/>
  <c r="O116" i="6" s="1"/>
  <c r="O70" i="6" a="1"/>
  <c r="O70" i="6" s="1"/>
  <c r="O18" i="6" a="1"/>
  <c r="O18" i="6" s="1"/>
  <c r="M279" i="6" a="1"/>
  <c r="M279" i="6" s="1"/>
  <c r="M234" i="6" a="1"/>
  <c r="M234" i="6" s="1"/>
  <c r="M188" i="6" a="1"/>
  <c r="M188" i="6" s="1"/>
  <c r="M142" i="6" a="1"/>
  <c r="M142" i="6" s="1"/>
  <c r="M87" i="6" a="1"/>
  <c r="M87" i="6" s="1"/>
  <c r="M50" i="6" a="1"/>
  <c r="M50" i="6" s="1"/>
  <c r="M8" i="6" a="1"/>
  <c r="M8" i="6" s="1"/>
  <c r="H293" i="6"/>
  <c r="B290" i="6"/>
  <c r="H286" i="6"/>
  <c r="F283" i="6"/>
  <c r="G280" i="6"/>
  <c r="L276" i="6"/>
  <c r="K273" i="6"/>
  <c r="K270" i="6"/>
  <c r="J267" i="6"/>
  <c r="J264" i="6"/>
  <c r="C261" i="6"/>
  <c r="E258" i="6"/>
  <c r="D255" i="6"/>
  <c r="F252" i="6"/>
  <c r="L248" i="6"/>
  <c r="B246" i="6"/>
  <c r="L242" i="6"/>
  <c r="E240" i="6"/>
  <c r="J237" i="6"/>
  <c r="I234" i="6"/>
  <c r="C232" i="6"/>
  <c r="H229" i="6"/>
  <c r="K226" i="6"/>
  <c r="C224" i="6"/>
  <c r="H221" i="6"/>
  <c r="D219" i="6"/>
  <c r="K216" i="6"/>
  <c r="H214" i="6"/>
  <c r="C212" i="6"/>
  <c r="J209" i="6"/>
  <c r="G207" i="6"/>
  <c r="D205" i="6"/>
  <c r="L202" i="6"/>
  <c r="I200" i="6"/>
  <c r="F198" i="6"/>
  <c r="B196" i="6"/>
  <c r="K193" i="6"/>
  <c r="I191" i="6"/>
  <c r="G189" i="6"/>
  <c r="E187" i="6"/>
  <c r="C185" i="6"/>
  <c r="L182" i="6"/>
  <c r="J180" i="6"/>
  <c r="H178" i="6"/>
  <c r="F176" i="6"/>
  <c r="B174" i="6"/>
  <c r="K171" i="6"/>
  <c r="I169" i="6"/>
  <c r="G167" i="6"/>
  <c r="E165" i="6"/>
  <c r="D163" i="6"/>
  <c r="C161" i="6"/>
  <c r="B159" i="6"/>
  <c r="L156" i="6"/>
  <c r="K154" i="6"/>
  <c r="J152" i="6"/>
  <c r="I150" i="6"/>
  <c r="H148" i="6"/>
  <c r="G146" i="6"/>
  <c r="F144" i="6"/>
  <c r="D142" i="6"/>
  <c r="C140" i="6"/>
  <c r="B138" i="6"/>
  <c r="L135" i="6"/>
  <c r="K133" i="6"/>
  <c r="J131" i="6"/>
  <c r="I129" i="6"/>
  <c r="H127" i="6"/>
  <c r="G125" i="6"/>
  <c r="F123" i="6"/>
  <c r="E121" i="6"/>
  <c r="D119" i="6"/>
  <c r="C117" i="6"/>
  <c r="B115" i="6"/>
  <c r="L112" i="6"/>
  <c r="K110" i="6"/>
  <c r="J108" i="6"/>
  <c r="I106" i="6"/>
  <c r="H104" i="6"/>
  <c r="G102" i="6"/>
  <c r="F100" i="6"/>
  <c r="D98" i="6"/>
  <c r="C96" i="6"/>
  <c r="B94" i="6"/>
  <c r="L91" i="6"/>
  <c r="K89" i="6"/>
  <c r="J87" i="6"/>
  <c r="I85" i="6"/>
  <c r="H83" i="6"/>
  <c r="G81" i="6"/>
  <c r="F79" i="6"/>
  <c r="E77" i="6"/>
  <c r="D75" i="6"/>
  <c r="C73" i="6"/>
  <c r="B71" i="6"/>
  <c r="L68" i="6"/>
  <c r="K66" i="6"/>
  <c r="J64" i="6"/>
  <c r="I62" i="6"/>
  <c r="H60" i="6"/>
  <c r="G58" i="6"/>
  <c r="F56" i="6"/>
  <c r="D54" i="6"/>
  <c r="C52" i="6"/>
  <c r="B50" i="6"/>
  <c r="L47" i="6"/>
  <c r="K45" i="6"/>
  <c r="K43" i="6"/>
  <c r="K41" i="6"/>
  <c r="K39" i="6"/>
  <c r="K37" i="6"/>
  <c r="K35" i="6"/>
  <c r="K33" i="6"/>
  <c r="K31" i="6"/>
  <c r="K29" i="6"/>
  <c r="K27" i="6"/>
  <c r="K25" i="6"/>
  <c r="K23" i="6"/>
  <c r="K21" i="6"/>
  <c r="K19" i="6"/>
  <c r="K17" i="6"/>
  <c r="K15" i="6"/>
  <c r="K13" i="6"/>
  <c r="K11" i="6"/>
  <c r="K9" i="6"/>
  <c r="K7" i="6"/>
  <c r="W261" i="6" a="1"/>
  <c r="W261" i="6" s="1"/>
  <c r="W208" i="6" a="1"/>
  <c r="W208" i="6" s="1"/>
  <c r="W157" i="6" a="1"/>
  <c r="W157" i="6" s="1"/>
  <c r="W107" i="6" a="1"/>
  <c r="W107" i="6" s="1"/>
  <c r="W53" i="6" a="1"/>
  <c r="W53" i="6" s="1"/>
  <c r="U253" i="6" a="1"/>
  <c r="U253" i="6" s="1"/>
  <c r="U196" i="6" a="1"/>
  <c r="U196" i="6" s="1"/>
  <c r="U147" i="6" a="1"/>
  <c r="U147" i="6" s="1"/>
  <c r="U98" i="6" a="1"/>
  <c r="U98" i="6" s="1"/>
  <c r="U38" i="6" a="1"/>
  <c r="U38" i="6" s="1"/>
  <c r="S253" i="6" a="1"/>
  <c r="S253" i="6" s="1"/>
  <c r="S199" i="6" a="1"/>
  <c r="S199" i="6" s="1"/>
  <c r="S155" i="6" a="1"/>
  <c r="S155" i="6" s="1"/>
  <c r="S104" i="6" a="1"/>
  <c r="S104" i="6" s="1"/>
  <c r="S54" i="6" a="1"/>
  <c r="S54" i="6" s="1"/>
  <c r="S9" i="6" a="1"/>
  <c r="S9" i="6" s="1"/>
  <c r="Q273" i="6" a="1"/>
  <c r="Q273" i="6" s="1"/>
  <c r="Q231" i="6" a="1"/>
  <c r="Q231" i="6" s="1"/>
  <c r="Q174" i="6" a="1"/>
  <c r="Q174" i="6" s="1"/>
  <c r="Q131" i="6" a="1"/>
  <c r="Q131" i="6" s="1"/>
  <c r="Q90" i="6" a="1"/>
  <c r="Q90" i="6" s="1"/>
  <c r="W258" i="6" a="1"/>
  <c r="W258" i="6" s="1"/>
  <c r="W204" i="6" a="1"/>
  <c r="W204" i="6" s="1"/>
  <c r="W155" i="6" a="1"/>
  <c r="W155" i="6" s="1"/>
  <c r="W104" i="6" a="1"/>
  <c r="W104" i="6" s="1"/>
  <c r="W42" i="6" a="1"/>
  <c r="W42" i="6" s="1"/>
  <c r="U243" i="6" a="1"/>
  <c r="U243" i="6" s="1"/>
  <c r="U194" i="6" a="1"/>
  <c r="U194" i="6" s="1"/>
  <c r="U145" i="6" a="1"/>
  <c r="U145" i="6" s="1"/>
  <c r="U82" i="6" a="1"/>
  <c r="U82" i="6" s="1"/>
  <c r="U36" i="6" a="1"/>
  <c r="U36" i="6" s="1"/>
  <c r="S294" i="6" a="1"/>
  <c r="S294" i="6" s="1"/>
  <c r="S248" i="6" a="1"/>
  <c r="S248" i="6" s="1"/>
  <c r="S197" i="6" a="1"/>
  <c r="S197" i="6" s="1"/>
  <c r="S144" i="6" a="1"/>
  <c r="S144" i="6" s="1"/>
  <c r="S97" i="6" a="1"/>
  <c r="S97" i="6" s="1"/>
  <c r="S6" i="6" a="1"/>
  <c r="S6" i="6" s="1"/>
  <c r="Q271" i="6" a="1"/>
  <c r="Q271" i="6" s="1"/>
  <c r="Q227" i="6" a="1"/>
  <c r="Q227" i="6" s="1"/>
  <c r="Q172" i="6" a="1"/>
  <c r="Q172" i="6" s="1"/>
  <c r="Q129" i="6" a="1"/>
  <c r="Q129" i="6" s="1"/>
  <c r="Q86" i="6" a="1"/>
  <c r="Q86" i="6" s="1"/>
  <c r="Q42" i="6" a="1"/>
  <c r="Q42" i="6" s="1"/>
  <c r="O257" i="6" a="1"/>
  <c r="O257" i="6" s="1"/>
  <c r="O212" i="6" a="1"/>
  <c r="O212" i="6" s="1"/>
  <c r="O161" i="6" a="1"/>
  <c r="O161" i="6" s="1"/>
  <c r="O111" i="6" a="1"/>
  <c r="O111" i="6" s="1"/>
  <c r="O63" i="6" a="1"/>
  <c r="O63" i="6" s="1"/>
  <c r="O15" i="6" a="1"/>
  <c r="O15" i="6" s="1"/>
  <c r="M275" i="6" a="1"/>
  <c r="M275" i="6" s="1"/>
  <c r="M231" i="6" a="1"/>
  <c r="M231" i="6" s="1"/>
  <c r="M183" i="6" a="1"/>
  <c r="M183" i="6" s="1"/>
  <c r="M137" i="6" a="1"/>
  <c r="M137" i="6" s="1"/>
  <c r="M84" i="6" a="1"/>
  <c r="M84" i="6" s="1"/>
  <c r="M41" i="6" a="1"/>
  <c r="M41" i="6" s="1"/>
  <c r="L292" i="6"/>
  <c r="G289" i="6"/>
  <c r="E286" i="6"/>
  <c r="C283" i="6"/>
  <c r="D280" i="6"/>
  <c r="G276" i="6"/>
  <c r="F273" i="6"/>
  <c r="F270" i="6"/>
  <c r="E267" i="6"/>
  <c r="E264" i="6"/>
  <c r="K260" i="6"/>
  <c r="B258" i="6"/>
  <c r="L254" i="6"/>
  <c r="K251" i="6"/>
  <c r="G248" i="6"/>
  <c r="I245" i="6"/>
  <c r="I242" i="6"/>
  <c r="B240" i="6"/>
  <c r="E237" i="6"/>
  <c r="F234" i="6"/>
  <c r="K231" i="6"/>
  <c r="E229" i="6"/>
  <c r="H226" i="6"/>
  <c r="I223" i="6"/>
  <c r="E221" i="6"/>
  <c r="L218" i="6"/>
  <c r="H216" i="6"/>
  <c r="C214" i="6"/>
  <c r="J211" i="6"/>
  <c r="G209" i="6"/>
  <c r="D207" i="6"/>
  <c r="L204" i="6"/>
  <c r="I202" i="6"/>
  <c r="F200" i="6"/>
  <c r="L197" i="6"/>
  <c r="J195" i="6"/>
  <c r="H193" i="6"/>
  <c r="F191" i="6"/>
  <c r="D189" i="6"/>
  <c r="B187" i="6"/>
  <c r="K184" i="6"/>
  <c r="I182" i="6"/>
  <c r="G180" i="6"/>
  <c r="C178" i="6"/>
  <c r="L175" i="6"/>
  <c r="J173" i="6"/>
  <c r="H171" i="6"/>
  <c r="F169" i="6"/>
  <c r="D167" i="6"/>
  <c r="W296" i="6" a="1"/>
  <c r="W296" i="6" s="1"/>
  <c r="W249" i="6" a="1"/>
  <c r="W249" i="6" s="1"/>
  <c r="W196" i="6" a="1"/>
  <c r="W196" i="6" s="1"/>
  <c r="W148" i="6" a="1"/>
  <c r="W148" i="6" s="1"/>
  <c r="W91" i="6" a="1"/>
  <c r="W91" i="6" s="1"/>
  <c r="W32" i="6" a="1"/>
  <c r="W32" i="6" s="1"/>
  <c r="U293" i="6" a="1"/>
  <c r="U293" i="6" s="1"/>
  <c r="U239" i="6" a="1"/>
  <c r="U239" i="6" s="1"/>
  <c r="U189" i="6" a="1"/>
  <c r="U189" i="6" s="1"/>
  <c r="U130" i="6" a="1"/>
  <c r="U130" i="6" s="1"/>
  <c r="U77" i="6" a="1"/>
  <c r="U77" i="6" s="1"/>
  <c r="U29" i="6" a="1"/>
  <c r="U29" i="6" s="1"/>
  <c r="S289" i="6" a="1"/>
  <c r="S289" i="6" s="1"/>
  <c r="S238" i="6" a="1"/>
  <c r="S238" i="6" s="1"/>
  <c r="S190" i="6" a="1"/>
  <c r="S190" i="6" s="1"/>
  <c r="S136" i="6" a="1"/>
  <c r="S136" i="6" s="1"/>
  <c r="S93" i="6" a="1"/>
  <c r="S93" i="6" s="1"/>
  <c r="S49" i="6" a="1"/>
  <c r="S49" i="6" s="1"/>
  <c r="Q168" i="6" a="1"/>
  <c r="Q168" i="6" s="1"/>
  <c r="Q124" i="6" a="1"/>
  <c r="Q124" i="6" s="1"/>
  <c r="Q74" i="6" a="1"/>
  <c r="Q74" i="6" s="1"/>
  <c r="Q30" i="6" a="1"/>
  <c r="Q30" i="6" s="1"/>
  <c r="O248" i="6" a="1"/>
  <c r="O248" i="6" s="1"/>
  <c r="O201" i="6" a="1"/>
  <c r="O201" i="6" s="1"/>
  <c r="O154" i="6" a="1"/>
  <c r="O154" i="6" s="1"/>
  <c r="O102" i="6" a="1"/>
  <c r="O102" i="6" s="1"/>
  <c r="O48" i="6" a="1"/>
  <c r="O48" i="6" s="1"/>
  <c r="O6" i="6" a="1"/>
  <c r="O6" i="6" s="1"/>
  <c r="M269" i="6" a="1"/>
  <c r="M269" i="6" s="1"/>
  <c r="M219" i="6" a="1"/>
  <c r="M219" i="6" s="1"/>
  <c r="M170" i="6" a="1"/>
  <c r="M170" i="6" s="1"/>
  <c r="M122" i="6" a="1"/>
  <c r="M122" i="6" s="1"/>
  <c r="M80" i="6" a="1"/>
  <c r="M80" i="6" s="1"/>
  <c r="M37" i="6" a="1"/>
  <c r="M37" i="6" s="1"/>
  <c r="B296" i="6"/>
  <c r="F292" i="6"/>
  <c r="K288" i="6"/>
  <c r="K285" i="6"/>
  <c r="J282" i="6"/>
  <c r="L278" i="6"/>
  <c r="C276" i="6"/>
  <c r="B273" i="6"/>
  <c r="B270" i="6"/>
  <c r="J266" i="6"/>
  <c r="E263" i="6"/>
  <c r="G260" i="6"/>
  <c r="F257" i="6"/>
  <c r="H254" i="6"/>
  <c r="L250" i="6"/>
  <c r="C248" i="6"/>
  <c r="B245" i="6"/>
  <c r="E242" i="6"/>
  <c r="G239" i="6"/>
  <c r="H236" i="6"/>
  <c r="B234" i="6"/>
  <c r="G231" i="6"/>
  <c r="J228" i="6"/>
  <c r="K225" i="6"/>
  <c r="E223" i="6"/>
  <c r="L220" i="6"/>
  <c r="H218" i="6"/>
  <c r="B216" i="6"/>
  <c r="I213" i="6"/>
  <c r="F211" i="6"/>
  <c r="C209" i="6"/>
  <c r="W287" i="6" a="1"/>
  <c r="W287" i="6" s="1"/>
  <c r="W250" i="6" a="1"/>
  <c r="W250" i="6" s="1"/>
  <c r="W185" i="6" a="1"/>
  <c r="W185" i="6" s="1"/>
  <c r="W117" i="6" a="1"/>
  <c r="W117" i="6" s="1"/>
  <c r="W41" i="6" a="1"/>
  <c r="W41" i="6" s="1"/>
  <c r="U296" i="6" a="1"/>
  <c r="U296" i="6" s="1"/>
  <c r="U231" i="6" a="1"/>
  <c r="U231" i="6" s="1"/>
  <c r="U162" i="6" a="1"/>
  <c r="U162" i="6" s="1"/>
  <c r="U96" i="6" a="1"/>
  <c r="U96" i="6" s="1"/>
  <c r="U20" i="6" a="1"/>
  <c r="U20" i="6" s="1"/>
  <c r="S277" i="6" a="1"/>
  <c r="S277" i="6" s="1"/>
  <c r="S154" i="6" a="1"/>
  <c r="S154" i="6" s="1"/>
  <c r="S89" i="6" a="1"/>
  <c r="S89" i="6" s="1"/>
  <c r="S26" i="6" a="1"/>
  <c r="S26" i="6" s="1"/>
  <c r="Q289" i="6" a="1"/>
  <c r="Q289" i="6" s="1"/>
  <c r="Q211" i="6" a="1"/>
  <c r="Q211" i="6" s="1"/>
  <c r="Q161" i="6" a="1"/>
  <c r="Q161" i="6" s="1"/>
  <c r="Q101" i="6" a="1"/>
  <c r="Q101" i="6" s="1"/>
  <c r="Q44" i="6" a="1"/>
  <c r="Q44" i="6" s="1"/>
  <c r="O247" i="6" a="1"/>
  <c r="O247" i="6" s="1"/>
  <c r="O196" i="6" a="1"/>
  <c r="O196" i="6" s="1"/>
  <c r="O132" i="6" a="1"/>
  <c r="O132" i="6" s="1"/>
  <c r="O72" i="6" a="1"/>
  <c r="O72" i="6" s="1"/>
  <c r="O13" i="6" a="1"/>
  <c r="O13" i="6" s="1"/>
  <c r="M261" i="6" a="1"/>
  <c r="M261" i="6" s="1"/>
  <c r="M205" i="6" a="1"/>
  <c r="M205" i="6" s="1"/>
  <c r="M148" i="6" a="1"/>
  <c r="M148" i="6" s="1"/>
  <c r="M85" i="6" a="1"/>
  <c r="M85" i="6" s="1"/>
  <c r="M36" i="6" a="1"/>
  <c r="M36" i="6" s="1"/>
  <c r="D295" i="6"/>
  <c r="L290" i="6"/>
  <c r="B287" i="6"/>
  <c r="L282" i="6"/>
  <c r="I278" i="6"/>
  <c r="B275" i="6"/>
  <c r="D271" i="6"/>
  <c r="F267" i="6"/>
  <c r="D263" i="6"/>
  <c r="B260" i="6"/>
  <c r="B256" i="6"/>
  <c r="H252" i="6"/>
  <c r="E248" i="6"/>
  <c r="J244" i="6"/>
  <c r="D241" i="6"/>
  <c r="C238" i="6"/>
  <c r="G234" i="6"/>
  <c r="F231" i="6"/>
  <c r="L227" i="6"/>
  <c r="K224" i="6"/>
  <c r="J221" i="6"/>
  <c r="J218" i="6"/>
  <c r="I215" i="6"/>
  <c r="B213" i="6"/>
  <c r="F210" i="6"/>
  <c r="E207" i="6"/>
  <c r="I204" i="6"/>
  <c r="L201" i="6"/>
  <c r="E199" i="6"/>
  <c r="K196" i="6"/>
  <c r="F194" i="6"/>
  <c r="H191" i="6"/>
  <c r="B189" i="6"/>
  <c r="H186" i="6"/>
  <c r="L183" i="6"/>
  <c r="G181" i="6"/>
  <c r="B179" i="6"/>
  <c r="H176" i="6"/>
  <c r="I173" i="6"/>
  <c r="D171" i="6"/>
  <c r="J168" i="6"/>
  <c r="W247" i="6" a="1"/>
  <c r="W247" i="6" s="1"/>
  <c r="W181" i="6" a="1"/>
  <c r="W181" i="6" s="1"/>
  <c r="W114" i="6" a="1"/>
  <c r="W114" i="6" s="1"/>
  <c r="W38" i="6" a="1"/>
  <c r="W38" i="6" s="1"/>
  <c r="U287" i="6" a="1"/>
  <c r="U287" i="6" s="1"/>
  <c r="U221" i="6" a="1"/>
  <c r="U221" i="6" s="1"/>
  <c r="U154" i="6" a="1"/>
  <c r="U154" i="6" s="1"/>
  <c r="U80" i="6" a="1"/>
  <c r="U80" i="6" s="1"/>
  <c r="U18" i="6" a="1"/>
  <c r="U18" i="6" s="1"/>
  <c r="S273" i="6" a="1"/>
  <c r="S273" i="6" s="1"/>
  <c r="S212" i="6" a="1"/>
  <c r="S212" i="6" s="1"/>
  <c r="S138" i="6" a="1"/>
  <c r="S138" i="6" s="1"/>
  <c r="S86" i="6" a="1"/>
  <c r="S86" i="6" s="1"/>
  <c r="S23" i="6" a="1"/>
  <c r="S23" i="6" s="1"/>
  <c r="Q282" i="6" a="1"/>
  <c r="Q282" i="6" s="1"/>
  <c r="Q209" i="6" a="1"/>
  <c r="Q209" i="6" s="1"/>
  <c r="Q95" i="6" a="1"/>
  <c r="Q95" i="6" s="1"/>
  <c r="Q34" i="6" a="1"/>
  <c r="Q34" i="6" s="1"/>
  <c r="O245" i="6" a="1"/>
  <c r="O245" i="6" s="1"/>
  <c r="O183" i="6" a="1"/>
  <c r="O183" i="6" s="1"/>
  <c r="O130" i="6" a="1"/>
  <c r="O130" i="6" s="1"/>
  <c r="O66" i="6" a="1"/>
  <c r="O66" i="6" s="1"/>
  <c r="M254" i="6" a="1"/>
  <c r="M254" i="6" s="1"/>
  <c r="M203" i="6" a="1"/>
  <c r="M203" i="6" s="1"/>
  <c r="M146" i="6" a="1"/>
  <c r="M146" i="6" s="1"/>
  <c r="M82" i="6" a="1"/>
  <c r="M82" i="6" s="1"/>
  <c r="M29" i="6" a="1"/>
  <c r="M29" i="6" s="1"/>
  <c r="K294" i="6"/>
  <c r="J290" i="6"/>
  <c r="F286" i="6"/>
  <c r="G282" i="6"/>
  <c r="G278" i="6"/>
  <c r="K274" i="6"/>
  <c r="B271" i="6"/>
  <c r="C267" i="6"/>
  <c r="B263" i="6"/>
  <c r="J259" i="6"/>
  <c r="J255" i="6"/>
  <c r="B252" i="6"/>
  <c r="B248" i="6"/>
  <c r="H244" i="6"/>
  <c r="K240" i="6"/>
  <c r="L237" i="6"/>
  <c r="D234" i="6"/>
  <c r="D231" i="6"/>
  <c r="J227" i="6"/>
  <c r="I224" i="6"/>
  <c r="F221" i="6"/>
  <c r="G218" i="6"/>
  <c r="G215" i="6"/>
  <c r="K212" i="6"/>
  <c r="B210" i="6"/>
  <c r="B207" i="6"/>
  <c r="G204" i="6"/>
  <c r="I201" i="6"/>
  <c r="C199" i="6"/>
  <c r="I196" i="6"/>
  <c r="B194" i="6"/>
  <c r="E191" i="6"/>
  <c r="K188" i="6"/>
  <c r="F186" i="6"/>
  <c r="J183" i="6"/>
  <c r="E181" i="6"/>
  <c r="K178" i="6"/>
  <c r="B176" i="6"/>
  <c r="G173" i="6"/>
  <c r="B171" i="6"/>
  <c r="H168" i="6"/>
  <c r="L165" i="6"/>
  <c r="I163" i="6"/>
  <c r="F161" i="6"/>
  <c r="L158" i="6"/>
  <c r="I156" i="6"/>
  <c r="F154" i="6"/>
  <c r="B152" i="6"/>
  <c r="J149" i="6"/>
  <c r="G147" i="6"/>
  <c r="D145" i="6"/>
  <c r="L142" i="6"/>
  <c r="I140" i="6"/>
  <c r="F138" i="6"/>
  <c r="K135" i="6"/>
  <c r="H133" i="6"/>
  <c r="E131" i="6"/>
  <c r="W246" i="6" a="1"/>
  <c r="W246" i="6" s="1"/>
  <c r="W174" i="6" a="1"/>
  <c r="W174" i="6" s="1"/>
  <c r="W113" i="6" a="1"/>
  <c r="W113" i="6" s="1"/>
  <c r="W31" i="6" a="1"/>
  <c r="W31" i="6" s="1"/>
  <c r="U286" i="6" a="1"/>
  <c r="U286" i="6" s="1"/>
  <c r="U219" i="6" a="1"/>
  <c r="U219" i="6" s="1"/>
  <c r="U153" i="6" a="1"/>
  <c r="U153" i="6" s="1"/>
  <c r="U79" i="6" a="1"/>
  <c r="U79" i="6" s="1"/>
  <c r="U17" i="6" a="1"/>
  <c r="U17" i="6" s="1"/>
  <c r="S272" i="6" a="1"/>
  <c r="S272" i="6" s="1"/>
  <c r="S211" i="6" a="1"/>
  <c r="S211" i="6" s="1"/>
  <c r="S137" i="6" a="1"/>
  <c r="S137" i="6" s="1"/>
  <c r="S85" i="6" a="1"/>
  <c r="S85" i="6" s="1"/>
  <c r="S18" i="6" a="1"/>
  <c r="S18" i="6" s="1"/>
  <c r="Q272" i="6" a="1"/>
  <c r="Q272" i="6" s="1"/>
  <c r="Q208" i="6" a="1"/>
  <c r="Q208" i="6" s="1"/>
  <c r="Q154" i="6" a="1"/>
  <c r="Q154" i="6" s="1"/>
  <c r="Q94" i="6" a="1"/>
  <c r="Q94" i="6" s="1"/>
  <c r="O244" i="6" a="1"/>
  <c r="O244" i="6" s="1"/>
  <c r="O179" i="6" a="1"/>
  <c r="O179" i="6" s="1"/>
  <c r="O129" i="6" a="1"/>
  <c r="O129" i="6" s="1"/>
  <c r="O61" i="6" a="1"/>
  <c r="O61" i="6" s="1"/>
  <c r="M253" i="6" a="1"/>
  <c r="M253" i="6" s="1"/>
  <c r="M197" i="6" a="1"/>
  <c r="M197" i="6" s="1"/>
  <c r="M141" i="6" a="1"/>
  <c r="M141" i="6" s="1"/>
  <c r="M81" i="6" a="1"/>
  <c r="M81" i="6" s="1"/>
  <c r="M28" i="6" a="1"/>
  <c r="M28" i="6" s="1"/>
  <c r="J294" i="6"/>
  <c r="I290" i="6"/>
  <c r="D286" i="6"/>
  <c r="C282" i="6"/>
  <c r="F278" i="6"/>
  <c r="J274" i="6"/>
  <c r="J270" i="6"/>
  <c r="K266" i="6"/>
  <c r="L262" i="6"/>
  <c r="G259" i="6"/>
  <c r="G255" i="6"/>
  <c r="F251" i="6"/>
  <c r="K247" i="6"/>
  <c r="G244" i="6"/>
  <c r="W239" i="6" a="1"/>
  <c r="W239" i="6" s="1"/>
  <c r="W170" i="6" a="1"/>
  <c r="W170" i="6" s="1"/>
  <c r="W95" i="6" a="1"/>
  <c r="W95" i="6" s="1"/>
  <c r="W28" i="6" a="1"/>
  <c r="W28" i="6" s="1"/>
  <c r="U280" i="6" a="1"/>
  <c r="U280" i="6" s="1"/>
  <c r="U212" i="6" a="1"/>
  <c r="U212" i="6" s="1"/>
  <c r="U143" i="6" a="1"/>
  <c r="U143" i="6" s="1"/>
  <c r="U73" i="6" a="1"/>
  <c r="U73" i="6" s="1"/>
  <c r="U7" i="6" a="1"/>
  <c r="U7" i="6" s="1"/>
  <c r="S259" i="6" a="1"/>
  <c r="S259" i="6" s="1"/>
  <c r="S196" i="6" a="1"/>
  <c r="S196" i="6" s="1"/>
  <c r="S133" i="6" a="1"/>
  <c r="S133" i="6" s="1"/>
  <c r="S73" i="6" a="1"/>
  <c r="S73" i="6" s="1"/>
  <c r="S15" i="6" a="1"/>
  <c r="S15" i="6" s="1"/>
  <c r="Q265" i="6" a="1"/>
  <c r="Q265" i="6" s="1"/>
  <c r="Q204" i="6" a="1"/>
  <c r="Q204" i="6" s="1"/>
  <c r="Q146" i="6" a="1"/>
  <c r="Q146" i="6" s="1"/>
  <c r="Q84" i="6" a="1"/>
  <c r="Q84" i="6" s="1"/>
  <c r="Q28" i="6" a="1"/>
  <c r="Q28" i="6" s="1"/>
  <c r="O289" i="6" a="1"/>
  <c r="O289" i="6" s="1"/>
  <c r="O240" i="6" a="1"/>
  <c r="O240" i="6" s="1"/>
  <c r="O174" i="6" a="1"/>
  <c r="O174" i="6" s="1"/>
  <c r="O112" i="6" a="1"/>
  <c r="O112" i="6" s="1"/>
  <c r="O47" i="6" a="1"/>
  <c r="O47" i="6" s="1"/>
  <c r="M247" i="6" a="1"/>
  <c r="M247" i="6" s="1"/>
  <c r="M194" i="6" a="1"/>
  <c r="M194" i="6" s="1"/>
  <c r="M129" i="6" a="1"/>
  <c r="M129" i="6" s="1"/>
  <c r="M76" i="6" a="1"/>
  <c r="M76" i="6" s="1"/>
  <c r="M16" i="6" a="1"/>
  <c r="M16" i="6" s="1"/>
  <c r="G294" i="6"/>
  <c r="J289" i="6"/>
  <c r="J285" i="6"/>
  <c r="F281" i="6"/>
  <c r="C278" i="6"/>
  <c r="W252" i="6" a="1"/>
  <c r="W252" i="6" s="1"/>
  <c r="W248" i="6" a="1"/>
  <c r="W248" i="6" s="1"/>
  <c r="W163" i="6" a="1"/>
  <c r="W163" i="6" s="1"/>
  <c r="W73" i="6" a="1"/>
  <c r="W73" i="6" s="1"/>
  <c r="U234" i="6" a="1"/>
  <c r="U234" i="6" s="1"/>
  <c r="U146" i="6" a="1"/>
  <c r="U146" i="6" s="1"/>
  <c r="U64" i="6" a="1"/>
  <c r="U64" i="6" s="1"/>
  <c r="S226" i="6" a="1"/>
  <c r="S226" i="6" s="1"/>
  <c r="S139" i="6" a="1"/>
  <c r="S139" i="6" s="1"/>
  <c r="S69" i="6" a="1"/>
  <c r="S69" i="6" s="1"/>
  <c r="Q236" i="6" a="1"/>
  <c r="Q236" i="6" s="1"/>
  <c r="Q165" i="6" a="1"/>
  <c r="Q165" i="6" s="1"/>
  <c r="Q89" i="6" a="1"/>
  <c r="Q89" i="6" s="1"/>
  <c r="Q13" i="6" a="1"/>
  <c r="Q13" i="6" s="1"/>
  <c r="O284" i="6" a="1"/>
  <c r="O284" i="6" s="1"/>
  <c r="O211" i="6" a="1"/>
  <c r="O211" i="6" s="1"/>
  <c r="O135" i="6" a="1"/>
  <c r="O135" i="6" s="1"/>
  <c r="O60" i="6" a="1"/>
  <c r="O60" i="6" s="1"/>
  <c r="M236" i="6" a="1"/>
  <c r="M236" i="6" s="1"/>
  <c r="M167" i="6" a="1"/>
  <c r="M167" i="6" s="1"/>
  <c r="M103" i="6" a="1"/>
  <c r="M103" i="6" s="1"/>
  <c r="M35" i="6" a="1"/>
  <c r="M35" i="6" s="1"/>
  <c r="J293" i="6"/>
  <c r="H288" i="6"/>
  <c r="B284" i="6"/>
  <c r="K278" i="6"/>
  <c r="F274" i="6"/>
  <c r="K269" i="6"/>
  <c r="F265" i="6"/>
  <c r="L260" i="6"/>
  <c r="B257" i="6"/>
  <c r="J252" i="6"/>
  <c r="J247" i="6"/>
  <c r="I243" i="6"/>
  <c r="L239" i="6"/>
  <c r="D236" i="6"/>
  <c r="J232" i="6"/>
  <c r="D229" i="6"/>
  <c r="G225" i="6"/>
  <c r="F222" i="6"/>
  <c r="K218" i="6"/>
  <c r="F215" i="6"/>
  <c r="H212" i="6"/>
  <c r="D209" i="6"/>
  <c r="F206" i="6"/>
  <c r="F203" i="6"/>
  <c r="G200" i="6"/>
  <c r="G197" i="6"/>
  <c r="K194" i="6"/>
  <c r="B192" i="6"/>
  <c r="C189" i="6"/>
  <c r="C186" i="6"/>
  <c r="G183" i="6"/>
  <c r="I180" i="6"/>
  <c r="J177" i="6"/>
  <c r="C175" i="6"/>
  <c r="G172" i="6"/>
  <c r="G169" i="6"/>
  <c r="J166" i="6"/>
  <c r="D164" i="6"/>
  <c r="K161" i="6"/>
  <c r="G159" i="6"/>
  <c r="C157" i="6"/>
  <c r="H154" i="6"/>
  <c r="C152" i="6"/>
  <c r="I149" i="6"/>
  <c r="E147" i="6"/>
  <c r="L144" i="6"/>
  <c r="H142" i="6"/>
  <c r="L139" i="6"/>
  <c r="H137" i="6"/>
  <c r="D135" i="6"/>
  <c r="K132" i="6"/>
  <c r="G130" i="6"/>
  <c r="C128" i="6"/>
  <c r="K125" i="6"/>
  <c r="H123" i="6"/>
  <c r="C121" i="6"/>
  <c r="K118" i="6"/>
  <c r="H116" i="6"/>
  <c r="D114" i="6"/>
  <c r="L111" i="6"/>
  <c r="I109" i="6"/>
  <c r="F107" i="6"/>
  <c r="C105" i="6"/>
  <c r="K102" i="6"/>
  <c r="H100" i="6"/>
  <c r="B98" i="6"/>
  <c r="J95" i="6"/>
  <c r="G93" i="6"/>
  <c r="D91" i="6"/>
  <c r="L88" i="6"/>
  <c r="I86" i="6"/>
  <c r="F84" i="6"/>
  <c r="B82" i="6"/>
  <c r="J79" i="6"/>
  <c r="G77" i="6"/>
  <c r="B75" i="6"/>
  <c r="J72" i="6"/>
  <c r="G70" i="6"/>
  <c r="C68" i="6"/>
  <c r="K65" i="6"/>
  <c r="H63" i="6"/>
  <c r="E61" i="6"/>
  <c r="B59" i="6"/>
  <c r="J56" i="6"/>
  <c r="G54" i="6"/>
  <c r="L51" i="6"/>
  <c r="I49" i="6"/>
  <c r="F47" i="6"/>
  <c r="C45" i="6"/>
  <c r="L42" i="6"/>
  <c r="J40" i="6"/>
  <c r="H38" i="6"/>
  <c r="F36" i="6"/>
  <c r="D34" i="6"/>
  <c r="B32" i="6"/>
  <c r="I29" i="6"/>
  <c r="G27" i="6"/>
  <c r="E25" i="6"/>
  <c r="C23" i="6"/>
  <c r="L20" i="6"/>
  <c r="J18" i="6"/>
  <c r="H16" i="6"/>
  <c r="F14" i="6"/>
  <c r="D12" i="6"/>
  <c r="B10" i="6"/>
  <c r="I7" i="6"/>
  <c r="W244" i="6" a="1"/>
  <c r="W244" i="6" s="1"/>
  <c r="W156" i="6" a="1"/>
  <c r="W156" i="6" s="1"/>
  <c r="W72" i="6" a="1"/>
  <c r="W72" i="6" s="1"/>
  <c r="U233" i="6" a="1"/>
  <c r="U233" i="6" s="1"/>
  <c r="U139" i="6" a="1"/>
  <c r="U139" i="6" s="1"/>
  <c r="U63" i="6" a="1"/>
  <c r="U63" i="6" s="1"/>
  <c r="S225" i="6" a="1"/>
  <c r="S225" i="6" s="1"/>
  <c r="S135" i="6" a="1"/>
  <c r="S135" i="6" s="1"/>
  <c r="S67" i="6" a="1"/>
  <c r="S67" i="6" s="1"/>
  <c r="Q235" i="6" a="1"/>
  <c r="Q235" i="6" s="1"/>
  <c r="Q164" i="6" a="1"/>
  <c r="Q164" i="6" s="1"/>
  <c r="Q82" i="6" a="1"/>
  <c r="Q82" i="6" s="1"/>
  <c r="Q12" i="6" a="1"/>
  <c r="Q12" i="6" s="1"/>
  <c r="O283" i="6" a="1"/>
  <c r="O283" i="6" s="1"/>
  <c r="O203" i="6" a="1"/>
  <c r="O203" i="6" s="1"/>
  <c r="O134" i="6" a="1"/>
  <c r="O134" i="6" s="1"/>
  <c r="O57" i="6" a="1"/>
  <c r="O57" i="6" s="1"/>
  <c r="M233" i="6" a="1"/>
  <c r="M233" i="6" s="1"/>
  <c r="M166" i="6" a="1"/>
  <c r="M166" i="6" s="1"/>
  <c r="M102" i="6" a="1"/>
  <c r="M102" i="6" s="1"/>
  <c r="M20" i="6" a="1"/>
  <c r="M20" i="6" s="1"/>
  <c r="G293" i="6"/>
  <c r="G288" i="6"/>
  <c r="K283" i="6"/>
  <c r="J278" i="6"/>
  <c r="C274" i="6"/>
  <c r="J269" i="6"/>
  <c r="E265" i="6"/>
  <c r="J260" i="6"/>
  <c r="H256" i="6"/>
  <c r="I252" i="6"/>
  <c r="I247" i="6"/>
  <c r="G243" i="6"/>
  <c r="K239" i="6"/>
  <c r="C236" i="6"/>
  <c r="G232" i="6"/>
  <c r="C229" i="6"/>
  <c r="F225" i="6"/>
  <c r="C222" i="6"/>
  <c r="I218" i="6"/>
  <c r="E215" i="6"/>
  <c r="G212" i="6"/>
  <c r="B209" i="6"/>
  <c r="C206" i="6"/>
  <c r="E203" i="6"/>
  <c r="C200" i="6"/>
  <c r="F197" i="6"/>
  <c r="J194" i="6"/>
  <c r="L191" i="6"/>
  <c r="L188" i="6"/>
  <c r="B186" i="6"/>
  <c r="F183" i="6"/>
  <c r="H180" i="6"/>
  <c r="I177" i="6"/>
  <c r="B175" i="6"/>
  <c r="F172" i="6"/>
  <c r="E169" i="6"/>
  <c r="I166" i="6"/>
  <c r="C164" i="6"/>
  <c r="J161" i="6"/>
  <c r="F159" i="6"/>
  <c r="K156" i="6"/>
  <c r="G154" i="6"/>
  <c r="L151" i="6"/>
  <c r="H149" i="6"/>
  <c r="D147" i="6"/>
  <c r="K144" i="6"/>
  <c r="G142" i="6"/>
  <c r="K139" i="6"/>
  <c r="G137" i="6"/>
  <c r="C135" i="6"/>
  <c r="J132" i="6"/>
  <c r="F130" i="6"/>
  <c r="B128" i="6"/>
  <c r="J125" i="6"/>
  <c r="E123" i="6"/>
  <c r="B121" i="6"/>
  <c r="J118" i="6"/>
  <c r="G116" i="6"/>
  <c r="C114" i="6"/>
  <c r="K111" i="6"/>
  <c r="H109" i="6"/>
  <c r="E107" i="6"/>
  <c r="B105" i="6"/>
  <c r="J102" i="6"/>
  <c r="D100" i="6"/>
  <c r="L97" i="6"/>
  <c r="I95" i="6"/>
  <c r="F93" i="6"/>
  <c r="C91" i="6"/>
  <c r="K88" i="6"/>
  <c r="H86" i="6"/>
  <c r="D84" i="6"/>
  <c r="L81" i="6"/>
  <c r="I79" i="6"/>
  <c r="D77" i="6"/>
  <c r="L74" i="6"/>
  <c r="I72" i="6"/>
  <c r="F70" i="6"/>
  <c r="B68" i="6"/>
  <c r="J65" i="6"/>
  <c r="G63" i="6"/>
  <c r="D61" i="6"/>
  <c r="L58" i="6"/>
  <c r="I56" i="6"/>
  <c r="C54" i="6"/>
  <c r="K51" i="6"/>
  <c r="H49" i="6"/>
  <c r="E47" i="6"/>
  <c r="B45" i="6"/>
  <c r="K42" i="6"/>
  <c r="I40" i="6"/>
  <c r="G38" i="6"/>
  <c r="E36" i="6"/>
  <c r="C34" i="6"/>
  <c r="J31" i="6"/>
  <c r="H29" i="6"/>
  <c r="F27" i="6"/>
  <c r="D25" i="6"/>
  <c r="B23" i="6"/>
  <c r="K20" i="6"/>
  <c r="I18" i="6"/>
  <c r="G16" i="6"/>
  <c r="E14" i="6"/>
  <c r="C12" i="6"/>
  <c r="J9" i="6"/>
  <c r="H7" i="6"/>
  <c r="W243" i="6" a="1"/>
  <c r="W243" i="6" s="1"/>
  <c r="W154" i="6" a="1"/>
  <c r="W154" i="6" s="1"/>
  <c r="W71" i="6" a="1"/>
  <c r="W71" i="6" s="1"/>
  <c r="U230" i="6" a="1"/>
  <c r="U230" i="6" s="1"/>
  <c r="U133" i="6" a="1"/>
  <c r="U133" i="6" s="1"/>
  <c r="U62" i="6" a="1"/>
  <c r="U62" i="6" s="1"/>
  <c r="S293" i="6" a="1"/>
  <c r="S293" i="6" s="1"/>
  <c r="S219" i="6" a="1"/>
  <c r="S219" i="6" s="1"/>
  <c r="S134" i="6" a="1"/>
  <c r="S134" i="6" s="1"/>
  <c r="S64" i="6" a="1"/>
  <c r="S64" i="6" s="1"/>
  <c r="Q234" i="6" a="1"/>
  <c r="Q234" i="6" s="1"/>
  <c r="Q155" i="6" a="1"/>
  <c r="Q155" i="6" s="1"/>
  <c r="Q81" i="6" a="1"/>
  <c r="Q81" i="6" s="1"/>
  <c r="O281" i="6" a="1"/>
  <c r="O281" i="6" s="1"/>
  <c r="O202" i="6" a="1"/>
  <c r="O202" i="6" s="1"/>
  <c r="O133" i="6" a="1"/>
  <c r="O133" i="6" s="1"/>
  <c r="O46" i="6" a="1"/>
  <c r="O46" i="6" s="1"/>
  <c r="M232" i="6" a="1"/>
  <c r="M232" i="6" s="1"/>
  <c r="M165" i="6" a="1"/>
  <c r="M165" i="6" s="1"/>
  <c r="M97" i="6" a="1"/>
  <c r="M97" i="6" s="1"/>
  <c r="M19" i="6" a="1"/>
  <c r="M19" i="6" s="1"/>
  <c r="C293" i="6"/>
  <c r="F288" i="6"/>
  <c r="W229" i="6" a="1"/>
  <c r="W229" i="6" s="1"/>
  <c r="W152" i="6" a="1"/>
  <c r="W152" i="6" s="1"/>
  <c r="W70" i="6" a="1"/>
  <c r="W70" i="6" s="1"/>
  <c r="U214" i="6" a="1"/>
  <c r="U214" i="6" s="1"/>
  <c r="U129" i="6" a="1"/>
  <c r="U129" i="6" s="1"/>
  <c r="U60" i="6" a="1"/>
  <c r="U60" i="6" s="1"/>
  <c r="S292" i="6" a="1"/>
  <c r="S292" i="6" s="1"/>
  <c r="S218" i="6" a="1"/>
  <c r="S218" i="6" s="1"/>
  <c r="S132" i="6" a="1"/>
  <c r="S132" i="6" s="1"/>
  <c r="Q233" i="6" a="1"/>
  <c r="Q233" i="6" s="1"/>
  <c r="Q153" i="6" a="1"/>
  <c r="Q153" i="6" s="1"/>
  <c r="Q71" i="6" a="1"/>
  <c r="Q71" i="6" s="1"/>
  <c r="Q11" i="6" a="1"/>
  <c r="Q11" i="6" s="1"/>
  <c r="O280" i="6" a="1"/>
  <c r="O280" i="6" s="1"/>
  <c r="O200" i="6" a="1"/>
  <c r="O200" i="6" s="1"/>
  <c r="O131" i="6" a="1"/>
  <c r="O131" i="6" s="1"/>
  <c r="O45" i="6" a="1"/>
  <c r="O45" i="6" s="1"/>
  <c r="M230" i="6" a="1"/>
  <c r="M230" i="6" s="1"/>
  <c r="W228" i="6" a="1"/>
  <c r="W228" i="6" s="1"/>
  <c r="W151" i="6" a="1"/>
  <c r="W151" i="6" s="1"/>
  <c r="W69" i="6" a="1"/>
  <c r="W69" i="6" s="1"/>
  <c r="U213" i="6" a="1"/>
  <c r="U213" i="6" s="1"/>
  <c r="U124" i="6" a="1"/>
  <c r="U124" i="6" s="1"/>
  <c r="U59" i="6" a="1"/>
  <c r="U59" i="6" s="1"/>
  <c r="S291" i="6" a="1"/>
  <c r="S291" i="6" s="1"/>
  <c r="S214" i="6" a="1"/>
  <c r="S214" i="6" s="1"/>
  <c r="S131" i="6" a="1"/>
  <c r="S131" i="6" s="1"/>
  <c r="S53" i="6" a="1"/>
  <c r="S53" i="6" s="1"/>
  <c r="Q295" i="6" a="1"/>
  <c r="Q295" i="6" s="1"/>
  <c r="Q228" i="6" a="1"/>
  <c r="Q228" i="6" s="1"/>
  <c r="Q147" i="6" a="1"/>
  <c r="Q147" i="6" s="1"/>
  <c r="Q70" i="6" a="1"/>
  <c r="Q70" i="6" s="1"/>
  <c r="Q10" i="6" a="1"/>
  <c r="Q10" i="6" s="1"/>
  <c r="O279" i="6" a="1"/>
  <c r="O279" i="6" s="1"/>
  <c r="O199" i="6" a="1"/>
  <c r="O199" i="6" s="1"/>
  <c r="O127" i="6" a="1"/>
  <c r="O127" i="6" s="1"/>
  <c r="O44" i="6" a="1"/>
  <c r="O44" i="6" s="1"/>
  <c r="M295" i="6" a="1"/>
  <c r="M295" i="6" s="1"/>
  <c r="M229" i="6" a="1"/>
  <c r="M229" i="6" s="1"/>
  <c r="M152" i="6" a="1"/>
  <c r="M152" i="6" s="1"/>
  <c r="M83" i="6" a="1"/>
  <c r="M83" i="6" s="1"/>
  <c r="M14" i="6" a="1"/>
  <c r="M14" i="6" s="1"/>
  <c r="H292" i="6"/>
  <c r="D288" i="6"/>
  <c r="D283" i="6"/>
  <c r="D278" i="6"/>
  <c r="E273" i="6"/>
  <c r="L268" i="6"/>
  <c r="B265" i="6"/>
  <c r="F260" i="6"/>
  <c r="C256" i="6"/>
  <c r="B251" i="6"/>
  <c r="C247" i="6"/>
  <c r="K242" i="6"/>
  <c r="C239" i="6"/>
  <c r="K235" i="6"/>
  <c r="B232" i="6"/>
  <c r="F228" i="6"/>
  <c r="C225" i="6"/>
  <c r="D221" i="6"/>
  <c r="B218" i="6"/>
  <c r="B215" i="6"/>
  <c r="I211" i="6"/>
  <c r="J208" i="6"/>
  <c r="J205" i="6"/>
  <c r="K202" i="6"/>
  <c r="J199" i="6"/>
  <c r="C197" i="6"/>
  <c r="G194" i="6"/>
  <c r="D191" i="6"/>
  <c r="H188" i="6"/>
  <c r="J185" i="6"/>
  <c r="C183" i="6"/>
  <c r="B180" i="6"/>
  <c r="F177" i="6"/>
  <c r="J174" i="6"/>
  <c r="J171" i="6"/>
  <c r="B169" i="6"/>
  <c r="F166" i="6"/>
  <c r="K163" i="6"/>
  <c r="G161" i="6"/>
  <c r="K158" i="6"/>
  <c r="G156" i="6"/>
  <c r="B154" i="6"/>
  <c r="I151" i="6"/>
  <c r="E149" i="6"/>
  <c r="L146" i="6"/>
  <c r="H144" i="6"/>
  <c r="L141" i="6"/>
  <c r="H139" i="6"/>
  <c r="D137" i="6"/>
  <c r="K134" i="6"/>
  <c r="G132" i="6"/>
  <c r="B130" i="6"/>
  <c r="J127" i="6"/>
  <c r="E125" i="6"/>
  <c r="B123" i="6"/>
  <c r="J120" i="6"/>
  <c r="G118" i="6"/>
  <c r="C116" i="6"/>
  <c r="K113" i="6"/>
  <c r="H111" i="6"/>
  <c r="E109" i="6"/>
  <c r="B107" i="6"/>
  <c r="J104" i="6"/>
  <c r="D102" i="6"/>
  <c r="L99" i="6"/>
  <c r="I97" i="6"/>
  <c r="F95" i="6"/>
  <c r="C93" i="6"/>
  <c r="K90" i="6"/>
  <c r="H88" i="6"/>
  <c r="D86" i="6"/>
  <c r="L83" i="6"/>
  <c r="I81" i="6"/>
  <c r="D79" i="6"/>
  <c r="L76" i="6"/>
  <c r="I74" i="6"/>
  <c r="F72" i="6"/>
  <c r="B70" i="6"/>
  <c r="J67" i="6"/>
  <c r="G65" i="6"/>
  <c r="D63" i="6"/>
  <c r="L60" i="6"/>
  <c r="I58" i="6"/>
  <c r="C56" i="6"/>
  <c r="K53" i="6"/>
  <c r="H51" i="6"/>
  <c r="E49" i="6"/>
  <c r="B47" i="6"/>
  <c r="J44" i="6"/>
  <c r="H42" i="6"/>
  <c r="F40" i="6"/>
  <c r="D38" i="6"/>
  <c r="B36" i="6"/>
  <c r="I33" i="6"/>
  <c r="G31" i="6"/>
  <c r="E29" i="6"/>
  <c r="C27" i="6"/>
  <c r="L24" i="6"/>
  <c r="J22" i="6"/>
  <c r="H20" i="6"/>
  <c r="F18" i="6"/>
  <c r="B14" i="6"/>
  <c r="I11" i="6"/>
  <c r="G9" i="6"/>
  <c r="E7" i="6"/>
  <c r="W227" i="6" a="1"/>
  <c r="W227" i="6" s="1"/>
  <c r="W142" i="6" a="1"/>
  <c r="W142" i="6" s="1"/>
  <c r="W68" i="6" a="1"/>
  <c r="W68" i="6" s="1"/>
  <c r="U211" i="6" a="1"/>
  <c r="U211" i="6" s="1"/>
  <c r="U120" i="6" a="1"/>
  <c r="U120" i="6" s="1"/>
  <c r="U44" i="6" a="1"/>
  <c r="U44" i="6" s="1"/>
  <c r="S288" i="6" a="1"/>
  <c r="S288" i="6" s="1"/>
  <c r="S207" i="6" a="1"/>
  <c r="S207" i="6" s="1"/>
  <c r="S130" i="6" a="1"/>
  <c r="S130" i="6" s="1"/>
  <c r="S52" i="6" a="1"/>
  <c r="S52" i="6" s="1"/>
  <c r="Q294" i="6" a="1"/>
  <c r="Q294" i="6" s="1"/>
  <c r="Q221" i="6" a="1"/>
  <c r="Q221" i="6" s="1"/>
  <c r="Q143" i="6" a="1"/>
  <c r="Q143" i="6" s="1"/>
  <c r="Q67" i="6" a="1"/>
  <c r="Q67" i="6" s="1"/>
  <c r="Q9" i="6" a="1"/>
  <c r="Q9" i="6" s="1"/>
  <c r="O278" i="6" a="1"/>
  <c r="O278" i="6" s="1"/>
  <c r="O198" i="6" a="1"/>
  <c r="O198" i="6" s="1"/>
  <c r="O113" i="6" a="1"/>
  <c r="O113" i="6" s="1"/>
  <c r="O43" i="6" a="1"/>
  <c r="O43" i="6" s="1"/>
  <c r="M294" i="6" a="1"/>
  <c r="M294" i="6" s="1"/>
  <c r="M225" i="6" a="1"/>
  <c r="M225" i="6" s="1"/>
  <c r="M151" i="6" a="1"/>
  <c r="M151" i="6" s="1"/>
  <c r="M79" i="6" a="1"/>
  <c r="M79" i="6" s="1"/>
  <c r="M13" i="6" a="1"/>
  <c r="M13" i="6" s="1"/>
  <c r="G292" i="6"/>
  <c r="C288" i="6"/>
  <c r="B283" i="6"/>
  <c r="B278" i="6"/>
  <c r="D273" i="6"/>
  <c r="K268" i="6"/>
  <c r="L264" i="6"/>
  <c r="E260" i="6"/>
  <c r="K255" i="6"/>
  <c r="K250" i="6"/>
  <c r="B247" i="6"/>
  <c r="J242" i="6"/>
  <c r="K238" i="6"/>
  <c r="J235" i="6"/>
  <c r="L231" i="6"/>
  <c r="C228" i="6"/>
  <c r="J224" i="6"/>
  <c r="C221" i="6"/>
  <c r="J217" i="6"/>
  <c r="L214" i="6"/>
  <c r="H211" i="6"/>
  <c r="I208" i="6"/>
  <c r="I205" i="6"/>
  <c r="J202" i="6"/>
  <c r="W224" i="6" a="1"/>
  <c r="W224" i="6" s="1"/>
  <c r="W137" i="6" a="1"/>
  <c r="W137" i="6" s="1"/>
  <c r="W67" i="6" a="1"/>
  <c r="W67" i="6" s="1"/>
  <c r="U294" i="6" a="1"/>
  <c r="U294" i="6" s="1"/>
  <c r="U209" i="6" a="1"/>
  <c r="U209" i="6" s="1"/>
  <c r="U118" i="6" a="1"/>
  <c r="U118" i="6" s="1"/>
  <c r="U43" i="6" a="1"/>
  <c r="U43" i="6" s="1"/>
  <c r="S279" i="6" a="1"/>
  <c r="S279" i="6" s="1"/>
  <c r="S198" i="6" a="1"/>
  <c r="S198" i="6" s="1"/>
  <c r="S51" i="6" a="1"/>
  <c r="S51" i="6" s="1"/>
  <c r="Q293" i="6" a="1"/>
  <c r="Q293" i="6" s="1"/>
  <c r="Q210" i="6" a="1"/>
  <c r="Q210" i="6" s="1"/>
  <c r="Q142" i="6" a="1"/>
  <c r="Q142" i="6" s="1"/>
  <c r="Q8" i="6" a="1"/>
  <c r="Q8" i="6" s="1"/>
  <c r="O259" i="6" a="1"/>
  <c r="O259" i="6" s="1"/>
  <c r="O197" i="6" a="1"/>
  <c r="O197" i="6" s="1"/>
  <c r="O110" i="6" a="1"/>
  <c r="O110" i="6" s="1"/>
  <c r="O42" i="6" a="1"/>
  <c r="O42" i="6" s="1"/>
  <c r="M283" i="6" a="1"/>
  <c r="M283" i="6" s="1"/>
  <c r="M215" i="6" a="1"/>
  <c r="M215" i="6" s="1"/>
  <c r="M150" i="6" a="1"/>
  <c r="M150" i="6" s="1"/>
  <c r="M78" i="6" a="1"/>
  <c r="M78" i="6" s="1"/>
  <c r="M12" i="6" a="1"/>
  <c r="M12" i="6" s="1"/>
  <c r="E292" i="6"/>
  <c r="J287" i="6"/>
  <c r="K282" i="6"/>
  <c r="K277" i="6"/>
  <c r="C273" i="6"/>
  <c r="J268" i="6"/>
  <c r="I264" i="6"/>
  <c r="D260" i="6"/>
  <c r="F255" i="6"/>
  <c r="J250" i="6"/>
  <c r="L246" i="6"/>
  <c r="H242" i="6"/>
  <c r="J238" i="6"/>
  <c r="I235" i="6"/>
  <c r="J231" i="6"/>
  <c r="B228" i="6"/>
  <c r="H224" i="6"/>
  <c r="B221" i="6"/>
  <c r="I217" i="6"/>
  <c r="K214" i="6"/>
  <c r="G211" i="6"/>
  <c r="H208" i="6"/>
  <c r="H205" i="6"/>
  <c r="H202" i="6"/>
  <c r="H199" i="6"/>
  <c r="L196" i="6"/>
  <c r="J193" i="6"/>
  <c r="B191" i="6"/>
  <c r="F188" i="6"/>
  <c r="H185" i="6"/>
  <c r="J182" i="6"/>
  <c r="K179" i="6"/>
  <c r="D177" i="6"/>
  <c r="H174" i="6"/>
  <c r="G171" i="6"/>
  <c r="K168" i="6"/>
  <c r="B166" i="6"/>
  <c r="H163" i="6"/>
  <c r="B161" i="6"/>
  <c r="I158" i="6"/>
  <c r="D156" i="6"/>
  <c r="K153" i="6"/>
  <c r="G151" i="6"/>
  <c r="C149" i="6"/>
  <c r="J146" i="6"/>
  <c r="C144" i="6"/>
  <c r="J141" i="6"/>
  <c r="F139" i="6"/>
  <c r="B137" i="6"/>
  <c r="I134" i="6"/>
  <c r="D132" i="6"/>
  <c r="K129" i="6"/>
  <c r="F127" i="6"/>
  <c r="C125" i="6"/>
  <c r="K122" i="6"/>
  <c r="H120" i="6"/>
  <c r="D118" i="6"/>
  <c r="L115" i="6"/>
  <c r="I113" i="6"/>
  <c r="F111" i="6"/>
  <c r="W295" i="6" a="1"/>
  <c r="W295" i="6" s="1"/>
  <c r="W220" i="6" a="1"/>
  <c r="W220" i="6" s="1"/>
  <c r="W133" i="6" a="1"/>
  <c r="W133" i="6" s="1"/>
  <c r="W64" i="6" a="1"/>
  <c r="W64" i="6" s="1"/>
  <c r="U283" i="6" a="1"/>
  <c r="U283" i="6" s="1"/>
  <c r="U195" i="6" a="1"/>
  <c r="U195" i="6" s="1"/>
  <c r="U111" i="6" a="1"/>
  <c r="U111" i="6" s="1"/>
  <c r="U35" i="6" a="1"/>
  <c r="U35" i="6" s="1"/>
  <c r="S276" i="6" a="1"/>
  <c r="S276" i="6" s="1"/>
  <c r="S193" i="6" a="1"/>
  <c r="S193" i="6" s="1"/>
  <c r="S127" i="6" a="1"/>
  <c r="S127" i="6" s="1"/>
  <c r="S43" i="6" a="1"/>
  <c r="S43" i="6" s="1"/>
  <c r="Q291" i="6" a="1"/>
  <c r="Q291" i="6" s="1"/>
  <c r="Q205" i="6" a="1"/>
  <c r="Q205" i="6" s="1"/>
  <c r="Q130" i="6" a="1"/>
  <c r="Q130" i="6" s="1"/>
  <c r="Q64" i="6" a="1"/>
  <c r="Q64" i="6" s="1"/>
  <c r="O256" i="6" a="1"/>
  <c r="O256" i="6" s="1"/>
  <c r="O178" i="6" a="1"/>
  <c r="O178" i="6" s="1"/>
  <c r="O105" i="6" a="1"/>
  <c r="O105" i="6" s="1"/>
  <c r="O40" i="6" a="1"/>
  <c r="O40" i="6" s="1"/>
  <c r="M281" i="6" a="1"/>
  <c r="M281" i="6" s="1"/>
  <c r="M209" i="6" a="1"/>
  <c r="M209" i="6" s="1"/>
  <c r="M147" i="6" a="1"/>
  <c r="M147" i="6" s="1"/>
  <c r="M72" i="6" a="1"/>
  <c r="M72" i="6" s="1"/>
  <c r="M10" i="6" a="1"/>
  <c r="M10" i="6" s="1"/>
  <c r="C292" i="6"/>
  <c r="D287" i="6"/>
  <c r="G281" i="6"/>
  <c r="E277" i="6"/>
  <c r="I272" i="6"/>
  <c r="H268" i="6"/>
  <c r="B264" i="6"/>
  <c r="K259" i="6"/>
  <c r="B255" i="6"/>
  <c r="H250" i="6"/>
  <c r="H246" i="6"/>
  <c r="F242" i="6"/>
  <c r="H238" i="6"/>
  <c r="G235" i="6"/>
  <c r="H231" i="6"/>
  <c r="I227" i="6"/>
  <c r="B224" i="6"/>
  <c r="J220" i="6"/>
  <c r="G217" i="6"/>
  <c r="G214" i="6"/>
  <c r="D211" i="6"/>
  <c r="F208" i="6"/>
  <c r="F205" i="6"/>
  <c r="F202" i="6"/>
  <c r="F199" i="6"/>
  <c r="H196" i="6"/>
  <c r="G193" i="6"/>
  <c r="K190" i="6"/>
  <c r="B188" i="6"/>
  <c r="F185" i="6"/>
  <c r="G182" i="6"/>
  <c r="I179" i="6"/>
  <c r="B177" i="6"/>
  <c r="F174" i="6"/>
  <c r="E171" i="6"/>
  <c r="G168" i="6"/>
  <c r="J165" i="6"/>
  <c r="F163" i="6"/>
  <c r="K160" i="6"/>
  <c r="G158" i="6"/>
  <c r="B156" i="6"/>
  <c r="I153" i="6"/>
  <c r="E151" i="6"/>
  <c r="L148" i="6"/>
  <c r="F146" i="6"/>
  <c r="L143" i="6"/>
  <c r="H141" i="6"/>
  <c r="D139" i="6"/>
  <c r="K136" i="6"/>
  <c r="G134" i="6"/>
  <c r="B132" i="6"/>
  <c r="G129" i="6"/>
  <c r="D127" i="6"/>
  <c r="L124" i="6"/>
  <c r="I122" i="6"/>
  <c r="F120" i="6"/>
  <c r="B118" i="6"/>
  <c r="J115" i="6"/>
  <c r="G113" i="6"/>
  <c r="D111" i="6"/>
  <c r="L108" i="6"/>
  <c r="G106" i="6"/>
  <c r="C104" i="6"/>
  <c r="K101" i="6"/>
  <c r="H99" i="6"/>
  <c r="E97" i="6"/>
  <c r="B95" i="6"/>
  <c r="J92" i="6"/>
  <c r="G90" i="6"/>
  <c r="C88" i="6"/>
  <c r="K85" i="6"/>
  <c r="F83" i="6"/>
  <c r="C81" i="6"/>
  <c r="K78" i="6"/>
  <c r="H76" i="6"/>
  <c r="D74" i="6"/>
  <c r="L71" i="6"/>
  <c r="I69" i="6"/>
  <c r="F67" i="6"/>
  <c r="C65" i="6"/>
  <c r="K62" i="6"/>
  <c r="F60" i="6"/>
  <c r="B58" i="6"/>
  <c r="J55" i="6"/>
  <c r="G53" i="6"/>
  <c r="D51" i="6"/>
  <c r="L48" i="6"/>
  <c r="I46" i="6"/>
  <c r="F44" i="6"/>
  <c r="D42" i="6"/>
  <c r="B40" i="6"/>
  <c r="I37" i="6"/>
  <c r="G35" i="6"/>
  <c r="E33" i="6"/>
  <c r="C31" i="6"/>
  <c r="L28" i="6"/>
  <c r="J26" i="6"/>
  <c r="H24" i="6"/>
  <c r="F22" i="6"/>
  <c r="D20" i="6"/>
  <c r="B18" i="6"/>
  <c r="I15" i="6"/>
  <c r="G13" i="6"/>
  <c r="E11" i="6"/>
  <c r="C9" i="6"/>
  <c r="L6" i="6"/>
  <c r="I100" i="10"/>
  <c r="H100" i="10" a="1"/>
  <c r="H100" i="10" s="1"/>
  <c r="I99" i="10"/>
  <c r="H99" i="10" a="1"/>
  <c r="H99" i="10" s="1"/>
  <c r="I98" i="10"/>
  <c r="H98" i="10" a="1"/>
  <c r="H98" i="10" s="1"/>
  <c r="I97" i="10"/>
  <c r="H97" i="10" a="1"/>
  <c r="H97" i="10" s="1"/>
  <c r="I96" i="10"/>
  <c r="H96" i="10" a="1"/>
  <c r="H96" i="10" s="1"/>
  <c r="I95" i="10"/>
  <c r="H95" i="10" a="1"/>
  <c r="H95" i="10" s="1"/>
  <c r="I94" i="10"/>
  <c r="H94" i="10" a="1"/>
  <c r="H94" i="10" s="1"/>
  <c r="I93" i="10"/>
  <c r="H93" i="10" a="1"/>
  <c r="H93" i="10" s="1"/>
  <c r="I92" i="10"/>
  <c r="H92" i="10" a="1"/>
  <c r="H92" i="10" s="1"/>
  <c r="I91" i="10"/>
  <c r="H91" i="10" a="1"/>
  <c r="H91" i="10" s="1"/>
  <c r="I90" i="10"/>
  <c r="H90" i="10" a="1"/>
  <c r="H90" i="10" s="1"/>
  <c r="I89" i="10"/>
  <c r="H89" i="10" a="1"/>
  <c r="H89" i="10" s="1"/>
  <c r="I88" i="10"/>
  <c r="H88" i="10" a="1"/>
  <c r="H88" i="10" s="1"/>
  <c r="I87" i="10"/>
  <c r="H87" i="10" a="1"/>
  <c r="H87" i="10" s="1"/>
  <c r="I86" i="10"/>
  <c r="H86" i="10" a="1"/>
  <c r="H86" i="10" s="1"/>
  <c r="I85" i="10"/>
  <c r="H85" i="10" a="1"/>
  <c r="H85" i="10" s="1"/>
  <c r="I84" i="10"/>
  <c r="H84" i="10" a="1"/>
  <c r="H84" i="10" s="1"/>
  <c r="I83" i="10"/>
  <c r="H83" i="10" a="1"/>
  <c r="H83" i="10" s="1"/>
  <c r="I82" i="10"/>
  <c r="H82" i="10" a="1"/>
  <c r="H82" i="10" s="1"/>
  <c r="I81" i="10"/>
  <c r="H81" i="10" a="1"/>
  <c r="H81" i="10" s="1"/>
  <c r="I80" i="10"/>
  <c r="H80" i="10" a="1"/>
  <c r="H80" i="10" s="1"/>
  <c r="I79" i="10"/>
  <c r="H79" i="10" a="1"/>
  <c r="H79" i="10" s="1"/>
  <c r="I78" i="10"/>
  <c r="H78" i="10" a="1"/>
  <c r="H78" i="10" s="1"/>
  <c r="I77" i="10"/>
  <c r="H77" i="10" a="1"/>
  <c r="H77" i="10" s="1"/>
  <c r="I76" i="10"/>
  <c r="H76" i="10" a="1"/>
  <c r="H76" i="10" s="1"/>
  <c r="I75" i="10"/>
  <c r="H75" i="10" a="1"/>
  <c r="H75" i="10" s="1"/>
  <c r="I74" i="10"/>
  <c r="H74" i="10" a="1"/>
  <c r="H74" i="10" s="1"/>
  <c r="I73" i="10"/>
  <c r="H73" i="10" a="1"/>
  <c r="H73" i="10" s="1"/>
  <c r="H72" i="10" a="1"/>
  <c r="H72" i="10" s="1"/>
  <c r="H71" i="10" a="1"/>
  <c r="H71" i="10" s="1"/>
  <c r="H70" i="10" a="1"/>
  <c r="H70" i="10" s="1"/>
  <c r="J42" i="11"/>
  <c r="I42" i="11"/>
  <c r="I43" i="11"/>
  <c r="I44" i="11"/>
  <c r="I45" i="11"/>
  <c r="I46" i="11"/>
  <c r="I47" i="11"/>
  <c r="I48" i="11"/>
  <c r="I49" i="11"/>
  <c r="I50" i="11"/>
  <c r="I51" i="11"/>
  <c r="I52" i="11"/>
  <c r="I53" i="11"/>
  <c r="I54" i="11"/>
  <c r="I55" i="11"/>
  <c r="I56" i="11"/>
  <c r="I57" i="11"/>
  <c r="I58" i="11"/>
  <c r="I59" i="11"/>
  <c r="I60" i="11"/>
  <c r="I61" i="11"/>
  <c r="I62" i="11"/>
  <c r="I63" i="11"/>
  <c r="I64" i="11"/>
  <c r="I65" i="11"/>
  <c r="I66" i="11"/>
  <c r="I67" i="11"/>
  <c r="I68" i="11"/>
  <c r="I69" i="11"/>
  <c r="I70" i="11"/>
  <c r="I71" i="11"/>
  <c r="I72" i="11"/>
  <c r="I73" i="11"/>
  <c r="I74" i="11"/>
  <c r="I75" i="11"/>
  <c r="I76" i="11"/>
  <c r="I77" i="11"/>
  <c r="I78" i="11"/>
  <c r="I79" i="11"/>
  <c r="I80" i="11"/>
  <c r="I81" i="11"/>
  <c r="I82" i="11"/>
  <c r="I83" i="11"/>
  <c r="I84" i="11"/>
  <c r="I85" i="11"/>
  <c r="I86" i="11"/>
  <c r="I87" i="11"/>
  <c r="I88" i="11"/>
  <c r="I89" i="11"/>
  <c r="I90" i="11"/>
  <c r="I91" i="11"/>
  <c r="I92" i="11"/>
  <c r="I93" i="11"/>
  <c r="I94" i="11"/>
  <c r="I95" i="11"/>
  <c r="I96" i="11"/>
  <c r="I97" i="11"/>
  <c r="I98" i="11"/>
  <c r="I99" i="11"/>
  <c r="I100" i="11"/>
  <c r="I90" i="13" a="1"/>
  <c r="I90" i="13" s="1"/>
  <c r="I91" i="13" a="1"/>
  <c r="I91" i="13" s="1"/>
  <c r="I92" i="13" a="1"/>
  <c r="I92" i="13" s="1"/>
  <c r="I93" i="13" a="1"/>
  <c r="I93" i="13" s="1"/>
  <c r="I94" i="13" a="1"/>
  <c r="I94" i="13" s="1"/>
  <c r="I95" i="13" a="1"/>
  <c r="I95" i="13" s="1"/>
  <c r="I96" i="13" a="1"/>
  <c r="I96" i="13" s="1"/>
  <c r="I97" i="13" a="1"/>
  <c r="I97" i="13" s="1"/>
  <c r="I98" i="13" a="1"/>
  <c r="I98" i="13" s="1"/>
  <c r="I99" i="13" a="1"/>
  <c r="I99" i="13" s="1"/>
  <c r="I100" i="13" a="1"/>
  <c r="I100" i="13" s="1"/>
  <c r="H90" i="13" a="1"/>
  <c r="H90" i="13" s="1"/>
  <c r="H91" i="13" a="1"/>
  <c r="H91" i="13" s="1"/>
  <c r="H92" i="13" a="1"/>
  <c r="H92" i="13" s="1"/>
  <c r="H93" i="13" a="1"/>
  <c r="H93" i="13" s="1"/>
  <c r="H94" i="13" a="1"/>
  <c r="H94" i="13" s="1"/>
  <c r="H95" i="13" a="1"/>
  <c r="H95" i="13" s="1"/>
  <c r="H96" i="13" a="1"/>
  <c r="H96" i="13" s="1"/>
  <c r="H97" i="13" a="1"/>
  <c r="H97" i="13" s="1"/>
  <c r="H98" i="13" a="1"/>
  <c r="H98" i="13" s="1"/>
  <c r="H99" i="13" a="1"/>
  <c r="H99" i="13" s="1"/>
  <c r="H100" i="13" a="1"/>
  <c r="H100" i="13" s="1"/>
  <c r="I88" i="12" a="1"/>
  <c r="I88" i="12" s="1"/>
  <c r="I89" i="12" a="1"/>
  <c r="I89" i="12" s="1"/>
  <c r="I90" i="12" a="1"/>
  <c r="I90" i="12" s="1"/>
  <c r="I91" i="12" a="1"/>
  <c r="I91" i="12" s="1"/>
  <c r="I92" i="12" a="1"/>
  <c r="I92" i="12" s="1"/>
  <c r="I93" i="12" a="1"/>
  <c r="I93" i="12" s="1"/>
  <c r="I94" i="12" a="1"/>
  <c r="I94" i="12" s="1"/>
  <c r="I95" i="12" a="1"/>
  <c r="I95" i="12" s="1"/>
  <c r="I96" i="12" a="1"/>
  <c r="I96" i="12" s="1"/>
  <c r="I97" i="12" a="1"/>
  <c r="I97" i="12" s="1"/>
  <c r="I98" i="12" a="1"/>
  <c r="I98" i="12" s="1"/>
  <c r="I99" i="12" a="1"/>
  <c r="I99" i="12" s="1"/>
  <c r="I100" i="12" a="1"/>
  <c r="I100" i="12" s="1"/>
  <c r="H88" i="12" a="1"/>
  <c r="H88" i="12" s="1"/>
  <c r="H89" i="12" a="1"/>
  <c r="H89" i="12" s="1"/>
  <c r="H90" i="12" a="1"/>
  <c r="H90" i="12" s="1"/>
  <c r="H91" i="12" a="1"/>
  <c r="H91" i="12" s="1"/>
  <c r="H92" i="12" a="1"/>
  <c r="H92" i="12" s="1"/>
  <c r="H93" i="12" a="1"/>
  <c r="H93" i="12" s="1"/>
  <c r="H94" i="12" a="1"/>
  <c r="H94" i="12" s="1"/>
  <c r="H95" i="12" a="1"/>
  <c r="H95" i="12" s="1"/>
  <c r="H96" i="12" a="1"/>
  <c r="H96" i="12" s="1"/>
  <c r="H97" i="12" a="1"/>
  <c r="H97" i="12" s="1"/>
  <c r="H98" i="12" a="1"/>
  <c r="H98" i="12" s="1"/>
  <c r="H99" i="12" a="1"/>
  <c r="H99" i="12" s="1"/>
  <c r="H100" i="12" a="1"/>
  <c r="H100" i="12" s="1"/>
  <c r="H42" i="11" a="1"/>
  <c r="H42" i="11" s="1"/>
  <c r="H43" i="11" a="1"/>
  <c r="H43" i="11" s="1"/>
  <c r="H44" i="11" a="1"/>
  <c r="H44" i="11" s="1"/>
  <c r="H45" i="11" a="1"/>
  <c r="H45" i="11" s="1"/>
  <c r="H46" i="11" a="1"/>
  <c r="H46" i="11" s="1"/>
  <c r="H47" i="11" a="1"/>
  <c r="H47" i="11" s="1"/>
  <c r="H48" i="11" a="1"/>
  <c r="H48" i="11" s="1"/>
  <c r="H49" i="11" a="1"/>
  <c r="H49" i="11" s="1"/>
  <c r="H50" i="11" a="1"/>
  <c r="H50" i="11" s="1"/>
  <c r="H51" i="11" a="1"/>
  <c r="H51" i="11" s="1"/>
  <c r="H52" i="11" a="1"/>
  <c r="H52" i="11" s="1"/>
  <c r="H53" i="11" a="1"/>
  <c r="H53" i="11" s="1"/>
  <c r="H54" i="11" a="1"/>
  <c r="H54" i="11" s="1"/>
  <c r="H55" i="11" a="1"/>
  <c r="H55" i="11" s="1"/>
  <c r="H56" i="11" a="1"/>
  <c r="H56" i="11" s="1"/>
  <c r="H57" i="11" a="1"/>
  <c r="H57" i="11" s="1"/>
  <c r="H58" i="11" a="1"/>
  <c r="H58" i="11" s="1"/>
  <c r="H59" i="11" a="1"/>
  <c r="H59" i="11" s="1"/>
  <c r="H60" i="11" a="1"/>
  <c r="H60" i="11" s="1"/>
  <c r="H61" i="11" a="1"/>
  <c r="H61" i="11" s="1"/>
  <c r="H62" i="11" a="1"/>
  <c r="H62" i="11" s="1"/>
  <c r="H63" i="11" a="1"/>
  <c r="H63" i="11" s="1"/>
  <c r="H64" i="11" a="1"/>
  <c r="H64" i="11" s="1"/>
  <c r="H65" i="11" a="1"/>
  <c r="H65" i="11" s="1"/>
  <c r="H66" i="11" a="1"/>
  <c r="H66" i="11" s="1"/>
  <c r="H67" i="11" a="1"/>
  <c r="H67" i="11" s="1"/>
  <c r="H68" i="11" a="1"/>
  <c r="H68" i="11" s="1"/>
  <c r="H69" i="11" a="1"/>
  <c r="H69" i="11" s="1"/>
  <c r="H70" i="11" a="1"/>
  <c r="H70" i="11" s="1"/>
  <c r="H71" i="11" a="1"/>
  <c r="H71" i="11" s="1"/>
  <c r="H72" i="11" a="1"/>
  <c r="H72" i="11" s="1"/>
  <c r="H73" i="11" a="1"/>
  <c r="H73" i="11" s="1"/>
  <c r="H74" i="11" a="1"/>
  <c r="H74" i="11" s="1"/>
  <c r="H75" i="11" a="1"/>
  <c r="H75" i="11" s="1"/>
  <c r="H76" i="11" a="1"/>
  <c r="H76" i="11" s="1"/>
  <c r="H77" i="11" a="1"/>
  <c r="H77" i="11" s="1"/>
  <c r="H78" i="11" a="1"/>
  <c r="H78" i="11" s="1"/>
  <c r="H79" i="11" a="1"/>
  <c r="H79" i="11" s="1"/>
  <c r="H80" i="11" a="1"/>
  <c r="H80" i="11" s="1"/>
  <c r="H81" i="11" a="1"/>
  <c r="H81" i="11" s="1"/>
  <c r="H82" i="11" a="1"/>
  <c r="H82" i="11" s="1"/>
  <c r="H83" i="11" a="1"/>
  <c r="H83" i="11" s="1"/>
  <c r="H84" i="11" a="1"/>
  <c r="H84" i="11" s="1"/>
  <c r="H85" i="11" a="1"/>
  <c r="H85" i="11" s="1"/>
  <c r="H86" i="11" a="1"/>
  <c r="H86" i="11" s="1"/>
  <c r="H87" i="11" a="1"/>
  <c r="H87" i="11" s="1"/>
  <c r="H88" i="11" a="1"/>
  <c r="H88" i="11" s="1"/>
  <c r="H89" i="11" a="1"/>
  <c r="H89" i="11" s="1"/>
  <c r="H90" i="11" a="1"/>
  <c r="H90" i="11" s="1"/>
  <c r="H91" i="11" a="1"/>
  <c r="H91" i="11" s="1"/>
  <c r="H92" i="11" a="1"/>
  <c r="H92" i="11" s="1"/>
  <c r="H93" i="11" a="1"/>
  <c r="H93" i="11" s="1"/>
  <c r="H94" i="11" a="1"/>
  <c r="H94" i="11" s="1"/>
  <c r="H95" i="11" a="1"/>
  <c r="H95" i="11" s="1"/>
  <c r="H96" i="11" a="1"/>
  <c r="H96" i="11" s="1"/>
  <c r="H97" i="11" a="1"/>
  <c r="H97" i="11" s="1"/>
  <c r="H98" i="11" a="1"/>
  <c r="H98" i="11" s="1"/>
  <c r="H99" i="11" a="1"/>
  <c r="H99" i="11" s="1"/>
  <c r="H100" i="11" a="1"/>
  <c r="H100" i="11" s="1"/>
  <c r="H1" i="9"/>
  <c r="G1" i="9"/>
  <c r="F1" i="9"/>
  <c r="E1" i="9"/>
  <c r="B2" i="15"/>
  <c r="B90" i="13"/>
  <c r="C90" i="13"/>
  <c r="D90" i="13"/>
  <c r="E90" i="13"/>
  <c r="F90" i="13"/>
  <c r="G90" i="13"/>
  <c r="J90" i="13"/>
  <c r="K90" i="13"/>
  <c r="L90" i="13"/>
  <c r="B91" i="13"/>
  <c r="C91" i="13"/>
  <c r="D91" i="13"/>
  <c r="E91" i="13"/>
  <c r="F91" i="13"/>
  <c r="G91" i="13"/>
  <c r="J91" i="13"/>
  <c r="K91" i="13"/>
  <c r="L91" i="13"/>
  <c r="B92" i="13"/>
  <c r="C92" i="13"/>
  <c r="D92" i="13"/>
  <c r="E92" i="13"/>
  <c r="F92" i="13"/>
  <c r="G92" i="13"/>
  <c r="J92" i="13"/>
  <c r="K92" i="13"/>
  <c r="L92" i="13"/>
  <c r="B93" i="13"/>
  <c r="C93" i="13"/>
  <c r="D93" i="13"/>
  <c r="E93" i="13"/>
  <c r="F93" i="13"/>
  <c r="G93" i="13"/>
  <c r="J93" i="13"/>
  <c r="K93" i="13"/>
  <c r="L93" i="13"/>
  <c r="B94" i="13"/>
  <c r="C94" i="13"/>
  <c r="D94" i="13"/>
  <c r="E94" i="13"/>
  <c r="F94" i="13"/>
  <c r="G94" i="13"/>
  <c r="J94" i="13"/>
  <c r="K94" i="13"/>
  <c r="L94" i="13"/>
  <c r="B95" i="13"/>
  <c r="C95" i="13"/>
  <c r="D95" i="13"/>
  <c r="E95" i="13"/>
  <c r="F95" i="13"/>
  <c r="G95" i="13"/>
  <c r="J95" i="13"/>
  <c r="K95" i="13"/>
  <c r="L95" i="13"/>
  <c r="B96" i="13"/>
  <c r="C96" i="13"/>
  <c r="D96" i="13"/>
  <c r="E96" i="13"/>
  <c r="F96" i="13"/>
  <c r="G96" i="13"/>
  <c r="J96" i="13"/>
  <c r="K96" i="13"/>
  <c r="L96" i="13"/>
  <c r="B97" i="13"/>
  <c r="C97" i="13"/>
  <c r="D97" i="13"/>
  <c r="E97" i="13"/>
  <c r="F97" i="13"/>
  <c r="G97" i="13"/>
  <c r="J97" i="13"/>
  <c r="K97" i="13"/>
  <c r="L97" i="13"/>
  <c r="B98" i="13"/>
  <c r="C98" i="13"/>
  <c r="D98" i="13"/>
  <c r="E98" i="13"/>
  <c r="F98" i="13"/>
  <c r="G98" i="13"/>
  <c r="J98" i="13"/>
  <c r="K98" i="13"/>
  <c r="L98" i="13"/>
  <c r="B99" i="13"/>
  <c r="C99" i="13"/>
  <c r="D99" i="13"/>
  <c r="E99" i="13"/>
  <c r="F99" i="13"/>
  <c r="G99" i="13"/>
  <c r="J99" i="13"/>
  <c r="K99" i="13"/>
  <c r="L99" i="13"/>
  <c r="B100" i="13"/>
  <c r="C100" i="13"/>
  <c r="D100" i="13"/>
  <c r="E100" i="13"/>
  <c r="F100" i="13"/>
  <c r="G100" i="13"/>
  <c r="J100" i="13"/>
  <c r="K100" i="13"/>
  <c r="L100" i="13"/>
  <c r="B54" i="11"/>
  <c r="C54" i="11"/>
  <c r="D54" i="11"/>
  <c r="E54" i="11"/>
  <c r="F54" i="11"/>
  <c r="G54" i="11"/>
  <c r="J54" i="11" s="1"/>
  <c r="K54" i="11"/>
  <c r="L54" i="11"/>
  <c r="M54" i="11"/>
  <c r="B55" i="11"/>
  <c r="C55" i="11"/>
  <c r="D55" i="11"/>
  <c r="E55" i="11"/>
  <c r="F55" i="11"/>
  <c r="G55" i="11"/>
  <c r="J55" i="11" s="1"/>
  <c r="K55" i="11"/>
  <c r="L55" i="11"/>
  <c r="M55" i="11"/>
  <c r="B56" i="11"/>
  <c r="C56" i="11"/>
  <c r="D56" i="11"/>
  <c r="E56" i="11"/>
  <c r="F56" i="11"/>
  <c r="G56" i="11"/>
  <c r="J56" i="11" s="1"/>
  <c r="K56" i="11"/>
  <c r="L56" i="11"/>
  <c r="M56" i="11"/>
  <c r="B57" i="11"/>
  <c r="C57" i="11"/>
  <c r="D57" i="11"/>
  <c r="E57" i="11"/>
  <c r="F57" i="11"/>
  <c r="G57" i="11"/>
  <c r="J57" i="11" s="1"/>
  <c r="K57" i="11"/>
  <c r="L57" i="11"/>
  <c r="M57" i="11"/>
  <c r="B58" i="11"/>
  <c r="C58" i="11"/>
  <c r="D58" i="11"/>
  <c r="E58" i="11"/>
  <c r="F58" i="11"/>
  <c r="G58" i="11"/>
  <c r="J58" i="11" s="1"/>
  <c r="K58" i="11"/>
  <c r="L58" i="11"/>
  <c r="M58" i="11"/>
  <c r="B59" i="11"/>
  <c r="C59" i="11"/>
  <c r="D59" i="11"/>
  <c r="E59" i="11"/>
  <c r="F59" i="11"/>
  <c r="G59" i="11"/>
  <c r="J59" i="11" s="1"/>
  <c r="K59" i="11"/>
  <c r="L59" i="11"/>
  <c r="M59" i="11"/>
  <c r="B60" i="11"/>
  <c r="C60" i="11"/>
  <c r="D60" i="11"/>
  <c r="E60" i="11"/>
  <c r="F60" i="11"/>
  <c r="G60" i="11"/>
  <c r="J60" i="11" s="1"/>
  <c r="K60" i="11"/>
  <c r="L60" i="11"/>
  <c r="M60" i="11"/>
  <c r="B61" i="11"/>
  <c r="C61" i="11"/>
  <c r="D61" i="11"/>
  <c r="E61" i="11"/>
  <c r="F61" i="11"/>
  <c r="G61" i="11"/>
  <c r="J61" i="11" s="1"/>
  <c r="K61" i="11"/>
  <c r="L61" i="11"/>
  <c r="M61" i="11"/>
  <c r="B62" i="11"/>
  <c r="C62" i="11"/>
  <c r="D62" i="11"/>
  <c r="E62" i="11"/>
  <c r="F62" i="11"/>
  <c r="G62" i="11"/>
  <c r="J62" i="11" s="1"/>
  <c r="K62" i="11"/>
  <c r="L62" i="11"/>
  <c r="M62" i="11"/>
  <c r="B63" i="11"/>
  <c r="C63" i="11"/>
  <c r="D63" i="11"/>
  <c r="E63" i="11"/>
  <c r="F63" i="11"/>
  <c r="G63" i="11"/>
  <c r="J63" i="11" s="1"/>
  <c r="K63" i="11"/>
  <c r="L63" i="11"/>
  <c r="M63" i="11"/>
  <c r="B64" i="11"/>
  <c r="C64" i="11"/>
  <c r="D64" i="11"/>
  <c r="E64" i="11"/>
  <c r="F64" i="11"/>
  <c r="G64" i="11"/>
  <c r="J64" i="11" s="1"/>
  <c r="K64" i="11"/>
  <c r="L64" i="11"/>
  <c r="M64" i="11"/>
  <c r="B65" i="11"/>
  <c r="C65" i="11"/>
  <c r="D65" i="11"/>
  <c r="E65" i="11"/>
  <c r="F65" i="11"/>
  <c r="G65" i="11"/>
  <c r="J65" i="11" s="1"/>
  <c r="K65" i="11"/>
  <c r="L65" i="11"/>
  <c r="M65" i="11"/>
  <c r="B66" i="11"/>
  <c r="C66" i="11"/>
  <c r="D66" i="11"/>
  <c r="E66" i="11"/>
  <c r="F66" i="11"/>
  <c r="G66" i="11"/>
  <c r="J66" i="11" s="1"/>
  <c r="K66" i="11"/>
  <c r="L66" i="11"/>
  <c r="M66" i="11"/>
  <c r="B67" i="11"/>
  <c r="C67" i="11"/>
  <c r="D67" i="11"/>
  <c r="E67" i="11"/>
  <c r="F67" i="11"/>
  <c r="G67" i="11"/>
  <c r="J67" i="11" s="1"/>
  <c r="K67" i="11"/>
  <c r="L67" i="11"/>
  <c r="M67" i="11"/>
  <c r="B68" i="11"/>
  <c r="C68" i="11"/>
  <c r="D68" i="11"/>
  <c r="E68" i="11"/>
  <c r="F68" i="11"/>
  <c r="G68" i="11"/>
  <c r="J68" i="11" s="1"/>
  <c r="K68" i="11"/>
  <c r="L68" i="11"/>
  <c r="M68" i="11"/>
  <c r="B69" i="11"/>
  <c r="C69" i="11"/>
  <c r="D69" i="11"/>
  <c r="E69" i="11"/>
  <c r="F69" i="11"/>
  <c r="G69" i="11"/>
  <c r="J69" i="11" s="1"/>
  <c r="K69" i="11"/>
  <c r="L69" i="11"/>
  <c r="M69" i="11"/>
  <c r="B70" i="11"/>
  <c r="C70" i="11"/>
  <c r="D70" i="11"/>
  <c r="E70" i="11"/>
  <c r="F70" i="11"/>
  <c r="G70" i="11"/>
  <c r="J70" i="11" s="1"/>
  <c r="K70" i="11"/>
  <c r="L70" i="11"/>
  <c r="M70" i="11"/>
  <c r="B71" i="11"/>
  <c r="C71" i="11"/>
  <c r="D71" i="11"/>
  <c r="E71" i="11"/>
  <c r="F71" i="11"/>
  <c r="G71" i="11"/>
  <c r="J71" i="11" s="1"/>
  <c r="K71" i="11"/>
  <c r="L71" i="11"/>
  <c r="M71" i="11"/>
  <c r="B72" i="11"/>
  <c r="C72" i="11"/>
  <c r="D72" i="11"/>
  <c r="E72" i="11"/>
  <c r="F72" i="11"/>
  <c r="G72" i="11"/>
  <c r="J72" i="11" s="1"/>
  <c r="K72" i="11"/>
  <c r="L72" i="11"/>
  <c r="M72" i="11"/>
  <c r="B73" i="11"/>
  <c r="C73" i="11"/>
  <c r="D73" i="11"/>
  <c r="E73" i="11"/>
  <c r="F73" i="11"/>
  <c r="G73" i="11"/>
  <c r="J73" i="11" s="1"/>
  <c r="K73" i="11"/>
  <c r="L73" i="11"/>
  <c r="M73" i="11"/>
  <c r="B74" i="11"/>
  <c r="C74" i="11"/>
  <c r="D74" i="11"/>
  <c r="E74" i="11"/>
  <c r="F74" i="11"/>
  <c r="G74" i="11"/>
  <c r="J74" i="11" s="1"/>
  <c r="K74" i="11"/>
  <c r="L74" i="11"/>
  <c r="M74" i="11"/>
  <c r="B75" i="11"/>
  <c r="C75" i="11"/>
  <c r="D75" i="11"/>
  <c r="E75" i="11"/>
  <c r="F75" i="11"/>
  <c r="G75" i="11"/>
  <c r="J75" i="11" s="1"/>
  <c r="K75" i="11"/>
  <c r="L75" i="11"/>
  <c r="M75" i="11"/>
  <c r="B76" i="11"/>
  <c r="C76" i="11"/>
  <c r="D76" i="11"/>
  <c r="E76" i="11"/>
  <c r="F76" i="11"/>
  <c r="G76" i="11"/>
  <c r="J76" i="11" s="1"/>
  <c r="K76" i="11"/>
  <c r="L76" i="11"/>
  <c r="M76" i="11"/>
  <c r="B77" i="11"/>
  <c r="C77" i="11"/>
  <c r="D77" i="11"/>
  <c r="E77" i="11"/>
  <c r="F77" i="11"/>
  <c r="G77" i="11"/>
  <c r="J77" i="11" s="1"/>
  <c r="K77" i="11"/>
  <c r="L77" i="11"/>
  <c r="M77" i="11"/>
  <c r="B78" i="11"/>
  <c r="C78" i="11"/>
  <c r="D78" i="11"/>
  <c r="E78" i="11"/>
  <c r="F78" i="11"/>
  <c r="G78" i="11"/>
  <c r="J78" i="11" s="1"/>
  <c r="K78" i="11"/>
  <c r="L78" i="11"/>
  <c r="M78" i="11"/>
  <c r="B79" i="11"/>
  <c r="C79" i="11"/>
  <c r="D79" i="11"/>
  <c r="E79" i="11"/>
  <c r="F79" i="11"/>
  <c r="G79" i="11"/>
  <c r="J79" i="11" s="1"/>
  <c r="K79" i="11"/>
  <c r="L79" i="11"/>
  <c r="M79" i="11"/>
  <c r="B80" i="11"/>
  <c r="C80" i="11"/>
  <c r="D80" i="11"/>
  <c r="E80" i="11"/>
  <c r="F80" i="11"/>
  <c r="G80" i="11"/>
  <c r="J80" i="11" s="1"/>
  <c r="K80" i="11"/>
  <c r="L80" i="11"/>
  <c r="M80" i="11"/>
  <c r="B81" i="11"/>
  <c r="C81" i="11"/>
  <c r="D81" i="11"/>
  <c r="E81" i="11"/>
  <c r="F81" i="11"/>
  <c r="G81" i="11"/>
  <c r="J81" i="11" s="1"/>
  <c r="K81" i="11"/>
  <c r="L81" i="11"/>
  <c r="M81" i="11"/>
  <c r="B82" i="11"/>
  <c r="C82" i="11"/>
  <c r="D82" i="11"/>
  <c r="E82" i="11"/>
  <c r="F82" i="11"/>
  <c r="G82" i="11"/>
  <c r="J82" i="11" s="1"/>
  <c r="K82" i="11"/>
  <c r="L82" i="11"/>
  <c r="M82" i="11"/>
  <c r="B83" i="11"/>
  <c r="C83" i="11"/>
  <c r="D83" i="11"/>
  <c r="E83" i="11"/>
  <c r="F83" i="11"/>
  <c r="G83" i="11"/>
  <c r="J83" i="11" s="1"/>
  <c r="K83" i="11"/>
  <c r="L83" i="11"/>
  <c r="M83" i="11"/>
  <c r="B84" i="11"/>
  <c r="C84" i="11"/>
  <c r="D84" i="11"/>
  <c r="E84" i="11"/>
  <c r="F84" i="11"/>
  <c r="G84" i="11"/>
  <c r="J84" i="11" s="1"/>
  <c r="K84" i="11"/>
  <c r="L84" i="11"/>
  <c r="M84" i="11"/>
  <c r="B85" i="11"/>
  <c r="C85" i="11"/>
  <c r="D85" i="11"/>
  <c r="E85" i="11"/>
  <c r="F85" i="11"/>
  <c r="G85" i="11"/>
  <c r="J85" i="11" s="1"/>
  <c r="K85" i="11"/>
  <c r="L85" i="11"/>
  <c r="M85" i="11"/>
  <c r="B86" i="11"/>
  <c r="C86" i="11"/>
  <c r="D86" i="11"/>
  <c r="E86" i="11"/>
  <c r="F86" i="11"/>
  <c r="G86" i="11"/>
  <c r="J86" i="11" s="1"/>
  <c r="K86" i="11"/>
  <c r="L86" i="11"/>
  <c r="M86" i="11"/>
  <c r="B87" i="11"/>
  <c r="C87" i="11"/>
  <c r="D87" i="11"/>
  <c r="E87" i="11"/>
  <c r="F87" i="11"/>
  <c r="G87" i="11"/>
  <c r="J87" i="11" s="1"/>
  <c r="K87" i="11"/>
  <c r="L87" i="11"/>
  <c r="M87" i="11"/>
  <c r="B88" i="11"/>
  <c r="C88" i="11"/>
  <c r="D88" i="11"/>
  <c r="E88" i="11"/>
  <c r="F88" i="11"/>
  <c r="G88" i="11"/>
  <c r="J88" i="11" s="1"/>
  <c r="K88" i="11"/>
  <c r="L88" i="11"/>
  <c r="M88" i="11"/>
  <c r="B89" i="11"/>
  <c r="C89" i="11"/>
  <c r="D89" i="11"/>
  <c r="E89" i="11"/>
  <c r="F89" i="11"/>
  <c r="G89" i="11"/>
  <c r="J89" i="11" s="1"/>
  <c r="K89" i="11"/>
  <c r="L89" i="11"/>
  <c r="M89" i="11"/>
  <c r="B90" i="11"/>
  <c r="C90" i="11"/>
  <c r="D90" i="11"/>
  <c r="E90" i="11"/>
  <c r="F90" i="11"/>
  <c r="G90" i="11"/>
  <c r="J90" i="11" s="1"/>
  <c r="K90" i="11"/>
  <c r="L90" i="11"/>
  <c r="M90" i="11"/>
  <c r="B91" i="11"/>
  <c r="C91" i="11"/>
  <c r="D91" i="11"/>
  <c r="E91" i="11"/>
  <c r="F91" i="11"/>
  <c r="G91" i="11"/>
  <c r="J91" i="11" s="1"/>
  <c r="K91" i="11"/>
  <c r="L91" i="11"/>
  <c r="M91" i="11"/>
  <c r="B92" i="11"/>
  <c r="C92" i="11"/>
  <c r="D92" i="11"/>
  <c r="E92" i="11"/>
  <c r="F92" i="11"/>
  <c r="G92" i="11"/>
  <c r="J92" i="11" s="1"/>
  <c r="K92" i="11"/>
  <c r="L92" i="11"/>
  <c r="M92" i="11"/>
  <c r="B93" i="11"/>
  <c r="C93" i="11"/>
  <c r="D93" i="11"/>
  <c r="E93" i="11"/>
  <c r="F93" i="11"/>
  <c r="G93" i="11"/>
  <c r="J93" i="11" s="1"/>
  <c r="K93" i="11"/>
  <c r="L93" i="11"/>
  <c r="M93" i="11"/>
  <c r="B94" i="11"/>
  <c r="C94" i="11"/>
  <c r="D94" i="11"/>
  <c r="E94" i="11"/>
  <c r="F94" i="11"/>
  <c r="G94" i="11"/>
  <c r="J94" i="11" s="1"/>
  <c r="K94" i="11"/>
  <c r="L94" i="11"/>
  <c r="M94" i="11"/>
  <c r="B95" i="11"/>
  <c r="C95" i="11"/>
  <c r="D95" i="11"/>
  <c r="E95" i="11"/>
  <c r="F95" i="11"/>
  <c r="G95" i="11"/>
  <c r="J95" i="11" s="1"/>
  <c r="K95" i="11"/>
  <c r="L95" i="11"/>
  <c r="M95" i="11"/>
  <c r="B96" i="11"/>
  <c r="C96" i="11"/>
  <c r="D96" i="11"/>
  <c r="E96" i="11"/>
  <c r="F96" i="11"/>
  <c r="G96" i="11"/>
  <c r="J96" i="11" s="1"/>
  <c r="K96" i="11"/>
  <c r="L96" i="11"/>
  <c r="M96" i="11"/>
  <c r="B97" i="11"/>
  <c r="C97" i="11"/>
  <c r="D97" i="11"/>
  <c r="E97" i="11"/>
  <c r="F97" i="11"/>
  <c r="G97" i="11"/>
  <c r="J97" i="11" s="1"/>
  <c r="K97" i="11"/>
  <c r="L97" i="11"/>
  <c r="M97" i="11"/>
  <c r="B98" i="11"/>
  <c r="C98" i="11"/>
  <c r="D98" i="11"/>
  <c r="E98" i="11"/>
  <c r="F98" i="11"/>
  <c r="G98" i="11"/>
  <c r="J98" i="11" s="1"/>
  <c r="K98" i="11"/>
  <c r="L98" i="11"/>
  <c r="M98" i="11"/>
  <c r="B99" i="11"/>
  <c r="C99" i="11"/>
  <c r="D99" i="11"/>
  <c r="E99" i="11"/>
  <c r="F99" i="11"/>
  <c r="G99" i="11"/>
  <c r="J99" i="11" s="1"/>
  <c r="K99" i="11"/>
  <c r="L99" i="11"/>
  <c r="M99" i="11"/>
  <c r="B100" i="11"/>
  <c r="C100" i="11"/>
  <c r="D100" i="11"/>
  <c r="E100" i="11"/>
  <c r="F100" i="11"/>
  <c r="G100" i="11"/>
  <c r="J100" i="11" s="1"/>
  <c r="K100" i="11"/>
  <c r="L100" i="11"/>
  <c r="M100" i="11"/>
  <c r="B70" i="10"/>
  <c r="C70" i="10"/>
  <c r="D70" i="10"/>
  <c r="I70" i="10" s="1"/>
  <c r="E70" i="10"/>
  <c r="F70" i="10"/>
  <c r="G70" i="10"/>
  <c r="K70" i="10"/>
  <c r="L70" i="10"/>
  <c r="M70" i="10"/>
  <c r="B71" i="10"/>
  <c r="C71" i="10"/>
  <c r="D71" i="10"/>
  <c r="I71" i="10" s="1"/>
  <c r="E71" i="10"/>
  <c r="F71" i="10"/>
  <c r="G71" i="10"/>
  <c r="K71" i="10"/>
  <c r="L71" i="10"/>
  <c r="M71" i="10"/>
  <c r="B72" i="10"/>
  <c r="C72" i="10"/>
  <c r="D72" i="10"/>
  <c r="I72" i="10" s="1"/>
  <c r="E72" i="10"/>
  <c r="F72" i="10"/>
  <c r="G72" i="10"/>
  <c r="K72" i="10"/>
  <c r="L72" i="10"/>
  <c r="M72" i="10"/>
  <c r="B73" i="10"/>
  <c r="C73" i="10"/>
  <c r="D73" i="10"/>
  <c r="E73" i="10"/>
  <c r="F73" i="10"/>
  <c r="G73" i="10"/>
  <c r="J73" i="10" s="1"/>
  <c r="K73" i="10"/>
  <c r="L73" i="10"/>
  <c r="M73" i="10"/>
  <c r="B74" i="10"/>
  <c r="C74" i="10"/>
  <c r="D74" i="10"/>
  <c r="E74" i="10"/>
  <c r="F74" i="10"/>
  <c r="G74" i="10"/>
  <c r="J74" i="10" s="1"/>
  <c r="K74" i="10"/>
  <c r="L74" i="10"/>
  <c r="M74" i="10"/>
  <c r="B75" i="10"/>
  <c r="C75" i="10"/>
  <c r="D75" i="10"/>
  <c r="E75" i="10"/>
  <c r="F75" i="10"/>
  <c r="G75" i="10"/>
  <c r="J75" i="10" s="1"/>
  <c r="K75" i="10"/>
  <c r="L75" i="10"/>
  <c r="M75" i="10"/>
  <c r="B76" i="10"/>
  <c r="C76" i="10"/>
  <c r="D76" i="10"/>
  <c r="E76" i="10"/>
  <c r="F76" i="10"/>
  <c r="G76" i="10"/>
  <c r="J76" i="10" s="1"/>
  <c r="K76" i="10"/>
  <c r="L76" i="10"/>
  <c r="M76" i="10"/>
  <c r="B77" i="10"/>
  <c r="C77" i="10"/>
  <c r="D77" i="10"/>
  <c r="E77" i="10"/>
  <c r="F77" i="10"/>
  <c r="G77" i="10"/>
  <c r="J77" i="10" s="1"/>
  <c r="K77" i="10"/>
  <c r="L77" i="10"/>
  <c r="M77" i="10"/>
  <c r="B78" i="10"/>
  <c r="C78" i="10"/>
  <c r="D78" i="10"/>
  <c r="E78" i="10"/>
  <c r="F78" i="10"/>
  <c r="G78" i="10"/>
  <c r="J78" i="10" s="1"/>
  <c r="K78" i="10"/>
  <c r="L78" i="10"/>
  <c r="M78" i="10"/>
  <c r="B79" i="10"/>
  <c r="C79" i="10"/>
  <c r="D79" i="10"/>
  <c r="E79" i="10"/>
  <c r="F79" i="10"/>
  <c r="G79" i="10"/>
  <c r="J79" i="10" s="1"/>
  <c r="K79" i="10"/>
  <c r="L79" i="10"/>
  <c r="M79" i="10"/>
  <c r="B80" i="10"/>
  <c r="C80" i="10"/>
  <c r="D80" i="10"/>
  <c r="E80" i="10"/>
  <c r="F80" i="10"/>
  <c r="G80" i="10"/>
  <c r="J80" i="10" s="1"/>
  <c r="K80" i="10"/>
  <c r="L80" i="10"/>
  <c r="M80" i="10"/>
  <c r="B81" i="10"/>
  <c r="C81" i="10"/>
  <c r="D81" i="10"/>
  <c r="E81" i="10"/>
  <c r="F81" i="10"/>
  <c r="G81" i="10"/>
  <c r="J81" i="10" s="1"/>
  <c r="K81" i="10"/>
  <c r="L81" i="10"/>
  <c r="M81" i="10"/>
  <c r="B82" i="10"/>
  <c r="C82" i="10"/>
  <c r="D82" i="10"/>
  <c r="E82" i="10"/>
  <c r="F82" i="10"/>
  <c r="G82" i="10"/>
  <c r="J82" i="10" s="1"/>
  <c r="K82" i="10"/>
  <c r="L82" i="10"/>
  <c r="M82" i="10"/>
  <c r="B83" i="10"/>
  <c r="C83" i="10"/>
  <c r="D83" i="10"/>
  <c r="E83" i="10"/>
  <c r="F83" i="10"/>
  <c r="G83" i="10"/>
  <c r="J83" i="10" s="1"/>
  <c r="K83" i="10"/>
  <c r="L83" i="10"/>
  <c r="M83" i="10"/>
  <c r="B84" i="10"/>
  <c r="C84" i="10"/>
  <c r="D84" i="10"/>
  <c r="E84" i="10"/>
  <c r="F84" i="10"/>
  <c r="G84" i="10"/>
  <c r="J84" i="10" s="1"/>
  <c r="K84" i="10"/>
  <c r="L84" i="10"/>
  <c r="M84" i="10"/>
  <c r="B85" i="10"/>
  <c r="C85" i="10"/>
  <c r="D85" i="10"/>
  <c r="E85" i="10"/>
  <c r="F85" i="10"/>
  <c r="G85" i="10"/>
  <c r="J85" i="10" s="1"/>
  <c r="K85" i="10"/>
  <c r="L85" i="10"/>
  <c r="M85" i="10"/>
  <c r="B86" i="10"/>
  <c r="C86" i="10"/>
  <c r="D86" i="10"/>
  <c r="E86" i="10"/>
  <c r="F86" i="10"/>
  <c r="G86" i="10"/>
  <c r="J86" i="10" s="1"/>
  <c r="K86" i="10"/>
  <c r="L86" i="10"/>
  <c r="M86" i="10"/>
  <c r="B87" i="10"/>
  <c r="C87" i="10"/>
  <c r="D87" i="10"/>
  <c r="E87" i="10"/>
  <c r="F87" i="10"/>
  <c r="G87" i="10"/>
  <c r="J87" i="10" s="1"/>
  <c r="K87" i="10"/>
  <c r="L87" i="10"/>
  <c r="M87" i="10"/>
  <c r="B88" i="10"/>
  <c r="C88" i="10"/>
  <c r="D88" i="10"/>
  <c r="E88" i="10"/>
  <c r="F88" i="10"/>
  <c r="G88" i="10"/>
  <c r="J88" i="10" s="1"/>
  <c r="K88" i="10"/>
  <c r="L88" i="10"/>
  <c r="M88" i="10"/>
  <c r="B89" i="10"/>
  <c r="C89" i="10"/>
  <c r="D89" i="10"/>
  <c r="E89" i="10"/>
  <c r="F89" i="10"/>
  <c r="G89" i="10"/>
  <c r="J89" i="10" s="1"/>
  <c r="K89" i="10"/>
  <c r="L89" i="10"/>
  <c r="M89" i="10"/>
  <c r="B90" i="10"/>
  <c r="C90" i="10"/>
  <c r="D90" i="10"/>
  <c r="E90" i="10"/>
  <c r="F90" i="10"/>
  <c r="G90" i="10"/>
  <c r="J90" i="10" s="1"/>
  <c r="K90" i="10"/>
  <c r="L90" i="10"/>
  <c r="M90" i="10"/>
  <c r="B91" i="10"/>
  <c r="C91" i="10"/>
  <c r="D91" i="10"/>
  <c r="E91" i="10"/>
  <c r="F91" i="10"/>
  <c r="G91" i="10"/>
  <c r="J91" i="10" s="1"/>
  <c r="K91" i="10"/>
  <c r="L91" i="10"/>
  <c r="M91" i="10"/>
  <c r="B92" i="10"/>
  <c r="C92" i="10"/>
  <c r="D92" i="10"/>
  <c r="E92" i="10"/>
  <c r="F92" i="10"/>
  <c r="G92" i="10"/>
  <c r="J92" i="10" s="1"/>
  <c r="K92" i="10"/>
  <c r="L92" i="10"/>
  <c r="M92" i="10"/>
  <c r="B93" i="10"/>
  <c r="C93" i="10"/>
  <c r="D93" i="10"/>
  <c r="E93" i="10"/>
  <c r="F93" i="10"/>
  <c r="G93" i="10"/>
  <c r="J93" i="10" s="1"/>
  <c r="K93" i="10"/>
  <c r="L93" i="10"/>
  <c r="M93" i="10"/>
  <c r="B94" i="10"/>
  <c r="C94" i="10"/>
  <c r="D94" i="10"/>
  <c r="E94" i="10"/>
  <c r="F94" i="10"/>
  <c r="G94" i="10"/>
  <c r="J94" i="10" s="1"/>
  <c r="K94" i="10"/>
  <c r="L94" i="10"/>
  <c r="M94" i="10"/>
  <c r="B95" i="10"/>
  <c r="C95" i="10"/>
  <c r="D95" i="10"/>
  <c r="E95" i="10"/>
  <c r="F95" i="10"/>
  <c r="G95" i="10"/>
  <c r="J95" i="10" s="1"/>
  <c r="K95" i="10"/>
  <c r="L95" i="10"/>
  <c r="M95" i="10"/>
  <c r="B96" i="10"/>
  <c r="C96" i="10"/>
  <c r="D96" i="10"/>
  <c r="E96" i="10"/>
  <c r="F96" i="10"/>
  <c r="G96" i="10"/>
  <c r="J96" i="10" s="1"/>
  <c r="K96" i="10"/>
  <c r="L96" i="10"/>
  <c r="M96" i="10"/>
  <c r="B97" i="10"/>
  <c r="C97" i="10"/>
  <c r="D97" i="10"/>
  <c r="E97" i="10"/>
  <c r="F97" i="10"/>
  <c r="G97" i="10"/>
  <c r="J97" i="10" s="1"/>
  <c r="K97" i="10"/>
  <c r="L97" i="10"/>
  <c r="M97" i="10"/>
  <c r="B98" i="10"/>
  <c r="C98" i="10"/>
  <c r="D98" i="10"/>
  <c r="E98" i="10"/>
  <c r="F98" i="10"/>
  <c r="G98" i="10"/>
  <c r="J98" i="10" s="1"/>
  <c r="K98" i="10"/>
  <c r="L98" i="10"/>
  <c r="M98" i="10"/>
  <c r="B99" i="10"/>
  <c r="C99" i="10"/>
  <c r="D99" i="10"/>
  <c r="E99" i="10"/>
  <c r="F99" i="10"/>
  <c r="G99" i="10"/>
  <c r="J99" i="10" s="1"/>
  <c r="K99" i="10"/>
  <c r="L99" i="10"/>
  <c r="M99" i="10"/>
  <c r="B100" i="10"/>
  <c r="C100" i="10"/>
  <c r="D100" i="10"/>
  <c r="E100" i="10"/>
  <c r="F100" i="10"/>
  <c r="G100" i="10"/>
  <c r="J100" i="10" s="1"/>
  <c r="K100" i="10"/>
  <c r="L100" i="10"/>
  <c r="M100" i="10"/>
  <c r="L100" i="9"/>
  <c r="K100" i="9"/>
  <c r="J100" i="9"/>
  <c r="I100" i="9"/>
  <c r="H100" i="9"/>
  <c r="G100" i="9"/>
  <c r="F100" i="9"/>
  <c r="E100" i="9"/>
  <c r="D100" i="9"/>
  <c r="C100" i="9"/>
  <c r="B100" i="9"/>
  <c r="L99" i="9"/>
  <c r="K99" i="9"/>
  <c r="J99" i="9"/>
  <c r="I99" i="9"/>
  <c r="H99" i="9"/>
  <c r="G99" i="9"/>
  <c r="F99" i="9"/>
  <c r="E99" i="9"/>
  <c r="D99" i="9"/>
  <c r="C99" i="9"/>
  <c r="B99" i="9"/>
  <c r="L98" i="9"/>
  <c r="K98" i="9"/>
  <c r="J98" i="9"/>
  <c r="I98" i="9"/>
  <c r="H98" i="9"/>
  <c r="G98" i="9"/>
  <c r="F98" i="9"/>
  <c r="E98" i="9"/>
  <c r="D98" i="9"/>
  <c r="C98" i="9"/>
  <c r="B98" i="9"/>
  <c r="L97" i="9"/>
  <c r="K97" i="9"/>
  <c r="J97" i="9"/>
  <c r="I97" i="9"/>
  <c r="H97" i="9"/>
  <c r="G97" i="9"/>
  <c r="F97" i="9"/>
  <c r="E97" i="9"/>
  <c r="D97" i="9"/>
  <c r="C97" i="9"/>
  <c r="B97" i="9"/>
  <c r="L96" i="9"/>
  <c r="K96" i="9"/>
  <c r="J96" i="9"/>
  <c r="I96" i="9"/>
  <c r="H96" i="9"/>
  <c r="G96" i="9"/>
  <c r="F96" i="9"/>
  <c r="E96" i="9"/>
  <c r="D96" i="9"/>
  <c r="C96" i="9"/>
  <c r="B96" i="9"/>
  <c r="L95" i="9"/>
  <c r="K95" i="9"/>
  <c r="J95" i="9"/>
  <c r="I95" i="9"/>
  <c r="H95" i="9"/>
  <c r="G95" i="9"/>
  <c r="F95" i="9"/>
  <c r="E95" i="9"/>
  <c r="D95" i="9"/>
  <c r="C95" i="9"/>
  <c r="B95" i="9"/>
  <c r="Z304" i="6"/>
  <c r="Z303" i="6"/>
  <c r="Z302" i="6"/>
  <c r="Z301" i="6"/>
  <c r="Z300" i="6"/>
  <c r="Z299" i="6"/>
  <c r="Z298" i="6"/>
  <c r="Z297" i="6"/>
  <c r="Z296" i="6"/>
  <c r="Z295" i="6"/>
  <c r="J70" i="10" l="1"/>
  <c r="J72" i="10"/>
  <c r="J71" i="10"/>
  <c r="H1" i="6"/>
  <c r="G22" i="28"/>
  <c r="G21" i="28"/>
  <c r="G20" i="28"/>
  <c r="G19" i="28"/>
  <c r="G18" i="28"/>
  <c r="G17" i="28"/>
  <c r="G16" i="28"/>
  <c r="G15" i="28"/>
  <c r="G14" i="28"/>
  <c r="G13" i="28"/>
  <c r="G10" i="28"/>
  <c r="G9" i="28"/>
  <c r="G7" i="28"/>
  <c r="G6" i="28"/>
  <c r="G5" i="28"/>
  <c r="G4" i="28"/>
  <c r="G3" i="28"/>
  <c r="G12" i="28"/>
  <c r="G8" i="28"/>
  <c r="G2" i="28"/>
  <c r="G11" i="28"/>
  <c r="H1" i="18"/>
  <c r="G1" i="18"/>
  <c r="F1" i="18"/>
  <c r="E1" i="18"/>
  <c r="G1" i="14"/>
  <c r="H1" i="12"/>
  <c r="H1" i="13"/>
  <c r="F1" i="6"/>
  <c r="U5" i="6" a="1"/>
  <c r="U5" i="6" s="1"/>
  <c r="S5" i="6" a="1"/>
  <c r="S5" i="6" s="1"/>
  <c r="O5" i="6" a="1"/>
  <c r="O5" i="6" s="1"/>
  <c r="M5" i="6" a="1"/>
  <c r="M5" i="6" s="1"/>
  <c r="W5" i="6" a="1"/>
  <c r="W5" i="6" s="1"/>
  <c r="I5" i="6"/>
  <c r="E1" i="17" s="1"/>
  <c r="H5" i="6"/>
  <c r="E5" i="6"/>
  <c r="J5" i="6"/>
  <c r="D5" i="6"/>
  <c r="C5" i="6"/>
  <c r="Q5" i="6" a="1"/>
  <c r="Q5" i="6" s="1"/>
  <c r="K5" i="6"/>
  <c r="L5" i="6"/>
  <c r="H1" i="17" s="1"/>
  <c r="G5" i="6"/>
  <c r="F5" i="6"/>
  <c r="B5" i="6"/>
  <c r="P293" i="6"/>
  <c r="Z294" i="6"/>
  <c r="Y293" i="6"/>
  <c r="Y294" i="6"/>
  <c r="X293" i="6"/>
  <c r="T293" i="6"/>
  <c r="T294" i="6"/>
  <c r="Z293" i="6"/>
  <c r="N293" i="6"/>
  <c r="AA293" i="6"/>
  <c r="X294" i="6"/>
  <c r="P294" i="6"/>
  <c r="V293" i="6"/>
  <c r="AA294" i="6"/>
  <c r="Y292" i="6"/>
  <c r="Z289" i="6"/>
  <c r="AA289" i="6"/>
  <c r="Z292" i="6"/>
  <c r="AA290" i="6"/>
  <c r="Y289" i="6"/>
  <c r="Z291" i="6"/>
  <c r="Z290" i="6"/>
  <c r="T289" i="6"/>
  <c r="AA291" i="6"/>
  <c r="AA292" i="6"/>
  <c r="Y290" i="6"/>
  <c r="Y291" i="6"/>
  <c r="P301" i="6"/>
  <c r="Z288" i="6"/>
  <c r="Z287" i="6"/>
  <c r="Y288" i="6"/>
  <c r="AA287" i="6"/>
  <c r="AA288" i="6"/>
  <c r="Z286" i="6"/>
  <c r="Z284" i="6"/>
  <c r="Z285" i="6"/>
  <c r="Z283" i="6"/>
  <c r="AA283" i="6"/>
  <c r="Y283" i="6"/>
  <c r="Y286" i="6"/>
  <c r="AA286" i="6"/>
  <c r="Y285" i="6"/>
  <c r="AA285" i="6"/>
  <c r="AA284" i="6"/>
  <c r="N304" i="6"/>
  <c r="T304" i="6"/>
  <c r="Y278" i="6"/>
  <c r="Y279" i="6"/>
  <c r="Y282" i="6"/>
  <c r="Y280" i="6"/>
  <c r="Z281" i="6"/>
  <c r="T282" i="6"/>
  <c r="Z282" i="6"/>
  <c r="Y281" i="6"/>
  <c r="AA277" i="6"/>
  <c r="R281" i="6"/>
  <c r="AA278" i="6"/>
  <c r="X278" i="6"/>
  <c r="AA282" i="6"/>
  <c r="AA279" i="6"/>
  <c r="AA281" i="6"/>
  <c r="Z280" i="6"/>
  <c r="AA280" i="6"/>
  <c r="Z277" i="6"/>
  <c r="Z278" i="6"/>
  <c r="N302" i="6"/>
  <c r="Z279" i="6"/>
  <c r="T295" i="6"/>
  <c r="P302" i="6"/>
  <c r="P304" i="6"/>
  <c r="V304" i="6"/>
  <c r="V303" i="6"/>
  <c r="V302" i="6"/>
  <c r="R304" i="6"/>
  <c r="R303" i="6"/>
  <c r="R302" i="6"/>
  <c r="N303" i="6"/>
  <c r="T303" i="6"/>
  <c r="X299" i="6"/>
  <c r="X298" i="6"/>
  <c r="X297" i="6"/>
  <c r="X296" i="6"/>
  <c r="X303" i="6"/>
  <c r="P297" i="6"/>
  <c r="N296" i="6"/>
  <c r="P296" i="6"/>
  <c r="AA182" i="6"/>
  <c r="Y30" i="6"/>
  <c r="Z30" i="6"/>
  <c r="AA30" i="6"/>
  <c r="Y273" i="6"/>
  <c r="Z275" i="6"/>
  <c r="T302" i="6"/>
  <c r="Z276" i="6"/>
  <c r="P298" i="6"/>
  <c r="AA276" i="6"/>
  <c r="T300" i="6"/>
  <c r="Y276" i="6"/>
  <c r="AA274" i="6"/>
  <c r="T298" i="6"/>
  <c r="Y275" i="6"/>
  <c r="AA273" i="6"/>
  <c r="AA275" i="6"/>
  <c r="T299" i="6"/>
  <c r="P295" i="6"/>
  <c r="T297" i="6"/>
  <c r="Y274" i="6"/>
  <c r="AA271" i="6"/>
  <c r="P303" i="6"/>
  <c r="Z273" i="6"/>
  <c r="Z274" i="6"/>
  <c r="N301" i="6"/>
  <c r="N300" i="6"/>
  <c r="P300" i="6"/>
  <c r="T296" i="6"/>
  <c r="R295" i="6"/>
  <c r="V296" i="6"/>
  <c r="N299" i="6"/>
  <c r="R301" i="6"/>
  <c r="N298" i="6"/>
  <c r="R298" i="6"/>
  <c r="V298" i="6"/>
  <c r="V295" i="6"/>
  <c r="X295" i="6"/>
  <c r="R299" i="6"/>
  <c r="R300" i="6"/>
  <c r="V301" i="6"/>
  <c r="P299" i="6"/>
  <c r="V297" i="6"/>
  <c r="N297" i="6"/>
  <c r="V300" i="6"/>
  <c r="V299" i="6"/>
  <c r="N295" i="6"/>
  <c r="R297" i="6"/>
  <c r="R296" i="6"/>
  <c r="N294" i="6"/>
  <c r="R294" i="6"/>
  <c r="X302" i="6"/>
  <c r="X304" i="6"/>
  <c r="Y301" i="6"/>
  <c r="T301" i="6"/>
  <c r="X301" i="6"/>
  <c r="X300" i="6"/>
  <c r="Z272" i="6"/>
  <c r="Z271" i="6"/>
  <c r="Z105" i="6"/>
  <c r="Z83" i="6"/>
  <c r="AA272" i="6"/>
  <c r="Y20" i="6"/>
  <c r="Z61" i="6"/>
  <c r="Y271" i="6"/>
  <c r="Z39" i="6"/>
  <c r="Y272" i="6"/>
  <c r="Z17" i="6"/>
  <c r="Z253" i="6"/>
  <c r="Z231" i="6"/>
  <c r="Z209" i="6"/>
  <c r="Z187" i="6"/>
  <c r="Z165" i="6"/>
  <c r="Z143" i="6"/>
  <c r="Z121" i="6"/>
  <c r="Z99" i="6"/>
  <c r="Z77" i="6"/>
  <c r="Z55" i="6"/>
  <c r="Z33" i="6"/>
  <c r="Z11" i="6"/>
  <c r="Y202" i="6"/>
  <c r="Z270" i="6"/>
  <c r="Z160" i="6"/>
  <c r="Z50" i="6"/>
  <c r="Z181" i="6"/>
  <c r="Z49" i="6"/>
  <c r="Z152" i="6"/>
  <c r="Z42" i="6"/>
  <c r="Z239" i="6"/>
  <c r="Z129" i="6"/>
  <c r="Z85" i="6"/>
  <c r="Z19" i="6"/>
  <c r="Z194" i="6"/>
  <c r="Z40" i="6"/>
  <c r="Z193" i="6"/>
  <c r="Z252" i="6"/>
  <c r="Z230" i="6"/>
  <c r="Z208" i="6"/>
  <c r="Z186" i="6"/>
  <c r="Z164" i="6"/>
  <c r="Z142" i="6"/>
  <c r="Z120" i="6"/>
  <c r="Z98" i="6"/>
  <c r="Z76" i="6"/>
  <c r="Z54" i="6"/>
  <c r="Z32" i="6"/>
  <c r="Z10" i="6"/>
  <c r="Y213" i="6"/>
  <c r="Z226" i="6"/>
  <c r="Z138" i="6"/>
  <c r="Z28" i="6"/>
  <c r="Z225" i="6"/>
  <c r="Z159" i="6"/>
  <c r="Z115" i="6"/>
  <c r="Z240" i="6"/>
  <c r="AA164" i="6"/>
  <c r="Z217" i="6"/>
  <c r="Z41" i="6"/>
  <c r="AA180" i="6"/>
  <c r="Z216" i="6"/>
  <c r="Z62" i="6"/>
  <c r="AA181" i="6"/>
  <c r="Z237" i="6"/>
  <c r="Z251" i="6"/>
  <c r="Z229" i="6"/>
  <c r="Z207" i="6"/>
  <c r="Z185" i="6"/>
  <c r="Z163" i="6"/>
  <c r="Z141" i="6"/>
  <c r="Z119" i="6"/>
  <c r="Z97" i="6"/>
  <c r="Z75" i="6"/>
  <c r="Z53" i="6"/>
  <c r="Z31" i="6"/>
  <c r="Z9" i="6"/>
  <c r="Y214" i="6"/>
  <c r="Z12" i="6"/>
  <c r="Z34" i="6"/>
  <c r="Z56" i="6"/>
  <c r="Z78" i="6"/>
  <c r="Z100" i="6"/>
  <c r="Z122" i="6"/>
  <c r="Z144" i="6"/>
  <c r="Z166" i="6"/>
  <c r="Z188" i="6"/>
  <c r="Z210" i="6"/>
  <c r="Z232" i="6"/>
  <c r="Z254" i="6"/>
  <c r="Y153" i="6"/>
  <c r="Z13" i="6"/>
  <c r="Z101" i="6"/>
  <c r="Z211" i="6"/>
  <c r="Y23" i="6"/>
  <c r="Z14" i="6"/>
  <c r="Z36" i="6"/>
  <c r="Z58" i="6"/>
  <c r="Z80" i="6"/>
  <c r="Z102" i="6"/>
  <c r="Z124" i="6"/>
  <c r="Z146" i="6"/>
  <c r="Z168" i="6"/>
  <c r="Z190" i="6"/>
  <c r="Z212" i="6"/>
  <c r="Z234" i="6"/>
  <c r="Z256" i="6"/>
  <c r="Y24" i="6"/>
  <c r="Z79" i="6"/>
  <c r="Z145" i="6"/>
  <c r="Z233" i="6"/>
  <c r="Y22" i="6"/>
  <c r="AA239" i="6"/>
  <c r="Z15" i="6"/>
  <c r="Z37" i="6"/>
  <c r="Z59" i="6"/>
  <c r="Z81" i="6"/>
  <c r="Z103" i="6"/>
  <c r="Z125" i="6"/>
  <c r="Z147" i="6"/>
  <c r="Z169" i="6"/>
  <c r="Z191" i="6"/>
  <c r="Z213" i="6"/>
  <c r="Z235" i="6"/>
  <c r="Z257" i="6"/>
  <c r="Y16" i="6"/>
  <c r="Z35" i="6"/>
  <c r="Z57" i="6"/>
  <c r="Z123" i="6"/>
  <c r="Z167" i="6"/>
  <c r="Z189" i="6"/>
  <c r="Z255" i="6"/>
  <c r="Y21" i="6"/>
  <c r="AA237" i="6"/>
  <c r="Z16" i="6"/>
  <c r="Z38" i="6"/>
  <c r="Z60" i="6"/>
  <c r="Z82" i="6"/>
  <c r="Z104" i="6"/>
  <c r="Z126" i="6"/>
  <c r="Z148" i="6"/>
  <c r="Z170" i="6"/>
  <c r="Z192" i="6"/>
  <c r="Z214" i="6"/>
  <c r="Z236" i="6"/>
  <c r="Z258" i="6"/>
  <c r="Z127" i="6"/>
  <c r="Z215" i="6"/>
  <c r="Z150" i="6"/>
  <c r="Z195" i="6"/>
  <c r="Z218" i="6"/>
  <c r="AA163" i="6"/>
  <c r="Z21" i="6"/>
  <c r="Z43" i="6"/>
  <c r="Z65" i="6"/>
  <c r="Z87" i="6"/>
  <c r="Z109" i="6"/>
  <c r="Z131" i="6"/>
  <c r="Z153" i="6"/>
  <c r="Z175" i="6"/>
  <c r="Z197" i="6"/>
  <c r="Z219" i="6"/>
  <c r="Z241" i="6"/>
  <c r="Z263" i="6"/>
  <c r="AA162" i="6"/>
  <c r="Z22" i="6"/>
  <c r="Z44" i="6"/>
  <c r="Z66" i="6"/>
  <c r="Z88" i="6"/>
  <c r="Z110" i="6"/>
  <c r="Z132" i="6"/>
  <c r="Z154" i="6"/>
  <c r="Z176" i="6"/>
  <c r="Z198" i="6"/>
  <c r="Z220" i="6"/>
  <c r="Z242" i="6"/>
  <c r="Z264" i="6"/>
  <c r="AA109" i="6"/>
  <c r="Z23" i="6"/>
  <c r="Z45" i="6"/>
  <c r="Z67" i="6"/>
  <c r="Z89" i="6"/>
  <c r="Z111" i="6"/>
  <c r="Z133" i="6"/>
  <c r="Z155" i="6"/>
  <c r="Z177" i="6"/>
  <c r="Z199" i="6"/>
  <c r="Z221" i="6"/>
  <c r="Z243" i="6"/>
  <c r="Z265" i="6"/>
  <c r="Z24" i="6"/>
  <c r="Z46" i="6"/>
  <c r="Z68" i="6"/>
  <c r="Z90" i="6"/>
  <c r="Z112" i="6"/>
  <c r="Z134" i="6"/>
  <c r="Z156" i="6"/>
  <c r="Z178" i="6"/>
  <c r="Z200" i="6"/>
  <c r="Z222" i="6"/>
  <c r="Z244" i="6"/>
  <c r="Z266" i="6"/>
  <c r="Z25" i="6"/>
  <c r="Z47" i="6"/>
  <c r="Z69" i="6"/>
  <c r="Z91" i="6"/>
  <c r="Z113" i="6"/>
  <c r="Z135" i="6"/>
  <c r="Z157" i="6"/>
  <c r="Z179" i="6"/>
  <c r="Z201" i="6"/>
  <c r="Z223" i="6"/>
  <c r="Z245" i="6"/>
  <c r="Z267" i="6"/>
  <c r="Y268" i="6"/>
  <c r="Z26" i="6"/>
  <c r="Z48" i="6"/>
  <c r="Z70" i="6"/>
  <c r="Z92" i="6"/>
  <c r="Z114" i="6"/>
  <c r="Z136" i="6"/>
  <c r="Z158" i="6"/>
  <c r="Z180" i="6"/>
  <c r="Z202" i="6"/>
  <c r="Z224" i="6"/>
  <c r="Z246" i="6"/>
  <c r="Z268" i="6"/>
  <c r="Z259" i="6"/>
  <c r="Z172" i="6"/>
  <c r="Z151" i="6"/>
  <c r="Z174" i="6"/>
  <c r="Z71" i="6"/>
  <c r="Z203" i="6"/>
  <c r="Z72" i="6"/>
  <c r="Z116" i="6"/>
  <c r="Z182" i="6"/>
  <c r="Z248" i="6"/>
  <c r="Y216" i="6"/>
  <c r="Z7" i="6"/>
  <c r="Z29" i="6"/>
  <c r="Z51" i="6"/>
  <c r="Z73" i="6"/>
  <c r="Z95" i="6"/>
  <c r="Z117" i="6"/>
  <c r="Z139" i="6"/>
  <c r="Z161" i="6"/>
  <c r="Z183" i="6"/>
  <c r="Z205" i="6"/>
  <c r="Z227" i="6"/>
  <c r="Z249" i="6"/>
  <c r="Z171" i="6"/>
  <c r="Z260" i="6"/>
  <c r="Y14" i="6"/>
  <c r="Z63" i="6"/>
  <c r="Z107" i="6"/>
  <c r="Z261" i="6"/>
  <c r="Z20" i="6"/>
  <c r="Z86" i="6"/>
  <c r="Z108" i="6"/>
  <c r="Z130" i="6"/>
  <c r="Z262" i="6"/>
  <c r="Y224" i="6"/>
  <c r="Z93" i="6"/>
  <c r="Z247" i="6"/>
  <c r="Y217" i="6"/>
  <c r="Z6" i="6"/>
  <c r="Z94" i="6"/>
  <c r="Z204" i="6"/>
  <c r="Y215" i="6"/>
  <c r="Z8" i="6"/>
  <c r="Z52" i="6"/>
  <c r="Z74" i="6"/>
  <c r="Z96" i="6"/>
  <c r="Z118" i="6"/>
  <c r="Z140" i="6"/>
  <c r="Z162" i="6"/>
  <c r="Z184" i="6"/>
  <c r="Z206" i="6"/>
  <c r="Z228" i="6"/>
  <c r="Z250" i="6"/>
  <c r="Z149" i="6"/>
  <c r="Z18" i="6"/>
  <c r="Z84" i="6"/>
  <c r="Z106" i="6"/>
  <c r="Z128" i="6"/>
  <c r="Z238" i="6"/>
  <c r="Z173" i="6"/>
  <c r="Z64" i="6"/>
  <c r="Z196" i="6"/>
  <c r="Z27" i="6"/>
  <c r="Z137" i="6"/>
  <c r="Z269" i="6"/>
  <c r="AA107" i="6"/>
  <c r="Y151" i="6"/>
  <c r="AA101" i="6"/>
  <c r="Y146" i="6"/>
  <c r="AA51" i="6"/>
  <c r="AA42" i="6"/>
  <c r="Y91" i="6"/>
  <c r="AA243" i="6"/>
  <c r="AA27" i="6"/>
  <c r="Y90" i="6"/>
  <c r="AA242" i="6"/>
  <c r="AA26" i="6"/>
  <c r="AA18" i="6"/>
  <c r="AA40" i="6"/>
  <c r="AA62" i="6"/>
  <c r="AA84" i="6"/>
  <c r="AA106" i="6"/>
  <c r="AA128" i="6"/>
  <c r="AA150" i="6"/>
  <c r="AA172" i="6"/>
  <c r="AA194" i="6"/>
  <c r="AA216" i="6"/>
  <c r="AA238" i="6"/>
  <c r="AA260" i="6"/>
  <c r="Y12" i="6"/>
  <c r="Y34" i="6"/>
  <c r="Y78" i="6"/>
  <c r="Y100" i="6"/>
  <c r="Y122" i="6"/>
  <c r="Y144" i="6"/>
  <c r="Y166" i="6"/>
  <c r="Y188" i="6"/>
  <c r="Y210" i="6"/>
  <c r="Y232" i="6"/>
  <c r="Y254" i="6"/>
  <c r="AA15" i="6"/>
  <c r="AA38" i="6"/>
  <c r="AA61" i="6"/>
  <c r="AA85" i="6"/>
  <c r="AA108" i="6"/>
  <c r="AA131" i="6"/>
  <c r="AA154" i="6"/>
  <c r="AA177" i="6"/>
  <c r="AA200" i="6"/>
  <c r="AA223" i="6"/>
  <c r="AA246" i="6"/>
  <c r="AA269" i="6"/>
  <c r="Y35" i="6"/>
  <c r="Y81" i="6"/>
  <c r="AA13" i="6"/>
  <c r="AA37" i="6"/>
  <c r="AA63" i="6"/>
  <c r="AA87" i="6"/>
  <c r="AA111" i="6"/>
  <c r="AA135" i="6"/>
  <c r="AA159" i="6"/>
  <c r="AA183" i="6"/>
  <c r="AA207" i="6"/>
  <c r="AA231" i="6"/>
  <c r="AA255" i="6"/>
  <c r="Y13" i="6"/>
  <c r="Y37" i="6"/>
  <c r="Y85" i="6"/>
  <c r="Y133" i="6"/>
  <c r="AA16" i="6"/>
  <c r="AA41" i="6"/>
  <c r="AA65" i="6"/>
  <c r="AA89" i="6"/>
  <c r="AA113" i="6"/>
  <c r="AA137" i="6"/>
  <c r="AA161" i="6"/>
  <c r="AA185" i="6"/>
  <c r="AA209" i="6"/>
  <c r="AA233" i="6"/>
  <c r="AA257" i="6"/>
  <c r="Y15" i="6"/>
  <c r="Y39" i="6"/>
  <c r="Y63" i="6"/>
  <c r="Y183" i="6"/>
  <c r="AA7" i="6"/>
  <c r="AA33" i="6"/>
  <c r="AA59" i="6"/>
  <c r="AA88" i="6"/>
  <c r="AA115" i="6"/>
  <c r="AA141" i="6"/>
  <c r="AA167" i="6"/>
  <c r="AA193" i="6"/>
  <c r="AA220" i="6"/>
  <c r="AA247" i="6"/>
  <c r="Y59" i="6"/>
  <c r="Y86" i="6"/>
  <c r="Y113" i="6"/>
  <c r="Y192" i="6"/>
  <c r="AA8" i="6"/>
  <c r="AA34" i="6"/>
  <c r="AA60" i="6"/>
  <c r="AA90" i="6"/>
  <c r="AA116" i="6"/>
  <c r="AA142" i="6"/>
  <c r="AA168" i="6"/>
  <c r="AA195" i="6"/>
  <c r="AA9" i="6"/>
  <c r="AA35" i="6"/>
  <c r="AA64" i="6"/>
  <c r="AA91" i="6"/>
  <c r="AA117" i="6"/>
  <c r="AA143" i="6"/>
  <c r="AA169" i="6"/>
  <c r="AA196" i="6"/>
  <c r="AA222" i="6"/>
  <c r="AA249" i="6"/>
  <c r="Y168" i="6"/>
  <c r="AA12" i="6"/>
  <c r="AA45" i="6"/>
  <c r="AA74" i="6"/>
  <c r="AA103" i="6"/>
  <c r="AA134" i="6"/>
  <c r="AA165" i="6"/>
  <c r="AA198" i="6"/>
  <c r="AA227" i="6"/>
  <c r="AA256" i="6"/>
  <c r="Y17" i="6"/>
  <c r="Y45" i="6"/>
  <c r="Y73" i="6"/>
  <c r="Y131" i="6"/>
  <c r="Y161" i="6"/>
  <c r="Y190" i="6"/>
  <c r="Y220" i="6"/>
  <c r="Y249" i="6"/>
  <c r="V144" i="6"/>
  <c r="AA14" i="6"/>
  <c r="AA46" i="6"/>
  <c r="AA75" i="6"/>
  <c r="AA104" i="6"/>
  <c r="AA136" i="6"/>
  <c r="AA166" i="6"/>
  <c r="AA199" i="6"/>
  <c r="AA228" i="6"/>
  <c r="AA258" i="6"/>
  <c r="Y46" i="6"/>
  <c r="Y74" i="6"/>
  <c r="Y103" i="6"/>
  <c r="Y132" i="6"/>
  <c r="Y162" i="6"/>
  <c r="Y222" i="6"/>
  <c r="AA17" i="6"/>
  <c r="AA47" i="6"/>
  <c r="AA76" i="6"/>
  <c r="AA105" i="6"/>
  <c r="AA138" i="6"/>
  <c r="AA170" i="6"/>
  <c r="AA201" i="6"/>
  <c r="AA229" i="6"/>
  <c r="AA259" i="6"/>
  <c r="Y105" i="6"/>
  <c r="AA43" i="6"/>
  <c r="AA78" i="6"/>
  <c r="AA114" i="6"/>
  <c r="AA149" i="6"/>
  <c r="AA184" i="6"/>
  <c r="AA218" i="6"/>
  <c r="AA252" i="6"/>
  <c r="Y94" i="6"/>
  <c r="Y126" i="6"/>
  <c r="Y160" i="6"/>
  <c r="Y198" i="6"/>
  <c r="Y263" i="6"/>
  <c r="AA50" i="6"/>
  <c r="AA155" i="6"/>
  <c r="AA225" i="6"/>
  <c r="Y98" i="6"/>
  <c r="AA44" i="6"/>
  <c r="AA79" i="6"/>
  <c r="AA118" i="6"/>
  <c r="AA151" i="6"/>
  <c r="AA186" i="6"/>
  <c r="AA219" i="6"/>
  <c r="AA253" i="6"/>
  <c r="Y27" i="6"/>
  <c r="Y64" i="6"/>
  <c r="Y199" i="6"/>
  <c r="Y233" i="6"/>
  <c r="Y264" i="6"/>
  <c r="AA6" i="6"/>
  <c r="AA48" i="6"/>
  <c r="AA80" i="6"/>
  <c r="AA119" i="6"/>
  <c r="AA152" i="6"/>
  <c r="AA187" i="6"/>
  <c r="AA221" i="6"/>
  <c r="AA254" i="6"/>
  <c r="Y28" i="6"/>
  <c r="Y65" i="6"/>
  <c r="Y96" i="6"/>
  <c r="Y129" i="6"/>
  <c r="Y167" i="6"/>
  <c r="Y200" i="6"/>
  <c r="AA10" i="6"/>
  <c r="AA49" i="6"/>
  <c r="AA81" i="6"/>
  <c r="AA120" i="6"/>
  <c r="AA153" i="6"/>
  <c r="AA188" i="6"/>
  <c r="AA224" i="6"/>
  <c r="AA261" i="6"/>
  <c r="Y66" i="6"/>
  <c r="AA11" i="6"/>
  <c r="AA82" i="6"/>
  <c r="AA121" i="6"/>
  <c r="AA189" i="6"/>
  <c r="AA262" i="6"/>
  <c r="Y67" i="6"/>
  <c r="Y136" i="6"/>
  <c r="AA28" i="6"/>
  <c r="AA72" i="6"/>
  <c r="AA124" i="6"/>
  <c r="AA171" i="6"/>
  <c r="AA212" i="6"/>
  <c r="AA263" i="6"/>
  <c r="Y25" i="6"/>
  <c r="Y72" i="6"/>
  <c r="Y117" i="6"/>
  <c r="Y155" i="6"/>
  <c r="Y203" i="6"/>
  <c r="AA86" i="6"/>
  <c r="AA176" i="6"/>
  <c r="AA217" i="6"/>
  <c r="Y40" i="6"/>
  <c r="Y80" i="6"/>
  <c r="Y171" i="6"/>
  <c r="AA36" i="6"/>
  <c r="AA92" i="6"/>
  <c r="AA130" i="6"/>
  <c r="AA226" i="6"/>
  <c r="AA268" i="6"/>
  <c r="Y41" i="6"/>
  <c r="Y123" i="6"/>
  <c r="Y211" i="6"/>
  <c r="Y252" i="6"/>
  <c r="AA39" i="6"/>
  <c r="AA132" i="6"/>
  <c r="AA179" i="6"/>
  <c r="AA270" i="6"/>
  <c r="Y124" i="6"/>
  <c r="AA29" i="6"/>
  <c r="AA73" i="6"/>
  <c r="AA125" i="6"/>
  <c r="AA173" i="6"/>
  <c r="AA213" i="6"/>
  <c r="AA264" i="6"/>
  <c r="Y32" i="6"/>
  <c r="Y76" i="6"/>
  <c r="Y118" i="6"/>
  <c r="Y156" i="6"/>
  <c r="Y204" i="6"/>
  <c r="Y243" i="6"/>
  <c r="AA77" i="6"/>
  <c r="AA126" i="6"/>
  <c r="AA174" i="6"/>
  <c r="AA214" i="6"/>
  <c r="AA265" i="6"/>
  <c r="Y158" i="6"/>
  <c r="Y206" i="6"/>
  <c r="AA31" i="6"/>
  <c r="AA83" i="6"/>
  <c r="AA127" i="6"/>
  <c r="AA175" i="6"/>
  <c r="AA215" i="6"/>
  <c r="AA266" i="6"/>
  <c r="AA32" i="6"/>
  <c r="AA129" i="6"/>
  <c r="AA267" i="6"/>
  <c r="AA178" i="6"/>
  <c r="Y172" i="6"/>
  <c r="AA93" i="6"/>
  <c r="AA230" i="6"/>
  <c r="Y255" i="6"/>
  <c r="AA54" i="6"/>
  <c r="AA110" i="6"/>
  <c r="AA190" i="6"/>
  <c r="AA244" i="6"/>
  <c r="Y43" i="6"/>
  <c r="Y101" i="6"/>
  <c r="Y225" i="6"/>
  <c r="AA202" i="6"/>
  <c r="Y110" i="6"/>
  <c r="Y236" i="6"/>
  <c r="AA139" i="6"/>
  <c r="AA203" i="6"/>
  <c r="AA67" i="6"/>
  <c r="AA204" i="6"/>
  <c r="Y52" i="6"/>
  <c r="Y180" i="6"/>
  <c r="Y238" i="6"/>
  <c r="AA68" i="6"/>
  <c r="AA144" i="6"/>
  <c r="Y116" i="6"/>
  <c r="Y239" i="6"/>
  <c r="AA20" i="6"/>
  <c r="AA71" i="6"/>
  <c r="Y186" i="6"/>
  <c r="AA94" i="6"/>
  <c r="Y259" i="6"/>
  <c r="AA232" i="6"/>
  <c r="Y8" i="6"/>
  <c r="AA23" i="6"/>
  <c r="AA96" i="6"/>
  <c r="AA157" i="6"/>
  <c r="Y70" i="6"/>
  <c r="Y261" i="6"/>
  <c r="AA24" i="6"/>
  <c r="AA235" i="6"/>
  <c r="Y10" i="6"/>
  <c r="Y71" i="6"/>
  <c r="Y197" i="6"/>
  <c r="Y262" i="6"/>
  <c r="AA25" i="6"/>
  <c r="AA55" i="6"/>
  <c r="AA112" i="6"/>
  <c r="AA191" i="6"/>
  <c r="AA245" i="6"/>
  <c r="Y226" i="6"/>
  <c r="Y178" i="6"/>
  <c r="Y112" i="6"/>
  <c r="AA206" i="6"/>
  <c r="AA70" i="6"/>
  <c r="AA208" i="6"/>
  <c r="AA210" i="6"/>
  <c r="Y258" i="6"/>
  <c r="AA21" i="6"/>
  <c r="AA148" i="6"/>
  <c r="Y140" i="6"/>
  <c r="AA95" i="6"/>
  <c r="Y142" i="6"/>
  <c r="Y195" i="6"/>
  <c r="AA158" i="6"/>
  <c r="Y145" i="6"/>
  <c r="AA160" i="6"/>
  <c r="AA56" i="6"/>
  <c r="AA122" i="6"/>
  <c r="AA192" i="6"/>
  <c r="AA248" i="6"/>
  <c r="Y48" i="6"/>
  <c r="Y107" i="6"/>
  <c r="Y176" i="6"/>
  <c r="Y227" i="6"/>
  <c r="AA57" i="6"/>
  <c r="AA123" i="6"/>
  <c r="AA197" i="6"/>
  <c r="AA250" i="6"/>
  <c r="Y49" i="6"/>
  <c r="Y177" i="6"/>
  <c r="Y228" i="6"/>
  <c r="AA58" i="6"/>
  <c r="AA133" i="6"/>
  <c r="AA251" i="6"/>
  <c r="Y50" i="6"/>
  <c r="AA66" i="6"/>
  <c r="AA140" i="6"/>
  <c r="AA205" i="6"/>
  <c r="AA69" i="6"/>
  <c r="AA145" i="6"/>
  <c r="Y54" i="6"/>
  <c r="AA19" i="6"/>
  <c r="AA146" i="6"/>
  <c r="AA147" i="6"/>
  <c r="Y138" i="6"/>
  <c r="AA211" i="6"/>
  <c r="Y6" i="6"/>
  <c r="Y68" i="6"/>
  <c r="AA22" i="6"/>
  <c r="AA156" i="6"/>
  <c r="Y69" i="6"/>
  <c r="Y189" i="6"/>
  <c r="AA234" i="6"/>
  <c r="AA97" i="6"/>
  <c r="AA98" i="6"/>
  <c r="AA236" i="6"/>
  <c r="AA52" i="6"/>
  <c r="Y93" i="6"/>
  <c r="Y92" i="6"/>
  <c r="Y270" i="6"/>
  <c r="Y88" i="6"/>
  <c r="AA241" i="6"/>
  <c r="AA102" i="6"/>
  <c r="Y149" i="6"/>
  <c r="AA100" i="6"/>
  <c r="Y147" i="6"/>
  <c r="AA99" i="6"/>
  <c r="AA53" i="6"/>
  <c r="Y296" i="6"/>
  <c r="Y84" i="6"/>
  <c r="AA240" i="6"/>
  <c r="Y303" i="6"/>
  <c r="Y304" i="6"/>
  <c r="A7" i="26" l="1" a="1"/>
  <c r="F1" i="17"/>
  <c r="A7" i="27" a="1"/>
  <c r="A7" i="27" s="1"/>
  <c r="G1" i="17"/>
  <c r="A7" i="21" a="1"/>
  <c r="V294" i="6"/>
  <c r="R293" i="6"/>
  <c r="N289" i="6"/>
  <c r="P289" i="6"/>
  <c r="X288" i="6"/>
  <c r="V291" i="6"/>
  <c r="X291" i="6"/>
  <c r="X289" i="6"/>
  <c r="N290" i="6"/>
  <c r="R289" i="6"/>
  <c r="P291" i="6"/>
  <c r="V292" i="6"/>
  <c r="P292" i="6"/>
  <c r="F1" i="13"/>
  <c r="G1" i="13"/>
  <c r="T292" i="6"/>
  <c r="R292" i="6"/>
  <c r="N292" i="6"/>
  <c r="X290" i="6"/>
  <c r="R291" i="6"/>
  <c r="T291" i="6"/>
  <c r="V289" i="6"/>
  <c r="N291" i="6"/>
  <c r="V290" i="6"/>
  <c r="X292" i="6"/>
  <c r="P290" i="6"/>
  <c r="V288" i="6"/>
  <c r="R290" i="6"/>
  <c r="T290" i="6"/>
  <c r="T288" i="6"/>
  <c r="N287" i="6"/>
  <c r="V284" i="6"/>
  <c r="R288" i="6"/>
  <c r="N288" i="6"/>
  <c r="V283" i="6"/>
  <c r="X277" i="6"/>
  <c r="N286" i="6"/>
  <c r="T287" i="6"/>
  <c r="T283" i="6"/>
  <c r="N283" i="6"/>
  <c r="X287" i="6"/>
  <c r="X279" i="6"/>
  <c r="P288" i="6"/>
  <c r="V279" i="6"/>
  <c r="R287" i="6"/>
  <c r="R284" i="6"/>
  <c r="P287" i="6"/>
  <c r="T284" i="6"/>
  <c r="V287" i="6"/>
  <c r="X284" i="6"/>
  <c r="X286" i="6"/>
  <c r="X152" i="6"/>
  <c r="R283" i="6"/>
  <c r="Y287" i="6"/>
  <c r="V286" i="6"/>
  <c r="X283" i="6"/>
  <c r="T286" i="6"/>
  <c r="F1" i="10"/>
  <c r="G1" i="10"/>
  <c r="Y284" i="6"/>
  <c r="N284" i="6"/>
  <c r="P284" i="6"/>
  <c r="P283" i="6"/>
  <c r="V277" i="6"/>
  <c r="X281" i="6"/>
  <c r="N281" i="6"/>
  <c r="R279" i="6"/>
  <c r="P279" i="6"/>
  <c r="T192" i="6"/>
  <c r="N279" i="6"/>
  <c r="R277" i="6"/>
  <c r="R286" i="6"/>
  <c r="P286" i="6"/>
  <c r="R285" i="6"/>
  <c r="V130" i="6"/>
  <c r="P281" i="6"/>
  <c r="T281" i="6"/>
  <c r="P277" i="6"/>
  <c r="X285" i="6"/>
  <c r="P285" i="6"/>
  <c r="T278" i="6"/>
  <c r="V278" i="6"/>
  <c r="T285" i="6"/>
  <c r="N285" i="6"/>
  <c r="N278" i="6"/>
  <c r="P278" i="6"/>
  <c r="V285" i="6"/>
  <c r="P282" i="6"/>
  <c r="T279" i="6"/>
  <c r="P280" i="6"/>
  <c r="V165" i="6"/>
  <c r="X9" i="6"/>
  <c r="Y277" i="6"/>
  <c r="N280" i="6"/>
  <c r="T277" i="6"/>
  <c r="X282" i="6"/>
  <c r="R278" i="6"/>
  <c r="V282" i="6"/>
  <c r="X280" i="6"/>
  <c r="T18" i="6"/>
  <c r="T280" i="6"/>
  <c r="V280" i="6"/>
  <c r="N277" i="6"/>
  <c r="R280" i="6"/>
  <c r="X259" i="6"/>
  <c r="V235" i="6"/>
  <c r="X130" i="6"/>
  <c r="P238" i="6"/>
  <c r="X62" i="6"/>
  <c r="X30" i="6"/>
  <c r="V252" i="6"/>
  <c r="V281" i="6"/>
  <c r="R282" i="6"/>
  <c r="N282" i="6"/>
  <c r="V84" i="6"/>
  <c r="V264" i="6"/>
  <c r="X135" i="6"/>
  <c r="X269" i="6"/>
  <c r="V184" i="6"/>
  <c r="V126" i="6"/>
  <c r="V75" i="6"/>
  <c r="T97" i="6"/>
  <c r="X144" i="6"/>
  <c r="X273" i="6"/>
  <c r="V100" i="6"/>
  <c r="P276" i="6"/>
  <c r="T34" i="6"/>
  <c r="P171" i="6"/>
  <c r="X275" i="6"/>
  <c r="T112" i="6"/>
  <c r="F1" i="12"/>
  <c r="G1" i="12"/>
  <c r="N66" i="6"/>
  <c r="V30" i="6"/>
  <c r="T30" i="6"/>
  <c r="V238" i="6"/>
  <c r="R30" i="6"/>
  <c r="T53" i="6"/>
  <c r="V208" i="6"/>
  <c r="N30" i="6"/>
  <c r="P30" i="6"/>
  <c r="R208" i="6"/>
  <c r="V112" i="6"/>
  <c r="V52" i="6"/>
  <c r="V254" i="6"/>
  <c r="X83" i="6"/>
  <c r="X205" i="6"/>
  <c r="N275" i="6"/>
  <c r="N274" i="6"/>
  <c r="X13" i="6"/>
  <c r="X75" i="6"/>
  <c r="T134" i="6"/>
  <c r="P46" i="6"/>
  <c r="N6" i="6"/>
  <c r="N101" i="6"/>
  <c r="R240" i="6"/>
  <c r="N153" i="6"/>
  <c r="R53" i="6"/>
  <c r="V138" i="6"/>
  <c r="T138" i="6"/>
  <c r="X138" i="6"/>
  <c r="T207" i="6"/>
  <c r="X221" i="6"/>
  <c r="X274" i="6"/>
  <c r="R276" i="6"/>
  <c r="T273" i="6"/>
  <c r="P91" i="6"/>
  <c r="R225" i="6"/>
  <c r="T62" i="6"/>
  <c r="N265" i="6"/>
  <c r="N73" i="6"/>
  <c r="V224" i="6"/>
  <c r="T181" i="6"/>
  <c r="X32" i="6"/>
  <c r="X183" i="6"/>
  <c r="N273" i="6"/>
  <c r="V276" i="6"/>
  <c r="P43" i="6"/>
  <c r="V274" i="6"/>
  <c r="T171" i="6"/>
  <c r="N181" i="6"/>
  <c r="T256" i="6"/>
  <c r="T157" i="6"/>
  <c r="T259" i="6"/>
  <c r="N219" i="6"/>
  <c r="T169" i="6"/>
  <c r="N233" i="6"/>
  <c r="V219" i="6"/>
  <c r="V273" i="6"/>
  <c r="N91" i="6"/>
  <c r="T263" i="6"/>
  <c r="N184" i="6"/>
  <c r="T133" i="6"/>
  <c r="V251" i="6"/>
  <c r="R171" i="6"/>
  <c r="V80" i="6"/>
  <c r="N276" i="6"/>
  <c r="T275" i="6"/>
  <c r="P84" i="6"/>
  <c r="R95" i="6"/>
  <c r="V207" i="6"/>
  <c r="X255" i="6"/>
  <c r="T267" i="6"/>
  <c r="V98" i="6"/>
  <c r="X168" i="6"/>
  <c r="T226" i="6"/>
  <c r="P73" i="6"/>
  <c r="V106" i="6"/>
  <c r="P274" i="6"/>
  <c r="N32" i="6"/>
  <c r="V51" i="6"/>
  <c r="X65" i="6"/>
  <c r="V260" i="6"/>
  <c r="R61" i="6"/>
  <c r="N191" i="6"/>
  <c r="N263" i="6"/>
  <c r="R270" i="6"/>
  <c r="R241" i="6"/>
  <c r="V152" i="6"/>
  <c r="R210" i="6"/>
  <c r="P28" i="6"/>
  <c r="R247" i="6"/>
  <c r="T78" i="6"/>
  <c r="R273" i="6"/>
  <c r="N102" i="6"/>
  <c r="P259" i="6"/>
  <c r="X80" i="6"/>
  <c r="P128" i="6"/>
  <c r="T20" i="6"/>
  <c r="T22" i="6"/>
  <c r="T271" i="6"/>
  <c r="X78" i="6"/>
  <c r="V183" i="6"/>
  <c r="R157" i="6"/>
  <c r="X224" i="6"/>
  <c r="X20" i="6"/>
  <c r="R274" i="6"/>
  <c r="V258" i="6"/>
  <c r="R244" i="6"/>
  <c r="X106" i="6"/>
  <c r="T16" i="6"/>
  <c r="N139" i="6"/>
  <c r="R233" i="6"/>
  <c r="N95" i="6"/>
  <c r="V82" i="6"/>
  <c r="T14" i="6"/>
  <c r="X272" i="6"/>
  <c r="T274" i="6"/>
  <c r="T206" i="6"/>
  <c r="N16" i="6"/>
  <c r="N82" i="6"/>
  <c r="R93" i="6"/>
  <c r="T253" i="6"/>
  <c r="X8" i="6"/>
  <c r="T228" i="6"/>
  <c r="P251" i="6"/>
  <c r="P168" i="6"/>
  <c r="N206" i="6"/>
  <c r="V232" i="6"/>
  <c r="N244" i="6"/>
  <c r="R193" i="6"/>
  <c r="V78" i="6"/>
  <c r="V275" i="6"/>
  <c r="P273" i="6"/>
  <c r="N152" i="6"/>
  <c r="V146" i="6"/>
  <c r="X164" i="6"/>
  <c r="T73" i="6"/>
  <c r="T272" i="6"/>
  <c r="V76" i="6"/>
  <c r="T164" i="6"/>
  <c r="P24" i="6"/>
  <c r="R51" i="6"/>
  <c r="X251" i="6"/>
  <c r="P275" i="6"/>
  <c r="P13" i="6"/>
  <c r="V73" i="6"/>
  <c r="V13" i="6"/>
  <c r="V228" i="6"/>
  <c r="R196" i="6"/>
  <c r="V91" i="6"/>
  <c r="X169" i="6"/>
  <c r="V60" i="6"/>
  <c r="R147" i="6"/>
  <c r="V34" i="6"/>
  <c r="X19" i="6"/>
  <c r="V58" i="6"/>
  <c r="X258" i="6"/>
  <c r="X97" i="6"/>
  <c r="P152" i="6"/>
  <c r="X236" i="6"/>
  <c r="T219" i="6"/>
  <c r="T150" i="6"/>
  <c r="R242" i="6"/>
  <c r="R22" i="6"/>
  <c r="N198" i="6"/>
  <c r="X179" i="6"/>
  <c r="N171" i="6"/>
  <c r="R52" i="6"/>
  <c r="R207" i="6"/>
  <c r="X94" i="6"/>
  <c r="V229" i="6"/>
  <c r="X133" i="6"/>
  <c r="X42" i="6"/>
  <c r="R82" i="6"/>
  <c r="R109" i="6"/>
  <c r="X256" i="6"/>
  <c r="V203" i="6"/>
  <c r="T91" i="6"/>
  <c r="X170" i="6"/>
  <c r="V163" i="6"/>
  <c r="T261" i="6"/>
  <c r="T85" i="6"/>
  <c r="X232" i="6"/>
  <c r="P182" i="6"/>
  <c r="R188" i="6"/>
  <c r="X276" i="6"/>
  <c r="R275" i="6"/>
  <c r="R87" i="6"/>
  <c r="X22" i="6"/>
  <c r="P134" i="6"/>
  <c r="P260" i="6"/>
  <c r="N44" i="6"/>
  <c r="P16" i="6"/>
  <c r="X203" i="6"/>
  <c r="X242" i="6"/>
  <c r="V272" i="6"/>
  <c r="V211" i="6"/>
  <c r="T196" i="6"/>
  <c r="P269" i="6"/>
  <c r="X12" i="6"/>
  <c r="T24" i="6"/>
  <c r="T106" i="6"/>
  <c r="V22" i="6"/>
  <c r="P137" i="6"/>
  <c r="N166" i="6"/>
  <c r="T175" i="6"/>
  <c r="X21" i="6"/>
  <c r="X217" i="6"/>
  <c r="X56" i="6"/>
  <c r="X193" i="6"/>
  <c r="X163" i="6"/>
  <c r="T231" i="6"/>
  <c r="T276" i="6"/>
  <c r="X51" i="6"/>
  <c r="V173" i="6"/>
  <c r="V160" i="6"/>
  <c r="T250" i="6"/>
  <c r="R42" i="6"/>
  <c r="R179" i="6"/>
  <c r="V23" i="6"/>
  <c r="R144" i="6"/>
  <c r="P9" i="6"/>
  <c r="X120" i="6"/>
  <c r="V253" i="6"/>
  <c r="R163" i="6"/>
  <c r="R12" i="6"/>
  <c r="X63" i="6"/>
  <c r="R97" i="6"/>
  <c r="V45" i="6"/>
  <c r="R122" i="6"/>
  <c r="V18" i="6"/>
  <c r="V17" i="6"/>
  <c r="V158" i="6"/>
  <c r="T104" i="6"/>
  <c r="X185" i="6"/>
  <c r="T111" i="6"/>
  <c r="X245" i="6"/>
  <c r="X173" i="6"/>
  <c r="T205" i="6"/>
  <c r="X192" i="6"/>
  <c r="T120" i="6"/>
  <c r="N209" i="6"/>
  <c r="N173" i="6"/>
  <c r="N146" i="6"/>
  <c r="R33" i="6"/>
  <c r="V185" i="6"/>
  <c r="T230" i="6"/>
  <c r="N76" i="6"/>
  <c r="X199" i="6"/>
  <c r="R46" i="6"/>
  <c r="X157" i="6"/>
  <c r="X247" i="6"/>
  <c r="X219" i="6"/>
  <c r="N134" i="6"/>
  <c r="N251" i="6"/>
  <c r="N144" i="6"/>
  <c r="P18" i="6"/>
  <c r="N225" i="6"/>
  <c r="N115" i="6"/>
  <c r="N120" i="6"/>
  <c r="R134" i="6"/>
  <c r="R185" i="6"/>
  <c r="P80" i="6"/>
  <c r="P115" i="6"/>
  <c r="N156" i="6"/>
  <c r="T254" i="6"/>
  <c r="P85" i="6"/>
  <c r="N226" i="6"/>
  <c r="X40" i="6"/>
  <c r="P221" i="6"/>
  <c r="N31" i="6"/>
  <c r="X161" i="6"/>
  <c r="R40" i="6"/>
  <c r="P92" i="6"/>
  <c r="R16" i="6"/>
  <c r="N107" i="6"/>
  <c r="N183" i="6"/>
  <c r="P118" i="6"/>
  <c r="R85" i="6"/>
  <c r="R229" i="6"/>
  <c r="V123" i="6"/>
  <c r="N245" i="6"/>
  <c r="R191" i="6"/>
  <c r="X45" i="6"/>
  <c r="P49" i="6"/>
  <c r="X270" i="6"/>
  <c r="T68" i="6"/>
  <c r="V132" i="6"/>
  <c r="R72" i="6"/>
  <c r="X182" i="6"/>
  <c r="N186" i="6"/>
  <c r="R217" i="6"/>
  <c r="R173" i="6"/>
  <c r="V69" i="6"/>
  <c r="X68" i="6"/>
  <c r="T197" i="6"/>
  <c r="V88" i="6"/>
  <c r="V40" i="6"/>
  <c r="R138" i="6"/>
  <c r="N59" i="6"/>
  <c r="N271" i="6"/>
  <c r="N14" i="6"/>
  <c r="R32" i="6"/>
  <c r="P232" i="6"/>
  <c r="V197" i="6"/>
  <c r="R232" i="6"/>
  <c r="R102" i="6"/>
  <c r="N246" i="6"/>
  <c r="V96" i="6"/>
  <c r="N92" i="6"/>
  <c r="N151" i="6"/>
  <c r="P60" i="6"/>
  <c r="N174" i="6"/>
  <c r="V71" i="6"/>
  <c r="P167" i="6"/>
  <c r="P236" i="6"/>
  <c r="R9" i="6"/>
  <c r="P68" i="6"/>
  <c r="P111" i="6"/>
  <c r="T189" i="6"/>
  <c r="R218" i="6"/>
  <c r="T186" i="6"/>
  <c r="P71" i="6"/>
  <c r="N262" i="6"/>
  <c r="N247" i="6"/>
  <c r="N221" i="6"/>
  <c r="R105" i="6"/>
  <c r="X17" i="6"/>
  <c r="T45" i="6"/>
  <c r="R44" i="6"/>
  <c r="N164" i="6"/>
  <c r="R203" i="6"/>
  <c r="R160" i="6"/>
  <c r="V122" i="6"/>
  <c r="R145" i="6"/>
  <c r="X53" i="6"/>
  <c r="T142" i="6"/>
  <c r="X211" i="6"/>
  <c r="V220" i="6"/>
  <c r="X6" i="6"/>
  <c r="P75" i="6"/>
  <c r="R159" i="6"/>
  <c r="X243" i="6"/>
  <c r="R266" i="6"/>
  <c r="X129" i="6"/>
  <c r="R17" i="6"/>
  <c r="R80" i="6"/>
  <c r="P264" i="6"/>
  <c r="P129" i="6"/>
  <c r="R56" i="6"/>
  <c r="N47" i="6"/>
  <c r="X189" i="6"/>
  <c r="P151" i="6"/>
  <c r="N62" i="6"/>
  <c r="N132" i="6"/>
  <c r="P34" i="6"/>
  <c r="R182" i="6"/>
  <c r="P114" i="6"/>
  <c r="P217" i="6"/>
  <c r="N255" i="6"/>
  <c r="T242" i="6"/>
  <c r="P67" i="6"/>
  <c r="X151" i="6"/>
  <c r="T92" i="6"/>
  <c r="R154" i="6"/>
  <c r="N128" i="6"/>
  <c r="R21" i="6"/>
  <c r="N223" i="6"/>
  <c r="N196" i="6"/>
  <c r="R88" i="6"/>
  <c r="R161" i="6"/>
  <c r="P23" i="6"/>
  <c r="R192" i="6"/>
  <c r="R27" i="6"/>
  <c r="X122" i="6"/>
  <c r="N142" i="6"/>
  <c r="R110" i="6"/>
  <c r="V67" i="6"/>
  <c r="V79" i="6"/>
  <c r="R133" i="6"/>
  <c r="V195" i="6"/>
  <c r="V240" i="6"/>
  <c r="T129" i="6"/>
  <c r="X198" i="6"/>
  <c r="V205" i="6"/>
  <c r="N205" i="6"/>
  <c r="X132" i="6"/>
  <c r="P53" i="6"/>
  <c r="P99" i="6"/>
  <c r="N272" i="6"/>
  <c r="R231" i="6"/>
  <c r="T40" i="6"/>
  <c r="T225" i="6"/>
  <c r="R76" i="6"/>
  <c r="R269" i="6"/>
  <c r="X225" i="6"/>
  <c r="V164" i="6"/>
  <c r="P225" i="6"/>
  <c r="R14" i="6"/>
  <c r="N43" i="6"/>
  <c r="T154" i="6"/>
  <c r="R128" i="6"/>
  <c r="V270" i="6"/>
  <c r="X101" i="6"/>
  <c r="V16" i="6"/>
  <c r="T152" i="6"/>
  <c r="X229" i="6"/>
  <c r="N199" i="6"/>
  <c r="R235" i="6"/>
  <c r="N168" i="6"/>
  <c r="P241" i="6"/>
  <c r="N99" i="6"/>
  <c r="P181" i="6"/>
  <c r="N22" i="6"/>
  <c r="P185" i="6"/>
  <c r="P64" i="6"/>
  <c r="T229" i="6"/>
  <c r="V265" i="6"/>
  <c r="X166" i="6"/>
  <c r="R152" i="6"/>
  <c r="N188" i="6"/>
  <c r="N270" i="6"/>
  <c r="N78" i="6"/>
  <c r="T95" i="6"/>
  <c r="V9" i="6"/>
  <c r="R199" i="6"/>
  <c r="P88" i="6"/>
  <c r="P265" i="6"/>
  <c r="T43" i="6"/>
  <c r="P229" i="6"/>
  <c r="T233" i="6"/>
  <c r="P70" i="6"/>
  <c r="P56" i="6"/>
  <c r="V157" i="6"/>
  <c r="T101" i="6"/>
  <c r="V233" i="6"/>
  <c r="N161" i="6"/>
  <c r="N224" i="6"/>
  <c r="N256" i="6"/>
  <c r="P27" i="6"/>
  <c r="P235" i="6"/>
  <c r="X237" i="6"/>
  <c r="P247" i="6"/>
  <c r="P256" i="6"/>
  <c r="P164" i="6"/>
  <c r="V53" i="6"/>
  <c r="V168" i="6"/>
  <c r="X196" i="6"/>
  <c r="P45" i="6"/>
  <c r="P100" i="6"/>
  <c r="T88" i="6"/>
  <c r="X100" i="6"/>
  <c r="V131" i="6"/>
  <c r="V210" i="6"/>
  <c r="N242" i="6"/>
  <c r="N34" i="6"/>
  <c r="N229" i="6"/>
  <c r="N204" i="6"/>
  <c r="V32" i="6"/>
  <c r="X114" i="6"/>
  <c r="N17" i="6"/>
  <c r="P105" i="6"/>
  <c r="P104" i="6"/>
  <c r="R100" i="6"/>
  <c r="N192" i="6"/>
  <c r="P199" i="6"/>
  <c r="N131" i="6"/>
  <c r="X264" i="6"/>
  <c r="P198" i="6"/>
  <c r="V246" i="6"/>
  <c r="N141" i="6"/>
  <c r="V199" i="6"/>
  <c r="P51" i="6"/>
  <c r="R201" i="6"/>
  <c r="V154" i="6"/>
  <c r="R219" i="6"/>
  <c r="X153" i="6"/>
  <c r="P109" i="6"/>
  <c r="T9" i="6"/>
  <c r="V142" i="6"/>
  <c r="X146" i="6"/>
  <c r="P32" i="6"/>
  <c r="V114" i="6"/>
  <c r="V196" i="6"/>
  <c r="X184" i="6"/>
  <c r="T265" i="6"/>
  <c r="X70" i="6"/>
  <c r="N207" i="6"/>
  <c r="X230" i="6"/>
  <c r="P219" i="6"/>
  <c r="N9" i="6"/>
  <c r="R205" i="6"/>
  <c r="X128" i="6"/>
  <c r="N80" i="6"/>
  <c r="P101" i="6"/>
  <c r="V128" i="6"/>
  <c r="N231" i="6"/>
  <c r="N253" i="6"/>
  <c r="X14" i="6"/>
  <c r="P78" i="6"/>
  <c r="P268" i="6"/>
  <c r="P267" i="6"/>
  <c r="P21" i="6"/>
  <c r="P65" i="6"/>
  <c r="N114" i="6"/>
  <c r="N160" i="6"/>
  <c r="N52" i="6"/>
  <c r="R20" i="6"/>
  <c r="P144" i="6"/>
  <c r="N27" i="6"/>
  <c r="X210" i="6"/>
  <c r="P135" i="6"/>
  <c r="N185" i="6"/>
  <c r="V201" i="6"/>
  <c r="R226" i="6"/>
  <c r="P193" i="6"/>
  <c r="N104" i="6"/>
  <c r="V149" i="6"/>
  <c r="R64" i="6"/>
  <c r="P14" i="6"/>
  <c r="R184" i="6"/>
  <c r="P210" i="6"/>
  <c r="X253" i="6"/>
  <c r="P95" i="6"/>
  <c r="X233" i="6"/>
  <c r="T224" i="6"/>
  <c r="V269" i="6"/>
  <c r="X150" i="6"/>
  <c r="T251" i="6"/>
  <c r="X73" i="6"/>
  <c r="V101" i="6"/>
  <c r="N193" i="6"/>
  <c r="N235" i="6"/>
  <c r="V46" i="6"/>
  <c r="R34" i="6"/>
  <c r="R143" i="6"/>
  <c r="T65" i="6"/>
  <c r="X131" i="6"/>
  <c r="P194" i="6"/>
  <c r="P184" i="6"/>
  <c r="T122" i="6"/>
  <c r="P263" i="6"/>
  <c r="R267" i="6"/>
  <c r="N40" i="6"/>
  <c r="X181" i="6"/>
  <c r="P147" i="6"/>
  <c r="V256" i="6"/>
  <c r="P156" i="6"/>
  <c r="P20" i="6"/>
  <c r="P242" i="6"/>
  <c r="P246" i="6"/>
  <c r="R146" i="6"/>
  <c r="P223" i="6"/>
  <c r="N81" i="6"/>
  <c r="N147" i="6"/>
  <c r="R149" i="6"/>
  <c r="P153" i="6"/>
  <c r="R251" i="6"/>
  <c r="R221" i="6"/>
  <c r="N264" i="6"/>
  <c r="R165" i="6"/>
  <c r="R183" i="6"/>
  <c r="X88" i="6"/>
  <c r="X95" i="6"/>
  <c r="T204" i="6"/>
  <c r="V237" i="6"/>
  <c r="R237" i="6"/>
  <c r="V242" i="6"/>
  <c r="R194" i="6"/>
  <c r="V159" i="6"/>
  <c r="T238" i="6"/>
  <c r="X265" i="6"/>
  <c r="V147" i="6"/>
  <c r="T232" i="6"/>
  <c r="R153" i="6"/>
  <c r="X231" i="6"/>
  <c r="P231" i="6"/>
  <c r="T100" i="6"/>
  <c r="P166" i="6"/>
  <c r="T146" i="6"/>
  <c r="N163" i="6"/>
  <c r="X204" i="6"/>
  <c r="P237" i="6"/>
  <c r="P76" i="6"/>
  <c r="R204" i="6"/>
  <c r="R253" i="6"/>
  <c r="P81" i="6"/>
  <c r="T144" i="6"/>
  <c r="P170" i="6"/>
  <c r="N111" i="6"/>
  <c r="R120" i="6"/>
  <c r="P131" i="6"/>
  <c r="N170" i="6"/>
  <c r="P106" i="6"/>
  <c r="N238" i="6"/>
  <c r="R126" i="6"/>
  <c r="R164" i="6"/>
  <c r="P22" i="6"/>
  <c r="X147" i="6"/>
  <c r="X171" i="6"/>
  <c r="R265" i="6"/>
  <c r="V225" i="6"/>
  <c r="R99" i="6"/>
  <c r="X263" i="6"/>
  <c r="N230" i="6"/>
  <c r="R256" i="6"/>
  <c r="V217" i="6"/>
  <c r="V223" i="6"/>
  <c r="R181" i="6"/>
  <c r="V143" i="6"/>
  <c r="T223" i="6"/>
  <c r="V133" i="6"/>
  <c r="X46" i="6"/>
  <c r="V70" i="6"/>
  <c r="N122" i="6"/>
  <c r="P157" i="6"/>
  <c r="N237" i="6"/>
  <c r="T235" i="6"/>
  <c r="V74" i="6"/>
  <c r="N194" i="6"/>
  <c r="P17" i="6"/>
  <c r="R78" i="6"/>
  <c r="N100" i="6"/>
  <c r="P122" i="6"/>
  <c r="P40" i="6"/>
  <c r="R166" i="6"/>
  <c r="P146" i="6"/>
  <c r="V247" i="6"/>
  <c r="P188" i="6"/>
  <c r="R127" i="6"/>
  <c r="R254" i="6"/>
  <c r="P228" i="6"/>
  <c r="P203" i="6"/>
  <c r="P61" i="6"/>
  <c r="X267" i="6"/>
  <c r="N23" i="6"/>
  <c r="T245" i="6"/>
  <c r="V14" i="6"/>
  <c r="V95" i="6"/>
  <c r="R57" i="6"/>
  <c r="R255" i="6"/>
  <c r="R101" i="6"/>
  <c r="R156" i="6"/>
  <c r="T86" i="6"/>
  <c r="N20" i="6"/>
  <c r="T270" i="6"/>
  <c r="V42" i="6"/>
  <c r="P126" i="6"/>
  <c r="T70" i="6"/>
  <c r="R141" i="6"/>
  <c r="P143" i="6"/>
  <c r="X149" i="6"/>
  <c r="T36" i="6"/>
  <c r="P245" i="6"/>
  <c r="N67" i="6"/>
  <c r="X201" i="6"/>
  <c r="R70" i="6"/>
  <c r="P112" i="6"/>
  <c r="R174" i="6"/>
  <c r="P172" i="6"/>
  <c r="V8" i="6"/>
  <c r="N138" i="6"/>
  <c r="R63" i="6"/>
  <c r="R263" i="6"/>
  <c r="N211" i="6"/>
  <c r="R104" i="6"/>
  <c r="P133" i="6"/>
  <c r="X89" i="6"/>
  <c r="R123" i="6"/>
  <c r="R246" i="6"/>
  <c r="V153" i="6"/>
  <c r="N269" i="6"/>
  <c r="R158" i="6"/>
  <c r="X115" i="6"/>
  <c r="R223" i="6"/>
  <c r="X96" i="6"/>
  <c r="P89" i="6"/>
  <c r="V140" i="6"/>
  <c r="T107" i="6"/>
  <c r="R238" i="6"/>
  <c r="V156" i="6"/>
  <c r="R86" i="6"/>
  <c r="X222" i="6"/>
  <c r="N208" i="6"/>
  <c r="R230" i="6"/>
  <c r="V198" i="6"/>
  <c r="R198" i="6"/>
  <c r="R169" i="6"/>
  <c r="V108" i="6"/>
  <c r="X85" i="6"/>
  <c r="T210" i="6"/>
  <c r="X238" i="6"/>
  <c r="T7" i="6"/>
  <c r="X33" i="6"/>
  <c r="T191" i="6"/>
  <c r="V56" i="6"/>
  <c r="X16" i="6"/>
  <c r="R187" i="6"/>
  <c r="P271" i="6"/>
  <c r="N261" i="6"/>
  <c r="T118" i="6"/>
  <c r="T151" i="6"/>
  <c r="V248" i="6"/>
  <c r="V119" i="6"/>
  <c r="R113" i="6"/>
  <c r="R222" i="6"/>
  <c r="N77" i="6"/>
  <c r="N155" i="6"/>
  <c r="R176" i="6"/>
  <c r="P36" i="6"/>
  <c r="P29" i="6"/>
  <c r="N125" i="6"/>
  <c r="T121" i="6"/>
  <c r="N236" i="6"/>
  <c r="T26" i="6"/>
  <c r="T136" i="6"/>
  <c r="V39" i="6"/>
  <c r="T77" i="6"/>
  <c r="T202" i="6"/>
  <c r="X108" i="6"/>
  <c r="T59" i="6"/>
  <c r="T25" i="6"/>
  <c r="V77" i="6"/>
  <c r="T222" i="6"/>
  <c r="P26" i="6"/>
  <c r="P266" i="6"/>
  <c r="X239" i="6"/>
  <c r="N162" i="6"/>
  <c r="P197" i="6"/>
  <c r="V202" i="6"/>
  <c r="R124" i="6"/>
  <c r="V155" i="6"/>
  <c r="T177" i="6"/>
  <c r="T49" i="6"/>
  <c r="N38" i="6"/>
  <c r="R125" i="6"/>
  <c r="X155" i="6"/>
  <c r="V35" i="6"/>
  <c r="V148" i="6"/>
  <c r="P59" i="6"/>
  <c r="P113" i="6"/>
  <c r="T239" i="6"/>
  <c r="R148" i="6"/>
  <c r="V124" i="6"/>
  <c r="N190" i="6"/>
  <c r="N239" i="6"/>
  <c r="R108" i="6"/>
  <c r="P15" i="6"/>
  <c r="X261" i="6"/>
  <c r="P220" i="6"/>
  <c r="T67" i="6"/>
  <c r="R252" i="6"/>
  <c r="V90" i="6"/>
  <c r="X52" i="6"/>
  <c r="N129" i="6"/>
  <c r="V234" i="6"/>
  <c r="T79" i="6"/>
  <c r="N86" i="6"/>
  <c r="V47" i="6"/>
  <c r="T60" i="6"/>
  <c r="P155" i="6"/>
  <c r="N178" i="6"/>
  <c r="R178" i="6"/>
  <c r="P69" i="6"/>
  <c r="X29" i="6"/>
  <c r="R257" i="6"/>
  <c r="V255" i="6"/>
  <c r="P119" i="6"/>
  <c r="T116" i="6"/>
  <c r="R249" i="6"/>
  <c r="T155" i="6"/>
  <c r="N248" i="6"/>
  <c r="V136" i="6"/>
  <c r="X148" i="6"/>
  <c r="T248" i="6"/>
  <c r="N98" i="6"/>
  <c r="R71" i="6"/>
  <c r="P121" i="6"/>
  <c r="N93" i="6"/>
  <c r="R66" i="6"/>
  <c r="X260" i="6"/>
  <c r="N83" i="6"/>
  <c r="X228" i="6"/>
  <c r="P120" i="6"/>
  <c r="N172" i="6"/>
  <c r="N220" i="6"/>
  <c r="R250" i="6"/>
  <c r="P214" i="6"/>
  <c r="X71" i="6"/>
  <c r="P48" i="6"/>
  <c r="N266" i="6"/>
  <c r="R155" i="6"/>
  <c r="P212" i="6"/>
  <c r="P240" i="6"/>
  <c r="R261" i="6"/>
  <c r="P90" i="6"/>
  <c r="P190" i="6"/>
  <c r="T162" i="6"/>
  <c r="R47" i="6"/>
  <c r="X50" i="6"/>
  <c r="V36" i="6"/>
  <c r="R258" i="6"/>
  <c r="P77" i="6"/>
  <c r="T11" i="6"/>
  <c r="T48" i="6"/>
  <c r="V19" i="6"/>
  <c r="T75" i="6"/>
  <c r="V190" i="6"/>
  <c r="X87" i="6"/>
  <c r="R13" i="6"/>
  <c r="V115" i="6"/>
  <c r="N135" i="6"/>
  <c r="R54" i="6"/>
  <c r="N212" i="6"/>
  <c r="P239" i="6"/>
  <c r="T50" i="6"/>
  <c r="R48" i="6"/>
  <c r="V222" i="6"/>
  <c r="V177" i="6"/>
  <c r="N25" i="6"/>
  <c r="R197" i="6"/>
  <c r="R220" i="6"/>
  <c r="R129" i="6"/>
  <c r="X214" i="6"/>
  <c r="X262" i="6"/>
  <c r="R50" i="6"/>
  <c r="T252" i="6"/>
  <c r="X186" i="6"/>
  <c r="X82" i="6"/>
  <c r="V125" i="6"/>
  <c r="X107" i="6"/>
  <c r="R213" i="6"/>
  <c r="N35" i="6"/>
  <c r="N124" i="6"/>
  <c r="P8" i="6"/>
  <c r="N234" i="6"/>
  <c r="P175" i="6"/>
  <c r="R200" i="6"/>
  <c r="X123" i="6"/>
  <c r="V243" i="6"/>
  <c r="R228" i="6"/>
  <c r="P37" i="6"/>
  <c r="V28" i="6"/>
  <c r="X121" i="6"/>
  <c r="P165" i="6"/>
  <c r="T52" i="6"/>
  <c r="X28" i="6"/>
  <c r="X244" i="6"/>
  <c r="P19" i="6"/>
  <c r="R206" i="6"/>
  <c r="V94" i="6"/>
  <c r="P54" i="6"/>
  <c r="V257" i="6"/>
  <c r="P10" i="6"/>
  <c r="V261" i="6"/>
  <c r="V178" i="6"/>
  <c r="V6" i="6"/>
  <c r="T47" i="6"/>
  <c r="V162" i="6"/>
  <c r="T258" i="6"/>
  <c r="X57" i="6"/>
  <c r="P55" i="6"/>
  <c r="T266" i="6"/>
  <c r="R121" i="6"/>
  <c r="V15" i="6"/>
  <c r="R107" i="6"/>
  <c r="P211" i="6"/>
  <c r="P243" i="6"/>
  <c r="T178" i="6"/>
  <c r="P145" i="6"/>
  <c r="R39" i="6"/>
  <c r="X209" i="6"/>
  <c r="R118" i="6"/>
  <c r="R162" i="6"/>
  <c r="N240" i="6"/>
  <c r="P202" i="6"/>
  <c r="N15" i="6"/>
  <c r="T190" i="6"/>
  <c r="P117" i="6"/>
  <c r="V49" i="6"/>
  <c r="R151" i="6"/>
  <c r="N63" i="6"/>
  <c r="V103" i="6"/>
  <c r="N203" i="6"/>
  <c r="R38" i="6"/>
  <c r="P124" i="6"/>
  <c r="P180" i="6"/>
  <c r="P66" i="6"/>
  <c r="V213" i="6"/>
  <c r="R195" i="6"/>
  <c r="X206" i="6"/>
  <c r="X249" i="6"/>
  <c r="P140" i="6"/>
  <c r="V218" i="6"/>
  <c r="X7" i="6"/>
  <c r="X112" i="6"/>
  <c r="P6" i="6"/>
  <c r="V249" i="6"/>
  <c r="R112" i="6"/>
  <c r="V48" i="6"/>
  <c r="N252" i="6"/>
  <c r="P31" i="6"/>
  <c r="X134" i="6"/>
  <c r="T33" i="6"/>
  <c r="X59" i="6"/>
  <c r="V85" i="6"/>
  <c r="X44" i="6"/>
  <c r="P208" i="6"/>
  <c r="X86" i="6"/>
  <c r="T236" i="6"/>
  <c r="T140" i="6"/>
  <c r="R116" i="6"/>
  <c r="P186" i="6"/>
  <c r="T110" i="6"/>
  <c r="P222" i="6"/>
  <c r="T123" i="6"/>
  <c r="X39" i="6"/>
  <c r="R202" i="6"/>
  <c r="N28" i="6"/>
  <c r="V54" i="6"/>
  <c r="R15" i="6"/>
  <c r="R132" i="6"/>
  <c r="P148" i="6"/>
  <c r="X125" i="6"/>
  <c r="X55" i="6"/>
  <c r="V186" i="6"/>
  <c r="R177" i="6"/>
  <c r="P11" i="6"/>
  <c r="X69" i="6"/>
  <c r="P102" i="6"/>
  <c r="V167" i="6"/>
  <c r="T145" i="6"/>
  <c r="X25" i="6"/>
  <c r="R211" i="6"/>
  <c r="X119" i="6"/>
  <c r="X252" i="6"/>
  <c r="T218" i="6"/>
  <c r="X31" i="6"/>
  <c r="N60" i="6"/>
  <c r="T38" i="6"/>
  <c r="N61" i="6"/>
  <c r="R89" i="6"/>
  <c r="X67" i="6"/>
  <c r="R96" i="6"/>
  <c r="X241" i="6"/>
  <c r="T72" i="6"/>
  <c r="X257" i="6"/>
  <c r="P200" i="6"/>
  <c r="P189" i="6"/>
  <c r="T117" i="6"/>
  <c r="P93" i="6"/>
  <c r="R172" i="6"/>
  <c r="T21" i="6"/>
  <c r="R248" i="6"/>
  <c r="P249" i="6"/>
  <c r="V179" i="6"/>
  <c r="V215" i="6"/>
  <c r="T249" i="6"/>
  <c r="N42" i="6"/>
  <c r="V189" i="6"/>
  <c r="R103" i="6"/>
  <c r="T211" i="6"/>
  <c r="N148" i="6"/>
  <c r="X118" i="6"/>
  <c r="N119" i="6"/>
  <c r="R11" i="6"/>
  <c r="R79" i="6"/>
  <c r="N217" i="6"/>
  <c r="R190" i="6"/>
  <c r="T161" i="6"/>
  <c r="N202" i="6"/>
  <c r="R119" i="6"/>
  <c r="X47" i="6"/>
  <c r="R68" i="6"/>
  <c r="X197" i="6"/>
  <c r="V107" i="6"/>
  <c r="V187" i="6"/>
  <c r="T23" i="6"/>
  <c r="V120" i="6"/>
  <c r="T234" i="6"/>
  <c r="R90" i="6"/>
  <c r="R23" i="6"/>
  <c r="N243" i="6"/>
  <c r="N116" i="6"/>
  <c r="R130" i="6"/>
  <c r="N213" i="6"/>
  <c r="N55" i="6"/>
  <c r="X37" i="6"/>
  <c r="R115" i="6"/>
  <c r="R180" i="6"/>
  <c r="R268" i="6"/>
  <c r="N109" i="6"/>
  <c r="T55" i="6"/>
  <c r="P213" i="6"/>
  <c r="V65" i="6"/>
  <c r="N201" i="6"/>
  <c r="T149" i="6"/>
  <c r="N13" i="6"/>
  <c r="R65" i="6"/>
  <c r="N126" i="6"/>
  <c r="N123" i="6"/>
  <c r="X60" i="6"/>
  <c r="N94" i="6"/>
  <c r="T255" i="6"/>
  <c r="R175" i="6"/>
  <c r="X41" i="6"/>
  <c r="V161" i="6"/>
  <c r="T105" i="6"/>
  <c r="N179" i="6"/>
  <c r="R75" i="6"/>
  <c r="X24" i="6"/>
  <c r="N54" i="6"/>
  <c r="R55" i="6"/>
  <c r="X159" i="6"/>
  <c r="R83" i="6"/>
  <c r="X177" i="6"/>
  <c r="X190" i="6"/>
  <c r="V87" i="6"/>
  <c r="V169" i="6"/>
  <c r="T10" i="6"/>
  <c r="V104" i="6"/>
  <c r="T220" i="6"/>
  <c r="X234" i="6"/>
  <c r="T58" i="6"/>
  <c r="N260" i="6"/>
  <c r="T237" i="6"/>
  <c r="T246" i="6"/>
  <c r="X143" i="6"/>
  <c r="P98" i="6"/>
  <c r="T179" i="6"/>
  <c r="N169" i="6"/>
  <c r="V116" i="6"/>
  <c r="V266" i="6"/>
  <c r="T44" i="6"/>
  <c r="N250" i="6"/>
  <c r="N21" i="6"/>
  <c r="X172" i="6"/>
  <c r="P162" i="6"/>
  <c r="V97" i="6"/>
  <c r="N159" i="6"/>
  <c r="N50" i="6"/>
  <c r="R26" i="6"/>
  <c r="X79" i="6"/>
  <c r="R28" i="6"/>
  <c r="P97" i="6"/>
  <c r="N90" i="6"/>
  <c r="X15" i="6"/>
  <c r="R69" i="6"/>
  <c r="X175" i="6"/>
  <c r="N140" i="6"/>
  <c r="P41" i="6"/>
  <c r="N79" i="6"/>
  <c r="P187" i="6"/>
  <c r="N268" i="6"/>
  <c r="R131" i="6"/>
  <c r="T89" i="6"/>
  <c r="N165" i="6"/>
  <c r="V170" i="6"/>
  <c r="T148" i="6"/>
  <c r="V7" i="6"/>
  <c r="V268" i="6"/>
  <c r="T66" i="6"/>
  <c r="T125" i="6"/>
  <c r="V72" i="6"/>
  <c r="N130" i="6"/>
  <c r="N227" i="6"/>
  <c r="V50" i="6"/>
  <c r="T71" i="6"/>
  <c r="P12" i="6"/>
  <c r="N149" i="6"/>
  <c r="T170" i="6"/>
  <c r="P132" i="6"/>
  <c r="N65" i="6"/>
  <c r="V57" i="6"/>
  <c r="P218" i="6"/>
  <c r="T54" i="6"/>
  <c r="R243" i="6"/>
  <c r="P142" i="6"/>
  <c r="N36" i="6"/>
  <c r="X174" i="6"/>
  <c r="X27" i="6"/>
  <c r="P86" i="6"/>
  <c r="V11" i="6"/>
  <c r="P207" i="6"/>
  <c r="T109" i="6"/>
  <c r="P94" i="6"/>
  <c r="V121" i="6"/>
  <c r="P141" i="6"/>
  <c r="V245" i="6"/>
  <c r="V27" i="6"/>
  <c r="P254" i="6"/>
  <c r="R24" i="6"/>
  <c r="V111" i="6"/>
  <c r="P83" i="6"/>
  <c r="T103" i="6"/>
  <c r="P79" i="6"/>
  <c r="V180" i="6"/>
  <c r="N97" i="6"/>
  <c r="N69" i="6"/>
  <c r="R41" i="6"/>
  <c r="T227" i="6"/>
  <c r="X61" i="6"/>
  <c r="T90" i="6"/>
  <c r="V102" i="6"/>
  <c r="T8" i="6"/>
  <c r="X35" i="6"/>
  <c r="V93" i="6"/>
  <c r="N241" i="6"/>
  <c r="N8" i="6"/>
  <c r="T12" i="6"/>
  <c r="X116" i="6"/>
  <c r="R59" i="6"/>
  <c r="V24" i="6"/>
  <c r="R262" i="6"/>
  <c r="T51" i="6"/>
  <c r="X227" i="6"/>
  <c r="N84" i="6"/>
  <c r="N175" i="6"/>
  <c r="X99" i="6"/>
  <c r="T27" i="6"/>
  <c r="V172" i="6"/>
  <c r="P47" i="6"/>
  <c r="N29" i="6"/>
  <c r="P174" i="6"/>
  <c r="N216" i="6"/>
  <c r="T15" i="6"/>
  <c r="X136" i="6"/>
  <c r="P7" i="6"/>
  <c r="N12" i="6"/>
  <c r="P39" i="6"/>
  <c r="X215" i="6"/>
  <c r="P178" i="6"/>
  <c r="T83" i="6"/>
  <c r="P50" i="6"/>
  <c r="V86" i="6"/>
  <c r="P116" i="6"/>
  <c r="V193" i="6"/>
  <c r="X220" i="6"/>
  <c r="R136" i="6"/>
  <c r="X160" i="6"/>
  <c r="V83" i="6"/>
  <c r="T63" i="6"/>
  <c r="P123" i="6"/>
  <c r="T84" i="6"/>
  <c r="T99" i="6"/>
  <c r="V230" i="6"/>
  <c r="X216" i="6"/>
  <c r="R19" i="6"/>
  <c r="V63" i="6"/>
  <c r="X23" i="6"/>
  <c r="X113" i="6"/>
  <c r="R37" i="6"/>
  <c r="V145" i="6"/>
  <c r="X98" i="6"/>
  <c r="P130" i="6"/>
  <c r="P136" i="6"/>
  <c r="P209" i="6"/>
  <c r="P252" i="6"/>
  <c r="T13" i="6"/>
  <c r="R239" i="6"/>
  <c r="X187" i="6"/>
  <c r="T57" i="6"/>
  <c r="P35" i="6"/>
  <c r="P103" i="6"/>
  <c r="P216" i="6"/>
  <c r="T187" i="6"/>
  <c r="R77" i="6"/>
  <c r="X93" i="6"/>
  <c r="V61" i="6"/>
  <c r="T42" i="6"/>
  <c r="P33" i="6"/>
  <c r="V137" i="6"/>
  <c r="T28" i="6"/>
  <c r="T82" i="6"/>
  <c r="V212" i="6"/>
  <c r="X200" i="6"/>
  <c r="R7" i="6"/>
  <c r="V33" i="6"/>
  <c r="X10" i="6"/>
  <c r="V204" i="6"/>
  <c r="R25" i="6"/>
  <c r="X84" i="6"/>
  <c r="N150" i="6"/>
  <c r="N197" i="6"/>
  <c r="V117" i="6"/>
  <c r="N118" i="6"/>
  <c r="P244" i="6"/>
  <c r="X271" i="6"/>
  <c r="T163" i="6"/>
  <c r="V26" i="6"/>
  <c r="R91" i="6"/>
  <c r="T176" i="6"/>
  <c r="T39" i="6"/>
  <c r="P272" i="6"/>
  <c r="V66" i="6"/>
  <c r="R67" i="6"/>
  <c r="P176" i="6"/>
  <c r="N137" i="6"/>
  <c r="V12" i="6"/>
  <c r="N71" i="6"/>
  <c r="T87" i="6"/>
  <c r="R10" i="6"/>
  <c r="X158" i="6"/>
  <c r="X117" i="6"/>
  <c r="V135" i="6"/>
  <c r="N51" i="6"/>
  <c r="N249" i="6"/>
  <c r="R260" i="6"/>
  <c r="T195" i="6"/>
  <c r="P44" i="6"/>
  <c r="R216" i="6"/>
  <c r="N7" i="6"/>
  <c r="P110" i="6"/>
  <c r="T174" i="6"/>
  <c r="P62" i="6"/>
  <c r="N85" i="6"/>
  <c r="R35" i="6"/>
  <c r="R236" i="6"/>
  <c r="N88" i="6"/>
  <c r="X102" i="6"/>
  <c r="R170" i="6"/>
  <c r="R150" i="6"/>
  <c r="P257" i="6"/>
  <c r="X240" i="6"/>
  <c r="N254" i="6"/>
  <c r="T168" i="6"/>
  <c r="N257" i="6"/>
  <c r="V110" i="6"/>
  <c r="R36" i="6"/>
  <c r="P160" i="6"/>
  <c r="X140" i="6"/>
  <c r="N106" i="6"/>
  <c r="V21" i="6"/>
  <c r="N200" i="6"/>
  <c r="V176" i="6"/>
  <c r="P196" i="6"/>
  <c r="X254" i="6"/>
  <c r="N182" i="6"/>
  <c r="T213" i="6"/>
  <c r="N39" i="6"/>
  <c r="T41" i="6"/>
  <c r="N45" i="6"/>
  <c r="T257" i="6"/>
  <c r="T108" i="6"/>
  <c r="P255" i="6"/>
  <c r="T188" i="6"/>
  <c r="N121" i="6"/>
  <c r="R111" i="6"/>
  <c r="V89" i="6"/>
  <c r="V250" i="6"/>
  <c r="N110" i="6"/>
  <c r="T221" i="6"/>
  <c r="T69" i="6"/>
  <c r="P250" i="6"/>
  <c r="T264" i="6"/>
  <c r="X18" i="6"/>
  <c r="T269" i="6"/>
  <c r="X81" i="6"/>
  <c r="T159" i="6"/>
  <c r="X109" i="6"/>
  <c r="X223" i="6"/>
  <c r="V62" i="6"/>
  <c r="V209" i="6"/>
  <c r="X103" i="6"/>
  <c r="T247" i="6"/>
  <c r="V29" i="6"/>
  <c r="T113" i="6"/>
  <c r="X194" i="6"/>
  <c r="T17" i="6"/>
  <c r="X178" i="6"/>
  <c r="R137" i="6"/>
  <c r="P58" i="6"/>
  <c r="P253" i="6"/>
  <c r="N189" i="6"/>
  <c r="R8" i="6"/>
  <c r="T240" i="6"/>
  <c r="T127" i="6"/>
  <c r="T212" i="6"/>
  <c r="X38" i="6"/>
  <c r="T262" i="6"/>
  <c r="X191" i="6"/>
  <c r="R92" i="6"/>
  <c r="R215" i="6"/>
  <c r="N215" i="6"/>
  <c r="V31" i="6"/>
  <c r="R167" i="6"/>
  <c r="P261" i="6"/>
  <c r="N103" i="6"/>
  <c r="R259" i="6"/>
  <c r="P150" i="6"/>
  <c r="V41" i="6"/>
  <c r="T124" i="6"/>
  <c r="R245" i="6"/>
  <c r="R212" i="6"/>
  <c r="X48" i="6"/>
  <c r="T216" i="6"/>
  <c r="R140" i="6"/>
  <c r="N46" i="6"/>
  <c r="R139" i="6"/>
  <c r="R98" i="6"/>
  <c r="P215" i="6"/>
  <c r="X110" i="6"/>
  <c r="N218" i="6"/>
  <c r="T131" i="6"/>
  <c r="N187" i="6"/>
  <c r="R6" i="6"/>
  <c r="P125" i="6"/>
  <c r="X105" i="6"/>
  <c r="N75" i="6"/>
  <c r="X176" i="6"/>
  <c r="N167" i="6"/>
  <c r="V139" i="6"/>
  <c r="X218" i="6"/>
  <c r="N154" i="6"/>
  <c r="T185" i="6"/>
  <c r="N11" i="6"/>
  <c r="N19" i="6"/>
  <c r="T208" i="6"/>
  <c r="P233" i="6"/>
  <c r="T56" i="6"/>
  <c r="P230" i="6"/>
  <c r="T167" i="6"/>
  <c r="V192" i="6"/>
  <c r="N96" i="6"/>
  <c r="R94" i="6"/>
  <c r="V38" i="6"/>
  <c r="V226" i="6"/>
  <c r="N87" i="6"/>
  <c r="T201" i="6"/>
  <c r="T32" i="6"/>
  <c r="P227" i="6"/>
  <c r="T244" i="6"/>
  <c r="T217" i="6"/>
  <c r="T96" i="6"/>
  <c r="X92" i="6"/>
  <c r="X207" i="6"/>
  <c r="V43" i="6"/>
  <c r="V194" i="6"/>
  <c r="X90" i="6"/>
  <c r="T194" i="6"/>
  <c r="X248" i="6"/>
  <c r="T74" i="6"/>
  <c r="X180" i="6"/>
  <c r="V259" i="6"/>
  <c r="X165" i="6"/>
  <c r="N56" i="6"/>
  <c r="R272" i="6"/>
  <c r="V214" i="6"/>
  <c r="N68" i="6"/>
  <c r="N26" i="6"/>
  <c r="T241" i="6"/>
  <c r="X208" i="6"/>
  <c r="T158" i="6"/>
  <c r="N49" i="6"/>
  <c r="P127" i="6"/>
  <c r="P42" i="6"/>
  <c r="R18" i="6"/>
  <c r="N158" i="6"/>
  <c r="N259" i="6"/>
  <c r="R60" i="6"/>
  <c r="N258" i="6"/>
  <c r="P270" i="6"/>
  <c r="R214" i="6"/>
  <c r="P74" i="6"/>
  <c r="X235" i="6"/>
  <c r="T37" i="6"/>
  <c r="R114" i="6"/>
  <c r="R142" i="6"/>
  <c r="T260" i="6"/>
  <c r="P226" i="6"/>
  <c r="R106" i="6"/>
  <c r="R73" i="6"/>
  <c r="X72" i="6"/>
  <c r="N180" i="6"/>
  <c r="T94" i="6"/>
  <c r="N112" i="6"/>
  <c r="X202" i="6"/>
  <c r="T199" i="6"/>
  <c r="P107" i="6"/>
  <c r="N37" i="6"/>
  <c r="X139" i="6"/>
  <c r="N136" i="6"/>
  <c r="V59" i="6"/>
  <c r="P149" i="6"/>
  <c r="X188" i="6"/>
  <c r="N127" i="6"/>
  <c r="T153" i="6"/>
  <c r="P224" i="6"/>
  <c r="V151" i="6"/>
  <c r="P262" i="6"/>
  <c r="T183" i="6"/>
  <c r="P206" i="6"/>
  <c r="V241" i="6"/>
  <c r="P205" i="6"/>
  <c r="T143" i="6"/>
  <c r="V141" i="6"/>
  <c r="N72" i="6"/>
  <c r="X268" i="6"/>
  <c r="V206" i="6"/>
  <c r="N64" i="6"/>
  <c r="T182" i="6"/>
  <c r="V262" i="6"/>
  <c r="P204" i="6"/>
  <c r="T172" i="6"/>
  <c r="T200" i="6"/>
  <c r="T80" i="6"/>
  <c r="X43" i="6"/>
  <c r="X142" i="6"/>
  <c r="V25" i="6"/>
  <c r="V166" i="6"/>
  <c r="X77" i="6"/>
  <c r="T180" i="6"/>
  <c r="X195" i="6"/>
  <c r="T61" i="6"/>
  <c r="X167" i="6"/>
  <c r="V231" i="6"/>
  <c r="R189" i="6"/>
  <c r="N177" i="6"/>
  <c r="V68" i="6"/>
  <c r="R209" i="6"/>
  <c r="V64" i="6"/>
  <c r="N232" i="6"/>
  <c r="N210" i="6"/>
  <c r="N145" i="6"/>
  <c r="N10" i="6"/>
  <c r="T193" i="6"/>
  <c r="V236" i="6"/>
  <c r="V44" i="6"/>
  <c r="P161" i="6"/>
  <c r="P138" i="6"/>
  <c r="P177" i="6"/>
  <c r="R186" i="6"/>
  <c r="R224" i="6"/>
  <c r="R168" i="6"/>
  <c r="T198" i="6"/>
  <c r="N89" i="6"/>
  <c r="N214" i="6"/>
  <c r="N117" i="6"/>
  <c r="V267" i="6"/>
  <c r="N53" i="6"/>
  <c r="N113" i="6"/>
  <c r="P201" i="6"/>
  <c r="R117" i="6"/>
  <c r="P25" i="6"/>
  <c r="X145" i="6"/>
  <c r="V191" i="6"/>
  <c r="T268" i="6"/>
  <c r="T35" i="6"/>
  <c r="N228" i="6"/>
  <c r="T31" i="6"/>
  <c r="T215" i="6"/>
  <c r="P63" i="6"/>
  <c r="T214" i="6"/>
  <c r="T243" i="6"/>
  <c r="P173" i="6"/>
  <c r="N143" i="6"/>
  <c r="V239" i="6"/>
  <c r="N33" i="6"/>
  <c r="X162" i="6"/>
  <c r="T130" i="6"/>
  <c r="P52" i="6"/>
  <c r="X104" i="6"/>
  <c r="N105" i="6"/>
  <c r="V20" i="6"/>
  <c r="P87" i="6"/>
  <c r="X156" i="6"/>
  <c r="T128" i="6"/>
  <c r="P195" i="6"/>
  <c r="V118" i="6"/>
  <c r="P248" i="6"/>
  <c r="T156" i="6"/>
  <c r="P163" i="6"/>
  <c r="V182" i="6"/>
  <c r="P191" i="6"/>
  <c r="T76" i="6"/>
  <c r="V81" i="6"/>
  <c r="N48" i="6"/>
  <c r="R62" i="6"/>
  <c r="X246" i="6"/>
  <c r="V181" i="6"/>
  <c r="N41" i="6"/>
  <c r="T141" i="6"/>
  <c r="V221" i="6"/>
  <c r="P192" i="6"/>
  <c r="T135" i="6"/>
  <c r="T184" i="6"/>
  <c r="T64" i="6"/>
  <c r="X26" i="6"/>
  <c r="X76" i="6"/>
  <c r="V10" i="6"/>
  <c r="X64" i="6"/>
  <c r="T166" i="6"/>
  <c r="X127" i="6"/>
  <c r="T19" i="6"/>
  <c r="X154" i="6"/>
  <c r="V216" i="6"/>
  <c r="X137" i="6"/>
  <c r="E1" i="14"/>
  <c r="G1" i="11"/>
  <c r="F1" i="11"/>
  <c r="F1" i="14"/>
  <c r="X54" i="6"/>
  <c r="P57" i="6"/>
  <c r="P96" i="6"/>
  <c r="R227" i="6"/>
  <c r="X213" i="6"/>
  <c r="V244" i="6"/>
  <c r="V113" i="6"/>
  <c r="N133" i="6"/>
  <c r="R29" i="6"/>
  <c r="V99" i="6"/>
  <c r="N57" i="6"/>
  <c r="R271" i="6"/>
  <c r="P183" i="6"/>
  <c r="N195" i="6"/>
  <c r="T147" i="6"/>
  <c r="R74" i="6"/>
  <c r="T81" i="6"/>
  <c r="T137" i="6"/>
  <c r="N157" i="6"/>
  <c r="R81" i="6"/>
  <c r="V171" i="6"/>
  <c r="P139" i="6"/>
  <c r="P82" i="6"/>
  <c r="T209" i="6"/>
  <c r="P158" i="6"/>
  <c r="R58" i="6"/>
  <c r="V129" i="6"/>
  <c r="T173" i="6"/>
  <c r="V127" i="6"/>
  <c r="N176" i="6"/>
  <c r="V175" i="6"/>
  <c r="T114" i="6"/>
  <c r="P38" i="6"/>
  <c r="T160" i="6"/>
  <c r="N222" i="6"/>
  <c r="T203" i="6"/>
  <c r="P154" i="6"/>
  <c r="N108" i="6"/>
  <c r="V105" i="6"/>
  <c r="P258" i="6"/>
  <c r="X34" i="6"/>
  <c r="T93" i="6"/>
  <c r="R264" i="6"/>
  <c r="P159" i="6"/>
  <c r="X66" i="6"/>
  <c r="N74" i="6"/>
  <c r="X212" i="6"/>
  <c r="P72" i="6"/>
  <c r="X91" i="6"/>
  <c r="N70" i="6"/>
  <c r="P179" i="6"/>
  <c r="P234" i="6"/>
  <c r="T132" i="6"/>
  <c r="P108" i="6"/>
  <c r="V150" i="6"/>
  <c r="T6" i="6"/>
  <c r="V55" i="6"/>
  <c r="N24" i="6"/>
  <c r="R45" i="6"/>
  <c r="X226" i="6"/>
  <c r="V134" i="6"/>
  <c r="N18" i="6"/>
  <c r="V200" i="6"/>
  <c r="P169" i="6"/>
  <c r="T119" i="6"/>
  <c r="T165" i="6"/>
  <c r="T46" i="6"/>
  <c r="X11" i="6"/>
  <c r="X58" i="6"/>
  <c r="X266" i="6"/>
  <c r="R43" i="6"/>
  <c r="V109" i="6"/>
  <c r="X49" i="6"/>
  <c r="T139" i="6"/>
  <c r="X74" i="6"/>
  <c r="V263" i="6"/>
  <c r="X141" i="6"/>
  <c r="V188" i="6"/>
  <c r="X124" i="6"/>
  <c r="V37" i="6"/>
  <c r="R84" i="6"/>
  <c r="R135" i="6"/>
  <c r="V271" i="6"/>
  <c r="T102" i="6"/>
  <c r="T115" i="6"/>
  <c r="T29" i="6"/>
  <c r="X250" i="6"/>
  <c r="R31" i="6"/>
  <c r="V92" i="6"/>
  <c r="X36" i="6"/>
  <c r="T126" i="6"/>
  <c r="X126" i="6"/>
  <c r="R49" i="6"/>
  <c r="V174" i="6"/>
  <c r="X111" i="6"/>
  <c r="T98" i="6"/>
  <c r="R234" i="6"/>
  <c r="N267" i="6"/>
  <c r="N58" i="6"/>
  <c r="V227" i="6"/>
  <c r="Y102" i="6"/>
  <c r="Y212" i="6"/>
  <c r="Z5" i="6"/>
  <c r="A2" i="15" a="1"/>
  <c r="A2" i="15" s="1"/>
  <c r="C2" i="15" s="1" a="1"/>
  <c r="C2" i="15" s="1"/>
  <c r="Y234" i="6"/>
  <c r="Y229" i="6"/>
  <c r="Y223" i="6"/>
  <c r="Y267" i="6"/>
  <c r="Y173" i="6"/>
  <c r="Y150" i="6"/>
  <c r="Y174" i="6"/>
  <c r="Y170" i="6"/>
  <c r="Y237" i="6"/>
  <c r="Y157" i="6"/>
  <c r="Y56" i="6"/>
  <c r="Y51" i="6"/>
  <c r="Y230" i="6"/>
  <c r="Y201" i="6"/>
  <c r="Y152" i="6"/>
  <c r="Y169" i="6"/>
  <c r="Y62" i="6"/>
  <c r="Y104" i="6"/>
  <c r="Y120" i="6"/>
  <c r="Y47" i="6"/>
  <c r="Y87" i="6"/>
  <c r="Y57" i="6"/>
  <c r="Y139" i="6"/>
  <c r="Y184" i="6"/>
  <c r="Y154" i="6"/>
  <c r="Y265" i="6"/>
  <c r="Y251" i="6"/>
  <c r="Y256" i="6"/>
  <c r="Y205" i="6"/>
  <c r="Y53" i="6"/>
  <c r="Y194" i="6"/>
  <c r="Y193" i="6"/>
  <c r="Y235" i="6"/>
  <c r="Y159" i="6"/>
  <c r="Y109" i="6"/>
  <c r="Y175" i="6"/>
  <c r="Y89" i="6"/>
  <c r="Y135" i="6"/>
  <c r="Y148" i="6"/>
  <c r="Y83" i="6"/>
  <c r="Y75" i="6"/>
  <c r="E1" i="10" s="1"/>
  <c r="Y42" i="6"/>
  <c r="Y82" i="6"/>
  <c r="Y60" i="6"/>
  <c r="Y58" i="6"/>
  <c r="Y247" i="6"/>
  <c r="Y182" i="6"/>
  <c r="Y221" i="6"/>
  <c r="Y5" i="6"/>
  <c r="Y181" i="6"/>
  <c r="Y95" i="6"/>
  <c r="Y163" i="6"/>
  <c r="Y141" i="6"/>
  <c r="Y208" i="6"/>
  <c r="Y218" i="6"/>
  <c r="Y127" i="6"/>
  <c r="G1" i="6" s="1"/>
  <c r="Y244" i="6"/>
  <c r="Y111" i="6"/>
  <c r="Y61" i="6"/>
  <c r="Y257" i="6"/>
  <c r="Y241" i="6"/>
  <c r="Y33" i="6"/>
  <c r="Y114" i="6"/>
  <c r="Y164" i="6"/>
  <c r="Y242" i="6"/>
  <c r="Y128" i="6"/>
  <c r="Y231" i="6"/>
  <c r="Y219" i="6"/>
  <c r="Y207" i="6"/>
  <c r="Y196" i="6"/>
  <c r="Y246" i="6"/>
  <c r="Y134" i="6"/>
  <c r="Y115" i="6"/>
  <c r="Y245" i="6"/>
  <c r="Y106" i="6"/>
  <c r="Y260" i="6"/>
  <c r="Y179" i="6"/>
  <c r="Y130" i="6"/>
  <c r="Y44" i="6"/>
  <c r="Y97" i="6"/>
  <c r="Y165" i="6"/>
  <c r="Y240" i="6"/>
  <c r="Y137" i="6"/>
  <c r="Y79" i="6"/>
  <c r="Y19" i="6"/>
  <c r="Y7" i="6"/>
  <c r="Y269" i="6"/>
  <c r="Y11" i="6"/>
  <c r="Y121" i="6"/>
  <c r="Y55" i="6"/>
  <c r="Y248" i="6"/>
  <c r="Y29" i="6"/>
  <c r="Y119" i="6"/>
  <c r="Y250" i="6"/>
  <c r="Y38" i="6"/>
  <c r="Y108" i="6"/>
  <c r="Y125" i="6"/>
  <c r="Y26" i="6"/>
  <c r="Y77" i="6"/>
  <c r="Y266" i="6"/>
  <c r="Y36" i="6"/>
  <c r="Y191" i="6"/>
  <c r="Y99" i="6"/>
  <c r="Y18" i="6"/>
  <c r="Y209" i="6"/>
  <c r="Y143" i="6"/>
  <c r="Y187" i="6"/>
  <c r="Y31" i="6"/>
  <c r="Y185" i="6"/>
  <c r="Y9" i="6"/>
  <c r="Y253" i="6"/>
  <c r="E1" i="6" l="1"/>
  <c r="E1" i="13"/>
  <c r="D11" i="21"/>
  <c r="E11" i="21"/>
  <c r="L11" i="21"/>
  <c r="K11" i="21"/>
  <c r="B11" i="21"/>
  <c r="C11" i="21"/>
  <c r="G11" i="21"/>
  <c r="H11" i="21"/>
  <c r="I11" i="21"/>
  <c r="J11" i="21"/>
  <c r="F11" i="21"/>
  <c r="K10" i="21"/>
  <c r="D10" i="21"/>
  <c r="B10" i="21"/>
  <c r="C10" i="21"/>
  <c r="L10" i="21"/>
  <c r="E10" i="21"/>
  <c r="F10" i="21"/>
  <c r="G10" i="21"/>
  <c r="H10" i="21"/>
  <c r="I10" i="21"/>
  <c r="J10" i="21"/>
  <c r="L7" i="27"/>
  <c r="J7" i="27"/>
  <c r="K7" i="27"/>
  <c r="I7" i="27"/>
  <c r="A7" i="26"/>
  <c r="I8" i="26"/>
  <c r="L8" i="26"/>
  <c r="J8" i="26"/>
  <c r="K8" i="26"/>
  <c r="E1" i="12"/>
  <c r="A7" i="21"/>
  <c r="G9" i="21"/>
  <c r="E9" i="21"/>
  <c r="L9" i="21"/>
  <c r="G8" i="21"/>
  <c r="F8" i="21"/>
  <c r="D8" i="21"/>
  <c r="B8" i="21"/>
  <c r="J9" i="21"/>
  <c r="H9" i="21"/>
  <c r="D9" i="21"/>
  <c r="C9" i="21"/>
  <c r="B9" i="21"/>
  <c r="K8" i="21"/>
  <c r="J8" i="21"/>
  <c r="I8" i="21"/>
  <c r="H8" i="21"/>
  <c r="E8" i="21"/>
  <c r="C8" i="21"/>
  <c r="L8" i="21"/>
  <c r="K9" i="21"/>
  <c r="I9" i="21"/>
  <c r="F9" i="21"/>
  <c r="A7" i="18" a="1"/>
  <c r="E1" i="11"/>
  <c r="D1" i="14"/>
  <c r="X5" i="6"/>
  <c r="T5" i="6"/>
  <c r="R5" i="6"/>
  <c r="V5" i="6"/>
  <c r="AA5" i="6"/>
  <c r="A7" i="17" s="1" a="1"/>
  <c r="N5" i="6"/>
  <c r="P5" i="6"/>
  <c r="A7" i="9" a="1"/>
  <c r="K94" i="9" l="1"/>
  <c r="K92" i="9"/>
  <c r="K90" i="9"/>
  <c r="H94" i="9"/>
  <c r="H92" i="9"/>
  <c r="H90" i="9"/>
  <c r="D90" i="9"/>
  <c r="C92" i="9"/>
  <c r="C90" i="9"/>
  <c r="J93" i="9"/>
  <c r="J89" i="9"/>
  <c r="L94" i="9"/>
  <c r="J94" i="9"/>
  <c r="J92" i="9"/>
  <c r="J90" i="9"/>
  <c r="I90" i="9"/>
  <c r="F92" i="9"/>
  <c r="L89" i="9"/>
  <c r="K93" i="9"/>
  <c r="L90" i="9"/>
  <c r="I94" i="9"/>
  <c r="I92" i="9"/>
  <c r="L93" i="9"/>
  <c r="L92" i="9"/>
  <c r="E94" i="9"/>
  <c r="E92" i="9"/>
  <c r="E90" i="9"/>
  <c r="D92" i="9"/>
  <c r="G94" i="9"/>
  <c r="G92" i="9"/>
  <c r="G90" i="9"/>
  <c r="F94" i="9"/>
  <c r="F90" i="9"/>
  <c r="D94" i="9"/>
  <c r="C94" i="9"/>
  <c r="L91" i="9"/>
  <c r="K91" i="9"/>
  <c r="J91" i="9"/>
  <c r="B94" i="9"/>
  <c r="B92" i="9"/>
  <c r="B90" i="9"/>
  <c r="K89" i="9"/>
  <c r="I93" i="9"/>
  <c r="I91" i="9"/>
  <c r="I89" i="9"/>
  <c r="H91" i="9"/>
  <c r="H89" i="9"/>
  <c r="H93" i="9"/>
  <c r="G93" i="9"/>
  <c r="G91" i="9"/>
  <c r="G89" i="9"/>
  <c r="F93" i="9"/>
  <c r="F91" i="9"/>
  <c r="F89" i="9"/>
  <c r="D91" i="9"/>
  <c r="E93" i="9"/>
  <c r="E91" i="9"/>
  <c r="E89" i="9"/>
  <c r="D93" i="9"/>
  <c r="D89" i="9"/>
  <c r="B93" i="9"/>
  <c r="B91" i="9"/>
  <c r="B89" i="9"/>
  <c r="C93" i="9"/>
  <c r="C91" i="9"/>
  <c r="C89" i="9"/>
  <c r="C26" i="17"/>
  <c r="D26" i="17"/>
  <c r="E26" i="17"/>
  <c r="M26" i="17"/>
  <c r="B26" i="17"/>
  <c r="F26" i="17"/>
  <c r="G26" i="17"/>
  <c r="H26" i="17"/>
  <c r="I26" i="17"/>
  <c r="J26" i="17"/>
  <c r="K26" i="17"/>
  <c r="L26" i="17"/>
  <c r="M23" i="18"/>
  <c r="B24" i="18"/>
  <c r="L24" i="18"/>
  <c r="L23" i="18"/>
  <c r="K24" i="18"/>
  <c r="E24" i="18"/>
  <c r="C24" i="18"/>
  <c r="K23" i="18"/>
  <c r="H24" i="18"/>
  <c r="I24" i="18" s="1"/>
  <c r="J23" i="18"/>
  <c r="H23" i="18"/>
  <c r="I23" i="18" s="1"/>
  <c r="B23" i="18"/>
  <c r="J24" i="18"/>
  <c r="G24" i="18"/>
  <c r="M24" i="18"/>
  <c r="G23" i="18"/>
  <c r="F23" i="18"/>
  <c r="D23" i="18"/>
  <c r="C23" i="18"/>
  <c r="F24" i="18"/>
  <c r="D24" i="18"/>
  <c r="E23" i="18"/>
  <c r="M25" i="17"/>
  <c r="L25" i="17"/>
  <c r="M24" i="17"/>
  <c r="K25" i="17"/>
  <c r="B24" i="17"/>
  <c r="C24" i="17"/>
  <c r="D24" i="17"/>
  <c r="E24" i="17"/>
  <c r="H24" i="17"/>
  <c r="J24" i="17"/>
  <c r="L24" i="17"/>
  <c r="I25" i="17"/>
  <c r="K24" i="17"/>
  <c r="I24" i="17"/>
  <c r="J25" i="17"/>
  <c r="B25" i="17"/>
  <c r="G24" i="17"/>
  <c r="C25" i="17"/>
  <c r="D25" i="17"/>
  <c r="E25" i="17"/>
  <c r="F25" i="17"/>
  <c r="G25" i="17"/>
  <c r="H25" i="17"/>
  <c r="F24" i="17"/>
  <c r="D22" i="18"/>
  <c r="C22" i="18"/>
  <c r="B22" i="18"/>
  <c r="M22" i="18"/>
  <c r="L21" i="18"/>
  <c r="M21" i="18"/>
  <c r="K21" i="18"/>
  <c r="J21" i="18"/>
  <c r="H21" i="18"/>
  <c r="I21" i="18" s="1"/>
  <c r="G21" i="18"/>
  <c r="F21" i="18"/>
  <c r="E21" i="18"/>
  <c r="D21" i="18"/>
  <c r="C21" i="18"/>
  <c r="B21" i="18"/>
  <c r="L22" i="18"/>
  <c r="K22" i="18"/>
  <c r="J22" i="18"/>
  <c r="H22" i="18"/>
  <c r="I22" i="18" s="1"/>
  <c r="G22" i="18"/>
  <c r="F22" i="18"/>
  <c r="E22" i="18"/>
  <c r="F22" i="17"/>
  <c r="B22" i="17"/>
  <c r="E22" i="17"/>
  <c r="G22" i="17"/>
  <c r="K22" i="17"/>
  <c r="D22" i="17"/>
  <c r="H22" i="17"/>
  <c r="I23" i="17"/>
  <c r="C22" i="17"/>
  <c r="J22" i="17"/>
  <c r="L22" i="17"/>
  <c r="I22" i="17"/>
  <c r="B23" i="17"/>
  <c r="C23" i="17"/>
  <c r="M23" i="17"/>
  <c r="L23" i="17"/>
  <c r="D23" i="17"/>
  <c r="E23" i="17"/>
  <c r="H23" i="17"/>
  <c r="J23" i="17"/>
  <c r="F23" i="17"/>
  <c r="G23" i="17"/>
  <c r="M22" i="17"/>
  <c r="K23" i="17"/>
  <c r="A7" i="18"/>
  <c r="K7" i="18" s="1"/>
  <c r="E20" i="18"/>
  <c r="K20" i="18"/>
  <c r="G20" i="18"/>
  <c r="D20" i="18"/>
  <c r="F20" i="18"/>
  <c r="C20" i="18"/>
  <c r="B20" i="18"/>
  <c r="M20" i="18"/>
  <c r="H20" i="18"/>
  <c r="I20" i="18" s="1"/>
  <c r="J20" i="18"/>
  <c r="L20" i="18"/>
  <c r="A7" i="11" a="1"/>
  <c r="B21" i="17"/>
  <c r="I21" i="17"/>
  <c r="C21" i="17"/>
  <c r="D21" i="17"/>
  <c r="E21" i="17"/>
  <c r="F21" i="17"/>
  <c r="H21" i="17"/>
  <c r="G21" i="17"/>
  <c r="J21" i="17"/>
  <c r="K21" i="17"/>
  <c r="M21" i="17"/>
  <c r="L21" i="17"/>
  <c r="I87" i="9"/>
  <c r="I85" i="9"/>
  <c r="I83" i="9"/>
  <c r="I81" i="9"/>
  <c r="I79" i="9"/>
  <c r="F77" i="9"/>
  <c r="H87" i="9"/>
  <c r="H85" i="9"/>
  <c r="H83" i="9"/>
  <c r="H81" i="9"/>
  <c r="G87" i="9"/>
  <c r="G85" i="9"/>
  <c r="G83" i="9"/>
  <c r="G81" i="9"/>
  <c r="G79" i="9"/>
  <c r="G77" i="9"/>
  <c r="F87" i="9"/>
  <c r="F85" i="9"/>
  <c r="F83" i="9"/>
  <c r="F81" i="9"/>
  <c r="C87" i="9"/>
  <c r="C85" i="9"/>
  <c r="C83" i="9"/>
  <c r="C81" i="9"/>
  <c r="C79" i="9"/>
  <c r="C77" i="9"/>
  <c r="G76" i="9"/>
  <c r="F88" i="9"/>
  <c r="F86" i="9"/>
  <c r="F82" i="9"/>
  <c r="F78" i="9"/>
  <c r="F76" i="9"/>
  <c r="B87" i="9"/>
  <c r="B85" i="9"/>
  <c r="B83" i="9"/>
  <c r="B81" i="9"/>
  <c r="B79" i="9"/>
  <c r="B77" i="9"/>
  <c r="K76" i="9"/>
  <c r="J78" i="9"/>
  <c r="J76" i="9"/>
  <c r="I76" i="9"/>
  <c r="H80" i="9"/>
  <c r="H76" i="9"/>
  <c r="G78" i="9"/>
  <c r="F80" i="9"/>
  <c r="L88" i="9"/>
  <c r="L86" i="9"/>
  <c r="L84" i="9"/>
  <c r="L82" i="9"/>
  <c r="L80" i="9"/>
  <c r="L78" i="9"/>
  <c r="L76" i="9"/>
  <c r="K86" i="9"/>
  <c r="K82" i="9"/>
  <c r="K78" i="9"/>
  <c r="K88" i="9"/>
  <c r="K84" i="9"/>
  <c r="K80" i="9"/>
  <c r="J88" i="9"/>
  <c r="J86" i="9"/>
  <c r="J84" i="9"/>
  <c r="J82" i="9"/>
  <c r="J80" i="9"/>
  <c r="H78" i="9"/>
  <c r="G80" i="9"/>
  <c r="E81" i="9"/>
  <c r="E77" i="9"/>
  <c r="D85" i="9"/>
  <c r="I88" i="9"/>
  <c r="I86" i="9"/>
  <c r="I84" i="9"/>
  <c r="I82" i="9"/>
  <c r="I80" i="9"/>
  <c r="I78" i="9"/>
  <c r="F84" i="9"/>
  <c r="E87" i="9"/>
  <c r="H88" i="9"/>
  <c r="H86" i="9"/>
  <c r="H84" i="9"/>
  <c r="H82" i="9"/>
  <c r="E85" i="9"/>
  <c r="G88" i="9"/>
  <c r="G86" i="9"/>
  <c r="G84" i="9"/>
  <c r="G82" i="9"/>
  <c r="E83" i="9"/>
  <c r="E88" i="9"/>
  <c r="E86" i="9"/>
  <c r="E84" i="9"/>
  <c r="E82" i="9"/>
  <c r="E80" i="9"/>
  <c r="E78" i="9"/>
  <c r="E76" i="9"/>
  <c r="D80" i="9"/>
  <c r="D78" i="9"/>
  <c r="D76" i="9"/>
  <c r="D83" i="9"/>
  <c r="D77" i="9"/>
  <c r="D88" i="9"/>
  <c r="D86" i="9"/>
  <c r="D84" i="9"/>
  <c r="D82" i="9"/>
  <c r="C88" i="9"/>
  <c r="C86" i="9"/>
  <c r="C84" i="9"/>
  <c r="C82" i="9"/>
  <c r="C80" i="9"/>
  <c r="C78" i="9"/>
  <c r="C76" i="9"/>
  <c r="E79" i="9"/>
  <c r="B88" i="9"/>
  <c r="B86" i="9"/>
  <c r="B84" i="9"/>
  <c r="B82" i="9"/>
  <c r="B80" i="9"/>
  <c r="B78" i="9"/>
  <c r="B76" i="9"/>
  <c r="D87" i="9"/>
  <c r="L87" i="9"/>
  <c r="L85" i="9"/>
  <c r="L83" i="9"/>
  <c r="L81" i="9"/>
  <c r="L79" i="9"/>
  <c r="L77" i="9"/>
  <c r="K87" i="9"/>
  <c r="K79" i="9"/>
  <c r="K77" i="9"/>
  <c r="I77" i="9"/>
  <c r="H79" i="9"/>
  <c r="H77" i="9"/>
  <c r="F79" i="9"/>
  <c r="D81" i="9"/>
  <c r="D79" i="9"/>
  <c r="K85" i="9"/>
  <c r="K83" i="9"/>
  <c r="K81" i="9"/>
  <c r="J87" i="9"/>
  <c r="J85" i="9"/>
  <c r="J83" i="9"/>
  <c r="J81" i="9"/>
  <c r="J79" i="9"/>
  <c r="J77" i="9"/>
  <c r="E75" i="9"/>
  <c r="E73" i="9"/>
  <c r="E71" i="9"/>
  <c r="E69" i="9"/>
  <c r="E67" i="9"/>
  <c r="E65" i="9"/>
  <c r="D73" i="9"/>
  <c r="D69" i="9"/>
  <c r="D65" i="9"/>
  <c r="G75" i="9"/>
  <c r="G71" i="9"/>
  <c r="G67" i="9"/>
  <c r="C75" i="9"/>
  <c r="C73" i="9"/>
  <c r="C71" i="9"/>
  <c r="C69" i="9"/>
  <c r="C67" i="9"/>
  <c r="C65" i="9"/>
  <c r="B65" i="9"/>
  <c r="L74" i="9"/>
  <c r="L70" i="9"/>
  <c r="L68" i="9"/>
  <c r="L66" i="9"/>
  <c r="H72" i="9"/>
  <c r="H66" i="9"/>
  <c r="K71" i="9"/>
  <c r="I69" i="9"/>
  <c r="H73" i="9"/>
  <c r="H67" i="9"/>
  <c r="B75" i="9"/>
  <c r="B73" i="9"/>
  <c r="B71" i="9"/>
  <c r="B69" i="9"/>
  <c r="B67" i="9"/>
  <c r="L72" i="9"/>
  <c r="L73" i="9"/>
  <c r="H75" i="9"/>
  <c r="H69" i="9"/>
  <c r="K74" i="9"/>
  <c r="K72" i="9"/>
  <c r="K70" i="9"/>
  <c r="K68" i="9"/>
  <c r="K66" i="9"/>
  <c r="J74" i="9"/>
  <c r="J72" i="9"/>
  <c r="J68" i="9"/>
  <c r="J66" i="9"/>
  <c r="H74" i="9"/>
  <c r="H68" i="9"/>
  <c r="G74" i="9"/>
  <c r="G66" i="9"/>
  <c r="L69" i="9"/>
  <c r="I75" i="9"/>
  <c r="I73" i="9"/>
  <c r="I65" i="9"/>
  <c r="J70" i="9"/>
  <c r="H65" i="9"/>
  <c r="I74" i="9"/>
  <c r="I72" i="9"/>
  <c r="I70" i="9"/>
  <c r="I68" i="9"/>
  <c r="I66" i="9"/>
  <c r="H70" i="9"/>
  <c r="G70" i="9"/>
  <c r="G68" i="9"/>
  <c r="L71" i="9"/>
  <c r="G72" i="9"/>
  <c r="F74" i="9"/>
  <c r="F72" i="9"/>
  <c r="F70" i="9"/>
  <c r="F68" i="9"/>
  <c r="F66" i="9"/>
  <c r="E72" i="9"/>
  <c r="E66" i="9"/>
  <c r="D74" i="9"/>
  <c r="D72" i="9"/>
  <c r="D70" i="9"/>
  <c r="D68" i="9"/>
  <c r="L75" i="9"/>
  <c r="K73" i="9"/>
  <c r="K67" i="9"/>
  <c r="I71" i="9"/>
  <c r="E74" i="9"/>
  <c r="E70" i="9"/>
  <c r="E68" i="9"/>
  <c r="D66" i="9"/>
  <c r="L67" i="9"/>
  <c r="K75" i="9"/>
  <c r="K65" i="9"/>
  <c r="G73" i="9"/>
  <c r="G69" i="9"/>
  <c r="G65" i="9"/>
  <c r="C74" i="9"/>
  <c r="C72" i="9"/>
  <c r="C70" i="9"/>
  <c r="C68" i="9"/>
  <c r="C66" i="9"/>
  <c r="L65" i="9"/>
  <c r="K69" i="9"/>
  <c r="B74" i="9"/>
  <c r="B72" i="9"/>
  <c r="B70" i="9"/>
  <c r="B68" i="9"/>
  <c r="B66" i="9"/>
  <c r="I67" i="9"/>
  <c r="H71" i="9"/>
  <c r="J75" i="9"/>
  <c r="J73" i="9"/>
  <c r="J71" i="9"/>
  <c r="J69" i="9"/>
  <c r="J67" i="9"/>
  <c r="J65" i="9"/>
  <c r="F75" i="9"/>
  <c r="F73" i="9"/>
  <c r="F71" i="9"/>
  <c r="F69" i="9"/>
  <c r="F67" i="9"/>
  <c r="F65" i="9"/>
  <c r="D75" i="9"/>
  <c r="D71" i="9"/>
  <c r="D67" i="9"/>
  <c r="A7" i="13" a="1"/>
  <c r="A7" i="12" a="1"/>
  <c r="L7" i="26"/>
  <c r="K7" i="26"/>
  <c r="I7" i="26"/>
  <c r="J7" i="26"/>
  <c r="L7" i="21"/>
  <c r="H7" i="21"/>
  <c r="B7" i="21"/>
  <c r="F7" i="21"/>
  <c r="J7" i="21"/>
  <c r="C7" i="21"/>
  <c r="D7" i="21"/>
  <c r="E7" i="21"/>
  <c r="G7" i="21"/>
  <c r="I7" i="21"/>
  <c r="K7" i="21"/>
  <c r="K64" i="9"/>
  <c r="K62" i="9"/>
  <c r="J62" i="9"/>
  <c r="C64" i="9"/>
  <c r="C62" i="9"/>
  <c r="B62" i="9"/>
  <c r="L63" i="9"/>
  <c r="J64" i="9"/>
  <c r="I64" i="9"/>
  <c r="I62" i="9"/>
  <c r="G64" i="9"/>
  <c r="H64" i="9"/>
  <c r="H62" i="9"/>
  <c r="G62" i="9"/>
  <c r="F64" i="9"/>
  <c r="F62" i="9"/>
  <c r="D62" i="9"/>
  <c r="L61" i="9"/>
  <c r="D63" i="9"/>
  <c r="D61" i="9"/>
  <c r="E64" i="9"/>
  <c r="E62" i="9"/>
  <c r="D64" i="9"/>
  <c r="B64" i="9"/>
  <c r="K63" i="9"/>
  <c r="K61" i="9"/>
  <c r="J63" i="9"/>
  <c r="E61" i="9"/>
  <c r="C63" i="9"/>
  <c r="C61" i="9"/>
  <c r="J61" i="9"/>
  <c r="B63" i="9"/>
  <c r="I63" i="9"/>
  <c r="I61" i="9"/>
  <c r="H63" i="9"/>
  <c r="H61" i="9"/>
  <c r="E63" i="9"/>
  <c r="G63" i="9"/>
  <c r="G61" i="9"/>
  <c r="F63" i="9"/>
  <c r="F61" i="9"/>
  <c r="L64" i="9"/>
  <c r="L62" i="9"/>
  <c r="B61" i="9"/>
  <c r="D18" i="18"/>
  <c r="E17" i="18"/>
  <c r="L9" i="18"/>
  <c r="C11" i="18"/>
  <c r="E14" i="18"/>
  <c r="C8" i="18"/>
  <c r="G15" i="18"/>
  <c r="F18" i="18"/>
  <c r="J18" i="18"/>
  <c r="M13" i="18"/>
  <c r="H14" i="18"/>
  <c r="I14" i="18" s="1"/>
  <c r="H11" i="18"/>
  <c r="I11" i="18" s="1"/>
  <c r="G19" i="18"/>
  <c r="E16" i="18"/>
  <c r="B19" i="18"/>
  <c r="L13" i="18"/>
  <c r="K10" i="18"/>
  <c r="J11" i="18"/>
  <c r="B13" i="18"/>
  <c r="G12" i="18"/>
  <c r="D15" i="18"/>
  <c r="F17" i="18"/>
  <c r="G11" i="18"/>
  <c r="M17" i="18"/>
  <c r="M9" i="18"/>
  <c r="K13" i="18"/>
  <c r="K16" i="18"/>
  <c r="E18" i="18"/>
  <c r="C12" i="18"/>
  <c r="H8" i="18"/>
  <c r="I8" i="18" s="1"/>
  <c r="M12" i="18"/>
  <c r="E13" i="18"/>
  <c r="G16" i="18"/>
  <c r="E10" i="18"/>
  <c r="C14" i="18"/>
  <c r="L14" i="18"/>
  <c r="L10" i="18"/>
  <c r="C17" i="18"/>
  <c r="D19" i="18"/>
  <c r="E9" i="18"/>
  <c r="K18" i="18"/>
  <c r="E19" i="18"/>
  <c r="C13" i="18"/>
  <c r="B9" i="18"/>
  <c r="J17" i="18"/>
  <c r="B14" i="18"/>
  <c r="J12" i="18"/>
  <c r="L8" i="18"/>
  <c r="M14" i="18"/>
  <c r="K14" i="18"/>
  <c r="J14" i="18"/>
  <c r="L19" i="18"/>
  <c r="K11" i="18"/>
  <c r="B10" i="18"/>
  <c r="L16" i="18"/>
  <c r="M10" i="18"/>
  <c r="G18" i="18"/>
  <c r="D12" i="18"/>
  <c r="M8" i="18"/>
  <c r="J8" i="18"/>
  <c r="L15" i="18"/>
  <c r="D11" i="18"/>
  <c r="G9" i="18"/>
  <c r="G14" i="18"/>
  <c r="B15" i="18"/>
  <c r="K17" i="18"/>
  <c r="E11" i="18"/>
  <c r="D9" i="18"/>
  <c r="G10" i="18"/>
  <c r="H16" i="18"/>
  <c r="I16" i="18" s="1"/>
  <c r="F8" i="18"/>
  <c r="F9" i="18"/>
  <c r="G17" i="18"/>
  <c r="C16" i="18"/>
  <c r="L18" i="18"/>
  <c r="B11" i="18"/>
  <c r="D13" i="18"/>
  <c r="H9" i="18"/>
  <c r="I9" i="18" s="1"/>
  <c r="B17" i="18"/>
  <c r="D14" i="18"/>
  <c r="B8" i="18"/>
  <c r="J10" i="18"/>
  <c r="F15" i="18"/>
  <c r="G13" i="18"/>
  <c r="D8" i="18"/>
  <c r="H19" i="18"/>
  <c r="I19" i="18" s="1"/>
  <c r="K15" i="18"/>
  <c r="C19" i="18"/>
  <c r="E8" i="18"/>
  <c r="F14" i="18"/>
  <c r="L11" i="18"/>
  <c r="H10" i="18"/>
  <c r="I10" i="18" s="1"/>
  <c r="G8" i="18"/>
  <c r="F10" i="18"/>
  <c r="B18" i="18"/>
  <c r="F16" i="18"/>
  <c r="D10" i="18"/>
  <c r="L12" i="18"/>
  <c r="H17" i="18"/>
  <c r="I17" i="18" s="1"/>
  <c r="J15" i="18"/>
  <c r="B16" i="18"/>
  <c r="M18" i="18"/>
  <c r="E15" i="18"/>
  <c r="H12" i="18"/>
  <c r="I12" i="18" s="1"/>
  <c r="C10" i="18"/>
  <c r="F13" i="18"/>
  <c r="M15" i="18"/>
  <c r="E12" i="18"/>
  <c r="K12" i="18"/>
  <c r="J19" i="18"/>
  <c r="H15" i="18"/>
  <c r="I15" i="18" s="1"/>
  <c r="H13" i="18"/>
  <c r="I13" i="18" s="1"/>
  <c r="M16" i="18"/>
  <c r="D16" i="18"/>
  <c r="J16" i="18"/>
  <c r="D17" i="18"/>
  <c r="K8" i="18"/>
  <c r="J13" i="18"/>
  <c r="K9" i="18"/>
  <c r="F19" i="18"/>
  <c r="C9" i="18"/>
  <c r="J9" i="18"/>
  <c r="B12" i="18"/>
  <c r="M19" i="18"/>
  <c r="C18" i="18"/>
  <c r="F11" i="18"/>
  <c r="H18" i="18"/>
  <c r="I18" i="18" s="1"/>
  <c r="F12" i="18"/>
  <c r="C15" i="18"/>
  <c r="K19" i="18"/>
  <c r="L17" i="18"/>
  <c r="M11" i="18"/>
  <c r="K60" i="9"/>
  <c r="D60" i="9"/>
  <c r="F59" i="9"/>
  <c r="C59" i="9"/>
  <c r="B59" i="9"/>
  <c r="L60" i="9"/>
  <c r="J60" i="9"/>
  <c r="H60" i="9"/>
  <c r="G60" i="9"/>
  <c r="B60" i="9"/>
  <c r="E59" i="9"/>
  <c r="I60" i="9"/>
  <c r="F60" i="9"/>
  <c r="E60" i="9"/>
  <c r="C60" i="9"/>
  <c r="L59" i="9"/>
  <c r="K59" i="9"/>
  <c r="J59" i="9"/>
  <c r="I59" i="9"/>
  <c r="H59" i="9"/>
  <c r="G59" i="9"/>
  <c r="D59" i="9"/>
  <c r="A7" i="17"/>
  <c r="I12" i="17"/>
  <c r="L20" i="17"/>
  <c r="C17" i="17"/>
  <c r="E8" i="17"/>
  <c r="G14" i="17"/>
  <c r="J12" i="17"/>
  <c r="L10" i="17"/>
  <c r="I11" i="17"/>
  <c r="B19" i="17"/>
  <c r="D17" i="17"/>
  <c r="F8" i="17"/>
  <c r="H14" i="17"/>
  <c r="K12" i="17"/>
  <c r="B9" i="17"/>
  <c r="K17" i="17"/>
  <c r="M19" i="17"/>
  <c r="L17" i="17"/>
  <c r="G11" i="17"/>
  <c r="I10" i="17"/>
  <c r="C19" i="17"/>
  <c r="E17" i="17"/>
  <c r="G8" i="17"/>
  <c r="J14" i="17"/>
  <c r="L12" i="17"/>
  <c r="C9" i="17"/>
  <c r="I9" i="17"/>
  <c r="D19" i="17"/>
  <c r="F17" i="17"/>
  <c r="H8" i="17"/>
  <c r="K14" i="17"/>
  <c r="B11" i="17"/>
  <c r="D9" i="17"/>
  <c r="E19" i="17"/>
  <c r="G17" i="17"/>
  <c r="J8" i="17"/>
  <c r="L14" i="17"/>
  <c r="C11" i="17"/>
  <c r="E9" i="17"/>
  <c r="F19" i="17"/>
  <c r="H17" i="17"/>
  <c r="K8" i="17"/>
  <c r="B13" i="17"/>
  <c r="D11" i="17"/>
  <c r="F9" i="17"/>
  <c r="G19" i="17"/>
  <c r="J17" i="17"/>
  <c r="L8" i="17"/>
  <c r="C13" i="17"/>
  <c r="E11" i="17"/>
  <c r="G9" i="17"/>
  <c r="M20" i="17"/>
  <c r="H19" i="17"/>
  <c r="B15" i="17"/>
  <c r="D13" i="17"/>
  <c r="F11" i="17"/>
  <c r="H9" i="17"/>
  <c r="C15" i="17"/>
  <c r="E13" i="17"/>
  <c r="J9" i="17"/>
  <c r="J19" i="17"/>
  <c r="M17" i="17"/>
  <c r="L19" i="17"/>
  <c r="C16" i="17"/>
  <c r="E15" i="17"/>
  <c r="G13" i="17"/>
  <c r="J11" i="17"/>
  <c r="L9" i="17"/>
  <c r="M16" i="17"/>
  <c r="B18" i="17"/>
  <c r="D16" i="17"/>
  <c r="F15" i="17"/>
  <c r="H13" i="17"/>
  <c r="K11" i="17"/>
  <c r="M8" i="17"/>
  <c r="C18" i="17"/>
  <c r="E16" i="17"/>
  <c r="G15" i="17"/>
  <c r="J13" i="17"/>
  <c r="L11" i="17"/>
  <c r="M15" i="17"/>
  <c r="I20" i="17"/>
  <c r="B20" i="17"/>
  <c r="D18" i="17"/>
  <c r="F16" i="17"/>
  <c r="H15" i="17"/>
  <c r="K13" i="17"/>
  <c r="B10" i="17"/>
  <c r="M14" i="17"/>
  <c r="I19" i="17"/>
  <c r="C20" i="17"/>
  <c r="E18" i="17"/>
  <c r="G16" i="17"/>
  <c r="J15" i="17"/>
  <c r="L13" i="17"/>
  <c r="C10" i="17"/>
  <c r="M13" i="17"/>
  <c r="I18" i="17"/>
  <c r="D20" i="17"/>
  <c r="F18" i="17"/>
  <c r="H16" i="17"/>
  <c r="K15" i="17"/>
  <c r="B12" i="17"/>
  <c r="D10" i="17"/>
  <c r="M18" i="17"/>
  <c r="I8" i="17"/>
  <c r="K18" i="17"/>
  <c r="G12" i="17"/>
  <c r="M12" i="17"/>
  <c r="I15" i="17"/>
  <c r="L18" i="17"/>
  <c r="H12" i="17"/>
  <c r="M11" i="17"/>
  <c r="I14" i="17"/>
  <c r="B17" i="17"/>
  <c r="H11" i="17"/>
  <c r="M10" i="17"/>
  <c r="I13" i="17"/>
  <c r="B16" i="17"/>
  <c r="E10" i="17"/>
  <c r="M9" i="17"/>
  <c r="J16" i="17"/>
  <c r="F10" i="17"/>
  <c r="K16" i="17"/>
  <c r="G10" i="17"/>
  <c r="L16" i="17"/>
  <c r="H10" i="17"/>
  <c r="B8" i="17"/>
  <c r="J10" i="17"/>
  <c r="C8" i="17"/>
  <c r="K10" i="17"/>
  <c r="E12" i="17"/>
  <c r="I16" i="17"/>
  <c r="D8" i="17"/>
  <c r="K9" i="17"/>
  <c r="F13" i="17"/>
  <c r="K19" i="17"/>
  <c r="C12" i="17"/>
  <c r="D12" i="17"/>
  <c r="I17" i="17"/>
  <c r="H18" i="17"/>
  <c r="J18" i="17"/>
  <c r="D15" i="17"/>
  <c r="L15" i="17"/>
  <c r="E20" i="17"/>
  <c r="B14" i="17"/>
  <c r="F20" i="17"/>
  <c r="C14" i="17"/>
  <c r="G20" i="17"/>
  <c r="D14" i="17"/>
  <c r="H20" i="17"/>
  <c r="E14" i="17"/>
  <c r="J20" i="17"/>
  <c r="F14" i="17"/>
  <c r="K20" i="17"/>
  <c r="G18" i="17"/>
  <c r="F12" i="17"/>
  <c r="E7" i="18"/>
  <c r="C7" i="18"/>
  <c r="J7" i="18"/>
  <c r="H7" i="18"/>
  <c r="I7" i="18" s="1"/>
  <c r="E57" i="9"/>
  <c r="E55" i="9"/>
  <c r="E53" i="9"/>
  <c r="C55" i="9"/>
  <c r="B53" i="9"/>
  <c r="L58" i="9"/>
  <c r="F56" i="9"/>
  <c r="B54" i="9"/>
  <c r="I57" i="9"/>
  <c r="I53" i="9"/>
  <c r="H55" i="9"/>
  <c r="D57" i="9"/>
  <c r="D55" i="9"/>
  <c r="D53" i="9"/>
  <c r="C57" i="9"/>
  <c r="C53" i="9"/>
  <c r="B57" i="9"/>
  <c r="B55" i="9"/>
  <c r="L56" i="9"/>
  <c r="F58" i="9"/>
  <c r="F54" i="9"/>
  <c r="K55" i="9"/>
  <c r="J57" i="9"/>
  <c r="J53" i="9"/>
  <c r="H53" i="9"/>
  <c r="L54" i="9"/>
  <c r="D56" i="9"/>
  <c r="K57" i="9"/>
  <c r="K58" i="9"/>
  <c r="K56" i="9"/>
  <c r="K54" i="9"/>
  <c r="J58" i="9"/>
  <c r="J56" i="9"/>
  <c r="J54" i="9"/>
  <c r="I58" i="9"/>
  <c r="I56" i="9"/>
  <c r="I54" i="9"/>
  <c r="D58" i="9"/>
  <c r="K53" i="9"/>
  <c r="I55" i="9"/>
  <c r="H57" i="9"/>
  <c r="H58" i="9"/>
  <c r="H56" i="9"/>
  <c r="H54" i="9"/>
  <c r="G58" i="9"/>
  <c r="G56" i="9"/>
  <c r="G54" i="9"/>
  <c r="B56" i="9"/>
  <c r="J55" i="9"/>
  <c r="F55" i="9"/>
  <c r="E58" i="9"/>
  <c r="E56" i="9"/>
  <c r="E54" i="9"/>
  <c r="D54" i="9"/>
  <c r="B58" i="9"/>
  <c r="C58" i="9"/>
  <c r="C56" i="9"/>
  <c r="C54" i="9"/>
  <c r="G57" i="9"/>
  <c r="G53" i="9"/>
  <c r="F57" i="9"/>
  <c r="L57" i="9"/>
  <c r="L55" i="9"/>
  <c r="L53" i="9"/>
  <c r="G55" i="9"/>
  <c r="F53" i="9"/>
  <c r="A7" i="10" a="1"/>
  <c r="J41" i="11"/>
  <c r="I41" i="11"/>
  <c r="H33" i="11" a="1"/>
  <c r="H33" i="11" s="1"/>
  <c r="I38" i="11"/>
  <c r="H31" i="11" a="1"/>
  <c r="H31" i="11" s="1"/>
  <c r="J38" i="11"/>
  <c r="H40" i="11" a="1"/>
  <c r="H40" i="11" s="1"/>
  <c r="H39" i="11" a="1"/>
  <c r="H39" i="11" s="1"/>
  <c r="H35" i="11" a="1"/>
  <c r="H35" i="11" s="1"/>
  <c r="I40" i="11"/>
  <c r="I39" i="11"/>
  <c r="J40" i="11"/>
  <c r="J39" i="11"/>
  <c r="H34" i="11" a="1"/>
  <c r="H34" i="11" s="1"/>
  <c r="G53" i="11"/>
  <c r="C35" i="11"/>
  <c r="G35" i="11"/>
  <c r="D30" i="11"/>
  <c r="I30" i="11" s="1"/>
  <c r="G47" i="11"/>
  <c r="B47" i="11"/>
  <c r="B44" i="11"/>
  <c r="E32" i="11"/>
  <c r="C32" i="11"/>
  <c r="E35" i="11"/>
  <c r="M31" i="11"/>
  <c r="G45" i="11"/>
  <c r="M32" i="11"/>
  <c r="D48" i="11"/>
  <c r="M45" i="11"/>
  <c r="C48" i="11"/>
  <c r="C52" i="11"/>
  <c r="F43" i="11"/>
  <c r="L50" i="11"/>
  <c r="L36" i="11"/>
  <c r="B50" i="11"/>
  <c r="L46" i="11"/>
  <c r="F30" i="11"/>
  <c r="G32" i="11"/>
  <c r="L47" i="11"/>
  <c r="L45" i="11"/>
  <c r="B48" i="11"/>
  <c r="E44" i="11"/>
  <c r="B45" i="11"/>
  <c r="M34" i="11"/>
  <c r="L31" i="11"/>
  <c r="B52" i="11"/>
  <c r="K35" i="11"/>
  <c r="M50" i="11"/>
  <c r="K53" i="11"/>
  <c r="L52" i="11"/>
  <c r="F44" i="11"/>
  <c r="G52" i="11"/>
  <c r="E47" i="11"/>
  <c r="D46" i="11"/>
  <c r="M35" i="11"/>
  <c r="L44" i="11"/>
  <c r="C53" i="11"/>
  <c r="B35" i="11"/>
  <c r="G37" i="11"/>
  <c r="D53" i="11"/>
  <c r="M44" i="11"/>
  <c r="K32" i="11"/>
  <c r="K30" i="11"/>
  <c r="K33" i="11"/>
  <c r="F47" i="11"/>
  <c r="L37" i="11"/>
  <c r="K45" i="11"/>
  <c r="C51" i="11"/>
  <c r="M51" i="11"/>
  <c r="F34" i="11"/>
  <c r="C37" i="11"/>
  <c r="C45" i="11"/>
  <c r="E31" i="11"/>
  <c r="F32" i="11"/>
  <c r="B53" i="11"/>
  <c r="L49" i="11"/>
  <c r="K46" i="11"/>
  <c r="C31" i="11"/>
  <c r="M47" i="11"/>
  <c r="D31" i="11"/>
  <c r="I31" i="11" s="1"/>
  <c r="G46" i="11"/>
  <c r="L33" i="11"/>
  <c r="F36" i="11"/>
  <c r="M37" i="11"/>
  <c r="E51" i="11"/>
  <c r="F37" i="11"/>
  <c r="F53" i="11"/>
  <c r="K48" i="11"/>
  <c r="D50" i="11"/>
  <c r="D32" i="11"/>
  <c r="I32" i="11" s="1"/>
  <c r="D51" i="11"/>
  <c r="K50" i="11"/>
  <c r="B36" i="11"/>
  <c r="M43" i="11"/>
  <c r="E37" i="11"/>
  <c r="E49" i="11"/>
  <c r="G34" i="11"/>
  <c r="D34" i="11"/>
  <c r="I34" i="11" s="1"/>
  <c r="L32" i="11"/>
  <c r="F35" i="11"/>
  <c r="M49" i="11"/>
  <c r="C33" i="11"/>
  <c r="B46" i="11"/>
  <c r="M30" i="11"/>
  <c r="B33" i="11"/>
  <c r="K47" i="11"/>
  <c r="M48" i="11"/>
  <c r="B32" i="11"/>
  <c r="M33" i="11"/>
  <c r="D43" i="11"/>
  <c r="G33" i="11"/>
  <c r="G49" i="11"/>
  <c r="K37" i="11"/>
  <c r="D44" i="11"/>
  <c r="C43" i="11"/>
  <c r="K49" i="11"/>
  <c r="F50" i="11"/>
  <c r="C44" i="11"/>
  <c r="E30" i="11"/>
  <c r="B30" i="11"/>
  <c r="D52" i="11"/>
  <c r="G30" i="11"/>
  <c r="C49" i="11"/>
  <c r="F31" i="11"/>
  <c r="E45" i="11"/>
  <c r="L51" i="11"/>
  <c r="G50" i="11"/>
  <c r="K36" i="11"/>
  <c r="E50" i="11"/>
  <c r="D49" i="11"/>
  <c r="D36" i="11"/>
  <c r="I36" i="11" s="1"/>
  <c r="D33" i="11"/>
  <c r="I33" i="11" s="1"/>
  <c r="C47" i="11"/>
  <c r="B34" i="11"/>
  <c r="F48" i="11"/>
  <c r="C50" i="11"/>
  <c r="L34" i="11"/>
  <c r="L48" i="11"/>
  <c r="B43" i="11"/>
  <c r="M36" i="11"/>
  <c r="E46" i="11"/>
  <c r="B37" i="11"/>
  <c r="K31" i="11"/>
  <c r="E34" i="11"/>
  <c r="L30" i="11"/>
  <c r="F51" i="11"/>
  <c r="D45" i="11"/>
  <c r="G43" i="11"/>
  <c r="L43" i="11"/>
  <c r="F33" i="11"/>
  <c r="L35" i="11"/>
  <c r="G31" i="11"/>
  <c r="D47" i="11"/>
  <c r="E48" i="11"/>
  <c r="F46" i="11"/>
  <c r="E36" i="11"/>
  <c r="B49" i="11"/>
  <c r="M53" i="11"/>
  <c r="K51" i="11"/>
  <c r="G48" i="11"/>
  <c r="K43" i="11"/>
  <c r="G44" i="11"/>
  <c r="L53" i="11"/>
  <c r="C34" i="11"/>
  <c r="D35" i="11"/>
  <c r="I35" i="11" s="1"/>
  <c r="E52" i="11"/>
  <c r="E33" i="11"/>
  <c r="E43" i="11"/>
  <c r="E53" i="11"/>
  <c r="K34" i="11"/>
  <c r="C30" i="11"/>
  <c r="D37" i="11"/>
  <c r="I37" i="11" s="1"/>
  <c r="F45" i="11"/>
  <c r="F49" i="11"/>
  <c r="K52" i="11"/>
  <c r="B51" i="11"/>
  <c r="M46" i="11"/>
  <c r="M52" i="11"/>
  <c r="C46" i="11"/>
  <c r="C36" i="11"/>
  <c r="K44" i="11"/>
  <c r="G51" i="11"/>
  <c r="B31" i="11"/>
  <c r="F52" i="11"/>
  <c r="G36" i="11"/>
  <c r="A7" i="9"/>
  <c r="K49" i="9"/>
  <c r="D48" i="9"/>
  <c r="H46" i="9"/>
  <c r="J44" i="9"/>
  <c r="C43" i="9"/>
  <c r="G41" i="9"/>
  <c r="I39" i="9"/>
  <c r="B38" i="9"/>
  <c r="F36" i="9"/>
  <c r="L32" i="9"/>
  <c r="E31" i="9"/>
  <c r="K27" i="9"/>
  <c r="D26" i="9"/>
  <c r="H24" i="9"/>
  <c r="J22" i="9"/>
  <c r="C21" i="9"/>
  <c r="G19" i="9"/>
  <c r="I17" i="9"/>
  <c r="B16" i="9"/>
  <c r="F14" i="9"/>
  <c r="L10" i="9"/>
  <c r="E9" i="9"/>
  <c r="H52" i="9"/>
  <c r="J50" i="9"/>
  <c r="C49" i="9"/>
  <c r="G47" i="9"/>
  <c r="I45" i="9"/>
  <c r="B44" i="9"/>
  <c r="F42" i="9"/>
  <c r="L38" i="9"/>
  <c r="E37" i="9"/>
  <c r="K33" i="9"/>
  <c r="D32" i="9"/>
  <c r="H30" i="9"/>
  <c r="J28" i="9"/>
  <c r="C27" i="9"/>
  <c r="G25" i="9"/>
  <c r="I23" i="9"/>
  <c r="B22" i="9"/>
  <c r="F20" i="9"/>
  <c r="L16" i="9"/>
  <c r="E15" i="9"/>
  <c r="K11" i="9"/>
  <c r="D10" i="9"/>
  <c r="H8" i="9"/>
  <c r="J48" i="9"/>
  <c r="L46" i="9"/>
  <c r="C45" i="9"/>
  <c r="E43" i="9"/>
  <c r="F41" i="9"/>
  <c r="H39" i="9"/>
  <c r="J35" i="9"/>
  <c r="L33" i="9"/>
  <c r="B32" i="9"/>
  <c r="D30" i="9"/>
  <c r="F28" i="9"/>
  <c r="H26" i="9"/>
  <c r="I22" i="9"/>
  <c r="K20" i="9"/>
  <c r="B19" i="9"/>
  <c r="D17" i="9"/>
  <c r="F15" i="9"/>
  <c r="G13" i="9"/>
  <c r="I9" i="9"/>
  <c r="F52" i="9"/>
  <c r="H50" i="9"/>
  <c r="J46" i="9"/>
  <c r="L44" i="9"/>
  <c r="I51" i="9"/>
  <c r="J49" i="9"/>
  <c r="L47" i="9"/>
  <c r="C46" i="9"/>
  <c r="E44" i="9"/>
  <c r="G42" i="9"/>
  <c r="H40" i="9"/>
  <c r="J36" i="9"/>
  <c r="L34" i="9"/>
  <c r="C33" i="9"/>
  <c r="D31" i="9"/>
  <c r="F29" i="9"/>
  <c r="H27" i="9"/>
  <c r="J23" i="9"/>
  <c r="K21" i="9"/>
  <c r="B20" i="9"/>
  <c r="D18" i="9"/>
  <c r="F16" i="9"/>
  <c r="H14" i="9"/>
  <c r="I10" i="9"/>
  <c r="K8" i="9"/>
  <c r="D52" i="9"/>
  <c r="C50" i="9"/>
  <c r="K47" i="9"/>
  <c r="J45" i="9"/>
  <c r="H37" i="9"/>
  <c r="G35" i="9"/>
  <c r="G33" i="9"/>
  <c r="G31" i="9"/>
  <c r="E29" i="9"/>
  <c r="E27" i="9"/>
  <c r="D25" i="9"/>
  <c r="D23" i="9"/>
  <c r="D21" i="9"/>
  <c r="C19" i="9"/>
  <c r="B17" i="9"/>
  <c r="L14" i="9"/>
  <c r="L12" i="9"/>
  <c r="K10" i="9"/>
  <c r="J8" i="9"/>
  <c r="L51" i="9"/>
  <c r="I49" i="9"/>
  <c r="H45" i="9"/>
  <c r="G43" i="9"/>
  <c r="E41" i="9"/>
  <c r="E39" i="9"/>
  <c r="D37" i="9"/>
  <c r="D35" i="9"/>
  <c r="D33" i="9"/>
  <c r="B31" i="9"/>
  <c r="B29" i="9"/>
  <c r="L26" i="9"/>
  <c r="L24" i="9"/>
  <c r="L22" i="9"/>
  <c r="J20" i="9"/>
  <c r="J18" i="9"/>
  <c r="I16" i="9"/>
  <c r="I14" i="9"/>
  <c r="I12" i="9"/>
  <c r="C52" i="9"/>
  <c r="B50" i="9"/>
  <c r="J47" i="9"/>
  <c r="G39" i="9"/>
  <c r="G37" i="9"/>
  <c r="F35" i="9"/>
  <c r="F33" i="9"/>
  <c r="F31" i="9"/>
  <c r="D29" i="9"/>
  <c r="D27" i="9"/>
  <c r="C25" i="9"/>
  <c r="C23" i="9"/>
  <c r="B21" i="9"/>
  <c r="L18" i="9"/>
  <c r="K16" i="9"/>
  <c r="K14" i="9"/>
  <c r="K12" i="9"/>
  <c r="J10" i="9"/>
  <c r="I8" i="9"/>
  <c r="B52" i="9"/>
  <c r="L49" i="9"/>
  <c r="I47" i="9"/>
  <c r="H43" i="9"/>
  <c r="H41" i="9"/>
  <c r="F39" i="9"/>
  <c r="F37" i="9"/>
  <c r="E35" i="9"/>
  <c r="E33" i="9"/>
  <c r="C31" i="9"/>
  <c r="C29" i="9"/>
  <c r="B27" i="9"/>
  <c r="B25" i="9"/>
  <c r="B23" i="9"/>
  <c r="L20" i="9"/>
  <c r="K18" i="9"/>
  <c r="J16" i="9"/>
  <c r="J14" i="9"/>
  <c r="J12" i="9"/>
  <c r="K51" i="9"/>
  <c r="G45" i="9"/>
  <c r="F43" i="9"/>
  <c r="D41" i="9"/>
  <c r="D39" i="9"/>
  <c r="C37" i="9"/>
  <c r="C35" i="9"/>
  <c r="B33" i="9"/>
  <c r="L30" i="9"/>
  <c r="L28" i="9"/>
  <c r="K26" i="9"/>
  <c r="K24" i="9"/>
  <c r="K22" i="9"/>
  <c r="I20" i="9"/>
  <c r="I18" i="9"/>
  <c r="H12" i="9"/>
  <c r="H10" i="9"/>
  <c r="G8" i="9"/>
  <c r="J51" i="9"/>
  <c r="H47" i="9"/>
  <c r="F45" i="9"/>
  <c r="D43" i="9"/>
  <c r="C41" i="9"/>
  <c r="C39" i="9"/>
  <c r="B37" i="9"/>
  <c r="B35" i="9"/>
  <c r="K32" i="9"/>
  <c r="K30" i="9"/>
  <c r="K28" i="9"/>
  <c r="J26" i="9"/>
  <c r="J24" i="9"/>
  <c r="G12" i="9"/>
  <c r="G10" i="9"/>
  <c r="F8" i="9"/>
  <c r="H49" i="9"/>
  <c r="F47" i="9"/>
  <c r="E45" i="9"/>
  <c r="B43" i="9"/>
  <c r="B41" i="9"/>
  <c r="B39" i="9"/>
  <c r="L36" i="9"/>
  <c r="K34" i="9"/>
  <c r="J32" i="9"/>
  <c r="J30" i="9"/>
  <c r="I28" i="9"/>
  <c r="I26" i="9"/>
  <c r="I24" i="9"/>
  <c r="H18" i="9"/>
  <c r="H16" i="9"/>
  <c r="G14" i="9"/>
  <c r="F12" i="9"/>
  <c r="F10" i="9"/>
  <c r="E8" i="9"/>
  <c r="H51" i="9"/>
  <c r="G49" i="9"/>
  <c r="E47" i="9"/>
  <c r="D45" i="9"/>
  <c r="L42" i="9"/>
  <c r="L40" i="9"/>
  <c r="K38" i="9"/>
  <c r="K36" i="9"/>
  <c r="J34" i="9"/>
  <c r="I32" i="9"/>
  <c r="I30" i="9"/>
  <c r="H22" i="9"/>
  <c r="H20" i="9"/>
  <c r="G18" i="9"/>
  <c r="G16" i="9"/>
  <c r="E14" i="9"/>
  <c r="E12" i="9"/>
  <c r="E10" i="9"/>
  <c r="D8" i="9"/>
  <c r="G51" i="9"/>
  <c r="F49" i="9"/>
  <c r="D47" i="9"/>
  <c r="B45" i="9"/>
  <c r="K42" i="9"/>
  <c r="K40" i="9"/>
  <c r="J38" i="9"/>
  <c r="I36" i="9"/>
  <c r="I34" i="9"/>
  <c r="G24" i="9"/>
  <c r="G22" i="9"/>
  <c r="G20" i="9"/>
  <c r="F18" i="9"/>
  <c r="E16" i="9"/>
  <c r="D14" i="9"/>
  <c r="D12" i="9"/>
  <c r="C10" i="9"/>
  <c r="C8" i="9"/>
  <c r="F51" i="9"/>
  <c r="E49" i="9"/>
  <c r="C47" i="9"/>
  <c r="K44" i="9"/>
  <c r="J42" i="9"/>
  <c r="J40" i="9"/>
  <c r="I38" i="9"/>
  <c r="H28" i="9"/>
  <c r="G26" i="9"/>
  <c r="F24" i="9"/>
  <c r="F22" i="9"/>
  <c r="E20" i="9"/>
  <c r="E18" i="9"/>
  <c r="D16" i="9"/>
  <c r="C14" i="9"/>
  <c r="C12" i="9"/>
  <c r="B10" i="9"/>
  <c r="B8" i="9"/>
  <c r="E51" i="9"/>
  <c r="D49" i="9"/>
  <c r="B47" i="9"/>
  <c r="I44" i="9"/>
  <c r="I42" i="9"/>
  <c r="I40" i="9"/>
  <c r="H34" i="9"/>
  <c r="H32" i="9"/>
  <c r="G30" i="9"/>
  <c r="G28" i="9"/>
  <c r="F26" i="9"/>
  <c r="E24" i="9"/>
  <c r="E22" i="9"/>
  <c r="D20" i="9"/>
  <c r="C18" i="9"/>
  <c r="C16" i="9"/>
  <c r="B14" i="9"/>
  <c r="B12" i="9"/>
  <c r="L9" i="9"/>
  <c r="D51" i="9"/>
  <c r="B49" i="9"/>
  <c r="K46" i="9"/>
  <c r="H38" i="9"/>
  <c r="H36" i="9"/>
  <c r="G34" i="9"/>
  <c r="G32" i="9"/>
  <c r="F30" i="9"/>
  <c r="E28" i="9"/>
  <c r="E26" i="9"/>
  <c r="D24" i="9"/>
  <c r="D22" i="9"/>
  <c r="C20" i="9"/>
  <c r="B18" i="9"/>
  <c r="L15" i="9"/>
  <c r="L13" i="9"/>
  <c r="L11" i="9"/>
  <c r="K9" i="9"/>
  <c r="E52" i="9"/>
  <c r="D50" i="9"/>
  <c r="B48" i="9"/>
  <c r="K45" i="9"/>
  <c r="I43" i="9"/>
  <c r="I41" i="9"/>
  <c r="H35" i="9"/>
  <c r="H33" i="9"/>
  <c r="H31" i="9"/>
  <c r="G29" i="9"/>
  <c r="F27" i="9"/>
  <c r="E25" i="9"/>
  <c r="E23" i="9"/>
  <c r="E21" i="9"/>
  <c r="D19" i="9"/>
  <c r="C17" i="9"/>
  <c r="B15" i="9"/>
  <c r="B13" i="9"/>
  <c r="B11" i="9"/>
  <c r="L8" i="9"/>
  <c r="B51" i="9"/>
  <c r="E46" i="9"/>
  <c r="G40" i="9"/>
  <c r="B36" i="9"/>
  <c r="K25" i="9"/>
  <c r="G21" i="9"/>
  <c r="I15" i="9"/>
  <c r="E11" i="9"/>
  <c r="L50" i="9"/>
  <c r="D46" i="9"/>
  <c r="F40" i="9"/>
  <c r="L35" i="9"/>
  <c r="E30" i="9"/>
  <c r="J25" i="9"/>
  <c r="F21" i="9"/>
  <c r="D11" i="9"/>
  <c r="K50" i="9"/>
  <c r="B46" i="9"/>
  <c r="E40" i="9"/>
  <c r="K35" i="9"/>
  <c r="C30" i="9"/>
  <c r="I25" i="9"/>
  <c r="L19" i="9"/>
  <c r="C11" i="9"/>
  <c r="D38" i="9"/>
  <c r="I50" i="9"/>
  <c r="L45" i="9"/>
  <c r="D40" i="9"/>
  <c r="I35" i="9"/>
  <c r="B30" i="9"/>
  <c r="K19" i="9"/>
  <c r="H15" i="9"/>
  <c r="J9" i="9"/>
  <c r="C40" i="9"/>
  <c r="L29" i="9"/>
  <c r="H25" i="9"/>
  <c r="J19" i="9"/>
  <c r="G15" i="9"/>
  <c r="G50" i="9"/>
  <c r="H44" i="9"/>
  <c r="B40" i="9"/>
  <c r="F34" i="9"/>
  <c r="K29" i="9"/>
  <c r="F25" i="9"/>
  <c r="I19" i="9"/>
  <c r="D15" i="9"/>
  <c r="F50" i="9"/>
  <c r="G44" i="9"/>
  <c r="L39" i="9"/>
  <c r="E34" i="9"/>
  <c r="J29" i="9"/>
  <c r="C24" i="9"/>
  <c r="C15" i="9"/>
  <c r="H9" i="9"/>
  <c r="E50" i="9"/>
  <c r="F44" i="9"/>
  <c r="K39" i="9"/>
  <c r="D34" i="9"/>
  <c r="I29" i="9"/>
  <c r="B24" i="9"/>
  <c r="K13" i="9"/>
  <c r="G9" i="9"/>
  <c r="L48" i="9"/>
  <c r="D44" i="9"/>
  <c r="J39" i="9"/>
  <c r="C34" i="9"/>
  <c r="L23" i="9"/>
  <c r="H19" i="9"/>
  <c r="J13" i="9"/>
  <c r="F9" i="9"/>
  <c r="K48" i="9"/>
  <c r="C44" i="9"/>
  <c r="G38" i="9"/>
  <c r="B34" i="9"/>
  <c r="H29" i="9"/>
  <c r="K23" i="9"/>
  <c r="F19" i="9"/>
  <c r="I13" i="9"/>
  <c r="D9" i="9"/>
  <c r="K43" i="9"/>
  <c r="C28" i="9"/>
  <c r="L17" i="9"/>
  <c r="B9" i="9"/>
  <c r="H48" i="9"/>
  <c r="J43" i="9"/>
  <c r="H23" i="9"/>
  <c r="F13" i="9"/>
  <c r="G48" i="9"/>
  <c r="L27" i="9"/>
  <c r="G23" i="9"/>
  <c r="J17" i="9"/>
  <c r="E13" i="9"/>
  <c r="H42" i="9"/>
  <c r="F32" i="9"/>
  <c r="F23" i="9"/>
  <c r="D13" i="9"/>
  <c r="I48" i="9"/>
  <c r="L43" i="9"/>
  <c r="F38" i="9"/>
  <c r="J33" i="9"/>
  <c r="D28" i="9"/>
  <c r="E19" i="9"/>
  <c r="C9" i="9"/>
  <c r="E38" i="9"/>
  <c r="I33" i="9"/>
  <c r="H13" i="9"/>
  <c r="B28" i="9"/>
  <c r="K17" i="9"/>
  <c r="C38" i="9"/>
  <c r="F48" i="9"/>
  <c r="L37" i="9"/>
  <c r="J27" i="9"/>
  <c r="G52" i="9"/>
  <c r="G46" i="9"/>
  <c r="K41" i="9"/>
  <c r="D36" i="9"/>
  <c r="I31" i="9"/>
  <c r="B26" i="9"/>
  <c r="K15" i="9"/>
  <c r="G11" i="9"/>
  <c r="C51" i="9"/>
  <c r="F46" i="9"/>
  <c r="J41" i="9"/>
  <c r="C36" i="9"/>
  <c r="L25" i="9"/>
  <c r="H21" i="9"/>
  <c r="J15" i="9"/>
  <c r="F11" i="9"/>
  <c r="C32" i="9"/>
  <c r="I21" i="9"/>
  <c r="H17" i="9"/>
  <c r="K37" i="9"/>
  <c r="G17" i="9"/>
  <c r="F17" i="9"/>
  <c r="I37" i="9"/>
  <c r="L52" i="9"/>
  <c r="L31" i="9"/>
  <c r="H11" i="9"/>
  <c r="J11" i="9"/>
  <c r="K52" i="9"/>
  <c r="K31" i="9"/>
  <c r="J52" i="9"/>
  <c r="J31" i="9"/>
  <c r="J21" i="9"/>
  <c r="L41" i="9"/>
  <c r="J37" i="9"/>
  <c r="C13" i="9"/>
  <c r="I52" i="9"/>
  <c r="I27" i="9"/>
  <c r="E48" i="9"/>
  <c r="C48" i="9"/>
  <c r="G27" i="9"/>
  <c r="E42" i="9"/>
  <c r="D42" i="9"/>
  <c r="C42" i="9"/>
  <c r="B42" i="9"/>
  <c r="E17" i="9"/>
  <c r="G36" i="9"/>
  <c r="E36" i="9"/>
  <c r="I46" i="9"/>
  <c r="C26" i="9"/>
  <c r="C22" i="9"/>
  <c r="L21" i="9"/>
  <c r="E32" i="9"/>
  <c r="I11" i="9"/>
  <c r="H67" i="10" l="1" a="1"/>
  <c r="H67" i="10" s="1"/>
  <c r="M66" i="10"/>
  <c r="E69" i="10"/>
  <c r="F67" i="10"/>
  <c r="K67" i="10"/>
  <c r="L66" i="10"/>
  <c r="H66" i="10" a="1"/>
  <c r="H66" i="10" s="1"/>
  <c r="B67" i="10"/>
  <c r="F69" i="10"/>
  <c r="C67" i="10"/>
  <c r="G69" i="10"/>
  <c r="L67" i="10"/>
  <c r="D69" i="10"/>
  <c r="I69" i="10" s="1"/>
  <c r="D67" i="10"/>
  <c r="I67" i="10" s="1"/>
  <c r="K69" i="10"/>
  <c r="G67" i="10"/>
  <c r="E67" i="10"/>
  <c r="L69" i="10"/>
  <c r="M69" i="10"/>
  <c r="B68" i="10"/>
  <c r="C68" i="10"/>
  <c r="D68" i="10"/>
  <c r="I68" i="10" s="1"/>
  <c r="M67" i="10"/>
  <c r="E68" i="10"/>
  <c r="B66" i="10"/>
  <c r="F68" i="10"/>
  <c r="C66" i="10"/>
  <c r="G68" i="10"/>
  <c r="D66" i="10"/>
  <c r="I66" i="10" s="1"/>
  <c r="K68" i="10"/>
  <c r="E66" i="10"/>
  <c r="L68" i="10"/>
  <c r="K66" i="10"/>
  <c r="C69" i="10"/>
  <c r="F66" i="10"/>
  <c r="M68" i="10"/>
  <c r="H69" i="10" a="1"/>
  <c r="H69" i="10" s="1"/>
  <c r="G66" i="10"/>
  <c r="B69" i="10"/>
  <c r="H68" i="10" a="1"/>
  <c r="H68" i="10" s="1"/>
  <c r="E64" i="10"/>
  <c r="G65" i="10"/>
  <c r="F64" i="10"/>
  <c r="C65" i="10"/>
  <c r="G64" i="10"/>
  <c r="B65" i="10"/>
  <c r="E65" i="10"/>
  <c r="F65" i="10"/>
  <c r="K64" i="10"/>
  <c r="D65" i="10"/>
  <c r="I65" i="10" s="1"/>
  <c r="L64" i="10"/>
  <c r="H65" i="10" a="1"/>
  <c r="H65" i="10" s="1"/>
  <c r="M64" i="10"/>
  <c r="H64" i="10" a="1"/>
  <c r="H64" i="10" s="1"/>
  <c r="K65" i="10"/>
  <c r="M65" i="10"/>
  <c r="L65" i="10"/>
  <c r="B64" i="10"/>
  <c r="C64" i="10"/>
  <c r="D64" i="10"/>
  <c r="I64" i="10" s="1"/>
  <c r="B7" i="18"/>
  <c r="G7" i="18"/>
  <c r="L7" i="18"/>
  <c r="M7" i="18"/>
  <c r="D7" i="18"/>
  <c r="F7" i="18"/>
  <c r="B63" i="10"/>
  <c r="C63" i="10"/>
  <c r="D63" i="10"/>
  <c r="I63" i="10" s="1"/>
  <c r="E63" i="10"/>
  <c r="F63" i="10"/>
  <c r="G63" i="10"/>
  <c r="K63" i="10"/>
  <c r="H63" i="10" a="1"/>
  <c r="H63" i="10" s="1"/>
  <c r="L63" i="10"/>
  <c r="M63" i="10"/>
  <c r="M24" i="11"/>
  <c r="E24" i="11"/>
  <c r="M25" i="11"/>
  <c r="K26" i="11"/>
  <c r="B25" i="11"/>
  <c r="L28" i="11"/>
  <c r="F26" i="11"/>
  <c r="L29" i="11"/>
  <c r="B27" i="11"/>
  <c r="E28" i="11"/>
  <c r="F28" i="11"/>
  <c r="K27" i="11"/>
  <c r="C25" i="11"/>
  <c r="K25" i="11"/>
  <c r="C28" i="11"/>
  <c r="D23" i="11"/>
  <c r="I23" i="11" s="1"/>
  <c r="C23" i="11"/>
  <c r="D28" i="11"/>
  <c r="I28" i="11" s="1"/>
  <c r="M28" i="11"/>
  <c r="B28" i="11"/>
  <c r="K24" i="11"/>
  <c r="K28" i="11"/>
  <c r="C29" i="11"/>
  <c r="C24" i="11"/>
  <c r="B29" i="11"/>
  <c r="K29" i="11"/>
  <c r="G25" i="11"/>
  <c r="G23" i="11"/>
  <c r="D27" i="11"/>
  <c r="I27" i="11" s="1"/>
  <c r="L27" i="11"/>
  <c r="B23" i="11"/>
  <c r="E23" i="11"/>
  <c r="F25" i="11"/>
  <c r="M27" i="11"/>
  <c r="F23" i="11"/>
  <c r="B24" i="11"/>
  <c r="D29" i="11"/>
  <c r="I29" i="11" s="1"/>
  <c r="D25" i="11"/>
  <c r="I25" i="11" s="1"/>
  <c r="E27" i="11"/>
  <c r="F24" i="11"/>
  <c r="L26" i="11"/>
  <c r="G28" i="11"/>
  <c r="D24" i="11"/>
  <c r="I24" i="11" s="1"/>
  <c r="E26" i="11"/>
  <c r="K23" i="11"/>
  <c r="M26" i="11"/>
  <c r="G27" i="11"/>
  <c r="J27" i="11" s="1"/>
  <c r="L25" i="11"/>
  <c r="C87" i="12"/>
  <c r="F87" i="12"/>
  <c r="K87" i="12"/>
  <c r="D87" i="12"/>
  <c r="G87" i="12"/>
  <c r="L87" i="12"/>
  <c r="B87" i="12"/>
  <c r="E87" i="12"/>
  <c r="J87" i="12"/>
  <c r="H87" i="12" a="1"/>
  <c r="H87" i="12" s="1"/>
  <c r="M88" i="13"/>
  <c r="M89" i="13"/>
  <c r="B89" i="13"/>
  <c r="C89" i="13"/>
  <c r="D89" i="13"/>
  <c r="E89" i="13"/>
  <c r="F89" i="13"/>
  <c r="G89" i="13"/>
  <c r="J89" i="13"/>
  <c r="K89" i="13"/>
  <c r="L89" i="13"/>
  <c r="B88" i="13"/>
  <c r="C88" i="13"/>
  <c r="D88" i="13"/>
  <c r="E88" i="13"/>
  <c r="F88" i="13"/>
  <c r="H88" i="13" a="1"/>
  <c r="H88" i="13" s="1"/>
  <c r="G88" i="13"/>
  <c r="H89" i="13" a="1"/>
  <c r="H89" i="13" s="1"/>
  <c r="J88" i="13"/>
  <c r="K88" i="13"/>
  <c r="L88" i="13"/>
  <c r="G29" i="11"/>
  <c r="C27" i="11"/>
  <c r="E29" i="11"/>
  <c r="B26" i="11"/>
  <c r="F29" i="11"/>
  <c r="C26" i="11"/>
  <c r="G26" i="11"/>
  <c r="J26" i="11" s="1"/>
  <c r="L24" i="11"/>
  <c r="M23" i="11"/>
  <c r="D26" i="11"/>
  <c r="I26" i="11" s="1"/>
  <c r="L23" i="11"/>
  <c r="G24" i="11"/>
  <c r="F27" i="11"/>
  <c r="M29" i="11"/>
  <c r="E25" i="11"/>
  <c r="L62" i="10"/>
  <c r="M62" i="10"/>
  <c r="E62" i="10"/>
  <c r="D62" i="10"/>
  <c r="I62" i="10" s="1"/>
  <c r="K62" i="10"/>
  <c r="B62" i="10"/>
  <c r="C62" i="10"/>
  <c r="F62" i="10"/>
  <c r="G62" i="10"/>
  <c r="H62" i="10" a="1"/>
  <c r="H62" i="10" s="1"/>
  <c r="F8" i="11"/>
  <c r="B22" i="11"/>
  <c r="C22" i="11"/>
  <c r="F22" i="11"/>
  <c r="G22" i="11"/>
  <c r="K22" i="11"/>
  <c r="M22" i="11"/>
  <c r="E22" i="11"/>
  <c r="L22" i="11"/>
  <c r="D22" i="11"/>
  <c r="I22" i="11" s="1"/>
  <c r="H61" i="10" a="1"/>
  <c r="H61" i="10" s="1"/>
  <c r="H60" i="10" a="1"/>
  <c r="H60" i="10" s="1"/>
  <c r="B60" i="10"/>
  <c r="C60" i="10"/>
  <c r="D60" i="10"/>
  <c r="I60" i="10" s="1"/>
  <c r="E60" i="10"/>
  <c r="F60" i="10"/>
  <c r="G60" i="10"/>
  <c r="K60" i="10"/>
  <c r="L60" i="10"/>
  <c r="M60" i="10"/>
  <c r="B61" i="10"/>
  <c r="C61" i="10"/>
  <c r="D61" i="10"/>
  <c r="I61" i="10" s="1"/>
  <c r="E61" i="10"/>
  <c r="F61" i="10"/>
  <c r="G61" i="10"/>
  <c r="K61" i="10"/>
  <c r="L61" i="10"/>
  <c r="M61" i="10"/>
  <c r="E19" i="11"/>
  <c r="C9" i="11"/>
  <c r="B21" i="11"/>
  <c r="G13" i="11"/>
  <c r="F18" i="11"/>
  <c r="G15" i="11"/>
  <c r="G18" i="11"/>
  <c r="F12" i="11"/>
  <c r="C16" i="11"/>
  <c r="C11" i="11"/>
  <c r="F15" i="11"/>
  <c r="B11" i="11"/>
  <c r="D10" i="11"/>
  <c r="I10" i="11" s="1"/>
  <c r="E20" i="11"/>
  <c r="M20" i="11"/>
  <c r="C15" i="11"/>
  <c r="L15" i="11"/>
  <c r="L16" i="11"/>
  <c r="M19" i="11"/>
  <c r="F21" i="11"/>
  <c r="F10" i="11"/>
  <c r="L17" i="11"/>
  <c r="M8" i="11"/>
  <c r="D11" i="11"/>
  <c r="I11" i="11" s="1"/>
  <c r="F13" i="11"/>
  <c r="B15" i="11"/>
  <c r="C13" i="11"/>
  <c r="D19" i="11"/>
  <c r="I19" i="11" s="1"/>
  <c r="F20" i="11"/>
  <c r="F9" i="11"/>
  <c r="K21" i="11"/>
  <c r="E18" i="11"/>
  <c r="B14" i="11"/>
  <c r="D20" i="11"/>
  <c r="I20" i="11" s="1"/>
  <c r="L13" i="11"/>
  <c r="E9" i="11"/>
  <c r="B8" i="11"/>
  <c r="D12" i="11"/>
  <c r="I12" i="11" s="1"/>
  <c r="B16" i="11"/>
  <c r="K16" i="11"/>
  <c r="D8" i="11"/>
  <c r="I8" i="11" s="1"/>
  <c r="K20" i="11"/>
  <c r="B13" i="11"/>
  <c r="G17" i="11"/>
  <c r="E17" i="11"/>
  <c r="M12" i="11"/>
  <c r="F14" i="11"/>
  <c r="E12" i="11"/>
  <c r="E14" i="11"/>
  <c r="M11" i="11"/>
  <c r="G11" i="11"/>
  <c r="D21" i="11"/>
  <c r="I21" i="11" s="1"/>
  <c r="D13" i="11"/>
  <c r="I13" i="11" s="1"/>
  <c r="G8" i="11"/>
  <c r="M21" i="11"/>
  <c r="F11" i="11"/>
  <c r="L9" i="11"/>
  <c r="G9" i="11"/>
  <c r="M10" i="11"/>
  <c r="M13" i="11"/>
  <c r="F16" i="11"/>
  <c r="G12" i="11"/>
  <c r="K10" i="11"/>
  <c r="K12" i="11"/>
  <c r="E21" i="11"/>
  <c r="L14" i="11"/>
  <c r="F17" i="11"/>
  <c r="L10" i="11"/>
  <c r="K19" i="11"/>
  <c r="E15" i="11"/>
  <c r="L20" i="11"/>
  <c r="B9" i="11"/>
  <c r="B19" i="11"/>
  <c r="K8" i="11"/>
  <c r="L8" i="11"/>
  <c r="K15" i="11"/>
  <c r="C20" i="11"/>
  <c r="M14" i="11"/>
  <c r="L21" i="11"/>
  <c r="E11" i="11"/>
  <c r="E13" i="11"/>
  <c r="G20" i="11"/>
  <c r="D9" i="11"/>
  <c r="I9" i="11" s="1"/>
  <c r="D18" i="11"/>
  <c r="I18" i="11" s="1"/>
  <c r="B12" i="11"/>
  <c r="M9" i="11"/>
  <c r="F19" i="11"/>
  <c r="L18" i="11"/>
  <c r="B18" i="11"/>
  <c r="D15" i="11"/>
  <c r="I15" i="11" s="1"/>
  <c r="C8" i="11"/>
  <c r="K17" i="11"/>
  <c r="E10" i="11"/>
  <c r="B10" i="11"/>
  <c r="M15" i="11"/>
  <c r="D14" i="11"/>
  <c r="I14" i="11" s="1"/>
  <c r="M18" i="11"/>
  <c r="G19" i="11"/>
  <c r="G16" i="11"/>
  <c r="C12" i="11"/>
  <c r="K14" i="11"/>
  <c r="C17" i="11"/>
  <c r="K18" i="11"/>
  <c r="C18" i="11"/>
  <c r="K11" i="11"/>
  <c r="C14" i="11"/>
  <c r="G14" i="11"/>
  <c r="G21" i="11"/>
  <c r="M16" i="11"/>
  <c r="K13" i="11"/>
  <c r="K9" i="11"/>
  <c r="L19" i="11"/>
  <c r="L11" i="11"/>
  <c r="C21" i="11"/>
  <c r="E8" i="11"/>
  <c r="L12" i="11"/>
  <c r="D17" i="11"/>
  <c r="I17" i="11" s="1"/>
  <c r="C10" i="11"/>
  <c r="B17" i="11"/>
  <c r="M17" i="11"/>
  <c r="C19" i="11"/>
  <c r="B20" i="11"/>
  <c r="E16" i="11"/>
  <c r="G10" i="11"/>
  <c r="D16" i="11"/>
  <c r="I16" i="11" s="1"/>
  <c r="A7" i="11"/>
  <c r="M59" i="10"/>
  <c r="B59" i="10"/>
  <c r="C59" i="10"/>
  <c r="D59" i="10"/>
  <c r="I59" i="10" s="1"/>
  <c r="E59" i="10"/>
  <c r="F59" i="10"/>
  <c r="G59" i="10"/>
  <c r="H59" i="10" a="1"/>
  <c r="H59" i="10" s="1"/>
  <c r="L59" i="10"/>
  <c r="K59" i="10"/>
  <c r="B57" i="10"/>
  <c r="E57" i="10"/>
  <c r="F57" i="10"/>
  <c r="C57" i="10"/>
  <c r="D57" i="10"/>
  <c r="I57" i="10" s="1"/>
  <c r="H58" i="10" a="1"/>
  <c r="H58" i="10" s="1"/>
  <c r="K57" i="10"/>
  <c r="H57" i="10" a="1"/>
  <c r="H57" i="10" s="1"/>
  <c r="L57" i="10"/>
  <c r="M57" i="10"/>
  <c r="B58" i="10"/>
  <c r="F58" i="10"/>
  <c r="C58" i="10"/>
  <c r="D58" i="10"/>
  <c r="I58" i="10" s="1"/>
  <c r="E58" i="10"/>
  <c r="G58" i="10"/>
  <c r="K58" i="10"/>
  <c r="L58" i="10"/>
  <c r="M58" i="10"/>
  <c r="G57" i="10"/>
  <c r="G85" i="12"/>
  <c r="F82" i="12"/>
  <c r="E79" i="12"/>
  <c r="D76" i="12"/>
  <c r="G86" i="12"/>
  <c r="F83" i="12"/>
  <c r="E80" i="12"/>
  <c r="D77" i="12"/>
  <c r="E81" i="12"/>
  <c r="F85" i="12"/>
  <c r="L77" i="12"/>
  <c r="E84" i="12"/>
  <c r="D81" i="12"/>
  <c r="C78" i="12"/>
  <c r="L81" i="12"/>
  <c r="K78" i="12"/>
  <c r="C82" i="12"/>
  <c r="E83" i="12"/>
  <c r="L78" i="12"/>
  <c r="E85" i="12"/>
  <c r="D82" i="12"/>
  <c r="C79" i="12"/>
  <c r="B76" i="12"/>
  <c r="L80" i="12"/>
  <c r="K77" i="12"/>
  <c r="D84" i="12"/>
  <c r="C81" i="12"/>
  <c r="B78" i="12"/>
  <c r="D85" i="12"/>
  <c r="B79" i="12"/>
  <c r="L79" i="12"/>
  <c r="K76" i="12"/>
  <c r="E86" i="12"/>
  <c r="D83" i="12"/>
  <c r="C80" i="12"/>
  <c r="B77" i="12"/>
  <c r="L82" i="12"/>
  <c r="K79" i="12"/>
  <c r="J76" i="12"/>
  <c r="D86" i="12"/>
  <c r="C83" i="12"/>
  <c r="B80" i="12"/>
  <c r="L83" i="12"/>
  <c r="K80" i="12"/>
  <c r="J77" i="12"/>
  <c r="C84" i="12"/>
  <c r="B81" i="12"/>
  <c r="C77" i="12"/>
  <c r="L84" i="12"/>
  <c r="K81" i="12"/>
  <c r="J78" i="12"/>
  <c r="C85" i="12"/>
  <c r="B82" i="12"/>
  <c r="L85" i="12"/>
  <c r="K82" i="12"/>
  <c r="J79" i="12"/>
  <c r="G76" i="12"/>
  <c r="C86" i="12"/>
  <c r="B83" i="12"/>
  <c r="L86" i="12"/>
  <c r="K83" i="12"/>
  <c r="J80" i="12"/>
  <c r="G77" i="12"/>
  <c r="B84" i="12"/>
  <c r="E78" i="12"/>
  <c r="F84" i="12"/>
  <c r="E82" i="12"/>
  <c r="L76" i="12"/>
  <c r="K84" i="12"/>
  <c r="J81" i="12"/>
  <c r="G78" i="12"/>
  <c r="B85" i="12"/>
  <c r="K85" i="12"/>
  <c r="J82" i="12"/>
  <c r="G79" i="12"/>
  <c r="F76" i="12"/>
  <c r="B86" i="12"/>
  <c r="K86" i="12"/>
  <c r="J83" i="12"/>
  <c r="G80" i="12"/>
  <c r="F77" i="12"/>
  <c r="F81" i="12"/>
  <c r="D78" i="12"/>
  <c r="D79" i="12"/>
  <c r="C76" i="12"/>
  <c r="F86" i="12"/>
  <c r="J84" i="12"/>
  <c r="G81" i="12"/>
  <c r="F78" i="12"/>
  <c r="G84" i="12"/>
  <c r="J85" i="12"/>
  <c r="G82" i="12"/>
  <c r="F79" i="12"/>
  <c r="E76" i="12"/>
  <c r="D80" i="12"/>
  <c r="J86" i="12"/>
  <c r="G83" i="12"/>
  <c r="F80" i="12"/>
  <c r="E77" i="12"/>
  <c r="H81" i="12" a="1"/>
  <c r="H81" i="12" s="1"/>
  <c r="H86" i="12" a="1"/>
  <c r="H86" i="12" s="1"/>
  <c r="H84" i="12" a="1"/>
  <c r="H84" i="12" s="1"/>
  <c r="H85" i="12" a="1"/>
  <c r="H85" i="12" s="1"/>
  <c r="H76" i="12" a="1"/>
  <c r="H76" i="12" s="1"/>
  <c r="H77" i="12" a="1"/>
  <c r="H77" i="12" s="1"/>
  <c r="H78" i="12" a="1"/>
  <c r="H78" i="12" s="1"/>
  <c r="M78" i="13"/>
  <c r="M79" i="13"/>
  <c r="M80" i="13"/>
  <c r="M82" i="13"/>
  <c r="M83" i="13"/>
  <c r="M86" i="13"/>
  <c r="M84" i="13"/>
  <c r="M87" i="13"/>
  <c r="M85" i="13"/>
  <c r="M81" i="13"/>
  <c r="H86" i="13" a="1"/>
  <c r="H86" i="13" s="1"/>
  <c r="E78" i="13"/>
  <c r="K80" i="13"/>
  <c r="D83" i="13"/>
  <c r="J85" i="13"/>
  <c r="H87" i="13" a="1"/>
  <c r="H87" i="13" s="1"/>
  <c r="F78" i="13"/>
  <c r="L80" i="13"/>
  <c r="E83" i="13"/>
  <c r="K85" i="13"/>
  <c r="G78" i="13"/>
  <c r="B81" i="13"/>
  <c r="F83" i="13"/>
  <c r="L85" i="13"/>
  <c r="J78" i="13"/>
  <c r="C81" i="13"/>
  <c r="G83" i="13"/>
  <c r="B86" i="13"/>
  <c r="B79" i="13"/>
  <c r="F81" i="13"/>
  <c r="L83" i="13"/>
  <c r="E86" i="13"/>
  <c r="L79" i="13"/>
  <c r="K78" i="13"/>
  <c r="E81" i="13"/>
  <c r="D86" i="13"/>
  <c r="C79" i="13"/>
  <c r="G81" i="13"/>
  <c r="B84" i="13"/>
  <c r="F86" i="13"/>
  <c r="D81" i="13"/>
  <c r="D79" i="13"/>
  <c r="J81" i="13"/>
  <c r="C84" i="13"/>
  <c r="G86" i="13"/>
  <c r="E79" i="13"/>
  <c r="K81" i="13"/>
  <c r="D84" i="13"/>
  <c r="J86" i="13"/>
  <c r="F79" i="13"/>
  <c r="L81" i="13"/>
  <c r="E84" i="13"/>
  <c r="K86" i="13"/>
  <c r="D87" i="13"/>
  <c r="C86" i="13"/>
  <c r="G79" i="13"/>
  <c r="B82" i="13"/>
  <c r="F84" i="13"/>
  <c r="L86" i="13"/>
  <c r="E82" i="13"/>
  <c r="J79" i="13"/>
  <c r="C82" i="13"/>
  <c r="G84" i="13"/>
  <c r="B87" i="13"/>
  <c r="L78" i="13"/>
  <c r="K83" i="13"/>
  <c r="K79" i="13"/>
  <c r="D82" i="13"/>
  <c r="J84" i="13"/>
  <c r="C87" i="13"/>
  <c r="H78" i="13" a="1"/>
  <c r="H78" i="13" s="1"/>
  <c r="K84" i="13"/>
  <c r="H79" i="13" a="1"/>
  <c r="H79" i="13" s="1"/>
  <c r="B80" i="13"/>
  <c r="F82" i="13"/>
  <c r="L84" i="13"/>
  <c r="E87" i="13"/>
  <c r="H80" i="13" a="1"/>
  <c r="H80" i="13" s="1"/>
  <c r="C80" i="13"/>
  <c r="G82" i="13"/>
  <c r="B85" i="13"/>
  <c r="F87" i="13"/>
  <c r="H81" i="13" a="1"/>
  <c r="H81" i="13" s="1"/>
  <c r="D80" i="13"/>
  <c r="J82" i="13"/>
  <c r="C85" i="13"/>
  <c r="G87" i="13"/>
  <c r="J83" i="13"/>
  <c r="H82" i="13" a="1"/>
  <c r="H82" i="13" s="1"/>
  <c r="E80" i="13"/>
  <c r="K82" i="13"/>
  <c r="D85" i="13"/>
  <c r="J87" i="13"/>
  <c r="B78" i="13"/>
  <c r="F80" i="13"/>
  <c r="L82" i="13"/>
  <c r="E85" i="13"/>
  <c r="K87" i="13"/>
  <c r="C78" i="13"/>
  <c r="G80" i="13"/>
  <c r="B83" i="13"/>
  <c r="F85" i="13"/>
  <c r="L87" i="13"/>
  <c r="H85" i="13" a="1"/>
  <c r="H85" i="13" s="1"/>
  <c r="D78" i="13"/>
  <c r="J80" i="13"/>
  <c r="C83" i="13"/>
  <c r="G85" i="13"/>
  <c r="D51" i="10"/>
  <c r="I51" i="10" s="1"/>
  <c r="K53" i="10"/>
  <c r="C56" i="10"/>
  <c r="E51" i="10"/>
  <c r="L53" i="10"/>
  <c r="D56" i="10"/>
  <c r="I56" i="10" s="1"/>
  <c r="F51" i="10"/>
  <c r="M53" i="10"/>
  <c r="E56" i="10"/>
  <c r="G51" i="10"/>
  <c r="B54" i="10"/>
  <c r="F56" i="10"/>
  <c r="M51" i="10"/>
  <c r="E54" i="10"/>
  <c r="L56" i="10"/>
  <c r="D55" i="10"/>
  <c r="I55" i="10" s="1"/>
  <c r="G56" i="10"/>
  <c r="D54" i="10"/>
  <c r="I54" i="10" s="1"/>
  <c r="B52" i="10"/>
  <c r="F54" i="10"/>
  <c r="M56" i="10"/>
  <c r="E50" i="10"/>
  <c r="C52" i="10"/>
  <c r="G54" i="10"/>
  <c r="D52" i="10"/>
  <c r="I52" i="10" s="1"/>
  <c r="K54" i="10"/>
  <c r="H56" i="10" a="1"/>
  <c r="H56" i="10" s="1"/>
  <c r="E52" i="10"/>
  <c r="L54" i="10"/>
  <c r="K51" i="10"/>
  <c r="H55" i="10" a="1"/>
  <c r="H55" i="10" s="1"/>
  <c r="B50" i="10"/>
  <c r="F52" i="10"/>
  <c r="M54" i="10"/>
  <c r="L51" i="10"/>
  <c r="H54" i="10" a="1"/>
  <c r="H54" i="10" s="1"/>
  <c r="C50" i="10"/>
  <c r="G52" i="10"/>
  <c r="B55" i="10"/>
  <c r="L52" i="10"/>
  <c r="C54" i="10"/>
  <c r="K56" i="10"/>
  <c r="H53" i="10" a="1"/>
  <c r="H53" i="10" s="1"/>
  <c r="D50" i="10"/>
  <c r="I50" i="10" s="1"/>
  <c r="K52" i="10"/>
  <c r="C55" i="10"/>
  <c r="H52" i="10" a="1"/>
  <c r="H52" i="10" s="1"/>
  <c r="F50" i="10"/>
  <c r="M52" i="10"/>
  <c r="E55" i="10"/>
  <c r="G50" i="10"/>
  <c r="B53" i="10"/>
  <c r="F55" i="10"/>
  <c r="H51" i="10" a="1"/>
  <c r="H51" i="10" s="1"/>
  <c r="K50" i="10"/>
  <c r="C53" i="10"/>
  <c r="G55" i="10"/>
  <c r="H50" i="10" a="1"/>
  <c r="H50" i="10" s="1"/>
  <c r="L50" i="10"/>
  <c r="D53" i="10"/>
  <c r="I53" i="10" s="1"/>
  <c r="K55" i="10"/>
  <c r="M50" i="10"/>
  <c r="E53" i="10"/>
  <c r="L55" i="10"/>
  <c r="B51" i="10"/>
  <c r="F53" i="10"/>
  <c r="M55" i="10"/>
  <c r="C51" i="10"/>
  <c r="G53" i="10"/>
  <c r="B56" i="10"/>
  <c r="H47" i="10" a="1"/>
  <c r="H47" i="10" s="1"/>
  <c r="B37" i="10"/>
  <c r="F39" i="10"/>
  <c r="M41" i="10"/>
  <c r="E44" i="10"/>
  <c r="L46" i="10"/>
  <c r="D49" i="10"/>
  <c r="I49" i="10" s="1"/>
  <c r="H46" i="10" a="1"/>
  <c r="H46" i="10" s="1"/>
  <c r="G39" i="10"/>
  <c r="F44" i="10"/>
  <c r="E49" i="10"/>
  <c r="H49" i="10" a="1"/>
  <c r="H49" i="10" s="1"/>
  <c r="G46" i="10"/>
  <c r="H45" i="10" a="1"/>
  <c r="H45" i="10" s="1"/>
  <c r="D37" i="10"/>
  <c r="I37" i="10" s="1"/>
  <c r="K39" i="10"/>
  <c r="C42" i="10"/>
  <c r="G44" i="10"/>
  <c r="B47" i="10"/>
  <c r="F49" i="10"/>
  <c r="H43" i="10" a="1"/>
  <c r="H43" i="10" s="1"/>
  <c r="B35" i="10"/>
  <c r="F37" i="10"/>
  <c r="M39" i="10"/>
  <c r="L44" i="10"/>
  <c r="D47" i="10"/>
  <c r="I47" i="10" s="1"/>
  <c r="K49" i="10"/>
  <c r="G35" i="10"/>
  <c r="M42" i="10"/>
  <c r="E36" i="10"/>
  <c r="B44" i="10"/>
  <c r="C44" i="10"/>
  <c r="H44" i="10" a="1"/>
  <c r="H44" i="10" s="1"/>
  <c r="E37" i="10"/>
  <c r="L39" i="10"/>
  <c r="D42" i="10"/>
  <c r="I42" i="10" s="1"/>
  <c r="K44" i="10"/>
  <c r="C47" i="10"/>
  <c r="G49" i="10"/>
  <c r="E42" i="10"/>
  <c r="F35" i="10"/>
  <c r="L42" i="10"/>
  <c r="D45" i="10"/>
  <c r="I45" i="10" s="1"/>
  <c r="K47" i="10"/>
  <c r="F40" i="10"/>
  <c r="F48" i="10"/>
  <c r="C46" i="10"/>
  <c r="K36" i="10"/>
  <c r="L36" i="10"/>
  <c r="H42" i="10" a="1"/>
  <c r="H42" i="10" s="1"/>
  <c r="C35" i="10"/>
  <c r="G37" i="10"/>
  <c r="B40" i="10"/>
  <c r="F42" i="10"/>
  <c r="M44" i="10"/>
  <c r="E47" i="10"/>
  <c r="L49" i="10"/>
  <c r="H41" i="10" a="1"/>
  <c r="H41" i="10" s="1"/>
  <c r="D35" i="10"/>
  <c r="I35" i="10" s="1"/>
  <c r="K37" i="10"/>
  <c r="G42" i="10"/>
  <c r="B45" i="10"/>
  <c r="F47" i="10"/>
  <c r="M49" i="10"/>
  <c r="M37" i="10"/>
  <c r="B38" i="10"/>
  <c r="B46" i="10"/>
  <c r="L38" i="10"/>
  <c r="L48" i="10"/>
  <c r="C40" i="10"/>
  <c r="K38" i="10"/>
  <c r="H40" i="10" a="1"/>
  <c r="H40" i="10" s="1"/>
  <c r="E35" i="10"/>
  <c r="L37" i="10"/>
  <c r="D40" i="10"/>
  <c r="I40" i="10" s="1"/>
  <c r="K42" i="10"/>
  <c r="C45" i="10"/>
  <c r="G47" i="10"/>
  <c r="H39" i="10" a="1"/>
  <c r="H39" i="10" s="1"/>
  <c r="E40" i="10"/>
  <c r="H38" i="10" a="1"/>
  <c r="H38" i="10" s="1"/>
  <c r="E45" i="10"/>
  <c r="C41" i="10"/>
  <c r="L47" i="10"/>
  <c r="M43" i="10"/>
  <c r="H37" i="10" a="1"/>
  <c r="H37" i="10" s="1"/>
  <c r="K35" i="10"/>
  <c r="C38" i="10"/>
  <c r="G40" i="10"/>
  <c r="B43" i="10"/>
  <c r="F45" i="10"/>
  <c r="M47" i="10"/>
  <c r="H36" i="10" a="1"/>
  <c r="H36" i="10" s="1"/>
  <c r="L35" i="10"/>
  <c r="K40" i="10"/>
  <c r="C43" i="10"/>
  <c r="G45" i="10"/>
  <c r="B48" i="10"/>
  <c r="H35" i="10" a="1"/>
  <c r="H35" i="10" s="1"/>
  <c r="M35" i="10"/>
  <c r="D43" i="10"/>
  <c r="I43" i="10" s="1"/>
  <c r="K45" i="10"/>
  <c r="C48" i="10"/>
  <c r="K43" i="10"/>
  <c r="C39" i="10"/>
  <c r="K41" i="10"/>
  <c r="D38" i="10"/>
  <c r="I38" i="10" s="1"/>
  <c r="E38" i="10"/>
  <c r="D36" i="10"/>
  <c r="I36" i="10" s="1"/>
  <c r="G48" i="10"/>
  <c r="G36" i="10"/>
  <c r="B49" i="10"/>
  <c r="L40" i="10"/>
  <c r="B39" i="10"/>
  <c r="B36" i="10"/>
  <c r="F38" i="10"/>
  <c r="M40" i="10"/>
  <c r="E43" i="10"/>
  <c r="L45" i="10"/>
  <c r="D48" i="10"/>
  <c r="I48" i="10" s="1"/>
  <c r="G43" i="10"/>
  <c r="F41" i="10"/>
  <c r="D39" i="10"/>
  <c r="I39" i="10" s="1"/>
  <c r="C36" i="10"/>
  <c r="G38" i="10"/>
  <c r="B41" i="10"/>
  <c r="F43" i="10"/>
  <c r="M45" i="10"/>
  <c r="E48" i="10"/>
  <c r="E46" i="10"/>
  <c r="G41" i="10"/>
  <c r="M48" i="10"/>
  <c r="D41" i="10"/>
  <c r="I41" i="10" s="1"/>
  <c r="F46" i="10"/>
  <c r="F36" i="10"/>
  <c r="M38" i="10"/>
  <c r="E41" i="10"/>
  <c r="L43" i="10"/>
  <c r="D46" i="10"/>
  <c r="I46" i="10" s="1"/>
  <c r="K48" i="10"/>
  <c r="H48" i="10" a="1"/>
  <c r="H48" i="10" s="1"/>
  <c r="M36" i="10"/>
  <c r="E39" i="10"/>
  <c r="L41" i="10"/>
  <c r="D44" i="10"/>
  <c r="I44" i="10" s="1"/>
  <c r="K46" i="10"/>
  <c r="C49" i="10"/>
  <c r="C37" i="10"/>
  <c r="B42" i="10"/>
  <c r="M46" i="10"/>
  <c r="K59" i="12"/>
  <c r="C74" i="12"/>
  <c r="G74" i="12"/>
  <c r="K74" i="12"/>
  <c r="J71" i="12"/>
  <c r="C75" i="12"/>
  <c r="J72" i="12"/>
  <c r="F75" i="12"/>
  <c r="J73" i="12"/>
  <c r="E71" i="12"/>
  <c r="G71" i="12"/>
  <c r="D71" i="12"/>
  <c r="K71" i="12"/>
  <c r="F73" i="12"/>
  <c r="C72" i="12"/>
  <c r="J74" i="12"/>
  <c r="E72" i="12"/>
  <c r="L71" i="12"/>
  <c r="L73" i="12"/>
  <c r="L74" i="12"/>
  <c r="L75" i="12"/>
  <c r="K73" i="12"/>
  <c r="J75" i="12"/>
  <c r="E73" i="12"/>
  <c r="B71" i="12"/>
  <c r="E74" i="12"/>
  <c r="B72" i="12"/>
  <c r="E75" i="12"/>
  <c r="B73" i="12"/>
  <c r="L72" i="12"/>
  <c r="B74" i="12"/>
  <c r="B75" i="12"/>
  <c r="G72" i="12"/>
  <c r="D72" i="12"/>
  <c r="G75" i="12"/>
  <c r="D74" i="12"/>
  <c r="D75" i="12"/>
  <c r="F72" i="12"/>
  <c r="C71" i="12"/>
  <c r="F74" i="12"/>
  <c r="K72" i="12"/>
  <c r="F71" i="12"/>
  <c r="K75" i="12"/>
  <c r="G73" i="12"/>
  <c r="D73" i="12"/>
  <c r="C73" i="12"/>
  <c r="H71" i="12" a="1"/>
  <c r="H71" i="12" s="1"/>
  <c r="H72" i="12" a="1"/>
  <c r="H72" i="12" s="1"/>
  <c r="H73" i="12" a="1"/>
  <c r="H73" i="12" s="1"/>
  <c r="H74" i="12" a="1"/>
  <c r="H74" i="12" s="1"/>
  <c r="H75" i="12" a="1"/>
  <c r="H75" i="12" s="1"/>
  <c r="C69" i="12"/>
  <c r="J64" i="12"/>
  <c r="L66" i="12"/>
  <c r="B64" i="12"/>
  <c r="F61" i="12"/>
  <c r="L61" i="12"/>
  <c r="L67" i="12"/>
  <c r="G67" i="12"/>
  <c r="F69" i="12"/>
  <c r="H70" i="12" a="1"/>
  <c r="H70" i="12" s="1"/>
  <c r="D63" i="12"/>
  <c r="J66" i="12"/>
  <c r="L68" i="12"/>
  <c r="K68" i="12"/>
  <c r="F70" i="12"/>
  <c r="E68" i="12"/>
  <c r="K66" i="12"/>
  <c r="F68" i="12"/>
  <c r="J70" i="12"/>
  <c r="G66" i="12"/>
  <c r="B69" i="12"/>
  <c r="B70" i="12"/>
  <c r="G70" i="12"/>
  <c r="C63" i="12"/>
  <c r="G61" i="12"/>
  <c r="B65" i="12"/>
  <c r="E67" i="12"/>
  <c r="D65" i="12"/>
  <c r="J65" i="12"/>
  <c r="G62" i="12"/>
  <c r="B66" i="12"/>
  <c r="E66" i="12"/>
  <c r="B67" i="12"/>
  <c r="K64" i="12"/>
  <c r="K67" i="12"/>
  <c r="C64" i="12"/>
  <c r="C70" i="12"/>
  <c r="L70" i="12"/>
  <c r="G68" i="12"/>
  <c r="D66" i="12"/>
  <c r="L62" i="12"/>
  <c r="B61" i="12"/>
  <c r="E70" i="12"/>
  <c r="K65" i="12"/>
  <c r="D67" i="12"/>
  <c r="E61" i="12"/>
  <c r="L69" i="12"/>
  <c r="G69" i="12"/>
  <c r="K69" i="12"/>
  <c r="C65" i="12"/>
  <c r="E69" i="12"/>
  <c r="D64" i="12"/>
  <c r="F64" i="12"/>
  <c r="L63" i="12"/>
  <c r="K61" i="12"/>
  <c r="H62" i="12" a="1"/>
  <c r="H62" i="12" s="1"/>
  <c r="K70" i="12"/>
  <c r="E64" i="12"/>
  <c r="E65" i="12"/>
  <c r="J69" i="12"/>
  <c r="G65" i="12"/>
  <c r="M19" i="13"/>
  <c r="M75" i="13"/>
  <c r="M76" i="13"/>
  <c r="M77" i="13"/>
  <c r="J76" i="13"/>
  <c r="K76" i="13"/>
  <c r="L76" i="13"/>
  <c r="C77" i="13"/>
  <c r="E76" i="13"/>
  <c r="B77" i="13"/>
  <c r="G77" i="13"/>
  <c r="L75" i="13"/>
  <c r="D77" i="13"/>
  <c r="E77" i="13"/>
  <c r="C75" i="13"/>
  <c r="J77" i="13"/>
  <c r="D76" i="13"/>
  <c r="B75" i="13"/>
  <c r="F77" i="13"/>
  <c r="D75" i="13"/>
  <c r="E75" i="13"/>
  <c r="K77" i="13"/>
  <c r="H75" i="13" a="1"/>
  <c r="H75" i="13" s="1"/>
  <c r="F75" i="13"/>
  <c r="L77" i="13"/>
  <c r="H76" i="13" a="1"/>
  <c r="H76" i="13" s="1"/>
  <c r="G75" i="13"/>
  <c r="H77" i="13" a="1"/>
  <c r="H77" i="13" s="1"/>
  <c r="J75" i="13"/>
  <c r="F76" i="13"/>
  <c r="K75" i="13"/>
  <c r="B76" i="13"/>
  <c r="C76" i="13"/>
  <c r="G76" i="13"/>
  <c r="J65" i="13"/>
  <c r="L64" i="13"/>
  <c r="D73" i="13"/>
  <c r="D71" i="13"/>
  <c r="G68" i="13"/>
  <c r="F65" i="13"/>
  <c r="J64" i="13"/>
  <c r="G73" i="13"/>
  <c r="F72" i="13"/>
  <c r="D69" i="13"/>
  <c r="H67" i="13" a="1"/>
  <c r="H67" i="13" s="1"/>
  <c r="J66" i="13"/>
  <c r="F74" i="13"/>
  <c r="K72" i="13"/>
  <c r="E69" i="13"/>
  <c r="M74" i="13"/>
  <c r="B72" i="13"/>
  <c r="H65" i="13"/>
  <c r="K64" i="13"/>
  <c r="H73" i="13" a="1"/>
  <c r="H73" i="13" s="1"/>
  <c r="C68" i="13"/>
  <c r="G67" i="13"/>
  <c r="E71" i="13"/>
  <c r="J67" i="13"/>
  <c r="L69" i="13"/>
  <c r="D65" i="13"/>
  <c r="F71" i="13"/>
  <c r="M73" i="13"/>
  <c r="L70" i="13"/>
  <c r="H66" i="13"/>
  <c r="G74" i="13"/>
  <c r="G71" i="13"/>
  <c r="K70" i="13"/>
  <c r="G65" i="13"/>
  <c r="L66" i="13"/>
  <c r="F73" i="13"/>
  <c r="C69" i="13"/>
  <c r="K69" i="13"/>
  <c r="B70" i="13"/>
  <c r="E65" i="13"/>
  <c r="H64" i="13"/>
  <c r="B67" i="13"/>
  <c r="G70" i="13"/>
  <c r="K66" i="13"/>
  <c r="D74" i="13"/>
  <c r="G72" i="13"/>
  <c r="H68" i="13" a="1"/>
  <c r="H68" i="13" s="1"/>
  <c r="G64" i="13"/>
  <c r="E74" i="13"/>
  <c r="L72" i="13"/>
  <c r="J68" i="13"/>
  <c r="C67" i="13"/>
  <c r="K67" i="13"/>
  <c r="M64" i="13"/>
  <c r="F64" i="13"/>
  <c r="J74" i="13"/>
  <c r="H72" i="13" a="1"/>
  <c r="H72" i="13" s="1"/>
  <c r="F68" i="13"/>
  <c r="F67" i="13"/>
  <c r="C70" i="13"/>
  <c r="M65" i="13"/>
  <c r="G66" i="13"/>
  <c r="K74" i="13"/>
  <c r="C72" i="13"/>
  <c r="H70" i="13" a="1"/>
  <c r="H70" i="13" s="1"/>
  <c r="L71" i="13"/>
  <c r="B68" i="13"/>
  <c r="M66" i="13"/>
  <c r="E64" i="13"/>
  <c r="L74" i="13"/>
  <c r="D72" i="13"/>
  <c r="K68" i="13"/>
  <c r="L67" i="13"/>
  <c r="L68" i="13"/>
  <c r="F70" i="13"/>
  <c r="K65" i="13"/>
  <c r="C73" i="13"/>
  <c r="K71" i="13"/>
  <c r="B65" i="13"/>
  <c r="C62" i="12"/>
  <c r="B73" i="13"/>
  <c r="C65" i="13"/>
  <c r="L65" i="13"/>
  <c r="B63" i="12"/>
  <c r="L65" i="12"/>
  <c r="E67" i="13"/>
  <c r="C71" i="13"/>
  <c r="E73" i="13"/>
  <c r="C66" i="13"/>
  <c r="B66" i="13"/>
  <c r="G64" i="12"/>
  <c r="C67" i="12"/>
  <c r="J63" i="12"/>
  <c r="D69" i="12"/>
  <c r="D70" i="13"/>
  <c r="B71" i="13"/>
  <c r="L73" i="13"/>
  <c r="B64" i="13"/>
  <c r="M72" i="13"/>
  <c r="B62" i="12"/>
  <c r="E63" i="12"/>
  <c r="C61" i="12"/>
  <c r="J61" i="12"/>
  <c r="B69" i="13"/>
  <c r="J71" i="13"/>
  <c r="H71" i="13" a="1"/>
  <c r="H71" i="13" s="1"/>
  <c r="J73" i="13"/>
  <c r="C64" i="13"/>
  <c r="M70" i="13"/>
  <c r="G63" i="12"/>
  <c r="L64" i="12"/>
  <c r="F66" i="12"/>
  <c r="D68" i="12"/>
  <c r="H61" i="12" a="1"/>
  <c r="H61" i="12" s="1"/>
  <c r="F69" i="13"/>
  <c r="J70" i="13"/>
  <c r="C74" i="13"/>
  <c r="E66" i="13"/>
  <c r="M69" i="13"/>
  <c r="K63" i="12"/>
  <c r="C66" i="12"/>
  <c r="J62" i="12"/>
  <c r="F63" i="12"/>
  <c r="D67" i="13"/>
  <c r="E68" i="13"/>
  <c r="J72" i="13"/>
  <c r="B74" i="13"/>
  <c r="D64" i="13"/>
  <c r="M68" i="13"/>
  <c r="D61" i="12"/>
  <c r="E62" i="12"/>
  <c r="C68" i="12"/>
  <c r="F62" i="12"/>
  <c r="G69" i="13"/>
  <c r="F67" i="12"/>
  <c r="J69" i="13"/>
  <c r="K73" i="13"/>
  <c r="D66" i="13"/>
  <c r="M71" i="13"/>
  <c r="D62" i="12"/>
  <c r="J68" i="12"/>
  <c r="D70" i="12"/>
  <c r="H63" i="12" a="1"/>
  <c r="H63" i="12" s="1"/>
  <c r="D68" i="13"/>
  <c r="E70" i="13"/>
  <c r="E72" i="13"/>
  <c r="H74" i="13" a="1"/>
  <c r="H74" i="13" s="1"/>
  <c r="F66" i="13"/>
  <c r="M67" i="13"/>
  <c r="K62" i="12"/>
  <c r="J67" i="12"/>
  <c r="F65" i="12"/>
  <c r="B68" i="12"/>
  <c r="L47" i="13"/>
  <c r="D10" i="13"/>
  <c r="C31" i="13"/>
  <c r="J25" i="13"/>
  <c r="L55" i="13"/>
  <c r="G46" i="13"/>
  <c r="B44" i="12"/>
  <c r="D48" i="13"/>
  <c r="C32" i="13"/>
  <c r="L35" i="13"/>
  <c r="K62" i="13"/>
  <c r="D42" i="12"/>
  <c r="L56" i="13"/>
  <c r="E20" i="12"/>
  <c r="G26" i="13"/>
  <c r="D12" i="13"/>
  <c r="L32" i="12"/>
  <c r="E22" i="12"/>
  <c r="B26" i="13"/>
  <c r="D13" i="13"/>
  <c r="D60" i="13"/>
  <c r="C31" i="12"/>
  <c r="E59" i="13"/>
  <c r="L44" i="13"/>
  <c r="D41" i="13"/>
  <c r="J42" i="13"/>
  <c r="J33" i="12"/>
  <c r="G52" i="13"/>
  <c r="J17" i="12"/>
  <c r="J28" i="13"/>
  <c r="E48" i="13"/>
  <c r="J23" i="12"/>
  <c r="F48" i="13"/>
  <c r="B17" i="12"/>
  <c r="F46" i="13"/>
  <c r="F28" i="13"/>
  <c r="K30" i="13"/>
  <c r="E15" i="12"/>
  <c r="J25" i="12"/>
  <c r="H52" i="13" a="1"/>
  <c r="H52" i="13" s="1"/>
  <c r="H55" i="13" a="1"/>
  <c r="H55" i="13" s="1"/>
  <c r="G11" i="13"/>
  <c r="K43" i="12"/>
  <c r="G37" i="13"/>
  <c r="C61" i="13"/>
  <c r="J10" i="12"/>
  <c r="H53" i="12" a="1"/>
  <c r="H53" i="12" s="1"/>
  <c r="F32" i="13"/>
  <c r="J15" i="12"/>
  <c r="J46" i="13"/>
  <c r="L17" i="12"/>
  <c r="J19" i="13"/>
  <c r="D44" i="12"/>
  <c r="C53" i="13"/>
  <c r="D46" i="13"/>
  <c r="J29" i="12"/>
  <c r="F43" i="12"/>
  <c r="J40" i="13"/>
  <c r="G33" i="12"/>
  <c r="F54" i="13"/>
  <c r="E9" i="13"/>
  <c r="D33" i="12"/>
  <c r="E23" i="13"/>
  <c r="L23" i="13"/>
  <c r="F31" i="13"/>
  <c r="J30" i="12"/>
  <c r="J20" i="13"/>
  <c r="D56" i="13"/>
  <c r="D31" i="13"/>
  <c r="F22" i="12"/>
  <c r="C23" i="13"/>
  <c r="D49" i="13"/>
  <c r="G38" i="13"/>
  <c r="D37" i="12"/>
  <c r="E26" i="13"/>
  <c r="K47" i="13"/>
  <c r="J26" i="13"/>
  <c r="L24" i="12"/>
  <c r="L9" i="12"/>
  <c r="J55" i="13"/>
  <c r="F35" i="13"/>
  <c r="J48" i="13"/>
  <c r="L50" i="13"/>
  <c r="B36" i="13"/>
  <c r="B23" i="13"/>
  <c r="K45" i="13"/>
  <c r="E25" i="13"/>
  <c r="C30" i="12"/>
  <c r="B28" i="12"/>
  <c r="L16" i="12"/>
  <c r="G8" i="12"/>
  <c r="C36" i="12"/>
  <c r="E37" i="12"/>
  <c r="K31" i="13"/>
  <c r="F47" i="13"/>
  <c r="J36" i="13"/>
  <c r="B31" i="12"/>
  <c r="D36" i="12"/>
  <c r="F34" i="12"/>
  <c r="K31" i="12"/>
  <c r="K20" i="13"/>
  <c r="B62" i="13"/>
  <c r="B21" i="13"/>
  <c r="E53" i="13"/>
  <c r="L13" i="13"/>
  <c r="K32" i="13"/>
  <c r="B42" i="13"/>
  <c r="K27" i="13"/>
  <c r="E14" i="13"/>
  <c r="K35" i="13"/>
  <c r="D18" i="12"/>
  <c r="C21" i="12"/>
  <c r="L27" i="12"/>
  <c r="K28" i="12"/>
  <c r="F12" i="12"/>
  <c r="B12" i="12"/>
  <c r="E24" i="13"/>
  <c r="F20" i="13"/>
  <c r="C52" i="13"/>
  <c r="E46" i="13"/>
  <c r="D50" i="13"/>
  <c r="F52" i="13"/>
  <c r="K10" i="13"/>
  <c r="B47" i="12"/>
  <c r="D24" i="12"/>
  <c r="J36" i="12"/>
  <c r="E41" i="12"/>
  <c r="K12" i="12"/>
  <c r="G15" i="12"/>
  <c r="C43" i="13"/>
  <c r="K42" i="13"/>
  <c r="C15" i="13"/>
  <c r="E28" i="13"/>
  <c r="B47" i="13"/>
  <c r="C57" i="13"/>
  <c r="G10" i="13"/>
  <c r="L45" i="13"/>
  <c r="K58" i="13"/>
  <c r="K49" i="13"/>
  <c r="G25" i="13"/>
  <c r="L40" i="13"/>
  <c r="L20" i="12"/>
  <c r="B32" i="12"/>
  <c r="C32" i="12"/>
  <c r="L19" i="12"/>
  <c r="L47" i="12"/>
  <c r="D46" i="12"/>
  <c r="H52" i="12" a="1"/>
  <c r="H52" i="12" s="1"/>
  <c r="M28" i="13"/>
  <c r="E57" i="13"/>
  <c r="C24" i="13"/>
  <c r="F55" i="13"/>
  <c r="F26" i="13"/>
  <c r="F37" i="13"/>
  <c r="D34" i="13"/>
  <c r="K28" i="13"/>
  <c r="D51" i="13"/>
  <c r="F16" i="13"/>
  <c r="B14" i="13"/>
  <c r="D40" i="12"/>
  <c r="B37" i="12"/>
  <c r="B21" i="12"/>
  <c r="J27" i="12"/>
  <c r="L28" i="12"/>
  <c r="H59" i="13" a="1"/>
  <c r="H59" i="13" s="1"/>
  <c r="H37" i="12" a="1"/>
  <c r="H37" i="12" s="1"/>
  <c r="C56" i="12"/>
  <c r="K37" i="13"/>
  <c r="F61" i="13"/>
  <c r="C18" i="13"/>
  <c r="J16" i="13"/>
  <c r="K25" i="13"/>
  <c r="E8" i="13"/>
  <c r="L30" i="13"/>
  <c r="E52" i="13"/>
  <c r="B38" i="13"/>
  <c r="L21" i="13"/>
  <c r="B39" i="12"/>
  <c r="E21" i="12"/>
  <c r="E11" i="12"/>
  <c r="K34" i="12"/>
  <c r="E45" i="12"/>
  <c r="H33" i="13" a="1"/>
  <c r="H33" i="13" s="1"/>
  <c r="H46" i="12" a="1"/>
  <c r="H46" i="12" s="1"/>
  <c r="M47" i="13"/>
  <c r="F57" i="12"/>
  <c r="J52" i="13"/>
  <c r="G13" i="13"/>
  <c r="C10" i="13"/>
  <c r="J34" i="13"/>
  <c r="G57" i="13"/>
  <c r="G10" i="12"/>
  <c r="K16" i="12"/>
  <c r="G9" i="12"/>
  <c r="E36" i="12"/>
  <c r="K33" i="12"/>
  <c r="K59" i="13"/>
  <c r="B50" i="13"/>
  <c r="E40" i="13"/>
  <c r="D42" i="13"/>
  <c r="E21" i="13"/>
  <c r="G47" i="13"/>
  <c r="J12" i="13"/>
  <c r="L34" i="13"/>
  <c r="E50" i="13"/>
  <c r="B28" i="13"/>
  <c r="J41" i="12"/>
  <c r="G23" i="12"/>
  <c r="F10" i="12"/>
  <c r="C43" i="12"/>
  <c r="D30" i="12"/>
  <c r="E34" i="12"/>
  <c r="H39" i="13" a="1"/>
  <c r="H39" i="13" s="1"/>
  <c r="F8" i="13"/>
  <c r="K17" i="13"/>
  <c r="D62" i="13"/>
  <c r="F62" i="13"/>
  <c r="D40" i="13"/>
  <c r="F18" i="13"/>
  <c r="D43" i="13"/>
  <c r="F50" i="13"/>
  <c r="F41" i="13"/>
  <c r="L19" i="13"/>
  <c r="E38" i="13"/>
  <c r="C47" i="13"/>
  <c r="C62" i="13"/>
  <c r="C26" i="12"/>
  <c r="L33" i="12"/>
  <c r="G19" i="12"/>
  <c r="L36" i="12"/>
  <c r="L12" i="12"/>
  <c r="D28" i="12"/>
  <c r="H37" i="13" a="1"/>
  <c r="H37" i="13" s="1"/>
  <c r="L60" i="12"/>
  <c r="F48" i="12"/>
  <c r="J61" i="13"/>
  <c r="F22" i="13"/>
  <c r="L20" i="13"/>
  <c r="E27" i="13"/>
  <c r="L33" i="13"/>
  <c r="H45" i="13" a="1"/>
  <c r="H45" i="13" s="1"/>
  <c r="K39" i="13"/>
  <c r="E56" i="13"/>
  <c r="G9" i="13"/>
  <c r="B35" i="13"/>
  <c r="L12" i="13"/>
  <c r="F60" i="13"/>
  <c r="C59" i="13"/>
  <c r="G21" i="13"/>
  <c r="E22" i="13"/>
  <c r="B51" i="13"/>
  <c r="C17" i="13"/>
  <c r="F11" i="13"/>
  <c r="K11" i="13"/>
  <c r="J9" i="12"/>
  <c r="B40" i="12"/>
  <c r="K23" i="12"/>
  <c r="G41" i="12"/>
  <c r="L25" i="12"/>
  <c r="F24" i="12"/>
  <c r="K51" i="13"/>
  <c r="F17" i="13"/>
  <c r="J34" i="12"/>
  <c r="C8" i="12"/>
  <c r="F46" i="12"/>
  <c r="E23" i="12"/>
  <c r="F27" i="12"/>
  <c r="L10" i="12"/>
  <c r="H42" i="13" a="1"/>
  <c r="H42" i="13" s="1"/>
  <c r="M62" i="13"/>
  <c r="M15" i="13"/>
  <c r="C60" i="13"/>
  <c r="D20" i="13"/>
  <c r="F21" i="13"/>
  <c r="F56" i="13"/>
  <c r="D35" i="13"/>
  <c r="K36" i="13"/>
  <c r="G56" i="13"/>
  <c r="F53" i="13"/>
  <c r="E16" i="13"/>
  <c r="B20" i="13"/>
  <c r="D38" i="12"/>
  <c r="F16" i="12"/>
  <c r="J16" i="12"/>
  <c r="L14" i="12"/>
  <c r="J13" i="12"/>
  <c r="J32" i="12"/>
  <c r="H40" i="13" a="1"/>
  <c r="H40" i="13" s="1"/>
  <c r="M33" i="13"/>
  <c r="C59" i="12"/>
  <c r="B33" i="13"/>
  <c r="E10" i="13"/>
  <c r="J31" i="13"/>
  <c r="G17" i="13"/>
  <c r="J47" i="13"/>
  <c r="G16" i="13"/>
  <c r="G23" i="13"/>
  <c r="K29" i="13"/>
  <c r="K16" i="13"/>
  <c r="C56" i="13"/>
  <c r="L18" i="12"/>
  <c r="E42" i="12"/>
  <c r="L43" i="12"/>
  <c r="J19" i="12"/>
  <c r="E24" i="12"/>
  <c r="B36" i="12"/>
  <c r="M54" i="13"/>
  <c r="K15" i="13"/>
  <c r="J32" i="13"/>
  <c r="F19" i="13"/>
  <c r="L37" i="13"/>
  <c r="E51" i="13"/>
  <c r="D54" i="13"/>
  <c r="B45" i="13"/>
  <c r="L41" i="13"/>
  <c r="B53" i="13"/>
  <c r="K46" i="13"/>
  <c r="B34" i="13"/>
  <c r="F40" i="12"/>
  <c r="D47" i="12"/>
  <c r="G40" i="12"/>
  <c r="G13" i="12"/>
  <c r="C15" i="12"/>
  <c r="E19" i="12"/>
  <c r="H54" i="13" a="1"/>
  <c r="H54" i="13" s="1"/>
  <c r="F58" i="13"/>
  <c r="F23" i="13"/>
  <c r="D29" i="13"/>
  <c r="E29" i="13"/>
  <c r="L51" i="13"/>
  <c r="C50" i="13"/>
  <c r="G31" i="13"/>
  <c r="C40" i="13"/>
  <c r="J35" i="13"/>
  <c r="K29" i="12"/>
  <c r="K38" i="12"/>
  <c r="K11" i="12"/>
  <c r="G31" i="12"/>
  <c r="E31" i="12"/>
  <c r="K14" i="12"/>
  <c r="H42" i="12" a="1"/>
  <c r="H42" i="12" s="1"/>
  <c r="M9" i="13"/>
  <c r="B60" i="13"/>
  <c r="B54" i="13"/>
  <c r="B22" i="13"/>
  <c r="G18" i="13"/>
  <c r="B39" i="13"/>
  <c r="J8" i="13"/>
  <c r="E20" i="13"/>
  <c r="F32" i="12"/>
  <c r="G20" i="12"/>
  <c r="F18" i="12"/>
  <c r="C24" i="12"/>
  <c r="L15" i="12"/>
  <c r="G21" i="12"/>
  <c r="H40" i="12" a="1"/>
  <c r="H40" i="12" s="1"/>
  <c r="E44" i="12"/>
  <c r="L22" i="12"/>
  <c r="L35" i="12"/>
  <c r="B19" i="12"/>
  <c r="J43" i="12"/>
  <c r="K47" i="12"/>
  <c r="H36" i="12" a="1"/>
  <c r="H36" i="12" s="1"/>
  <c r="J21" i="13"/>
  <c r="L18" i="13"/>
  <c r="B44" i="13"/>
  <c r="B32" i="13"/>
  <c r="F29" i="13"/>
  <c r="C37" i="13"/>
  <c r="F42" i="13"/>
  <c r="K40" i="13"/>
  <c r="E18" i="13"/>
  <c r="G50" i="13"/>
  <c r="D38" i="13"/>
  <c r="E60" i="13"/>
  <c r="L26" i="13"/>
  <c r="D52" i="13"/>
  <c r="C30" i="13"/>
  <c r="E12" i="13"/>
  <c r="B46" i="13"/>
  <c r="K34" i="13"/>
  <c r="C20" i="13"/>
  <c r="K23" i="13"/>
  <c r="D44" i="13"/>
  <c r="F34" i="13"/>
  <c r="L31" i="12"/>
  <c r="D29" i="12"/>
  <c r="G39" i="12"/>
  <c r="J26" i="12"/>
  <c r="F21" i="12"/>
  <c r="J44" i="12"/>
  <c r="E40" i="12"/>
  <c r="G16" i="12"/>
  <c r="F25" i="12"/>
  <c r="J35" i="12"/>
  <c r="C12" i="12"/>
  <c r="K41" i="12"/>
  <c r="K13" i="12"/>
  <c r="J45" i="12"/>
  <c r="E9" i="12"/>
  <c r="C11" i="12"/>
  <c r="H53" i="13" a="1"/>
  <c r="H53" i="13" s="1"/>
  <c r="H43" i="12" a="1"/>
  <c r="H43" i="12" s="1"/>
  <c r="H51" i="12" a="1"/>
  <c r="H51" i="12" s="1"/>
  <c r="M49" i="13"/>
  <c r="M61" i="13"/>
  <c r="M32" i="13"/>
  <c r="C49" i="12"/>
  <c r="E56" i="12"/>
  <c r="E52" i="12"/>
  <c r="G51" i="12"/>
  <c r="F59" i="12"/>
  <c r="B63" i="13"/>
  <c r="M27" i="13"/>
  <c r="M39" i="13"/>
  <c r="M10" i="13"/>
  <c r="C48" i="12"/>
  <c r="F50" i="12"/>
  <c r="K53" i="12"/>
  <c r="D49" i="12"/>
  <c r="L56" i="12"/>
  <c r="D53" i="13"/>
  <c r="D33" i="13"/>
  <c r="D8" i="13"/>
  <c r="J13" i="13"/>
  <c r="D37" i="13"/>
  <c r="G39" i="13"/>
  <c r="B56" i="13"/>
  <c r="C55" i="13"/>
  <c r="D55" i="13"/>
  <c r="G40" i="13"/>
  <c r="C46" i="13"/>
  <c r="C34" i="13"/>
  <c r="C16" i="13"/>
  <c r="D21" i="13"/>
  <c r="C44" i="13"/>
  <c r="G48" i="13"/>
  <c r="J23" i="13"/>
  <c r="C22" i="13"/>
  <c r="D45" i="13"/>
  <c r="K13" i="13"/>
  <c r="J17" i="13"/>
  <c r="F30" i="13"/>
  <c r="E25" i="12"/>
  <c r="C17" i="12"/>
  <c r="D20" i="12"/>
  <c r="K9" i="12"/>
  <c r="F45" i="12"/>
  <c r="G32" i="12"/>
  <c r="D13" i="12"/>
  <c r="G34" i="12"/>
  <c r="B25" i="12"/>
  <c r="K37" i="12"/>
  <c r="E17" i="12"/>
  <c r="E26" i="12"/>
  <c r="E18" i="12"/>
  <c r="C45" i="12"/>
  <c r="J21" i="12"/>
  <c r="K27" i="12"/>
  <c r="H45" i="12" a="1"/>
  <c r="H45" i="12" s="1"/>
  <c r="H47" i="12" a="1"/>
  <c r="H47" i="12" s="1"/>
  <c r="M17" i="13"/>
  <c r="M18" i="13"/>
  <c r="J50" i="12"/>
  <c r="D60" i="12"/>
  <c r="D57" i="12"/>
  <c r="G59" i="12"/>
  <c r="E58" i="12"/>
  <c r="K48" i="12"/>
  <c r="J55" i="12"/>
  <c r="F59" i="13"/>
  <c r="J50" i="13"/>
  <c r="B30" i="13"/>
  <c r="F43" i="13"/>
  <c r="G41" i="13"/>
  <c r="B16" i="13"/>
  <c r="E45" i="13"/>
  <c r="L28" i="13"/>
  <c r="B57" i="13"/>
  <c r="J29" i="13"/>
  <c r="L46" i="13"/>
  <c r="J62" i="13"/>
  <c r="K41" i="13"/>
  <c r="G55" i="13"/>
  <c r="C54" i="13"/>
  <c r="K26" i="13"/>
  <c r="D22" i="13"/>
  <c r="B34" i="12"/>
  <c r="F36" i="12"/>
  <c r="B16" i="12"/>
  <c r="G28" i="12"/>
  <c r="F42" i="12"/>
  <c r="D34" i="12"/>
  <c r="F44" i="12"/>
  <c r="B13" i="12"/>
  <c r="L23" i="12"/>
  <c r="F20" i="12"/>
  <c r="K18" i="12"/>
  <c r="C33" i="12"/>
  <c r="C35" i="12"/>
  <c r="B23" i="12"/>
  <c r="F30" i="12"/>
  <c r="E32" i="12"/>
  <c r="H38" i="13" a="1"/>
  <c r="H38" i="13" s="1"/>
  <c r="H31" i="12" a="1"/>
  <c r="H31" i="12" s="1"/>
  <c r="H54" i="12" a="1"/>
  <c r="H54" i="12" s="1"/>
  <c r="C63" i="13"/>
  <c r="M48" i="13"/>
  <c r="M60" i="13"/>
  <c r="M55" i="13"/>
  <c r="B55" i="12"/>
  <c r="E55" i="12"/>
  <c r="G48" i="12"/>
  <c r="L55" i="12"/>
  <c r="M26" i="13"/>
  <c r="M38" i="13"/>
  <c r="M53" i="13"/>
  <c r="D59" i="12"/>
  <c r="F53" i="12"/>
  <c r="K55" i="12"/>
  <c r="G54" i="12"/>
  <c r="J57" i="12"/>
  <c r="B48" i="12"/>
  <c r="L51" i="12"/>
  <c r="D63" i="13"/>
  <c r="M16" i="13"/>
  <c r="M31" i="13"/>
  <c r="L50" i="12"/>
  <c r="K60" i="12"/>
  <c r="D51" i="12"/>
  <c r="J60" i="12"/>
  <c r="C57" i="12"/>
  <c r="E63" i="13"/>
  <c r="M25" i="13"/>
  <c r="M59" i="13"/>
  <c r="L49" i="12"/>
  <c r="F56" i="12"/>
  <c r="K58" i="12"/>
  <c r="L59" i="12"/>
  <c r="B49" i="12"/>
  <c r="B60" i="12"/>
  <c r="K56" i="13"/>
  <c r="K53" i="13"/>
  <c r="F25" i="13"/>
  <c r="J33" i="13"/>
  <c r="B52" i="13"/>
  <c r="E31" i="13"/>
  <c r="E44" i="13"/>
  <c r="G28" i="13"/>
  <c r="B55" i="13"/>
  <c r="F38" i="13"/>
  <c r="E49" i="13"/>
  <c r="J38" i="13"/>
  <c r="K50" i="13"/>
  <c r="E36" i="13"/>
  <c r="K18" i="13"/>
  <c r="G27" i="13"/>
  <c r="L43" i="13"/>
  <c r="G12" i="13"/>
  <c r="E29" i="12"/>
  <c r="J14" i="12"/>
  <c r="J11" i="12"/>
  <c r="C29" i="12"/>
  <c r="D19" i="12"/>
  <c r="B43" i="12"/>
  <c r="K36" i="12"/>
  <c r="C34" i="12"/>
  <c r="G46" i="12"/>
  <c r="B18" i="12"/>
  <c r="J18" i="12"/>
  <c r="C47" i="12"/>
  <c r="B33" i="12"/>
  <c r="J40" i="12"/>
  <c r="K35" i="12"/>
  <c r="G25" i="12"/>
  <c r="H51" i="13" a="1"/>
  <c r="H51" i="13" s="1"/>
  <c r="H25" i="12" a="1"/>
  <c r="H25" i="12" s="1"/>
  <c r="H62" i="13" a="1"/>
  <c r="H62" i="13" s="1"/>
  <c r="C51" i="13"/>
  <c r="B19" i="13"/>
  <c r="K8" i="13"/>
  <c r="B59" i="13"/>
  <c r="E11" i="13"/>
  <c r="J57" i="13"/>
  <c r="B9" i="13"/>
  <c r="K21" i="13"/>
  <c r="L16" i="13"/>
  <c r="G59" i="13"/>
  <c r="G62" i="13"/>
  <c r="J39" i="13"/>
  <c r="B18" i="13"/>
  <c r="E58" i="13"/>
  <c r="K60" i="13"/>
  <c r="L49" i="13"/>
  <c r="G19" i="13"/>
  <c r="C49" i="13"/>
  <c r="J10" i="13"/>
  <c r="C42" i="13"/>
  <c r="F10" i="13"/>
  <c r="K19" i="13"/>
  <c r="D31" i="12"/>
  <c r="E8" i="12"/>
  <c r="D39" i="12"/>
  <c r="B8" i="12"/>
  <c r="D41" i="12"/>
  <c r="D43" i="12"/>
  <c r="G43" i="12"/>
  <c r="L11" i="12"/>
  <c r="C28" i="12"/>
  <c r="C44" i="12"/>
  <c r="E35" i="12"/>
  <c r="K20" i="12"/>
  <c r="E10" i="12"/>
  <c r="J12" i="12"/>
  <c r="K39" i="12"/>
  <c r="C13" i="12"/>
  <c r="H49" i="13" a="1"/>
  <c r="H49" i="13" s="1"/>
  <c r="H35" i="12" a="1"/>
  <c r="H35" i="12" s="1"/>
  <c r="H56" i="12" a="1"/>
  <c r="H56" i="12" s="1"/>
  <c r="L63" i="13"/>
  <c r="M37" i="13"/>
  <c r="M52" i="13"/>
  <c r="F55" i="12"/>
  <c r="D53" i="12"/>
  <c r="G56" i="12"/>
  <c r="B52" i="12"/>
  <c r="C58" i="12"/>
  <c r="L54" i="12"/>
  <c r="K50" i="12"/>
  <c r="L11" i="13"/>
  <c r="J9" i="13"/>
  <c r="C25" i="13"/>
  <c r="D32" i="13"/>
  <c r="F45" i="13"/>
  <c r="E34" i="13"/>
  <c r="D36" i="13"/>
  <c r="B13" i="13"/>
  <c r="F27" i="13"/>
  <c r="C35" i="13"/>
  <c r="G36" i="13"/>
  <c r="K14" i="13"/>
  <c r="E15" i="13"/>
  <c r="L24" i="13"/>
  <c r="C33" i="13"/>
  <c r="E47" i="13"/>
  <c r="C23" i="12"/>
  <c r="E13" i="12"/>
  <c r="C39" i="12"/>
  <c r="C20" i="12"/>
  <c r="K15" i="12"/>
  <c r="J39" i="12"/>
  <c r="G11" i="12"/>
  <c r="D8" i="12"/>
  <c r="L44" i="12"/>
  <c r="C41" i="12"/>
  <c r="D25" i="12"/>
  <c r="J22" i="12"/>
  <c r="F26" i="12"/>
  <c r="J8" i="12"/>
  <c r="C10" i="12"/>
  <c r="E12" i="12"/>
  <c r="L34" i="12"/>
  <c r="H61" i="13" a="1"/>
  <c r="H61" i="13" s="1"/>
  <c r="H55" i="12" a="1"/>
  <c r="H55" i="12" s="1"/>
  <c r="F63" i="13"/>
  <c r="M46" i="13"/>
  <c r="M58" i="13"/>
  <c r="M8" i="13"/>
  <c r="E48" i="12"/>
  <c r="C53" i="12"/>
  <c r="F52" i="12"/>
  <c r="D56" i="12"/>
  <c r="K9" i="13"/>
  <c r="D26" i="13"/>
  <c r="L53" i="13"/>
  <c r="B8" i="13"/>
  <c r="L36" i="13"/>
  <c r="L48" i="13"/>
  <c r="J14" i="13"/>
  <c r="K24" i="13"/>
  <c r="E32" i="13"/>
  <c r="J15" i="13"/>
  <c r="J60" i="13"/>
  <c r="F14" i="13"/>
  <c r="B27" i="13"/>
  <c r="B40" i="13"/>
  <c r="G58" i="13"/>
  <c r="C39" i="13"/>
  <c r="C11" i="13"/>
  <c r="E35" i="13"/>
  <c r="L57" i="13"/>
  <c r="J30" i="13"/>
  <c r="G15" i="13"/>
  <c r="D18" i="13"/>
  <c r="G54" i="13"/>
  <c r="B31" i="13"/>
  <c r="L8" i="13"/>
  <c r="F9" i="13"/>
  <c r="G29" i="13"/>
  <c r="J44" i="13"/>
  <c r="C21" i="13"/>
  <c r="E17" i="13"/>
  <c r="D61" i="13"/>
  <c r="J24" i="12"/>
  <c r="E28" i="12"/>
  <c r="F8" i="12"/>
  <c r="F19" i="12"/>
  <c r="D45" i="12"/>
  <c r="G17" i="12"/>
  <c r="K26" i="12"/>
  <c r="F13" i="12"/>
  <c r="L26" i="12"/>
  <c r="B35" i="12"/>
  <c r="F39" i="12"/>
  <c r="G18" i="12"/>
  <c r="E38" i="12"/>
  <c r="K46" i="12"/>
  <c r="D12" i="12"/>
  <c r="F28" i="12"/>
  <c r="K21" i="12"/>
  <c r="H57" i="13" a="1"/>
  <c r="H57" i="13" s="1"/>
  <c r="H39" i="12" a="1"/>
  <c r="H39" i="12" s="1"/>
  <c r="H58" i="12" a="1"/>
  <c r="H58" i="12" s="1"/>
  <c r="M24" i="13"/>
  <c r="M36" i="13"/>
  <c r="M50" i="13"/>
  <c r="F54" i="12"/>
  <c r="F49" i="12"/>
  <c r="K52" i="12"/>
  <c r="E54" i="12"/>
  <c r="C55" i="12"/>
  <c r="E49" i="12"/>
  <c r="D58" i="12"/>
  <c r="J49" i="12"/>
  <c r="B57" i="12"/>
  <c r="E60" i="12"/>
  <c r="E53" i="12"/>
  <c r="C48" i="13"/>
  <c r="L59" i="13"/>
  <c r="D47" i="13"/>
  <c r="D17" i="13"/>
  <c r="J43" i="13"/>
  <c r="B10" i="13"/>
  <c r="D58" i="13"/>
  <c r="G45" i="13"/>
  <c r="L17" i="13"/>
  <c r="B15" i="13"/>
  <c r="L31" i="13"/>
  <c r="E33" i="13"/>
  <c r="C12" i="13"/>
  <c r="K22" i="13"/>
  <c r="K55" i="13"/>
  <c r="J45" i="13"/>
  <c r="C19" i="13"/>
  <c r="J27" i="13"/>
  <c r="C8" i="13"/>
  <c r="C26" i="13"/>
  <c r="G51" i="13"/>
  <c r="B43" i="13"/>
  <c r="J54" i="13"/>
  <c r="G53" i="13"/>
  <c r="G35" i="13"/>
  <c r="K52" i="13"/>
  <c r="F51" i="13"/>
  <c r="J51" i="13"/>
  <c r="C58" i="13"/>
  <c r="G49" i="13"/>
  <c r="L60" i="13"/>
  <c r="J24" i="13"/>
  <c r="D19" i="13"/>
  <c r="B12" i="13"/>
  <c r="F36" i="13"/>
  <c r="G24" i="12"/>
  <c r="C40" i="12"/>
  <c r="J37" i="12"/>
  <c r="D32" i="12"/>
  <c r="K22" i="12"/>
  <c r="D23" i="12"/>
  <c r="F9" i="12"/>
  <c r="C42" i="12"/>
  <c r="K42" i="12"/>
  <c r="K8" i="12"/>
  <c r="E33" i="12"/>
  <c r="D21" i="12"/>
  <c r="B38" i="12"/>
  <c r="J20" i="12"/>
  <c r="F15" i="12"/>
  <c r="E46" i="12"/>
  <c r="G14" i="12"/>
  <c r="H56" i="13" a="1"/>
  <c r="H56" i="13" s="1"/>
  <c r="H38" i="12" a="1"/>
  <c r="H38" i="12" s="1"/>
  <c r="H57" i="12" a="1"/>
  <c r="H57" i="12" s="1"/>
  <c r="G63" i="13"/>
  <c r="M14" i="13"/>
  <c r="M42" i="13"/>
  <c r="L48" i="12"/>
  <c r="J54" i="12"/>
  <c r="G58" i="12"/>
  <c r="D48" i="12"/>
  <c r="G50" i="12"/>
  <c r="L53" i="12"/>
  <c r="D59" i="13"/>
  <c r="C41" i="13"/>
  <c r="E61" i="13"/>
  <c r="C14" i="13"/>
  <c r="J59" i="13"/>
  <c r="G43" i="13"/>
  <c r="K12" i="13"/>
  <c r="L38" i="13"/>
  <c r="F24" i="13"/>
  <c r="J53" i="13"/>
  <c r="B11" i="13"/>
  <c r="B49" i="13"/>
  <c r="F15" i="13"/>
  <c r="B41" i="13"/>
  <c r="B58" i="13"/>
  <c r="F57" i="13"/>
  <c r="D28" i="13"/>
  <c r="G34" i="13"/>
  <c r="L15" i="13"/>
  <c r="E30" i="13"/>
  <c r="G14" i="13"/>
  <c r="D23" i="13"/>
  <c r="J58" i="13"/>
  <c r="E41" i="13"/>
  <c r="B22" i="12"/>
  <c r="L13" i="12"/>
  <c r="L46" i="12"/>
  <c r="D35" i="12"/>
  <c r="G45" i="12"/>
  <c r="F11" i="12"/>
  <c r="C22" i="12"/>
  <c r="B10" i="12"/>
  <c r="K32" i="12"/>
  <c r="L42" i="12"/>
  <c r="J38" i="12"/>
  <c r="F47" i="12"/>
  <c r="C14" i="12"/>
  <c r="G36" i="12"/>
  <c r="C25" i="12"/>
  <c r="J28" i="12"/>
  <c r="E47" i="12"/>
  <c r="H43" i="13" a="1"/>
  <c r="H43" i="13" s="1"/>
  <c r="H50" i="12" a="1"/>
  <c r="H50" i="12" s="1"/>
  <c r="B11" i="12"/>
  <c r="M45" i="13"/>
  <c r="M20" i="13"/>
  <c r="M63" i="13"/>
  <c r="C52" i="12"/>
  <c r="J48" i="12"/>
  <c r="B54" i="12"/>
  <c r="E57" i="12"/>
  <c r="J59" i="12"/>
  <c r="B51" i="12"/>
  <c r="E51" i="12"/>
  <c r="H63" i="13"/>
  <c r="M23" i="13"/>
  <c r="M57" i="13"/>
  <c r="M41" i="13"/>
  <c r="J53" i="12"/>
  <c r="K54" i="12"/>
  <c r="C60" i="12"/>
  <c r="F60" i="12"/>
  <c r="M35" i="13"/>
  <c r="M40" i="13"/>
  <c r="C51" i="12"/>
  <c r="F51" i="12"/>
  <c r="D50" i="12"/>
  <c r="G53" i="12"/>
  <c r="G22" i="13"/>
  <c r="K44" i="13"/>
  <c r="L29" i="13"/>
  <c r="F12" i="13"/>
  <c r="L9" i="13"/>
  <c r="G20" i="13"/>
  <c r="G44" i="13"/>
  <c r="G33" i="13"/>
  <c r="F33" i="13"/>
  <c r="F13" i="13"/>
  <c r="D16" i="13"/>
  <c r="B48" i="13"/>
  <c r="L54" i="13"/>
  <c r="B29" i="12"/>
  <c r="F31" i="12"/>
  <c r="K45" i="12"/>
  <c r="K17" i="12"/>
  <c r="G47" i="12"/>
  <c r="J47" i="12"/>
  <c r="D17" i="12"/>
  <c r="F37" i="12"/>
  <c r="B46" i="12"/>
  <c r="C38" i="12"/>
  <c r="B27" i="12"/>
  <c r="E43" i="12"/>
  <c r="F23" i="12"/>
  <c r="G22" i="12"/>
  <c r="D15" i="12"/>
  <c r="D9" i="12"/>
  <c r="K10" i="12"/>
  <c r="H48" i="13" a="1"/>
  <c r="H48" i="13" s="1"/>
  <c r="H48" i="12" a="1"/>
  <c r="H48" i="12" s="1"/>
  <c r="J63" i="13"/>
  <c r="M44" i="13"/>
  <c r="M13" i="13"/>
  <c r="M30" i="13"/>
  <c r="J52" i="12"/>
  <c r="G60" i="12"/>
  <c r="B56" i="12"/>
  <c r="E59" i="12"/>
  <c r="G52" i="12"/>
  <c r="J56" i="12"/>
  <c r="J41" i="13"/>
  <c r="L25" i="13"/>
  <c r="K54" i="13"/>
  <c r="L10" i="13"/>
  <c r="F40" i="13"/>
  <c r="D27" i="13"/>
  <c r="K48" i="13"/>
  <c r="G42" i="13"/>
  <c r="L62" i="13"/>
  <c r="L61" i="13"/>
  <c r="C36" i="13"/>
  <c r="J18" i="13"/>
  <c r="E55" i="13"/>
  <c r="K38" i="13"/>
  <c r="E13" i="13"/>
  <c r="K57" i="13"/>
  <c r="F44" i="13"/>
  <c r="F39" i="13"/>
  <c r="G24" i="13"/>
  <c r="E19" i="13"/>
  <c r="E62" i="13"/>
  <c r="G8" i="13"/>
  <c r="E43" i="13"/>
  <c r="J56" i="13"/>
  <c r="C38" i="13"/>
  <c r="B37" i="13"/>
  <c r="L42" i="13"/>
  <c r="D11" i="13"/>
  <c r="K33" i="13"/>
  <c r="F41" i="12"/>
  <c r="B15" i="12"/>
  <c r="G27" i="12"/>
  <c r="L30" i="12"/>
  <c r="K44" i="12"/>
  <c r="J31" i="12"/>
  <c r="G42" i="12"/>
  <c r="G30" i="12"/>
  <c r="B24" i="12"/>
  <c r="F38" i="12"/>
  <c r="E30" i="12"/>
  <c r="J42" i="12"/>
  <c r="E39" i="12"/>
  <c r="L8" i="12"/>
  <c r="K30" i="12"/>
  <c r="L45" i="12"/>
  <c r="H50" i="13" a="1"/>
  <c r="H50" i="13" s="1"/>
  <c r="H47" i="13" a="1"/>
  <c r="H47" i="13" s="1"/>
  <c r="H41" i="12" a="1"/>
  <c r="H41" i="12" s="1"/>
  <c r="M22" i="13"/>
  <c r="M56" i="13"/>
  <c r="J51" i="12"/>
  <c r="K49" i="12"/>
  <c r="G49" i="12"/>
  <c r="L41" i="12"/>
  <c r="E16" i="12"/>
  <c r="D11" i="12"/>
  <c r="D27" i="12"/>
  <c r="B26" i="12"/>
  <c r="K19" i="12"/>
  <c r="L39" i="12"/>
  <c r="G35" i="12"/>
  <c r="G38" i="12"/>
  <c r="L29" i="12"/>
  <c r="L21" i="12"/>
  <c r="L38" i="12"/>
  <c r="D10" i="12"/>
  <c r="B30" i="12"/>
  <c r="B41" i="12"/>
  <c r="D16" i="12"/>
  <c r="C46" i="12"/>
  <c r="H49" i="12" a="1"/>
  <c r="H49" i="12" s="1"/>
  <c r="C13" i="13"/>
  <c r="J22" i="13"/>
  <c r="D25" i="13"/>
  <c r="D24" i="13"/>
  <c r="J11" i="13"/>
  <c r="L32" i="13"/>
  <c r="E37" i="13"/>
  <c r="G30" i="13"/>
  <c r="J49" i="13"/>
  <c r="C45" i="13"/>
  <c r="B61" i="13"/>
  <c r="G60" i="13"/>
  <c r="D9" i="13"/>
  <c r="B24" i="13"/>
  <c r="C29" i="13"/>
  <c r="G32" i="13"/>
  <c r="L58" i="13"/>
  <c r="E39" i="13"/>
  <c r="B25" i="13"/>
  <c r="J37" i="13"/>
  <c r="D39" i="13"/>
  <c r="C16" i="12"/>
  <c r="B42" i="12"/>
  <c r="E14" i="12"/>
  <c r="G37" i="12"/>
  <c r="K40" i="12"/>
  <c r="D14" i="12"/>
  <c r="D22" i="12"/>
  <c r="B20" i="12"/>
  <c r="C27" i="12"/>
  <c r="F33" i="12"/>
  <c r="K24" i="12"/>
  <c r="C19" i="12"/>
  <c r="F17" i="12"/>
  <c r="G29" i="12"/>
  <c r="B9" i="12"/>
  <c r="C9" i="12"/>
  <c r="H60" i="13" a="1"/>
  <c r="H60" i="13" s="1"/>
  <c r="H58" i="13" a="1"/>
  <c r="H58" i="13" s="1"/>
  <c r="H32" i="12" a="1"/>
  <c r="H32" i="12" s="1"/>
  <c r="K63" i="13"/>
  <c r="M34" i="13"/>
  <c r="M51" i="13"/>
  <c r="K56" i="12"/>
  <c r="D52" i="12"/>
  <c r="G55" i="12"/>
  <c r="L58" i="12"/>
  <c r="J58" i="12"/>
  <c r="L52" i="12"/>
  <c r="L14" i="13"/>
  <c r="C28" i="13"/>
  <c r="K61" i="13"/>
  <c r="E42" i="13"/>
  <c r="L22" i="13"/>
  <c r="E54" i="13"/>
  <c r="D30" i="13"/>
  <c r="G61" i="13"/>
  <c r="B17" i="13"/>
  <c r="B29" i="13"/>
  <c r="L39" i="13"/>
  <c r="D57" i="13"/>
  <c r="D14" i="13"/>
  <c r="D15" i="13"/>
  <c r="C27" i="13"/>
  <c r="C9" i="13"/>
  <c r="L27" i="13"/>
  <c r="F49" i="13"/>
  <c r="L52" i="13"/>
  <c r="K43" i="13"/>
  <c r="D26" i="12"/>
  <c r="B45" i="12"/>
  <c r="L40" i="12"/>
  <c r="C18" i="12"/>
  <c r="G44" i="12"/>
  <c r="C37" i="12"/>
  <c r="J46" i="12"/>
  <c r="F35" i="12"/>
  <c r="K25" i="12"/>
  <c r="B14" i="12"/>
  <c r="F29" i="12"/>
  <c r="E27" i="12"/>
  <c r="L37" i="12"/>
  <c r="F14" i="12"/>
  <c r="G26" i="12"/>
  <c r="G12" i="12"/>
  <c r="H46" i="13" a="1"/>
  <c r="H46" i="13" s="1"/>
  <c r="H41" i="13" a="1"/>
  <c r="H41" i="13" s="1"/>
  <c r="H44" i="12" a="1"/>
  <c r="H44" i="12" s="1"/>
  <c r="M43" i="13"/>
  <c r="M12" i="13"/>
  <c r="M29" i="13"/>
  <c r="K57" i="12"/>
  <c r="L57" i="12"/>
  <c r="M21" i="13"/>
  <c r="M11" i="13"/>
  <c r="F58" i="12"/>
  <c r="B58" i="12"/>
  <c r="K51" i="12"/>
  <c r="B59" i="12"/>
  <c r="B50" i="12"/>
  <c r="C54" i="12"/>
  <c r="C50" i="12"/>
  <c r="D54" i="12"/>
  <c r="G57" i="12"/>
  <c r="B53" i="12"/>
  <c r="D55" i="12"/>
  <c r="E50" i="12"/>
  <c r="A7" i="13"/>
  <c r="M7" i="13" s="1"/>
  <c r="A7" i="12"/>
  <c r="F7" i="12" s="1"/>
  <c r="H26" i="11" a="1"/>
  <c r="H26" i="11" s="1"/>
  <c r="D33" i="10"/>
  <c r="I33" i="10" s="1"/>
  <c r="D31" i="10"/>
  <c r="I31" i="10" s="1"/>
  <c r="K33" i="10"/>
  <c r="C34" i="10"/>
  <c r="E31" i="10"/>
  <c r="L33" i="10"/>
  <c r="K31" i="10"/>
  <c r="F31" i="10"/>
  <c r="M33" i="10"/>
  <c r="C32" i="10"/>
  <c r="H34" i="10" a="1"/>
  <c r="H34" i="10" s="1"/>
  <c r="G31" i="10"/>
  <c r="B34" i="10"/>
  <c r="M34" i="10"/>
  <c r="G32" i="10"/>
  <c r="H33" i="10" a="1"/>
  <c r="H33" i="10" s="1"/>
  <c r="H32" i="10" a="1"/>
  <c r="H32" i="10" s="1"/>
  <c r="L31" i="10"/>
  <c r="D34" i="10"/>
  <c r="I34" i="10" s="1"/>
  <c r="F32" i="10"/>
  <c r="C33" i="10"/>
  <c r="H31" i="10" a="1"/>
  <c r="H31" i="10" s="1"/>
  <c r="M31" i="10"/>
  <c r="E34" i="10"/>
  <c r="B33" i="10"/>
  <c r="B32" i="10"/>
  <c r="F34" i="10"/>
  <c r="G34" i="10"/>
  <c r="D32" i="10"/>
  <c r="I32" i="10" s="1"/>
  <c r="K34" i="10"/>
  <c r="E32" i="10"/>
  <c r="L34" i="10"/>
  <c r="K32" i="10"/>
  <c r="L32" i="10"/>
  <c r="M32" i="10"/>
  <c r="E33" i="10"/>
  <c r="C31" i="10"/>
  <c r="G33" i="10"/>
  <c r="B31" i="10"/>
  <c r="F33" i="10"/>
  <c r="H69" i="13" a="1"/>
  <c r="H69" i="13" s="1"/>
  <c r="H60" i="12" a="1"/>
  <c r="H60" i="12" s="1"/>
  <c r="H59" i="12" a="1"/>
  <c r="H59" i="12" s="1"/>
  <c r="H34" i="13" a="1"/>
  <c r="H34" i="13" s="1"/>
  <c r="J14" i="10"/>
  <c r="G16" i="10"/>
  <c r="E14" i="10"/>
  <c r="G15" i="10"/>
  <c r="G14" i="10"/>
  <c r="F16" i="10"/>
  <c r="F15" i="10"/>
  <c r="F14" i="10"/>
  <c r="E16" i="10"/>
  <c r="E15" i="10"/>
  <c r="D16" i="10"/>
  <c r="I16" i="10" s="1"/>
  <c r="M16" i="10"/>
  <c r="D15" i="10"/>
  <c r="I15" i="10" s="1"/>
  <c r="M15" i="10"/>
  <c r="D14" i="10"/>
  <c r="I14" i="10" s="1"/>
  <c r="M14" i="10"/>
  <c r="C16" i="10"/>
  <c r="L16" i="10"/>
  <c r="C15" i="10"/>
  <c r="L15" i="10"/>
  <c r="C14" i="10"/>
  <c r="L14" i="10"/>
  <c r="B16" i="10"/>
  <c r="K16" i="10"/>
  <c r="B15" i="10"/>
  <c r="K15" i="10"/>
  <c r="B14" i="10"/>
  <c r="K14" i="10"/>
  <c r="J16" i="10"/>
  <c r="J15" i="10"/>
  <c r="H68" i="12" a="1"/>
  <c r="H68" i="12" s="1"/>
  <c r="H65" i="12" a="1"/>
  <c r="H65" i="12" s="1"/>
  <c r="H26" i="12" a="1"/>
  <c r="H26" i="12" s="1"/>
  <c r="H36" i="13" a="1"/>
  <c r="H36" i="13" s="1"/>
  <c r="H8" i="13" a="1"/>
  <c r="H8" i="13" s="1"/>
  <c r="H69" i="12" a="1"/>
  <c r="H69" i="12" s="1"/>
  <c r="H67" i="12" a="1"/>
  <c r="H67" i="12" s="1"/>
  <c r="H66" i="12" a="1"/>
  <c r="H66" i="12" s="1"/>
  <c r="H64" i="12" a="1"/>
  <c r="H64" i="12" s="1"/>
  <c r="H36" i="11" a="1"/>
  <c r="H36" i="11" s="1"/>
  <c r="H41" i="11" a="1"/>
  <c r="H41" i="11" s="1"/>
  <c r="D30" i="10"/>
  <c r="I30" i="10" s="1"/>
  <c r="E30" i="10"/>
  <c r="H29" i="10" a="1"/>
  <c r="H29" i="10" s="1"/>
  <c r="F30" i="10"/>
  <c r="L30" i="10"/>
  <c r="G30" i="10"/>
  <c r="H30" i="10" a="1"/>
  <c r="H30" i="10" s="1"/>
  <c r="K30" i="10"/>
  <c r="M30" i="10"/>
  <c r="B30" i="10"/>
  <c r="B29" i="10"/>
  <c r="C29" i="10"/>
  <c r="E29" i="10"/>
  <c r="D29" i="10"/>
  <c r="I29" i="10" s="1"/>
  <c r="F29" i="10"/>
  <c r="G29" i="10"/>
  <c r="L29" i="10"/>
  <c r="K29" i="10"/>
  <c r="M29" i="10"/>
  <c r="C30" i="10"/>
  <c r="H20" i="13" a="1"/>
  <c r="H20" i="13" s="1"/>
  <c r="H27" i="13" a="1"/>
  <c r="H27" i="13" s="1"/>
  <c r="H38" i="11" a="1"/>
  <c r="H38" i="11" s="1"/>
  <c r="H29" i="13" a="1"/>
  <c r="H29" i="13" s="1"/>
  <c r="H9" i="13" a="1"/>
  <c r="H9" i="13" s="1"/>
  <c r="H33" i="12" a="1"/>
  <c r="H33" i="12" s="1"/>
  <c r="B28" i="10"/>
  <c r="C28" i="10"/>
  <c r="M28" i="10"/>
  <c r="D28" i="10"/>
  <c r="I28" i="10" s="1"/>
  <c r="E28" i="10"/>
  <c r="F28" i="10"/>
  <c r="G28" i="10"/>
  <c r="L28" i="10"/>
  <c r="L27" i="10"/>
  <c r="K28" i="10"/>
  <c r="H28" i="10" a="1"/>
  <c r="H28" i="10" s="1"/>
  <c r="H27" i="10" a="1"/>
  <c r="H27" i="10" s="1"/>
  <c r="B27" i="10"/>
  <c r="C27" i="10"/>
  <c r="D27" i="10"/>
  <c r="I27" i="10" s="1"/>
  <c r="E27" i="10"/>
  <c r="F27" i="10"/>
  <c r="G27" i="10"/>
  <c r="K27" i="10"/>
  <c r="M27" i="10"/>
  <c r="H30" i="12" a="1"/>
  <c r="H30" i="12" s="1"/>
  <c r="H22" i="11" a="1"/>
  <c r="H22" i="11" s="1"/>
  <c r="H37" i="11" a="1"/>
  <c r="H37" i="11" s="1"/>
  <c r="H8" i="11" a="1"/>
  <c r="H8" i="11" s="1"/>
  <c r="H10" i="11" a="1"/>
  <c r="H10" i="11" s="1"/>
  <c r="H11" i="11" a="1"/>
  <c r="H11" i="11" s="1"/>
  <c r="D26" i="10"/>
  <c r="I26" i="10" s="1"/>
  <c r="M26" i="10"/>
  <c r="E26" i="10"/>
  <c r="G26" i="10"/>
  <c r="F26" i="10"/>
  <c r="K26" i="10"/>
  <c r="L26" i="10"/>
  <c r="C26" i="10"/>
  <c r="H26" i="10" a="1"/>
  <c r="H26" i="10" s="1"/>
  <c r="B26" i="10"/>
  <c r="H24" i="13" a="1"/>
  <c r="H24" i="13" s="1"/>
  <c r="H22" i="12" a="1"/>
  <c r="H22" i="12" s="1"/>
  <c r="B25" i="10"/>
  <c r="C25" i="10"/>
  <c r="H25" i="10" a="1"/>
  <c r="H25" i="10" s="1"/>
  <c r="D25" i="10"/>
  <c r="I25" i="10" s="1"/>
  <c r="K25" i="10"/>
  <c r="E25" i="10"/>
  <c r="F25" i="10"/>
  <c r="G25" i="10"/>
  <c r="L25" i="10"/>
  <c r="M25" i="10"/>
  <c r="H44" i="13" a="1"/>
  <c r="H44" i="13" s="1"/>
  <c r="H20" i="12" a="1"/>
  <c r="H20" i="12" s="1"/>
  <c r="I7" i="17"/>
  <c r="L7" i="17"/>
  <c r="K7" i="17"/>
  <c r="J7" i="17"/>
  <c r="H7" i="17"/>
  <c r="G7" i="17"/>
  <c r="M7" i="17"/>
  <c r="F7" i="17"/>
  <c r="E7" i="17"/>
  <c r="D7" i="17"/>
  <c r="C7" i="17"/>
  <c r="B7" i="17"/>
  <c r="H24" i="11" a="1"/>
  <c r="H24" i="11" s="1"/>
  <c r="E22" i="10"/>
  <c r="L24" i="10"/>
  <c r="K23" i="10"/>
  <c r="F24" i="10"/>
  <c r="C22" i="10"/>
  <c r="H24" i="10" a="1"/>
  <c r="H24" i="10" s="1"/>
  <c r="F22" i="10"/>
  <c r="M24" i="10"/>
  <c r="F23" i="10"/>
  <c r="B22" i="10"/>
  <c r="H23" i="10" a="1"/>
  <c r="H23" i="10" s="1"/>
  <c r="G22" i="10"/>
  <c r="H22" i="10" a="1"/>
  <c r="H22" i="10" s="1"/>
  <c r="K22" i="10"/>
  <c r="L22" i="10"/>
  <c r="M22" i="10"/>
  <c r="B23" i="10"/>
  <c r="H20" i="10" a="1"/>
  <c r="H20" i="10" s="1"/>
  <c r="C23" i="10"/>
  <c r="M23" i="10"/>
  <c r="D23" i="10"/>
  <c r="I23" i="10" s="1"/>
  <c r="C24" i="10"/>
  <c r="D24" i="10"/>
  <c r="I24" i="10" s="1"/>
  <c r="H19" i="10" a="1"/>
  <c r="H19" i="10" s="1"/>
  <c r="E23" i="10"/>
  <c r="G23" i="10"/>
  <c r="E24" i="10"/>
  <c r="L23" i="10"/>
  <c r="K24" i="10"/>
  <c r="B24" i="10"/>
  <c r="D22" i="10"/>
  <c r="I22" i="10" s="1"/>
  <c r="G24" i="10"/>
  <c r="B20" i="10"/>
  <c r="K21" i="10"/>
  <c r="C20" i="10"/>
  <c r="K19" i="10"/>
  <c r="M19" i="10"/>
  <c r="M21" i="10"/>
  <c r="G19" i="10"/>
  <c r="C19" i="10"/>
  <c r="G20" i="10"/>
  <c r="B19" i="10"/>
  <c r="E21" i="10"/>
  <c r="F21" i="10"/>
  <c r="G21" i="10"/>
  <c r="M20" i="10"/>
  <c r="L19" i="10"/>
  <c r="B21" i="10"/>
  <c r="E19" i="10"/>
  <c r="L20" i="10"/>
  <c r="K20" i="10"/>
  <c r="D21" i="10"/>
  <c r="I21" i="10" s="1"/>
  <c r="D19" i="10"/>
  <c r="I19" i="10" s="1"/>
  <c r="C21" i="10"/>
  <c r="F19" i="10"/>
  <c r="E20" i="10"/>
  <c r="F20" i="10"/>
  <c r="D20" i="10"/>
  <c r="I20" i="10" s="1"/>
  <c r="L21" i="10"/>
  <c r="H12" i="13" a="1"/>
  <c r="H12" i="13" s="1"/>
  <c r="H24" i="12" a="1"/>
  <c r="H24" i="12" s="1"/>
  <c r="H13" i="13" a="1"/>
  <c r="H13" i="13" s="1"/>
  <c r="H15" i="13" a="1"/>
  <c r="H15" i="13" s="1"/>
  <c r="H21" i="12" a="1"/>
  <c r="H21" i="12" s="1"/>
  <c r="F18" i="10"/>
  <c r="G8" i="10"/>
  <c r="L18" i="10"/>
  <c r="E11" i="10"/>
  <c r="E8" i="10"/>
  <c r="H12" i="10" a="1"/>
  <c r="H12" i="10" s="1"/>
  <c r="D11" i="10"/>
  <c r="I11" i="10" s="1"/>
  <c r="E18" i="10"/>
  <c r="D12" i="10"/>
  <c r="I12" i="10" s="1"/>
  <c r="H10" i="10" a="1"/>
  <c r="H10" i="10" s="1"/>
  <c r="K8" i="10"/>
  <c r="C11" i="10"/>
  <c r="H11" i="10" a="1"/>
  <c r="H11" i="10" s="1"/>
  <c r="D8" i="10"/>
  <c r="I8" i="10" s="1"/>
  <c r="K9" i="10"/>
  <c r="F10" i="10"/>
  <c r="M18" i="10"/>
  <c r="F11" i="10"/>
  <c r="D10" i="10"/>
  <c r="I10" i="10" s="1"/>
  <c r="F9" i="10"/>
  <c r="H9" i="10" a="1"/>
  <c r="H9" i="10" s="1"/>
  <c r="H15" i="10" a="1"/>
  <c r="H15" i="10" s="1"/>
  <c r="F17" i="10"/>
  <c r="C18" i="10"/>
  <c r="M11" i="10"/>
  <c r="G13" i="10"/>
  <c r="A7" i="10"/>
  <c r="H13" i="10" s="1" a="1"/>
  <c r="H13" i="10" s="1"/>
  <c r="B11" i="10"/>
  <c r="C13" i="10"/>
  <c r="K11" i="10"/>
  <c r="B10" i="10"/>
  <c r="L11" i="10"/>
  <c r="E17" i="10"/>
  <c r="L17" i="10"/>
  <c r="H17" i="10" a="1"/>
  <c r="H17" i="10" s="1"/>
  <c r="H16" i="10" a="1"/>
  <c r="H16" i="10" s="1"/>
  <c r="M10" i="10"/>
  <c r="G17" i="10"/>
  <c r="L13" i="10"/>
  <c r="E13" i="10"/>
  <c r="D9" i="10"/>
  <c r="I9" i="10" s="1"/>
  <c r="E12" i="10"/>
  <c r="F12" i="10"/>
  <c r="M8" i="10"/>
  <c r="K12" i="10"/>
  <c r="K17" i="10"/>
  <c r="E9" i="10"/>
  <c r="G10" i="10"/>
  <c r="C9" i="10"/>
  <c r="M17" i="10"/>
  <c r="B13" i="10"/>
  <c r="D17" i="10"/>
  <c r="I17" i="10" s="1"/>
  <c r="L9" i="10"/>
  <c r="M12" i="10"/>
  <c r="G18" i="10"/>
  <c r="M13" i="10"/>
  <c r="B17" i="10"/>
  <c r="L10" i="10"/>
  <c r="C12" i="10"/>
  <c r="F13" i="10"/>
  <c r="C8" i="10"/>
  <c r="B8" i="10"/>
  <c r="C17" i="10"/>
  <c r="G12" i="10"/>
  <c r="D18" i="10"/>
  <c r="I18" i="10" s="1"/>
  <c r="L12" i="10"/>
  <c r="B9" i="10"/>
  <c r="E10" i="10"/>
  <c r="C10" i="10"/>
  <c r="F8" i="10"/>
  <c r="B18" i="10"/>
  <c r="G9" i="10"/>
  <c r="K10" i="10"/>
  <c r="K13" i="10"/>
  <c r="D13" i="10"/>
  <c r="I13" i="10" s="1"/>
  <c r="K18" i="10"/>
  <c r="G11" i="10"/>
  <c r="L8" i="10"/>
  <c r="B12" i="10"/>
  <c r="M9" i="10"/>
  <c r="H10" i="13" a="1"/>
  <c r="H10" i="13" s="1"/>
  <c r="H19" i="12" a="1"/>
  <c r="H19" i="12" s="1"/>
  <c r="H15" i="11" a="1"/>
  <c r="H15" i="11" s="1"/>
  <c r="H28" i="13" a="1"/>
  <c r="H28" i="13" s="1"/>
  <c r="H9" i="11" a="1"/>
  <c r="H9" i="11" s="1"/>
  <c r="H30" i="11" a="1"/>
  <c r="H30" i="11" s="1"/>
  <c r="H26" i="13" a="1"/>
  <c r="H26" i="13" s="1"/>
  <c r="H29" i="12" a="1"/>
  <c r="H29" i="12" s="1"/>
  <c r="J36" i="11"/>
  <c r="J28" i="11"/>
  <c r="J29" i="11"/>
  <c r="J50" i="11"/>
  <c r="J46" i="11"/>
  <c r="J51" i="11"/>
  <c r="J37" i="11"/>
  <c r="J52" i="11"/>
  <c r="J47" i="11"/>
  <c r="J53" i="11"/>
  <c r="J44" i="11"/>
  <c r="J48" i="11"/>
  <c r="J45" i="11"/>
  <c r="J49" i="11"/>
  <c r="J43" i="11"/>
  <c r="J30" i="11"/>
  <c r="H30" i="13" a="1"/>
  <c r="H30" i="13" s="1"/>
  <c r="H11" i="13" a="1"/>
  <c r="H11" i="13" s="1"/>
  <c r="H28" i="12" a="1"/>
  <c r="H28" i="12" s="1"/>
  <c r="H11" i="12" a="1"/>
  <c r="H11" i="12" s="1"/>
  <c r="J31" i="11"/>
  <c r="J32" i="11"/>
  <c r="J34" i="11"/>
  <c r="J33" i="11"/>
  <c r="J35" i="11"/>
  <c r="K7" i="9"/>
  <c r="B7" i="9"/>
  <c r="L7" i="9"/>
  <c r="J7" i="9"/>
  <c r="I7" i="9"/>
  <c r="H7" i="9"/>
  <c r="G7" i="9"/>
  <c r="F7" i="9"/>
  <c r="E7" i="9"/>
  <c r="D7" i="9"/>
  <c r="C7" i="9"/>
  <c r="J68" i="10" l="1"/>
  <c r="J66" i="10"/>
  <c r="J67" i="10"/>
  <c r="I89" i="13" a="1"/>
  <c r="I89" i="13" s="1"/>
  <c r="I14" i="12" a="1"/>
  <c r="I14" i="12" s="1"/>
  <c r="H21" i="10" a="1"/>
  <c r="H21" i="10" s="1"/>
  <c r="J69" i="10"/>
  <c r="H14" i="10" a="1"/>
  <c r="H14" i="10" s="1"/>
  <c r="I87" i="12" a="1"/>
  <c r="I87" i="12" s="1"/>
  <c r="J64" i="10"/>
  <c r="J65" i="10"/>
  <c r="I88" i="13" a="1"/>
  <c r="I88" i="13" s="1"/>
  <c r="J63" i="10"/>
  <c r="I87" i="13" a="1"/>
  <c r="I87" i="13" s="1"/>
  <c r="H13" i="11" a="1"/>
  <c r="H13" i="11" s="1"/>
  <c r="H22" i="13" a="1"/>
  <c r="H22" i="13" s="1"/>
  <c r="K7" i="11"/>
  <c r="L7" i="11"/>
  <c r="D7" i="11"/>
  <c r="I7" i="11" s="1"/>
  <c r="H12" i="12" a="1"/>
  <c r="H12" i="12" s="1"/>
  <c r="H27" i="12" a="1"/>
  <c r="H27" i="12" s="1"/>
  <c r="H17" i="11" a="1"/>
  <c r="H17" i="11" s="1"/>
  <c r="H35" i="13" a="1"/>
  <c r="H35" i="13" s="1"/>
  <c r="H84" i="13" a="1"/>
  <c r="H84" i="13" s="1"/>
  <c r="H83" i="13" a="1"/>
  <c r="H83" i="13" s="1"/>
  <c r="J23" i="11"/>
  <c r="J24" i="11"/>
  <c r="H83" i="12" a="1"/>
  <c r="H83" i="12" s="1"/>
  <c r="H23" i="13" a="1"/>
  <c r="H23" i="13" s="1"/>
  <c r="J25" i="11"/>
  <c r="H82" i="12" a="1"/>
  <c r="H82" i="12" s="1"/>
  <c r="J19" i="11"/>
  <c r="J22" i="11"/>
  <c r="J60" i="10"/>
  <c r="J62" i="10"/>
  <c r="J14" i="11"/>
  <c r="M7" i="11"/>
  <c r="I11" i="12" a="1"/>
  <c r="I11" i="12" s="1"/>
  <c r="H29" i="11" a="1"/>
  <c r="H29" i="11" s="1"/>
  <c r="H14" i="13" a="1"/>
  <c r="H14" i="13" s="1"/>
  <c r="I86" i="12" a="1"/>
  <c r="I86" i="12" s="1"/>
  <c r="H16" i="11" a="1"/>
  <c r="H16" i="11" s="1"/>
  <c r="H20" i="11" a="1"/>
  <c r="H20" i="11" s="1"/>
  <c r="I85" i="12" a="1"/>
  <c r="I85" i="12" s="1"/>
  <c r="I83" i="12" a="1"/>
  <c r="I83" i="12" s="1"/>
  <c r="H27" i="11" a="1"/>
  <c r="H27" i="11" s="1"/>
  <c r="H21" i="11" a="1"/>
  <c r="H21" i="11" s="1"/>
  <c r="H14" i="11" a="1"/>
  <c r="H14" i="11" s="1"/>
  <c r="H19" i="11" a="1"/>
  <c r="H19" i="11" s="1"/>
  <c r="I84" i="12" a="1"/>
  <c r="I84" i="12" s="1"/>
  <c r="H32" i="11" a="1"/>
  <c r="H32" i="11" s="1"/>
  <c r="H28" i="11" a="1"/>
  <c r="H28" i="11" s="1"/>
  <c r="H23" i="11" a="1"/>
  <c r="H23" i="11" s="1"/>
  <c r="I9" i="12" a="1"/>
  <c r="I9" i="12" s="1"/>
  <c r="H25" i="11" a="1"/>
  <c r="H25" i="11" s="1"/>
  <c r="H18" i="11" a="1"/>
  <c r="H18" i="11" s="1"/>
  <c r="I53" i="12" a="1"/>
  <c r="I53" i="12" s="1"/>
  <c r="E7" i="11"/>
  <c r="H12" i="11" a="1"/>
  <c r="H12" i="11" s="1"/>
  <c r="G7" i="11"/>
  <c r="I86" i="13" a="1"/>
  <c r="I86" i="13" s="1"/>
  <c r="J61" i="10"/>
  <c r="H13" i="12" a="1"/>
  <c r="H13" i="12" s="1"/>
  <c r="I82" i="12" a="1"/>
  <c r="I82" i="12" s="1"/>
  <c r="H18" i="10" a="1"/>
  <c r="H18" i="10" s="1"/>
  <c r="J15" i="11"/>
  <c r="J17" i="11"/>
  <c r="J11" i="11"/>
  <c r="J21" i="11"/>
  <c r="J13" i="11"/>
  <c r="J9" i="11"/>
  <c r="J10" i="11"/>
  <c r="J16" i="11"/>
  <c r="J20" i="11"/>
  <c r="J8" i="11"/>
  <c r="H21" i="13" a="1"/>
  <c r="H21" i="13" s="1"/>
  <c r="J12" i="11"/>
  <c r="J18" i="11"/>
  <c r="I23" i="12" a="1"/>
  <c r="I23" i="12" s="1"/>
  <c r="H7" i="11" a="1"/>
  <c r="H7" i="11" s="1"/>
  <c r="F7" i="11"/>
  <c r="C7" i="11"/>
  <c r="B7" i="11"/>
  <c r="J59" i="10"/>
  <c r="J58" i="10"/>
  <c r="H34" i="12" a="1"/>
  <c r="H34" i="12" s="1"/>
  <c r="H15" i="12" a="1"/>
  <c r="H15" i="12" s="1"/>
  <c r="I27" i="12" a="1"/>
  <c r="I27" i="12" s="1"/>
  <c r="I30" i="12" a="1"/>
  <c r="I30" i="12" s="1"/>
  <c r="I26" i="12" a="1"/>
  <c r="I26" i="12" s="1"/>
  <c r="I25" i="12" a="1"/>
  <c r="I25" i="12" s="1"/>
  <c r="J57" i="10"/>
  <c r="H14" i="12" a="1"/>
  <c r="H14" i="12" s="1"/>
  <c r="J42" i="10"/>
  <c r="H18" i="13" a="1"/>
  <c r="H18" i="13" s="1"/>
  <c r="I82" i="13" a="1"/>
  <c r="I82" i="13" s="1"/>
  <c r="I80" i="13" a="1"/>
  <c r="I80" i="13" s="1"/>
  <c r="H32" i="13" a="1"/>
  <c r="H32" i="13" s="1"/>
  <c r="H31" i="13" a="1"/>
  <c r="H31" i="13" s="1"/>
  <c r="H16" i="12" a="1"/>
  <c r="H16" i="12" s="1"/>
  <c r="I29" i="12" a="1"/>
  <c r="I29" i="12" s="1"/>
  <c r="J55" i="10"/>
  <c r="J53" i="10"/>
  <c r="J56" i="10"/>
  <c r="J54" i="10"/>
  <c r="J52" i="10"/>
  <c r="J50" i="10"/>
  <c r="J47" i="10"/>
  <c r="J43" i="10"/>
  <c r="J39" i="10"/>
  <c r="J37" i="10"/>
  <c r="I83" i="13" a="1"/>
  <c r="I83" i="13" s="1"/>
  <c r="I78" i="13" a="1"/>
  <c r="I78" i="13" s="1"/>
  <c r="H80" i="12" a="1"/>
  <c r="H80" i="12" s="1"/>
  <c r="H79" i="12" a="1"/>
  <c r="H79" i="12" s="1"/>
  <c r="J41" i="10"/>
  <c r="J51" i="10"/>
  <c r="I85" i="13" a="1"/>
  <c r="I85" i="13" s="1"/>
  <c r="I81" i="12" a="1"/>
  <c r="I81" i="12" s="1"/>
  <c r="J44" i="10"/>
  <c r="I79" i="13" a="1"/>
  <c r="I79" i="13" s="1"/>
  <c r="I80" i="12" a="1"/>
  <c r="I80" i="12" s="1"/>
  <c r="I81" i="13" a="1"/>
  <c r="I81" i="13" s="1"/>
  <c r="I79" i="12" a="1"/>
  <c r="I79" i="12" s="1"/>
  <c r="I78" i="12" a="1"/>
  <c r="I78" i="12" s="1"/>
  <c r="I84" i="13" a="1"/>
  <c r="I84" i="13" s="1"/>
  <c r="I77" i="12" a="1"/>
  <c r="I77" i="12" s="1"/>
  <c r="I76" i="12" a="1"/>
  <c r="I76" i="12" s="1"/>
  <c r="I77" i="13" a="1"/>
  <c r="I77" i="13" s="1"/>
  <c r="J45" i="10"/>
  <c r="I69" i="12" a="1"/>
  <c r="I69" i="12" s="1"/>
  <c r="J35" i="10"/>
  <c r="I75" i="12" a="1"/>
  <c r="I75" i="12" s="1"/>
  <c r="I60" i="13" a="1"/>
  <c r="I60" i="13" s="1"/>
  <c r="I16" i="13" a="1"/>
  <c r="I16" i="13" s="1"/>
  <c r="I75" i="13" a="1"/>
  <c r="I75" i="13" s="1"/>
  <c r="J49" i="10"/>
  <c r="J38" i="10"/>
  <c r="I76" i="13" a="1"/>
  <c r="I76" i="13" s="1"/>
  <c r="I73" i="12" a="1"/>
  <c r="I73" i="12" s="1"/>
  <c r="H23" i="12" a="1"/>
  <c r="H23" i="12" s="1"/>
  <c r="I12" i="12" a="1"/>
  <c r="I12" i="12" s="1"/>
  <c r="I71" i="12" a="1"/>
  <c r="I71" i="12" s="1"/>
  <c r="I72" i="12" a="1"/>
  <c r="I72" i="12" s="1"/>
  <c r="I74" i="12" a="1"/>
  <c r="I74" i="12" s="1"/>
  <c r="J46" i="10"/>
  <c r="J40" i="10"/>
  <c r="J36" i="10"/>
  <c r="J48" i="10"/>
  <c r="H16" i="13" a="1"/>
  <c r="H16" i="13" s="1"/>
  <c r="I65" i="13" a="1"/>
  <c r="I65" i="13" s="1"/>
  <c r="I24" i="13" a="1"/>
  <c r="I24" i="13" s="1"/>
  <c r="I17" i="12" a="1"/>
  <c r="I17" i="12" s="1"/>
  <c r="I8" i="13" a="1"/>
  <c r="I8" i="13" s="1"/>
  <c r="I73" i="13" a="1"/>
  <c r="I73" i="13" s="1"/>
  <c r="I26" i="13" a="1"/>
  <c r="I26" i="13" s="1"/>
  <c r="I34" i="13" a="1"/>
  <c r="I34" i="13" s="1"/>
  <c r="H8" i="12" a="1"/>
  <c r="H8" i="12" s="1"/>
  <c r="I21" i="13" a="1"/>
  <c r="I21" i="13" s="1"/>
  <c r="I64" i="12" a="1"/>
  <c r="I64" i="12" s="1"/>
  <c r="I35" i="13" a="1"/>
  <c r="I35" i="13" s="1"/>
  <c r="I52" i="13" a="1"/>
  <c r="I52" i="13" s="1"/>
  <c r="I51" i="13" a="1"/>
  <c r="I51" i="13" s="1"/>
  <c r="I62" i="13" a="1"/>
  <c r="I62" i="13" s="1"/>
  <c r="I8" i="12" a="1"/>
  <c r="I8" i="12" s="1"/>
  <c r="I74" i="13" a="1"/>
  <c r="I74" i="13" s="1"/>
  <c r="H10" i="12" a="1"/>
  <c r="H10" i="12" s="1"/>
  <c r="I18" i="13" a="1"/>
  <c r="I18" i="13" s="1"/>
  <c r="I41" i="13" a="1"/>
  <c r="I41" i="13" s="1"/>
  <c r="I37" i="13" a="1"/>
  <c r="I37" i="13" s="1"/>
  <c r="I29" i="13" a="1"/>
  <c r="I29" i="13" s="1"/>
  <c r="I49" i="13" a="1"/>
  <c r="I49" i="13" s="1"/>
  <c r="I66" i="13" a="1"/>
  <c r="I66" i="13" s="1"/>
  <c r="I65" i="12" a="1"/>
  <c r="I65" i="12" s="1"/>
  <c r="I48" i="13" a="1"/>
  <c r="I48" i="13" s="1"/>
  <c r="I10" i="12" a="1"/>
  <c r="I10" i="12" s="1"/>
  <c r="I45" i="13" a="1"/>
  <c r="I45" i="13" s="1"/>
  <c r="H17" i="12" a="1"/>
  <c r="H17" i="12" s="1"/>
  <c r="I66" i="12" a="1"/>
  <c r="I66" i="12" s="1"/>
  <c r="I61" i="13" a="1"/>
  <c r="I61" i="13" s="1"/>
  <c r="I68" i="12" a="1"/>
  <c r="I68" i="12" s="1"/>
  <c r="I70" i="12" a="1"/>
  <c r="I70" i="12" s="1"/>
  <c r="I19" i="13" a="1"/>
  <c r="I19" i="13" s="1"/>
  <c r="I59" i="13" a="1"/>
  <c r="I59" i="13" s="1"/>
  <c r="I44" i="13" a="1"/>
  <c r="I44" i="13" s="1"/>
  <c r="J34" i="10"/>
  <c r="I71" i="13" a="1"/>
  <c r="I71" i="13" s="1"/>
  <c r="I20" i="13" a="1"/>
  <c r="I20" i="13" s="1"/>
  <c r="I69" i="13" a="1"/>
  <c r="I69" i="13" s="1"/>
  <c r="I31" i="13" a="1"/>
  <c r="I31" i="13" s="1"/>
  <c r="I9" i="13" a="1"/>
  <c r="I9" i="13" s="1"/>
  <c r="I70" i="13" a="1"/>
  <c r="I70" i="13" s="1"/>
  <c r="I72" i="13" a="1"/>
  <c r="I72" i="13" s="1"/>
  <c r="I36" i="13" a="1"/>
  <c r="I36" i="13" s="1"/>
  <c r="I54" i="13" a="1"/>
  <c r="I54" i="13" s="1"/>
  <c r="I13" i="13" a="1"/>
  <c r="I13" i="13" s="1"/>
  <c r="I67" i="12" a="1"/>
  <c r="I67" i="12" s="1"/>
  <c r="I42" i="13" a="1"/>
  <c r="I42" i="13" s="1"/>
  <c r="I68" i="13" a="1"/>
  <c r="I68" i="13" s="1"/>
  <c r="I33" i="13" a="1"/>
  <c r="I33" i="13" s="1"/>
  <c r="I67" i="13" a="1"/>
  <c r="I67" i="13" s="1"/>
  <c r="I53" i="13" a="1"/>
  <c r="I53" i="13" s="1"/>
  <c r="I64" i="13" a="1"/>
  <c r="I64" i="13" s="1"/>
  <c r="I58" i="13" a="1"/>
  <c r="I58" i="13" s="1"/>
  <c r="I14" i="13" a="1"/>
  <c r="I14" i="13" s="1"/>
  <c r="I7" i="12" a="1"/>
  <c r="I7" i="12" s="1"/>
  <c r="H17" i="13" a="1"/>
  <c r="H17" i="13" s="1"/>
  <c r="I33" i="12" a="1"/>
  <c r="I33" i="12" s="1"/>
  <c r="I37" i="12" a="1"/>
  <c r="I37" i="12" s="1"/>
  <c r="I25" i="13" a="1"/>
  <c r="I25" i="13" s="1"/>
  <c r="I55" i="13" a="1"/>
  <c r="I55" i="13" s="1"/>
  <c r="I12" i="13" a="1"/>
  <c r="I12" i="13" s="1"/>
  <c r="H25" i="13" a="1"/>
  <c r="H25" i="13" s="1"/>
  <c r="H7" i="12" a="1"/>
  <c r="H7" i="12" s="1"/>
  <c r="I63" i="13" a="1"/>
  <c r="I63" i="13" s="1"/>
  <c r="I15" i="13" a="1"/>
  <c r="I15" i="13" s="1"/>
  <c r="I30" i="13" a="1"/>
  <c r="I30" i="13" s="1"/>
  <c r="I23" i="13" a="1"/>
  <c r="I23" i="13" s="1"/>
  <c r="I10" i="13" a="1"/>
  <c r="I10" i="13" s="1"/>
  <c r="I18" i="12" a="1"/>
  <c r="I18" i="12" s="1"/>
  <c r="I40" i="13" a="1"/>
  <c r="I40" i="13" s="1"/>
  <c r="I11" i="13" a="1"/>
  <c r="I11" i="13" s="1"/>
  <c r="I43" i="13" a="1"/>
  <c r="I43" i="13" s="1"/>
  <c r="I47" i="13" a="1"/>
  <c r="I47" i="13" s="1"/>
  <c r="K7" i="12"/>
  <c r="I32" i="13" a="1"/>
  <c r="I32" i="13" s="1"/>
  <c r="I17" i="13" a="1"/>
  <c r="I17" i="13" s="1"/>
  <c r="C7" i="13"/>
  <c r="B7" i="13"/>
  <c r="J7" i="13"/>
  <c r="L7" i="12"/>
  <c r="D7" i="12"/>
  <c r="D7" i="13"/>
  <c r="E7" i="13"/>
  <c r="K7" i="13"/>
  <c r="H7" i="13" a="1"/>
  <c r="H7" i="13" s="1"/>
  <c r="B7" i="12"/>
  <c r="J7" i="12"/>
  <c r="F7" i="13"/>
  <c r="E7" i="12"/>
  <c r="L7" i="13"/>
  <c r="I32" i="12" a="1"/>
  <c r="I32" i="12" s="1"/>
  <c r="H19" i="13" a="1"/>
  <c r="H19" i="13" s="1"/>
  <c r="I34" i="12" a="1"/>
  <c r="I34" i="12" s="1"/>
  <c r="G7" i="13"/>
  <c r="I56" i="13" a="1"/>
  <c r="I56" i="13" s="1"/>
  <c r="I39" i="13" a="1"/>
  <c r="I39" i="13" s="1"/>
  <c r="H9" i="12" a="1"/>
  <c r="H9" i="12" s="1"/>
  <c r="I38" i="13" a="1"/>
  <c r="I38" i="13" s="1"/>
  <c r="I27" i="13" a="1"/>
  <c r="I27" i="13" s="1"/>
  <c r="I57" i="13" a="1"/>
  <c r="I57" i="13" s="1"/>
  <c r="C7" i="12"/>
  <c r="I7" i="13" a="1"/>
  <c r="I7" i="13" s="1"/>
  <c r="I22" i="13" a="1"/>
  <c r="I22" i="13" s="1"/>
  <c r="I46" i="13" a="1"/>
  <c r="I46" i="13" s="1"/>
  <c r="H18" i="12" a="1"/>
  <c r="H18" i="12" s="1"/>
  <c r="G7" i="12"/>
  <c r="I28" i="13" a="1"/>
  <c r="I28" i="13" s="1"/>
  <c r="I50" i="13" a="1"/>
  <c r="I50" i="13" s="1"/>
  <c r="J31" i="10"/>
  <c r="J33" i="10"/>
  <c r="J32" i="10"/>
  <c r="J30" i="10"/>
  <c r="I35" i="12" a="1"/>
  <c r="I35" i="12" s="1"/>
  <c r="I38" i="12" a="1"/>
  <c r="I38" i="12" s="1"/>
  <c r="I16" i="12" a="1"/>
  <c r="I16" i="12" s="1"/>
  <c r="I13" i="12" a="1"/>
  <c r="I13" i="12" s="1"/>
  <c r="H8" i="10" a="1"/>
  <c r="H8" i="10" s="1"/>
  <c r="J29" i="10"/>
  <c r="I31" i="12" a="1"/>
  <c r="I31" i="12" s="1"/>
  <c r="J28" i="10"/>
  <c r="I19" i="12" a="1"/>
  <c r="I19" i="12" s="1"/>
  <c r="I24" i="12" a="1"/>
  <c r="I24" i="12" s="1"/>
  <c r="I22" i="12" a="1"/>
  <c r="I22" i="12" s="1"/>
  <c r="J27" i="10"/>
  <c r="I15" i="12" a="1"/>
  <c r="I15" i="12" s="1"/>
  <c r="I20" i="12" a="1"/>
  <c r="I20" i="12" s="1"/>
  <c r="I61" i="12" a="1"/>
  <c r="I61" i="12" s="1"/>
  <c r="J26" i="10"/>
  <c r="J25" i="10"/>
  <c r="I21" i="12" a="1"/>
  <c r="I21" i="12" s="1"/>
  <c r="I45" i="12" a="1"/>
  <c r="I45" i="12" s="1"/>
  <c r="I46" i="12" a="1"/>
  <c r="I46" i="12" s="1"/>
  <c r="I39" i="12" a="1"/>
  <c r="I39" i="12" s="1"/>
  <c r="I40" i="12" a="1"/>
  <c r="I40" i="12" s="1"/>
  <c r="I28" i="12" a="1"/>
  <c r="I28" i="12" s="1"/>
  <c r="I44" i="12" a="1"/>
  <c r="I44" i="12" s="1"/>
  <c r="I41" i="12" a="1"/>
  <c r="I41" i="12" s="1"/>
  <c r="I43" i="12" a="1"/>
  <c r="I43" i="12" s="1"/>
  <c r="I42" i="12" a="1"/>
  <c r="I42" i="12" s="1"/>
  <c r="J22" i="10"/>
  <c r="J19" i="10"/>
  <c r="J23" i="10"/>
  <c r="J11" i="10"/>
  <c r="J8" i="10"/>
  <c r="J24" i="10"/>
  <c r="J13" i="10"/>
  <c r="I63" i="12" a="1"/>
  <c r="I63" i="12" s="1"/>
  <c r="I47" i="12" a="1"/>
  <c r="I47" i="12" s="1"/>
  <c r="J12" i="10"/>
  <c r="I55" i="12" a="1"/>
  <c r="I55" i="12" s="1"/>
  <c r="J18" i="10"/>
  <c r="I56" i="12" a="1"/>
  <c r="I56" i="12" s="1"/>
  <c r="J21" i="10"/>
  <c r="J20" i="10"/>
  <c r="I62" i="12" a="1"/>
  <c r="I62" i="12" s="1"/>
  <c r="C7" i="10"/>
  <c r="H7" i="10" a="1"/>
  <c r="H7" i="10" s="1"/>
  <c r="B7" i="10"/>
  <c r="D7" i="10"/>
  <c r="I7" i="10" s="1"/>
  <c r="I51" i="12" a="1"/>
  <c r="I51" i="12" s="1"/>
  <c r="I54" i="12" a="1"/>
  <c r="I54" i="12" s="1"/>
  <c r="I50" i="12" a="1"/>
  <c r="I50" i="12" s="1"/>
  <c r="I36" i="12" a="1"/>
  <c r="I36" i="12" s="1"/>
  <c r="I58" i="12" a="1"/>
  <c r="I58" i="12" s="1"/>
  <c r="I60" i="12" a="1"/>
  <c r="I60" i="12" s="1"/>
  <c r="I57" i="12" a="1"/>
  <c r="I57" i="12" s="1"/>
  <c r="I48" i="12" a="1"/>
  <c r="I48" i="12" s="1"/>
  <c r="J17" i="10"/>
  <c r="I59" i="12" a="1"/>
  <c r="I59" i="12" s="1"/>
  <c r="K7" i="10"/>
  <c r="M7" i="10"/>
  <c r="J9" i="10"/>
  <c r="G7" i="10"/>
  <c r="F7" i="10"/>
  <c r="I52" i="12" a="1"/>
  <c r="I52" i="12" s="1"/>
  <c r="E7" i="10"/>
  <c r="J10" i="10"/>
  <c r="I49" i="12" a="1"/>
  <c r="I49" i="12" s="1"/>
  <c r="L7" i="10"/>
  <c r="J7" i="11" l="1"/>
  <c r="J7" i="1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<sst xmlns="http://schemas.openxmlformats.org/spreadsheetml/2006/main" count="20002" uniqueCount="4266">
  <si>
    <t>Unique Tag</t>
  </si>
  <si>
    <t>ID</t>
  </si>
  <si>
    <t>Duplicate Entry</t>
  </si>
  <si>
    <t>Job Name</t>
  </si>
  <si>
    <t>Job Address</t>
  </si>
  <si>
    <t>PM</t>
  </si>
  <si>
    <t>PM Phone</t>
  </si>
  <si>
    <t>System</t>
  </si>
  <si>
    <t>Crating Plan</t>
  </si>
  <si>
    <t>Release Notes</t>
  </si>
  <si>
    <t>Description</t>
  </si>
  <si>
    <t>Included with this issue</t>
  </si>
  <si>
    <t>Misc Materials</t>
  </si>
  <si>
    <t>Production Folder</t>
  </si>
  <si>
    <t>Percent Panels Released</t>
  </si>
  <si>
    <t>Total Panels Released</t>
  </si>
  <si>
    <t>Total Quoted Panels</t>
  </si>
  <si>
    <t>Panel Qty</t>
  </si>
  <si>
    <t>Part Qty</t>
  </si>
  <si>
    <t>Sketch Qty</t>
  </si>
  <si>
    <t>Extrusion Qty</t>
  </si>
  <si>
    <t>Reveal LF</t>
  </si>
  <si>
    <t>Program Material Qty</t>
  </si>
  <si>
    <t>Prog Run Time</t>
  </si>
  <si>
    <t>Material</t>
  </si>
  <si>
    <t>Material Type</t>
  </si>
  <si>
    <t>Material Desc</t>
  </si>
  <si>
    <t>Material Grain</t>
  </si>
  <si>
    <t>Outsource Eng</t>
  </si>
  <si>
    <t>Outsource Eng Group</t>
  </si>
  <si>
    <t>Ranked Priority</t>
  </si>
  <si>
    <t>Days to Release</t>
  </si>
  <si>
    <t>Responsible</t>
  </si>
  <si>
    <t>Eng Manager</t>
  </si>
  <si>
    <t>Evaluation By</t>
  </si>
  <si>
    <t>LO By</t>
  </si>
  <si>
    <t>LO Check By</t>
  </si>
  <si>
    <t>Sketch By</t>
  </si>
  <si>
    <t>Sketch Check By</t>
  </si>
  <si>
    <t>Correction By</t>
  </si>
  <si>
    <t>Eng Returned</t>
  </si>
  <si>
    <t>AXYZ Prog By</t>
  </si>
  <si>
    <t>Laser Prog By</t>
  </si>
  <si>
    <t>Punch Prog By</t>
  </si>
  <si>
    <t>Prog Complete</t>
  </si>
  <si>
    <t>Prog Returned</t>
  </si>
  <si>
    <t>Release By</t>
  </si>
  <si>
    <t>Date Submitted</t>
  </si>
  <si>
    <t>Short Engineering Lead</t>
  </si>
  <si>
    <t>Release To Shop Target</t>
  </si>
  <si>
    <t>Released to Shop Actual</t>
  </si>
  <si>
    <t>Short Fab Lead</t>
  </si>
  <si>
    <t>Shop Complete By Date</t>
  </si>
  <si>
    <t>Ship To Coating Target</t>
  </si>
  <si>
    <t>Ship Target</t>
  </si>
  <si>
    <t>Adjusted Ship Date</t>
  </si>
  <si>
    <t>Requested Ship Date</t>
  </si>
  <si>
    <t>Ship Actual</t>
  </si>
  <si>
    <t>Ship To Coating Actual</t>
  </si>
  <si>
    <t>Material In Stock</t>
  </si>
  <si>
    <t>Sheet Qty</t>
  </si>
  <si>
    <t>Material Date</t>
  </si>
  <si>
    <t>Post Prod Coating</t>
  </si>
  <si>
    <t>Coating Process</t>
  </si>
  <si>
    <t>Vendor Coating Info</t>
  </si>
  <si>
    <t>Post Coating Shipping Instructions</t>
  </si>
  <si>
    <t>Screw Color</t>
  </si>
  <si>
    <t>Screws Ordered</t>
  </si>
  <si>
    <t>Shop Drawings</t>
  </si>
  <si>
    <t>Scan</t>
  </si>
  <si>
    <t>Scan Location</t>
  </si>
  <si>
    <t>FD</t>
  </si>
  <si>
    <t>FD Location</t>
  </si>
  <si>
    <t>Calcs</t>
  </si>
  <si>
    <t>Calcs Location</t>
  </si>
  <si>
    <t>Remake Piecemarks</t>
  </si>
  <si>
    <t>Original Release</t>
  </si>
  <si>
    <t>RP Reason</t>
  </si>
  <si>
    <t>RM Reason</t>
  </si>
  <si>
    <t>Remake Request By</t>
  </si>
  <si>
    <t>Station</t>
  </si>
  <si>
    <t>LO</t>
  </si>
  <si>
    <t>Sketch</t>
  </si>
  <si>
    <t>CNC</t>
  </si>
  <si>
    <t>Prog CNC</t>
  </si>
  <si>
    <t>Vendor Cut</t>
  </si>
  <si>
    <t>Flat Laser</t>
  </si>
  <si>
    <t>Tube Laser</t>
  </si>
  <si>
    <t>Prog Laser</t>
  </si>
  <si>
    <t>Punch</t>
  </si>
  <si>
    <t>Prog Punch</t>
  </si>
  <si>
    <t>Roll</t>
  </si>
  <si>
    <t>Shear</t>
  </si>
  <si>
    <t>Cidan</t>
  </si>
  <si>
    <t>Mill</t>
  </si>
  <si>
    <t>Prog Mill</t>
  </si>
  <si>
    <t>Extrusion Saw</t>
  </si>
  <si>
    <t>1st Manual</t>
  </si>
  <si>
    <t>Brake</t>
  </si>
  <si>
    <t>Prog Brake</t>
  </si>
  <si>
    <t>2nd Manual</t>
  </si>
  <si>
    <t>Weld</t>
  </si>
  <si>
    <t>Robot Weld</t>
  </si>
  <si>
    <t>Prog Robot Weld</t>
  </si>
  <si>
    <t>Metal Finish</t>
  </si>
  <si>
    <t>CNB</t>
  </si>
  <si>
    <t>Fab</t>
  </si>
  <si>
    <t>Assembly</t>
  </si>
  <si>
    <t>Processing Customer No</t>
  </si>
  <si>
    <t>Short Job No</t>
  </si>
  <si>
    <t>Release Type</t>
  </si>
  <si>
    <t>Rework Release Type</t>
  </si>
  <si>
    <t>Release No</t>
  </si>
  <si>
    <t>Nonconformance #</t>
  </si>
  <si>
    <t>Release No H1</t>
  </si>
  <si>
    <t>Highest Release</t>
  </si>
  <si>
    <t>Process Required Start Date</t>
  </si>
  <si>
    <t>Eng Hold</t>
  </si>
  <si>
    <t>Eng Hold Start</t>
  </si>
  <si>
    <t>Eng Hold End</t>
  </si>
  <si>
    <t>Eng Days On Hold</t>
  </si>
  <si>
    <t>Prog Hold</t>
  </si>
  <si>
    <t>Prog Hold Start</t>
  </si>
  <si>
    <t>Prog Hold End</t>
  </si>
  <si>
    <t>Prog Days On Hold</t>
  </si>
  <si>
    <t>Process Hold</t>
  </si>
  <si>
    <t>Process Hold Start</t>
  </si>
  <si>
    <t>Process Hold End</t>
  </si>
  <si>
    <t>Process Days On Hold</t>
  </si>
  <si>
    <t>QC Hold</t>
  </si>
  <si>
    <t>QC Hold Start</t>
  </si>
  <si>
    <t>QC Hold End</t>
  </si>
  <si>
    <t>QC Days On Hold</t>
  </si>
  <si>
    <t>Total Days On Hold</t>
  </si>
  <si>
    <t>Drafting Hours</t>
  </si>
  <si>
    <t>Shop Hours</t>
  </si>
  <si>
    <t>Laser Hours</t>
  </si>
  <si>
    <t>Punch Hours</t>
  </si>
  <si>
    <t>Mill Hours</t>
  </si>
  <si>
    <t>Roll Hours</t>
  </si>
  <si>
    <t>1st Manual Hours</t>
  </si>
  <si>
    <t>Brake Hours</t>
  </si>
  <si>
    <t>2nd Manual Hours</t>
  </si>
  <si>
    <t>Weld Hours</t>
  </si>
  <si>
    <t>Assembly Hours</t>
  </si>
  <si>
    <t>Partial Shipment</t>
  </si>
  <si>
    <t>Shipping Method</t>
  </si>
  <si>
    <t>Total # Crates</t>
  </si>
  <si>
    <t>Total # Skids</t>
  </si>
  <si>
    <t>Programs Required</t>
  </si>
  <si>
    <t>Required Processes</t>
  </si>
  <si>
    <t>Date Programming Received</t>
  </si>
  <si>
    <t>Date Programming Complete</t>
  </si>
  <si>
    <t>Days In Programming</t>
  </si>
  <si>
    <t>Date QC Received</t>
  </si>
  <si>
    <t>Days In QC</t>
  </si>
  <si>
    <t>Date Crating Received</t>
  </si>
  <si>
    <t>Days In Crating</t>
  </si>
  <si>
    <t>Program Lead</t>
  </si>
  <si>
    <t>Shipping Department</t>
  </si>
  <si>
    <t>Date Ready to Ship</t>
  </si>
  <si>
    <t>Ship Late</t>
  </si>
  <si>
    <t>Ship v Target</t>
  </si>
  <si>
    <t>Latest Comment</t>
  </si>
  <si>
    <t>Department</t>
  </si>
  <si>
    <t>Discard Issue</t>
  </si>
  <si>
    <t>Inhouse PM</t>
  </si>
  <si>
    <t>Inhouse Drafter</t>
  </si>
  <si>
    <t>Inhouse Checker</t>
  </si>
  <si>
    <t>Inhouse Name</t>
  </si>
  <si>
    <t>Generate Inhouse (Manual)</t>
  </si>
  <si>
    <t>Week to Ship</t>
  </si>
  <si>
    <t>Tube Bender</t>
  </si>
  <si>
    <t>Band Saw</t>
  </si>
  <si>
    <t>5030</t>
  </si>
  <si>
    <t>Tube Bender Hours</t>
  </si>
  <si>
    <t>Band Saw Hours</t>
  </si>
  <si>
    <t>24060-BM01</t>
  </si>
  <si>
    <t>Loves Blacksburg</t>
  </si>
  <si>
    <t>116 Preister Road
Blacksburg, SC  29702</t>
  </si>
  <si>
    <t>Cole Norona</t>
  </si>
  <si>
    <t>931.591.9340</t>
  </si>
  <si>
    <t>102: 6 pieces at 10ft
103: 8 pieces at 10ft</t>
  </si>
  <si>
    <t>Q:\Jobs\24060 - Loves Blacksburg\04_Production\24060BM01</t>
  </si>
  <si>
    <t>N/A</t>
  </si>
  <si>
    <t>-</t>
  </si>
  <si>
    <t>18 Ga. X 48" X 120" Steel Sheet, No Grain</t>
  </si>
  <si>
    <t>Steel Sheet</t>
  </si>
  <si>
    <t>18 Ga. X 48" X 120"</t>
  </si>
  <si>
    <t>No</t>
  </si>
  <si>
    <t>Ramon Estrada, Shane Watson</t>
  </si>
  <si>
    <t>Denis Usatenko</t>
  </si>
  <si>
    <t>Hennadii Stakhurskyi</t>
  </si>
  <si>
    <t>YES</t>
  </si>
  <si>
    <t>Ready to Ship</t>
  </si>
  <si>
    <t>BM</t>
  </si>
  <si>
    <t>01</t>
  </si>
  <si>
    <t>No Hold</t>
  </si>
  <si>
    <t>Hot Shot</t>
  </si>
  <si>
    <t>Cidan
Shear</t>
  </si>
  <si>
    <t>No Program Requested</t>
  </si>
  <si>
    <t>QC Not Requested</t>
  </si>
  <si>
    <t>David Hasty</t>
  </si>
  <si>
    <t>Issue Still in Process</t>
  </si>
  <si>
    <t>1010</t>
  </si>
  <si>
    <t>24060-BM01 In-House</t>
  </si>
  <si>
    <t>2025, Week 08</t>
  </si>
  <si>
    <t>24071-FS10.R</t>
  </si>
  <si>
    <t>RS Gass State Lab</t>
  </si>
  <si>
    <t>975 RS Gass Blvd
Nashville, TN  37216</t>
  </si>
  <si>
    <t>(25) of 1 5/8" reveals at 8' long</t>
  </si>
  <si>
    <t>Q:\Jobs\24071 - RS Gass State Lab\04_Production\24071FS10R</t>
  </si>
  <si>
    <t>Drop</t>
  </si>
  <si>
    <t>na</t>
  </si>
  <si>
    <t>4mm X 62" X 196", Bright Silver Metallic FR ACM, Grain</t>
  </si>
  <si>
    <t>FR ACM</t>
  </si>
  <si>
    <t>4mm X 62" X 196", Bright Silver Metallic</t>
  </si>
  <si>
    <t>Yes</t>
  </si>
  <si>
    <t>Approved</t>
  </si>
  <si>
    <t>Q:\Jobs\24071 - RS Gass State Lab\03_Engineering\02_FD Docs\24071_FS10</t>
  </si>
  <si>
    <t>NO</t>
  </si>
  <si>
    <t>FS</t>
  </si>
  <si>
    <t>10.R</t>
  </si>
  <si>
    <t>24071-FS11</t>
  </si>
  <si>
    <t>Customer Pick Up</t>
  </si>
  <si>
    <t>24071-FS10.R In-House</t>
  </si>
  <si>
    <t>2026, Week 05</t>
  </si>
  <si>
    <t>24051-FS200</t>
  </si>
  <si>
    <t>TN Titans Stadium</t>
  </si>
  <si>
    <t>1 Titans Way
Nashville, TN  37213</t>
  </si>
  <si>
    <t>Marc Ribar</t>
  </si>
  <si>
    <t>360.798.3603</t>
  </si>
  <si>
    <t>MOONSTONE BAND ON LEVEL 7</t>
  </si>
  <si>
    <t>Q:\Jobs\24051 - TN Titans Stadium\04_Production\24051FS200</t>
  </si>
  <si>
    <t>196 X 62 - 44</t>
  </si>
  <si>
    <t>18:17:07</t>
  </si>
  <si>
    <t>4MM FR CORE MOONSTONE METALLIC FR ACM, Grain</t>
  </si>
  <si>
    <t>4MM FR CORE MOONSTONE METALLIC</t>
  </si>
  <si>
    <t>Unassigned</t>
  </si>
  <si>
    <t>Issiah Havens</t>
  </si>
  <si>
    <t>MATCH COLOR</t>
  </si>
  <si>
    <t>RTS Titans</t>
  </si>
  <si>
    <t>AXYZ Titans Line</t>
  </si>
  <si>
    <t>24051-FS231</t>
  </si>
  <si>
    <t>In House</t>
  </si>
  <si>
    <t>AXYZ</t>
  </si>
  <si>
    <t>AXYZ Titans Line
Clean and Brake
Fab</t>
  </si>
  <si>
    <t>Issue Still In Process</t>
  </si>
  <si>
    <t>Crating Start Date Not Recorded</t>
  </si>
  <si>
    <t>Issiah Havens - @hstakhurskyi@jwmcd.com @jdavis@jwmcd.com @tgraves@jwmcd.com Programmed</t>
  </si>
  <si>
    <t>24051-FS200 In-House</t>
  </si>
  <si>
    <t>2025, Week 25</t>
  </si>
  <si>
    <t>24051-FS201</t>
  </si>
  <si>
    <t>level 400 moonstone</t>
  </si>
  <si>
    <t>Q:\Jobs\24051 - TN Titans Stadium\04_Production\24051FS201</t>
  </si>
  <si>
    <t>Sheet Size 	Quantity
196 x 62 in	55</t>
  </si>
  <si>
    <t>00d20h30m49s</t>
  </si>
  <si>
    <t>4MM MOONSTONE METALLIC 62 X 196 FR ACM, Grain</t>
  </si>
  <si>
    <t>4MM MOONSTONE METALLIC 62 X 196</t>
  </si>
  <si>
    <t>Arnold Jurado, Issiah Havens</t>
  </si>
  <si>
    <t>Arnold Jurado - @hstakhurskyi@jwmcd.com @jdavis@jwmcd.com PROGRAMMED</t>
  </si>
  <si>
    <t>24051-FS201 In-House</t>
  </si>
  <si>
    <t>2025, Week 47</t>
  </si>
  <si>
    <t>24051-FS205</t>
  </si>
  <si>
    <t>South Elevation 700 level. 
Install Direction Left to Right</t>
  </si>
  <si>
    <t>* SKETCHES
* CUT LIST
* EXTRUSION TIGER SAW LIST
* COLOR LABELS</t>
  </si>
  <si>
    <t>2 SETS - INSTALL DRAWINGS
750 LF - 1 5/8" REVEALS TO MATCH
725 pcs - Corner Clips
1450 pcs﻿ - Color Matched Screws</t>
  </si>
  <si>
    <t>Q:\Jobs\24051 - TN Titans Stadium\04_Production\24051FS205</t>
  </si>
  <si>
    <t>59 sheets</t>
  </si>
  <si>
    <t>00d22h08m40s</t>
  </si>
  <si>
    <t>Alpolic - 4mm - 880 pcs - [62 X 196] - MOONSTONE METALLIC FR ACM, Grain</t>
  </si>
  <si>
    <t>Alpolic - 4mm - 880 pcs - [62 X 196] - MOONSTONE METALLIC</t>
  </si>
  <si>
    <t>24051-FS205 In-House</t>
  </si>
  <si>
    <t>24051-FS206</t>
  </si>
  <si>
    <t>LEVEL 400
INSTALL LEFT TO RIGHT</t>
  </si>
  <si>
    <t>Q:\Jobs\24051 - TN Titans Stadium\04_Production\24051FS206</t>
  </si>
  <si>
    <t>196 X 62 - 24</t>
  </si>
  <si>
    <t>10:02:09</t>
  </si>
  <si>
    <t>4MM FR CORE MOONSTONE METALLIC 62 X 196 FR ACM, Grain</t>
  </si>
  <si>
    <t>4MM FR CORE MOONSTONE METALLIC 62 X 196</t>
  </si>
  <si>
    <t>24051-FS206 In-House</t>
  </si>
  <si>
    <t>2025, Week 26</t>
  </si>
  <si>
    <t>24051-FS209.1</t>
  </si>
  <si>
    <t>SOUTH LEVEL 50 WING WALL</t>
  </si>
  <si>
    <t>* SKETCHES 
* CUT LIST 
* EXTRUSION TIGER SAW LIST 
* COLOR LABELS</t>
  </si>
  <si>
    <t>* 2 SETS - INSTALL DRAWINGS
* ( 350 LF) 1-5/8" Reveals
* ( 16 LF) JR2</t>
  </si>
  <si>
    <t>Q:\Jobs\24051 - TN Titans Stadium\04_Production\24051FS209.1</t>
  </si>
  <si>
    <t>13 SHEETS</t>
  </si>
  <si>
    <t>00d05h30m19s</t>
  </si>
  <si>
    <t>4mm X 62" X 196", MOONSTONE METALLIC FR ACM, Grain</t>
  </si>
  <si>
    <t>4mm X 62" X 196", MOONSTONE METALLIC</t>
  </si>
  <si>
    <t>Arnold Jurado - @dusatenko@jwmcd.com @jdavis@jwmcd.com PROGRAMMED</t>
  </si>
  <si>
    <t>24051-FS209.1 In-House</t>
  </si>
  <si>
    <t>2026, Week 010</t>
  </si>
  <si>
    <t>24051-FS212</t>
  </si>
  <si>
    <t>NORTH LEVEL 400
INSTALL RIGHT TO LEFT</t>
  </si>
  <si>
    <t>Q:\Jobs\24051 - TN Titans Stadium\04_Production\24051FS212</t>
  </si>
  <si>
    <t>196 X 62 - 9</t>
  </si>
  <si>
    <t>03:38:58</t>
  </si>
  <si>
    <t>4MM FR CORE MOONSTONE METALLIC 62X196 FR ACM, Grain</t>
  </si>
  <si>
    <t>4MM FR CORE MOONSTONE METALLIC 62X196</t>
  </si>
  <si>
    <t>24051-FS212 In-House</t>
  </si>
  <si>
    <t>2025, Week 24</t>
  </si>
  <si>
    <t>25002-FS11.1</t>
  </si>
  <si>
    <t>Med Center Health</t>
  </si>
  <si>
    <t>250 Park Street
Bowling Green, KY  42101</t>
  </si>
  <si>
    <t>Carlos Silva</t>
  </si>
  <si>
    <t>980.246.6545</t>
  </si>
  <si>
    <t>PLEASE SEE ATTACHED IMAGE
COLUMNS NORTH - WEST 
ELEVATION 
238, 239, 240, 241, 
129/242 
130/242 
131/242 
132/242</t>
  </si>
  <si>
    <t>* 2 SETS - INSTALL DRAWINGS
* (215 LF) 1-3/4" Reveals
* (14 LF) PE1N
* (10 PCS) PET
* (180 PCS) PE2N</t>
  </si>
  <si>
    <t>"Q:\Jobs\25002 - Med Center Health\04_Production\25002FS11.1"</t>
  </si>
  <si>
    <t>18 SHEETS</t>
  </si>
  <si>
    <t>00d04h02m33s</t>
  </si>
  <si>
    <t>ACM:  4mm X 62" X 196", MICA GRAY FR ACM, Grain</t>
  </si>
  <si>
    <t>ACM:  4mm X 62" X 196", MICA GRAY</t>
  </si>
  <si>
    <t>Corey Howse</t>
  </si>
  <si>
    <t>Gabriela Hoyle</t>
  </si>
  <si>
    <t>Gabriela Herrera, Gabriela Hoyle</t>
  </si>
  <si>
    <t>00</t>
  </si>
  <si>
    <t>Clean and Brake</t>
  </si>
  <si>
    <t>25002-FS15</t>
  </si>
  <si>
    <t>Semi</t>
  </si>
  <si>
    <t>Tony Graves - still waiting on the roller to be fixed.</t>
  </si>
  <si>
    <t>25002-FS11.1 In-House</t>
  </si>
  <si>
    <t>26014-02-ST01</t>
  </si>
  <si>
    <t>2026 R &amp; D</t>
  </si>
  <si>
    <t>3731 Amy Lynn Drive
Nashville, TN  37218-3813</t>
  </si>
  <si>
    <t>TBC</t>
  </si>
  <si>
    <t>---</t>
  </si>
  <si>
    <t>Deliver part 260112ST-1001 to Paul Roberts after deburr.  Neither DA, timesaver, nor paint/powder are required for 260112ST.  Parts are needed as soon as possible.
Parts 26014-01-1001 and 26014-01-1002 go to PWX and return to JWM.  Provide drawings to PWX for powder instruction.
Ship to paint and ship target are for the sign parts.</t>
  </si>
  <si>
    <t>Min. drop 11 Ga. SS Sheet, No Grain</t>
  </si>
  <si>
    <t>SS Sheet</t>
  </si>
  <si>
    <t>Min. drop 11 Ga.</t>
  </si>
  <si>
    <t>Rogerson Jean-Charles, Sean Doss</t>
  </si>
  <si>
    <t>Chris Gambrel</t>
  </si>
  <si>
    <t>Powder Coat</t>
  </si>
  <si>
    <t>PWX.  Sign is black, backer plate is white.
Provide drawings to PWX for specific instructions.</t>
  </si>
  <si>
    <t>Coating Ship Back To JWM</t>
  </si>
  <si>
    <t>None Available</t>
  </si>
  <si>
    <t>QC</t>
  </si>
  <si>
    <t>26014-02</t>
  </si>
  <si>
    <t>ST</t>
  </si>
  <si>
    <t>Flat Laser
Powder Coat</t>
  </si>
  <si>
    <t>26014-02-ST01 In-House</t>
  </si>
  <si>
    <t>2026, Week 04</t>
  </si>
  <si>
    <t>24051-FS46.1</t>
  </si>
  <si>
    <t>SOUTH LEVEL 200</t>
  </si>
  <si>
    <t>* 2 SETS - INSTALL DRAWINGS
* ( 504LF) 1-5/8" Reveals
* ( 107 pcs) Corner Clips 
* ( 214 pcs ) Color Matching Screws﻿
* ( 140 LF) JR2 (EXTENDED?)</t>
  </si>
  <si>
    <t>Q:\Jobs\24051 - TN Titans Stadium\04_Production\24051FS46.1</t>
  </si>
  <si>
    <t>13 sheets</t>
  </si>
  <si>
    <t>00d06h31m30s</t>
  </si>
  <si>
    <t>4mm X 62" X 196", TOB BLACK FR ACM, No Grain</t>
  </si>
  <si>
    <t>4mm X 62" X 196", TOB BLACK</t>
  </si>
  <si>
    <t>Ailen Niedfeld</t>
  </si>
  <si>
    <t>AXYZ
Clean and Brake
Fab</t>
  </si>
  <si>
    <t>Arnold Jurado - @aniedfeld@jwmcd.com</t>
  </si>
  <si>
    <t>24051-FS46.1 In-House</t>
  </si>
  <si>
    <t>2026, Week 06</t>
  </si>
  <si>
    <t>24051-FS46C</t>
  </si>
  <si>
    <t>EVERY CRATE REQUIRES REVEALS</t>
  </si>
  <si>
    <t>COPING FOR SOUTH LEVEL 200</t>
  </si>
  <si>
    <t>2 SETS - INSTALL DRAWINGS 
150 LF - 1 5/8" REVEALS TO MATCH 
200 pcs - Corner Clips 
400 pcs - Color Matched Screws</t>
  </si>
  <si>
    <t>Q:\Jobs\24051 - TN Titans Stadium\04_Production\24051FS46C</t>
  </si>
  <si>
    <t>3 SHEETS</t>
  </si>
  <si>
    <t>00d02h35m22s</t>
  </si>
  <si>
    <t>Alpolic - 4mm - 3600 pcs - [62 X 196] - TOB BLACK FR ACM, No Grain</t>
  </si>
  <si>
    <t>Alpolic - 4mm - 3600 pcs - [62 X 196] - TOB BLACK</t>
  </si>
  <si>
    <t>46C</t>
  </si>
  <si>
    <t>24051-FS46C In-House</t>
  </si>
  <si>
    <t>2025, Week 50</t>
  </si>
  <si>
    <t>24051-FS47C</t>
  </si>
  <si>
    <t>COPING FOR FS 47.</t>
  </si>
  <si>
    <t>2 SETS - INSTALL DRAWINGS 
700 LF - 1 5/8" REVEALS TO MATCH 
400 pcs - Corner Clips 
800 pcs - Color Matched Screws</t>
  </si>
  <si>
    <t>Q:\Jobs\24051 - TN Titans Stadium\04_Production\24051FS47C</t>
  </si>
  <si>
    <t>20 SHEETS</t>
  </si>
  <si>
    <t>00d11h55m27s</t>
  </si>
  <si>
    <t>47C</t>
  </si>
  <si>
    <t>24051-FS47C In-House</t>
  </si>
  <si>
    <t>24051-FS48</t>
  </si>
  <si>
    <t>EAST LEVEL 200</t>
  </si>
  <si>
    <t>2 SETS - INSTALL DRAWINGS
600 LF - 1 5/8" REVEALS TO MATCH
600 LF - 1 1/8" REVEALS TO MATCH
500 pcs - Corner Clips
1000 pcs﻿ - Color Matched Screws</t>
  </si>
  <si>
    <t>Q:\Jobs\24051 - TN Titans Stadium\04_Production\24051FS48</t>
  </si>
  <si>
    <t>21:14:58</t>
  </si>
  <si>
    <t>4MM FR CORE TOB BLACK 62 X 196 FR ACM, No Grain</t>
  </si>
  <si>
    <t>4MM FR CORE TOB BLACK 62 X 196</t>
  </si>
  <si>
    <t>Issiah Havens - @hstakhurskyi@jwmcd.com @jdavis@jwmcd.com PROGRAMMED</t>
  </si>
  <si>
    <t>24051-FS48 In-House</t>
  </si>
  <si>
    <t>24051-FS49</t>
  </si>
  <si>
    <t>EVERY CRATE REQUIRES REVEALS
EVERY CRATE REQUIRES PR2</t>
  </si>
  <si>
    <t>2 SETS - INSTALL DRAWINGS
600 LF - 1 5/8" REVEALS TO MATCH
600 LF - 1 1/8" REVEALS TO MATCH
600 LF - PR2</t>
  </si>
  <si>
    <t>Q:\Jobs\24051 - TN Titans Stadium\04_Production\24051FS49</t>
  </si>
  <si>
    <t>09:12:28</t>
  </si>
  <si>
    <t>24051-FS49 In-House</t>
  </si>
  <si>
    <t>2025, Week 51</t>
  </si>
  <si>
    <t>24051-FS50</t>
  </si>
  <si>
    <t>AEAST LEVEL 200</t>
  </si>
  <si>
    <t>2 SETS - INSTALL DRAWINGS
600 LF - 1 5/8" REVEALS TO MATCH
600 LF - 1 1/8" REVEALS TO MATCH
250 pcs - Corner Clips
500 pcs﻿ - Color Matched Screws</t>
  </si>
  <si>
    <t>Q:\Jobs\24051 - TN Titans Stadium\04_Production\24051FS50</t>
  </si>
  <si>
    <t>16:51:46</t>
  </si>
  <si>
    <t>24051-FS50 In-House</t>
  </si>
  <si>
    <t>24051-FS50C</t>
  </si>
  <si>
    <t>EAST LEVEL 200 COPING</t>
  </si>
  <si>
    <t>2 SETS - INSTALL DRAWINGS
200 LF - 1 5/8" REVEALS TO MATCH
50 pcs - Corner Clips
100 pcs﻿ - Color Matched Screws</t>
  </si>
  <si>
    <t>Q:\Jobs\24051 - TN Titans Stadium\04_Production\24051FS50C</t>
  </si>
  <si>
    <t>02:29:59</t>
  </si>
  <si>
    <t>50C</t>
  </si>
  <si>
    <t>24051-FS50C In-House</t>
  </si>
  <si>
    <t>24051-FS51</t>
  </si>
  <si>
    <t>EAST LEVEL 300</t>
  </si>
  <si>
    <t>2 SETS - INSTALL DRAWINGS
700 LF - 1 5/8" REVEALS TO MATCH
500 LF - 1 1/8" REVEALS TO MATCH
200 LF - PR2
500 pcs - Corner Clips
1000 pcs﻿ - Color Matched Screws</t>
  </si>
  <si>
    <t>Q:\Jobs\24051 - TN Titans Stadium\04_Production\24051FS51</t>
  </si>
  <si>
    <t>16:19:31</t>
  </si>
  <si>
    <t>4M X 62" X 196", TOB BLACK FR ACM, No Grain</t>
  </si>
  <si>
    <t>4M X 62" X 196", TOB BLACK</t>
  </si>
  <si>
    <t>24051-FS51 In-House</t>
  </si>
  <si>
    <t>2026, Week 02</t>
  </si>
  <si>
    <t>24051-FS51C</t>
  </si>
  <si>
    <t>EAST LEVEL 300 COPING</t>
  </si>
  <si>
    <t>2 SETS - INSTALL DRAWINGS
250 LF - 1 5/8" REVEALS TO MATCH
175 pcs - Corner Clips
350 pcs﻿ - Color Matched Screws</t>
  </si>
  <si>
    <t>Q:\Jobs\24051 - TN Titans Stadium\04_Production\24051FS51C</t>
  </si>
  <si>
    <t>04:05:04</t>
  </si>
  <si>
    <t>51C</t>
  </si>
  <si>
    <t>Issiah Havens - @jdavis@jwmcd.com @hstakhurskyi@jwmcd.com PROGRAMMED</t>
  </si>
  <si>
    <t>24051-FS51C In-House</t>
  </si>
  <si>
    <t>24051-FS217</t>
  </si>
  <si>
    <t>REF SHOP DRAWING 4113.  EAST ELEVATION ON THE SOUTH SIDE.  CL S16</t>
  </si>
  <si>
    <t>2 SETS - INSTALL DRAWINGS 
100 LF - 1 5/8" REVEALS TO MATCH 
25 pcs - Corner Clips 
50 pcs - Color Matched Screws</t>
  </si>
  <si>
    <t>Q:\Jobs\24051 - TN Titans Stadium\04_Production\24051FS217</t>
  </si>
  <si>
    <t>01:41:18</t>
  </si>
  <si>
    <t>24051-FS217 In-House</t>
  </si>
  <si>
    <t>2025, Week 49</t>
  </si>
  <si>
    <t>24051-FS218</t>
  </si>
  <si>
    <t>2 SETS - INSTALL DRAWINGS 
600 LF - 1 5/8" REVEALS TO MATCH 
590 pcs - Corner Clips 
1180 pcs - Color Matched Screws</t>
  </si>
  <si>
    <t>Q:\Jobs\24051 - TN Titans Stadium\04_Production\24051FS218</t>
  </si>
  <si>
    <t>18:13:15</t>
  </si>
  <si>
    <t>24051-FS218 In-House</t>
  </si>
  <si>
    <t>24051-FS219</t>
  </si>
  <si>
    <t>EAST LEVEL 400</t>
  </si>
  <si>
    <t>2 SETS - INSTALL DRAWINGS 
650 LF - 1 5/8" REVEALS TO MATCH 
660 pcs - Corner Clips 
1320 pcs - Color Matched Screws</t>
  </si>
  <si>
    <t>Q:\Jobs\24051 - TN Titans Stadium\04_Production\24051FS219</t>
  </si>
  <si>
    <t>20:28:06</t>
  </si>
  <si>
    <t>24051-FS219 In-House</t>
  </si>
  <si>
    <t>24051-FS221</t>
  </si>
  <si>
    <t>Moonstone panels for sheet 6110
install right to left</t>
  </si>
  <si>
    <t>* 2 SETS - INSTALL DRAWINGS
* (75 LF) 1-5/8" Reveals</t>
  </si>
  <si>
    <t>Q:\Jobs\24051 - TN Titans Stadium\04_Production\24051FS221</t>
  </si>
  <si>
    <t>01:53:04</t>
  </si>
  <si>
    <t>4mm X 62" X 196", moonstone metallic FR ACM, Grain</t>
  </si>
  <si>
    <t>4mm X 62" X 196", moonstone metallic</t>
  </si>
  <si>
    <t>Issiah Havens - @jdavis@jwmcd.com PROGRAMMED. @aniedfeld@jwmcd.com please print all programming documents in the "PROGRAMMING DOCS" folder</t>
  </si>
  <si>
    <t>24051-FS221 In-House</t>
  </si>
  <si>
    <t>2026, Week 07</t>
  </si>
  <si>
    <t>24051-FS223</t>
  </si>
  <si>
    <t>LEVEL 50 NORTH ELEVATION</t>
  </si>
  <si>
    <t>* 2 SETS - INSTALL DRAWINGS
* (500 LF) 1-5/8" Reveals
* (100 LF) 1-1/8" Reveals
* (20 LF) JR-Extended
* (24 pcs) 2' - 0" x 2' - 0" x 1-5/8" Corner reveals</t>
  </si>
  <si>
    <t>Q:\Jobs\24051 - TN Titans Stadium\04_Production\24051FS223</t>
  </si>
  <si>
    <t>08:01:00</t>
  </si>
  <si>
    <t>Issiah Havens - @dusatenko@jwmcd.com @jdavis@jwmcd.com programmed</t>
  </si>
  <si>
    <t>24051-FS223 In-House</t>
  </si>
  <si>
    <t>2026, Week 12</t>
  </si>
  <si>
    <t>24051-FS224</t>
  </si>
  <si>
    <t>NORTH FIELD MEASURES</t>
  </si>
  <si>
    <t>* 2 SETS - INSTALL DRAWINGS
* (8 LF) JR2</t>
  </si>
  <si>
    <t>Q:\Jobs\24051 - TN Titans Stadium\04_Production\24051FS224</t>
  </si>
  <si>
    <t>00:17:51</t>
  </si>
  <si>
    <t>24051-FS224 In-House</t>
  </si>
  <si>
    <t>24051-FS67</t>
  </si>
  <si>
    <t>THIS IS WEST ELEVTION LEVEL 00 - 200 FIELD MEASURES.  PLEASE NOT THAT THEY ARE PROVIDING FINISHED PANEL SIZES.</t>
  </si>
  <si>
    <t>* 2 SETS - INSTALL DRAWINGS
* (60 LF) 1-5/8" Reveals
* (11 LF) JR-EXTENDED
* 70 PCS CORNER CLIPS
* 162 PCS COLOR MATCHING SCREWS</t>
  </si>
  <si>
    <t>Q:\Jobs\24051 - TN Titans Stadium\04_Production\24051FS67</t>
  </si>
  <si>
    <t>01:51:35</t>
  </si>
  <si>
    <t>Gabriela Herrera</t>
  </si>
  <si>
    <t>Issiah Havens - @gherrera@jwmcd.com @jdavis@jwmcd.com PROGRAMMED</t>
  </si>
  <si>
    <t>24051-FS67 In-House</t>
  </si>
  <si>
    <t>24051-FS72</t>
  </si>
  <si>
    <t>LEVEL 300 NORTH ELEVATION</t>
  </si>
  <si>
    <t>* 2 SETS - INSTALL DRAWINGS
* (1300 LF) 1-5/8" Reveals
* (100 LF) 1-1/8" Reveals﻿
* (120 LF) JR2</t>
  </si>
  <si>
    <t>Q:\Jobs\24051 - TN Titans Stadium\04_Production\24051FS72</t>
  </si>
  <si>
    <t>104 SHEETS</t>
  </si>
  <si>
    <t>00d21h07m06s</t>
  </si>
  <si>
    <t>24051-FS72 In-House</t>
  </si>
  <si>
    <t>24051-FS73</t>
  </si>
  <si>
    <t>NORTH LEVEL 50</t>
  </si>
  <si>
    <t>* 2 SETS - INSTALL DRAWINGS
* ( 750 LF) 1-5/8" Reveals
* ( 150 LF) 1-1/8" Reveals
* ( 120 LF) JR-EXTENDED</t>
  </si>
  <si>
    <t>Q:\Jobs\24051 - TN Titans Stadium\04_Production\24051FS73</t>
  </si>
  <si>
    <t>65 SHEETS</t>
  </si>
  <si>
    <t>00d12h40m13s</t>
  </si>
  <si>
    <t>24051-FS73 In-House</t>
  </si>
  <si>
    <t>24051-FS56</t>
  </si>
  <si>
    <t>* 2 SETS - INSTALL DRAWINGS
* 700 LF - 1 1/8" REVEALS TO MATCH
* 1300 LF - 1 5/8" REVEALS TO MATCH
* 300 pcs - Corner Clips
* 600 pcs﻿ - Color Matched Screws</t>
  </si>
  <si>
    <t>Q:\Jobs\24051 - TN Titans Stadium\04_Production\24051FS56</t>
  </si>
  <si>
    <t>38 SHEETS</t>
  </si>
  <si>
    <t>00d19h23m01s</t>
  </si>
  <si>
    <t>24051-FS56 In-House</t>
  </si>
  <si>
    <t>24051-FS56C</t>
  </si>
  <si>
    <t>EAST LEVEL 400 COPING</t>
  </si>
  <si>
    <t>* 2 SETS - INSTALL DRAWINGS
* 800 LF - 1 1/8" REVEALS TO MATCH
* 200 LF - 1 5/8" REVEALS TO MATCH
* 600 pcs - Corner Clips
* 1200 pcs﻿ - Color Matched Screws</t>
  </si>
  <si>
    <t>Q:\Jobs\24051 - TN Titans Stadium\04_Production\24051FS56C</t>
  </si>
  <si>
    <t>15:13:12</t>
  </si>
  <si>
    <t>56C</t>
  </si>
  <si>
    <t>24051-FS56C In-House</t>
  </si>
  <si>
    <t>24051-FS57</t>
  </si>
  <si>
    <t>EAST LEVEL 700</t>
  </si>
  <si>
    <t>* 2 SETS - INSTALL DRAWINGS
* 800 LF - 1 5/8" REVEALS TO MATCH
* 650 pcs - Corner Clips
* 1300 pcs﻿ - Color Matched Screws</t>
  </si>
  <si>
    <t>Q:\Jobs\24051 - TN Titans Stadium\04_Production\24051FS57</t>
  </si>
  <si>
    <t>29:17:45</t>
  </si>
  <si>
    <t>24051-FS57 In-House</t>
  </si>
  <si>
    <t>24051-FS58</t>
  </si>
  <si>
    <t>* EVERY CRATE REQUIRES REVEALS
* EVERY CRATE REQUIRES JR2</t>
  </si>
  <si>
    <t>EAST LEVEL 7</t>
  </si>
  <si>
    <t>* 2 SETS - INSTALL DRAWINGS
* 800 LF - 1 5/8" REVEALS TO MATCH
* 250 LF - 1 1/8" REVEALS TO MATCH
* 750 LF - JR2</t>
  </si>
  <si>
    <t>Q:\Jobs\24051 - TN Titans Stadium\04_Production\24051FS58</t>
  </si>
  <si>
    <t>12:08:15</t>
  </si>
  <si>
    <t>24051-FS58 In-House</t>
  </si>
  <si>
    <t>24051-FS59</t>
  </si>
  <si>
    <t>* EVERY CRATE REQUIRES REVEALS</t>
  </si>
  <si>
    <t>* 2 SETS - INSTALL DRAWINGS
* 1400 LF - 1 5/8" REVEALS TO MATCH
* 750 LF - 1 1/8" REVEALS TO MATCH
* 170 pcs - Corner Clips
* 340 pcs﻿ - Color Matched Screws</t>
  </si>
  <si>
    <t>Q:\Jobs\24051 - TN Titans Stadium\04_Production\24051FS59</t>
  </si>
  <si>
    <t>23:29:47</t>
  </si>
  <si>
    <t>24051-FS59 In-House</t>
  </si>
  <si>
    <t>2026, Week 01</t>
  </si>
  <si>
    <t>24051-FS59C</t>
  </si>
  <si>
    <t>EAST LEVEL 700 COPING</t>
  </si>
  <si>
    <t>* 2 SETS - INSTALL DRAWINGS
* 900 LF - 1 5/8" REVEALS TO MATCH
* 700 pcs - Corner Clips
* 1400 pcs﻿ - Color Matched Screws</t>
  </si>
  <si>
    <t>Q:\Jobs\24051 - TN Titans Stadium\04_Production\24051FS59C</t>
  </si>
  <si>
    <t>18:55:34</t>
  </si>
  <si>
    <t>59C</t>
  </si>
  <si>
    <t>24051-FS59C In-House</t>
  </si>
  <si>
    <t>2026, Week 08</t>
  </si>
  <si>
    <t>24051-FS54</t>
  </si>
  <si>
    <t>EVERY CRATE REQUIRES REVEALS
﻿EVERY CRATE REQUIRES JR2</t>
  </si>
  <si>
    <t>* 2 SETS - INSTALL DRAWINGS
* 600 LF - 1 5/8" REVEALS TO MATCH
* 400 LF - 1 1/8" REVEALS TO MATCH
* 540 LF - JR2
* 550 pcs - Corner Clips
* 1100 pcs﻿ - Color Matched Screws</t>
  </si>
  <si>
    <t>Q:\Jobs\24051 - TN Titans Stadium\04_Production\24051FS54</t>
  </si>
  <si>
    <t>20:09:33</t>
  </si>
  <si>
    <t>4mm X 62" X 196", TOP BLACK FR ACM, No Grain</t>
  </si>
  <si>
    <t>4mm X 62" X 196", TOP BLACK</t>
  </si>
  <si>
    <t>24051-FS54 In-House</t>
  </si>
  <si>
    <t>24051-FS55</t>
  </si>
  <si>
    <t>* 2 SETS - INSTALL DRAWINGS
* 1400 LF - 1 1/8" REVEALS TO MATCH
* 250 LF - 1 5/8" REVEALS TO MATCH
* 700 LF - JR2</t>
  </si>
  <si>
    <t>Q:\Jobs\24051 - TN Titans Stadium\04_Production\24051FS55</t>
  </si>
  <si>
    <t>10 SHEETS</t>
  </si>
  <si>
    <t>00d10h52m51s</t>
  </si>
  <si>
    <t>24051-FS55 In-House</t>
  </si>
  <si>
    <t>24051-FS29</t>
  </si>
  <si>
    <t>NORTH LEVEL 4 
INSTALL RIGHT TO LEFT</t>
  </si>
  <si>
    <t>Q:\Jobs\24051 - TN Titans Stadium\04_Production\24051FS29</t>
  </si>
  <si>
    <t>196 X 62 - 17</t>
  </si>
  <si>
    <t>09:45:07</t>
  </si>
  <si>
    <t>24051-FS29 In-House</t>
  </si>
  <si>
    <t>24051-FS29C</t>
  </si>
  <si>
    <t>COPING FOR LEVEL 400 NORTH</t>
  </si>
  <si>
    <t>* 2 SETS - INSTALL DRAWINGS
* (200 LF) 1-5/8" Reveals</t>
  </si>
  <si>
    <t>Q:\Jobs\24051 - TN Titans Stadium\04_Production\24051FS29C</t>
  </si>
  <si>
    <t>00d02h40m56s</t>
  </si>
  <si>
    <t>Denis Usatenko, Hennadii Stakhurskyi</t>
  </si>
  <si>
    <t>29C</t>
  </si>
  <si>
    <t>24051-FS29C In-House</t>
  </si>
  <si>
    <t>24051-FS30</t>
  </si>
  <si>
    <t>NORTH LEVEL 400
INSTALL DIRECTION RIGHT TO LEFT</t>
  </si>
  <si>
    <t>Q:\Jobs\24051 - TN Titans Stadium\04_Production\24051FS30</t>
  </si>
  <si>
    <t>196 X 62 - 32</t>
  </si>
  <si>
    <t>16:28:28</t>
  </si>
  <si>
    <t>24051-FS30 In-House</t>
  </si>
  <si>
    <t>24051-FS31</t>
  </si>
  <si>
    <t>Q:\Jobs\24051 - TN Titans Stadium\04_Production\24051FS31</t>
  </si>
  <si>
    <t>09:20:31</t>
  </si>
  <si>
    <t>24051-FS31 In-House</t>
  </si>
  <si>
    <t>24051-FS32</t>
  </si>
  <si>
    <t>Q:\Jobs\24051 - TN Titans Stadium\04_Production\24051FS32</t>
  </si>
  <si>
    <t>196 X 62 - 43</t>
  </si>
  <si>
    <t>21:41:33</t>
  </si>
  <si>
    <t>24051-FS32 In-House</t>
  </si>
  <si>
    <t>24051-FS33</t>
  </si>
  <si>
    <t>NORTH LEVEL 7 
RIGHT TO LEFT INSTALL</t>
  </si>
  <si>
    <t>Q:\Jobs\24051 - TN Titans Stadium\04_Production\24051FS33</t>
  </si>
  <si>
    <t>196 X 62 - 54</t>
  </si>
  <si>
    <t>23:37:44</t>
  </si>
  <si>
    <t>24051-FS33 In-House</t>
  </si>
  <si>
    <t>24051-FS33C</t>
  </si>
  <si>
    <t>COPING FOR WEST LEVEL 7 - TO SHIP WITH THE BALANCE OF THE AREA PANELS.</t>
  </si>
  <si>
    <t>Q:\Jobs\24051 - TN Titans Stadium\04_Production\24051FS33C</t>
  </si>
  <si>
    <t>196 X 62 - 33</t>
  </si>
  <si>
    <t>19:30:16</t>
  </si>
  <si>
    <t>33C</t>
  </si>
  <si>
    <t>Issiah Havens - @hstakhurskyi@jwmcd.com @jdavis@jwmcd.com @tgraves@jwmcd.com Programmed, Paneltracker</t>
  </si>
  <si>
    <t>24051-FS33C In-House</t>
  </si>
  <si>
    <t>2025, Week 28</t>
  </si>
  <si>
    <t>24051-FS34</t>
  </si>
  <si>
    <t>NORTH LEVEL 700
INSTALL RIGHT TO LEFT</t>
  </si>
  <si>
    <t>Q:\Jobs\24051 - TN Titans Stadium\04_Production\24051FS34</t>
  </si>
  <si>
    <t>196 X 62 - 15</t>
  </si>
  <si>
    <t>12:15:15</t>
  </si>
  <si>
    <t>24051-FS34 In-House</t>
  </si>
  <si>
    <t>24051-FS35</t>
  </si>
  <si>
    <t>NORTH LEVEL 7
INSTALL RIGHT TO LEFT</t>
  </si>
  <si>
    <t>Q:\Jobs\24051 - TN Titans Stadium\04_Production\24051FS35</t>
  </si>
  <si>
    <t>20:52:00</t>
  </si>
  <si>
    <t>24051-FS35 In-House</t>
  </si>
  <si>
    <t>24051-FS36</t>
  </si>
  <si>
    <t>PLEASE NOTE THIS RELEASE IS FIELD PANELS AND THE PERIMETER PANELS WILL BE INSTALLED ONCE THESE ARE IN PLACE 
WEST LEVEL 00 WINGS</t>
  </si>
  <si>
    <t>Q:\Jobs\24051 - TN Titans Stadium\04_Production\24051FS36</t>
  </si>
  <si>
    <t>196 X 62 - 84</t>
  </si>
  <si>
    <t>17:44:16</t>
  </si>
  <si>
    <t>Q:\Jobs\24051 - TN Titans Stadium\03_Engineering\03_FS_Issues\01_Calcs\2025-5-27_LOCSHA STADIUM CALC PACKAGE</t>
  </si>
  <si>
    <t>Issiah Havens - @hstakhurskyi@jwmcd.com @jdavis@jwmcd.com @tgraves@jwmcd.com Programmed, panel tracker</t>
  </si>
  <si>
    <t>24051-FS36 In-House</t>
  </si>
  <si>
    <t>2025, Week 31</t>
  </si>
  <si>
    <t>24026-BM01</t>
  </si>
  <si>
    <t>1740 Division</t>
  </si>
  <si>
    <t>1740 Division St.
Nashville, TN  37203</t>
  </si>
  <si>
    <t>Chris Buttrey</t>
  </si>
  <si>
    <t>615.517.9885</t>
  </si>
  <si>
    <t>Q:\Jobs\24026 - 1740 Division\04_Production\24026BM01</t>
  </si>
  <si>
    <t>ASHOP STOCK 48x120x16ga galv Galv Sheet, No Grain</t>
  </si>
  <si>
    <t>Galv Sheet</t>
  </si>
  <si>
    <t>ASHOP STOCK 48x120x16ga galv</t>
  </si>
  <si>
    <t>24026-BM01 In-House</t>
  </si>
  <si>
    <t>24026-FS01</t>
  </si>
  <si>
    <t>400 CAULK</t>
  </si>
  <si>
    <t>use 10/502 dimensions 
have color matched screws if needed</t>
  </si>
  <si>
    <t>* 2 Sets Install Drawings
* ( 150 PCS) PE2N [3" CLIP'S]
* ( 10 PCS) PET [3" CLIP'S]
* (32 LF) PE1N
*
* ( 30 pcs) Corner Clips
* (60  pcs) Fab Screws</t>
  </si>
  <si>
    <t>Q:\Jobs\24026 - 1740 Division\04_Production\24026FS01</t>
  </si>
  <si>
    <t>6 SHEETS</t>
  </si>
  <si>
    <t>00d02h30m41s</t>
  </si>
  <si>
    <t>4mm X 62" X 196", MTLC DCX CPPR FR ACM, Grain</t>
  </si>
  <si>
    <t>4mm X 62" X 196", MTLC DCX CPPR</t>
  </si>
  <si>
    <t>Joshua Davis</t>
  </si>
  <si>
    <t>Nadira Vlatkovic</t>
  </si>
  <si>
    <t>Gabriela Herrera, Nadira Vlatkovic</t>
  </si>
  <si>
    <t>FAB SCREW</t>
  </si>
  <si>
    <t>Q:\Jobs\24026 - 1740 Division\03_Engineering\02_FD Docs\FS01 Canopy</t>
  </si>
  <si>
    <t>Arnold Jurado - @gherrera@jwmcd.com @jdavis@jwmcd.com PROGRAMMED</t>
  </si>
  <si>
    <t>24026-FS01 In-House</t>
  </si>
  <si>
    <t>2026, Week 11</t>
  </si>
  <si>
    <t>24030-BM02</t>
  </si>
  <si>
    <t>Vantage TX-21</t>
  </si>
  <si>
    <t>3800 Wiseman Blvd
San Antonio, TX  78251</t>
  </si>
  <si>
    <t>* SKETCHES</t>
  </si>
  <si>
    <t>02</t>
  </si>
  <si>
    <t>2026, Week 16</t>
  </si>
  <si>
    <t>24051-FS82</t>
  </si>
  <si>
    <t>RETURN WALL ON LEVEL 150 NORTH</t>
  </si>
  <si>
    <t>* 2 SETS - INSTALL DRAWINGS
* (30 LF) 1-5/8" Reveals
* (20 LF) 1-1/8" Reveals
* (6 LF) JR2
* (75 CNT) CS Skrews</t>
  </si>
  <si>
    <t>Q:\Jobs\24051 - TN Titans Stadium\04_Production\24051FS82</t>
  </si>
  <si>
    <t>68 X 62 - 2 (DROPS)</t>
  </si>
  <si>
    <t>00:21:17</t>
  </si>
  <si>
    <t>24051-FS82 In-House</t>
  </si>
  <si>
    <t>24051-FS83</t>
  </si>
  <si>
    <t>LEVEL 150 RETURN WALL SOUTH ELEVATION</t>
  </si>
  <si>
    <t>The red ones only</t>
  </si>
  <si>
    <t>Q:\Jobs\24051 - TN Titans Stadium\04_Production\24051FS83</t>
  </si>
  <si>
    <t>68 X 62 - 3 (DROPS)</t>
  </si>
  <si>
    <t>00:26:36</t>
  </si>
  <si>
    <t>24051-FS83 In-House</t>
  </si>
  <si>
    <t>24051-FS84</t>
  </si>
  <si>
    <t>NORTH FIELD MEASURED PANELS MULTIPLE LEVELS</t>
  </si>
  <si>
    <t>* 2 SETS - INSTALL DRAWINGS
* (160 LF) 1-5/8" Reveals
* (100 LF) 1-1/8" Reveals
* (32 LF) JR2
* (300 CNT) CS Skrews</t>
  </si>
  <si>
    <t>Q:\Jobs\24051 - TN Titans Stadium\04_Production\24051FS84</t>
  </si>
  <si>
    <t>68 x 62 in 	10 SHEETS
196 x 62 in	3 SHEETS</t>
  </si>
  <si>
    <t>00d02h37m08s</t>
  </si>
  <si>
    <t>24051-FS84 In-House</t>
  </si>
  <si>
    <t>24051-FS85</t>
  </si>
  <si>
    <t>SOUTH FIELD MEASURES</t>
  </si>
  <si>
    <t>* 2 SETS - INSTALL DRAWINGS
* (25 LF) 1-5/8" Reveals
* (8 LF) JR2</t>
  </si>
  <si>
    <t>Q:\Jobs\24051 - TN Titans Stadium\04_Production\24051FS85</t>
  </si>
  <si>
    <t>68 x 62 in 	1 SHEET
196 x 62 in	1 SHEET</t>
  </si>
  <si>
    <t>00d00h27m57s</t>
  </si>
  <si>
    <t>24051-FS85 In-House</t>
  </si>
  <si>
    <t>24051-RP11</t>
  </si>
  <si>
    <t>Peeled polly for inspection</t>
  </si>
  <si>
    <t>Q:\Jobs\24051 - TN Titans Stadium\04_Production\24051RP11</t>
  </si>
  <si>
    <t>196 X 62 - 1</t>
  </si>
  <si>
    <t>00:12:32</t>
  </si>
  <si>
    <t>4MM FR CORE MOONSTONE 62 X 196</t>
  </si>
  <si>
    <t>Paul J Roberts</t>
  </si>
  <si>
    <t>S4112-2BA02</t>
  </si>
  <si>
    <t>HUMAN ERROR</t>
  </si>
  <si>
    <t>jdavis@jwmcd.com</t>
  </si>
  <si>
    <t>RP</t>
  </si>
  <si>
    <t>--</t>
  </si>
  <si>
    <t>24051-RP20</t>
  </si>
  <si>
    <t>0</t>
  </si>
  <si>
    <t>Issiah Havens - @jdavis@jwmcd.com PROGRAMMED</t>
  </si>
  <si>
    <t>24051-RP11 In-House</t>
  </si>
  <si>
    <t>2025, Week 33</t>
  </si>
  <si>
    <t>24051-RP13</t>
  </si>
  <si>
    <t>Panels damaged in Alu Bender</t>
  </si>
  <si>
    <t>Q:\Jobs\24051 - TN Titans Stadium\04_Production\24051RP13</t>
  </si>
  <si>
    <t>17:29:09</t>
  </si>
  <si>
    <t>Whole release</t>
  </si>
  <si>
    <t>FS36</t>
  </si>
  <si>
    <t>MACHINE</t>
  </si>
  <si>
    <t>Issiah Havens - @hstakhurskyi@jwmcd.com @jdavis@jwmcd.com PROGRAMMED, SEE NOTES ON MATERIAL SUMMARY REPORT</t>
  </si>
  <si>
    <t>24051-RP13 In-House</t>
  </si>
  <si>
    <t>#INVALID DATA TYPE</t>
  </si>
  <si>
    <t>24051-RP14</t>
  </si>
  <si>
    <t>Q:\Jobs\24051 - TN Titans Stadium\04_Production\24051RP14</t>
  </si>
  <si>
    <t>196 X 62 - 8</t>
  </si>
  <si>
    <t>03:20:33</t>
  </si>
  <si>
    <t>FS37</t>
  </si>
  <si>
    <t>Issiah Havens - @jdavis@jwmcd.com @hstakhurskyi@jwmcd.com PROGRAMMED, SEE NOTES ON MATERIAL SUMMARY REPORT</t>
  </si>
  <si>
    <t>24051-RP14 In-House</t>
  </si>
  <si>
    <t>24051-RP15</t>
  </si>
  <si>
    <t>Q:\Jobs\24051 - TN Titans Stadium\04_Production\24051RP15</t>
  </si>
  <si>
    <t>12:17:45</t>
  </si>
  <si>
    <t>FS39</t>
  </si>
  <si>
    <t>24051-RP15 In-House</t>
  </si>
  <si>
    <t>24051-RP16</t>
  </si>
  <si>
    <t>dents and missing panels</t>
  </si>
  <si>
    <t>Q:\Jobs\24051 - TN Titans Stadium\04_Production\24051RP16</t>
  </si>
  <si>
    <t>196 X 62 - 5</t>
  </si>
  <si>
    <t>00:58:21</t>
  </si>
  <si>
    <t>E5401-1CA01
E5401-1CA06
E5401-1CA07 X2
E5401-1CA08</t>
  </si>
  <si>
    <t>FS42</t>
  </si>
  <si>
    <t>MATERIAL DEFECT</t>
  </si>
  <si>
    <t>24051-RP16 In-House</t>
  </si>
  <si>
    <t>2025, Week 35</t>
  </si>
  <si>
    <t>25035-FS02.1</t>
  </si>
  <si>
    <t>Titans Jabez</t>
  </si>
  <si>
    <t>Reveals for FS02 and 03.</t>
  </si>
  <si>
    <t>* SKETCH
* CUT LIST</t>
  </si>
  <si>
    <t>Q:\Jobs\25035 - Titans Jabez\04_Production\25035FS02.1</t>
  </si>
  <si>
    <t>1 SHEET</t>
  </si>
  <si>
    <t>00d00h18m41s</t>
  </si>
  <si>
    <t>02.1</t>
  </si>
  <si>
    <t>25035-FS04</t>
  </si>
  <si>
    <t>AXYZ
Clean and Brake
Shear</t>
  </si>
  <si>
    <t>Arnold Jurado - @hstakhurskyi@jwmcd.com @jdavis@jwmcd.com PROGRAAMMED</t>
  </si>
  <si>
    <t>25035-FS02.1 In-House</t>
  </si>
  <si>
    <t>2026, Week 09</t>
  </si>
  <si>
    <t>25035-FS03</t>
  </si>
  <si>
    <t>CUSTOM ARCH</t>
  </si>
  <si>
    <t>MATERRIAL TO BE SHIPPED TO SPECTRUM TO BE PAINTED TOB BLACK. 
A112 CLIPS &amp; ACM ANGLES ARE TO BE SHIPPED LOOSE WITH THE PANELS TO THE SITE
RERFERENCE PO 26436</t>
  </si>
  <si>
    <t>THE EXTRUSIONS CAN BE INSTALLED ON THE PANELS AS LONG AS THERE IS NO SILICONE OR ADHEASIVES ON ANY KIND.  OTHERWISE, THESE PARTS WILL NEED TO BE APPLIED AFTER THE PANELS ARE PAINTED.</t>
  </si>
  <si>
    <t>* 2 SETS - INSTALL DRAWINGS
* (753LF) JR2
* REVEALS FROM FS02.1</t>
  </si>
  <si>
    <t>Q:\Jobs\25035 - Titans Jabez\04_Production\25035FS03</t>
  </si>
  <si>
    <t>Unavailable</t>
  </si>
  <si>
    <t>26:11:48</t>
  </si>
  <si>
    <t>.125" X 60" X 144", 3003- Mill Alum Sheet, No Grain</t>
  </si>
  <si>
    <t>Alum Sheet</t>
  </si>
  <si>
    <t>.125" X 60" X 144", 3003- Mill</t>
  </si>
  <si>
    <t>Frank Dean</t>
  </si>
  <si>
    <t>Jonathan Dorsey</t>
  </si>
  <si>
    <t>SPECTRUM 
535 Bev Rd.
Youngstown, OH 44512
ATTN JARRED RUGGIERI
412-789-4459</t>
  </si>
  <si>
    <t>Shipped To Painter</t>
  </si>
  <si>
    <t>7000 TruMatic</t>
  </si>
  <si>
    <t>03</t>
  </si>
  <si>
    <t>7000 TruMatic
Brake
Clean and Brake
Fab
Powder Coat</t>
  </si>
  <si>
    <t>Marc Ribar - @gholland@jwmcd.com @jdavis@jwmcd.com @cball@jwmcd.com @tgraves@jwmcd.com THIS RELEASE NEEDS TO GO WITH FS02 TO SPECTRUM FOR COATING WHICH IS READY TO SHIP.  BOTH WERE RELEAED AT THE SAME TIME &amp; WE NEED TO GET THIS OUT OF THE SHOP.  PLEASE PROVIDE A SHIP DATE.</t>
  </si>
  <si>
    <t>25035-FS03 In-House</t>
  </si>
  <si>
    <t>Do all panels not just FD.</t>
  </si>
  <si>
    <t>* 2 SETS - INSTALL DRAWINGS
* ( LF) 1-5/8" Reveals
* ( LF) JR2</t>
  </si>
  <si>
    <t>Fortitude</t>
  </si>
  <si>
    <t>Hennadii Stakhurskyi/Fortitude</t>
  </si>
  <si>
    <t>04</t>
  </si>
  <si>
    <t>25035-FS04 In-House</t>
  </si>
  <si>
    <t>2026, Week 13</t>
  </si>
  <si>
    <t>24082-FL03</t>
  </si>
  <si>
    <t>GTN Cable</t>
  </si>
  <si>
    <t>1 Meta Loop
Gallatin, TN  37066</t>
  </si>
  <si>
    <t>Josh McPherson, Nick Akins</t>
  </si>
  <si>
    <t>\\192.168.2.10\ashop_data\Jobs\24082 - GTN Cable\04_Production\24082FL03</t>
  </si>
  <si>
    <t>22GA. X 48" X 120" Regal Gray Steel Sheet, No Grain</t>
  </si>
  <si>
    <t>22GA. X 48" X 120" Regal Gray</t>
  </si>
  <si>
    <t>FL</t>
  </si>
  <si>
    <t>24082-FL03 In-House</t>
  </si>
  <si>
    <t>25014-11-ST01</t>
  </si>
  <si>
    <t>R&amp;D</t>
  </si>
  <si>
    <t>Nashville, TN  37218</t>
  </si>
  <si>
    <t>Completed order to be taken to shipping area when finished.
This order will be picked up with 25014-11-ST02.
Notify Paul Roberts in engineering when complete.</t>
  </si>
  <si>
    <t>Use smallest drop available to program for 1/8" steel plate.  Material thickness may vary slightly if 1/8" is not available.
Update material information if thickness changes.</t>
  </si>
  <si>
    <t>Sketches
Programming Files</t>
  </si>
  <si>
    <t>Q:\Jobs\25014-11 - Pressure Washer Base\Production\25014-11-ST01</t>
  </si>
  <si>
    <t>00:00:18</t>
  </si>
  <si>
    <t>1/8" thick, minimum drop Steel Sheet, No Grain</t>
  </si>
  <si>
    <t>1/8" thick, minimum drop</t>
  </si>
  <si>
    <t>TruLaser 3040</t>
  </si>
  <si>
    <t>25014-11</t>
  </si>
  <si>
    <t>25014-11-ST02</t>
  </si>
  <si>
    <t>Chris Gambrel - @fdean@jwmcd.com @dhasty@jwmcd.com flat program completed.</t>
  </si>
  <si>
    <t>25014-11-ST01 In-House</t>
  </si>
  <si>
    <t>Cut materials into 5' sections.  Keep drops with cut materials.
Completed order to be taken to shipping area when finished.
This order will be picked up with 25014-11-ST01.
Notify Paul Roberts in engineering when complete.</t>
  </si>
  <si>
    <t>Materials are in the boneyard, directly across from the shipping department.  Measure material thicknesses and update material information to include thickness.
Raw material quantities are unknown.  Update part quantity to reflect projected total number of parts that will be shipped.  Include potential drops in the part quantity.</t>
  </si>
  <si>
    <t>Q:\Jobs\25014-11 - Pressure Washer Base\Production\25014-11-ST02</t>
  </si>
  <si>
    <t>Tube - 21 sticks @ 25'6"
1 x 1 Angle - 24 sticks @ 20'
1 1/2 x 1 1/2 Angle - 20 sticks @ 20'</t>
  </si>
  <si>
    <t>00:39:00</t>
  </si>
  <si>
    <t>1" X 1" X 1/8" Steel Angle, 1 1/2" X 1 1/2" X 1/4" Steel Angle, 3" X 1.5" X 13ga. wall Steel Tube Alum Tube, No Grain</t>
  </si>
  <si>
    <t>Alum Tube</t>
  </si>
  <si>
    <t>1" X 1" X 1/8" Steel Angle, 1 1/2" X 1 1/2" X 1/4" Steel Angle, 3" X 1.5" X 13ga. wall Steel Tube</t>
  </si>
  <si>
    <t>Arnold Jurado</t>
  </si>
  <si>
    <t>Issiah Havens - @fdean@jwmcd.com program complete</t>
  </si>
  <si>
    <t>25014-11-ST02 In-House</t>
  </si>
  <si>
    <t>25016-BM201</t>
  </si>
  <si>
    <t>Rockdale CJAC</t>
  </si>
  <si>
    <t>981 Milstead Avenue NE
Conyers, GA  30012</t>
  </si>
  <si>
    <t>Dillon Bowman</t>
  </si>
  <si>
    <t>518.860.9477</t>
  </si>
  <si>
    <t>Mock-Up (Girts)
(12) 2" Z-Girts</t>
  </si>
  <si>
    <t>\\jw-vm-ashop\ASHOP_DATA\Jobs\25016 - Rockdale CJAC\04_Production\25016BM201</t>
  </si>
  <si>
    <t>16g Galv 48 x 120 Galv Sheet, No Grain</t>
  </si>
  <si>
    <t>16g Galv 48 x 120</t>
  </si>
  <si>
    <t>N/A (Process Customer Provided Blanks)</t>
  </si>
  <si>
    <t>25016-BM201 In-House</t>
  </si>
  <si>
    <t>2025, Week 37</t>
  </si>
  <si>
    <t>25016-FL200</t>
  </si>
  <si>
    <t>Mock-Up (FL's)</t>
  </si>
  <si>
    <t>Mock-Up (FL's)
- Please check the FD Folder for Dimension Adjustments</t>
  </si>
  <si>
    <t>Q:\Jobs\25016 - Rockdale CJAC\04_Production\25016FL200</t>
  </si>
  <si>
    <t>48 x 120 - .040 - 48 x 120 - Dark Bronze Alum Sheet, No Grain</t>
  </si>
  <si>
    <t>48 x 120 - .040 - 48 x 120 - Dark Bronze</t>
  </si>
  <si>
    <t>Chance Dill</t>
  </si>
  <si>
    <t>Denis Usatenko - They are there</t>
  </si>
  <si>
    <t>25016-FL200 In-House</t>
  </si>
  <si>
    <t>25016-MU101</t>
  </si>
  <si>
    <t>Courthouse ACM - Use Pewter Screws on Dillon's Shelf in the Tool Crib</t>
  </si>
  <si>
    <t>Q:\Jobs\25016 - Rockdale CJAC\04_Production\25016MU101</t>
  </si>
  <si>
    <t>00:33:24</t>
  </si>
  <si>
    <t>62 x 196 FR ACM - Nissan Gray (3A) - 24033 FR ACM, Grain</t>
  </si>
  <si>
    <t>62 x 196 FR ACM - Nissan Gray (3A) - 24033</t>
  </si>
  <si>
    <t>Q:\Jobs\25016 - Rockdale CJAC\03_Engineering\02_FD Docs\25016 - MU 101 - Courthouse ACM</t>
  </si>
  <si>
    <t>AXYZ 34</t>
  </si>
  <si>
    <t>MU</t>
  </si>
  <si>
    <t>25016-MU123</t>
  </si>
  <si>
    <t>AXYZ 34
Clean and Brake
Fab</t>
  </si>
  <si>
    <t>Issiah Havens - @gherrera@jwmcd.com @jdavis@jwmcd.com @tgraves@jwmcd.com Programmed, panel tracker</t>
  </si>
  <si>
    <t>25016-MU101 In-House</t>
  </si>
  <si>
    <t>2025, Week 27</t>
  </si>
  <si>
    <t>25016-MU103</t>
  </si>
  <si>
    <t>Courthouse Flashing</t>
  </si>
  <si>
    <t>48 x 120 - .040 - Fabral - Black/Gray Alum Sheet, No Grain</t>
  </si>
  <si>
    <t>48 x 120 - .040 - Fabral - Black/Gray</t>
  </si>
  <si>
    <t>Q:\Jobs\25016 - Rockdale CJAC\03_Engineering\02_FD Docs\25016 - MU 103 - Courthouse Flashing and Coping</t>
  </si>
  <si>
    <t>Paul J Roberts - @dusatenko@jwmcd.com Standard flashing.</t>
  </si>
  <si>
    <t>25016-MU103 In-House</t>
  </si>
  <si>
    <t>25016-MU121</t>
  </si>
  <si>
    <t>Admin Mock-UP ACM</t>
  </si>
  <si>
    <t>Use Pewter Screws on Dillon's Shelf in the Tool Crib</t>
  </si>
  <si>
    <t>Q:\Jobs\25016 - Rockdale CJAC\04_Production\25016MU121</t>
  </si>
  <si>
    <t>00:09:20</t>
  </si>
  <si>
    <t>PEWTER</t>
  </si>
  <si>
    <t>Q:\Jobs\25016 - Rockdale CJAC\03_Engineering\02_FD Docs\25016 - MU 121</t>
  </si>
  <si>
    <t>25016-MU121 In-House</t>
  </si>
  <si>
    <t>25016-MU122</t>
  </si>
  <si>
    <t>Admin Building - Mock-Up - Girts</t>
  </si>
  <si>
    <t>Q:\Jobs\25016 - Rockdale CJAC\03_Engineering\02_FD Docs\25016 - MU 122 - Admin Bldg Mock-Up - Girts</t>
  </si>
  <si>
    <t>Paul J Roberts - @dusatenko@jwmcd.com 16 Ga. zees.</t>
  </si>
  <si>
    <t>25016-MU122 In-House</t>
  </si>
  <si>
    <t>Admin Bldg Mock-up Flashing</t>
  </si>
  <si>
    <t>48 x 120 - .040 - Fabral - Black/Gray (22007) Alum Sheet, No Grain</t>
  </si>
  <si>
    <t>48 x 120 - .040 - Fabral - Black/Gray (22007)</t>
  </si>
  <si>
    <t>Q:\Jobs\25016 - Rockdale CJAC\03_Engineering\02_FD Docs\25016 - MU 123 - Admin Bldg Mock-Up - Flashing</t>
  </si>
  <si>
    <t>Allen Duke - For me?
Thanks,
ALLEN DUKE
Processing Estimating Manager
John W. McDougall Inc.
615.321.3900
 |
jwmcd.com</t>
  </si>
  <si>
    <t>25016-MU123 In-House</t>
  </si>
  <si>
    <t>25017-FL99</t>
  </si>
  <si>
    <t>Nashville Yards Park</t>
  </si>
  <si>
    <t>Nashville, TN  37203</t>
  </si>
  <si>
    <t>Corner Trim Fix</t>
  </si>
  <si>
    <t>* Sketch</t>
  </si>
  <si>
    <t>Q:\Jobs\25017 - Nashville Yards Park\04_Production\25017FL99</t>
  </si>
  <si>
    <t>0.5 - SHT</t>
  </si>
  <si>
    <t>.032 x 48 x 120 - Hemlock Green - 25017 Alum Sheet, Grain</t>
  </si>
  <si>
    <t>.032 x 48 x 120 - Hemlock Green - 25017</t>
  </si>
  <si>
    <t>Mitch Chancey - @dbowman@jwmcd.com @swatson@jwmcd.com @tgraves@jwmcd.com LOOSE ON THE TREE</t>
  </si>
  <si>
    <t>25017-FL99 In-House</t>
  </si>
  <si>
    <t>2026, Week 03</t>
  </si>
  <si>
    <t>24051-FS37</t>
  </si>
  <si>
    <t>EAST LEVEL 050 BAND</t>
  </si>
  <si>
    <t>Q:\Jobs\24051 - TN Titans Stadium\04_Production\24051FS37</t>
  </si>
  <si>
    <t>03:23:31</t>
  </si>
  <si>
    <t>Issiah Havens - @hstakhurskyi@jwmcd.com @jdavis@jwmcd.com @tgraves@jwmcd.com Programmed w/ PT</t>
  </si>
  <si>
    <t>24051-FS37 In-House</t>
  </si>
  <si>
    <t>2025, Week 29</t>
  </si>
  <si>
    <t>24051-FS38</t>
  </si>
  <si>
    <t>EAST LEVEL 050</t>
  </si>
  <si>
    <t>Q:\Jobs\24051 - TN Titans Stadium\04_Production\24051FS38</t>
  </si>
  <si>
    <t>196 X 62 - 21</t>
  </si>
  <si>
    <t>11:20:52</t>
  </si>
  <si>
    <t>24051-FS38 In-House</t>
  </si>
  <si>
    <t>24051-FS39</t>
  </si>
  <si>
    <t>Q:\Jobs\24051 - TN Titans Stadium\04_Production\24051FS39</t>
  </si>
  <si>
    <t>12:26:52</t>
  </si>
  <si>
    <t>24051-FS39 In-House</t>
  </si>
  <si>
    <t>24051-FS40</t>
  </si>
  <si>
    <t>Q:\Jobs\24051 - TN Titans Stadium\04_Production\24051FS40</t>
  </si>
  <si>
    <t>196 X 62 - 7</t>
  </si>
  <si>
    <t>07:05:50</t>
  </si>
  <si>
    <t>24051-FS40 In-House</t>
  </si>
  <si>
    <t>24051-FS41</t>
  </si>
  <si>
    <t>Q:\Jobs\24051 - TN Titans Stadium\04_Production\24051FS41</t>
  </si>
  <si>
    <t>196 X 62 - 48</t>
  </si>
  <si>
    <t>17:56:09</t>
  </si>
  <si>
    <t>24051-FS41 In-House</t>
  </si>
  <si>
    <t>2025, Week 30</t>
  </si>
  <si>
    <t>24051-FS42</t>
  </si>
  <si>
    <t>EAST LEVEL 050 
PLEASE NOTE PANELS INSTALL FROM THE RIGHT TO THE LEFT.  ALSO THE DIMENSION CHANGE IN THE 1ST BAY.  THE REVISED DRAWING REMOVES THE 1ST ROW OF PANELS TO BE FIELD DIMENSIONED.</t>
  </si>
  <si>
    <t>Q:\Jobs\24051 - TN Titans Stadium\04_Production\24051FS42</t>
  </si>
  <si>
    <t>196 X 62 - 115</t>
  </si>
  <si>
    <t>23:47:40</t>
  </si>
  <si>
    <t>24051-FS42 In-House</t>
  </si>
  <si>
    <t>24079-FS03</t>
  </si>
  <si>
    <t>Nashville Youth Campus</t>
  </si>
  <si>
    <t>1354 Brick Church Pike
Nashville, TN  37207</t>
  </si>
  <si>
    <t>Joe Hoyle</t>
  </si>
  <si>
    <t>828.334.7808</t>
  </si>
  <si>
    <t>FIBER CEMENT - LAYOUT CARD #003
NO JWM FABRICATION</t>
  </si>
  <si>
    <t>AREA B - West rescan to capture the elevation to the left of the radiused wall.  Reference elevations 5/NY-06 and 1/NY-35 of the fiber shop drawings.
Please provide the fiber panel layout per the AAN AFC drawings. Coordinate with the FS02 and FS101 layouts.</t>
  </si>
  <si>
    <t>TBD LAYOUT ONLY, Grain</t>
  </si>
  <si>
    <t>LAYOUT ONLY</t>
  </si>
  <si>
    <t>TBD</t>
  </si>
  <si>
    <t>Approved As Noted</t>
  </si>
  <si>
    <t>Q:\Jobs\24079 - Nashville Youth Campus\03_Engineering\02_FD Docs\24079 - NYCE - FS103 AREA D\NYCE 103 &amp; 105 SCANS\Wall=Rescan</t>
  </si>
  <si>
    <t>Evaluation</t>
  </si>
  <si>
    <t>24079-FS303</t>
  </si>
  <si>
    <t>24079-FS03 In-House</t>
  </si>
  <si>
    <t>24079-FS101</t>
  </si>
  <si>
    <t>AREA B - ACM Release</t>
  </si>
  <si>
    <t>AREA B - ACM Release
Parapet dimensions are in the photos folder.  Job is not 100%, there are missing frames, columns and sheathing.  We'll be coordinating with the field to resolve missing information.</t>
  </si>
  <si>
    <t>* 2 SETS - INSTALL DRAWINGS
* SKETCHES 
* CUT LIST 
* EXTRUSION TIGER SAW LIST 
* COLOR LABELS</t>
  </si>
  <si>
    <t>* (1500 LF) 16ga, flat-strap for install
* (1400 LF) 1-5/8" Reveals
* (100 LF) 1-5/8" Reveals﻿
* (1100 LF) JR2
* (270 LF) 0.05" thick by 1.25" wide min. STRAP for Panel Fab</t>
  </si>
  <si>
    <t>Q:\Jobs\24079 - Nashville Youth Campus\04_Production\24079FS101</t>
  </si>
  <si>
    <t>96 SHEETS</t>
  </si>
  <si>
    <t>01d07h19m43s</t>
  </si>
  <si>
    <t>4mm X 62" X 196" 'CWM - Cloud White MATTE' FR ACM, Grain</t>
  </si>
  <si>
    <t>4mm X 62" X 196" 'CWM - Cloud White MATTE'</t>
  </si>
  <si>
    <t>MTPK</t>
  </si>
  <si>
    <t>Q:\Jobs\24079 - Nashville Youth Campus\03_Engineering\02_FD Docs\24079 - NYCE - FS01 AREA B</t>
  </si>
  <si>
    <t>Q:\Jobs\24079 - Nashville Youth Campus\03_Engineering\02_FD Docs\24079 - NYCE - FS01 AREA B\Photos</t>
  </si>
  <si>
    <t>24079-FS101 In-House</t>
  </si>
  <si>
    <t>24079-FS102</t>
  </si>
  <si>
    <t>AREA D</t>
  </si>
  <si>
    <t>AREA D - ACM Release #001.  Connect layout with FS101.
Coordinate FS102 with FS02.  Check panel alignment across both approved ACM and fiber shop drawings.
Parapet dimensions are in the photos folder. Job is not 100%, there are missing frames, columns and sheathing. We'll be coordinating with the field to resolve missing information.
Drawing indicating the extent of scope is found in the FD Docs folder.
Calcs are not complete.</t>
  </si>
  <si>
    <t>* (1500 lft)  16ga, flat-strap for the FIELD
* 2 SETS - INSTALL DRAWINGS
* ( LF) 1-5/8" Reveals
* ( LF) JR2</t>
  </si>
  <si>
    <t>4mm X 62" X 196" 'Cloud White Matte' FR ACM, Grain</t>
  </si>
  <si>
    <t>4mm X 62" X 196" 'Cloud White Matte'</t>
  </si>
  <si>
    <t>Q:\Jobs\24079 - Nashville Youth Campus\03_Engineering\02_FD Docs\24079 - NYCE - FS103 AREA D</t>
  </si>
  <si>
    <t>Sketch Check</t>
  </si>
  <si>
    <t>Customer Pick Up
In House</t>
  </si>
  <si>
    <t>24079-FS102 In-House</t>
  </si>
  <si>
    <t>24051-FS04</t>
  </si>
  <si>
    <t>WEST LEVEL 400 UPPER BAND</t>
  </si>
  <si>
    <t>Q:\Jobs\24051 - TN Titans Stadium\04_Production\24051FS04</t>
  </si>
  <si>
    <t>196 X 62 - 39</t>
  </si>
  <si>
    <t>19:54:09</t>
  </si>
  <si>
    <t>Partially Shipped</t>
  </si>
  <si>
    <t>Samantha Krantz - Reveals done 4-7-25</t>
  </si>
  <si>
    <t>24051-FS04 In-House</t>
  </si>
  <si>
    <t>2025, Week 17</t>
  </si>
  <si>
    <t>24051-FS05</t>
  </si>
  <si>
    <t>WEST LEVEL 4 MIDDLE ROW</t>
  </si>
  <si>
    <t>Q:\Jobs\24051 - TN Titans Stadium\04_Production\24051FS05</t>
  </si>
  <si>
    <t>196 X 62 - 11</t>
  </si>
  <si>
    <t>11:21:07</t>
  </si>
  <si>
    <t>05</t>
  </si>
  <si>
    <t>24051-FS05 In-House</t>
  </si>
  <si>
    <t>24051-FS06</t>
  </si>
  <si>
    <t>LEVEL 4 BOTTOM ROW OF PANELS</t>
  </si>
  <si>
    <t>Q:\Jobs\24051 - TN Titans Stadium\04_Production\24051FS06</t>
  </si>
  <si>
    <t>196 X 62 - 42</t>
  </si>
  <si>
    <t>20:53:28</t>
  </si>
  <si>
    <t>06</t>
  </si>
  <si>
    <t>Samantha Krantz - Reveals done 4-10-25</t>
  </si>
  <si>
    <t>24051-FS06 In-House</t>
  </si>
  <si>
    <t>24051-FS10</t>
  </si>
  <si>
    <t>South Elevation 700 level.  
Install Direction Left to Right</t>
  </si>
  <si>
    <t>Q:\Jobs\24051 - TN Titans Stadium\04_Production\24051FS10</t>
  </si>
  <si>
    <t>23:52:07</t>
  </si>
  <si>
    <t>Samantha Krantz - Reveals done 4-13-25</t>
  </si>
  <si>
    <t>24051-FS10 In-House</t>
  </si>
  <si>
    <t>2025, Week 19</t>
  </si>
  <si>
    <t>24051-FS42.1</t>
  </si>
  <si>
    <t>* 2 SETS - INSTALL DRAWINGS
* (1582 LF) 1-5/8" Reveals
* ( 100 pcs) Corner Clips 
* ( 200 pcs ) Color Matching Screws﻿
* ( 242 LF) JR2 (EXTENDED?)</t>
  </si>
  <si>
    <t>Q:\Jobs\24051 - TN Titans Stadium\04_Production\24051FS42.1</t>
  </si>
  <si>
    <t>14:53:45</t>
  </si>
  <si>
    <t>Issiah Havens - @jdavis@jwmcd.com programmed. @aniedfeld@jwmcd.com please print all documents from the "PROGRAMMING DOCS" folder</t>
  </si>
  <si>
    <t>24051-FS42.1 In-House</t>
  </si>
  <si>
    <t>24051-FS43</t>
  </si>
  <si>
    <t>EAST ELEVATION LEVEL 050.  INSTRALL DIRECTION ROGHT TO LEFT.  
BOTTOM LEFT OUT OF RELEASE TO FIELD MEASURE.</t>
  </si>
  <si>
    <t>Q:\Jobs\24051 - TN Titans Stadium\04_Production\24051FS43</t>
  </si>
  <si>
    <t>196 X 62 - 155</t>
  </si>
  <si>
    <t>31:54:12</t>
  </si>
  <si>
    <t>24051-FS43 In-House</t>
  </si>
  <si>
    <t>2025, Week 32</t>
  </si>
  <si>
    <t>24051-FS43.1</t>
  </si>
  <si>
    <t>LEVEL 50 EAST ELEVATION</t>
  </si>
  <si>
    <t>* 2 SETS - INSTALL DRAWINGS
* (437 LF) 1-5/8" Reveals</t>
  </si>
  <si>
    <t>Q:\Jobs\24051 - TN Titans Stadium\04_Production\24051FS43.1</t>
  </si>
  <si>
    <t>06:02:31</t>
  </si>
  <si>
    <t>Issiah Havens - @aniedfeld@jwmcd.com @jdavis@jwmcd.com PROGRAMMED</t>
  </si>
  <si>
    <t>24051-FS43.1 In-House</t>
  </si>
  <si>
    <t>24051-FS44</t>
  </si>
  <si>
    <t>EAST ELEVATION LEVEL 050.  BOTTOM ROW LEFT OFF RELEASE FOR FIELD MEASURE.</t>
  </si>
  <si>
    <t>Q:\Jobs\24051 - TN Titans Stadium\04_Production\24051FS44</t>
  </si>
  <si>
    <t>24051-FS44 In-House</t>
  </si>
  <si>
    <t>2025, Week 34</t>
  </si>
  <si>
    <t>24051-FS45</t>
  </si>
  <si>
    <t>EVERY CRATE REQUIRES REVEALS
EVERY CRATE REQUIRES JR2</t>
  </si>
  <si>
    <t>NORTH LEVEL 200</t>
  </si>
  <si>
    <t>2 SETS - INSTALL DRAWINGS 
375 LF - 1 5/8" REVEALS TO MATCH 
140 LF - JR2
175 pcs - Corner Clips 
350 pcs - Color Matched Screws</t>
  </si>
  <si>
    <t>Q:\Jobs\24051 - TN Titans Stadium\04_Production\24051FS45</t>
  </si>
  <si>
    <t>17 SHEETS</t>
  </si>
  <si>
    <t>00d09h48m52s</t>
  </si>
  <si>
    <t>Arnold Jurado - @hstakhurskyi@jwmcd.com @dusatenko@jwmcd.com @jdavis@jwmcd.com PROGRAMMED</t>
  </si>
  <si>
    <t>24051-FS45 In-House</t>
  </si>
  <si>
    <t>2025, Week 48</t>
  </si>
  <si>
    <t>24048-RM02</t>
  </si>
  <si>
    <t>QTS NAL2 DC1</t>
  </si>
  <si>
    <t>785 Beech Rd SW
New Albany, OH  43054</t>
  </si>
  <si>
    <t>Panels missing from original delivery.   Ship ASAP.</t>
  </si>
  <si>
    <t>Loading dock soffit remakes.
Pull materials from 24065.</t>
  </si>
  <si>
    <t>Q:\Jobs\24048 - QTS NAL2 DC1\04_Production\24048RM02</t>
  </si>
  <si>
    <t>160 X 62 - 3 SHEETS</t>
  </si>
  <si>
    <t>00:13:04</t>
  </si>
  <si>
    <t>4mm X 62" X 160" 'SMX Silver' FR ACM, Grain</t>
  </si>
  <si>
    <t>4mm X 62" X 160" 'SMX Silver'</t>
  </si>
  <si>
    <t>Q:\Jobs\24048 - QTS NAL2 DC1\03_Engineering\02_FD Docs\24048 - Loading Dock Soffit</t>
  </si>
  <si>
    <t>Q:\Jobs\24048 - QTS NAL2 DC1\03_Engineering\04_Calcs</t>
  </si>
  <si>
    <t>201-2Q02
201-2Q06
201-2Q07</t>
  </si>
  <si>
    <t>FS12</t>
  </si>
  <si>
    <t>SHIPPING</t>
  </si>
  <si>
    <t>RM</t>
  </si>
  <si>
    <t>Arnold Jurado - @cdill@jwmcd.com @jdavis@jwmcd.com PROGRAMMED</t>
  </si>
  <si>
    <t>24048-RM02 In-House</t>
  </si>
  <si>
    <t>24051-BM01</t>
  </si>
  <si>
    <t>issue does not ship as its own separate order.  Will be sent to jobsite as needed with FS releases.</t>
  </si>
  <si>
    <t>JR-Extended (1500 pcs @ 10'-0")
Use stock 0.125 AL</t>
  </si>
  <si>
    <t>.125" X 60" X 120", 3003-H12 Mill Alum Sheet, No Grain</t>
  </si>
  <si>
    <t>.125" X 60" X 120", 3003-H12 Mill</t>
  </si>
  <si>
    <t>Terry Jones</t>
  </si>
  <si>
    <t>24051-BM02</t>
  </si>
  <si>
    <t>Brake
Shear</t>
  </si>
  <si>
    <t>Paul J Roberts - @dusatenko@jwmcd.com I switched check over to Terry.</t>
  </si>
  <si>
    <t>24051-BM01 In-House</t>
  </si>
  <si>
    <t>BUNDLE 700 LF FOR FS10C &amp; 710 LF FOR FS33C
PUT THESE PARTS IN THE RELEASE BUNDLES TO ENSURE THE MATERIAL IS SHIPPED WITH THE PANELS.</t>
  </si>
  <si>
    <t>Q:\Jobs\24051 - TN Titans Stadium\04_Production\24051BM02</t>
  </si>
  <si>
    <t>9 - SHTS</t>
  </si>
  <si>
    <t>NA</t>
  </si>
  <si>
    <t>.063" X 48" X 120", 3003 Mill Alum Sheet, No Grain</t>
  </si>
  <si>
    <t>.063" X 48" X 120", 3003 Mill</t>
  </si>
  <si>
    <t>Denis Usatenko - 141</t>
  </si>
  <si>
    <t>24051-BM02 In-House</t>
  </si>
  <si>
    <t>25032-FL01</t>
  </si>
  <si>
    <t>Amazon IAD181</t>
  </si>
  <si>
    <t>43649 Light Speed Plaza
Sterling, VA  20166</t>
  </si>
  <si>
    <t>Matt Rassmussen</t>
  </si>
  <si>
    <t>Morin Dove Gray</t>
  </si>
  <si>
    <t>* Sketches</t>
  </si>
  <si>
    <t>Q:\Jobs\25032 - Amazon IAD181\04_Production\25032FL01</t>
  </si>
  <si>
    <t>29 - SHTS</t>
  </si>
  <si>
    <t>22ga, 48 x 120 - Dove Gray Steel Sheet, No Grain</t>
  </si>
  <si>
    <t>22ga, 48 x 120 - Dove Gray</t>
  </si>
  <si>
    <t>Samantha Krantz, Shane Jones</t>
  </si>
  <si>
    <t>LTL</t>
  </si>
  <si>
    <t>Denis Usatenko - @mrassmussen@jwmcd.com 
I will look and come by your desk. I deleted your note about reviewing.</t>
  </si>
  <si>
    <t>25032-FL01 In-House</t>
  </si>
  <si>
    <t>24081-FS01</t>
  </si>
  <si>
    <t>DLR DFW37</t>
  </si>
  <si>
    <t>1502 Ferris Rd
Garland, TX  75044</t>
  </si>
  <si>
    <t>POST PAINTED INSTRUCTIONS *SEE FOLLOWING NOTES*:
-Do NOT apply stiffeners; crate the stiffeners/1199 so post painter can apply them. These will still need to be cut AND bundled/labeled per panel part. Stiffeners MUST have tape on them prior to shipping.
-Mark the panel numbers on the side that is NOT painted in marker, NO STICKERS
-Do NOT tape extrusions
-Extremely important that the part lists are included in the crates for post painter﻿
GANG FORM CORNER REVEALS</t>
  </si>
  <si>
    <t>-Material used is .125 60" x 144" 3003, returns to be bent not routed
-This release is for Sector A &amp; C; Elevations 202, 203, 204 (Black Color)
-We are released off our frame-to drawings. Please work off our drawings for measurements. I did add the glazing drawings in case those were needed.</t>
  </si>
  <si>
    <t>SKETCHES
PROGRAMMING FILES
EXTRUSION CUT LIST
YELLOW LABELS</t>
  </si>
  <si>
    <t>16 RETICULATED BAFFLES
19 LF JR2</t>
  </si>
  <si>
    <t>Q:\Jobs\24081 - DLR DFW37\04_Production\24081-FS01</t>
  </si>
  <si>
    <t>05:13:45</t>
  </si>
  <si>
    <t>.125"x 60”x144", 3003 Alum Sheet, No Grain</t>
  </si>
  <si>
    <t>.125"x 60”x144", 3003</t>
  </si>
  <si>
    <t>Post Paint</t>
  </si>
  <si>
    <t>Air Performance
159 Genco Drive
Hartford, AL 36344
Attn: Jake Faundez
941.718.2839
jfaundez@airperformancellc.com</t>
  </si>
  <si>
    <t>Coating Ship To Site</t>
  </si>
  <si>
    <t>Q:\Jobs\24081 - DLR DFW37\03_Engineering\02_FD Docs\24081FS01</t>
  </si>
  <si>
    <t>24081-FS05</t>
  </si>
  <si>
    <t>7000 TruMatic
Brake
Clean and Brake
Extrusion Saw
Fab
Post Paint</t>
  </si>
  <si>
    <t>Chris Gambrel - @fdean@jwmcd.com @jdorsey@jwmcd.com @dhasty@jwmcd.com flat programs completed.</t>
  </si>
  <si>
    <t>24081-FS01 In-House</t>
  </si>
  <si>
    <t>24081-FS02</t>
  </si>
  <si>
    <t>POST PAINTED INSTRUCTIONS *SEE FOLLOWING NOTES*: 
-Do NOT apply stiffeners; crate the stiffeners/1199 so post painter can apply them. These will still need to be cut AND bundled/labeled per panel part. Stiffeners MUST have tape on them prior to shipping. 
-Mark the panel numbers on the side that is NOT painted in marker, NO STICKERS 
-Do NOT tape extrusions 
-Extremely important that the part lists are included in the crates for post painter
GANG FORM CORNER REVEALS</t>
  </si>
  <si>
    <t>-Material used is .125 60" x 144" 3003, returns to be bent not routed 
-This release is for Sector B &amp; Entry Canopy; Elevations 206, 207, 208, 209 (Black Color)
-We are released off our frame-to drawings. Please work off our drawings for measurements. I did add the glazing drawings in case those were needed.</t>
  </si>
  <si>
    <t>SKETCHES
PROGRAMMING FILES
YELLOW LABELS
EXTRUSION CUT LIST</t>
  </si>
  <si>
    <t>20 RETICULATED BAFFLES
55 LF JR2</t>
  </si>
  <si>
    <t>Q:\Jobs\24081 - DLR DFW37\04_Production\24081-FS02</t>
  </si>
  <si>
    <t>06:57:07</t>
  </si>
  <si>
    <t>Air Performance 
159 Genco Drive 
Hartford, AL 36344 
Attn: Jake Faundez 
941.718.2839 
jfaundez@airperformancellc.com</t>
  </si>
  <si>
    <t>Q:\Jobs\24081 - DLR DFW37\03_Engineering\02_FD Docs\24081FS02</t>
  </si>
  <si>
    <t>7000 TruMatic
Brake
Extrusion Saw
Fab
Post Paint</t>
  </si>
  <si>
    <t>24081-FS02 In-House</t>
  </si>
  <si>
    <t>24081-FS03</t>
  </si>
  <si>
    <t>-Material used is .125 60" x 144" 3003, returns to be bent not routed 
-This release is for Guard House: Elevations 301, 303 (Black Color)
-We are released off our frame-to drawings. Please work off our drawings for measurements. I did add the glazing drawings in case those were needed.</t>
  </si>
  <si>
    <t>10 LF JR2</t>
  </si>
  <si>
    <t>Q:\Jobs\24081 - DLR DFW37\04_Production\24081-FS03</t>
  </si>
  <si>
    <t>01:21:40</t>
  </si>
  <si>
    <t>Q:\Jobs\24081 - DLR DFW37\03_Engineering\02_FD Docs\24081FS03</t>
  </si>
  <si>
    <t>7000 TruMatic
Clean and Brake
Extrusion Saw
Fab
Post Paint</t>
  </si>
  <si>
    <t>Chris Gambrel - @fdean@jwmcd.com @jdorsey@jwmcd.com @dhasty@jwmcd.com flat program completed.</t>
  </si>
  <si>
    <t>24081-FS03 In-House</t>
  </si>
  <si>
    <t>24081-FS04</t>
  </si>
  <si>
    <t>-Material used is .125 60" x 144" 3003, returns to be bent not routed 
-This release is for Guardhouse; Elevations 302 (Gray Color)
-We are released off our frame-to drawings. Please work off our drawings for measurements. I did add the glazing drawings in case those were needed.</t>
  </si>
  <si>
    <t>130 LF JR2</t>
  </si>
  <si>
    <t>Q:\Jobs\24081 - DLR DFW37\04_Production\24081-FS04</t>
  </si>
  <si>
    <t>04:54:13</t>
  </si>
  <si>
    <t>Q:\Jobs\24081 - DLR DFW37\03_Engineering\02_FD Docs\24081FS04</t>
  </si>
  <si>
    <t>Chris Gambrel - @fdean@jwmcd.com @jdorsey@jwmcd.com @dhasty@jwmcd.com flat programs completed</t>
  </si>
  <si>
    <t>24081-FS04 In-House</t>
  </si>
  <si>
    <t>POST PAINTED INSTRUCTIONS *SEE FOLLOWING NOTES*: 
-Do NOT apply stiffeners; crate the stiffeners/1199 so post painter can apply them. These will still need to be cut AND bundled/labeled per panel part. Stiffeners MUST have tape on them prior to shipping. 
-Mark the panel numbers on the side that is NOT painted in marker, NO STICKERS 
-Do NOT tape extrusions 
-Extremely important that the part lists are included in the crates for post painter
GANG FORM CORNER REVEALS
LABEL PANELS WITH MARKER AFTER PUNCH</t>
  </si>
  <si>
    <t>-Material used is .125 60" x 144" 3003, returns to be bent not routed 
-This release is for Penthouse; Elevation 210 (Gray Color) 
-We are released off our frame-to drawings. Please work off our drawings for measurements. I was able to obtain measurements of this wall during my visit. I did add the glazing drawings in case those were needed.</t>
  </si>
  <si>
    <t>165 LF JR2</t>
  </si>
  <si>
    <t>Q:\Jobs\24081 - DLR DFW37\04_Production\24081-FS05</t>
  </si>
  <si>
    <t>10:27:30</t>
  </si>
  <si>
    <t>Q:\Jobs\24081 - DLR DFW37\03_Engineering\02_FD Docs\24081FS05</t>
  </si>
  <si>
    <t>7000 TruMatic
Brake
Post Paint</t>
  </si>
  <si>
    <t>Jonathan Dorsey - Jonathan Dorsey reacted to your message:</t>
  </si>
  <si>
    <t>24081-FS05 In-House</t>
  </si>
  <si>
    <t>23028-FS99</t>
  </si>
  <si>
    <t>1000 Church YMCA</t>
  </si>
  <si>
    <t>1000 Church Street
Nashville, TN  37203</t>
  </si>
  <si>
    <t>Last Soffit Panel</t>
  </si>
  <si>
    <t>Last Soffit Panel See SD Folder for Notes</t>
  </si>
  <si>
    <t>* 2 SETS - INSTALL DRAWINGS
* 6 LF 1 3/4" COLOR MATCHING REVEALS
* 24 PCS PET 3" CLIPS
* 6 PCS PE2N 3" CLIPS</t>
  </si>
  <si>
    <t>Q:\Jobs\23028 - 1000 Church YMCA\04_Production\23028FS99</t>
  </si>
  <si>
    <t>00:16:33</t>
  </si>
  <si>
    <t>4mm x 62 x 196 - Cosmic Gray Mica - 23028 FR ACM, Grain</t>
  </si>
  <si>
    <t>4mm x 62 x 196 - Cosmic Gray Mica - 23028</t>
  </si>
  <si>
    <t>Q:\Jobs\23028 - 1000 Church YMCA\03_Engineering\02_FD Docs\23028 - FS99</t>
  </si>
  <si>
    <t>23028-FS99 In-House</t>
  </si>
  <si>
    <t>24001-BM14</t>
  </si>
  <si>
    <t>McEwen Northside</t>
  </si>
  <si>
    <t>4020 Aspen Grove Drive
Franklin, TN  37067</t>
  </si>
  <si>
    <t>Josh McPherson</t>
  </si>
  <si>
    <t>615.939.2359</t>
  </si>
  <si>
    <t>Replicate BM10 with required quantities.
For assembling FS09.</t>
  </si>
  <si>
    <t>Q:\Jobs\24001 - McEwen Northside\04_Production\24001BM14</t>
  </si>
  <si>
    <t>16 Ga. X 48" X 120" Galv Sheet, No Grain</t>
  </si>
  <si>
    <t>16 Ga. X 48" X 120"</t>
  </si>
  <si>
    <t>24001-BM14 In-House</t>
  </si>
  <si>
    <t>2025, Week 010</t>
  </si>
  <si>
    <t>25007-BM03</t>
  </si>
  <si>
    <t>QTS ATL2 DC10</t>
  </si>
  <si>
    <t>167 Tyrone Road, Bldg 1000
Fayetteville, GA  30214</t>
  </si>
  <si>
    <t>Nick Akins</t>
  </si>
  <si>
    <t>832.948.2317</t>
  </si>
  <si>
    <t>80 pieces of 10 sticks: 2" zee</t>
  </si>
  <si>
    <t>Q:\Jobs\25007 - QTS ATL2 DC10\04_Production\25007BM03</t>
  </si>
  <si>
    <t>6.75 - SHT</t>
  </si>
  <si>
    <t>Conestoga
Hot Shot
Semi</t>
  </si>
  <si>
    <t>25007-BM03 In-House</t>
  </si>
  <si>
    <t>25008-FS05</t>
  </si>
  <si>
    <t>Columbia State Tech Center</t>
  </si>
  <si>
    <t>1665 Hampshire Pike
Columbia, TN  38401</t>
  </si>
  <si>
    <t>Laura Forero</t>
  </si>
  <si>
    <t>615.788.7739</t>
  </si>
  <si>
    <t>This is mainly a caulked job, but please check because there are some panels that need countersink screws. Yes, the color match screws are ordered.</t>
  </si>
  <si>
    <t>This release includes 202, 203, and 220 complete elevations. For elevations 206-209, we are only fabricating the exterior panels. 
There are no scans for any elevations. But we do have pictures.
Please use the FD in the folder AMI Q. In there, I have asked questions to the GC and all of them have been answered. 
Elevations 202, 206, 207, 208, and 209 will have a system depth of 2-1/4"
Elevations 206 and 220 will have the normal system depth, 4-1/4'
The panels next to the storefront have changed the extrusions to a PR2/JR2. This applies to elevations 206-209 and 220. 
Please check the panels that are next to the light fixtures, because that side will need countersink screws.</t>
  </si>
  <si>
    <t>* 2 SETS - INSTALL DRAWINGS
* 47 LF JR2
* 220 PCS CORNER CLIPS
* 440 PCS FAB CREWS</t>
  </si>
  <si>
    <t>Q:\Jobs\25008 - Columbia State Tech Center\04_Production\25008FS05</t>
  </si>
  <si>
    <t>14:22:48</t>
  </si>
  <si>
    <t>Alucobond 4mm X 62" X 196", Oyster FR ACM, No Grain</t>
  </si>
  <si>
    <t>Alucobond 4mm X 62" X 196", Oyster</t>
  </si>
  <si>
    <t>Q:\Jobs\25008 - Columbia State Tech Center\03_Engineering\02_FD Docs\25008 FS05</t>
  </si>
  <si>
    <t>25008-FS07</t>
  </si>
  <si>
    <t>25008-FS05 In-House</t>
  </si>
  <si>
    <t>24051-FS01</t>
  </si>
  <si>
    <t>WEST LEVEL 7.  TOP BAND OF BLACK PANELS</t>
  </si>
  <si>
    <t>Q:\Jobs\24051 - TN Titans Stadium\04_Production\24051FS01</t>
  </si>
  <si>
    <t>23:41:26</t>
  </si>
  <si>
    <t>24051-FS01 In-House</t>
  </si>
  <si>
    <t>2025, Week 14</t>
  </si>
  <si>
    <t>24051-FS01C</t>
  </si>
  <si>
    <t>COPING FOR WEST LEVEL 7 - TO SHIP WITH THE BALANCE OF THE AREA PANELS. IS DIRECTLY ABOVE FS01.</t>
  </si>
  <si>
    <t>Q:\Jobs\24051 - TN Titans Stadium\04_Production\24051FS01C</t>
  </si>
  <si>
    <t>19:19:02</t>
  </si>
  <si>
    <t>\\192.168.2.10\ashop_data\Jobs\24051 - TN Titans Stadium\03_Engineering\02_FD Docs\FS_TOB BLACK\24051FS01C-L700 W Coping</t>
  </si>
  <si>
    <t>01C</t>
  </si>
  <si>
    <t>Issiah Havens - @hstakhurskyi@jwmcd.com @jdavis@jwmcd.com @tgraves@jwmcd.com Programmed and in PanelTracker</t>
  </si>
  <si>
    <t>24051-FS01C In-House</t>
  </si>
  <si>
    <t>24051-FS02</t>
  </si>
  <si>
    <t>WEST LEVEL 7 MIDDLE BAND OF THE BLACK PANELS</t>
  </si>
  <si>
    <t>Q:\Jobs\24051 - TN Titans Stadium\04_Production\24051FS02</t>
  </si>
  <si>
    <t>12:13:37</t>
  </si>
  <si>
    <t>24051-FS02 In-House</t>
  </si>
  <si>
    <t>2025, Week 16</t>
  </si>
  <si>
    <t>24051-FS03</t>
  </si>
  <si>
    <t>WEST LEVEL 7 BOTTOM BLACK PANELS</t>
  </si>
  <si>
    <t>Q:\Jobs\24051 - TN Titans Stadium\04_Production\24051FS03</t>
  </si>
  <si>
    <t>196 X 62 - 80</t>
  </si>
  <si>
    <t>29:31:12</t>
  </si>
  <si>
    <t>4MM FR CORE  TOB BLACK 62X196 FR ACM, No Grain</t>
  </si>
  <si>
    <t>4MM FR CORE  TOB BLACK 62X196</t>
  </si>
  <si>
    <t>24051-FS03 In-House</t>
  </si>
  <si>
    <t>25052-BM01</t>
  </si>
  <si>
    <t>TEMA Warehouse</t>
  </si>
  <si>
    <t>3901 Stewarts Lane
Nashville, TN  37218</t>
  </si>
  <si>
    <t>Andre Van Der Merwe</t>
  </si>
  <si>
    <t>315.261.0333</t>
  </si>
  <si>
    <t>16 x 10' x 7/8" 16ga hat channels</t>
  </si>
  <si>
    <t>Q:\Jobs\25052 - TEMA Warehouse\04_Production\25052BM01</t>
  </si>
  <si>
    <t>2 - SHT</t>
  </si>
  <si>
    <t>16 ga 48" x 120" galvanized Galv Sheet, No Grain</t>
  </si>
  <si>
    <t>16 ga 48" x 120" galvanized</t>
  </si>
  <si>
    <t>25052-BM01 In-House</t>
  </si>
  <si>
    <t>25052-FL01</t>
  </si>
  <si>
    <t>SHIP WITH FS01.</t>
  </si>
  <si>
    <t>101:  4 1/2" x 100LF</t>
  </si>
  <si>
    <t>Q:\Jobs\25052 - TEMA Warehouse\04_Production\25052FL01</t>
  </si>
  <si>
    <t>1 - SHT</t>
  </si>
  <si>
    <t>.040" X 48" X 120" Cityscape Alum Sheet, Grain</t>
  </si>
  <si>
    <t>.040" X 48" X 120" Cityscape</t>
  </si>
  <si>
    <t>Q:\Jobs\25052 - TEMA Warehouse\03_Engineering\02_FD Docs\25052FL01</t>
  </si>
  <si>
    <t>Mitch Chancey - 1 BUNDLE ON THE TREE @avdm@jwmcd.com @swatson@jwmcd.com @tgraves@jwmcd.com</t>
  </si>
  <si>
    <t>25052-FL01 In-House</t>
  </si>
  <si>
    <t>24051-RP17</t>
  </si>
  <si>
    <t>Scratches from CNC</t>
  </si>
  <si>
    <t>Q:\Jobs\24051 - TN Titans Stadium\04_Production\24051RP17</t>
  </si>
  <si>
    <t>00:13:42</t>
  </si>
  <si>
    <t>N300-1J41</t>
  </si>
  <si>
    <t>RP12</t>
  </si>
  <si>
    <t>24051-RP17 In-House</t>
  </si>
  <si>
    <t>Roller marks from Alu Bender</t>
  </si>
  <si>
    <t>Q:\Jobs\24051 - TN Titans Stadium\04_Production\24051RP20</t>
  </si>
  <si>
    <t>196 X 62 - 19 SHEETS</t>
  </si>
  <si>
    <t>07:45:29</t>
  </si>
  <si>
    <t>1D41 (36)
1D43 (8)
1D40 (2)</t>
  </si>
  <si>
    <t>Arnold Jurado - @jdavis@jwmcd.com PROGRAMED</t>
  </si>
  <si>
    <t>24051-RP20 In-House</t>
  </si>
  <si>
    <t>2025, Week 39</t>
  </si>
  <si>
    <t>24051-FS213</t>
  </si>
  <si>
    <t>2 SETS - INSTALL DRAWINGS 
700 LF - 1 5/8" REVEALS TO MATCH 
850 pcs - Corner Clips 
1700 pcs - Color Matched Screws</t>
  </si>
  <si>
    <t>Q:\Jobs\24051 - TN Titans Stadium\04_Production\24051FS213</t>
  </si>
  <si>
    <t>26:02:10</t>
  </si>
  <si>
    <t>24051-FS213 In-House</t>
  </si>
  <si>
    <t>24051-FS215</t>
  </si>
  <si>
    <t>PLEASE NOTE THIS RELEASE IS FIELD PANELS AND THE PERIMETER PANELS WILL BE INSTALLED ONCE THESE ARE IN PLACE 
SOUTRH ELEVATION LEVEL 00 WINGS</t>
  </si>
  <si>
    <t>Q:\Jobs\24051 - TN Titans Stadium\04_Production\24051FS215</t>
  </si>
  <si>
    <t>196 X 62 - 14</t>
  </si>
  <si>
    <t>02:55:18</t>
  </si>
  <si>
    <t>24051-FS215 In-House</t>
  </si>
  <si>
    <t>25040-FL01</t>
  </si>
  <si>
    <t>Moses Lincoln Vitrine</t>
  </si>
  <si>
    <t>2001 MacCorkle Ave
St. Albans, WV  25177</t>
  </si>
  <si>
    <t>This flashing has to be shipped with 25040FS01
Please use the leftover material from 24065 - QTS NAL2 DC2, BNT WHITE 0.32</t>
  </si>
  <si>
    <t>There is only one flashing profile for the whole job. Please make a 10' stick they will cut it in the field to whatever they need. 
The profile and the quantities are in the file attached.</t>
  </si>
  <si>
    <t>Q:\Jobs\25040 - Moses Lincoln Vitrine\04_Production\25040FL01</t>
  </si>
  <si>
    <t>0.33 - SHT</t>
  </si>
  <si>
    <t>.032" X 60" X 120", BNT WHITE [24065] Alum Sheet, No Grain</t>
  </si>
  <si>
    <t>.032" X 60" X 120", BNT WHITE [24065]</t>
  </si>
  <si>
    <t>Mitch Chancey - @lforero@jwmcd.com @swatson@jwmcd.com @tgraves@jwmcd.com LOOSE ON THE TREE</t>
  </si>
  <si>
    <t>25040-FL01 In-House</t>
  </si>
  <si>
    <t>2025, Week 01</t>
  </si>
  <si>
    <t>25028-FL02</t>
  </si>
  <si>
    <t>TN Soybean Council</t>
  </si>
  <si>
    <t>100 Executive Drive
Jackson, TN  38305</t>
  </si>
  <si>
    <t>3 @ 10FT
PULL BRIGHT SILVER METALLIC MATERIAL FROM 24048</t>
  </si>
  <si>
    <t>101 COPING 3PCS @ 10FT 
YOU CAN LOCATE THE DIMENSIONS NEEDED AT Q:\Jobs\25028 - TN Soybean Council\03_Engineering\02_FD Docs\25028FL02</t>
  </si>
  <si>
    <t>\\jw-vm-ashop\ASHOP_DATA\Jobs\25028 - TN Soybean Council\04_Production\25028FL02</t>
  </si>
  <si>
    <t>22G X 48" X 120", BRIGHT SILVER METALLIC Alum Sheet, Grain</t>
  </si>
  <si>
    <t>22G X 48" X 120", BRIGHT SILVER METALLIC</t>
  </si>
  <si>
    <t>25028-FL02 In-House</t>
  </si>
  <si>
    <t>25028-FS01</t>
  </si>
  <si>
    <t>(2 Boxes) Dowsil 795 Gray Caulk
(1 Roll) 5/8" Backer Rod 1550LF
(1 Box) Red 1/8" Shims
(1 Box) Black 1/4" Shims
(1,000 pcs) #12 x 1 3/4" Tek3 Screws
(1,000 pcs) #14 x 1 3/4" Tapcon Screws</t>
  </si>
  <si>
    <t>Q:\Jobs\25028 - TN Soybean Council\04_Production\25028FS01</t>
  </si>
  <si>
    <t>03:29:24</t>
  </si>
  <si>
    <t>Samuel Lucas</t>
  </si>
  <si>
    <t>Q:\Jobs\25028 - TN Soybean Council\03_Engineering\02_FD Docs\25028FS01\SCAN</t>
  </si>
  <si>
    <t>Q:\Jobs\25028 - TN Soybean Council\03_Engineering\02_FD Docs\25028FS01\FIELD DIMENSIONS</t>
  </si>
  <si>
    <t>Issiah Havens - @slucas@jwmcd.com @jdavis@jwmcd.com @tgraves@jwmcd.com Programmed w/ PanelTracker</t>
  </si>
  <si>
    <t>25028-FS01 In-House</t>
  </si>
  <si>
    <t>25029-FL97</t>
  </si>
  <si>
    <t>Lourdes CC Phase 2</t>
  </si>
  <si>
    <t>1510 Lone Oak Road
Paducah, KY  42003</t>
  </si>
  <si>
    <t>MU - FL Closure Z</t>
  </si>
  <si>
    <t>MU - FL Closure Z (Sketch in FD Folder)</t>
  </si>
  <si>
    <t>Q:\Jobs\25029 - Lourdes CC Phase 2\04_Production\25029FL97</t>
  </si>
  <si>
    <t>DROP</t>
  </si>
  <si>
    <t>.40 x 48 x 120 - Bone White - 23008/25029 Alum Sheet, No Grain</t>
  </si>
  <si>
    <t>.40 x 48 x 120 - Bone White - 23008/25029</t>
  </si>
  <si>
    <t>Mitch Chancey - @dbowman@jwmcd.com @swatson@jwmcd.com @tgraves@jwmcd.com LOOSE ON TREE</t>
  </si>
  <si>
    <t>25029-FL97 In-House</t>
  </si>
  <si>
    <t>24057-BM10</t>
  </si>
  <si>
    <t>Rowan BWI 150</t>
  </si>
  <si>
    <t>Intersection of Ballenger Creek Pkwy &amp; Mountville Road
Frederick, MD  21703</t>
  </si>
  <si>
    <t>Cleat for FL100</t>
  </si>
  <si>
    <t>Cleat for FL100
- See Notes for Dims,</t>
  </si>
  <si>
    <t>Q:\Jobs\24057 - Rowan BWI 150\04_Production\24057BM10</t>
  </si>
  <si>
    <t>48 x 120 (22g Glav) Galv Sheet, No Grain</t>
  </si>
  <si>
    <t>48 x 120 (22g Glav)</t>
  </si>
  <si>
    <t>Michael Venable</t>
  </si>
  <si>
    <t>24057-BM10 In-House</t>
  </si>
  <si>
    <t>25025-BM100</t>
  </si>
  <si>
    <t>QTS MAN1 DC6</t>
  </si>
  <si>
    <t>9540 Godwin Drive
Manassas, VA  20110</t>
  </si>
  <si>
    <t>1/2" Hat Channel - 10ft sticks
Downspout Cover - Added Girt for Change Order</t>
  </si>
  <si>
    <t>Downspout Cover - Added Girt for Change Order</t>
  </si>
  <si>
    <t>Q:\Jobs\25025 - QTS MAN1 DC6\04_Production\25025BM100</t>
  </si>
  <si>
    <t>108.75 - SHTS</t>
  </si>
  <si>
    <t>16g x 48 x 120 Galv Sheet, No Grain</t>
  </si>
  <si>
    <t>16g x 48 x 120</t>
  </si>
  <si>
    <t>Shipped</t>
  </si>
  <si>
    <t>Job Complete</t>
  </si>
  <si>
    <t>Samantha Krantz - Shipped 200 pieces 2-24-26</t>
  </si>
  <si>
    <t>25025-BM100 In-House</t>
  </si>
  <si>
    <t>24057-FL10</t>
  </si>
  <si>
    <t>Bldg D Coping</t>
  </si>
  <si>
    <t>Bldg D Coping
- Material is different that what we have used before. 
- Dims and Quantities in FD Folder</t>
  </si>
  <si>
    <t>Q:\Jobs\24057 - Rowan BWI 150\04_Production\24057FL10</t>
  </si>
  <si>
    <t>42" x 120" 24g Shasta White - 24057 Alum Sheet, No Grain</t>
  </si>
  <si>
    <t>42" x 120" 24g Shasta White - 24057</t>
  </si>
  <si>
    <t>24057-FL10 In-House</t>
  </si>
  <si>
    <t>24074-FS06</t>
  </si>
  <si>
    <t>DIDD ACM</t>
  </si>
  <si>
    <t>275 Stewarts Ferry Pike
Nashville, TN  37214</t>
  </si>
  <si>
    <t>Release 4 - (Part 1 of 2)
Pages 207, 208, 209</t>
  </si>
  <si>
    <t>ENG - Scan and Notes from Brian in Folder
ENG - Josh and I did prelim review, notes from that in FD Folder.</t>
  </si>
  <si>
    <t>* 2 SETS - INSTALL DRAWINGS
* (216 LF) 1-5/8" Reveals
* (16 LF) JR2
* (50 PCS) Corner Clips
* (100 PCS) Color Matched Screws</t>
  </si>
  <si>
    <t>Q:\Jobs\24074 - DIDD ACM\04_Production\24074FS06</t>
  </si>
  <si>
    <t>04:56:48</t>
  </si>
  <si>
    <t>4mm x 62 x 196 - Dark Gray - 24074 FR ACM, No Grain</t>
  </si>
  <si>
    <t>4mm x 62 x 196 - Dark Gray - 24074</t>
  </si>
  <si>
    <t>Q:\Jobs\24074 - DIDD ACM\03_Engineering\02_FD Docs\24074 - FS06 and FS07 and FS08</t>
  </si>
  <si>
    <t>24074-FS10</t>
  </si>
  <si>
    <t>Mitch Chancey - @dusatenko@jwmcd.com @dbowman@jwmcd.com Still need installs</t>
  </si>
  <si>
    <t>24074-FS06 In-House</t>
  </si>
  <si>
    <t>24074-FS07</t>
  </si>
  <si>
    <t>Release 07 - Part 2 of 2
Pages: 214, 216, 217, 245, 246</t>
  </si>
  <si>
    <t>ENG - Scan and Notes from Brian in Folder 
ENG - Josh and I did prelim review, notes from that in FD Folder.</t>
  </si>
  <si>
    <t>* 2 SETS - INSTALL DRAWINGS
* ( LF) 1-5/8" Reveals
* ( LF) JR2
* (90 pcs) 2' - 0" x 0' - 10", 1 5/8" Wide reveals</t>
  </si>
  <si>
    <t>4mm x 62 x 196 - Dark Gray FR ACM, No Grain</t>
  </si>
  <si>
    <t>4mm x 62 x 196 - Dark Gray</t>
  </si>
  <si>
    <t>Q:\Jobs\24074 - DIDD ACM\03_Engineering\02_FD Docs\24074 - FS06 and FS07</t>
  </si>
  <si>
    <t>Correction</t>
  </si>
  <si>
    <t>07</t>
  </si>
  <si>
    <t>AXYZ Titans Line
Clean and Brake
Fab
Roller</t>
  </si>
  <si>
    <t>Denis Usatenko - @cdill@jwmcd.com 
Corrections required.</t>
  </si>
  <si>
    <t>24074-FS07 In-House</t>
  </si>
  <si>
    <t>2026, Week 17</t>
  </si>
  <si>
    <t>24051-FS16C</t>
  </si>
  <si>
    <t>SOUTH LEVEL 300  COPING FOR FS 16.  PLEASE STORE NEXT TO FS 16 SO THE DETAIL CAN BE SHIPPED COMPLETE WHEN NEEDED.</t>
  </si>
  <si>
    <t>* 2 SETS - INSTALL DRAWINGS
* (300 LF) 1-5/8" Reveals﻿
* ( 106 pcs) Corner Clips 
* ( 212 pcs ) Color Matching Screws</t>
  </si>
  <si>
    <t>Q:\Jobs\24051 - TN Titans Stadium\04_Production\24051FS16C</t>
  </si>
  <si>
    <t>02:45:09</t>
  </si>
  <si>
    <t>16C</t>
  </si>
  <si>
    <t>24051-FS16C In-House</t>
  </si>
  <si>
    <t>24079-BM04C</t>
  </si>
  <si>
    <t>1-1/2" AFC sub-framing.  Hole required for powder-coating.</t>
  </si>
  <si>
    <t>3600 1-1/2" zees @ 10'.  Include hole for hanging/powder.
AFC sub-framing for half the podium.  1-1/2" x 1-1/2" x 1-1/2"</t>
  </si>
  <si>
    <t>Q:\Jobs\24079 - Nashville Youth Campus\04_Production\24079BM04C</t>
  </si>
  <si>
    <t>06:00:48</t>
  </si>
  <si>
    <t>48" x 120"  - 16 ga Steel Sheet, No Grain</t>
  </si>
  <si>
    <t>48" x 120"  - 16 ga</t>
  </si>
  <si>
    <t>Matte Black
PowderWorx 
Jason Makuch 
jmakuch@pwx615.com</t>
  </si>
  <si>
    <t>04C</t>
  </si>
  <si>
    <t>24079-BM00</t>
  </si>
  <si>
    <t>7000 TruMatic
Brake
Powder Coat
Shear</t>
  </si>
  <si>
    <t>Chris Gambrel - @jdorsey@jwmcd.com @dhasty@jwmcd.com flat programs completed.</t>
  </si>
  <si>
    <t>24079-BM04C In-House</t>
  </si>
  <si>
    <t>24079-FL07</t>
  </si>
  <si>
    <t>*ACM Flashings for FS102.  To be shipped together
﻿*USE THE LONG DROPS FOR THE SPLICE-PLATES [YOU CAN LEAVE THEM AT 8"]</t>
  </si>
  <si>
    <t>TO MATCH FL05. FL05 SKETCH FOUND IN FD DOCS FOLDER. 
Please provide open hem with 6" splice.  (Part QTY includes splice.  110 sticks @ 10' + 110 splice at 6")</t>
  </si>
  <si>
    <t>Q:\Jobs\24079 - Nashville Youth Campus\04_Production\24079FL07</t>
  </si>
  <si>
    <t>22 - SHTS</t>
  </si>
  <si>
    <t>.032" Alum. 48" x 120", CWM Cloud White Matte Alum Sheet, Grain</t>
  </si>
  <si>
    <t>.032" Alum. 48" x 120", CWM Cloud White Matte</t>
  </si>
  <si>
    <t>24079-FL13</t>
  </si>
  <si>
    <t>24079-FL07 In-House</t>
  </si>
  <si>
    <t>24079-FL08</t>
  </si>
  <si>
    <t>*AFC Flashings for FS02.
﻿*SPLICES CAN BE LONGER</t>
  </si>
  <si>
    <t>TO MATCH FL04. FL04 SKETCH FOUND IN FD DOCS FOLDER. 
Please provide open hem with 6" splice. (Part QTY includes splice. 80 sticks @ 10' + 80 splice at 6")</t>
  </si>
  <si>
    <t>Q:\Jobs\24079 - Nashville Youth Campus\04_Production\24079FL08</t>
  </si>
  <si>
    <t>.032" x 48" x 120", BNT White Alum Sheet, No Grain</t>
  </si>
  <si>
    <t>.032" x 48" x 120", BNT White</t>
  </si>
  <si>
    <t>08</t>
  </si>
  <si>
    <t>24079-FL08 In-House</t>
  </si>
  <si>
    <t>24079-FL09</t>
  </si>
  <si>
    <t>AFC flashings for FS01 - AFC to Mullion = TBX Silver</t>
  </si>
  <si>
    <t>TO MATCH FL03. FL03 SKETCH FOUND IN FD DOCS FOLDER.  FOLLOW COMMENTS AND DIMENSIONS ON THE PDF.
Please provide open hem with 6" splice ONLY ON JAMB TRIM (3" x 3-1/2" ANGLE).</t>
  </si>
  <si>
    <t>Q:\Jobs\24079 - Nashville Youth Campus\04_Production\24079FL09</t>
  </si>
  <si>
    <t>43.75 - SHTS</t>
  </si>
  <si>
    <t>.032" x 48" x 120", TBX Silver Alum Sheet, Grain</t>
  </si>
  <si>
    <t>.032" x 48" x 120", TBX Silver</t>
  </si>
  <si>
    <t>09</t>
  </si>
  <si>
    <t>24079-FL09 In-House</t>
  </si>
  <si>
    <t>24081-FL01</t>
  </si>
  <si>
    <t>Write the part number in marker on the NON PAINTED side for post painter-NO STICKERS</t>
  </si>
  <si>
    <t>RED Notes are for Engineering. BLUE notes are for Post Painter.
Splice plates needed for profile 201A
For profile 201A, a 3/4" tab is needed for Post Painter.
This job is released off our guaranteed dimensions.
(7) 104 @ 10'
(18) 105 @ 10'
(10) 108 @ 10'
(22) 202A @ 10'
(22) 202B @ 10'
(12) 203 @ 10'
(8) 204 @ 10'
(7) 205A @ 10'
(12) 206 @ 10'</t>
  </si>
  <si>
    <t>SKETCHES</t>
  </si>
  <si>
    <t>Q:\Jobs\24081 - DLR DFW37\04_Production\24081-FL01</t>
  </si>
  <si>
    <t>.040" X 48" X 120"; 3003 Alum Sheet, No Grain</t>
  </si>
  <si>
    <t>.040" X 48" X 120"; 3003</t>
  </si>
  <si>
    <t>24081-FL02</t>
  </si>
  <si>
    <t>Brake
Post Paint
Shear</t>
  </si>
  <si>
    <t>David Hasty - @fdean@jwmcd.com corrections required</t>
  </si>
  <si>
    <t>24081-FL01 In-House</t>
  </si>
  <si>
    <t>25017-ST02</t>
  </si>
  <si>
    <t>Additional Support Steel</t>
  </si>
  <si>
    <t>SKETCHES
PROGRAM FILES</t>
  </si>
  <si>
    <t>Q:\Jobs\25017 - Nashville Yards Park\04_Production\25017ST02</t>
  </si>
  <si>
    <t>8 (DROP 130X48)</t>
  </si>
  <si>
    <t>00:08:52</t>
  </si>
  <si>
    <t>SS SHEET 11g 304-DROP (FROM PROCESSING) SS Sheet, No Grain</t>
  </si>
  <si>
    <t>SS SHEET 11g 304-DROP (FROM PROCESSING)</t>
  </si>
  <si>
    <t>Brake
TruLaser 3040</t>
  </si>
  <si>
    <t>Chris Gambrel - @fdean@jwmcd.com @dhasty@jwmcd.com @jdorsey@jwmcd.com flat program completed</t>
  </si>
  <si>
    <t>25017-ST02 In-House</t>
  </si>
  <si>
    <t>24051-FS25</t>
  </si>
  <si>
    <t>NORTH ELEVATION 300
INSTALL DIRECTION RIGHT TO LEFT</t>
  </si>
  <si>
    <t>Q:\Jobs\24051 - TN Titans Stadium\04_Production\24051FS25</t>
  </si>
  <si>
    <t>196 X 62 - 13</t>
  </si>
  <si>
    <t>06:39:04</t>
  </si>
  <si>
    <t>24051-FS25 In-House</t>
  </si>
  <si>
    <t>2025, Week 23</t>
  </si>
  <si>
    <t>24051-FS10C</t>
  </si>
  <si>
    <t>Release Notes	COPING FOR SOUTH LEVEL 7 - TO SHIP WITH THE BALANCE OF THE AREA PANELS.</t>
  </si>
  <si>
    <t>Q:\Jobs\24051 - TN Titans Stadium\04_Production\24051FS10C</t>
  </si>
  <si>
    <t>10C</t>
  </si>
  <si>
    <t>Issiah Havens - @hstakhurskyi@jwmcd.com @jdavis@jwmcd.com @tgraves@jwmcd.com Programmed, paneltracker</t>
  </si>
  <si>
    <t>24051-FS10C In-House</t>
  </si>
  <si>
    <t>24051-FS11</t>
  </si>
  <si>
    <t>Q:\Jobs\24051 - TN Titans Stadium\04_Production\24051FS11</t>
  </si>
  <si>
    <t>12:11:07</t>
  </si>
  <si>
    <t>Samantha Krantz - Reveals done 4-21-25</t>
  </si>
  <si>
    <t>24051-FS11 In-House</t>
  </si>
  <si>
    <t>24051-FS12</t>
  </si>
  <si>
    <t>Q:\Jobs\24051 - TN Titans Stadium\04_Production\24051FS12</t>
  </si>
  <si>
    <t>196 X 62 - 45</t>
  </si>
  <si>
    <t>21:45:18</t>
  </si>
  <si>
    <t>24051-FS12 In-House</t>
  </si>
  <si>
    <t>2025, Week 20</t>
  </si>
  <si>
    <t>24051-FS13</t>
  </si>
  <si>
    <t>Level 400 
Install Direction Left to Right</t>
  </si>
  <si>
    <t>Q:\Jobs\24051 - TN Titans Stadium\04_Production\24051FS13</t>
  </si>
  <si>
    <t>196 X 62 - 28</t>
  </si>
  <si>
    <t>14:11:46</t>
  </si>
  <si>
    <t>Samantha Krantz - Reveals done 4-30-25</t>
  </si>
  <si>
    <t>24051-FS13 In-House</t>
  </si>
  <si>
    <t>2025, Week 21</t>
  </si>
  <si>
    <t>24051-FS13C</t>
  </si>
  <si>
    <t>COPING FOR SOUTH LEVEL 400</t>
  </si>
  <si>
    <t>* 2 SETS - INSTALL DRAWINGS
* (600 LF) 1-5/8" Reveals</t>
  </si>
  <si>
    <t>Q:\Jobs\24051 - TN Titans Stadium\04_Production\24051FS13C</t>
  </si>
  <si>
    <t>10:50:09</t>
  </si>
  <si>
    <t>13C</t>
  </si>
  <si>
    <t>24051-FS13C In-House</t>
  </si>
  <si>
    <t>24051-FS74</t>
  </si>
  <si>
    <t>SOUTH LEVEL 300</t>
  </si>
  <si>
    <t>* 2 SETS - INSTALL DRAWINGS
* (450 LF) 1-5/8" Reveals
* (150 LF) 1-1/8" Reveals
* (120 LF) JR2</t>
  </si>
  <si>
    <t>Q:\Jobs\24051 - TN Titans Stadium\04_Production\24051FS74</t>
  </si>
  <si>
    <t>39 SHEETS</t>
  </si>
  <si>
    <t>00d07h57m00s</t>
  </si>
  <si>
    <t>24051-FS74 In-House</t>
  </si>
  <si>
    <t>24051-FS75</t>
  </si>
  <si>
    <t>SOUTH LEVEL 50</t>
  </si>
  <si>
    <t>* 2 SETS - INSTALL DRAWINGS
* ( 900 LF) 1-5/8" Reveals
* ( 120 LF) JR-EXTENDED</t>
  </si>
  <si>
    <t>Q:\Jobs\24051 - TN Titans Stadium\04_Production\24051FS75</t>
  </si>
  <si>
    <t>82 sheets</t>
  </si>
  <si>
    <t>00d16h04m17s</t>
  </si>
  <si>
    <t>24051-FS75 In-House</t>
  </si>
  <si>
    <t>24051-FS76</t>
  </si>
  <si>
    <t>LEVEL 300 EAST ELEVATION</t>
  </si>
  <si>
    <t>* 2 SETS - INSTALL DRAWINGS
* (2000 LF) 1-5/8" Reveals
* (200 LF) 1-1/8" Reveals﻿
* (200 LF) JR2</t>
  </si>
  <si>
    <t>Q:\Jobs\24051 - TN Titans Stadium\04_Production\24051FS76</t>
  </si>
  <si>
    <t>152 SHEETS</t>
  </si>
  <si>
    <t>01d07h03m12s</t>
  </si>
  <si>
    <t>Mitch Chancey - 1 REMAKE 3/19/25</t>
  </si>
  <si>
    <t>24051-FS76 In-House</t>
  </si>
  <si>
    <t>24051-FS52C</t>
  </si>
  <si>
    <t>2 SETS - INSTALL DRAWINGS
350 LF - 1 5/8" REVEALS TO MATCH
150 pcs - Corner Clips
300 pcs﻿ - Color Matched Screws</t>
  </si>
  <si>
    <t>Q:\Jobs\24051 - TN Titans Stadium\04_Production\24051FS52C</t>
  </si>
  <si>
    <t>7 SHEETS</t>
  </si>
  <si>
    <t>00d07h07m58s</t>
  </si>
  <si>
    <t>52C</t>
  </si>
  <si>
    <t>24051-FS52C In-House</t>
  </si>
  <si>
    <t>24051-FS53</t>
  </si>
  <si>
    <t>* 2 SETS - INSTALL DRAWINGS
* 600 LF - 1 5/8" REVEALS TO MATCH
* 200 LF - 1 1/8" REVEALS TO MATCH
* 140 LF - JR2</t>
  </si>
  <si>
    <t>Q:\Jobs\24051 - TN Titans Stadium\04_Production\24051FS53</t>
  </si>
  <si>
    <t>09:47:09</t>
  </si>
  <si>
    <t>24051-FS53 In-House</t>
  </si>
  <si>
    <t>24051-FS52</t>
  </si>
  <si>
    <t>2 SETS - INSTALL DRAWINGS
1200 LF - 1 5/8" REVEALS TO MATCH
700 LF - 1 1/8" REVEALS TO MATCH
330 LF - JR2 
450 pcs - Corner Clips
900 pcs﻿ - Color Matched Screws</t>
  </si>
  <si>
    <t>Q:\Jobs\24051 - TN Titans Stadium\04_Production\24051FS52</t>
  </si>
  <si>
    <t>59 SHEETS</t>
  </si>
  <si>
    <t>01d04h25m04s</t>
  </si>
  <si>
    <t>24051-FS52 In-House</t>
  </si>
  <si>
    <t>24051-FS216</t>
  </si>
  <si>
    <t>NORTH ELEVATION LEVEL 200</t>
  </si>
  <si>
    <t>2 SETS - INSTALL DRAWINGS 
150 LF - 1 5/8" REVEALS TO MATCH 
130 LF - JR2
110 pcs - Corner Clips 
220 pcs - Color Matched Screws</t>
  </si>
  <si>
    <t>Q:\Jobs\24051 - TN Titans Stadium\04_Production\24051FS216</t>
  </si>
  <si>
    <t>03:56:14</t>
  </si>
  <si>
    <t>24051-FS216 In-House</t>
  </si>
  <si>
    <t>24030-FL02</t>
  </si>
  <si>
    <t>* Ships with FL01 and BM02</t>
  </si>
  <si>
    <t>Profiles 301 and 306, Qtys listed on file. 10ft lengths
Material is on hold currently from Fabral, expected by new years</t>
  </si>
  <si>
    <t>Q:\Jobs\24030 - Vantage TX-21\04_Production\24030FL02</t>
  </si>
  <si>
    <t>53.75 - SHT</t>
  </si>
  <si>
    <t>0.040, 48x120 Bone White﻿ [24030] Alum Sheet, No Grain</t>
  </si>
  <si>
    <t>0.040, 48x120 Bone White﻿ [24030]</t>
  </si>
  <si>
    <t>Mitch Chancey - crate #1 out 1/30/26</t>
  </si>
  <si>
    <t>24030-FL02 In-House</t>
  </si>
  <si>
    <t>24051-FS25.1 FM</t>
  </si>
  <si>
    <t>PLEASE PUT THIS PANEL IN FS25 OR CRATE AND PUT ON TOP IF POSSIBLE.  THESE PANELS WILL SHIP WITH 25.</t>
  </si>
  <si>
    <t>NORTH LEVEL 300 
FM DIMENSIONS</t>
  </si>
  <si>
    <t>* 2 SETS - INSTALL DRAWINGS
* (8 LF) 1-5/8" Reveals
* ( 3 pcs) Corner Clips 
* ( 6 pcs ) Color Matching Screws﻿
* ( 8 LF) JR2</t>
  </si>
  <si>
    <t>Q:\Jobs\24051 - TN Titans Stadium\04_Production\24051FS25.1</t>
  </si>
  <si>
    <t>00:12:40</t>
  </si>
  <si>
    <t>25.1 FM</t>
  </si>
  <si>
    <t>24051-FS25.1 FM In-House</t>
  </si>
  <si>
    <t>24051-FS26</t>
  </si>
  <si>
    <t>NORTH LEVEL 300
RIGHT TO LEFT INSTALL</t>
  </si>
  <si>
    <t>Q:\Jobs\24051 - TN Titans Stadium\04_Production\24051FS26</t>
  </si>
  <si>
    <t>196 X 62 - 81</t>
  </si>
  <si>
    <t>26:42:30</t>
  </si>
  <si>
    <t>Marc Ribar - @mchancey@jwmcd.com @swatson@jwmcd.com I show this release has shipped in 3 deliveries from 8-15 to 9-29.  Please confirm</t>
  </si>
  <si>
    <t>24051-FS26 In-House</t>
  </si>
  <si>
    <t>24051-FS26C</t>
  </si>
  <si>
    <t>NORTH LEVEL 300 COPING RELEASE</t>
  </si>
  <si>
    <t>Q:\Jobs\24051 - TN Titans Stadium\04_Production\24051FS26C</t>
  </si>
  <si>
    <t>02:40:59</t>
  </si>
  <si>
    <t>26C</t>
  </si>
  <si>
    <t>24051-FS26C In-House</t>
  </si>
  <si>
    <t>24051-FS45C</t>
  </si>
  <si>
    <t>COPING FOR FS 45</t>
  </si>
  <si>
    <t>2 SETS - INSTALL DRAWINGS 
180 LF - 1 5/8" REVEALS TO MATCH 
110 pcs - Corner Clips 
220 pcs - Color Matched Screws</t>
  </si>
  <si>
    <t>Q:\Jobs\24051 - TN Titans Stadium\04_Production\24051FS45C</t>
  </si>
  <si>
    <t>02:41:17</t>
  </si>
  <si>
    <t>45C</t>
  </si>
  <si>
    <t>24051-FS45C In-House</t>
  </si>
  <si>
    <t>24051-FS46</t>
  </si>
  <si>
    <t>2 SETS - INSTALL DRAWINGS 
350 LF - 1 5/8" REVEALS TO MATCH 
200 LF - 1 1/8" REVEALS TO MATCH 
140 LF - JR2
150 pcs - Corner Clips 
300 pcs - Color Matched Screws</t>
  </si>
  <si>
    <t>Q:\Jobs\24051 - TN Titans Stadium\04_Production\24051FS46</t>
  </si>
  <si>
    <t>16 SHEETS</t>
  </si>
  <si>
    <t>00d09h25m21s</t>
  </si>
  <si>
    <t>24051-FS46 In-House</t>
  </si>
  <si>
    <t>24019-RO07</t>
  </si>
  <si>
    <t>QTS PJC1 DC1</t>
  </si>
  <si>
    <t>159 Princeton Hightstown Rd.
East Windsor, NJ  08520</t>
  </si>
  <si>
    <t>Freedom Wall Remakes
SHIP THEM FLAT!!
PLEASE DO NOT ASSEMBLE﻿!!</t>
  </si>
  <si>
    <t>Freedom Wall Remakes
We will cut, route and then ship them flat. Please do not assemble.</t>
  </si>
  <si>
    <t>* SKETCHES
* CUT LIST
* COLOR LABELS
* CODING FILES
* EXTRUSION LIST</t>
  </si>
  <si>
    <t>* 15 LF 1 5/8" COLOR MATCHING REVEALS
* 8 PCS CORNER CLIPS
* 48 COLOR MATCHING SCREWS</t>
  </si>
  <si>
    <t>Q:\Jobs\24019 - QTS PJC1 DC1\04_Production\24019RO07</t>
  </si>
  <si>
    <t>2 SHEETS</t>
  </si>
  <si>
    <t>00d00h30m08s</t>
  </si>
  <si>
    <t>4mm x 62 x 196 - Ron Red - 25025 FR ACM, No Grain</t>
  </si>
  <si>
    <t>4mm x 62 x 196 - Ron Red - 25025</t>
  </si>
  <si>
    <t>215-3Z10*
215-3Z41*
215-3Z26*
215-3Z43*
w/ minor changes</t>
  </si>
  <si>
    <t>24019 FS06</t>
  </si>
  <si>
    <t>RO</t>
  </si>
  <si>
    <t>AXYZ
Clean and Brake</t>
  </si>
  <si>
    <t>24019-RO07 In-House</t>
  </si>
  <si>
    <t>24020-FL07</t>
  </si>
  <si>
    <t>QTS ATL2 DC2 Osgood</t>
  </si>
  <si>
    <t>1435 Hwy 54 W
Fayetteville, GA  30214</t>
  </si>
  <si>
    <t>Punch Flashing</t>
  </si>
  <si>
    <t>Q:\Jobs\24020 - QTS ATL2 Osgood\04_Production\24020FL07</t>
  </si>
  <si>
    <t>48 x 120 22g Galv Sheet, No Grain</t>
  </si>
  <si>
    <t>48 x 120 22g</t>
  </si>
  <si>
    <t>FL06 Profile 1/1</t>
  </si>
  <si>
    <t>24020 - FL06</t>
  </si>
  <si>
    <t>FIELD DIMENSION/SCAN</t>
  </si>
  <si>
    <t>Mitch Chancey - @dbowman@jwmcd.com @tgraves@jwmcd.com @swatson@jwmcd.com loose on  the tree</t>
  </si>
  <si>
    <t>24020-FL07 In-House</t>
  </si>
  <si>
    <t>24051-FS14</t>
  </si>
  <si>
    <t>Q:\Jobs\24051 - TN Titans Stadium\04_Production\24051FS14</t>
  </si>
  <si>
    <t>08:02:54</t>
  </si>
  <si>
    <t>24051-FS14 In-House</t>
  </si>
  <si>
    <t>24051-FS15</t>
  </si>
  <si>
    <t>Q:\Jobs\24051 - TN Titans Stadium\04_Production\24051FS15</t>
  </si>
  <si>
    <t>196 X 62 - 37</t>
  </si>
  <si>
    <t>18:38:45</t>
  </si>
  <si>
    <t>24051-FS15 In-House</t>
  </si>
  <si>
    <t>24051-FS225</t>
  </si>
  <si>
    <t>WET FIELD MEASURES LEVEL 150</t>
  </si>
  <si>
    <t>Paul J Roberts - @hstakhurskyi@jwmcd.com Marc is looking for this in the shop, when can this be done and released? @dusatenko@jwmcd.com</t>
  </si>
  <si>
    <t>24051-FS225 In-House</t>
  </si>
  <si>
    <t>24046-FL12</t>
  </si>
  <si>
    <t>UAB Biomedical Research and Psycholgy</t>
  </si>
  <si>
    <t>1500 University Blvd
Birmingham, AL  35233</t>
  </si>
  <si>
    <t>Wylie McDougall</t>
  </si>
  <si>
    <t>615.426.7650</t>
  </si>
  <si>
    <t>Please crate all profiles together. 
Do not crate with FL13. 2 separate parts of the building.</t>
  </si>
  <si>
    <t>\\jw-vm-ashop\ASHOP_DATA\Jobs\24046 - UAB Biomedical Research\04_Production\24046FL12</t>
  </si>
  <si>
    <t>.032" X 48" X 120", Cityscape Alum Sheet, No Grain</t>
  </si>
  <si>
    <t>.032" X 48" X 120", Cityscape</t>
  </si>
  <si>
    <t>24046-FL13</t>
  </si>
  <si>
    <t>24046-FL12 In-House</t>
  </si>
  <si>
    <t>2025, Week 38</t>
  </si>
  <si>
    <t>\\jw-vm-ashop\ASHOP_DATA\Jobs\24046 - UAB Biomedical Research\04_Production\24046FL13</t>
  </si>
  <si>
    <t>0.032" X 48" X 120",  Cityscape Alum Sheet, No Grain</t>
  </si>
  <si>
    <t>0.032" X 48" X 120",  Cityscape</t>
  </si>
  <si>
    <t>24046-FL13 In-House</t>
  </si>
  <si>
    <t>24051-FS77</t>
  </si>
  <si>
    <t>* 2 SETS - INSTALL DRAWINGS
* (1400 LF) 1-5/8" Reveals
* (500 LF) 1-1/8" Reveals﻿
* (180 LF)﻿ - JR2
﻿* (180 LF)﻿ - JR-EXTENDED</t>
  </si>
  <si>
    <t>Q:\Jobs\24051 - TN Titans Stadium\04_Production\24051FS77</t>
  </si>
  <si>
    <t>74 SHEETS</t>
  </si>
  <si>
    <t>01d04h46m48s</t>
  </si>
  <si>
    <t>24051-FS77 In-House</t>
  </si>
  <si>
    <t>24051-FS78</t>
  </si>
  <si>
    <t>TRELLIS ON SOUTH 
1. PANELS ARE TO BE MADE WITHOUT CUT OUT FOR THE BEAMS.  THESE WILL BE FIELD CUT. 
2. SEND OUT PRECUT AR2's FOR THE CUT OUTS.</t>
  </si>
  <si>
    <t>* 2 SETS - INSTALL DRAWINGS
* ( 1000 LF) 1-5/8" Reveals
* ( 360﻿ LF) - JR2</t>
  </si>
  <si>
    <t>Q:\Jobs\24051 - TN Titans Stadium\04_Production\24051FS78</t>
  </si>
  <si>
    <t>21:23:19</t>
  </si>
  <si>
    <t>24051-FS78 In-House</t>
  </si>
  <si>
    <t>24051-FS78.1</t>
  </si>
  <si>
    <t>TRELLIS ON SOUTH 
1. PANELS ARE TO BE MADE WITHOUT CUT OUT FOR THE BEAMS. THESE WILL BE FIELD CUT. 
2. SEND OUT PRECUT AR2's FOR THE CUT OUTS.</t>
  </si>
  <si>
    <t>Stadium\04_Production\24051FS78.1
* 2 SETS - INSTALL DRAWINGS
* ( 1000 LF) 1-5/8" Reveals
* ( 12 LF) -JR2</t>
  </si>
  <si>
    <t>Q:\Jobs\24051 - TN Titans Stadium\04_Production\24051FS78.1</t>
  </si>
  <si>
    <t>21:12:04</t>
  </si>
  <si>
    <t>24051-FS78.1 In-House</t>
  </si>
  <si>
    <t>24051-FS78.2</t>
  </si>
  <si>
    <t>SOUTH LEVEL 400 TRELLIS</t>
  </si>
  <si>
    <t>* 2 SETS - INSTALL DRAWINGS
* ( 2800 LF) 1-5/8" Reveals
* ( 750 LF) 1-1/8" Reveals</t>
  </si>
  <si>
    <t>Q:\Jobs\24051 - TN Titans Stadium\04_Production\24051FS78.2</t>
  </si>
  <si>
    <t>78 x 62 in 	303 SHEETS
196 x 62 in	15 SHEETS</t>
  </si>
  <si>
    <t>02d20h37m42s</t>
  </si>
  <si>
    <t>Arnold Jurado - @jdavis@jwmcd.com ALL DONE</t>
  </si>
  <si>
    <t>24051-FS78.2 In-House</t>
  </si>
  <si>
    <t>24039-FS14</t>
  </si>
  <si>
    <t>The Visionary</t>
  </si>
  <si>
    <t>3800 J.B. Hunt Drive
Rogers, AR  72758</t>
  </si>
  <si>
    <t>PEX</t>
  </si>
  <si>
    <t>Please, add 100 LF 16GA 6"wide Strapping for install 
Very Important to review the size of the ACM sheets we are using, because we ordered 2 different sizes so we need to be sure we are using the correct one based on the optimization results.</t>
  </si>
  <si>
    <t>ANTHRACITE SILVER
Elevations: 
Sheets: 244, 245</t>
  </si>
  <si>
    <t>* 2 SETS - INSTALL DRAWINGS
* (1400 LF) - 3 5/8" Reveals
* (440 LF) - PE1N
* (100 LF) - JR2
* (800 pcs) - PEX [3" CLIP`S]
* (200 pcs) - PET [3" CLIP`S]</t>
  </si>
  <si>
    <t>Q:\Jobs\24039 - The Visionary\04_Production\24039FS14</t>
  </si>
  <si>
    <t>17:44:50</t>
  </si>
  <si>
    <t>(ACM):  4mm X 62" X 196" ANTHRACITE SILVER FR ACM, Grain</t>
  </si>
  <si>
    <t>(ACM):  4mm X 62" X 196" ANTHRACITE SILVER</t>
  </si>
  <si>
    <t>Q:\Jobs\24039 - The Visionary\03_Engineering\02_FD Docs\12_SCAN 112525 CS complete building</t>
  </si>
  <si>
    <t>24039-FS15</t>
  </si>
  <si>
    <t>24039-FS14 In-House</t>
  </si>
  <si>
    <t>Please, add 200 LF 16GA 6"wide Strapping for install 
Very Important to review the size of the ACM sheets we are using, because we ordered 2 different sizes so we need to be sure we are using the correct one based on the optimization results.</t>
  </si>
  <si>
    <t>ANTHRACITE SILVER METALLIC
Elevations: 
62 / 241
61 / 241
64 / 242
63 / 242</t>
  </si>
  <si>
    <t>* 2 SETS - INSTALL DRAWINGS
* (900 LF) - 3 5/8" Reveals
* (280 LF) - PE1N
* (20 LF) - JR2
* (600 pcs) - PEX [3" CLIP`S]
* (75 pcs) - PET [3" CLIP`S]</t>
  </si>
  <si>
    <t>Q:\Jobs\24039 - The Visionary\04_Production\24039FS15</t>
  </si>
  <si>
    <t>42 SHEETS</t>
  </si>
  <si>
    <t>00d06h42m27s</t>
  </si>
  <si>
    <t>ACM:  4mm X 62" X 130", ANTHRACITE SILVER METALLIC FR ACM, Grain</t>
  </si>
  <si>
    <t>ACM:  4mm X 62" X 130", ANTHRACITE SILVER METALLIC</t>
  </si>
  <si>
    <t>Carlos Silva - @tgraves@jwmcd.com @mchancey@jwmcd.com this will be the next shipping on 02/13.</t>
  </si>
  <si>
    <t>24039-FS15 In-House</t>
  </si>
  <si>
    <t>25035-FS02</t>
  </si>
  <si>
    <t>MATERRIAL TO BE SHIPPED TO SPECTRUM TO BE PAINTED MOONSTONE METALLIC. 
A112 CLIPS &amp; ACM ANGLES ARE TO BE SHIPPED LOOSE WITH THE PANELS TO THE SITE
RERFERENCE PO 26436
CUT 9 OF "25035FS-1101-BAR," COUNTERSINK, AND THEN SHEAR TO SIZE.</t>
  </si>
  <si>
    <t>* 2 SETS - INSTALL DRAWINGS
* REVEALS FROM FS02.1</t>
  </si>
  <si>
    <t>Q:\Jobs\25035 - Titans Jabez\04_Production\25035FS02</t>
  </si>
  <si>
    <t>20:41:00</t>
  </si>
  <si>
    <t>.125" X 60" X 144", 3003 Mill Alum Sheet, No Grain</t>
  </si>
  <si>
    <t>.125" X 60" X 144", 3003 Mill</t>
  </si>
  <si>
    <t>7000 TruMatic
Brake
Clean and Brake
Fab
Post Paint</t>
  </si>
  <si>
    <t>David Hasty - @jdavis@jwmcd.com please send to CNB before forming</t>
  </si>
  <si>
    <t>25035-FS02 In-House</t>
  </si>
  <si>
    <t>DO NOT BREAK TAB OFF OF FL-1004
Write the part number in marker on the NON PAINTED side for post painter-NO STICKERS</t>
  </si>
  <si>
    <t>(26) 201A @ 9'-11 1/4" with 3/4" tab</t>
  </si>
  <si>
    <t>SKETCHES
PROGRAMMING FILES</t>
  </si>
  <si>
    <t>Q:\Jobs\24081 - DLR DFW37\04_Production\24081-FL02</t>
  </si>
  <si>
    <t>00:18:36</t>
  </si>
  <si>
    <t>.040" X 48" X 120"; 3003 Alum Sheet Alum Sheet, No Grain</t>
  </si>
  <si>
    <t>.040" X 48" X 120"; 3003 Alum Sheet</t>
  </si>
  <si>
    <t>Brake
Post Paint
TruLaser 3040</t>
  </si>
  <si>
    <t>24081-FL02 In-House</t>
  </si>
  <si>
    <t>24051-FS76.1</t>
  </si>
  <si>
    <t>LOWWR BAND NOT INCLUDED IN THE FLAT WALL.</t>
  </si>
  <si>
    <t>* 2 SETS - INSTALL DRAWINGS
* (400 LF) 1-5/8" Reveals
* (180 LF) JR2-EXTENDED</t>
  </si>
  <si>
    <t>Q:\Jobs\24051 - TN Titans Stadium\04_Production\24051FS76.1</t>
  </si>
  <si>
    <t>09:31:15</t>
  </si>
  <si>
    <t>24051-FS76.1 In-House</t>
  </si>
  <si>
    <t>26014-03-ST01</t>
  </si>
  <si>
    <t>THIS RELEASE GROUPS THE THREE FINISHED PRODUCTS FROM ST02 AND ST03 FOR DELIVERY TO THE CUSTOMER.
LET WYLIE McDOUGALL KNOW WHEN THIS RELEASE IS READY AND HE WILL DELIVER IT TO THE CUSTOMER.
CUSTOMER NEEDS THESE PARTS BEFORE MARCH 1ST.</t>
  </si>
  <si>
    <t>Q:\Jobs\26014-03 - Oyster Cooker\04_Production\26014-03-ST01</t>
  </si>
  <si>
    <t>COMPETED WELDMENTS FOR DELIVERY</t>
  </si>
  <si>
    <t>Hunter Clouse</t>
  </si>
  <si>
    <t>Frank Dean, Paul J Roberts</t>
  </si>
  <si>
    <t>Q:\Jobs\26014-03 - Oyster Cooker\03_Engineering\03_FS_Issues\02_FD Docs</t>
  </si>
  <si>
    <t>7000 TubeLaser 20</t>
  </si>
  <si>
    <t>26014-03</t>
  </si>
  <si>
    <t>26014-03-ST03.1</t>
  </si>
  <si>
    <t>David Hasty - @proberts@jwmcd.com corrections could happen if you feel like doing them :)</t>
  </si>
  <si>
    <t>26014-03-ST01 In-House</t>
  </si>
  <si>
    <t>24051-FS86</t>
  </si>
  <si>
    <t>THIS RELEASE IS HOT.  PLEASE EXPEDITE.  SHIP TARGET IS AGRESSIVE.</t>
  </si>
  <si>
    <t>WEST LEVEL 400
PANELS HIGHLIGHTED IN RED USE SUPLIED DIMENSIONS.  GREEN AS DIMENSIONED IN OUR SHOPS</t>
  </si>
  <si>
    <t>* 2 SETS - INSTALL DRAWINGS
* (400 LF) 1-5/8" Reveals
* (200 LF) 1-1/8" Reveals
* (180 LF) JR2</t>
  </si>
  <si>
    <t>Q:\Jobs\24051 - TN Titans Stadium\04_Production\24051FS86</t>
  </si>
  <si>
    <t>68 x 62 in 	2 SHEETS
196 x 62 in	31 SHEETS</t>
  </si>
  <si>
    <t>00d06h33m03s</t>
  </si>
  <si>
    <t>Hennadii Stakhurskyi, Tara Chambers-Douglas</t>
  </si>
  <si>
    <t>Mitch Chancey - @mribar@jwmcd.com @tgraves@jwmcd.com @sjones@jwmcd.com @swatson@jwmcd.com Panels are ready, waiting on the reveals</t>
  </si>
  <si>
    <t>24051-FS86 In-House</t>
  </si>
  <si>
    <t>24079-FS04</t>
  </si>
  <si>
    <t>FOR LAYOUT PURPOSES ONLY. NO FAB.</t>
  </si>
  <si>
    <t>Please confirm heights for all fiber panels referenced in FDDOCS FS103 folder.
1/NY-11 (Partial - see PDF)
1/NY-12
1/NY-30
1/NY-31 IPartial - see PDF)</t>
  </si>
  <si>
    <t>48" X 120" LAYOUT ONLY, Grain</t>
  </si>
  <si>
    <t>48" X 120"</t>
  </si>
  <si>
    <t>Q:\Jobs\24079 - Nashville Youth Campus\03_Engineering\02_FD Docs\24079 - NYCE - FS103 - Area A</t>
  </si>
  <si>
    <t>24079-FS04 In-House</t>
  </si>
  <si>
    <t>2026, Week 14</t>
  </si>
  <si>
    <t>26014-03-ST02</t>
  </si>
  <si>
    <t>ALUMINUM WELDMENT, FLAT LASER, AND FORM DRAWINGS FOR OYSTER COOKER.  THIS RELEASE IS USED IN ST01 AND REQUIRES PARTS FROM ST02.1 TO COMPLETE WELDING.
WELDMENT 26014-03FS-1004 REQUIRES McMASTER-CARR P/N 1581A531, WHICH HAS BEEN ORDERED FOR THIS JOB.
ALUMINUM SHEET HAS BEEN ORDERED FOR THIS JOB.</t>
  </si>
  <si>
    <t>Q:\Jobs\26014-03 - Oyster Cooker\04_Production\26014-03-ST02</t>
  </si>
  <si>
    <t>00:27:39</t>
  </si>
  <si>
    <t>1/8 X 60 X 120 Alum Sheet, No Grain</t>
  </si>
  <si>
    <t>1/8 X 60 X 120</t>
  </si>
  <si>
    <t>7000 TruMatic
Brake
Weld</t>
  </si>
  <si>
    <t>Joshua Davis - it shouldnt be there. I have not started this job yet</t>
  </si>
  <si>
    <t>26014-03-ST02 In-House</t>
  </si>
  <si>
    <t>26014-03-ST02.1</t>
  </si>
  <si>
    <t>THIS RELEASE CONTAINS ALUMINUM TUBE LASER PARTS REQUIRED FOR USE IN WELDMENTS IN RELEASE 26014-03-ST02.
ALUMINUM PIPE HAS BEEN ORDERED FOR THIS JOB.</t>
  </si>
  <si>
    <t>Q:\Jobs\26014-03 - Oyster Cooker\04_Production\26014-03-ST02.1</t>
  </si>
  <si>
    <t>1 @240</t>
  </si>
  <si>
    <t>1 min 30sec</t>
  </si>
  <si>
    <t>Ø1" Sch. 40 X 120" (min) Alum Pipe, No Grain</t>
  </si>
  <si>
    <t>Alum Pipe</t>
  </si>
  <si>
    <t>Ø1" Sch. 40 X 120" (min)</t>
  </si>
  <si>
    <t>Tube Laser
Weld</t>
  </si>
  <si>
    <t>Arnold Jurado - @dhasty@jwmcd.com done</t>
  </si>
  <si>
    <t>26014-03-ST02.1 In-House</t>
  </si>
  <si>
    <t>26014-03-ST03</t>
  </si>
  <si>
    <t>STAINLESS WELDMENT AND TUBE LASER DRAWINGS FOR OYSTER COOKER..THIS RELEASE IS USED IN ST01 AND REQUIRES PARTS FROM ST03.1 TO COMPLETE WELDING.
REWORK DRAWING 26014-03FS-2003 REQUIRES McMASTER-CARR P/N 4813K42, WHICH HAS BEEN ORDERED FOR THIS JOB.  THIS REWORK PART IS REQUIRED FOR USE IN WELDMENT DRAWING 26014-03FS-2002, AND THE REWORK MUST BE COMPLETED BEFORE USE IN THE WELDMENT.
WELDMENT 26014-03FS-2002 ALSO REQUIRES McMASTER-CARR P/NS 1947K73 &amp; 4464K499, WHICH ARE USED WITHOUT MODIFICATION AND HAVE BEEN PURCHASED FOR THIS JOB.
STAINLESS ANGLE HAS BEEN ORDERED FOR THIS JOB.</t>
  </si>
  <si>
    <t>Q:\Jobs\26014-03 - Oyster Cooker\04_Production\26014-03-ST03</t>
  </si>
  <si>
    <t>1 min 7 sec</t>
  </si>
  <si>
    <t>1 1/4 X 1 1/4 X 1/8 X 240 SS Angle, No Grain</t>
  </si>
  <si>
    <t>SS Angle</t>
  </si>
  <si>
    <t>1 1/4 X 1 1/4 X 1/8 X 240</t>
  </si>
  <si>
    <t>26014-03-ST03 In-House</t>
  </si>
  <si>
    <t>THIS RELEASE CONTAINS STAINLESS FLAT LASER AND FORMED PARTS REQUIRED FOR USE IN WELDMENTS IN RELEASE 26014-03-ST03.
USE 11 Ga STAINLESS MINIMUM DROP FOR THIS JOB.</t>
  </si>
  <si>
    <t>Q:\Jobs\26014-03 - Oyster Cooker\04_Production\26014-03-ST03.1</t>
  </si>
  <si>
    <t>00:00:13</t>
  </si>
  <si>
    <t>11 Ga. minimum drop SS Sheet, No Grain</t>
  </si>
  <si>
    <t>11 Ga. minimum drop</t>
  </si>
  <si>
    <t>03.1</t>
  </si>
  <si>
    <t>Brake
TruLaser 3040
Weld</t>
  </si>
  <si>
    <t>Chris Gambrel - @proberts@jwmcd.com @dhasty@jwmcd.com @jdorsey@jwmcd.com flat program completed.</t>
  </si>
  <si>
    <t>26014-03-ST03.1 In-House</t>
  </si>
  <si>
    <t>25002-BM06</t>
  </si>
  <si>
    <t>USE 16 GA. COLD ROLLED FROM 24079</t>
  </si>
  <si>
    <t>Drill (4) 3/8" holes distributed on the length (please see the layout attached) .
10 pieces of each= 20 pieces total</t>
  </si>
  <si>
    <t>Q:\Jobs\25002 - Med Center Health\04_Production\25002BM06</t>
  </si>
  <si>
    <t>00:08:57</t>
  </si>
  <si>
    <t>Steel Sheet:  16 Ga. X 48" X 120" Steel Sheet, No Grain</t>
  </si>
  <si>
    <t>Steel Sheet:  16 Ga. X 48" X 120"</t>
  </si>
  <si>
    <t>PowderWorx615
1438 Highway 96
Burns, TN 37029</t>
  </si>
  <si>
    <t>Powder Coat
TruLaser 3040</t>
  </si>
  <si>
    <t>Carlos Silva - @dhasty@jwmcd.com @tgraves@jwmcd.com @rharmon@jwmcd.com @jmcpherson@jwmcd.com when this will be shipped to PowderWorx615?</t>
  </si>
  <si>
    <t>25002-BM06 In-House</t>
  </si>
  <si>
    <t>1040-30791-ST08</t>
  </si>
  <si>
    <t>AFI - YANCEY</t>
  </si>
  <si>
    <t>CUSTOMER PICK-UP</t>
  </si>
  <si>
    <t>Hannah Sadloski, Lisa Ellison</t>
  </si>
  <si>
    <t>ASSEMBLE IN CRATING
(10) YBCO-01034 / D / BIRDSCREEN KIT
(10) YBCO-01065 / D / DISCHARGE WALL
(10)YBCO-01020 / D / FRONT WALL KIT
(10) YBCO-01024 / D / INTAKE WALL KIT
(10) YBCO-01043 / D / RIGHT WALL KIT
(10) YBCO-01054 / D / LEFT WALL KIT
(10) YBCO-01040 / D / TRYSTAR BASE KIT
(20) YBCO-01038 / D / TRANSFORMER BRACKET KIT
(10) YBCO-01252 / D / SOUND BAFFLE KIT
(10) YBCO-01029 / D / REAR FIXED WALL
(0) D5BA22-24-32 / D / UREA TANK BRACKET
(10) D5K56-37-3-2-019-AL / D / EXHAUST BEAUTY RING</t>
  </si>
  <si>
    <t>SAW CUT LIST
KIT LIST (CRATING PLAN)
YANCEY MATERIAL SAW DAILY FORM</t>
  </si>
  <si>
    <t>ADDITIONAL PARTS FOR PACKAGING FROM TUBE LASER AND FLAT/FORM OPERATIONS PER KIT LIST
1.5 X 1.5 X .125 Alum. Angle
2 X 2 X .125 Alum. Angle
2 X 3 X .190 Alum. Angle
2 X 2 X .125 Alum. Tube
2 X 2 X .125 Alum. Tube
2 X 3 X .125 Alum. Tube
2 X 3 X .125 Alum. Tube
2 X 3 X .250 Alum. Tube
2 X 4 X .125 Alum. Tube
2 X 4 X .250 Alum. Tube
2 X 6 X .250 Alum. Tube</t>
  </si>
  <si>
    <t>T:\01 IN-PROCESS ORDERS\0002 SPECTRUM\104030791 AFI YANCEY MULTIPLE POS\03_Production</t>
  </si>
  <si>
    <t>SEE MISC MATERIALS:
Alum Angle, Alum Tube</t>
  </si>
  <si>
    <t>SEE MISC MATERIALS:
Alum Angle,</t>
  </si>
  <si>
    <t>1040-30791</t>
  </si>
  <si>
    <t>1040-30791-ST10</t>
  </si>
  <si>
    <t>Assembly
Extrusion Saw</t>
  </si>
  <si>
    <t>Hannah Sadloski - @dhasty@jwmcd.com @fdean@jwmcd.com  @lellison@jwmcd.com Updated ST08 documents will not be ready until I get inventory hard count from shop for ST07. This may impact the saw cut sheets for ST08. @tgraves@jwmcd.com</t>
  </si>
  <si>
    <t>1040</t>
  </si>
  <si>
    <t>1040-30791-ST08 In-House</t>
  </si>
  <si>
    <t>NADIRA-LETS HOP ON A CALL ONCE YOU GET THIS TO DISCUSS ELEVATIONS 201, 306 &amp; 317</t>
  </si>
  <si>
    <t>* 2 Sets Install Drawings
* ( 300 LF) 1 5/8" Reveals
* ( 181 LF) STRAP FOR PANELS
* ( 5 PCS) JR2-8'-0"Lenght
* (200 pcs) Corner Clips
* ( 600 pcs) Color Screws</t>
  </si>
  <si>
    <t>Q:\Jobs\24071 - RS Gass State Lab\04_Production\24071FS11</t>
  </si>
  <si>
    <t>09:59:46</t>
  </si>
  <si>
    <t>4mm X 62" X 196", BRIGHT METALLIC SILVER FR ACM, Grain</t>
  </si>
  <si>
    <t>4mm X 62" X 196", BRIGHT METALLIC SILVER</t>
  </si>
  <si>
    <t>Q:\Jobs\24071 - RS Gass State Lab\03_Engineering\02_FD Docs\24071_FS11\SCAN</t>
  </si>
  <si>
    <t>Q:\Jobs\24071 - RS Gass State Lab\03_Engineering\02_FD Docs\24071_FS11</t>
  </si>
  <si>
    <t>Q:\Jobs\24071 - RS Gass State Lab\03_Engineering\02_FD Docs\24071_FS11\CALCS</t>
  </si>
  <si>
    <t>Fabrication</t>
  </si>
  <si>
    <t>24071-FS11 In-House</t>
  </si>
  <si>
    <t>25075-FS01</t>
  </si>
  <si>
    <t>St Thomas West Canopy Replace</t>
  </si>
  <si>
    <t>4220 Harding Pike
Nashville, TN  37205</t>
  </si>
  <si>
    <t>See PDF for general layout. joints can be laid out how we need to. I would generally follow how it currently is in the photos.
Location for everything
Q:\Jobs\25075 - St Thomas West Canopy Replace\03_Engineering\02_FD Docs\00_25075_FS01</t>
  </si>
  <si>
    <t>* 2 SETS - INSTALL DRAWINGS
* (22 pcs) 10" x 2' - 0", 1-5/8" Corner Reveals
* (48 pcs) 2' - 0" x 2' - 0", 1-5/8" Corner Reveals
* 218 LF JR2﻿
* 700 LF 1-5/8" COLOR MATCHING REVEALS
* 212 PCS CORNER CLIPPS 
* 424 PCS COLOR MATCHING SRCEWS</t>
  </si>
  <si>
    <t>Q:\Jobs\25075 - St Thomas West Canopy Replace\04_Production\25075FS01</t>
  </si>
  <si>
    <t>37 SHEETS</t>
  </si>
  <si>
    <t>00d13h26m37s</t>
  </si>
  <si>
    <t>4mm X 62" X 196", DWDMIC DFC/RND FR ACM, Grain</t>
  </si>
  <si>
    <t>4mm X 62" X 196", DWDMIC DFC/RND</t>
  </si>
  <si>
    <t>Q:\Jobs\25075 - St Thomas West Canopy Replace\03_Engineering\02_FD Docs\00_25075_FS01</t>
  </si>
  <si>
    <t>25075-FS01 In-House</t>
  </si>
  <si>
    <t>25022-FS07</t>
  </si>
  <si>
    <t>Vantage VA15</t>
  </si>
  <si>
    <t>45210 Vantage Data Plaza
Sterling, VA  20166</t>
  </si>
  <si>
    <t>Thomas Mooers</t>
  </si>
  <si>
    <t>I attached field dimensions to this ERF</t>
  </si>
  <si>
    <t>(500) LF 1/2" DENVER FOAM B-ROD
(100) CS - RED 1/8" SHIMS
(100) CS - BLACK 1/4" SHIMS
(1000) #12 X 2" HH TEK 2 SCREWS
* 2 SETS - INSTALL DRAWINGS
* ( 63 LF) 1-5/8" REVEALS
* (4 pcs) CORNER CLIPS
* ( 16 pcs ) COLOR MATCHING SCREWS</t>
  </si>
  <si>
    <t>Q:\Jobs\25022 - Vantage VA15\04_Production\25022FS07</t>
  </si>
  <si>
    <t>8 SHEETS</t>
  </si>
  <si>
    <t>00d04h11m37s</t>
  </si>
  <si>
    <t>4mm X 50" X 150", Cadet Gray FR ACM, No Grain</t>
  </si>
  <si>
    <t>4mm X 50" X 150", Cadet Gray</t>
  </si>
  <si>
    <t>Cadet Gray</t>
  </si>
  <si>
    <t>Q:\Jobs\25022 - Vantage VA15\03_Engineering\01_Shop Drawings\02_Approved Drawings</t>
  </si>
  <si>
    <t>Standard Set</t>
  </si>
  <si>
    <t>25022-FS12</t>
  </si>
  <si>
    <t>Arnold Jurado - @aniedfeld@jwmcd.com @jdavis@jwmcd.com programmed</t>
  </si>
  <si>
    <t>25022-FS07 In-House</t>
  </si>
  <si>
    <t>2026, Week 15</t>
  </si>
  <si>
    <t>25067-FS02</t>
  </si>
  <si>
    <t>Harison Bend</t>
  </si>
  <si>
    <t>830 Discovery Lane
Knoxville, TN  37918</t>
  </si>
  <si>
    <t>* 2 SETS - INSTALL DRAWINGS
* (1000) CS - RED 1/8" SHIMS
* (1000) CS - BLACK 1/4" SHIMS
* (2000) #12 X 1 1/2" HH TEK 3 SCREWS
* ( 50 LF)5" x 10', 16GA strapping
* 1 Roll - Backer rod 5/8"
* 1 Case Caulking COLOR TBD BY PM
* (180 LF) 1-5/8" REVEALS
* ( 45pcs) CORNER CLIPS
* ( 100 pcs ) COLOR MATCHING SCREWS
* ( 10 LF) JR2</t>
  </si>
  <si>
    <t>Q:\Jobs\25067 - Harison Bend\04_Production\25067FS02</t>
  </si>
  <si>
    <t>03:30:00</t>
  </si>
  <si>
    <t>4mm  x 62" x 196" Grey Metallic JY 3550 FR ACM, Grain</t>
  </si>
  <si>
    <t>4mm  x 62" x 196" Grey Metallic JY 3550</t>
  </si>
  <si>
    <t>Q:\Jobs\25067 - Harison Bend\03_Engineering\02_FD Docs\25067 FS02\HARRISON BEND  Canopy Scan\Harison_Bend</t>
  </si>
  <si>
    <t>Q:\Jobs\25067 - Harison Bend\03_Engineering\02_FD Docs\25067 FS02</t>
  </si>
  <si>
    <t>Denis Usatenko - Installs</t>
  </si>
  <si>
    <t>25067-FS02 In-House</t>
  </si>
  <si>
    <t>2026, Week 18</t>
  </si>
  <si>
    <t>25022-FS08</t>
  </si>
  <si>
    <t>Please layout panels from dimensions on shop drawings from center and bottom. (See drawing).</t>
  </si>
  <si>
    <t>* (1296 LF) 1 5/8" Reveals
* (8 PCS) JR2-8'-0" Length</t>
  </si>
  <si>
    <t>Q:\Jobs\25022 - Vantage VA15\04_Production\25022FS08</t>
  </si>
  <si>
    <t>150 X 62 - 54</t>
  </si>
  <si>
    <t>12:11:09</t>
  </si>
  <si>
    <t>4mm X 62" X 150", Vantage Blue FR ACM, Grain</t>
  </si>
  <si>
    <t>4mm X 62" X 150", Vantage Blue</t>
  </si>
  <si>
    <t>Vantage Blue</t>
  </si>
  <si>
    <t>Standard</t>
  </si>
  <si>
    <t>Chance Dill - Install Drawings to shop 3/19/2026</t>
  </si>
  <si>
    <t>25022-FS08 In-House</t>
  </si>
  <si>
    <t>24069-RM04</t>
  </si>
  <si>
    <t>TCAT Pulaski</t>
  </si>
  <si>
    <t>1233 East College Street
Pulaski, TN  38478</t>
  </si>
  <si>
    <t>GENESIS</t>
  </si>
  <si>
    <t>REMAKE FOR FS05</t>
  </si>
  <si>
    <t>no changes needed, just got a deep scratch in the field. color will be same, sunstorm stainless steel</t>
  </si>
  <si>
    <t>2 FOAM BAFFLES</t>
  </si>
  <si>
    <t>Q:\Jobs\24069 - TCAT Pulaski\04_Production\24069RM04</t>
  </si>
  <si>
    <t>00:02:33</t>
  </si>
  <si>
    <t>.080" X 60" X 108", 3003 Alum Alum Sheet, No Grain</t>
  </si>
  <si>
    <t>.080" X 60" X 108", 3003 Alum</t>
  </si>
  <si>
    <t>Spectrum
Bev Rd 
Youngstown, OH</t>
  </si>
  <si>
    <t>(1) 1133</t>
  </si>
  <si>
    <t>FS05</t>
  </si>
  <si>
    <t>FIELD INSTALLERS</t>
  </si>
  <si>
    <t>24069-RM05</t>
  </si>
  <si>
    <t>Mitch Chancey - i was going to wrap it in foam then shrink wrap it and sprinter</t>
  </si>
  <si>
    <t>24069-RM04 In-House</t>
  </si>
  <si>
    <t>23028-FL205</t>
  </si>
  <si>
    <t>Closure piece</t>
  </si>
  <si>
    <t>sketch in Fd Folder - part of FL 201</t>
  </si>
  <si>
    <t>Q:\Jobs\23028 - 1000 Church YMCA\04_Production\23028FL205</t>
  </si>
  <si>
    <t>0.75 - SHT</t>
  </si>
  <si>
    <t>.080 48 x 196 - focus black - 23071 Alum Sheet, No Grain</t>
  </si>
  <si>
    <t>.080 48 x 196 - focus black - 23071</t>
  </si>
  <si>
    <t>23028-FL205 In-House</t>
  </si>
  <si>
    <t>25017-RO01</t>
  </si>
  <si>
    <t>Column Remake - No Changes</t>
  </si>
  <si>
    <t>* SKETCHES
* COLOR LABELS
* PANEL CUT LIST
* TIGER SAW EXTRUSION LIST
* CODING FILES</t>
  </si>
  <si>
    <t>* 14 LF 1 5/8" COLOR MATCHING REVEALS
* 4 PCS CORNER CLIPS
* 8 PCS COLOR MATCHING SCREWS</t>
  </si>
  <si>
    <t>Q:\Jobs\25017 - Nashville Yards Park\04_Production\25017RO01</t>
  </si>
  <si>
    <t>00d00h14m23s</t>
  </si>
  <si>
    <t>4mm x 62 x 196 - Midnight Black - 25017 FR ACM, No Grain</t>
  </si>
  <si>
    <t>4mm x 62 x 196 - Midnight Black - 25017</t>
  </si>
  <si>
    <t>(1) 202-1A19
(2) Part-a-j</t>
  </si>
  <si>
    <t>FS01</t>
  </si>
  <si>
    <t>25017-RO02</t>
  </si>
  <si>
    <t>25017-RO01 In-House</t>
  </si>
  <si>
    <t>25029-MU02</t>
  </si>
  <si>
    <t>Memorial Screen Wall Mock-up (Small)</t>
  </si>
  <si>
    <t>Memorial Screen Wall Mock-up (Small) 18" x 18"
Client is asking for a small sample of the screen. Just the face, no returns required. I have indicate a portion of the screen wall they'd like to see sampled.</t>
  </si>
  <si>
    <t>SKETCHES 
PROGRAM FILES</t>
  </si>
  <si>
    <t>Q:\Jobs\25029 - Lourdes CC Phase 2\04_Production\25029MU02</t>
  </si>
  <si>
    <t>00:01:40</t>
  </si>
  <si>
    <t>.125 x 60 x 120 - 3003 Mill Alum Sheet, No Grain</t>
  </si>
  <si>
    <t>.125 x 60 x 120 - 3003 Mill</t>
  </si>
  <si>
    <t>Q:\Jobs\25029 - Lourdes CC Phase 2\03_Engineering\02_FD Docs\25025 - MU02 - Memorial Screen Wall</t>
  </si>
  <si>
    <t>25029-MU10</t>
  </si>
  <si>
    <t>Dillon Bowman - Good Morning John,
Weld should not be needed for MU02. Thanks!
@jdorsey@jwmcd.com</t>
  </si>
  <si>
    <t>25029-MU02 In-House</t>
  </si>
  <si>
    <t>24051-FS87</t>
  </si>
  <si>
    <t>NORTH LEVEL 350  INSALL DIRECTION LEFT TO RIGHT</t>
  </si>
  <si>
    <t>* 2 SETS - INSTALL DRAWINGS
* (300 LF) 1-5/8" Reveals
* (160 LF) JR2</t>
  </si>
  <si>
    <t>Q:\Jobs\24051 - TN Titans Stadium\04_Production\24051FS87</t>
  </si>
  <si>
    <t>68 X 62 - 33
196 X 62 - 1</t>
  </si>
  <si>
    <t>07:49:07</t>
  </si>
  <si>
    <t>Issiah Havens - @hstakhurskyi@jwmcd.com @jdavis@jwmcd.com programmed</t>
  </si>
  <si>
    <t>24051-FS87 In-House</t>
  </si>
  <si>
    <t>24051-FS88</t>
  </si>
  <si>
    <t>WEST LEVEL 350  INSTALL DIRECTION RIGH TO LEFT</t>
  </si>
  <si>
    <t>* 2 SETS - INSTALL DRAWINGS
* (440 LF) 1-5/8" Reveals
* (200 LF) JR2</t>
  </si>
  <si>
    <t>Q:\Jobs\24051 - TN Titans Stadium\04_Production\24051FS88</t>
  </si>
  <si>
    <t>196 X 62 - 9
68 X 62 - 25</t>
  </si>
  <si>
    <t>10:13:31</t>
  </si>
  <si>
    <t>Issiah Havens - @jdavis@jwmcd.com @hstakhurskyi@jwmcd.com programmed</t>
  </si>
  <si>
    <t>24051-FS88 In-House</t>
  </si>
  <si>
    <t>24051-FS89</t>
  </si>
  <si>
    <t>WEST LEVEL 50 - HOLD ON PANELS AT THE HANDRAIL</t>
  </si>
  <si>
    <t>* 2 SETS - INSTALL DRAWINGS
* (300 LF) 1-5/8" Reveals
* (64 LF) JR-EXTENDED</t>
  </si>
  <si>
    <t>Q:\Jobs\24051 - TN Titans Stadium\04_Production\24051FS89</t>
  </si>
  <si>
    <t>CNC Programming</t>
  </si>
  <si>
    <t>1 (In Progress)</t>
  </si>
  <si>
    <t>24051-FS89 In-House</t>
  </si>
  <si>
    <t>24051-FS36.2</t>
  </si>
  <si>
    <t>WEST WINGS LEVEL 00</t>
  </si>
  <si>
    <t>* 2 SETS - INSTALL DRAWINGS
* (250 LF) 1-5/8" Reveals</t>
  </si>
  <si>
    <t>Q:\Jobs\24051 - TN Titans Stadium\04_Production\24051FS36.2</t>
  </si>
  <si>
    <t>03:57:43</t>
  </si>
  <si>
    <t>24051-FS36.2 In-House</t>
  </si>
  <si>
    <t>24051-FS226</t>
  </si>
  <si>
    <t>WEST LEVEL 00</t>
  </si>
  <si>
    <t>Q:\Jobs\24051 - TN Titans Stadium\04_Production\24051FS226</t>
  </si>
  <si>
    <t>04:22:57</t>
  </si>
  <si>
    <t>24051-FS226 In-House</t>
  </si>
  <si>
    <t>25030-FS01</t>
  </si>
  <si>
    <t>510 W Tremont</t>
  </si>
  <si>
    <t>510 W Tremont
Charlotte, NC  28203</t>
  </si>
  <si>
    <t>If possible, please cut this along with 25030FS02. The plan is to ship this with 25030BM01 and 25030FS02.</t>
  </si>
  <si>
    <t>This release includes the following elevations: 201, 202, and 203 elevations 
The current scan in the folder has the whole job and includes the balconies. Also in the FD folder is the glazing SD. I have highlighted the areas that affect the panels.
For the top panels, there is going to be an EIFS cornice in the PDF. I added the dimension that is visible in the scan. Please use these dimensions for all the areas where we are next to the EIFS cornice
The EIFS between the windows in elevation 201 will hold to the storefront. Also, the area above the roof level is not looking great in the scan, but in the PDF, there are some dimensions. Please use that. Each balcony has its own name, so it's easier to identify the pictures for each balcony. The brick in these elevations is not installed, but the GC is giving us the set dimensions where the brick is going to stand.</t>
  </si>
  <si>
    <t>Alfrex, 4mm X 62" X 130", Graphite Metallic FR ACM, Grain</t>
  </si>
  <si>
    <t>Alfrex, 4mm X 62" X 130", Graphite Metallic</t>
  </si>
  <si>
    <t>Q:\Jobs\25030 - 510 W Tremont\03_Engineering\02_FD Docs\25030FS01&amp;FS02\SCAN</t>
  </si>
  <si>
    <t>Q:\Jobs\25030 - 510 W Tremont\03_Engineering\02_FD Docs\25030FS01&amp;FS02</t>
  </si>
  <si>
    <t>25030-FS02</t>
  </si>
  <si>
    <t>Hot Shot
Semi</t>
  </si>
  <si>
    <t>Denis Usatenko - @cdill@jwmcd.com 
Correcitnos required</t>
  </si>
  <si>
    <t>25030-FS01 In-House</t>
  </si>
  <si>
    <t>If possible, please cut this along with 25030FS01. The plan is to ship this with 25030BM01 and 25030FS01.</t>
  </si>
  <si>
    <t>This release includes the following elevations: 204, 205, and 206 elevations 
The current scan in the folder has the whole job and includes the balconies. Also in the FD folder is the glazing SD. I have highlighted the areas that affect the panels.
For the top panels, the condition changed because the concrete and the sheathing don't align. 
 Each balcony has its own name, so it's easier to identify the pictures for each balcony.The details 30/409 and 34/410 might change pending a question to the GC regarding what to do with the bumpout and how building the panels straight will be affected by the duct that is coming out from the balconies</t>
  </si>
  <si>
    <t>Nadira Vlatkovic - @dusatenko@jwmcd.com Layout is ready to be sketched.</t>
  </si>
  <si>
    <t>25030-FS02 In-House</t>
  </si>
  <si>
    <t>25022-FS10</t>
  </si>
  <si>
    <t>Elevations on 211, 212, 213. All Dimensions are edge of drywall. Not edge of panel.</t>
  </si>
  <si>
    <t>* 2 SETS - INSTALL DRAWINGS
* (1777 LF) 1-5/8" Reveals
* (100 pcs) 2' - 0" x 1' - 0" x 1-5/8" wide Corner Reveal
* (64 LF) JR2
* 196 PCS CORNER CLIPS 
* 488 PCS COLOR MATCHING SCREWS</t>
  </si>
  <si>
    <t>Q:\Jobs\25022 - Vantage VA15\04_Production\25022FS10</t>
  </si>
  <si>
    <t>25:18:41</t>
  </si>
  <si>
    <t>4mm X 62" X 196", Alabaster Mask FR ACM, Grain</t>
  </si>
  <si>
    <t>4mm X 62" X 196", Alabaster Mask</t>
  </si>
  <si>
    <t>Alabaster</t>
  </si>
  <si>
    <t>Q:\Jobs\25022 - Vantage VA15\03_Engineering\02_FD Docs\25022 FS10</t>
  </si>
  <si>
    <t>Gabriela Herrera - ID were taken to the shop</t>
  </si>
  <si>
    <t>25022-FS10 In-House</t>
  </si>
  <si>
    <t>25022-FS11</t>
  </si>
  <si>
    <t>Elevation 213. Dimensions are edge of drywall.</t>
  </si>
  <si>
    <t>* 2 SETS - INSTALL DRAWINGS
* ( 60 LF) 1-5/8" Reveals
* ( 80 pcs) 2' - 0" x 1' - 0" x 1-5/8" wide Corner Reveal
* (23 LF) JR2</t>
  </si>
  <si>
    <t>Q:\Jobs\25022 - Vantage VA15\04_Production\25022FS11</t>
  </si>
  <si>
    <t>07:51:38</t>
  </si>
  <si>
    <t>4mm X 62" X 196", Timeless Beige FR ACM, Grain</t>
  </si>
  <si>
    <t>4mm X 62" X 196", Timeless Beige</t>
  </si>
  <si>
    <t>Beige</t>
  </si>
  <si>
    <t>Q:\Jobs\25022 - Vantage VA15\03_Engineering\02_FD Docs\25022 FS11</t>
  </si>
  <si>
    <t>25022-FS11 In-House</t>
  </si>
  <si>
    <t>25006-FS03</t>
  </si>
  <si>
    <t>MALETA Housing and Dining</t>
  </si>
  <si>
    <t>Nashville, TN  37209</t>
  </si>
  <si>
    <t>Priority 1: 36-38/214, 39-40/215, and 41-42/216 (Total panels: 216) GRAPHITE</t>
  </si>
  <si>
    <t>4mm X 62" X 196", GRAPHITE FR ACM, Grain</t>
  </si>
  <si>
    <t>4mm X 62" X 196", GRAPHITE</t>
  </si>
  <si>
    <t>Q:\Jobs\25006 - MALETA Housing and Dining\03_Engineering\02_FD Docs\25006FS03-04 BUILDING C 213-219 ELEV\SCAN</t>
  </si>
  <si>
    <t>Q:\Jobs\25006 - MALETA Housing and Dining\03_Engineering\02_FD Docs\25006FS03-04 BUILDING C 213-219 ELEV\FD</t>
  </si>
  <si>
    <t>25006-FS13</t>
  </si>
  <si>
    <t>25006-FS03 In-House</t>
  </si>
  <si>
    <t>2026, Week 19</t>
  </si>
  <si>
    <t>25006-FS04</t>
  </si>
  <si>
    <t>Priority 2: 43-44/216, 45-46/217, and 47-49/218 (Total panels: 232) GRAPHITE</t>
  </si>
  <si>
    <t>LO Check</t>
  </si>
  <si>
    <t>Denis Usatenko - @nvlatkovic@jwmcd.com 
Chance or Samuel should be avilable.</t>
  </si>
  <si>
    <t>25006-FS04 In-House</t>
  </si>
  <si>
    <t>2026, Week 20</t>
  </si>
  <si>
    <t>25006-FS05</t>
  </si>
  <si>
    <t>Priority 3: 25/213 &amp; 50/219 (Total panels: 18) TERRA COTA</t>
  </si>
  <si>
    <t>4mm X 62" X 196", TERRA COTA FR ACM, No Grain</t>
  </si>
  <si>
    <t>4mm X 62" X 196", TERRA COTA</t>
  </si>
  <si>
    <t>Q:\Jobs\25006 - MALETA Housing and Dining\03_Engineering\02_FD Docs\25006FS05 BUILDING C 213-219 ELEV\SCAN</t>
  </si>
  <si>
    <t>Q:\Jobs\25006 - MALETA Housing and Dining\03_Engineering\02_FD Docs\25006FS05 BUILDING C 213-219 ELEV\FD</t>
  </si>
  <si>
    <t>Denis Usatenko - 4/22 - Think we can convince the shop to shrink timeframe on 18 panels? It is almost ready. I will not be surprised if its 4/20</t>
  </si>
  <si>
    <t>25006-FS05 In-House</t>
  </si>
  <si>
    <t>25029-MU03</t>
  </si>
  <si>
    <t>Custom Leafs - Please put on Dillon's desk when complete.</t>
  </si>
  <si>
    <t>Custom Leafs</t>
  </si>
  <si>
    <t>SKETCHES 
PROGAMMING FILES</t>
  </si>
  <si>
    <t>Q:\Jobs\25029 - Lourdes CC Phase 2\04_Production\25029MU03</t>
  </si>
  <si>
    <t>00:00:31</t>
  </si>
  <si>
    <t>11g STEEL 60 x 144 (From Processing) drops if possible Steel Sheet, No Grain</t>
  </si>
  <si>
    <t>11g STEEL 60 x 144 (From Processing) drops if possible</t>
  </si>
  <si>
    <t>TruLaser 3040
Weld</t>
  </si>
  <si>
    <t>Chris Gambrel - @jdorsey@jwmcd.com @dhasty@jwmcd.com flat program completed.</t>
  </si>
  <si>
    <t>25029-MU03 In-House</t>
  </si>
  <si>
    <t>25006-FS06</t>
  </si>
  <si>
    <t>Priority 4: 26-28/210, 29-31/211, and 32-34/212 (Total panels: 246) GRAPHITE</t>
  </si>
  <si>
    <t>Q:\Jobs\25006 - MALETA Housing and Dining\03_Engineering\02_FD Docs\25006FS06-BUILDING B &amp; C SOUTH 210-212 ELEV\SCAN</t>
  </si>
  <si>
    <t>Q:\Jobs\25006 - MALETA Housing and Dining\03_Engineering\02_FD Docs\25006FS06-BUILDING B &amp; C SOUTH 210-212 ELEV\FD</t>
  </si>
  <si>
    <t>25006-FS06 In-House</t>
  </si>
  <si>
    <t>2026, Week 22</t>
  </si>
  <si>
    <t>24051-FS71.1</t>
  </si>
  <si>
    <t>NEED 30 PCS OF PR2 CUT TO 4'-4.5" LONG.</t>
  </si>
  <si>
    <t>EXTRUSION CUT LIST</t>
  </si>
  <si>
    <t>Q:\Jobs\24051 - TN Titans Stadium\04_Production\24051FS71.1</t>
  </si>
  <si>
    <t>400 SERIES PR2 Alum Structural Shape, No Grain</t>
  </si>
  <si>
    <t>Alum Structural Shape</t>
  </si>
  <si>
    <t>400 SERIES PR2</t>
  </si>
  <si>
    <t>Program Start Date Not Recorded</t>
  </si>
  <si>
    <t>24051-FS71.1 In-House</t>
  </si>
  <si>
    <t>26011-ST01</t>
  </si>
  <si>
    <t>2nd Ave Mockup Build</t>
  </si>
  <si>
    <t>185 2nd ave
Nashville, TN  37201</t>
  </si>
  <si>
    <t>This is for the lower trough. Refer to marked up shop drawings.</t>
  </si>
  <si>
    <t>Q:\Jobs\26011 - 2nd Ave Mockup Build\04_Production\26011ST01</t>
  </si>
  <si>
    <t>00:00:34</t>
  </si>
  <si>
    <t>.062" X 60" X 120" Alum Sheet, No Grain</t>
  </si>
  <si>
    <t>.062" X 60" X 120"</t>
  </si>
  <si>
    <t>Q:\Jobs\26011 - 2nd Ave Mockup Build\03_Engineering\02_FD Docs\ST01</t>
  </si>
  <si>
    <t>26011-ST01.1</t>
  </si>
  <si>
    <t>26011-ST01 In-House</t>
  </si>
  <si>
    <t>26011-ST1.1</t>
  </si>
  <si>
    <t>TUBE SUPPORT SYSTEM</t>
  </si>
  <si>
    <t>2x2 Angle that supports the trough</t>
  </si>
  <si>
    <t>Q:\Jobs\26011 - 2nd Ave Mockup Build\04_Production\26011ST1.1</t>
  </si>
  <si>
    <t>1 @ 20'</t>
  </si>
  <si>
    <t>2"x2"x16' Alum Angle, No Grain</t>
  </si>
  <si>
    <t>Alum Angle</t>
  </si>
  <si>
    <t>2"x2"x16'</t>
  </si>
  <si>
    <t>26011-ST1.1 In-House</t>
  </si>
  <si>
    <t>26009-FS01</t>
  </si>
  <si>
    <t>5th &amp; Summer Leasing Office</t>
  </si>
  <si>
    <t>725 South 5th Street
Nashville, TN  37206</t>
  </si>
  <si>
    <t>Color Matched Screws under job 24080</t>
  </si>
  <si>
    <t>Depth of the ACM band 1 1/8". Once drafter assigned, please reach out to me as there is a small area on the separate window section on the South Elevation that came out to 3/4" due to the waterproof/sheathing stuck out further and wanted to review that together. 
No shop drawings - we will use our LO to submit to GC for approval. Attached old install drawings from the same building in case you need as reference (may not need them or irrelevant)</t>
  </si>
  <si>
    <t>4mm X 62" X 196", Elegant Black FR ACM, No Grain</t>
  </si>
  <si>
    <t>4mm X 62" X 196", Elegant Black</t>
  </si>
  <si>
    <t>Q:\Jobs\26009 - 5th &amp; Summer Leasing Office\03_Engineering\02_FD Docs\26009FS01  5th &amp; Summer Leasing Office\Scan</t>
  </si>
  <si>
    <t>26009-FS01 In-House</t>
  </si>
  <si>
    <t>24051-FS90</t>
  </si>
  <si>
    <t>NORTH LEVEL 150</t>
  </si>
  <si>
    <t>Float</t>
  </si>
  <si>
    <t>24051-FS90 In-House</t>
  </si>
  <si>
    <t>24051-FS91</t>
  </si>
  <si>
    <t>NORTH LEVEL 300</t>
  </si>
  <si>
    <t>24051-FS91 In-House</t>
  </si>
  <si>
    <t>24051-FS227</t>
  </si>
  <si>
    <t>24051-FS227 In-House</t>
  </si>
  <si>
    <t>25002-FS13</t>
  </si>
  <si>
    <t>Canopy main entrance.</t>
  </si>
  <si>
    <t>* 2 SETS - INSTALL DRAWINGS
* ( LF) 1-3/4" Reveals
* ( LF) JR2</t>
  </si>
  <si>
    <t>Q:\Jobs\25002 - Med Center Health\03_Engineering\02_FD Docs\MCH - Northwest SCAN\med center 11.6</t>
  </si>
  <si>
    <t>Ailen Niedfeld - Still need the slope on the bottom detail 56/615. AND mullion(s) location of all 3 windows/doors in relationship to the building. @csilva@jwmcd.com</t>
  </si>
  <si>
    <t>25002-FS13 In-House</t>
  </si>
  <si>
    <t>24051-FS92</t>
  </si>
  <si>
    <t>SOUTH LEVEL 300 
PLEASE NOTE DIMENSION CHANGES DUE TO RFI 3442 INCLUDED.  CHANGES ARE NOTED ON THE SECTIONS OVERLAID ON THE RELEASE DRAWINGS.</t>
  </si>
  <si>
    <t>24051-FS92 In-House</t>
  </si>
  <si>
    <t>24051-FS93</t>
  </si>
  <si>
    <t>SOUTH LEVEL 150</t>
  </si>
  <si>
    <t>24051-FS93 In-House</t>
  </si>
  <si>
    <t>24079-FS103</t>
  </si>
  <si>
    <t>AREA A - Tower ACM
West/South Elevations</t>
  </si>
  <si>
    <t>REFERENCE AAN DRAWINGS WHEN WORKING ON LAYOUT.  GRAIN OF PANELS AT WEST AND EAST ELEVATIONS WAS ROTATED TO REMOVE THE HORIZONTAL JOINT ON THE SKYWARD PORTION OF THE TOWER PARAPET.</t>
  </si>
  <si>
    <t>4mm 62" x 196" 'RRM River Rock Grey' FR ACM, Grain</t>
  </si>
  <si>
    <t>4mm 62" x 196" 'RRM River Rock Grey'</t>
  </si>
  <si>
    <t>Q:\Jobs\24079 - Nashville Youth Campus\03_Engineering\02_FD Docs\24079 - NYCE - FS103 - SW Tower Scans</t>
  </si>
  <si>
    <t>Q:\Jobs\24079 - Nashville Youth Campus\03_Engineering\02_FD Docs\24079 - CALCS</t>
  </si>
  <si>
    <t>24079-FS103 In-House</t>
  </si>
  <si>
    <t>24051-FS94</t>
  </si>
  <si>
    <t>LEVEL 350 SOUTH AND WEST</t>
  </si>
  <si>
    <t>24051-FS94 In-House</t>
  </si>
  <si>
    <t>24079-BM04D</t>
  </si>
  <si>
    <t>Sub-framing for AFC Panels
Shipping to PowderWorx for post-painting.  Materials need to be RUST-FREE before leaving the shop.  PW will reject our delivery if there is rust on the materials. 
Sheet count pulled from inventory.  Let me know if it's incorrect.</t>
  </si>
  <si>
    <t>3-5/8" DEEP version of BM04C
( 1-1/2" X 3-5/8" X 1-1/2" )</t>
  </si>
  <si>
    <t>SKETCHES
PROGRAM</t>
  </si>
  <si>
    <t>Q:\Jobs\24079 - Nashville Youth Campus\04_Production\24079BM04D</t>
  </si>
  <si>
    <t>01:39:54</t>
  </si>
  <si>
    <t>16GA 48" X 120" COLD ROLLED STEEL Steel Sheet, No Grain</t>
  </si>
  <si>
    <t>16GA 48" X 120" COLD ROLLED STEEL</t>
  </si>
  <si>
    <t>Matte Black 
PowderWorx 
Jason Makuch 
jmakuch@pwx615.com</t>
  </si>
  <si>
    <t>TruPunch 5000</t>
  </si>
  <si>
    <t>04D</t>
  </si>
  <si>
    <t>Brake
Powder Coat
Shear
TruPunch 5000</t>
  </si>
  <si>
    <t>Joe Hoyle - Thanks, I'll get more materials ordered.</t>
  </si>
  <si>
    <t>24079-BM04D In-House</t>
  </si>
  <si>
    <t>24051-FS95</t>
  </si>
  <si>
    <t>LEVEL 400 SOUTH ELEVATION</t>
  </si>
  <si>
    <t>24051-FS95 In-House</t>
  </si>
  <si>
    <t>24051-FS228</t>
  </si>
  <si>
    <t>SOUTH ELEVATION LEVEL 300</t>
  </si>
  <si>
    <t>24051-FS228 In-House</t>
  </si>
  <si>
    <t>24051-FS96</t>
  </si>
  <si>
    <t>WEST LEVEL 300</t>
  </si>
  <si>
    <t>24051-FS96 In-House</t>
  </si>
  <si>
    <t>24051-FS229</t>
  </si>
  <si>
    <t>24051-FS229 In-House</t>
  </si>
  <si>
    <t>24051-FS230</t>
  </si>
  <si>
    <t>24051-FS230 In-House</t>
  </si>
  <si>
    <t>24079-BM01B</t>
  </si>
  <si>
    <t>Courthouse 2" zee balance.
Cottage/Garage/ARF to come later...</t>
  </si>
  <si>
    <t>Slotted zee-mtl to match BM01.</t>
  </si>
  <si>
    <t>Q:\Jobs\24079 - Nashville Youth Campus\04_Production\24079BM01B</t>
  </si>
  <si>
    <t>05:30:58</t>
  </si>
  <si>
    <t>48" x 120" Galvanized Sheet 16 ga Galv Sheet, No Grain</t>
  </si>
  <si>
    <t>48" x 120" Galvanized Sheet 16 ga</t>
  </si>
  <si>
    <t>01B</t>
  </si>
  <si>
    <t>Cidan
Shear
TruPunch 5000</t>
  </si>
  <si>
    <t>Chris Gambrel - @jdorsey@jwmcd.com @dhasty@jwmcd.com flat program completed, 247 sheets X 9 parts = 2223 parts after shear.</t>
  </si>
  <si>
    <t>24079-BM01B In-House</t>
  </si>
  <si>
    <t>24074-FS08</t>
  </si>
  <si>
    <t>Release 5 (1/3) - Pages: 210 - most in FS06-07, 214 - most is in FS07, 223, 224, 226, 229, 230, 231, 232</t>
  </si>
  <si>
    <t>4mm x 62 x 196 Dark Gray, Alfrex 24074 FR ACM, No Grain</t>
  </si>
  <si>
    <t>4mm x 62 x 196 Dark Gray, Alfrex 24074</t>
  </si>
  <si>
    <t>Q:\Jobs\24074 - DIDD ACM\03_Engineering\02_FD Docs\24074 - FS08 and FS09</t>
  </si>
  <si>
    <t>24074-FS08 In-House</t>
  </si>
  <si>
    <t>24074-FS09</t>
  </si>
  <si>
    <t>Release 5 (2/3) - Pages: 223, 234, 235, 237, 239, 240</t>
  </si>
  <si>
    <t>4mm x 62 x 196 - Dark Gray, Alfrex 24074 FR ACM, No Grain</t>
  </si>
  <si>
    <t>4mm x 62 x 196 - Dark Gray, Alfrex 24074</t>
  </si>
  <si>
    <t>Q:\Jobs\24074 - DIDD ACM\03_Engineering\02_FD Docs\24074 - FS08 and FS09 and FS10</t>
  </si>
  <si>
    <t>24074-FS09 In-House</t>
  </si>
  <si>
    <t>Release 5 (3/3) - 214, 223, 224, 242, 243, 246</t>
  </si>
  <si>
    <t>4mm 62 x 196 - Black, Alfrex 24074 FR ACM, No Grain</t>
  </si>
  <si>
    <t>4mm 62 x 196 - Black, Alfrex 24074</t>
  </si>
  <si>
    <t>24074-FS10 In-House</t>
  </si>
  <si>
    <t>2026, Week 21</t>
  </si>
  <si>
    <t>25061-FS01</t>
  </si>
  <si>
    <t>BNA Concourse A</t>
  </si>
  <si>
    <t>1 Terminal Drive
Nashville, TN  37214</t>
  </si>
  <si>
    <t>MOCK UP PANELS 
USE MATERIAL FROM 23029 CONC D</t>
  </si>
  <si>
    <t>* SKETCHES 
* CUT LIST 
* EXTRUSION TIGER SAW LIST 
* COLOR LABELS
* CODING FILES</t>
  </si>
  <si>
    <t>* 14 LF JR2
* 3 LF 1 5/8" COLOR MATCHING REVEALS
* 8 PCS CORNER CLIPS
* 16 PCS COLOR MATCHING REVEALS</t>
  </si>
  <si>
    <t>Q:\Jobs\25061 - BNA Concourse A\04_Production\25061FS01</t>
  </si>
  <si>
    <t>00:22:58</t>
  </si>
  <si>
    <t>4mm X 62" X 196", CHAMPAGNE GOLD [23029] FR ACM, Grain</t>
  </si>
  <si>
    <t>4mm X 62" X 196", CHAMPAGNE GOLD [23029]</t>
  </si>
  <si>
    <t>Issiah Havens - @gherrera@jwmcd.com @jdavis@jwmcd.com programmed</t>
  </si>
  <si>
    <t>25061-FS01 In-House</t>
  </si>
  <si>
    <t>24081-RO01</t>
  </si>
  <si>
    <t>POST PAINTED INSTRUCTIONS *SEE FOLLOWING NOTES*: 
-Do NOT apply stiffeners; crate the stiffeners/1199 so post painter can apply them. Stiffeners MUST have tape on them prior to shipping. 
-Mark the panel number on the side that is NOT painted in marker, NO STICKER 
-Do NOT tape extrusions 
-Extremely important that the part list is included in the crate for post painter</t>
  </si>
  <si>
    <t>TAKING A SHEET OF MATERIAL FROM 25045 WITH CARLOS SILVA'S APPROVAL</t>
  </si>
  <si>
    <t>SKETCHES
PROGRAMMING FILES
EXTRUSION CUT LIST</t>
  </si>
  <si>
    <t>Q:\Jobs\24081 - DLR DFW37\04_Production\24081-RO01</t>
  </si>
  <si>
    <t>00:03:10</t>
  </si>
  <si>
    <t>.125" X 48" X 102", 3003</t>
  </si>
  <si>
    <t>UNITED ENERTECH
ATTN: LAURA GREGG
3005 S. HICKORY ST
CHATTANOOGA, TN 37407</t>
  </si>
  <si>
    <t>(1) 1078</t>
  </si>
  <si>
    <t>FS02</t>
  </si>
  <si>
    <t>7000 TruMatic
Brake
Fab
Post Paint</t>
  </si>
  <si>
    <t>Cole Norona - @tgraves@jwmcd.com @rharmon@jwmcd.com @jmcpherson@jwmcd.com   When can we expect this panel to be ready to ship? This was expected to be ready by 3/26 and post painter is at a halt till they receive. It is just one panel for remake and has been with the shop since 3/24</t>
  </si>
  <si>
    <t>24081-RO01 In-House</t>
  </si>
  <si>
    <t>25010-FS09</t>
  </si>
  <si>
    <t>TOA Spring Hill MOB</t>
  </si>
  <si>
    <t>Reserve Blvd
Spring Hill, TN  37174</t>
  </si>
  <si>
    <t>4mm X 62" X 196", Tender Oak FR ACM, Grain</t>
  </si>
  <si>
    <t>4mm X 62" X 196", Tender Oak</t>
  </si>
  <si>
    <t>Q:\Jobs\25010 - TOA Spring Hill MOB\03_Engineering\02_FD Docs\25010FS09\SCANS</t>
  </si>
  <si>
    <t>Q:\Jobs\25010 - TOA Spring Hill MOB\03_Engineering\02_FD Docs\25010FS09\DIMENSIONS</t>
  </si>
  <si>
    <t>Q:\Jobs\25010 - TOA Spring Hill MOB\03_Engineering\02_FD Docs\25010FS09\CALCS</t>
  </si>
  <si>
    <t>Denis Usatenko - @slucas@jwmcd.com 
Corrections required.</t>
  </si>
  <si>
    <t>25010-FS09 In-House</t>
  </si>
  <si>
    <t>Ships to spectrum</t>
  </si>
  <si>
    <t>We originally drew this as stainless steel. I modified the drawing to say Gray velvet. u can use the sketch I have included or modify original.</t>
  </si>
  <si>
    <t>Q:\Jobs\24069 - TCAT Pulaski\04_Production\24069RM05</t>
  </si>
  <si>
    <t>00:02:51</t>
  </si>
  <si>
    <t>.080" X 60" X 108", 3003 Alum Sheet, No Grain</t>
  </si>
  <si>
    <t>.080" X 60" X 108", 3003</t>
  </si>
  <si>
    <t>Spectrum</t>
  </si>
  <si>
    <t>(1) 1237</t>
  </si>
  <si>
    <t>FS08</t>
  </si>
  <si>
    <t>Chris Gambrel - @fdean@jwmcd.com @dhasty@jwmcd.com flat program completed</t>
  </si>
  <si>
    <t>24069-RM05 In-House</t>
  </si>
  <si>
    <t>24079-FS101.1</t>
  </si>
  <si>
    <t>AREA B - ACM Release
208, 209, 210</t>
  </si>
  <si>
    <t>* 2 SETS - INSTALL DRAWINGS
* (1200 LF) 1-5/8" Reveals
* (700 LF) - JR2 
* (1500 LF) 16ga, flat-strap</t>
  </si>
  <si>
    <t>Q:\Jobs\24079 - Nashville Youth Campus\04_Production\24079FS101.1</t>
  </si>
  <si>
    <t>30:39:09</t>
  </si>
  <si>
    <t>Mitch Chancey</t>
  </si>
  <si>
    <t>Crating</t>
  </si>
  <si>
    <t>24079-FS101.1 In-House</t>
  </si>
  <si>
    <t>Memorial Tree Base Plate (Temp Plate for Anchors)
-Give to Dillon Bowman once complete</t>
  </si>
  <si>
    <t>Memorial Tree Base Plate (Temp Plate for Anchors)
Sketch with Paul Roberts</t>
  </si>
  <si>
    <t>Q:\Jobs\25029 - Lourdes CC Phase 2\04_Production\25029MU10</t>
  </si>
  <si>
    <t>00:00:52</t>
  </si>
  <si>
    <t>1/4 x 48 x 60 - For Processing Inventory Alum Sheet, No Grain</t>
  </si>
  <si>
    <t>1/4 x 48 x 60 - For Processing Inventory</t>
  </si>
  <si>
    <t>Chris Gambrel - @jdorsey@jwmcd.com @dhasty@jwmcd.com flat program completed</t>
  </si>
  <si>
    <t>25029-MU10 In-House</t>
  </si>
  <si>
    <t>Re-Order of Panel from RO01</t>
  </si>
  <si>
    <t>Q:\Jobs\25017 - Nashville Yards Park\04_Production\25017RO02</t>
  </si>
  <si>
    <t>00:13:46</t>
  </si>
  <si>
    <t>4mm x 62 x 196 - Midnight Black</t>
  </si>
  <si>
    <t>202-1A19</t>
  </si>
  <si>
    <t>RO01</t>
  </si>
  <si>
    <t>25017-RO02 In-House</t>
  </si>
  <si>
    <t>25029-FS50</t>
  </si>
  <si>
    <t>GRAVITY</t>
  </si>
  <si>
    <t>Memorial Garden Screen Panels</t>
  </si>
  <si>
    <t>Memorial Garden Screen Panels
ENG - panels have changed to 1/4" Plate.</t>
  </si>
  <si>
    <t>1/4"  60 x 120 6061  - 25029 Alum Sheet, No Grain</t>
  </si>
  <si>
    <t>1/4"  60 x 120 6061  - 25029</t>
  </si>
  <si>
    <t>Q:\Jobs\25029 - Lourdes CC Phase 2\03_Engineering\02_FD Docs\25029 - FS50</t>
  </si>
  <si>
    <t>Brake
Punch</t>
  </si>
  <si>
    <t>25029-FS50 In-House</t>
  </si>
  <si>
    <t>The Coping Panels on Page 207 will be caulked in the field.</t>
  </si>
  <si>
    <t>Elevations 13-14/207
Elevation 15/208
Elevation 17/209 (yellow panels).</t>
  </si>
  <si>
    <t>* 2 SETS - INSTALL DRAWINGS
* (750 LF) 1-5/8" Reveals
* (197 LF) JR2
* 6 PCS 1' x 1' x 1-5/8" L SHAPED REVEALS
* 36 PCS CORNER CLIPS
* 72 PCS ﻿COLOR MATCHING SCREWS</t>
  </si>
  <si>
    <t>Q:\Jobs\25022 - Vantage VA15\04_Production\25022FS12</t>
  </si>
  <si>
    <t>150 x 50 in	11 SHEETS
196 x 62 in	24 SHEETS</t>
  </si>
  <si>
    <t>00d10h19m54s</t>
  </si>
  <si>
    <t>4mm X 50" X 150", Cadet Gray
4mm X 62" X 196", Cadet Gray FR ACM, Grain</t>
  </si>
  <si>
    <t>4mm X 50" X 150", Cadet Gray
4mm X 62" X 196", Cadet Gray</t>
  </si>
  <si>
    <t>Gray</t>
  </si>
  <si>
    <t>Q:\Jobs\25022 - Vantage VA15\03_Engineering\02_FD Docs</t>
  </si>
  <si>
    <t>25022-FS12 In-House</t>
  </si>
  <si>
    <t>Jamb and Drip flashings for remainder of level 1 &amp; 2 of NYCE Courthouse.
Customer pick-up.</t>
  </si>
  <si>
    <t>98 x shallow drip
48 x shallow j
Drawings located in FD Docs folder under FL-013 (Server issues ATM, drawings to be uploaded ASAP)</t>
  </si>
  <si>
    <t>TBX</t>
  </si>
  <si>
    <t>Q:\Jobs\24079 - Nashville Youth Campus\04_Production\24079FL13</t>
  </si>
  <si>
    <t>32.5 - SHTS</t>
  </si>
  <si>
    <t>.032" Alum. 48" x 120" TBX Silver Alum Sheet, Grain</t>
  </si>
  <si>
    <t>.032" Alum. 48" x 120" TBX Silver</t>
  </si>
  <si>
    <t>24079-FL13 In-House</t>
  </si>
  <si>
    <t>24073-FS01</t>
  </si>
  <si>
    <t>DIDD Perf</t>
  </si>
  <si>
    <t>DIDD Perf Screens
CRATE WITH SCREWS ONLY, FOR PAINTER</t>
  </si>
  <si>
    <t>DIDD Perf Screens
- Calcs still pending for fastener strategy, submitting to get panels rolling, per Josh</t>
  </si>
  <si>
    <t>.190 x 72 x 120 - 5052 Alum 24074 Alum Sheet, No Grain</t>
  </si>
  <si>
    <t>.190 x 72 x 120 - 5052 Alum 24074</t>
  </si>
  <si>
    <t>Commercial Painters Inc
350 Herron Dr, Nashville, TN 37210
Bobby Tate (615.405.6240)</t>
  </si>
  <si>
    <t>Q:\Jobs\24073 - DIDD Perf\03_Engineering\02_FD Docs\24073 - FS01</t>
  </si>
  <si>
    <t>Brake
Post Paint
Punch</t>
  </si>
  <si>
    <t>Dillon Bowman - 24" Confirmed by PWP For Fasteners
@dhasty@jwmcd.com</t>
  </si>
  <si>
    <t>24073-FS01 In-House</t>
  </si>
  <si>
    <t>25029-ST51</t>
  </si>
  <si>
    <t>Tube Supports - will be welded to base plate (ST52)</t>
  </si>
  <si>
    <t>Tubes - Calcs changed size of tubes and size of panels. See Notes in FD Folder. 
- Calcs pending only the anchor info</t>
  </si>
  <si>
    <t>1/4 x 6 x 6 - Alum Tube - 6061-T6 (25029) Alum Tube, No Grain</t>
  </si>
  <si>
    <t>1/4 x 6 x 6 - Alum Tube - 6061-T6 (25029)</t>
  </si>
  <si>
    <t>PWX</t>
  </si>
  <si>
    <t>25029-ST73</t>
  </si>
  <si>
    <t>25029-ST51 In-House</t>
  </si>
  <si>
    <t>25029-ST52</t>
  </si>
  <si>
    <t>base plate - to be welded to ST51 Tubes</t>
  </si>
  <si>
    <t>(0) TUBE, SILPRUF CAULK
(0) LF 1/2" DENVER FOAM B-ROD
(0) CS - RED 1/8" SHIMS
(0) CS - BLACK 1/4" SHIMS
(0) #10 X 1" HH TEK 2 SCREWS
(0) #12 X 1 1/2" HH TEK 2 SCREWS
(0) #12 X 2" HH TEK 2 SCREWS
(0) #12 X 2" HH TEK 5 SCREWS
(0) TAPCONS</t>
  </si>
  <si>
    <t>1/4" 60 x 120 6061 - 25029 Alum Sheet, No Grain</t>
  </si>
  <si>
    <t>1/4" 60 x 120 6061 - 25029</t>
  </si>
  <si>
    <t>David Hasty - @jdorsey@jwmcd.com Good to go</t>
  </si>
  <si>
    <t>25029-ST52 In-House</t>
  </si>
  <si>
    <t>Please use the extrusion that AMI sent back from the release 2500FS05</t>
  </si>
  <si>
    <t>This is the last release for Columbia State; these panels are the interior part of the vestibules. It includes elevations: 206, 207, 208, and 209. 
AMI put all the dimensions in a CAD file. AMI wants us to keep the standard 2-1/4 system depth everywhere; we are not going to follow the sheathing like shown in the details. AMI is going to add a corner flashing to cover the sheathing left exposed.
For the bottom detail, we are going to be 3/4" above the floor, because the slab is inconsistent. This would make the tighter area 1/2".This applies to both areas. See the attached PDF for AMI dimensions and the comments.</t>
  </si>
  <si>
    <t>* 2 SETS - INSTALL DRAWINGS
* ( LF) JR2</t>
  </si>
  <si>
    <t>Alucobond, 4mm X 62" X 196", Oyster FR ACM, No Grain</t>
  </si>
  <si>
    <t>Alucobond, 4mm X 62" X 196", Oyster</t>
  </si>
  <si>
    <t>Q:\Jobs\25008 - Columbia State Tech Center\03_Engineering\02_FD Docs\25008 FS07</t>
  </si>
  <si>
    <t>25008-FS07 In-House</t>
  </si>
  <si>
    <t>25037-FS01</t>
  </si>
  <si>
    <t>Chestnut Street Office</t>
  </si>
  <si>
    <t>440 Chestnut Street
Nashville, TN  37203</t>
  </si>
  <si>
    <t>We have more than 200 parts for this first release. This is a request per AMI so they can optimize the material and follow the GC schedule. The color for this job is SLATE GRAY.</t>
  </si>
  <si>
    <t>There are 2 scans for the same building. Please use SCAN: Chestnut 030426 1 for the parapet width on LEVEL 4, the back of the parapet on LEVEL 4, and for the complete LEVEL 5. 
Please use Scan: Chestnut Office South 1, for the front elevations 304, 305, 306, 307, and 308.
The PDF that has the comments from AMI and mine is the latest set. This includes some changes that will have to be applied to the install drawings to make sure we have the most up-to-date drawings based on the GC markups. Please send the PDF LF NOTES to BOSNIA when requesting ID. 
There is a wood blocking installed on the face wall; the inside face of the blocking is the edge of the ACM panel. The parapet on LEVEL 5 is missing a 2x6 blocking on top of it. On the back of the parapet, please make sure the termination bar is covered by our ACM panels (follow the comments on detail 5/403).</t>
  </si>
  <si>
    <t>Reynobond, 4mm X 62" X 196", Slate Gray FR ACM, No Grain</t>
  </si>
  <si>
    <t>Reynobond, 4mm X 62" X 196", Slate Gray</t>
  </si>
  <si>
    <t>Denis Usatenko/MTPK</t>
  </si>
  <si>
    <t>Q:\Jobs\25037 - Chestnut Street Office\03_Engineering\02_FD Docs\25037FS01 &amp; FS02\scans</t>
  </si>
  <si>
    <t>Q:\Jobs\25037 - Chestnut Street Office\03_Engineering\02_FD Docs\25037FS01 &amp; FS02</t>
  </si>
  <si>
    <t>25037-FS02</t>
  </si>
  <si>
    <t>25037-FS01 In-House</t>
  </si>
  <si>
    <t>There are 2 scans for the same building. Please use SCAN: Chestnut 030426 1 for the parapet width on LEVEL 4, the back of the parapet on LEVEL 4, and for the complete LEVEL 5. 
Please use Scan: Chestnut Office South 1, for the front elevations 304, 305, 306, 307, and 308.
The PDF that has the comments from AMI and mine is the latest set. This includes some changes that will have to be applied to the install drawings to make sure we have the most up-to-date drawings based on the GC markups. Please send the PDF LF NOTES to BOSNIA when requesting ID. 
There is a wood blocking installed on the face wall; the inside face of the blocking is the edge of the ACM panel. There is also a wood block for the panel on LEVEL 4 that represents the bottom of the ACM. The panels that are on each slab, since there is no brick installed, we are going to follow the window SD to make the end of the mullion the end of the AC panels. The soffit panels from elevations 1/201 and 2/202 are on hold until the brick is installed.</t>
  </si>
  <si>
    <t>25037-FS02 In-House</t>
  </si>
  <si>
    <t>2026, Week 24</t>
  </si>
  <si>
    <t>25044-FS01</t>
  </si>
  <si>
    <t>MALETA Firing Range</t>
  </si>
  <si>
    <t>FS01 - 32-33/213; 125 GRAPHITE PANELS</t>
  </si>
  <si>
    <t>4mm X 62" X 196", GRAPHITE MICA FR ACM, Grain</t>
  </si>
  <si>
    <t>4mm X 62" X 196", GRAPHITE MICA</t>
  </si>
  <si>
    <t>MPTK</t>
  </si>
  <si>
    <t>Denis Usatenko/MPTK</t>
  </si>
  <si>
    <t>Q:\Jobs\25044 - MALETA Firing Range\03_Engineering\02_FD Docs\25044FS01-FS09\SCAN</t>
  </si>
  <si>
    <t>Q:\Jobs\25044 - MALETA Firing Range\03_Engineering\02_FD Docs\25044FS01-FS09\Hand Dims &amp; Scope of Work</t>
  </si>
  <si>
    <t>25044-FS11</t>
  </si>
  <si>
    <t>Denis Usatenko - Working Scan recieved 4/09</t>
  </si>
  <si>
    <t>25044-FS01 In-House</t>
  </si>
  <si>
    <t>25044-FS02</t>
  </si>
  <si>
    <t>FS02 - 34-35/214; 134 GRAPHITE PANELS</t>
  </si>
  <si>
    <t>25044-FS02 In-House</t>
  </si>
  <si>
    <t>25044-FS03</t>
  </si>
  <si>
    <t>FS03 - 1-3/201; 150 GRAPHITE PANELS</t>
  </si>
  <si>
    <t>25044-FS03 In-House</t>
  </si>
  <si>
    <t>25044-FS04</t>
  </si>
  <si>
    <t>FS04 - 4-5/202; 113 GRAPHITE PANELS</t>
  </si>
  <si>
    <t>25044-FS04 In-House</t>
  </si>
  <si>
    <t>2026, Week 25</t>
  </si>
  <si>
    <t>25044-FS05</t>
  </si>
  <si>
    <t>FS05 - 9-10/204 &amp; 13,15/206; 111 GRAPHITE PANELS</t>
  </si>
  <si>
    <t>25044-FS05 In-House</t>
  </si>
  <si>
    <t>2026, Week 26</t>
  </si>
  <si>
    <t>25044-FS06</t>
  </si>
  <si>
    <t>FS06 - 20-21/208; 203 GRAPHITE PANELS</t>
  </si>
  <si>
    <t>4mm X 62" X 196", GRAPHITE PANELS FR ACM, Grain</t>
  </si>
  <si>
    <t>4mm X 62" X 196", GRAPHITE PANELS</t>
  </si>
  <si>
    <t>25044-FS06 In-House</t>
  </si>
  <si>
    <t>2026, Week 28</t>
  </si>
  <si>
    <t>25044-FS07</t>
  </si>
  <si>
    <t>FS07 - 22-24/209 &amp; 25/210; 160 GRAPHITE PANELS</t>
  </si>
  <si>
    <t>25044-FS07 In-House</t>
  </si>
  <si>
    <t>2026, Week 29</t>
  </si>
  <si>
    <t>25044-FS08</t>
  </si>
  <si>
    <t>FS08 - 26/210 &amp; 27/211; 163 GRAPHITE PANELS</t>
  </si>
  <si>
    <t>25044-FS08 In-House</t>
  </si>
  <si>
    <t>2026, Week 30</t>
  </si>
  <si>
    <t>25044-FS09</t>
  </si>
  <si>
    <t>FS09 - 28/211 &amp; 29-31/212; 86 GRAPHITE PANELS</t>
  </si>
  <si>
    <t>25044-FS09 In-House</t>
  </si>
  <si>
    <t>2026, Week 31</t>
  </si>
  <si>
    <t>25044-FS10</t>
  </si>
  <si>
    <t>FS10 - 1-2/301 &amp; 3/302; 185 GRAPHITE PANELS</t>
  </si>
  <si>
    <t>Q:\Jobs\25044 - MALETA Firing Range\03_Engineering\02_FD Docs\25044FS10-FS11\SCAN</t>
  </si>
  <si>
    <t>Q:\Jobs\25044 - MALETA Firing Range\03_Engineering\02_FD Docs\25044FS10-FS11\Hand Dims &amp; Scope of Work</t>
  </si>
  <si>
    <t>25044-FS10 In-House</t>
  </si>
  <si>
    <t>2026, Week 32</t>
  </si>
  <si>
    <t>FS11 - 4-5/303 &amp; 6/304; 185 GRAPHITE PANELS</t>
  </si>
  <si>
    <t>25044-FS11 In-House</t>
  </si>
  <si>
    <t>2026, Week 34</t>
  </si>
  <si>
    <t>25044-FS01.1</t>
  </si>
  <si>
    <t>FS12 - 6-8/203, 7/203A, &amp; 12/206; 34 TERRA COTA PANELS</t>
  </si>
  <si>
    <t>4mm X 62" X 196", SPICY HUE MATTE DC MASK FR ACM, Grain</t>
  </si>
  <si>
    <t>4mm X 62" X 196", SPICY HUE MATTE DC MASK</t>
  </si>
  <si>
    <t>Q:\Jobs\25044 - MALETA Firing Range\03_Engineering\02_FD Docs\25044FS01.1\SCAN</t>
  </si>
  <si>
    <t>Q:\Jobs\25044 - MALETA Firing Range\03_Engineering\02_FD Docs\25044FS01.1\Hand Dims &amp; Scope of Work</t>
  </si>
  <si>
    <t>01.1</t>
  </si>
  <si>
    <t>25044-FS01.1 In-House</t>
  </si>
  <si>
    <t>25044-FS01.2</t>
  </si>
  <si>
    <t>FS13 - 9,11/204, 14-15/206, 16/207, 25-26/210, 1-2/301, 5/303 &amp; 6/304; 193 BLUE PANELS</t>
  </si>
  <si>
    <t>4mm X 62" X 196", AZURE BLUE FR ACM, No Grain</t>
  </si>
  <si>
    <t>4mm X 62" X 196", AZURE BLUE</t>
  </si>
  <si>
    <t>Q:\Jobs\25044 - MALETA Firing Range\03_Engineering\02_FD Docs\25044FS01.2\SCAN</t>
  </si>
  <si>
    <t>Q:\Jobs\25044 - MALETA Firing Range\03_Engineering\02_FD Docs\25044FS01.2\Hand Dims &amp; Scope of Work</t>
  </si>
  <si>
    <t>01.2</t>
  </si>
  <si>
    <t>25044-FS01.2 In-House</t>
  </si>
  <si>
    <t>26014-04-ST01</t>
  </si>
  <si>
    <t>PROGRAMS IN R&amp;D FOLDER</t>
  </si>
  <si>
    <t>Tubing Structure</t>
  </si>
  <si>
    <t>Q:\Jobs\26014-04 - Remodel\04_Production\26014-04ST01</t>
  </si>
  <si>
    <t>3 @ 16ft</t>
  </si>
  <si>
    <t>2" x 4" x 1/4" x16' Alum Tubing Alum Tube, No Grain</t>
  </si>
  <si>
    <t>2" x 4" x 1/4" x16' Alum Tubing</t>
  </si>
  <si>
    <t>26014-04</t>
  </si>
  <si>
    <t>26014-04-ST02</t>
  </si>
  <si>
    <t>Arnold Jurado - @fdean@jwmcd.com done programming</t>
  </si>
  <si>
    <t>26014-04-ST01 In-House</t>
  </si>
  <si>
    <t>26014-04-FS01</t>
  </si>
  <si>
    <t>Engineering Office Panels</t>
  </si>
  <si>
    <t>Q:\Jobs\26014-04 - Remodel\04_Production\26014-04FS01</t>
  </si>
  <si>
    <t>01:45:54</t>
  </si>
  <si>
    <t>48"x 96" x .125" 3003 Alum. Alum Sheet, Grain</t>
  </si>
  <si>
    <t>48"x 96" x .125" 3003 Alum.</t>
  </si>
  <si>
    <t>7000 TruMatic
Brake</t>
  </si>
  <si>
    <t>Chris Gambrel - @fdean@jwmcd.com changed from 48X102 to 48X96, program completed.</t>
  </si>
  <si>
    <t>26014-04-FS01 In-House</t>
  </si>
  <si>
    <t>25065-MU01</t>
  </si>
  <si>
    <t>Crosswinds Casino Resort</t>
  </si>
  <si>
    <t>777 Jackpot Way
Park City, Kansas  67147</t>
  </si>
  <si>
    <t>Image Blue Panels</t>
  </si>
  <si>
    <t>We will release this from shop drawings</t>
  </si>
  <si>
    <t>4mm x 62 x 196 Image Blue FR ACM, No Grain</t>
  </si>
  <si>
    <t>4mm x 62 x 196 Image Blue</t>
  </si>
  <si>
    <t>25065-MU20</t>
  </si>
  <si>
    <t>Gabriela Herrera - @dusatenko@jwmcd.com 
Q:\Jobs\25065 - Crosswinds Casino Resort\03_Engineering\03_FS_Issues\03_Check\25065MU01</t>
  </si>
  <si>
    <t>25065-MU01 In-House</t>
  </si>
  <si>
    <t>25065-MU02</t>
  </si>
  <si>
    <t>Loyal Blue panels</t>
  </si>
  <si>
    <t>4mm x 62 x 196, Loyal Blue FR ACM, No Grain</t>
  </si>
  <si>
    <t>4mm x 62 x 196, Loyal Blue</t>
  </si>
  <si>
    <t>25065-MU02 In-House</t>
  </si>
  <si>
    <t>25065-MU03</t>
  </si>
  <si>
    <t>Tuscan Sun = Yellow panels</t>
  </si>
  <si>
    <t>MOCKUP! please be careful</t>
  </si>
  <si>
    <t>4mm x 62 x 196, Tuscan Sun FR ACM, No Grain</t>
  </si>
  <si>
    <t>4mm x 62 x 196, Tuscan Sun</t>
  </si>
  <si>
    <t>25065-MU03 In-House</t>
  </si>
  <si>
    <t>25065-MU04</t>
  </si>
  <si>
    <t>West Pewter Mica Panels</t>
  </si>
  <si>
    <t>4mm x 62 x 196, West Pewter Mica FR ACM, Grain</t>
  </si>
  <si>
    <t>4mm x 62 x 196, West Pewter Mica</t>
  </si>
  <si>
    <t>25065-MU04 In-House</t>
  </si>
  <si>
    <t>25065-MU05</t>
  </si>
  <si>
    <t>We want to form the Morin panel profiles using the Cidan.</t>
  </si>
  <si>
    <t>Morin MX-9 panel profile to be made in the Cidan</t>
  </si>
  <si>
    <t>22ga x 48 x 120, Morin Weathered Zinc Steel Sheet, Grain</t>
  </si>
  <si>
    <t>22ga x 48 x 120, Morin Weathered Zinc</t>
  </si>
  <si>
    <t>25065-MU05 In-House</t>
  </si>
  <si>
    <t>25065-MU11</t>
  </si>
  <si>
    <t>Trim</t>
  </si>
  <si>
    <t>Image Blue</t>
  </si>
  <si>
    <t>.040 x 48 x 120, Image Blue Alum Sheet, No Grain</t>
  </si>
  <si>
    <t>.040 x 48 x 120, Image Blue</t>
  </si>
  <si>
    <t>25065-MU11 In-House</t>
  </si>
  <si>
    <t>25065-MU12</t>
  </si>
  <si>
    <t>Loyal Blue</t>
  </si>
  <si>
    <t>.032 x 48 x 120, Loyal Blue Alum Sheet, No Grain</t>
  </si>
  <si>
    <t>.032 x 48 x 120, Loyal Blue</t>
  </si>
  <si>
    <t>25065-MU12 In-House</t>
  </si>
  <si>
    <t>25065-MU13</t>
  </si>
  <si>
    <t>Tuscan Sun</t>
  </si>
  <si>
    <t>.040 x 48 x 120, Tuscan Sun Alum Sheet, No Grain</t>
  </si>
  <si>
    <t>.040 x 48 x 120, Tuscan Sun</t>
  </si>
  <si>
    <t>25065-MU13 In-House</t>
  </si>
  <si>
    <t>25065-MU14</t>
  </si>
  <si>
    <t>West Pewter Mica</t>
  </si>
  <si>
    <t>.040 x 62 x 196, West Pewter Mica Alum Sheet, Grain</t>
  </si>
  <si>
    <t>.040 x 62 x 196, West Pewter Mica</t>
  </si>
  <si>
    <t>25065-MU14 In-House</t>
  </si>
  <si>
    <t>25065-MU15</t>
  </si>
  <si>
    <t>Weathered Zinc</t>
  </si>
  <si>
    <t>25065-MU15 In-House</t>
  </si>
  <si>
    <t>Subframing for mockup</t>
  </si>
  <si>
    <t>Zee and hat</t>
  </si>
  <si>
    <t>16ga x 48 x 120 Steel Sheet, No Grain</t>
  </si>
  <si>
    <t>16ga x 48 x 120</t>
  </si>
  <si>
    <t>25065-MU20 In-House</t>
  </si>
  <si>
    <t>25029-ST70</t>
  </si>
  <si>
    <t>Tree Panels</t>
  </si>
  <si>
    <t>Memorial Tree Panels - to be integrated with ST71 and ST72
Link for Info: 
Q:\Jobs\25029 - Lourdes CC Phase 2\03_Engineering\02_FD Docs\25029 - ST70, ST71, ST72</t>
  </si>
  <si>
    <t>3/8 x 60 x 144 - Steel Steel Sheet, No Grain</t>
  </si>
  <si>
    <t>3/8 x 60 x 144 - Steel</t>
  </si>
  <si>
    <t>25029-ST70 In-House</t>
  </si>
  <si>
    <t>25029-ST71</t>
  </si>
  <si>
    <t>Memorial Tree Mast/Post</t>
  </si>
  <si>
    <t>Memorial Tree Mast/Post (to be integrated with ST70 and ST72)
Folder Link : Q:\Jobs\25029 - Lourdes CC Phase 2\03_Engineering\02_FD Docs\25029 - ST70, ST71, ST72</t>
  </si>
  <si>
    <t>XXX TBD Pending Calcs Steel Tube, No Grain</t>
  </si>
  <si>
    <t>Steel Tube</t>
  </si>
  <si>
    <t>XXX TBD Pending Calcs</t>
  </si>
  <si>
    <t>25029-ST71 In-House</t>
  </si>
  <si>
    <t>25029-ST72</t>
  </si>
  <si>
    <t>Memorial Tree Base Plate</t>
  </si>
  <si>
    <t>Memorial Tree Base Plate (to be integrated with ST70 + ST71)
Q:\Jobs\25029 - Lourdes CC Phase 2\03_Engineering\02_FD Docs\25029 - ST70, ST71, ST72</t>
  </si>
  <si>
    <t>3/4" x 48 x 120 - Steel (25029) Steel Sheet, No Grain</t>
  </si>
  <si>
    <t>3/4" x 48 x 120 - Steel (25029)</t>
  </si>
  <si>
    <t>25029-ST72 In-House</t>
  </si>
  <si>
    <t>25041-FS02</t>
  </si>
  <si>
    <t>Wedgewood Bldg E</t>
  </si>
  <si>
    <t>314 Leon Loop
Nashville, TN  37203</t>
  </si>
  <si>
    <t>4mm X 62" X 125", Black FR ACM, No Grain</t>
  </si>
  <si>
    <t>4mm X 62" X 125", Black</t>
  </si>
  <si>
    <t>BLACK</t>
  </si>
  <si>
    <t>Q:\Jobs\25041 - Wedgewood Bldg E\03_Engineering\02_FD Docs\25041 FS02</t>
  </si>
  <si>
    <t>5 (ON HOLD)</t>
  </si>
  <si>
    <t>AXYZ
Clean and Brake
Fab
Roller</t>
  </si>
  <si>
    <t>Ailen Niedfeld - @wmcdougall@jwmcd.com let me know when it's off hold, thanks!</t>
  </si>
  <si>
    <t>25041-FS02 In-House</t>
  </si>
  <si>
    <t>25006-FS07</t>
  </si>
  <si>
    <t>ELEVATION 15-17/207 &amp; 18-21/208; 190 GRAPHITE PANELS</t>
  </si>
  <si>
    <t>Q:\Jobs\25006 - MALETA Housing and Dining\03_Engineering\02_FD Docs\25006FS07-FS08-A-B SOUTH 207-209 ELEV\SCANS</t>
  </si>
  <si>
    <t>Q:\Jobs\25006 - MALETA Housing and Dining\03_Engineering\02_FD Docs\25006FS07-FS08-A-B SOUTH 207-209 ELEV\FIELD DIMENSIONS</t>
  </si>
  <si>
    <t>25006-FS07 In-House</t>
  </si>
  <si>
    <t>2026, Week 23</t>
  </si>
  <si>
    <t>25006-FS08</t>
  </si>
  <si>
    <t>ELEVATION 22-25/209; 83 GRAPHITE PANELS</t>
  </si>
  <si>
    <t>25006-FS08 In-House</t>
  </si>
  <si>
    <t>25012-MU07</t>
  </si>
  <si>
    <t>St Jude Hospital</t>
  </si>
  <si>
    <t>671 St. Jude Place
Memphis, TN  38105</t>
  </si>
  <si>
    <t>SEE NOTE ON MATERIAL [use 24015]</t>
  </si>
  <si>
    <t>Q:\Jobs\25012 - St Jude Hospital\04_Production\25012MU07</t>
  </si>
  <si>
    <t>00d00h08m53s</t>
  </si>
  <si>
    <t>4mm X 62" X 196", Slate Gray [24015] FR ACM, No Grain</t>
  </si>
  <si>
    <t>4mm X 62" X 196", Slate Gray [24015]</t>
  </si>
  <si>
    <t>Q:\Jobs\25012 - St Jude Hospital\03_Engineering\02_FD Docs\MU07</t>
  </si>
  <si>
    <t>Arnold Jurado - @aniedfeld@jwmcd.com @jdavis@jwmcd.com PROGRAMMED</t>
  </si>
  <si>
    <t>25012-MU07 In-House</t>
  </si>
  <si>
    <t>1040-30791-ST09</t>
  </si>
  <si>
    <t>ASSEMBLE IN CRATING
(15) YBCO-01034 / D / BIRDSCREEN KIT
(15) YBCO-01065 / D / DISCHARGE WALL
(15)YBCO-01020 / D / FRONT WALL KIT
(15) YBCO-01024 / D / INTAKE WALL KIT
(15) YBCO-01043 / D / RIGHT WALL KIT
(15) YBCO-01054 / D / LEFT WALL KIT
(15) YBCO-01040 / D / TRYSTAR BASE KIT
(30) YBCO-01038 / D / TRANSFORMER BRACKET KIT
(15) YBCO-01252 / D / SOUND BAFFLE KIT
(15) YBCO-01029 / D / REAR FIXED WALL
(0) D5BA22-24-32 / D / UREA TANK BRACKET
(20) D5K56-37-3-2-019-AL / D / EXHAUST BEAUTY RING</t>
  </si>
  <si>
    <t>Tony Graves</t>
  </si>
  <si>
    <t>1040-30791-ST09 In-House</t>
  </si>
  <si>
    <t>25005-ST02</t>
  </si>
  <si>
    <t>CAT Financial Nashville HQ</t>
  </si>
  <si>
    <t>2120 West End Avenue
Nashville, TN  37203</t>
  </si>
  <si>
    <t>4 parts, 3 parts only need to get longer with the original profile. 1 part we need to add a leg for a bottom termination. dimension are on the marked up drawings i will be attaching. call me if any questions. 6155179885
the drawing I marked up says 12 ga but the production sketches say 11ga material, so we need to keep it 11ga, i just sent for jim to order material, copied David</t>
  </si>
  <si>
    <t>K:\25005 - CAT Financial Nashville HQ\25005 - CAT Financial Nashville HQ_DXF</t>
  </si>
  <si>
    <t>00:01:33</t>
  </si>
  <si>
    <t>11 Ga. X 48" X 120" HR P&amp;O STL Steel Sheet, No Grain</t>
  </si>
  <si>
    <t>11 Ga. X 48" X 120" HR P&amp;O STL</t>
  </si>
  <si>
    <t>powderworks</t>
  </si>
  <si>
    <t>Brake
Fab
Powder Coat
TruLaser 3040</t>
  </si>
  <si>
    <t>25005-ST02 In-House</t>
  </si>
  <si>
    <t>Base plate will weld to 24014-04-ST01
drop is available in the shed﻿. labeled as 152430</t>
  </si>
  <si>
    <t>Base plates and angles for 26014-04-FS01</t>
  </si>
  <si>
    <t>Q:\Jobs\26014-04 - Remodel\04_Production\26014-04ST02</t>
  </si>
  <si>
    <t>00:01:46</t>
  </si>
  <si>
    <t>48 x 96 x .25 6061 Alum Sheet, No Grain</t>
  </si>
  <si>
    <t>48 x 96 x .25 6061</t>
  </si>
  <si>
    <t>Brake
Powder Coat
TruLaser 3040
Weld</t>
  </si>
  <si>
    <t>26014-04-ST02 In-House</t>
  </si>
  <si>
    <t>24051-FS231 In-House</t>
  </si>
  <si>
    <t>26014-05-FS01</t>
  </si>
  <si>
    <t>Shipping Closure
Contact George Holland</t>
  </si>
  <si>
    <t>* 1 SET - LO DRAWINGS
* (192 LF) 1-5/8" Reveals
* (120 LF) JR2</t>
  </si>
  <si>
    <t>Q:\Jobs\26014-05 - Shipping wall\04_Production\26014-05FS01</t>
  </si>
  <si>
    <t>00d03h53m13s</t>
  </si>
  <si>
    <t>4mm X 62" X 196", Gray Velvet [21040] FR ACM, Grain</t>
  </si>
  <si>
    <t>4mm X 62" X 196", Gray Velvet [21040]</t>
  </si>
  <si>
    <t>26014-05</t>
  </si>
  <si>
    <t>2 (In Progress)</t>
  </si>
  <si>
    <t>26014-05-FS01 In-House</t>
  </si>
  <si>
    <t>24079-FS102.1</t>
  </si>
  <si>
    <t>1500 lft of 16ga, flat-strap</t>
  </si>
  <si>
    <t>24079-FS102.1 In-House</t>
  </si>
  <si>
    <t>24079-FS201</t>
  </si>
  <si>
    <t>First of thirteen ACM releases for the NYCE - Cottages
Ship with 'RRM River Rock Gray' flashing releases.  (Specific release number TBD)</t>
  </si>
  <si>
    <t>First of 8 cottage clerestories.  Located on page 233 of approved cottage shop drawings.  Next Cottage release will be clerestories 2-8.
Reference shop drawings dated 2/25/26, located in FD_Docs folder for FS201.
Scope is highlighted on page 102.</t>
  </si>
  <si>
    <t>4mm X 62" X 196" 'RRM River Rock Gray' FR ACM, Grain</t>
  </si>
  <si>
    <t>4mm X 62" X 196" 'RRM River Rock Gray'</t>
  </si>
  <si>
    <t>Q:\Jobs\24079 - Nashville Youth Campus\03_Engineering\02_FD Docs\24079 - FS201 - Cottage E Clerestory</t>
  </si>
  <si>
    <t>24079-FS201 In-House</t>
  </si>
  <si>
    <t>25031-FL06</t>
  </si>
  <si>
    <t>LLU Mars US Warehouse</t>
  </si>
  <si>
    <t>145 Liebherr Drive
Tupelo, MS  38801</t>
  </si>
  <si>
    <t>THIS IS A TEST PIECE WE CAN USE ANY COLOR FOR THE 0.040"
ALSO PART 201 SLIDES INTO PART 202</t>
  </si>
  <si>
    <t>There is an issue with the flashing installed, and we have to cover what is installed. 
Please see the attached sketch for the profile and the quantities. 
Is very important that PART 201 slides into PART 202. Also, the maximum opening that Part 202 can have is 1/8"</t>
  </si>
  <si>
    <t>Q:\Jobs\25031 - LLU Mars US Warehouse\04_Production\25031FL06</t>
  </si>
  <si>
    <t>.040" X 48" X 120", ANY COLOR Alum Sheet, No Grain</t>
  </si>
  <si>
    <t>.040" X 48" X 120", ANY COLOR</t>
  </si>
  <si>
    <t>Tony Graves - @lforero@jwmcd.com @tgraves@jwmcd.com @rharmon@jwmcd.com these are being formed after lunch. @sjones@jwmcd.com</t>
  </si>
  <si>
    <t>25031-FL06 In-House</t>
  </si>
  <si>
    <t>25002-FS14</t>
  </si>
  <si>
    <t>This is a Change order, 
we are adding this panels that goes inside the vestibule. 
Attached you will find the field measures pictures and a CAD file that I used for quantification.</t>
  </si>
  <si>
    <t>ACM: 4mm X 62" X 196" MICA CHAMPAGNE FR ACM, Grain</t>
  </si>
  <si>
    <t>ACM: 4mm X 62" X 196" MICA CHAMPAGNE</t>
  </si>
  <si>
    <t>Q:\Jobs\25002 - Med Center Health\03_Engineering\02_FD Docs\PHOTOS VESTIBULE MAIN ENTRANCE FS14</t>
  </si>
  <si>
    <t>Josh McPherson - Thanks Carlos. Denis let us know if there is anything else that you need.</t>
  </si>
  <si>
    <t>25002-FS14 In-House</t>
  </si>
  <si>
    <t>26014-06-ST01</t>
  </si>
  <si>
    <t>Added weep holes to uprights and lower cross section members</t>
  </si>
  <si>
    <t>PWX Titus Cart</t>
  </si>
  <si>
    <t>SKETCHES
PROGRAMS</t>
  </si>
  <si>
    <t>6 Casters PN: SCC-KP92S630-SSR</t>
  </si>
  <si>
    <t>Q:\Jobs\26014-06 - PWX Titus Base\Production\26014-ST01</t>
  </si>
  <si>
    <t>18 mins</t>
  </si>
  <si>
    <t>6" x 4" x .25" Steel Tube
2" x 2" x 3/16" Steel Angle 
4" x 4" x .125" Steel Tube Steel Tube, No Grain</t>
  </si>
  <si>
    <t>6" x 4" x .25" Steel Tube
2" x 2" x 3/16" Steel Angle 
4" x 4" x .125" Steel Tube</t>
  </si>
  <si>
    <t>7000 TubeLaser 28</t>
  </si>
  <si>
    <t>26014-06</t>
  </si>
  <si>
    <t>Jonathan Dorsey - @ajurado@jwmcd.com 1001-02 AND 1001-03 added drainage weep holes</t>
  </si>
  <si>
    <t>26014-06-ST01 In-House</t>
  </si>
  <si>
    <t>25007-RM01</t>
  </si>
  <si>
    <t>Panel Number 207-1B02 was made with the wrong mitered corner direction. Please review the attachment and reach out for more explanation. We will need to fabricate reveals to go with this panel. Fully fabricate with extrusions around the porimitor as well.</t>
  </si>
  <si>
    <t>Reveal5/8 - 30LF
Color matching screws: 4
Corner clips: 2</t>
  </si>
  <si>
    <t>Q:\Jobs\25007 - QTS ATL2 DC10\04_Production\25007RM01-FS01</t>
  </si>
  <si>
    <t>00:12:12</t>
  </si>
  <si>
    <t>4mm X 50" X 105", 62" X 196" Ron Red Apolic PE ACM, No Grain</t>
  </si>
  <si>
    <t>PE ACM</t>
  </si>
  <si>
    <t>4mm X 50" X 105", 62" X 196" Ron Red Apolic</t>
  </si>
  <si>
    <t>(1) 207-1B02</t>
  </si>
  <si>
    <t>ENGINEERING</t>
  </si>
  <si>
    <t>Sprinter Van</t>
  </si>
  <si>
    <t>Issiah Havens - @aniedfeld@jwmcd.com @jdavis@jwmcd.com programmed</t>
  </si>
  <si>
    <t>25007-RM01 In-House</t>
  </si>
  <si>
    <t>25012-FS02</t>
  </si>
  <si>
    <t>This is a Guaranteed dimension release. We will release all panels and hold off on the  end panels to be fabricated in the field.</t>
  </si>
  <si>
    <t>Q:\Jobs\25012 - St Jude Hospital\04_Production\25012FS02</t>
  </si>
  <si>
    <t>4mm X 62" X 196", Ultra-Cool Carmine Red FR ACM, No Grain</t>
  </si>
  <si>
    <t>4mm X 62" X 196", Ultra-Cool Carmine Red</t>
  </si>
  <si>
    <t>RED</t>
  </si>
  <si>
    <t>Q:\Jobs\25012 - St Jude Hospital\03_Engineering\02_FD Docs\FS02</t>
  </si>
  <si>
    <t>25012-FS02 In-House</t>
  </si>
  <si>
    <t>24039-FL35</t>
  </si>
  <si>
    <t>Flashing, sill flashing and coping different elevations</t>
  </si>
  <si>
    <t>Q:\Jobs\24039 - The Visionary\04_Production\24039FL35</t>
  </si>
  <si>
    <t>25 - SHTS</t>
  </si>
  <si>
    <t>Aluminum Sheet:  .040" X 48" X 120", ANTHRACITE Alum Sheet, Grain</t>
  </si>
  <si>
    <t>Aluminum Sheet:  .040" X 48" X 120", ANTHRACITE</t>
  </si>
  <si>
    <t>24039-FL37</t>
  </si>
  <si>
    <t>24039-FL35 In-House</t>
  </si>
  <si>
    <t>24039-BM18</t>
  </si>
  <si>
    <t>CLEATS for FL35 copings</t>
  </si>
  <si>
    <t>Q:\Jobs\24039 - The Visionary\04_Production\24039BM18</t>
  </si>
  <si>
    <t>(Galvanized Sheet):  22 Ga. X 48" X 120" Galv Sheet, No Grain</t>
  </si>
  <si>
    <t>(Galvanized Sheet):  22 Ga. X 48" X 120"</t>
  </si>
  <si>
    <t>24039-BM19</t>
  </si>
  <si>
    <t>24039-BM18 In-House</t>
  </si>
  <si>
    <t>24039-FL36</t>
  </si>
  <si>
    <t>COPINGS DIFFERENT ELEVATIONS</t>
  </si>
  <si>
    <t>Q:\Jobs\24039 - The Visionary\04_Production\24039FL36</t>
  </si>
  <si>
    <t>60 - SHTS</t>
  </si>
  <si>
    <t>Aluminum Sheet: .040" X 48" X 120", OCEAN MASK Alum Sheet, Grain</t>
  </si>
  <si>
    <t>Aluminum Sheet: .040" X 48" X 120", OCEAN MASK</t>
  </si>
  <si>
    <t>000</t>
  </si>
  <si>
    <t>24039-FL36 In-House</t>
  </si>
  <si>
    <t>coping Elev. 237, 245
Silver Metallic</t>
  </si>
  <si>
    <t>Q:\Jobs\24039 - The Visionary\04_Production\24039FL37</t>
  </si>
  <si>
    <t>16 - SHTS</t>
  </si>
  <si>
    <t>Aluminum Sheet: .040" X 48" X 120", SILVER METALLIC Alum Sheet, Grain</t>
  </si>
  <si>
    <t>Aluminum Sheet: .040" X 48" X 120", SILVER METALLIC</t>
  </si>
  <si>
    <t>24039-FL37 In-House</t>
  </si>
  <si>
    <t>CLEATS for COPINGS FL36, FL37</t>
  </si>
  <si>
    <t>Q:\Jobs\24039 - The Visionary\04_Production\24039BM19</t>
  </si>
  <si>
    <t>85.5 - SHTS</t>
  </si>
  <si>
    <t>Galvanized Sheet:  22 Ga. X 48" X 120" Galv Sheet, No Grain</t>
  </si>
  <si>
    <t>Galvanized Sheet:  22 Ga. X 48" X 120"</t>
  </si>
  <si>
    <t>24039-BM19 In-House</t>
  </si>
  <si>
    <t>25010-RO06</t>
  </si>
  <si>
    <t>elevation 216/217 from FS05. 6 oak panels
PANELS WERE NOT MADE AS TWO OAK PANELS</t>
  </si>
  <si>
    <t>4mm X 62" X 196", TENDER OAK FR ACM, Grain</t>
  </si>
  <si>
    <t>4mm X 62" X 196", TENDER OAK</t>
  </si>
  <si>
    <t>Q:\Jobs\25010 - TOA Spring Hill MOB\03_Engineering\02_FD Docs\25010RO06</t>
  </si>
  <si>
    <t>(2) 216-1T01
(2) 217-2R01
(2) 217-1R07</t>
  </si>
  <si>
    <t>25010-RO07</t>
  </si>
  <si>
    <t>Samuel Lucas - @cnorona@jwmcd.com on hold til further info</t>
  </si>
  <si>
    <t>25010-RO06 In-House</t>
  </si>
  <si>
    <t>ELEVATION 208. FS06.1. 6 GRAY PANELS 
NEW PANEL DIMENSIONS</t>
  </si>
  <si>
    <t>4mm X 62" X 196", SUNSHINE GRAY FR ACM, No Grain</t>
  </si>
  <si>
    <t>4mm X 62" X 196", SUNSHINE GRAY</t>
  </si>
  <si>
    <t>Q:\Jobs\25010 - TOA Spring Hill MOB\03_Engineering\02_FD Docs\25010RO07</t>
  </si>
  <si>
    <t>(1) 208-1T01B
(1) 208-1T02B
(1) 208-1T03B</t>
  </si>
  <si>
    <t>FS06.1</t>
  </si>
  <si>
    <t>25010-RO07 In-House</t>
  </si>
  <si>
    <t>25061-BM01</t>
  </si>
  <si>
    <t>MOCK UP FLASHINGS</t>
  </si>
  <si>
    <t>Q:\Jobs\25061 - BNA Concourse A\04_Production\25061BM01</t>
  </si>
  <si>
    <t>25061-BM01 In-House</t>
  </si>
  <si>
    <t>25061-FL01</t>
  </si>
  <si>
    <t>Q:\Jobs\25061 - BNA Concourse A\04_Production\25061FL01</t>
  </si>
  <si>
    <t>22 Ga. X 30.5" X 122", Champagne Gold (smooth) Galv Sheet, Grain</t>
  </si>
  <si>
    <t>22 Ga. X 30.5" X 122", Champagne Gold (smooth)</t>
  </si>
  <si>
    <t>25061-FL01 In-House</t>
  </si>
  <si>
    <t>24051-FL01</t>
  </si>
  <si>
    <t>CHANGE ORDER 2 - PERF FLASHING 
PLEASE PUT PROTECTIVE FILM ON MATERIAL TO ELIMINATE DAMAGE</t>
  </si>
  <si>
    <t>.040" X 48" X 120", TOB BLACK Alum Sheet, No Grain</t>
  </si>
  <si>
    <t>.040" X 48" X 120", TOB BLACK</t>
  </si>
  <si>
    <t>24051-FL01 In-House</t>
  </si>
  <si>
    <t>25022-RM01</t>
  </si>
  <si>
    <t>Engineering: These remakes are corner panels. Face of Panel should be 4' 7/8" wide. The return face of panel is correct.</t>
  </si>
  <si>
    <t>Q:\Jobs\25022 - Vantage VA15\04_Production\25022RM01</t>
  </si>
  <si>
    <t>4mm X 48" X 120", Cadet Gray FR ACM, Grain</t>
  </si>
  <si>
    <t>4mm X 48" X 120", Cadet Gray</t>
  </si>
  <si>
    <t>204-2GAAA09
204-2GAAA07
204-2GAAA05
204-2GAAA03</t>
  </si>
  <si>
    <t>FS09</t>
  </si>
  <si>
    <t>25022-RM02</t>
  </si>
  <si>
    <t>25022-RM01 In-House</t>
  </si>
  <si>
    <t>Q:\Jobs\25022 - Vantage VA15\04_Production\25022RM02-FS04</t>
  </si>
  <si>
    <t>00d00h12m25s</t>
  </si>
  <si>
    <t>Engineering Folder</t>
  </si>
  <si>
    <t>(1) 209-1N10</t>
  </si>
  <si>
    <t>FS04</t>
  </si>
  <si>
    <t>Arnold Jurado - @gherrera@jwmcd.com @jdavis@jwmcd.com PROGGRAMMED</t>
  </si>
  <si>
    <t>25022-RM02 In-House</t>
  </si>
  <si>
    <t>24079-RP03</t>
  </si>
  <si>
    <t>Bad Tabs Parts Moved</t>
  </si>
  <si>
    <t>00d00h24m39s</t>
  </si>
  <si>
    <t>TRIM (X4)
209-3F33
208-3F17</t>
  </si>
  <si>
    <t>FS101.1</t>
  </si>
  <si>
    <t>Arnold Jurado - @jdavis@jwmcd.com PROGRAMMED</t>
  </si>
  <si>
    <t>24079-RP03 In-House</t>
  </si>
  <si>
    <t>24071-RP14</t>
  </si>
  <si>
    <t>Bad copes</t>
  </si>
  <si>
    <t>00d00h14m34s</t>
  </si>
  <si>
    <t>306-1NF08A</t>
  </si>
  <si>
    <t>FS11</t>
  </si>
  <si>
    <t>24071-RP14 In-House</t>
  </si>
  <si>
    <t>FS07</t>
  </si>
  <si>
    <t>24079-FS301</t>
  </si>
  <si>
    <t>ARF Release # 001 of 004.
Update inventory after completing release.</t>
  </si>
  <si>
    <t>AAN and 'For Record' Drawings located in FD Docs folder.
REL#001 includes all panels on west elevation along with the small north elevation prior to the canopy.
Reference pages 206 through 208.  Scope breakdown document located in FD Docs folder.</t>
  </si>
  <si>
    <t>Q:\Jobs\24079 - Nashville Youth Campus\03_Engineering\02_FD Docs\24079 - FS301 - ARF 1.0</t>
  </si>
  <si>
    <t>24079-FS301 In-House</t>
  </si>
  <si>
    <t>24079-FS302</t>
  </si>
  <si>
    <t>ARF Release # 002 of 004. 
Update inventory after completing release.</t>
  </si>
  <si>
    <t>AAN and 'For Record' Drawings located in FD Docs folder. 
REL#002 includes all canopy panels and half of the east elevation panels.
Reference elevations on pages 205, 206 and 211. Scope breakdown document located in FD Docs folder.</t>
  </si>
  <si>
    <t>Calcs Location	Q:\Jobs\24079 - Nashville Youth Campus\03_Engineering\02_FD Docs\24079 - CALCS</t>
  </si>
  <si>
    <t>24079-FS302 In-House</t>
  </si>
  <si>
    <t>ARF Release # 003 of 004. 
Update inventory after completing release.</t>
  </si>
  <si>
    <t>AAN and 'For Record' Drawings located in FD Docs folder. 
REL#003 includes the remaining east elevation panels and all roof panels. 
Reference elevations on pages 202, 203, 204, 208, and 212. Scope breakdown document located in FD Docs folder.</t>
  </si>
  <si>
    <t>Calcs Location Q:\Jobs\24079 - Nashville Youth Campus\03_Engineering\02_FD Docs\24079 - CALCS</t>
  </si>
  <si>
    <t>24079-FS303 In-House</t>
  </si>
  <si>
    <t>25022-RO03</t>
  </si>
  <si>
    <t>Panels damaged by another trade. These are remakes.</t>
  </si>
  <si>
    <t>* SKETCHES
* PANEL CUT LIST
* TIGER SAW EXTRUSION LIST
* CODING FILES
* ﻿COLOR LABELS</t>
  </si>
  <si>
    <t>Q:\Jobs\25022 - Vantage VA15\04_Production\25022RO03-FS04</t>
  </si>
  <si>
    <t>00d00h37m15s</t>
  </si>
  <si>
    <t>Not needed</t>
  </si>
  <si>
    <t>(3) 209-1N10</t>
  </si>
  <si>
    <t>25022-RO03 In-House</t>
  </si>
  <si>
    <t>25025-FL11</t>
  </si>
  <si>
    <t>South Elevation FL</t>
  </si>
  <si>
    <t>South Elevation FL - Profile 104 in SMX Silver</t>
  </si>
  <si>
    <t>Q:\Jobs\25025 - QTS MAN1 DC6\04_Production\25025FL11</t>
  </si>
  <si>
    <t>2 - SHTS</t>
  </si>
  <si>
    <t>.032 x 48 x 120 - SMX Silver (25025) Alum Sheet, No Grain</t>
  </si>
  <si>
    <t>.032 x 48 x 120 - SMX Silver (25025)</t>
  </si>
  <si>
    <t>25025-FL11 In-House</t>
  </si>
  <si>
    <t>25025-RO02</t>
  </si>
  <si>
    <t>Freedom Wall base RO</t>
  </si>
  <si>
    <t>* SKETCH
* COLOR LABELS
* CODING FILES
*﻿ PANEL CUT LIST
* TIGER SAW EXTRUSION LIST</t>
  </si>
  <si>
    <t>* 2 PCS CORNER CLIPS 
* 4 PCS COLOR MATCHING SCREWS</t>
  </si>
  <si>
    <t>Q:\Jobs\25025 - QTS MAN1 DC6\04_Production\25025RO02-FS21</t>
  </si>
  <si>
    <t>00d00h11m15s</t>
  </si>
  <si>
    <t>4mm x 62 x 196 - Ron Red (25025) FR ACM, No Grain</t>
  </si>
  <si>
    <t>4mm x 62 x 196 - Ron Red (25025)</t>
  </si>
  <si>
    <t>222-3B03</t>
  </si>
  <si>
    <t>FS21</t>
  </si>
  <si>
    <t>25025-RO02 In-House</t>
  </si>
  <si>
    <t>25006-FS09</t>
  </si>
  <si>
    <t>ELEVATION 205-206; 152 GRAPHITE</t>
  </si>
  <si>
    <t>Q:\Jobs\25006 - MALETA Housing and Dining\03_Engineering\02_FD Docs\25006FS09 ELEVATION 205-206</t>
  </si>
  <si>
    <t>25006-FS09 In-House</t>
  </si>
  <si>
    <t>25006-FS10</t>
  </si>
  <si>
    <t>ELEVATION 203-204; 140 GRAPHITE
SCANS IN FS09 FOLDER DUE TO STORAGE SPACE</t>
  </si>
  <si>
    <t>Q:\Jobs\25006 - MALETA Housing and Dining\03_Engineering\02_FD Docs\25006FS10 ELEVATION 203-204</t>
  </si>
  <si>
    <t>25006-FS10 In-House</t>
  </si>
  <si>
    <t>2026, Week 27</t>
  </si>
  <si>
    <t>25006-FS11</t>
  </si>
  <si>
    <t>ELEVATION 201, 222-223; 201 GRAPHITE
SCANS IN FS09 FOLDER DUE TO STORAGE SPACE</t>
  </si>
  <si>
    <t>Q:\Jobs\25006 - MALETA Housing and Dining\03_Engineering\02_FD Docs\25006FS11 ELEVATION 201 222-223</t>
  </si>
  <si>
    <t>25006-FS11 In-House</t>
  </si>
  <si>
    <t>25006-FS12</t>
  </si>
  <si>
    <t>ELEVATION 220-221; 192 GRAPHITE
SCANS IN FS09 FOLDER DUE TO STORAGE SPACE</t>
  </si>
  <si>
    <t>Q:\Jobs\25006 - MALETA Housing and Dining\03_Engineering\02_FD Docs\25006FS12 ELEVATION 220-221</t>
  </si>
  <si>
    <t>25006-FS12 In-House</t>
  </si>
  <si>
    <t>ELEVATION 223; 28 TERRA COTA
SCANS IN FS09 FOLDER DUE TO STORAGE SPACE</t>
  </si>
  <si>
    <t>Q:\Jobs\25006 - MALETA Housing and Dining\03_Engineering\02_FD Docs\25006FS13 ELEVATION 223</t>
  </si>
  <si>
    <t>25006-FS13 In-House</t>
  </si>
  <si>
    <t>Anchors for Base Plate</t>
  </si>
  <si>
    <t>Anchors for Base Plate - 19"</t>
  </si>
  <si>
    <t>3/4" x 120" - ASTMF1554 Grade 36 Steel (Tool Crib) Steel Custom Shape, No Grain</t>
  </si>
  <si>
    <t>Steel Custom Shape</t>
  </si>
  <si>
    <t>3/4" x 120" - ASTMF1554 Grade 36 Steel (Tool Crib)</t>
  </si>
  <si>
    <t>25029-ST73 In-House</t>
  </si>
  <si>
    <t>ACM  4mm X 62" X 196", MICA MHJ CPPR FR ACM, Grain</t>
  </si>
  <si>
    <t>ACM  4mm X 62" X 196", MICA MHJ CPPR</t>
  </si>
  <si>
    <t>Q:\Jobs\25002 - Med Center Health\03_Engineering\02_FD Docs\Photos and SD FS15</t>
  </si>
  <si>
    <t>25002-FS15 In-House</t>
  </si>
  <si>
    <t>1040-30791-ST10 In-House</t>
  </si>
  <si>
    <t>24079-RM01</t>
  </si>
  <si>
    <t>SUBCONTRACTOR PICK-UP</t>
  </si>
  <si>
    <t>West/South elevation parapet remakes.  Parapet depth to be 19-1/4".  All other dimensions to stay the same.
Reference latest Courthouse shop drawings (Rev3 Upd 2 - dated 2/28/26)</t>
  </si>
  <si>
    <t>Q:\Jobs\24079 - Nashville Youth Campus\03_Engineering\02_FD Docs\24079 - NYCE - FS101 AREA B</t>
  </si>
  <si>
    <t>Q:\Jobs\24079 - Nashville Youth Campus\03_Engineering\02_FD Docs\24079 - NYCE - FS101 AREA B\Photos</t>
  </si>
  <si>
    <t>205-3B22
205-3B23
205-3B24
205-3B25
205-3B26
205-3B27
205-3B28
205-3B29
205-3B30
205-3B31
205-3B32
205-3B33
205-3B34
205-3B35
205-3B36
205-3B37
206-3B15
206-3B16
206-3B17
206-3B18
206-3B19
206-3B20
206-3B21
207-3B01a
207-3B01b
207-3B01c
207-3B02
207-3B03
207-3B04
207-3B05
207-3B06
207-3B07
207-3B08
207-3B09
207-3B10
207-3B11
207-3B12
207-3B13
207-3B14</t>
  </si>
  <si>
    <t>FS101</t>
  </si>
  <si>
    <t>24079-RM01 In-House</t>
  </si>
  <si>
    <t>25067-FL02</t>
  </si>
  <si>
    <t>8 x 10' flashing/coping</t>
  </si>
  <si>
    <t>Q:\Jobs\25067 - Harison Bend\04_Production\25067FL02</t>
  </si>
  <si>
    <t>.040" X 48" X 120", Gray Metallic Alum Sheet, Grain</t>
  </si>
  <si>
    <t>.040" X 48" X 120", Gray Metallic</t>
  </si>
  <si>
    <t>25067-FL02 In-House</t>
  </si>
  <si>
    <t>25022-BM06</t>
  </si>
  <si>
    <t>Q:\Jobs\25022 - Vantage VA15\04_Production\25022BM06</t>
  </si>
  <si>
    <t>62.5 - SHTS</t>
  </si>
  <si>
    <t>Drew Adams - We currently have 9 jobs on the Shear, and 3 more scheduled before 04/22.  We just got this Released to Shop today.  I think we will need to discuss.  @tmooers@jwmcd.com @jmcpherson@jwmcd.com @tgraves@jwmcd.com @sjones@jwmcd.com</t>
  </si>
  <si>
    <t>25022-BM06 In-House</t>
  </si>
  <si>
    <t>SEARCH JOB ID:</t>
  </si>
  <si>
    <t>PRE-RELEASE SCHEDULE — Jobs Not Yet Released to Shop</t>
  </si>
  <si>
    <t>Jobs currently in: LO, LO Check, Sketch, Sketch Check, Evaluation, Float, Correction, CNC Programming, Program Complete, Release to Shop</t>
  </si>
  <si>
    <t>Current Station</t>
  </si>
  <si>
    <t>Op 1</t>
  </si>
  <si>
    <t>Op 2</t>
  </si>
  <si>
    <t>Op 3</t>
  </si>
  <si>
    <t>Notes</t>
  </si>
  <si>
    <t>24030 FL03</t>
  </si>
  <si>
    <t>AXYZ TITANS LINE SCHEDULE — Jobs At or Coming to AXYZ Titans Line</t>
  </si>
  <si>
    <t>Includes jobs currently at AXYZ Titans Line station AND jobs with AXYZ Titans Line as an operation. Sorted by Start By date.</t>
  </si>
  <si>
    <t>Queue Position</t>
  </si>
  <si>
    <t>Hrs to Complete CNC</t>
  </si>
  <si>
    <t>CNC Start By</t>
  </si>
  <si>
    <t>Next Op</t>
  </si>
  <si>
    <t>Following Op</t>
  </si>
  <si>
    <t>AXYZ SCHEDULE — Jobs At or Coming to AXYZ</t>
  </si>
  <si>
    <t>Includes jobs currently at AXYZ 34 station AND jobs with AXYZ as an operation. Sorted by Start By date.</t>
  </si>
  <si>
    <t>CLEAN AND BRAKE SCHEDULE — Jobs At or Coming to Clean and Brake</t>
  </si>
  <si>
    <t>Includes jobs currently at Clean and Brake station AND jobs with Clean and Brake as an operation. Sorted by Start By date.</t>
  </si>
  <si>
    <t>C&amp;B Start By</t>
  </si>
  <si>
    <t>FAB SCHEDULE — Jobs At or Coming to Fabrication</t>
  </si>
  <si>
    <t>Includes jobs currently at Fabrication station AND jobs with Fab as an operation. Sorted by Start By date.</t>
  </si>
  <si>
    <t>Fab Start By</t>
  </si>
  <si>
    <t>First Op</t>
  </si>
  <si>
    <t>Previous Op</t>
  </si>
  <si>
    <t>SHEAR SCHEDULE — Jobs At or Coming to Shear</t>
  </si>
  <si>
    <t>Includes jobs currently at Shear station AND jobs with Shear as an operation. Sorted by Ship Target date.</t>
  </si>
  <si>
    <t>Shear Start By</t>
  </si>
  <si>
    <t>CIDAN SCHEDULE — Jobs At or Coming to Cidan</t>
  </si>
  <si>
    <t>Includes jobs currently at Cidan station AND jobs with Cidan as an operation. Sorted by Ship Target date.</t>
  </si>
  <si>
    <t>Cidan Start By</t>
  </si>
  <si>
    <t>EXTRUSION SAW SCHEDULE — Jobs At or Coming to Extrusion Saw</t>
  </si>
  <si>
    <t>Includes jobs currently at Extrusion Saw station AND jobs with Extrusion Saw as an operation. Sorted by Start By date.</t>
  </si>
  <si>
    <t>Saw Start By</t>
  </si>
  <si>
    <t>PUNCH SCHEDULE — Jobs At or Coming to Punch</t>
  </si>
  <si>
    <t>Includes jobs currently at Punch station AND jobs with Punch as an operation. Sorted by Start By date.</t>
  </si>
  <si>
    <t>Punch Start By</t>
  </si>
  <si>
    <t>ROLLER SCHEDULE — Jobs At or Coming to Roller</t>
  </si>
  <si>
    <t>Includes jobs currently at Roller station AND jobs with Roller as an operation. Sorted by Start By date.</t>
  </si>
  <si>
    <t>Roller Start By</t>
  </si>
  <si>
    <t>SHIP SCHEDULE — Jobs by Ship Date (Bottleneck Analysis)</t>
  </si>
  <si>
    <t>Summary Statistics</t>
  </si>
  <si>
    <t>Shows all jobs grouped by ship date to identify shipping bottlenecks. Sorted by Ship Target date.</t>
  </si>
  <si>
    <t>Total Jobs:</t>
  </si>
  <si>
    <t>Legend:</t>
  </si>
  <si>
    <t>🔴 5+ jobs = High bottleneck</t>
  </si>
  <si>
    <t>🟡 3-4 jobs = Medium load</t>
  </si>
  <si>
    <t>⚪ 1-2 jobs = Normal</t>
  </si>
  <si>
    <t>Unique Ship Dates:</t>
  </si>
  <si>
    <t>Ship Date</t>
  </si>
  <si>
    <t>Job ID</t>
  </si>
  <si>
    <t>Jobs on This Date</t>
  </si>
  <si>
    <t>High Bottleneck Dates:</t>
  </si>
  <si>
    <t>Max Jobs/Day:</t>
  </si>
  <si>
    <t>Top Bottleneck Dates ⬇️ (Select below)</t>
  </si>
  <si>
    <t>All Ship Dates</t>
  </si>
  <si>
    <t>Date</t>
  </si>
  <si>
    <t>Jobs</t>
  </si>
  <si>
    <t>(Snapshot - filter main data for updates)</t>
  </si>
  <si>
    <t>Today's Date-</t>
  </si>
  <si>
    <t>Jobs Due To Ship Today-</t>
  </si>
  <si>
    <t>👆 Select ANY date to see jobs shipping that day</t>
  </si>
  <si>
    <t>Select Ship Date:</t>
  </si>
  <si>
    <t>Jobs on Selected Date:</t>
  </si>
  <si>
    <t>Jobs Shipping on Selected Date:</t>
  </si>
  <si>
    <t>Picture</t>
  </si>
  <si>
    <t>SEARCH MASTER NOTES:</t>
  </si>
  <si>
    <t>← Type Job ID to find &amp; highlight</t>
  </si>
  <si>
    <t>1:00 PM Updates Daily</t>
  </si>
  <si>
    <t>📝 MASTER NOTES — Type notes here. They auto-appear on ALL schedule tabs.</t>
  </si>
  <si>
    <t>Find the Job ID → Type your note in Column B → It appears on all tabs automatically</t>
  </si>
  <si>
    <t>Start By</t>
  </si>
  <si>
    <t>Op 4</t>
  </si>
  <si>
    <t>Op 5</t>
  </si>
  <si>
    <t>Op 6</t>
  </si>
  <si>
    <t>Crating By</t>
  </si>
  <si>
    <t>SortKey</t>
  </si>
  <si>
    <t>Hours to complete job.</t>
  </si>
  <si>
    <t>Row 6</t>
  </si>
  <si>
    <t>@hstakhurskyi@jwmcd.com @jdavis@jwmcd.com @tgraves@jwmcd.com Programmed</t>
  </si>
  <si>
    <t>04/14/25 8:42 AM</t>
  </si>
  <si>
    <t>@mribar@jwmcd.com Off hold. No parapets among these moonstone panels.</t>
  </si>
  <si>
    <t>03/25/25 7:40 AM</t>
  </si>
  <si>
    <t>@mribar@jwmcd.com On Hold</t>
  </si>
  <si>
    <t>03/21/25 1:25 PM</t>
  </si>
  <si>
    <t>Row 7</t>
  </si>
  <si>
    <t>@hstakhurskyi@jwmcd.com @jdavis@jwmcd.com PROGRAMMED</t>
  </si>
  <si>
    <t>10/21/25 3:33 PM</t>
  </si>
  <si>
    <t>@hstakhurskyi@jwmcd.com 
Corrections required</t>
  </si>
  <si>
    <t>10/21/25 10:37 AM</t>
  </si>
  <si>
    <t>This release is no longer on hold.  Please proceed with fabrication tickets.</t>
  </si>
  <si>
    <t>10/13/25 2:52 PM</t>
  </si>
  <si>
    <t>03/21/25 1:26 PM</t>
  </si>
  <si>
    <t>Row 8</t>
  </si>
  <si>
    <t>10/23/25 7:28 AM</t>
  </si>
  <si>
    <t>10/22/25 1:27 PM</t>
  </si>
  <si>
    <t>@dusatenko@jwmcd.com THIS RELEASE IS NOW OFF HOLD.  PLEASE PROCEED AND DIMENSION PER OUR LATEST SET OF SHOPS</t>
  </si>
  <si>
    <t>10/16/25 8:26 AM</t>
  </si>
  <si>
    <t>03/21/25 1:28 PM</t>
  </si>
  <si>
    <t>Row 9</t>
  </si>
  <si>
    <t>04/15/25 8:11 AM</t>
  </si>
  <si>
    <t>Row 10</t>
  </si>
  <si>
    <t>@dusatenko@jwmcd.com @jdavis@jwmcd.com PROGRAMMED</t>
  </si>
  <si>
    <t>02/25/26 9:13 AM</t>
  </si>
  <si>
    <t>@hstakhurskyi@jwmcd.com 
Q:\Jobs\24051 - TN Titans Stadium\03_Engineering\03_FS_Issues\03_Check\24051 SOUTH ELEVATION\24051FS209.1</t>
  </si>
  <si>
    <t>02/24/26 10:54 AM</t>
  </si>
  <si>
    <t>Row 11</t>
  </si>
  <si>
    <t>04/15/25 8:20 AM</t>
  </si>
  <si>
    <t>Row 12</t>
  </si>
  <si>
    <t>Install drawings brought to the floor</t>
  </si>
  <si>
    <t>03/02/26 8:52 AM</t>
  </si>
  <si>
    <t>@cdill@jwmcd.com @jdavis@jwmcd.com programmed</t>
  </si>
  <si>
    <t>02/25/26 10:14 AM</t>
  </si>
  <si>
    <t>@dusatenko@jwmcd.com working on it now</t>
  </si>
  <si>
    <t>02/25/26 8:12 AM</t>
  </si>
  <si>
    <t>@ajurado@jwmcd.com @ihavens@jwmcd.com 
Is this back on your radars?</t>
  </si>
  <si>
    <t>02/25/26 8:06 AM</t>
  </si>
  <si>
    <t>@dusatenko@jwmcd.com Will this be out today?</t>
  </si>
  <si>
    <t>Drew Adams</t>
  </si>
  <si>
    <t>02/25/26 7:01 AM</t>
  </si>
  <si>
    <t>Should be. We had to redraw some parts becasue we would have ran out of matherial otherwise.</t>
  </si>
  <si>
    <t>02/25/26 8:04 AM</t>
  </si>
  <si>
    <t>@cdill@jwmcd.com 
Separate the panels into part a and b please.</t>
  </si>
  <si>
    <t>02/24/26 12:13 PM</t>
  </si>
  <si>
    <t>@csilva@jwmcd.com We are 3 sheets short of fulfilling this order. We have 74 sheets of this material in stock, but need at least 77 sheets of 62 X 196. How do we proceed? @ajurado@jwmcd.com @jmcpherson@jwmcd.com @dusatenko@jwmcd.com</t>
  </si>
  <si>
    <t>02/24/26 10:55 AM</t>
  </si>
  <si>
    <t>@cdill@jwmcd.com 
Corrections required.</t>
  </si>
  <si>
    <t>02/23/26 9:12 AM</t>
  </si>
  <si>
    <t>@dusatenko@jwmcd.com at this link you will find a new scan that shows the wall that was with plastic before.  Q:\Jobs\25002 - Med Center Health\03_Engineering\02_FD Docs\MCH - SOUTH SCAN 01.20</t>
  </si>
  <si>
    <t>01/20/26 12:58 PM</t>
  </si>
  <si>
    <t>This scan is not exported, I cannot use it.</t>
  </si>
  <si>
    <t>01/23/26 5:02 PM</t>
  </si>
  <si>
    <t>I can use it.</t>
  </si>
  <si>
    <t>01/27/26 10:55 AM</t>
  </si>
  <si>
    <t>thank you</t>
  </si>
  <si>
    <t>01/27/26 12:44 PM</t>
  </si>
  <si>
    <t>@csilva@jwmcd.com 
Elevations on 227 are nothing but plastic on this scan. There is one place that looks finished on level one, we can project this or need a new scan. Let us know.
Will need the dims for the upper soffit and the parapet like we have in the past.</t>
  </si>
  <si>
    <t>01/15/26 3:58 PM</t>
  </si>
  <si>
    <t>Row 13</t>
  </si>
  <si>
    <t>@ghoyle@jwmcd.com</t>
  </si>
  <si>
    <t>03/11/26 1:13 PM</t>
  </si>
  <si>
    <t>@dusatenko@jwmcd.com Sketches are ready to check. "Q:\Jobs\25002 - Med Center Health\03_Engineering\03_FS_Issues\03_Check\25002FS11.1\25002FS11.1 Check Set.pdf"</t>
  </si>
  <si>
    <t>02/27/26 8:36 AM</t>
  </si>
  <si>
    <t>@csilva@jwmcd.com 
This is not happening. 4 day turn around on rolled panels for which dims just came in....
@jmcpherson@jwmcd.com</t>
  </si>
  <si>
    <t>02/05/26 12:39 PM</t>
  </si>
  <si>
    <t>Row 14</t>
  </si>
  <si>
    <t>@aniedfeld@jwmcd.com @jdavis@jwmcd.com PROGRAMMED</t>
  </si>
  <si>
    <t>01/14/26 8:25 AM</t>
  </si>
  <si>
    <t>@aniedfeld@jwmcd.com 
Corrections required.</t>
  </si>
  <si>
    <t>01/12/26 7:02 PM</t>
  </si>
  <si>
    <t>Direction Received, Expansion Joint Deleted
Please proceed as is, no change. 
Please let me know of Schedule Impacts. 
@dusatenko@jwmcd.com  
@aniedfeld@jwmcd.com</t>
  </si>
  <si>
    <t>01/08/26 7:06 AM</t>
  </si>
  <si>
    <t>Oh hold due to expansion joint.</t>
  </si>
  <si>
    <t>12/22/25 9:01 AM</t>
  </si>
  <si>
    <t>Row 16</t>
  </si>
  <si>
    <t>print everything in the print all folder</t>
  </si>
  <si>
    <t>01/26/26 10:53 AM</t>
  </si>
  <si>
    <t>@aniedfeld@jwmcd.com</t>
  </si>
  <si>
    <t>@aniedfeld@jwmcd.com @jdavis@jwmcd.com programmed</t>
  </si>
  <si>
    <t>01/26/26 10:52 AM</t>
  </si>
  <si>
    <t>Row 17</t>
  </si>
  <si>
    <t>11/07/25 9:33 AM</t>
  </si>
  <si>
    <t>11/05/25 4:15 PM</t>
  </si>
  <si>
    <t>Row 18</t>
  </si>
  <si>
    <t>11/07/25 9:58 AM</t>
  </si>
  <si>
    <t>11/05/25 4:26 PM</t>
  </si>
  <si>
    <t>@dusatenko@jwmcd.com YOU CAN RUN THIS WITH FS 47.  IM USING THE C DESIGNATION TO TRACK THE COPING THAT IS RELEASED.</t>
  </si>
  <si>
    <t>10/16/25 2:49 PM</t>
  </si>
  <si>
    <t>I will have to combine the cards. Are you ok with that? Leave it as 47 or 47C?</t>
  </si>
  <si>
    <t>10/16/25 3:13 PM</t>
  </si>
  <si>
    <t>OKAY - JUST LEAVE IT ALONE.  I WANT TO TRACK COPING SEPARATLY</t>
  </si>
  <si>
    <t>10/16/25 3:27 PM</t>
  </si>
  <si>
    <t>Row 19</t>
  </si>
  <si>
    <t>11/18/25 12:00 PM</t>
  </si>
  <si>
    <t>@hstakhurskyi@jwmcd.com 
NO Corrections Required</t>
  </si>
  <si>
    <t>11/13/25 7:06 AM</t>
  </si>
  <si>
    <t>Row 20</t>
  </si>
  <si>
    <t>11/18/25 12:19 PM</t>
  </si>
  <si>
    <t>Row 21</t>
  </si>
  <si>
    <t>11/18/25 1:32 PM</t>
  </si>
  <si>
    <t>@hstakhurskyi@jwmcd.com 
Corrections Required</t>
  </si>
  <si>
    <t>Row 22</t>
  </si>
  <si>
    <t>11/18/25 2:08 PM</t>
  </si>
  <si>
    <t>Row 23</t>
  </si>
  <si>
    <t>11/18/25 2:40 PM</t>
  </si>
  <si>
    <t>Row 24</t>
  </si>
  <si>
    <t>@jdavis@jwmcd.com @hstakhurskyi@jwmcd.com PROGRAMMED</t>
  </si>
  <si>
    <t>11/18/25 3:00 PM</t>
  </si>
  <si>
    <t>11/13/25 7:07 AM</t>
  </si>
  <si>
    <t>Row 25</t>
  </si>
  <si>
    <t>10/29/25 3:37 PM</t>
  </si>
  <si>
    <t>@hstakhurskyi@jwmcd.com 
No corrections required</t>
  </si>
  <si>
    <t>10/28/25 4:58 PM</t>
  </si>
  <si>
    <t>Row 26</t>
  </si>
  <si>
    <t>10/29/25 3:47 PM</t>
  </si>
  <si>
    <t>10/28/25 5:00 PM</t>
  </si>
  <si>
    <t>Row 27</t>
  </si>
  <si>
    <t>10/29/25 3:56 PM</t>
  </si>
  <si>
    <t>10/28/25 5:02 PM</t>
  </si>
  <si>
    <t>Row 28</t>
  </si>
  <si>
    <t>@jdavis@jwmcd.com @aniedfeld@jwmcd.com PROGRAMMED</t>
  </si>
  <si>
    <t>01/28/26 8:13 AM</t>
  </si>
  <si>
    <t>Row 29</t>
  </si>
  <si>
    <t>@jdavis@jwmcd.com PROGRAMMED. @aniedfeld@jwmcd.com please print all programming documents in the "PROGRAMMING DOCS" folder</t>
  </si>
  <si>
    <t>01/27/26 2:32 PM</t>
  </si>
  <si>
    <t>Row 32</t>
  </si>
  <si>
    <t>01/22/26 2:34 PM</t>
  </si>
  <si>
    <t>Row 33</t>
  </si>
  <si>
    <t>01/22/26 3:22 PM</t>
  </si>
  <si>
    <t>@aniedfeld@jwmcd.com 
Correcitons required</t>
  </si>
  <si>
    <t>01/21/26 5:18 PM</t>
  </si>
  <si>
    <t>Row 34</t>
  </si>
  <si>
    <t>01/22/26 4:00 PM</t>
  </si>
  <si>
    <t>Row 35</t>
  </si>
  <si>
    <t>@gherrera@jwmcd.com @jdavis@jwmcd.com PROGRAMMED</t>
  </si>
  <si>
    <t>01/30/26 1:17 PM</t>
  </si>
  <si>
    <t>Row 36</t>
  </si>
  <si>
    <t>02/12/26 11:44 AM</t>
  </si>
  <si>
    <t>@hstakhurskyi@jwmcd.com 
Corrections required.</t>
  </si>
  <si>
    <t>02/10/26 6:30 PM</t>
  </si>
  <si>
    <t>Row 37</t>
  </si>
  <si>
    <t>02/12/26 10:31 AM</t>
  </si>
  <si>
    <t>02/10/26 6:50 PM</t>
  </si>
  <si>
    <t>Row 38</t>
  </si>
  <si>
    <t>12/12/25 9:53 AM</t>
  </si>
  <si>
    <t>12/10/25 6:47 AM</t>
  </si>
  <si>
    <t>Row 39</t>
  </si>
  <si>
    <t>12/12/25 9:44 AM</t>
  </si>
  <si>
    <t>12/10/25 6:50 AM</t>
  </si>
  <si>
    <t>Row 40</t>
  </si>
  <si>
    <t>12/18/25 7:32 AM</t>
  </si>
  <si>
    <t>12/16/25 5:00 PM</t>
  </si>
  <si>
    <t>Row 41</t>
  </si>
  <si>
    <t>12/18/25 7:49 AM</t>
  </si>
  <si>
    <t>@hstakhurskyi@jwmcd.com 
No correcitons required.</t>
  </si>
  <si>
    <t>12/16/25 5:02 PM</t>
  </si>
  <si>
    <t>Row 42</t>
  </si>
  <si>
    <t>12/18/25 8:04 AM</t>
  </si>
  <si>
    <t>@hstakhurskyi@jwmcd.com 
No Corrections required</t>
  </si>
  <si>
    <t>12/16/25 5:05 PM</t>
  </si>
  <si>
    <t>Row 43</t>
  </si>
  <si>
    <t>12/18/25 8:17 AM</t>
  </si>
  <si>
    <t>@hstakhurskyi@jwmcd.com 
No corrections required.</t>
  </si>
  <si>
    <t>12/16/25 5:06 PM</t>
  </si>
  <si>
    <t>Row 44</t>
  </si>
  <si>
    <t>12/12/25 8:27 AM</t>
  </si>
  <si>
    <t>12/10/25 6:42 AM</t>
  </si>
  <si>
    <t>Row 45</t>
  </si>
  <si>
    <t>12/12/25 9:30 AM</t>
  </si>
  <si>
    <t>12/10/25 6:45 AM</t>
  </si>
  <si>
    <t>Row 46</t>
  </si>
  <si>
    <t>Denis, here are those updates for the vestible. 
I did not send you this update. My apologies. 
New Scans and Field Notes in the Job Folder. 
@dusatenko@jwmcd.com 
@tmooers@jwmcd.com</t>
  </si>
  <si>
    <t>02/13/26 10:38 AM</t>
  </si>
  <si>
    <t>Couple Updates from the Field</t>
  </si>
  <si>
    <t>01/20/26 1:29 PM</t>
  </si>
  <si>
    <t>@dbowman@jwmcd.com 
This Vestibule is missing all of the glass. I do not know how to even begin guessing where it will land/be installed. Can you please work on getting that information filled in?</t>
  </si>
  <si>
    <t>12/22/25 9:31 AM</t>
  </si>
  <si>
    <t>I'll work on it!
@dusatenko@jwmcd.com</t>
  </si>
  <si>
    <t>12/22/25 9:33 AM</t>
  </si>
  <si>
    <t>Still no dims</t>
  </si>
  <si>
    <t>12/17/25 4:34 PM</t>
  </si>
  <si>
    <t>NO DIMS</t>
  </si>
  <si>
    <t>12/09/25 10:03 AM</t>
  </si>
  <si>
    <t>Row 47</t>
  </si>
  <si>
    <t>04/14/25 2:36 PM</t>
  </si>
  <si>
    <t>Row 48</t>
  </si>
  <si>
    <t>03/05/26 7:20 AM</t>
  </si>
  <si>
    <t>@hstakhurskyi@jwmcd.com 
Q:\Jobs\24051 - TN Titans Stadium\03_Engineering\03_FS_Issues\03_Check\24051 NORTH ELEVATION\24051FS29C</t>
  </si>
  <si>
    <t>03/04/26 9:53 AM</t>
  </si>
  <si>
    <t>Row 49</t>
  </si>
  <si>
    <t>04/14/25 3:03 PM</t>
  </si>
  <si>
    <t>Row 50</t>
  </si>
  <si>
    <t>04/14/25 3:15 PM</t>
  </si>
  <si>
    <t>Row 51</t>
  </si>
  <si>
    <t>04/14/25 3:31 PM</t>
  </si>
  <si>
    <t>Row 52</t>
  </si>
  <si>
    <t>04/15/25 7:17 AM</t>
  </si>
  <si>
    <t>Row 53</t>
  </si>
  <si>
    <t>@hstakhurskyi@jwmcd.com @jdavis@jwmcd.com @tgraves@jwmcd.com Programmed, Paneltracker</t>
  </si>
  <si>
    <t>05/07/25 2:12 PM</t>
  </si>
  <si>
    <t>Row 54</t>
  </si>
  <si>
    <t>04/15/25 7:31 AM</t>
  </si>
  <si>
    <t>Row 55</t>
  </si>
  <si>
    <t>04/15/25 7:41 AM</t>
  </si>
  <si>
    <t>Row 56</t>
  </si>
  <si>
    <t>@hstakhurskyi@jwmcd.com @jdavis@jwmcd.com @tgraves@jwmcd.com Programmed, panel tracker</t>
  </si>
  <si>
    <t>06/17/25 3:21 PM</t>
  </si>
  <si>
    <t>@hstakhurskyi@jwmcd.com corrections required</t>
  </si>
  <si>
    <t>06/10/25 10:15 AM</t>
  </si>
  <si>
    <t>Row 59</t>
  </si>
  <si>
    <t>@cbuttrey@jwmcd.com When does this need to ship?</t>
  </si>
  <si>
    <t>02/25/26 7:32 AM</t>
  </si>
  <si>
    <t>I changed to 4/17. its on hold due to some changes on site.</t>
  </si>
  <si>
    <t>02/25/26 9:20 AM</t>
  </si>
  <si>
    <t>Row 60</t>
  </si>
  <si>
    <t>PANELS are RTS. @skrantz@jwmcd.com know about the reveals</t>
  </si>
  <si>
    <t>02/17/26 10:40 AM</t>
  </si>
  <si>
    <t>@mchancey@jwmcd.com I wasn't aware these got pushed through so they are not done. Will be done tomorrow. @jmcpherson@jwmcd.com @tgraves@jwmcd.com @sjones@jwmcd.com</t>
  </si>
  <si>
    <t>Samantha Krantz</t>
  </si>
  <si>
    <t>02/17/26 10:45 AM</t>
  </si>
  <si>
    <t>02/11/26 2:31 PM</t>
  </si>
  <si>
    <t>Row 61</t>
  </si>
  <si>
    <t>@dusatenko@jwmcd.com @jdavis@jwmcd.com programmed</t>
  </si>
  <si>
    <t>03/10/26 7:38 AM</t>
  </si>
  <si>
    <t>@hstakhurskyi@jwmcd.com 
Q:\Jobs\24051 - TN Titans Stadium\03_Engineering\03_FS_Issues\03_Check\24051 NORTH ELEVATION\24051FS82</t>
  </si>
  <si>
    <t>03/09/26 3:36 PM</t>
  </si>
  <si>
    <t>@mribar@jwmcd.com @dusatenko@jwmcd.com</t>
  </si>
  <si>
    <t>02/26/26 10:00 AM</t>
  </si>
  <si>
    <t>Row 62</t>
  </si>
  <si>
    <t>03/10/26 8:53 AM</t>
  </si>
  <si>
    <t>@hstakhurskyi@jwmcd.com 
Q:\Jobs\24051 - TN Titans Stadium\03_Engineering\03_FS_Issues\03_Check\24051 SOUTH ELEVATION\24051FS83</t>
  </si>
  <si>
    <t>03/09/26 3:38 PM</t>
  </si>
  <si>
    <t>Row 63</t>
  </si>
  <si>
    <t>03/11/26 11:20 AM</t>
  </si>
  <si>
    <t>@hstakhurskyi@jwmcd.com 
Q:\Jobs\24051 - TN Titans Stadium\03_Engineering\03_FS_Issues\03_Check\24051 NORTH ELEVATION\24051FS84</t>
  </si>
  <si>
    <t>03/09/26 3:39 PM</t>
  </si>
  <si>
    <t>Row 64</t>
  </si>
  <si>
    <t>03/11/26 11:57 AM</t>
  </si>
  <si>
    <t>@hstakhurskyi@jwmcd.com 
Q:\Jobs\24051 - TN Titans Stadium\03_Engineering\03_FS_Issues\03_Check\24051 SOUTH ELEVATION\24051FS85</t>
  </si>
  <si>
    <t>03/09/26 3:37 PM</t>
  </si>
  <si>
    <t>Row 65</t>
  </si>
  <si>
    <t>@jdavis@jwmcd.com PROGRAMMED</t>
  </si>
  <si>
    <t>08/05/25 7:18 AM</t>
  </si>
  <si>
    <t>Row 66</t>
  </si>
  <si>
    <t>@hstakhurskyi@jwmcd.com @jdavis@jwmcd.com PROGRAMMED, SEE NOTES ON MATERIAL SUMMARY REPORT</t>
  </si>
  <si>
    <t>08/05/25 8:08 AM</t>
  </si>
  <si>
    <t>Row 67</t>
  </si>
  <si>
    <t>@jdavis@jwmcd.com @hstakhurskyi@jwmcd.com PROGRAMMED, SEE NOTES ON MATERIAL SUMMARY REPORT</t>
  </si>
  <si>
    <t>08/05/25 8:22 AM</t>
  </si>
  <si>
    <t>Row 68</t>
  </si>
  <si>
    <t>08/05/25 8:29 AM</t>
  </si>
  <si>
    <t>Row 69</t>
  </si>
  <si>
    <t>08/12/25 7:54 AM</t>
  </si>
  <si>
    <t>Row 70</t>
  </si>
  <si>
    <t>@hstakhurskyi@jwmcd.com @jdavis@jwmcd.com PROGRAAMMED</t>
  </si>
  <si>
    <t>01/20/26 1:48 PM</t>
  </si>
  <si>
    <t>Row 71</t>
  </si>
  <si>
    <t>@gholland@jwmcd.com @jdavis@jwmcd.com @cball@jwmcd.com @tgraves@jwmcd.com THIS RELEASE NEEDS TO GO WITH FS02 TO SPECTRUM FOR COATING WHICH IS READY TO SHIP.  BOTH WERE RELEAED AT THE SAME TIME &amp; WE NEED TO GET THIS OUT OF THE SHOP.  PLEASE PROVIDE A SHIP DATE.</t>
  </si>
  <si>
    <t>02/16/26 8:23 AM</t>
  </si>
  <si>
    <t>@fdean@jwmcd.com @dhasty@jwmcd.com flat programs completed</t>
  </si>
  <si>
    <t>01/19/26 6:59 AM</t>
  </si>
  <si>
    <t>@cgambrel@jwmcd.com Ready to program</t>
  </si>
  <si>
    <t>01/16/26 2:41 PM</t>
  </si>
  <si>
    <t>Row 74</t>
  </si>
  <si>
    <t>@fdean@jwmcd.com @dhasty@jwmcd.com flat program completed.</t>
  </si>
  <si>
    <t>11/25/25 8:37 AM</t>
  </si>
  <si>
    <t>@fdean@jwmcd.com good to go</t>
  </si>
  <si>
    <t>11/25/25 7:34 AM</t>
  </si>
  <si>
    <t>Row 75</t>
  </si>
  <si>
    <t>@fdean@jwmcd.com program complete</t>
  </si>
  <si>
    <t>11/25/25 12:25 PM</t>
  </si>
  <si>
    <t>@fdean@jwmcd.com corrections required</t>
  </si>
  <si>
    <t>11/25/25 7:36 AM</t>
  </si>
  <si>
    <t>Row 77</t>
  </si>
  <si>
    <t>Team,
I made a mistake here. Can we update the sketches to add a little system depth? 
I have included the updates in the job folder. My apologies, I put the updates in when it was uncategorized, but neglected to tag Denis in the card comment. Just need small updates to the sketches before we produce. My apologies.
@dusatenko@jwmcd.com 
@tgraves@jwmcd.com 
@skrantz@jwmcd.com</t>
  </si>
  <si>
    <t>01/27/26 10:32 AM</t>
  </si>
  <si>
    <t>Small updates to profiles, thanks.</t>
  </si>
  <si>
    <t>01/23/26 3:48 PM</t>
  </si>
  <si>
    <t>Row 78</t>
  </si>
  <si>
    <t>@dusatenko@jwmcd.com No sketches in folder</t>
  </si>
  <si>
    <t>09/08/25 1:07 PM</t>
  </si>
  <si>
    <t>They are there</t>
  </si>
  <si>
    <t>09/08/25 1:40 PM</t>
  </si>
  <si>
    <t>@dbowman@jwmcd.com I am releasing this but noticed there was no Dark Bronze material listed under the job number</t>
  </si>
  <si>
    <t>08/25/25 8:33 AM</t>
  </si>
  <si>
    <t>Chance, yes. We'll need to pull from 23022. My Apologies, I meant to get that info in to the ERF. Can you get it onto the in-house?
@cdill@jwmcd.com</t>
  </si>
  <si>
    <t>08/25/25 8:42 AM</t>
  </si>
  <si>
    <t>@cdill@jwmcd.com No corrections required</t>
  </si>
  <si>
    <t>08/22/25 2:12 PM</t>
  </si>
  <si>
    <t>Row 79</t>
  </si>
  <si>
    <t>02/05/26 1:50 PM</t>
  </si>
  <si>
    <t>@aniedfeld@jwmcd.com 
Corrections required</t>
  </si>
  <si>
    <t>02/04/26 6:35 AM</t>
  </si>
  <si>
    <t>Row 80</t>
  </si>
  <si>
    <t>Denis, the crating plan calls out elevations that need to be crated together. FS01 has its own crating direction, and FS02 has its own crating direction. At no point will they overlap in crating direction, as they are different parts of the building. 
FS01 has crate numbers matched to elevations. 
FS02 has crate groups matched to elevations.
Please help me understand what more information you need on this.
Further - if this is holding up production by any means, abandon the crating plan. Its not worth being late. 
Thanks
@dusatenko@jwmcd.com 
@tmooers@jwmcd.com</t>
  </si>
  <si>
    <t>02/11/26 5:05 PM</t>
  </si>
  <si>
    <t>I apologize. I did not go to the next page and assumed the verbage on the cover was all it was. 
It did not hold anything up. We have put it into production and there are now crating list added. They have been printed and supplied to the shop. 
I would like to remind you that we are not able to control the exact crate numbers so that would have to be coordinated post crating once packing lists are created.</t>
  </si>
  <si>
    <t>02/11/26 9:05 PM</t>
  </si>
  <si>
    <t>@dbowman@jwmcd.com What is your plan regarding the crating plan?</t>
  </si>
  <si>
    <t>02/10/26 11:38 AM</t>
  </si>
  <si>
    <t>@aniedfeld@jwmcd.com 
The Crating Plan is communicated in the Release Schedule Document in the FD Folder, but I have also attached it here.</t>
  </si>
  <si>
    <t>02/10/26 8:56 PM</t>
  </si>
  <si>
    <t>Dillion, the note is not a crating plan, that is standard JWM opertion porcedure. Different FS get crated iseparately. A crating plan indicates specifially which panels are to be crated together. For example: panels on sheet 211-215 from elevation 100 - 200 to be crated together, panels on sheet 211-215 from elevation 200 - 600 to be crated together, OR all canopies to be crated together, all panels between windows to ge together.
@tmooers@jwmcd.com</t>
  </si>
  <si>
    <t>02/11/26 7:38 AM</t>
  </si>
  <si>
    <t>02/10/26 11:20 AM</t>
  </si>
  <si>
    <t>@dbowman@jwmcd.com 
System required in this card</t>
  </si>
  <si>
    <t>12/19/25 8:19 AM</t>
  </si>
  <si>
    <t>corrections required</t>
  </si>
  <si>
    <t>02/05/26 4:13 PM</t>
  </si>
  <si>
    <t>400 Series
@dusatenko@jwmcd.com</t>
  </si>
  <si>
    <t>02/05/26 4:16 PM</t>
  </si>
  <si>
    <t>Row 81</t>
  </si>
  <si>
    <t>@gherrera@jwmcd.com @jdavis@jwmcd.com @tgraves@jwmcd.com Programmed, panel tracker</t>
  </si>
  <si>
    <t>06/04/25 1:13 PM</t>
  </si>
  <si>
    <t>@dusatenko@jwmcd.com 
Q:\Jobs\25016 - Rockdale CJAC\03_Engineering\03_FS_Issues\03_Check\25016MU101</t>
  </si>
  <si>
    <t>06/02/25 4:41 PM</t>
  </si>
  <si>
    <t>Row 82</t>
  </si>
  <si>
    <t>@dusatenko@jwmcd.com Standard flashing.</t>
  </si>
  <si>
    <t>06/02/25 12:55 PM</t>
  </si>
  <si>
    <t>Row 83</t>
  </si>
  <si>
    <t>06/04/25 1:36 PM</t>
  </si>
  <si>
    <t>@dusatenko@jwmcd.com 
Q:\Jobs\25016 - Rockdale CJAC\03_Engineering\03_FS_Issues\03_Check\25016MU121</t>
  </si>
  <si>
    <t>06/03/25 3:29 PM</t>
  </si>
  <si>
    <t>Row 84</t>
  </si>
  <si>
    <t>@dusatenko@jwmcd.com 16 Ga. zees.</t>
  </si>
  <si>
    <t>06/02/25 12:56 PM</t>
  </si>
  <si>
    <t>Row 85</t>
  </si>
  <si>
    <t>@aduke@jwmcd.com standard flashings.</t>
  </si>
  <si>
    <t>06/02/25 12:58 PM</t>
  </si>
  <si>
    <t>For me?
Thanks,
ALLEN DUKE
Processing Estimating Manager
John W. McDougall Inc.
615.321.3900
 |
jwmcd.com</t>
  </si>
  <si>
    <t>Allen Duke</t>
  </si>
  <si>
    <t>06/02/25 1:09 PM</t>
  </si>
  <si>
    <t>Row 86</t>
  </si>
  <si>
    <t>@dbowman@jwmcd.com @swatson@jwmcd.com @tgraves@jwmcd.com LOOSE ON THE TREE</t>
  </si>
  <si>
    <t>12/29/25 10:40 AM</t>
  </si>
  <si>
    <t>Row 87</t>
  </si>
  <si>
    <t>@hstakhurskyi@jwmcd.com @jdavis@jwmcd.com @tgraves@jwmcd.com Programmed w/ PT</t>
  </si>
  <si>
    <t>07/02/25 7:30 AM</t>
  </si>
  <si>
    <t>Row 88</t>
  </si>
  <si>
    <t>07/02/25 12:12 PM</t>
  </si>
  <si>
    <t>@hstakhurskyi@jwmcd.com Corrections required</t>
  </si>
  <si>
    <t>07/01/25 2:04 PM</t>
  </si>
  <si>
    <t>Row 89</t>
  </si>
  <si>
    <t>07/02/25 7:43 AM</t>
  </si>
  <si>
    <t>07/01/25 2:07 PM</t>
  </si>
  <si>
    <t>Row 90</t>
  </si>
  <si>
    <t>07/02/25 8:06 AM</t>
  </si>
  <si>
    <t>Row 91</t>
  </si>
  <si>
    <t>07/02/25 8:20 AM</t>
  </si>
  <si>
    <t>Row 92</t>
  </si>
  <si>
    <t>07/02/25 3:32 PM</t>
  </si>
  <si>
    <t>Row 96</t>
  </si>
  <si>
    <t>02/11/26 11:34 AM</t>
  </si>
  <si>
    <t>Row 98</t>
  </si>
  <si>
    <t>Reveals done 4-30-25</t>
  </si>
  <si>
    <t>04/30/25 4:10 PM</t>
  </si>
  <si>
    <t>04/15/25 7:58 AM</t>
  </si>
  <si>
    <t>Row 99</t>
  </si>
  <si>
    <t>Reveals done 4-7-25</t>
  </si>
  <si>
    <t>04/09/25 9:33 AM</t>
  </si>
  <si>
    <t>@hstakhurskyi@jwmcd.com @jdavis@jwmcd.com @tgraves@jwmcd.com Program complete</t>
  </si>
  <si>
    <t>03/19/25 7:23 AM</t>
  </si>
  <si>
    <t>Row 100</t>
  </si>
  <si>
    <t>03/04/26 10:57 AM</t>
  </si>
  <si>
    <t>@hstakhurskyi@jwmcd.com 
Q:\Jobs\24051 - TN Titans Stadium\03_Engineering\03_FS_Issues\03_Check\24051 WEST ELEVATION\24051FS04C</t>
  </si>
  <si>
    <t>03/04/26 7:07 AM</t>
  </si>
  <si>
    <t>Row 101</t>
  </si>
  <si>
    <t>04/09/25 9:34 AM</t>
  </si>
  <si>
    <t>03/19/25 11:06 AM</t>
  </si>
  <si>
    <t>Row 102</t>
  </si>
  <si>
    <t>Reveals done 4-10-25</t>
  </si>
  <si>
    <t>04/10/25 12:20 PM</t>
  </si>
  <si>
    <t>03/19/25 2:26 PM</t>
  </si>
  <si>
    <t>Row 103</t>
  </si>
  <si>
    <t>Reveals done 4-13-25</t>
  </si>
  <si>
    <t>04/22/25 7:41 AM</t>
  </si>
  <si>
    <t>03/26/25 3:28 PM</t>
  </si>
  <si>
    <t>Row 104</t>
  </si>
  <si>
    <t>@jdavis@jwmcd.com programmed. @aniedfeld@jwmcd.com please print all documents from the "PROGRAMMING DOCS" folder</t>
  </si>
  <si>
    <t>01/27/26 3:47 PM</t>
  </si>
  <si>
    <t>Row 105</t>
  </si>
  <si>
    <t>07/03/25 9:17 AM</t>
  </si>
  <si>
    <t>Row 106</t>
  </si>
  <si>
    <t>01/23/26 2:29 PM</t>
  </si>
  <si>
    <t>Row 107</t>
  </si>
  <si>
    <t>07/03/25 9:44 AM</t>
  </si>
  <si>
    <t>Row 108</t>
  </si>
  <si>
    <t>@hstakhurskyi@jwmcd.com @dusatenko@jwmcd.com @jdavis@jwmcd.com PROGRAMMED</t>
  </si>
  <si>
    <t>11/06/25 3:51 PM</t>
  </si>
  <si>
    <t>Row 109</t>
  </si>
  <si>
    <t>@cdill@jwmcd.com @jdavis@jwmcd.com PROGRAMMED</t>
  </si>
  <si>
    <t>08/25/25 2:41 PM</t>
  </si>
  <si>
    <t>08/25/25 9:31 AM</t>
  </si>
  <si>
    <t>Row 110</t>
  </si>
  <si>
    <t>@dusatenko@jwmcd.com I switched check over to Terry.</t>
  </si>
  <si>
    <t>03/07/25 10:05 AM</t>
  </si>
  <si>
    <t>Row 111</t>
  </si>
  <si>
    <t>@mribar@jwmcd.com @dusatenko@jwmcd.com @mchancey@jwmcd.com @sjones@jwmcd.com the in house and the card says we need 140 but the sketch says we need 141. Can someone advise how many we actually need?</t>
  </si>
  <si>
    <t>01/19/26 6:21 AM</t>
  </si>
  <si>
    <t>141</t>
  </si>
  <si>
    <t>01/19/26 6:23 AM</t>
  </si>
  <si>
    <t>Row 113</t>
  </si>
  <si>
    <t>@mrassmussen@jwmcd.com 
I will look and come by your desk. I deleted your note about reviewing.</t>
  </si>
  <si>
    <t>02/04/26 8:58 AM</t>
  </si>
  <si>
    <t>Row 115</t>
  </si>
  <si>
    <t>@fdean@jwmcd.com @jdorsey@jwmcd.com @dhasty@jwmcd.com flat programs completed.</t>
  </si>
  <si>
    <t>02/04/26 7:43 AM</t>
  </si>
  <si>
    <t>@cgambrel@jwmcd.com Ready to program, please program corner reveals to be gang formed</t>
  </si>
  <si>
    <t>02/03/26 10:56 AM</t>
  </si>
  <si>
    <t>02/03/26 7:09 AM</t>
  </si>
  <si>
    <t>Row 116</t>
  </si>
  <si>
    <t>02/05/26 9:57 AM</t>
  </si>
  <si>
    <t>@cgambrel@jwmcd.com Ready to program, gang form corner reveals</t>
  </si>
  <si>
    <t>02/04/26 4:04 PM</t>
  </si>
  <si>
    <t>@jdorsey@jwmcd.com corrections required</t>
  </si>
  <si>
    <t>02/04/26 1:17 PM</t>
  </si>
  <si>
    <t>Row 117</t>
  </si>
  <si>
    <t>@fdean@jwmcd.com @jdorsey@jwmcd.com @dhasty@jwmcd.com flat program completed.</t>
  </si>
  <si>
    <t>02/06/26 11:30 AM</t>
  </si>
  <si>
    <t>@cgambrel@jwmcd.com Ready to program, gang form corner reveals, both reveals are the same as previous releases</t>
  </si>
  <si>
    <t>02/06/26 8:41 AM</t>
  </si>
  <si>
    <t>02/05/26 1:53 PM</t>
  </si>
  <si>
    <t>Row 118</t>
  </si>
  <si>
    <t>@fdean@jwmcd.com @jdorsey@jwmcd.com @dhasty@jwmcd.com flat programs completed</t>
  </si>
  <si>
    <t>02/10/26 10:46 AM</t>
  </si>
  <si>
    <t>02/09/26 1:14 PM</t>
  </si>
  <si>
    <t>02/09/26 10:52 AM</t>
  </si>
  <si>
    <t>Row 119</t>
  </si>
  <si>
    <t>02/11/26 8:43 AM</t>
  </si>
  <si>
    <t>Jonathan Dorsey reacted to your message:</t>
  </si>
  <si>
    <t>02/11/26 8:44 AM</t>
  </si>
  <si>
    <t>02/10/26 2:35 PM</t>
  </si>
  <si>
    <t>02/10/26 8:30 AM</t>
  </si>
  <si>
    <t>Row 120</t>
  </si>
  <si>
    <t>12/22/25 3:50 PM</t>
  </si>
  <si>
    <t>@dusatenko@jwmcd.com 
Q:\Jobs\23028 - 1000 Church YMCA\03_Engineering\03_FS_Issues\03_Check\23028FS99</t>
  </si>
  <si>
    <t>12/22/25 11:41 AM</t>
  </si>
  <si>
    <t>corrections requird</t>
  </si>
  <si>
    <t>12/22/25 12:05 PM</t>
  </si>
  <si>
    <t>Date Changed</t>
  </si>
  <si>
    <t>12/17/25 3:44 AM</t>
  </si>
  <si>
    <t>Row 123</t>
  </si>
  <si>
    <t>@dusatenko@jwmcd.com I have not moved the card(to Release to Shop) in order to produce inhouse. Paperwork is ready on my desk awaiting material. Let me know how to proceed.</t>
  </si>
  <si>
    <t>02/27/26 4:57 PM</t>
  </si>
  <si>
    <t>02/27/26 4:02 PM</t>
  </si>
  <si>
    <t>@nakins@jwmcd.com We have 63 sheets of ron red in stock, but will need 70 sheets to fulfill this order. @dusatenko@jwmcd.com</t>
  </si>
  <si>
    <t>02/27/26 3:19 PM</t>
  </si>
  <si>
    <t>It is now @ihavens@jwmcd.com</t>
  </si>
  <si>
    <t>02/27/26 1:08 PM</t>
  </si>
  <si>
    <t>@aniedfeld@jwmcd.com just following up on this one, will this be in coding soon? @ajurado@jwmcd.com</t>
  </si>
  <si>
    <t>02/27/26 12:12 PM</t>
  </si>
  <si>
    <t>02/25/26 2:14 PM</t>
  </si>
  <si>
    <t>@dusatenko@jwmcd.com is this tracking? @nakins@jwmcd.com</t>
  </si>
  <si>
    <t>Chris Ball</t>
  </si>
  <si>
    <t>02/16/26 7:12 AM</t>
  </si>
  <si>
    <t>Row 124</t>
  </si>
  <si>
    <t>02/05/26 12:23 PM</t>
  </si>
  <si>
    <t>@dusatenko@jwmcd.com 
Q:\Jobs\25008 - Columbia State Tech Center\03_Engineering\03_FS_Issues\03_Check\25008FS05</t>
  </si>
  <si>
    <t>01/31/26 8:55 PM</t>
  </si>
  <si>
    <t>Corrections required.</t>
  </si>
  <si>
    <t>02/04/26 12:41 PM</t>
  </si>
  <si>
    <t>updated pickup date after missing information was provided by AMI @tgraves@jwmcd.com @mchancey@jwmcd.com @rharmon@jwmcd.com @dusatenko@jwmcd.com @gherrera@jwmcd.com</t>
  </si>
  <si>
    <t>01/29/26 11:02 AM</t>
  </si>
  <si>
    <t>updated pickup date after conversation with AMI @tgraves@jwmcd.com @mchancey@jwmcd.com @rharmon@jwmcd.com @dusatenko@jwmcd.com @gherrera@jwmcd.com</t>
  </si>
  <si>
    <t>01/21/26 1:49 PM</t>
  </si>
  <si>
    <t>Row 125</t>
  </si>
  <si>
    <t>@mchancey@jwmcd.com  I spoke with AMI and the PM said he informed Annie that these are ready. Just a heads up to expect them hopefully soon</t>
  </si>
  <si>
    <t>03/11/26 7:31 AM</t>
  </si>
  <si>
    <t>02/10/26 2:10 PM</t>
  </si>
  <si>
    <t>@dusatenko@jwmcd.com 
Q:\Jobs\25010 - TOA Spring Hill MOB\03_Engineering\03_FS_Issues\03_Check\25010FS06</t>
  </si>
  <si>
    <t>02/05/26 8:43 AM</t>
  </si>
  <si>
    <t>corrections required.</t>
  </si>
  <si>
    <t>02/05/26 3:25 PM</t>
  </si>
  <si>
    <t>@dusatenko@jwmcd.com Q:\Jobs\25010 - TOA Spring Hill MOB\03_Engineering\03_FS_Issues\02_LO\25010FS01-06\25010FS06</t>
  </si>
  <si>
    <t>01/27/26 7:30 AM</t>
  </si>
  <si>
    <t>Row 126</t>
  </si>
  <si>
    <t>@jdavis@jwmcd.com @gherrera@jwmcd.com programmed</t>
  </si>
  <si>
    <t>02/16/26 8:24 AM</t>
  </si>
  <si>
    <t>@dusatenko@jwmcd.com 
Q:\Jobs\25010 - TOA Spring Hill MOB\03_Engineering\03_FS_Issues\03_Check\25010FS06.1</t>
  </si>
  <si>
    <t>02/10/26 10:35 AM</t>
  </si>
  <si>
    <t>Row 127</t>
  </si>
  <si>
    <t>03/17/25 3:24 PM</t>
  </si>
  <si>
    <t>Row 128</t>
  </si>
  <si>
    <t>@hstakhurskyi@jwmcd.com @jdavis@jwmcd.com @tgraves@jwmcd.com Programmed and in PanelTracker</t>
  </si>
  <si>
    <t>05/07/25 1:18 PM</t>
  </si>
  <si>
    <t>@dusatenko@jwmcd.com I GORGOT ABOUT THIS ELEVATION ON THE RELEASE.  PLEASE ADD THESE PANELS.</t>
  </si>
  <si>
    <t>05/05/25 9:07 AM</t>
  </si>
  <si>
    <t>Which one?</t>
  </si>
  <si>
    <t>05/05/25 9:10 AM</t>
  </si>
  <si>
    <t>SHEET 4031 ADDED IN THE RELEASE.  IT IS THE MATERIAL AROUND THE CORNER.</t>
  </si>
  <si>
    <t>05/05/25 9:29 AM</t>
  </si>
  <si>
    <t>Row 129</t>
  </si>
  <si>
    <t>03/18/25 10:31 AM</t>
  </si>
  <si>
    <t>Row 130</t>
  </si>
  <si>
    <t>@jdavis@jwmcd.com This is on hold. Skip this and go to FS04 for now. @tgraves@jwmcd.com @mribar@jwmcd.com @rharmon@jwmcd.com</t>
  </si>
  <si>
    <t>03/20/25 1:55 PM</t>
  </si>
  <si>
    <t>off hold all good
@tgraves@jwmcd.com @jmcpherson@jwmcd.com @mribar@jwmcd.com @rharmon@jwmcd.com</t>
  </si>
  <si>
    <t>03/20/25 3:10 PM</t>
  </si>
  <si>
    <t>03/18/25 4:25 PM</t>
  </si>
  <si>
    <t>Row 132</t>
  </si>
  <si>
    <t>1 BUNDLE ON THE TREE @avdm@jwmcd.com @swatson@jwmcd.com @tgraves@jwmcd.com</t>
  </si>
  <si>
    <t>12/24/25 7:31 AM</t>
  </si>
  <si>
    <t>@avdm@jwmcd.com 
I need more information on this.</t>
  </si>
  <si>
    <t>11/11/25 2:21 PM</t>
  </si>
  <si>
    <t>Row 133</t>
  </si>
  <si>
    <t>08/14/25 11:08 AM</t>
  </si>
  <si>
    <t>Row 134</t>
  </si>
  <si>
    <t>09/10/25 11:43 AM</t>
  </si>
  <si>
    <t>Row 135</t>
  </si>
  <si>
    <t>@jdavis@jwmcd.com PROGRAMED</t>
  </si>
  <si>
    <t>09/22/25 10:16 AM</t>
  </si>
  <si>
    <t>Row 136</t>
  </si>
  <si>
    <t>10/23/25 2:45 PM</t>
  </si>
  <si>
    <t>THIS RELEASE IS NO LONGER ON HOLD.  PLEASE PROCEED WITH THE FABRICTION TICKETS</t>
  </si>
  <si>
    <t>10/13/25 4:03 PM</t>
  </si>
  <si>
    <t>Row 137</t>
  </si>
  <si>
    <t>06/27/25 3:36 PM</t>
  </si>
  <si>
    <t>@hstakhurskyi@jwmcd.com @dusatenko@jwmcd.com Shop is starving for work.  Can this be pushed into programming and released?</t>
  </si>
  <si>
    <t>06/23/25 2:05 PM</t>
  </si>
  <si>
    <t>06/10/25 10:16 AM</t>
  </si>
  <si>
    <t>Row 138</t>
  </si>
  <si>
    <t>06/17/25 3:50 PM</t>
  </si>
  <si>
    <t>Row 139</t>
  </si>
  <si>
    <t>@lforero@jwmcd.com @swatson@jwmcd.com @tgraves@jwmcd.com LOOSE ON THE TREE</t>
  </si>
  <si>
    <t>12/09/25 9:48 AM</t>
  </si>
  <si>
    <t>Row 140</t>
  </si>
  <si>
    <t>@dusatenko@jwmcd.com    Sketches are ready to check.       "Q:\Jobs\25048 - East Nashville FSER\03_Engineering\03_FS_Issues\03_Check\25048FS01\25048FS01 Check Set.pdf"</t>
  </si>
  <si>
    <t>03/10/26 12:27 PM</t>
  </si>
  <si>
    <t>@dusatenko@jwmcd.com Can you confirm that the cad file transferred properly</t>
  </si>
  <si>
    <t>02/10/26 8:07 AM</t>
  </si>
  <si>
    <t>Its here</t>
  </si>
  <si>
    <t>02/11/26 6:57 AM</t>
  </si>
  <si>
    <t>Row 142</t>
  </si>
  <si>
    <t>@slucas@jwmcd.com @jdavis@jwmcd.com @tgraves@jwmcd.com Programmed w/ PanelTracker</t>
  </si>
  <si>
    <t>06/27/25 11:19 AM</t>
  </si>
  <si>
    <t>@slucas@jwmcd.com Corrections required</t>
  </si>
  <si>
    <t>06/25/25 12:40 PM</t>
  </si>
  <si>
    <t>@slucas@jwmcd.com this job has 16 hours allocated to Fab Sketch. This job has very little wiggle room with money so if you start to approach 16hrs and think we might bust, let me know. I will check in periodically to see how we are doing on hours as i have to watch this closely.</t>
  </si>
  <si>
    <t>06/13/25 10:22 AM</t>
  </si>
  <si>
    <t>Row 143</t>
  </si>
  <si>
    <t>@dbowman@jwmcd.com @swatson@jwmcd.com @tgraves@jwmcd.com LOOSE ON TREE</t>
  </si>
  <si>
    <t>12/17/25 8:58 AM</t>
  </si>
  <si>
    <t>@dbowman@jwmcd.com 
What side is the color on?</t>
  </si>
  <si>
    <t>12/15/25 9:02 AM</t>
  </si>
  <si>
    <t>Thanks! @dusatenko@jwmcd.com</t>
  </si>
  <si>
    <t>12/15/25 9:06 AM</t>
  </si>
  <si>
    <t>youre welcome? Did you mean to attach something?</t>
  </si>
  <si>
    <t>12/15/25 9:09 AM</t>
  </si>
  <si>
    <t>took a minute to come through. I got it now!!!</t>
  </si>
  <si>
    <t>12/15/25 9:16 AM</t>
  </si>
  <si>
    <t>Row 144</t>
  </si>
  <si>
    <t>Ship Date Changed to 03/11
(ENG + Shop Workload)
@dusatenko@jwmcd.com 
@tgraves@jwmcd.com</t>
  </si>
  <si>
    <t>02/09/26 12:30 PM</t>
  </si>
  <si>
    <t>Color Updated</t>
  </si>
  <si>
    <t>02/03/26 2:32 PM</t>
  </si>
  <si>
    <t>Row 146</t>
  </si>
  <si>
    <t>Shipped 200 pieces 2-24-26</t>
  </si>
  <si>
    <t>02/25/26 7:40 AM</t>
  </si>
  <si>
    <t>Small Card Updates (Hat not Zee)</t>
  </si>
  <si>
    <t>02/11/26 12:51 AM</t>
  </si>
  <si>
    <t>Row 148</t>
  </si>
  <si>
    <t>Install Drawings to the floor 3/9/26</t>
  </si>
  <si>
    <t>03/09/26 11:21 AM</t>
  </si>
  <si>
    <t>03/02/26 10:05 AM</t>
  </si>
  <si>
    <t>@cdill@jwmcd.com 
Corrections required</t>
  </si>
  <si>
    <t>02/27/26 10:20 AM</t>
  </si>
  <si>
    <t>Changed to "YES" for Material Grain</t>
  </si>
  <si>
    <t>12/08/25 7:51 AM</t>
  </si>
  <si>
    <t>Row 149</t>
  </si>
  <si>
    <t>need 2 panels re coded please 207-1N08 and 207-1N11. Thanks</t>
  </si>
  <si>
    <t>03/03/26 3:43 PM</t>
  </si>
  <si>
    <t>03/03/26 2:33 PM</t>
  </si>
  <si>
    <t>03/03/26 7:36 AM</t>
  </si>
  <si>
    <t>Card Updated per AMI Promise Date</t>
  </si>
  <si>
    <t>03/02/26 2:10 PM</t>
  </si>
  <si>
    <t>Row 150</t>
  </si>
  <si>
    <t>@cdill@jwmcd.com 
LO ready to sketch</t>
  </si>
  <si>
    <t>03/10/26 5:08 PM</t>
  </si>
  <si>
    <t>Card Updated Per AMI Promised Date</t>
  </si>
  <si>
    <t>03/02/26 2:12 PM</t>
  </si>
  <si>
    <t>@cdill@jwmcd.com 
See coment above.</t>
  </si>
  <si>
    <t>12/23/25 2:04 PM</t>
  </si>
  <si>
    <t>Notes Updated (Elevation 36/218)
Update in FD Folder
@dusatenko@jwmcd.com</t>
  </si>
  <si>
    <t>12/23/25 1:48 PM</t>
  </si>
  <si>
    <t>Row 151</t>
  </si>
  <si>
    <t>card updated per AMI promise date</t>
  </si>
  <si>
    <t>03/02/26 1:48 PM</t>
  </si>
  <si>
    <t>02/16/26 3:40 PM</t>
  </si>
  <si>
    <t>02/13/26 10:05 AM</t>
  </si>
  <si>
    <t>@cdill@jwmcd.com 
keep going on this. we will have to come back to FS02-04.</t>
  </si>
  <si>
    <t>01/27/26 2:26 PM</t>
  </si>
  <si>
    <t>Row 152</t>
  </si>
  <si>
    <t>Update to Notes
This is only part 1 of 2 not 1 of 3</t>
  </si>
  <si>
    <t>02/09/26 11:15 AM</t>
  </si>
  <si>
    <t>Row 153</t>
  </si>
  <si>
    <t>Denis, I spoke with Rooley, discussing the missing scan data you mentioned yesterday. He would like us to pull these panels from the release until he can verify the dimensions and re-release seperately. The image attached highlights panels on pages 217. Thanks!  
@dusatenko@jwmcd.com</t>
  </si>
  <si>
    <t>03/04/26 3:59 PM</t>
  </si>
  <si>
    <t>Release Number Changed to FS07</t>
  </si>
  <si>
    <t>02/09/26 11:16 AM</t>
  </si>
  <si>
    <t>Notes Updated - Release Number FS07</t>
  </si>
  <si>
    <t>02/09/26 11:12 AM</t>
  </si>
  <si>
    <t>Row 154</t>
  </si>
  <si>
    <t>02/02/26 9:30 AM</t>
  </si>
  <si>
    <t>@dusatenko@jwmcd.com Sketches are ready for checking</t>
  </si>
  <si>
    <t>01/28/26 10:31 AM</t>
  </si>
  <si>
    <t>Corrections rquired</t>
  </si>
  <si>
    <t>01/28/26 8:13 PM</t>
  </si>
  <si>
    <t>Row 155</t>
  </si>
  <si>
    <t>02/11/26 10:34 AM</t>
  </si>
  <si>
    <t>02/05/26 3:28 PM</t>
  </si>
  <si>
    <t>Correction required
Q:\Jobs\25022 - Vantage VA15\03_Engineering\03_FS_Issues\03_Check\25022FS06</t>
  </si>
  <si>
    <t>02/05/26 8:43 PM</t>
  </si>
  <si>
    <t>Row 156</t>
  </si>
  <si>
    <t>01/23/26 11:54 AM</t>
  </si>
  <si>
    <t>Row 157</t>
  </si>
  <si>
    <t>@jdorsey@jwmcd.com @dhasty@jwmcd.com flat programs completed.</t>
  </si>
  <si>
    <t>01/29/26 6:36 AM</t>
  </si>
  <si>
    <t>@cgambrel@jwmcd.com Just punching holes and shearing to size. Cutting 328 Total sheets of "1003_SHEET."</t>
  </si>
  <si>
    <t>01/23/26 11:55 AM</t>
  </si>
  <si>
    <t>01/23/26 10:45 AM</t>
  </si>
  <si>
    <t>cold rolled if it matters</t>
  </si>
  <si>
    <t>01/20/26 9:12 AM</t>
  </si>
  <si>
    <t>16 Gauge Steel sheet, got it</t>
  </si>
  <si>
    <t>01/20/26 8:59 AM</t>
  </si>
  <si>
    <t>@jhoyle@jwmcd.com just wanted to verify this is 16 Gauge Steel sheet. The drawing I'm referencing is 16 Gauge Galv. so I just wanted to make sure.</t>
  </si>
  <si>
    <t>01/20/26 8:51 AM</t>
  </si>
  <si>
    <t>yes, the material is to be 16 ga steel sheet.   NOT GALV</t>
  </si>
  <si>
    <t>01/20/26 8:57 AM</t>
  </si>
  <si>
    <t>@jhoyle@jwmcd.com we are going to need to put a hole in each end so they can batch hang them at PWX. Also, I want to confirm it 3600 pieces, not 3600 ft... Please let me know either way.</t>
  </si>
  <si>
    <t>01/19/26 3:11 PM</t>
  </si>
  <si>
    <t>Understood on the hole.  I'd place it on one of the 1-1/2" legs. Also, 3600 PIECES is correct.</t>
  </si>
  <si>
    <t>01/19/26 3:15 PM</t>
  </si>
  <si>
    <t>@jdorsey@jwmcd.com we are going to hole the hole in then sheer them to size Frank can show you how we did this last time</t>
  </si>
  <si>
    <t>01/19/26 3:09 PM</t>
  </si>
  <si>
    <t>Row 161</t>
  </si>
  <si>
    <t>02/12/26 8:44 AM</t>
  </si>
  <si>
    <t>@cnorona@jwmcd.com This is ready to go, but I need a seperate card put in for 201A, since it has to go on the laser. 201A will have to be 119" to account for the border needed on the laser.</t>
  </si>
  <si>
    <t>02/12/26 7:25 AM</t>
  </si>
  <si>
    <t>@dhasty@jwmcd.com  COMPLETED</t>
  </si>
  <si>
    <t>02/12/26 7:55 AM</t>
  </si>
  <si>
    <t>Row 162</t>
  </si>
  <si>
    <t>@fdean@jwmcd.com @dhasty@jwmcd.com @jdorsey@jwmcd.com flat program completed</t>
  </si>
  <si>
    <t>01/15/26 9:25 AM</t>
  </si>
  <si>
    <t>Good to release</t>
  </si>
  <si>
    <t>01/14/26 2:53 PM</t>
  </si>
  <si>
    <t>Yes, here is a screenshot of the inventory as of yesterday. @dhasty@jwmcd.com</t>
  </si>
  <si>
    <t>01/14/26 2:14 PM</t>
  </si>
  <si>
    <t>@dbowman@jwmcd.com did you confirm we have drop material that we can cut 126" from?</t>
  </si>
  <si>
    <t>01/14/26 1:41 PM</t>
  </si>
  <si>
    <t>Row 163</t>
  </si>
  <si>
    <t>04/14/25 12:15 PM</t>
  </si>
  <si>
    <t>Row 164</t>
  </si>
  <si>
    <t>@cnorona@jwmcd.com This is cutting right now...</t>
  </si>
  <si>
    <t>03/11/26 9:17 AM</t>
  </si>
  <si>
    <t>03/10/26 8:47 AM</t>
  </si>
  <si>
    <t>03/09/26 10:21 AM</t>
  </si>
  <si>
    <t>Row 165</t>
  </si>
  <si>
    <t>@cdill@jwmcd.com Corrections required.</t>
  </si>
  <si>
    <t>03/11/26 1:53 PM</t>
  </si>
  <si>
    <t>@dusatenko@jwmcd.com  Hey when will this be in coding? Hoar Construction wants to visit the facility to see these panels in production and need to give them a date.</t>
  </si>
  <si>
    <t>03/11/26 7:42 AM</t>
  </si>
  <si>
    <t>probably today...</t>
  </si>
  <si>
    <t>03/11/26 9:16 AM</t>
  </si>
  <si>
    <t>thank you! @dusatenko@jwmcd.com</t>
  </si>
  <si>
    <t>03/11/26 9:29 AM</t>
  </si>
  <si>
    <t>Row 166</t>
  </si>
  <si>
    <t>@hstakhurskyi@jwmcd.com @jdavis@jwmcd.com @tgraves@jwmcd.com Programmed, paneltracker</t>
  </si>
  <si>
    <t>05/07/25 1:38 PM</t>
  </si>
  <si>
    <t>Row 167</t>
  </si>
  <si>
    <t>Reveals done 4-21-25</t>
  </si>
  <si>
    <t>03/27/25 7:13 AM</t>
  </si>
  <si>
    <t>Row 168</t>
  </si>
  <si>
    <t>03/27/25 7:39 AM</t>
  </si>
  <si>
    <t>Row 169</t>
  </si>
  <si>
    <t>03/27/25 10:36 AM</t>
  </si>
  <si>
    <t>Row 170</t>
  </si>
  <si>
    <t>03/04/26 1:16 PM</t>
  </si>
  <si>
    <t>@hstakhurskyi@jwmcd.com 
Q:\Jobs\24051 - TN Titans Stadium\03_Engineering\03_FS_Issues\03_Check\24051 SOUTH ELEVATION\24051FS13C</t>
  </si>
  <si>
    <t>03/04/26 8:00 AM</t>
  </si>
  <si>
    <t>Row 171</t>
  </si>
  <si>
    <t>@tgraves@jwmcd.com @jdavis@jwmcd.com @chowse@jwmcd.com @rharmon@jwmcd.com 
This will be Sunrise Silver Metallic. 62"x196"</t>
  </si>
  <si>
    <t>03/02/26 12:40 PM</t>
  </si>
  <si>
    <t>@slucas@jwmcd.com @jdavis@jwmcd.com PROGRAMMED</t>
  </si>
  <si>
    <t>02/24/26 2:56 PM</t>
  </si>
  <si>
    <t>@slucas@jwmcd.com 
Corrections required</t>
  </si>
  <si>
    <t>02/24/26 8:06 AM</t>
  </si>
  <si>
    <t>@slucas@jwmcd.com All interior columns/panels just do a 400 system</t>
  </si>
  <si>
    <t>01/30/26 8:00 AM</t>
  </si>
  <si>
    <t>Row 172</t>
  </si>
  <si>
    <t>02/12/26 9:41 AM</t>
  </si>
  <si>
    <t>Row 173</t>
  </si>
  <si>
    <t>02/12/26 8:06 AM</t>
  </si>
  <si>
    <t>02/10/26 7:11 PM</t>
  </si>
  <si>
    <t>Row 174</t>
  </si>
  <si>
    <t>02/12/26 9:00 AM</t>
  </si>
  <si>
    <t>Row 175</t>
  </si>
  <si>
    <t>12/04/25 2:26 PM</t>
  </si>
  <si>
    <t>12/03/25 4:34 PM</t>
  </si>
  <si>
    <t>Row 176</t>
  </si>
  <si>
    <t>12/12/25 8:10 AM</t>
  </si>
  <si>
    <t>12/10/25 6:36 AM</t>
  </si>
  <si>
    <t>Row 177</t>
  </si>
  <si>
    <t>12/04/25 11:42 AM</t>
  </si>
  <si>
    <t>12/03/25 4:28 PM</t>
  </si>
  <si>
    <t>Row 178</t>
  </si>
  <si>
    <t>@dusatenko@jwmcd.com 
Q:\Jobs\25008 - Columbia State Tech Center\03_Engineering\03_FS_Issues\03_Check\25008FS06</t>
  </si>
  <si>
    <t>03/09/26 1:04 PM</t>
  </si>
  <si>
    <t>Row 179</t>
  </si>
  <si>
    <t>10/29/25 3:24 PM</t>
  </si>
  <si>
    <t>10/28/25 4:55 PM</t>
  </si>
  <si>
    <t>Row 180</t>
  </si>
  <si>
    <t>crate #1 out 1/30/26</t>
  </si>
  <si>
    <t>01/30/26 1:14 PM</t>
  </si>
  <si>
    <t>@skrantz@jwmcd.com @sjones@jwmcd.com @rharmon@jwmcd.com Please hold on the splice plates and coping until I confirm something. I know they are already sheared, and that's OK, just don't form them.</t>
  </si>
  <si>
    <t>11/21/25 10:41 AM</t>
  </si>
  <si>
    <t>@cbuttrey@jwmcd.com @dusatenko@jwmcd.com the card and the in house shows 199 pieces but with the splice plates its actually 265. Can yall get the count updated and will that generate a new in house?</t>
  </si>
  <si>
    <t>11/19/25 8:32 AM</t>
  </si>
  <si>
    <t>Done and yes</t>
  </si>
  <si>
    <t>11/19/25 8:44 AM</t>
  </si>
  <si>
    <t>yes splice plates</t>
  </si>
  <si>
    <t>11/04/25 2:48 PM</t>
  </si>
  <si>
    <t>@cbuttrey@jwmcd.com 
Do you want splice plates for the coping?</t>
  </si>
  <si>
    <t>11/04/25 9:32 AM</t>
  </si>
  <si>
    <t>The cover sheet on the file says FL01 but should be good for FL02, I think I may have fixed it?</t>
  </si>
  <si>
    <t>11/03/25 3:03 PM</t>
  </si>
  <si>
    <t>Row 181</t>
  </si>
  <si>
    <t>01/23/26 11:37 AM</t>
  </si>
  <si>
    <t>Row 182</t>
  </si>
  <si>
    <t>@mchancey@jwmcd.com @swatson@jwmcd.com I show this release has shipped in 3 deliveries from 8-15 to 9-29.  Please confirm</t>
  </si>
  <si>
    <t>01/12/26 10:50 AM</t>
  </si>
  <si>
    <t>04/14/25 1:08 PM</t>
  </si>
  <si>
    <t>Row 183</t>
  </si>
  <si>
    <t>03/04/26 11:42 AM</t>
  </si>
  <si>
    <t>@hstakhurskyi@jwmcd.com 
Missing field cut panel</t>
  </si>
  <si>
    <t>03/04/26 8:54 AM</t>
  </si>
  <si>
    <t>this panel - FS84
Mark planed it in 2 fs (FS26C &amp;FS84)</t>
  </si>
  <si>
    <t>03/04/26 10:26 AM</t>
  </si>
  <si>
    <t>@hstakhurskyi@jwmcd.com 
Q:\Jobs\24051 - TN Titans Stadium\03_Engineering\03_FS_Issues\03_Check\24051 NORTH ELEVATION\24051FS26C</t>
  </si>
  <si>
    <t>03/04/26 8:48 AM</t>
  </si>
  <si>
    <t>Row 184</t>
  </si>
  <si>
    <t>11/06/25 3:54 PM</t>
  </si>
  <si>
    <t>11/05/25 4:14 PM</t>
  </si>
  <si>
    <t>Row 185</t>
  </si>
  <si>
    <t>11/07/25 7:39 AM</t>
  </si>
  <si>
    <t>Row 186</t>
  </si>
  <si>
    <t>@dusatenko@jwmcd.com PROGRAMMED</t>
  </si>
  <si>
    <t>02/19/26 5:27 PM</t>
  </si>
  <si>
    <t>02/18/26 1:24 PM</t>
  </si>
  <si>
    <t>Row 187</t>
  </si>
  <si>
    <t>Moving back now. Looks like someone made a mistake.</t>
  </si>
  <si>
    <t>02/25/26 8:17 AM</t>
  </si>
  <si>
    <t>@rharmon@jwmcd.com @tgraves@jwmcd.com @jmcpherson@jwmcd.com Why is this release in "Partially Shipped to Paint"?</t>
  </si>
  <si>
    <t>02/23/26 9:04 AM</t>
  </si>
  <si>
    <t>02/10/26 8:39 AM</t>
  </si>
  <si>
    <t>@dusatenko@jwmcd.com Sketches are ready for checking.</t>
  </si>
  <si>
    <t>02/04/26 4:31 PM</t>
  </si>
  <si>
    <t>02/05/26 8:12 AM</t>
  </si>
  <si>
    <t>@nvlatkovic@jwmcd.com 
Remove the panels that need modeling. Nick will be onsite Next week and get us hand dims from the installed panels and on.</t>
  </si>
  <si>
    <t>01/30/26 9:26 AM</t>
  </si>
  <si>
    <t>@nvlatkovic@jwmcd.com 
Some modeling required:
Combine FS01-04 Model and scans in folder "Q:\Jobs\24039 - The Visionary\03_Engineering\02_FD Docs\12_SCAN 112525 CS complete building\RCP_Balconies"</t>
  </si>
  <si>
    <t>01/28/26 7:31 PM</t>
  </si>
  <si>
    <t>Row 188</t>
  </si>
  <si>
    <t>02/23/26 11:41 AM</t>
  </si>
  <si>
    <t>02/19/26 11:10 AM</t>
  </si>
  <si>
    <t>Q:\Jobs\24039 - The Visionary\03_Engineering\03_FS_Issues\03_Check\24039FS19</t>
  </si>
  <si>
    <t>02/20/26 9:07 AM</t>
  </si>
  <si>
    <t>@csilva@jwmcd.com 
On Hold. See Notes in "Description"
@jmcpherson@jwmcd.com</t>
  </si>
  <si>
    <t>02/05/26 7:44 PM</t>
  </si>
  <si>
    <t>Row 189</t>
  </si>
  <si>
    <t>03/10/26 8:51 AM</t>
  </si>
  <si>
    <t>Q:\Jobs\24039 - The Visionary\03_Engineering\03_FS_Issues\03_Check\24039FS20</t>
  </si>
  <si>
    <t>03/10/26 2:25 PM</t>
  </si>
  <si>
    <t>02/05/26 7:45 PM</t>
  </si>
  <si>
    <t>Row 190</t>
  </si>
  <si>
    <t>@csilva@jwmcd.com 
On hold. No answers on 2/9 email.
@jmcpherson@jwmcd.com</t>
  </si>
  <si>
    <t>02/19/26 8:43 AM</t>
  </si>
  <si>
    <t>@nvlatkovic@jwmcd.com Added dims to the folder in FD.</t>
  </si>
  <si>
    <t>02/09/26 3:56 PM</t>
  </si>
  <si>
    <t>Row 191</t>
  </si>
  <si>
    <t>@jmcpherson@jwmcd.com @csilva@jwmcd.com @dusatenko@jwmcd.com  I have finished the pendulum for the 140 sheets. Moving on to the next job</t>
  </si>
  <si>
    <t>03/02/26 12:44 PM</t>
  </si>
  <si>
    <t>02/27/26 3:05 PM</t>
  </si>
  <si>
    <t>@ajurado@jwmcd.com @ihavens@jwmcd.com @dusatenko@jwmcd.com Sketches are ready for coding.</t>
  </si>
  <si>
    <t>02/27/26 8:33 AM</t>
  </si>
  <si>
    <t>@dusatenko@jwmcd.com Please do not code this issue. I have to fix a few sketches. I will inform you when I am done.</t>
  </si>
  <si>
    <t>02/27/26 7:43 AM</t>
  </si>
  <si>
    <t>@ajurado@jwmcd.com @ihavens@jwmcd.com 
See coment above.</t>
  </si>
  <si>
    <t>02/27/26 7:44 AM</t>
  </si>
  <si>
    <t>02/25/26 9:55 AM</t>
  </si>
  <si>
    <t>Corrections required
Q:\Jobs\24039 - The Visionary\03_Engineering\03_FS_Issues\03_Check\24039FS23</t>
  </si>
  <si>
    <t>02/26/26 10:51 AM</t>
  </si>
  <si>
    <t>02/05/26 7:46 PM</t>
  </si>
  <si>
    <t>Row 192</t>
  </si>
  <si>
    <t>01/15/26 11:24 AM</t>
  </si>
  <si>
    <t>Row 193</t>
  </si>
  <si>
    <t>@dbowman@jwmcd.com @tgraves@jwmcd.com @swatson@jwmcd.com loose on  the tree</t>
  </si>
  <si>
    <t>07/17/25 12:10 PM</t>
  </si>
  <si>
    <t>my apologies, it is the galv
@dusatenko@jwmcd.com 
@jmcpherson@jwmcd.com</t>
  </si>
  <si>
    <t>07/17/25 10:58 AM</t>
  </si>
  <si>
    <t>Changing the whole thing to "FL07". Not sure we have ever ran BreakMetal or Flashing as in RM. RM i believe is reserved for panels (ACM or other). We can iron that out if needed after this is released.</t>
  </si>
  <si>
    <t>07/17/25 11:01 AM</t>
  </si>
  <si>
    <t>If it's not too late, let's do FL10.
@dusatenko@jwmcd.com 
If you have already done it, its not worth changing, just easier for me to keep it sorted.</t>
  </si>
  <si>
    <t>07/17/25 11:03 AM</t>
  </si>
  <si>
    <t>Thanks @dusatenko@jwmcd.com</t>
  </si>
  <si>
    <t>07/17/25 11:00 AM</t>
  </si>
  <si>
    <t>Card Updated
@dusatenko@jwmcd.com 
@jmcpherson@jwmcd.com</t>
  </si>
  <si>
    <t>@dbowman@jwmcd.com Where is the material coming from?
@jmcpherson@jwmcd.com</t>
  </si>
  <si>
    <t>07/17/25 10:53 AM</t>
  </si>
  <si>
    <t>Isn't that a house stock?
@dusatenko@jwmcd.com 
@jmcpherson@jwmcd.com</t>
  </si>
  <si>
    <t>07/17/25 10:56 AM</t>
  </si>
  <si>
    <t>SS=Stainless Steel, no
Galv. is</t>
  </si>
  <si>
    <t>07/17/25 10:57 AM</t>
  </si>
  <si>
    <t>Row 194</t>
  </si>
  <si>
    <t>04/30/25 4:11 PM</t>
  </si>
  <si>
    <t>03/27/25 8:43 AM</t>
  </si>
  <si>
    <t>Row 195</t>
  </si>
  <si>
    <t>03/27/25 9:06 AM</t>
  </si>
  <si>
    <t>Row 197</t>
  </si>
  <si>
    <t>03/04/26 12:06 PM</t>
  </si>
  <si>
    <t>@hstakhurskyi@jwmcd.com 
Need corrections.
Q:\Jobs\24051 - TN Titans Stadium\03_Engineering\03_FS_Issues\03_Check\24051 NORTH ELEVATION\24051FS22C</t>
  </si>
  <si>
    <t>03/04/26 8:13 AM</t>
  </si>
  <si>
    <t>@mribar@jwmcd.com @dusatenko@jwmcd.com 
file corrections??? 
parapet level 150 north?</t>
  </si>
  <si>
    <t>02/26/26 9:31 AM</t>
  </si>
  <si>
    <t>Coping only.</t>
  </si>
  <si>
    <t>02/26/26 9:59 AM</t>
  </si>
  <si>
    <t>Row 202</t>
  </si>
  <si>
    <t>Material is here.  Removing Hold.</t>
  </si>
  <si>
    <t>03/05/26 2:26 PM</t>
  </si>
  <si>
    <t>Placed on Production Hold due to Lack of Material.</t>
  </si>
  <si>
    <t>03/04/26 1:44 PM</t>
  </si>
  <si>
    <t>@slucas@jwmcd.com @dusatenko@jwmcd.com Reveals added to job and on one nest, pendulum updated.</t>
  </si>
  <si>
    <t>02/23/26 10:08 AM</t>
  </si>
  <si>
    <t>@ajurado@jwmcd.com can you code these 15 reveals</t>
  </si>
  <si>
    <t>02/23/26 9:13 AM</t>
  </si>
  <si>
    <t>02/20/26 4:14 PM</t>
  </si>
  <si>
    <t>@slucas@jwmcd.com 
cORRECTIONS REQUIRED</t>
  </si>
  <si>
    <t>02/18/26 4:39 PM</t>
  </si>
  <si>
    <t>@slucas@jwmcd.com @dusatenko@jwmcd.com The square column has some revised dimensions for the profile (not height) but are saved in the fd docs.</t>
  </si>
  <si>
    <t>01/27/26 1:15 PM</t>
  </si>
  <si>
    <t>@slucas@jwmcd.com @dusatenko@jwmcd.com 
4 GD columns added in release.</t>
  </si>
  <si>
    <t>01/12/26 4:14 PM</t>
  </si>
  <si>
    <t>Sliver Metallic according to 12/23 email</t>
  </si>
  <si>
    <t>12/23/25 4:24 PM</t>
  </si>
  <si>
    <t>Row 203</t>
  </si>
  <si>
    <t>03/11/26 9:38 AM</t>
  </si>
  <si>
    <t>@hstakhurskyi@jwmcd.com 
CORECTIONS PLEASE
Q:\Jobs\24089 - BSU Innovation Center\03_Engineering\03_FS_Issues\03_Check\24089FS01</t>
  </si>
  <si>
    <t>03/10/26 7:21 AM</t>
  </si>
  <si>
    <t>@dusatenko@jwmcd.com  done
Q:\Jobs\24089 - BSU Innovation Center\03_Engineering\03_FS_Issues\03_Check\24089FS01</t>
  </si>
  <si>
    <t>02/26/26 6:50 AM</t>
  </si>
  <si>
    <t>@hstakhurskyi@jwmcd.com 
Please print panels for check</t>
  </si>
  <si>
    <t>02/25/26 4:36 PM</t>
  </si>
  <si>
    <t>@dusatenko@jwmcd.com We received a CO from Messer to field fab some of the panels since some of the predecessor trade materials were not in place at the time of scan.  I will put the drawing's in the folder indicating what I believe these panels would be.  We can rout and leave the unknown dimension side raw for field fab.</t>
  </si>
  <si>
    <t>01/22/26 7:30 AM</t>
  </si>
  <si>
    <t>Row 204</t>
  </si>
  <si>
    <t>02/11/26 3:22 PM</t>
  </si>
  <si>
    <t>02/10/26 7:19 PM</t>
  </si>
  <si>
    <t>Row 205</t>
  </si>
  <si>
    <t>03/02/26 7:42 AM</t>
  </si>
  <si>
    <t>@hstakhurskyi@jwmcd.com 
Q:\Jobs\24051 - TN Titans Stadium\03_Engineering\03_FS_Issues\03_Check\24051 SOUTH ELEVATION\24051FS78</t>
  </si>
  <si>
    <t>02/27/26 7:39 AM</t>
  </si>
  <si>
    <t>Row 206</t>
  </si>
  <si>
    <t>03/02/26 10:54 AM</t>
  </si>
  <si>
    <t>@hstakhurskyi@jwmcd.com 
Corrections required.
Q:\Jobs\24051 - TN Titans Stadium\03_Engineering\03_FS_Issues\03_Check\24051 SOUTH ELEVATION\24051FS78.1</t>
  </si>
  <si>
    <t>02/26/26 12:41 PM</t>
  </si>
  <si>
    <t>Row 207</t>
  </si>
  <si>
    <t>@jdavis@jwmcd.com ALL DONE</t>
  </si>
  <si>
    <t>02/27/26 10:30 AM</t>
  </si>
  <si>
    <t>02/26/26 3:46 PM</t>
  </si>
  <si>
    <t>@hstakhurskyi@jwmcd.com 
Corrections rquired.
Q:\Jobs\24051 - TN Titans Stadium\03_Engineering\03_FS_Issues\03_Check\24051 SOUTH ELEVATION\24051FS78.2</t>
  </si>
  <si>
    <t>02/26/26 11:13 AM</t>
  </si>
  <si>
    <t>Row 208</t>
  </si>
  <si>
    <t>01/30/26 12:46 PM</t>
  </si>
  <si>
    <t>Update ship target per @jmcpherson@jwmcd.com</t>
  </si>
  <si>
    <t>01/30/26 8:10 AM</t>
  </si>
  <si>
    <t>01/28/26 1:37 PM</t>
  </si>
  <si>
    <t>@jmcpherson@jwmcd.com @dusatenko@jwmcd.com what information still missing on this one?</t>
  </si>
  <si>
    <t>01/20/26 8:21 AM</t>
  </si>
  <si>
    <t>none. People prblem on my end. Tomorrow is the sketch start.</t>
  </si>
  <si>
    <t>01/20/26 8:40 AM</t>
  </si>
  <si>
    <t>Is this tracking to go to the shop Monday? @dusatenko@jwmcd.com @csilva@jwmcd.com</t>
  </si>
  <si>
    <t>01/16/26 2:59 PM</t>
  </si>
  <si>
    <t>01/16/26 3:00 PM</t>
  </si>
  <si>
    <t>@tgraves@jwmcd.com @rharmon@jwmcd.com @csilva@jwmcd.com @dusatenko@jwmcd.com We need to explore OT options for this release. Estimated to the shop date is 1/17-1/18.</t>
  </si>
  <si>
    <t>01/07/26 2:31 PM</t>
  </si>
  <si>
    <t>Row 209</t>
  </si>
  <si>
    <t>@tgraves@jwmcd.com @mchancey@jwmcd.com this will be the next shipping on 02/13.</t>
  </si>
  <si>
    <t>02/11/26 2:14 PM</t>
  </si>
  <si>
    <t>02/03/26 3:02 PM</t>
  </si>
  <si>
    <t>Row 210</t>
  </si>
  <si>
    <t>@jdavis@jwmcd.com please send to CNB before forming</t>
  </si>
  <si>
    <t>02/03/26 2:00 PM</t>
  </si>
  <si>
    <t>@dhasty@jwmcd.com @fdean@jwmcd.com flat programs completed.</t>
  </si>
  <si>
    <t>01/16/26 12:40 PM</t>
  </si>
  <si>
    <t>@cgambrel@jwmcd.com Ready to program. Instead of cutting 382 of part "25035FS1101," cut 9 of "25035FS1101-BAR" and they will shear to size. Please try not to use an extra sheet to cut these.</t>
  </si>
  <si>
    <t>01/16/26 7:42 AM</t>
  </si>
  <si>
    <t>01/15/26 1:37 PM</t>
  </si>
  <si>
    <t>Row 211</t>
  </si>
  <si>
    <t>this job was sent to EWS for fab and not painter.</t>
  </si>
  <si>
    <t>02/10/26 1:20 PM</t>
  </si>
  <si>
    <t>Install Drawings dropped off</t>
  </si>
  <si>
    <t>02/09/26 9:26 AM</t>
  </si>
  <si>
    <t>01/21/26 2:23 PM</t>
  </si>
  <si>
    <t>Row 212</t>
  </si>
  <si>
    <t>02/12/26 1:11 PM</t>
  </si>
  <si>
    <t>02/12/26 11:18 AM</t>
  </si>
  <si>
    <t>Row 213</t>
  </si>
  <si>
    <t>03/05/26 7:09 AM</t>
  </si>
  <si>
    <t>@hstakhurskyi@jwmcd.com 
Q:\Jobs\24051 - TN Titans Stadium\03_Engineering\03_FS_Issues\03_Check\24051 EAST ELEVATION\24051FS76.1</t>
  </si>
  <si>
    <t>03/04/26 10:23 AM</t>
  </si>
  <si>
    <t>Row 214</t>
  </si>
  <si>
    <t>@proberts@jwmcd.com corrections could happen if you feel like doing them :)</t>
  </si>
  <si>
    <t>02/17/26 10:56 AM</t>
  </si>
  <si>
    <t>Row 218</t>
  </si>
  <si>
    <t>@proberts@jwmcd.com @dhasty@jwmcd.com @jdorsey@jwmcd.com flat program completed.</t>
  </si>
  <si>
    <t>02/18/26 8:46 AM</t>
  </si>
  <si>
    <t>Row 219</t>
  </si>
  <si>
    <t>@dhasty@jwmcd.com done</t>
  </si>
  <si>
    <t>02/18/26 9:55 AM</t>
  </si>
  <si>
    <t>Row 220</t>
  </si>
  <si>
    <t>02/18/26 10:36 AM</t>
  </si>
  <si>
    <t>Row 221</t>
  </si>
  <si>
    <t>02/18/26 8:52 AM</t>
  </si>
  <si>
    <t>Row 222</t>
  </si>
  <si>
    <t>02/23/26 9:21 AM</t>
  </si>
  <si>
    <t>Row 223</t>
  </si>
  <si>
    <t>@dhasty@jwmcd.com @tgraves@jwmcd.com @rharmon@jwmcd.com @jmcpherson@jwmcd.com when this will be shipped to PowderWorx615?</t>
  </si>
  <si>
    <t>@fdean@jwmcd.com @dhasty@jwmcd.com R1 flat program completed.</t>
  </si>
  <si>
    <t>02/26/26 9:41 AM</t>
  </si>
  <si>
    <t>@cgambrel@jwmcd.com Ready to program, parts are revision 1</t>
  </si>
  <si>
    <t>02/26/26 9:26 AM</t>
  </si>
  <si>
    <t>02/25/26 11:35 AM</t>
  </si>
  <si>
    <t>02/25/26 7:28 AM</t>
  </si>
  <si>
    <t>02/24/26 2:31 PM</t>
  </si>
  <si>
    <t>@csilva@jwmcd.com Just double checking, is the material supposed to be 18 gauge steel or 18 gauge galvanized?</t>
  </si>
  <si>
    <t>02/23/26 7:40 AM</t>
  </si>
  <si>
    <t>@csilva@jwmcd.com These will need to be cut to 119.75" for the laser. Is there any issue with that? Also, We will need to put a radius on the bends.</t>
  </si>
  <si>
    <t>02/19/26 10:53 AM</t>
  </si>
  <si>
    <t>Row 226</t>
  </si>
  <si>
    <t>@dusatenko@jwmcd.com the correct scan is in the network</t>
  </si>
  <si>
    <t>02/25/26 9:34 AM</t>
  </si>
  <si>
    <t>Row 230</t>
  </si>
  <si>
    <t>@tmooers@jwmcd.com we just got this on the shop floor. We need a two week lead time for this and BM05. This will not be ready to ship until 2 weeks from today. @rharmon@jwmcd.com @tgraves@jwmcd.com @sjones@jwmcd.com</t>
  </si>
  <si>
    <t>02/24/26 3:43 PM</t>
  </si>
  <si>
    <t>Row 232</t>
  </si>
  <si>
    <t>@gherrera@jwmcd.com @jdavis@jwmcd.com programmed</t>
  </si>
  <si>
    <t>02/25/26 10:50 AM</t>
  </si>
  <si>
    <t>@gherrera@jwmcd.com 
Working on this?</t>
  </si>
  <si>
    <t>02/25/26 9:46 AM</t>
  </si>
  <si>
    <t>Yes. I'll put it in programming shortly</t>
  </si>
  <si>
    <t>02/25/26 9:48 AM</t>
  </si>
  <si>
    <t>Row 233</t>
  </si>
  <si>
    <t>03/03/26 10:09 AM</t>
  </si>
  <si>
    <t>03/02/26 9:23 AM</t>
  </si>
  <si>
    <t>Q:\Jobs\24071 - RS Gass State Lab\03_Engineering\03_FS_Issues\03_Check\24071RO11</t>
  </si>
  <si>
    <t>03/03/26 6:36 AM</t>
  </si>
  <si>
    <t>Row 240</t>
  </si>
  <si>
    <t>@mchancey@jwmcd.com how do you want to ship this? wrap in foam and plastic and send in a sprinter?</t>
  </si>
  <si>
    <t>i was going to wrap it in foam then shrink wrap it and sprinter</t>
  </si>
  <si>
    <t>03/11/26 7:46 AM</t>
  </si>
  <si>
    <t>03/02/26 1:03 PM</t>
  </si>
  <si>
    <t>03/02/26 9:54 AM</t>
  </si>
  <si>
    <t>Row 242</t>
  </si>
  <si>
    <t>03/03/26 3:54 PM</t>
  </si>
  <si>
    <t>Row 244</t>
  </si>
  <si>
    <t>03/06/26 3:17 PM</t>
  </si>
  <si>
    <t>@dusatenko@jwmcd.com Sketches are ready to check. "Q:\Jobs\25025 - QTS MAN1 DC6\03_Engineering\03_FS_Issues\03_Check\25025RO01\25025RO01 Check Set.pdf"</t>
  </si>
  <si>
    <t>03/05/26 3:45 PM</t>
  </si>
  <si>
    <t>Q:\Jobs\25025 - QTS MAN1 DC6\03_Engineering\03_FS_Issues\03_Check\25025RO01</t>
  </si>
  <si>
    <t>03/06/26 10:27 AM</t>
  </si>
  <si>
    <t>Row 245</t>
  </si>
  <si>
    <t>03/06/26 3:04 PM</t>
  </si>
  <si>
    <t>@dusatenko@jwmcd.com Sketches are ready to check. "Q:\Jobs\25059 - Allen Samuels CDJR and LC\03_Engineering\03_FS_Issues\03_Check\25059RM03\25059RM03 Check Set.pdf"</t>
  </si>
  <si>
    <t>03/05/26 11:42 AM</t>
  </si>
  <si>
    <t>Q:\Jobs\25059 - Allen Samuels CDJR and LC\03_Engineering\03_FS_Issues\03_Check\25059RM03</t>
  </si>
  <si>
    <t>03/06/26 8:38 AM</t>
  </si>
  <si>
    <t>Row 246</t>
  </si>
  <si>
    <t>Good Morning John,
Weld should not be needed for MU02. Thanks!
@jdorsey@jwmcd.com</t>
  </si>
  <si>
    <t>03/05/26 6:59 AM</t>
  </si>
  <si>
    <t>@dbowman@jwmcd.com Is weld needed? That operation is listed on the card</t>
  </si>
  <si>
    <t>03/04/26 2:22 PM</t>
  </si>
  <si>
    <t>@jdorsey@jwmcd.com @dhasty@jwmcd.com flat program completed.</t>
  </si>
  <si>
    <t>03/04/26 12:48 PM</t>
  </si>
  <si>
    <t>03/04/26 12:49 PM</t>
  </si>
  <si>
    <t>@jdorsey@jwmcd.com Checked, no corrections required</t>
  </si>
  <si>
    <t>03/04/26 11:34 AM</t>
  </si>
  <si>
    <t>@dhasty@jwmcd.com print is good to check. Q:\Jobs\25029 - Lourdes CC Phase 2\04_Production\25029MU02\JWM CHECK SET</t>
  </si>
  <si>
    <t>03/04/26 10:28 AM</t>
  </si>
  <si>
    <t>@jdorsey@jwmcd.com 
@dhasty@jwmcd.com 
Hey Team, I found some drop out in the yard. 
Please program this MU to be cut on it. 
(Dimensions in photo)</t>
  </si>
  <si>
    <t>03/03/26 4:35 PM</t>
  </si>
  <si>
    <t>Row 248</t>
  </si>
  <si>
    <t>@dusatenko@jwmcd.com @hstakhurskyi@jwmcd.com JUST A REMINDER THE INSTALL DIRECTION IS LEFT TO RIGHT</t>
  </si>
  <si>
    <t>03/04/26 9:09 AM</t>
  </si>
  <si>
    <t>Row 249</t>
  </si>
  <si>
    <t>03/09/26 3:16 PM</t>
  </si>
  <si>
    <t>Row 254</t>
  </si>
  <si>
    <t>03/05/26 10:47 AM</t>
  </si>
  <si>
    <t>03/05/26 10:14 AM</t>
  </si>
  <si>
    <t>@fdean@jwmcd.com Correction required.</t>
  </si>
  <si>
    <t>03/05/26 9:54 AM</t>
  </si>
  <si>
    <t>Row 255</t>
  </si>
  <si>
    <t>@fdean@jwmcd.com @dhasty@jwmcd.com flat RM program completed</t>
  </si>
  <si>
    <t>03/05/26 10:27 AM</t>
  </si>
  <si>
    <t>03/05/26 10:03 AM</t>
  </si>
  <si>
    <t>@dhasty@jwmcd.com Moved into sketch</t>
  </si>
  <si>
    <t>03/05/26 9:48 AM</t>
  </si>
  <si>
    <t>Row 256</t>
  </si>
  <si>
    <t>@jdorsey@jwmcd.com @fdean@jwmcd.com @dhasty@jwmcd.com flat program completed.</t>
  </si>
  <si>
    <t>03/06/26 9:23 AM</t>
  </si>
  <si>
    <t>03/06/26 9:27 AM</t>
  </si>
  <si>
    <t>@jdorsey@jwmcd.com small drafting correction required.</t>
  </si>
  <si>
    <t>03/06/26 7:31 AM</t>
  </si>
  <si>
    <t>@proberts@jwmcd.com will Qty:1 - 0.25" hole on one of the returns be good or different hole size?</t>
  </si>
  <si>
    <t>03/05/26 10:13 AM</t>
  </si>
  <si>
    <t>@proberts@jwmcd.com Will do!</t>
  </si>
  <si>
    <t>@dbowman@jwmcd.com Assuming this is cosmetic?  @jdorsey@jwmcd.com route this through the Trumatic 7000, make sure to mark the drawing as cosmetic before release; it's just adding COSMETIC to the red text in the release package.</t>
  </si>
  <si>
    <t>03/05/26 9:51 AM</t>
  </si>
  <si>
    <t>Correct, thanks! 
@proberts@jwmcd.com 
@jdorsey@jwmcd.com</t>
  </si>
  <si>
    <t>03/05/26 9:53 AM</t>
  </si>
  <si>
    <t>Row 257</t>
  </si>
  <si>
    <t>@dusatenko@jwmcd.com This is set to go to powder today.</t>
  </si>
  <si>
    <t>03/09/26 7:51 AM</t>
  </si>
  <si>
    <t>Row 258</t>
  </si>
  <si>
    <t>@gherrera@jwmcd.com programmed. @jdavis@jwmcd.com no pendulums, but we are using 2 different sheet sizes for this release.</t>
  </si>
  <si>
    <t>03/10/26 7:56 AM</t>
  </si>
  <si>
    <t>@tmooers@jwmcd.com 
Remake the panels as they were, no change?
Where are the 24 parts coming from?</t>
  </si>
  <si>
    <t>03/05/26 2:31 PM</t>
  </si>
  <si>
    <t>No changes. Ignore the parts.</t>
  </si>
  <si>
    <t>03/05/26 2:36 PM</t>
  </si>
  <si>
    <t>Row 264</t>
  </si>
  <si>
    <t>@cnorona@jwmcd.com @mchancey@jwmcd.com @tgraves@jwmcd.com do these need to be crated? two small panels.whats the plan?</t>
  </si>
  <si>
    <t>03/11/26 7:13 AM</t>
  </si>
  <si>
    <t>@tgraves@jwmcd.com  @mchancey@jwmcd.com  we do not need to crate these. if they are ready, i will call my contact</t>
  </si>
  <si>
    <t>03/11/26 7:30 AM</t>
  </si>
  <si>
    <t>03/09/26 11:28 AM</t>
  </si>
  <si>
    <t>Row 266</t>
  </si>
  <si>
    <t>03/09/26 10:24 AM</t>
  </si>
  <si>
    <t>Row 268</t>
  </si>
  <si>
    <t>.040 48 x 120 - RON RED
@dusatenko@jwmcd.com</t>
  </si>
  <si>
    <t>03/10/26 11:30 AM</t>
  </si>
  <si>
    <t>@dbowman@jwmcd.com 
What color, size...196?</t>
  </si>
  <si>
    <t>03/10/26 10:23 AM</t>
  </si>
  <si>
    <t>Row 269</t>
  </si>
  <si>
    <t>@jdavis@jwmcd.com programmed</t>
  </si>
  <si>
    <t>03/11/26 12:14 PM</t>
  </si>
  <si>
    <t>RDY to Go!</t>
  </si>
  <si>
    <t>03/11/26 12:04 PM</t>
  </si>
  <si>
    <t>@cdill@jwmcd.com IS THIS READY?</t>
  </si>
  <si>
    <t>03/11/26 11:26 AM</t>
  </si>
  <si>
    <t>Row 273</t>
  </si>
  <si>
    <t>03/11/26 10:31 AM</t>
  </si>
  <si>
    <t>@dbowman@jwmcd.com We will need to use HRS Steel in order to weld the allthread to the leafs</t>
  </si>
  <si>
    <t>03/11/26 8:36 AM</t>
  </si>
  <si>
    <t>Sheet</t>
  </si>
  <si>
    <t>I got the in-house adjusted on the floor. Thanks!
@cdill@jwmcd.com</t>
  </si>
  <si>
    <t>08/25/25 8:51 AM</t>
  </si>
  <si>
    <t>Removed punch operation.  Material from a previous run can be used to complete this order.</t>
  </si>
  <si>
    <t>06/19/25 3:30 PM</t>
  </si>
  <si>
    <t>@wmcdougall@jwmcd.com @mchancey@jwmcd.com @tgraves@jwmcd.com @jmcpherson@jwmcd.com @chowse@jwmcd.com @gholland@jwmcd.com still on track.</t>
  </si>
  <si>
    <t>03/28/25 11:56 AM</t>
  </si>
  <si>
    <t>Hey Team, will someone please provide an update  on this MU release? Is it done? Is it stuck somewhere? From what I recall it was run through the laser a while ago.  
@hclouse@jwmcd.com 
@sjones@jwmcd.com 
@proberts@jwmcd.com 
@rharmon@jwmcd.com</t>
  </si>
  <si>
    <t>02/27/25 10:24 AM</t>
  </si>
  <si>
    <t>@hclouse@jwmcd.com @rharmon@jwmcd.com I've moved this card to 1st Manual to match where it is in the system.  Please make sure it gets moved to the brakes when it gets there.
@cnorona@jwmcd.com I updated the notes on the inhouse and sketches to reflect the change from a-side cosmetic to both sides cosmetic and replaced the previous versions on the shop floor with the updated versions.</t>
  </si>
  <si>
    <t>09/25/24 9:30 AM</t>
  </si>
  <si>
    <t>Marking as shipped. no paperwork. @swatson@jwmcd.com @tgraves@jwmcd.com</t>
  </si>
  <si>
    <t>06/12/24 2:11 PM</t>
  </si>
  <si>
    <t>@cbuttrey@jwmcd.com this date will need to be adjusted. @kpolinski@jwmcd.com @tgraves@jwmcd.com</t>
  </si>
  <si>
    <t>05/13/24 12:09 PM</t>
  </si>
  <si>
    <t>I adjusted it, hopefully will have an answer today</t>
  </si>
  <si>
    <t>05/13/24 12:12 PM</t>
  </si>
  <si>
    <t>@dusatenko@jwmcd.com The model is saved in the link below
Link: Q:\Jobs\22059 - Donelson Library\03_Engineering\03_FS_Issues\02_LO\22059FS01 &amp; FS02</t>
  </si>
  <si>
    <t>12/14/23 4:28 PM</t>
  </si>
  <si>
    <t>this panel is waiting for panel to come back from the painter to complete</t>
  </si>
  <si>
    <t>11/07/23 11:44 AM</t>
  </si>
  <si>
    <t>Done</t>
  </si>
  <si>
    <t>Collin Phillips</t>
  </si>
  <si>
    <t>10/10/23 8:03 AM</t>
  </si>
  <si>
    <t>Ok, Paul should be able to help you out.</t>
  </si>
  <si>
    <t>Steve Fudge</t>
  </si>
  <si>
    <t>08/18/23 12:25 PM</t>
  </si>
  <si>
    <t>@kpolinski@jwmcd.com @mribar@jwmcd.com I moved this back to the Cidan. Since that is where it is currently located</t>
  </si>
  <si>
    <t>04/24/23 1:26 PM</t>
  </si>
  <si>
    <t>These part are good to go to assembly</t>
  </si>
  <si>
    <t>02/06/23 4:16 PM</t>
  </si>
  <si>
    <t>@tgraves@jwmcd.com @tmanning@jwmcd.com @bwynn@jwmcd.com please run this through the shop before 22029 Crossroads Campus.</t>
  </si>
  <si>
    <t>Hannah Sadloski</t>
  </si>
  <si>
    <t>02/01/23 8:22 AM</t>
  </si>
  <si>
    <t>@bwynn@jwmcd.com @ikaplan@jwmcd.com ben, jeff ganas needs an update on this job. Will it be ready by the due date of Tues 12/13?</t>
  </si>
  <si>
    <t>12/08/22 10:22 AM</t>
  </si>
  <si>
    <t>@gholland@jwmcd.com this is ready to ship.</t>
  </si>
  <si>
    <t>Terry Manning</t>
  </si>
  <si>
    <t>11/17/22 9:07 AM</t>
  </si>
  <si>
    <t>@acarmichael@jwmcd.com @mgraham@jwmcd.com 5 pcs have been cut on this. Waiting on @mkinsman@jwmcd.com to get the testing done before we cut the rest of the parts.</t>
  </si>
  <si>
    <t>Benjamin Wynn</t>
  </si>
  <si>
    <t>11/01/22 1:08 PM</t>
  </si>
  <si>
    <t>All IDs</t>
  </si>
  <si>
    <t>Search Term</t>
  </si>
  <si>
    <t>Filtered IDs</t>
  </si>
  <si>
    <t>Job Number</t>
  </si>
  <si>
    <t>Job Site</t>
  </si>
  <si>
    <t>Panal Qty</t>
  </si>
  <si>
    <t>Note</t>
  </si>
  <si>
    <t>Laura</t>
  </si>
  <si>
    <t>Columbia State</t>
  </si>
  <si>
    <t xml:space="preserve"> talking to AMI about having these panels ready the week of May 18.</t>
  </si>
  <si>
    <t xml:space="preserve"> Chestnut Street Office</t>
  </si>
  <si>
    <t xml:space="preserve"> AMI needs these panels the week of May 25.</t>
  </si>
  <si>
    <t>AMI will need this the week of June 8th</t>
  </si>
  <si>
    <t>25038-FS01</t>
  </si>
  <si>
    <t>Chestnut Street Venue</t>
  </si>
  <si>
    <t>AMI will need these panels the week of June 15th. Getting FD EARLY APRIL</t>
  </si>
  <si>
    <t xml:space="preserve">These are dates that I gave AMI, the first release for 25037; that date cannot be moved. </t>
  </si>
  <si>
    <t>MALETA</t>
  </si>
  <si>
    <t>May</t>
  </si>
  <si>
    <t>East End UMC</t>
  </si>
  <si>
    <t xml:space="preserve">Legislative Plaza </t>
  </si>
  <si>
    <t xml:space="preserve">Chestnut Street Office </t>
  </si>
  <si>
    <t>Release</t>
  </si>
  <si>
    <t>Color</t>
  </si>
  <si>
    <t>Qty</t>
  </si>
  <si>
    <t>Elevation</t>
  </si>
  <si>
    <t>Submitted Date</t>
  </si>
  <si>
    <t>Pick Up</t>
  </si>
  <si>
    <t>Job ID (with Location)</t>
  </si>
  <si>
    <t>Monthly Panel Summary</t>
  </si>
  <si>
    <t>GRAPHITE</t>
  </si>
  <si>
    <t>224-227</t>
  </si>
  <si>
    <t>25006-FS01-HD</t>
  </si>
  <si>
    <t>Month</t>
  </si>
  <si>
    <t>Panels</t>
  </si>
  <si>
    <t>TERRA COTA</t>
  </si>
  <si>
    <t>25006-FS02-HD</t>
  </si>
  <si>
    <t>March</t>
  </si>
  <si>
    <t>FS03</t>
  </si>
  <si>
    <t>336-38/214, 39/40/215, 41-42/216</t>
  </si>
  <si>
    <t>25006-FS03-HD</t>
  </si>
  <si>
    <t>April</t>
  </si>
  <si>
    <t xml:space="preserve">From Panal Shop Progression (Forecast) </t>
  </si>
  <si>
    <t>MALETA FIRING RANGE</t>
  </si>
  <si>
    <t>25/213, 50/219</t>
  </si>
  <si>
    <t>25006-FS05-HD</t>
  </si>
  <si>
    <t>MALETA HOUSING, DINING &amp; KENNEL</t>
  </si>
  <si>
    <t xml:space="preserve">Pick Up </t>
  </si>
  <si>
    <t>43/42/216, 45-46/217, 47-49/218</t>
  </si>
  <si>
    <t>25006-FS04-HD</t>
  </si>
  <si>
    <t>June</t>
  </si>
  <si>
    <t>32-33/213</t>
  </si>
  <si>
    <t>25006-FS01-FR</t>
  </si>
  <si>
    <t>July</t>
  </si>
  <si>
    <t>*FS01</t>
  </si>
  <si>
    <t>FS01.1</t>
  </si>
  <si>
    <t>6-8/203, 7/203A, &amp; 12/206</t>
  </si>
  <si>
    <t>6-8/203, 7/203A, 8/12/206</t>
  </si>
  <si>
    <t>25006-FS01.1-FR</t>
  </si>
  <si>
    <t>August</t>
  </si>
  <si>
    <t>*FS02</t>
  </si>
  <si>
    <t>34-35/214</t>
  </si>
  <si>
    <t>FS06</t>
  </si>
  <si>
    <t>25-28/210, 29-31/211, 32-34/212</t>
  </si>
  <si>
    <t>25006-FS06-HD</t>
  </si>
  <si>
    <t>TOTAL</t>
  </si>
  <si>
    <t>*FS03</t>
  </si>
  <si>
    <t>36-38/214, 39-40/215, 41-42/216</t>
  </si>
  <si>
    <t>1-3/201</t>
  </si>
  <si>
    <t>25006-FS02-FR</t>
  </si>
  <si>
    <t>*FS05</t>
  </si>
  <si>
    <t>4-5/202</t>
  </si>
  <si>
    <t>15-17/207 &amp; 18-21/208</t>
  </si>
  <si>
    <t>25006-FS07-HD</t>
  </si>
  <si>
    <t>MALETA Ship Schedule Preview</t>
  </si>
  <si>
    <t>(Ship - 21 work days)</t>
  </si>
  <si>
    <t>Lead Time Breakdown:</t>
  </si>
  <si>
    <t>*FS04</t>
  </si>
  <si>
    <t>43-44/216, 45-46/217, 47-49/218</t>
  </si>
  <si>
    <t>9-10/204 &amp; 13,15/206</t>
  </si>
  <si>
    <t>25006-FS03-FR</t>
  </si>
  <si>
    <t>Eng Release By</t>
  </si>
  <si>
    <t>Status</t>
  </si>
  <si>
    <t>Process</t>
  </si>
  <si>
    <t>Days</t>
  </si>
  <si>
    <t>*FS06</t>
  </si>
  <si>
    <t>26-28/210, 29-31/211, 32-34/212</t>
  </si>
  <si>
    <t>20-21/208</t>
  </si>
  <si>
    <t>22-25/209</t>
  </si>
  <si>
    <t>25006-FS08-HD</t>
  </si>
  <si>
    <t>Engineering (LO/Sketch)</t>
  </si>
  <si>
    <t>*FS07</t>
  </si>
  <si>
    <t>22-24/209 &amp; 25/210</t>
  </si>
  <si>
    <t>25006-FS04-FR</t>
  </si>
  <si>
    <t>*FS08</t>
  </si>
  <si>
    <t>26/210 &amp; 27/211</t>
  </si>
  <si>
    <t>9-10/204 &amp; 13, 15/206</t>
  </si>
  <si>
    <t>25006-FS05-FR</t>
  </si>
  <si>
    <t>AXYZ CNC</t>
  </si>
  <si>
    <t>FS01.2</t>
  </si>
  <si>
    <t>AZURE BLUE</t>
  </si>
  <si>
    <t>9,11/204, 14-15/206, 16/207, 25-26/210, 1-2/301, 5/303 &amp; 6/304</t>
  </si>
  <si>
    <t>25006-FS06-FR</t>
  </si>
  <si>
    <t>Clean &amp; Brake</t>
  </si>
  <si>
    <t>28/211 &amp; 29-31/212</t>
  </si>
  <si>
    <t>25006-FS07-FR</t>
  </si>
  <si>
    <t>FS10</t>
  </si>
  <si>
    <t>1-2/301 &amp; 3/302</t>
  </si>
  <si>
    <t>25006-FS08-FR</t>
  </si>
  <si>
    <t>Crating/Ship Prep</t>
  </si>
  <si>
    <t>4-5/303 &amp; 6/304</t>
  </si>
  <si>
    <t>9,11/204,14-15/206,16/207,25-26/210,1-2/301,5/303 &amp; 6/304</t>
  </si>
  <si>
    <t>25006-FS01.2-FR</t>
  </si>
  <si>
    <t>TOTAL LEAD TIME</t>
  </si>
  <si>
    <t>25006-FS09-FR</t>
  </si>
  <si>
    <t>25006-FS10-FR</t>
  </si>
  <si>
    <t>25006-FS11-FR</t>
  </si>
  <si>
    <t>Orange</t>
  </si>
  <si>
    <t>Housing/Dining</t>
  </si>
  <si>
    <t>Yellow</t>
  </si>
  <si>
    <t>Firing Range</t>
  </si>
  <si>
    <t>Summary</t>
  </si>
  <si>
    <t>Total Releases:</t>
  </si>
  <si>
    <t>Total Panels:</t>
  </si>
  <si>
    <t>In System:</t>
  </si>
  <si>
    <t>Not in System:</t>
  </si>
  <si>
    <t>Panel Shop Projections 2026</t>
  </si>
  <si>
    <t xml:space="preserve">Job Number </t>
  </si>
  <si>
    <t xml:space="preserve">Job Name </t>
  </si>
  <si>
    <t xml:space="preserve">April </t>
  </si>
  <si>
    <t xml:space="preserve">June </t>
  </si>
  <si>
    <t xml:space="preserve">July </t>
  </si>
  <si>
    <t>September</t>
  </si>
  <si>
    <t>October</t>
  </si>
  <si>
    <t>November</t>
  </si>
  <si>
    <t>December</t>
  </si>
  <si>
    <t>January</t>
  </si>
  <si>
    <t>February</t>
  </si>
  <si>
    <t>ASCTE Research and Dorm</t>
  </si>
  <si>
    <t>Highlands College</t>
  </si>
  <si>
    <t>Crosswinds Casino-Podium</t>
  </si>
  <si>
    <t xml:space="preserve">Titans Stadium </t>
  </si>
  <si>
    <t>Converge</t>
  </si>
  <si>
    <t xml:space="preserve">1740 Division </t>
  </si>
  <si>
    <t xml:space="preserve">BNA Concourse A </t>
  </si>
  <si>
    <t>St. Thomas</t>
  </si>
  <si>
    <t>Edition Hotel -ACM</t>
  </si>
  <si>
    <t>Edition Hotel - Plate</t>
  </si>
  <si>
    <t xml:space="preserve">Nashville Youth </t>
  </si>
  <si>
    <t xml:space="preserve">USA Med School </t>
  </si>
  <si>
    <t xml:space="preserve">Academic Zone </t>
  </si>
  <si>
    <t xml:space="preserve">Andrews Sports Medicine </t>
  </si>
  <si>
    <t xml:space="preserve">IAD 183 </t>
  </si>
  <si>
    <t>Brentsville HS</t>
  </si>
  <si>
    <t>VUMC</t>
  </si>
  <si>
    <t>TSB Buildng</t>
  </si>
  <si>
    <t xml:space="preserve">World Outreach Church </t>
  </si>
  <si>
    <t xml:space="preserve">Empower K2 Office </t>
  </si>
  <si>
    <t>Lourdes Phase 2</t>
  </si>
  <si>
    <t>St Jude</t>
  </si>
  <si>
    <t>Wedgewood</t>
  </si>
  <si>
    <t xml:space="preserve">East Nashville </t>
  </si>
  <si>
    <t>TOTALS</t>
  </si>
  <si>
    <t>📊 PRODUCTION SUMMARY DASHBOARD</t>
  </si>
  <si>
    <t>Today's Date:</t>
  </si>
  <si>
    <t>🚚 SHIPS TODAY</t>
  </si>
  <si>
    <t>📋 RELEASED TO SHOP (Last 24 Hours)</t>
  </si>
  <si>
    <t>Released Date</t>
  </si>
  <si>
    <t>🏭 TOP 3 JOBS AT EACH STATION (By Ship Date)</t>
  </si>
  <si>
    <t>More Stations:</t>
  </si>
  <si>
    <t>Extrusion Saw:</t>
  </si>
  <si>
    <t>Roller:</t>
  </si>
  <si>
    <t>TruLaser:</t>
  </si>
  <si>
    <t>📈 QUICK STATS</t>
  </si>
  <si>
    <t>Total Active Jobs:</t>
  </si>
  <si>
    <t>Jobs Shipping Today:</t>
  </si>
  <si>
    <t>Jobs Past Due:</t>
  </si>
  <si>
    <t>Jobs at AXYZ Titans:</t>
  </si>
  <si>
    <t>Jobs at Clean &amp; Brake:</t>
  </si>
  <si>
    <t>Jobs at Fab:</t>
  </si>
  <si>
    <t>25002-FS16</t>
  </si>
  <si>
    <t>57 (In Progress)</t>
  </si>
  <si>
    <t>Chris Buttrey - yes, sorry</t>
  </si>
  <si>
    <t>FS215</t>
  </si>
  <si>
    <t>183 (In Progress)</t>
  </si>
  <si>
    <t>178 (In Progress)</t>
  </si>
  <si>
    <t>176 (In Progress)</t>
  </si>
  <si>
    <t>149 (In Progress)</t>
  </si>
  <si>
    <t>50 (In Progress)</t>
  </si>
  <si>
    <t>48 (In Progress)</t>
  </si>
  <si>
    <t>25002-BM07</t>
  </si>
  <si>
    <t>06:31:18</t>
  </si>
  <si>
    <t>Issiah Havens - @hstakhurskyi@jwmcd.com @jdavis@jwmcd.com Programmed</t>
  </si>
  <si>
    <t>Denis Usatenko - @cnorona@jwmcd.com 
Are we good to sketch?</t>
  </si>
  <si>
    <t>15 (ON HOLD)</t>
  </si>
  <si>
    <t>David Hasty - @jdorsey@jwmcd.com Correction required</t>
  </si>
  <si>
    <t>4 (In Progress)</t>
  </si>
  <si>
    <t>David Hasty - @jdorsey@jwmcd.com Corrections required</t>
  </si>
  <si>
    <t>Denis Usatenko - @nvlatkovic@jwmcd.com 
Scan can be missaligned and needs to be moved into the correct position.</t>
  </si>
  <si>
    <t>6 (ON HOLD)</t>
  </si>
  <si>
    <t>25031-FL08</t>
  </si>
  <si>
    <t>* 2 SETS - INSTALL DRAWINGS
* (95 LF) 1-5/8" REVEALS
* ( 310pcs) CORNER CLIPS
* ( 620pcs ) COLOR MATCHING SCREWS
* (475 LF) JR2</t>
  </si>
  <si>
    <t>60 SHEETS</t>
  </si>
  <si>
    <t>00d14h20m55s</t>
  </si>
  <si>
    <t>Ailen Niedfeld - @wmcdougall@jwmcd.com Left printed sketches at your desk to review, @dusatenko@jwmcd.com has paperwork for shop. Card is actively in Release to Shop.</t>
  </si>
  <si>
    <t>Q:\Jobs\24051 - TN Titans Stadium\04_Production\24051FL01</t>
  </si>
  <si>
    <t>* SKETCHES
* COLOR LABELS
* TIGER SAW EXTRUSION LIST
* PANEL CUT LIST
* ﻿CODING FILES</t>
  </si>
  <si>
    <t>* 4 LF JR2
* 8 PCS CORNER CLIPS
* 24 PCS COLOR MATCHING SCREWS</t>
  </si>
  <si>
    <t>4 SHEETS</t>
  </si>
  <si>
    <t>00d00h58m16s</t>
  </si>
  <si>
    <t>4mm X 62" X 196", Vantage blue FR ACM, Grain</t>
  </si>
  <si>
    <t>4mm X 62" X 196", Vantage blue</t>
  </si>
  <si>
    <t>the last panels are missing in different places around the building
info location: Q:\Jobs\25002 - Med Center Health\03_Engineering\02_FD Docs\Photos and SD FS15
Also, I add a panel was damaged. attached you will find the image showing the damaged panel.</t>
  </si>
  <si>
    <t>25031-RO01</t>
  </si>
  <si>
    <t>I'm looking to have these 3 panels done by Wednesday of next week, 4/22.
The plan is to ship this with 25031FL08 on Thursday of next week.</t>
  </si>
  <si>
    <t>Another trade scratched our panels, and the GC needs to move a pipe. 
The quantities and the sketches are attached.</t>
  </si>
  <si>
    <t>Alpolic 4mm X 62" X 196", Dusty Grey         Alpolic DROP 4mm X 62" X 84", Dusty Grey FR ACM, No Grain</t>
  </si>
  <si>
    <t>Alpolic 4mm X 62" X 196", Dusty Grey         Alpolic DROP 4mm X 62" X 84", Dusty Grey</t>
  </si>
  <si>
    <t>Q:\Jobs\25031 - LLU Mars US Warehouse\03_Engineering\02_FD Docs\25031ROO1</t>
  </si>
  <si>
    <t>(1) 302-B05
(1) 302-B06
(1) 302-B08</t>
  </si>
  <si>
    <t>Hot Shot
Sprinter Van</t>
  </si>
  <si>
    <t>Clean and Brake
Fab</t>
  </si>
  <si>
    <t>25031-RO01 In-House</t>
  </si>
  <si>
    <t>The plan is to ship this with 25031RO01 on Thursday of next week</t>
  </si>
  <si>
    <t>Please see attached the flashing quantities and profile</t>
  </si>
  <si>
    <t>Q:\Jobs\25031 - LLU Mars US Warehouse\04_Production\25031FL08</t>
  </si>
  <si>
    <t>Alpolic, .032" X 48" X 120", Dusty Grey Alum Sheet, No Grain</t>
  </si>
  <si>
    <t>Alpolic, .032" X 48" X 120", Dusty Grey</t>
  </si>
  <si>
    <t>25031-FL08 In-House</t>
  </si>
  <si>
    <t>Gray Mica panels needed in different Elevations
includes a RM of 2 damaged panels (201-2CA33) and (201-2CA32)
Q:\Jobs\25002 - Med Center Health\03_Engineering\02_FD Docs\PHOTOS &amp; SD MICA GRAY FS16</t>
  </si>
  <si>
    <t>Q:\Jobs\25002 - Med Center Health\03_Engineering\02_FD Docs\PHOTOS &amp; SD MICA GRAY FS15</t>
  </si>
  <si>
    <t>25002-FS16 In-House</t>
  </si>
  <si>
    <t>25059-RM05</t>
  </si>
  <si>
    <t>Allen Samuels CDJR and LC</t>
  </si>
  <si>
    <t>1623 Hwy 45 Bypass
Jackson, TN  38305</t>
  </si>
  <si>
    <t>* ( LF) 1-5/8" Reveals</t>
  </si>
  <si>
    <t>4mm X 62" X 196", BSX Silver FR ACM, Grain</t>
  </si>
  <si>
    <t>4mm X 62" X 196", BSX Silver</t>
  </si>
  <si>
    <t>SILVER</t>
  </si>
  <si>
    <t>1 x 206-1T131</t>
  </si>
  <si>
    <t>25059-RM05 In-House</t>
  </si>
  <si>
    <t>Zees for columns, 
Denis, can you help me with the Sketch? I am not sure if the column Details on the shops drawings FS11.1 are updated. so I am not sure of the sizes of the zees will be holding the column panels.</t>
  </si>
  <si>
    <t>Galvanized Sheet:  20 Ga. X 48" X 120" Galv Sheet, No Grain</t>
  </si>
  <si>
    <t>Galvanized Sheet:  20 Ga. X 48" X 120"</t>
  </si>
  <si>
    <t>25002-BM07 In-House</t>
  </si>
  <si>
    <t>Previous Station</t>
  </si>
  <si>
    <t>Station Changed?</t>
  </si>
  <si>
    <t>Station Changed On</t>
  </si>
  <si>
    <t>AXYZ
Fab</t>
  </si>
  <si>
    <t>—</t>
  </si>
  <si>
    <t>Q:\Jobs\24074 - DIDD ACM\04_Production\24074FS07</t>
  </si>
  <si>
    <t>24079-FL14</t>
  </si>
  <si>
    <t>Denis Usatenko - Drawings</t>
  </si>
  <si>
    <t>* 2 SETS - INSTALL DRAWINGS
* ( LF) 1-5/8" Reveals
* ( LF) 1-1/8" Reveals
* ( LF) JR-Extended</t>
  </si>
  <si>
    <t>Denis Usatenko - @hstakhurskyi@jwmcd.com 
Corrections reqyuired.</t>
  </si>
  <si>
    <t>224 ELEV
222 RCP
211 RCP &amp; COLUMNS
205 COLUMNS</t>
  </si>
  <si>
    <t>07:56:55</t>
  </si>
  <si>
    <t>Drew Adams, Hunter Clouse, Ronnie Harmon, Tony Graves</t>
  </si>
  <si>
    <t>Release to Shop</t>
  </si>
  <si>
    <t>Mitch Chancey - LOOSE ON THE TREE</t>
  </si>
  <si>
    <t>Gabriela Herrera - Yes, I'll do it after lunch.</t>
  </si>
  <si>
    <t>Transition flashings for AFC. Courthouse Tower.</t>
  </si>
  <si>
    <t>Transition flashings for AFC Tower.  Reference details 2 and 3/NY-50 from approved as noted fiber drawings located within FDDocs folder.
Perforated Transitions x 60 sticks (provide a standard perf pattern for approval. There are no airflow requirements with the fiber at this location)
Non-Perf Transitions x 460
Keep stretchout at 6" or under.</t>
  </si>
  <si>
    <t>.032" 'BNT Bone White' Alum Sheet, No Grain</t>
  </si>
  <si>
    <t>.032" 'BNT Bone White'</t>
  </si>
  <si>
    <t>24079-FL14 In-House</t>
  </si>
  <si>
    <t>25036-FL22</t>
  </si>
  <si>
    <t>TCAT Chattanooga</t>
  </si>
  <si>
    <t>4501 Amnicola Highway
Chattanooga, TN  37406</t>
  </si>
  <si>
    <t>Material will be picked up by Kevin and Starlin for installation on Saturday 4/18/2026</t>
  </si>
  <si>
    <t>Material arriving tomorrow 2 sheets of 48x120 Zinc Gray</t>
  </si>
  <si>
    <t>22 Ga. 48x120 Zinc Gray Steel Sheet, No Grain</t>
  </si>
  <si>
    <t>22 Ga. 48x120 Zinc Gray</t>
  </si>
  <si>
    <t>25036-FL22 In-House</t>
  </si>
  <si>
    <t>24051-RP58</t>
  </si>
  <si>
    <t>24071-RP15</t>
  </si>
  <si>
    <t>* 2 PCS CORNER CLIPS 
* 4 PCS COLOR MATCHING SCREWS
* 35 LF 1 5/8" ﻿COLOR MATCHING REVEALS
* 18 LF JR2</t>
  </si>
  <si>
    <t>Q:\Jobs\25031 - LLU Mars US Warehouse\04_Production\25031RO01</t>
  </si>
  <si>
    <t>Q:\Jobs\25059 - Allen Samuels CDJR and LC\04_Production\25059RM05</t>
  </si>
  <si>
    <t>SKETCH</t>
  </si>
  <si>
    <t>Q:\Jobs\25036 - TCAT Chattanooga\04_Production\25036FL22</t>
  </si>
  <si>
    <t>Josh McPherson - 1/2" is fine. Im only getting 6 per sheet the extra tenth wont affect yield.</t>
  </si>
  <si>
    <t>24046-RO06</t>
  </si>
  <si>
    <t>CUT AND SHIP FLAT
NO EXTRUSIONS
MUST BE BAD BATCH DATED 9/??/25</t>
  </si>
  <si>
    <t>4mm X 62" X 130", Silver Metallic FR ACM, Grain</t>
  </si>
  <si>
    <t>4mm X 62" X 130", Silver Metallic</t>
  </si>
  <si>
    <t>Q:\Jobs\24046 - UAB Biomedical Research\03_Engineering\02_FD Docs\24046 RO05</t>
  </si>
  <si>
    <t>(3)210-2TG09
(1)210-2TG37B
(1)210-2TG37A
(4)210-2TG38
(4)210-2TG38.1
(1)210-2TG40
(1)210-2TG20
(2)210-2TG42</t>
  </si>
  <si>
    <t>FS31</t>
  </si>
  <si>
    <t>24046-RO06 In-House</t>
  </si>
  <si>
    <t>25075-RP01</t>
  </si>
  <si>
    <t>Scratches and parts moved</t>
  </si>
  <si>
    <t>1H10
2-1f06
S-REV X6</t>
  </si>
  <si>
    <t>25075-RP01 In-House</t>
  </si>
  <si>
    <t>Material had dents</t>
  </si>
  <si>
    <t>W3107-1AA24</t>
  </si>
  <si>
    <t>FS36.2</t>
  </si>
  <si>
    <t>24051-RP58 In-House</t>
  </si>
  <si>
    <t>Improper programming led to parts moving during cut</t>
  </si>
  <si>
    <t>318-1NA03B (X3)</t>
  </si>
  <si>
    <t>PROGRAMMING</t>
  </si>
  <si>
    <t>24071-RP15 In-House</t>
  </si>
  <si>
    <t>04/16/2026…Ready to Ship</t>
  </si>
  <si>
    <t>04/16/2026…Assembly</t>
  </si>
  <si>
    <t>04/15...Date adjusted to 04/27.*04/16/2026…AXYZ 34</t>
  </si>
  <si>
    <t>Chris putting in FL03 Monday 03/23 and needs to ship out 03/27.*03/24 Pushed off until 03/30.*03/30…Checking back in*04/16/2026…Partially Shipped</t>
  </si>
  <si>
    <t>04/15/2026…Shear*04/16/2026…Shear</t>
  </si>
  <si>
    <t>04/16/2026…Partially Shipped</t>
  </si>
  <si>
    <t>04/16/2026…</t>
  </si>
  <si>
    <t>04/16/2026…RTS Titans</t>
  </si>
  <si>
    <t>04/16/2026…Release to Shop</t>
  </si>
  <si>
    <t>Need 4 Pcs rolled**Look for RP's**03/23 Fab-Need done ASAP*03/26…RTS*04/16/2026…RTS Titans</t>
  </si>
  <si>
    <t>03/23...Next for Titans--1 of 3 still late*03/24 Corrections*03/26…Titans line*03/30…Affected by Roller being down.  Panals too large to run in small roller.*03/31…No update*04/02…Roller still down.*04/09…Roller still down.*04/16/2026…Clean and Brake</t>
  </si>
  <si>
    <t>03/23...Next for Titans--1 of 3 still late*03/24 Corrections*03/26…Titans Line*03/30…Crating*03/31…Crating*04/16/2026…RTS Titans</t>
  </si>
  <si>
    <t>03/23...Next for Titans--1 of 3 still late*03/24 Lay Out*03/26…LO*03/30…LO*03/31…LO*04/02…LO*04/09…LO*04/16/2026…LO</t>
  </si>
  <si>
    <t>04/16/2026…Fabrication</t>
  </si>
  <si>
    <t>04/16/2026…Float</t>
  </si>
  <si>
    <t>Next for Titans*04/16/2026…RTS Titans</t>
  </si>
  <si>
    <t>Must be RTS on Friday 04/17*04/16/2026…Clean and Brake</t>
  </si>
  <si>
    <t>04/14...Next Titans Requesting//Scheduled to be released to the shop 04/16.*04/16/2026…AXYZ 34</t>
  </si>
  <si>
    <t>04/14...Next Titans Requesting//Scheduled to be released to the shop 04/20.*04/16/2026…Correction</t>
  </si>
  <si>
    <t>04/16/2026…Shipped To Painter</t>
  </si>
  <si>
    <t>**Must Ship No Later Than 04/17--Last bit of this job**03/23 Eval*03/24 Eval*03/26…Eval*03/30…Sketch*03/31…Sketch*04/02…Sketch…*04/14…Moving date from 04/15 to 04/17. CNC machine was down for 24 hrs.*04/16/2026…Crating</t>
  </si>
  <si>
    <t>04/16/2026…Shipped</t>
  </si>
  <si>
    <t>04/16/2026…Sketch</t>
  </si>
  <si>
    <t>*03/30...4' Panals Rolled*04/02…Sketch*04/09…CNC*04/16/2026…CNC Programming</t>
  </si>
  <si>
    <t>04/16/2026…LO Check</t>
  </si>
  <si>
    <t>04/16/2026…TruPunch 5000</t>
  </si>
  <si>
    <t>04/16/2026…Evaluation</t>
  </si>
  <si>
    <t>04/16/2026…Sketch Check</t>
  </si>
  <si>
    <t>04/16/2026…LO</t>
  </si>
  <si>
    <t>Received Radius Templete, waiting for Roller Maint.**03/23 Roller should be back up this morning*03/24 Roller still down AM*03/26…C&amp;B*03/27…Still at C&amp;B needs to roll then back to C&amp;B*03/31…No Update*04/02…Roller still down.*04/09…Roller still down.*04/16/2026…Clean and Brake</t>
  </si>
  <si>
    <t>04/16/2026…TruLaser 3040</t>
  </si>
  <si>
    <t>Not expected out of engineering before 04/15…Needs to ship 05/12*HOAR*04/16/2026…Correction</t>
  </si>
  <si>
    <t>HOAR*04/16/2026…LO Check</t>
  </si>
  <si>
    <t>Not expected out of engineering before 04/17…Needs to ship 05/12*HOAR*04/16/2026…LO Check</t>
  </si>
  <si>
    <t>HOAR*04/16/2026…LO</t>
  </si>
  <si>
    <t>04/16/2026…Crating</t>
  </si>
  <si>
    <t>04/16/2026…Correction</t>
  </si>
  <si>
    <t>04/16/2026…AXYZ 34</t>
  </si>
  <si>
    <t>04/16/2026…Clean and Brake</t>
  </si>
  <si>
    <t>03/27…C&amp;B, needs to roll then back to C&amp;B*03/30…Affected by Roller being down.*03/31…No Update*04/02…Roller still down.*04/09…Roller still down.*04/16/2026…Clean and Brake</t>
  </si>
  <si>
    <t>04/16/2026…QC</t>
  </si>
  <si>
    <t>04/16/2026…Shear</t>
  </si>
  <si>
    <t>Ships 04/17…Ship with RO-02*04/15/2026…Shear*04/16/2026…Ready to Ship</t>
  </si>
  <si>
    <t>Ships 04/17…Ship with FL-11*04/16/2026…Ready to Ship</t>
  </si>
  <si>
    <t>04/16/2026…CNC Programming</t>
  </si>
  <si>
    <t>04/15/2026…Shear*04/16/2026…Cidan</t>
  </si>
  <si>
    <t>04/15…CNC...Confirmed Shipdate of 04/22 with PM.*04/16/2026…AXYZ 34</t>
  </si>
  <si>
    <t>04/16/2026…7000 TubeLaser 20</t>
  </si>
  <si>
    <t>04/16/2026…7000 TruMatic</t>
  </si>
  <si>
    <t>04/16/2026…7000 TubeLaser 28</t>
  </si>
  <si>
    <t>Notes*04/16/2026…Current Station</t>
  </si>
  <si>
    <t>04/16/2026…Shear..PLEASE RUN THIS JOB NEXT IN SHEAR/CIDAN CANNOT MISS SHIPDATE</t>
  </si>
  <si>
    <t>25036 FL-22</t>
  </si>
  <si>
    <t xml:space="preserve">04/16/2026…MUST RUN FRIDAY AND FINISH BY EOS.  REFER TO EMAIL.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</si>
</sst>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mm/dd/yyyy"/>
    <numFmt numFmtId="165" formatCode="0.0"/>
    <numFmt numFmtId="166" formatCode="dd\-mmm"/>
    <numFmt numFmtId="167" formatCode="mm/dd/yy\ h:mm\ AM/PM"/>
    <numFmt numFmtId="168" formatCode="mm/dd/yy"/>
    <numFmt numFmtId="169" formatCode="#,##0%;\-#,##0%"/>
    <numFmt numFmtId="170" formatCode="###0.0;\-###0.0"/>
    <numFmt numFmtId="171" formatCode="###0.00;\-###0.00"/>
    <numFmt numFmtId="176" formatCode="mm/dd/yyyy\ hh:mm\ AM/PM"/>
  </numFmts>
  <fonts count="50" x14ac:knownFonts="1">
    <font>
      <sz val="11"/>
      <color indexed="8"/>
      <name val="Aptos Narrow"/>
      <family val="2"/>
      <scheme val="minor"/>
    </font>
    <font>
      <b/>
      <sz val="11"/>
      <color rgb="FFFFFFFF"/>
      <name val="Aptos Narrow"/>
      <family val="2"/>
      <scheme val="minor"/>
    </font>
    <font>
      <sz val="10"/>
      <color rgb="FF888888"/>
      <name val="Aptos Narrow"/>
      <family val="2"/>
      <scheme val="minor"/>
    </font>
    <font>
      <b/>
      <sz val="14"/>
      <color rgb="FFFFFFFF"/>
      <name val="Calibri"/>
      <family val="2"/>
    </font>
    <font>
      <sz val="11"/>
      <color rgb="FFFFFFFF"/>
      <name val="Calibri"/>
      <family val="2"/>
    </font>
    <font>
      <b/>
      <sz val="11"/>
      <color rgb="FFFFFFFF"/>
      <name val="Calibri"/>
      <family val="2"/>
    </font>
    <font>
      <b/>
      <sz val="11"/>
      <color rgb="FF1B2A4A"/>
      <name val="Calibri"/>
      <family val="2"/>
    </font>
    <font>
      <sz val="11"/>
      <color rgb="FF1B2A4A"/>
      <name val="Calibri"/>
      <family val="2"/>
    </font>
    <font>
      <sz val="10"/>
      <color rgb="FF1B2A4A"/>
      <name val="Calibri"/>
      <family val="2"/>
    </font>
    <font>
      <b/>
      <i/>
      <sz val="9"/>
      <color rgb="FFFFFFFF"/>
      <name val="Calibri"/>
      <family val="2"/>
    </font>
    <font>
      <i/>
      <sz val="10"/>
      <color rgb="FFFFFFFF"/>
      <name val="Calibri"/>
      <family val="2"/>
    </font>
    <font>
      <b/>
      <sz val="12"/>
      <color rgb="FF1B2A4A"/>
      <name val="Calibri"/>
      <family val="2"/>
    </font>
    <font>
      <i/>
      <sz val="10"/>
      <color rgb="FFC8A855"/>
      <name val="Calibri"/>
      <family val="2"/>
    </font>
    <font>
      <b/>
      <sz val="12"/>
      <color rgb="FFC8A855"/>
      <name val="Calibri"/>
      <family val="2"/>
    </font>
    <font>
      <sz val="11"/>
      <color rgb="FF8B0000"/>
      <name val="Calibri"/>
      <family val="2"/>
    </font>
    <font>
      <b/>
      <sz val="11"/>
      <color rgb="FF8B0000"/>
      <name val="Calibri"/>
      <family val="2"/>
    </font>
    <font>
      <b/>
      <sz val="11"/>
      <color rgb="FF000000"/>
      <name val="Calibri"/>
      <family val="2"/>
    </font>
    <font>
      <sz val="10"/>
      <color rgb="FF8B0000"/>
      <name val="Calibri"/>
      <family val="2"/>
    </font>
    <font>
      <b/>
      <sz val="10"/>
      <color rgb="FFFFFFFF"/>
      <name val="Calibri"/>
      <family val="2"/>
    </font>
    <font>
      <b/>
      <sz val="11"/>
      <color rgb="FF0070C0"/>
      <name val="Calibri"/>
      <family val="2"/>
    </font>
    <font>
      <i/>
      <sz val="11"/>
      <color rgb="FF808080"/>
      <name val="Calibri"/>
      <family val="2"/>
    </font>
    <font>
      <sz val="11"/>
      <color indexed="8"/>
      <name val="Calibri"/>
      <family val="2"/>
    </font>
    <font>
      <b/>
      <sz val="11"/>
      <color indexed="8"/>
      <name val="Aptos Narrow"/>
      <family val="2"/>
      <scheme val="minor"/>
    </font>
    <font>
      <b/>
      <sz val="14"/>
      <color rgb="FFFFFFFF"/>
      <name val="Aptos Narrow"/>
      <family val="2"/>
      <scheme val="minor"/>
    </font>
    <font>
      <i/>
      <sz val="11"/>
      <color indexed="8"/>
      <name val="Aptos Narrow"/>
      <family val="2"/>
      <scheme val="minor"/>
    </font>
    <font>
      <i/>
      <sz val="9"/>
      <color indexed="8"/>
      <name val="Aptos Narrow"/>
      <family val="2"/>
      <scheme val="minor"/>
    </font>
    <font>
      <b/>
      <sz val="11"/>
      <color theme="1"/>
      <name val="Aptos Narrow"/>
      <family val="2"/>
      <scheme val="minor"/>
    </font>
    <font>
      <sz val="11"/>
      <color indexed="8"/>
      <name val="Aptos"/>
      <family val="2"/>
    </font>
    <font>
      <sz val="10"/>
      <color rgb="FF000000"/>
      <name val="Arial"/>
    </font>
    <font>
      <b/>
      <sz val="10"/>
      <color rgb="FF1061C3"/>
      <name val="Arial"/>
    </font>
    <font>
      <b/>
      <sz val="10"/>
      <color rgb="FF9210AD"/>
      <name val="Arial"/>
    </font>
    <font>
      <b/>
      <sz val="10"/>
      <color rgb="FFEA352E"/>
      <name val="Arial"/>
    </font>
    <font>
      <sz val="8"/>
      <name val="Aptos Narrow"/>
      <family val="2"/>
      <scheme val="minor"/>
    </font>
    <font>
      <b/>
      <sz val="12"/>
      <color rgb="FFFFFFFF"/>
      <name val="Aptos Narrow"/>
      <family val="2"/>
      <scheme val="minor"/>
    </font>
    <font>
      <i/>
      <sz val="11"/>
      <color rgb="FF1F4E79"/>
      <name val="Aptos Narrow"/>
      <family val="2"/>
      <scheme val="minor"/>
    </font>
    <font>
      <i/>
      <sz val="10"/>
      <color rgb="FF1F4E79"/>
      <name val="Aptos Narrow"/>
      <family val="2"/>
      <scheme val="minor"/>
    </font>
    <font>
      <b/>
      <sz val="18"/>
      <color rgb="FFFFFFFF"/>
      <name val="Calibri"/>
      <family val="2"/>
    </font>
    <font>
      <strike/>
      <sz val="11"/>
      <color indexed="8"/>
      <name val="Aptos Narrow"/>
      <family val="2"/>
      <scheme val="minor"/>
    </font>
    <font>
      <sz val="16"/>
      <color theme="1"/>
      <name val="Aptos Narrow"/>
      <family val="2"/>
      <scheme val="minor"/>
    </font>
    <font>
      <sz val="11"/>
      <color rgb="FF000000"/>
      <name val="Aptos Narrow"/>
      <family val="2"/>
      <scheme val="minor"/>
    </font>
    <font>
      <i/>
      <sz val="11"/>
      <color rgb="FF666666"/>
      <name val="Aptos Narrow"/>
      <family val="2"/>
      <scheme val="minor"/>
    </font>
    <font>
      <u/>
      <sz val="11"/>
      <color rgb="FF0563C1"/>
      <name val="Aptos Narrow"/>
      <family val="2"/>
      <scheme val="minor"/>
    </font>
    <font>
      <b/>
      <sz val="18"/>
      <color rgb="FF1F4E79"/>
      <name val="Aptos Narrow"/>
      <family val="2"/>
      <scheme val="minor"/>
    </font>
    <font>
      <b/>
      <sz val="14"/>
      <color indexed="8"/>
      <name val="Aptos Narrow"/>
      <family val="2"/>
      <scheme val="minor"/>
    </font>
    <font>
      <b/>
      <sz val="12"/>
      <color indexed="8"/>
      <name val="Arial"/>
    </font>
    <font>
      <b/>
      <sz val="11"/>
      <color rgb="FFFFFFFF"/>
      <name val="Calibri"/>
    </font>
    <font>
      <sz val="11"/>
      <color rgb="FFFFFFFF"/>
      <name val="Calibri"/>
    </font>
    <font>
      <b/>
      <sz val="14"/>
      <color rgb="FFFFFFFF"/>
      <name val="Calibri"/>
    </font>
    <font>
      <b/>
      <i/>
      <sz val="9"/>
      <color rgb="FFFFFFFF"/>
      <name val="Calibri"/>
    </font>
    <font>
      <b/>
      <sz val="11"/>
      <color rgb="FF1B2A4A"/>
      <name val="Calibri"/>
    </font>
  </fonts>
  <fills count="32">
    <fill>
      <patternFill patternType="none"/>
    </fill>
    <fill>
      <patternFill patternType="gray125"/>
    </fill>
    <fill>
      <patternFill patternType="solid">
        <fgColor rgb="FFF2F2F2"/>
        <bgColor indexed="64"/>
      </patternFill>
    </fill>
    <fill>
      <patternFill patternType="solid">
        <fgColor rgb="FFF0F0F0"/>
        <bgColor indexed="64"/>
      </patternFill>
    </fill>
    <fill>
      <patternFill patternType="solid">
        <fgColor rgb="FFFFF3E0"/>
        <bgColor indexed="64"/>
      </patternFill>
    </fill>
    <fill>
      <patternFill patternType="solid">
        <fgColor rgb="FF1B2A4A"/>
        <bgColor indexed="64"/>
      </patternFill>
    </fill>
    <fill>
      <patternFill patternType="solid">
        <fgColor rgb="FFC8A855"/>
        <bgColor indexed="64"/>
      </patternFill>
    </fill>
    <fill>
      <patternFill patternType="solid">
        <fgColor rgb="FFFFFFFF"/>
        <bgColor indexed="64"/>
      </patternFill>
    </fill>
    <fill>
      <patternFill patternType="solid">
        <fgColor rgb="FF4A6FA5"/>
        <bgColor indexed="64"/>
      </patternFill>
    </fill>
    <fill>
      <patternFill patternType="solid">
        <fgColor rgb="FFFFF8E7"/>
        <bgColor indexed="64"/>
      </patternFill>
    </fill>
    <fill>
      <patternFill patternType="solid">
        <fgColor rgb="FFFFCCCC"/>
        <bgColor indexed="64"/>
      </patternFill>
    </fill>
    <fill>
      <patternFill patternType="solid">
        <fgColor rgb="FF00FF00"/>
        <bgColor indexed="64"/>
      </patternFill>
    </fill>
    <fill>
      <patternFill patternType="solid">
        <fgColor theme="0"/>
        <bgColor indexed="64"/>
      </patternFill>
    </fill>
    <fill>
      <patternFill patternType="solid">
        <fgColor rgb="FF4472C4"/>
        <bgColor indexed="64"/>
      </patternFill>
    </fill>
    <fill>
      <patternFill patternType="solid">
        <fgColor rgb="FFFFEB9C"/>
        <bgColor indexed="64"/>
      </patternFill>
    </fill>
    <fill>
      <patternFill patternType="solid">
        <fgColor rgb="FFFFC7CE"/>
        <bgColor indexed="64"/>
      </patternFill>
    </fill>
    <fill>
      <patternFill patternType="solid">
        <fgColor rgb="FFD6DCE5"/>
        <bgColor indexed="64"/>
      </patternFill>
    </fill>
    <fill>
      <patternFill patternType="solid">
        <fgColor rgb="FFC00000"/>
        <bgColor indexed="64"/>
      </patternFill>
    </fill>
    <fill>
      <patternFill patternType="solid">
        <fgColor rgb="FF92D050"/>
        <bgColor indexed="64"/>
      </patternFill>
    </fill>
    <fill>
      <patternFill patternType="solid">
        <fgColor rgb="FFFFFF00"/>
        <bgColor indexed="64"/>
      </patternFill>
    </fill>
    <fill>
      <patternFill patternType="solid">
        <fgColor rgb="FF1F4E79"/>
        <bgColor indexed="64"/>
      </patternFill>
    </fill>
    <fill>
      <patternFill patternType="solid">
        <fgColor rgb="FFBDD7EE"/>
        <bgColor indexed="64"/>
      </patternFill>
    </fill>
    <fill>
      <patternFill patternType="solid">
        <fgColor rgb="FF2E75B6"/>
        <bgColor indexed="64"/>
      </patternFill>
    </fill>
    <fill>
      <patternFill patternType="solid">
        <fgColor rgb="FFFFC000"/>
        <bgColor indexed="64"/>
      </patternFill>
    </fill>
    <fill>
      <patternFill patternType="solid">
        <fgColor rgb="FFDEEBF7"/>
        <bgColor indexed="64"/>
      </patternFill>
    </fill>
    <fill>
      <patternFill patternType="solid">
        <fgColor rgb="FF00B050"/>
        <bgColor indexed="64"/>
      </patternFill>
    </fill>
    <fill>
      <patternFill patternType="solid">
        <fgColor theme="3" tint="0.749992370372631"/>
        <bgColor indexed="64"/>
      </patternFill>
    </fill>
    <fill>
      <patternFill patternType="solid">
        <fgColor theme="0" tint="-0.14999847407452621"/>
        <bgColor indexed="64"/>
      </patternFill>
    </fill>
    <fill>
      <patternFill patternType="solid">
        <fgColor rgb="FFC6EFCE"/>
        <bgColor indexed="64"/>
      </patternFill>
    </fill>
    <fill>
      <patternFill patternType="solid">
        <fgColor rgb="FFFFE699"/>
        <bgColor indexed="64"/>
      </patternFill>
    </fill>
    <fill>
      <patternFill patternType="solid">
        <fgColor rgb="FFD9E2F3"/>
        <bgColor indexed="64"/>
      </patternFill>
    </fill>
    <fill>
      <patternFill patternType="solid">
        <fgColor rgb="FFE2EFDA"/>
        <bgColor indexed="64"/>
      </patternFill>
    </fill>
  </fills>
  <borders count="56">
    <border>
      <left/>
      <right/>
      <top/>
      <bottom/>
      <diagonal/>
    </border>
    <border>
      <left style="thin">
        <color indexed="64"/>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thin">
        <color auto="1"/>
      </right>
      <top/>
      <bottom/>
      <diagonal/>
    </border>
    <border>
      <left/>
      <right/>
      <top/>
      <bottom style="thin">
        <color rgb="FFD4D4D4"/>
      </bottom>
      <diagonal/>
    </border>
    <border>
      <left/>
      <right/>
      <top style="thin">
        <color rgb="FFD4D4D4"/>
      </top>
      <bottom style="thin">
        <color rgb="FFD4D4D4"/>
      </bottom>
      <diagonal/>
    </border>
    <border>
      <left/>
      <right/>
      <top style="thin">
        <color rgb="FFD4D4D4"/>
      </top>
      <bottom/>
      <diagonal/>
    </border>
    <border>
      <left/>
      <right style="thin">
        <color rgb="FF1B2A4A"/>
      </right>
      <top/>
      <bottom style="thin">
        <color rgb="FFD4D4D4"/>
      </bottom>
      <diagonal/>
    </border>
    <border>
      <left style="thin">
        <color rgb="FF1B2A4A"/>
      </left>
      <right style="thin">
        <color rgb="FF1B2A4A"/>
      </right>
      <top/>
      <bottom style="thin">
        <color rgb="FFD4D4D4"/>
      </bottom>
      <diagonal/>
    </border>
    <border>
      <left style="thin">
        <color rgb="FF1B2A4A"/>
      </left>
      <right/>
      <top/>
      <bottom style="thin">
        <color rgb="FFD4D4D4"/>
      </bottom>
      <diagonal/>
    </border>
    <border>
      <left style="medium">
        <color indexed="64"/>
      </left>
      <right/>
      <top style="thin">
        <color rgb="FFD4D4D4"/>
      </top>
      <bottom style="thin">
        <color rgb="FFD4D4D4"/>
      </bottom>
      <diagonal/>
    </border>
    <border>
      <left/>
      <right style="medium">
        <color indexed="64"/>
      </right>
      <top style="thin">
        <color rgb="FFD4D4D4"/>
      </top>
      <bottom style="thin">
        <color rgb="FFD4D4D4"/>
      </bottom>
      <diagonal/>
    </border>
    <border>
      <left style="medium">
        <color indexed="64"/>
      </left>
      <right/>
      <top style="thin">
        <color rgb="FFD4D4D4"/>
      </top>
      <bottom/>
      <diagonal/>
    </border>
    <border>
      <left/>
      <right style="medium">
        <color indexed="64"/>
      </right>
      <top style="thin">
        <color rgb="FFD4D4D4"/>
      </top>
      <bottom/>
      <diagonal/>
    </border>
    <border>
      <left/>
      <right style="thin">
        <color rgb="FFD4D4D4"/>
      </right>
      <top/>
      <bottom style="thin">
        <color rgb="FFD4D4D4"/>
      </bottom>
      <diagonal/>
    </border>
    <border>
      <left style="thin">
        <color rgb="FFD4D4D4"/>
      </left>
      <right style="thin">
        <color rgb="FFD4D4D4"/>
      </right>
      <top/>
      <bottom style="thin">
        <color rgb="FFD4D4D4"/>
      </bottom>
      <diagonal/>
    </border>
    <border>
      <left style="thin">
        <color rgb="FFD4D4D4"/>
      </left>
      <right/>
      <top/>
      <bottom style="thin">
        <color rgb="FFD4D4D4"/>
      </bottom>
      <diagonal/>
    </border>
    <border>
      <left/>
      <right style="thin">
        <color rgb="FFD4D4D4"/>
      </right>
      <top style="thin">
        <color rgb="FFD4D4D4"/>
      </top>
      <bottom style="thin">
        <color rgb="FFD4D4D4"/>
      </bottom>
      <diagonal/>
    </border>
    <border>
      <left style="thin">
        <color rgb="FFD4D4D4"/>
      </left>
      <right style="thin">
        <color rgb="FFD4D4D4"/>
      </right>
      <top style="thin">
        <color rgb="FFD4D4D4"/>
      </top>
      <bottom style="thin">
        <color rgb="FFD4D4D4"/>
      </bottom>
      <diagonal/>
    </border>
    <border>
      <left style="thin">
        <color rgb="FFD4D4D4"/>
      </left>
      <right/>
      <top style="thin">
        <color rgb="FFD4D4D4"/>
      </top>
      <bottom style="thin">
        <color rgb="FFD4D4D4"/>
      </bottom>
      <diagonal/>
    </border>
    <border>
      <left/>
      <right style="thin">
        <color rgb="FFD4D4D4"/>
      </right>
      <top/>
      <bottom style="medium">
        <color rgb="FF1B2A4A"/>
      </bottom>
      <diagonal/>
    </border>
    <border>
      <left style="thin">
        <color rgb="FFD4D4D4"/>
      </left>
      <right style="thin">
        <color rgb="FFD4D4D4"/>
      </right>
      <top/>
      <bottom style="medium">
        <color rgb="FF1B2A4A"/>
      </bottom>
      <diagonal/>
    </border>
    <border>
      <left style="thin">
        <color rgb="FFD4D4D4"/>
      </left>
      <right/>
      <top/>
      <bottom style="medium">
        <color rgb="FF1B2A4A"/>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
      <left/>
      <right/>
      <top/>
      <bottom style="thin">
        <color auto="1"/>
      </bottom>
      <diagonal/>
    </border>
    <border>
      <left/>
      <right/>
      <top/>
      <bottom style="thin">
        <color rgb="FFD9D9D9"/>
      </bottom>
      <diagonal/>
    </border>
    <border>
      <left/>
      <right/>
      <top style="thin">
        <color rgb="FFD9D9D9"/>
      </top>
      <bottom style="thin">
        <color rgb="FFD9D9D9"/>
      </bottom>
      <diagonal/>
    </border>
    <border>
      <left/>
      <right/>
      <top style="thin">
        <color rgb="FFD9D9D9"/>
      </top>
      <bottom/>
      <diagonal/>
    </border>
    <border>
      <left style="thin">
        <color rgb="FFD9D9D9"/>
      </left>
      <right style="thin">
        <color rgb="FFD9D9D9"/>
      </right>
      <top style="thin">
        <color rgb="FFD9D9D9"/>
      </top>
      <bottom style="thin">
        <color auto="1"/>
      </bottom>
      <diagonal/>
    </border>
    <border>
      <left style="thin">
        <color rgb="FFD9D9D9"/>
      </left>
      <right style="thin">
        <color rgb="FFD9D9D9"/>
      </right>
      <top style="thin">
        <color auto="1"/>
      </top>
      <bottom style="thin">
        <color rgb="FFD9D9D9"/>
      </bottom>
      <diagonal/>
    </border>
    <border>
      <left style="thin">
        <color auto="1"/>
      </left>
      <right style="thin">
        <color rgb="FFD9D9D9"/>
      </right>
      <top style="thin">
        <color auto="1"/>
      </top>
      <bottom style="thin">
        <color rgb="FFD9D9D9"/>
      </bottom>
      <diagonal/>
    </border>
    <border>
      <left style="thin">
        <color auto="1"/>
      </left>
      <right style="thin">
        <color rgb="FFD9D9D9"/>
      </right>
      <top style="thin">
        <color rgb="FFD9D9D9"/>
      </top>
      <bottom style="thin">
        <color rgb="FFD9D9D9"/>
      </bottom>
      <diagonal/>
    </border>
    <border>
      <left style="thin">
        <color auto="1"/>
      </left>
      <right style="thin">
        <color rgb="FFD9D9D9"/>
      </right>
      <top style="thin">
        <color rgb="FFD9D9D9"/>
      </top>
      <bottom style="thin">
        <color auto="1"/>
      </bottom>
      <diagonal/>
    </border>
    <border>
      <left style="thin">
        <color rgb="FFD9D9D9"/>
      </left>
      <right style="thin">
        <color auto="1"/>
      </right>
      <top style="thin">
        <color auto="1"/>
      </top>
      <bottom style="thin">
        <color rgb="FFD9D9D9"/>
      </bottom>
      <diagonal/>
    </border>
    <border>
      <left style="thin">
        <color rgb="FFD9D9D9"/>
      </left>
      <right style="thin">
        <color auto="1"/>
      </right>
      <top style="thin">
        <color rgb="FFD9D9D9"/>
      </top>
      <bottom style="thin">
        <color rgb="FFD9D9D9"/>
      </bottom>
      <diagonal/>
    </border>
    <border>
      <left style="thin">
        <color indexed="64"/>
      </left>
      <right style="thin">
        <color indexed="64"/>
      </right>
      <top style="thin">
        <color indexed="64"/>
      </top>
      <bottom style="thin">
        <color indexed="64"/>
      </bottom>
      <diagonal/>
    </border>
    <border>
      <left/>
      <right style="thin">
        <color rgb="FFD9E2F3"/>
      </right>
      <top/>
      <bottom style="thin">
        <color rgb="FFD9E2F3"/>
      </bottom>
      <diagonal/>
    </border>
    <border>
      <left style="thin">
        <color rgb="FFD9E2F3"/>
      </left>
      <right style="thin">
        <color rgb="FFD9E2F3"/>
      </right>
      <top/>
      <bottom style="thin">
        <color rgb="FFD9E2F3"/>
      </bottom>
      <diagonal/>
    </border>
    <border>
      <left style="thin">
        <color rgb="FFD9E2F3"/>
      </left>
      <right/>
      <top/>
      <bottom style="thin">
        <color rgb="FFD9E2F3"/>
      </bottom>
      <diagonal/>
    </border>
    <border>
      <left style="thin">
        <color auto="1"/>
      </left>
      <right/>
      <top/>
      <bottom style="thin">
        <color auto="1"/>
      </bottom>
      <diagonal/>
    </border>
    <border>
      <left/>
      <right style="thin">
        <color auto="1"/>
      </right>
      <top style="thin">
        <color auto="1"/>
      </top>
      <bottom/>
      <diagonal/>
    </border>
    <border>
      <left/>
      <right style="thin">
        <color auto="1"/>
      </right>
      <top/>
      <bottom style="thin">
        <color auto="1"/>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auto="1"/>
      </right>
      <top style="thin">
        <color auto="1"/>
      </top>
      <bottom style="thin">
        <color auto="1"/>
      </bottom>
      <diagonal/>
    </border>
  </borders>
  <cellStyleXfs count="1">
    <xf numFmtId="0" fontId="0" fillId="0" borderId="0"/>
  </cellStyleXfs>
  <cellXfs count="347">
    <xf numFmtId="0" fontId="0" fillId="0" borderId="0" xfId="0"/>
    <xf numFmtId="164" fontId="0" fillId="0" borderId="0" xfId="0" applyNumberFormat="1"/>
    <xf numFmtId="0" fontId="2" fillId="3" borderId="0" xfId="0" applyFont="1" applyFill="1" applyAlignment="1">
      <alignment horizontal="center"/>
    </xf>
    <xf numFmtId="0" fontId="0" fillId="0" borderId="4" xfId="0" applyBorder="1"/>
    <xf numFmtId="0" fontId="2" fillId="3" borderId="5" xfId="0" applyFont="1" applyFill="1" applyBorder="1" applyAlignment="1">
      <alignment horizontal="center"/>
    </xf>
    <xf numFmtId="164" fontId="2" fillId="3" borderId="5" xfId="0" applyNumberFormat="1" applyFont="1" applyFill="1" applyBorder="1" applyAlignment="1">
      <alignment horizontal="center"/>
    </xf>
    <xf numFmtId="164" fontId="2" fillId="3" borderId="0" xfId="0" applyNumberFormat="1" applyFont="1" applyFill="1" applyAlignment="1">
      <alignment horizontal="center"/>
    </xf>
    <xf numFmtId="0" fontId="2" fillId="4" borderId="0" xfId="0" applyFont="1" applyFill="1" applyAlignment="1">
      <alignment horizontal="center"/>
    </xf>
    <xf numFmtId="0" fontId="4" fillId="5" borderId="0" xfId="0" applyFont="1" applyFill="1"/>
    <xf numFmtId="0" fontId="4" fillId="5" borderId="2" xfId="0" applyFont="1" applyFill="1" applyBorder="1"/>
    <xf numFmtId="0" fontId="4" fillId="5" borderId="4" xfId="0" applyFont="1" applyFill="1" applyBorder="1"/>
    <xf numFmtId="0" fontId="4" fillId="5" borderId="3" xfId="0" applyFont="1" applyFill="1" applyBorder="1" applyAlignment="1">
      <alignment horizontal="center"/>
    </xf>
    <xf numFmtId="0" fontId="4" fillId="5" borderId="0" xfId="0" applyFont="1" applyFill="1" applyAlignment="1">
      <alignment horizontal="center"/>
    </xf>
    <xf numFmtId="0" fontId="4" fillId="5" borderId="5" xfId="0" applyFont="1" applyFill="1" applyBorder="1" applyAlignment="1">
      <alignment horizontal="center"/>
    </xf>
    <xf numFmtId="0" fontId="6" fillId="6" borderId="0" xfId="0" applyFont="1" applyFill="1"/>
    <xf numFmtId="0" fontId="5" fillId="8" borderId="0" xfId="0" applyFont="1" applyFill="1"/>
    <xf numFmtId="0" fontId="12" fillId="5" borderId="0" xfId="0" applyFont="1" applyFill="1"/>
    <xf numFmtId="0" fontId="13" fillId="5" borderId="0" xfId="0" applyFont="1" applyFill="1"/>
    <xf numFmtId="0" fontId="7" fillId="7" borderId="8" xfId="0" applyFont="1" applyFill="1" applyBorder="1"/>
    <xf numFmtId="164" fontId="7" fillId="7" borderId="8" xfId="0" applyNumberFormat="1" applyFont="1" applyFill="1" applyBorder="1"/>
    <xf numFmtId="0" fontId="7" fillId="2" borderId="8" xfId="0" applyFont="1" applyFill="1" applyBorder="1"/>
    <xf numFmtId="164" fontId="7" fillId="2" borderId="8" xfId="0" applyNumberFormat="1" applyFont="1" applyFill="1" applyBorder="1"/>
    <xf numFmtId="0" fontId="7" fillId="2" borderId="9" xfId="0" applyFont="1" applyFill="1" applyBorder="1"/>
    <xf numFmtId="164" fontId="7" fillId="2" borderId="9" xfId="0" applyNumberFormat="1" applyFont="1" applyFill="1" applyBorder="1"/>
    <xf numFmtId="0" fontId="6" fillId="6" borderId="11" xfId="0" applyFont="1" applyFill="1" applyBorder="1"/>
    <xf numFmtId="0" fontId="6" fillId="6" borderId="11" xfId="0" applyFont="1" applyFill="1" applyBorder="1" applyAlignment="1">
      <alignment horizontal="center"/>
    </xf>
    <xf numFmtId="3" fontId="7" fillId="7" borderId="8" xfId="0" applyNumberFormat="1" applyFont="1" applyFill="1" applyBorder="1" applyAlignment="1">
      <alignment horizontal="center"/>
    </xf>
    <xf numFmtId="0" fontId="7" fillId="7" borderId="13" xfId="0" applyFont="1" applyFill="1" applyBorder="1"/>
    <xf numFmtId="164" fontId="8" fillId="7" borderId="14" xfId="0" applyNumberFormat="1" applyFont="1" applyFill="1" applyBorder="1" applyAlignment="1">
      <alignment horizontal="center"/>
    </xf>
    <xf numFmtId="0" fontId="6" fillId="7" borderId="13" xfId="0" applyFont="1" applyFill="1" applyBorder="1"/>
    <xf numFmtId="164" fontId="8" fillId="7" borderId="8" xfId="0" applyNumberFormat="1" applyFont="1" applyFill="1" applyBorder="1" applyAlignment="1">
      <alignment horizontal="center"/>
    </xf>
    <xf numFmtId="0" fontId="8" fillId="7" borderId="8" xfId="0" applyFont="1" applyFill="1" applyBorder="1" applyAlignment="1">
      <alignment horizontal="center"/>
    </xf>
    <xf numFmtId="3" fontId="7" fillId="2" borderId="8" xfId="0" applyNumberFormat="1" applyFont="1" applyFill="1" applyBorder="1" applyAlignment="1">
      <alignment horizontal="center"/>
    </xf>
    <xf numFmtId="0" fontId="7" fillId="2" borderId="13" xfId="0" applyFont="1" applyFill="1" applyBorder="1"/>
    <xf numFmtId="164" fontId="8" fillId="2" borderId="14" xfId="0" applyNumberFormat="1" applyFont="1" applyFill="1" applyBorder="1" applyAlignment="1">
      <alignment horizontal="center"/>
    </xf>
    <xf numFmtId="0" fontId="6" fillId="2" borderId="13" xfId="0" applyFont="1" applyFill="1" applyBorder="1"/>
    <xf numFmtId="164" fontId="8" fillId="2" borderId="8" xfId="0" applyNumberFormat="1" applyFont="1" applyFill="1" applyBorder="1" applyAlignment="1">
      <alignment horizontal="center"/>
    </xf>
    <xf numFmtId="0" fontId="8" fillId="2" borderId="8" xfId="0" applyFont="1" applyFill="1" applyBorder="1" applyAlignment="1">
      <alignment horizontal="center"/>
    </xf>
    <xf numFmtId="0" fontId="6" fillId="7" borderId="8" xfId="0" applyFont="1" applyFill="1" applyBorder="1"/>
    <xf numFmtId="0" fontId="6" fillId="2" borderId="8" xfId="0" applyFont="1" applyFill="1" applyBorder="1"/>
    <xf numFmtId="3" fontId="7" fillId="2" borderId="9" xfId="0" applyNumberFormat="1" applyFont="1" applyFill="1" applyBorder="1" applyAlignment="1">
      <alignment horizontal="center"/>
    </xf>
    <xf numFmtId="0" fontId="6" fillId="2" borderId="9" xfId="0" applyFont="1" applyFill="1" applyBorder="1"/>
    <xf numFmtId="0" fontId="7" fillId="2" borderId="15" xfId="0" applyFont="1" applyFill="1" applyBorder="1"/>
    <xf numFmtId="164" fontId="8" fillId="2" borderId="16" xfId="0" applyNumberFormat="1" applyFont="1" applyFill="1" applyBorder="1" applyAlignment="1">
      <alignment horizontal="center"/>
    </xf>
    <xf numFmtId="164" fontId="8" fillId="2" borderId="9" xfId="0" applyNumberFormat="1" applyFont="1" applyFill="1" applyBorder="1" applyAlignment="1">
      <alignment horizontal="center"/>
    </xf>
    <xf numFmtId="0" fontId="8" fillId="2" borderId="9" xfId="0" applyFont="1" applyFill="1" applyBorder="1" applyAlignment="1">
      <alignment horizontal="center"/>
    </xf>
    <xf numFmtId="0" fontId="1" fillId="8" borderId="0" xfId="0" applyFont="1" applyFill="1"/>
    <xf numFmtId="0" fontId="5" fillId="6" borderId="11" xfId="0" applyFont="1" applyFill="1" applyBorder="1" applyAlignment="1">
      <alignment horizontal="center"/>
    </xf>
    <xf numFmtId="0" fontId="5" fillId="6" borderId="12" xfId="0" applyFont="1" applyFill="1" applyBorder="1"/>
    <xf numFmtId="0" fontId="16" fillId="11" borderId="8" xfId="0" applyFont="1" applyFill="1" applyBorder="1"/>
    <xf numFmtId="0" fontId="14" fillId="10" borderId="8" xfId="0" applyFont="1" applyFill="1" applyBorder="1"/>
    <xf numFmtId="164" fontId="14" fillId="10" borderId="8" xfId="0" applyNumberFormat="1" applyFont="1" applyFill="1" applyBorder="1"/>
    <xf numFmtId="0" fontId="15" fillId="10" borderId="8" xfId="0" applyFont="1" applyFill="1" applyBorder="1"/>
    <xf numFmtId="3" fontId="14" fillId="10" borderId="8" xfId="0" applyNumberFormat="1" applyFont="1" applyFill="1" applyBorder="1" applyAlignment="1">
      <alignment horizontal="center"/>
    </xf>
    <xf numFmtId="0" fontId="14" fillId="10" borderId="13" xfId="0" applyFont="1" applyFill="1" applyBorder="1"/>
    <xf numFmtId="164" fontId="17" fillId="10" borderId="14" xfId="0" applyNumberFormat="1" applyFont="1" applyFill="1" applyBorder="1" applyAlignment="1">
      <alignment horizontal="center"/>
    </xf>
    <xf numFmtId="0" fontId="15" fillId="10" borderId="13" xfId="0" applyFont="1" applyFill="1" applyBorder="1"/>
    <xf numFmtId="164" fontId="17" fillId="10" borderId="8" xfId="0" applyNumberFormat="1" applyFont="1" applyFill="1" applyBorder="1" applyAlignment="1">
      <alignment horizontal="center"/>
    </xf>
    <xf numFmtId="0" fontId="17" fillId="10" borderId="8" xfId="0" applyFont="1" applyFill="1" applyBorder="1" applyAlignment="1">
      <alignment horizontal="center"/>
    </xf>
    <xf numFmtId="0" fontId="0" fillId="0" borderId="0" xfId="0" applyAlignment="1">
      <alignment horizontal="center"/>
    </xf>
    <xf numFmtId="0" fontId="4" fillId="5" borderId="0" xfId="0" applyFont="1" applyFill="1" applyAlignment="1">
      <alignment horizontal="left"/>
    </xf>
    <xf numFmtId="0" fontId="0" fillId="0" borderId="0" xfId="0" applyAlignment="1">
      <alignment horizontal="left"/>
    </xf>
    <xf numFmtId="0" fontId="5" fillId="8" borderId="0" xfId="0" applyFont="1" applyFill="1" applyAlignment="1">
      <alignment horizontal="center"/>
    </xf>
    <xf numFmtId="0" fontId="7" fillId="2" borderId="6" xfId="0" applyFont="1" applyFill="1" applyBorder="1" applyAlignment="1">
      <alignment horizontal="center"/>
    </xf>
    <xf numFmtId="0" fontId="7" fillId="9" borderId="1" xfId="0" applyFont="1" applyFill="1" applyBorder="1" applyAlignment="1">
      <alignment horizontal="left" vertical="top" wrapText="1"/>
    </xf>
    <xf numFmtId="0" fontId="6" fillId="6" borderId="7" xfId="0" applyFont="1" applyFill="1" applyBorder="1" applyAlignment="1">
      <alignment horizontal="center" vertical="center"/>
    </xf>
    <xf numFmtId="0" fontId="7" fillId="7" borderId="8" xfId="0" applyFont="1" applyFill="1" applyBorder="1" applyAlignment="1">
      <alignment horizontal="center" vertical="center"/>
    </xf>
    <xf numFmtId="165" fontId="7" fillId="7" borderId="8" xfId="0" applyNumberFormat="1" applyFont="1" applyFill="1" applyBorder="1" applyAlignment="1">
      <alignment horizontal="center" vertical="center"/>
    </xf>
    <xf numFmtId="0" fontId="7" fillId="2" borderId="8" xfId="0" applyFont="1" applyFill="1" applyBorder="1" applyAlignment="1">
      <alignment horizontal="center" vertical="center"/>
    </xf>
    <xf numFmtId="0" fontId="7" fillId="0" borderId="8" xfId="0" applyFont="1" applyBorder="1" applyAlignment="1">
      <alignment horizontal="center" vertical="center"/>
    </xf>
    <xf numFmtId="164" fontId="7" fillId="0" borderId="8" xfId="0" applyNumberFormat="1" applyFont="1" applyBorder="1" applyAlignment="1">
      <alignment horizontal="center" vertical="center"/>
    </xf>
    <xf numFmtId="0" fontId="7" fillId="0" borderId="9" xfId="0" applyFont="1" applyBorder="1" applyAlignment="1">
      <alignment horizontal="center" vertical="center"/>
    </xf>
    <xf numFmtId="164" fontId="7" fillId="0" borderId="9" xfId="0" applyNumberFormat="1" applyFont="1" applyBorder="1" applyAlignment="1">
      <alignment horizontal="center" vertical="center"/>
    </xf>
    <xf numFmtId="0" fontId="7" fillId="0" borderId="8" xfId="0" applyFont="1" applyBorder="1" applyAlignment="1">
      <alignment horizontal="left" vertical="center"/>
    </xf>
    <xf numFmtId="0" fontId="7" fillId="0" borderId="9" xfId="0" applyFont="1" applyBorder="1" applyAlignment="1">
      <alignment horizontal="left" vertical="center"/>
    </xf>
    <xf numFmtId="165" fontId="7" fillId="7" borderId="7" xfId="0" applyNumberFormat="1" applyFont="1" applyFill="1" applyBorder="1" applyAlignment="1">
      <alignment horizontal="center" vertical="center"/>
    </xf>
    <xf numFmtId="0" fontId="5" fillId="5" borderId="0" xfId="0" applyFont="1" applyFill="1" applyAlignment="1">
      <alignment horizontal="center"/>
    </xf>
    <xf numFmtId="0" fontId="5" fillId="5" borderId="0" xfId="0" applyFont="1" applyFill="1"/>
    <xf numFmtId="0" fontId="5" fillId="5" borderId="0" xfId="0" applyFont="1" applyFill="1" applyAlignment="1">
      <alignment horizontal="center" wrapText="1"/>
    </xf>
    <xf numFmtId="0" fontId="5" fillId="5" borderId="0" xfId="0" applyFont="1" applyFill="1" applyAlignment="1">
      <alignment horizontal="center" vertical="center"/>
    </xf>
    <xf numFmtId="0" fontId="5" fillId="5" borderId="0" xfId="0" applyFont="1" applyFill="1" applyAlignment="1">
      <alignment horizontal="left" vertical="center"/>
    </xf>
    <xf numFmtId="0" fontId="6" fillId="6" borderId="0" xfId="0" applyFont="1" applyFill="1" applyAlignment="1">
      <alignment horizontal="center"/>
    </xf>
    <xf numFmtId="0" fontId="5" fillId="5" borderId="0" xfId="0" applyFont="1" applyFill="1" applyAlignment="1">
      <alignment horizontal="left"/>
    </xf>
    <xf numFmtId="0" fontId="5" fillId="5" borderId="0" xfId="0" applyFont="1" applyFill="1" applyAlignment="1">
      <alignment horizontal="right"/>
    </xf>
    <xf numFmtId="0" fontId="6" fillId="6" borderId="0" xfId="0" applyFont="1" applyFill="1" applyAlignment="1">
      <alignment horizontal="left"/>
    </xf>
    <xf numFmtId="0" fontId="5" fillId="5" borderId="2" xfId="0" applyFont="1" applyFill="1" applyBorder="1"/>
    <xf numFmtId="0" fontId="5" fillId="5" borderId="3" xfId="0" applyFont="1" applyFill="1" applyBorder="1" applyAlignment="1">
      <alignment horizontal="center"/>
    </xf>
    <xf numFmtId="0" fontId="5" fillId="8" borderId="10" xfId="0" applyFont="1" applyFill="1" applyBorder="1"/>
    <xf numFmtId="0" fontId="5" fillId="8" borderId="11" xfId="0" applyFont="1" applyFill="1" applyBorder="1"/>
    <xf numFmtId="0" fontId="5" fillId="8" borderId="11" xfId="0" applyFont="1" applyFill="1" applyBorder="1" applyAlignment="1">
      <alignment horizontal="center"/>
    </xf>
    <xf numFmtId="0" fontId="5" fillId="8" borderId="8" xfId="0" applyFont="1" applyFill="1" applyBorder="1"/>
    <xf numFmtId="164" fontId="5" fillId="8" borderId="8" xfId="0" applyNumberFormat="1" applyFont="1" applyFill="1" applyBorder="1"/>
    <xf numFmtId="3" fontId="5" fillId="8" borderId="8" xfId="0" applyNumberFormat="1" applyFont="1" applyFill="1" applyBorder="1" applyAlignment="1">
      <alignment horizontal="center"/>
    </xf>
    <xf numFmtId="0" fontId="5" fillId="8" borderId="13" xfId="0" applyFont="1" applyFill="1" applyBorder="1"/>
    <xf numFmtId="164" fontId="18" fillId="8" borderId="14" xfId="0" applyNumberFormat="1" applyFont="1" applyFill="1" applyBorder="1" applyAlignment="1">
      <alignment horizontal="center"/>
    </xf>
    <xf numFmtId="0" fontId="7" fillId="0" borderId="7" xfId="0" applyFont="1" applyBorder="1" applyAlignment="1">
      <alignment horizontal="center" vertical="center"/>
    </xf>
    <xf numFmtId="0" fontId="7" fillId="0" borderId="7" xfId="0" applyFont="1" applyBorder="1" applyAlignment="1">
      <alignment horizontal="left" vertical="center"/>
    </xf>
    <xf numFmtId="164" fontId="7" fillId="0" borderId="7" xfId="0" applyNumberFormat="1" applyFont="1" applyBorder="1" applyAlignment="1">
      <alignment horizontal="center" vertical="center"/>
    </xf>
    <xf numFmtId="0" fontId="7" fillId="7" borderId="20" xfId="0" applyFont="1" applyFill="1" applyBorder="1" applyAlignment="1">
      <alignment horizontal="center" vertical="center"/>
    </xf>
    <xf numFmtId="0" fontId="7" fillId="7" borderId="21" xfId="0" applyFont="1" applyFill="1" applyBorder="1" applyAlignment="1">
      <alignment horizontal="left" vertical="center"/>
    </xf>
    <xf numFmtId="0" fontId="7" fillId="7" borderId="21" xfId="0" applyFont="1" applyFill="1" applyBorder="1" applyAlignment="1">
      <alignment horizontal="center" vertical="center"/>
    </xf>
    <xf numFmtId="164" fontId="7" fillId="7" borderId="21" xfId="0" applyNumberFormat="1" applyFont="1" applyFill="1" applyBorder="1" applyAlignment="1">
      <alignment horizontal="center" vertical="center"/>
    </xf>
    <xf numFmtId="165" fontId="7" fillId="7" borderId="21" xfId="0" applyNumberFormat="1"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left" vertical="center"/>
    </xf>
    <xf numFmtId="0" fontId="7" fillId="2" borderId="21" xfId="0" applyFont="1" applyFill="1" applyBorder="1" applyAlignment="1">
      <alignment horizontal="center" vertical="center"/>
    </xf>
    <xf numFmtId="164" fontId="7" fillId="2" borderId="21" xfId="0" applyNumberFormat="1" applyFont="1" applyFill="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left" vertical="center"/>
    </xf>
    <xf numFmtId="0" fontId="7" fillId="0" borderId="21" xfId="0" applyFont="1" applyBorder="1" applyAlignment="1">
      <alignment horizontal="center" vertical="center"/>
    </xf>
    <xf numFmtId="164" fontId="7" fillId="0" borderId="21" xfId="0" applyNumberFormat="1" applyFont="1" applyBorder="1" applyAlignment="1">
      <alignment horizontal="center" vertical="center"/>
    </xf>
    <xf numFmtId="0" fontId="7" fillId="7" borderId="17" xfId="0" applyFont="1" applyFill="1" applyBorder="1" applyAlignment="1">
      <alignment horizontal="center" vertical="center"/>
    </xf>
    <xf numFmtId="0" fontId="7" fillId="7" borderId="18" xfId="0" applyFont="1" applyFill="1" applyBorder="1" applyAlignment="1">
      <alignment horizontal="left" vertical="center"/>
    </xf>
    <xf numFmtId="0" fontId="7" fillId="7" borderId="18" xfId="0" applyFont="1" applyFill="1" applyBorder="1" applyAlignment="1">
      <alignment horizontal="center" vertical="center"/>
    </xf>
    <xf numFmtId="164" fontId="7" fillId="7" borderId="18" xfId="0" applyNumberFormat="1" applyFont="1" applyFill="1" applyBorder="1" applyAlignment="1">
      <alignment horizontal="center" vertical="center"/>
    </xf>
    <xf numFmtId="165" fontId="7" fillId="7" borderId="18" xfId="0" applyNumberFormat="1" applyFont="1" applyFill="1" applyBorder="1" applyAlignment="1">
      <alignment horizontal="center" vertical="center"/>
    </xf>
    <xf numFmtId="0" fontId="6" fillId="6" borderId="23" xfId="0" applyFont="1" applyFill="1" applyBorder="1" applyAlignment="1">
      <alignment horizontal="center" vertical="center"/>
    </xf>
    <xf numFmtId="0" fontId="6" fillId="6" borderId="24" xfId="0" applyFont="1" applyFill="1" applyBorder="1" applyAlignment="1">
      <alignment horizontal="center" vertical="center"/>
    </xf>
    <xf numFmtId="0" fontId="6" fillId="6" borderId="24" xfId="0" applyFont="1" applyFill="1" applyBorder="1" applyAlignment="1">
      <alignment horizontal="center" vertical="center" wrapText="1"/>
    </xf>
    <xf numFmtId="0" fontId="6" fillId="6" borderId="25" xfId="0" applyFont="1" applyFill="1" applyBorder="1" applyAlignment="1">
      <alignment horizontal="center" vertical="center"/>
    </xf>
    <xf numFmtId="0" fontId="6" fillId="6" borderId="25" xfId="0" applyFont="1" applyFill="1" applyBorder="1" applyAlignment="1">
      <alignment horizontal="center" vertical="center" wrapText="1"/>
    </xf>
    <xf numFmtId="0" fontId="5" fillId="5" borderId="0" xfId="0" applyFont="1" applyFill="1" applyAlignment="1">
      <alignment wrapText="1"/>
    </xf>
    <xf numFmtId="0" fontId="4" fillId="5" borderId="0" xfId="0" applyFont="1" applyFill="1" applyAlignment="1">
      <alignment wrapText="1"/>
    </xf>
    <xf numFmtId="0" fontId="5" fillId="8" borderId="0" xfId="0" applyFont="1" applyFill="1" applyAlignment="1">
      <alignment wrapText="1"/>
    </xf>
    <xf numFmtId="0" fontId="7" fillId="7" borderId="19" xfId="0" applyFont="1" applyFill="1" applyBorder="1" applyAlignment="1">
      <alignment horizontal="center" vertical="center" wrapText="1"/>
    </xf>
    <xf numFmtId="0" fontId="7" fillId="2" borderId="22" xfId="0" applyFont="1" applyFill="1" applyBorder="1" applyAlignment="1">
      <alignment horizontal="center" vertical="center" wrapText="1"/>
    </xf>
    <xf numFmtId="0" fontId="7" fillId="7" borderId="22" xfId="0" applyFont="1" applyFill="1" applyBorder="1" applyAlignment="1">
      <alignment horizontal="center" vertical="center" wrapText="1"/>
    </xf>
    <xf numFmtId="0" fontId="7" fillId="0" borderId="22" xfId="0" applyFont="1" applyBorder="1" applyAlignment="1">
      <alignment horizontal="center" vertical="center" wrapText="1"/>
    </xf>
    <xf numFmtId="0" fontId="7" fillId="0" borderId="7" xfId="0" applyFont="1" applyBorder="1" applyAlignment="1">
      <alignment horizontal="center" vertical="center" wrapText="1"/>
    </xf>
    <xf numFmtId="0" fontId="7" fillId="0" borderId="8" xfId="0" applyFont="1" applyBorder="1" applyAlignment="1">
      <alignment horizontal="center" vertical="center" wrapText="1"/>
    </xf>
    <xf numFmtId="0" fontId="7" fillId="0" borderId="9" xfId="0" applyFont="1" applyBorder="1" applyAlignment="1">
      <alignment horizontal="center" vertical="center" wrapText="1"/>
    </xf>
    <xf numFmtId="0" fontId="0" fillId="0" borderId="0" xfId="0" applyAlignment="1">
      <alignment wrapText="1"/>
    </xf>
    <xf numFmtId="0" fontId="20" fillId="5" borderId="0" xfId="0" applyFont="1" applyFill="1"/>
    <xf numFmtId="0" fontId="19" fillId="5" borderId="0" xfId="0" applyFont="1" applyFill="1" applyAlignment="1">
      <alignment horizontal="right"/>
    </xf>
    <xf numFmtId="0" fontId="5" fillId="8" borderId="0" xfId="0" applyFont="1" applyFill="1" applyAlignment="1">
      <alignment horizontal="left"/>
    </xf>
    <xf numFmtId="0" fontId="6" fillId="6" borderId="25" xfId="0" applyFont="1" applyFill="1" applyBorder="1" applyAlignment="1">
      <alignment horizontal="left" vertical="center"/>
    </xf>
    <xf numFmtId="0" fontId="7" fillId="7" borderId="19" xfId="0" applyFont="1" applyFill="1" applyBorder="1" applyAlignment="1">
      <alignment horizontal="left" vertical="center"/>
    </xf>
    <xf numFmtId="0" fontId="7" fillId="2" borderId="22" xfId="0" applyFont="1" applyFill="1" applyBorder="1" applyAlignment="1">
      <alignment horizontal="left" vertical="center"/>
    </xf>
    <xf numFmtId="0" fontId="7" fillId="7" borderId="22" xfId="0" applyFont="1" applyFill="1" applyBorder="1" applyAlignment="1">
      <alignment horizontal="left" vertical="center"/>
    </xf>
    <xf numFmtId="0" fontId="7" fillId="0" borderId="22" xfId="0" applyFont="1" applyBorder="1" applyAlignment="1">
      <alignment horizontal="left" vertical="center"/>
    </xf>
    <xf numFmtId="0" fontId="21" fillId="0" borderId="0" xfId="0" applyFont="1"/>
    <xf numFmtId="0" fontId="21" fillId="0" borderId="26" xfId="0" applyFont="1" applyBorder="1"/>
    <xf numFmtId="0" fontId="21" fillId="0" borderId="27" xfId="0" applyFont="1" applyBorder="1"/>
    <xf numFmtId="164" fontId="21" fillId="0" borderId="27" xfId="0" applyNumberFormat="1" applyFont="1" applyBorder="1"/>
    <xf numFmtId="0" fontId="21" fillId="0" borderId="28" xfId="0" applyFont="1" applyBorder="1"/>
    <xf numFmtId="0" fontId="21" fillId="2" borderId="29" xfId="0" applyFont="1" applyFill="1" applyBorder="1"/>
    <xf numFmtId="0" fontId="21" fillId="2" borderId="30" xfId="0" applyFont="1" applyFill="1" applyBorder="1"/>
    <xf numFmtId="164" fontId="21" fillId="2" borderId="30" xfId="0" applyNumberFormat="1" applyFont="1" applyFill="1" applyBorder="1"/>
    <xf numFmtId="0" fontId="21" fillId="2" borderId="31" xfId="0" applyFont="1" applyFill="1" applyBorder="1"/>
    <xf numFmtId="0" fontId="21" fillId="0" borderId="29" xfId="0" applyFont="1" applyBorder="1"/>
    <xf numFmtId="0" fontId="21" fillId="0" borderId="30" xfId="0" applyFont="1" applyBorder="1"/>
    <xf numFmtId="164" fontId="21" fillId="0" borderId="30" xfId="0" applyNumberFormat="1" applyFont="1" applyBorder="1"/>
    <xf numFmtId="0" fontId="21" fillId="0" borderId="31" xfId="0" applyFont="1" applyBorder="1"/>
    <xf numFmtId="0" fontId="21" fillId="2" borderId="32" xfId="0" applyFont="1" applyFill="1" applyBorder="1"/>
    <xf numFmtId="0" fontId="21" fillId="2" borderId="33" xfId="0" applyFont="1" applyFill="1" applyBorder="1"/>
    <xf numFmtId="164" fontId="21" fillId="2" borderId="33" xfId="0" applyNumberFormat="1" applyFont="1" applyFill="1" applyBorder="1"/>
    <xf numFmtId="0" fontId="21" fillId="2" borderId="34" xfId="0" applyFont="1" applyFill="1" applyBorder="1"/>
    <xf numFmtId="0" fontId="5" fillId="12" borderId="0" xfId="0" applyFont="1" applyFill="1"/>
    <xf numFmtId="0" fontId="1" fillId="13" borderId="0" xfId="0" applyFont="1" applyFill="1" applyAlignment="1">
      <alignment horizontal="center"/>
    </xf>
    <xf numFmtId="0" fontId="5" fillId="12" borderId="0" xfId="0" applyFont="1" applyFill="1" applyAlignment="1">
      <alignment horizontal="center" vertical="center"/>
    </xf>
    <xf numFmtId="0" fontId="4" fillId="12" borderId="0" xfId="0" applyFont="1" applyFill="1"/>
    <xf numFmtId="0" fontId="4" fillId="12" borderId="0" xfId="0" applyFont="1" applyFill="1" applyAlignment="1">
      <alignment horizontal="center"/>
    </xf>
    <xf numFmtId="0" fontId="5" fillId="5" borderId="0" xfId="0" applyFont="1" applyFill="1" applyAlignment="1">
      <alignment horizontal="left" wrapText="1"/>
    </xf>
    <xf numFmtId="0" fontId="4" fillId="5" borderId="0" xfId="0" applyFont="1" applyFill="1" applyAlignment="1">
      <alignment horizontal="left" wrapText="1"/>
    </xf>
    <xf numFmtId="0" fontId="5" fillId="8" borderId="0" xfId="0" applyFont="1" applyFill="1" applyAlignment="1">
      <alignment horizontal="left" wrapText="1"/>
    </xf>
    <xf numFmtId="0" fontId="6" fillId="6" borderId="25" xfId="0" applyFont="1" applyFill="1" applyBorder="1" applyAlignment="1">
      <alignment horizontal="left" vertical="center" wrapText="1"/>
    </xf>
    <xf numFmtId="0" fontId="7" fillId="7" borderId="19" xfId="0" applyFont="1" applyFill="1" applyBorder="1" applyAlignment="1">
      <alignment horizontal="left" vertical="center" wrapText="1"/>
    </xf>
    <xf numFmtId="0" fontId="7" fillId="2" borderId="22" xfId="0" applyFont="1" applyFill="1" applyBorder="1" applyAlignment="1">
      <alignment horizontal="left" vertical="center" wrapText="1"/>
    </xf>
    <xf numFmtId="0" fontId="7" fillId="7" borderId="22" xfId="0" applyFont="1" applyFill="1" applyBorder="1" applyAlignment="1">
      <alignment horizontal="left" vertical="center" wrapText="1"/>
    </xf>
    <xf numFmtId="0" fontId="7" fillId="0" borderId="22" xfId="0" applyFont="1" applyBorder="1" applyAlignment="1">
      <alignment horizontal="left" vertical="center" wrapText="1"/>
    </xf>
    <xf numFmtId="0" fontId="7" fillId="0" borderId="7" xfId="0" applyFont="1" applyBorder="1" applyAlignment="1">
      <alignment horizontal="left" vertical="center" wrapText="1"/>
    </xf>
    <xf numFmtId="0" fontId="7" fillId="0" borderId="8" xfId="0" applyFont="1" applyBorder="1" applyAlignment="1">
      <alignment horizontal="left" vertical="center" wrapText="1"/>
    </xf>
    <xf numFmtId="0" fontId="7" fillId="0" borderId="9" xfId="0" applyFont="1" applyBorder="1" applyAlignment="1">
      <alignment horizontal="left" vertical="center" wrapText="1"/>
    </xf>
    <xf numFmtId="0" fontId="0" fillId="0" borderId="0" xfId="0" applyAlignment="1">
      <alignment horizontal="left" wrapText="1"/>
    </xf>
    <xf numFmtId="0" fontId="22" fillId="0" borderId="0" xfId="0" applyFont="1"/>
    <xf numFmtId="0" fontId="0" fillId="0" borderId="37" xfId="0" applyBorder="1"/>
    <xf numFmtId="0" fontId="0" fillId="0" borderId="38" xfId="0" applyBorder="1"/>
    <xf numFmtId="0" fontId="0" fillId="0" borderId="30" xfId="0" applyBorder="1"/>
    <xf numFmtId="0" fontId="0" fillId="0" borderId="39" xfId="0" applyBorder="1"/>
    <xf numFmtId="0" fontId="1" fillId="13" borderId="40" xfId="0" applyFont="1" applyFill="1" applyBorder="1" applyAlignment="1">
      <alignment horizontal="center"/>
    </xf>
    <xf numFmtId="0" fontId="1" fillId="13" borderId="41" xfId="0" applyFont="1" applyFill="1" applyBorder="1" applyAlignment="1">
      <alignment horizontal="center"/>
    </xf>
    <xf numFmtId="164" fontId="0" fillId="0" borderId="42" xfId="0" applyNumberFormat="1" applyBorder="1"/>
    <xf numFmtId="164" fontId="0" fillId="0" borderId="43" xfId="0" applyNumberFormat="1" applyBorder="1"/>
    <xf numFmtId="0" fontId="1" fillId="13" borderId="44" xfId="0" applyFont="1" applyFill="1" applyBorder="1" applyAlignment="1">
      <alignment horizontal="center"/>
    </xf>
    <xf numFmtId="0" fontId="0" fillId="15" borderId="0" xfId="0" applyFill="1"/>
    <xf numFmtId="0" fontId="0" fillId="14" borderId="0" xfId="0" applyFill="1"/>
    <xf numFmtId="0" fontId="1" fillId="13" borderId="0" xfId="0" applyFont="1" applyFill="1"/>
    <xf numFmtId="0" fontId="22" fillId="0" borderId="35" xfId="0" applyFont="1" applyBorder="1"/>
    <xf numFmtId="0" fontId="0" fillId="0" borderId="35" xfId="0" applyBorder="1"/>
    <xf numFmtId="0" fontId="0" fillId="0" borderId="30" xfId="0" applyBorder="1" applyAlignment="1">
      <alignment horizontal="center"/>
    </xf>
    <xf numFmtId="0" fontId="0" fillId="0" borderId="39" xfId="0" applyBorder="1" applyAlignment="1">
      <alignment horizontal="center"/>
    </xf>
    <xf numFmtId="0" fontId="0" fillId="0" borderId="45" xfId="0" applyBorder="1" applyAlignment="1">
      <alignment horizontal="center"/>
    </xf>
    <xf numFmtId="0" fontId="1" fillId="17" borderId="0" xfId="0" applyFont="1" applyFill="1"/>
    <xf numFmtId="0" fontId="22" fillId="15" borderId="0" xfId="0" applyFont="1" applyFill="1"/>
    <xf numFmtId="0" fontId="0" fillId="0" borderId="36" xfId="0" applyBorder="1"/>
    <xf numFmtId="0" fontId="25" fillId="0" borderId="0" xfId="0" applyFont="1"/>
    <xf numFmtId="0" fontId="27" fillId="0" borderId="0" xfId="0" applyFont="1" applyAlignment="1">
      <alignment horizontal="left" vertical="center" indent="1"/>
    </xf>
    <xf numFmtId="0" fontId="27" fillId="0" borderId="0" xfId="0" applyFont="1" applyAlignment="1">
      <alignment vertical="center"/>
    </xf>
    <xf numFmtId="0" fontId="26" fillId="0" borderId="0" xfId="0" applyFont="1"/>
    <xf numFmtId="0" fontId="26" fillId="0" borderId="46" xfId="0" applyFont="1" applyBorder="1"/>
    <xf numFmtId="0" fontId="0" fillId="0" borderId="46" xfId="0" applyBorder="1"/>
    <xf numFmtId="0" fontId="0" fillId="18" borderId="46" xfId="0" applyFill="1" applyBorder="1"/>
    <xf numFmtId="16" fontId="0" fillId="0" borderId="0" xfId="0" applyNumberFormat="1"/>
    <xf numFmtId="14" fontId="0" fillId="0" borderId="0" xfId="0" applyNumberFormat="1"/>
    <xf numFmtId="0" fontId="27" fillId="0" borderId="46" xfId="0" applyFont="1" applyBorder="1" applyAlignment="1">
      <alignment horizontal="left" vertical="center" indent="1"/>
    </xf>
    <xf numFmtId="16" fontId="0" fillId="0" borderId="46" xfId="0" applyNumberFormat="1" applyBorder="1"/>
    <xf numFmtId="0" fontId="27" fillId="19" borderId="46" xfId="0" applyFont="1" applyFill="1" applyBorder="1" applyAlignment="1">
      <alignment horizontal="left" vertical="center" indent="1"/>
    </xf>
    <xf numFmtId="0" fontId="0" fillId="19" borderId="46" xfId="0" applyFill="1" applyBorder="1"/>
    <xf numFmtId="16" fontId="0" fillId="19" borderId="46" xfId="0" applyNumberFormat="1" applyFill="1" applyBorder="1"/>
    <xf numFmtId="0" fontId="1" fillId="22" borderId="47" xfId="0" applyFont="1" applyFill="1" applyBorder="1" applyAlignment="1">
      <alignment horizontal="center" vertical="center"/>
    </xf>
    <xf numFmtId="0" fontId="1" fillId="22" borderId="48" xfId="0" applyFont="1" applyFill="1" applyBorder="1" applyAlignment="1">
      <alignment horizontal="center" vertical="center"/>
    </xf>
    <xf numFmtId="0" fontId="1" fillId="22" borderId="49" xfId="0" applyFont="1" applyFill="1" applyBorder="1" applyAlignment="1">
      <alignment horizontal="center" vertical="center"/>
    </xf>
    <xf numFmtId="0" fontId="1" fillId="22" borderId="0" xfId="0" applyFont="1" applyFill="1"/>
    <xf numFmtId="0" fontId="36" fillId="5" borderId="0" xfId="0" applyFont="1" applyFill="1"/>
    <xf numFmtId="0" fontId="0" fillId="19" borderId="0" xfId="0" applyFill="1"/>
    <xf numFmtId="0" fontId="0" fillId="23" borderId="0" xfId="0" applyFill="1"/>
    <xf numFmtId="166" fontId="0" fillId="23" borderId="0" xfId="0" applyNumberFormat="1" applyFill="1"/>
    <xf numFmtId="166" fontId="0" fillId="19" borderId="0" xfId="0" applyNumberFormat="1" applyFill="1"/>
    <xf numFmtId="0" fontId="1" fillId="20" borderId="0" xfId="0" applyFont="1" applyFill="1"/>
    <xf numFmtId="0" fontId="1" fillId="22" borderId="46" xfId="0" applyFont="1" applyFill="1" applyBorder="1"/>
    <xf numFmtId="0" fontId="22" fillId="21" borderId="46" xfId="0" applyFont="1" applyFill="1" applyBorder="1"/>
    <xf numFmtId="3" fontId="0" fillId="0" borderId="46" xfId="0" applyNumberFormat="1" applyBorder="1" applyAlignment="1">
      <alignment horizontal="right"/>
    </xf>
    <xf numFmtId="3" fontId="22" fillId="21" borderId="46" xfId="0" applyNumberFormat="1" applyFont="1" applyFill="1" applyBorder="1" applyAlignment="1">
      <alignment horizontal="right"/>
    </xf>
    <xf numFmtId="0" fontId="0" fillId="24" borderId="46" xfId="0" applyFill="1" applyBorder="1"/>
    <xf numFmtId="164" fontId="0" fillId="24" borderId="46" xfId="0" applyNumberFormat="1" applyFill="1" applyBorder="1"/>
    <xf numFmtId="164" fontId="0" fillId="0" borderId="46" xfId="0" applyNumberFormat="1" applyBorder="1"/>
    <xf numFmtId="0" fontId="27" fillId="24" borderId="46" xfId="0" applyFont="1" applyFill="1" applyBorder="1" applyAlignment="1">
      <alignment horizontal="left" vertical="center" indent="1"/>
    </xf>
    <xf numFmtId="0" fontId="37" fillId="19" borderId="0" xfId="0" applyFont="1" applyFill="1"/>
    <xf numFmtId="166" fontId="37" fillId="19" borderId="0" xfId="0" applyNumberFormat="1" applyFont="1" applyFill="1"/>
    <xf numFmtId="0" fontId="0" fillId="0" borderId="0" xfId="0" applyAlignment="1">
      <alignment horizontal="center" vertical="center"/>
    </xf>
    <xf numFmtId="0" fontId="0" fillId="0" borderId="0" xfId="0" applyAlignment="1">
      <alignment horizontal="right"/>
    </xf>
    <xf numFmtId="16" fontId="0" fillId="0" borderId="0" xfId="0" applyNumberFormat="1" applyAlignment="1">
      <alignment horizontal="right"/>
    </xf>
    <xf numFmtId="0" fontId="39" fillId="0" borderId="0" xfId="0" applyFont="1" applyAlignment="1">
      <alignment horizontal="center"/>
    </xf>
    <xf numFmtId="0" fontId="0" fillId="26" borderId="0" xfId="0" applyFill="1" applyAlignment="1">
      <alignment horizontal="center" vertical="center"/>
    </xf>
    <xf numFmtId="0" fontId="0" fillId="26" borderId="0" xfId="0" applyFill="1"/>
    <xf numFmtId="0" fontId="39" fillId="26" borderId="0" xfId="0" applyFont="1" applyFill="1" applyAlignment="1">
      <alignment horizontal="center" vertical="center"/>
    </xf>
    <xf numFmtId="16" fontId="39" fillId="26" borderId="0" xfId="0" applyNumberFormat="1" applyFont="1" applyFill="1" applyAlignment="1">
      <alignment horizontal="center" vertical="center"/>
    </xf>
    <xf numFmtId="16" fontId="0" fillId="26" borderId="0" xfId="0" applyNumberFormat="1" applyFill="1" applyAlignment="1">
      <alignment horizontal="right"/>
    </xf>
    <xf numFmtId="0" fontId="39" fillId="26" borderId="0" xfId="0" applyFont="1" applyFill="1" applyAlignment="1">
      <alignment horizontal="center"/>
    </xf>
    <xf numFmtId="0" fontId="39" fillId="26" borderId="0" xfId="0" applyFont="1" applyFill="1" applyAlignment="1">
      <alignment horizontal="center" vertical="center" wrapText="1"/>
    </xf>
    <xf numFmtId="16" fontId="0" fillId="26" borderId="0" xfId="0" applyNumberFormat="1" applyFill="1" applyAlignment="1">
      <alignment horizontal="right" vertical="center"/>
    </xf>
    <xf numFmtId="0" fontId="0" fillId="27" borderId="0" xfId="0" applyFill="1" applyAlignment="1">
      <alignment horizontal="center" vertical="center"/>
    </xf>
    <xf numFmtId="0" fontId="0" fillId="27" borderId="0" xfId="0" applyFill="1"/>
    <xf numFmtId="16" fontId="0" fillId="27" borderId="0" xfId="0" applyNumberFormat="1" applyFill="1" applyAlignment="1">
      <alignment horizontal="center" vertical="center"/>
    </xf>
    <xf numFmtId="16" fontId="0" fillId="27" borderId="0" xfId="0" applyNumberFormat="1" applyFill="1"/>
    <xf numFmtId="164" fontId="41" fillId="0" borderId="36" xfId="0" applyNumberFormat="1" applyFont="1" applyBorder="1"/>
    <xf numFmtId="164" fontId="41" fillId="0" borderId="37" xfId="0" applyNumberFormat="1" applyFont="1" applyBorder="1"/>
    <xf numFmtId="164" fontId="41" fillId="0" borderId="38" xfId="0" applyNumberFormat="1" applyFont="1" applyBorder="1"/>
    <xf numFmtId="164" fontId="22" fillId="19" borderId="0" xfId="0" applyNumberFormat="1" applyFont="1" applyFill="1"/>
    <xf numFmtId="0" fontId="22" fillId="21" borderId="0" xfId="0" applyFont="1" applyFill="1"/>
    <xf numFmtId="0" fontId="1" fillId="20" borderId="1" xfId="0" applyFont="1" applyFill="1" applyBorder="1"/>
    <xf numFmtId="0" fontId="22" fillId="0" borderId="1" xfId="0" applyFont="1" applyBorder="1"/>
    <xf numFmtId="0" fontId="22" fillId="21" borderId="1" xfId="0" applyFont="1" applyFill="1" applyBorder="1"/>
    <xf numFmtId="0" fontId="0" fillId="0" borderId="1" xfId="0" applyBorder="1"/>
    <xf numFmtId="0" fontId="0" fillId="0" borderId="50" xfId="0" applyBorder="1"/>
    <xf numFmtId="0" fontId="0" fillId="0" borderId="51" xfId="0" applyBorder="1"/>
    <xf numFmtId="0" fontId="0" fillId="0" borderId="6" xfId="0" applyBorder="1"/>
    <xf numFmtId="0" fontId="22" fillId="21" borderId="6" xfId="0" applyFont="1" applyFill="1" applyBorder="1"/>
    <xf numFmtId="0" fontId="0" fillId="0" borderId="52" xfId="0" applyBorder="1"/>
    <xf numFmtId="0" fontId="40" fillId="0" borderId="1" xfId="0" applyFont="1" applyBorder="1"/>
    <xf numFmtId="0" fontId="0" fillId="0" borderId="2" xfId="0" applyBorder="1"/>
    <xf numFmtId="0" fontId="0" fillId="0" borderId="3" xfId="0" applyBorder="1"/>
    <xf numFmtId="0" fontId="1" fillId="13" borderId="4" xfId="0" applyFont="1" applyFill="1" applyBorder="1" applyAlignment="1">
      <alignment horizontal="center"/>
    </xf>
    <xf numFmtId="164" fontId="22" fillId="0" borderId="5" xfId="0" applyNumberFormat="1" applyFont="1" applyBorder="1"/>
    <xf numFmtId="0" fontId="22" fillId="15" borderId="5" xfId="0" applyFont="1" applyFill="1" applyBorder="1"/>
    <xf numFmtId="0" fontId="0" fillId="0" borderId="5" xfId="0" applyBorder="1"/>
    <xf numFmtId="0" fontId="0" fillId="0" borderId="53" xfId="0" applyBorder="1"/>
    <xf numFmtId="0" fontId="0" fillId="0" borderId="54" xfId="0" applyBorder="1"/>
    <xf numFmtId="0" fontId="42" fillId="0" borderId="0" xfId="0" applyFont="1"/>
    <xf numFmtId="0" fontId="40" fillId="0" borderId="0" xfId="0" applyFont="1"/>
    <xf numFmtId="0" fontId="22" fillId="0" borderId="0" xfId="0" applyFont="1" applyAlignment="1">
      <alignment horizontal="center"/>
    </xf>
    <xf numFmtId="0" fontId="22" fillId="30" borderId="46" xfId="0" applyFont="1" applyFill="1" applyBorder="1"/>
    <xf numFmtId="0" fontId="0" fillId="2" borderId="46" xfId="0" applyFill="1" applyBorder="1"/>
    <xf numFmtId="164" fontId="0" fillId="2" borderId="46" xfId="0" applyNumberFormat="1" applyFill="1" applyBorder="1"/>
    <xf numFmtId="0" fontId="38" fillId="0" borderId="0" xfId="0" applyFont="1" applyAlignment="1">
      <alignment horizontal="center"/>
    </xf>
    <xf numFmtId="0" fontId="1" fillId="22" borderId="0" xfId="0" applyFont="1" applyFill="1" applyAlignment="1">
      <alignment horizontal="center"/>
    </xf>
    <xf numFmtId="0" fontId="0" fillId="0" borderId="55" xfId="0" applyBorder="1"/>
    <xf numFmtId="0" fontId="0" fillId="0" borderId="46" xfId="0" applyBorder="1" applyAlignment="1">
      <alignment horizontal="center" vertical="center"/>
    </xf>
    <xf numFmtId="0" fontId="22" fillId="30" borderId="46" xfId="0" applyFont="1" applyFill="1" applyBorder="1" applyAlignment="1">
      <alignment horizontal="center" vertical="center"/>
    </xf>
    <xf numFmtId="0" fontId="22" fillId="0" borderId="46" xfId="0" applyFont="1" applyBorder="1" applyAlignment="1">
      <alignment horizontal="center"/>
    </xf>
    <xf numFmtId="0" fontId="0" fillId="0" borderId="46" xfId="0" applyBorder="1" applyAlignment="1">
      <alignment horizontal="center"/>
    </xf>
    <xf numFmtId="0" fontId="22" fillId="30" borderId="55" xfId="0" applyFont="1" applyFill="1" applyBorder="1"/>
    <xf numFmtId="164" fontId="0" fillId="0" borderId="46" xfId="0" applyNumberFormat="1" applyBorder="1" applyAlignment="1">
      <alignment horizontal="center"/>
    </xf>
    <xf numFmtId="164" fontId="37" fillId="25" borderId="46" xfId="0" applyNumberFormat="1" applyFont="1" applyFill="1" applyBorder="1"/>
    <xf numFmtId="0" fontId="37" fillId="25" borderId="46" xfId="0" applyFont="1" applyFill="1" applyBorder="1"/>
    <xf numFmtId="164" fontId="37" fillId="25" borderId="46" xfId="0" applyNumberFormat="1" applyFont="1" applyFill="1" applyBorder="1" applyAlignment="1">
      <alignment horizontal="center"/>
    </xf>
    <xf numFmtId="0" fontId="37" fillId="0" borderId="46" xfId="0" applyFont="1" applyBorder="1" applyAlignment="1">
      <alignment horizontal="center"/>
    </xf>
    <xf numFmtId="0" fontId="7" fillId="2" borderId="0" xfId="0" applyFont="1" applyFill="1" applyAlignment="1">
      <alignment horizontal="center"/>
    </xf>
    <xf numFmtId="0" fontId="7" fillId="9" borderId="0" xfId="0" applyFont="1" applyFill="1" applyAlignment="1">
      <alignment horizontal="left" vertical="top" wrapText="1"/>
    </xf>
    <xf numFmtId="0" fontId="45" fillId="5" borderId="0" xfId="0" applyFont="1" applyFill="1" applyAlignment="1">
      <alignment horizontal="center"/>
    </xf>
    <xf numFmtId="0" fontId="45" fillId="5" borderId="0" xfId="0" applyFont="1" applyFill="1" applyAlignment="1">
      <alignment horizontal="left"/>
    </xf>
    <xf numFmtId="0" fontId="46" fillId="5" borderId="0" xfId="0" applyFont="1" applyFill="1" applyAlignment="1">
      <alignment horizontal="center"/>
    </xf>
    <xf numFmtId="0" fontId="46" fillId="5" borderId="0" xfId="0" applyFont="1" applyFill="1" applyAlignment="1">
      <alignment horizontal="left"/>
    </xf>
    <xf numFmtId="0" fontId="49" fillId="6" borderId="25" xfId="0" applyFont="1" applyFill="1" applyBorder="1" applyAlignment="1">
      <alignment horizontal="left" vertical="center"/>
    </xf>
    <xf numFmtId="0" fontId="3" fillId="8" borderId="0" xfId="0" applyFont="1" applyFill="1" applyAlignment="1">
      <alignment horizontal="center"/>
    </xf>
    <xf numFmtId="0" fontId="5" fillId="8" borderId="0" xfId="0" applyFont="1" applyFill="1"/>
    <xf numFmtId="0" fontId="9" fillId="8" borderId="0" xfId="0" applyFont="1" applyFill="1"/>
    <xf numFmtId="0" fontId="3" fillId="8" borderId="0" xfId="0" applyFont="1" applyFill="1" applyAlignment="1">
      <alignment horizontal="center" vertical="center"/>
    </xf>
    <xf numFmtId="0" fontId="5" fillId="8" borderId="0" xfId="0" applyFont="1" applyFill="1" applyAlignment="1">
      <alignment vertical="center"/>
    </xf>
    <xf numFmtId="0" fontId="47" fillId="8" borderId="0" xfId="0" applyFont="1" applyFill="1" applyAlignment="1">
      <alignment horizontal="center" vertical="center"/>
    </xf>
    <xf numFmtId="0" fontId="45" fillId="8" borderId="0" xfId="0" applyFont="1" applyFill="1" applyAlignment="1">
      <alignment vertical="center"/>
    </xf>
    <xf numFmtId="0" fontId="48" fillId="8" borderId="0" xfId="0" applyFont="1" applyFill="1"/>
    <xf numFmtId="0" fontId="45" fillId="8" borderId="0" xfId="0" applyFont="1" applyFill="1"/>
    <xf numFmtId="0" fontId="33" fillId="20" borderId="0" xfId="0" applyFont="1" applyFill="1" applyAlignment="1">
      <alignment horizontal="left" vertical="center"/>
    </xf>
    <xf numFmtId="0" fontId="35" fillId="21" borderId="0" xfId="0" applyFont="1" applyFill="1" applyAlignment="1">
      <alignment horizontal="left" vertical="center"/>
    </xf>
    <xf numFmtId="0" fontId="23" fillId="20" borderId="0" xfId="0" applyFont="1" applyFill="1" applyAlignment="1">
      <alignment horizontal="center"/>
    </xf>
    <xf numFmtId="0" fontId="34" fillId="21" borderId="0" xfId="0" applyFont="1" applyFill="1"/>
    <xf numFmtId="0" fontId="23" fillId="13" borderId="0" xfId="0" applyFont="1" applyFill="1" applyAlignment="1">
      <alignment horizontal="center"/>
    </xf>
    <xf numFmtId="0" fontId="24" fillId="16" borderId="0" xfId="0" applyFont="1" applyFill="1"/>
    <xf numFmtId="0" fontId="1" fillId="22" borderId="1" xfId="0" applyFont="1" applyFill="1" applyBorder="1"/>
    <xf numFmtId="0" fontId="1" fillId="22" borderId="0" xfId="0" applyFont="1" applyFill="1"/>
    <xf numFmtId="0" fontId="1" fillId="22" borderId="6" xfId="0" applyFont="1" applyFill="1" applyBorder="1"/>
    <xf numFmtId="0" fontId="3" fillId="8" borderId="0" xfId="0" applyFont="1" applyFill="1"/>
    <xf numFmtId="0" fontId="1" fillId="20" borderId="0" xfId="0" applyFont="1" applyFill="1"/>
    <xf numFmtId="0" fontId="0" fillId="0" borderId="0" xfId="0"/>
    <xf numFmtId="0" fontId="23" fillId="20" borderId="0" xfId="0" applyFont="1" applyFill="1"/>
    <xf numFmtId="0" fontId="38" fillId="0" borderId="0" xfId="0" applyFont="1" applyAlignment="1">
      <alignment horizontal="center"/>
    </xf>
    <xf numFmtId="0" fontId="43" fillId="31" borderId="0" xfId="0" applyFont="1" applyFill="1"/>
    <xf numFmtId="0" fontId="33" fillId="20" borderId="0" xfId="0" applyFont="1" applyFill="1"/>
    <xf numFmtId="0" fontId="43" fillId="28" borderId="0" xfId="0" applyFont="1" applyFill="1"/>
    <xf numFmtId="0" fontId="43" fillId="29" borderId="0" xfId="0" applyFont="1" applyFill="1"/>
    <xf numFmtId="0" fontId="1" fillId="20" borderId="46" xfId="0" applyFont="1" applyFill="1" applyBorder="1" applyAlignment="1">
      <alignment horizontal="center"/>
    </xf>
    <xf numFmtId="0" fontId="1" fillId="22" borderId="0" xfId="0" applyFont="1" applyFill="1" applyBorder="1"/>
    <xf numFmtId="176" fontId="0" fillId="0" borderId="0" xfId="0" applyNumberFormat="1"/>
    <xf numFmtId="0" fontId="7" fillId="2" borderId="0" xfId="0" applyFont="1" applyFill="1" applyBorder="1" applyAlignment="1">
      <alignment horizontal="center"/>
    </xf>
    <xf numFmtId="0" fontId="0" fillId="0" borderId="0" xfId="0"/>
    <xf numFmtId="0" fontId="7" fillId="9" borderId="0" xfId="0" applyFont="1" applyFill="1" applyBorder="1" applyAlignment="1">
      <alignment horizontal="left" vertical="top" wrapText="1"/>
    </xf>
    <xf numFmtId="0" fontId="11" fillId="6" borderId="0" xfId="0" applyFont="1" applyFill="1" applyBorder="1" applyAlignment="1">
      <alignment horizontal="center"/>
    </xf>
    <xf numFmtId="0" fontId="0" fillId="0" borderId="0" xfId="0"/>
    <xf numFmtId="0" fontId="44" fillId="0" borderId="0" xfId="0" applyFont="1"/>
    <xf numFmtId="0" fontId="28" fillId="0" borderId="0" xfId="0" applyFont="1" applyAlignment="1">
      <alignment vertical="top"/>
    </xf>
    <xf numFmtId="0" fontId="28" fillId="0" borderId="0" xfId="0" applyFont="1" applyAlignment="1">
      <alignment horizontal="left" vertical="top"/>
    </xf>
    <xf numFmtId="0" fontId="28" fillId="0" borderId="0" xfId="0" applyFont="1" applyAlignment="1">
      <alignment vertical="top" wrapText="1"/>
    </xf>
    <xf numFmtId="0" fontId="28" fillId="0" borderId="0" xfId="0" applyFont="1" applyAlignment="1">
      <alignment horizontal="right" vertical="center"/>
    </xf>
    <xf numFmtId="167" fontId="29" fillId="0" borderId="0" xfId="0" applyNumberFormat="1" applyFont="1" applyAlignment="1">
      <alignment horizontal="left" vertical="top"/>
    </xf>
    <xf numFmtId="168" fontId="30" fillId="0" borderId="0" xfId="0" applyNumberFormat="1" applyFont="1" applyAlignment="1">
      <alignment vertical="top"/>
    </xf>
    <xf numFmtId="168" fontId="28" fillId="0" borderId="0" xfId="0" applyNumberFormat="1" applyFont="1" applyAlignment="1">
      <alignment vertical="top"/>
    </xf>
    <xf numFmtId="0" fontId="31" fillId="0" borderId="0" xfId="0" applyFont="1" applyAlignment="1">
      <alignment vertical="top" wrapText="1"/>
    </xf>
    <xf numFmtId="0" fontId="28" fillId="0" borderId="0" xfId="0" applyFont="1" applyAlignment="1">
      <alignment horizontal="right" vertical="top"/>
    </xf>
    <xf numFmtId="169" fontId="28" fillId="0" borderId="0" xfId="0" applyNumberFormat="1" applyFont="1" applyAlignment="1">
      <alignment horizontal="right" vertical="center"/>
    </xf>
    <xf numFmtId="170" fontId="28" fillId="0" borderId="0" xfId="0" applyNumberFormat="1" applyFont="1" applyAlignment="1">
      <alignment horizontal="right" vertical="top"/>
    </xf>
    <xf numFmtId="170" fontId="28" fillId="0" borderId="0" xfId="0" applyNumberFormat="1" applyFont="1" applyAlignment="1">
      <alignment vertical="top"/>
    </xf>
    <xf numFmtId="167" fontId="28" fillId="0" borderId="0" xfId="0" applyNumberFormat="1" applyFont="1" applyAlignment="1">
      <alignment vertical="top"/>
    </xf>
    <xf numFmtId="171" fontId="28" fillId="0" borderId="0" xfId="0" applyNumberFormat="1" applyFont="1" applyAlignment="1">
      <alignment vertical="top"/>
    </xf>
    <xf numFmtId="0" fontId="10" fillId="8" borderId="0" xfId="0" applyFont="1" applyFill="1" applyBorder="1"/>
    <xf numFmtId="0" fontId="11" fillId="6" borderId="0" xfId="0" applyFont="1" applyFill="1" applyBorder="1" applyAlignment="1">
      <alignment horizontal="left"/>
    </xf>
    <xf numFmtId="0" fontId="4" fillId="8" borderId="0" xfId="0" applyFont="1" applyFill="1" applyBorder="1"/>
  </cellXfs>
  <cellStyles count="1">
    <cellStyle name="Normal" xfId="0" builtinId="0"/>
  </cellStyles>
  <dxfs count="96">
    <dxf>
      <font>
        <color rgb="FF9C5700"/>
      </font>
      <fill>
        <patternFill patternType="solid">
          <fgColor indexed="64"/>
          <bgColor rgb="FFFFEB9C"/>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b/>
        <i val="0"/>
        <color rgb="FF000000"/>
      </font>
      <fill>
        <patternFill patternType="solid">
          <fgColor indexed="64"/>
          <bgColor rgb="FF00FF00"/>
        </patternFill>
      </fill>
    </dxf>
    <dxf>
      <font>
        <b/>
        <i val="0"/>
        <color rgb="FFFFFFFF"/>
      </font>
      <fill>
        <patternFill patternType="solid">
          <fgColor indexed="64"/>
          <bgColor rgb="FFFF0000"/>
        </patternFill>
      </fill>
    </dxf>
    <dxf>
      <font>
        <b/>
        <i val="0"/>
        <color rgb="FF000000"/>
      </font>
      <fill>
        <patternFill patternType="solid">
          <fgColor indexed="64"/>
          <bgColor rgb="FF00FF00"/>
        </patternFill>
      </fill>
    </dxf>
    <dxf>
      <font>
        <b/>
        <i val="0"/>
        <color rgb="FFFFFFFF"/>
      </font>
      <fill>
        <patternFill patternType="solid">
          <fgColor indexed="64"/>
          <bgColor rgb="FFFF0000"/>
        </patternFill>
      </fill>
    </dxf>
    <dxf>
      <font>
        <color rgb="FF8B0000"/>
      </font>
      <fill>
        <patternFill patternType="solid">
          <fgColor indexed="64"/>
          <bgColor rgb="FFFFCCCC"/>
        </patternFill>
      </fill>
    </dxf>
    <dxf>
      <font>
        <b/>
        <i val="0"/>
        <color rgb="FF1B2A4A"/>
      </font>
      <fill>
        <patternFill patternType="solid">
          <fgColor indexed="64"/>
          <bgColor rgb="FFFFFF00"/>
        </patternFill>
      </fill>
    </dxf>
    <dxf>
      <font>
        <b/>
        <i val="0"/>
        <color rgb="FF000000"/>
      </font>
      <fill>
        <patternFill patternType="solid">
          <fgColor indexed="64"/>
          <bgColor rgb="FF00FF00"/>
        </patternFill>
      </fill>
    </dxf>
    <dxf>
      <font>
        <b/>
        <i val="0"/>
        <color rgb="FFFFFFFF"/>
      </font>
      <fill>
        <patternFill patternType="solid">
          <fgColor indexed="64"/>
          <bgColor rgb="FFFF0000"/>
        </patternFill>
      </fill>
    </dxf>
    <dxf>
      <font>
        <b/>
        <i val="0"/>
      </font>
      <fill>
        <patternFill patternType="solid">
          <fgColor indexed="64"/>
          <bgColor rgb="FFFFFF00"/>
        </patternFill>
      </fill>
    </dxf>
    <dxf>
      <font>
        <b/>
        <i val="0"/>
      </font>
      <fill>
        <patternFill patternType="solid">
          <fgColor indexed="64"/>
          <bgColor rgb="FFFFFF00"/>
        </patternFill>
      </fill>
    </dxf>
    <dxf>
      <fill>
        <patternFill patternType="solid">
          <fgColor indexed="64"/>
          <bgColor rgb="FFC6EFCE"/>
        </patternFill>
      </fill>
    </dxf>
    <dxf>
      <fill>
        <patternFill patternType="solid">
          <fgColor indexed="64"/>
          <bgColor rgb="FFFFFF00"/>
        </patternFill>
      </fill>
    </dxf>
    <dxf>
      <fill>
        <patternFill patternType="solid">
          <fgColor indexed="64"/>
          <bgColor rgb="FFC6EFCE"/>
        </patternFill>
      </fill>
    </dxf>
    <dxf>
      <fill>
        <patternFill patternType="solid">
          <fgColor indexed="64"/>
          <bgColor rgb="FFFFC7CE"/>
        </patternFill>
      </fill>
    </dxf>
    <dxf>
      <font>
        <b/>
        <i val="0"/>
        <color rgb="FF000000"/>
      </font>
      <fill>
        <patternFill patternType="solid">
          <fgColor indexed="64"/>
          <bgColor rgb="FF00FF00"/>
        </patternFill>
      </fill>
    </dxf>
    <dxf>
      <font>
        <b/>
        <i val="0"/>
        <color rgb="FFFFFFFF"/>
      </font>
      <fill>
        <patternFill patternType="solid">
          <fgColor indexed="64"/>
          <bgColor rgb="FFFF0000"/>
        </patternFill>
      </fill>
    </dxf>
    <dxf>
      <font>
        <b/>
        <i val="0"/>
        <color rgb="FF000000"/>
      </font>
      <fill>
        <patternFill patternType="solid">
          <fgColor indexed="64"/>
          <bgColor rgb="FF00FF00"/>
        </patternFill>
      </fill>
    </dxf>
    <dxf>
      <font>
        <b/>
        <i val="0"/>
        <color rgb="FFFFFFFF"/>
      </font>
      <fill>
        <patternFill patternType="solid">
          <fgColor indexed="64"/>
          <bgColor rgb="FFFF0000"/>
        </patternFill>
      </fill>
    </dxf>
    <dxf>
      <font>
        <color rgb="FF9C0006"/>
      </font>
      <fill>
        <patternFill patternType="solid">
          <fgColor indexed="64"/>
          <bgColor rgb="FFFFC7CE"/>
        </patternFill>
      </fill>
    </dxf>
    <dxf>
      <fill>
        <patternFill patternType="solid">
          <fgColor indexed="64"/>
          <bgColor rgb="FFFFEB9C"/>
        </patternFill>
      </fill>
    </dxf>
    <dxf>
      <font>
        <b/>
        <i val="0"/>
      </font>
      <fill>
        <patternFill patternType="solid">
          <fgColor indexed="64"/>
          <bgColor rgb="FFC6EFCE"/>
        </patternFill>
      </fill>
    </dxf>
    <dxf>
      <font>
        <b/>
        <i val="0"/>
      </font>
      <fill>
        <patternFill patternType="solid">
          <fgColor indexed="64"/>
          <bgColor rgb="FFFFFF00"/>
        </patternFill>
      </fill>
    </dxf>
    <dxf>
      <font>
        <b/>
        <i val="0"/>
        <color rgb="FF000000"/>
      </font>
      <fill>
        <patternFill patternType="solid">
          <fgColor indexed="64"/>
          <bgColor rgb="FF00FF00"/>
        </patternFill>
      </fill>
    </dxf>
    <dxf>
      <font>
        <b/>
        <i val="0"/>
        <color rgb="FFFFFFFF"/>
      </font>
      <fill>
        <patternFill patternType="solid">
          <fgColor indexed="64"/>
          <bgColor rgb="FFFF0000"/>
        </patternFill>
      </fill>
    </dxf>
    <dxf>
      <font>
        <b/>
        <i val="0"/>
      </font>
      <fill>
        <patternFill patternType="solid">
          <fgColor indexed="64"/>
          <bgColor rgb="FFFFFF00"/>
        </patternFill>
      </fill>
    </dxf>
    <dxf>
      <fill>
        <patternFill patternType="solid">
          <fgColor indexed="64"/>
          <bgColor rgb="FFC6EFCE"/>
        </patternFill>
      </fill>
    </dxf>
    <dxf>
      <fill>
        <patternFill patternType="solid">
          <fgColor indexed="64"/>
          <bgColor rgb="FFFFC7CE"/>
        </patternFill>
      </fill>
    </dxf>
    <dxf>
      <fill>
        <patternFill patternType="solid">
          <fgColor indexed="64"/>
          <bgColor rgb="FFFFFF00"/>
        </patternFill>
      </fill>
    </dxf>
    <dxf>
      <font>
        <b/>
        <i val="0"/>
        <color rgb="FF000000"/>
      </font>
      <fill>
        <patternFill patternType="solid">
          <fgColor indexed="64"/>
          <bgColor rgb="FF00FF00"/>
        </patternFill>
      </fill>
    </dxf>
    <dxf>
      <font>
        <b/>
        <i val="0"/>
        <color rgb="FFFFFFFF"/>
      </font>
      <fill>
        <patternFill patternType="solid">
          <fgColor indexed="64"/>
          <bgColor rgb="FFFF0000"/>
        </patternFill>
      </fill>
    </dxf>
    <dxf>
      <font>
        <b/>
        <i val="0"/>
        <color rgb="FF000000"/>
      </font>
      <fill>
        <patternFill patternType="solid">
          <fgColor indexed="64"/>
          <bgColor rgb="FF00FF00"/>
        </patternFill>
      </fill>
    </dxf>
    <dxf>
      <font>
        <b/>
        <i val="0"/>
        <color rgb="FFFFFFFF"/>
      </font>
      <fill>
        <patternFill patternType="solid">
          <fgColor indexed="64"/>
          <bgColor rgb="FFFF0000"/>
        </patternFill>
      </fill>
    </dxf>
    <dxf>
      <font>
        <color rgb="FF9C0006"/>
      </font>
      <fill>
        <patternFill patternType="solid">
          <fgColor indexed="64"/>
          <bgColor rgb="FFFFC7CE"/>
        </patternFill>
      </fill>
    </dxf>
    <dxf>
      <fill>
        <patternFill patternType="solid">
          <fgColor indexed="64"/>
          <bgColor rgb="FFFFEB9C"/>
        </patternFill>
      </fill>
    </dxf>
    <dxf>
      <font>
        <b/>
        <i val="0"/>
      </font>
      <fill>
        <patternFill patternType="solid">
          <fgColor indexed="64"/>
          <bgColor rgb="FFC6EFCE"/>
        </patternFill>
      </fill>
    </dxf>
    <dxf>
      <font>
        <b/>
        <i val="0"/>
      </font>
      <fill>
        <patternFill patternType="solid">
          <fgColor indexed="64"/>
          <bgColor rgb="FFFFFF00"/>
        </patternFill>
      </fill>
    </dxf>
    <dxf>
      <font>
        <b/>
        <i val="0"/>
        <color rgb="FF000000"/>
      </font>
      <fill>
        <patternFill patternType="solid">
          <fgColor indexed="64"/>
          <bgColor rgb="FF00FF00"/>
        </patternFill>
      </fill>
    </dxf>
    <dxf>
      <font>
        <b/>
        <i val="0"/>
        <color rgb="FFFFFFFF"/>
      </font>
      <fill>
        <patternFill patternType="solid">
          <fgColor indexed="64"/>
          <bgColor rgb="FFFF0000"/>
        </patternFill>
      </fill>
    </dxf>
    <dxf>
      <font>
        <b/>
        <i val="0"/>
      </font>
      <fill>
        <patternFill patternType="solid">
          <fgColor indexed="64"/>
          <bgColor rgb="FFFFFF00"/>
        </patternFill>
      </fill>
    </dxf>
    <dxf>
      <font>
        <color rgb="FF9C0006"/>
      </font>
      <fill>
        <patternFill patternType="solid">
          <fgColor indexed="64"/>
          <bgColor rgb="FFFFC7CE"/>
        </patternFill>
      </fill>
    </dxf>
    <dxf>
      <fill>
        <patternFill patternType="solid">
          <fgColor indexed="64"/>
          <bgColor rgb="FFFFEB9C"/>
        </patternFill>
      </fill>
    </dxf>
    <dxf>
      <font>
        <b/>
        <i val="0"/>
      </font>
      <fill>
        <patternFill patternType="solid">
          <fgColor indexed="64"/>
          <bgColor rgb="FFC6EFCE"/>
        </patternFill>
      </fill>
    </dxf>
    <dxf>
      <font>
        <b/>
        <i val="0"/>
      </font>
      <fill>
        <patternFill patternType="solid">
          <fgColor indexed="64"/>
          <bgColor rgb="FFFFFF00"/>
        </patternFill>
      </fill>
    </dxf>
    <dxf>
      <font>
        <b/>
        <i val="0"/>
        <color rgb="FF000000"/>
      </font>
      <fill>
        <patternFill patternType="solid">
          <fgColor indexed="64"/>
          <bgColor rgb="FF00FF00"/>
        </patternFill>
      </fill>
    </dxf>
    <dxf>
      <font>
        <b/>
        <i val="0"/>
        <color rgb="FFFFFFFF"/>
      </font>
      <fill>
        <patternFill patternType="solid">
          <fgColor indexed="64"/>
          <bgColor rgb="FFFF0000"/>
        </patternFill>
      </fill>
    </dxf>
    <dxf>
      <font>
        <b/>
        <i val="0"/>
      </font>
      <fill>
        <patternFill patternType="solid">
          <fgColor indexed="64"/>
          <bgColor rgb="FFFFFF00"/>
        </patternFill>
      </fill>
    </dxf>
    <dxf>
      <font>
        <color rgb="FF9C0006"/>
      </font>
      <fill>
        <patternFill patternType="solid">
          <fgColor indexed="64"/>
          <bgColor rgb="FFFFC7CE"/>
        </patternFill>
      </fill>
    </dxf>
    <dxf>
      <fill>
        <patternFill patternType="solid">
          <fgColor indexed="64"/>
          <bgColor rgb="FFFFEB9C"/>
        </patternFill>
      </fill>
    </dxf>
    <dxf>
      <font>
        <b/>
        <i val="0"/>
      </font>
      <fill>
        <patternFill patternType="solid">
          <fgColor indexed="64"/>
          <bgColor rgb="FFC6EFCE"/>
        </patternFill>
      </fill>
    </dxf>
    <dxf>
      <font>
        <b/>
        <i val="0"/>
      </font>
      <fill>
        <patternFill patternType="solid">
          <fgColor indexed="64"/>
          <bgColor rgb="FFFFFF00"/>
        </patternFill>
      </fill>
    </dxf>
    <dxf>
      <font>
        <b/>
        <i val="0"/>
        <color rgb="FF000000"/>
      </font>
      <fill>
        <patternFill patternType="solid">
          <fgColor indexed="64"/>
          <bgColor rgb="FF00FF00"/>
        </patternFill>
      </fill>
    </dxf>
    <dxf>
      <font>
        <b/>
        <i val="0"/>
        <color rgb="FFFFFFFF"/>
      </font>
      <fill>
        <patternFill patternType="solid">
          <fgColor indexed="64"/>
          <bgColor rgb="FFFF0000"/>
        </patternFill>
      </fill>
    </dxf>
    <dxf>
      <font>
        <b/>
        <i val="0"/>
        <color rgb="FF000000"/>
      </font>
      <fill>
        <patternFill patternType="solid">
          <fgColor indexed="64"/>
          <bgColor rgb="FF00FF00"/>
        </patternFill>
      </fill>
    </dxf>
    <dxf>
      <font>
        <b/>
        <i val="0"/>
        <color rgb="FFFFFFFF"/>
      </font>
      <fill>
        <patternFill patternType="solid">
          <fgColor indexed="64"/>
          <bgColor rgb="FFFF0000"/>
        </patternFill>
      </fill>
    </dxf>
    <dxf>
      <font>
        <color rgb="FF9C0006"/>
      </font>
      <fill>
        <patternFill patternType="solid">
          <fgColor indexed="64"/>
          <bgColor rgb="FFFFC7CE"/>
        </patternFill>
      </fill>
    </dxf>
    <dxf>
      <fill>
        <patternFill patternType="solid">
          <fgColor indexed="64"/>
          <bgColor rgb="FFFFEB9C"/>
        </patternFill>
      </fill>
    </dxf>
    <dxf>
      <font>
        <b/>
        <i val="0"/>
      </font>
      <fill>
        <patternFill patternType="solid">
          <fgColor indexed="64"/>
          <bgColor rgb="FFC6EFCE"/>
        </patternFill>
      </fill>
    </dxf>
    <dxf>
      <font>
        <b/>
        <i val="0"/>
      </font>
      <fill>
        <patternFill patternType="solid">
          <fgColor indexed="64"/>
          <bgColor rgb="FFFFFF00"/>
        </patternFill>
      </fill>
    </dxf>
    <dxf>
      <font>
        <b/>
        <i val="0"/>
        <color rgb="FF000000"/>
      </font>
      <fill>
        <patternFill patternType="solid">
          <fgColor indexed="64"/>
          <bgColor rgb="FF00FF00"/>
        </patternFill>
      </fill>
    </dxf>
    <dxf>
      <font>
        <b/>
        <i val="0"/>
        <color rgb="FFFFFFFF"/>
      </font>
      <fill>
        <patternFill patternType="solid">
          <fgColor indexed="64"/>
          <bgColor rgb="FFFF0000"/>
        </patternFill>
      </fill>
    </dxf>
    <dxf>
      <font>
        <b/>
        <i val="0"/>
        <color rgb="FF000000"/>
      </font>
      <fill>
        <patternFill patternType="solid">
          <fgColor indexed="64"/>
          <bgColor rgb="FF00FF00"/>
        </patternFill>
      </fill>
    </dxf>
    <dxf>
      <font>
        <b/>
        <i val="0"/>
        <color rgb="FFFFFFFF"/>
      </font>
      <fill>
        <patternFill patternType="solid">
          <fgColor indexed="64"/>
          <bgColor rgb="FFFF0000"/>
        </patternFill>
      </fill>
    </dxf>
    <dxf>
      <font>
        <color rgb="FF9C0006"/>
      </font>
      <fill>
        <patternFill patternType="solid">
          <fgColor indexed="64"/>
          <bgColor rgb="FFFFC7CE"/>
        </patternFill>
      </fill>
    </dxf>
    <dxf>
      <fill>
        <patternFill patternType="solid">
          <fgColor indexed="64"/>
          <bgColor rgb="FFFFEB9C"/>
        </patternFill>
      </fill>
    </dxf>
    <dxf>
      <font>
        <b/>
        <i val="0"/>
      </font>
      <fill>
        <patternFill patternType="solid">
          <fgColor indexed="64"/>
          <bgColor rgb="FFC6EFCE"/>
        </patternFill>
      </fill>
    </dxf>
    <dxf>
      <font>
        <b/>
        <i val="0"/>
      </font>
      <fill>
        <patternFill patternType="solid">
          <fgColor indexed="64"/>
          <bgColor rgb="FFFFFF00"/>
        </patternFill>
      </fill>
    </dxf>
    <dxf>
      <font>
        <b/>
        <i val="0"/>
        <color rgb="FF000000"/>
      </font>
      <fill>
        <patternFill patternType="solid">
          <fgColor indexed="64"/>
          <bgColor rgb="FF00FF00"/>
        </patternFill>
      </fill>
    </dxf>
    <dxf>
      <font>
        <b/>
        <i val="0"/>
        <color rgb="FFFFFFFF"/>
      </font>
      <fill>
        <patternFill patternType="solid">
          <fgColor indexed="64"/>
          <bgColor rgb="FFFF0000"/>
        </patternFill>
      </fill>
    </dxf>
    <dxf>
      <font>
        <b/>
        <i val="0"/>
        <color rgb="FF000000"/>
      </font>
      <fill>
        <patternFill patternType="solid">
          <fgColor indexed="64"/>
          <bgColor rgb="FF00FF00"/>
        </patternFill>
      </fill>
    </dxf>
    <dxf>
      <font>
        <b/>
        <i val="0"/>
        <color rgb="FFFFFFFF"/>
      </font>
      <fill>
        <patternFill patternType="solid">
          <fgColor indexed="64"/>
          <bgColor rgb="FFFF0000"/>
        </patternFill>
      </fill>
    </dxf>
    <dxf>
      <font>
        <color rgb="FF9C0006"/>
      </font>
      <fill>
        <patternFill patternType="solid">
          <fgColor indexed="64"/>
          <bgColor rgb="FFFFC7CE"/>
        </patternFill>
      </fill>
    </dxf>
    <dxf>
      <fill>
        <patternFill patternType="solid">
          <fgColor indexed="64"/>
          <bgColor rgb="FFFFEB9C"/>
        </patternFill>
      </fill>
    </dxf>
    <dxf>
      <font>
        <b/>
        <i val="0"/>
      </font>
      <fill>
        <patternFill patternType="solid">
          <fgColor indexed="64"/>
          <bgColor rgb="FFC6EFCE"/>
        </patternFill>
      </fill>
    </dxf>
    <dxf>
      <font>
        <b/>
        <i val="0"/>
      </font>
      <fill>
        <patternFill patternType="solid">
          <fgColor indexed="64"/>
          <bgColor rgb="FFFFFF00"/>
        </patternFill>
      </fill>
    </dxf>
    <dxf>
      <font>
        <b/>
        <i val="0"/>
        <color rgb="FF000000"/>
      </font>
      <fill>
        <patternFill patternType="solid">
          <fgColor indexed="64"/>
          <bgColor rgb="FF00FF00"/>
        </patternFill>
      </fill>
    </dxf>
    <dxf>
      <font>
        <b/>
        <i val="0"/>
        <color rgb="FFFFFFFF"/>
      </font>
      <fill>
        <patternFill patternType="solid">
          <fgColor indexed="64"/>
          <bgColor rgb="FFFF0000"/>
        </patternFill>
      </fill>
    </dxf>
    <dxf>
      <font>
        <b/>
        <i val="0"/>
        <color rgb="FF000000"/>
      </font>
      <fill>
        <patternFill patternType="solid">
          <fgColor indexed="64"/>
          <bgColor rgb="FF00FF00"/>
        </patternFill>
      </fill>
    </dxf>
    <dxf>
      <font>
        <b/>
        <i val="0"/>
        <color rgb="FFFFFFFF"/>
      </font>
      <fill>
        <patternFill patternType="solid">
          <fgColor indexed="64"/>
          <bgColor rgb="FFFF0000"/>
        </patternFill>
      </fill>
    </dxf>
    <dxf>
      <font>
        <color rgb="FF8B0000"/>
      </font>
      <fill>
        <patternFill patternType="solid">
          <fgColor indexed="64"/>
          <bgColor rgb="FFFFCCCC"/>
        </patternFill>
      </fill>
    </dxf>
    <dxf>
      <font>
        <b/>
        <i val="0"/>
        <color rgb="FF1B2A4A"/>
      </font>
      <fill>
        <patternFill patternType="solid">
          <fgColor indexed="64"/>
          <bgColor rgb="FFFFFF00"/>
        </patternFill>
      </fill>
    </dxf>
    <dxf>
      <numFmt numFmtId="21" formatCode="d\-mmm"/>
      <alignment horizontal="right" vertical="bottom" textRotation="0" wrapText="0" indent="0" justifyLastLine="0" shrinkToFit="0" readingOrder="0"/>
    </dxf>
    <dxf>
      <numFmt numFmtId="21" formatCode="d\-mmm"/>
      <fill>
        <patternFill patternType="solid">
          <fgColor indexed="64"/>
          <bgColor theme="3" tint="0.749992370372631"/>
        </patternFill>
      </fill>
      <alignment horizontal="right"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fill>
        <patternFill patternType="solid">
          <fgColor indexed="64"/>
          <bgColor theme="3" tint="0.749992370372631"/>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fill>
        <patternFill patternType="solid">
          <fgColor indexed="64"/>
          <bgColor theme="3" tint="0.749992370372631"/>
        </patternFill>
      </fill>
      <alignment horizontal="center" vertical="bottom" textRotation="0" wrapText="0" indent="0" justifyLastLine="0" shrinkToFit="0" readingOrder="0"/>
    </dxf>
    <dxf>
      <alignment horizontal="center" vertical="center" textRotation="0" wrapText="0" indent="0" justifyLastLine="0" shrinkToFit="0" readingOrder="0"/>
    </dxf>
    <dxf>
      <fill>
        <patternFill patternType="solid">
          <fgColor indexed="64"/>
          <bgColor theme="3" tint="0.749992370372631"/>
        </patternFill>
      </fill>
      <alignment horizontal="center" vertical="center" textRotation="0" wrapText="0" indent="0" justifyLastLine="0" shrinkToFit="0" readingOrder="0"/>
    </dxf>
    <dxf>
      <fill>
        <patternFill patternType="solid">
          <fgColor indexed="64"/>
          <bgColor theme="3" tint="0.749992370372631"/>
        </patternFill>
      </fill>
    </dxf>
    <dxf>
      <alignment horizontal="center" vertical="center" textRotation="0" wrapText="0" indent="0" justifyLastLine="0" shrinkToFit="0" readingOrder="0"/>
    </dxf>
    <dxf>
      <fill>
        <patternFill patternType="solid">
          <fgColor indexed="64"/>
          <bgColor theme="3" tint="0.749992370372631"/>
        </patternFill>
      </fill>
      <alignment horizontal="center" vertical="center" textRotation="0" wrapText="0" indent="0" justifyLastLine="0" shrinkToFit="0" readingOrder="0"/>
    </dxf>
    <dxf>
      <fill>
        <patternFill patternType="solid">
          <fgColor indexed="64"/>
          <bgColor theme="3" tint="0.74999237037263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_rels/drawing2.xml.rels><?xml version="1.0" encoding="UTF-8" standalone="yes"?>
<Relationships xmlns="http://schemas.openxmlformats.org/package/2006/relationships"><Relationship Id="rId1" Type="http://schemas.openxmlformats.org/officeDocument/2006/relationships/image" Target="../media/image1.tmp"/></Relationships>
</file>

<file path=xl/drawings/_rels/drawing3.xml.rels><?xml version="1.0" encoding="UTF-8" standalone="yes"?>
<Relationships xmlns="http://schemas.openxmlformats.org/package/2006/relationships"><Relationship Id="rId1" Type="http://schemas.openxmlformats.org/officeDocument/2006/relationships/image" Target="../media/image1.tmp"/></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1.tmp"/></Relationships>
</file>

<file path=xl/drawings/_rels/drawing6.xml.rels><?xml version="1.0" encoding="UTF-8" standalone="yes"?>
<Relationships xmlns="http://schemas.openxmlformats.org/package/2006/relationships"><Relationship Id="rId1" Type="http://schemas.openxmlformats.org/officeDocument/2006/relationships/image" Target="../media/image1.tmp"/></Relationships>
</file>

<file path=xl/drawings/_rels/drawing7.xml.rels><?xml version="1.0" encoding="UTF-8" standalone="yes"?>
<Relationships xmlns="http://schemas.openxmlformats.org/package/2006/relationships"><Relationship Id="rId1" Type="http://schemas.openxmlformats.org/officeDocument/2006/relationships/image" Target="../media/image1.tmp"/></Relationships>
</file>

<file path=xl/drawings/_rels/drawing8.xml.rels><?xml version="1.0" encoding="UTF-8" standalone="yes"?>
<Relationships xmlns="http://schemas.openxmlformats.org/package/2006/relationships"><Relationship Id="rId1" Type="http://schemas.openxmlformats.org/officeDocument/2006/relationships/image" Target="../media/image1.tmp"/></Relationships>
</file>

<file path=xl/drawings/_rels/drawing9.xml.rels><?xml version="1.0" encoding="UTF-8" standalone="yes"?>
<Relationships xmlns="http://schemas.openxmlformats.org/package/2006/relationships"><Relationship Id="rId1" Type="http://schemas.openxmlformats.org/officeDocument/2006/relationships/image" Target="../media/image1.tmp"/></Relationships>
</file>

<file path=xl/drawings/_rels/drawing10.xml.rels><?xml version="1.0" encoding="UTF-8" standalone="yes"?>
<Relationships xmlns="http://schemas.openxmlformats.org/package/2006/relationships"><Relationship Id="rId1" Type="http://schemas.openxmlformats.org/officeDocument/2006/relationships/image" Target="../media/image1.tmp"/></Relationships>
</file>

<file path=xl/drawings/_rels/drawing11.xml.rels><?xml version="1.0" encoding="UTF-8" standalone="yes"?>
<Relationships xmlns="http://schemas.openxmlformats.org/package/2006/relationships"><Relationship Id="rId1" Type="http://schemas.openxmlformats.org/officeDocument/2006/relationships/image" Target="../media/image1.tmp"/></Relationships>
</file>

<file path=xl/drawings/_rels/drawing12.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15875</xdr:rowOff>
    </xdr:from>
    <xdr:to>
      <xdr:col>0</xdr:col>
      <xdr:colOff>1047750</xdr:colOff>
      <xdr:row>2</xdr:row>
      <xdr:rowOff>25400</xdr:rowOff>
    </xdr:to>
    <xdr:pic>
      <xdr:nvPicPr>
        <xdr:cNvPr id="5" name="CompanyLogo">
          <a:extLst>
            <a:ext uri="{FF2B5EF4-FFF2-40B4-BE49-F238E27FC236}">
              <a16:creationId xmlns:a16="http://schemas.microsoft.com/office/drawing/2014/main" id="{850776BD-8471-3A9C-8AE4-8AEE83BBE43C}"/>
            </a:ext>
          </a:extLst>
        </xdr:cNvPr>
        <xdr:cNvPicPr>
          <a:picLocks noChangeAspect="1"/>
        </xdr:cNvPicPr>
      </xdr:nvPicPr>
      <xdr:blipFill>
        <a:blip xmlns:r="http://schemas.openxmlformats.org/officeDocument/2006/relationships" r:embed="rId1"/>
        <a:stretch>
          <a:fillRect/>
        </a:stretch>
      </xdr:blipFill>
      <xdr:spPr>
        <a:xfrm>
          <a:off x="0" y="15875"/>
          <a:ext cx="1047750" cy="571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xdr:colOff>
      <xdr:row>0</xdr:row>
      <xdr:rowOff>15875</xdr:rowOff>
    </xdr:from>
    <xdr:to>
      <xdr:col>1</xdr:col>
      <xdr:colOff>45719</xdr:colOff>
      <xdr:row>2</xdr:row>
      <xdr:rowOff>27305</xdr:rowOff>
    </xdr:to>
    <xdr:pic>
      <xdr:nvPicPr>
        <xdr:cNvPr id="5" name="CompanyLogo">
          <a:extLst>
            <a:ext uri="{FF2B5EF4-FFF2-40B4-BE49-F238E27FC236}">
              <a16:creationId xmlns:a16="http://schemas.microsoft.com/office/drawing/2014/main" id="{8A3F7E95-0CD3-D351-C918-572A3E8E074F}"/>
            </a:ext>
          </a:extLst>
        </xdr:cNvPr>
        <xdr:cNvPicPr>
          <a:picLocks noChangeAspect="1"/>
        </xdr:cNvPicPr>
      </xdr:nvPicPr>
      <xdr:blipFill>
        <a:blip xmlns:r="http://schemas.openxmlformats.org/officeDocument/2006/relationships" r:embed="rId1"/>
        <a:stretch>
          <a:fillRect/>
        </a:stretch>
      </xdr:blipFill>
      <xdr:spPr>
        <a:xfrm>
          <a:off x="9525" y="15875"/>
          <a:ext cx="1104899" cy="5715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17117</xdr:rowOff>
    </xdr:from>
    <xdr:to>
      <xdr:col>1</xdr:col>
      <xdr:colOff>35035</xdr:colOff>
      <xdr:row>2</xdr:row>
      <xdr:rowOff>27305</xdr:rowOff>
    </xdr:to>
    <xdr:pic>
      <xdr:nvPicPr>
        <xdr:cNvPr id="5" name="CompanyLogo">
          <a:extLst>
            <a:ext uri="{FF2B5EF4-FFF2-40B4-BE49-F238E27FC236}">
              <a16:creationId xmlns:a16="http://schemas.microsoft.com/office/drawing/2014/main" id="{A4BFCD56-CC93-A1B7-8AE9-C9E09E9F87CF}"/>
            </a:ext>
          </a:extLst>
        </xdr:cNvPr>
        <xdr:cNvPicPr>
          <a:picLocks noChangeAspect="1"/>
        </xdr:cNvPicPr>
      </xdr:nvPicPr>
      <xdr:blipFill>
        <a:blip xmlns:r="http://schemas.openxmlformats.org/officeDocument/2006/relationships" r:embed="rId1"/>
        <a:stretch>
          <a:fillRect/>
        </a:stretch>
      </xdr:blipFill>
      <xdr:spPr>
        <a:xfrm>
          <a:off x="0" y="17117"/>
          <a:ext cx="1101587" cy="5715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28575</xdr:colOff>
      <xdr:row>2</xdr:row>
      <xdr:rowOff>27333</xdr:rowOff>
    </xdr:to>
    <xdr:pic>
      <xdr:nvPicPr>
        <xdr:cNvPr id="5" name="CompanyLogo_CB">
          <a:extLst>
            <a:ext uri="{FF2B5EF4-FFF2-40B4-BE49-F238E27FC236}">
              <a16:creationId xmlns:a16="http://schemas.microsoft.com/office/drawing/2014/main" id="{B23F7D4F-9511-F377-B3F2-94AB83D900E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1095375" cy="570258"/>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6350</xdr:rowOff>
    </xdr:from>
    <xdr:to>
      <xdr:col>1</xdr:col>
      <xdr:colOff>15240</xdr:colOff>
      <xdr:row>2</xdr:row>
      <xdr:rowOff>16538</xdr:rowOff>
    </xdr:to>
    <xdr:pic>
      <xdr:nvPicPr>
        <xdr:cNvPr id="5" name="CompanyLogo">
          <a:extLst>
            <a:ext uri="{FF2B5EF4-FFF2-40B4-BE49-F238E27FC236}">
              <a16:creationId xmlns:a16="http://schemas.microsoft.com/office/drawing/2014/main" id="{7661C560-95BF-3991-BFD4-09C4CD09AD50}"/>
            </a:ext>
          </a:extLst>
        </xdr:cNvPr>
        <xdr:cNvPicPr>
          <a:picLocks noChangeAspect="1"/>
        </xdr:cNvPicPr>
      </xdr:nvPicPr>
      <xdr:blipFill>
        <a:blip xmlns:r="http://schemas.openxmlformats.org/officeDocument/2006/relationships" r:embed="rId1"/>
        <a:stretch>
          <a:fillRect/>
        </a:stretch>
      </xdr:blipFill>
      <xdr:spPr>
        <a:xfrm>
          <a:off x="0" y="6350"/>
          <a:ext cx="1085850" cy="56835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17393</xdr:colOff>
      <xdr:row>2</xdr:row>
      <xdr:rowOff>33131</xdr:rowOff>
    </xdr:to>
    <xdr:pic>
      <xdr:nvPicPr>
        <xdr:cNvPr id="3" name="CompanyLogo">
          <a:extLst>
            <a:ext uri="{FF2B5EF4-FFF2-40B4-BE49-F238E27FC236}">
              <a16:creationId xmlns:a16="http://schemas.microsoft.com/office/drawing/2014/main" id="{19709790-F596-4B69-8558-3190EDD237A7}"/>
            </a:ext>
          </a:extLst>
        </xdr:cNvPr>
        <xdr:cNvPicPr>
          <a:picLocks noChangeAspect="1"/>
        </xdr:cNvPicPr>
      </xdr:nvPicPr>
      <xdr:blipFill>
        <a:blip xmlns:r="http://schemas.openxmlformats.org/officeDocument/2006/relationships" r:embed="rId1"/>
        <a:stretch>
          <a:fillRect/>
        </a:stretch>
      </xdr:blipFill>
      <xdr:spPr>
        <a:xfrm>
          <a:off x="0" y="0"/>
          <a:ext cx="1085850" cy="59634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21203</xdr:colOff>
      <xdr:row>3</xdr:row>
      <xdr:rowOff>10187</xdr:rowOff>
    </xdr:to>
    <xdr:pic>
      <xdr:nvPicPr>
        <xdr:cNvPr id="3" name="CompanyLogo">
          <a:extLst>
            <a:ext uri="{FF2B5EF4-FFF2-40B4-BE49-F238E27FC236}">
              <a16:creationId xmlns:a16="http://schemas.microsoft.com/office/drawing/2014/main" id="{0A841200-B64D-4D1F-A134-20712B364AAE}"/>
            </a:ext>
          </a:extLst>
        </xdr:cNvPr>
        <xdr:cNvPicPr>
          <a:picLocks noChangeAspect="1"/>
        </xdr:cNvPicPr>
      </xdr:nvPicPr>
      <xdr:blipFill>
        <a:blip xmlns:r="http://schemas.openxmlformats.org/officeDocument/2006/relationships" r:embed="rId1"/>
        <a:stretch>
          <a:fillRect/>
        </a:stretch>
      </xdr:blipFill>
      <xdr:spPr>
        <a:xfrm>
          <a:off x="0" y="0"/>
          <a:ext cx="1085850" cy="62947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28575</xdr:colOff>
      <xdr:row>0</xdr:row>
      <xdr:rowOff>0</xdr:rowOff>
    </xdr:from>
    <xdr:to>
      <xdr:col>0</xdr:col>
      <xdr:colOff>1114425</xdr:colOff>
      <xdr:row>1</xdr:row>
      <xdr:rowOff>15903</xdr:rowOff>
    </xdr:to>
    <xdr:pic>
      <xdr:nvPicPr>
        <xdr:cNvPr id="3" name="CompanyLogo">
          <a:extLst>
            <a:ext uri="{FF2B5EF4-FFF2-40B4-BE49-F238E27FC236}">
              <a16:creationId xmlns:a16="http://schemas.microsoft.com/office/drawing/2014/main" id="{5AB460BA-8B58-487D-A542-9754B9EA1555}"/>
            </a:ext>
          </a:extLst>
        </xdr:cNvPr>
        <xdr:cNvPicPr>
          <a:picLocks noChangeAspect="1"/>
        </xdr:cNvPicPr>
      </xdr:nvPicPr>
      <xdr:blipFill>
        <a:blip xmlns:r="http://schemas.openxmlformats.org/officeDocument/2006/relationships" r:embed="rId1"/>
        <a:stretch>
          <a:fillRect/>
        </a:stretch>
      </xdr:blipFill>
      <xdr:spPr>
        <a:xfrm>
          <a:off x="28575" y="0"/>
          <a:ext cx="1085850" cy="61597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1257300</xdr:colOff>
      <xdr:row>2</xdr:row>
      <xdr:rowOff>38100</xdr:rowOff>
    </xdr:to>
    <xdr:pic>
      <xdr:nvPicPr>
        <xdr:cNvPr id="2" name="CompanyLogo">
          <a:extLst>
            <a:ext uri="{FF2B5EF4-FFF2-40B4-BE49-F238E27FC236}">
              <a16:creationId xmlns:a16="http://schemas.microsoft.com/office/drawing/2014/main" id="{1A12FF9C-DEA8-4194-B202-2173E280EEF5}"/>
            </a:ext>
          </a:extLst>
        </xdr:cNvPr>
        <xdr:cNvPicPr>
          <a:picLocks noChangeAspect="1"/>
        </xdr:cNvPicPr>
      </xdr:nvPicPr>
      <xdr:blipFill>
        <a:blip xmlns:r="http://schemas.openxmlformats.org/officeDocument/2006/relationships" r:embed="rId1"/>
        <a:stretch>
          <a:fillRect/>
        </a:stretch>
      </xdr:blipFill>
      <xdr:spPr>
        <a:xfrm>
          <a:off x="0" y="0"/>
          <a:ext cx="1257300" cy="6000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91108</xdr:colOff>
      <xdr:row>0</xdr:row>
      <xdr:rowOff>0</xdr:rowOff>
    </xdr:from>
    <xdr:to>
      <xdr:col>0</xdr:col>
      <xdr:colOff>1356028</xdr:colOff>
      <xdr:row>0</xdr:row>
      <xdr:rowOff>588645</xdr:rowOff>
    </xdr:to>
    <xdr:pic>
      <xdr:nvPicPr>
        <xdr:cNvPr id="2" name="CompanyLogo">
          <a:extLst>
            <a:ext uri="{FF2B5EF4-FFF2-40B4-BE49-F238E27FC236}">
              <a16:creationId xmlns:a16="http://schemas.microsoft.com/office/drawing/2014/main" id="{14E22D99-7CFA-4CBC-B66A-D6C83156C222}"/>
            </a:ext>
          </a:extLst>
        </xdr:cNvPr>
        <xdr:cNvPicPr>
          <a:picLocks noChangeAspect="1"/>
        </xdr:cNvPicPr>
      </xdr:nvPicPr>
      <xdr:blipFill>
        <a:blip xmlns:r="http://schemas.openxmlformats.org/officeDocument/2006/relationships" r:embed="rId1"/>
        <a:stretch>
          <a:fillRect/>
        </a:stretch>
      </xdr:blipFill>
      <xdr:spPr>
        <a:xfrm>
          <a:off x="91108" y="0"/>
          <a:ext cx="1257300" cy="6000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38100</xdr:colOff>
      <xdr:row>0</xdr:row>
      <xdr:rowOff>25400</xdr:rowOff>
    </xdr:from>
    <xdr:to>
      <xdr:col>1</xdr:col>
      <xdr:colOff>0</xdr:colOff>
      <xdr:row>2</xdr:row>
      <xdr:rowOff>38100</xdr:rowOff>
    </xdr:to>
    <xdr:pic>
      <xdr:nvPicPr>
        <xdr:cNvPr id="5" name="CompanyLogo">
          <a:extLst>
            <a:ext uri="{FF2B5EF4-FFF2-40B4-BE49-F238E27FC236}">
              <a16:creationId xmlns:a16="http://schemas.microsoft.com/office/drawing/2014/main" id="{6E00BE23-F245-CEE9-BEF1-64658A396207}"/>
            </a:ext>
          </a:extLst>
        </xdr:cNvPr>
        <xdr:cNvPicPr>
          <a:picLocks noChangeAspect="1"/>
        </xdr:cNvPicPr>
      </xdr:nvPicPr>
      <xdr:blipFill>
        <a:blip xmlns:r="http://schemas.openxmlformats.org/officeDocument/2006/relationships" r:embed="rId1"/>
        <a:stretch>
          <a:fillRect/>
        </a:stretch>
      </xdr:blipFill>
      <xdr:spPr>
        <a:xfrm>
          <a:off x="38100" y="25400"/>
          <a:ext cx="1933575" cy="6985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11</xdr:col>
      <xdr:colOff>9525</xdr:colOff>
      <xdr:row>1</xdr:row>
      <xdr:rowOff>171450</xdr:rowOff>
    </xdr:from>
    <xdr:to>
      <xdr:col>11</xdr:col>
      <xdr:colOff>520065</xdr:colOff>
      <xdr:row>6</xdr:row>
      <xdr:rowOff>43815</xdr:rowOff>
    </xdr:to>
    <xdr:pic>
      <xdr:nvPicPr>
        <xdr:cNvPr id="5" name="Graphic 4" descr="Arrow Right with solid fill">
          <a:extLst>
            <a:ext uri="{FF2B5EF4-FFF2-40B4-BE49-F238E27FC236}">
              <a16:creationId xmlns:a16="http://schemas.microsoft.com/office/drawing/2014/main" id="{2EC9D635-D911-5DB3-CB08-0FD7274C530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82025" y="352425"/>
          <a:ext cx="510540" cy="92011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E27566F-497A-4121-9B66-58D6DF309076}" name="Table13" displayName="Table13" ref="AC5:AH19" totalsRowCount="1" dataDxfId="95">
  <autoFilter ref="AC5:AH18" xr:uid="{AE27566F-497A-4121-9B66-58D6DF309076}"/>
  <sortState xmlns:xlrd2="http://schemas.microsoft.com/office/spreadsheetml/2017/richdata2" ref="AC6:AH18">
    <sortCondition ref="AH2:AH15"/>
  </sortState>
  <tableColumns count="6">
    <tableColumn id="1" xr3:uid="{0FBFC90A-7A57-4A86-9AC9-09A06E8407D5}" name="Release" dataDxfId="94" totalsRowDxfId="93"/>
    <tableColumn id="2" xr3:uid="{4DFE305F-9FCE-4119-884A-28B01312A96B}" name="Color" dataDxfId="92"/>
    <tableColumn id="3" xr3:uid="{8D7A8200-B185-4F56-91F6-3B30A3EBCE1F}" name="Qty" totalsRowFunction="sum" dataDxfId="91" totalsRowDxfId="90"/>
    <tableColumn id="4" xr3:uid="{213F4220-2C55-4B72-9ACA-C1CA2162D8B1}" name="Elevation" dataDxfId="89" totalsRowDxfId="88"/>
    <tableColumn id="6" xr3:uid="{7276B5C8-AAFC-42A3-AEA2-4C41DFF1C8B7}" name="Submitted Date" dataDxfId="87" totalsRowDxfId="86"/>
    <tableColumn id="5" xr3:uid="{E188AD57-6164-416C-B767-690B9898352E}" name="Pick Up " dataDxfId="85" totalsRowDxfId="8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outlinePr summaryBelow="0"/>
  </sheetPr>
  <dimension ref="A1:FU321"/>
  <sheetViews>
    <sheetView workbookViewId="0">
      <selection sqref="A1:FU321"/>
    </sheetView>
  </sheetViews>
  <sheetFormatPr defaultRowHeight="15" x14ac:dyDescent="0.25"/>
  <cols>
    <col min="1" max="1" width="9.85546875" customWidth="1"/>
    <col min="2" max="2" width="20.42578125" customWidth="1"/>
    <col min="3" max="3" width="6.28515625" customWidth="1"/>
    <col min="4" max="4" width="36.42578125" customWidth="1"/>
    <col min="5" max="5" width="28.42578125" customWidth="1"/>
    <col min="6" max="6" width="16.85546875" customWidth="1"/>
    <col min="7" max="7" width="23.42578125" customWidth="1"/>
    <col min="8" max="8" width="25.5703125" customWidth="1"/>
    <col min="9" max="9" width="11.7109375" customWidth="1"/>
    <col min="10" max="10" width="36" customWidth="1"/>
    <col min="11" max="13" width="23.42578125" customWidth="1"/>
    <col min="14" max="14" width="68.5703125" customWidth="1"/>
    <col min="15" max="17" width="23.42578125" customWidth="1"/>
    <col min="18" max="18" width="13" customWidth="1"/>
    <col min="19" max="19" width="11.7109375" customWidth="1"/>
    <col min="20" max="20" width="14.42578125" customWidth="1"/>
    <col min="21" max="21" width="13.7109375" customWidth="1"/>
    <col min="22" max="22" width="11" customWidth="1"/>
    <col min="23" max="24" width="23.42578125" customWidth="1"/>
    <col min="25" max="25" width="58.140625" customWidth="1"/>
    <col min="26" max="26" width="16.7109375" customWidth="1"/>
    <col min="27" max="27" width="46.140625" customWidth="1"/>
    <col min="28" max="29" width="11.7109375" customWidth="1"/>
    <col min="30" max="40" width="23.42578125" customWidth="1"/>
    <col min="41" max="41" width="11.7109375" customWidth="1"/>
    <col min="42" max="44" width="23.42578125" customWidth="1"/>
    <col min="45" max="46" width="11.7109375" customWidth="1"/>
    <col min="47" max="48" width="23.42578125" customWidth="1"/>
    <col min="49" max="49" width="15" customWidth="1"/>
    <col min="50" max="50" width="23.42578125" customWidth="1"/>
    <col min="51" max="51" width="14.5703125" customWidth="1"/>
    <col min="52" max="52" width="14.28515625" customWidth="1"/>
    <col min="53" max="53" width="18.5703125" customWidth="1"/>
    <col min="54" max="54" width="23.42578125" customWidth="1"/>
    <col min="55" max="55" width="15.42578125" customWidth="1"/>
    <col min="56" max="59" width="23.42578125" customWidth="1"/>
    <col min="60" max="60" width="11.7109375" customWidth="1"/>
    <col min="61" max="61" width="11" customWidth="1"/>
    <col min="62" max="62" width="13" customWidth="1"/>
    <col min="63" max="63" width="11.7109375" customWidth="1"/>
    <col min="64" max="65" width="23.42578125" customWidth="1"/>
    <col min="66" max="66" width="39.85546875" customWidth="1"/>
    <col min="67" max="69" width="23.42578125" customWidth="1"/>
    <col min="70" max="70" width="8.42578125" customWidth="1"/>
    <col min="71" max="71" width="23.42578125" customWidth="1"/>
    <col min="72" max="72" width="6.42578125" customWidth="1"/>
    <col min="73" max="73" width="23.42578125" customWidth="1"/>
    <col min="74" max="74" width="11.7109375" customWidth="1"/>
    <col min="75" max="79" width="23.42578125" customWidth="1"/>
    <col min="80" max="80" width="13.7109375" customWidth="1"/>
    <col min="81" max="81" width="23.42578125" customWidth="1"/>
    <col min="82" max="82" width="6.42578125" customWidth="1"/>
    <col min="83" max="83" width="10.28515625" customWidth="1"/>
    <col min="84" max="84" width="8.28515625" customWidth="1"/>
    <col min="85" max="85" width="23.42578125" customWidth="1"/>
    <col min="86" max="86" width="11.7109375" customWidth="1"/>
    <col min="87" max="87" width="9" customWidth="1"/>
    <col min="88" max="88" width="11.7109375" customWidth="1"/>
    <col min="89" max="89" width="23.42578125" customWidth="1"/>
    <col min="90" max="90" width="11.7109375" customWidth="1"/>
    <col min="91" max="91" width="23.42578125" customWidth="1"/>
    <col min="92" max="92" width="12.140625" customWidth="1"/>
    <col min="93" max="94" width="9.42578125" customWidth="1"/>
    <col min="95" max="95" width="11.7109375" customWidth="1"/>
    <col min="96" max="96" width="23.42578125" customWidth="1"/>
    <col min="97" max="97" width="11.7109375" customWidth="1"/>
    <col min="98" max="98" width="14" customWidth="1"/>
    <col min="99" max="99" width="9.28515625" customWidth="1"/>
    <col min="100" max="100" width="23.42578125" customWidth="1"/>
    <col min="101" max="101" width="11.7109375" customWidth="1"/>
    <col min="102" max="102" width="8.42578125" customWidth="1"/>
    <col min="103" max="103" width="14.85546875" customWidth="1"/>
    <col min="104" max="104" width="23.42578125" customWidth="1"/>
    <col min="105" max="105" width="11.42578125" customWidth="1"/>
    <col min="106" max="106" width="8.140625" customWidth="1"/>
    <col min="107" max="107" width="7.28515625" customWidth="1"/>
    <col min="108" max="108" width="11.7109375" customWidth="1"/>
    <col min="109" max="109" width="16.28515625" customWidth="1"/>
    <col min="110" max="110" width="16.42578125" customWidth="1"/>
    <col min="111" max="111" width="12.85546875" customWidth="1"/>
    <col min="112" max="112" width="13.7109375" customWidth="1"/>
    <col min="113" max="113" width="14.5703125" customWidth="1"/>
    <col min="114" max="114" width="23.42578125" customWidth="1"/>
    <col min="115" max="115" width="11" customWidth="1"/>
    <col min="116" max="117" width="23.42578125" customWidth="1"/>
    <col min="118" max="118" width="11.7109375" customWidth="1"/>
    <col min="119" max="119" width="17.85546875" customWidth="1"/>
    <col min="120" max="120" width="16.7109375" customWidth="1"/>
    <col min="121" max="121" width="23.42578125" customWidth="1"/>
    <col min="122" max="122" width="11.7109375" customWidth="1"/>
    <col min="123" max="123" width="18.5703125" customWidth="1"/>
    <col min="124" max="124" width="17.42578125" customWidth="1"/>
    <col min="125" max="125" width="23.42578125" customWidth="1"/>
    <col min="126" max="126" width="11.7109375" customWidth="1"/>
    <col min="127" max="127" width="21.7109375" customWidth="1"/>
    <col min="128" max="128" width="20.5703125" customWidth="1"/>
    <col min="129" max="129" width="23.42578125" customWidth="1"/>
    <col min="130" max="130" width="11.7109375" customWidth="1"/>
    <col min="131" max="134" width="23.42578125" customWidth="1"/>
    <col min="135" max="135" width="13.140625" customWidth="1"/>
    <col min="136" max="136" width="10.7109375" customWidth="1"/>
    <col min="137" max="137" width="11" customWidth="1"/>
    <col min="138" max="138" width="10.7109375" customWidth="1"/>
    <col min="139" max="139" width="9.85546875" customWidth="1"/>
    <col min="140" max="140" width="11.5703125" customWidth="1"/>
    <col min="141" max="141" width="11.7109375" customWidth="1"/>
    <col min="142" max="142" width="11.42578125" customWidth="1"/>
    <col min="143" max="143" width="11.28515625" customWidth="1"/>
    <col min="144" max="144" width="10.140625" customWidth="1"/>
    <col min="145" max="145" width="15.140625" customWidth="1"/>
    <col min="146" max="146" width="11.7109375" customWidth="1"/>
    <col min="147" max="149" width="23.42578125" customWidth="1"/>
    <col min="150" max="150" width="31.7109375" customWidth="1"/>
    <col min="151" max="153" width="23.42578125" customWidth="1"/>
    <col min="154" max="154" width="33.5703125" customWidth="1"/>
    <col min="155" max="155" width="16.140625" customWidth="1"/>
    <col min="156" max="156" width="23.42578125" customWidth="1"/>
    <col min="157" max="157" width="20.140625" customWidth="1"/>
    <col min="158" max="158" width="32.28515625" customWidth="1"/>
    <col min="159" max="161" width="23.42578125" customWidth="1"/>
    <col min="162" max="162" width="11.7109375" customWidth="1"/>
    <col min="163" max="165" width="23.42578125" customWidth="1"/>
    <col min="166" max="166" width="11.7109375" customWidth="1"/>
    <col min="167" max="170" width="23.42578125" customWidth="1"/>
    <col min="171" max="171" width="11.7109375" customWidth="1"/>
    <col min="172" max="172" width="23.42578125" customWidth="1"/>
    <col min="173" max="174" width="11.7109375" customWidth="1"/>
    <col min="175" max="175" width="7.85546875" customWidth="1"/>
    <col min="176" max="176" width="11.140625" customWidth="1"/>
    <col min="177" max="177" width="10.5703125" customWidth="1"/>
  </cols>
  <sheetData>
    <row r="1" spans="1:177" ht="15.75" x14ac:dyDescent="0.25">
      <c r="A1" s="329" t="s">
        <v>0</v>
      </c>
      <c r="B1" s="329" t="s">
        <v>1</v>
      </c>
      <c r="C1" s="329" t="s">
        <v>2</v>
      </c>
      <c r="D1" s="329" t="s">
        <v>3</v>
      </c>
      <c r="E1" s="329" t="s">
        <v>4</v>
      </c>
      <c r="F1" s="329" t="s">
        <v>5</v>
      </c>
      <c r="G1" s="329" t="s">
        <v>6</v>
      </c>
      <c r="H1" s="329" t="s">
        <v>7</v>
      </c>
      <c r="I1" s="329" t="s">
        <v>8</v>
      </c>
      <c r="J1" s="329" t="s">
        <v>9</v>
      </c>
      <c r="K1" s="329" t="s">
        <v>10</v>
      </c>
      <c r="L1" s="329" t="s">
        <v>11</v>
      </c>
      <c r="M1" s="329" t="s">
        <v>12</v>
      </c>
      <c r="N1" s="329" t="s">
        <v>13</v>
      </c>
      <c r="O1" s="329" t="s">
        <v>14</v>
      </c>
      <c r="P1" s="329" t="s">
        <v>15</v>
      </c>
      <c r="Q1" s="329" t="s">
        <v>16</v>
      </c>
      <c r="R1" s="329" t="s">
        <v>17</v>
      </c>
      <c r="S1" s="329" t="s">
        <v>18</v>
      </c>
      <c r="T1" s="329" t="s">
        <v>19</v>
      </c>
      <c r="U1" s="329" t="s">
        <v>20</v>
      </c>
      <c r="V1" s="329" t="s">
        <v>21</v>
      </c>
      <c r="W1" s="329" t="s">
        <v>22</v>
      </c>
      <c r="X1" s="329" t="s">
        <v>23</v>
      </c>
      <c r="Y1" s="329" t="s">
        <v>24</v>
      </c>
      <c r="Z1" s="329" t="s">
        <v>25</v>
      </c>
      <c r="AA1" s="329" t="s">
        <v>26</v>
      </c>
      <c r="AB1" s="329" t="s">
        <v>27</v>
      </c>
      <c r="AC1" s="329" t="s">
        <v>28</v>
      </c>
      <c r="AD1" s="329" t="s">
        <v>29</v>
      </c>
      <c r="AE1" s="329" t="s">
        <v>30</v>
      </c>
      <c r="AF1" s="329" t="s">
        <v>31</v>
      </c>
      <c r="AG1" s="329" t="s">
        <v>32</v>
      </c>
      <c r="AH1" s="329" t="s">
        <v>33</v>
      </c>
      <c r="AI1" s="329" t="s">
        <v>34</v>
      </c>
      <c r="AJ1" s="329" t="s">
        <v>35</v>
      </c>
      <c r="AK1" s="329" t="s">
        <v>36</v>
      </c>
      <c r="AL1" s="329" t="s">
        <v>37</v>
      </c>
      <c r="AM1" s="329" t="s">
        <v>38</v>
      </c>
      <c r="AN1" s="329" t="s">
        <v>39</v>
      </c>
      <c r="AO1" s="329" t="s">
        <v>40</v>
      </c>
      <c r="AP1" s="329" t="s">
        <v>41</v>
      </c>
      <c r="AQ1" s="329" t="s">
        <v>42</v>
      </c>
      <c r="AR1" s="329" t="s">
        <v>43</v>
      </c>
      <c r="AS1" s="329" t="s">
        <v>44</v>
      </c>
      <c r="AT1" s="329" t="s">
        <v>45</v>
      </c>
      <c r="AU1" s="329" t="s">
        <v>46</v>
      </c>
      <c r="AV1" s="329" t="s">
        <v>47</v>
      </c>
      <c r="AW1" s="329" t="s">
        <v>48</v>
      </c>
      <c r="AX1" s="329" t="s">
        <v>49</v>
      </c>
      <c r="AY1" s="329" t="s">
        <v>50</v>
      </c>
      <c r="AZ1" s="329" t="s">
        <v>51</v>
      </c>
      <c r="BA1" s="329" t="s">
        <v>52</v>
      </c>
      <c r="BB1" s="329" t="s">
        <v>53</v>
      </c>
      <c r="BC1" s="329" t="s">
        <v>54</v>
      </c>
      <c r="BD1" s="329" t="s">
        <v>55</v>
      </c>
      <c r="BE1" s="329" t="s">
        <v>56</v>
      </c>
      <c r="BF1" s="329" t="s">
        <v>57</v>
      </c>
      <c r="BG1" s="329" t="s">
        <v>58</v>
      </c>
      <c r="BH1" s="329" t="s">
        <v>59</v>
      </c>
      <c r="BI1" s="329" t="s">
        <v>60</v>
      </c>
      <c r="BJ1" s="329" t="s">
        <v>61</v>
      </c>
      <c r="BK1" s="329" t="s">
        <v>62</v>
      </c>
      <c r="BL1" s="329" t="s">
        <v>63</v>
      </c>
      <c r="BM1" s="329" t="s">
        <v>64</v>
      </c>
      <c r="BN1" s="329" t="s">
        <v>65</v>
      </c>
      <c r="BO1" s="329" t="s">
        <v>66</v>
      </c>
      <c r="BP1" s="329" t="s">
        <v>67</v>
      </c>
      <c r="BQ1" s="329" t="s">
        <v>68</v>
      </c>
      <c r="BR1" s="329" t="s">
        <v>69</v>
      </c>
      <c r="BS1" s="329" t="s">
        <v>70</v>
      </c>
      <c r="BT1" s="329" t="s">
        <v>71</v>
      </c>
      <c r="BU1" s="329" t="s">
        <v>72</v>
      </c>
      <c r="BV1" s="329" t="s">
        <v>73</v>
      </c>
      <c r="BW1" s="329" t="s">
        <v>74</v>
      </c>
      <c r="BX1" s="329" t="s">
        <v>75</v>
      </c>
      <c r="BY1" s="329" t="s">
        <v>76</v>
      </c>
      <c r="BZ1" s="329" t="s">
        <v>77</v>
      </c>
      <c r="CA1" s="329" t="s">
        <v>78</v>
      </c>
      <c r="CB1" s="329" t="s">
        <v>79</v>
      </c>
      <c r="CC1" s="329" t="s">
        <v>80</v>
      </c>
      <c r="CD1" s="329" t="s">
        <v>81</v>
      </c>
      <c r="CE1" s="329" t="s">
        <v>82</v>
      </c>
      <c r="CF1" s="329" t="s">
        <v>83</v>
      </c>
      <c r="CG1" s="329" t="s">
        <v>84</v>
      </c>
      <c r="CH1" s="329" t="s">
        <v>85</v>
      </c>
      <c r="CI1" s="329" t="s">
        <v>86</v>
      </c>
      <c r="CJ1" s="329" t="s">
        <v>87</v>
      </c>
      <c r="CK1" s="329" t="s">
        <v>88</v>
      </c>
      <c r="CL1" s="329" t="s">
        <v>89</v>
      </c>
      <c r="CM1" s="329" t="s">
        <v>90</v>
      </c>
      <c r="CN1" s="329" t="s">
        <v>91</v>
      </c>
      <c r="CO1" s="329" t="s">
        <v>92</v>
      </c>
      <c r="CP1" s="329" t="s">
        <v>93</v>
      </c>
      <c r="CQ1" s="329" t="s">
        <v>94</v>
      </c>
      <c r="CR1" s="329" t="s">
        <v>95</v>
      </c>
      <c r="CS1" s="329" t="s">
        <v>96</v>
      </c>
      <c r="CT1" s="329" t="s">
        <v>97</v>
      </c>
      <c r="CU1" s="329" t="s">
        <v>98</v>
      </c>
      <c r="CV1" s="329" t="s">
        <v>99</v>
      </c>
      <c r="CW1" s="329" t="s">
        <v>100</v>
      </c>
      <c r="CX1" s="329" t="s">
        <v>101</v>
      </c>
      <c r="CY1" s="329" t="s">
        <v>102</v>
      </c>
      <c r="CZ1" s="329" t="s">
        <v>103</v>
      </c>
      <c r="DA1" s="329" t="s">
        <v>104</v>
      </c>
      <c r="DB1" s="329" t="s">
        <v>105</v>
      </c>
      <c r="DC1" s="329" t="s">
        <v>106</v>
      </c>
      <c r="DD1" s="329" t="s">
        <v>107</v>
      </c>
      <c r="DE1" s="329" t="s">
        <v>108</v>
      </c>
      <c r="DF1" s="329" t="s">
        <v>109</v>
      </c>
      <c r="DG1" s="329" t="s">
        <v>110</v>
      </c>
      <c r="DH1" s="329" t="s">
        <v>111</v>
      </c>
      <c r="DI1" s="329" t="s">
        <v>112</v>
      </c>
      <c r="DJ1" s="329" t="s">
        <v>113</v>
      </c>
      <c r="DK1" s="329" t="s">
        <v>114</v>
      </c>
      <c r="DL1" s="329" t="s">
        <v>115</v>
      </c>
      <c r="DM1" s="329" t="s">
        <v>116</v>
      </c>
      <c r="DN1" s="329" t="s">
        <v>117</v>
      </c>
      <c r="DO1" s="329" t="s">
        <v>118</v>
      </c>
      <c r="DP1" s="329" t="s">
        <v>119</v>
      </c>
      <c r="DQ1" s="329" t="s">
        <v>120</v>
      </c>
      <c r="DR1" s="329" t="s">
        <v>121</v>
      </c>
      <c r="DS1" s="329" t="s">
        <v>122</v>
      </c>
      <c r="DT1" s="329" t="s">
        <v>123</v>
      </c>
      <c r="DU1" s="329" t="s">
        <v>124</v>
      </c>
      <c r="DV1" s="329" t="s">
        <v>125</v>
      </c>
      <c r="DW1" s="329" t="s">
        <v>126</v>
      </c>
      <c r="DX1" s="329" t="s">
        <v>127</v>
      </c>
      <c r="DY1" s="329" t="s">
        <v>128</v>
      </c>
      <c r="DZ1" s="329" t="s">
        <v>129</v>
      </c>
      <c r="EA1" s="329" t="s">
        <v>130</v>
      </c>
      <c r="EB1" s="329" t="s">
        <v>131</v>
      </c>
      <c r="EC1" s="329" t="s">
        <v>132</v>
      </c>
      <c r="ED1" s="329" t="s">
        <v>133</v>
      </c>
      <c r="EE1" s="329" t="s">
        <v>134</v>
      </c>
      <c r="EF1" s="329" t="s">
        <v>135</v>
      </c>
      <c r="EG1" s="329" t="s">
        <v>136</v>
      </c>
      <c r="EH1" s="329" t="s">
        <v>137</v>
      </c>
      <c r="EI1" s="329" t="s">
        <v>138</v>
      </c>
      <c r="EJ1" s="329" t="s">
        <v>139</v>
      </c>
      <c r="EK1" s="329" t="s">
        <v>140</v>
      </c>
      <c r="EL1" s="329" t="s">
        <v>141</v>
      </c>
      <c r="EM1" s="329" t="s">
        <v>142</v>
      </c>
      <c r="EN1" s="329" t="s">
        <v>143</v>
      </c>
      <c r="EO1" s="329" t="s">
        <v>144</v>
      </c>
      <c r="EP1" s="329" t="s">
        <v>145</v>
      </c>
      <c r="EQ1" s="329" t="s">
        <v>146</v>
      </c>
      <c r="ER1" s="329" t="s">
        <v>147</v>
      </c>
      <c r="ES1" s="329" t="s">
        <v>148</v>
      </c>
      <c r="ET1" s="329" t="s">
        <v>149</v>
      </c>
      <c r="EU1" s="329" t="s">
        <v>150</v>
      </c>
      <c r="EV1" s="329" t="s">
        <v>151</v>
      </c>
      <c r="EW1" s="329" t="s">
        <v>152</v>
      </c>
      <c r="EX1" s="329" t="s">
        <v>153</v>
      </c>
      <c r="EY1" s="329" t="s">
        <v>154</v>
      </c>
      <c r="EZ1" s="329" t="s">
        <v>155</v>
      </c>
      <c r="FA1" s="329" t="s">
        <v>156</v>
      </c>
      <c r="FB1" s="329" t="s">
        <v>157</v>
      </c>
      <c r="FC1" s="329" t="s">
        <v>158</v>
      </c>
      <c r="FD1" s="329" t="s">
        <v>159</v>
      </c>
      <c r="FE1" s="329" t="s">
        <v>160</v>
      </c>
      <c r="FF1" s="329" t="s">
        <v>161</v>
      </c>
      <c r="FG1" s="329" t="s">
        <v>162</v>
      </c>
      <c r="FH1" s="329" t="s">
        <v>163</v>
      </c>
      <c r="FI1" s="329" t="s">
        <v>164</v>
      </c>
      <c r="FJ1" s="329" t="s">
        <v>165</v>
      </c>
      <c r="FK1" s="329" t="s">
        <v>166</v>
      </c>
      <c r="FL1" s="329" t="s">
        <v>167</v>
      </c>
      <c r="FM1" s="329" t="s">
        <v>168</v>
      </c>
      <c r="FN1" s="329" t="s">
        <v>169</v>
      </c>
      <c r="FO1" s="329" t="s">
        <v>170</v>
      </c>
      <c r="FP1" s="329" t="s">
        <v>171</v>
      </c>
      <c r="FQ1" s="329" t="s">
        <v>172</v>
      </c>
      <c r="FR1" s="329" t="s">
        <v>173</v>
      </c>
      <c r="FS1" s="329" t="s">
        <v>174</v>
      </c>
      <c r="FT1" s="329" t="s">
        <v>175</v>
      </c>
      <c r="FU1" s="329" t="s">
        <v>176</v>
      </c>
    </row>
    <row r="2" spans="1:177" ht="25.5" x14ac:dyDescent="0.25">
      <c r="A2" s="330">
        <v>1</v>
      </c>
      <c r="B2" s="331" t="s">
        <v>177</v>
      </c>
      <c r="C2" s="330"/>
      <c r="D2" s="332" t="s">
        <v>178</v>
      </c>
      <c r="E2" s="332" t="s">
        <v>179</v>
      </c>
      <c r="F2" s="332" t="s">
        <v>180</v>
      </c>
      <c r="G2" s="330" t="s">
        <v>181</v>
      </c>
      <c r="H2" s="331"/>
      <c r="I2" s="330"/>
      <c r="J2" s="332"/>
      <c r="K2" s="332" t="s">
        <v>182</v>
      </c>
      <c r="L2" s="330"/>
      <c r="M2" s="332" t="s">
        <v>182</v>
      </c>
      <c r="N2" s="330" t="s">
        <v>183</v>
      </c>
      <c r="O2" s="333" t="s">
        <v>184</v>
      </c>
      <c r="P2" s="333" t="s">
        <v>184</v>
      </c>
      <c r="Q2" s="333" t="s">
        <v>184</v>
      </c>
      <c r="R2" s="333"/>
      <c r="S2" s="333">
        <v>14</v>
      </c>
      <c r="T2" s="333">
        <v>2</v>
      </c>
      <c r="U2" s="333" t="s">
        <v>185</v>
      </c>
      <c r="V2" s="333" t="s">
        <v>185</v>
      </c>
      <c r="W2" s="330">
        <v>3</v>
      </c>
      <c r="X2" s="330"/>
      <c r="Y2" s="332" t="s">
        <v>186</v>
      </c>
      <c r="Z2" s="330" t="s">
        <v>187</v>
      </c>
      <c r="AA2" s="330" t="s">
        <v>188</v>
      </c>
      <c r="AB2" s="330" t="s">
        <v>189</v>
      </c>
      <c r="AC2" s="330"/>
      <c r="AD2" s="330"/>
      <c r="AE2" s="330">
        <v>1</v>
      </c>
      <c r="AF2" s="330">
        <v>-302</v>
      </c>
      <c r="AG2" s="332" t="s">
        <v>190</v>
      </c>
      <c r="AH2" s="332" t="s">
        <v>191</v>
      </c>
      <c r="AI2" s="330"/>
      <c r="AJ2" s="330"/>
      <c r="AK2" s="330"/>
      <c r="AL2" s="330" t="s">
        <v>192</v>
      </c>
      <c r="AM2" s="330" t="s">
        <v>191</v>
      </c>
      <c r="AN2" s="330" t="s">
        <v>192</v>
      </c>
      <c r="AO2" s="330"/>
      <c r="AP2" s="332"/>
      <c r="AQ2" s="330"/>
      <c r="AR2" s="330"/>
      <c r="AS2" s="330"/>
      <c r="AT2" s="330"/>
      <c r="AU2" s="332" t="s">
        <v>192</v>
      </c>
      <c r="AV2" s="334">
        <v>45665.701049629628</v>
      </c>
      <c r="AW2" s="330"/>
      <c r="AX2" s="335">
        <v>45700</v>
      </c>
      <c r="AY2" s="336">
        <v>45670</v>
      </c>
      <c r="AZ2" s="330"/>
      <c r="BA2" s="336">
        <v>45707</v>
      </c>
      <c r="BB2" s="330"/>
      <c r="BC2" s="336">
        <v>45709</v>
      </c>
      <c r="BD2" s="330"/>
      <c r="BE2" s="336">
        <v>45709</v>
      </c>
      <c r="BF2" s="330"/>
      <c r="BG2" s="330"/>
      <c r="BH2" s="330" t="s">
        <v>193</v>
      </c>
      <c r="BI2" s="330">
        <v>2</v>
      </c>
      <c r="BJ2" s="330"/>
      <c r="BK2" s="330"/>
      <c r="BL2" s="330"/>
      <c r="BM2" s="332"/>
      <c r="BN2" s="330"/>
      <c r="BO2" s="330"/>
      <c r="BP2" s="330"/>
      <c r="BQ2" s="330"/>
      <c r="BR2" s="330"/>
      <c r="BS2" s="330"/>
      <c r="BT2" s="330"/>
      <c r="BU2" s="330"/>
      <c r="BV2" s="330"/>
      <c r="BW2" s="330"/>
      <c r="BX2" s="332"/>
      <c r="BY2" s="330"/>
      <c r="BZ2" s="330"/>
      <c r="CA2" s="330"/>
      <c r="CB2" s="330"/>
      <c r="CC2" s="337" t="s">
        <v>194</v>
      </c>
      <c r="CD2" s="330"/>
      <c r="CE2" s="330" t="b">
        <v>1</v>
      </c>
      <c r="CF2" s="330"/>
      <c r="CG2" s="330"/>
      <c r="CH2" s="330"/>
      <c r="CI2" s="330"/>
      <c r="CJ2" s="330"/>
      <c r="CK2" s="330"/>
      <c r="CL2" s="330"/>
      <c r="CM2" s="330"/>
      <c r="CN2" s="330"/>
      <c r="CO2" s="330" t="b">
        <v>1</v>
      </c>
      <c r="CP2" s="330" t="b">
        <v>1</v>
      </c>
      <c r="CQ2" s="330"/>
      <c r="CR2" s="330"/>
      <c r="CS2" s="330"/>
      <c r="CT2" s="330"/>
      <c r="CU2" s="330"/>
      <c r="CV2" s="330"/>
      <c r="CW2" s="330"/>
      <c r="CX2" s="330"/>
      <c r="CY2" s="330"/>
      <c r="CZ2" s="330"/>
      <c r="DA2" s="330"/>
      <c r="DB2" s="330"/>
      <c r="DC2" s="330"/>
      <c r="DD2" s="330"/>
      <c r="DE2" s="330"/>
      <c r="DF2" s="338">
        <v>24060</v>
      </c>
      <c r="DG2" s="330" t="s">
        <v>195</v>
      </c>
      <c r="DH2" s="330"/>
      <c r="DI2" s="338" t="s">
        <v>196</v>
      </c>
      <c r="DJ2" s="330"/>
      <c r="DK2" s="330">
        <v>1</v>
      </c>
      <c r="DL2" s="330" t="s">
        <v>177</v>
      </c>
      <c r="DM2" s="330"/>
      <c r="DN2" s="330"/>
      <c r="DO2" s="330"/>
      <c r="DP2" s="330"/>
      <c r="DQ2" s="338" t="s">
        <v>197</v>
      </c>
      <c r="DR2" s="330"/>
      <c r="DS2" s="330"/>
      <c r="DT2" s="330"/>
      <c r="DU2" s="338" t="s">
        <v>197</v>
      </c>
      <c r="DV2" s="330"/>
      <c r="DW2" s="330"/>
      <c r="DX2" s="330"/>
      <c r="DY2" s="338" t="s">
        <v>197</v>
      </c>
      <c r="DZ2" s="330"/>
      <c r="EA2" s="330"/>
      <c r="EB2" s="330"/>
      <c r="EC2" s="330" t="s">
        <v>197</v>
      </c>
      <c r="ED2" s="338" t="s">
        <v>197</v>
      </c>
      <c r="EE2" s="330">
        <v>12</v>
      </c>
      <c r="EF2" s="330">
        <v>28</v>
      </c>
      <c r="EG2" s="330"/>
      <c r="EH2" s="330"/>
      <c r="EI2" s="330"/>
      <c r="EJ2" s="330"/>
      <c r="EK2" s="330"/>
      <c r="EL2" s="330"/>
      <c r="EM2" s="330"/>
      <c r="EN2" s="330"/>
      <c r="EO2" s="330"/>
      <c r="EP2" s="330"/>
      <c r="EQ2" s="332" t="s">
        <v>198</v>
      </c>
      <c r="ER2" s="330"/>
      <c r="ES2" s="330"/>
      <c r="ET2" s="332"/>
      <c r="EU2" s="332" t="s">
        <v>199</v>
      </c>
      <c r="EV2" s="330"/>
      <c r="EW2" s="330"/>
      <c r="EX2" s="330" t="s">
        <v>200</v>
      </c>
      <c r="EY2" s="330"/>
      <c r="EZ2" s="330" t="s">
        <v>201</v>
      </c>
      <c r="FA2" s="336">
        <v>45694</v>
      </c>
      <c r="FB2" s="330">
        <v>3</v>
      </c>
      <c r="FC2" s="330" t="s">
        <v>202</v>
      </c>
      <c r="FD2" s="332" t="s">
        <v>190</v>
      </c>
      <c r="FE2" s="336">
        <v>45698</v>
      </c>
      <c r="FF2" s="330"/>
      <c r="FG2" s="330" t="s">
        <v>203</v>
      </c>
      <c r="FH2" s="330"/>
      <c r="FI2" s="330" t="s">
        <v>204</v>
      </c>
      <c r="FJ2" s="330"/>
      <c r="FK2" s="330" t="s">
        <v>180</v>
      </c>
      <c r="FL2" s="330" t="s">
        <v>192</v>
      </c>
      <c r="FM2" s="330" t="s">
        <v>191</v>
      </c>
      <c r="FN2" s="330" t="s">
        <v>205</v>
      </c>
      <c r="FO2" s="330"/>
      <c r="FP2" s="330" t="s">
        <v>206</v>
      </c>
      <c r="FQ2" s="330"/>
      <c r="FR2" s="330"/>
      <c r="FS2" s="330"/>
      <c r="FT2" s="330"/>
      <c r="FU2" s="330"/>
    </row>
    <row r="3" spans="1:177" ht="25.5" x14ac:dyDescent="0.25">
      <c r="A3" s="330">
        <v>2</v>
      </c>
      <c r="B3" s="331" t="s">
        <v>207</v>
      </c>
      <c r="C3" s="330"/>
      <c r="D3" s="332" t="s">
        <v>208</v>
      </c>
      <c r="E3" s="332" t="s">
        <v>209</v>
      </c>
      <c r="F3" s="332" t="s">
        <v>180</v>
      </c>
      <c r="G3" s="330" t="s">
        <v>181</v>
      </c>
      <c r="H3" s="331">
        <v>400</v>
      </c>
      <c r="I3" s="330"/>
      <c r="J3" s="332"/>
      <c r="K3" s="332" t="s">
        <v>210</v>
      </c>
      <c r="L3" s="330"/>
      <c r="M3" s="332" t="s">
        <v>210</v>
      </c>
      <c r="N3" s="330" t="s">
        <v>211</v>
      </c>
      <c r="O3" s="333" t="s">
        <v>184</v>
      </c>
      <c r="P3" s="333" t="s">
        <v>184</v>
      </c>
      <c r="Q3" s="333" t="s">
        <v>184</v>
      </c>
      <c r="R3" s="333">
        <v>0</v>
      </c>
      <c r="S3" s="333">
        <v>0</v>
      </c>
      <c r="T3" s="333">
        <v>0</v>
      </c>
      <c r="U3" s="333">
        <v>0</v>
      </c>
      <c r="V3" s="333">
        <v>200</v>
      </c>
      <c r="W3" s="330" t="s">
        <v>212</v>
      </c>
      <c r="X3" s="330" t="s">
        <v>213</v>
      </c>
      <c r="Y3" s="332" t="s">
        <v>214</v>
      </c>
      <c r="Z3" s="330" t="s">
        <v>215</v>
      </c>
      <c r="AA3" s="330" t="s">
        <v>216</v>
      </c>
      <c r="AB3" s="330" t="s">
        <v>217</v>
      </c>
      <c r="AC3" s="330"/>
      <c r="AD3" s="330"/>
      <c r="AE3" s="330">
        <v>29</v>
      </c>
      <c r="AF3" s="330">
        <v>-50</v>
      </c>
      <c r="AG3" s="332" t="s">
        <v>190</v>
      </c>
      <c r="AH3" s="332" t="s">
        <v>191</v>
      </c>
      <c r="AI3" s="330"/>
      <c r="AJ3" s="330"/>
      <c r="AK3" s="330"/>
      <c r="AL3" s="330"/>
      <c r="AM3" s="330"/>
      <c r="AN3" s="330"/>
      <c r="AO3" s="330"/>
      <c r="AP3" s="332"/>
      <c r="AQ3" s="330"/>
      <c r="AR3" s="330"/>
      <c r="AS3" s="330"/>
      <c r="AT3" s="330"/>
      <c r="AU3" s="332" t="s">
        <v>191</v>
      </c>
      <c r="AV3" s="334">
        <v>46043.352666307874</v>
      </c>
      <c r="AW3" s="330" t="b">
        <v>1</v>
      </c>
      <c r="AX3" s="335">
        <v>46064</v>
      </c>
      <c r="AY3" s="336">
        <v>46043</v>
      </c>
      <c r="AZ3" s="330" t="b">
        <v>1</v>
      </c>
      <c r="BA3" s="336">
        <v>46059</v>
      </c>
      <c r="BB3" s="330"/>
      <c r="BC3" s="336">
        <v>46048</v>
      </c>
      <c r="BD3" s="330"/>
      <c r="BE3" s="336">
        <v>46048</v>
      </c>
      <c r="BF3" s="330"/>
      <c r="BG3" s="330"/>
      <c r="BH3" s="330" t="s">
        <v>193</v>
      </c>
      <c r="BI3" s="330">
        <v>45</v>
      </c>
      <c r="BJ3" s="330"/>
      <c r="BK3" s="330"/>
      <c r="BL3" s="330"/>
      <c r="BM3" s="332"/>
      <c r="BN3" s="330"/>
      <c r="BO3" s="330" t="s">
        <v>184</v>
      </c>
      <c r="BP3" s="330" t="s">
        <v>184</v>
      </c>
      <c r="BQ3" s="330" t="s">
        <v>218</v>
      </c>
      <c r="BR3" s="330" t="s">
        <v>193</v>
      </c>
      <c r="BS3" s="330" t="s">
        <v>219</v>
      </c>
      <c r="BT3" s="330" t="s">
        <v>193</v>
      </c>
      <c r="BU3" s="330" t="s">
        <v>219</v>
      </c>
      <c r="BV3" s="330" t="s">
        <v>220</v>
      </c>
      <c r="BW3" s="330"/>
      <c r="BX3" s="332"/>
      <c r="BY3" s="330"/>
      <c r="BZ3" s="330"/>
      <c r="CA3" s="330"/>
      <c r="CB3" s="330"/>
      <c r="CC3" s="337" t="s">
        <v>194</v>
      </c>
      <c r="CD3" s="330"/>
      <c r="CE3" s="330"/>
      <c r="CF3" s="330"/>
      <c r="CG3" s="330"/>
      <c r="CH3" s="330"/>
      <c r="CI3" s="330"/>
      <c r="CJ3" s="330"/>
      <c r="CK3" s="330"/>
      <c r="CL3" s="330"/>
      <c r="CM3" s="330"/>
      <c r="CN3" s="330"/>
      <c r="CO3" s="330" t="b">
        <v>1</v>
      </c>
      <c r="CP3" s="330"/>
      <c r="CQ3" s="330"/>
      <c r="CR3" s="330"/>
      <c r="CS3" s="330"/>
      <c r="CT3" s="330"/>
      <c r="CU3" s="330"/>
      <c r="CV3" s="330"/>
      <c r="CW3" s="330"/>
      <c r="CX3" s="330"/>
      <c r="CY3" s="330"/>
      <c r="CZ3" s="330"/>
      <c r="DA3" s="330"/>
      <c r="DB3" s="330"/>
      <c r="DC3" s="330"/>
      <c r="DD3" s="330"/>
      <c r="DE3" s="330"/>
      <c r="DF3" s="338">
        <v>24071</v>
      </c>
      <c r="DG3" s="330" t="s">
        <v>221</v>
      </c>
      <c r="DH3" s="330"/>
      <c r="DI3" s="338" t="s">
        <v>222</v>
      </c>
      <c r="DJ3" s="330"/>
      <c r="DK3" s="330">
        <v>0</v>
      </c>
      <c r="DL3" s="330" t="s">
        <v>223</v>
      </c>
      <c r="DM3" s="330"/>
      <c r="DN3" s="330"/>
      <c r="DO3" s="330"/>
      <c r="DP3" s="330"/>
      <c r="DQ3" s="338" t="s">
        <v>197</v>
      </c>
      <c r="DR3" s="330"/>
      <c r="DS3" s="330"/>
      <c r="DT3" s="330"/>
      <c r="DU3" s="338" t="s">
        <v>197</v>
      </c>
      <c r="DV3" s="330"/>
      <c r="DW3" s="330"/>
      <c r="DX3" s="330"/>
      <c r="DY3" s="338" t="s">
        <v>197</v>
      </c>
      <c r="DZ3" s="330"/>
      <c r="EA3" s="330"/>
      <c r="EB3" s="330"/>
      <c r="EC3" s="330" t="s">
        <v>197</v>
      </c>
      <c r="ED3" s="338" t="s">
        <v>197</v>
      </c>
      <c r="EE3" s="330">
        <v>1</v>
      </c>
      <c r="EF3" s="330">
        <v>1</v>
      </c>
      <c r="EG3" s="330"/>
      <c r="EH3" s="330"/>
      <c r="EI3" s="330"/>
      <c r="EJ3" s="330"/>
      <c r="EK3" s="330"/>
      <c r="EL3" s="330"/>
      <c r="EM3" s="330"/>
      <c r="EN3" s="330"/>
      <c r="EO3" s="330"/>
      <c r="EP3" s="330"/>
      <c r="EQ3" s="332" t="s">
        <v>224</v>
      </c>
      <c r="ER3" s="330"/>
      <c r="ES3" s="330"/>
      <c r="ET3" s="332"/>
      <c r="EU3" s="332" t="s">
        <v>92</v>
      </c>
      <c r="EV3" s="330"/>
      <c r="EW3" s="330"/>
      <c r="EX3" s="330" t="s">
        <v>200</v>
      </c>
      <c r="EY3" s="330"/>
      <c r="EZ3" s="330" t="s">
        <v>201</v>
      </c>
      <c r="FA3" s="336">
        <v>46045</v>
      </c>
      <c r="FB3" s="330">
        <v>1</v>
      </c>
      <c r="FC3" s="330" t="s">
        <v>202</v>
      </c>
      <c r="FD3" s="332" t="s">
        <v>190</v>
      </c>
      <c r="FE3" s="336">
        <v>46045</v>
      </c>
      <c r="FF3" s="330"/>
      <c r="FG3" s="330" t="s">
        <v>203</v>
      </c>
      <c r="FH3" s="330"/>
      <c r="FI3" s="330" t="s">
        <v>204</v>
      </c>
      <c r="FJ3" s="330"/>
      <c r="FK3" s="330" t="s">
        <v>180</v>
      </c>
      <c r="FL3" s="330"/>
      <c r="FM3" s="330"/>
      <c r="FN3" s="330" t="s">
        <v>225</v>
      </c>
      <c r="FO3" s="330"/>
      <c r="FP3" s="330" t="s">
        <v>226</v>
      </c>
      <c r="FQ3" s="330"/>
      <c r="FR3" s="330"/>
      <c r="FS3" s="330"/>
      <c r="FT3" s="330"/>
      <c r="FU3" s="330"/>
    </row>
    <row r="4" spans="1:177" ht="38.25" x14ac:dyDescent="0.25">
      <c r="A4" s="330">
        <v>3</v>
      </c>
      <c r="B4" s="331" t="s">
        <v>227</v>
      </c>
      <c r="C4" s="330"/>
      <c r="D4" s="332" t="s">
        <v>228</v>
      </c>
      <c r="E4" s="332" t="s">
        <v>229</v>
      </c>
      <c r="F4" s="332" t="s">
        <v>230</v>
      </c>
      <c r="G4" s="330" t="s">
        <v>231</v>
      </c>
      <c r="H4" s="331">
        <v>400</v>
      </c>
      <c r="I4" s="330"/>
      <c r="J4" s="332"/>
      <c r="K4" s="332" t="s">
        <v>232</v>
      </c>
      <c r="L4" s="330"/>
      <c r="M4" s="332"/>
      <c r="N4" s="330" t="s">
        <v>233</v>
      </c>
      <c r="O4" s="339">
        <v>0.34476852812954101</v>
      </c>
      <c r="P4" s="333">
        <v>6643</v>
      </c>
      <c r="Q4" s="333">
        <v>19268</v>
      </c>
      <c r="R4" s="333">
        <v>131</v>
      </c>
      <c r="S4" s="333">
        <v>131</v>
      </c>
      <c r="T4" s="333">
        <v>2</v>
      </c>
      <c r="U4" s="333">
        <v>917</v>
      </c>
      <c r="V4" s="333">
        <v>700</v>
      </c>
      <c r="W4" s="330" t="s">
        <v>234</v>
      </c>
      <c r="X4" s="330" t="s">
        <v>235</v>
      </c>
      <c r="Y4" s="332" t="s">
        <v>236</v>
      </c>
      <c r="Z4" s="330" t="s">
        <v>215</v>
      </c>
      <c r="AA4" s="330" t="s">
        <v>237</v>
      </c>
      <c r="AB4" s="330" t="s">
        <v>217</v>
      </c>
      <c r="AC4" s="330"/>
      <c r="AD4" s="330"/>
      <c r="AE4" s="330">
        <v>19</v>
      </c>
      <c r="AF4" s="330">
        <v>-218</v>
      </c>
      <c r="AG4" s="332" t="s">
        <v>238</v>
      </c>
      <c r="AH4" s="332" t="s">
        <v>191</v>
      </c>
      <c r="AI4" s="330" t="s">
        <v>192</v>
      </c>
      <c r="AJ4" s="330" t="s">
        <v>192</v>
      </c>
      <c r="AK4" s="330"/>
      <c r="AL4" s="330" t="s">
        <v>192</v>
      </c>
      <c r="AM4" s="330" t="s">
        <v>191</v>
      </c>
      <c r="AN4" s="330" t="s">
        <v>192</v>
      </c>
      <c r="AO4" s="330"/>
      <c r="AP4" s="332" t="s">
        <v>239</v>
      </c>
      <c r="AQ4" s="330"/>
      <c r="AR4" s="330"/>
      <c r="AS4" s="330" t="b">
        <v>1</v>
      </c>
      <c r="AT4" s="330"/>
      <c r="AU4" s="332" t="s">
        <v>192</v>
      </c>
      <c r="AV4" s="334">
        <v>45723.679672604165</v>
      </c>
      <c r="AW4" s="330"/>
      <c r="AX4" s="335">
        <v>45806</v>
      </c>
      <c r="AY4" s="336">
        <v>45762</v>
      </c>
      <c r="AZ4" s="330"/>
      <c r="BA4" s="336">
        <v>45825</v>
      </c>
      <c r="BB4" s="330"/>
      <c r="BC4" s="336">
        <v>45827</v>
      </c>
      <c r="BD4" s="330"/>
      <c r="BE4" s="336">
        <v>45827</v>
      </c>
      <c r="BF4" s="330"/>
      <c r="BG4" s="330"/>
      <c r="BH4" s="330" t="s">
        <v>193</v>
      </c>
      <c r="BI4" s="330">
        <v>250</v>
      </c>
      <c r="BJ4" s="336">
        <v>45757</v>
      </c>
      <c r="BK4" s="330"/>
      <c r="BL4" s="330"/>
      <c r="BM4" s="332"/>
      <c r="BN4" s="330"/>
      <c r="BO4" s="330" t="s">
        <v>240</v>
      </c>
      <c r="BP4" s="330" t="s">
        <v>193</v>
      </c>
      <c r="BQ4" s="330" t="s">
        <v>218</v>
      </c>
      <c r="BR4" s="330" t="s">
        <v>220</v>
      </c>
      <c r="BS4" s="330"/>
      <c r="BT4" s="330" t="s">
        <v>220</v>
      </c>
      <c r="BU4" s="330"/>
      <c r="BV4" s="330" t="s">
        <v>220</v>
      </c>
      <c r="BW4" s="330"/>
      <c r="BX4" s="332"/>
      <c r="BY4" s="330"/>
      <c r="BZ4" s="330"/>
      <c r="CA4" s="330"/>
      <c r="CB4" s="330"/>
      <c r="CC4" s="337" t="s">
        <v>241</v>
      </c>
      <c r="CD4" s="330" t="b">
        <v>1</v>
      </c>
      <c r="CE4" s="330" t="b">
        <v>1</v>
      </c>
      <c r="CF4" s="330" t="b">
        <v>1</v>
      </c>
      <c r="CG4" s="330" t="s">
        <v>242</v>
      </c>
      <c r="CH4" s="330"/>
      <c r="CI4" s="330"/>
      <c r="CJ4" s="330"/>
      <c r="CK4" s="330"/>
      <c r="CL4" s="330"/>
      <c r="CM4" s="330"/>
      <c r="CN4" s="330"/>
      <c r="CO4" s="330"/>
      <c r="CP4" s="330"/>
      <c r="CQ4" s="330"/>
      <c r="CR4" s="330"/>
      <c r="CS4" s="330"/>
      <c r="CT4" s="330"/>
      <c r="CU4" s="330"/>
      <c r="CV4" s="330"/>
      <c r="CW4" s="330"/>
      <c r="CX4" s="330"/>
      <c r="CY4" s="330"/>
      <c r="CZ4" s="330"/>
      <c r="DA4" s="330"/>
      <c r="DB4" s="330" t="b">
        <v>1</v>
      </c>
      <c r="DC4" s="330" t="b">
        <v>1</v>
      </c>
      <c r="DD4" s="330"/>
      <c r="DE4" s="330"/>
      <c r="DF4" s="338">
        <v>24051</v>
      </c>
      <c r="DG4" s="330" t="s">
        <v>221</v>
      </c>
      <c r="DH4" s="330"/>
      <c r="DI4" s="338">
        <v>200</v>
      </c>
      <c r="DJ4" s="330"/>
      <c r="DK4" s="330">
        <v>200</v>
      </c>
      <c r="DL4" s="330" t="s">
        <v>243</v>
      </c>
      <c r="DM4" s="330"/>
      <c r="DN4" s="330"/>
      <c r="DO4" s="336">
        <v>45737</v>
      </c>
      <c r="DP4" s="336">
        <v>45741</v>
      </c>
      <c r="DQ4" s="338">
        <v>3</v>
      </c>
      <c r="DR4" s="330"/>
      <c r="DS4" s="330"/>
      <c r="DT4" s="330"/>
      <c r="DU4" s="338" t="s">
        <v>197</v>
      </c>
      <c r="DV4" s="330"/>
      <c r="DW4" s="330"/>
      <c r="DX4" s="330"/>
      <c r="DY4" s="338" t="s">
        <v>197</v>
      </c>
      <c r="DZ4" s="330"/>
      <c r="EA4" s="330"/>
      <c r="EB4" s="330"/>
      <c r="EC4" s="330" t="s">
        <v>197</v>
      </c>
      <c r="ED4" s="338">
        <v>3</v>
      </c>
      <c r="EE4" s="330">
        <v>4</v>
      </c>
      <c r="EF4" s="330">
        <v>300</v>
      </c>
      <c r="EG4" s="330"/>
      <c r="EH4" s="330"/>
      <c r="EI4" s="330"/>
      <c r="EJ4" s="330"/>
      <c r="EK4" s="330"/>
      <c r="EL4" s="330"/>
      <c r="EM4" s="330"/>
      <c r="EN4" s="330"/>
      <c r="EO4" s="330"/>
      <c r="EP4" s="330"/>
      <c r="EQ4" s="332" t="s">
        <v>244</v>
      </c>
      <c r="ER4" s="330"/>
      <c r="ES4" s="330"/>
      <c r="ET4" s="332" t="s">
        <v>245</v>
      </c>
      <c r="EU4" s="332" t="s">
        <v>246</v>
      </c>
      <c r="EV4" s="336">
        <v>45761</v>
      </c>
      <c r="EW4" s="336">
        <v>45761</v>
      </c>
      <c r="EX4" s="330">
        <v>1</v>
      </c>
      <c r="EY4" s="330"/>
      <c r="EZ4" s="330" t="s">
        <v>247</v>
      </c>
      <c r="FA4" s="330"/>
      <c r="FB4" s="330" t="s">
        <v>248</v>
      </c>
      <c r="FC4" s="330" t="s">
        <v>202</v>
      </c>
      <c r="FD4" s="332" t="s">
        <v>190</v>
      </c>
      <c r="FE4" s="336">
        <v>45827</v>
      </c>
      <c r="FF4" s="330"/>
      <c r="FG4" s="330" t="s">
        <v>203</v>
      </c>
      <c r="FH4" s="330" t="s">
        <v>249</v>
      </c>
      <c r="FI4" s="330" t="s">
        <v>204</v>
      </c>
      <c r="FJ4" s="330"/>
      <c r="FK4" s="330" t="s">
        <v>230</v>
      </c>
      <c r="FL4" s="330" t="s">
        <v>192</v>
      </c>
      <c r="FM4" s="330" t="s">
        <v>191</v>
      </c>
      <c r="FN4" s="330" t="s">
        <v>250</v>
      </c>
      <c r="FO4" s="330"/>
      <c r="FP4" s="330" t="s">
        <v>251</v>
      </c>
      <c r="FQ4" s="330"/>
      <c r="FR4" s="330"/>
      <c r="FS4" s="330"/>
      <c r="FT4" s="330"/>
      <c r="FU4" s="330"/>
    </row>
    <row r="5" spans="1:177" ht="38.25" x14ac:dyDescent="0.25">
      <c r="A5" s="330">
        <v>4</v>
      </c>
      <c r="B5" s="331" t="s">
        <v>252</v>
      </c>
      <c r="C5" s="330"/>
      <c r="D5" s="332" t="s">
        <v>228</v>
      </c>
      <c r="E5" s="332" t="s">
        <v>229</v>
      </c>
      <c r="F5" s="332" t="s">
        <v>230</v>
      </c>
      <c r="G5" s="330" t="s">
        <v>231</v>
      </c>
      <c r="H5" s="331">
        <v>400</v>
      </c>
      <c r="I5" s="330"/>
      <c r="J5" s="332"/>
      <c r="K5" s="332" t="s">
        <v>253</v>
      </c>
      <c r="L5" s="330"/>
      <c r="M5" s="332"/>
      <c r="N5" s="330" t="s">
        <v>254</v>
      </c>
      <c r="O5" s="339">
        <v>0.500882291882915</v>
      </c>
      <c r="P5" s="333">
        <v>9651</v>
      </c>
      <c r="Q5" s="333">
        <v>19268</v>
      </c>
      <c r="R5" s="333">
        <v>109</v>
      </c>
      <c r="S5" s="333">
        <v>109</v>
      </c>
      <c r="T5" s="333">
        <v>2</v>
      </c>
      <c r="U5" s="333">
        <v>1090</v>
      </c>
      <c r="V5" s="333">
        <v>700</v>
      </c>
      <c r="W5" s="330" t="s">
        <v>255</v>
      </c>
      <c r="X5" s="330" t="s">
        <v>256</v>
      </c>
      <c r="Y5" s="332" t="s">
        <v>257</v>
      </c>
      <c r="Z5" s="330" t="s">
        <v>215</v>
      </c>
      <c r="AA5" s="330" t="s">
        <v>258</v>
      </c>
      <c r="AB5" s="330" t="s">
        <v>217</v>
      </c>
      <c r="AC5" s="330"/>
      <c r="AD5" s="330"/>
      <c r="AE5" s="330">
        <v>43</v>
      </c>
      <c r="AF5" s="330">
        <v>-107</v>
      </c>
      <c r="AG5" s="332" t="s">
        <v>238</v>
      </c>
      <c r="AH5" s="332" t="s">
        <v>191</v>
      </c>
      <c r="AI5" s="330" t="s">
        <v>192</v>
      </c>
      <c r="AJ5" s="330" t="s">
        <v>192</v>
      </c>
      <c r="AK5" s="330"/>
      <c r="AL5" s="330" t="s">
        <v>192</v>
      </c>
      <c r="AM5" s="330" t="s">
        <v>191</v>
      </c>
      <c r="AN5" s="330" t="s">
        <v>192</v>
      </c>
      <c r="AO5" s="330"/>
      <c r="AP5" s="332" t="s">
        <v>259</v>
      </c>
      <c r="AQ5" s="330"/>
      <c r="AR5" s="330"/>
      <c r="AS5" s="330" t="b">
        <v>1</v>
      </c>
      <c r="AT5" s="330"/>
      <c r="AU5" s="332" t="s">
        <v>192</v>
      </c>
      <c r="AV5" s="334">
        <v>45726.377926354166</v>
      </c>
      <c r="AW5" s="330"/>
      <c r="AX5" s="335">
        <v>45961</v>
      </c>
      <c r="AY5" s="336">
        <v>45951</v>
      </c>
      <c r="AZ5" s="330"/>
      <c r="BA5" s="336">
        <v>45980</v>
      </c>
      <c r="BB5" s="330"/>
      <c r="BC5" s="336">
        <v>45982</v>
      </c>
      <c r="BD5" s="330"/>
      <c r="BE5" s="336">
        <v>45982</v>
      </c>
      <c r="BF5" s="330"/>
      <c r="BG5" s="330"/>
      <c r="BH5" s="330" t="s">
        <v>193</v>
      </c>
      <c r="BI5" s="330">
        <v>1000</v>
      </c>
      <c r="BJ5" s="330"/>
      <c r="BK5" s="330"/>
      <c r="BL5" s="330"/>
      <c r="BM5" s="332"/>
      <c r="BN5" s="330"/>
      <c r="BO5" s="330" t="s">
        <v>240</v>
      </c>
      <c r="BP5" s="330" t="s">
        <v>193</v>
      </c>
      <c r="BQ5" s="330" t="s">
        <v>218</v>
      </c>
      <c r="BR5" s="330" t="s">
        <v>220</v>
      </c>
      <c r="BS5" s="330"/>
      <c r="BT5" s="330" t="s">
        <v>220</v>
      </c>
      <c r="BU5" s="330"/>
      <c r="BV5" s="330" t="s">
        <v>220</v>
      </c>
      <c r="BW5" s="330"/>
      <c r="BX5" s="332"/>
      <c r="BY5" s="330"/>
      <c r="BZ5" s="330"/>
      <c r="CA5" s="330"/>
      <c r="CB5" s="330"/>
      <c r="CC5" s="337" t="s">
        <v>241</v>
      </c>
      <c r="CD5" s="330" t="b">
        <v>1</v>
      </c>
      <c r="CE5" s="330" t="b">
        <v>1</v>
      </c>
      <c r="CF5" s="330" t="b">
        <v>1</v>
      </c>
      <c r="CG5" s="330" t="s">
        <v>242</v>
      </c>
      <c r="CH5" s="330"/>
      <c r="CI5" s="330"/>
      <c r="CJ5" s="330"/>
      <c r="CK5" s="330"/>
      <c r="CL5" s="330"/>
      <c r="CM5" s="330"/>
      <c r="CN5" s="330"/>
      <c r="CO5" s="330"/>
      <c r="CP5" s="330"/>
      <c r="CQ5" s="330"/>
      <c r="CR5" s="330"/>
      <c r="CS5" s="330"/>
      <c r="CT5" s="330"/>
      <c r="CU5" s="330"/>
      <c r="CV5" s="330"/>
      <c r="CW5" s="330"/>
      <c r="CX5" s="330"/>
      <c r="CY5" s="330"/>
      <c r="CZ5" s="330"/>
      <c r="DA5" s="330"/>
      <c r="DB5" s="330" t="b">
        <v>1</v>
      </c>
      <c r="DC5" s="330" t="b">
        <v>1</v>
      </c>
      <c r="DD5" s="330"/>
      <c r="DE5" s="330"/>
      <c r="DF5" s="338">
        <v>24051</v>
      </c>
      <c r="DG5" s="330" t="s">
        <v>221</v>
      </c>
      <c r="DH5" s="330"/>
      <c r="DI5" s="338">
        <v>201</v>
      </c>
      <c r="DJ5" s="330"/>
      <c r="DK5" s="330">
        <v>201</v>
      </c>
      <c r="DL5" s="330" t="s">
        <v>243</v>
      </c>
      <c r="DM5" s="330"/>
      <c r="DN5" s="330"/>
      <c r="DO5" s="336">
        <v>45737</v>
      </c>
      <c r="DP5" s="336">
        <v>45944</v>
      </c>
      <c r="DQ5" s="338">
        <v>148</v>
      </c>
      <c r="DR5" s="330"/>
      <c r="DS5" s="330"/>
      <c r="DT5" s="330"/>
      <c r="DU5" s="338" t="s">
        <v>197</v>
      </c>
      <c r="DV5" s="330"/>
      <c r="DW5" s="330"/>
      <c r="DX5" s="330"/>
      <c r="DY5" s="338" t="s">
        <v>197</v>
      </c>
      <c r="DZ5" s="330"/>
      <c r="EA5" s="330"/>
      <c r="EB5" s="330"/>
      <c r="EC5" s="330" t="s">
        <v>197</v>
      </c>
      <c r="ED5" s="338">
        <v>148</v>
      </c>
      <c r="EE5" s="330">
        <v>4</v>
      </c>
      <c r="EF5" s="330">
        <v>200</v>
      </c>
      <c r="EG5" s="330"/>
      <c r="EH5" s="330"/>
      <c r="EI5" s="330"/>
      <c r="EJ5" s="330"/>
      <c r="EK5" s="330"/>
      <c r="EL5" s="330"/>
      <c r="EM5" s="330"/>
      <c r="EN5" s="330"/>
      <c r="EO5" s="330"/>
      <c r="EP5" s="330"/>
      <c r="EQ5" s="332" t="s">
        <v>244</v>
      </c>
      <c r="ER5" s="330"/>
      <c r="ES5" s="330"/>
      <c r="ET5" s="332" t="s">
        <v>245</v>
      </c>
      <c r="EU5" s="332" t="s">
        <v>246</v>
      </c>
      <c r="EV5" s="336">
        <v>45951</v>
      </c>
      <c r="EW5" s="336">
        <v>45951</v>
      </c>
      <c r="EX5" s="330">
        <v>1</v>
      </c>
      <c r="EY5" s="330"/>
      <c r="EZ5" s="330" t="s">
        <v>201</v>
      </c>
      <c r="FA5" s="336">
        <v>45960</v>
      </c>
      <c r="FB5" s="330">
        <v>2</v>
      </c>
      <c r="FC5" s="330" t="s">
        <v>202</v>
      </c>
      <c r="FD5" s="332" t="s">
        <v>190</v>
      </c>
      <c r="FE5" s="336">
        <v>45961</v>
      </c>
      <c r="FF5" s="330"/>
      <c r="FG5" s="330" t="s">
        <v>203</v>
      </c>
      <c r="FH5" s="330" t="s">
        <v>260</v>
      </c>
      <c r="FI5" s="330" t="s">
        <v>204</v>
      </c>
      <c r="FJ5" s="330"/>
      <c r="FK5" s="330" t="s">
        <v>230</v>
      </c>
      <c r="FL5" s="330" t="s">
        <v>192</v>
      </c>
      <c r="FM5" s="330" t="s">
        <v>191</v>
      </c>
      <c r="FN5" s="330" t="s">
        <v>261</v>
      </c>
      <c r="FO5" s="330"/>
      <c r="FP5" s="330" t="s">
        <v>262</v>
      </c>
      <c r="FQ5" s="330"/>
      <c r="FR5" s="330"/>
      <c r="FS5" s="330"/>
      <c r="FT5" s="330"/>
      <c r="FU5" s="330"/>
    </row>
    <row r="6" spans="1:177" ht="89.25" x14ac:dyDescent="0.25">
      <c r="A6" s="330">
        <v>5</v>
      </c>
      <c r="B6" s="331" t="s">
        <v>263</v>
      </c>
      <c r="C6" s="330"/>
      <c r="D6" s="332" t="s">
        <v>228</v>
      </c>
      <c r="E6" s="332" t="s">
        <v>229</v>
      </c>
      <c r="F6" s="332" t="s">
        <v>230</v>
      </c>
      <c r="G6" s="330" t="s">
        <v>231</v>
      </c>
      <c r="H6" s="331">
        <v>400</v>
      </c>
      <c r="I6" s="330"/>
      <c r="J6" s="332"/>
      <c r="K6" s="332" t="s">
        <v>264</v>
      </c>
      <c r="L6" s="330" t="s">
        <v>265</v>
      </c>
      <c r="M6" s="332" t="s">
        <v>266</v>
      </c>
      <c r="N6" s="330" t="s">
        <v>267</v>
      </c>
      <c r="O6" s="339">
        <v>0.50700643554079305</v>
      </c>
      <c r="P6" s="333">
        <v>9769</v>
      </c>
      <c r="Q6" s="333">
        <v>19268</v>
      </c>
      <c r="R6" s="333">
        <v>118</v>
      </c>
      <c r="S6" s="333">
        <v>118</v>
      </c>
      <c r="T6" s="333">
        <v>2</v>
      </c>
      <c r="U6" s="333">
        <v>1180</v>
      </c>
      <c r="V6" s="333">
        <v>750</v>
      </c>
      <c r="W6" s="330" t="s">
        <v>268</v>
      </c>
      <c r="X6" s="330" t="s">
        <v>269</v>
      </c>
      <c r="Y6" s="332" t="s">
        <v>270</v>
      </c>
      <c r="Z6" s="330" t="s">
        <v>215</v>
      </c>
      <c r="AA6" s="330" t="s">
        <v>271</v>
      </c>
      <c r="AB6" s="330" t="s">
        <v>217</v>
      </c>
      <c r="AC6" s="330"/>
      <c r="AD6" s="330"/>
      <c r="AE6" s="330">
        <v>43</v>
      </c>
      <c r="AF6" s="330">
        <v>-107</v>
      </c>
      <c r="AG6" s="332" t="s">
        <v>238</v>
      </c>
      <c r="AH6" s="332" t="s">
        <v>191</v>
      </c>
      <c r="AI6" s="330" t="s">
        <v>192</v>
      </c>
      <c r="AJ6" s="330" t="s">
        <v>192</v>
      </c>
      <c r="AK6" s="330"/>
      <c r="AL6" s="330" t="s">
        <v>192</v>
      </c>
      <c r="AM6" s="330" t="s">
        <v>191</v>
      </c>
      <c r="AN6" s="330" t="s">
        <v>192</v>
      </c>
      <c r="AO6" s="330"/>
      <c r="AP6" s="332" t="s">
        <v>259</v>
      </c>
      <c r="AQ6" s="330"/>
      <c r="AR6" s="330"/>
      <c r="AS6" s="330" t="b">
        <v>1</v>
      </c>
      <c r="AT6" s="330"/>
      <c r="AU6" s="332" t="s">
        <v>192</v>
      </c>
      <c r="AV6" s="334">
        <v>45737.235908750001</v>
      </c>
      <c r="AW6" s="330"/>
      <c r="AX6" s="335">
        <v>45961</v>
      </c>
      <c r="AY6" s="336">
        <v>45953</v>
      </c>
      <c r="AZ6" s="330"/>
      <c r="BA6" s="336">
        <v>45980</v>
      </c>
      <c r="BB6" s="330"/>
      <c r="BC6" s="336">
        <v>45982</v>
      </c>
      <c r="BD6" s="330"/>
      <c r="BE6" s="336">
        <v>45982</v>
      </c>
      <c r="BF6" s="330"/>
      <c r="BG6" s="330"/>
      <c r="BH6" s="330" t="s">
        <v>193</v>
      </c>
      <c r="BI6" s="330">
        <v>500</v>
      </c>
      <c r="BJ6" s="336">
        <v>45757</v>
      </c>
      <c r="BK6" s="330"/>
      <c r="BL6" s="330"/>
      <c r="BM6" s="332"/>
      <c r="BN6" s="330"/>
      <c r="BO6" s="330" t="s">
        <v>240</v>
      </c>
      <c r="BP6" s="330" t="s">
        <v>193</v>
      </c>
      <c r="BQ6" s="330" t="s">
        <v>218</v>
      </c>
      <c r="BR6" s="330" t="s">
        <v>220</v>
      </c>
      <c r="BS6" s="330"/>
      <c r="BT6" s="330" t="s">
        <v>220</v>
      </c>
      <c r="BU6" s="330"/>
      <c r="BV6" s="330" t="s">
        <v>220</v>
      </c>
      <c r="BW6" s="330"/>
      <c r="BX6" s="332"/>
      <c r="BY6" s="330"/>
      <c r="BZ6" s="330"/>
      <c r="CA6" s="330"/>
      <c r="CB6" s="330"/>
      <c r="CC6" s="337" t="s">
        <v>241</v>
      </c>
      <c r="CD6" s="330" t="b">
        <v>1</v>
      </c>
      <c r="CE6" s="330" t="b">
        <v>1</v>
      </c>
      <c r="CF6" s="330" t="b">
        <v>1</v>
      </c>
      <c r="CG6" s="330" t="s">
        <v>242</v>
      </c>
      <c r="CH6" s="330"/>
      <c r="CI6" s="330"/>
      <c r="CJ6" s="330"/>
      <c r="CK6" s="330"/>
      <c r="CL6" s="330"/>
      <c r="CM6" s="330"/>
      <c r="CN6" s="330"/>
      <c r="CO6" s="330"/>
      <c r="CP6" s="330"/>
      <c r="CQ6" s="330"/>
      <c r="CR6" s="330"/>
      <c r="CS6" s="330"/>
      <c r="CT6" s="330"/>
      <c r="CU6" s="330"/>
      <c r="CV6" s="330"/>
      <c r="CW6" s="330"/>
      <c r="CX6" s="330"/>
      <c r="CY6" s="330"/>
      <c r="CZ6" s="330"/>
      <c r="DA6" s="330"/>
      <c r="DB6" s="330" t="b">
        <v>1</v>
      </c>
      <c r="DC6" s="330" t="b">
        <v>1</v>
      </c>
      <c r="DD6" s="330"/>
      <c r="DE6" s="330"/>
      <c r="DF6" s="338">
        <v>24051</v>
      </c>
      <c r="DG6" s="330" t="s">
        <v>221</v>
      </c>
      <c r="DH6" s="330"/>
      <c r="DI6" s="338">
        <v>205</v>
      </c>
      <c r="DJ6" s="330"/>
      <c r="DK6" s="330">
        <v>205</v>
      </c>
      <c r="DL6" s="330" t="s">
        <v>243</v>
      </c>
      <c r="DM6" s="330"/>
      <c r="DN6" s="330"/>
      <c r="DO6" s="336">
        <v>45737</v>
      </c>
      <c r="DP6" s="336">
        <v>45946</v>
      </c>
      <c r="DQ6" s="338">
        <v>150</v>
      </c>
      <c r="DR6" s="330"/>
      <c r="DS6" s="330"/>
      <c r="DT6" s="330"/>
      <c r="DU6" s="338" t="s">
        <v>197</v>
      </c>
      <c r="DV6" s="330"/>
      <c r="DW6" s="330"/>
      <c r="DX6" s="330"/>
      <c r="DY6" s="338" t="s">
        <v>197</v>
      </c>
      <c r="DZ6" s="330"/>
      <c r="EA6" s="330"/>
      <c r="EB6" s="330"/>
      <c r="EC6" s="330" t="s">
        <v>197</v>
      </c>
      <c r="ED6" s="338">
        <v>150</v>
      </c>
      <c r="EE6" s="330">
        <v>8</v>
      </c>
      <c r="EF6" s="330">
        <v>300</v>
      </c>
      <c r="EG6" s="330"/>
      <c r="EH6" s="330"/>
      <c r="EI6" s="330"/>
      <c r="EJ6" s="330"/>
      <c r="EK6" s="330"/>
      <c r="EL6" s="330"/>
      <c r="EM6" s="330"/>
      <c r="EN6" s="330"/>
      <c r="EO6" s="330"/>
      <c r="EP6" s="330"/>
      <c r="EQ6" s="332" t="s">
        <v>244</v>
      </c>
      <c r="ER6" s="330"/>
      <c r="ES6" s="330"/>
      <c r="ET6" s="332" t="s">
        <v>245</v>
      </c>
      <c r="EU6" s="332" t="s">
        <v>246</v>
      </c>
      <c r="EV6" s="336">
        <v>45952</v>
      </c>
      <c r="EW6" s="336">
        <v>45953</v>
      </c>
      <c r="EX6" s="330">
        <v>2</v>
      </c>
      <c r="EY6" s="330"/>
      <c r="EZ6" s="330" t="s">
        <v>201</v>
      </c>
      <c r="FA6" s="336">
        <v>45968</v>
      </c>
      <c r="FB6" s="330">
        <v>1</v>
      </c>
      <c r="FC6" s="330" t="s">
        <v>202</v>
      </c>
      <c r="FD6" s="332" t="s">
        <v>190</v>
      </c>
      <c r="FE6" s="336">
        <v>45968</v>
      </c>
      <c r="FF6" s="330"/>
      <c r="FG6" s="330" t="s">
        <v>203</v>
      </c>
      <c r="FH6" s="330" t="s">
        <v>260</v>
      </c>
      <c r="FI6" s="330" t="s">
        <v>204</v>
      </c>
      <c r="FJ6" s="330"/>
      <c r="FK6" s="330" t="s">
        <v>230</v>
      </c>
      <c r="FL6" s="330" t="s">
        <v>192</v>
      </c>
      <c r="FM6" s="330" t="s">
        <v>191</v>
      </c>
      <c r="FN6" s="330" t="s">
        <v>272</v>
      </c>
      <c r="FO6" s="330"/>
      <c r="FP6" s="330" t="s">
        <v>262</v>
      </c>
      <c r="FQ6" s="330"/>
      <c r="FR6" s="330"/>
      <c r="FS6" s="330"/>
      <c r="FT6" s="330"/>
      <c r="FU6" s="330"/>
    </row>
    <row r="7" spans="1:177" ht="38.25" x14ac:dyDescent="0.25">
      <c r="A7" s="330">
        <v>6</v>
      </c>
      <c r="B7" s="331" t="s">
        <v>273</v>
      </c>
      <c r="C7" s="330"/>
      <c r="D7" s="332" t="s">
        <v>228</v>
      </c>
      <c r="E7" s="332" t="s">
        <v>229</v>
      </c>
      <c r="F7" s="332" t="s">
        <v>230</v>
      </c>
      <c r="G7" s="330" t="s">
        <v>231</v>
      </c>
      <c r="H7" s="331">
        <v>400</v>
      </c>
      <c r="I7" s="330"/>
      <c r="J7" s="332"/>
      <c r="K7" s="332" t="s">
        <v>274</v>
      </c>
      <c r="L7" s="330"/>
      <c r="M7" s="332"/>
      <c r="N7" s="330" t="s">
        <v>275</v>
      </c>
      <c r="O7" s="339">
        <v>0.34850529375129702</v>
      </c>
      <c r="P7" s="333">
        <v>6715</v>
      </c>
      <c r="Q7" s="333">
        <v>19268</v>
      </c>
      <c r="R7" s="333">
        <v>72</v>
      </c>
      <c r="S7" s="333">
        <v>72</v>
      </c>
      <c r="T7" s="333">
        <v>2</v>
      </c>
      <c r="U7" s="333">
        <v>504</v>
      </c>
      <c r="V7" s="333">
        <v>600</v>
      </c>
      <c r="W7" s="330" t="s">
        <v>276</v>
      </c>
      <c r="X7" s="330" t="s">
        <v>277</v>
      </c>
      <c r="Y7" s="332" t="s">
        <v>278</v>
      </c>
      <c r="Z7" s="330" t="s">
        <v>215</v>
      </c>
      <c r="AA7" s="330" t="s">
        <v>279</v>
      </c>
      <c r="AB7" s="330" t="s">
        <v>217</v>
      </c>
      <c r="AC7" s="330"/>
      <c r="AD7" s="330"/>
      <c r="AE7" s="330">
        <v>22</v>
      </c>
      <c r="AF7" s="330">
        <v>-214</v>
      </c>
      <c r="AG7" s="332" t="s">
        <v>238</v>
      </c>
      <c r="AH7" s="332" t="s">
        <v>191</v>
      </c>
      <c r="AI7" s="330" t="s">
        <v>192</v>
      </c>
      <c r="AJ7" s="330" t="s">
        <v>192</v>
      </c>
      <c r="AK7" s="330"/>
      <c r="AL7" s="330" t="s">
        <v>192</v>
      </c>
      <c r="AM7" s="330" t="s">
        <v>191</v>
      </c>
      <c r="AN7" s="330" t="s">
        <v>192</v>
      </c>
      <c r="AO7" s="330"/>
      <c r="AP7" s="332" t="s">
        <v>239</v>
      </c>
      <c r="AQ7" s="330"/>
      <c r="AR7" s="330"/>
      <c r="AS7" s="330" t="b">
        <v>1</v>
      </c>
      <c r="AT7" s="330"/>
      <c r="AU7" s="332" t="s">
        <v>192</v>
      </c>
      <c r="AV7" s="334">
        <v>45737.619340243058</v>
      </c>
      <c r="AW7" s="330"/>
      <c r="AX7" s="335">
        <v>45812</v>
      </c>
      <c r="AY7" s="336">
        <v>45762</v>
      </c>
      <c r="AZ7" s="330"/>
      <c r="BA7" s="336">
        <v>45831</v>
      </c>
      <c r="BB7" s="330"/>
      <c r="BC7" s="336">
        <v>45833</v>
      </c>
      <c r="BD7" s="330"/>
      <c r="BE7" s="336">
        <v>45833</v>
      </c>
      <c r="BF7" s="330"/>
      <c r="BG7" s="330"/>
      <c r="BH7" s="330" t="s">
        <v>220</v>
      </c>
      <c r="BI7" s="330">
        <v>500</v>
      </c>
      <c r="BJ7" s="336">
        <v>45757</v>
      </c>
      <c r="BK7" s="330"/>
      <c r="BL7" s="330"/>
      <c r="BM7" s="332"/>
      <c r="BN7" s="330"/>
      <c r="BO7" s="330" t="s">
        <v>240</v>
      </c>
      <c r="BP7" s="330" t="s">
        <v>193</v>
      </c>
      <c r="BQ7" s="330" t="s">
        <v>218</v>
      </c>
      <c r="BR7" s="330" t="s">
        <v>220</v>
      </c>
      <c r="BS7" s="330"/>
      <c r="BT7" s="330" t="s">
        <v>220</v>
      </c>
      <c r="BU7" s="330"/>
      <c r="BV7" s="330" t="s">
        <v>220</v>
      </c>
      <c r="BW7" s="330"/>
      <c r="BX7" s="332"/>
      <c r="BY7" s="330"/>
      <c r="BZ7" s="330"/>
      <c r="CA7" s="330"/>
      <c r="CB7" s="330"/>
      <c r="CC7" s="337" t="s">
        <v>241</v>
      </c>
      <c r="CD7" s="330"/>
      <c r="CE7" s="330" t="b">
        <v>1</v>
      </c>
      <c r="CF7" s="330" t="b">
        <v>1</v>
      </c>
      <c r="CG7" s="330" t="s">
        <v>242</v>
      </c>
      <c r="CH7" s="330"/>
      <c r="CI7" s="330"/>
      <c r="CJ7" s="330"/>
      <c r="CK7" s="330"/>
      <c r="CL7" s="330"/>
      <c r="CM7" s="330"/>
      <c r="CN7" s="330"/>
      <c r="CO7" s="330"/>
      <c r="CP7" s="330"/>
      <c r="CQ7" s="330"/>
      <c r="CR7" s="330"/>
      <c r="CS7" s="330"/>
      <c r="CT7" s="330"/>
      <c r="CU7" s="330"/>
      <c r="CV7" s="330"/>
      <c r="CW7" s="330"/>
      <c r="CX7" s="330"/>
      <c r="CY7" s="330"/>
      <c r="CZ7" s="330"/>
      <c r="DA7" s="330"/>
      <c r="DB7" s="330" t="b">
        <v>1</v>
      </c>
      <c r="DC7" s="330" t="b">
        <v>1</v>
      </c>
      <c r="DD7" s="330"/>
      <c r="DE7" s="330"/>
      <c r="DF7" s="338">
        <v>24051</v>
      </c>
      <c r="DG7" s="330" t="s">
        <v>221</v>
      </c>
      <c r="DH7" s="330"/>
      <c r="DI7" s="338">
        <v>206</v>
      </c>
      <c r="DJ7" s="330"/>
      <c r="DK7" s="330">
        <v>206</v>
      </c>
      <c r="DL7" s="330" t="s">
        <v>243</v>
      </c>
      <c r="DM7" s="330"/>
      <c r="DN7" s="330"/>
      <c r="DO7" s="330"/>
      <c r="DP7" s="330"/>
      <c r="DQ7" s="338" t="s">
        <v>197</v>
      </c>
      <c r="DR7" s="330"/>
      <c r="DS7" s="330"/>
      <c r="DT7" s="330"/>
      <c r="DU7" s="338" t="s">
        <v>197</v>
      </c>
      <c r="DV7" s="330"/>
      <c r="DW7" s="330"/>
      <c r="DX7" s="330"/>
      <c r="DY7" s="338" t="s">
        <v>197</v>
      </c>
      <c r="DZ7" s="330"/>
      <c r="EA7" s="330"/>
      <c r="EB7" s="330"/>
      <c r="EC7" s="330" t="s">
        <v>197</v>
      </c>
      <c r="ED7" s="338" t="s">
        <v>197</v>
      </c>
      <c r="EE7" s="330">
        <v>4</v>
      </c>
      <c r="EF7" s="330">
        <v>200</v>
      </c>
      <c r="EG7" s="330"/>
      <c r="EH7" s="330"/>
      <c r="EI7" s="330"/>
      <c r="EJ7" s="330"/>
      <c r="EK7" s="330"/>
      <c r="EL7" s="330"/>
      <c r="EM7" s="330"/>
      <c r="EN7" s="330"/>
      <c r="EO7" s="330"/>
      <c r="EP7" s="330"/>
      <c r="EQ7" s="332" t="s">
        <v>244</v>
      </c>
      <c r="ER7" s="330"/>
      <c r="ES7" s="330"/>
      <c r="ET7" s="332" t="s">
        <v>245</v>
      </c>
      <c r="EU7" s="332" t="s">
        <v>246</v>
      </c>
      <c r="EV7" s="336">
        <v>45762</v>
      </c>
      <c r="EW7" s="336">
        <v>45762</v>
      </c>
      <c r="EX7" s="330">
        <v>1</v>
      </c>
      <c r="EY7" s="330"/>
      <c r="EZ7" s="330" t="s">
        <v>201</v>
      </c>
      <c r="FA7" s="336">
        <v>45826</v>
      </c>
      <c r="FB7" s="330">
        <v>6</v>
      </c>
      <c r="FC7" s="330" t="s">
        <v>202</v>
      </c>
      <c r="FD7" s="332" t="s">
        <v>190</v>
      </c>
      <c r="FE7" s="336">
        <v>45833</v>
      </c>
      <c r="FF7" s="330"/>
      <c r="FG7" s="330" t="s">
        <v>203</v>
      </c>
      <c r="FH7" s="330" t="s">
        <v>249</v>
      </c>
      <c r="FI7" s="330" t="s">
        <v>204</v>
      </c>
      <c r="FJ7" s="330"/>
      <c r="FK7" s="330" t="s">
        <v>230</v>
      </c>
      <c r="FL7" s="330" t="s">
        <v>192</v>
      </c>
      <c r="FM7" s="330" t="s">
        <v>191</v>
      </c>
      <c r="FN7" s="330" t="s">
        <v>280</v>
      </c>
      <c r="FO7" s="330"/>
      <c r="FP7" s="330" t="s">
        <v>281</v>
      </c>
      <c r="FQ7" s="330"/>
      <c r="FR7" s="330"/>
      <c r="FS7" s="330"/>
      <c r="FT7" s="330"/>
      <c r="FU7" s="330"/>
    </row>
    <row r="8" spans="1:177" ht="51" x14ac:dyDescent="0.25">
      <c r="A8" s="330">
        <v>7</v>
      </c>
      <c r="B8" s="331" t="s">
        <v>282</v>
      </c>
      <c r="C8" s="330"/>
      <c r="D8" s="332" t="s">
        <v>228</v>
      </c>
      <c r="E8" s="332" t="s">
        <v>229</v>
      </c>
      <c r="F8" s="332" t="s">
        <v>230</v>
      </c>
      <c r="G8" s="330" t="s">
        <v>231</v>
      </c>
      <c r="H8" s="331">
        <v>400</v>
      </c>
      <c r="I8" s="330"/>
      <c r="J8" s="332"/>
      <c r="K8" s="332" t="s">
        <v>283</v>
      </c>
      <c r="L8" s="330" t="s">
        <v>284</v>
      </c>
      <c r="M8" s="332" t="s">
        <v>285</v>
      </c>
      <c r="N8" s="330" t="s">
        <v>286</v>
      </c>
      <c r="O8" s="339">
        <v>0.700384056466681</v>
      </c>
      <c r="P8" s="333">
        <v>13495</v>
      </c>
      <c r="Q8" s="333">
        <v>19268</v>
      </c>
      <c r="R8" s="333">
        <v>36</v>
      </c>
      <c r="S8" s="333">
        <v>76</v>
      </c>
      <c r="T8" s="333">
        <v>50</v>
      </c>
      <c r="U8" s="333">
        <v>292</v>
      </c>
      <c r="V8" s="333">
        <v>350</v>
      </c>
      <c r="W8" s="330" t="s">
        <v>287</v>
      </c>
      <c r="X8" s="330" t="s">
        <v>288</v>
      </c>
      <c r="Y8" s="332" t="s">
        <v>289</v>
      </c>
      <c r="Z8" s="330" t="s">
        <v>215</v>
      </c>
      <c r="AA8" s="330" t="s">
        <v>290</v>
      </c>
      <c r="AB8" s="330" t="s">
        <v>217</v>
      </c>
      <c r="AC8" s="330"/>
      <c r="AD8" s="330"/>
      <c r="AE8" s="330">
        <v>87</v>
      </c>
      <c r="AF8" s="330">
        <v>-25</v>
      </c>
      <c r="AG8" s="332" t="s">
        <v>238</v>
      </c>
      <c r="AH8" s="332" t="s">
        <v>191</v>
      </c>
      <c r="AI8" s="330" t="s">
        <v>192</v>
      </c>
      <c r="AJ8" s="330" t="s">
        <v>192</v>
      </c>
      <c r="AK8" s="330"/>
      <c r="AL8" s="330" t="s">
        <v>192</v>
      </c>
      <c r="AM8" s="330" t="s">
        <v>191</v>
      </c>
      <c r="AN8" s="330" t="s">
        <v>192</v>
      </c>
      <c r="AO8" s="330"/>
      <c r="AP8" s="330" t="s">
        <v>259</v>
      </c>
      <c r="AQ8" s="330"/>
      <c r="AR8" s="330"/>
      <c r="AS8" s="330" t="b">
        <v>1</v>
      </c>
      <c r="AT8" s="330"/>
      <c r="AU8" s="332" t="s">
        <v>191</v>
      </c>
      <c r="AV8" s="334">
        <v>46031.65669427083</v>
      </c>
      <c r="AW8" s="330"/>
      <c r="AX8" s="335">
        <v>46062</v>
      </c>
      <c r="AY8" s="336">
        <v>46078</v>
      </c>
      <c r="AZ8" s="330" t="b">
        <v>1</v>
      </c>
      <c r="BA8" s="336">
        <v>46094</v>
      </c>
      <c r="BB8" s="330"/>
      <c r="BC8" s="336">
        <v>46083</v>
      </c>
      <c r="BD8" s="330"/>
      <c r="BE8" s="336">
        <v>46083</v>
      </c>
      <c r="BF8" s="330"/>
      <c r="BG8" s="330"/>
      <c r="BH8" s="330" t="s">
        <v>193</v>
      </c>
      <c r="BI8" s="330">
        <v>500</v>
      </c>
      <c r="BJ8" s="330"/>
      <c r="BK8" s="330"/>
      <c r="BL8" s="330"/>
      <c r="BM8" s="332"/>
      <c r="BN8" s="330"/>
      <c r="BO8" s="330" t="s">
        <v>240</v>
      </c>
      <c r="BP8" s="330" t="s">
        <v>193</v>
      </c>
      <c r="BQ8" s="330" t="s">
        <v>218</v>
      </c>
      <c r="BR8" s="330" t="s">
        <v>220</v>
      </c>
      <c r="BS8" s="330"/>
      <c r="BT8" s="330" t="s">
        <v>220</v>
      </c>
      <c r="BU8" s="330"/>
      <c r="BV8" s="330" t="s">
        <v>220</v>
      </c>
      <c r="BW8" s="330"/>
      <c r="BX8" s="332"/>
      <c r="BY8" s="330"/>
      <c r="BZ8" s="330"/>
      <c r="CA8" s="330"/>
      <c r="CB8" s="330"/>
      <c r="CC8" s="337" t="s">
        <v>241</v>
      </c>
      <c r="CD8" s="330" t="b">
        <v>1</v>
      </c>
      <c r="CE8" s="330" t="b">
        <v>1</v>
      </c>
      <c r="CF8" s="330" t="b">
        <v>1</v>
      </c>
      <c r="CG8" s="330" t="s">
        <v>242</v>
      </c>
      <c r="CH8" s="330"/>
      <c r="CI8" s="330"/>
      <c r="CJ8" s="330"/>
      <c r="CK8" s="330"/>
      <c r="CL8" s="330"/>
      <c r="CM8" s="330"/>
      <c r="CN8" s="330"/>
      <c r="CO8" s="330"/>
      <c r="CP8" s="330"/>
      <c r="CQ8" s="330"/>
      <c r="CR8" s="330"/>
      <c r="CS8" s="330"/>
      <c r="CT8" s="330"/>
      <c r="CU8" s="330"/>
      <c r="CV8" s="330"/>
      <c r="CW8" s="330"/>
      <c r="CX8" s="330"/>
      <c r="CY8" s="330"/>
      <c r="CZ8" s="330"/>
      <c r="DA8" s="330"/>
      <c r="DB8" s="330" t="b">
        <v>1</v>
      </c>
      <c r="DC8" s="330" t="b">
        <v>1</v>
      </c>
      <c r="DD8" s="330"/>
      <c r="DE8" s="330"/>
      <c r="DF8" s="338">
        <v>24051</v>
      </c>
      <c r="DG8" s="330" t="s">
        <v>221</v>
      </c>
      <c r="DH8" s="330"/>
      <c r="DI8" s="340">
        <v>209.1</v>
      </c>
      <c r="DJ8" s="330"/>
      <c r="DK8" s="330">
        <v>209.1</v>
      </c>
      <c r="DL8" s="330" t="s">
        <v>243</v>
      </c>
      <c r="DM8" s="330"/>
      <c r="DN8" s="330"/>
      <c r="DO8" s="330"/>
      <c r="DP8" s="330"/>
      <c r="DQ8" s="338" t="s">
        <v>197</v>
      </c>
      <c r="DR8" s="330"/>
      <c r="DS8" s="330"/>
      <c r="DT8" s="330"/>
      <c r="DU8" s="338" t="s">
        <v>197</v>
      </c>
      <c r="DV8" s="330"/>
      <c r="DW8" s="330"/>
      <c r="DX8" s="330"/>
      <c r="DY8" s="338" t="s">
        <v>197</v>
      </c>
      <c r="DZ8" s="330"/>
      <c r="EA8" s="330"/>
      <c r="EB8" s="330"/>
      <c r="EC8" s="330" t="s">
        <v>197</v>
      </c>
      <c r="ED8" s="338" t="s">
        <v>197</v>
      </c>
      <c r="EE8" s="330">
        <v>8</v>
      </c>
      <c r="EF8" s="330">
        <v>40</v>
      </c>
      <c r="EG8" s="330"/>
      <c r="EH8" s="330"/>
      <c r="EI8" s="330"/>
      <c r="EJ8" s="330"/>
      <c r="EK8" s="330"/>
      <c r="EL8" s="330"/>
      <c r="EM8" s="330"/>
      <c r="EN8" s="330"/>
      <c r="EO8" s="330"/>
      <c r="EP8" s="330"/>
      <c r="EQ8" s="332" t="s">
        <v>244</v>
      </c>
      <c r="ER8" s="330"/>
      <c r="ES8" s="330"/>
      <c r="ET8" s="332" t="s">
        <v>245</v>
      </c>
      <c r="EU8" s="332" t="s">
        <v>246</v>
      </c>
      <c r="EV8" s="336">
        <v>46077</v>
      </c>
      <c r="EW8" s="336">
        <v>46078</v>
      </c>
      <c r="EX8" s="330">
        <v>2</v>
      </c>
      <c r="EY8" s="330"/>
      <c r="EZ8" s="330" t="s">
        <v>201</v>
      </c>
      <c r="FA8" s="336">
        <v>46105</v>
      </c>
      <c r="FB8" s="330">
        <v>1</v>
      </c>
      <c r="FC8" s="330" t="s">
        <v>202</v>
      </c>
      <c r="FD8" s="332" t="s">
        <v>190</v>
      </c>
      <c r="FE8" s="336">
        <v>46105</v>
      </c>
      <c r="FF8" s="330"/>
      <c r="FG8" s="330" t="s">
        <v>203</v>
      </c>
      <c r="FH8" s="330" t="s">
        <v>291</v>
      </c>
      <c r="FI8" s="330" t="s">
        <v>204</v>
      </c>
      <c r="FJ8" s="330"/>
      <c r="FK8" s="330" t="s">
        <v>230</v>
      </c>
      <c r="FL8" s="330" t="s">
        <v>192</v>
      </c>
      <c r="FM8" s="330" t="s">
        <v>191</v>
      </c>
      <c r="FN8" s="330" t="s">
        <v>292</v>
      </c>
      <c r="FO8" s="330"/>
      <c r="FP8" s="330" t="s">
        <v>293</v>
      </c>
      <c r="FQ8" s="330"/>
      <c r="FR8" s="330"/>
      <c r="FS8" s="330"/>
      <c r="FT8" s="330"/>
      <c r="FU8" s="330"/>
    </row>
    <row r="9" spans="1:177" ht="38.25" x14ac:dyDescent="0.25">
      <c r="A9" s="330">
        <v>8</v>
      </c>
      <c r="B9" s="331" t="s">
        <v>294</v>
      </c>
      <c r="C9" s="330"/>
      <c r="D9" s="332" t="s">
        <v>228</v>
      </c>
      <c r="E9" s="332" t="s">
        <v>229</v>
      </c>
      <c r="F9" s="332" t="s">
        <v>230</v>
      </c>
      <c r="G9" s="330" t="s">
        <v>231</v>
      </c>
      <c r="H9" s="331">
        <v>400</v>
      </c>
      <c r="I9" s="330"/>
      <c r="J9" s="332"/>
      <c r="K9" s="332" t="s">
        <v>295</v>
      </c>
      <c r="L9" s="330"/>
      <c r="M9" s="332"/>
      <c r="N9" s="330" t="s">
        <v>296</v>
      </c>
      <c r="O9" s="339">
        <v>0.34985468133693198</v>
      </c>
      <c r="P9" s="333">
        <v>6741</v>
      </c>
      <c r="Q9" s="333">
        <v>19268</v>
      </c>
      <c r="R9" s="333">
        <v>26</v>
      </c>
      <c r="S9" s="333">
        <v>26</v>
      </c>
      <c r="T9" s="333">
        <v>2</v>
      </c>
      <c r="U9" s="333">
        <v>182</v>
      </c>
      <c r="V9" s="333">
        <v>300</v>
      </c>
      <c r="W9" s="330" t="s">
        <v>297</v>
      </c>
      <c r="X9" s="330" t="s">
        <v>298</v>
      </c>
      <c r="Y9" s="332" t="s">
        <v>299</v>
      </c>
      <c r="Z9" s="330" t="s">
        <v>215</v>
      </c>
      <c r="AA9" s="330" t="s">
        <v>300</v>
      </c>
      <c r="AB9" s="330" t="s">
        <v>217</v>
      </c>
      <c r="AC9" s="330"/>
      <c r="AD9" s="330"/>
      <c r="AE9" s="330">
        <v>12</v>
      </c>
      <c r="AF9" s="330">
        <v>-224</v>
      </c>
      <c r="AG9" s="332" t="s">
        <v>238</v>
      </c>
      <c r="AH9" s="332" t="s">
        <v>191</v>
      </c>
      <c r="AI9" s="330" t="s">
        <v>192</v>
      </c>
      <c r="AJ9" s="330" t="s">
        <v>192</v>
      </c>
      <c r="AK9" s="330"/>
      <c r="AL9" s="330" t="s">
        <v>192</v>
      </c>
      <c r="AM9" s="330" t="s">
        <v>191</v>
      </c>
      <c r="AN9" s="330" t="s">
        <v>192</v>
      </c>
      <c r="AO9" s="330"/>
      <c r="AP9" s="332" t="s">
        <v>239</v>
      </c>
      <c r="AQ9" s="330"/>
      <c r="AR9" s="330"/>
      <c r="AS9" s="330" t="b">
        <v>1</v>
      </c>
      <c r="AT9" s="330"/>
      <c r="AU9" s="332" t="s">
        <v>192</v>
      </c>
      <c r="AV9" s="334">
        <v>45751.661391458336</v>
      </c>
      <c r="AW9" s="330"/>
      <c r="AX9" s="335">
        <v>45798</v>
      </c>
      <c r="AY9" s="336">
        <v>45762</v>
      </c>
      <c r="AZ9" s="330"/>
      <c r="BA9" s="336">
        <v>45817</v>
      </c>
      <c r="BB9" s="330"/>
      <c r="BC9" s="336">
        <v>45819</v>
      </c>
      <c r="BD9" s="330"/>
      <c r="BE9" s="336">
        <v>45819</v>
      </c>
      <c r="BF9" s="330"/>
      <c r="BG9" s="330"/>
      <c r="BH9" s="330" t="s">
        <v>220</v>
      </c>
      <c r="BI9" s="330">
        <v>500</v>
      </c>
      <c r="BJ9" s="336">
        <v>45757</v>
      </c>
      <c r="BK9" s="330"/>
      <c r="BL9" s="330"/>
      <c r="BM9" s="332"/>
      <c r="BN9" s="330"/>
      <c r="BO9" s="330" t="s">
        <v>240</v>
      </c>
      <c r="BP9" s="330" t="s">
        <v>193</v>
      </c>
      <c r="BQ9" s="330" t="s">
        <v>218</v>
      </c>
      <c r="BR9" s="330" t="s">
        <v>220</v>
      </c>
      <c r="BS9" s="330"/>
      <c r="BT9" s="330" t="s">
        <v>220</v>
      </c>
      <c r="BU9" s="330"/>
      <c r="BV9" s="330" t="s">
        <v>220</v>
      </c>
      <c r="BW9" s="330"/>
      <c r="BX9" s="332"/>
      <c r="BY9" s="330"/>
      <c r="BZ9" s="330"/>
      <c r="CA9" s="330"/>
      <c r="CB9" s="330"/>
      <c r="CC9" s="337" t="s">
        <v>241</v>
      </c>
      <c r="CD9" s="330" t="b">
        <v>1</v>
      </c>
      <c r="CE9" s="330" t="b">
        <v>1</v>
      </c>
      <c r="CF9" s="330" t="b">
        <v>1</v>
      </c>
      <c r="CG9" s="330" t="s">
        <v>242</v>
      </c>
      <c r="CH9" s="330"/>
      <c r="CI9" s="330"/>
      <c r="CJ9" s="330"/>
      <c r="CK9" s="330"/>
      <c r="CL9" s="330"/>
      <c r="CM9" s="330"/>
      <c r="CN9" s="330"/>
      <c r="CO9" s="330"/>
      <c r="CP9" s="330"/>
      <c r="CQ9" s="330"/>
      <c r="CR9" s="330"/>
      <c r="CS9" s="330"/>
      <c r="CT9" s="330"/>
      <c r="CU9" s="330"/>
      <c r="CV9" s="330"/>
      <c r="CW9" s="330"/>
      <c r="CX9" s="330"/>
      <c r="CY9" s="330"/>
      <c r="CZ9" s="330"/>
      <c r="DA9" s="330"/>
      <c r="DB9" s="330" t="b">
        <v>1</v>
      </c>
      <c r="DC9" s="330" t="b">
        <v>1</v>
      </c>
      <c r="DD9" s="330"/>
      <c r="DE9" s="330"/>
      <c r="DF9" s="338">
        <v>24051</v>
      </c>
      <c r="DG9" s="330" t="s">
        <v>221</v>
      </c>
      <c r="DH9" s="330"/>
      <c r="DI9" s="338">
        <v>212</v>
      </c>
      <c r="DJ9" s="330"/>
      <c r="DK9" s="330">
        <v>212</v>
      </c>
      <c r="DL9" s="330" t="s">
        <v>243</v>
      </c>
      <c r="DM9" s="330"/>
      <c r="DN9" s="330"/>
      <c r="DO9" s="330"/>
      <c r="DP9" s="330"/>
      <c r="DQ9" s="338" t="s">
        <v>197</v>
      </c>
      <c r="DR9" s="330"/>
      <c r="DS9" s="330"/>
      <c r="DT9" s="330"/>
      <c r="DU9" s="338" t="s">
        <v>197</v>
      </c>
      <c r="DV9" s="330"/>
      <c r="DW9" s="330"/>
      <c r="DX9" s="330"/>
      <c r="DY9" s="338" t="s">
        <v>197</v>
      </c>
      <c r="DZ9" s="330"/>
      <c r="EA9" s="330"/>
      <c r="EB9" s="330"/>
      <c r="EC9" s="330" t="s">
        <v>197</v>
      </c>
      <c r="ED9" s="338" t="s">
        <v>197</v>
      </c>
      <c r="EE9" s="330">
        <v>4</v>
      </c>
      <c r="EF9" s="330">
        <v>50</v>
      </c>
      <c r="EG9" s="330"/>
      <c r="EH9" s="330"/>
      <c r="EI9" s="330"/>
      <c r="EJ9" s="330"/>
      <c r="EK9" s="330"/>
      <c r="EL9" s="330"/>
      <c r="EM9" s="330"/>
      <c r="EN9" s="330"/>
      <c r="EO9" s="330"/>
      <c r="EP9" s="330"/>
      <c r="EQ9" s="332" t="s">
        <v>244</v>
      </c>
      <c r="ER9" s="330"/>
      <c r="ES9" s="330"/>
      <c r="ET9" s="332" t="s">
        <v>245</v>
      </c>
      <c r="EU9" s="332" t="s">
        <v>246</v>
      </c>
      <c r="EV9" s="336">
        <v>45762</v>
      </c>
      <c r="EW9" s="336">
        <v>45762</v>
      </c>
      <c r="EX9" s="330">
        <v>1</v>
      </c>
      <c r="EY9" s="330"/>
      <c r="EZ9" s="330" t="s">
        <v>201</v>
      </c>
      <c r="FA9" s="336">
        <v>45826</v>
      </c>
      <c r="FB9" s="330">
        <v>2</v>
      </c>
      <c r="FC9" s="330" t="s">
        <v>202</v>
      </c>
      <c r="FD9" s="332" t="s">
        <v>190</v>
      </c>
      <c r="FE9" s="336">
        <v>45827</v>
      </c>
      <c r="FF9" s="330"/>
      <c r="FG9" s="330" t="s">
        <v>203</v>
      </c>
      <c r="FH9" s="330" t="s">
        <v>249</v>
      </c>
      <c r="FI9" s="330" t="s">
        <v>204</v>
      </c>
      <c r="FJ9" s="330"/>
      <c r="FK9" s="330" t="s">
        <v>230</v>
      </c>
      <c r="FL9" s="330" t="s">
        <v>192</v>
      </c>
      <c r="FM9" s="330" t="s">
        <v>191</v>
      </c>
      <c r="FN9" s="330" t="s">
        <v>301</v>
      </c>
      <c r="FO9" s="330"/>
      <c r="FP9" s="330" t="s">
        <v>302</v>
      </c>
      <c r="FQ9" s="330"/>
      <c r="FR9" s="330"/>
      <c r="FS9" s="330"/>
      <c r="FT9" s="330"/>
      <c r="FU9" s="330"/>
    </row>
    <row r="10" spans="1:177" ht="127.5" x14ac:dyDescent="0.25">
      <c r="A10" s="330">
        <v>9</v>
      </c>
      <c r="B10" s="331" t="s">
        <v>303</v>
      </c>
      <c r="C10" s="330"/>
      <c r="D10" s="332" t="s">
        <v>304</v>
      </c>
      <c r="E10" s="332" t="s">
        <v>305</v>
      </c>
      <c r="F10" s="332" t="s">
        <v>306</v>
      </c>
      <c r="G10" s="330" t="s">
        <v>307</v>
      </c>
      <c r="H10" s="331">
        <v>600</v>
      </c>
      <c r="I10" s="330"/>
      <c r="J10" s="332"/>
      <c r="K10" s="332" t="s">
        <v>308</v>
      </c>
      <c r="L10" s="330" t="s">
        <v>284</v>
      </c>
      <c r="M10" s="332" t="s">
        <v>309</v>
      </c>
      <c r="N10" s="330" t="s">
        <v>310</v>
      </c>
      <c r="O10" s="339">
        <v>0.80585898709036696</v>
      </c>
      <c r="P10" s="333">
        <v>1623</v>
      </c>
      <c r="Q10" s="333">
        <v>2014</v>
      </c>
      <c r="R10" s="333">
        <v>18</v>
      </c>
      <c r="S10" s="333">
        <v>18</v>
      </c>
      <c r="T10" s="333">
        <v>2</v>
      </c>
      <c r="U10" s="333">
        <v>50</v>
      </c>
      <c r="V10" s="333">
        <v>215</v>
      </c>
      <c r="W10" s="330" t="s">
        <v>311</v>
      </c>
      <c r="X10" s="330" t="s">
        <v>312</v>
      </c>
      <c r="Y10" s="332" t="s">
        <v>313</v>
      </c>
      <c r="Z10" s="330" t="s">
        <v>215</v>
      </c>
      <c r="AA10" s="330" t="s">
        <v>314</v>
      </c>
      <c r="AB10" s="330" t="s">
        <v>217</v>
      </c>
      <c r="AC10" s="330"/>
      <c r="AD10" s="330"/>
      <c r="AE10" s="330">
        <v>1</v>
      </c>
      <c r="AF10" s="330">
        <v>-10</v>
      </c>
      <c r="AG10" s="332" t="s">
        <v>315</v>
      </c>
      <c r="AH10" s="332" t="s">
        <v>191</v>
      </c>
      <c r="AI10" s="330" t="s">
        <v>316</v>
      </c>
      <c r="AJ10" s="330" t="s">
        <v>316</v>
      </c>
      <c r="AK10" s="330"/>
      <c r="AL10" s="330" t="s">
        <v>316</v>
      </c>
      <c r="AM10" s="330" t="s">
        <v>191</v>
      </c>
      <c r="AN10" s="330" t="s">
        <v>316</v>
      </c>
      <c r="AO10" s="330"/>
      <c r="AP10" s="332" t="s">
        <v>259</v>
      </c>
      <c r="AQ10" s="330"/>
      <c r="AR10" s="330"/>
      <c r="AS10" s="330" t="b">
        <v>1</v>
      </c>
      <c r="AT10" s="330"/>
      <c r="AU10" s="332" t="s">
        <v>317</v>
      </c>
      <c r="AV10" s="334">
        <v>46058.420464027775</v>
      </c>
      <c r="AW10" s="330" t="b">
        <v>1</v>
      </c>
      <c r="AX10" s="335">
        <v>46079</v>
      </c>
      <c r="AY10" s="336">
        <v>46099</v>
      </c>
      <c r="AZ10" s="330" t="b">
        <v>1</v>
      </c>
      <c r="BA10" s="336">
        <v>46115</v>
      </c>
      <c r="BB10" s="330"/>
      <c r="BC10" s="336">
        <v>46083</v>
      </c>
      <c r="BD10" s="330"/>
      <c r="BE10" s="336">
        <v>46083</v>
      </c>
      <c r="BF10" s="330"/>
      <c r="BG10" s="330"/>
      <c r="BH10" s="330" t="s">
        <v>193</v>
      </c>
      <c r="BI10" s="330" t="s">
        <v>318</v>
      </c>
      <c r="BJ10" s="330"/>
      <c r="BK10" s="330"/>
      <c r="BL10" s="330"/>
      <c r="BM10" s="332"/>
      <c r="BN10" s="330"/>
      <c r="BO10" s="330" t="s">
        <v>240</v>
      </c>
      <c r="BP10" s="330" t="s">
        <v>193</v>
      </c>
      <c r="BQ10" s="330" t="s">
        <v>218</v>
      </c>
      <c r="BR10" s="330" t="s">
        <v>220</v>
      </c>
      <c r="BS10" s="330"/>
      <c r="BT10" s="330" t="s">
        <v>220</v>
      </c>
      <c r="BU10" s="330"/>
      <c r="BV10" s="330" t="s">
        <v>220</v>
      </c>
      <c r="BW10" s="330"/>
      <c r="BX10" s="332"/>
      <c r="BY10" s="330"/>
      <c r="BZ10" s="330"/>
      <c r="CA10" s="330"/>
      <c r="CB10" s="330"/>
      <c r="CC10" s="337" t="s">
        <v>319</v>
      </c>
      <c r="CD10" s="330" t="b">
        <v>1</v>
      </c>
      <c r="CE10" s="330" t="b">
        <v>1</v>
      </c>
      <c r="CF10" s="330" t="b">
        <v>1</v>
      </c>
      <c r="CG10" s="330" t="s">
        <v>242</v>
      </c>
      <c r="CH10" s="330"/>
      <c r="CI10" s="330"/>
      <c r="CJ10" s="330"/>
      <c r="CK10" s="330"/>
      <c r="CL10" s="330"/>
      <c r="CM10" s="330"/>
      <c r="CN10" s="330"/>
      <c r="CO10" s="330"/>
      <c r="CP10" s="330"/>
      <c r="CQ10" s="330"/>
      <c r="CR10" s="330"/>
      <c r="CS10" s="330"/>
      <c r="CT10" s="330"/>
      <c r="CU10" s="330"/>
      <c r="CV10" s="330"/>
      <c r="CW10" s="330"/>
      <c r="CX10" s="330"/>
      <c r="CY10" s="330"/>
      <c r="CZ10" s="330"/>
      <c r="DA10" s="330"/>
      <c r="DB10" s="330" t="b">
        <v>1</v>
      </c>
      <c r="DC10" s="330" t="b">
        <v>1</v>
      </c>
      <c r="DD10" s="330"/>
      <c r="DE10" s="330"/>
      <c r="DF10" s="338">
        <v>25002</v>
      </c>
      <c r="DG10" s="330" t="s">
        <v>221</v>
      </c>
      <c r="DH10" s="330"/>
      <c r="DI10" s="340">
        <v>11.1</v>
      </c>
      <c r="DJ10" s="330"/>
      <c r="DK10" s="330">
        <v>11.1</v>
      </c>
      <c r="DL10" s="330" t="s">
        <v>4090</v>
      </c>
      <c r="DM10" s="330"/>
      <c r="DN10" s="330"/>
      <c r="DO10" s="330"/>
      <c r="DP10" s="330"/>
      <c r="DQ10" s="338" t="s">
        <v>197</v>
      </c>
      <c r="DR10" s="330"/>
      <c r="DS10" s="330"/>
      <c r="DT10" s="330"/>
      <c r="DU10" s="338" t="s">
        <v>197</v>
      </c>
      <c r="DV10" s="330"/>
      <c r="DW10" s="330"/>
      <c r="DX10" s="330"/>
      <c r="DY10" s="338" t="s">
        <v>197</v>
      </c>
      <c r="DZ10" s="330"/>
      <c r="EA10" s="330"/>
      <c r="EB10" s="330"/>
      <c r="EC10" s="330" t="s">
        <v>197</v>
      </c>
      <c r="ED10" s="338" t="s">
        <v>197</v>
      </c>
      <c r="EE10" s="330">
        <v>5</v>
      </c>
      <c r="EF10" s="330">
        <v>20</v>
      </c>
      <c r="EG10" s="330"/>
      <c r="EH10" s="330"/>
      <c r="EI10" s="330"/>
      <c r="EJ10" s="330"/>
      <c r="EK10" s="330"/>
      <c r="EL10" s="330"/>
      <c r="EM10" s="330"/>
      <c r="EN10" s="330"/>
      <c r="EO10" s="330"/>
      <c r="EP10" s="330"/>
      <c r="EQ10" s="332" t="s">
        <v>321</v>
      </c>
      <c r="ER10" s="330"/>
      <c r="ES10" s="330"/>
      <c r="ET10" s="332" t="s">
        <v>245</v>
      </c>
      <c r="EU10" s="332" t="s">
        <v>246</v>
      </c>
      <c r="EV10" s="336">
        <v>46097</v>
      </c>
      <c r="EW10" s="336">
        <v>46098</v>
      </c>
      <c r="EX10" s="330">
        <v>2</v>
      </c>
      <c r="EY10" s="330"/>
      <c r="EZ10" s="330" t="s">
        <v>247</v>
      </c>
      <c r="FA10" s="330"/>
      <c r="FB10" s="330" t="s">
        <v>247</v>
      </c>
      <c r="FC10" s="330" t="s">
        <v>202</v>
      </c>
      <c r="FD10" s="332" t="s">
        <v>190</v>
      </c>
      <c r="FE10" s="330"/>
      <c r="FF10" s="330"/>
      <c r="FG10" s="330" t="s">
        <v>203</v>
      </c>
      <c r="FH10" s="330" t="s">
        <v>322</v>
      </c>
      <c r="FI10" s="330" t="s">
        <v>204</v>
      </c>
      <c r="FJ10" s="330"/>
      <c r="FK10" s="330" t="s">
        <v>306</v>
      </c>
      <c r="FL10" s="330" t="s">
        <v>316</v>
      </c>
      <c r="FM10" s="330" t="s">
        <v>191</v>
      </c>
      <c r="FN10" s="330" t="s">
        <v>323</v>
      </c>
      <c r="FO10" s="330"/>
      <c r="FP10" s="330" t="s">
        <v>293</v>
      </c>
      <c r="FQ10" s="330"/>
      <c r="FR10" s="330"/>
      <c r="FS10" s="330"/>
      <c r="FT10" s="330"/>
      <c r="FU10" s="330"/>
    </row>
    <row r="11" spans="1:177" ht="153" x14ac:dyDescent="0.25">
      <c r="A11" s="330">
        <v>10</v>
      </c>
      <c r="B11" s="331" t="s">
        <v>324</v>
      </c>
      <c r="C11" s="330"/>
      <c r="D11" s="332" t="s">
        <v>325</v>
      </c>
      <c r="E11" s="332" t="s">
        <v>326</v>
      </c>
      <c r="F11" s="332" t="s">
        <v>327</v>
      </c>
      <c r="G11" s="330"/>
      <c r="H11" s="331" t="s">
        <v>328</v>
      </c>
      <c r="I11" s="330"/>
      <c r="J11" s="332" t="s">
        <v>329</v>
      </c>
      <c r="K11" s="332"/>
      <c r="L11" s="330"/>
      <c r="M11" s="332"/>
      <c r="N11" s="330"/>
      <c r="O11" s="333" t="s">
        <v>184</v>
      </c>
      <c r="P11" s="333" t="s">
        <v>184</v>
      </c>
      <c r="Q11" s="333" t="s">
        <v>184</v>
      </c>
      <c r="R11" s="333"/>
      <c r="S11" s="333">
        <v>10</v>
      </c>
      <c r="T11" s="333">
        <v>3</v>
      </c>
      <c r="U11" s="333"/>
      <c r="V11" s="333"/>
      <c r="W11" s="330"/>
      <c r="X11" s="330"/>
      <c r="Y11" s="332" t="s">
        <v>330</v>
      </c>
      <c r="Z11" s="330" t="s">
        <v>331</v>
      </c>
      <c r="AA11" s="330" t="s">
        <v>332</v>
      </c>
      <c r="AB11" s="330" t="s">
        <v>189</v>
      </c>
      <c r="AC11" s="330"/>
      <c r="AD11" s="330"/>
      <c r="AE11" s="330">
        <v>1</v>
      </c>
      <c r="AF11" s="330">
        <v>-54</v>
      </c>
      <c r="AG11" s="332" t="s">
        <v>333</v>
      </c>
      <c r="AH11" s="332" t="s">
        <v>202</v>
      </c>
      <c r="AI11" s="330"/>
      <c r="AJ11" s="330"/>
      <c r="AK11" s="330"/>
      <c r="AL11" s="330"/>
      <c r="AM11" s="330"/>
      <c r="AN11" s="330"/>
      <c r="AO11" s="330"/>
      <c r="AP11" s="332"/>
      <c r="AQ11" s="330" t="s">
        <v>334</v>
      </c>
      <c r="AR11" s="330"/>
      <c r="AS11" s="330"/>
      <c r="AT11" s="330"/>
      <c r="AU11" s="332"/>
      <c r="AV11" s="334">
        <v>46035.641365416668</v>
      </c>
      <c r="AW11" s="330" t="b">
        <v>1</v>
      </c>
      <c r="AX11" s="335">
        <v>46056</v>
      </c>
      <c r="AY11" s="336">
        <v>46037</v>
      </c>
      <c r="AZ11" s="330" t="b">
        <v>1</v>
      </c>
      <c r="BA11" s="336">
        <v>46055</v>
      </c>
      <c r="BB11" s="336">
        <v>46037</v>
      </c>
      <c r="BC11" s="336">
        <v>46044</v>
      </c>
      <c r="BD11" s="330"/>
      <c r="BE11" s="336">
        <v>46044</v>
      </c>
      <c r="BF11" s="330"/>
      <c r="BG11" s="330"/>
      <c r="BH11" s="330" t="s">
        <v>193</v>
      </c>
      <c r="BI11" s="330"/>
      <c r="BJ11" s="330"/>
      <c r="BK11" s="330" t="b">
        <v>1</v>
      </c>
      <c r="BL11" s="330" t="s">
        <v>335</v>
      </c>
      <c r="BM11" s="332" t="s">
        <v>336</v>
      </c>
      <c r="BN11" s="330" t="s">
        <v>337</v>
      </c>
      <c r="BO11" s="330"/>
      <c r="BP11" s="330"/>
      <c r="BQ11" s="330" t="s">
        <v>338</v>
      </c>
      <c r="BR11" s="330" t="s">
        <v>220</v>
      </c>
      <c r="BS11" s="330"/>
      <c r="BT11" s="330" t="s">
        <v>220</v>
      </c>
      <c r="BU11" s="330"/>
      <c r="BV11" s="330" t="s">
        <v>220</v>
      </c>
      <c r="BW11" s="330"/>
      <c r="BX11" s="332"/>
      <c r="BY11" s="330"/>
      <c r="BZ11" s="330"/>
      <c r="CA11" s="330"/>
      <c r="CB11" s="330"/>
      <c r="CC11" s="337" t="s">
        <v>339</v>
      </c>
      <c r="CD11" s="330"/>
      <c r="CE11" s="330"/>
      <c r="CF11" s="330"/>
      <c r="CG11" s="330"/>
      <c r="CH11" s="330"/>
      <c r="CI11" s="330" t="b">
        <v>1</v>
      </c>
      <c r="CJ11" s="330"/>
      <c r="CK11" s="330"/>
      <c r="CL11" s="330"/>
      <c r="CM11" s="330"/>
      <c r="CN11" s="330"/>
      <c r="CO11" s="330"/>
      <c r="CP11" s="330"/>
      <c r="CQ11" s="330"/>
      <c r="CR11" s="330"/>
      <c r="CS11" s="330"/>
      <c r="CT11" s="330"/>
      <c r="CU11" s="330"/>
      <c r="CV11" s="330"/>
      <c r="CW11" s="330"/>
      <c r="CX11" s="330"/>
      <c r="CY11" s="330"/>
      <c r="CZ11" s="330"/>
      <c r="DA11" s="330"/>
      <c r="DB11" s="330"/>
      <c r="DC11" s="330"/>
      <c r="DD11" s="330"/>
      <c r="DE11" s="330"/>
      <c r="DF11" s="338" t="s">
        <v>340</v>
      </c>
      <c r="DG11" s="330" t="s">
        <v>341</v>
      </c>
      <c r="DH11" s="330"/>
      <c r="DI11" s="338" t="s">
        <v>196</v>
      </c>
      <c r="DJ11" s="330"/>
      <c r="DK11" s="330">
        <v>1</v>
      </c>
      <c r="DL11" s="330" t="s">
        <v>324</v>
      </c>
      <c r="DM11" s="330"/>
      <c r="DN11" s="330"/>
      <c r="DO11" s="330"/>
      <c r="DP11" s="330"/>
      <c r="DQ11" s="338" t="s">
        <v>197</v>
      </c>
      <c r="DR11" s="330"/>
      <c r="DS11" s="330"/>
      <c r="DT11" s="330"/>
      <c r="DU11" s="338" t="s">
        <v>197</v>
      </c>
      <c r="DV11" s="330"/>
      <c r="DW11" s="330"/>
      <c r="DX11" s="330"/>
      <c r="DY11" s="338" t="s">
        <v>197</v>
      </c>
      <c r="DZ11" s="330"/>
      <c r="EA11" s="330"/>
      <c r="EB11" s="330"/>
      <c r="EC11" s="330" t="s">
        <v>197</v>
      </c>
      <c r="ED11" s="338" t="s">
        <v>197</v>
      </c>
      <c r="EE11" s="330">
        <v>2</v>
      </c>
      <c r="EF11" s="330">
        <v>2</v>
      </c>
      <c r="EG11" s="330"/>
      <c r="EH11" s="330"/>
      <c r="EI11" s="330"/>
      <c r="EJ11" s="330"/>
      <c r="EK11" s="330"/>
      <c r="EL11" s="330"/>
      <c r="EM11" s="330"/>
      <c r="EN11" s="330"/>
      <c r="EO11" s="330"/>
      <c r="EP11" s="330"/>
      <c r="EQ11" s="332"/>
      <c r="ER11" s="330"/>
      <c r="ES11" s="330"/>
      <c r="ET11" s="332" t="s">
        <v>86</v>
      </c>
      <c r="EU11" s="332" t="s">
        <v>342</v>
      </c>
      <c r="EV11" s="330"/>
      <c r="EW11" s="330"/>
      <c r="EX11" s="330" t="s">
        <v>200</v>
      </c>
      <c r="EY11" s="336">
        <v>46050</v>
      </c>
      <c r="EZ11" s="330" t="s">
        <v>4091</v>
      </c>
      <c r="FA11" s="330"/>
      <c r="FB11" s="330" t="s">
        <v>247</v>
      </c>
      <c r="FC11" s="330" t="s">
        <v>202</v>
      </c>
      <c r="FD11" s="332" t="s">
        <v>190</v>
      </c>
      <c r="FE11" s="330"/>
      <c r="FF11" s="330"/>
      <c r="FG11" s="330" t="s">
        <v>203</v>
      </c>
      <c r="FH11" s="330"/>
      <c r="FI11" s="330" t="s">
        <v>204</v>
      </c>
      <c r="FJ11" s="330"/>
      <c r="FK11" s="330" t="s">
        <v>327</v>
      </c>
      <c r="FL11" s="330"/>
      <c r="FM11" s="330"/>
      <c r="FN11" s="330" t="s">
        <v>343</v>
      </c>
      <c r="FO11" s="330" t="b">
        <v>1</v>
      </c>
      <c r="FP11" s="330" t="s">
        <v>344</v>
      </c>
      <c r="FQ11" s="330"/>
      <c r="FR11" s="330"/>
      <c r="FS11" s="330"/>
      <c r="FT11" s="330"/>
      <c r="FU11" s="330"/>
    </row>
    <row r="12" spans="1:177" ht="102" x14ac:dyDescent="0.25">
      <c r="A12" s="330">
        <v>11</v>
      </c>
      <c r="B12" s="331" t="s">
        <v>345</v>
      </c>
      <c r="C12" s="330"/>
      <c r="D12" s="332" t="s">
        <v>228</v>
      </c>
      <c r="E12" s="332" t="s">
        <v>229</v>
      </c>
      <c r="F12" s="332" t="s">
        <v>230</v>
      </c>
      <c r="G12" s="330" t="s">
        <v>231</v>
      </c>
      <c r="H12" s="331">
        <v>400</v>
      </c>
      <c r="I12" s="330"/>
      <c r="J12" s="332"/>
      <c r="K12" s="332" t="s">
        <v>346</v>
      </c>
      <c r="L12" s="330" t="s">
        <v>284</v>
      </c>
      <c r="M12" s="332" t="s">
        <v>347</v>
      </c>
      <c r="N12" s="330" t="s">
        <v>348</v>
      </c>
      <c r="O12" s="339">
        <v>0.65813784513182505</v>
      </c>
      <c r="P12" s="333">
        <v>12681</v>
      </c>
      <c r="Q12" s="333">
        <v>19268</v>
      </c>
      <c r="R12" s="333">
        <v>56</v>
      </c>
      <c r="S12" s="333">
        <v>56</v>
      </c>
      <c r="T12" s="333">
        <v>8</v>
      </c>
      <c r="U12" s="333">
        <v>362</v>
      </c>
      <c r="V12" s="333">
        <v>140</v>
      </c>
      <c r="W12" s="330" t="s">
        <v>349</v>
      </c>
      <c r="X12" s="330" t="s">
        <v>350</v>
      </c>
      <c r="Y12" s="332" t="s">
        <v>351</v>
      </c>
      <c r="Z12" s="330" t="s">
        <v>215</v>
      </c>
      <c r="AA12" s="330" t="s">
        <v>352</v>
      </c>
      <c r="AB12" s="330" t="s">
        <v>189</v>
      </c>
      <c r="AC12" s="330"/>
      <c r="AD12" s="330"/>
      <c r="AE12" s="330">
        <v>75</v>
      </c>
      <c r="AF12" s="330">
        <v>-46</v>
      </c>
      <c r="AG12" s="332" t="s">
        <v>238</v>
      </c>
      <c r="AH12" s="332" t="s">
        <v>191</v>
      </c>
      <c r="AI12" s="330" t="s">
        <v>192</v>
      </c>
      <c r="AJ12" s="330" t="s">
        <v>192</v>
      </c>
      <c r="AK12" s="330"/>
      <c r="AL12" s="330" t="s">
        <v>192</v>
      </c>
      <c r="AM12" s="330" t="s">
        <v>191</v>
      </c>
      <c r="AN12" s="330" t="s">
        <v>353</v>
      </c>
      <c r="AO12" s="330"/>
      <c r="AP12" s="332" t="s">
        <v>259</v>
      </c>
      <c r="AQ12" s="330"/>
      <c r="AR12" s="330"/>
      <c r="AS12" s="330" t="b">
        <v>1</v>
      </c>
      <c r="AT12" s="330"/>
      <c r="AU12" s="332" t="s">
        <v>353</v>
      </c>
      <c r="AV12" s="334">
        <v>46009.682707905093</v>
      </c>
      <c r="AW12" s="330"/>
      <c r="AX12" s="335">
        <v>46034</v>
      </c>
      <c r="AY12" s="336">
        <v>46049</v>
      </c>
      <c r="AZ12" s="330" t="b">
        <v>1</v>
      </c>
      <c r="BA12" s="336">
        <v>46065</v>
      </c>
      <c r="BB12" s="330"/>
      <c r="BC12" s="336">
        <v>46055</v>
      </c>
      <c r="BD12" s="330"/>
      <c r="BE12" s="336">
        <v>46055</v>
      </c>
      <c r="BF12" s="330"/>
      <c r="BG12" s="330"/>
      <c r="BH12" s="330" t="s">
        <v>193</v>
      </c>
      <c r="BI12" s="330">
        <v>1000</v>
      </c>
      <c r="BJ12" s="330"/>
      <c r="BK12" s="330"/>
      <c r="BL12" s="330"/>
      <c r="BM12" s="332"/>
      <c r="BN12" s="330"/>
      <c r="BO12" s="330" t="s">
        <v>240</v>
      </c>
      <c r="BP12" s="330" t="s">
        <v>193</v>
      </c>
      <c r="BQ12" s="330" t="s">
        <v>218</v>
      </c>
      <c r="BR12" s="330" t="s">
        <v>220</v>
      </c>
      <c r="BS12" s="330"/>
      <c r="BT12" s="330" t="s">
        <v>220</v>
      </c>
      <c r="BU12" s="330"/>
      <c r="BV12" s="330" t="s">
        <v>220</v>
      </c>
      <c r="BW12" s="330"/>
      <c r="BX12" s="332"/>
      <c r="BY12" s="330"/>
      <c r="BZ12" s="330"/>
      <c r="CA12" s="330"/>
      <c r="CB12" s="330"/>
      <c r="CC12" s="337" t="s">
        <v>241</v>
      </c>
      <c r="CD12" s="330"/>
      <c r="CE12" s="330" t="b">
        <v>1</v>
      </c>
      <c r="CF12" s="330" t="b">
        <v>1</v>
      </c>
      <c r="CG12" s="330"/>
      <c r="CH12" s="330"/>
      <c r="CI12" s="330"/>
      <c r="CJ12" s="330"/>
      <c r="CK12" s="330"/>
      <c r="CL12" s="330"/>
      <c r="CM12" s="330"/>
      <c r="CN12" s="330"/>
      <c r="CO12" s="330"/>
      <c r="CP12" s="330"/>
      <c r="CQ12" s="330"/>
      <c r="CR12" s="330"/>
      <c r="CS12" s="330"/>
      <c r="CT12" s="330"/>
      <c r="CU12" s="330"/>
      <c r="CV12" s="330"/>
      <c r="CW12" s="330"/>
      <c r="CX12" s="330"/>
      <c r="CY12" s="330"/>
      <c r="CZ12" s="330"/>
      <c r="DA12" s="330"/>
      <c r="DB12" s="330" t="b">
        <v>1</v>
      </c>
      <c r="DC12" s="330" t="b">
        <v>1</v>
      </c>
      <c r="DD12" s="330"/>
      <c r="DE12" s="330"/>
      <c r="DF12" s="338">
        <v>24051</v>
      </c>
      <c r="DG12" s="330" t="s">
        <v>221</v>
      </c>
      <c r="DH12" s="330"/>
      <c r="DI12" s="340">
        <v>46.1</v>
      </c>
      <c r="DJ12" s="330"/>
      <c r="DK12" s="330">
        <v>46.1</v>
      </c>
      <c r="DL12" s="330" t="s">
        <v>243</v>
      </c>
      <c r="DM12" s="330"/>
      <c r="DN12" s="330"/>
      <c r="DO12" s="330"/>
      <c r="DP12" s="330"/>
      <c r="DQ12" s="338" t="s">
        <v>197</v>
      </c>
      <c r="DR12" s="330"/>
      <c r="DS12" s="330"/>
      <c r="DT12" s="330"/>
      <c r="DU12" s="338" t="s">
        <v>197</v>
      </c>
      <c r="DV12" s="330"/>
      <c r="DW12" s="330"/>
      <c r="DX12" s="330"/>
      <c r="DY12" s="338" t="s">
        <v>197</v>
      </c>
      <c r="DZ12" s="330"/>
      <c r="EA12" s="330"/>
      <c r="EB12" s="330"/>
      <c r="EC12" s="330" t="s">
        <v>197</v>
      </c>
      <c r="ED12" s="338" t="s">
        <v>197</v>
      </c>
      <c r="EE12" s="330">
        <v>16</v>
      </c>
      <c r="EF12" s="330">
        <v>200</v>
      </c>
      <c r="EG12" s="330"/>
      <c r="EH12" s="330"/>
      <c r="EI12" s="330"/>
      <c r="EJ12" s="330"/>
      <c r="EK12" s="330"/>
      <c r="EL12" s="330"/>
      <c r="EM12" s="330"/>
      <c r="EN12" s="330"/>
      <c r="EO12" s="330"/>
      <c r="EP12" s="330"/>
      <c r="EQ12" s="332" t="s">
        <v>244</v>
      </c>
      <c r="ER12" s="330"/>
      <c r="ES12" s="330"/>
      <c r="ET12" s="332" t="s">
        <v>245</v>
      </c>
      <c r="EU12" s="332" t="s">
        <v>354</v>
      </c>
      <c r="EV12" s="336">
        <v>46046</v>
      </c>
      <c r="EW12" s="336">
        <v>46048</v>
      </c>
      <c r="EX12" s="330">
        <v>1</v>
      </c>
      <c r="EY12" s="330"/>
      <c r="EZ12" s="330" t="s">
        <v>201</v>
      </c>
      <c r="FA12" s="336">
        <v>46083</v>
      </c>
      <c r="FB12" s="330">
        <v>2</v>
      </c>
      <c r="FC12" s="330" t="s">
        <v>202</v>
      </c>
      <c r="FD12" s="332" t="s">
        <v>190</v>
      </c>
      <c r="FE12" s="336">
        <v>46084</v>
      </c>
      <c r="FF12" s="330"/>
      <c r="FG12" s="330" t="s">
        <v>203</v>
      </c>
      <c r="FH12" s="330" t="s">
        <v>355</v>
      </c>
      <c r="FI12" s="330" t="s">
        <v>204</v>
      </c>
      <c r="FJ12" s="330"/>
      <c r="FK12" s="330" t="s">
        <v>230</v>
      </c>
      <c r="FL12" s="330" t="s">
        <v>192</v>
      </c>
      <c r="FM12" s="330" t="s">
        <v>191</v>
      </c>
      <c r="FN12" s="330" t="s">
        <v>356</v>
      </c>
      <c r="FO12" s="330"/>
      <c r="FP12" s="330" t="s">
        <v>357</v>
      </c>
      <c r="FQ12" s="330"/>
      <c r="FR12" s="330"/>
      <c r="FS12" s="330"/>
      <c r="FT12" s="330"/>
      <c r="FU12" s="330"/>
    </row>
    <row r="13" spans="1:177" ht="89.25" x14ac:dyDescent="0.25">
      <c r="A13" s="330">
        <v>12</v>
      </c>
      <c r="B13" s="331" t="s">
        <v>358</v>
      </c>
      <c r="C13" s="330"/>
      <c r="D13" s="332" t="s">
        <v>228</v>
      </c>
      <c r="E13" s="332" t="s">
        <v>229</v>
      </c>
      <c r="F13" s="332" t="s">
        <v>230</v>
      </c>
      <c r="G13" s="330" t="s">
        <v>231</v>
      </c>
      <c r="H13" s="331">
        <v>400</v>
      </c>
      <c r="I13" s="330"/>
      <c r="J13" s="332" t="s">
        <v>359</v>
      </c>
      <c r="K13" s="332" t="s">
        <v>360</v>
      </c>
      <c r="L13" s="330" t="s">
        <v>284</v>
      </c>
      <c r="M13" s="332" t="s">
        <v>361</v>
      </c>
      <c r="N13" s="330" t="s">
        <v>362</v>
      </c>
      <c r="O13" s="339">
        <v>0.53352709155075795</v>
      </c>
      <c r="P13" s="333">
        <v>10280</v>
      </c>
      <c r="Q13" s="333">
        <v>19268</v>
      </c>
      <c r="R13" s="333">
        <v>25</v>
      </c>
      <c r="S13" s="333">
        <v>25</v>
      </c>
      <c r="T13" s="333">
        <v>2</v>
      </c>
      <c r="U13" s="333">
        <v>175</v>
      </c>
      <c r="V13" s="333">
        <v>150</v>
      </c>
      <c r="W13" s="330" t="s">
        <v>363</v>
      </c>
      <c r="X13" s="330" t="s">
        <v>364</v>
      </c>
      <c r="Y13" s="332" t="s">
        <v>365</v>
      </c>
      <c r="Z13" s="330" t="s">
        <v>215</v>
      </c>
      <c r="AA13" s="330" t="s">
        <v>366</v>
      </c>
      <c r="AB13" s="330" t="s">
        <v>189</v>
      </c>
      <c r="AC13" s="330"/>
      <c r="AD13" s="330"/>
      <c r="AE13" s="330">
        <v>52</v>
      </c>
      <c r="AF13" s="330">
        <v>-96</v>
      </c>
      <c r="AG13" s="332" t="s">
        <v>238</v>
      </c>
      <c r="AH13" s="332" t="s">
        <v>191</v>
      </c>
      <c r="AI13" s="330" t="s">
        <v>192</v>
      </c>
      <c r="AJ13" s="330" t="s">
        <v>192</v>
      </c>
      <c r="AK13" s="330"/>
      <c r="AL13" s="330" t="s">
        <v>192</v>
      </c>
      <c r="AM13" s="330" t="s">
        <v>191</v>
      </c>
      <c r="AN13" s="330" t="s">
        <v>192</v>
      </c>
      <c r="AO13" s="330"/>
      <c r="AP13" s="332" t="s">
        <v>259</v>
      </c>
      <c r="AQ13" s="330"/>
      <c r="AR13" s="330"/>
      <c r="AS13" s="330" t="b">
        <v>1</v>
      </c>
      <c r="AT13" s="330"/>
      <c r="AU13" s="332" t="s">
        <v>192</v>
      </c>
      <c r="AV13" s="334">
        <v>45946.438661423614</v>
      </c>
      <c r="AW13" s="330"/>
      <c r="AX13" s="335">
        <v>45978</v>
      </c>
      <c r="AY13" s="336">
        <v>45971</v>
      </c>
      <c r="AZ13" s="330"/>
      <c r="BA13" s="336">
        <v>45995</v>
      </c>
      <c r="BB13" s="330"/>
      <c r="BC13" s="336">
        <v>45999</v>
      </c>
      <c r="BD13" s="330"/>
      <c r="BE13" s="336">
        <v>45999</v>
      </c>
      <c r="BF13" s="330"/>
      <c r="BG13" s="330"/>
      <c r="BH13" s="330" t="s">
        <v>193</v>
      </c>
      <c r="BI13" s="330">
        <v>1000</v>
      </c>
      <c r="BJ13" s="330"/>
      <c r="BK13" s="330"/>
      <c r="BL13" s="330"/>
      <c r="BM13" s="332"/>
      <c r="BN13" s="330"/>
      <c r="BO13" s="330" t="s">
        <v>240</v>
      </c>
      <c r="BP13" s="330" t="s">
        <v>193</v>
      </c>
      <c r="BQ13" s="330" t="s">
        <v>218</v>
      </c>
      <c r="BR13" s="330" t="s">
        <v>220</v>
      </c>
      <c r="BS13" s="330"/>
      <c r="BT13" s="330" t="s">
        <v>220</v>
      </c>
      <c r="BU13" s="330"/>
      <c r="BV13" s="330" t="s">
        <v>220</v>
      </c>
      <c r="BW13" s="330"/>
      <c r="BX13" s="332"/>
      <c r="BY13" s="330"/>
      <c r="BZ13" s="330"/>
      <c r="CA13" s="330"/>
      <c r="CB13" s="330"/>
      <c r="CC13" s="337" t="s">
        <v>241</v>
      </c>
      <c r="CD13" s="330" t="b">
        <v>1</v>
      </c>
      <c r="CE13" s="330" t="b">
        <v>1</v>
      </c>
      <c r="CF13" s="330" t="b">
        <v>1</v>
      </c>
      <c r="CG13" s="330" t="s">
        <v>242</v>
      </c>
      <c r="CH13" s="330"/>
      <c r="CI13" s="330"/>
      <c r="CJ13" s="330"/>
      <c r="CK13" s="330"/>
      <c r="CL13" s="330"/>
      <c r="CM13" s="330"/>
      <c r="CN13" s="330"/>
      <c r="CO13" s="330"/>
      <c r="CP13" s="330"/>
      <c r="CQ13" s="330"/>
      <c r="CR13" s="330"/>
      <c r="CS13" s="330"/>
      <c r="CT13" s="330"/>
      <c r="CU13" s="330"/>
      <c r="CV13" s="330"/>
      <c r="CW13" s="330"/>
      <c r="CX13" s="330"/>
      <c r="CY13" s="330"/>
      <c r="CZ13" s="330"/>
      <c r="DA13" s="330"/>
      <c r="DB13" s="330" t="b">
        <v>1</v>
      </c>
      <c r="DC13" s="330" t="b">
        <v>1</v>
      </c>
      <c r="DD13" s="330"/>
      <c r="DE13" s="330"/>
      <c r="DF13" s="338">
        <v>24051</v>
      </c>
      <c r="DG13" s="330" t="s">
        <v>221</v>
      </c>
      <c r="DH13" s="330"/>
      <c r="DI13" s="338" t="s">
        <v>367</v>
      </c>
      <c r="DJ13" s="330"/>
      <c r="DK13" s="330">
        <v>0</v>
      </c>
      <c r="DL13" s="330" t="s">
        <v>243</v>
      </c>
      <c r="DM13" s="330"/>
      <c r="DN13" s="330"/>
      <c r="DO13" s="330"/>
      <c r="DP13" s="330"/>
      <c r="DQ13" s="338" t="s">
        <v>197</v>
      </c>
      <c r="DR13" s="330"/>
      <c r="DS13" s="330"/>
      <c r="DT13" s="330"/>
      <c r="DU13" s="338" t="s">
        <v>197</v>
      </c>
      <c r="DV13" s="330"/>
      <c r="DW13" s="330"/>
      <c r="DX13" s="330"/>
      <c r="DY13" s="338" t="s">
        <v>197</v>
      </c>
      <c r="DZ13" s="330"/>
      <c r="EA13" s="330"/>
      <c r="EB13" s="330"/>
      <c r="EC13" s="330" t="s">
        <v>197</v>
      </c>
      <c r="ED13" s="338" t="s">
        <v>197</v>
      </c>
      <c r="EE13" s="330">
        <v>8</v>
      </c>
      <c r="EF13" s="330">
        <v>8</v>
      </c>
      <c r="EG13" s="330"/>
      <c r="EH13" s="330"/>
      <c r="EI13" s="330"/>
      <c r="EJ13" s="330"/>
      <c r="EK13" s="330"/>
      <c r="EL13" s="330"/>
      <c r="EM13" s="330"/>
      <c r="EN13" s="330"/>
      <c r="EO13" s="330"/>
      <c r="EP13" s="330"/>
      <c r="EQ13" s="332" t="s">
        <v>244</v>
      </c>
      <c r="ER13" s="330"/>
      <c r="ES13" s="330"/>
      <c r="ET13" s="332" t="s">
        <v>245</v>
      </c>
      <c r="EU13" s="332" t="s">
        <v>246</v>
      </c>
      <c r="EV13" s="336">
        <v>45967</v>
      </c>
      <c r="EW13" s="336">
        <v>45968</v>
      </c>
      <c r="EX13" s="330">
        <v>2</v>
      </c>
      <c r="EY13" s="330"/>
      <c r="EZ13" s="330" t="s">
        <v>201</v>
      </c>
      <c r="FA13" s="336">
        <v>45996</v>
      </c>
      <c r="FB13" s="330">
        <v>2</v>
      </c>
      <c r="FC13" s="330" t="s">
        <v>202</v>
      </c>
      <c r="FD13" s="332" t="s">
        <v>190</v>
      </c>
      <c r="FE13" s="336">
        <v>45999</v>
      </c>
      <c r="FF13" s="330"/>
      <c r="FG13" s="330" t="s">
        <v>203</v>
      </c>
      <c r="FH13" s="330" t="s">
        <v>260</v>
      </c>
      <c r="FI13" s="330" t="s">
        <v>204</v>
      </c>
      <c r="FJ13" s="330"/>
      <c r="FK13" s="330" t="s">
        <v>230</v>
      </c>
      <c r="FL13" s="330" t="s">
        <v>192</v>
      </c>
      <c r="FM13" s="330" t="s">
        <v>191</v>
      </c>
      <c r="FN13" s="330" t="s">
        <v>368</v>
      </c>
      <c r="FO13" s="330" t="b">
        <v>1</v>
      </c>
      <c r="FP13" s="330" t="s">
        <v>369</v>
      </c>
      <c r="FQ13" s="330"/>
      <c r="FR13" s="330"/>
      <c r="FS13" s="330"/>
      <c r="FT13" s="330"/>
      <c r="FU13" s="330"/>
    </row>
    <row r="14" spans="1:177" ht="89.25" x14ac:dyDescent="0.25">
      <c r="A14" s="330">
        <v>13</v>
      </c>
      <c r="B14" s="331" t="s">
        <v>370</v>
      </c>
      <c r="C14" s="330"/>
      <c r="D14" s="332" t="s">
        <v>228</v>
      </c>
      <c r="E14" s="332" t="s">
        <v>229</v>
      </c>
      <c r="F14" s="332" t="s">
        <v>230</v>
      </c>
      <c r="G14" s="330" t="s">
        <v>231</v>
      </c>
      <c r="H14" s="331">
        <v>400</v>
      </c>
      <c r="I14" s="330"/>
      <c r="J14" s="332" t="s">
        <v>359</v>
      </c>
      <c r="K14" s="332" t="s">
        <v>371</v>
      </c>
      <c r="L14" s="330" t="s">
        <v>284</v>
      </c>
      <c r="M14" s="332" t="s">
        <v>372</v>
      </c>
      <c r="N14" s="330" t="s">
        <v>373</v>
      </c>
      <c r="O14" s="339">
        <v>0.53866514428067303</v>
      </c>
      <c r="P14" s="333">
        <v>10379</v>
      </c>
      <c r="Q14" s="333">
        <v>19268</v>
      </c>
      <c r="R14" s="333">
        <v>99</v>
      </c>
      <c r="S14" s="333">
        <v>99</v>
      </c>
      <c r="T14" s="333">
        <v>2</v>
      </c>
      <c r="U14" s="333">
        <v>693</v>
      </c>
      <c r="V14" s="333">
        <v>700</v>
      </c>
      <c r="W14" s="330" t="s">
        <v>374</v>
      </c>
      <c r="X14" s="330" t="s">
        <v>375</v>
      </c>
      <c r="Y14" s="332" t="s">
        <v>365</v>
      </c>
      <c r="Z14" s="330" t="s">
        <v>215</v>
      </c>
      <c r="AA14" s="330" t="s">
        <v>366</v>
      </c>
      <c r="AB14" s="330" t="s">
        <v>189</v>
      </c>
      <c r="AC14" s="330"/>
      <c r="AD14" s="330"/>
      <c r="AE14" s="330">
        <v>54</v>
      </c>
      <c r="AF14" s="330">
        <v>-92</v>
      </c>
      <c r="AG14" s="332" t="s">
        <v>238</v>
      </c>
      <c r="AH14" s="332" t="s">
        <v>191</v>
      </c>
      <c r="AI14" s="330" t="s">
        <v>192</v>
      </c>
      <c r="AJ14" s="330" t="s">
        <v>192</v>
      </c>
      <c r="AK14" s="330"/>
      <c r="AL14" s="330" t="s">
        <v>192</v>
      </c>
      <c r="AM14" s="330" t="s">
        <v>191</v>
      </c>
      <c r="AN14" s="330" t="s">
        <v>192</v>
      </c>
      <c r="AO14" s="330"/>
      <c r="AP14" s="332" t="s">
        <v>259</v>
      </c>
      <c r="AQ14" s="330"/>
      <c r="AR14" s="330"/>
      <c r="AS14" s="330" t="b">
        <v>1</v>
      </c>
      <c r="AT14" s="330"/>
      <c r="AU14" s="332" t="s">
        <v>192</v>
      </c>
      <c r="AV14" s="334">
        <v>45946.613716203705</v>
      </c>
      <c r="AW14" s="330"/>
      <c r="AX14" s="335">
        <v>45982</v>
      </c>
      <c r="AY14" s="336">
        <v>45971</v>
      </c>
      <c r="AZ14" s="330"/>
      <c r="BA14" s="336">
        <v>46001</v>
      </c>
      <c r="BB14" s="330"/>
      <c r="BC14" s="336">
        <v>46003</v>
      </c>
      <c r="BD14" s="330"/>
      <c r="BE14" s="336">
        <v>46003</v>
      </c>
      <c r="BF14" s="330"/>
      <c r="BG14" s="330"/>
      <c r="BH14" s="330" t="s">
        <v>193</v>
      </c>
      <c r="BI14" s="330">
        <v>1000</v>
      </c>
      <c r="BJ14" s="330"/>
      <c r="BK14" s="330"/>
      <c r="BL14" s="330"/>
      <c r="BM14" s="332"/>
      <c r="BN14" s="330"/>
      <c r="BO14" s="330" t="s">
        <v>240</v>
      </c>
      <c r="BP14" s="330" t="s">
        <v>193</v>
      </c>
      <c r="BQ14" s="330" t="s">
        <v>218</v>
      </c>
      <c r="BR14" s="330" t="s">
        <v>220</v>
      </c>
      <c r="BS14" s="330"/>
      <c r="BT14" s="330" t="s">
        <v>220</v>
      </c>
      <c r="BU14" s="330"/>
      <c r="BV14" s="330" t="s">
        <v>220</v>
      </c>
      <c r="BW14" s="330"/>
      <c r="BX14" s="332"/>
      <c r="BY14" s="330"/>
      <c r="BZ14" s="330"/>
      <c r="CA14" s="330"/>
      <c r="CB14" s="330"/>
      <c r="CC14" s="337" t="s">
        <v>241</v>
      </c>
      <c r="CD14" s="330" t="b">
        <v>1</v>
      </c>
      <c r="CE14" s="330" t="b">
        <v>1</v>
      </c>
      <c r="CF14" s="330" t="b">
        <v>1</v>
      </c>
      <c r="CG14" s="330" t="s">
        <v>242</v>
      </c>
      <c r="CH14" s="330"/>
      <c r="CI14" s="330"/>
      <c r="CJ14" s="330"/>
      <c r="CK14" s="330"/>
      <c r="CL14" s="330"/>
      <c r="CM14" s="330"/>
      <c r="CN14" s="330"/>
      <c r="CO14" s="330"/>
      <c r="CP14" s="330"/>
      <c r="CQ14" s="330"/>
      <c r="CR14" s="330"/>
      <c r="CS14" s="330"/>
      <c r="CT14" s="330"/>
      <c r="CU14" s="330"/>
      <c r="CV14" s="330"/>
      <c r="CW14" s="330"/>
      <c r="CX14" s="330"/>
      <c r="CY14" s="330"/>
      <c r="CZ14" s="330"/>
      <c r="DA14" s="330"/>
      <c r="DB14" s="330" t="b">
        <v>1</v>
      </c>
      <c r="DC14" s="330" t="b">
        <v>1</v>
      </c>
      <c r="DD14" s="330"/>
      <c r="DE14" s="330"/>
      <c r="DF14" s="338">
        <v>24051</v>
      </c>
      <c r="DG14" s="330" t="s">
        <v>221</v>
      </c>
      <c r="DH14" s="330"/>
      <c r="DI14" s="338" t="s">
        <v>376</v>
      </c>
      <c r="DJ14" s="330"/>
      <c r="DK14" s="330">
        <v>0</v>
      </c>
      <c r="DL14" s="330" t="s">
        <v>243</v>
      </c>
      <c r="DM14" s="330"/>
      <c r="DN14" s="330"/>
      <c r="DO14" s="330"/>
      <c r="DP14" s="330"/>
      <c r="DQ14" s="338" t="s">
        <v>197</v>
      </c>
      <c r="DR14" s="330"/>
      <c r="DS14" s="330"/>
      <c r="DT14" s="330"/>
      <c r="DU14" s="338" t="s">
        <v>197</v>
      </c>
      <c r="DV14" s="330"/>
      <c r="DW14" s="330"/>
      <c r="DX14" s="330"/>
      <c r="DY14" s="338" t="s">
        <v>197</v>
      </c>
      <c r="DZ14" s="330"/>
      <c r="EA14" s="330"/>
      <c r="EB14" s="330"/>
      <c r="EC14" s="330" t="s">
        <v>197</v>
      </c>
      <c r="ED14" s="338" t="s">
        <v>197</v>
      </c>
      <c r="EE14" s="330">
        <v>4</v>
      </c>
      <c r="EF14" s="330">
        <v>16</v>
      </c>
      <c r="EG14" s="330"/>
      <c r="EH14" s="330"/>
      <c r="EI14" s="330"/>
      <c r="EJ14" s="330"/>
      <c r="EK14" s="330"/>
      <c r="EL14" s="330"/>
      <c r="EM14" s="330"/>
      <c r="EN14" s="330"/>
      <c r="EO14" s="330"/>
      <c r="EP14" s="330"/>
      <c r="EQ14" s="332" t="s">
        <v>244</v>
      </c>
      <c r="ER14" s="330"/>
      <c r="ES14" s="330"/>
      <c r="ET14" s="332" t="s">
        <v>245</v>
      </c>
      <c r="EU14" s="332" t="s">
        <v>246</v>
      </c>
      <c r="EV14" s="336">
        <v>45967</v>
      </c>
      <c r="EW14" s="336">
        <v>45968</v>
      </c>
      <c r="EX14" s="330">
        <v>2</v>
      </c>
      <c r="EY14" s="330"/>
      <c r="EZ14" s="330" t="s">
        <v>201</v>
      </c>
      <c r="FA14" s="336">
        <v>45999</v>
      </c>
      <c r="FB14" s="330">
        <v>5</v>
      </c>
      <c r="FC14" s="330" t="s">
        <v>202</v>
      </c>
      <c r="FD14" s="332" t="s">
        <v>190</v>
      </c>
      <c r="FE14" s="336">
        <v>46003</v>
      </c>
      <c r="FF14" s="330"/>
      <c r="FG14" s="330" t="s">
        <v>203</v>
      </c>
      <c r="FH14" s="330" t="s">
        <v>260</v>
      </c>
      <c r="FI14" s="330" t="s">
        <v>204</v>
      </c>
      <c r="FJ14" s="330"/>
      <c r="FK14" s="330" t="s">
        <v>230</v>
      </c>
      <c r="FL14" s="330" t="s">
        <v>192</v>
      </c>
      <c r="FM14" s="330" t="s">
        <v>191</v>
      </c>
      <c r="FN14" s="330" t="s">
        <v>377</v>
      </c>
      <c r="FO14" s="330" t="b">
        <v>1</v>
      </c>
      <c r="FP14" s="330" t="s">
        <v>369</v>
      </c>
      <c r="FQ14" s="330"/>
      <c r="FR14" s="330"/>
      <c r="FS14" s="330"/>
      <c r="FT14" s="330"/>
      <c r="FU14" s="330"/>
    </row>
    <row r="15" spans="1:177" ht="114.75" x14ac:dyDescent="0.25">
      <c r="A15" s="330">
        <v>14</v>
      </c>
      <c r="B15" s="331" t="s">
        <v>378</v>
      </c>
      <c r="C15" s="330"/>
      <c r="D15" s="332" t="s">
        <v>228</v>
      </c>
      <c r="E15" s="332" t="s">
        <v>229</v>
      </c>
      <c r="F15" s="332" t="s">
        <v>230</v>
      </c>
      <c r="G15" s="330" t="s">
        <v>231</v>
      </c>
      <c r="H15" s="331">
        <v>400</v>
      </c>
      <c r="I15" s="330"/>
      <c r="J15" s="332" t="s">
        <v>359</v>
      </c>
      <c r="K15" s="332" t="s">
        <v>379</v>
      </c>
      <c r="L15" s="330" t="s">
        <v>284</v>
      </c>
      <c r="M15" s="332" t="s">
        <v>380</v>
      </c>
      <c r="N15" s="330" t="s">
        <v>381</v>
      </c>
      <c r="O15" s="339">
        <v>0.548993149263027</v>
      </c>
      <c r="P15" s="333">
        <v>10578</v>
      </c>
      <c r="Q15" s="333">
        <v>19268</v>
      </c>
      <c r="R15" s="333">
        <v>124</v>
      </c>
      <c r="S15" s="333">
        <v>124</v>
      </c>
      <c r="T15" s="333">
        <v>2</v>
      </c>
      <c r="U15" s="333">
        <v>992</v>
      </c>
      <c r="V15" s="333">
        <v>1200</v>
      </c>
      <c r="W15" s="330">
        <v>42</v>
      </c>
      <c r="X15" s="330" t="s">
        <v>382</v>
      </c>
      <c r="Y15" s="332" t="s">
        <v>383</v>
      </c>
      <c r="Z15" s="330" t="s">
        <v>215</v>
      </c>
      <c r="AA15" s="330" t="s">
        <v>384</v>
      </c>
      <c r="AB15" s="330" t="s">
        <v>189</v>
      </c>
      <c r="AC15" s="330"/>
      <c r="AD15" s="330"/>
      <c r="AE15" s="330">
        <v>54</v>
      </c>
      <c r="AF15" s="330">
        <v>-92</v>
      </c>
      <c r="AG15" s="332" t="s">
        <v>238</v>
      </c>
      <c r="AH15" s="332" t="s">
        <v>191</v>
      </c>
      <c r="AI15" s="330" t="s">
        <v>192</v>
      </c>
      <c r="AJ15" s="330" t="s">
        <v>192</v>
      </c>
      <c r="AK15" s="330" t="s">
        <v>192</v>
      </c>
      <c r="AL15" s="330" t="s">
        <v>192</v>
      </c>
      <c r="AM15" s="330" t="s">
        <v>191</v>
      </c>
      <c r="AN15" s="330" t="s">
        <v>192</v>
      </c>
      <c r="AO15" s="330"/>
      <c r="AP15" s="332" t="s">
        <v>259</v>
      </c>
      <c r="AQ15" s="330"/>
      <c r="AR15" s="330"/>
      <c r="AS15" s="330" t="b">
        <v>1</v>
      </c>
      <c r="AT15" s="330"/>
      <c r="AU15" s="332" t="s">
        <v>192</v>
      </c>
      <c r="AV15" s="334">
        <v>45946.650163298611</v>
      </c>
      <c r="AW15" s="330"/>
      <c r="AX15" s="335">
        <v>45982</v>
      </c>
      <c r="AY15" s="336">
        <v>45979</v>
      </c>
      <c r="AZ15" s="330"/>
      <c r="BA15" s="336">
        <v>46001</v>
      </c>
      <c r="BB15" s="330"/>
      <c r="BC15" s="336">
        <v>46003</v>
      </c>
      <c r="BD15" s="330"/>
      <c r="BE15" s="336">
        <v>46003</v>
      </c>
      <c r="BF15" s="330"/>
      <c r="BG15" s="330"/>
      <c r="BH15" s="330" t="s">
        <v>193</v>
      </c>
      <c r="BI15" s="330">
        <v>1000</v>
      </c>
      <c r="BJ15" s="330"/>
      <c r="BK15" s="330"/>
      <c r="BL15" s="330"/>
      <c r="BM15" s="332"/>
      <c r="BN15" s="330"/>
      <c r="BO15" s="330" t="s">
        <v>240</v>
      </c>
      <c r="BP15" s="330" t="s">
        <v>193</v>
      </c>
      <c r="BQ15" s="330" t="s">
        <v>218</v>
      </c>
      <c r="BR15" s="330" t="s">
        <v>220</v>
      </c>
      <c r="BS15" s="330"/>
      <c r="BT15" s="330" t="s">
        <v>220</v>
      </c>
      <c r="BU15" s="330"/>
      <c r="BV15" s="330" t="s">
        <v>220</v>
      </c>
      <c r="BW15" s="330"/>
      <c r="BX15" s="332"/>
      <c r="BY15" s="330"/>
      <c r="BZ15" s="330"/>
      <c r="CA15" s="330"/>
      <c r="CB15" s="330"/>
      <c r="CC15" s="337" t="s">
        <v>241</v>
      </c>
      <c r="CD15" s="330" t="b">
        <v>1</v>
      </c>
      <c r="CE15" s="330" t="b">
        <v>1</v>
      </c>
      <c r="CF15" s="330" t="b">
        <v>1</v>
      </c>
      <c r="CG15" s="330" t="s">
        <v>242</v>
      </c>
      <c r="CH15" s="330"/>
      <c r="CI15" s="330"/>
      <c r="CJ15" s="330"/>
      <c r="CK15" s="330"/>
      <c r="CL15" s="330"/>
      <c r="CM15" s="330"/>
      <c r="CN15" s="330"/>
      <c r="CO15" s="330"/>
      <c r="CP15" s="330"/>
      <c r="CQ15" s="330"/>
      <c r="CR15" s="330"/>
      <c r="CS15" s="330"/>
      <c r="CT15" s="330"/>
      <c r="CU15" s="330"/>
      <c r="CV15" s="330"/>
      <c r="CW15" s="330"/>
      <c r="CX15" s="330"/>
      <c r="CY15" s="330"/>
      <c r="CZ15" s="330"/>
      <c r="DA15" s="330"/>
      <c r="DB15" s="330" t="b">
        <v>1</v>
      </c>
      <c r="DC15" s="330" t="b">
        <v>1</v>
      </c>
      <c r="DD15" s="330"/>
      <c r="DE15" s="330"/>
      <c r="DF15" s="338">
        <v>24051</v>
      </c>
      <c r="DG15" s="330" t="s">
        <v>221</v>
      </c>
      <c r="DH15" s="330"/>
      <c r="DI15" s="338">
        <v>48</v>
      </c>
      <c r="DJ15" s="330"/>
      <c r="DK15" s="330">
        <v>48</v>
      </c>
      <c r="DL15" s="330" t="s">
        <v>243</v>
      </c>
      <c r="DM15" s="330"/>
      <c r="DN15" s="330"/>
      <c r="DO15" s="330"/>
      <c r="DP15" s="330"/>
      <c r="DQ15" s="338" t="s">
        <v>197</v>
      </c>
      <c r="DR15" s="330"/>
      <c r="DS15" s="330"/>
      <c r="DT15" s="330"/>
      <c r="DU15" s="338" t="s">
        <v>197</v>
      </c>
      <c r="DV15" s="330"/>
      <c r="DW15" s="330"/>
      <c r="DX15" s="330"/>
      <c r="DY15" s="338" t="s">
        <v>197</v>
      </c>
      <c r="DZ15" s="330"/>
      <c r="EA15" s="330"/>
      <c r="EB15" s="330"/>
      <c r="EC15" s="330" t="s">
        <v>197</v>
      </c>
      <c r="ED15" s="338" t="s">
        <v>197</v>
      </c>
      <c r="EE15" s="330">
        <v>24</v>
      </c>
      <c r="EF15" s="330">
        <v>200</v>
      </c>
      <c r="EG15" s="330"/>
      <c r="EH15" s="330"/>
      <c r="EI15" s="330"/>
      <c r="EJ15" s="330"/>
      <c r="EK15" s="330"/>
      <c r="EL15" s="330"/>
      <c r="EM15" s="330"/>
      <c r="EN15" s="330"/>
      <c r="EO15" s="330"/>
      <c r="EP15" s="330"/>
      <c r="EQ15" s="332" t="s">
        <v>244</v>
      </c>
      <c r="ER15" s="330"/>
      <c r="ES15" s="330"/>
      <c r="ET15" s="332" t="s">
        <v>245</v>
      </c>
      <c r="EU15" s="332" t="s">
        <v>246</v>
      </c>
      <c r="EV15" s="336">
        <v>45979</v>
      </c>
      <c r="EW15" s="336">
        <v>45979</v>
      </c>
      <c r="EX15" s="330">
        <v>1</v>
      </c>
      <c r="EY15" s="330"/>
      <c r="EZ15" s="330" t="s">
        <v>201</v>
      </c>
      <c r="FA15" s="336">
        <v>46001</v>
      </c>
      <c r="FB15" s="330">
        <v>3</v>
      </c>
      <c r="FC15" s="330" t="s">
        <v>202</v>
      </c>
      <c r="FD15" s="332" t="s">
        <v>190</v>
      </c>
      <c r="FE15" s="336">
        <v>46003</v>
      </c>
      <c r="FF15" s="330"/>
      <c r="FG15" s="330" t="s">
        <v>203</v>
      </c>
      <c r="FH15" s="330" t="s">
        <v>385</v>
      </c>
      <c r="FI15" s="330" t="s">
        <v>204</v>
      </c>
      <c r="FJ15" s="330"/>
      <c r="FK15" s="330" t="s">
        <v>230</v>
      </c>
      <c r="FL15" s="330" t="s">
        <v>192</v>
      </c>
      <c r="FM15" s="330" t="s">
        <v>191</v>
      </c>
      <c r="FN15" s="330" t="s">
        <v>386</v>
      </c>
      <c r="FO15" s="330"/>
      <c r="FP15" s="330" t="s">
        <v>369</v>
      </c>
      <c r="FQ15" s="330"/>
      <c r="FR15" s="330"/>
      <c r="FS15" s="330"/>
      <c r="FT15" s="330"/>
      <c r="FU15" s="330"/>
    </row>
    <row r="16" spans="1:177" ht="89.25" x14ac:dyDescent="0.25">
      <c r="A16" s="330">
        <v>15</v>
      </c>
      <c r="B16" s="331" t="s">
        <v>387</v>
      </c>
      <c r="C16" s="330"/>
      <c r="D16" s="332" t="s">
        <v>228</v>
      </c>
      <c r="E16" s="332" t="s">
        <v>229</v>
      </c>
      <c r="F16" s="332" t="s">
        <v>230</v>
      </c>
      <c r="G16" s="330" t="s">
        <v>231</v>
      </c>
      <c r="H16" s="331">
        <v>400</v>
      </c>
      <c r="I16" s="330"/>
      <c r="J16" s="332" t="s">
        <v>388</v>
      </c>
      <c r="K16" s="332" t="s">
        <v>379</v>
      </c>
      <c r="L16" s="330" t="s">
        <v>284</v>
      </c>
      <c r="M16" s="332" t="s">
        <v>389</v>
      </c>
      <c r="N16" s="330" t="s">
        <v>390</v>
      </c>
      <c r="O16" s="339">
        <v>0.555428690056051</v>
      </c>
      <c r="P16" s="333">
        <v>10702</v>
      </c>
      <c r="Q16" s="333">
        <v>19268</v>
      </c>
      <c r="R16" s="333">
        <v>124</v>
      </c>
      <c r="S16" s="333">
        <v>124</v>
      </c>
      <c r="T16" s="333">
        <v>2</v>
      </c>
      <c r="U16" s="333">
        <v>571</v>
      </c>
      <c r="V16" s="333">
        <v>750</v>
      </c>
      <c r="W16" s="330">
        <v>9</v>
      </c>
      <c r="X16" s="330" t="s">
        <v>391</v>
      </c>
      <c r="Y16" s="332" t="s">
        <v>383</v>
      </c>
      <c r="Z16" s="330" t="s">
        <v>215</v>
      </c>
      <c r="AA16" s="330" t="s">
        <v>384</v>
      </c>
      <c r="AB16" s="330" t="s">
        <v>189</v>
      </c>
      <c r="AC16" s="330"/>
      <c r="AD16" s="330"/>
      <c r="AE16" s="330">
        <v>56</v>
      </c>
      <c r="AF16" s="330">
        <v>-91</v>
      </c>
      <c r="AG16" s="332" t="s">
        <v>238</v>
      </c>
      <c r="AH16" s="332" t="s">
        <v>191</v>
      </c>
      <c r="AI16" s="330" t="s">
        <v>192</v>
      </c>
      <c r="AJ16" s="330" t="s">
        <v>192</v>
      </c>
      <c r="AK16" s="330" t="s">
        <v>192</v>
      </c>
      <c r="AL16" s="330" t="s">
        <v>192</v>
      </c>
      <c r="AM16" s="330" t="s">
        <v>191</v>
      </c>
      <c r="AN16" s="330" t="s">
        <v>192</v>
      </c>
      <c r="AO16" s="330"/>
      <c r="AP16" s="332" t="s">
        <v>259</v>
      </c>
      <c r="AQ16" s="330"/>
      <c r="AR16" s="330"/>
      <c r="AS16" s="330" t="b">
        <v>1</v>
      </c>
      <c r="AT16" s="330"/>
      <c r="AU16" s="332" t="s">
        <v>192</v>
      </c>
      <c r="AV16" s="334">
        <v>45946.65772771991</v>
      </c>
      <c r="AW16" s="330"/>
      <c r="AX16" s="335">
        <v>45985</v>
      </c>
      <c r="AY16" s="336">
        <v>45979</v>
      </c>
      <c r="AZ16" s="330"/>
      <c r="BA16" s="336">
        <v>46002</v>
      </c>
      <c r="BB16" s="330"/>
      <c r="BC16" s="336">
        <v>46006</v>
      </c>
      <c r="BD16" s="330"/>
      <c r="BE16" s="336">
        <v>46006</v>
      </c>
      <c r="BF16" s="330"/>
      <c r="BG16" s="330"/>
      <c r="BH16" s="330" t="s">
        <v>193</v>
      </c>
      <c r="BI16" s="330">
        <v>1000</v>
      </c>
      <c r="BJ16" s="330"/>
      <c r="BK16" s="330"/>
      <c r="BL16" s="330"/>
      <c r="BM16" s="332"/>
      <c r="BN16" s="330"/>
      <c r="BO16" s="330" t="s">
        <v>240</v>
      </c>
      <c r="BP16" s="330" t="s">
        <v>193</v>
      </c>
      <c r="BQ16" s="330" t="s">
        <v>218</v>
      </c>
      <c r="BR16" s="330" t="s">
        <v>220</v>
      </c>
      <c r="BS16" s="330"/>
      <c r="BT16" s="330" t="s">
        <v>220</v>
      </c>
      <c r="BU16" s="330"/>
      <c r="BV16" s="330" t="s">
        <v>220</v>
      </c>
      <c r="BW16" s="330"/>
      <c r="BX16" s="332"/>
      <c r="BY16" s="330"/>
      <c r="BZ16" s="330"/>
      <c r="CA16" s="330"/>
      <c r="CB16" s="330"/>
      <c r="CC16" s="337" t="s">
        <v>241</v>
      </c>
      <c r="CD16" s="330" t="b">
        <v>1</v>
      </c>
      <c r="CE16" s="330" t="b">
        <v>1</v>
      </c>
      <c r="CF16" s="330" t="b">
        <v>1</v>
      </c>
      <c r="CG16" s="330" t="s">
        <v>242</v>
      </c>
      <c r="CH16" s="330"/>
      <c r="CI16" s="330"/>
      <c r="CJ16" s="330"/>
      <c r="CK16" s="330"/>
      <c r="CL16" s="330"/>
      <c r="CM16" s="330"/>
      <c r="CN16" s="330"/>
      <c r="CO16" s="330"/>
      <c r="CP16" s="330"/>
      <c r="CQ16" s="330"/>
      <c r="CR16" s="330"/>
      <c r="CS16" s="330"/>
      <c r="CT16" s="330"/>
      <c r="CU16" s="330"/>
      <c r="CV16" s="330"/>
      <c r="CW16" s="330"/>
      <c r="CX16" s="330"/>
      <c r="CY16" s="330"/>
      <c r="CZ16" s="330"/>
      <c r="DA16" s="330"/>
      <c r="DB16" s="330" t="b">
        <v>1</v>
      </c>
      <c r="DC16" s="330" t="b">
        <v>1</v>
      </c>
      <c r="DD16" s="330"/>
      <c r="DE16" s="330"/>
      <c r="DF16" s="338">
        <v>24051</v>
      </c>
      <c r="DG16" s="330" t="s">
        <v>221</v>
      </c>
      <c r="DH16" s="330"/>
      <c r="DI16" s="338">
        <v>49</v>
      </c>
      <c r="DJ16" s="330"/>
      <c r="DK16" s="330">
        <v>49</v>
      </c>
      <c r="DL16" s="330" t="s">
        <v>243</v>
      </c>
      <c r="DM16" s="330"/>
      <c r="DN16" s="330"/>
      <c r="DO16" s="330"/>
      <c r="DP16" s="330"/>
      <c r="DQ16" s="338" t="s">
        <v>197</v>
      </c>
      <c r="DR16" s="330"/>
      <c r="DS16" s="330"/>
      <c r="DT16" s="330"/>
      <c r="DU16" s="338" t="s">
        <v>197</v>
      </c>
      <c r="DV16" s="330"/>
      <c r="DW16" s="330"/>
      <c r="DX16" s="330"/>
      <c r="DY16" s="338" t="s">
        <v>197</v>
      </c>
      <c r="DZ16" s="330"/>
      <c r="EA16" s="330"/>
      <c r="EB16" s="330"/>
      <c r="EC16" s="330" t="s">
        <v>197</v>
      </c>
      <c r="ED16" s="338" t="s">
        <v>197</v>
      </c>
      <c r="EE16" s="330">
        <v>8</v>
      </c>
      <c r="EF16" s="330">
        <v>200</v>
      </c>
      <c r="EG16" s="330"/>
      <c r="EH16" s="330"/>
      <c r="EI16" s="330"/>
      <c r="EJ16" s="330"/>
      <c r="EK16" s="330"/>
      <c r="EL16" s="330"/>
      <c r="EM16" s="330"/>
      <c r="EN16" s="330"/>
      <c r="EO16" s="330"/>
      <c r="EP16" s="330"/>
      <c r="EQ16" s="332" t="s">
        <v>244</v>
      </c>
      <c r="ER16" s="330"/>
      <c r="ES16" s="330"/>
      <c r="ET16" s="332" t="s">
        <v>245</v>
      </c>
      <c r="EU16" s="332" t="s">
        <v>246</v>
      </c>
      <c r="EV16" s="336">
        <v>45979</v>
      </c>
      <c r="EW16" s="336">
        <v>45979</v>
      </c>
      <c r="EX16" s="330">
        <v>1</v>
      </c>
      <c r="EY16" s="330"/>
      <c r="EZ16" s="330" t="s">
        <v>201</v>
      </c>
      <c r="FA16" s="336">
        <v>46001</v>
      </c>
      <c r="FB16" s="330">
        <v>4</v>
      </c>
      <c r="FC16" s="330" t="s">
        <v>202</v>
      </c>
      <c r="FD16" s="332" t="s">
        <v>190</v>
      </c>
      <c r="FE16" s="336">
        <v>46006</v>
      </c>
      <c r="FF16" s="330"/>
      <c r="FG16" s="330" t="s">
        <v>203</v>
      </c>
      <c r="FH16" s="330" t="s">
        <v>385</v>
      </c>
      <c r="FI16" s="330" t="s">
        <v>204</v>
      </c>
      <c r="FJ16" s="330"/>
      <c r="FK16" s="330" t="s">
        <v>230</v>
      </c>
      <c r="FL16" s="330" t="s">
        <v>192</v>
      </c>
      <c r="FM16" s="330" t="s">
        <v>191</v>
      </c>
      <c r="FN16" s="330" t="s">
        <v>392</v>
      </c>
      <c r="FO16" s="330"/>
      <c r="FP16" s="330" t="s">
        <v>393</v>
      </c>
      <c r="FQ16" s="330"/>
      <c r="FR16" s="330"/>
      <c r="FS16" s="330"/>
      <c r="FT16" s="330"/>
      <c r="FU16" s="330"/>
    </row>
    <row r="17" spans="1:177" ht="114.75" x14ac:dyDescent="0.25">
      <c r="A17" s="330">
        <v>16</v>
      </c>
      <c r="B17" s="331" t="s">
        <v>394</v>
      </c>
      <c r="C17" s="330"/>
      <c r="D17" s="332" t="s">
        <v>228</v>
      </c>
      <c r="E17" s="332" t="s">
        <v>229</v>
      </c>
      <c r="F17" s="332" t="s">
        <v>230</v>
      </c>
      <c r="G17" s="330" t="s">
        <v>231</v>
      </c>
      <c r="H17" s="331">
        <v>400</v>
      </c>
      <c r="I17" s="330"/>
      <c r="J17" s="332" t="s">
        <v>359</v>
      </c>
      <c r="K17" s="332" t="s">
        <v>395</v>
      </c>
      <c r="L17" s="330" t="s">
        <v>284</v>
      </c>
      <c r="M17" s="332" t="s">
        <v>396</v>
      </c>
      <c r="N17" s="330" t="s">
        <v>397</v>
      </c>
      <c r="O17" s="339">
        <v>0.561864230849076</v>
      </c>
      <c r="P17" s="333">
        <v>10826</v>
      </c>
      <c r="Q17" s="333">
        <v>19268</v>
      </c>
      <c r="R17" s="333">
        <v>124</v>
      </c>
      <c r="S17" s="333">
        <v>124</v>
      </c>
      <c r="T17" s="333">
        <v>4</v>
      </c>
      <c r="U17" s="333">
        <v>744</v>
      </c>
      <c r="V17" s="333">
        <v>1200</v>
      </c>
      <c r="W17" s="330">
        <v>39</v>
      </c>
      <c r="X17" s="330" t="s">
        <v>398</v>
      </c>
      <c r="Y17" s="332" t="s">
        <v>383</v>
      </c>
      <c r="Z17" s="330" t="s">
        <v>215</v>
      </c>
      <c r="AA17" s="330" t="s">
        <v>384</v>
      </c>
      <c r="AB17" s="330" t="s">
        <v>189</v>
      </c>
      <c r="AC17" s="330"/>
      <c r="AD17" s="330"/>
      <c r="AE17" s="330">
        <v>56</v>
      </c>
      <c r="AF17" s="330">
        <v>-91</v>
      </c>
      <c r="AG17" s="332" t="s">
        <v>238</v>
      </c>
      <c r="AH17" s="332" t="s">
        <v>191</v>
      </c>
      <c r="AI17" s="330" t="s">
        <v>192</v>
      </c>
      <c r="AJ17" s="330" t="s">
        <v>192</v>
      </c>
      <c r="AK17" s="330" t="s">
        <v>192</v>
      </c>
      <c r="AL17" s="330" t="s">
        <v>192</v>
      </c>
      <c r="AM17" s="330" t="s">
        <v>191</v>
      </c>
      <c r="AN17" s="330" t="s">
        <v>192</v>
      </c>
      <c r="AO17" s="330"/>
      <c r="AP17" s="332" t="s">
        <v>259</v>
      </c>
      <c r="AQ17" s="330"/>
      <c r="AR17" s="330"/>
      <c r="AS17" s="330" t="b">
        <v>1</v>
      </c>
      <c r="AT17" s="330"/>
      <c r="AU17" s="332" t="s">
        <v>192</v>
      </c>
      <c r="AV17" s="334">
        <v>45946.661048726855</v>
      </c>
      <c r="AW17" s="330"/>
      <c r="AX17" s="335">
        <v>45985</v>
      </c>
      <c r="AY17" s="336">
        <v>45979</v>
      </c>
      <c r="AZ17" s="330"/>
      <c r="BA17" s="336">
        <v>46002</v>
      </c>
      <c r="BB17" s="330"/>
      <c r="BC17" s="336">
        <v>46006</v>
      </c>
      <c r="BD17" s="330"/>
      <c r="BE17" s="336">
        <v>46006</v>
      </c>
      <c r="BF17" s="330"/>
      <c r="BG17" s="330"/>
      <c r="BH17" s="330" t="s">
        <v>193</v>
      </c>
      <c r="BI17" s="330">
        <v>1000</v>
      </c>
      <c r="BJ17" s="330"/>
      <c r="BK17" s="330"/>
      <c r="BL17" s="330"/>
      <c r="BM17" s="332"/>
      <c r="BN17" s="330"/>
      <c r="BO17" s="330" t="s">
        <v>240</v>
      </c>
      <c r="BP17" s="330" t="s">
        <v>193</v>
      </c>
      <c r="BQ17" s="330" t="s">
        <v>218</v>
      </c>
      <c r="BR17" s="330" t="s">
        <v>220</v>
      </c>
      <c r="BS17" s="330"/>
      <c r="BT17" s="330" t="s">
        <v>220</v>
      </c>
      <c r="BU17" s="330"/>
      <c r="BV17" s="330" t="s">
        <v>220</v>
      </c>
      <c r="BW17" s="330"/>
      <c r="BX17" s="332"/>
      <c r="BY17" s="330"/>
      <c r="BZ17" s="330"/>
      <c r="CA17" s="330"/>
      <c r="CB17" s="330"/>
      <c r="CC17" s="337" t="s">
        <v>241</v>
      </c>
      <c r="CD17" s="330" t="b">
        <v>1</v>
      </c>
      <c r="CE17" s="330" t="b">
        <v>1</v>
      </c>
      <c r="CF17" s="330" t="b">
        <v>1</v>
      </c>
      <c r="CG17" s="330" t="s">
        <v>242</v>
      </c>
      <c r="CH17" s="330"/>
      <c r="CI17" s="330"/>
      <c r="CJ17" s="330"/>
      <c r="CK17" s="330"/>
      <c r="CL17" s="330"/>
      <c r="CM17" s="330"/>
      <c r="CN17" s="330"/>
      <c r="CO17" s="330"/>
      <c r="CP17" s="330"/>
      <c r="CQ17" s="330"/>
      <c r="CR17" s="330"/>
      <c r="CS17" s="330"/>
      <c r="CT17" s="330"/>
      <c r="CU17" s="330"/>
      <c r="CV17" s="330"/>
      <c r="CW17" s="330"/>
      <c r="CX17" s="330"/>
      <c r="CY17" s="330"/>
      <c r="CZ17" s="330"/>
      <c r="DA17" s="330"/>
      <c r="DB17" s="330" t="b">
        <v>1</v>
      </c>
      <c r="DC17" s="330" t="b">
        <v>1</v>
      </c>
      <c r="DD17" s="330"/>
      <c r="DE17" s="330"/>
      <c r="DF17" s="338">
        <v>24051</v>
      </c>
      <c r="DG17" s="330" t="s">
        <v>221</v>
      </c>
      <c r="DH17" s="330"/>
      <c r="DI17" s="338">
        <v>50</v>
      </c>
      <c r="DJ17" s="330"/>
      <c r="DK17" s="330">
        <v>50</v>
      </c>
      <c r="DL17" s="330" t="s">
        <v>243</v>
      </c>
      <c r="DM17" s="330"/>
      <c r="DN17" s="330"/>
      <c r="DO17" s="330"/>
      <c r="DP17" s="330"/>
      <c r="DQ17" s="338" t="s">
        <v>197</v>
      </c>
      <c r="DR17" s="330"/>
      <c r="DS17" s="330"/>
      <c r="DT17" s="330"/>
      <c r="DU17" s="338" t="s">
        <v>197</v>
      </c>
      <c r="DV17" s="330"/>
      <c r="DW17" s="330"/>
      <c r="DX17" s="330"/>
      <c r="DY17" s="338" t="s">
        <v>197</v>
      </c>
      <c r="DZ17" s="330"/>
      <c r="EA17" s="330"/>
      <c r="EB17" s="330"/>
      <c r="EC17" s="330" t="s">
        <v>197</v>
      </c>
      <c r="ED17" s="338" t="s">
        <v>197</v>
      </c>
      <c r="EE17" s="330">
        <v>8</v>
      </c>
      <c r="EF17" s="330">
        <v>200</v>
      </c>
      <c r="EG17" s="330"/>
      <c r="EH17" s="330"/>
      <c r="EI17" s="330"/>
      <c r="EJ17" s="330"/>
      <c r="EK17" s="330"/>
      <c r="EL17" s="330"/>
      <c r="EM17" s="330"/>
      <c r="EN17" s="330"/>
      <c r="EO17" s="330"/>
      <c r="EP17" s="330"/>
      <c r="EQ17" s="332" t="s">
        <v>244</v>
      </c>
      <c r="ER17" s="330"/>
      <c r="ES17" s="330"/>
      <c r="ET17" s="332" t="s">
        <v>245</v>
      </c>
      <c r="EU17" s="332" t="s">
        <v>246</v>
      </c>
      <c r="EV17" s="336">
        <v>45979</v>
      </c>
      <c r="EW17" s="336">
        <v>45979</v>
      </c>
      <c r="EX17" s="330">
        <v>1</v>
      </c>
      <c r="EY17" s="330"/>
      <c r="EZ17" s="330" t="s">
        <v>201</v>
      </c>
      <c r="FA17" s="336">
        <v>46006</v>
      </c>
      <c r="FB17" s="330">
        <v>1</v>
      </c>
      <c r="FC17" s="330" t="s">
        <v>202</v>
      </c>
      <c r="FD17" s="332" t="s">
        <v>190</v>
      </c>
      <c r="FE17" s="336">
        <v>46006</v>
      </c>
      <c r="FF17" s="330"/>
      <c r="FG17" s="330" t="s">
        <v>203</v>
      </c>
      <c r="FH17" s="330" t="s">
        <v>385</v>
      </c>
      <c r="FI17" s="330" t="s">
        <v>204</v>
      </c>
      <c r="FJ17" s="330"/>
      <c r="FK17" s="330" t="s">
        <v>230</v>
      </c>
      <c r="FL17" s="330" t="s">
        <v>192</v>
      </c>
      <c r="FM17" s="330" t="s">
        <v>191</v>
      </c>
      <c r="FN17" s="330" t="s">
        <v>399</v>
      </c>
      <c r="FO17" s="330"/>
      <c r="FP17" s="330" t="s">
        <v>393</v>
      </c>
      <c r="FQ17" s="330"/>
      <c r="FR17" s="330"/>
      <c r="FS17" s="330"/>
      <c r="FT17" s="330"/>
      <c r="FU17" s="330"/>
    </row>
    <row r="18" spans="1:177" ht="89.25" x14ac:dyDescent="0.25">
      <c r="A18" s="330">
        <v>17</v>
      </c>
      <c r="B18" s="331" t="s">
        <v>400</v>
      </c>
      <c r="C18" s="330"/>
      <c r="D18" s="332" t="s">
        <v>228</v>
      </c>
      <c r="E18" s="332" t="s">
        <v>229</v>
      </c>
      <c r="F18" s="332" t="s">
        <v>230</v>
      </c>
      <c r="G18" s="330" t="s">
        <v>231</v>
      </c>
      <c r="H18" s="331">
        <v>400</v>
      </c>
      <c r="I18" s="330"/>
      <c r="J18" s="332" t="s">
        <v>359</v>
      </c>
      <c r="K18" s="332" t="s">
        <v>401</v>
      </c>
      <c r="L18" s="330" t="s">
        <v>284</v>
      </c>
      <c r="M18" s="332" t="s">
        <v>402</v>
      </c>
      <c r="N18" s="330" t="s">
        <v>403</v>
      </c>
      <c r="O18" s="339">
        <v>0.56310981938966198</v>
      </c>
      <c r="P18" s="333">
        <v>10850</v>
      </c>
      <c r="Q18" s="333">
        <v>19268</v>
      </c>
      <c r="R18" s="333">
        <v>24</v>
      </c>
      <c r="S18" s="333">
        <v>24</v>
      </c>
      <c r="T18" s="333">
        <v>2</v>
      </c>
      <c r="U18" s="333">
        <v>168</v>
      </c>
      <c r="V18" s="333">
        <v>200</v>
      </c>
      <c r="W18" s="330">
        <v>3</v>
      </c>
      <c r="X18" s="330" t="s">
        <v>404</v>
      </c>
      <c r="Y18" s="332" t="s">
        <v>383</v>
      </c>
      <c r="Z18" s="330" t="s">
        <v>215</v>
      </c>
      <c r="AA18" s="330" t="s">
        <v>384</v>
      </c>
      <c r="AB18" s="330" t="s">
        <v>189</v>
      </c>
      <c r="AC18" s="330"/>
      <c r="AD18" s="330"/>
      <c r="AE18" s="330">
        <v>56</v>
      </c>
      <c r="AF18" s="330">
        <v>-91</v>
      </c>
      <c r="AG18" s="332" t="s">
        <v>238</v>
      </c>
      <c r="AH18" s="332" t="s">
        <v>191</v>
      </c>
      <c r="AI18" s="330" t="s">
        <v>192</v>
      </c>
      <c r="AJ18" s="330" t="s">
        <v>192</v>
      </c>
      <c r="AK18" s="330" t="s">
        <v>192</v>
      </c>
      <c r="AL18" s="330" t="s">
        <v>192</v>
      </c>
      <c r="AM18" s="330" t="s">
        <v>191</v>
      </c>
      <c r="AN18" s="330" t="s">
        <v>192</v>
      </c>
      <c r="AO18" s="330"/>
      <c r="AP18" s="332" t="s">
        <v>259</v>
      </c>
      <c r="AQ18" s="330"/>
      <c r="AR18" s="330"/>
      <c r="AS18" s="330" t="b">
        <v>1</v>
      </c>
      <c r="AT18" s="330"/>
      <c r="AU18" s="332" t="s">
        <v>192</v>
      </c>
      <c r="AV18" s="334">
        <v>45946.667086759262</v>
      </c>
      <c r="AW18" s="330"/>
      <c r="AX18" s="335">
        <v>45985</v>
      </c>
      <c r="AY18" s="336">
        <v>45979</v>
      </c>
      <c r="AZ18" s="330"/>
      <c r="BA18" s="336">
        <v>46002</v>
      </c>
      <c r="BB18" s="330"/>
      <c r="BC18" s="336">
        <v>46006</v>
      </c>
      <c r="BD18" s="330"/>
      <c r="BE18" s="336">
        <v>46006</v>
      </c>
      <c r="BF18" s="330"/>
      <c r="BG18" s="330"/>
      <c r="BH18" s="330" t="s">
        <v>193</v>
      </c>
      <c r="BI18" s="330">
        <v>1000</v>
      </c>
      <c r="BJ18" s="330"/>
      <c r="BK18" s="330"/>
      <c r="BL18" s="330"/>
      <c r="BM18" s="332"/>
      <c r="BN18" s="330"/>
      <c r="BO18" s="330" t="s">
        <v>240</v>
      </c>
      <c r="BP18" s="330" t="s">
        <v>193</v>
      </c>
      <c r="BQ18" s="330" t="s">
        <v>218</v>
      </c>
      <c r="BR18" s="330" t="s">
        <v>220</v>
      </c>
      <c r="BS18" s="330"/>
      <c r="BT18" s="330" t="s">
        <v>220</v>
      </c>
      <c r="BU18" s="330"/>
      <c r="BV18" s="330" t="s">
        <v>220</v>
      </c>
      <c r="BW18" s="330"/>
      <c r="BX18" s="332"/>
      <c r="BY18" s="330"/>
      <c r="BZ18" s="330"/>
      <c r="CA18" s="330"/>
      <c r="CB18" s="330"/>
      <c r="CC18" s="337" t="s">
        <v>241</v>
      </c>
      <c r="CD18" s="330" t="b">
        <v>1</v>
      </c>
      <c r="CE18" s="330" t="b">
        <v>1</v>
      </c>
      <c r="CF18" s="330" t="b">
        <v>1</v>
      </c>
      <c r="CG18" s="330" t="s">
        <v>242</v>
      </c>
      <c r="CH18" s="330"/>
      <c r="CI18" s="330"/>
      <c r="CJ18" s="330"/>
      <c r="CK18" s="330"/>
      <c r="CL18" s="330"/>
      <c r="CM18" s="330"/>
      <c r="CN18" s="330"/>
      <c r="CO18" s="330"/>
      <c r="CP18" s="330"/>
      <c r="CQ18" s="330"/>
      <c r="CR18" s="330"/>
      <c r="CS18" s="330"/>
      <c r="CT18" s="330"/>
      <c r="CU18" s="330"/>
      <c r="CV18" s="330"/>
      <c r="CW18" s="330"/>
      <c r="CX18" s="330"/>
      <c r="CY18" s="330"/>
      <c r="CZ18" s="330"/>
      <c r="DA18" s="330"/>
      <c r="DB18" s="330" t="b">
        <v>1</v>
      </c>
      <c r="DC18" s="330" t="b">
        <v>1</v>
      </c>
      <c r="DD18" s="330"/>
      <c r="DE18" s="330"/>
      <c r="DF18" s="338">
        <v>24051</v>
      </c>
      <c r="DG18" s="330" t="s">
        <v>221</v>
      </c>
      <c r="DH18" s="330"/>
      <c r="DI18" s="338" t="s">
        <v>405</v>
      </c>
      <c r="DJ18" s="330"/>
      <c r="DK18" s="330">
        <v>0</v>
      </c>
      <c r="DL18" s="330" t="s">
        <v>243</v>
      </c>
      <c r="DM18" s="330"/>
      <c r="DN18" s="330"/>
      <c r="DO18" s="330"/>
      <c r="DP18" s="330"/>
      <c r="DQ18" s="338" t="s">
        <v>197</v>
      </c>
      <c r="DR18" s="330"/>
      <c r="DS18" s="330"/>
      <c r="DT18" s="330"/>
      <c r="DU18" s="338" t="s">
        <v>197</v>
      </c>
      <c r="DV18" s="330"/>
      <c r="DW18" s="330"/>
      <c r="DX18" s="330"/>
      <c r="DY18" s="338" t="s">
        <v>197</v>
      </c>
      <c r="DZ18" s="330"/>
      <c r="EA18" s="330"/>
      <c r="EB18" s="330"/>
      <c r="EC18" s="330" t="s">
        <v>197</v>
      </c>
      <c r="ED18" s="338" t="s">
        <v>197</v>
      </c>
      <c r="EE18" s="330">
        <v>4</v>
      </c>
      <c r="EF18" s="330">
        <v>40</v>
      </c>
      <c r="EG18" s="330"/>
      <c r="EH18" s="330"/>
      <c r="EI18" s="330"/>
      <c r="EJ18" s="330"/>
      <c r="EK18" s="330"/>
      <c r="EL18" s="330"/>
      <c r="EM18" s="330"/>
      <c r="EN18" s="330"/>
      <c r="EO18" s="330"/>
      <c r="EP18" s="330"/>
      <c r="EQ18" s="332" t="s">
        <v>244</v>
      </c>
      <c r="ER18" s="330"/>
      <c r="ES18" s="330"/>
      <c r="ET18" s="332" t="s">
        <v>245</v>
      </c>
      <c r="EU18" s="332" t="s">
        <v>246</v>
      </c>
      <c r="EV18" s="336">
        <v>45979</v>
      </c>
      <c r="EW18" s="336">
        <v>45979</v>
      </c>
      <c r="EX18" s="330">
        <v>1</v>
      </c>
      <c r="EY18" s="330"/>
      <c r="EZ18" s="330" t="s">
        <v>201</v>
      </c>
      <c r="FA18" s="336">
        <v>46006</v>
      </c>
      <c r="FB18" s="330">
        <v>1</v>
      </c>
      <c r="FC18" s="330" t="s">
        <v>202</v>
      </c>
      <c r="FD18" s="332" t="s">
        <v>190</v>
      </c>
      <c r="FE18" s="336">
        <v>46006</v>
      </c>
      <c r="FF18" s="330"/>
      <c r="FG18" s="330" t="s">
        <v>203</v>
      </c>
      <c r="FH18" s="330" t="s">
        <v>385</v>
      </c>
      <c r="FI18" s="330" t="s">
        <v>204</v>
      </c>
      <c r="FJ18" s="330"/>
      <c r="FK18" s="330" t="s">
        <v>230</v>
      </c>
      <c r="FL18" s="330" t="s">
        <v>192</v>
      </c>
      <c r="FM18" s="330" t="s">
        <v>191</v>
      </c>
      <c r="FN18" s="330" t="s">
        <v>406</v>
      </c>
      <c r="FO18" s="330"/>
      <c r="FP18" s="330" t="s">
        <v>393</v>
      </c>
      <c r="FQ18" s="330"/>
      <c r="FR18" s="330"/>
      <c r="FS18" s="330"/>
      <c r="FT18" s="330"/>
      <c r="FU18" s="330"/>
    </row>
    <row r="19" spans="1:177" ht="127.5" x14ac:dyDescent="0.25">
      <c r="A19" s="330">
        <v>18</v>
      </c>
      <c r="B19" s="331" t="s">
        <v>407</v>
      </c>
      <c r="C19" s="330"/>
      <c r="D19" s="332" t="s">
        <v>228</v>
      </c>
      <c r="E19" s="332" t="s">
        <v>229</v>
      </c>
      <c r="F19" s="332" t="s">
        <v>230</v>
      </c>
      <c r="G19" s="330" t="s">
        <v>231</v>
      </c>
      <c r="H19" s="331">
        <v>400</v>
      </c>
      <c r="I19" s="330"/>
      <c r="J19" s="332" t="s">
        <v>388</v>
      </c>
      <c r="K19" s="332" t="s">
        <v>408</v>
      </c>
      <c r="L19" s="330" t="s">
        <v>284</v>
      </c>
      <c r="M19" s="332" t="s">
        <v>409</v>
      </c>
      <c r="N19" s="330" t="s">
        <v>410</v>
      </c>
      <c r="O19" s="339">
        <v>0.56933776209258902</v>
      </c>
      <c r="P19" s="333">
        <v>10970</v>
      </c>
      <c r="Q19" s="333">
        <v>19268</v>
      </c>
      <c r="R19" s="333">
        <v>120</v>
      </c>
      <c r="S19" s="333">
        <v>120</v>
      </c>
      <c r="T19" s="333">
        <v>9</v>
      </c>
      <c r="U19" s="333">
        <v>825</v>
      </c>
      <c r="V19" s="333">
        <v>1200</v>
      </c>
      <c r="W19" s="330">
        <v>34</v>
      </c>
      <c r="X19" s="330" t="s">
        <v>411</v>
      </c>
      <c r="Y19" s="332" t="s">
        <v>412</v>
      </c>
      <c r="Z19" s="330" t="s">
        <v>215</v>
      </c>
      <c r="AA19" s="330" t="s">
        <v>413</v>
      </c>
      <c r="AB19" s="330" t="s">
        <v>189</v>
      </c>
      <c r="AC19" s="330"/>
      <c r="AD19" s="330"/>
      <c r="AE19" s="330">
        <v>61</v>
      </c>
      <c r="AF19" s="330">
        <v>-73</v>
      </c>
      <c r="AG19" s="332" t="s">
        <v>238</v>
      </c>
      <c r="AH19" s="332" t="s">
        <v>191</v>
      </c>
      <c r="AI19" s="330" t="s">
        <v>192</v>
      </c>
      <c r="AJ19" s="330" t="s">
        <v>192</v>
      </c>
      <c r="AK19" s="330" t="s">
        <v>192</v>
      </c>
      <c r="AL19" s="330" t="s">
        <v>192</v>
      </c>
      <c r="AM19" s="330" t="s">
        <v>191</v>
      </c>
      <c r="AN19" s="330" t="s">
        <v>192</v>
      </c>
      <c r="AO19" s="330"/>
      <c r="AP19" s="332" t="s">
        <v>259</v>
      </c>
      <c r="AQ19" s="330"/>
      <c r="AR19" s="330"/>
      <c r="AS19" s="330" t="b">
        <v>1</v>
      </c>
      <c r="AT19" s="330"/>
      <c r="AU19" s="332" t="s">
        <v>192</v>
      </c>
      <c r="AV19" s="334">
        <v>45951.434206979167</v>
      </c>
      <c r="AW19" s="330"/>
      <c r="AX19" s="335">
        <v>46009</v>
      </c>
      <c r="AY19" s="336">
        <v>45979</v>
      </c>
      <c r="AZ19" s="330"/>
      <c r="BA19" s="336">
        <v>46028</v>
      </c>
      <c r="BB19" s="330"/>
      <c r="BC19" s="336">
        <v>46030</v>
      </c>
      <c r="BD19" s="330"/>
      <c r="BE19" s="336">
        <v>46030</v>
      </c>
      <c r="BF19" s="330"/>
      <c r="BG19" s="330"/>
      <c r="BH19" s="330" t="s">
        <v>193</v>
      </c>
      <c r="BI19" s="330">
        <v>1000</v>
      </c>
      <c r="BJ19" s="330"/>
      <c r="BK19" s="330"/>
      <c r="BL19" s="330"/>
      <c r="BM19" s="332"/>
      <c r="BN19" s="330"/>
      <c r="BO19" s="330" t="s">
        <v>240</v>
      </c>
      <c r="BP19" s="330" t="s">
        <v>193</v>
      </c>
      <c r="BQ19" s="330" t="s">
        <v>218</v>
      </c>
      <c r="BR19" s="330" t="s">
        <v>220</v>
      </c>
      <c r="BS19" s="330"/>
      <c r="BT19" s="330" t="s">
        <v>220</v>
      </c>
      <c r="BU19" s="330"/>
      <c r="BV19" s="330" t="s">
        <v>220</v>
      </c>
      <c r="BW19" s="330"/>
      <c r="BX19" s="332"/>
      <c r="BY19" s="330"/>
      <c r="BZ19" s="330"/>
      <c r="CA19" s="330"/>
      <c r="CB19" s="330"/>
      <c r="CC19" s="337" t="s">
        <v>241</v>
      </c>
      <c r="CD19" s="330" t="b">
        <v>1</v>
      </c>
      <c r="CE19" s="330" t="b">
        <v>1</v>
      </c>
      <c r="CF19" s="330" t="b">
        <v>1</v>
      </c>
      <c r="CG19" s="330" t="s">
        <v>242</v>
      </c>
      <c r="CH19" s="330"/>
      <c r="CI19" s="330"/>
      <c r="CJ19" s="330"/>
      <c r="CK19" s="330"/>
      <c r="CL19" s="330"/>
      <c r="CM19" s="330"/>
      <c r="CN19" s="330"/>
      <c r="CO19" s="330"/>
      <c r="CP19" s="330"/>
      <c r="CQ19" s="330"/>
      <c r="CR19" s="330"/>
      <c r="CS19" s="330"/>
      <c r="CT19" s="330"/>
      <c r="CU19" s="330"/>
      <c r="CV19" s="330"/>
      <c r="CW19" s="330"/>
      <c r="CX19" s="330"/>
      <c r="CY19" s="330"/>
      <c r="CZ19" s="330"/>
      <c r="DA19" s="330"/>
      <c r="DB19" s="330" t="b">
        <v>1</v>
      </c>
      <c r="DC19" s="330" t="b">
        <v>1</v>
      </c>
      <c r="DD19" s="330"/>
      <c r="DE19" s="330"/>
      <c r="DF19" s="338">
        <v>24051</v>
      </c>
      <c r="DG19" s="330" t="s">
        <v>221</v>
      </c>
      <c r="DH19" s="330"/>
      <c r="DI19" s="338">
        <v>51</v>
      </c>
      <c r="DJ19" s="330"/>
      <c r="DK19" s="330">
        <v>51</v>
      </c>
      <c r="DL19" s="330" t="s">
        <v>243</v>
      </c>
      <c r="DM19" s="330"/>
      <c r="DN19" s="330"/>
      <c r="DO19" s="330"/>
      <c r="DP19" s="330"/>
      <c r="DQ19" s="338" t="s">
        <v>197</v>
      </c>
      <c r="DR19" s="330"/>
      <c r="DS19" s="330"/>
      <c r="DT19" s="330"/>
      <c r="DU19" s="338" t="s">
        <v>197</v>
      </c>
      <c r="DV19" s="330"/>
      <c r="DW19" s="330"/>
      <c r="DX19" s="330"/>
      <c r="DY19" s="338" t="s">
        <v>197</v>
      </c>
      <c r="DZ19" s="330"/>
      <c r="EA19" s="330"/>
      <c r="EB19" s="330"/>
      <c r="EC19" s="330" t="s">
        <v>197</v>
      </c>
      <c r="ED19" s="338" t="s">
        <v>197</v>
      </c>
      <c r="EE19" s="341">
        <v>8</v>
      </c>
      <c r="EF19" s="341">
        <v>200</v>
      </c>
      <c r="EG19" s="330"/>
      <c r="EH19" s="330"/>
      <c r="EI19" s="330"/>
      <c r="EJ19" s="330"/>
      <c r="EK19" s="330"/>
      <c r="EL19" s="330"/>
      <c r="EM19" s="330"/>
      <c r="EN19" s="330"/>
      <c r="EO19" s="330"/>
      <c r="EP19" s="330"/>
      <c r="EQ19" s="332" t="s">
        <v>244</v>
      </c>
      <c r="ER19" s="330"/>
      <c r="ES19" s="330"/>
      <c r="ET19" s="332" t="s">
        <v>245</v>
      </c>
      <c r="EU19" s="332" t="s">
        <v>246</v>
      </c>
      <c r="EV19" s="336">
        <v>45979</v>
      </c>
      <c r="EW19" s="336">
        <v>45979</v>
      </c>
      <c r="EX19" s="330">
        <v>1</v>
      </c>
      <c r="EY19" s="330"/>
      <c r="EZ19" s="330" t="s">
        <v>201</v>
      </c>
      <c r="FA19" s="336">
        <v>46025</v>
      </c>
      <c r="FB19" s="330">
        <v>4</v>
      </c>
      <c r="FC19" s="330" t="s">
        <v>202</v>
      </c>
      <c r="FD19" s="332" t="s">
        <v>190</v>
      </c>
      <c r="FE19" s="336">
        <v>46030</v>
      </c>
      <c r="FF19" s="330"/>
      <c r="FG19" s="330" t="s">
        <v>203</v>
      </c>
      <c r="FH19" s="330" t="s">
        <v>385</v>
      </c>
      <c r="FI19" s="330" t="s">
        <v>204</v>
      </c>
      <c r="FJ19" s="330"/>
      <c r="FK19" s="330" t="s">
        <v>230</v>
      </c>
      <c r="FL19" s="330" t="s">
        <v>192</v>
      </c>
      <c r="FM19" s="330" t="s">
        <v>191</v>
      </c>
      <c r="FN19" s="330" t="s">
        <v>414</v>
      </c>
      <c r="FO19" s="330"/>
      <c r="FP19" s="330" t="s">
        <v>415</v>
      </c>
      <c r="FQ19" s="330"/>
      <c r="FR19" s="330"/>
      <c r="FS19" s="330"/>
      <c r="FT19" s="330"/>
      <c r="FU19" s="330"/>
    </row>
    <row r="20" spans="1:177" ht="89.25" x14ac:dyDescent="0.25">
      <c r="A20" s="330">
        <v>19</v>
      </c>
      <c r="B20" s="331" t="s">
        <v>416</v>
      </c>
      <c r="C20" s="330"/>
      <c r="D20" s="332" t="s">
        <v>228</v>
      </c>
      <c r="E20" s="332" t="s">
        <v>229</v>
      </c>
      <c r="F20" s="332" t="s">
        <v>230</v>
      </c>
      <c r="G20" s="330" t="s">
        <v>231</v>
      </c>
      <c r="H20" s="331">
        <v>400</v>
      </c>
      <c r="I20" s="330"/>
      <c r="J20" s="332" t="s">
        <v>359</v>
      </c>
      <c r="K20" s="332" t="s">
        <v>417</v>
      </c>
      <c r="L20" s="330" t="s">
        <v>284</v>
      </c>
      <c r="M20" s="332" t="s">
        <v>418</v>
      </c>
      <c r="N20" s="330" t="s">
        <v>419</v>
      </c>
      <c r="O20" s="339">
        <v>0.57141374299356495</v>
      </c>
      <c r="P20" s="333">
        <v>11010</v>
      </c>
      <c r="Q20" s="333">
        <v>19268</v>
      </c>
      <c r="R20" s="333">
        <v>40</v>
      </c>
      <c r="S20" s="333">
        <v>40</v>
      </c>
      <c r="T20" s="333">
        <v>3</v>
      </c>
      <c r="U20" s="333">
        <v>280</v>
      </c>
      <c r="V20" s="333">
        <v>250</v>
      </c>
      <c r="W20" s="330">
        <v>4</v>
      </c>
      <c r="X20" s="330" t="s">
        <v>420</v>
      </c>
      <c r="Y20" s="332" t="s">
        <v>351</v>
      </c>
      <c r="Z20" s="330" t="s">
        <v>215</v>
      </c>
      <c r="AA20" s="330" t="s">
        <v>352</v>
      </c>
      <c r="AB20" s="330" t="s">
        <v>189</v>
      </c>
      <c r="AC20" s="330"/>
      <c r="AD20" s="330"/>
      <c r="AE20" s="330">
        <v>59</v>
      </c>
      <c r="AF20" s="330">
        <v>-75</v>
      </c>
      <c r="AG20" s="332" t="s">
        <v>238</v>
      </c>
      <c r="AH20" s="332" t="s">
        <v>191</v>
      </c>
      <c r="AI20" s="330" t="s">
        <v>192</v>
      </c>
      <c r="AJ20" s="330" t="s">
        <v>192</v>
      </c>
      <c r="AK20" s="330" t="s">
        <v>192</v>
      </c>
      <c r="AL20" s="330" t="s">
        <v>192</v>
      </c>
      <c r="AM20" s="330" t="s">
        <v>191</v>
      </c>
      <c r="AN20" s="330" t="s">
        <v>192</v>
      </c>
      <c r="AO20" s="330"/>
      <c r="AP20" s="332" t="s">
        <v>259</v>
      </c>
      <c r="AQ20" s="330"/>
      <c r="AR20" s="330"/>
      <c r="AS20" s="330" t="b">
        <v>1</v>
      </c>
      <c r="AT20" s="330"/>
      <c r="AU20" s="332" t="s">
        <v>192</v>
      </c>
      <c r="AV20" s="334">
        <v>45951.437009143519</v>
      </c>
      <c r="AW20" s="330"/>
      <c r="AX20" s="335">
        <v>46007</v>
      </c>
      <c r="AY20" s="336">
        <v>45979</v>
      </c>
      <c r="AZ20" s="330"/>
      <c r="BA20" s="336">
        <v>46024</v>
      </c>
      <c r="BB20" s="330"/>
      <c r="BC20" s="336">
        <v>46028</v>
      </c>
      <c r="BD20" s="330"/>
      <c r="BE20" s="336">
        <v>46028</v>
      </c>
      <c r="BF20" s="330"/>
      <c r="BG20" s="330"/>
      <c r="BH20" s="330" t="s">
        <v>193</v>
      </c>
      <c r="BI20" s="330">
        <v>1000</v>
      </c>
      <c r="BJ20" s="330"/>
      <c r="BK20" s="330"/>
      <c r="BL20" s="330"/>
      <c r="BM20" s="332"/>
      <c r="BN20" s="330"/>
      <c r="BO20" s="330" t="s">
        <v>240</v>
      </c>
      <c r="BP20" s="330" t="s">
        <v>193</v>
      </c>
      <c r="BQ20" s="330" t="s">
        <v>218</v>
      </c>
      <c r="BR20" s="330" t="s">
        <v>220</v>
      </c>
      <c r="BS20" s="330"/>
      <c r="BT20" s="330" t="s">
        <v>220</v>
      </c>
      <c r="BU20" s="330"/>
      <c r="BV20" s="330" t="s">
        <v>220</v>
      </c>
      <c r="BW20" s="330"/>
      <c r="BX20" s="332"/>
      <c r="BY20" s="330"/>
      <c r="BZ20" s="330"/>
      <c r="CA20" s="330"/>
      <c r="CB20" s="330"/>
      <c r="CC20" s="337" t="s">
        <v>241</v>
      </c>
      <c r="CD20" s="330" t="b">
        <v>1</v>
      </c>
      <c r="CE20" s="330" t="b">
        <v>1</v>
      </c>
      <c r="CF20" s="330" t="b">
        <v>1</v>
      </c>
      <c r="CG20" s="330" t="s">
        <v>242</v>
      </c>
      <c r="CH20" s="330"/>
      <c r="CI20" s="330"/>
      <c r="CJ20" s="330"/>
      <c r="CK20" s="330"/>
      <c r="CL20" s="330"/>
      <c r="CM20" s="330"/>
      <c r="CN20" s="330"/>
      <c r="CO20" s="330"/>
      <c r="CP20" s="330"/>
      <c r="CQ20" s="330"/>
      <c r="CR20" s="330"/>
      <c r="CS20" s="330"/>
      <c r="CT20" s="330"/>
      <c r="CU20" s="330"/>
      <c r="CV20" s="330"/>
      <c r="CW20" s="330"/>
      <c r="CX20" s="330"/>
      <c r="CY20" s="330"/>
      <c r="CZ20" s="330"/>
      <c r="DA20" s="330"/>
      <c r="DB20" s="330" t="b">
        <v>1</v>
      </c>
      <c r="DC20" s="330" t="b">
        <v>1</v>
      </c>
      <c r="DD20" s="330"/>
      <c r="DE20" s="330"/>
      <c r="DF20" s="338">
        <v>24051</v>
      </c>
      <c r="DG20" s="330" t="s">
        <v>221</v>
      </c>
      <c r="DH20" s="330"/>
      <c r="DI20" s="338" t="s">
        <v>421</v>
      </c>
      <c r="DJ20" s="330"/>
      <c r="DK20" s="330">
        <v>0</v>
      </c>
      <c r="DL20" s="330" t="s">
        <v>243</v>
      </c>
      <c r="DM20" s="330"/>
      <c r="DN20" s="330"/>
      <c r="DO20" s="330"/>
      <c r="DP20" s="330"/>
      <c r="DQ20" s="338" t="s">
        <v>197</v>
      </c>
      <c r="DR20" s="330"/>
      <c r="DS20" s="330"/>
      <c r="DT20" s="330"/>
      <c r="DU20" s="338" t="s">
        <v>197</v>
      </c>
      <c r="DV20" s="330"/>
      <c r="DW20" s="330"/>
      <c r="DX20" s="330"/>
      <c r="DY20" s="338" t="s">
        <v>197</v>
      </c>
      <c r="DZ20" s="330"/>
      <c r="EA20" s="330"/>
      <c r="EB20" s="330"/>
      <c r="EC20" s="330" t="s">
        <v>197</v>
      </c>
      <c r="ED20" s="338" t="s">
        <v>197</v>
      </c>
      <c r="EE20" s="341">
        <v>4</v>
      </c>
      <c r="EF20" s="341">
        <v>40</v>
      </c>
      <c r="EG20" s="330"/>
      <c r="EH20" s="330"/>
      <c r="EI20" s="330"/>
      <c r="EJ20" s="330"/>
      <c r="EK20" s="330"/>
      <c r="EL20" s="330"/>
      <c r="EM20" s="330"/>
      <c r="EN20" s="330"/>
      <c r="EO20" s="330"/>
      <c r="EP20" s="330"/>
      <c r="EQ20" s="332" t="s">
        <v>244</v>
      </c>
      <c r="ER20" s="330"/>
      <c r="ES20" s="330"/>
      <c r="ET20" s="332" t="s">
        <v>245</v>
      </c>
      <c r="EU20" s="332" t="s">
        <v>246</v>
      </c>
      <c r="EV20" s="336">
        <v>45979</v>
      </c>
      <c r="EW20" s="336">
        <v>45979</v>
      </c>
      <c r="EX20" s="330">
        <v>1</v>
      </c>
      <c r="EY20" s="330"/>
      <c r="EZ20" s="330" t="s">
        <v>201</v>
      </c>
      <c r="FA20" s="336">
        <v>46025</v>
      </c>
      <c r="FB20" s="330">
        <v>2</v>
      </c>
      <c r="FC20" s="330" t="s">
        <v>202</v>
      </c>
      <c r="FD20" s="332" t="s">
        <v>190</v>
      </c>
      <c r="FE20" s="336">
        <v>46028</v>
      </c>
      <c r="FF20" s="330"/>
      <c r="FG20" s="330" t="s">
        <v>203</v>
      </c>
      <c r="FH20" s="330" t="s">
        <v>422</v>
      </c>
      <c r="FI20" s="330" t="s">
        <v>204</v>
      </c>
      <c r="FJ20" s="330"/>
      <c r="FK20" s="330" t="s">
        <v>230</v>
      </c>
      <c r="FL20" s="330" t="s">
        <v>192</v>
      </c>
      <c r="FM20" s="330" t="s">
        <v>191</v>
      </c>
      <c r="FN20" s="330" t="s">
        <v>423</v>
      </c>
      <c r="FO20" s="330"/>
      <c r="FP20" s="330" t="s">
        <v>415</v>
      </c>
      <c r="FQ20" s="330"/>
      <c r="FR20" s="330"/>
      <c r="FS20" s="330"/>
      <c r="FT20" s="330"/>
      <c r="FU20" s="330"/>
    </row>
    <row r="21" spans="1:177" ht="89.25" x14ac:dyDescent="0.25">
      <c r="A21" s="330">
        <v>20</v>
      </c>
      <c r="B21" s="331" t="s">
        <v>424</v>
      </c>
      <c r="C21" s="330"/>
      <c r="D21" s="332" t="s">
        <v>228</v>
      </c>
      <c r="E21" s="332" t="s">
        <v>229</v>
      </c>
      <c r="F21" s="332" t="s">
        <v>230</v>
      </c>
      <c r="G21" s="330" t="s">
        <v>231</v>
      </c>
      <c r="H21" s="331">
        <v>400</v>
      </c>
      <c r="I21" s="330"/>
      <c r="J21" s="332" t="s">
        <v>359</v>
      </c>
      <c r="K21" s="332" t="s">
        <v>425</v>
      </c>
      <c r="L21" s="330" t="s">
        <v>284</v>
      </c>
      <c r="M21" s="332" t="s">
        <v>426</v>
      </c>
      <c r="N21" s="330" t="s">
        <v>427</v>
      </c>
      <c r="O21" s="339">
        <v>0.51479136391945202</v>
      </c>
      <c r="P21" s="333">
        <v>9919</v>
      </c>
      <c r="Q21" s="333">
        <v>19268</v>
      </c>
      <c r="R21" s="333">
        <v>12</v>
      </c>
      <c r="S21" s="333">
        <v>12</v>
      </c>
      <c r="T21" s="333">
        <v>3</v>
      </c>
      <c r="U21" s="333">
        <v>84</v>
      </c>
      <c r="V21" s="333">
        <v>100</v>
      </c>
      <c r="W21" s="330">
        <v>4</v>
      </c>
      <c r="X21" s="330" t="s">
        <v>428</v>
      </c>
      <c r="Y21" s="332" t="s">
        <v>270</v>
      </c>
      <c r="Z21" s="330" t="s">
        <v>215</v>
      </c>
      <c r="AA21" s="330" t="s">
        <v>271</v>
      </c>
      <c r="AB21" s="330" t="s">
        <v>217</v>
      </c>
      <c r="AC21" s="330"/>
      <c r="AD21" s="330"/>
      <c r="AE21" s="330">
        <v>50</v>
      </c>
      <c r="AF21" s="330">
        <v>-97</v>
      </c>
      <c r="AG21" s="332" t="s">
        <v>238</v>
      </c>
      <c r="AH21" s="332" t="s">
        <v>191</v>
      </c>
      <c r="AI21" s="330" t="s">
        <v>192</v>
      </c>
      <c r="AJ21" s="330" t="s">
        <v>192</v>
      </c>
      <c r="AK21" s="330"/>
      <c r="AL21" s="330" t="s">
        <v>192</v>
      </c>
      <c r="AM21" s="330" t="s">
        <v>191</v>
      </c>
      <c r="AN21" s="330" t="s">
        <v>192</v>
      </c>
      <c r="AO21" s="330"/>
      <c r="AP21" s="332" t="s">
        <v>259</v>
      </c>
      <c r="AQ21" s="330"/>
      <c r="AR21" s="330"/>
      <c r="AS21" s="330" t="b">
        <v>1</v>
      </c>
      <c r="AT21" s="330"/>
      <c r="AU21" s="332" t="s">
        <v>192</v>
      </c>
      <c r="AV21" s="334">
        <v>45946.602331932867</v>
      </c>
      <c r="AW21" s="330"/>
      <c r="AX21" s="335">
        <v>45975</v>
      </c>
      <c r="AY21" s="336">
        <v>45960</v>
      </c>
      <c r="AZ21" s="330"/>
      <c r="BA21" s="336">
        <v>45994</v>
      </c>
      <c r="BB21" s="330"/>
      <c r="BC21" s="336">
        <v>45996</v>
      </c>
      <c r="BD21" s="330"/>
      <c r="BE21" s="336">
        <v>45996</v>
      </c>
      <c r="BF21" s="330"/>
      <c r="BG21" s="330"/>
      <c r="BH21" s="330" t="s">
        <v>193</v>
      </c>
      <c r="BI21" s="330">
        <v>500</v>
      </c>
      <c r="BJ21" s="330"/>
      <c r="BK21" s="330"/>
      <c r="BL21" s="330"/>
      <c r="BM21" s="332"/>
      <c r="BN21" s="330"/>
      <c r="BO21" s="330" t="s">
        <v>240</v>
      </c>
      <c r="BP21" s="330" t="s">
        <v>193</v>
      </c>
      <c r="BQ21" s="330" t="s">
        <v>218</v>
      </c>
      <c r="BR21" s="330" t="s">
        <v>220</v>
      </c>
      <c r="BS21" s="330"/>
      <c r="BT21" s="330" t="s">
        <v>220</v>
      </c>
      <c r="BU21" s="330"/>
      <c r="BV21" s="330" t="s">
        <v>220</v>
      </c>
      <c r="BW21" s="330"/>
      <c r="BX21" s="332"/>
      <c r="BY21" s="330"/>
      <c r="BZ21" s="330"/>
      <c r="CA21" s="330"/>
      <c r="CB21" s="330"/>
      <c r="CC21" s="337" t="s">
        <v>241</v>
      </c>
      <c r="CD21" s="330" t="b">
        <v>1</v>
      </c>
      <c r="CE21" s="330" t="b">
        <v>1</v>
      </c>
      <c r="CF21" s="330" t="b">
        <v>1</v>
      </c>
      <c r="CG21" s="330" t="s">
        <v>242</v>
      </c>
      <c r="CH21" s="330"/>
      <c r="CI21" s="330"/>
      <c r="CJ21" s="330"/>
      <c r="CK21" s="330"/>
      <c r="CL21" s="330"/>
      <c r="CM21" s="330"/>
      <c r="CN21" s="330"/>
      <c r="CO21" s="330"/>
      <c r="CP21" s="330"/>
      <c r="CQ21" s="330"/>
      <c r="CR21" s="330"/>
      <c r="CS21" s="330"/>
      <c r="CT21" s="330"/>
      <c r="CU21" s="330"/>
      <c r="CV21" s="330"/>
      <c r="CW21" s="330"/>
      <c r="CX21" s="330"/>
      <c r="CY21" s="330"/>
      <c r="CZ21" s="330"/>
      <c r="DA21" s="330"/>
      <c r="DB21" s="330" t="b">
        <v>1</v>
      </c>
      <c r="DC21" s="330" t="b">
        <v>1</v>
      </c>
      <c r="DD21" s="330"/>
      <c r="DE21" s="330"/>
      <c r="DF21" s="338">
        <v>24051</v>
      </c>
      <c r="DG21" s="330" t="s">
        <v>221</v>
      </c>
      <c r="DH21" s="330"/>
      <c r="DI21" s="338">
        <v>217</v>
      </c>
      <c r="DJ21" s="330"/>
      <c r="DK21" s="330">
        <v>217</v>
      </c>
      <c r="DL21" s="330" t="s">
        <v>243</v>
      </c>
      <c r="DM21" s="330"/>
      <c r="DN21" s="330"/>
      <c r="DO21" s="330"/>
      <c r="DP21" s="330"/>
      <c r="DQ21" s="338" t="s">
        <v>197</v>
      </c>
      <c r="DR21" s="330"/>
      <c r="DS21" s="330"/>
      <c r="DT21" s="330"/>
      <c r="DU21" s="338" t="s">
        <v>197</v>
      </c>
      <c r="DV21" s="330"/>
      <c r="DW21" s="330"/>
      <c r="DX21" s="330"/>
      <c r="DY21" s="338" t="s">
        <v>197</v>
      </c>
      <c r="DZ21" s="330"/>
      <c r="EA21" s="330"/>
      <c r="EB21" s="330"/>
      <c r="EC21" s="330" t="s">
        <v>197</v>
      </c>
      <c r="ED21" s="338" t="s">
        <v>197</v>
      </c>
      <c r="EE21" s="330">
        <v>4</v>
      </c>
      <c r="EF21" s="330">
        <v>16</v>
      </c>
      <c r="EG21" s="330"/>
      <c r="EH21" s="330"/>
      <c r="EI21" s="330"/>
      <c r="EJ21" s="330"/>
      <c r="EK21" s="330"/>
      <c r="EL21" s="330"/>
      <c r="EM21" s="330"/>
      <c r="EN21" s="330"/>
      <c r="EO21" s="330"/>
      <c r="EP21" s="330"/>
      <c r="EQ21" s="332" t="s">
        <v>244</v>
      </c>
      <c r="ER21" s="330"/>
      <c r="ES21" s="330"/>
      <c r="ET21" s="332" t="s">
        <v>245</v>
      </c>
      <c r="EU21" s="332" t="s">
        <v>246</v>
      </c>
      <c r="EV21" s="336">
        <v>45959</v>
      </c>
      <c r="EW21" s="336">
        <v>45959</v>
      </c>
      <c r="EX21" s="330">
        <v>1</v>
      </c>
      <c r="EY21" s="330"/>
      <c r="EZ21" s="330" t="s">
        <v>201</v>
      </c>
      <c r="FA21" s="336">
        <v>45975</v>
      </c>
      <c r="FB21" s="330">
        <v>9</v>
      </c>
      <c r="FC21" s="330" t="s">
        <v>202</v>
      </c>
      <c r="FD21" s="332" t="s">
        <v>190</v>
      </c>
      <c r="FE21" s="336">
        <v>45987</v>
      </c>
      <c r="FF21" s="330"/>
      <c r="FG21" s="330" t="s">
        <v>203</v>
      </c>
      <c r="FH21" s="330" t="s">
        <v>422</v>
      </c>
      <c r="FI21" s="330" t="s">
        <v>204</v>
      </c>
      <c r="FJ21" s="330"/>
      <c r="FK21" s="330" t="s">
        <v>230</v>
      </c>
      <c r="FL21" s="330" t="s">
        <v>192</v>
      </c>
      <c r="FM21" s="330" t="s">
        <v>191</v>
      </c>
      <c r="FN21" s="330" t="s">
        <v>429</v>
      </c>
      <c r="FO21" s="330"/>
      <c r="FP21" s="330" t="s">
        <v>430</v>
      </c>
      <c r="FQ21" s="330"/>
      <c r="FR21" s="330"/>
      <c r="FS21" s="330"/>
      <c r="FT21" s="330"/>
      <c r="FU21" s="330"/>
    </row>
    <row r="22" spans="1:177" ht="89.25" x14ac:dyDescent="0.25">
      <c r="A22" s="330">
        <v>21</v>
      </c>
      <c r="B22" s="331" t="s">
        <v>431</v>
      </c>
      <c r="C22" s="330"/>
      <c r="D22" s="332" t="s">
        <v>228</v>
      </c>
      <c r="E22" s="332" t="s">
        <v>229</v>
      </c>
      <c r="F22" s="332" t="s">
        <v>230</v>
      </c>
      <c r="G22" s="330" t="s">
        <v>231</v>
      </c>
      <c r="H22" s="331">
        <v>400</v>
      </c>
      <c r="I22" s="330"/>
      <c r="J22" s="332" t="s">
        <v>359</v>
      </c>
      <c r="K22" s="332" t="s">
        <v>408</v>
      </c>
      <c r="L22" s="330" t="s">
        <v>284</v>
      </c>
      <c r="M22" s="332" t="s">
        <v>432</v>
      </c>
      <c r="N22" s="330" t="s">
        <v>433</v>
      </c>
      <c r="O22" s="339">
        <v>0.519825617604318</v>
      </c>
      <c r="P22" s="333">
        <v>10016</v>
      </c>
      <c r="Q22" s="333">
        <v>19268</v>
      </c>
      <c r="R22" s="333">
        <v>97</v>
      </c>
      <c r="S22" s="333">
        <v>97</v>
      </c>
      <c r="T22" s="333">
        <v>2</v>
      </c>
      <c r="U22" s="333">
        <v>970</v>
      </c>
      <c r="V22" s="333">
        <v>600</v>
      </c>
      <c r="W22" s="330">
        <v>49</v>
      </c>
      <c r="X22" s="330" t="s">
        <v>434</v>
      </c>
      <c r="Y22" s="332" t="s">
        <v>270</v>
      </c>
      <c r="Z22" s="330" t="s">
        <v>215</v>
      </c>
      <c r="AA22" s="330" t="s">
        <v>271</v>
      </c>
      <c r="AB22" s="330" t="s">
        <v>217</v>
      </c>
      <c r="AC22" s="330"/>
      <c r="AD22" s="330"/>
      <c r="AE22" s="330">
        <v>50</v>
      </c>
      <c r="AF22" s="330">
        <v>-97</v>
      </c>
      <c r="AG22" s="332" t="s">
        <v>238</v>
      </c>
      <c r="AH22" s="332" t="s">
        <v>191</v>
      </c>
      <c r="AI22" s="330" t="s">
        <v>192</v>
      </c>
      <c r="AJ22" s="330" t="s">
        <v>192</v>
      </c>
      <c r="AK22" s="330"/>
      <c r="AL22" s="330" t="s">
        <v>192</v>
      </c>
      <c r="AM22" s="330" t="s">
        <v>191</v>
      </c>
      <c r="AN22" s="330" t="s">
        <v>192</v>
      </c>
      <c r="AO22" s="330"/>
      <c r="AP22" s="332" t="s">
        <v>259</v>
      </c>
      <c r="AQ22" s="330"/>
      <c r="AR22" s="330"/>
      <c r="AS22" s="330" t="b">
        <v>1</v>
      </c>
      <c r="AT22" s="330"/>
      <c r="AU22" s="332" t="s">
        <v>192</v>
      </c>
      <c r="AV22" s="334">
        <v>45950.367060289354</v>
      </c>
      <c r="AW22" s="330"/>
      <c r="AX22" s="335">
        <v>45975</v>
      </c>
      <c r="AY22" s="336">
        <v>45960</v>
      </c>
      <c r="AZ22" s="330"/>
      <c r="BA22" s="336">
        <v>45994</v>
      </c>
      <c r="BB22" s="330"/>
      <c r="BC22" s="336">
        <v>45996</v>
      </c>
      <c r="BD22" s="330"/>
      <c r="BE22" s="336">
        <v>45996</v>
      </c>
      <c r="BF22" s="330"/>
      <c r="BG22" s="330"/>
      <c r="BH22" s="330" t="s">
        <v>193</v>
      </c>
      <c r="BI22" s="330">
        <v>500</v>
      </c>
      <c r="BJ22" s="330"/>
      <c r="BK22" s="330"/>
      <c r="BL22" s="330"/>
      <c r="BM22" s="332"/>
      <c r="BN22" s="330"/>
      <c r="BO22" s="330" t="s">
        <v>240</v>
      </c>
      <c r="BP22" s="330" t="s">
        <v>193</v>
      </c>
      <c r="BQ22" s="330" t="s">
        <v>218</v>
      </c>
      <c r="BR22" s="330" t="s">
        <v>220</v>
      </c>
      <c r="BS22" s="330"/>
      <c r="BT22" s="330" t="s">
        <v>220</v>
      </c>
      <c r="BU22" s="330"/>
      <c r="BV22" s="330" t="s">
        <v>220</v>
      </c>
      <c r="BW22" s="330"/>
      <c r="BX22" s="332"/>
      <c r="BY22" s="330"/>
      <c r="BZ22" s="330"/>
      <c r="CA22" s="330"/>
      <c r="CB22" s="330"/>
      <c r="CC22" s="337" t="s">
        <v>241</v>
      </c>
      <c r="CD22" s="330" t="b">
        <v>1</v>
      </c>
      <c r="CE22" s="330" t="b">
        <v>1</v>
      </c>
      <c r="CF22" s="330" t="b">
        <v>1</v>
      </c>
      <c r="CG22" s="330" t="s">
        <v>242</v>
      </c>
      <c r="CH22" s="330"/>
      <c r="CI22" s="330"/>
      <c r="CJ22" s="330"/>
      <c r="CK22" s="330"/>
      <c r="CL22" s="330"/>
      <c r="CM22" s="330"/>
      <c r="CN22" s="330"/>
      <c r="CO22" s="330"/>
      <c r="CP22" s="330"/>
      <c r="CQ22" s="330"/>
      <c r="CR22" s="330"/>
      <c r="CS22" s="330"/>
      <c r="CT22" s="330"/>
      <c r="CU22" s="330"/>
      <c r="CV22" s="330"/>
      <c r="CW22" s="330"/>
      <c r="CX22" s="330"/>
      <c r="CY22" s="330"/>
      <c r="CZ22" s="330"/>
      <c r="DA22" s="330"/>
      <c r="DB22" s="330" t="b">
        <v>1</v>
      </c>
      <c r="DC22" s="330" t="b">
        <v>1</v>
      </c>
      <c r="DD22" s="330"/>
      <c r="DE22" s="330"/>
      <c r="DF22" s="338">
        <v>24051</v>
      </c>
      <c r="DG22" s="330" t="s">
        <v>221</v>
      </c>
      <c r="DH22" s="330"/>
      <c r="DI22" s="338">
        <v>218</v>
      </c>
      <c r="DJ22" s="330"/>
      <c r="DK22" s="330">
        <v>218</v>
      </c>
      <c r="DL22" s="330" t="s">
        <v>243</v>
      </c>
      <c r="DM22" s="330"/>
      <c r="DN22" s="330"/>
      <c r="DO22" s="330"/>
      <c r="DP22" s="330"/>
      <c r="DQ22" s="338" t="s">
        <v>197</v>
      </c>
      <c r="DR22" s="330"/>
      <c r="DS22" s="330"/>
      <c r="DT22" s="330"/>
      <c r="DU22" s="338" t="s">
        <v>197</v>
      </c>
      <c r="DV22" s="330"/>
      <c r="DW22" s="330"/>
      <c r="DX22" s="330"/>
      <c r="DY22" s="338" t="s">
        <v>197</v>
      </c>
      <c r="DZ22" s="330"/>
      <c r="EA22" s="330"/>
      <c r="EB22" s="330"/>
      <c r="EC22" s="330" t="s">
        <v>197</v>
      </c>
      <c r="ED22" s="338" t="s">
        <v>197</v>
      </c>
      <c r="EE22" s="330">
        <v>8</v>
      </c>
      <c r="EF22" s="330">
        <v>180</v>
      </c>
      <c r="EG22" s="330"/>
      <c r="EH22" s="330"/>
      <c r="EI22" s="330"/>
      <c r="EJ22" s="330"/>
      <c r="EK22" s="330"/>
      <c r="EL22" s="330"/>
      <c r="EM22" s="330"/>
      <c r="EN22" s="330"/>
      <c r="EO22" s="330"/>
      <c r="EP22" s="330"/>
      <c r="EQ22" s="332" t="s">
        <v>244</v>
      </c>
      <c r="ER22" s="330"/>
      <c r="ES22" s="330"/>
      <c r="ET22" s="332" t="s">
        <v>245</v>
      </c>
      <c r="EU22" s="332" t="s">
        <v>246</v>
      </c>
      <c r="EV22" s="336">
        <v>45959</v>
      </c>
      <c r="EW22" s="336">
        <v>45959</v>
      </c>
      <c r="EX22" s="330">
        <v>1</v>
      </c>
      <c r="EY22" s="330"/>
      <c r="EZ22" s="330" t="s">
        <v>201</v>
      </c>
      <c r="FA22" s="336">
        <v>45976</v>
      </c>
      <c r="FB22" s="330">
        <v>6</v>
      </c>
      <c r="FC22" s="330" t="s">
        <v>202</v>
      </c>
      <c r="FD22" s="332" t="s">
        <v>190</v>
      </c>
      <c r="FE22" s="336">
        <v>45985</v>
      </c>
      <c r="FF22" s="330"/>
      <c r="FG22" s="330" t="s">
        <v>203</v>
      </c>
      <c r="FH22" s="330" t="s">
        <v>385</v>
      </c>
      <c r="FI22" s="330" t="s">
        <v>204</v>
      </c>
      <c r="FJ22" s="330"/>
      <c r="FK22" s="330" t="s">
        <v>230</v>
      </c>
      <c r="FL22" s="330" t="s">
        <v>192</v>
      </c>
      <c r="FM22" s="330" t="s">
        <v>191</v>
      </c>
      <c r="FN22" s="330" t="s">
        <v>435</v>
      </c>
      <c r="FO22" s="330"/>
      <c r="FP22" s="330" t="s">
        <v>430</v>
      </c>
      <c r="FQ22" s="330"/>
      <c r="FR22" s="330"/>
      <c r="FS22" s="330"/>
      <c r="FT22" s="330"/>
      <c r="FU22" s="330"/>
    </row>
    <row r="23" spans="1:177" ht="89.25" x14ac:dyDescent="0.25">
      <c r="A23" s="330">
        <v>22</v>
      </c>
      <c r="B23" s="331" t="s">
        <v>436</v>
      </c>
      <c r="C23" s="330"/>
      <c r="D23" s="332" t="s">
        <v>228</v>
      </c>
      <c r="E23" s="332" t="s">
        <v>229</v>
      </c>
      <c r="F23" s="332" t="s">
        <v>230</v>
      </c>
      <c r="G23" s="330" t="s">
        <v>231</v>
      </c>
      <c r="H23" s="331">
        <v>400</v>
      </c>
      <c r="I23" s="330"/>
      <c r="J23" s="332" t="s">
        <v>359</v>
      </c>
      <c r="K23" s="332" t="s">
        <v>437</v>
      </c>
      <c r="L23" s="330" t="s">
        <v>284</v>
      </c>
      <c r="M23" s="332" t="s">
        <v>438</v>
      </c>
      <c r="N23" s="330" t="s">
        <v>439</v>
      </c>
      <c r="O23" s="339">
        <v>0.52548266555947698</v>
      </c>
      <c r="P23" s="333">
        <v>10125</v>
      </c>
      <c r="Q23" s="333">
        <v>19268</v>
      </c>
      <c r="R23" s="333">
        <v>109</v>
      </c>
      <c r="S23" s="333">
        <v>109</v>
      </c>
      <c r="T23" s="333">
        <v>2</v>
      </c>
      <c r="U23" s="333">
        <v>1090</v>
      </c>
      <c r="V23" s="333">
        <v>650</v>
      </c>
      <c r="W23" s="330">
        <v>55</v>
      </c>
      <c r="X23" s="330" t="s">
        <v>440</v>
      </c>
      <c r="Y23" s="332" t="s">
        <v>270</v>
      </c>
      <c r="Z23" s="330" t="s">
        <v>215</v>
      </c>
      <c r="AA23" s="330" t="s">
        <v>271</v>
      </c>
      <c r="AB23" s="330" t="s">
        <v>217</v>
      </c>
      <c r="AC23" s="330"/>
      <c r="AD23" s="330"/>
      <c r="AE23" s="330">
        <v>49</v>
      </c>
      <c r="AF23" s="330">
        <v>-99</v>
      </c>
      <c r="AG23" s="332" t="s">
        <v>238</v>
      </c>
      <c r="AH23" s="332" t="s">
        <v>191</v>
      </c>
      <c r="AI23" s="330" t="s">
        <v>192</v>
      </c>
      <c r="AJ23" s="330" t="s">
        <v>192</v>
      </c>
      <c r="AK23" s="330"/>
      <c r="AL23" s="330" t="s">
        <v>192</v>
      </c>
      <c r="AM23" s="330" t="s">
        <v>191</v>
      </c>
      <c r="AN23" s="330" t="s">
        <v>192</v>
      </c>
      <c r="AO23" s="330"/>
      <c r="AP23" s="332" t="s">
        <v>259</v>
      </c>
      <c r="AQ23" s="330"/>
      <c r="AR23" s="330"/>
      <c r="AS23" s="330" t="b">
        <v>1</v>
      </c>
      <c r="AT23" s="330"/>
      <c r="AU23" s="332" t="s">
        <v>192</v>
      </c>
      <c r="AV23" s="334">
        <v>45951.63553590278</v>
      </c>
      <c r="AW23" s="330"/>
      <c r="AX23" s="335">
        <v>45973</v>
      </c>
      <c r="AY23" s="336">
        <v>45960</v>
      </c>
      <c r="AZ23" s="330"/>
      <c r="BA23" s="336">
        <v>45992</v>
      </c>
      <c r="BB23" s="330"/>
      <c r="BC23" s="336">
        <v>45994</v>
      </c>
      <c r="BD23" s="330"/>
      <c r="BE23" s="336">
        <v>45994</v>
      </c>
      <c r="BF23" s="330"/>
      <c r="BG23" s="330"/>
      <c r="BH23" s="330" t="s">
        <v>193</v>
      </c>
      <c r="BI23" s="330">
        <v>500</v>
      </c>
      <c r="BJ23" s="330"/>
      <c r="BK23" s="330"/>
      <c r="BL23" s="330"/>
      <c r="BM23" s="332"/>
      <c r="BN23" s="330"/>
      <c r="BO23" s="330" t="s">
        <v>240</v>
      </c>
      <c r="BP23" s="330" t="s">
        <v>193</v>
      </c>
      <c r="BQ23" s="330" t="s">
        <v>218</v>
      </c>
      <c r="BR23" s="330" t="s">
        <v>220</v>
      </c>
      <c r="BS23" s="330"/>
      <c r="BT23" s="330" t="s">
        <v>220</v>
      </c>
      <c r="BU23" s="330"/>
      <c r="BV23" s="330" t="s">
        <v>220</v>
      </c>
      <c r="BW23" s="330"/>
      <c r="BX23" s="332"/>
      <c r="BY23" s="330"/>
      <c r="BZ23" s="330"/>
      <c r="CA23" s="330"/>
      <c r="CB23" s="330"/>
      <c r="CC23" s="337" t="s">
        <v>241</v>
      </c>
      <c r="CD23" s="330" t="b">
        <v>1</v>
      </c>
      <c r="CE23" s="330" t="b">
        <v>1</v>
      </c>
      <c r="CF23" s="330" t="b">
        <v>1</v>
      </c>
      <c r="CG23" s="330" t="s">
        <v>242</v>
      </c>
      <c r="CH23" s="330"/>
      <c r="CI23" s="330"/>
      <c r="CJ23" s="330"/>
      <c r="CK23" s="330"/>
      <c r="CL23" s="330"/>
      <c r="CM23" s="330"/>
      <c r="CN23" s="330"/>
      <c r="CO23" s="330"/>
      <c r="CP23" s="330"/>
      <c r="CQ23" s="330"/>
      <c r="CR23" s="330"/>
      <c r="CS23" s="330"/>
      <c r="CT23" s="330"/>
      <c r="CU23" s="330"/>
      <c r="CV23" s="330"/>
      <c r="CW23" s="330"/>
      <c r="CX23" s="330"/>
      <c r="CY23" s="330"/>
      <c r="CZ23" s="330"/>
      <c r="DA23" s="330"/>
      <c r="DB23" s="330" t="b">
        <v>1</v>
      </c>
      <c r="DC23" s="330" t="b">
        <v>1</v>
      </c>
      <c r="DD23" s="330"/>
      <c r="DE23" s="330"/>
      <c r="DF23" s="338">
        <v>24051</v>
      </c>
      <c r="DG23" s="330" t="s">
        <v>221</v>
      </c>
      <c r="DH23" s="330"/>
      <c r="DI23" s="338">
        <v>219</v>
      </c>
      <c r="DJ23" s="330"/>
      <c r="DK23" s="330">
        <v>219</v>
      </c>
      <c r="DL23" s="330" t="s">
        <v>243</v>
      </c>
      <c r="DM23" s="330"/>
      <c r="DN23" s="330"/>
      <c r="DO23" s="330"/>
      <c r="DP23" s="330"/>
      <c r="DQ23" s="338" t="s">
        <v>197</v>
      </c>
      <c r="DR23" s="330"/>
      <c r="DS23" s="330"/>
      <c r="DT23" s="330"/>
      <c r="DU23" s="338" t="s">
        <v>197</v>
      </c>
      <c r="DV23" s="330"/>
      <c r="DW23" s="330"/>
      <c r="DX23" s="330"/>
      <c r="DY23" s="338" t="s">
        <v>197</v>
      </c>
      <c r="DZ23" s="330"/>
      <c r="EA23" s="330"/>
      <c r="EB23" s="330"/>
      <c r="EC23" s="330" t="s">
        <v>197</v>
      </c>
      <c r="ED23" s="338" t="s">
        <v>197</v>
      </c>
      <c r="EE23" s="330">
        <v>12</v>
      </c>
      <c r="EF23" s="330">
        <v>300</v>
      </c>
      <c r="EG23" s="330"/>
      <c r="EH23" s="330"/>
      <c r="EI23" s="330"/>
      <c r="EJ23" s="330"/>
      <c r="EK23" s="330"/>
      <c r="EL23" s="330"/>
      <c r="EM23" s="330"/>
      <c r="EN23" s="330"/>
      <c r="EO23" s="330"/>
      <c r="EP23" s="330"/>
      <c r="EQ23" s="332" t="s">
        <v>244</v>
      </c>
      <c r="ER23" s="330"/>
      <c r="ES23" s="330"/>
      <c r="ET23" s="332" t="s">
        <v>245</v>
      </c>
      <c r="EU23" s="332" t="s">
        <v>246</v>
      </c>
      <c r="EV23" s="336">
        <v>45959</v>
      </c>
      <c r="EW23" s="336">
        <v>45959</v>
      </c>
      <c r="EX23" s="330">
        <v>1</v>
      </c>
      <c r="EY23" s="330"/>
      <c r="EZ23" s="330" t="s">
        <v>201</v>
      </c>
      <c r="FA23" s="336">
        <v>45996</v>
      </c>
      <c r="FB23" s="330">
        <v>2</v>
      </c>
      <c r="FC23" s="330" t="s">
        <v>202</v>
      </c>
      <c r="FD23" s="332" t="s">
        <v>190</v>
      </c>
      <c r="FE23" s="336">
        <v>45999</v>
      </c>
      <c r="FF23" s="330"/>
      <c r="FG23" s="330" t="s">
        <v>203</v>
      </c>
      <c r="FH23" s="330" t="s">
        <v>385</v>
      </c>
      <c r="FI23" s="330" t="s">
        <v>204</v>
      </c>
      <c r="FJ23" s="330"/>
      <c r="FK23" s="330" t="s">
        <v>230</v>
      </c>
      <c r="FL23" s="330" t="s">
        <v>192</v>
      </c>
      <c r="FM23" s="330" t="s">
        <v>191</v>
      </c>
      <c r="FN23" s="330" t="s">
        <v>441</v>
      </c>
      <c r="FO23" s="330"/>
      <c r="FP23" s="330" t="s">
        <v>430</v>
      </c>
      <c r="FQ23" s="330"/>
      <c r="FR23" s="330"/>
      <c r="FS23" s="330"/>
      <c r="FT23" s="330"/>
      <c r="FU23" s="330"/>
    </row>
    <row r="24" spans="1:177" ht="51" x14ac:dyDescent="0.25">
      <c r="A24" s="330">
        <v>23</v>
      </c>
      <c r="B24" s="331" t="s">
        <v>442</v>
      </c>
      <c r="C24" s="330"/>
      <c r="D24" s="332" t="s">
        <v>228</v>
      </c>
      <c r="E24" s="332" t="s">
        <v>229</v>
      </c>
      <c r="F24" s="332" t="s">
        <v>230</v>
      </c>
      <c r="G24" s="330" t="s">
        <v>231</v>
      </c>
      <c r="H24" s="331">
        <v>400</v>
      </c>
      <c r="I24" s="330"/>
      <c r="J24" s="332"/>
      <c r="K24" s="332" t="s">
        <v>443</v>
      </c>
      <c r="L24" s="330" t="s">
        <v>284</v>
      </c>
      <c r="M24" s="332" t="s">
        <v>444</v>
      </c>
      <c r="N24" s="330" t="s">
        <v>445</v>
      </c>
      <c r="O24" s="339">
        <v>0.65881253892464198</v>
      </c>
      <c r="P24" s="333">
        <v>12694</v>
      </c>
      <c r="Q24" s="333">
        <v>19268</v>
      </c>
      <c r="R24" s="333">
        <v>13</v>
      </c>
      <c r="S24" s="333">
        <v>13</v>
      </c>
      <c r="T24" s="333">
        <v>3</v>
      </c>
      <c r="U24" s="333">
        <v>91</v>
      </c>
      <c r="V24" s="333">
        <v>55</v>
      </c>
      <c r="W24" s="330">
        <v>5</v>
      </c>
      <c r="X24" s="330" t="s">
        <v>446</v>
      </c>
      <c r="Y24" s="332" t="s">
        <v>447</v>
      </c>
      <c r="Z24" s="330" t="s">
        <v>215</v>
      </c>
      <c r="AA24" s="330" t="s">
        <v>448</v>
      </c>
      <c r="AB24" s="330" t="s">
        <v>217</v>
      </c>
      <c r="AC24" s="330"/>
      <c r="AD24" s="330"/>
      <c r="AE24" s="330">
        <v>75</v>
      </c>
      <c r="AF24" s="330">
        <v>-46</v>
      </c>
      <c r="AG24" s="332" t="s">
        <v>238</v>
      </c>
      <c r="AH24" s="332" t="s">
        <v>191</v>
      </c>
      <c r="AI24" s="330" t="s">
        <v>192</v>
      </c>
      <c r="AJ24" s="330" t="s">
        <v>192</v>
      </c>
      <c r="AK24" s="330"/>
      <c r="AL24" s="330" t="s">
        <v>192</v>
      </c>
      <c r="AM24" s="330" t="s">
        <v>191</v>
      </c>
      <c r="AN24" s="330" t="s">
        <v>353</v>
      </c>
      <c r="AO24" s="330"/>
      <c r="AP24" s="332" t="s">
        <v>259</v>
      </c>
      <c r="AQ24" s="330"/>
      <c r="AR24" s="330"/>
      <c r="AS24" s="330" t="b">
        <v>1</v>
      </c>
      <c r="AT24" s="330"/>
      <c r="AU24" s="332" t="s">
        <v>353</v>
      </c>
      <c r="AV24" s="334">
        <v>46010.469971736115</v>
      </c>
      <c r="AW24" s="330"/>
      <c r="AX24" s="335">
        <v>46041</v>
      </c>
      <c r="AY24" s="336">
        <v>46049</v>
      </c>
      <c r="AZ24" s="330" t="b">
        <v>1</v>
      </c>
      <c r="BA24" s="336">
        <v>46065</v>
      </c>
      <c r="BB24" s="330"/>
      <c r="BC24" s="336">
        <v>46062</v>
      </c>
      <c r="BD24" s="330"/>
      <c r="BE24" s="336">
        <v>46062</v>
      </c>
      <c r="BF24" s="330"/>
      <c r="BG24" s="330"/>
      <c r="BH24" s="330" t="s">
        <v>193</v>
      </c>
      <c r="BI24" s="330">
        <v>200</v>
      </c>
      <c r="BJ24" s="330"/>
      <c r="BK24" s="330"/>
      <c r="BL24" s="330"/>
      <c r="BM24" s="332"/>
      <c r="BN24" s="330"/>
      <c r="BO24" s="330" t="s">
        <v>240</v>
      </c>
      <c r="BP24" s="330" t="s">
        <v>193</v>
      </c>
      <c r="BQ24" s="330" t="s">
        <v>218</v>
      </c>
      <c r="BR24" s="330" t="s">
        <v>220</v>
      </c>
      <c r="BS24" s="330"/>
      <c r="BT24" s="330" t="s">
        <v>220</v>
      </c>
      <c r="BU24" s="330"/>
      <c r="BV24" s="330" t="s">
        <v>220</v>
      </c>
      <c r="BW24" s="330"/>
      <c r="BX24" s="332"/>
      <c r="BY24" s="330"/>
      <c r="BZ24" s="330"/>
      <c r="CA24" s="330"/>
      <c r="CB24" s="330"/>
      <c r="CC24" s="337" t="s">
        <v>241</v>
      </c>
      <c r="CD24" s="330"/>
      <c r="CE24" s="330" t="b">
        <v>1</v>
      </c>
      <c r="CF24" s="330" t="b">
        <v>1</v>
      </c>
      <c r="CG24" s="330" t="s">
        <v>242</v>
      </c>
      <c r="CH24" s="330"/>
      <c r="CI24" s="330"/>
      <c r="CJ24" s="330"/>
      <c r="CK24" s="330"/>
      <c r="CL24" s="330"/>
      <c r="CM24" s="330"/>
      <c r="CN24" s="330"/>
      <c r="CO24" s="330"/>
      <c r="CP24" s="330"/>
      <c r="CQ24" s="330"/>
      <c r="CR24" s="330"/>
      <c r="CS24" s="330"/>
      <c r="CT24" s="330"/>
      <c r="CU24" s="330"/>
      <c r="CV24" s="330"/>
      <c r="CW24" s="330"/>
      <c r="CX24" s="330"/>
      <c r="CY24" s="330"/>
      <c r="CZ24" s="330"/>
      <c r="DA24" s="330"/>
      <c r="DB24" s="330" t="b">
        <v>1</v>
      </c>
      <c r="DC24" s="330" t="b">
        <v>1</v>
      </c>
      <c r="DD24" s="330"/>
      <c r="DE24" s="330"/>
      <c r="DF24" s="338">
        <v>24051</v>
      </c>
      <c r="DG24" s="330" t="s">
        <v>221</v>
      </c>
      <c r="DH24" s="330"/>
      <c r="DI24" s="340">
        <v>221</v>
      </c>
      <c r="DJ24" s="330"/>
      <c r="DK24" s="330">
        <v>221</v>
      </c>
      <c r="DL24" s="330" t="s">
        <v>243</v>
      </c>
      <c r="DM24" s="330"/>
      <c r="DN24" s="330"/>
      <c r="DO24" s="330"/>
      <c r="DP24" s="330"/>
      <c r="DQ24" s="338" t="s">
        <v>197</v>
      </c>
      <c r="DR24" s="330"/>
      <c r="DS24" s="330"/>
      <c r="DT24" s="330"/>
      <c r="DU24" s="338" t="s">
        <v>197</v>
      </c>
      <c r="DV24" s="330"/>
      <c r="DW24" s="330"/>
      <c r="DX24" s="330"/>
      <c r="DY24" s="338" t="s">
        <v>197</v>
      </c>
      <c r="DZ24" s="330"/>
      <c r="EA24" s="330"/>
      <c r="EB24" s="330"/>
      <c r="EC24" s="330" t="s">
        <v>197</v>
      </c>
      <c r="ED24" s="338" t="s">
        <v>197</v>
      </c>
      <c r="EE24" s="330">
        <v>8</v>
      </c>
      <c r="EF24" s="330">
        <v>16</v>
      </c>
      <c r="EG24" s="330"/>
      <c r="EH24" s="330"/>
      <c r="EI24" s="330"/>
      <c r="EJ24" s="330"/>
      <c r="EK24" s="330"/>
      <c r="EL24" s="330"/>
      <c r="EM24" s="330"/>
      <c r="EN24" s="330"/>
      <c r="EO24" s="330"/>
      <c r="EP24" s="330"/>
      <c r="EQ24" s="332" t="s">
        <v>244</v>
      </c>
      <c r="ER24" s="330"/>
      <c r="ES24" s="330"/>
      <c r="ET24" s="332" t="s">
        <v>245</v>
      </c>
      <c r="EU24" s="332" t="s">
        <v>246</v>
      </c>
      <c r="EV24" s="336">
        <v>46045</v>
      </c>
      <c r="EW24" s="336">
        <v>46049</v>
      </c>
      <c r="EX24" s="330">
        <v>3</v>
      </c>
      <c r="EY24" s="330"/>
      <c r="EZ24" s="330" t="s">
        <v>201</v>
      </c>
      <c r="FA24" s="336">
        <v>46080</v>
      </c>
      <c r="FB24" s="330">
        <v>1</v>
      </c>
      <c r="FC24" s="330" t="s">
        <v>202</v>
      </c>
      <c r="FD24" s="332" t="s">
        <v>190</v>
      </c>
      <c r="FE24" s="336">
        <v>46081</v>
      </c>
      <c r="FF24" s="330"/>
      <c r="FG24" s="330" t="s">
        <v>203</v>
      </c>
      <c r="FH24" s="330" t="s">
        <v>449</v>
      </c>
      <c r="FI24" s="330" t="s">
        <v>204</v>
      </c>
      <c r="FJ24" s="330"/>
      <c r="FK24" s="330" t="s">
        <v>230</v>
      </c>
      <c r="FL24" s="330" t="s">
        <v>192</v>
      </c>
      <c r="FM24" s="330" t="s">
        <v>191</v>
      </c>
      <c r="FN24" s="330" t="s">
        <v>450</v>
      </c>
      <c r="FO24" s="330" t="b">
        <v>1</v>
      </c>
      <c r="FP24" s="330" t="s">
        <v>451</v>
      </c>
      <c r="FQ24" s="330"/>
      <c r="FR24" s="330"/>
      <c r="FS24" s="330"/>
      <c r="FT24" s="330"/>
      <c r="FU24" s="330"/>
    </row>
    <row r="25" spans="1:177" ht="89.25" x14ac:dyDescent="0.25">
      <c r="A25" s="330">
        <v>24</v>
      </c>
      <c r="B25" s="331" t="s">
        <v>452</v>
      </c>
      <c r="C25" s="330"/>
      <c r="D25" s="332" t="s">
        <v>228</v>
      </c>
      <c r="E25" s="332" t="s">
        <v>229</v>
      </c>
      <c r="F25" s="332" t="s">
        <v>230</v>
      </c>
      <c r="G25" s="330" t="s">
        <v>231</v>
      </c>
      <c r="H25" s="331">
        <v>400</v>
      </c>
      <c r="I25" s="330"/>
      <c r="J25" s="332"/>
      <c r="K25" s="332" t="s">
        <v>453</v>
      </c>
      <c r="L25" s="330" t="s">
        <v>284</v>
      </c>
      <c r="M25" s="332" t="s">
        <v>454</v>
      </c>
      <c r="N25" s="330" t="s">
        <v>455</v>
      </c>
      <c r="O25" s="339">
        <v>0.754670957027195</v>
      </c>
      <c r="P25" s="333">
        <v>14541</v>
      </c>
      <c r="Q25" s="333">
        <v>19268</v>
      </c>
      <c r="R25" s="333">
        <v>44</v>
      </c>
      <c r="S25" s="333">
        <v>90</v>
      </c>
      <c r="T25" s="333">
        <v>59</v>
      </c>
      <c r="U25" s="333">
        <v>387</v>
      </c>
      <c r="V25" s="333">
        <v>700</v>
      </c>
      <c r="W25" s="330">
        <v>23</v>
      </c>
      <c r="X25" s="330" t="s">
        <v>456</v>
      </c>
      <c r="Y25" s="332" t="s">
        <v>289</v>
      </c>
      <c r="Z25" s="330" t="s">
        <v>215</v>
      </c>
      <c r="AA25" s="330" t="s">
        <v>290</v>
      </c>
      <c r="AB25" s="330" t="s">
        <v>217</v>
      </c>
      <c r="AC25" s="330"/>
      <c r="AD25" s="330"/>
      <c r="AE25" s="330">
        <v>2</v>
      </c>
      <c r="AF25" s="330">
        <v>-6</v>
      </c>
      <c r="AG25" s="332" t="s">
        <v>315</v>
      </c>
      <c r="AH25" s="332" t="s">
        <v>191</v>
      </c>
      <c r="AI25" s="330" t="s">
        <v>192</v>
      </c>
      <c r="AJ25" s="330" t="s">
        <v>192</v>
      </c>
      <c r="AK25" s="330"/>
      <c r="AL25" s="330" t="s">
        <v>192</v>
      </c>
      <c r="AM25" s="330" t="s">
        <v>191</v>
      </c>
      <c r="AN25" s="330" t="s">
        <v>192</v>
      </c>
      <c r="AO25" s="330"/>
      <c r="AP25" s="332" t="s">
        <v>259</v>
      </c>
      <c r="AQ25" s="330"/>
      <c r="AR25" s="330"/>
      <c r="AS25" s="330" t="b">
        <v>1</v>
      </c>
      <c r="AT25" s="330"/>
      <c r="AU25" s="332" t="s">
        <v>192</v>
      </c>
      <c r="AV25" s="334">
        <v>46055.456795520833</v>
      </c>
      <c r="AW25" s="330"/>
      <c r="AX25" s="335">
        <v>46076</v>
      </c>
      <c r="AY25" s="336">
        <v>46105</v>
      </c>
      <c r="AZ25" s="330" t="b">
        <v>1</v>
      </c>
      <c r="BA25" s="336">
        <v>46121</v>
      </c>
      <c r="BB25" s="330"/>
      <c r="BC25" s="336">
        <v>46097</v>
      </c>
      <c r="BD25" s="330"/>
      <c r="BE25" s="336">
        <v>46097</v>
      </c>
      <c r="BF25" s="330"/>
      <c r="BG25" s="330"/>
      <c r="BH25" s="330" t="s">
        <v>193</v>
      </c>
      <c r="BI25" s="330">
        <v>500</v>
      </c>
      <c r="BJ25" s="330"/>
      <c r="BK25" s="330"/>
      <c r="BL25" s="330"/>
      <c r="BM25" s="332"/>
      <c r="BN25" s="330"/>
      <c r="BO25" s="330" t="s">
        <v>240</v>
      </c>
      <c r="BP25" s="330" t="s">
        <v>193</v>
      </c>
      <c r="BQ25" s="330" t="s">
        <v>218</v>
      </c>
      <c r="BR25" s="330" t="s">
        <v>220</v>
      </c>
      <c r="BS25" s="330"/>
      <c r="BT25" s="330" t="s">
        <v>220</v>
      </c>
      <c r="BU25" s="330"/>
      <c r="BV25" s="330" t="s">
        <v>220</v>
      </c>
      <c r="BW25" s="330"/>
      <c r="BX25" s="332"/>
      <c r="BY25" s="330"/>
      <c r="BZ25" s="330"/>
      <c r="CA25" s="330"/>
      <c r="CB25" s="330"/>
      <c r="CC25" s="337" t="s">
        <v>319</v>
      </c>
      <c r="CD25" s="330" t="b">
        <v>1</v>
      </c>
      <c r="CE25" s="330" t="b">
        <v>1</v>
      </c>
      <c r="CF25" s="330" t="b">
        <v>1</v>
      </c>
      <c r="CG25" s="330" t="s">
        <v>242</v>
      </c>
      <c r="CH25" s="330"/>
      <c r="CI25" s="330"/>
      <c r="CJ25" s="330"/>
      <c r="CK25" s="330"/>
      <c r="CL25" s="330"/>
      <c r="CM25" s="330"/>
      <c r="CN25" s="330"/>
      <c r="CO25" s="330"/>
      <c r="CP25" s="330"/>
      <c r="CQ25" s="330"/>
      <c r="CR25" s="330"/>
      <c r="CS25" s="330"/>
      <c r="CT25" s="330"/>
      <c r="CU25" s="330"/>
      <c r="CV25" s="330"/>
      <c r="CW25" s="330"/>
      <c r="CX25" s="330"/>
      <c r="CY25" s="330"/>
      <c r="CZ25" s="330"/>
      <c r="DA25" s="330"/>
      <c r="DB25" s="330" t="b">
        <v>1</v>
      </c>
      <c r="DC25" s="330" t="b">
        <v>1</v>
      </c>
      <c r="DD25" s="330"/>
      <c r="DE25" s="330"/>
      <c r="DF25" s="338">
        <v>24051</v>
      </c>
      <c r="DG25" s="330" t="s">
        <v>221</v>
      </c>
      <c r="DH25" s="330"/>
      <c r="DI25" s="340">
        <v>223</v>
      </c>
      <c r="DJ25" s="330"/>
      <c r="DK25" s="330">
        <v>223</v>
      </c>
      <c r="DL25" s="330" t="s">
        <v>243</v>
      </c>
      <c r="DM25" s="330"/>
      <c r="DN25" s="330"/>
      <c r="DO25" s="330"/>
      <c r="DP25" s="330"/>
      <c r="DQ25" s="338" t="s">
        <v>197</v>
      </c>
      <c r="DR25" s="330"/>
      <c r="DS25" s="330"/>
      <c r="DT25" s="330"/>
      <c r="DU25" s="338" t="s">
        <v>197</v>
      </c>
      <c r="DV25" s="330"/>
      <c r="DW25" s="330"/>
      <c r="DX25" s="330"/>
      <c r="DY25" s="338" t="s">
        <v>197</v>
      </c>
      <c r="DZ25" s="330"/>
      <c r="EA25" s="330"/>
      <c r="EB25" s="330"/>
      <c r="EC25" s="330" t="s">
        <v>197</v>
      </c>
      <c r="ED25" s="338" t="s">
        <v>197</v>
      </c>
      <c r="EE25" s="330">
        <v>12</v>
      </c>
      <c r="EF25" s="330">
        <v>40</v>
      </c>
      <c r="EG25" s="330"/>
      <c r="EH25" s="330"/>
      <c r="EI25" s="330"/>
      <c r="EJ25" s="330"/>
      <c r="EK25" s="330"/>
      <c r="EL25" s="330"/>
      <c r="EM25" s="330"/>
      <c r="EN25" s="330"/>
      <c r="EO25" s="330"/>
      <c r="EP25" s="330"/>
      <c r="EQ25" s="332" t="s">
        <v>244</v>
      </c>
      <c r="ER25" s="330"/>
      <c r="ES25" s="330"/>
      <c r="ET25" s="332" t="s">
        <v>245</v>
      </c>
      <c r="EU25" s="332" t="s">
        <v>246</v>
      </c>
      <c r="EV25" s="336">
        <v>46105</v>
      </c>
      <c r="EW25" s="336">
        <v>46105</v>
      </c>
      <c r="EX25" s="330">
        <v>1</v>
      </c>
      <c r="EY25" s="330"/>
      <c r="EZ25" s="330" t="s">
        <v>247</v>
      </c>
      <c r="FA25" s="330"/>
      <c r="FB25" s="330" t="s">
        <v>247</v>
      </c>
      <c r="FC25" s="330" t="s">
        <v>202</v>
      </c>
      <c r="FD25" s="332" t="s">
        <v>190</v>
      </c>
      <c r="FE25" s="330"/>
      <c r="FF25" s="330"/>
      <c r="FG25" s="330" t="s">
        <v>203</v>
      </c>
      <c r="FH25" s="330" t="s">
        <v>457</v>
      </c>
      <c r="FI25" s="330" t="s">
        <v>204</v>
      </c>
      <c r="FJ25" s="330"/>
      <c r="FK25" s="330" t="s">
        <v>230</v>
      </c>
      <c r="FL25" s="330" t="s">
        <v>192</v>
      </c>
      <c r="FM25" s="330" t="s">
        <v>191</v>
      </c>
      <c r="FN25" s="330" t="s">
        <v>458</v>
      </c>
      <c r="FO25" s="330"/>
      <c r="FP25" s="330" t="s">
        <v>459</v>
      </c>
      <c r="FQ25" s="330"/>
      <c r="FR25" s="330"/>
      <c r="FS25" s="330"/>
      <c r="FT25" s="330"/>
      <c r="FU25" s="330"/>
    </row>
    <row r="26" spans="1:177" ht="38.25" x14ac:dyDescent="0.25">
      <c r="A26" s="330">
        <v>25</v>
      </c>
      <c r="B26" s="331" t="s">
        <v>460</v>
      </c>
      <c r="C26" s="330"/>
      <c r="D26" s="332" t="s">
        <v>228</v>
      </c>
      <c r="E26" s="332" t="s">
        <v>229</v>
      </c>
      <c r="F26" s="332" t="s">
        <v>230</v>
      </c>
      <c r="G26" s="330" t="s">
        <v>231</v>
      </c>
      <c r="H26" s="331">
        <v>400</v>
      </c>
      <c r="I26" s="330"/>
      <c r="J26" s="332" t="s">
        <v>461</v>
      </c>
      <c r="K26" s="332"/>
      <c r="L26" s="330" t="s">
        <v>284</v>
      </c>
      <c r="M26" s="332" t="s">
        <v>462</v>
      </c>
      <c r="N26" s="330" t="s">
        <v>463</v>
      </c>
      <c r="O26" s="339">
        <v>0.75477475607224398</v>
      </c>
      <c r="P26" s="333">
        <v>14543</v>
      </c>
      <c r="Q26" s="333">
        <v>19268</v>
      </c>
      <c r="R26" s="333">
        <v>2</v>
      </c>
      <c r="S26" s="333">
        <v>2</v>
      </c>
      <c r="T26" s="333">
        <v>2</v>
      </c>
      <c r="U26" s="333">
        <v>16</v>
      </c>
      <c r="V26" s="333">
        <v>0</v>
      </c>
      <c r="W26" s="330">
        <v>1</v>
      </c>
      <c r="X26" s="330" t="s">
        <v>464</v>
      </c>
      <c r="Y26" s="332" t="s">
        <v>289</v>
      </c>
      <c r="Z26" s="330" t="s">
        <v>215</v>
      </c>
      <c r="AA26" s="330" t="s">
        <v>290</v>
      </c>
      <c r="AB26" s="330" t="s">
        <v>217</v>
      </c>
      <c r="AC26" s="330"/>
      <c r="AD26" s="330"/>
      <c r="AE26" s="330">
        <v>101</v>
      </c>
      <c r="AF26" s="330">
        <v>-6</v>
      </c>
      <c r="AG26" s="332" t="s">
        <v>238</v>
      </c>
      <c r="AH26" s="332" t="s">
        <v>191</v>
      </c>
      <c r="AI26" s="330" t="s">
        <v>192</v>
      </c>
      <c r="AJ26" s="330" t="s">
        <v>192</v>
      </c>
      <c r="AK26" s="330"/>
      <c r="AL26" s="330" t="s">
        <v>192</v>
      </c>
      <c r="AM26" s="330" t="s">
        <v>191</v>
      </c>
      <c r="AN26" s="330" t="s">
        <v>192</v>
      </c>
      <c r="AO26" s="330"/>
      <c r="AP26" s="332" t="s">
        <v>259</v>
      </c>
      <c r="AQ26" s="330"/>
      <c r="AR26" s="330"/>
      <c r="AS26" s="330" t="b">
        <v>1</v>
      </c>
      <c r="AT26" s="330"/>
      <c r="AU26" s="332" t="s">
        <v>192</v>
      </c>
      <c r="AV26" s="334">
        <v>46058.479872708333</v>
      </c>
      <c r="AW26" s="330" t="b">
        <v>1</v>
      </c>
      <c r="AX26" s="335">
        <v>46079</v>
      </c>
      <c r="AY26" s="336">
        <v>46105</v>
      </c>
      <c r="AZ26" s="330" t="b">
        <v>1</v>
      </c>
      <c r="BA26" s="336">
        <v>46121</v>
      </c>
      <c r="BB26" s="330"/>
      <c r="BC26" s="336">
        <v>46097</v>
      </c>
      <c r="BD26" s="330"/>
      <c r="BE26" s="336">
        <v>46097</v>
      </c>
      <c r="BF26" s="330"/>
      <c r="BG26" s="330"/>
      <c r="BH26" s="330" t="s">
        <v>193</v>
      </c>
      <c r="BI26" s="330">
        <v>500</v>
      </c>
      <c r="BJ26" s="330"/>
      <c r="BK26" s="330"/>
      <c r="BL26" s="330"/>
      <c r="BM26" s="332"/>
      <c r="BN26" s="330"/>
      <c r="BO26" s="330" t="s">
        <v>240</v>
      </c>
      <c r="BP26" s="330" t="s">
        <v>193</v>
      </c>
      <c r="BQ26" s="330" t="s">
        <v>218</v>
      </c>
      <c r="BR26" s="330" t="s">
        <v>220</v>
      </c>
      <c r="BS26" s="330"/>
      <c r="BT26" s="330" t="s">
        <v>220</v>
      </c>
      <c r="BU26" s="330"/>
      <c r="BV26" s="330" t="s">
        <v>220</v>
      </c>
      <c r="BW26" s="330"/>
      <c r="BX26" s="332"/>
      <c r="BY26" s="330"/>
      <c r="BZ26" s="330"/>
      <c r="CA26" s="330"/>
      <c r="CB26" s="330"/>
      <c r="CC26" s="337" t="s">
        <v>241</v>
      </c>
      <c r="CD26" s="330" t="b">
        <v>1</v>
      </c>
      <c r="CE26" s="330" t="b">
        <v>1</v>
      </c>
      <c r="CF26" s="330" t="b">
        <v>1</v>
      </c>
      <c r="CG26" s="330" t="s">
        <v>242</v>
      </c>
      <c r="CH26" s="330"/>
      <c r="CI26" s="330"/>
      <c r="CJ26" s="330"/>
      <c r="CK26" s="330"/>
      <c r="CL26" s="330"/>
      <c r="CM26" s="330"/>
      <c r="CN26" s="330"/>
      <c r="CO26" s="330"/>
      <c r="CP26" s="330"/>
      <c r="CQ26" s="330"/>
      <c r="CR26" s="330"/>
      <c r="CS26" s="330"/>
      <c r="CT26" s="330"/>
      <c r="CU26" s="330"/>
      <c r="CV26" s="330"/>
      <c r="CW26" s="330"/>
      <c r="CX26" s="330"/>
      <c r="CY26" s="330"/>
      <c r="CZ26" s="330"/>
      <c r="DA26" s="330"/>
      <c r="DB26" s="330" t="b">
        <v>1</v>
      </c>
      <c r="DC26" s="330" t="b">
        <v>1</v>
      </c>
      <c r="DD26" s="330"/>
      <c r="DE26" s="330"/>
      <c r="DF26" s="338">
        <v>24051</v>
      </c>
      <c r="DG26" s="330" t="s">
        <v>221</v>
      </c>
      <c r="DH26" s="330"/>
      <c r="DI26" s="340">
        <v>224</v>
      </c>
      <c r="DJ26" s="330"/>
      <c r="DK26" s="330">
        <v>224</v>
      </c>
      <c r="DL26" s="330" t="s">
        <v>243</v>
      </c>
      <c r="DM26" s="330"/>
      <c r="DN26" s="330"/>
      <c r="DO26" s="330"/>
      <c r="DP26" s="330"/>
      <c r="DQ26" s="338" t="s">
        <v>197</v>
      </c>
      <c r="DR26" s="330"/>
      <c r="DS26" s="330"/>
      <c r="DT26" s="330"/>
      <c r="DU26" s="338" t="s">
        <v>197</v>
      </c>
      <c r="DV26" s="330"/>
      <c r="DW26" s="330"/>
      <c r="DX26" s="330"/>
      <c r="DY26" s="338" t="s">
        <v>197</v>
      </c>
      <c r="DZ26" s="330"/>
      <c r="EA26" s="330"/>
      <c r="EB26" s="330"/>
      <c r="EC26" s="330" t="s">
        <v>197</v>
      </c>
      <c r="ED26" s="338" t="s">
        <v>197</v>
      </c>
      <c r="EE26" s="330">
        <v>2</v>
      </c>
      <c r="EF26" s="330">
        <v>4</v>
      </c>
      <c r="EG26" s="330"/>
      <c r="EH26" s="330"/>
      <c r="EI26" s="330"/>
      <c r="EJ26" s="330"/>
      <c r="EK26" s="330"/>
      <c r="EL26" s="330"/>
      <c r="EM26" s="330"/>
      <c r="EN26" s="330"/>
      <c r="EO26" s="330"/>
      <c r="EP26" s="330"/>
      <c r="EQ26" s="332" t="s">
        <v>244</v>
      </c>
      <c r="ER26" s="330"/>
      <c r="ES26" s="330"/>
      <c r="ET26" s="332" t="s">
        <v>245</v>
      </c>
      <c r="EU26" s="332" t="s">
        <v>246</v>
      </c>
      <c r="EV26" s="336">
        <v>46105</v>
      </c>
      <c r="EW26" s="336">
        <v>46105</v>
      </c>
      <c r="EX26" s="330">
        <v>1</v>
      </c>
      <c r="EY26" s="330"/>
      <c r="EZ26" s="330" t="s">
        <v>201</v>
      </c>
      <c r="FA26" s="336">
        <v>46108</v>
      </c>
      <c r="FB26" s="330">
        <v>7</v>
      </c>
      <c r="FC26" s="330" t="s">
        <v>202</v>
      </c>
      <c r="FD26" s="332" t="s">
        <v>190</v>
      </c>
      <c r="FE26" s="336">
        <v>46118</v>
      </c>
      <c r="FF26" s="330"/>
      <c r="FG26" s="330" t="s">
        <v>203</v>
      </c>
      <c r="FH26" s="330" t="s">
        <v>457</v>
      </c>
      <c r="FI26" s="330" t="s">
        <v>204</v>
      </c>
      <c r="FJ26" s="330"/>
      <c r="FK26" s="330" t="s">
        <v>230</v>
      </c>
      <c r="FL26" s="330" t="s">
        <v>192</v>
      </c>
      <c r="FM26" s="330" t="s">
        <v>191</v>
      </c>
      <c r="FN26" s="330" t="s">
        <v>465</v>
      </c>
      <c r="FO26" s="330"/>
      <c r="FP26" s="330" t="s">
        <v>459</v>
      </c>
      <c r="FQ26" s="330"/>
      <c r="FR26" s="330"/>
      <c r="FS26" s="330"/>
      <c r="FT26" s="330"/>
      <c r="FU26" s="330"/>
    </row>
    <row r="27" spans="1:177" ht="89.25" x14ac:dyDescent="0.25">
      <c r="A27" s="330">
        <v>26</v>
      </c>
      <c r="B27" s="331" t="s">
        <v>466</v>
      </c>
      <c r="C27" s="330"/>
      <c r="D27" s="332" t="s">
        <v>228</v>
      </c>
      <c r="E27" s="332" t="s">
        <v>229</v>
      </c>
      <c r="F27" s="332" t="s">
        <v>230</v>
      </c>
      <c r="G27" s="330" t="s">
        <v>231</v>
      </c>
      <c r="H27" s="331">
        <v>400</v>
      </c>
      <c r="I27" s="330"/>
      <c r="J27" s="332" t="s">
        <v>467</v>
      </c>
      <c r="K27" s="332"/>
      <c r="L27" s="330" t="s">
        <v>284</v>
      </c>
      <c r="M27" s="332" t="s">
        <v>468</v>
      </c>
      <c r="N27" s="330" t="s">
        <v>469</v>
      </c>
      <c r="O27" s="339">
        <v>0.66462528544737398</v>
      </c>
      <c r="P27" s="333">
        <v>12806</v>
      </c>
      <c r="Q27" s="333">
        <v>19268</v>
      </c>
      <c r="R27" s="333">
        <v>14</v>
      </c>
      <c r="S27" s="333">
        <v>14</v>
      </c>
      <c r="T27" s="333">
        <v>14</v>
      </c>
      <c r="U27" s="333">
        <v>138</v>
      </c>
      <c r="V27" s="333">
        <v>60</v>
      </c>
      <c r="W27" s="330">
        <v>4</v>
      </c>
      <c r="X27" s="330" t="s">
        <v>470</v>
      </c>
      <c r="Y27" s="332" t="s">
        <v>351</v>
      </c>
      <c r="Z27" s="330" t="s">
        <v>215</v>
      </c>
      <c r="AA27" s="330" t="s">
        <v>352</v>
      </c>
      <c r="AB27" s="330" t="s">
        <v>189</v>
      </c>
      <c r="AC27" s="330"/>
      <c r="AD27" s="330"/>
      <c r="AE27" s="330">
        <v>79</v>
      </c>
      <c r="AF27" s="330">
        <v>-43</v>
      </c>
      <c r="AG27" s="332" t="s">
        <v>238</v>
      </c>
      <c r="AH27" s="332" t="s">
        <v>191</v>
      </c>
      <c r="AI27" s="330" t="s">
        <v>192</v>
      </c>
      <c r="AJ27" s="330" t="s">
        <v>192</v>
      </c>
      <c r="AK27" s="330"/>
      <c r="AL27" s="330" t="s">
        <v>192</v>
      </c>
      <c r="AM27" s="330" t="s">
        <v>191</v>
      </c>
      <c r="AN27" s="330" t="s">
        <v>471</v>
      </c>
      <c r="AO27" s="330"/>
      <c r="AP27" s="332" t="s">
        <v>259</v>
      </c>
      <c r="AQ27" s="330"/>
      <c r="AR27" s="330"/>
      <c r="AS27" s="330" t="b">
        <v>1</v>
      </c>
      <c r="AT27" s="330"/>
      <c r="AU27" s="332" t="s">
        <v>471</v>
      </c>
      <c r="AV27" s="334">
        <v>46007.484495428238</v>
      </c>
      <c r="AW27" s="330" t="b">
        <v>1</v>
      </c>
      <c r="AX27" s="335">
        <v>46028</v>
      </c>
      <c r="AY27" s="336">
        <v>46052</v>
      </c>
      <c r="AZ27" s="330" t="b">
        <v>1</v>
      </c>
      <c r="BA27" s="336">
        <v>46070</v>
      </c>
      <c r="BB27" s="330"/>
      <c r="BC27" s="336">
        <v>46041</v>
      </c>
      <c r="BD27" s="330"/>
      <c r="BE27" s="336">
        <v>46041</v>
      </c>
      <c r="BF27" s="330"/>
      <c r="BG27" s="330"/>
      <c r="BH27" s="330" t="s">
        <v>193</v>
      </c>
      <c r="BI27" s="330">
        <v>1000</v>
      </c>
      <c r="BJ27" s="330"/>
      <c r="BK27" s="330"/>
      <c r="BL27" s="330"/>
      <c r="BM27" s="332"/>
      <c r="BN27" s="330"/>
      <c r="BO27" s="330" t="s">
        <v>240</v>
      </c>
      <c r="BP27" s="330" t="s">
        <v>193</v>
      </c>
      <c r="BQ27" s="330" t="s">
        <v>218</v>
      </c>
      <c r="BR27" s="330" t="s">
        <v>220</v>
      </c>
      <c r="BS27" s="330"/>
      <c r="BT27" s="330" t="s">
        <v>220</v>
      </c>
      <c r="BU27" s="330"/>
      <c r="BV27" s="330" t="s">
        <v>220</v>
      </c>
      <c r="BW27" s="330"/>
      <c r="BX27" s="332"/>
      <c r="BY27" s="330"/>
      <c r="BZ27" s="330"/>
      <c r="CA27" s="330"/>
      <c r="CB27" s="330"/>
      <c r="CC27" s="337" t="s">
        <v>241</v>
      </c>
      <c r="CD27" s="330" t="b">
        <v>1</v>
      </c>
      <c r="CE27" s="330" t="b">
        <v>1</v>
      </c>
      <c r="CF27" s="330" t="b">
        <v>1</v>
      </c>
      <c r="CG27" s="330" t="s">
        <v>242</v>
      </c>
      <c r="CH27" s="330"/>
      <c r="CI27" s="330"/>
      <c r="CJ27" s="330"/>
      <c r="CK27" s="330"/>
      <c r="CL27" s="330"/>
      <c r="CM27" s="330"/>
      <c r="CN27" s="330"/>
      <c r="CO27" s="330"/>
      <c r="CP27" s="330"/>
      <c r="CQ27" s="330"/>
      <c r="CR27" s="330"/>
      <c r="CS27" s="330"/>
      <c r="CT27" s="330"/>
      <c r="CU27" s="330"/>
      <c r="CV27" s="330"/>
      <c r="CW27" s="330"/>
      <c r="CX27" s="330"/>
      <c r="CY27" s="330"/>
      <c r="CZ27" s="330"/>
      <c r="DA27" s="330"/>
      <c r="DB27" s="330" t="b">
        <v>1</v>
      </c>
      <c r="DC27" s="330" t="b">
        <v>1</v>
      </c>
      <c r="DD27" s="330"/>
      <c r="DE27" s="330"/>
      <c r="DF27" s="338">
        <v>24051</v>
      </c>
      <c r="DG27" s="330" t="s">
        <v>221</v>
      </c>
      <c r="DH27" s="330"/>
      <c r="DI27" s="338">
        <v>67</v>
      </c>
      <c r="DJ27" s="330"/>
      <c r="DK27" s="330">
        <v>67</v>
      </c>
      <c r="DL27" s="330" t="s">
        <v>243</v>
      </c>
      <c r="DM27" s="330"/>
      <c r="DN27" s="330"/>
      <c r="DO27" s="330"/>
      <c r="DP27" s="330"/>
      <c r="DQ27" s="338" t="s">
        <v>197</v>
      </c>
      <c r="DR27" s="330"/>
      <c r="DS27" s="330"/>
      <c r="DT27" s="330"/>
      <c r="DU27" s="338" t="s">
        <v>197</v>
      </c>
      <c r="DV27" s="330"/>
      <c r="DW27" s="330"/>
      <c r="DX27" s="330"/>
      <c r="DY27" s="338" t="s">
        <v>197</v>
      </c>
      <c r="DZ27" s="330"/>
      <c r="EA27" s="330"/>
      <c r="EB27" s="330"/>
      <c r="EC27" s="330" t="s">
        <v>197</v>
      </c>
      <c r="ED27" s="338" t="s">
        <v>197</v>
      </c>
      <c r="EE27" s="330">
        <v>4</v>
      </c>
      <c r="EF27" s="330">
        <v>16</v>
      </c>
      <c r="EG27" s="330"/>
      <c r="EH27" s="330"/>
      <c r="EI27" s="330"/>
      <c r="EJ27" s="330"/>
      <c r="EK27" s="330"/>
      <c r="EL27" s="330"/>
      <c r="EM27" s="330"/>
      <c r="EN27" s="330"/>
      <c r="EO27" s="330"/>
      <c r="EP27" s="330"/>
      <c r="EQ27" s="332" t="s">
        <v>244</v>
      </c>
      <c r="ER27" s="330"/>
      <c r="ES27" s="330"/>
      <c r="ET27" s="332" t="s">
        <v>245</v>
      </c>
      <c r="EU27" s="332" t="s">
        <v>246</v>
      </c>
      <c r="EV27" s="336">
        <v>46052</v>
      </c>
      <c r="EW27" s="336">
        <v>46052</v>
      </c>
      <c r="EX27" s="330">
        <v>1</v>
      </c>
      <c r="EY27" s="330"/>
      <c r="EZ27" s="330" t="s">
        <v>201</v>
      </c>
      <c r="FA27" s="336">
        <v>46073</v>
      </c>
      <c r="FB27" s="330">
        <v>2</v>
      </c>
      <c r="FC27" s="330" t="s">
        <v>202</v>
      </c>
      <c r="FD27" s="332" t="s">
        <v>190</v>
      </c>
      <c r="FE27" s="336">
        <v>46076</v>
      </c>
      <c r="FF27" s="330"/>
      <c r="FG27" s="330" t="s">
        <v>203</v>
      </c>
      <c r="FH27" s="330" t="s">
        <v>472</v>
      </c>
      <c r="FI27" s="330" t="s">
        <v>204</v>
      </c>
      <c r="FJ27" s="330"/>
      <c r="FK27" s="330" t="s">
        <v>230</v>
      </c>
      <c r="FL27" s="330" t="s">
        <v>192</v>
      </c>
      <c r="FM27" s="330" t="s">
        <v>191</v>
      </c>
      <c r="FN27" s="330" t="s">
        <v>473</v>
      </c>
      <c r="FO27" s="330"/>
      <c r="FP27" s="330" t="s">
        <v>344</v>
      </c>
      <c r="FQ27" s="330"/>
      <c r="FR27" s="330"/>
      <c r="FS27" s="330"/>
      <c r="FT27" s="330"/>
      <c r="FU27" s="330"/>
    </row>
    <row r="28" spans="1:177" ht="63.75" x14ac:dyDescent="0.25">
      <c r="A28" s="330">
        <v>27</v>
      </c>
      <c r="B28" s="331" t="s">
        <v>474</v>
      </c>
      <c r="C28" s="330"/>
      <c r="D28" s="332" t="s">
        <v>228</v>
      </c>
      <c r="E28" s="332" t="s">
        <v>229</v>
      </c>
      <c r="F28" s="332" t="s">
        <v>230</v>
      </c>
      <c r="G28" s="330" t="s">
        <v>231</v>
      </c>
      <c r="H28" s="331">
        <v>400</v>
      </c>
      <c r="I28" s="330"/>
      <c r="J28" s="332"/>
      <c r="K28" s="332" t="s">
        <v>475</v>
      </c>
      <c r="L28" s="330" t="s">
        <v>284</v>
      </c>
      <c r="M28" s="332" t="s">
        <v>476</v>
      </c>
      <c r="N28" s="330" t="s">
        <v>477</v>
      </c>
      <c r="O28" s="339">
        <v>0.67002283578991095</v>
      </c>
      <c r="P28" s="333">
        <v>12910</v>
      </c>
      <c r="Q28" s="333">
        <v>19268</v>
      </c>
      <c r="R28" s="333">
        <v>104</v>
      </c>
      <c r="S28" s="333">
        <v>104</v>
      </c>
      <c r="T28" s="333">
        <v>12</v>
      </c>
      <c r="U28" s="333">
        <v>704</v>
      </c>
      <c r="V28" s="333">
        <v>1400</v>
      </c>
      <c r="W28" s="330" t="s">
        <v>478</v>
      </c>
      <c r="X28" s="330" t="s">
        <v>479</v>
      </c>
      <c r="Y28" s="332" t="s">
        <v>351</v>
      </c>
      <c r="Z28" s="330" t="s">
        <v>215</v>
      </c>
      <c r="AA28" s="330" t="s">
        <v>352</v>
      </c>
      <c r="AB28" s="330" t="s">
        <v>189</v>
      </c>
      <c r="AC28" s="330"/>
      <c r="AD28" s="330"/>
      <c r="AE28" s="330">
        <v>81</v>
      </c>
      <c r="AF28" s="330">
        <v>-34</v>
      </c>
      <c r="AG28" s="332" t="s">
        <v>238</v>
      </c>
      <c r="AH28" s="332" t="s">
        <v>191</v>
      </c>
      <c r="AI28" s="330" t="s">
        <v>192</v>
      </c>
      <c r="AJ28" s="330" t="s">
        <v>192</v>
      </c>
      <c r="AK28" s="330"/>
      <c r="AL28" s="330" t="s">
        <v>192</v>
      </c>
      <c r="AM28" s="330" t="s">
        <v>191</v>
      </c>
      <c r="AN28" s="330" t="s">
        <v>192</v>
      </c>
      <c r="AO28" s="330"/>
      <c r="AP28" s="332" t="s">
        <v>259</v>
      </c>
      <c r="AQ28" s="330"/>
      <c r="AR28" s="330"/>
      <c r="AS28" s="330" t="b">
        <v>1</v>
      </c>
      <c r="AT28" s="330"/>
      <c r="AU28" s="332" t="s">
        <v>192</v>
      </c>
      <c r="AV28" s="334">
        <v>46009.442769525464</v>
      </c>
      <c r="AW28" s="330"/>
      <c r="AX28" s="335">
        <v>46034</v>
      </c>
      <c r="AY28" s="336">
        <v>46065</v>
      </c>
      <c r="AZ28" s="330" t="b">
        <v>1</v>
      </c>
      <c r="BA28" s="336">
        <v>46083</v>
      </c>
      <c r="BB28" s="330"/>
      <c r="BC28" s="336">
        <v>46055</v>
      </c>
      <c r="BD28" s="330"/>
      <c r="BE28" s="336">
        <v>46055</v>
      </c>
      <c r="BF28" s="330"/>
      <c r="BG28" s="330"/>
      <c r="BH28" s="330" t="s">
        <v>193</v>
      </c>
      <c r="BI28" s="330">
        <v>1000</v>
      </c>
      <c r="BJ28" s="330"/>
      <c r="BK28" s="330"/>
      <c r="BL28" s="330"/>
      <c r="BM28" s="332"/>
      <c r="BN28" s="330"/>
      <c r="BO28" s="330" t="s">
        <v>240</v>
      </c>
      <c r="BP28" s="330" t="s">
        <v>193</v>
      </c>
      <c r="BQ28" s="330" t="s">
        <v>218</v>
      </c>
      <c r="BR28" s="330" t="s">
        <v>220</v>
      </c>
      <c r="BS28" s="330"/>
      <c r="BT28" s="330" t="s">
        <v>220</v>
      </c>
      <c r="BU28" s="330"/>
      <c r="BV28" s="330" t="s">
        <v>220</v>
      </c>
      <c r="BW28" s="330"/>
      <c r="BX28" s="332"/>
      <c r="BY28" s="330"/>
      <c r="BZ28" s="330"/>
      <c r="CA28" s="330"/>
      <c r="CB28" s="330"/>
      <c r="CC28" s="337" t="s">
        <v>241</v>
      </c>
      <c r="CD28" s="330" t="b">
        <v>1</v>
      </c>
      <c r="CE28" s="330" t="b">
        <v>1</v>
      </c>
      <c r="CF28" s="330" t="b">
        <v>1</v>
      </c>
      <c r="CG28" s="330"/>
      <c r="CH28" s="330"/>
      <c r="CI28" s="330"/>
      <c r="CJ28" s="330"/>
      <c r="CK28" s="330"/>
      <c r="CL28" s="330"/>
      <c r="CM28" s="330"/>
      <c r="CN28" s="330"/>
      <c r="CO28" s="330"/>
      <c r="CP28" s="330"/>
      <c r="CQ28" s="330"/>
      <c r="CR28" s="330"/>
      <c r="CS28" s="330"/>
      <c r="CT28" s="330"/>
      <c r="CU28" s="330"/>
      <c r="CV28" s="330"/>
      <c r="CW28" s="330"/>
      <c r="CX28" s="330"/>
      <c r="CY28" s="330"/>
      <c r="CZ28" s="330"/>
      <c r="DA28" s="330"/>
      <c r="DB28" s="330" t="b">
        <v>1</v>
      </c>
      <c r="DC28" s="330" t="b">
        <v>1</v>
      </c>
      <c r="DD28" s="330"/>
      <c r="DE28" s="330"/>
      <c r="DF28" s="338">
        <v>24051</v>
      </c>
      <c r="DG28" s="330" t="s">
        <v>221</v>
      </c>
      <c r="DH28" s="330"/>
      <c r="DI28" s="338">
        <v>72</v>
      </c>
      <c r="DJ28" s="330"/>
      <c r="DK28" s="330">
        <v>72</v>
      </c>
      <c r="DL28" s="330" t="s">
        <v>243</v>
      </c>
      <c r="DM28" s="330"/>
      <c r="DN28" s="330"/>
      <c r="DO28" s="330"/>
      <c r="DP28" s="330"/>
      <c r="DQ28" s="338" t="s">
        <v>197</v>
      </c>
      <c r="DR28" s="330"/>
      <c r="DS28" s="330"/>
      <c r="DT28" s="330"/>
      <c r="DU28" s="338" t="s">
        <v>197</v>
      </c>
      <c r="DV28" s="330"/>
      <c r="DW28" s="330"/>
      <c r="DX28" s="330"/>
      <c r="DY28" s="338" t="s">
        <v>197</v>
      </c>
      <c r="DZ28" s="330"/>
      <c r="EA28" s="330"/>
      <c r="EB28" s="330"/>
      <c r="EC28" s="330" t="s">
        <v>197</v>
      </c>
      <c r="ED28" s="338" t="s">
        <v>197</v>
      </c>
      <c r="EE28" s="330">
        <v>4</v>
      </c>
      <c r="EF28" s="330">
        <v>200</v>
      </c>
      <c r="EG28" s="330"/>
      <c r="EH28" s="330"/>
      <c r="EI28" s="330"/>
      <c r="EJ28" s="330"/>
      <c r="EK28" s="330"/>
      <c r="EL28" s="330"/>
      <c r="EM28" s="330"/>
      <c r="EN28" s="330"/>
      <c r="EO28" s="330"/>
      <c r="EP28" s="330"/>
      <c r="EQ28" s="332" t="s">
        <v>244</v>
      </c>
      <c r="ER28" s="330"/>
      <c r="ES28" s="330"/>
      <c r="ET28" s="332" t="s">
        <v>245</v>
      </c>
      <c r="EU28" s="332" t="s">
        <v>354</v>
      </c>
      <c r="EV28" s="336">
        <v>46064</v>
      </c>
      <c r="EW28" s="336">
        <v>46065</v>
      </c>
      <c r="EX28" s="330">
        <v>2</v>
      </c>
      <c r="EY28" s="330"/>
      <c r="EZ28" s="330" t="s">
        <v>201</v>
      </c>
      <c r="FA28" s="336">
        <v>46085</v>
      </c>
      <c r="FB28" s="330">
        <v>1</v>
      </c>
      <c r="FC28" s="330" t="s">
        <v>202</v>
      </c>
      <c r="FD28" s="332" t="s">
        <v>190</v>
      </c>
      <c r="FE28" s="336">
        <v>46085</v>
      </c>
      <c r="FF28" s="330"/>
      <c r="FG28" s="330" t="s">
        <v>203</v>
      </c>
      <c r="FH28" s="330" t="s">
        <v>260</v>
      </c>
      <c r="FI28" s="330" t="s">
        <v>204</v>
      </c>
      <c r="FJ28" s="330"/>
      <c r="FK28" s="330" t="s">
        <v>230</v>
      </c>
      <c r="FL28" s="330" t="s">
        <v>192</v>
      </c>
      <c r="FM28" s="330" t="s">
        <v>191</v>
      </c>
      <c r="FN28" s="330" t="s">
        <v>480</v>
      </c>
      <c r="FO28" s="330" t="b">
        <v>1</v>
      </c>
      <c r="FP28" s="330" t="s">
        <v>357</v>
      </c>
      <c r="FQ28" s="330"/>
      <c r="FR28" s="330"/>
      <c r="FS28" s="330"/>
      <c r="FT28" s="330"/>
      <c r="FU28" s="330"/>
    </row>
    <row r="29" spans="1:177" ht="63.75" x14ac:dyDescent="0.25">
      <c r="A29" s="330">
        <v>28</v>
      </c>
      <c r="B29" s="331" t="s">
        <v>481</v>
      </c>
      <c r="C29" s="330"/>
      <c r="D29" s="332" t="s">
        <v>228</v>
      </c>
      <c r="E29" s="332" t="s">
        <v>229</v>
      </c>
      <c r="F29" s="332" t="s">
        <v>230</v>
      </c>
      <c r="G29" s="330" t="s">
        <v>231</v>
      </c>
      <c r="H29" s="331">
        <v>400</v>
      </c>
      <c r="I29" s="330"/>
      <c r="J29" s="332"/>
      <c r="K29" s="332" t="s">
        <v>482</v>
      </c>
      <c r="L29" s="330" t="s">
        <v>284</v>
      </c>
      <c r="M29" s="332" t="s">
        <v>483</v>
      </c>
      <c r="N29" s="330" t="s">
        <v>484</v>
      </c>
      <c r="O29" s="339">
        <v>0.67344820427652097</v>
      </c>
      <c r="P29" s="333">
        <v>12976</v>
      </c>
      <c r="Q29" s="333">
        <v>19268</v>
      </c>
      <c r="R29" s="333">
        <v>66</v>
      </c>
      <c r="S29" s="333">
        <v>66</v>
      </c>
      <c r="T29" s="333">
        <v>24</v>
      </c>
      <c r="U29" s="333">
        <v>386</v>
      </c>
      <c r="V29" s="333">
        <v>900</v>
      </c>
      <c r="W29" s="330" t="s">
        <v>485</v>
      </c>
      <c r="X29" s="330" t="s">
        <v>486</v>
      </c>
      <c r="Y29" s="332" t="s">
        <v>351</v>
      </c>
      <c r="Z29" s="330" t="s">
        <v>215</v>
      </c>
      <c r="AA29" s="330" t="s">
        <v>352</v>
      </c>
      <c r="AB29" s="330" t="s">
        <v>189</v>
      </c>
      <c r="AC29" s="330"/>
      <c r="AD29" s="330"/>
      <c r="AE29" s="330">
        <v>81</v>
      </c>
      <c r="AF29" s="330">
        <v>-34</v>
      </c>
      <c r="AG29" s="332" t="s">
        <v>238</v>
      </c>
      <c r="AH29" s="332" t="s">
        <v>191</v>
      </c>
      <c r="AI29" s="330" t="s">
        <v>192</v>
      </c>
      <c r="AJ29" s="330" t="s">
        <v>192</v>
      </c>
      <c r="AK29" s="330"/>
      <c r="AL29" s="330" t="s">
        <v>192</v>
      </c>
      <c r="AM29" s="330" t="s">
        <v>191</v>
      </c>
      <c r="AN29" s="330" t="s">
        <v>192</v>
      </c>
      <c r="AO29" s="330"/>
      <c r="AP29" s="332" t="s">
        <v>259</v>
      </c>
      <c r="AQ29" s="330"/>
      <c r="AR29" s="330"/>
      <c r="AS29" s="330" t="b">
        <v>1</v>
      </c>
      <c r="AT29" s="330"/>
      <c r="AU29" s="332" t="s">
        <v>192</v>
      </c>
      <c r="AV29" s="334">
        <v>46009.466376064818</v>
      </c>
      <c r="AW29" s="330"/>
      <c r="AX29" s="335">
        <v>46034</v>
      </c>
      <c r="AY29" s="336">
        <v>46065</v>
      </c>
      <c r="AZ29" s="330" t="b">
        <v>1</v>
      </c>
      <c r="BA29" s="336">
        <v>46083</v>
      </c>
      <c r="BB29" s="330"/>
      <c r="BC29" s="336">
        <v>46055</v>
      </c>
      <c r="BD29" s="330"/>
      <c r="BE29" s="336">
        <v>46055</v>
      </c>
      <c r="BF29" s="330"/>
      <c r="BG29" s="330"/>
      <c r="BH29" s="330" t="s">
        <v>193</v>
      </c>
      <c r="BI29" s="330">
        <v>1000</v>
      </c>
      <c r="BJ29" s="330"/>
      <c r="BK29" s="330"/>
      <c r="BL29" s="330"/>
      <c r="BM29" s="332"/>
      <c r="BN29" s="330"/>
      <c r="BO29" s="330" t="s">
        <v>240</v>
      </c>
      <c r="BP29" s="330" t="s">
        <v>193</v>
      </c>
      <c r="BQ29" s="330" t="s">
        <v>218</v>
      </c>
      <c r="BR29" s="330" t="s">
        <v>220</v>
      </c>
      <c r="BS29" s="330"/>
      <c r="BT29" s="330" t="s">
        <v>220</v>
      </c>
      <c r="BU29" s="330"/>
      <c r="BV29" s="330" t="s">
        <v>220</v>
      </c>
      <c r="BW29" s="330"/>
      <c r="BX29" s="332"/>
      <c r="BY29" s="330"/>
      <c r="BZ29" s="330"/>
      <c r="CA29" s="330"/>
      <c r="CB29" s="330"/>
      <c r="CC29" s="337" t="s">
        <v>241</v>
      </c>
      <c r="CD29" s="330" t="b">
        <v>1</v>
      </c>
      <c r="CE29" s="330" t="b">
        <v>1</v>
      </c>
      <c r="CF29" s="330" t="b">
        <v>1</v>
      </c>
      <c r="CG29" s="330"/>
      <c r="CH29" s="330"/>
      <c r="CI29" s="330"/>
      <c r="CJ29" s="330"/>
      <c r="CK29" s="330"/>
      <c r="CL29" s="330"/>
      <c r="CM29" s="330"/>
      <c r="CN29" s="330"/>
      <c r="CO29" s="330"/>
      <c r="CP29" s="330"/>
      <c r="CQ29" s="330"/>
      <c r="CR29" s="330"/>
      <c r="CS29" s="330"/>
      <c r="CT29" s="330"/>
      <c r="CU29" s="330"/>
      <c r="CV29" s="330"/>
      <c r="CW29" s="330"/>
      <c r="CX29" s="330"/>
      <c r="CY29" s="330"/>
      <c r="CZ29" s="330"/>
      <c r="DA29" s="330"/>
      <c r="DB29" s="330" t="b">
        <v>1</v>
      </c>
      <c r="DC29" s="330" t="b">
        <v>1</v>
      </c>
      <c r="DD29" s="330"/>
      <c r="DE29" s="330"/>
      <c r="DF29" s="338">
        <v>24051</v>
      </c>
      <c r="DG29" s="330" t="s">
        <v>221</v>
      </c>
      <c r="DH29" s="330"/>
      <c r="DI29" s="338">
        <v>73</v>
      </c>
      <c r="DJ29" s="330"/>
      <c r="DK29" s="330">
        <v>73</v>
      </c>
      <c r="DL29" s="330" t="s">
        <v>243</v>
      </c>
      <c r="DM29" s="330"/>
      <c r="DN29" s="330"/>
      <c r="DO29" s="330"/>
      <c r="DP29" s="330"/>
      <c r="DQ29" s="338" t="s">
        <v>197</v>
      </c>
      <c r="DR29" s="330"/>
      <c r="DS29" s="330"/>
      <c r="DT29" s="330"/>
      <c r="DU29" s="338" t="s">
        <v>197</v>
      </c>
      <c r="DV29" s="330"/>
      <c r="DW29" s="330"/>
      <c r="DX29" s="330"/>
      <c r="DY29" s="338" t="s">
        <v>197</v>
      </c>
      <c r="DZ29" s="330"/>
      <c r="EA29" s="330"/>
      <c r="EB29" s="330"/>
      <c r="EC29" s="330" t="s">
        <v>197</v>
      </c>
      <c r="ED29" s="338" t="s">
        <v>197</v>
      </c>
      <c r="EE29" s="330">
        <v>16</v>
      </c>
      <c r="EF29" s="330">
        <v>120</v>
      </c>
      <c r="EG29" s="330"/>
      <c r="EH29" s="330"/>
      <c r="EI29" s="330"/>
      <c r="EJ29" s="330"/>
      <c r="EK29" s="330"/>
      <c r="EL29" s="330"/>
      <c r="EM29" s="330"/>
      <c r="EN29" s="330"/>
      <c r="EO29" s="330"/>
      <c r="EP29" s="330"/>
      <c r="EQ29" s="332" t="s">
        <v>244</v>
      </c>
      <c r="ER29" s="330"/>
      <c r="ES29" s="330"/>
      <c r="ET29" s="332" t="s">
        <v>245</v>
      </c>
      <c r="EU29" s="332" t="s">
        <v>354</v>
      </c>
      <c r="EV29" s="336">
        <v>46064</v>
      </c>
      <c r="EW29" s="336">
        <v>46065</v>
      </c>
      <c r="EX29" s="330">
        <v>2</v>
      </c>
      <c r="EY29" s="330"/>
      <c r="EZ29" s="330" t="s">
        <v>201</v>
      </c>
      <c r="FA29" s="336">
        <v>46085</v>
      </c>
      <c r="FB29" s="330">
        <v>2</v>
      </c>
      <c r="FC29" s="330" t="s">
        <v>202</v>
      </c>
      <c r="FD29" s="332" t="s">
        <v>190</v>
      </c>
      <c r="FE29" s="336">
        <v>46086</v>
      </c>
      <c r="FF29" s="330"/>
      <c r="FG29" s="330" t="s">
        <v>203</v>
      </c>
      <c r="FH29" s="330" t="s">
        <v>260</v>
      </c>
      <c r="FI29" s="330" t="s">
        <v>204</v>
      </c>
      <c r="FJ29" s="330"/>
      <c r="FK29" s="330" t="s">
        <v>230</v>
      </c>
      <c r="FL29" s="330" t="s">
        <v>192</v>
      </c>
      <c r="FM29" s="330" t="s">
        <v>191</v>
      </c>
      <c r="FN29" s="330" t="s">
        <v>487</v>
      </c>
      <c r="FO29" s="330"/>
      <c r="FP29" s="330" t="s">
        <v>357</v>
      </c>
      <c r="FQ29" s="330"/>
      <c r="FR29" s="330"/>
      <c r="FS29" s="330"/>
      <c r="FT29" s="330"/>
      <c r="FU29" s="330"/>
    </row>
    <row r="30" spans="1:177" ht="114.75" x14ac:dyDescent="0.25">
      <c r="A30" s="330">
        <v>29</v>
      </c>
      <c r="B30" s="331" t="s">
        <v>488</v>
      </c>
      <c r="C30" s="330"/>
      <c r="D30" s="332" t="s">
        <v>228</v>
      </c>
      <c r="E30" s="332" t="s">
        <v>229</v>
      </c>
      <c r="F30" s="332" t="s">
        <v>230</v>
      </c>
      <c r="G30" s="330" t="s">
        <v>231</v>
      </c>
      <c r="H30" s="331">
        <v>400</v>
      </c>
      <c r="I30" s="330"/>
      <c r="J30" s="332" t="s">
        <v>359</v>
      </c>
      <c r="K30" s="332" t="s">
        <v>437</v>
      </c>
      <c r="L30" s="330" t="s">
        <v>284</v>
      </c>
      <c r="M30" s="332" t="s">
        <v>489</v>
      </c>
      <c r="N30" s="330" t="s">
        <v>490</v>
      </c>
      <c r="O30" s="339">
        <v>0.59367863815652899</v>
      </c>
      <c r="P30" s="333">
        <v>11439</v>
      </c>
      <c r="Q30" s="333">
        <v>19268</v>
      </c>
      <c r="R30" s="333">
        <v>149</v>
      </c>
      <c r="S30" s="333">
        <v>149</v>
      </c>
      <c r="T30" s="333">
        <v>2</v>
      </c>
      <c r="U30" s="333">
        <v>894</v>
      </c>
      <c r="V30" s="333">
        <v>2000</v>
      </c>
      <c r="W30" s="330" t="s">
        <v>491</v>
      </c>
      <c r="X30" s="330" t="s">
        <v>492</v>
      </c>
      <c r="Y30" s="332" t="s">
        <v>351</v>
      </c>
      <c r="Z30" s="330" t="s">
        <v>215</v>
      </c>
      <c r="AA30" s="330" t="s">
        <v>352</v>
      </c>
      <c r="AB30" s="330" t="s">
        <v>189</v>
      </c>
      <c r="AC30" s="330"/>
      <c r="AD30" s="330"/>
      <c r="AE30" s="330">
        <v>67</v>
      </c>
      <c r="AF30" s="330">
        <v>-57</v>
      </c>
      <c r="AG30" s="332" t="s">
        <v>238</v>
      </c>
      <c r="AH30" s="332" t="s">
        <v>191</v>
      </c>
      <c r="AI30" s="330" t="s">
        <v>192</v>
      </c>
      <c r="AJ30" s="330" t="s">
        <v>192</v>
      </c>
      <c r="AK30" s="330"/>
      <c r="AL30" s="330" t="s">
        <v>192</v>
      </c>
      <c r="AM30" s="330" t="s">
        <v>191</v>
      </c>
      <c r="AN30" s="330" t="s">
        <v>192</v>
      </c>
      <c r="AO30" s="330"/>
      <c r="AP30" s="332" t="s">
        <v>259</v>
      </c>
      <c r="AQ30" s="330"/>
      <c r="AR30" s="330"/>
      <c r="AS30" s="330" t="b">
        <v>1</v>
      </c>
      <c r="AT30" s="330"/>
      <c r="AU30" s="332" t="s">
        <v>192</v>
      </c>
      <c r="AV30" s="334">
        <v>45951.675784375002</v>
      </c>
      <c r="AW30" s="330"/>
      <c r="AX30" s="335">
        <v>46031</v>
      </c>
      <c r="AY30" s="336">
        <v>46003</v>
      </c>
      <c r="AZ30" s="330"/>
      <c r="BA30" s="336">
        <v>46050</v>
      </c>
      <c r="BB30" s="330"/>
      <c r="BC30" s="336">
        <v>46052</v>
      </c>
      <c r="BD30" s="330"/>
      <c r="BE30" s="336">
        <v>46052</v>
      </c>
      <c r="BF30" s="330"/>
      <c r="BG30" s="330"/>
      <c r="BH30" s="330" t="s">
        <v>193</v>
      </c>
      <c r="BI30" s="330">
        <v>1000</v>
      </c>
      <c r="BJ30" s="330"/>
      <c r="BK30" s="330"/>
      <c r="BL30" s="330"/>
      <c r="BM30" s="332"/>
      <c r="BN30" s="330"/>
      <c r="BO30" s="330" t="s">
        <v>240</v>
      </c>
      <c r="BP30" s="330" t="s">
        <v>193</v>
      </c>
      <c r="BQ30" s="330" t="s">
        <v>218</v>
      </c>
      <c r="BR30" s="330" t="s">
        <v>220</v>
      </c>
      <c r="BS30" s="330"/>
      <c r="BT30" s="330" t="s">
        <v>220</v>
      </c>
      <c r="BU30" s="330"/>
      <c r="BV30" s="330" t="s">
        <v>220</v>
      </c>
      <c r="BW30" s="330"/>
      <c r="BX30" s="332"/>
      <c r="BY30" s="330"/>
      <c r="BZ30" s="330"/>
      <c r="CA30" s="330"/>
      <c r="CB30" s="330"/>
      <c r="CC30" s="337" t="s">
        <v>241</v>
      </c>
      <c r="CD30" s="330" t="b">
        <v>1</v>
      </c>
      <c r="CE30" s="330" t="b">
        <v>1</v>
      </c>
      <c r="CF30" s="330" t="b">
        <v>1</v>
      </c>
      <c r="CG30" s="330" t="s">
        <v>242</v>
      </c>
      <c r="CH30" s="330"/>
      <c r="CI30" s="330"/>
      <c r="CJ30" s="330"/>
      <c r="CK30" s="330"/>
      <c r="CL30" s="330"/>
      <c r="CM30" s="330"/>
      <c r="CN30" s="330"/>
      <c r="CO30" s="330"/>
      <c r="CP30" s="330"/>
      <c r="CQ30" s="330"/>
      <c r="CR30" s="330"/>
      <c r="CS30" s="330"/>
      <c r="CT30" s="330"/>
      <c r="CU30" s="330"/>
      <c r="CV30" s="330"/>
      <c r="CW30" s="330"/>
      <c r="CX30" s="330"/>
      <c r="CY30" s="330"/>
      <c r="CZ30" s="330"/>
      <c r="DA30" s="330"/>
      <c r="DB30" s="330" t="b">
        <v>1</v>
      </c>
      <c r="DC30" s="330" t="b">
        <v>1</v>
      </c>
      <c r="DD30" s="330"/>
      <c r="DE30" s="330"/>
      <c r="DF30" s="338">
        <v>24051</v>
      </c>
      <c r="DG30" s="330" t="s">
        <v>221</v>
      </c>
      <c r="DH30" s="330"/>
      <c r="DI30" s="338">
        <v>56</v>
      </c>
      <c r="DJ30" s="330"/>
      <c r="DK30" s="330">
        <v>56</v>
      </c>
      <c r="DL30" s="330" t="s">
        <v>243</v>
      </c>
      <c r="DM30" s="330"/>
      <c r="DN30" s="330"/>
      <c r="DO30" s="330"/>
      <c r="DP30" s="330"/>
      <c r="DQ30" s="338" t="s">
        <v>197</v>
      </c>
      <c r="DR30" s="330"/>
      <c r="DS30" s="330"/>
      <c r="DT30" s="330"/>
      <c r="DU30" s="338" t="s">
        <v>197</v>
      </c>
      <c r="DV30" s="330"/>
      <c r="DW30" s="330"/>
      <c r="DX30" s="330"/>
      <c r="DY30" s="338" t="s">
        <v>197</v>
      </c>
      <c r="DZ30" s="330"/>
      <c r="EA30" s="330"/>
      <c r="EB30" s="330"/>
      <c r="EC30" s="330" t="s">
        <v>197</v>
      </c>
      <c r="ED30" s="338" t="s">
        <v>197</v>
      </c>
      <c r="EE30" s="330">
        <v>8</v>
      </c>
      <c r="EF30" s="330">
        <v>300</v>
      </c>
      <c r="EG30" s="330"/>
      <c r="EH30" s="330"/>
      <c r="EI30" s="330"/>
      <c r="EJ30" s="330"/>
      <c r="EK30" s="330"/>
      <c r="EL30" s="330"/>
      <c r="EM30" s="330"/>
      <c r="EN30" s="330"/>
      <c r="EO30" s="330"/>
      <c r="EP30" s="330"/>
      <c r="EQ30" s="332" t="s">
        <v>244</v>
      </c>
      <c r="ER30" s="330"/>
      <c r="ES30" s="330"/>
      <c r="ET30" s="332" t="s">
        <v>245</v>
      </c>
      <c r="EU30" s="332" t="s">
        <v>246</v>
      </c>
      <c r="EV30" s="336">
        <v>46002</v>
      </c>
      <c r="EW30" s="336">
        <v>46003</v>
      </c>
      <c r="EX30" s="330">
        <v>2</v>
      </c>
      <c r="EY30" s="330"/>
      <c r="EZ30" s="330" t="s">
        <v>201</v>
      </c>
      <c r="FA30" s="336">
        <v>46051</v>
      </c>
      <c r="FB30" s="330">
        <v>2</v>
      </c>
      <c r="FC30" s="330" t="s">
        <v>202</v>
      </c>
      <c r="FD30" s="332" t="s">
        <v>190</v>
      </c>
      <c r="FE30" s="336">
        <v>46052</v>
      </c>
      <c r="FF30" s="330"/>
      <c r="FG30" s="330" t="s">
        <v>203</v>
      </c>
      <c r="FH30" s="330" t="s">
        <v>260</v>
      </c>
      <c r="FI30" s="330" t="s">
        <v>204</v>
      </c>
      <c r="FJ30" s="330"/>
      <c r="FK30" s="330" t="s">
        <v>230</v>
      </c>
      <c r="FL30" s="330" t="s">
        <v>192</v>
      </c>
      <c r="FM30" s="330" t="s">
        <v>191</v>
      </c>
      <c r="FN30" s="330" t="s">
        <v>493</v>
      </c>
      <c r="FO30" s="330"/>
      <c r="FP30" s="330" t="s">
        <v>226</v>
      </c>
      <c r="FQ30" s="330"/>
      <c r="FR30" s="330"/>
      <c r="FS30" s="330"/>
      <c r="FT30" s="330"/>
      <c r="FU30" s="330"/>
    </row>
    <row r="31" spans="1:177" ht="114.75" x14ac:dyDescent="0.25">
      <c r="A31" s="330">
        <v>30</v>
      </c>
      <c r="B31" s="331" t="s">
        <v>494</v>
      </c>
      <c r="C31" s="330"/>
      <c r="D31" s="332" t="s">
        <v>228</v>
      </c>
      <c r="E31" s="332" t="s">
        <v>229</v>
      </c>
      <c r="F31" s="332" t="s">
        <v>230</v>
      </c>
      <c r="G31" s="330" t="s">
        <v>231</v>
      </c>
      <c r="H31" s="331">
        <v>400</v>
      </c>
      <c r="I31" s="330"/>
      <c r="J31" s="332" t="s">
        <v>359</v>
      </c>
      <c r="K31" s="332" t="s">
        <v>495</v>
      </c>
      <c r="L31" s="330" t="s">
        <v>284</v>
      </c>
      <c r="M31" s="332" t="s">
        <v>496</v>
      </c>
      <c r="N31" s="330" t="s">
        <v>497</v>
      </c>
      <c r="O31" s="339">
        <v>0.60141166701266402</v>
      </c>
      <c r="P31" s="333">
        <v>11588</v>
      </c>
      <c r="Q31" s="333">
        <v>19268</v>
      </c>
      <c r="R31" s="333">
        <v>149</v>
      </c>
      <c r="S31" s="333">
        <v>149</v>
      </c>
      <c r="T31" s="333">
        <v>2</v>
      </c>
      <c r="U31" s="333">
        <v>1043</v>
      </c>
      <c r="V31" s="333">
        <v>1000</v>
      </c>
      <c r="W31" s="330">
        <v>15</v>
      </c>
      <c r="X31" s="330" t="s">
        <v>498</v>
      </c>
      <c r="Y31" s="332" t="s">
        <v>351</v>
      </c>
      <c r="Z31" s="330" t="s">
        <v>215</v>
      </c>
      <c r="AA31" s="330" t="s">
        <v>352</v>
      </c>
      <c r="AB31" s="330" t="s">
        <v>189</v>
      </c>
      <c r="AC31" s="330"/>
      <c r="AD31" s="330"/>
      <c r="AE31" s="330">
        <v>68</v>
      </c>
      <c r="AF31" s="330">
        <v>-56</v>
      </c>
      <c r="AG31" s="332" t="s">
        <v>238</v>
      </c>
      <c r="AH31" s="332" t="s">
        <v>191</v>
      </c>
      <c r="AI31" s="330" t="s">
        <v>192</v>
      </c>
      <c r="AJ31" s="330" t="s">
        <v>192</v>
      </c>
      <c r="AK31" s="330"/>
      <c r="AL31" s="330" t="s">
        <v>192</v>
      </c>
      <c r="AM31" s="330" t="s">
        <v>191</v>
      </c>
      <c r="AN31" s="330" t="s">
        <v>192</v>
      </c>
      <c r="AO31" s="330"/>
      <c r="AP31" s="332" t="s">
        <v>259</v>
      </c>
      <c r="AQ31" s="330"/>
      <c r="AR31" s="330"/>
      <c r="AS31" s="330" t="b">
        <v>1</v>
      </c>
      <c r="AT31" s="330"/>
      <c r="AU31" s="332" t="s">
        <v>192</v>
      </c>
      <c r="AV31" s="334">
        <v>45952.366942824076</v>
      </c>
      <c r="AW31" s="330"/>
      <c r="AX31" s="335">
        <v>46034</v>
      </c>
      <c r="AY31" s="336">
        <v>46003</v>
      </c>
      <c r="AZ31" s="330"/>
      <c r="BA31" s="336">
        <v>46051</v>
      </c>
      <c r="BB31" s="330"/>
      <c r="BC31" s="336">
        <v>46055</v>
      </c>
      <c r="BD31" s="330"/>
      <c r="BE31" s="336">
        <v>46055</v>
      </c>
      <c r="BF31" s="330"/>
      <c r="BG31" s="330"/>
      <c r="BH31" s="330" t="s">
        <v>193</v>
      </c>
      <c r="BI31" s="330">
        <v>1000</v>
      </c>
      <c r="BJ31" s="330"/>
      <c r="BK31" s="330"/>
      <c r="BL31" s="330"/>
      <c r="BM31" s="332"/>
      <c r="BN31" s="330"/>
      <c r="BO31" s="330" t="s">
        <v>240</v>
      </c>
      <c r="BP31" s="330" t="s">
        <v>193</v>
      </c>
      <c r="BQ31" s="330" t="s">
        <v>218</v>
      </c>
      <c r="BR31" s="330" t="s">
        <v>220</v>
      </c>
      <c r="BS31" s="330"/>
      <c r="BT31" s="330" t="s">
        <v>220</v>
      </c>
      <c r="BU31" s="330"/>
      <c r="BV31" s="330" t="s">
        <v>220</v>
      </c>
      <c r="BW31" s="330"/>
      <c r="BX31" s="332"/>
      <c r="BY31" s="330"/>
      <c r="BZ31" s="330"/>
      <c r="CA31" s="330"/>
      <c r="CB31" s="330"/>
      <c r="CC31" s="337" t="s">
        <v>241</v>
      </c>
      <c r="CD31" s="330" t="b">
        <v>1</v>
      </c>
      <c r="CE31" s="330" t="b">
        <v>1</v>
      </c>
      <c r="CF31" s="330" t="b">
        <v>1</v>
      </c>
      <c r="CG31" s="330" t="s">
        <v>242</v>
      </c>
      <c r="CH31" s="330"/>
      <c r="CI31" s="330"/>
      <c r="CJ31" s="330"/>
      <c r="CK31" s="330"/>
      <c r="CL31" s="330"/>
      <c r="CM31" s="330"/>
      <c r="CN31" s="330"/>
      <c r="CO31" s="330"/>
      <c r="CP31" s="330"/>
      <c r="CQ31" s="330"/>
      <c r="CR31" s="330"/>
      <c r="CS31" s="330"/>
      <c r="CT31" s="330"/>
      <c r="CU31" s="330"/>
      <c r="CV31" s="330"/>
      <c r="CW31" s="330"/>
      <c r="CX31" s="330"/>
      <c r="CY31" s="330"/>
      <c r="CZ31" s="330"/>
      <c r="DA31" s="330"/>
      <c r="DB31" s="330" t="b">
        <v>1</v>
      </c>
      <c r="DC31" s="330" t="b">
        <v>1</v>
      </c>
      <c r="DD31" s="330"/>
      <c r="DE31" s="330"/>
      <c r="DF31" s="338">
        <v>24051</v>
      </c>
      <c r="DG31" s="330" t="s">
        <v>221</v>
      </c>
      <c r="DH31" s="330"/>
      <c r="DI31" s="338" t="s">
        <v>499</v>
      </c>
      <c r="DJ31" s="330"/>
      <c r="DK31" s="330">
        <v>0</v>
      </c>
      <c r="DL31" s="330" t="s">
        <v>243</v>
      </c>
      <c r="DM31" s="330"/>
      <c r="DN31" s="330"/>
      <c r="DO31" s="330"/>
      <c r="DP31" s="330"/>
      <c r="DQ31" s="338" t="s">
        <v>197</v>
      </c>
      <c r="DR31" s="330"/>
      <c r="DS31" s="330"/>
      <c r="DT31" s="330"/>
      <c r="DU31" s="338" t="s">
        <v>197</v>
      </c>
      <c r="DV31" s="330"/>
      <c r="DW31" s="330"/>
      <c r="DX31" s="330"/>
      <c r="DY31" s="338" t="s">
        <v>197</v>
      </c>
      <c r="DZ31" s="330"/>
      <c r="EA31" s="330"/>
      <c r="EB31" s="330"/>
      <c r="EC31" s="330" t="s">
        <v>197</v>
      </c>
      <c r="ED31" s="338" t="s">
        <v>197</v>
      </c>
      <c r="EE31" s="330">
        <v>4</v>
      </c>
      <c r="EF31" s="330">
        <v>300</v>
      </c>
      <c r="EG31" s="330"/>
      <c r="EH31" s="330"/>
      <c r="EI31" s="330"/>
      <c r="EJ31" s="330"/>
      <c r="EK31" s="330"/>
      <c r="EL31" s="330"/>
      <c r="EM31" s="330"/>
      <c r="EN31" s="330"/>
      <c r="EO31" s="330"/>
      <c r="EP31" s="330"/>
      <c r="EQ31" s="332" t="s">
        <v>244</v>
      </c>
      <c r="ER31" s="330"/>
      <c r="ES31" s="330"/>
      <c r="ET31" s="332" t="s">
        <v>245</v>
      </c>
      <c r="EU31" s="332" t="s">
        <v>246</v>
      </c>
      <c r="EV31" s="336">
        <v>46002</v>
      </c>
      <c r="EW31" s="336">
        <v>46003</v>
      </c>
      <c r="EX31" s="330">
        <v>2</v>
      </c>
      <c r="EY31" s="330"/>
      <c r="EZ31" s="330" t="s">
        <v>201</v>
      </c>
      <c r="FA31" s="336">
        <v>46055</v>
      </c>
      <c r="FB31" s="330">
        <v>1</v>
      </c>
      <c r="FC31" s="330" t="s">
        <v>202</v>
      </c>
      <c r="FD31" s="332" t="s">
        <v>190</v>
      </c>
      <c r="FE31" s="336">
        <v>46055</v>
      </c>
      <c r="FF31" s="330"/>
      <c r="FG31" s="330" t="s">
        <v>203</v>
      </c>
      <c r="FH31" s="330" t="s">
        <v>385</v>
      </c>
      <c r="FI31" s="330" t="s">
        <v>204</v>
      </c>
      <c r="FJ31" s="330"/>
      <c r="FK31" s="330" t="s">
        <v>230</v>
      </c>
      <c r="FL31" s="330" t="s">
        <v>192</v>
      </c>
      <c r="FM31" s="330" t="s">
        <v>191</v>
      </c>
      <c r="FN31" s="330" t="s">
        <v>500</v>
      </c>
      <c r="FO31" s="330"/>
      <c r="FP31" s="330" t="s">
        <v>357</v>
      </c>
      <c r="FQ31" s="330"/>
      <c r="FR31" s="330"/>
      <c r="FS31" s="330"/>
      <c r="FT31" s="330"/>
      <c r="FU31" s="330"/>
    </row>
    <row r="32" spans="1:177" ht="89.25" x14ac:dyDescent="0.25">
      <c r="A32" s="330">
        <v>31</v>
      </c>
      <c r="B32" s="331" t="s">
        <v>501</v>
      </c>
      <c r="C32" s="330"/>
      <c r="D32" s="332" t="s">
        <v>228</v>
      </c>
      <c r="E32" s="332" t="s">
        <v>229</v>
      </c>
      <c r="F32" s="332" t="s">
        <v>230</v>
      </c>
      <c r="G32" s="330" t="s">
        <v>231</v>
      </c>
      <c r="H32" s="331">
        <v>400</v>
      </c>
      <c r="I32" s="330"/>
      <c r="J32" s="332" t="s">
        <v>359</v>
      </c>
      <c r="K32" s="332" t="s">
        <v>502</v>
      </c>
      <c r="L32" s="330" t="s">
        <v>284</v>
      </c>
      <c r="M32" s="332" t="s">
        <v>503</v>
      </c>
      <c r="N32" s="330" t="s">
        <v>504</v>
      </c>
      <c r="O32" s="339">
        <v>0.62756902636495804</v>
      </c>
      <c r="P32" s="333">
        <v>12092</v>
      </c>
      <c r="Q32" s="333">
        <v>19268</v>
      </c>
      <c r="R32" s="333">
        <v>158</v>
      </c>
      <c r="S32" s="333">
        <v>158</v>
      </c>
      <c r="T32" s="333">
        <v>2</v>
      </c>
      <c r="U32" s="333">
        <v>1264</v>
      </c>
      <c r="V32" s="333">
        <v>800</v>
      </c>
      <c r="W32" s="330">
        <v>79</v>
      </c>
      <c r="X32" s="330" t="s">
        <v>505</v>
      </c>
      <c r="Y32" s="332" t="s">
        <v>351</v>
      </c>
      <c r="Z32" s="330" t="s">
        <v>215</v>
      </c>
      <c r="AA32" s="330" t="s">
        <v>352</v>
      </c>
      <c r="AB32" s="330" t="s">
        <v>189</v>
      </c>
      <c r="AC32" s="330"/>
      <c r="AD32" s="330"/>
      <c r="AE32" s="330">
        <v>71</v>
      </c>
      <c r="AF32" s="330">
        <v>-48</v>
      </c>
      <c r="AG32" s="332" t="s">
        <v>238</v>
      </c>
      <c r="AH32" s="332" t="s">
        <v>191</v>
      </c>
      <c r="AI32" s="330" t="s">
        <v>192</v>
      </c>
      <c r="AJ32" s="330" t="s">
        <v>192</v>
      </c>
      <c r="AK32" s="330"/>
      <c r="AL32" s="330" t="s">
        <v>192</v>
      </c>
      <c r="AM32" s="330" t="s">
        <v>191</v>
      </c>
      <c r="AN32" s="330" t="s">
        <v>192</v>
      </c>
      <c r="AO32" s="330"/>
      <c r="AP32" s="332" t="s">
        <v>259</v>
      </c>
      <c r="AQ32" s="330"/>
      <c r="AR32" s="330"/>
      <c r="AS32" s="330" t="b">
        <v>1</v>
      </c>
      <c r="AT32" s="330"/>
      <c r="AU32" s="332" t="s">
        <v>192</v>
      </c>
      <c r="AV32" s="342">
        <v>45952.433139942128</v>
      </c>
      <c r="AW32" s="330"/>
      <c r="AX32" s="335">
        <v>46044</v>
      </c>
      <c r="AY32" s="336">
        <v>46009</v>
      </c>
      <c r="AZ32" s="330"/>
      <c r="BA32" s="336">
        <v>46063</v>
      </c>
      <c r="BB32" s="330"/>
      <c r="BC32" s="336">
        <v>46065</v>
      </c>
      <c r="BD32" s="330"/>
      <c r="BE32" s="336">
        <v>46065</v>
      </c>
      <c r="BF32" s="330"/>
      <c r="BG32" s="330"/>
      <c r="BH32" s="330" t="s">
        <v>193</v>
      </c>
      <c r="BI32" s="330">
        <v>1000</v>
      </c>
      <c r="BJ32" s="330"/>
      <c r="BK32" s="330"/>
      <c r="BL32" s="330"/>
      <c r="BM32" s="332"/>
      <c r="BN32" s="330"/>
      <c r="BO32" s="330" t="s">
        <v>240</v>
      </c>
      <c r="BP32" s="330" t="s">
        <v>193</v>
      </c>
      <c r="BQ32" s="330" t="s">
        <v>218</v>
      </c>
      <c r="BR32" s="330" t="s">
        <v>220</v>
      </c>
      <c r="BS32" s="330"/>
      <c r="BT32" s="330" t="s">
        <v>220</v>
      </c>
      <c r="BU32" s="330"/>
      <c r="BV32" s="330" t="s">
        <v>220</v>
      </c>
      <c r="BW32" s="330"/>
      <c r="BX32" s="332"/>
      <c r="BY32" s="330"/>
      <c r="BZ32" s="330"/>
      <c r="CA32" s="330"/>
      <c r="CB32" s="330"/>
      <c r="CC32" s="337" t="s">
        <v>241</v>
      </c>
      <c r="CD32" s="330" t="b">
        <v>1</v>
      </c>
      <c r="CE32" s="330" t="b">
        <v>1</v>
      </c>
      <c r="CF32" s="330" t="b">
        <v>1</v>
      </c>
      <c r="CG32" s="330" t="s">
        <v>242</v>
      </c>
      <c r="CH32" s="330"/>
      <c r="CI32" s="330"/>
      <c r="CJ32" s="330"/>
      <c r="CK32" s="330"/>
      <c r="CL32" s="330"/>
      <c r="CM32" s="330"/>
      <c r="CN32" s="330"/>
      <c r="CO32" s="330"/>
      <c r="CP32" s="330"/>
      <c r="CQ32" s="330"/>
      <c r="CR32" s="330"/>
      <c r="CS32" s="330"/>
      <c r="CT32" s="330"/>
      <c r="CU32" s="330"/>
      <c r="CV32" s="330"/>
      <c r="CW32" s="330"/>
      <c r="CX32" s="330"/>
      <c r="CY32" s="330"/>
      <c r="CZ32" s="330"/>
      <c r="DA32" s="330"/>
      <c r="DB32" s="330" t="b">
        <v>1</v>
      </c>
      <c r="DC32" s="330" t="b">
        <v>1</v>
      </c>
      <c r="DD32" s="330"/>
      <c r="DE32" s="330"/>
      <c r="DF32" s="338">
        <v>24051</v>
      </c>
      <c r="DG32" s="330" t="s">
        <v>221</v>
      </c>
      <c r="DH32" s="330"/>
      <c r="DI32" s="338">
        <v>57</v>
      </c>
      <c r="DJ32" s="330"/>
      <c r="DK32" s="330">
        <v>57</v>
      </c>
      <c r="DL32" s="330" t="s">
        <v>243</v>
      </c>
      <c r="DM32" s="330"/>
      <c r="DN32" s="330"/>
      <c r="DO32" s="330"/>
      <c r="DP32" s="330"/>
      <c r="DQ32" s="338" t="s">
        <v>197</v>
      </c>
      <c r="DR32" s="330"/>
      <c r="DS32" s="330"/>
      <c r="DT32" s="330"/>
      <c r="DU32" s="338" t="s">
        <v>197</v>
      </c>
      <c r="DV32" s="330"/>
      <c r="DW32" s="330"/>
      <c r="DX32" s="330"/>
      <c r="DY32" s="338" t="s">
        <v>197</v>
      </c>
      <c r="DZ32" s="330"/>
      <c r="EA32" s="330"/>
      <c r="EB32" s="330"/>
      <c r="EC32" s="330" t="s">
        <v>197</v>
      </c>
      <c r="ED32" s="338" t="s">
        <v>197</v>
      </c>
      <c r="EE32" s="330">
        <v>4</v>
      </c>
      <c r="EF32" s="330">
        <v>300</v>
      </c>
      <c r="EG32" s="330"/>
      <c r="EH32" s="330"/>
      <c r="EI32" s="330"/>
      <c r="EJ32" s="330"/>
      <c r="EK32" s="330"/>
      <c r="EL32" s="330"/>
      <c r="EM32" s="330"/>
      <c r="EN32" s="330"/>
      <c r="EO32" s="330"/>
      <c r="EP32" s="330"/>
      <c r="EQ32" s="332" t="s">
        <v>244</v>
      </c>
      <c r="ER32" s="330"/>
      <c r="ES32" s="330"/>
      <c r="ET32" s="332" t="s">
        <v>245</v>
      </c>
      <c r="EU32" s="332" t="s">
        <v>246</v>
      </c>
      <c r="EV32" s="336">
        <v>46008</v>
      </c>
      <c r="EW32" s="336">
        <v>46009</v>
      </c>
      <c r="EX32" s="330">
        <v>2</v>
      </c>
      <c r="EY32" s="330"/>
      <c r="EZ32" s="330" t="s">
        <v>201</v>
      </c>
      <c r="FA32" s="336">
        <v>46064</v>
      </c>
      <c r="FB32" s="330">
        <v>2</v>
      </c>
      <c r="FC32" s="330" t="s">
        <v>202</v>
      </c>
      <c r="FD32" s="332" t="s">
        <v>190</v>
      </c>
      <c r="FE32" s="336">
        <v>46065</v>
      </c>
      <c r="FF32" s="330"/>
      <c r="FG32" s="330" t="s">
        <v>203</v>
      </c>
      <c r="FH32" s="330" t="s">
        <v>385</v>
      </c>
      <c r="FI32" s="330" t="s">
        <v>204</v>
      </c>
      <c r="FJ32" s="330"/>
      <c r="FK32" s="330" t="s">
        <v>230</v>
      </c>
      <c r="FL32" s="330" t="s">
        <v>192</v>
      </c>
      <c r="FM32" s="330" t="s">
        <v>191</v>
      </c>
      <c r="FN32" s="330" t="s">
        <v>506</v>
      </c>
      <c r="FO32" s="330"/>
      <c r="FP32" s="330" t="s">
        <v>451</v>
      </c>
      <c r="FQ32" s="330"/>
      <c r="FR32" s="330"/>
      <c r="FS32" s="330"/>
      <c r="FT32" s="330"/>
      <c r="FU32" s="330"/>
    </row>
    <row r="33" spans="1:177" ht="89.25" x14ac:dyDescent="0.25">
      <c r="A33" s="330">
        <v>32</v>
      </c>
      <c r="B33" s="331" t="s">
        <v>507</v>
      </c>
      <c r="C33" s="330"/>
      <c r="D33" s="332" t="s">
        <v>228</v>
      </c>
      <c r="E33" s="332" t="s">
        <v>229</v>
      </c>
      <c r="F33" s="332" t="s">
        <v>230</v>
      </c>
      <c r="G33" s="330" t="s">
        <v>231</v>
      </c>
      <c r="H33" s="331">
        <v>400</v>
      </c>
      <c r="I33" s="330"/>
      <c r="J33" s="332" t="s">
        <v>508</v>
      </c>
      <c r="K33" s="332" t="s">
        <v>509</v>
      </c>
      <c r="L33" s="330" t="s">
        <v>284</v>
      </c>
      <c r="M33" s="332" t="s">
        <v>510</v>
      </c>
      <c r="N33" s="330" t="s">
        <v>511</v>
      </c>
      <c r="O33" s="339">
        <v>0.63576915092381203</v>
      </c>
      <c r="P33" s="333">
        <v>12250</v>
      </c>
      <c r="Q33" s="333">
        <v>19268</v>
      </c>
      <c r="R33" s="333">
        <v>158</v>
      </c>
      <c r="S33" s="333">
        <v>158</v>
      </c>
      <c r="T33" s="333">
        <v>2</v>
      </c>
      <c r="U33" s="333">
        <v>726</v>
      </c>
      <c r="V33" s="333">
        <v>1050</v>
      </c>
      <c r="W33" s="330">
        <v>15</v>
      </c>
      <c r="X33" s="330" t="s">
        <v>512</v>
      </c>
      <c r="Y33" s="332" t="s">
        <v>351</v>
      </c>
      <c r="Z33" s="330" t="s">
        <v>215</v>
      </c>
      <c r="AA33" s="330" t="s">
        <v>352</v>
      </c>
      <c r="AB33" s="330" t="s">
        <v>189</v>
      </c>
      <c r="AC33" s="330"/>
      <c r="AD33" s="330"/>
      <c r="AE33" s="330">
        <v>70</v>
      </c>
      <c r="AF33" s="330">
        <v>-49</v>
      </c>
      <c r="AG33" s="332" t="s">
        <v>238</v>
      </c>
      <c r="AH33" s="332" t="s">
        <v>191</v>
      </c>
      <c r="AI33" s="330" t="s">
        <v>192</v>
      </c>
      <c r="AJ33" s="330" t="s">
        <v>192</v>
      </c>
      <c r="AK33" s="330"/>
      <c r="AL33" s="330" t="s">
        <v>192</v>
      </c>
      <c r="AM33" s="330" t="s">
        <v>191</v>
      </c>
      <c r="AN33" s="330" t="s">
        <v>192</v>
      </c>
      <c r="AO33" s="330"/>
      <c r="AP33" s="332" t="s">
        <v>259</v>
      </c>
      <c r="AQ33" s="330"/>
      <c r="AR33" s="330"/>
      <c r="AS33" s="330" t="b">
        <v>1</v>
      </c>
      <c r="AT33" s="330"/>
      <c r="AU33" s="332" t="s">
        <v>192</v>
      </c>
      <c r="AV33" s="334">
        <v>45952.438638078704</v>
      </c>
      <c r="AW33" s="330"/>
      <c r="AX33" s="335">
        <v>46043</v>
      </c>
      <c r="AY33" s="336">
        <v>46009</v>
      </c>
      <c r="AZ33" s="330"/>
      <c r="BA33" s="336">
        <v>46062</v>
      </c>
      <c r="BB33" s="330"/>
      <c r="BC33" s="336">
        <v>46064</v>
      </c>
      <c r="BD33" s="330"/>
      <c r="BE33" s="336">
        <v>46064</v>
      </c>
      <c r="BF33" s="330"/>
      <c r="BG33" s="330"/>
      <c r="BH33" s="330" t="s">
        <v>193</v>
      </c>
      <c r="BI33" s="330">
        <v>1000</v>
      </c>
      <c r="BJ33" s="330"/>
      <c r="BK33" s="330"/>
      <c r="BL33" s="330"/>
      <c r="BM33" s="332"/>
      <c r="BN33" s="330"/>
      <c r="BO33" s="330" t="s">
        <v>240</v>
      </c>
      <c r="BP33" s="330" t="s">
        <v>193</v>
      </c>
      <c r="BQ33" s="330" t="s">
        <v>218</v>
      </c>
      <c r="BR33" s="330" t="s">
        <v>220</v>
      </c>
      <c r="BS33" s="330"/>
      <c r="BT33" s="330" t="s">
        <v>220</v>
      </c>
      <c r="BU33" s="330"/>
      <c r="BV33" s="330" t="s">
        <v>220</v>
      </c>
      <c r="BW33" s="330"/>
      <c r="BX33" s="332"/>
      <c r="BY33" s="330"/>
      <c r="BZ33" s="330"/>
      <c r="CA33" s="330"/>
      <c r="CB33" s="330"/>
      <c r="CC33" s="337" t="s">
        <v>241</v>
      </c>
      <c r="CD33" s="330" t="b">
        <v>1</v>
      </c>
      <c r="CE33" s="330" t="b">
        <v>1</v>
      </c>
      <c r="CF33" s="330" t="b">
        <v>1</v>
      </c>
      <c r="CG33" s="330" t="s">
        <v>242</v>
      </c>
      <c r="CH33" s="330"/>
      <c r="CI33" s="330"/>
      <c r="CJ33" s="330"/>
      <c r="CK33" s="330"/>
      <c r="CL33" s="330"/>
      <c r="CM33" s="330"/>
      <c r="CN33" s="330"/>
      <c r="CO33" s="330"/>
      <c r="CP33" s="330"/>
      <c r="CQ33" s="330"/>
      <c r="CR33" s="330"/>
      <c r="CS33" s="330"/>
      <c r="CT33" s="330"/>
      <c r="CU33" s="330"/>
      <c r="CV33" s="330"/>
      <c r="CW33" s="330"/>
      <c r="CX33" s="330"/>
      <c r="CY33" s="330"/>
      <c r="CZ33" s="330"/>
      <c r="DA33" s="330"/>
      <c r="DB33" s="330" t="b">
        <v>1</v>
      </c>
      <c r="DC33" s="330" t="b">
        <v>1</v>
      </c>
      <c r="DD33" s="330"/>
      <c r="DE33" s="330"/>
      <c r="DF33" s="338">
        <v>24051</v>
      </c>
      <c r="DG33" s="330" t="s">
        <v>221</v>
      </c>
      <c r="DH33" s="330"/>
      <c r="DI33" s="338">
        <v>58</v>
      </c>
      <c r="DJ33" s="330"/>
      <c r="DK33" s="330">
        <v>58</v>
      </c>
      <c r="DL33" s="330" t="s">
        <v>243</v>
      </c>
      <c r="DM33" s="330"/>
      <c r="DN33" s="330"/>
      <c r="DO33" s="330"/>
      <c r="DP33" s="330"/>
      <c r="DQ33" s="338" t="s">
        <v>197</v>
      </c>
      <c r="DR33" s="330"/>
      <c r="DS33" s="330"/>
      <c r="DT33" s="330"/>
      <c r="DU33" s="338" t="s">
        <v>197</v>
      </c>
      <c r="DV33" s="330"/>
      <c r="DW33" s="330"/>
      <c r="DX33" s="330"/>
      <c r="DY33" s="338" t="s">
        <v>197</v>
      </c>
      <c r="DZ33" s="330"/>
      <c r="EA33" s="330"/>
      <c r="EB33" s="330"/>
      <c r="EC33" s="330" t="s">
        <v>197</v>
      </c>
      <c r="ED33" s="338" t="s">
        <v>197</v>
      </c>
      <c r="EE33" s="330">
        <v>4</v>
      </c>
      <c r="EF33" s="330">
        <v>300</v>
      </c>
      <c r="EG33" s="330"/>
      <c r="EH33" s="330"/>
      <c r="EI33" s="330"/>
      <c r="EJ33" s="330"/>
      <c r="EK33" s="330"/>
      <c r="EL33" s="330"/>
      <c r="EM33" s="330"/>
      <c r="EN33" s="330"/>
      <c r="EO33" s="330"/>
      <c r="EP33" s="330"/>
      <c r="EQ33" s="332" t="s">
        <v>244</v>
      </c>
      <c r="ER33" s="330"/>
      <c r="ES33" s="330"/>
      <c r="ET33" s="332" t="s">
        <v>245</v>
      </c>
      <c r="EU33" s="332" t="s">
        <v>246</v>
      </c>
      <c r="EV33" s="336">
        <v>46008</v>
      </c>
      <c r="EW33" s="336">
        <v>46009</v>
      </c>
      <c r="EX33" s="330">
        <v>2</v>
      </c>
      <c r="EY33" s="330"/>
      <c r="EZ33" s="330" t="s">
        <v>201</v>
      </c>
      <c r="FA33" s="336">
        <v>46063</v>
      </c>
      <c r="FB33" s="330">
        <v>2</v>
      </c>
      <c r="FC33" s="330" t="s">
        <v>202</v>
      </c>
      <c r="FD33" s="332" t="s">
        <v>190</v>
      </c>
      <c r="FE33" s="336">
        <v>46064</v>
      </c>
      <c r="FF33" s="330"/>
      <c r="FG33" s="330" t="s">
        <v>203</v>
      </c>
      <c r="FH33" s="330" t="s">
        <v>385</v>
      </c>
      <c r="FI33" s="330" t="s">
        <v>204</v>
      </c>
      <c r="FJ33" s="330"/>
      <c r="FK33" s="330" t="s">
        <v>230</v>
      </c>
      <c r="FL33" s="330" t="s">
        <v>192</v>
      </c>
      <c r="FM33" s="330" t="s">
        <v>191</v>
      </c>
      <c r="FN33" s="330" t="s">
        <v>513</v>
      </c>
      <c r="FO33" s="330"/>
      <c r="FP33" s="330" t="s">
        <v>451</v>
      </c>
      <c r="FQ33" s="330"/>
      <c r="FR33" s="330"/>
      <c r="FS33" s="330"/>
      <c r="FT33" s="330"/>
      <c r="FU33" s="330"/>
    </row>
    <row r="34" spans="1:177" ht="114.75" x14ac:dyDescent="0.25">
      <c r="A34" s="330">
        <v>33</v>
      </c>
      <c r="B34" s="331" t="s">
        <v>514</v>
      </c>
      <c r="C34" s="330"/>
      <c r="D34" s="332" t="s">
        <v>228</v>
      </c>
      <c r="E34" s="332" t="s">
        <v>229</v>
      </c>
      <c r="F34" s="332" t="s">
        <v>230</v>
      </c>
      <c r="G34" s="330" t="s">
        <v>231</v>
      </c>
      <c r="H34" s="331">
        <v>400</v>
      </c>
      <c r="I34" s="330"/>
      <c r="J34" s="332" t="s">
        <v>515</v>
      </c>
      <c r="K34" s="332" t="s">
        <v>502</v>
      </c>
      <c r="L34" s="330" t="s">
        <v>284</v>
      </c>
      <c r="M34" s="332" t="s">
        <v>516</v>
      </c>
      <c r="N34" s="330" t="s">
        <v>517</v>
      </c>
      <c r="O34" s="339">
        <v>0.64396927548266603</v>
      </c>
      <c r="P34" s="333">
        <v>12408</v>
      </c>
      <c r="Q34" s="333">
        <v>19268</v>
      </c>
      <c r="R34" s="333">
        <v>158</v>
      </c>
      <c r="S34" s="333">
        <v>158</v>
      </c>
      <c r="T34" s="333">
        <v>2</v>
      </c>
      <c r="U34" s="333">
        <v>1106</v>
      </c>
      <c r="V34" s="333">
        <v>2150</v>
      </c>
      <c r="W34" s="330">
        <v>53</v>
      </c>
      <c r="X34" s="330" t="s">
        <v>518</v>
      </c>
      <c r="Y34" s="332" t="s">
        <v>351</v>
      </c>
      <c r="Z34" s="330" t="s">
        <v>215</v>
      </c>
      <c r="AA34" s="330" t="s">
        <v>352</v>
      </c>
      <c r="AB34" s="330" t="s">
        <v>189</v>
      </c>
      <c r="AC34" s="330"/>
      <c r="AD34" s="330"/>
      <c r="AE34" s="330">
        <v>60</v>
      </c>
      <c r="AF34" s="330">
        <v>-74</v>
      </c>
      <c r="AG34" s="332" t="s">
        <v>238</v>
      </c>
      <c r="AH34" s="332" t="s">
        <v>191</v>
      </c>
      <c r="AI34" s="330" t="s">
        <v>192</v>
      </c>
      <c r="AJ34" s="330" t="s">
        <v>192</v>
      </c>
      <c r="AK34" s="330"/>
      <c r="AL34" s="330" t="s">
        <v>192</v>
      </c>
      <c r="AM34" s="330" t="s">
        <v>191</v>
      </c>
      <c r="AN34" s="330" t="s">
        <v>192</v>
      </c>
      <c r="AO34" s="330"/>
      <c r="AP34" s="332" t="s">
        <v>259</v>
      </c>
      <c r="AQ34" s="330"/>
      <c r="AR34" s="330"/>
      <c r="AS34" s="330" t="b">
        <v>1</v>
      </c>
      <c r="AT34" s="330"/>
      <c r="AU34" s="332" t="s">
        <v>192</v>
      </c>
      <c r="AV34" s="334">
        <v>45952.446484918983</v>
      </c>
      <c r="AW34" s="330"/>
      <c r="AX34" s="335">
        <v>46003</v>
      </c>
      <c r="AY34" s="336">
        <v>46009</v>
      </c>
      <c r="AZ34" s="330" t="b">
        <v>1</v>
      </c>
      <c r="BA34" s="336">
        <v>46027</v>
      </c>
      <c r="BB34" s="330"/>
      <c r="BC34" s="336">
        <v>46024</v>
      </c>
      <c r="BD34" s="330"/>
      <c r="BE34" s="336">
        <v>46024</v>
      </c>
      <c r="BF34" s="330"/>
      <c r="BG34" s="330"/>
      <c r="BH34" s="330" t="s">
        <v>193</v>
      </c>
      <c r="BI34" s="330">
        <v>1000</v>
      </c>
      <c r="BJ34" s="330"/>
      <c r="BK34" s="330"/>
      <c r="BL34" s="330"/>
      <c r="BM34" s="332"/>
      <c r="BN34" s="330"/>
      <c r="BO34" s="330" t="s">
        <v>240</v>
      </c>
      <c r="BP34" s="330" t="s">
        <v>193</v>
      </c>
      <c r="BQ34" s="330" t="s">
        <v>218</v>
      </c>
      <c r="BR34" s="330" t="s">
        <v>220</v>
      </c>
      <c r="BS34" s="330"/>
      <c r="BT34" s="330" t="s">
        <v>220</v>
      </c>
      <c r="BU34" s="330"/>
      <c r="BV34" s="330" t="s">
        <v>220</v>
      </c>
      <c r="BW34" s="330"/>
      <c r="BX34" s="332"/>
      <c r="BY34" s="330"/>
      <c r="BZ34" s="330"/>
      <c r="CA34" s="330"/>
      <c r="CB34" s="330"/>
      <c r="CC34" s="337" t="s">
        <v>241</v>
      </c>
      <c r="CD34" s="330" t="b">
        <v>1</v>
      </c>
      <c r="CE34" s="330" t="b">
        <v>1</v>
      </c>
      <c r="CF34" s="330" t="b">
        <v>1</v>
      </c>
      <c r="CG34" s="330" t="s">
        <v>242</v>
      </c>
      <c r="CH34" s="330"/>
      <c r="CI34" s="330"/>
      <c r="CJ34" s="330"/>
      <c r="CK34" s="330"/>
      <c r="CL34" s="330"/>
      <c r="CM34" s="330"/>
      <c r="CN34" s="330"/>
      <c r="CO34" s="330"/>
      <c r="CP34" s="330"/>
      <c r="CQ34" s="330"/>
      <c r="CR34" s="330"/>
      <c r="CS34" s="330"/>
      <c r="CT34" s="330"/>
      <c r="CU34" s="330"/>
      <c r="CV34" s="330"/>
      <c r="CW34" s="330"/>
      <c r="CX34" s="330"/>
      <c r="CY34" s="330"/>
      <c r="CZ34" s="330"/>
      <c r="DA34" s="330"/>
      <c r="DB34" s="330" t="b">
        <v>1</v>
      </c>
      <c r="DC34" s="330" t="b">
        <v>1</v>
      </c>
      <c r="DD34" s="330"/>
      <c r="DE34" s="330"/>
      <c r="DF34" s="338">
        <v>24051</v>
      </c>
      <c r="DG34" s="330" t="s">
        <v>221</v>
      </c>
      <c r="DH34" s="330"/>
      <c r="DI34" s="338">
        <v>59</v>
      </c>
      <c r="DJ34" s="330"/>
      <c r="DK34" s="330">
        <v>59</v>
      </c>
      <c r="DL34" s="330" t="s">
        <v>243</v>
      </c>
      <c r="DM34" s="330"/>
      <c r="DN34" s="330"/>
      <c r="DO34" s="330"/>
      <c r="DP34" s="330"/>
      <c r="DQ34" s="338" t="s">
        <v>197</v>
      </c>
      <c r="DR34" s="330"/>
      <c r="DS34" s="330"/>
      <c r="DT34" s="330"/>
      <c r="DU34" s="338" t="s">
        <v>197</v>
      </c>
      <c r="DV34" s="330"/>
      <c r="DW34" s="330"/>
      <c r="DX34" s="330"/>
      <c r="DY34" s="338" t="s">
        <v>197</v>
      </c>
      <c r="DZ34" s="330"/>
      <c r="EA34" s="330"/>
      <c r="EB34" s="330"/>
      <c r="EC34" s="330" t="s">
        <v>197</v>
      </c>
      <c r="ED34" s="338" t="s">
        <v>197</v>
      </c>
      <c r="EE34" s="330">
        <v>4</v>
      </c>
      <c r="EF34" s="330">
        <v>300</v>
      </c>
      <c r="EG34" s="330"/>
      <c r="EH34" s="330"/>
      <c r="EI34" s="330"/>
      <c r="EJ34" s="330"/>
      <c r="EK34" s="330"/>
      <c r="EL34" s="330"/>
      <c r="EM34" s="330"/>
      <c r="EN34" s="330"/>
      <c r="EO34" s="330"/>
      <c r="EP34" s="330"/>
      <c r="EQ34" s="332" t="s">
        <v>244</v>
      </c>
      <c r="ER34" s="330"/>
      <c r="ES34" s="330"/>
      <c r="ET34" s="332" t="s">
        <v>245</v>
      </c>
      <c r="EU34" s="332" t="s">
        <v>246</v>
      </c>
      <c r="EV34" s="336">
        <v>46008</v>
      </c>
      <c r="EW34" s="336">
        <v>46009</v>
      </c>
      <c r="EX34" s="330">
        <v>2</v>
      </c>
      <c r="EY34" s="330"/>
      <c r="EZ34" s="330" t="s">
        <v>201</v>
      </c>
      <c r="FA34" s="336">
        <v>46086</v>
      </c>
      <c r="FB34" s="330">
        <v>1</v>
      </c>
      <c r="FC34" s="330" t="s">
        <v>202</v>
      </c>
      <c r="FD34" s="332" t="s">
        <v>190</v>
      </c>
      <c r="FE34" s="336">
        <v>46086</v>
      </c>
      <c r="FF34" s="330"/>
      <c r="FG34" s="330" t="s">
        <v>203</v>
      </c>
      <c r="FH34" s="330" t="s">
        <v>385</v>
      </c>
      <c r="FI34" s="330" t="s">
        <v>204</v>
      </c>
      <c r="FJ34" s="330"/>
      <c r="FK34" s="330" t="s">
        <v>230</v>
      </c>
      <c r="FL34" s="330" t="s">
        <v>192</v>
      </c>
      <c r="FM34" s="330" t="s">
        <v>191</v>
      </c>
      <c r="FN34" s="330" t="s">
        <v>519</v>
      </c>
      <c r="FO34" s="330"/>
      <c r="FP34" s="330" t="s">
        <v>520</v>
      </c>
      <c r="FQ34" s="330"/>
      <c r="FR34" s="330"/>
      <c r="FS34" s="330"/>
      <c r="FT34" s="330"/>
      <c r="FU34" s="330"/>
    </row>
    <row r="35" spans="1:177" ht="89.25" x14ac:dyDescent="0.25">
      <c r="A35" s="330">
        <v>34</v>
      </c>
      <c r="B35" s="331" t="s">
        <v>521</v>
      </c>
      <c r="C35" s="330"/>
      <c r="D35" s="332" t="s">
        <v>228</v>
      </c>
      <c r="E35" s="332" t="s">
        <v>229</v>
      </c>
      <c r="F35" s="332" t="s">
        <v>230</v>
      </c>
      <c r="G35" s="330" t="s">
        <v>231</v>
      </c>
      <c r="H35" s="331">
        <v>400</v>
      </c>
      <c r="I35" s="330"/>
      <c r="J35" s="332" t="s">
        <v>515</v>
      </c>
      <c r="K35" s="332" t="s">
        <v>522</v>
      </c>
      <c r="L35" s="330" t="s">
        <v>284</v>
      </c>
      <c r="M35" s="332" t="s">
        <v>523</v>
      </c>
      <c r="N35" s="330" t="s">
        <v>524</v>
      </c>
      <c r="O35" s="339">
        <v>0.65216940004152002</v>
      </c>
      <c r="P35" s="333">
        <v>12566</v>
      </c>
      <c r="Q35" s="333">
        <v>19268</v>
      </c>
      <c r="R35" s="333">
        <v>158</v>
      </c>
      <c r="S35" s="333">
        <v>158</v>
      </c>
      <c r="T35" s="333">
        <v>2</v>
      </c>
      <c r="U35" s="333">
        <v>1106</v>
      </c>
      <c r="V35" s="333">
        <v>900</v>
      </c>
      <c r="W35" s="330">
        <v>32</v>
      </c>
      <c r="X35" s="330" t="s">
        <v>525</v>
      </c>
      <c r="Y35" s="332" t="s">
        <v>351</v>
      </c>
      <c r="Z35" s="330" t="s">
        <v>215</v>
      </c>
      <c r="AA35" s="330" t="s">
        <v>352</v>
      </c>
      <c r="AB35" s="330" t="s">
        <v>189</v>
      </c>
      <c r="AC35" s="330"/>
      <c r="AD35" s="330"/>
      <c r="AE35" s="330">
        <v>75</v>
      </c>
      <c r="AF35" s="330">
        <v>-46</v>
      </c>
      <c r="AG35" s="332" t="s">
        <v>238</v>
      </c>
      <c r="AH35" s="332" t="s">
        <v>191</v>
      </c>
      <c r="AI35" s="330" t="s">
        <v>192</v>
      </c>
      <c r="AJ35" s="330" t="s">
        <v>192</v>
      </c>
      <c r="AK35" s="330"/>
      <c r="AL35" s="330" t="s">
        <v>192</v>
      </c>
      <c r="AM35" s="330" t="s">
        <v>191</v>
      </c>
      <c r="AN35" s="330" t="s">
        <v>192</v>
      </c>
      <c r="AO35" s="330"/>
      <c r="AP35" s="332" t="s">
        <v>259</v>
      </c>
      <c r="AQ35" s="330"/>
      <c r="AR35" s="330"/>
      <c r="AS35" s="330" t="b">
        <v>1</v>
      </c>
      <c r="AT35" s="330"/>
      <c r="AU35" s="332" t="s">
        <v>192</v>
      </c>
      <c r="AV35" s="334">
        <v>45952.457657858795</v>
      </c>
      <c r="AW35" s="330"/>
      <c r="AX35" s="335">
        <v>46048</v>
      </c>
      <c r="AY35" s="336">
        <v>46009</v>
      </c>
      <c r="AZ35" s="330"/>
      <c r="BA35" s="336">
        <v>46065</v>
      </c>
      <c r="BB35" s="330"/>
      <c r="BC35" s="336">
        <v>46069</v>
      </c>
      <c r="BD35" s="330"/>
      <c r="BE35" s="336">
        <v>46069</v>
      </c>
      <c r="BF35" s="330"/>
      <c r="BG35" s="330"/>
      <c r="BH35" s="330" t="s">
        <v>193</v>
      </c>
      <c r="BI35" s="330">
        <v>1000</v>
      </c>
      <c r="BJ35" s="330"/>
      <c r="BK35" s="330"/>
      <c r="BL35" s="330"/>
      <c r="BM35" s="332"/>
      <c r="BN35" s="330"/>
      <c r="BO35" s="330" t="s">
        <v>240</v>
      </c>
      <c r="BP35" s="330" t="s">
        <v>193</v>
      </c>
      <c r="BQ35" s="330" t="s">
        <v>218</v>
      </c>
      <c r="BR35" s="330" t="s">
        <v>220</v>
      </c>
      <c r="BS35" s="330"/>
      <c r="BT35" s="330" t="s">
        <v>220</v>
      </c>
      <c r="BU35" s="330"/>
      <c r="BV35" s="330" t="s">
        <v>220</v>
      </c>
      <c r="BW35" s="330"/>
      <c r="BX35" s="332"/>
      <c r="BY35" s="330"/>
      <c r="BZ35" s="330"/>
      <c r="CA35" s="330"/>
      <c r="CB35" s="330"/>
      <c r="CC35" s="337" t="s">
        <v>241</v>
      </c>
      <c r="CD35" s="330" t="b">
        <v>1</v>
      </c>
      <c r="CE35" s="330" t="b">
        <v>1</v>
      </c>
      <c r="CF35" s="330" t="b">
        <v>1</v>
      </c>
      <c r="CG35" s="330" t="s">
        <v>242</v>
      </c>
      <c r="CH35" s="330"/>
      <c r="CI35" s="330"/>
      <c r="CJ35" s="330"/>
      <c r="CK35" s="330"/>
      <c r="CL35" s="330"/>
      <c r="CM35" s="330"/>
      <c r="CN35" s="330"/>
      <c r="CO35" s="330"/>
      <c r="CP35" s="330"/>
      <c r="CQ35" s="330"/>
      <c r="CR35" s="330"/>
      <c r="CS35" s="330"/>
      <c r="CT35" s="330"/>
      <c r="CU35" s="330"/>
      <c r="CV35" s="330"/>
      <c r="CW35" s="330"/>
      <c r="CX35" s="330"/>
      <c r="CY35" s="330"/>
      <c r="CZ35" s="330"/>
      <c r="DA35" s="330"/>
      <c r="DB35" s="330" t="b">
        <v>1</v>
      </c>
      <c r="DC35" s="330" t="b">
        <v>1</v>
      </c>
      <c r="DD35" s="330"/>
      <c r="DE35" s="330"/>
      <c r="DF35" s="338">
        <v>24051</v>
      </c>
      <c r="DG35" s="330" t="s">
        <v>221</v>
      </c>
      <c r="DH35" s="330"/>
      <c r="DI35" s="338" t="s">
        <v>526</v>
      </c>
      <c r="DJ35" s="330"/>
      <c r="DK35" s="330">
        <v>0</v>
      </c>
      <c r="DL35" s="330" t="s">
        <v>243</v>
      </c>
      <c r="DM35" s="330"/>
      <c r="DN35" s="330"/>
      <c r="DO35" s="330"/>
      <c r="DP35" s="330"/>
      <c r="DQ35" s="338" t="s">
        <v>197</v>
      </c>
      <c r="DR35" s="330"/>
      <c r="DS35" s="330"/>
      <c r="DT35" s="330"/>
      <c r="DU35" s="338" t="s">
        <v>197</v>
      </c>
      <c r="DV35" s="330"/>
      <c r="DW35" s="330"/>
      <c r="DX35" s="330"/>
      <c r="DY35" s="338" t="s">
        <v>197</v>
      </c>
      <c r="DZ35" s="330"/>
      <c r="EA35" s="330"/>
      <c r="EB35" s="330"/>
      <c r="EC35" s="330" t="s">
        <v>197</v>
      </c>
      <c r="ED35" s="338" t="s">
        <v>197</v>
      </c>
      <c r="EE35" s="330">
        <v>4</v>
      </c>
      <c r="EF35" s="330">
        <v>300</v>
      </c>
      <c r="EG35" s="330"/>
      <c r="EH35" s="330"/>
      <c r="EI35" s="330"/>
      <c r="EJ35" s="330"/>
      <c r="EK35" s="330"/>
      <c r="EL35" s="330"/>
      <c r="EM35" s="330"/>
      <c r="EN35" s="330"/>
      <c r="EO35" s="330"/>
      <c r="EP35" s="330"/>
      <c r="EQ35" s="332" t="s">
        <v>244</v>
      </c>
      <c r="ER35" s="330"/>
      <c r="ES35" s="330"/>
      <c r="ET35" s="332" t="s">
        <v>245</v>
      </c>
      <c r="EU35" s="332" t="s">
        <v>246</v>
      </c>
      <c r="EV35" s="336">
        <v>46008</v>
      </c>
      <c r="EW35" s="336">
        <v>46009</v>
      </c>
      <c r="EX35" s="330">
        <v>2</v>
      </c>
      <c r="EY35" s="330"/>
      <c r="EZ35" s="330" t="s">
        <v>201</v>
      </c>
      <c r="FA35" s="336">
        <v>46067</v>
      </c>
      <c r="FB35" s="330">
        <v>1</v>
      </c>
      <c r="FC35" s="330" t="s">
        <v>202</v>
      </c>
      <c r="FD35" s="332" t="s">
        <v>190</v>
      </c>
      <c r="FE35" s="336">
        <v>46069</v>
      </c>
      <c r="FF35" s="330"/>
      <c r="FG35" s="330" t="s">
        <v>203</v>
      </c>
      <c r="FH35" s="330" t="s">
        <v>385</v>
      </c>
      <c r="FI35" s="330" t="s">
        <v>204</v>
      </c>
      <c r="FJ35" s="330"/>
      <c r="FK35" s="330" t="s">
        <v>230</v>
      </c>
      <c r="FL35" s="330" t="s">
        <v>192</v>
      </c>
      <c r="FM35" s="330" t="s">
        <v>191</v>
      </c>
      <c r="FN35" s="330" t="s">
        <v>527</v>
      </c>
      <c r="FO35" s="330"/>
      <c r="FP35" s="330" t="s">
        <v>528</v>
      </c>
      <c r="FQ35" s="330"/>
      <c r="FR35" s="330"/>
      <c r="FS35" s="330"/>
      <c r="FT35" s="330"/>
      <c r="FU35" s="330"/>
    </row>
    <row r="36" spans="1:177" ht="127.5" x14ac:dyDescent="0.25">
      <c r="A36" s="330">
        <v>35</v>
      </c>
      <c r="B36" s="331" t="s">
        <v>529</v>
      </c>
      <c r="C36" s="330"/>
      <c r="D36" s="332" t="s">
        <v>228</v>
      </c>
      <c r="E36" s="332" t="s">
        <v>229</v>
      </c>
      <c r="F36" s="332" t="s">
        <v>230</v>
      </c>
      <c r="G36" s="330" t="s">
        <v>231</v>
      </c>
      <c r="H36" s="331">
        <v>400</v>
      </c>
      <c r="I36" s="330"/>
      <c r="J36" s="332" t="s">
        <v>530</v>
      </c>
      <c r="K36" s="332" t="s">
        <v>437</v>
      </c>
      <c r="L36" s="330" t="s">
        <v>284</v>
      </c>
      <c r="M36" s="332" t="s">
        <v>531</v>
      </c>
      <c r="N36" s="330" t="s">
        <v>532</v>
      </c>
      <c r="O36" s="339">
        <v>0.60914469586879805</v>
      </c>
      <c r="P36" s="333">
        <v>11737</v>
      </c>
      <c r="Q36" s="333">
        <v>19268</v>
      </c>
      <c r="R36" s="333">
        <v>149</v>
      </c>
      <c r="S36" s="333">
        <v>149</v>
      </c>
      <c r="T36" s="333">
        <v>4</v>
      </c>
      <c r="U36" s="333">
        <v>1033</v>
      </c>
      <c r="V36" s="333">
        <v>1000</v>
      </c>
      <c r="W36" s="330">
        <v>41</v>
      </c>
      <c r="X36" s="330" t="s">
        <v>533</v>
      </c>
      <c r="Y36" s="332" t="s">
        <v>534</v>
      </c>
      <c r="Z36" s="330" t="s">
        <v>215</v>
      </c>
      <c r="AA36" s="330" t="s">
        <v>535</v>
      </c>
      <c r="AB36" s="330" t="s">
        <v>189</v>
      </c>
      <c r="AC36" s="330"/>
      <c r="AD36" s="330"/>
      <c r="AE36" s="330">
        <v>64</v>
      </c>
      <c r="AF36" s="330">
        <v>-64</v>
      </c>
      <c r="AG36" s="332" t="s">
        <v>238</v>
      </c>
      <c r="AH36" s="332" t="s">
        <v>191</v>
      </c>
      <c r="AI36" s="330" t="s">
        <v>192</v>
      </c>
      <c r="AJ36" s="330" t="s">
        <v>192</v>
      </c>
      <c r="AK36" s="330"/>
      <c r="AL36" s="330" t="s">
        <v>192</v>
      </c>
      <c r="AM36" s="330" t="s">
        <v>191</v>
      </c>
      <c r="AN36" s="330" t="s">
        <v>192</v>
      </c>
      <c r="AO36" s="330"/>
      <c r="AP36" s="332" t="s">
        <v>259</v>
      </c>
      <c r="AQ36" s="330"/>
      <c r="AR36" s="330"/>
      <c r="AS36" s="330" t="b">
        <v>1</v>
      </c>
      <c r="AT36" s="330"/>
      <c r="AU36" s="332" t="s">
        <v>192</v>
      </c>
      <c r="AV36" s="334">
        <v>45951.661353437499</v>
      </c>
      <c r="AW36" s="330"/>
      <c r="AX36" s="335">
        <v>46022</v>
      </c>
      <c r="AY36" s="336">
        <v>46003</v>
      </c>
      <c r="AZ36" s="330"/>
      <c r="BA36" s="336">
        <v>46041</v>
      </c>
      <c r="BB36" s="330"/>
      <c r="BC36" s="336">
        <v>46043</v>
      </c>
      <c r="BD36" s="330"/>
      <c r="BE36" s="336">
        <v>46043</v>
      </c>
      <c r="BF36" s="330"/>
      <c r="BG36" s="330"/>
      <c r="BH36" s="330" t="s">
        <v>193</v>
      </c>
      <c r="BI36" s="330">
        <v>1000</v>
      </c>
      <c r="BJ36" s="330"/>
      <c r="BK36" s="330"/>
      <c r="BL36" s="330"/>
      <c r="BM36" s="332"/>
      <c r="BN36" s="330"/>
      <c r="BO36" s="330" t="s">
        <v>240</v>
      </c>
      <c r="BP36" s="330" t="s">
        <v>193</v>
      </c>
      <c r="BQ36" s="330" t="s">
        <v>218</v>
      </c>
      <c r="BR36" s="330" t="s">
        <v>220</v>
      </c>
      <c r="BS36" s="330"/>
      <c r="BT36" s="330" t="s">
        <v>220</v>
      </c>
      <c r="BU36" s="330"/>
      <c r="BV36" s="330" t="s">
        <v>220</v>
      </c>
      <c r="BW36" s="330"/>
      <c r="BX36" s="332"/>
      <c r="BY36" s="330"/>
      <c r="BZ36" s="330"/>
      <c r="CA36" s="330"/>
      <c r="CB36" s="330"/>
      <c r="CC36" s="337" t="s">
        <v>241</v>
      </c>
      <c r="CD36" s="330" t="b">
        <v>1</v>
      </c>
      <c r="CE36" s="330" t="b">
        <v>1</v>
      </c>
      <c r="CF36" s="330" t="b">
        <v>1</v>
      </c>
      <c r="CG36" s="330" t="s">
        <v>242</v>
      </c>
      <c r="CH36" s="330"/>
      <c r="CI36" s="330"/>
      <c r="CJ36" s="330"/>
      <c r="CK36" s="330"/>
      <c r="CL36" s="330"/>
      <c r="CM36" s="330"/>
      <c r="CN36" s="330"/>
      <c r="CO36" s="330"/>
      <c r="CP36" s="330"/>
      <c r="CQ36" s="330"/>
      <c r="CR36" s="330"/>
      <c r="CS36" s="330"/>
      <c r="CT36" s="330"/>
      <c r="CU36" s="330"/>
      <c r="CV36" s="330"/>
      <c r="CW36" s="330"/>
      <c r="CX36" s="330"/>
      <c r="CY36" s="330"/>
      <c r="CZ36" s="330"/>
      <c r="DA36" s="330"/>
      <c r="DB36" s="330" t="b">
        <v>1</v>
      </c>
      <c r="DC36" s="330" t="b">
        <v>1</v>
      </c>
      <c r="DD36" s="330"/>
      <c r="DE36" s="330"/>
      <c r="DF36" s="338">
        <v>24051</v>
      </c>
      <c r="DG36" s="330" t="s">
        <v>221</v>
      </c>
      <c r="DH36" s="330"/>
      <c r="DI36" s="338">
        <v>54</v>
      </c>
      <c r="DJ36" s="330"/>
      <c r="DK36" s="330">
        <v>54</v>
      </c>
      <c r="DL36" s="330" t="s">
        <v>243</v>
      </c>
      <c r="DM36" s="330"/>
      <c r="DN36" s="330"/>
      <c r="DO36" s="330"/>
      <c r="DP36" s="330"/>
      <c r="DQ36" s="338" t="s">
        <v>197</v>
      </c>
      <c r="DR36" s="330"/>
      <c r="DS36" s="330"/>
      <c r="DT36" s="330"/>
      <c r="DU36" s="338" t="s">
        <v>197</v>
      </c>
      <c r="DV36" s="330"/>
      <c r="DW36" s="330"/>
      <c r="DX36" s="330"/>
      <c r="DY36" s="338" t="s">
        <v>197</v>
      </c>
      <c r="DZ36" s="330"/>
      <c r="EA36" s="330"/>
      <c r="EB36" s="330"/>
      <c r="EC36" s="330" t="s">
        <v>197</v>
      </c>
      <c r="ED36" s="338" t="s">
        <v>197</v>
      </c>
      <c r="EE36" s="330">
        <v>8</v>
      </c>
      <c r="EF36" s="330">
        <v>300</v>
      </c>
      <c r="EG36" s="330"/>
      <c r="EH36" s="330"/>
      <c r="EI36" s="330"/>
      <c r="EJ36" s="330"/>
      <c r="EK36" s="330"/>
      <c r="EL36" s="330"/>
      <c r="EM36" s="330"/>
      <c r="EN36" s="330"/>
      <c r="EO36" s="330"/>
      <c r="EP36" s="330"/>
      <c r="EQ36" s="332" t="s">
        <v>244</v>
      </c>
      <c r="ER36" s="330"/>
      <c r="ES36" s="330"/>
      <c r="ET36" s="332" t="s">
        <v>245</v>
      </c>
      <c r="EU36" s="332" t="s">
        <v>246</v>
      </c>
      <c r="EV36" s="336">
        <v>46002</v>
      </c>
      <c r="EW36" s="336">
        <v>46003</v>
      </c>
      <c r="EX36" s="330">
        <v>2</v>
      </c>
      <c r="EY36" s="330"/>
      <c r="EZ36" s="330" t="s">
        <v>201</v>
      </c>
      <c r="FA36" s="336">
        <v>46040</v>
      </c>
      <c r="FB36" s="330">
        <v>3</v>
      </c>
      <c r="FC36" s="330" t="s">
        <v>202</v>
      </c>
      <c r="FD36" s="332" t="s">
        <v>190</v>
      </c>
      <c r="FE36" s="336">
        <v>46043</v>
      </c>
      <c r="FF36" s="330"/>
      <c r="FG36" s="330" t="s">
        <v>203</v>
      </c>
      <c r="FH36" s="330" t="s">
        <v>385</v>
      </c>
      <c r="FI36" s="330" t="s">
        <v>204</v>
      </c>
      <c r="FJ36" s="330"/>
      <c r="FK36" s="330" t="s">
        <v>230</v>
      </c>
      <c r="FL36" s="330" t="s">
        <v>192</v>
      </c>
      <c r="FM36" s="330" t="s">
        <v>191</v>
      </c>
      <c r="FN36" s="330" t="s">
        <v>536</v>
      </c>
      <c r="FO36" s="330"/>
      <c r="FP36" s="330" t="s">
        <v>344</v>
      </c>
      <c r="FQ36" s="330"/>
      <c r="FR36" s="330"/>
      <c r="FS36" s="330"/>
      <c r="FT36" s="330"/>
      <c r="FU36" s="330"/>
    </row>
    <row r="37" spans="1:177" ht="89.25" x14ac:dyDescent="0.25">
      <c r="A37" s="330">
        <v>36</v>
      </c>
      <c r="B37" s="331" t="s">
        <v>537</v>
      </c>
      <c r="C37" s="330"/>
      <c r="D37" s="332" t="s">
        <v>228</v>
      </c>
      <c r="E37" s="332" t="s">
        <v>229</v>
      </c>
      <c r="F37" s="332" t="s">
        <v>230</v>
      </c>
      <c r="G37" s="330" t="s">
        <v>231</v>
      </c>
      <c r="H37" s="331">
        <v>400</v>
      </c>
      <c r="I37" s="330"/>
      <c r="J37" s="332" t="s">
        <v>530</v>
      </c>
      <c r="K37" s="332" t="s">
        <v>437</v>
      </c>
      <c r="L37" s="330" t="s">
        <v>284</v>
      </c>
      <c r="M37" s="332" t="s">
        <v>538</v>
      </c>
      <c r="N37" s="330" t="s">
        <v>539</v>
      </c>
      <c r="O37" s="339">
        <v>0.61687772472493296</v>
      </c>
      <c r="P37" s="333">
        <v>11886</v>
      </c>
      <c r="Q37" s="333">
        <v>19268</v>
      </c>
      <c r="R37" s="333">
        <v>149</v>
      </c>
      <c r="S37" s="333">
        <v>149</v>
      </c>
      <c r="T37" s="333">
        <v>2</v>
      </c>
      <c r="U37" s="333">
        <v>771</v>
      </c>
      <c r="V37" s="333">
        <v>1650</v>
      </c>
      <c r="W37" s="330" t="s">
        <v>540</v>
      </c>
      <c r="X37" s="330" t="s">
        <v>541</v>
      </c>
      <c r="Y37" s="332" t="s">
        <v>351</v>
      </c>
      <c r="Z37" s="330" t="s">
        <v>215</v>
      </c>
      <c r="AA37" s="330" t="s">
        <v>352</v>
      </c>
      <c r="AB37" s="330" t="s">
        <v>189</v>
      </c>
      <c r="AC37" s="330"/>
      <c r="AD37" s="330"/>
      <c r="AE37" s="330">
        <v>66</v>
      </c>
      <c r="AF37" s="330">
        <v>-63</v>
      </c>
      <c r="AG37" s="332" t="s">
        <v>238</v>
      </c>
      <c r="AH37" s="332" t="s">
        <v>191</v>
      </c>
      <c r="AI37" s="330" t="s">
        <v>192</v>
      </c>
      <c r="AJ37" s="330" t="s">
        <v>192</v>
      </c>
      <c r="AK37" s="330"/>
      <c r="AL37" s="330" t="s">
        <v>192</v>
      </c>
      <c r="AM37" s="330" t="s">
        <v>191</v>
      </c>
      <c r="AN37" s="330" t="s">
        <v>192</v>
      </c>
      <c r="AO37" s="330"/>
      <c r="AP37" s="332" t="s">
        <v>259</v>
      </c>
      <c r="AQ37" s="330"/>
      <c r="AR37" s="330"/>
      <c r="AS37" s="330" t="b">
        <v>1</v>
      </c>
      <c r="AT37" s="330"/>
      <c r="AU37" s="332" t="s">
        <v>192</v>
      </c>
      <c r="AV37" s="334">
        <v>45951.664744699076</v>
      </c>
      <c r="AW37" s="330"/>
      <c r="AX37" s="335">
        <v>46023</v>
      </c>
      <c r="AY37" s="336">
        <v>46003</v>
      </c>
      <c r="AZ37" s="330"/>
      <c r="BA37" s="336">
        <v>46042</v>
      </c>
      <c r="BB37" s="330"/>
      <c r="BC37" s="336">
        <v>46044</v>
      </c>
      <c r="BD37" s="330"/>
      <c r="BE37" s="336">
        <v>46044</v>
      </c>
      <c r="BF37" s="330"/>
      <c r="BG37" s="330"/>
      <c r="BH37" s="330" t="s">
        <v>193</v>
      </c>
      <c r="BI37" s="330">
        <v>1000</v>
      </c>
      <c r="BJ37" s="330"/>
      <c r="BK37" s="330"/>
      <c r="BL37" s="330"/>
      <c r="BM37" s="332"/>
      <c r="BN37" s="330"/>
      <c r="BO37" s="330" t="s">
        <v>240</v>
      </c>
      <c r="BP37" s="330" t="s">
        <v>193</v>
      </c>
      <c r="BQ37" s="330" t="s">
        <v>218</v>
      </c>
      <c r="BR37" s="330" t="s">
        <v>220</v>
      </c>
      <c r="BS37" s="330"/>
      <c r="BT37" s="330" t="s">
        <v>220</v>
      </c>
      <c r="BU37" s="330"/>
      <c r="BV37" s="330" t="s">
        <v>220</v>
      </c>
      <c r="BW37" s="330"/>
      <c r="BX37" s="332"/>
      <c r="BY37" s="330"/>
      <c r="BZ37" s="330"/>
      <c r="CA37" s="330"/>
      <c r="CB37" s="330"/>
      <c r="CC37" s="337" t="s">
        <v>241</v>
      </c>
      <c r="CD37" s="330" t="b">
        <v>1</v>
      </c>
      <c r="CE37" s="330" t="b">
        <v>1</v>
      </c>
      <c r="CF37" s="330" t="b">
        <v>1</v>
      </c>
      <c r="CG37" s="330" t="s">
        <v>242</v>
      </c>
      <c r="CH37" s="330"/>
      <c r="CI37" s="330"/>
      <c r="CJ37" s="330"/>
      <c r="CK37" s="330"/>
      <c r="CL37" s="330"/>
      <c r="CM37" s="330"/>
      <c r="CN37" s="330"/>
      <c r="CO37" s="330"/>
      <c r="CP37" s="330"/>
      <c r="CQ37" s="330"/>
      <c r="CR37" s="330"/>
      <c r="CS37" s="330"/>
      <c r="CT37" s="330"/>
      <c r="CU37" s="330"/>
      <c r="CV37" s="330"/>
      <c r="CW37" s="330"/>
      <c r="CX37" s="330"/>
      <c r="CY37" s="330"/>
      <c r="CZ37" s="330"/>
      <c r="DA37" s="330"/>
      <c r="DB37" s="330" t="b">
        <v>1</v>
      </c>
      <c r="DC37" s="330" t="b">
        <v>1</v>
      </c>
      <c r="DD37" s="330"/>
      <c r="DE37" s="330"/>
      <c r="DF37" s="338">
        <v>24051</v>
      </c>
      <c r="DG37" s="330" t="s">
        <v>221</v>
      </c>
      <c r="DH37" s="330"/>
      <c r="DI37" s="338">
        <v>55</v>
      </c>
      <c r="DJ37" s="330"/>
      <c r="DK37" s="330">
        <v>55</v>
      </c>
      <c r="DL37" s="330" t="s">
        <v>243</v>
      </c>
      <c r="DM37" s="330"/>
      <c r="DN37" s="330"/>
      <c r="DO37" s="330"/>
      <c r="DP37" s="330"/>
      <c r="DQ37" s="338" t="s">
        <v>197</v>
      </c>
      <c r="DR37" s="330"/>
      <c r="DS37" s="330"/>
      <c r="DT37" s="330"/>
      <c r="DU37" s="338" t="s">
        <v>197</v>
      </c>
      <c r="DV37" s="330"/>
      <c r="DW37" s="330"/>
      <c r="DX37" s="330"/>
      <c r="DY37" s="338" t="s">
        <v>197</v>
      </c>
      <c r="DZ37" s="330"/>
      <c r="EA37" s="330"/>
      <c r="EB37" s="330"/>
      <c r="EC37" s="330" t="s">
        <v>197</v>
      </c>
      <c r="ED37" s="338" t="s">
        <v>197</v>
      </c>
      <c r="EE37" s="330">
        <v>8</v>
      </c>
      <c r="EF37" s="330">
        <v>300</v>
      </c>
      <c r="EG37" s="330"/>
      <c r="EH37" s="330"/>
      <c r="EI37" s="330"/>
      <c r="EJ37" s="330"/>
      <c r="EK37" s="330"/>
      <c r="EL37" s="330"/>
      <c r="EM37" s="330"/>
      <c r="EN37" s="330"/>
      <c r="EO37" s="330"/>
      <c r="EP37" s="330"/>
      <c r="EQ37" s="332" t="s">
        <v>244</v>
      </c>
      <c r="ER37" s="330"/>
      <c r="ES37" s="330"/>
      <c r="ET37" s="332" t="s">
        <v>245</v>
      </c>
      <c r="EU37" s="332" t="s">
        <v>246</v>
      </c>
      <c r="EV37" s="336">
        <v>46002</v>
      </c>
      <c r="EW37" s="336">
        <v>46003</v>
      </c>
      <c r="EX37" s="330">
        <v>2</v>
      </c>
      <c r="EY37" s="330"/>
      <c r="EZ37" s="330" t="s">
        <v>201</v>
      </c>
      <c r="FA37" s="336">
        <v>46043</v>
      </c>
      <c r="FB37" s="330">
        <v>2</v>
      </c>
      <c r="FC37" s="330" t="s">
        <v>202</v>
      </c>
      <c r="FD37" s="332" t="s">
        <v>190</v>
      </c>
      <c r="FE37" s="336">
        <v>46044</v>
      </c>
      <c r="FF37" s="330"/>
      <c r="FG37" s="330" t="s">
        <v>203</v>
      </c>
      <c r="FH37" s="330" t="s">
        <v>260</v>
      </c>
      <c r="FI37" s="330" t="s">
        <v>204</v>
      </c>
      <c r="FJ37" s="330"/>
      <c r="FK37" s="330" t="s">
        <v>230</v>
      </c>
      <c r="FL37" s="330" t="s">
        <v>192</v>
      </c>
      <c r="FM37" s="330" t="s">
        <v>191</v>
      </c>
      <c r="FN37" s="330" t="s">
        <v>542</v>
      </c>
      <c r="FO37" s="330"/>
      <c r="FP37" s="330" t="s">
        <v>344</v>
      </c>
      <c r="FQ37" s="330"/>
      <c r="FR37" s="330"/>
      <c r="FS37" s="330"/>
      <c r="FT37" s="330"/>
      <c r="FU37" s="330"/>
    </row>
    <row r="38" spans="1:177" ht="38.25" x14ac:dyDescent="0.25">
      <c r="A38" s="330">
        <v>37</v>
      </c>
      <c r="B38" s="331" t="s">
        <v>543</v>
      </c>
      <c r="C38" s="330"/>
      <c r="D38" s="332" t="s">
        <v>228</v>
      </c>
      <c r="E38" s="332" t="s">
        <v>229</v>
      </c>
      <c r="F38" s="332" t="s">
        <v>230</v>
      </c>
      <c r="G38" s="330" t="s">
        <v>231</v>
      </c>
      <c r="H38" s="331">
        <v>400</v>
      </c>
      <c r="I38" s="330"/>
      <c r="J38" s="332"/>
      <c r="K38" s="332" t="s">
        <v>544</v>
      </c>
      <c r="L38" s="330"/>
      <c r="M38" s="332"/>
      <c r="N38" s="330" t="s">
        <v>545</v>
      </c>
      <c r="O38" s="339">
        <v>0.35390284409383399</v>
      </c>
      <c r="P38" s="333">
        <v>6819</v>
      </c>
      <c r="Q38" s="333">
        <v>19268</v>
      </c>
      <c r="R38" s="333">
        <v>78</v>
      </c>
      <c r="S38" s="333">
        <v>78</v>
      </c>
      <c r="T38" s="333">
        <v>6</v>
      </c>
      <c r="U38" s="333">
        <v>483</v>
      </c>
      <c r="V38" s="333">
        <v>900</v>
      </c>
      <c r="W38" s="330" t="s">
        <v>546</v>
      </c>
      <c r="X38" s="330" t="s">
        <v>547</v>
      </c>
      <c r="Y38" s="332" t="s">
        <v>383</v>
      </c>
      <c r="Z38" s="330" t="s">
        <v>215</v>
      </c>
      <c r="AA38" s="330" t="s">
        <v>384</v>
      </c>
      <c r="AB38" s="330" t="s">
        <v>189</v>
      </c>
      <c r="AC38" s="330"/>
      <c r="AD38" s="330"/>
      <c r="AE38" s="330">
        <v>12</v>
      </c>
      <c r="AF38" s="330">
        <v>-224</v>
      </c>
      <c r="AG38" s="332" t="s">
        <v>238</v>
      </c>
      <c r="AH38" s="332" t="s">
        <v>191</v>
      </c>
      <c r="AI38" s="330" t="s">
        <v>192</v>
      </c>
      <c r="AJ38" s="330" t="s">
        <v>192</v>
      </c>
      <c r="AK38" s="330"/>
      <c r="AL38" s="330" t="s">
        <v>192</v>
      </c>
      <c r="AM38" s="330" t="s">
        <v>191</v>
      </c>
      <c r="AN38" s="330" t="s">
        <v>192</v>
      </c>
      <c r="AO38" s="330"/>
      <c r="AP38" s="332" t="s">
        <v>239</v>
      </c>
      <c r="AQ38" s="330"/>
      <c r="AR38" s="330"/>
      <c r="AS38" s="330" t="b">
        <v>1</v>
      </c>
      <c r="AT38" s="330"/>
      <c r="AU38" s="332" t="s">
        <v>192</v>
      </c>
      <c r="AV38" s="334">
        <v>45751.659686967592</v>
      </c>
      <c r="AW38" s="330"/>
      <c r="AX38" s="335">
        <v>45798</v>
      </c>
      <c r="AY38" s="336">
        <v>45762</v>
      </c>
      <c r="AZ38" s="330"/>
      <c r="BA38" s="336">
        <v>45817</v>
      </c>
      <c r="BB38" s="330"/>
      <c r="BC38" s="336">
        <v>45819</v>
      </c>
      <c r="BD38" s="330"/>
      <c r="BE38" s="336">
        <v>45819</v>
      </c>
      <c r="BF38" s="330"/>
      <c r="BG38" s="330"/>
      <c r="BH38" s="330" t="s">
        <v>193</v>
      </c>
      <c r="BI38" s="330">
        <v>1000</v>
      </c>
      <c r="BJ38" s="330"/>
      <c r="BK38" s="330"/>
      <c r="BL38" s="330"/>
      <c r="BM38" s="332"/>
      <c r="BN38" s="330"/>
      <c r="BO38" s="330" t="s">
        <v>240</v>
      </c>
      <c r="BP38" s="330" t="s">
        <v>193</v>
      </c>
      <c r="BQ38" s="330" t="s">
        <v>218</v>
      </c>
      <c r="BR38" s="330" t="s">
        <v>220</v>
      </c>
      <c r="BS38" s="330"/>
      <c r="BT38" s="330" t="s">
        <v>220</v>
      </c>
      <c r="BU38" s="330"/>
      <c r="BV38" s="330" t="s">
        <v>220</v>
      </c>
      <c r="BW38" s="330"/>
      <c r="BX38" s="332"/>
      <c r="BY38" s="330"/>
      <c r="BZ38" s="330"/>
      <c r="CA38" s="330"/>
      <c r="CB38" s="330"/>
      <c r="CC38" s="337" t="s">
        <v>241</v>
      </c>
      <c r="CD38" s="330" t="b">
        <v>1</v>
      </c>
      <c r="CE38" s="330" t="b">
        <v>1</v>
      </c>
      <c r="CF38" s="330" t="b">
        <v>1</v>
      </c>
      <c r="CG38" s="330" t="s">
        <v>242</v>
      </c>
      <c r="CH38" s="330"/>
      <c r="CI38" s="330"/>
      <c r="CJ38" s="330"/>
      <c r="CK38" s="330"/>
      <c r="CL38" s="330"/>
      <c r="CM38" s="330"/>
      <c r="CN38" s="330"/>
      <c r="CO38" s="330"/>
      <c r="CP38" s="330"/>
      <c r="CQ38" s="330"/>
      <c r="CR38" s="330"/>
      <c r="CS38" s="330"/>
      <c r="CT38" s="330"/>
      <c r="CU38" s="330"/>
      <c r="CV38" s="330"/>
      <c r="CW38" s="330"/>
      <c r="CX38" s="330"/>
      <c r="CY38" s="330"/>
      <c r="CZ38" s="330"/>
      <c r="DA38" s="330"/>
      <c r="DB38" s="330" t="b">
        <v>1</v>
      </c>
      <c r="DC38" s="330" t="b">
        <v>1</v>
      </c>
      <c r="DD38" s="330"/>
      <c r="DE38" s="330"/>
      <c r="DF38" s="338">
        <v>24051</v>
      </c>
      <c r="DG38" s="330" t="s">
        <v>221</v>
      </c>
      <c r="DH38" s="330"/>
      <c r="DI38" s="338">
        <v>29</v>
      </c>
      <c r="DJ38" s="330"/>
      <c r="DK38" s="330">
        <v>29</v>
      </c>
      <c r="DL38" s="330" t="s">
        <v>243</v>
      </c>
      <c r="DM38" s="330"/>
      <c r="DN38" s="330"/>
      <c r="DO38" s="330"/>
      <c r="DP38" s="330"/>
      <c r="DQ38" s="338" t="s">
        <v>197</v>
      </c>
      <c r="DR38" s="330"/>
      <c r="DS38" s="330"/>
      <c r="DT38" s="330"/>
      <c r="DU38" s="338" t="s">
        <v>197</v>
      </c>
      <c r="DV38" s="330"/>
      <c r="DW38" s="330"/>
      <c r="DX38" s="330"/>
      <c r="DY38" s="338" t="s">
        <v>197</v>
      </c>
      <c r="DZ38" s="330"/>
      <c r="EA38" s="330"/>
      <c r="EB38" s="330"/>
      <c r="EC38" s="330" t="s">
        <v>197</v>
      </c>
      <c r="ED38" s="338" t="s">
        <v>197</v>
      </c>
      <c r="EE38" s="330">
        <v>4</v>
      </c>
      <c r="EF38" s="330">
        <v>200</v>
      </c>
      <c r="EG38" s="330"/>
      <c r="EH38" s="330"/>
      <c r="EI38" s="330"/>
      <c r="EJ38" s="330"/>
      <c r="EK38" s="330"/>
      <c r="EL38" s="330"/>
      <c r="EM38" s="330"/>
      <c r="EN38" s="330"/>
      <c r="EO38" s="330"/>
      <c r="EP38" s="330"/>
      <c r="EQ38" s="332" t="s">
        <v>244</v>
      </c>
      <c r="ER38" s="330"/>
      <c r="ES38" s="330"/>
      <c r="ET38" s="332" t="s">
        <v>245</v>
      </c>
      <c r="EU38" s="332" t="s">
        <v>246</v>
      </c>
      <c r="EV38" s="336">
        <v>45761</v>
      </c>
      <c r="EW38" s="336">
        <v>45761</v>
      </c>
      <c r="EX38" s="330">
        <v>1</v>
      </c>
      <c r="EY38" s="330"/>
      <c r="EZ38" s="330" t="s">
        <v>201</v>
      </c>
      <c r="FA38" s="336">
        <v>45813</v>
      </c>
      <c r="FB38" s="330">
        <v>1</v>
      </c>
      <c r="FC38" s="330" t="s">
        <v>202</v>
      </c>
      <c r="FD38" s="332" t="s">
        <v>190</v>
      </c>
      <c r="FE38" s="336">
        <v>45813</v>
      </c>
      <c r="FF38" s="330"/>
      <c r="FG38" s="330" t="s">
        <v>203</v>
      </c>
      <c r="FH38" s="330" t="s">
        <v>249</v>
      </c>
      <c r="FI38" s="330" t="s">
        <v>204</v>
      </c>
      <c r="FJ38" s="330"/>
      <c r="FK38" s="330" t="s">
        <v>230</v>
      </c>
      <c r="FL38" s="330" t="s">
        <v>192</v>
      </c>
      <c r="FM38" s="330" t="s">
        <v>191</v>
      </c>
      <c r="FN38" s="330" t="s">
        <v>548</v>
      </c>
      <c r="FO38" s="330"/>
      <c r="FP38" s="330" t="s">
        <v>302</v>
      </c>
      <c r="FQ38" s="330"/>
      <c r="FR38" s="330"/>
      <c r="FS38" s="330"/>
      <c r="FT38" s="330"/>
      <c r="FU38" s="330"/>
    </row>
    <row r="39" spans="1:177" ht="38.25" x14ac:dyDescent="0.25">
      <c r="A39" s="330">
        <v>38</v>
      </c>
      <c r="B39" s="331" t="s">
        <v>549</v>
      </c>
      <c r="C39" s="330"/>
      <c r="D39" s="332" t="s">
        <v>228</v>
      </c>
      <c r="E39" s="332" t="s">
        <v>229</v>
      </c>
      <c r="F39" s="332" t="s">
        <v>230</v>
      </c>
      <c r="G39" s="330" t="s">
        <v>231</v>
      </c>
      <c r="H39" s="331">
        <v>400</v>
      </c>
      <c r="I39" s="330"/>
      <c r="J39" s="332"/>
      <c r="K39" s="332" t="s">
        <v>550</v>
      </c>
      <c r="L39" s="330" t="s">
        <v>284</v>
      </c>
      <c r="M39" s="332" t="s">
        <v>551</v>
      </c>
      <c r="N39" s="330" t="s">
        <v>552</v>
      </c>
      <c r="O39" s="339">
        <v>0.74470624870251201</v>
      </c>
      <c r="P39" s="333">
        <v>14349</v>
      </c>
      <c r="Q39" s="333">
        <v>19268</v>
      </c>
      <c r="R39" s="333">
        <v>26</v>
      </c>
      <c r="S39" s="333">
        <v>26</v>
      </c>
      <c r="T39" s="333">
        <v>2</v>
      </c>
      <c r="U39" s="333">
        <v>182</v>
      </c>
      <c r="V39" s="333">
        <v>200</v>
      </c>
      <c r="W39" s="330" t="s">
        <v>363</v>
      </c>
      <c r="X39" s="330" t="s">
        <v>553</v>
      </c>
      <c r="Y39" s="332" t="s">
        <v>351</v>
      </c>
      <c r="Z39" s="330" t="s">
        <v>215</v>
      </c>
      <c r="AA39" s="330" t="s">
        <v>352</v>
      </c>
      <c r="AB39" s="330" t="s">
        <v>189</v>
      </c>
      <c r="AC39" s="330"/>
      <c r="AD39" s="330"/>
      <c r="AE39" s="330">
        <v>93</v>
      </c>
      <c r="AF39" s="330">
        <v>-19</v>
      </c>
      <c r="AG39" s="332" t="s">
        <v>238</v>
      </c>
      <c r="AH39" s="332" t="s">
        <v>191</v>
      </c>
      <c r="AI39" s="330" t="s">
        <v>192</v>
      </c>
      <c r="AJ39" s="330" t="s">
        <v>192</v>
      </c>
      <c r="AK39" s="330"/>
      <c r="AL39" s="330" t="s">
        <v>192</v>
      </c>
      <c r="AM39" s="330" t="s">
        <v>191</v>
      </c>
      <c r="AN39" s="330" t="s">
        <v>192</v>
      </c>
      <c r="AO39" s="330"/>
      <c r="AP39" s="332" t="s">
        <v>259</v>
      </c>
      <c r="AQ39" s="330"/>
      <c r="AR39" s="330"/>
      <c r="AS39" s="330" t="b">
        <v>1</v>
      </c>
      <c r="AT39" s="330"/>
      <c r="AU39" s="332" t="s">
        <v>554</v>
      </c>
      <c r="AV39" s="334">
        <v>46055.404163067127</v>
      </c>
      <c r="AW39" s="330"/>
      <c r="AX39" s="335">
        <v>46076</v>
      </c>
      <c r="AY39" s="336">
        <v>46086</v>
      </c>
      <c r="AZ39" s="330" t="b">
        <v>1</v>
      </c>
      <c r="BA39" s="336">
        <v>46104</v>
      </c>
      <c r="BB39" s="330"/>
      <c r="BC39" s="336">
        <v>46097</v>
      </c>
      <c r="BD39" s="330"/>
      <c r="BE39" s="336">
        <v>46097</v>
      </c>
      <c r="BF39" s="330"/>
      <c r="BG39" s="330"/>
      <c r="BH39" s="330" t="s">
        <v>193</v>
      </c>
      <c r="BI39" s="330">
        <v>1000</v>
      </c>
      <c r="BJ39" s="330"/>
      <c r="BK39" s="330"/>
      <c r="BL39" s="330"/>
      <c r="BM39" s="332"/>
      <c r="BN39" s="330"/>
      <c r="BO39" s="330" t="s">
        <v>240</v>
      </c>
      <c r="BP39" s="330" t="s">
        <v>193</v>
      </c>
      <c r="BQ39" s="330" t="s">
        <v>218</v>
      </c>
      <c r="BR39" s="330" t="s">
        <v>220</v>
      </c>
      <c r="BS39" s="330"/>
      <c r="BT39" s="330" t="s">
        <v>220</v>
      </c>
      <c r="BU39" s="330"/>
      <c r="BV39" s="330" t="s">
        <v>220</v>
      </c>
      <c r="BW39" s="330"/>
      <c r="BX39" s="332"/>
      <c r="BY39" s="330"/>
      <c r="BZ39" s="330"/>
      <c r="CA39" s="330"/>
      <c r="CB39" s="330"/>
      <c r="CC39" s="337" t="s">
        <v>241</v>
      </c>
      <c r="CD39" s="330" t="b">
        <v>1</v>
      </c>
      <c r="CE39" s="330" t="b">
        <v>1</v>
      </c>
      <c r="CF39" s="330" t="b">
        <v>1</v>
      </c>
      <c r="CG39" s="330" t="s">
        <v>242</v>
      </c>
      <c r="CH39" s="330"/>
      <c r="CI39" s="330"/>
      <c r="CJ39" s="330"/>
      <c r="CK39" s="330"/>
      <c r="CL39" s="330"/>
      <c r="CM39" s="330"/>
      <c r="CN39" s="330"/>
      <c r="CO39" s="330"/>
      <c r="CP39" s="330"/>
      <c r="CQ39" s="330"/>
      <c r="CR39" s="330"/>
      <c r="CS39" s="330"/>
      <c r="CT39" s="330"/>
      <c r="CU39" s="330"/>
      <c r="CV39" s="330"/>
      <c r="CW39" s="330"/>
      <c r="CX39" s="330"/>
      <c r="CY39" s="330"/>
      <c r="CZ39" s="330"/>
      <c r="DA39" s="330"/>
      <c r="DB39" s="330" t="b">
        <v>1</v>
      </c>
      <c r="DC39" s="330" t="b">
        <v>1</v>
      </c>
      <c r="DD39" s="330"/>
      <c r="DE39" s="330"/>
      <c r="DF39" s="338">
        <v>24051</v>
      </c>
      <c r="DG39" s="330" t="s">
        <v>221</v>
      </c>
      <c r="DH39" s="330"/>
      <c r="DI39" s="338" t="s">
        <v>555</v>
      </c>
      <c r="DJ39" s="330"/>
      <c r="DK39" s="330">
        <v>0</v>
      </c>
      <c r="DL39" s="330" t="s">
        <v>243</v>
      </c>
      <c r="DM39" s="330"/>
      <c r="DN39" s="330"/>
      <c r="DO39" s="330"/>
      <c r="DP39" s="330"/>
      <c r="DQ39" s="338" t="s">
        <v>197</v>
      </c>
      <c r="DR39" s="330"/>
      <c r="DS39" s="330"/>
      <c r="DT39" s="330"/>
      <c r="DU39" s="338" t="s">
        <v>197</v>
      </c>
      <c r="DV39" s="330"/>
      <c r="DW39" s="330"/>
      <c r="DX39" s="330"/>
      <c r="DY39" s="338" t="s">
        <v>197</v>
      </c>
      <c r="DZ39" s="330"/>
      <c r="EA39" s="330"/>
      <c r="EB39" s="330"/>
      <c r="EC39" s="330" t="s">
        <v>197</v>
      </c>
      <c r="ED39" s="338" t="s">
        <v>197</v>
      </c>
      <c r="EE39" s="330">
        <v>4</v>
      </c>
      <c r="EF39" s="330">
        <v>40</v>
      </c>
      <c r="EG39" s="330"/>
      <c r="EH39" s="330"/>
      <c r="EI39" s="330"/>
      <c r="EJ39" s="330"/>
      <c r="EK39" s="330"/>
      <c r="EL39" s="330"/>
      <c r="EM39" s="330"/>
      <c r="EN39" s="330"/>
      <c r="EO39" s="330"/>
      <c r="EP39" s="330"/>
      <c r="EQ39" s="332" t="s">
        <v>244</v>
      </c>
      <c r="ER39" s="330"/>
      <c r="ES39" s="330"/>
      <c r="ET39" s="332" t="s">
        <v>245</v>
      </c>
      <c r="EU39" s="332" t="s">
        <v>246</v>
      </c>
      <c r="EV39" s="336">
        <v>46085</v>
      </c>
      <c r="EW39" s="336">
        <v>46086</v>
      </c>
      <c r="EX39" s="330">
        <v>2</v>
      </c>
      <c r="EY39" s="330"/>
      <c r="EZ39" s="330" t="s">
        <v>201</v>
      </c>
      <c r="FA39" s="336">
        <v>46092</v>
      </c>
      <c r="FB39" s="330">
        <v>2</v>
      </c>
      <c r="FC39" s="330" t="s">
        <v>202</v>
      </c>
      <c r="FD39" s="332" t="s">
        <v>190</v>
      </c>
      <c r="FE39" s="336">
        <v>46093</v>
      </c>
      <c r="FF39" s="330"/>
      <c r="FG39" s="330" t="s">
        <v>203</v>
      </c>
      <c r="FH39" s="330" t="s">
        <v>291</v>
      </c>
      <c r="FI39" s="330" t="s">
        <v>204</v>
      </c>
      <c r="FJ39" s="330"/>
      <c r="FK39" s="330" t="s">
        <v>230</v>
      </c>
      <c r="FL39" s="330" t="s">
        <v>192</v>
      </c>
      <c r="FM39" s="330" t="s">
        <v>191</v>
      </c>
      <c r="FN39" s="330" t="s">
        <v>556</v>
      </c>
      <c r="FO39" s="330"/>
      <c r="FP39" s="330" t="s">
        <v>459</v>
      </c>
      <c r="FQ39" s="330"/>
      <c r="FR39" s="330"/>
      <c r="FS39" s="330"/>
      <c r="FT39" s="330"/>
      <c r="FU39" s="330"/>
    </row>
    <row r="40" spans="1:177" ht="51" x14ac:dyDescent="0.25">
      <c r="A40" s="330">
        <v>39</v>
      </c>
      <c r="B40" s="331" t="s">
        <v>557</v>
      </c>
      <c r="C40" s="330"/>
      <c r="D40" s="332" t="s">
        <v>228</v>
      </c>
      <c r="E40" s="332" t="s">
        <v>229</v>
      </c>
      <c r="F40" s="332" t="s">
        <v>230</v>
      </c>
      <c r="G40" s="330" t="s">
        <v>231</v>
      </c>
      <c r="H40" s="331">
        <v>400</v>
      </c>
      <c r="I40" s="330"/>
      <c r="J40" s="332"/>
      <c r="K40" s="332" t="s">
        <v>558</v>
      </c>
      <c r="L40" s="330"/>
      <c r="M40" s="332"/>
      <c r="N40" s="330" t="s">
        <v>559</v>
      </c>
      <c r="O40" s="339">
        <v>0.360545982976957</v>
      </c>
      <c r="P40" s="333">
        <v>6947</v>
      </c>
      <c r="Q40" s="333">
        <v>19268</v>
      </c>
      <c r="R40" s="333">
        <v>128</v>
      </c>
      <c r="S40" s="333">
        <v>128</v>
      </c>
      <c r="T40" s="333">
        <v>2</v>
      </c>
      <c r="U40" s="333">
        <v>768</v>
      </c>
      <c r="V40" s="333">
        <v>1600</v>
      </c>
      <c r="W40" s="330" t="s">
        <v>560</v>
      </c>
      <c r="X40" s="330" t="s">
        <v>561</v>
      </c>
      <c r="Y40" s="332" t="s">
        <v>383</v>
      </c>
      <c r="Z40" s="330" t="s">
        <v>215</v>
      </c>
      <c r="AA40" s="330" t="s">
        <v>384</v>
      </c>
      <c r="AB40" s="330" t="s">
        <v>189</v>
      </c>
      <c r="AC40" s="330"/>
      <c r="AD40" s="330"/>
      <c r="AE40" s="330">
        <v>12</v>
      </c>
      <c r="AF40" s="330">
        <v>-224</v>
      </c>
      <c r="AG40" s="332" t="s">
        <v>238</v>
      </c>
      <c r="AH40" s="332" t="s">
        <v>191</v>
      </c>
      <c r="AI40" s="330" t="s">
        <v>192</v>
      </c>
      <c r="AJ40" s="330" t="s">
        <v>192</v>
      </c>
      <c r="AK40" s="330"/>
      <c r="AL40" s="330" t="s">
        <v>192</v>
      </c>
      <c r="AM40" s="330" t="s">
        <v>191</v>
      </c>
      <c r="AN40" s="330" t="s">
        <v>192</v>
      </c>
      <c r="AO40" s="330"/>
      <c r="AP40" s="332" t="s">
        <v>239</v>
      </c>
      <c r="AQ40" s="330"/>
      <c r="AR40" s="330"/>
      <c r="AS40" s="330" t="b">
        <v>1</v>
      </c>
      <c r="AT40" s="330"/>
      <c r="AU40" s="332" t="s">
        <v>192</v>
      </c>
      <c r="AV40" s="334">
        <v>45754.383562800926</v>
      </c>
      <c r="AW40" s="330"/>
      <c r="AX40" s="335">
        <v>45798</v>
      </c>
      <c r="AY40" s="336">
        <v>45762</v>
      </c>
      <c r="AZ40" s="330"/>
      <c r="BA40" s="336">
        <v>45817</v>
      </c>
      <c r="BB40" s="330"/>
      <c r="BC40" s="336">
        <v>45819</v>
      </c>
      <c r="BD40" s="330"/>
      <c r="BE40" s="336">
        <v>45819</v>
      </c>
      <c r="BF40" s="330"/>
      <c r="BG40" s="330"/>
      <c r="BH40" s="330" t="s">
        <v>193</v>
      </c>
      <c r="BI40" s="330">
        <v>1000</v>
      </c>
      <c r="BJ40" s="330"/>
      <c r="BK40" s="330"/>
      <c r="BL40" s="330"/>
      <c r="BM40" s="332"/>
      <c r="BN40" s="330"/>
      <c r="BO40" s="330" t="s">
        <v>240</v>
      </c>
      <c r="BP40" s="330" t="s">
        <v>193</v>
      </c>
      <c r="BQ40" s="330" t="s">
        <v>218</v>
      </c>
      <c r="BR40" s="330" t="s">
        <v>220</v>
      </c>
      <c r="BS40" s="330"/>
      <c r="BT40" s="330" t="s">
        <v>220</v>
      </c>
      <c r="BU40" s="330"/>
      <c r="BV40" s="330" t="s">
        <v>220</v>
      </c>
      <c r="BW40" s="330"/>
      <c r="BX40" s="332"/>
      <c r="BY40" s="330"/>
      <c r="BZ40" s="330"/>
      <c r="CA40" s="330"/>
      <c r="CB40" s="330"/>
      <c r="CC40" s="337" t="s">
        <v>241</v>
      </c>
      <c r="CD40" s="330" t="b">
        <v>1</v>
      </c>
      <c r="CE40" s="330" t="b">
        <v>1</v>
      </c>
      <c r="CF40" s="330" t="b">
        <v>1</v>
      </c>
      <c r="CG40" s="330" t="s">
        <v>242</v>
      </c>
      <c r="CH40" s="330"/>
      <c r="CI40" s="330"/>
      <c r="CJ40" s="330"/>
      <c r="CK40" s="330"/>
      <c r="CL40" s="330"/>
      <c r="CM40" s="330"/>
      <c r="CN40" s="330"/>
      <c r="CO40" s="330"/>
      <c r="CP40" s="330"/>
      <c r="CQ40" s="330"/>
      <c r="CR40" s="330"/>
      <c r="CS40" s="330"/>
      <c r="CT40" s="330"/>
      <c r="CU40" s="330"/>
      <c r="CV40" s="330"/>
      <c r="CW40" s="330"/>
      <c r="CX40" s="330"/>
      <c r="CY40" s="330"/>
      <c r="CZ40" s="330"/>
      <c r="DA40" s="330"/>
      <c r="DB40" s="330" t="b">
        <v>1</v>
      </c>
      <c r="DC40" s="330" t="b">
        <v>1</v>
      </c>
      <c r="DD40" s="330"/>
      <c r="DE40" s="330"/>
      <c r="DF40" s="338">
        <v>24051</v>
      </c>
      <c r="DG40" s="330" t="s">
        <v>221</v>
      </c>
      <c r="DH40" s="330"/>
      <c r="DI40" s="338">
        <v>30</v>
      </c>
      <c r="DJ40" s="330"/>
      <c r="DK40" s="330">
        <v>30</v>
      </c>
      <c r="DL40" s="330" t="s">
        <v>243</v>
      </c>
      <c r="DM40" s="330"/>
      <c r="DN40" s="330"/>
      <c r="DO40" s="330"/>
      <c r="DP40" s="330"/>
      <c r="DQ40" s="338" t="s">
        <v>197</v>
      </c>
      <c r="DR40" s="330"/>
      <c r="DS40" s="330"/>
      <c r="DT40" s="330"/>
      <c r="DU40" s="338" t="s">
        <v>197</v>
      </c>
      <c r="DV40" s="330"/>
      <c r="DW40" s="330"/>
      <c r="DX40" s="330"/>
      <c r="DY40" s="338" t="s">
        <v>197</v>
      </c>
      <c r="DZ40" s="330"/>
      <c r="EA40" s="330"/>
      <c r="EB40" s="330"/>
      <c r="EC40" s="330" t="s">
        <v>197</v>
      </c>
      <c r="ED40" s="338" t="s">
        <v>197</v>
      </c>
      <c r="EE40" s="330">
        <v>4</v>
      </c>
      <c r="EF40" s="330">
        <v>300</v>
      </c>
      <c r="EG40" s="330"/>
      <c r="EH40" s="330"/>
      <c r="EI40" s="330"/>
      <c r="EJ40" s="330"/>
      <c r="EK40" s="330"/>
      <c r="EL40" s="330"/>
      <c r="EM40" s="330"/>
      <c r="EN40" s="330"/>
      <c r="EO40" s="330"/>
      <c r="EP40" s="330"/>
      <c r="EQ40" s="332" t="s">
        <v>244</v>
      </c>
      <c r="ER40" s="330"/>
      <c r="ES40" s="330"/>
      <c r="ET40" s="332" t="s">
        <v>245</v>
      </c>
      <c r="EU40" s="332" t="s">
        <v>246</v>
      </c>
      <c r="EV40" s="336">
        <v>45761</v>
      </c>
      <c r="EW40" s="336">
        <v>45761</v>
      </c>
      <c r="EX40" s="330">
        <v>1</v>
      </c>
      <c r="EY40" s="330"/>
      <c r="EZ40" s="330" t="s">
        <v>201</v>
      </c>
      <c r="FA40" s="336">
        <v>45813</v>
      </c>
      <c r="FB40" s="330">
        <v>2</v>
      </c>
      <c r="FC40" s="330" t="s">
        <v>202</v>
      </c>
      <c r="FD40" s="332" t="s">
        <v>190</v>
      </c>
      <c r="FE40" s="336">
        <v>45814</v>
      </c>
      <c r="FF40" s="330"/>
      <c r="FG40" s="330" t="s">
        <v>203</v>
      </c>
      <c r="FH40" s="330" t="s">
        <v>249</v>
      </c>
      <c r="FI40" s="330" t="s">
        <v>204</v>
      </c>
      <c r="FJ40" s="330"/>
      <c r="FK40" s="330" t="s">
        <v>230</v>
      </c>
      <c r="FL40" s="330" t="s">
        <v>192</v>
      </c>
      <c r="FM40" s="330" t="s">
        <v>191</v>
      </c>
      <c r="FN40" s="330" t="s">
        <v>562</v>
      </c>
      <c r="FO40" s="330"/>
      <c r="FP40" s="330" t="s">
        <v>302</v>
      </c>
      <c r="FQ40" s="330"/>
      <c r="FR40" s="330"/>
      <c r="FS40" s="330"/>
      <c r="FT40" s="330"/>
      <c r="FU40" s="330"/>
    </row>
    <row r="41" spans="1:177" ht="38.25" x14ac:dyDescent="0.25">
      <c r="A41" s="330">
        <v>40</v>
      </c>
      <c r="B41" s="331" t="s">
        <v>563</v>
      </c>
      <c r="C41" s="330"/>
      <c r="D41" s="332" t="s">
        <v>228</v>
      </c>
      <c r="E41" s="332" t="s">
        <v>229</v>
      </c>
      <c r="F41" s="332" t="s">
        <v>230</v>
      </c>
      <c r="G41" s="330" t="s">
        <v>231</v>
      </c>
      <c r="H41" s="331">
        <v>400</v>
      </c>
      <c r="I41" s="330"/>
      <c r="J41" s="332"/>
      <c r="K41" s="332" t="s">
        <v>295</v>
      </c>
      <c r="L41" s="330"/>
      <c r="M41" s="332"/>
      <c r="N41" s="330" t="s">
        <v>564</v>
      </c>
      <c r="O41" s="339">
        <v>0.36718912186007902</v>
      </c>
      <c r="P41" s="333">
        <v>7075</v>
      </c>
      <c r="Q41" s="333">
        <v>19268</v>
      </c>
      <c r="R41" s="333">
        <v>128</v>
      </c>
      <c r="S41" s="333">
        <v>128</v>
      </c>
      <c r="T41" s="333">
        <v>2</v>
      </c>
      <c r="U41" s="333">
        <v>587</v>
      </c>
      <c r="V41" s="333">
        <v>850</v>
      </c>
      <c r="W41" s="330" t="s">
        <v>297</v>
      </c>
      <c r="X41" s="330" t="s">
        <v>565</v>
      </c>
      <c r="Y41" s="332" t="s">
        <v>383</v>
      </c>
      <c r="Z41" s="330" t="s">
        <v>215</v>
      </c>
      <c r="AA41" s="330" t="s">
        <v>384</v>
      </c>
      <c r="AB41" s="330" t="s">
        <v>189</v>
      </c>
      <c r="AC41" s="330"/>
      <c r="AD41" s="330"/>
      <c r="AE41" s="330">
        <v>15</v>
      </c>
      <c r="AF41" s="330">
        <v>-223</v>
      </c>
      <c r="AG41" s="332" t="s">
        <v>238</v>
      </c>
      <c r="AH41" s="332" t="s">
        <v>191</v>
      </c>
      <c r="AI41" s="330" t="s">
        <v>192</v>
      </c>
      <c r="AJ41" s="330" t="s">
        <v>192</v>
      </c>
      <c r="AK41" s="330"/>
      <c r="AL41" s="330" t="s">
        <v>192</v>
      </c>
      <c r="AM41" s="330" t="s">
        <v>191</v>
      </c>
      <c r="AN41" s="330" t="s">
        <v>192</v>
      </c>
      <c r="AO41" s="330"/>
      <c r="AP41" s="332" t="s">
        <v>239</v>
      </c>
      <c r="AQ41" s="330"/>
      <c r="AR41" s="330"/>
      <c r="AS41" s="330" t="b">
        <v>1</v>
      </c>
      <c r="AT41" s="330"/>
      <c r="AU41" s="332" t="s">
        <v>192</v>
      </c>
      <c r="AV41" s="334">
        <v>45754.386081168981</v>
      </c>
      <c r="AW41" s="330"/>
      <c r="AX41" s="335">
        <v>45799</v>
      </c>
      <c r="AY41" s="336">
        <v>45762</v>
      </c>
      <c r="AZ41" s="330"/>
      <c r="BA41" s="336">
        <v>45818</v>
      </c>
      <c r="BB41" s="330"/>
      <c r="BC41" s="336">
        <v>45820</v>
      </c>
      <c r="BD41" s="330"/>
      <c r="BE41" s="336">
        <v>45820</v>
      </c>
      <c r="BF41" s="330"/>
      <c r="BG41" s="330"/>
      <c r="BH41" s="330" t="s">
        <v>193</v>
      </c>
      <c r="BI41" s="330">
        <v>1000</v>
      </c>
      <c r="BJ41" s="330"/>
      <c r="BK41" s="330"/>
      <c r="BL41" s="330"/>
      <c r="BM41" s="332"/>
      <c r="BN41" s="330"/>
      <c r="BO41" s="330" t="s">
        <v>240</v>
      </c>
      <c r="BP41" s="330" t="s">
        <v>193</v>
      </c>
      <c r="BQ41" s="330" t="s">
        <v>218</v>
      </c>
      <c r="BR41" s="330" t="s">
        <v>220</v>
      </c>
      <c r="BS41" s="330"/>
      <c r="BT41" s="330" t="s">
        <v>220</v>
      </c>
      <c r="BU41" s="330"/>
      <c r="BV41" s="330" t="s">
        <v>220</v>
      </c>
      <c r="BW41" s="330"/>
      <c r="BX41" s="332"/>
      <c r="BY41" s="330"/>
      <c r="BZ41" s="330"/>
      <c r="CA41" s="330"/>
      <c r="CB41" s="330"/>
      <c r="CC41" s="337" t="s">
        <v>241</v>
      </c>
      <c r="CD41" s="330" t="b">
        <v>1</v>
      </c>
      <c r="CE41" s="330" t="b">
        <v>1</v>
      </c>
      <c r="CF41" s="330" t="b">
        <v>1</v>
      </c>
      <c r="CG41" s="330" t="s">
        <v>242</v>
      </c>
      <c r="CH41" s="330"/>
      <c r="CI41" s="330"/>
      <c r="CJ41" s="330"/>
      <c r="CK41" s="330"/>
      <c r="CL41" s="330"/>
      <c r="CM41" s="330"/>
      <c r="CN41" s="330"/>
      <c r="CO41" s="330"/>
      <c r="CP41" s="330"/>
      <c r="CQ41" s="330"/>
      <c r="CR41" s="330"/>
      <c r="CS41" s="330"/>
      <c r="CT41" s="330"/>
      <c r="CU41" s="330"/>
      <c r="CV41" s="330"/>
      <c r="CW41" s="330"/>
      <c r="CX41" s="330"/>
      <c r="CY41" s="330"/>
      <c r="CZ41" s="330"/>
      <c r="DA41" s="330"/>
      <c r="DB41" s="330" t="b">
        <v>1</v>
      </c>
      <c r="DC41" s="330" t="b">
        <v>1</v>
      </c>
      <c r="DD41" s="330"/>
      <c r="DE41" s="330"/>
      <c r="DF41" s="338">
        <v>24051</v>
      </c>
      <c r="DG41" s="330" t="s">
        <v>221</v>
      </c>
      <c r="DH41" s="330"/>
      <c r="DI41" s="338">
        <v>31</v>
      </c>
      <c r="DJ41" s="330"/>
      <c r="DK41" s="330">
        <v>31</v>
      </c>
      <c r="DL41" s="330" t="s">
        <v>243</v>
      </c>
      <c r="DM41" s="330"/>
      <c r="DN41" s="330"/>
      <c r="DO41" s="330"/>
      <c r="DP41" s="330"/>
      <c r="DQ41" s="338" t="s">
        <v>197</v>
      </c>
      <c r="DR41" s="330"/>
      <c r="DS41" s="330"/>
      <c r="DT41" s="330"/>
      <c r="DU41" s="338" t="s">
        <v>197</v>
      </c>
      <c r="DV41" s="330"/>
      <c r="DW41" s="330"/>
      <c r="DX41" s="330"/>
      <c r="DY41" s="338" t="s">
        <v>197</v>
      </c>
      <c r="DZ41" s="330"/>
      <c r="EA41" s="330"/>
      <c r="EB41" s="330"/>
      <c r="EC41" s="330" t="s">
        <v>197</v>
      </c>
      <c r="ED41" s="338" t="s">
        <v>197</v>
      </c>
      <c r="EE41" s="330">
        <v>4</v>
      </c>
      <c r="EF41" s="330">
        <v>300</v>
      </c>
      <c r="EG41" s="330"/>
      <c r="EH41" s="330"/>
      <c r="EI41" s="330"/>
      <c r="EJ41" s="330"/>
      <c r="EK41" s="330"/>
      <c r="EL41" s="330"/>
      <c r="EM41" s="330"/>
      <c r="EN41" s="330"/>
      <c r="EO41" s="330"/>
      <c r="EP41" s="330"/>
      <c r="EQ41" s="332" t="s">
        <v>244</v>
      </c>
      <c r="ER41" s="330"/>
      <c r="ES41" s="330"/>
      <c r="ET41" s="332" t="s">
        <v>245</v>
      </c>
      <c r="EU41" s="332" t="s">
        <v>246</v>
      </c>
      <c r="EV41" s="336">
        <v>45761</v>
      </c>
      <c r="EW41" s="336">
        <v>45761</v>
      </c>
      <c r="EX41" s="330">
        <v>1</v>
      </c>
      <c r="EY41" s="330"/>
      <c r="EZ41" s="330" t="s">
        <v>201</v>
      </c>
      <c r="FA41" s="336">
        <v>45814</v>
      </c>
      <c r="FB41" s="330">
        <v>1</v>
      </c>
      <c r="FC41" s="330" t="s">
        <v>202</v>
      </c>
      <c r="FD41" s="332" t="s">
        <v>190</v>
      </c>
      <c r="FE41" s="336">
        <v>45814</v>
      </c>
      <c r="FF41" s="330"/>
      <c r="FG41" s="330" t="s">
        <v>203</v>
      </c>
      <c r="FH41" s="330" t="s">
        <v>249</v>
      </c>
      <c r="FI41" s="330" t="s">
        <v>204</v>
      </c>
      <c r="FJ41" s="330"/>
      <c r="FK41" s="330" t="s">
        <v>230</v>
      </c>
      <c r="FL41" s="330" t="s">
        <v>192</v>
      </c>
      <c r="FM41" s="330" t="s">
        <v>191</v>
      </c>
      <c r="FN41" s="330" t="s">
        <v>566</v>
      </c>
      <c r="FO41" s="330"/>
      <c r="FP41" s="330" t="s">
        <v>302</v>
      </c>
      <c r="FQ41" s="330"/>
      <c r="FR41" s="330"/>
      <c r="FS41" s="330"/>
      <c r="FT41" s="330"/>
      <c r="FU41" s="330"/>
    </row>
    <row r="42" spans="1:177" ht="38.25" x14ac:dyDescent="0.25">
      <c r="A42" s="330">
        <v>41</v>
      </c>
      <c r="B42" s="331" t="s">
        <v>567</v>
      </c>
      <c r="C42" s="330"/>
      <c r="D42" s="332" t="s">
        <v>228</v>
      </c>
      <c r="E42" s="332" t="s">
        <v>229</v>
      </c>
      <c r="F42" s="332" t="s">
        <v>230</v>
      </c>
      <c r="G42" s="330" t="s">
        <v>231</v>
      </c>
      <c r="H42" s="331">
        <v>400</v>
      </c>
      <c r="I42" s="330"/>
      <c r="J42" s="332"/>
      <c r="K42" s="332" t="s">
        <v>295</v>
      </c>
      <c r="L42" s="330"/>
      <c r="M42" s="332"/>
      <c r="N42" s="330" t="s">
        <v>568</v>
      </c>
      <c r="O42" s="339">
        <v>0.37383226074320097</v>
      </c>
      <c r="P42" s="333">
        <v>7203</v>
      </c>
      <c r="Q42" s="333">
        <v>19268</v>
      </c>
      <c r="R42" s="333">
        <v>128</v>
      </c>
      <c r="S42" s="333">
        <v>128</v>
      </c>
      <c r="T42" s="333">
        <v>2</v>
      </c>
      <c r="U42" s="333">
        <v>1024</v>
      </c>
      <c r="V42" s="333">
        <v>1200</v>
      </c>
      <c r="W42" s="330" t="s">
        <v>569</v>
      </c>
      <c r="X42" s="330" t="s">
        <v>570</v>
      </c>
      <c r="Y42" s="332" t="s">
        <v>383</v>
      </c>
      <c r="Z42" s="330" t="s">
        <v>215</v>
      </c>
      <c r="AA42" s="330" t="s">
        <v>384</v>
      </c>
      <c r="AB42" s="330" t="s">
        <v>189</v>
      </c>
      <c r="AC42" s="330"/>
      <c r="AD42" s="330"/>
      <c r="AE42" s="330">
        <v>16</v>
      </c>
      <c r="AF42" s="330">
        <v>-222</v>
      </c>
      <c r="AG42" s="332" t="s">
        <v>238</v>
      </c>
      <c r="AH42" s="332" t="s">
        <v>191</v>
      </c>
      <c r="AI42" s="330" t="s">
        <v>192</v>
      </c>
      <c r="AJ42" s="330" t="s">
        <v>192</v>
      </c>
      <c r="AK42" s="330"/>
      <c r="AL42" s="330" t="s">
        <v>192</v>
      </c>
      <c r="AM42" s="330" t="s">
        <v>191</v>
      </c>
      <c r="AN42" s="330" t="s">
        <v>192</v>
      </c>
      <c r="AO42" s="330"/>
      <c r="AP42" s="332" t="s">
        <v>239</v>
      </c>
      <c r="AQ42" s="330"/>
      <c r="AR42" s="330"/>
      <c r="AS42" s="330" t="b">
        <v>1</v>
      </c>
      <c r="AT42" s="330"/>
      <c r="AU42" s="332" t="s">
        <v>192</v>
      </c>
      <c r="AV42" s="334">
        <v>45754.398451851848</v>
      </c>
      <c r="AW42" s="330"/>
      <c r="AX42" s="335">
        <v>45800</v>
      </c>
      <c r="AY42" s="336">
        <v>45762</v>
      </c>
      <c r="AZ42" s="330"/>
      <c r="BA42" s="336">
        <v>45819</v>
      </c>
      <c r="BB42" s="330"/>
      <c r="BC42" s="336">
        <v>45821</v>
      </c>
      <c r="BD42" s="330"/>
      <c r="BE42" s="336">
        <v>45821</v>
      </c>
      <c r="BF42" s="330"/>
      <c r="BG42" s="330"/>
      <c r="BH42" s="330" t="s">
        <v>193</v>
      </c>
      <c r="BI42" s="330">
        <v>1000</v>
      </c>
      <c r="BJ42" s="330"/>
      <c r="BK42" s="330"/>
      <c r="BL42" s="330"/>
      <c r="BM42" s="332"/>
      <c r="BN42" s="330"/>
      <c r="BO42" s="330" t="s">
        <v>240</v>
      </c>
      <c r="BP42" s="330" t="s">
        <v>193</v>
      </c>
      <c r="BQ42" s="330" t="s">
        <v>218</v>
      </c>
      <c r="BR42" s="330" t="s">
        <v>220</v>
      </c>
      <c r="BS42" s="330"/>
      <c r="BT42" s="330" t="s">
        <v>220</v>
      </c>
      <c r="BU42" s="330"/>
      <c r="BV42" s="330" t="s">
        <v>220</v>
      </c>
      <c r="BW42" s="330"/>
      <c r="BX42" s="332"/>
      <c r="BY42" s="330"/>
      <c r="BZ42" s="330"/>
      <c r="CA42" s="330"/>
      <c r="CB42" s="330"/>
      <c r="CC42" s="337" t="s">
        <v>241</v>
      </c>
      <c r="CD42" s="330" t="b">
        <v>1</v>
      </c>
      <c r="CE42" s="330" t="b">
        <v>1</v>
      </c>
      <c r="CF42" s="330" t="b">
        <v>1</v>
      </c>
      <c r="CG42" s="330" t="s">
        <v>242</v>
      </c>
      <c r="CH42" s="330"/>
      <c r="CI42" s="330"/>
      <c r="CJ42" s="330"/>
      <c r="CK42" s="330"/>
      <c r="CL42" s="330"/>
      <c r="CM42" s="330"/>
      <c r="CN42" s="330"/>
      <c r="CO42" s="330"/>
      <c r="CP42" s="330"/>
      <c r="CQ42" s="330"/>
      <c r="CR42" s="330"/>
      <c r="CS42" s="330"/>
      <c r="CT42" s="330"/>
      <c r="CU42" s="330"/>
      <c r="CV42" s="330"/>
      <c r="CW42" s="330"/>
      <c r="CX42" s="330"/>
      <c r="CY42" s="330"/>
      <c r="CZ42" s="330"/>
      <c r="DA42" s="330"/>
      <c r="DB42" s="330" t="b">
        <v>1</v>
      </c>
      <c r="DC42" s="330" t="b">
        <v>1</v>
      </c>
      <c r="DD42" s="330"/>
      <c r="DE42" s="330"/>
      <c r="DF42" s="338">
        <v>24051</v>
      </c>
      <c r="DG42" s="330" t="s">
        <v>221</v>
      </c>
      <c r="DH42" s="330"/>
      <c r="DI42" s="338">
        <v>32</v>
      </c>
      <c r="DJ42" s="330"/>
      <c r="DK42" s="330">
        <v>32</v>
      </c>
      <c r="DL42" s="330" t="s">
        <v>243</v>
      </c>
      <c r="DM42" s="330"/>
      <c r="DN42" s="330"/>
      <c r="DO42" s="330"/>
      <c r="DP42" s="330"/>
      <c r="DQ42" s="338" t="s">
        <v>197</v>
      </c>
      <c r="DR42" s="330"/>
      <c r="DS42" s="330"/>
      <c r="DT42" s="330"/>
      <c r="DU42" s="338" t="s">
        <v>197</v>
      </c>
      <c r="DV42" s="330"/>
      <c r="DW42" s="330"/>
      <c r="DX42" s="330"/>
      <c r="DY42" s="338" t="s">
        <v>197</v>
      </c>
      <c r="DZ42" s="330"/>
      <c r="EA42" s="330"/>
      <c r="EB42" s="330"/>
      <c r="EC42" s="330" t="s">
        <v>197</v>
      </c>
      <c r="ED42" s="338" t="s">
        <v>197</v>
      </c>
      <c r="EE42" s="330">
        <v>4</v>
      </c>
      <c r="EF42" s="330">
        <v>200</v>
      </c>
      <c r="EG42" s="330"/>
      <c r="EH42" s="330"/>
      <c r="EI42" s="330"/>
      <c r="EJ42" s="330"/>
      <c r="EK42" s="330"/>
      <c r="EL42" s="330"/>
      <c r="EM42" s="330"/>
      <c r="EN42" s="330"/>
      <c r="EO42" s="330"/>
      <c r="EP42" s="330"/>
      <c r="EQ42" s="332" t="s">
        <v>244</v>
      </c>
      <c r="ER42" s="330"/>
      <c r="ES42" s="330"/>
      <c r="ET42" s="332" t="s">
        <v>245</v>
      </c>
      <c r="EU42" s="332" t="s">
        <v>246</v>
      </c>
      <c r="EV42" s="336">
        <v>45761</v>
      </c>
      <c r="EW42" s="336">
        <v>45761</v>
      </c>
      <c r="EX42" s="330">
        <v>1</v>
      </c>
      <c r="EY42" s="330"/>
      <c r="EZ42" s="330" t="s">
        <v>201</v>
      </c>
      <c r="FA42" s="336">
        <v>45814</v>
      </c>
      <c r="FB42" s="330">
        <v>2</v>
      </c>
      <c r="FC42" s="330" t="s">
        <v>202</v>
      </c>
      <c r="FD42" s="332" t="s">
        <v>190</v>
      </c>
      <c r="FE42" s="336">
        <v>45817</v>
      </c>
      <c r="FF42" s="330"/>
      <c r="FG42" s="330" t="s">
        <v>203</v>
      </c>
      <c r="FH42" s="330" t="s">
        <v>249</v>
      </c>
      <c r="FI42" s="330" t="s">
        <v>204</v>
      </c>
      <c r="FJ42" s="330"/>
      <c r="FK42" s="330" t="s">
        <v>230</v>
      </c>
      <c r="FL42" s="330" t="s">
        <v>192</v>
      </c>
      <c r="FM42" s="330" t="s">
        <v>191</v>
      </c>
      <c r="FN42" s="330" t="s">
        <v>571</v>
      </c>
      <c r="FO42" s="330"/>
      <c r="FP42" s="330" t="s">
        <v>302</v>
      </c>
      <c r="FQ42" s="330"/>
      <c r="FR42" s="330"/>
      <c r="FS42" s="330"/>
      <c r="FT42" s="330"/>
      <c r="FU42" s="330"/>
    </row>
    <row r="43" spans="1:177" ht="38.25" x14ac:dyDescent="0.25">
      <c r="A43" s="330">
        <v>42</v>
      </c>
      <c r="B43" s="331" t="s">
        <v>572</v>
      </c>
      <c r="C43" s="330"/>
      <c r="D43" s="332" t="s">
        <v>228</v>
      </c>
      <c r="E43" s="332" t="s">
        <v>229</v>
      </c>
      <c r="F43" s="332" t="s">
        <v>230</v>
      </c>
      <c r="G43" s="330" t="s">
        <v>231</v>
      </c>
      <c r="H43" s="331">
        <v>400</v>
      </c>
      <c r="I43" s="330"/>
      <c r="J43" s="332"/>
      <c r="K43" s="332" t="s">
        <v>573</v>
      </c>
      <c r="L43" s="330"/>
      <c r="M43" s="332"/>
      <c r="N43" s="330" t="s">
        <v>574</v>
      </c>
      <c r="O43" s="339">
        <v>0.38218808386962799</v>
      </c>
      <c r="P43" s="333">
        <v>7364</v>
      </c>
      <c r="Q43" s="333">
        <v>19268</v>
      </c>
      <c r="R43" s="333">
        <v>161</v>
      </c>
      <c r="S43" s="333">
        <v>161</v>
      </c>
      <c r="T43" s="333">
        <v>2</v>
      </c>
      <c r="U43" s="333">
        <v>966</v>
      </c>
      <c r="V43" s="333">
        <v>2100</v>
      </c>
      <c r="W43" s="330" t="s">
        <v>575</v>
      </c>
      <c r="X43" s="330" t="s">
        <v>576</v>
      </c>
      <c r="Y43" s="332" t="s">
        <v>383</v>
      </c>
      <c r="Z43" s="330" t="s">
        <v>215</v>
      </c>
      <c r="AA43" s="330" t="s">
        <v>384</v>
      </c>
      <c r="AB43" s="330" t="s">
        <v>189</v>
      </c>
      <c r="AC43" s="330"/>
      <c r="AD43" s="330"/>
      <c r="AE43" s="330">
        <v>17</v>
      </c>
      <c r="AF43" s="330">
        <v>-219</v>
      </c>
      <c r="AG43" s="332" t="s">
        <v>238</v>
      </c>
      <c r="AH43" s="332" t="s">
        <v>191</v>
      </c>
      <c r="AI43" s="330" t="s">
        <v>192</v>
      </c>
      <c r="AJ43" s="330" t="s">
        <v>192</v>
      </c>
      <c r="AK43" s="330"/>
      <c r="AL43" s="330" t="s">
        <v>192</v>
      </c>
      <c r="AM43" s="330" t="s">
        <v>191</v>
      </c>
      <c r="AN43" s="330" t="s">
        <v>192</v>
      </c>
      <c r="AO43" s="330"/>
      <c r="AP43" s="332" t="s">
        <v>239</v>
      </c>
      <c r="AQ43" s="330"/>
      <c r="AR43" s="330"/>
      <c r="AS43" s="330" t="b">
        <v>1</v>
      </c>
      <c r="AT43" s="330"/>
      <c r="AU43" s="332" t="s">
        <v>192</v>
      </c>
      <c r="AV43" s="334">
        <v>45754.677827453706</v>
      </c>
      <c r="AW43" s="330"/>
      <c r="AX43" s="335">
        <v>45805</v>
      </c>
      <c r="AY43" s="336">
        <v>45762</v>
      </c>
      <c r="AZ43" s="330"/>
      <c r="BA43" s="336">
        <v>45824</v>
      </c>
      <c r="BB43" s="330"/>
      <c r="BC43" s="336">
        <v>45826</v>
      </c>
      <c r="BD43" s="330"/>
      <c r="BE43" s="336">
        <v>45826</v>
      </c>
      <c r="BF43" s="330"/>
      <c r="BG43" s="330"/>
      <c r="BH43" s="330" t="s">
        <v>193</v>
      </c>
      <c r="BI43" s="330">
        <v>1000</v>
      </c>
      <c r="BJ43" s="330"/>
      <c r="BK43" s="330"/>
      <c r="BL43" s="330"/>
      <c r="BM43" s="332"/>
      <c r="BN43" s="330"/>
      <c r="BO43" s="330" t="s">
        <v>240</v>
      </c>
      <c r="BP43" s="330" t="s">
        <v>193</v>
      </c>
      <c r="BQ43" s="330" t="s">
        <v>218</v>
      </c>
      <c r="BR43" s="330" t="s">
        <v>220</v>
      </c>
      <c r="BS43" s="330"/>
      <c r="BT43" s="330" t="s">
        <v>220</v>
      </c>
      <c r="BU43" s="330"/>
      <c r="BV43" s="330" t="s">
        <v>220</v>
      </c>
      <c r="BW43" s="330"/>
      <c r="BX43" s="332"/>
      <c r="BY43" s="330"/>
      <c r="BZ43" s="330"/>
      <c r="CA43" s="330"/>
      <c r="CB43" s="330"/>
      <c r="CC43" s="337" t="s">
        <v>241</v>
      </c>
      <c r="CD43" s="330" t="b">
        <v>1</v>
      </c>
      <c r="CE43" s="330" t="b">
        <v>1</v>
      </c>
      <c r="CF43" s="330" t="b">
        <v>1</v>
      </c>
      <c r="CG43" s="330" t="s">
        <v>242</v>
      </c>
      <c r="CH43" s="330"/>
      <c r="CI43" s="330"/>
      <c r="CJ43" s="330"/>
      <c r="CK43" s="330"/>
      <c r="CL43" s="330"/>
      <c r="CM43" s="330"/>
      <c r="CN43" s="330"/>
      <c r="CO43" s="330"/>
      <c r="CP43" s="330"/>
      <c r="CQ43" s="330"/>
      <c r="CR43" s="330"/>
      <c r="CS43" s="330"/>
      <c r="CT43" s="330"/>
      <c r="CU43" s="330"/>
      <c r="CV43" s="330"/>
      <c r="CW43" s="330"/>
      <c r="CX43" s="330"/>
      <c r="CY43" s="330"/>
      <c r="CZ43" s="330"/>
      <c r="DA43" s="330"/>
      <c r="DB43" s="330" t="b">
        <v>1</v>
      </c>
      <c r="DC43" s="330" t="b">
        <v>1</v>
      </c>
      <c r="DD43" s="330"/>
      <c r="DE43" s="330"/>
      <c r="DF43" s="338">
        <v>24051</v>
      </c>
      <c r="DG43" s="330" t="s">
        <v>221</v>
      </c>
      <c r="DH43" s="330"/>
      <c r="DI43" s="338">
        <v>33</v>
      </c>
      <c r="DJ43" s="330"/>
      <c r="DK43" s="330">
        <v>33</v>
      </c>
      <c r="DL43" s="330" t="s">
        <v>243</v>
      </c>
      <c r="DM43" s="330"/>
      <c r="DN43" s="330"/>
      <c r="DO43" s="330"/>
      <c r="DP43" s="330"/>
      <c r="DQ43" s="338" t="s">
        <v>197</v>
      </c>
      <c r="DR43" s="330"/>
      <c r="DS43" s="330"/>
      <c r="DT43" s="330"/>
      <c r="DU43" s="338" t="s">
        <v>197</v>
      </c>
      <c r="DV43" s="330"/>
      <c r="DW43" s="330"/>
      <c r="DX43" s="330"/>
      <c r="DY43" s="338" t="s">
        <v>197</v>
      </c>
      <c r="DZ43" s="330"/>
      <c r="EA43" s="330"/>
      <c r="EB43" s="330"/>
      <c r="EC43" s="330" t="s">
        <v>197</v>
      </c>
      <c r="ED43" s="338" t="s">
        <v>197</v>
      </c>
      <c r="EE43" s="330">
        <v>4</v>
      </c>
      <c r="EF43" s="330">
        <v>300</v>
      </c>
      <c r="EG43" s="330"/>
      <c r="EH43" s="330"/>
      <c r="EI43" s="330"/>
      <c r="EJ43" s="330"/>
      <c r="EK43" s="330"/>
      <c r="EL43" s="330"/>
      <c r="EM43" s="330"/>
      <c r="EN43" s="330"/>
      <c r="EO43" s="330"/>
      <c r="EP43" s="330"/>
      <c r="EQ43" s="332" t="s">
        <v>244</v>
      </c>
      <c r="ER43" s="330"/>
      <c r="ES43" s="330"/>
      <c r="ET43" s="332" t="s">
        <v>245</v>
      </c>
      <c r="EU43" s="332" t="s">
        <v>246</v>
      </c>
      <c r="EV43" s="336">
        <v>45761</v>
      </c>
      <c r="EW43" s="336">
        <v>45762</v>
      </c>
      <c r="EX43" s="330">
        <v>2</v>
      </c>
      <c r="EY43" s="330"/>
      <c r="EZ43" s="330" t="s">
        <v>201</v>
      </c>
      <c r="FA43" s="336">
        <v>45818</v>
      </c>
      <c r="FB43" s="330">
        <v>3</v>
      </c>
      <c r="FC43" s="330" t="s">
        <v>202</v>
      </c>
      <c r="FD43" s="332" t="s">
        <v>190</v>
      </c>
      <c r="FE43" s="336">
        <v>45820</v>
      </c>
      <c r="FF43" s="330"/>
      <c r="FG43" s="330" t="s">
        <v>203</v>
      </c>
      <c r="FH43" s="330" t="s">
        <v>249</v>
      </c>
      <c r="FI43" s="330" t="s">
        <v>204</v>
      </c>
      <c r="FJ43" s="330"/>
      <c r="FK43" s="330" t="s">
        <v>230</v>
      </c>
      <c r="FL43" s="330" t="s">
        <v>192</v>
      </c>
      <c r="FM43" s="330" t="s">
        <v>191</v>
      </c>
      <c r="FN43" s="330" t="s">
        <v>577</v>
      </c>
      <c r="FO43" s="330"/>
      <c r="FP43" s="330" t="s">
        <v>251</v>
      </c>
      <c r="FQ43" s="330"/>
      <c r="FR43" s="330"/>
      <c r="FS43" s="330"/>
      <c r="FT43" s="330"/>
      <c r="FU43" s="330"/>
    </row>
    <row r="44" spans="1:177" ht="51" x14ac:dyDescent="0.25">
      <c r="A44" s="330">
        <v>43</v>
      </c>
      <c r="B44" s="331" t="s">
        <v>578</v>
      </c>
      <c r="C44" s="330"/>
      <c r="D44" s="332" t="s">
        <v>228</v>
      </c>
      <c r="E44" s="332" t="s">
        <v>229</v>
      </c>
      <c r="F44" s="332" t="s">
        <v>230</v>
      </c>
      <c r="G44" s="330" t="s">
        <v>231</v>
      </c>
      <c r="H44" s="331">
        <v>400</v>
      </c>
      <c r="I44" s="330"/>
      <c r="J44" s="332"/>
      <c r="K44" s="332" t="s">
        <v>579</v>
      </c>
      <c r="L44" s="330"/>
      <c r="M44" s="332"/>
      <c r="N44" s="330" t="s">
        <v>580</v>
      </c>
      <c r="O44" s="339">
        <v>0.41856964915922801</v>
      </c>
      <c r="P44" s="333">
        <v>8065</v>
      </c>
      <c r="Q44" s="333">
        <v>19268</v>
      </c>
      <c r="R44" s="333">
        <v>161</v>
      </c>
      <c r="S44" s="333">
        <v>161</v>
      </c>
      <c r="T44" s="333">
        <v>2</v>
      </c>
      <c r="U44" s="333">
        <v>1127</v>
      </c>
      <c r="V44" s="333">
        <v>800</v>
      </c>
      <c r="W44" s="330" t="s">
        <v>581</v>
      </c>
      <c r="X44" s="330" t="s">
        <v>582</v>
      </c>
      <c r="Y44" s="332" t="s">
        <v>383</v>
      </c>
      <c r="Z44" s="330" t="s">
        <v>215</v>
      </c>
      <c r="AA44" s="330" t="s">
        <v>384</v>
      </c>
      <c r="AB44" s="330" t="s">
        <v>189</v>
      </c>
      <c r="AC44" s="330"/>
      <c r="AD44" s="330"/>
      <c r="AE44" s="330">
        <v>25</v>
      </c>
      <c r="AF44" s="330">
        <v>-202</v>
      </c>
      <c r="AG44" s="332" t="s">
        <v>238</v>
      </c>
      <c r="AH44" s="332" t="s">
        <v>191</v>
      </c>
      <c r="AI44" s="330"/>
      <c r="AJ44" s="330" t="s">
        <v>192</v>
      </c>
      <c r="AK44" s="330"/>
      <c r="AL44" s="330" t="s">
        <v>192</v>
      </c>
      <c r="AM44" s="330" t="s">
        <v>191</v>
      </c>
      <c r="AN44" s="330" t="s">
        <v>192</v>
      </c>
      <c r="AO44" s="330"/>
      <c r="AP44" s="332" t="s">
        <v>239</v>
      </c>
      <c r="AQ44" s="330"/>
      <c r="AR44" s="330"/>
      <c r="AS44" s="330" t="b">
        <v>1</v>
      </c>
      <c r="AT44" s="330"/>
      <c r="AU44" s="332" t="s">
        <v>192</v>
      </c>
      <c r="AV44" s="334">
        <v>45782.390044386571</v>
      </c>
      <c r="AW44" s="330"/>
      <c r="AX44" s="335">
        <v>45828</v>
      </c>
      <c r="AY44" s="336">
        <v>45784</v>
      </c>
      <c r="AZ44" s="330"/>
      <c r="BA44" s="336">
        <v>45847</v>
      </c>
      <c r="BB44" s="330"/>
      <c r="BC44" s="336">
        <v>45849</v>
      </c>
      <c r="BD44" s="330"/>
      <c r="BE44" s="336">
        <v>45849</v>
      </c>
      <c r="BF44" s="330"/>
      <c r="BG44" s="330"/>
      <c r="BH44" s="330" t="s">
        <v>193</v>
      </c>
      <c r="BI44" s="330">
        <v>1000</v>
      </c>
      <c r="BJ44" s="330"/>
      <c r="BK44" s="330"/>
      <c r="BL44" s="330"/>
      <c r="BM44" s="332"/>
      <c r="BN44" s="330"/>
      <c r="BO44" s="330" t="s">
        <v>240</v>
      </c>
      <c r="BP44" s="330" t="s">
        <v>193</v>
      </c>
      <c r="BQ44" s="330" t="s">
        <v>218</v>
      </c>
      <c r="BR44" s="330" t="s">
        <v>220</v>
      </c>
      <c r="BS44" s="330"/>
      <c r="BT44" s="330" t="s">
        <v>220</v>
      </c>
      <c r="BU44" s="330"/>
      <c r="BV44" s="330" t="s">
        <v>220</v>
      </c>
      <c r="BW44" s="330"/>
      <c r="BX44" s="332"/>
      <c r="BY44" s="330"/>
      <c r="BZ44" s="330"/>
      <c r="CA44" s="330"/>
      <c r="CB44" s="330"/>
      <c r="CC44" s="337" t="s">
        <v>241</v>
      </c>
      <c r="CD44" s="330" t="b">
        <v>1</v>
      </c>
      <c r="CE44" s="330" t="b">
        <v>1</v>
      </c>
      <c r="CF44" s="330" t="b">
        <v>1</v>
      </c>
      <c r="CG44" s="330" t="s">
        <v>242</v>
      </c>
      <c r="CH44" s="330"/>
      <c r="CI44" s="330"/>
      <c r="CJ44" s="330"/>
      <c r="CK44" s="330"/>
      <c r="CL44" s="330"/>
      <c r="CM44" s="330"/>
      <c r="CN44" s="330"/>
      <c r="CO44" s="330"/>
      <c r="CP44" s="330"/>
      <c r="CQ44" s="330"/>
      <c r="CR44" s="330"/>
      <c r="CS44" s="330"/>
      <c r="CT44" s="330"/>
      <c r="CU44" s="330"/>
      <c r="CV44" s="330"/>
      <c r="CW44" s="330"/>
      <c r="CX44" s="330"/>
      <c r="CY44" s="330"/>
      <c r="CZ44" s="330"/>
      <c r="DA44" s="330"/>
      <c r="DB44" s="330" t="b">
        <v>1</v>
      </c>
      <c r="DC44" s="330" t="b">
        <v>1</v>
      </c>
      <c r="DD44" s="330"/>
      <c r="DE44" s="330"/>
      <c r="DF44" s="338">
        <v>24051</v>
      </c>
      <c r="DG44" s="330" t="s">
        <v>221</v>
      </c>
      <c r="DH44" s="330"/>
      <c r="DI44" s="338" t="s">
        <v>583</v>
      </c>
      <c r="DJ44" s="330"/>
      <c r="DK44" s="330">
        <v>0</v>
      </c>
      <c r="DL44" s="330" t="s">
        <v>243</v>
      </c>
      <c r="DM44" s="330"/>
      <c r="DN44" s="330"/>
      <c r="DO44" s="330"/>
      <c r="DP44" s="330"/>
      <c r="DQ44" s="338" t="s">
        <v>197</v>
      </c>
      <c r="DR44" s="330"/>
      <c r="DS44" s="330"/>
      <c r="DT44" s="330"/>
      <c r="DU44" s="338" t="s">
        <v>197</v>
      </c>
      <c r="DV44" s="330"/>
      <c r="DW44" s="330"/>
      <c r="DX44" s="330"/>
      <c r="DY44" s="338" t="s">
        <v>197</v>
      </c>
      <c r="DZ44" s="330"/>
      <c r="EA44" s="330"/>
      <c r="EB44" s="330"/>
      <c r="EC44" s="330" t="s">
        <v>197</v>
      </c>
      <c r="ED44" s="338" t="s">
        <v>197</v>
      </c>
      <c r="EE44" s="330">
        <v>8</v>
      </c>
      <c r="EF44" s="330">
        <v>200</v>
      </c>
      <c r="EG44" s="330"/>
      <c r="EH44" s="330"/>
      <c r="EI44" s="330"/>
      <c r="EJ44" s="330"/>
      <c r="EK44" s="330"/>
      <c r="EL44" s="330"/>
      <c r="EM44" s="330"/>
      <c r="EN44" s="330"/>
      <c r="EO44" s="330"/>
      <c r="EP44" s="330"/>
      <c r="EQ44" s="332"/>
      <c r="ER44" s="330"/>
      <c r="ES44" s="330"/>
      <c r="ET44" s="332" t="s">
        <v>245</v>
      </c>
      <c r="EU44" s="332" t="s">
        <v>246</v>
      </c>
      <c r="EV44" s="336">
        <v>45783</v>
      </c>
      <c r="EW44" s="336">
        <v>45784</v>
      </c>
      <c r="EX44" s="330">
        <v>2</v>
      </c>
      <c r="EY44" s="330"/>
      <c r="EZ44" s="330" t="s">
        <v>201</v>
      </c>
      <c r="FA44" s="336">
        <v>45825</v>
      </c>
      <c r="FB44" s="330">
        <v>2</v>
      </c>
      <c r="FC44" s="330" t="s">
        <v>202</v>
      </c>
      <c r="FD44" s="332" t="s">
        <v>190</v>
      </c>
      <c r="FE44" s="336">
        <v>45826</v>
      </c>
      <c r="FF44" s="330"/>
      <c r="FG44" s="330" t="s">
        <v>203</v>
      </c>
      <c r="FH44" s="330" t="s">
        <v>584</v>
      </c>
      <c r="FI44" s="330" t="s">
        <v>204</v>
      </c>
      <c r="FJ44" s="330"/>
      <c r="FK44" s="330" t="s">
        <v>230</v>
      </c>
      <c r="FL44" s="330" t="s">
        <v>192</v>
      </c>
      <c r="FM44" s="330" t="s">
        <v>191</v>
      </c>
      <c r="FN44" s="330" t="s">
        <v>585</v>
      </c>
      <c r="FO44" s="330"/>
      <c r="FP44" s="330" t="s">
        <v>586</v>
      </c>
      <c r="FQ44" s="330"/>
      <c r="FR44" s="330"/>
      <c r="FS44" s="330"/>
      <c r="FT44" s="330"/>
      <c r="FU44" s="330"/>
    </row>
    <row r="45" spans="1:177" ht="38.25" x14ac:dyDescent="0.25">
      <c r="A45" s="330">
        <v>44</v>
      </c>
      <c r="B45" s="331" t="s">
        <v>587</v>
      </c>
      <c r="C45" s="330"/>
      <c r="D45" s="332" t="s">
        <v>228</v>
      </c>
      <c r="E45" s="332" t="s">
        <v>229</v>
      </c>
      <c r="F45" s="332" t="s">
        <v>230</v>
      </c>
      <c r="G45" s="330" t="s">
        <v>231</v>
      </c>
      <c r="H45" s="331">
        <v>400</v>
      </c>
      <c r="I45" s="330"/>
      <c r="J45" s="332"/>
      <c r="K45" s="332" t="s">
        <v>588</v>
      </c>
      <c r="L45" s="330"/>
      <c r="M45" s="332"/>
      <c r="N45" s="330" t="s">
        <v>589</v>
      </c>
      <c r="O45" s="339">
        <v>0.39054390699605601</v>
      </c>
      <c r="P45" s="333">
        <v>7525</v>
      </c>
      <c r="Q45" s="333">
        <v>19268</v>
      </c>
      <c r="R45" s="333">
        <v>161</v>
      </c>
      <c r="S45" s="333">
        <v>161</v>
      </c>
      <c r="T45" s="333">
        <v>2</v>
      </c>
      <c r="U45" s="333">
        <v>734</v>
      </c>
      <c r="V45" s="333">
        <v>1000</v>
      </c>
      <c r="W45" s="330" t="s">
        <v>590</v>
      </c>
      <c r="X45" s="330" t="s">
        <v>591</v>
      </c>
      <c r="Y45" s="332" t="s">
        <v>383</v>
      </c>
      <c r="Z45" s="330" t="s">
        <v>215</v>
      </c>
      <c r="AA45" s="330" t="s">
        <v>384</v>
      </c>
      <c r="AB45" s="330" t="s">
        <v>189</v>
      </c>
      <c r="AC45" s="330"/>
      <c r="AD45" s="330"/>
      <c r="AE45" s="330">
        <v>19</v>
      </c>
      <c r="AF45" s="330">
        <v>-218</v>
      </c>
      <c r="AG45" s="332" t="s">
        <v>238</v>
      </c>
      <c r="AH45" s="332" t="s">
        <v>191</v>
      </c>
      <c r="AI45" s="330" t="s">
        <v>192</v>
      </c>
      <c r="AJ45" s="330" t="s">
        <v>192</v>
      </c>
      <c r="AK45" s="330"/>
      <c r="AL45" s="330" t="s">
        <v>192</v>
      </c>
      <c r="AM45" s="330" t="s">
        <v>191</v>
      </c>
      <c r="AN45" s="330" t="s">
        <v>192</v>
      </c>
      <c r="AO45" s="330"/>
      <c r="AP45" s="332" t="s">
        <v>239</v>
      </c>
      <c r="AQ45" s="330"/>
      <c r="AR45" s="330"/>
      <c r="AS45" s="330" t="b">
        <v>1</v>
      </c>
      <c r="AT45" s="330"/>
      <c r="AU45" s="332" t="s">
        <v>192</v>
      </c>
      <c r="AV45" s="334">
        <v>45754.679017569448</v>
      </c>
      <c r="AW45" s="330"/>
      <c r="AX45" s="335">
        <v>45806</v>
      </c>
      <c r="AY45" s="336">
        <v>45762</v>
      </c>
      <c r="AZ45" s="330"/>
      <c r="BA45" s="336">
        <v>45825</v>
      </c>
      <c r="BB45" s="330"/>
      <c r="BC45" s="336">
        <v>45827</v>
      </c>
      <c r="BD45" s="330"/>
      <c r="BE45" s="336">
        <v>45827</v>
      </c>
      <c r="BF45" s="330"/>
      <c r="BG45" s="330"/>
      <c r="BH45" s="330" t="s">
        <v>193</v>
      </c>
      <c r="BI45" s="330">
        <v>1000</v>
      </c>
      <c r="BJ45" s="330"/>
      <c r="BK45" s="330"/>
      <c r="BL45" s="330"/>
      <c r="BM45" s="332"/>
      <c r="BN45" s="330"/>
      <c r="BO45" s="330" t="s">
        <v>240</v>
      </c>
      <c r="BP45" s="330" t="s">
        <v>193</v>
      </c>
      <c r="BQ45" s="330" t="s">
        <v>218</v>
      </c>
      <c r="BR45" s="330" t="s">
        <v>220</v>
      </c>
      <c r="BS45" s="330"/>
      <c r="BT45" s="330" t="s">
        <v>220</v>
      </c>
      <c r="BU45" s="330"/>
      <c r="BV45" s="330" t="s">
        <v>220</v>
      </c>
      <c r="BW45" s="330"/>
      <c r="BX45" s="332"/>
      <c r="BY45" s="330"/>
      <c r="BZ45" s="330"/>
      <c r="CA45" s="330"/>
      <c r="CB45" s="330"/>
      <c r="CC45" s="337" t="s">
        <v>241</v>
      </c>
      <c r="CD45" s="330" t="b">
        <v>1</v>
      </c>
      <c r="CE45" s="330" t="b">
        <v>1</v>
      </c>
      <c r="CF45" s="330" t="b">
        <v>1</v>
      </c>
      <c r="CG45" s="330" t="s">
        <v>242</v>
      </c>
      <c r="CH45" s="330"/>
      <c r="CI45" s="330"/>
      <c r="CJ45" s="330"/>
      <c r="CK45" s="330"/>
      <c r="CL45" s="330"/>
      <c r="CM45" s="330"/>
      <c r="CN45" s="330"/>
      <c r="CO45" s="330"/>
      <c r="CP45" s="330"/>
      <c r="CQ45" s="330"/>
      <c r="CR45" s="330"/>
      <c r="CS45" s="330"/>
      <c r="CT45" s="330"/>
      <c r="CU45" s="330"/>
      <c r="CV45" s="330"/>
      <c r="CW45" s="330"/>
      <c r="CX45" s="330"/>
      <c r="CY45" s="330"/>
      <c r="CZ45" s="330"/>
      <c r="DA45" s="330"/>
      <c r="DB45" s="330" t="b">
        <v>1</v>
      </c>
      <c r="DC45" s="330" t="b">
        <v>1</v>
      </c>
      <c r="DD45" s="330"/>
      <c r="DE45" s="330"/>
      <c r="DF45" s="338">
        <v>24051</v>
      </c>
      <c r="DG45" s="330" t="s">
        <v>221</v>
      </c>
      <c r="DH45" s="330"/>
      <c r="DI45" s="338">
        <v>34</v>
      </c>
      <c r="DJ45" s="330"/>
      <c r="DK45" s="330">
        <v>34</v>
      </c>
      <c r="DL45" s="330" t="s">
        <v>243</v>
      </c>
      <c r="DM45" s="330"/>
      <c r="DN45" s="330"/>
      <c r="DO45" s="330"/>
      <c r="DP45" s="330"/>
      <c r="DQ45" s="338" t="s">
        <v>197</v>
      </c>
      <c r="DR45" s="330"/>
      <c r="DS45" s="330"/>
      <c r="DT45" s="330"/>
      <c r="DU45" s="338" t="s">
        <v>197</v>
      </c>
      <c r="DV45" s="330"/>
      <c r="DW45" s="330"/>
      <c r="DX45" s="330"/>
      <c r="DY45" s="338" t="s">
        <v>197</v>
      </c>
      <c r="DZ45" s="330"/>
      <c r="EA45" s="330"/>
      <c r="EB45" s="330"/>
      <c r="EC45" s="330" t="s">
        <v>197</v>
      </c>
      <c r="ED45" s="338" t="s">
        <v>197</v>
      </c>
      <c r="EE45" s="330">
        <v>4</v>
      </c>
      <c r="EF45" s="330">
        <v>300</v>
      </c>
      <c r="EG45" s="330"/>
      <c r="EH45" s="330"/>
      <c r="EI45" s="330"/>
      <c r="EJ45" s="330"/>
      <c r="EK45" s="330"/>
      <c r="EL45" s="330"/>
      <c r="EM45" s="330"/>
      <c r="EN45" s="330"/>
      <c r="EO45" s="330"/>
      <c r="EP45" s="330"/>
      <c r="EQ45" s="332" t="s">
        <v>244</v>
      </c>
      <c r="ER45" s="330"/>
      <c r="ES45" s="330"/>
      <c r="ET45" s="332" t="s">
        <v>245</v>
      </c>
      <c r="EU45" s="332" t="s">
        <v>246</v>
      </c>
      <c r="EV45" s="336">
        <v>45761</v>
      </c>
      <c r="EW45" s="336">
        <v>45762</v>
      </c>
      <c r="EX45" s="330">
        <v>2</v>
      </c>
      <c r="EY45" s="330"/>
      <c r="EZ45" s="330" t="s">
        <v>201</v>
      </c>
      <c r="FA45" s="336">
        <v>45819</v>
      </c>
      <c r="FB45" s="330">
        <v>2</v>
      </c>
      <c r="FC45" s="330" t="s">
        <v>202</v>
      </c>
      <c r="FD45" s="332" t="s">
        <v>190</v>
      </c>
      <c r="FE45" s="336">
        <v>45820</v>
      </c>
      <c r="FF45" s="330"/>
      <c r="FG45" s="330" t="s">
        <v>203</v>
      </c>
      <c r="FH45" s="330" t="s">
        <v>249</v>
      </c>
      <c r="FI45" s="330" t="s">
        <v>204</v>
      </c>
      <c r="FJ45" s="330"/>
      <c r="FK45" s="330" t="s">
        <v>230</v>
      </c>
      <c r="FL45" s="330" t="s">
        <v>192</v>
      </c>
      <c r="FM45" s="330" t="s">
        <v>191</v>
      </c>
      <c r="FN45" s="330" t="s">
        <v>592</v>
      </c>
      <c r="FO45" s="330"/>
      <c r="FP45" s="330" t="s">
        <v>251</v>
      </c>
      <c r="FQ45" s="330"/>
      <c r="FR45" s="330"/>
      <c r="FS45" s="330"/>
      <c r="FT45" s="330"/>
      <c r="FU45" s="330"/>
    </row>
    <row r="46" spans="1:177" ht="38.25" x14ac:dyDescent="0.25">
      <c r="A46" s="330">
        <v>45</v>
      </c>
      <c r="B46" s="331" t="s">
        <v>593</v>
      </c>
      <c r="C46" s="330"/>
      <c r="D46" s="332" t="s">
        <v>228</v>
      </c>
      <c r="E46" s="332" t="s">
        <v>229</v>
      </c>
      <c r="F46" s="332" t="s">
        <v>230</v>
      </c>
      <c r="G46" s="330" t="s">
        <v>231</v>
      </c>
      <c r="H46" s="331">
        <v>400</v>
      </c>
      <c r="I46" s="330"/>
      <c r="J46" s="332"/>
      <c r="K46" s="332" t="s">
        <v>594</v>
      </c>
      <c r="L46" s="330"/>
      <c r="M46" s="332"/>
      <c r="N46" s="330" t="s">
        <v>595</v>
      </c>
      <c r="O46" s="339">
        <v>0.39884783059995899</v>
      </c>
      <c r="P46" s="333">
        <v>7685</v>
      </c>
      <c r="Q46" s="333">
        <v>19268</v>
      </c>
      <c r="R46" s="333">
        <v>160</v>
      </c>
      <c r="S46" s="333">
        <v>160</v>
      </c>
      <c r="T46" s="333">
        <v>3</v>
      </c>
      <c r="U46" s="333">
        <v>1100</v>
      </c>
      <c r="V46" s="333">
        <v>1400</v>
      </c>
      <c r="W46" s="330" t="s">
        <v>569</v>
      </c>
      <c r="X46" s="330" t="s">
        <v>596</v>
      </c>
      <c r="Y46" s="332" t="s">
        <v>383</v>
      </c>
      <c r="Z46" s="330" t="s">
        <v>215</v>
      </c>
      <c r="AA46" s="330" t="s">
        <v>384</v>
      </c>
      <c r="AB46" s="330" t="s">
        <v>189</v>
      </c>
      <c r="AC46" s="330"/>
      <c r="AD46" s="330"/>
      <c r="AE46" s="330">
        <v>21</v>
      </c>
      <c r="AF46" s="330">
        <v>-217</v>
      </c>
      <c r="AG46" s="332" t="s">
        <v>238</v>
      </c>
      <c r="AH46" s="332" t="s">
        <v>191</v>
      </c>
      <c r="AI46" s="330" t="s">
        <v>192</v>
      </c>
      <c r="AJ46" s="330" t="s">
        <v>192</v>
      </c>
      <c r="AK46" s="330"/>
      <c r="AL46" s="330" t="s">
        <v>192</v>
      </c>
      <c r="AM46" s="330" t="s">
        <v>191</v>
      </c>
      <c r="AN46" s="330" t="s">
        <v>192</v>
      </c>
      <c r="AO46" s="330"/>
      <c r="AP46" s="332" t="s">
        <v>239</v>
      </c>
      <c r="AQ46" s="330"/>
      <c r="AR46" s="330"/>
      <c r="AS46" s="330" t="b">
        <v>1</v>
      </c>
      <c r="AT46" s="330"/>
      <c r="AU46" s="332" t="s">
        <v>192</v>
      </c>
      <c r="AV46" s="334">
        <v>45754.680222106479</v>
      </c>
      <c r="AW46" s="330"/>
      <c r="AX46" s="335">
        <v>45807</v>
      </c>
      <c r="AY46" s="336">
        <v>45762</v>
      </c>
      <c r="AZ46" s="330"/>
      <c r="BA46" s="336">
        <v>45826</v>
      </c>
      <c r="BB46" s="330"/>
      <c r="BC46" s="336">
        <v>45828</v>
      </c>
      <c r="BD46" s="330"/>
      <c r="BE46" s="336">
        <v>45828</v>
      </c>
      <c r="BF46" s="330"/>
      <c r="BG46" s="330"/>
      <c r="BH46" s="330" t="s">
        <v>193</v>
      </c>
      <c r="BI46" s="330">
        <v>1000</v>
      </c>
      <c r="BJ46" s="330"/>
      <c r="BK46" s="330"/>
      <c r="BL46" s="330"/>
      <c r="BM46" s="332"/>
      <c r="BN46" s="330"/>
      <c r="BO46" s="330" t="s">
        <v>240</v>
      </c>
      <c r="BP46" s="330" t="s">
        <v>193</v>
      </c>
      <c r="BQ46" s="330" t="s">
        <v>218</v>
      </c>
      <c r="BR46" s="330" t="s">
        <v>220</v>
      </c>
      <c r="BS46" s="330"/>
      <c r="BT46" s="330" t="s">
        <v>220</v>
      </c>
      <c r="BU46" s="330"/>
      <c r="BV46" s="330" t="s">
        <v>220</v>
      </c>
      <c r="BW46" s="330"/>
      <c r="BX46" s="332"/>
      <c r="BY46" s="330"/>
      <c r="BZ46" s="330"/>
      <c r="CA46" s="330"/>
      <c r="CB46" s="330"/>
      <c r="CC46" s="337" t="s">
        <v>241</v>
      </c>
      <c r="CD46" s="330" t="b">
        <v>1</v>
      </c>
      <c r="CE46" s="330" t="b">
        <v>1</v>
      </c>
      <c r="CF46" s="330" t="b">
        <v>1</v>
      </c>
      <c r="CG46" s="330" t="s">
        <v>242</v>
      </c>
      <c r="CH46" s="330"/>
      <c r="CI46" s="330"/>
      <c r="CJ46" s="330"/>
      <c r="CK46" s="330"/>
      <c r="CL46" s="330"/>
      <c r="CM46" s="330"/>
      <c r="CN46" s="330"/>
      <c r="CO46" s="330"/>
      <c r="CP46" s="330"/>
      <c r="CQ46" s="330"/>
      <c r="CR46" s="330"/>
      <c r="CS46" s="330"/>
      <c r="CT46" s="330"/>
      <c r="CU46" s="330"/>
      <c r="CV46" s="330"/>
      <c r="CW46" s="330"/>
      <c r="CX46" s="330"/>
      <c r="CY46" s="330"/>
      <c r="CZ46" s="330"/>
      <c r="DA46" s="330"/>
      <c r="DB46" s="330" t="b">
        <v>1</v>
      </c>
      <c r="DC46" s="330" t="b">
        <v>1</v>
      </c>
      <c r="DD46" s="330"/>
      <c r="DE46" s="330"/>
      <c r="DF46" s="338">
        <v>24051</v>
      </c>
      <c r="DG46" s="330" t="s">
        <v>221</v>
      </c>
      <c r="DH46" s="330"/>
      <c r="DI46" s="338">
        <v>35</v>
      </c>
      <c r="DJ46" s="330"/>
      <c r="DK46" s="330">
        <v>35</v>
      </c>
      <c r="DL46" s="330" t="s">
        <v>243</v>
      </c>
      <c r="DM46" s="330"/>
      <c r="DN46" s="330"/>
      <c r="DO46" s="330"/>
      <c r="DP46" s="330"/>
      <c r="DQ46" s="338" t="s">
        <v>197</v>
      </c>
      <c r="DR46" s="330"/>
      <c r="DS46" s="330"/>
      <c r="DT46" s="330"/>
      <c r="DU46" s="338" t="s">
        <v>197</v>
      </c>
      <c r="DV46" s="330"/>
      <c r="DW46" s="330"/>
      <c r="DX46" s="330"/>
      <c r="DY46" s="338" t="s">
        <v>197</v>
      </c>
      <c r="DZ46" s="330"/>
      <c r="EA46" s="330"/>
      <c r="EB46" s="330"/>
      <c r="EC46" s="330" t="s">
        <v>197</v>
      </c>
      <c r="ED46" s="338" t="s">
        <v>197</v>
      </c>
      <c r="EE46" s="330">
        <v>4</v>
      </c>
      <c r="EF46" s="330">
        <v>300</v>
      </c>
      <c r="EG46" s="330"/>
      <c r="EH46" s="330"/>
      <c r="EI46" s="330"/>
      <c r="EJ46" s="330"/>
      <c r="EK46" s="330"/>
      <c r="EL46" s="330"/>
      <c r="EM46" s="330"/>
      <c r="EN46" s="330"/>
      <c r="EO46" s="330"/>
      <c r="EP46" s="330"/>
      <c r="EQ46" s="332" t="s">
        <v>244</v>
      </c>
      <c r="ER46" s="330"/>
      <c r="ES46" s="330"/>
      <c r="ET46" s="332" t="s">
        <v>245</v>
      </c>
      <c r="EU46" s="332" t="s">
        <v>246</v>
      </c>
      <c r="EV46" s="336">
        <v>45761</v>
      </c>
      <c r="EW46" s="336">
        <v>45762</v>
      </c>
      <c r="EX46" s="330">
        <v>2</v>
      </c>
      <c r="EY46" s="330"/>
      <c r="EZ46" s="330" t="s">
        <v>201</v>
      </c>
      <c r="FA46" s="336">
        <v>45820</v>
      </c>
      <c r="FB46" s="330">
        <v>3</v>
      </c>
      <c r="FC46" s="330" t="s">
        <v>202</v>
      </c>
      <c r="FD46" s="332" t="s">
        <v>190</v>
      </c>
      <c r="FE46" s="336">
        <v>45824</v>
      </c>
      <c r="FF46" s="330"/>
      <c r="FG46" s="330" t="s">
        <v>203</v>
      </c>
      <c r="FH46" s="330" t="s">
        <v>249</v>
      </c>
      <c r="FI46" s="330" t="s">
        <v>204</v>
      </c>
      <c r="FJ46" s="330"/>
      <c r="FK46" s="330" t="s">
        <v>230</v>
      </c>
      <c r="FL46" s="330" t="s">
        <v>192</v>
      </c>
      <c r="FM46" s="330" t="s">
        <v>191</v>
      </c>
      <c r="FN46" s="330" t="s">
        <v>597</v>
      </c>
      <c r="FO46" s="330"/>
      <c r="FP46" s="330" t="s">
        <v>251</v>
      </c>
      <c r="FQ46" s="330"/>
      <c r="FR46" s="330"/>
      <c r="FS46" s="330"/>
      <c r="FT46" s="330"/>
      <c r="FU46" s="330"/>
    </row>
    <row r="47" spans="1:177" ht="114.75" x14ac:dyDescent="0.25">
      <c r="A47" s="330">
        <v>46</v>
      </c>
      <c r="B47" s="331" t="s">
        <v>598</v>
      </c>
      <c r="C47" s="330"/>
      <c r="D47" s="332" t="s">
        <v>228</v>
      </c>
      <c r="E47" s="332" t="s">
        <v>229</v>
      </c>
      <c r="F47" s="332" t="s">
        <v>230</v>
      </c>
      <c r="G47" s="330" t="s">
        <v>231</v>
      </c>
      <c r="H47" s="331">
        <v>400</v>
      </c>
      <c r="I47" s="330"/>
      <c r="J47" s="332"/>
      <c r="K47" s="332" t="s">
        <v>599</v>
      </c>
      <c r="L47" s="330"/>
      <c r="M47" s="332"/>
      <c r="N47" s="330" t="s">
        <v>600</v>
      </c>
      <c r="O47" s="339">
        <v>0.43953705625908202</v>
      </c>
      <c r="P47" s="333">
        <v>8469</v>
      </c>
      <c r="Q47" s="333">
        <v>19268</v>
      </c>
      <c r="R47" s="333">
        <v>84</v>
      </c>
      <c r="S47" s="333">
        <v>84</v>
      </c>
      <c r="T47" s="333">
        <v>10</v>
      </c>
      <c r="U47" s="333">
        <v>588</v>
      </c>
      <c r="V47" s="333">
        <v>1100</v>
      </c>
      <c r="W47" s="330" t="s">
        <v>601</v>
      </c>
      <c r="X47" s="330" t="s">
        <v>602</v>
      </c>
      <c r="Y47" s="332" t="s">
        <v>383</v>
      </c>
      <c r="Z47" s="330" t="s">
        <v>215</v>
      </c>
      <c r="AA47" s="330" t="s">
        <v>384</v>
      </c>
      <c r="AB47" s="330" t="s">
        <v>189</v>
      </c>
      <c r="AC47" s="330"/>
      <c r="AD47" s="330"/>
      <c r="AE47" s="330">
        <v>31</v>
      </c>
      <c r="AF47" s="330">
        <v>-188</v>
      </c>
      <c r="AG47" s="332" t="s">
        <v>238</v>
      </c>
      <c r="AH47" s="332" t="s">
        <v>191</v>
      </c>
      <c r="AI47" s="330"/>
      <c r="AJ47" s="330" t="s">
        <v>192</v>
      </c>
      <c r="AK47" s="330"/>
      <c r="AL47" s="330" t="s">
        <v>192</v>
      </c>
      <c r="AM47" s="330" t="s">
        <v>191</v>
      </c>
      <c r="AN47" s="330" t="s">
        <v>192</v>
      </c>
      <c r="AO47" s="330"/>
      <c r="AP47" s="332" t="s">
        <v>239</v>
      </c>
      <c r="AQ47" s="330"/>
      <c r="AR47" s="330"/>
      <c r="AS47" s="330" t="b">
        <v>1</v>
      </c>
      <c r="AT47" s="330"/>
      <c r="AU47" s="332" t="s">
        <v>192</v>
      </c>
      <c r="AV47" s="334">
        <v>45812.437809502313</v>
      </c>
      <c r="AW47" s="330"/>
      <c r="AX47" s="335">
        <v>45848</v>
      </c>
      <c r="AY47" s="336">
        <v>45825</v>
      </c>
      <c r="AZ47" s="330"/>
      <c r="BA47" s="336">
        <v>45867</v>
      </c>
      <c r="BB47" s="330"/>
      <c r="BC47" s="336">
        <v>45869</v>
      </c>
      <c r="BD47" s="330"/>
      <c r="BE47" s="336">
        <v>45869</v>
      </c>
      <c r="BF47" s="330"/>
      <c r="BG47" s="330"/>
      <c r="BH47" s="330" t="s">
        <v>193</v>
      </c>
      <c r="BI47" s="330">
        <v>1000</v>
      </c>
      <c r="BJ47" s="330"/>
      <c r="BK47" s="330"/>
      <c r="BL47" s="330"/>
      <c r="BM47" s="332"/>
      <c r="BN47" s="330"/>
      <c r="BO47" s="330" t="s">
        <v>240</v>
      </c>
      <c r="BP47" s="330" t="s">
        <v>193</v>
      </c>
      <c r="BQ47" s="330" t="s">
        <v>218</v>
      </c>
      <c r="BR47" s="330" t="s">
        <v>220</v>
      </c>
      <c r="BS47" s="330"/>
      <c r="BT47" s="330" t="s">
        <v>220</v>
      </c>
      <c r="BU47" s="330"/>
      <c r="BV47" s="330" t="s">
        <v>193</v>
      </c>
      <c r="BW47" s="330" t="s">
        <v>603</v>
      </c>
      <c r="BX47" s="332"/>
      <c r="BY47" s="330"/>
      <c r="BZ47" s="330"/>
      <c r="CA47" s="330"/>
      <c r="CB47" s="330"/>
      <c r="CC47" s="337" t="s">
        <v>241</v>
      </c>
      <c r="CD47" s="330" t="b">
        <v>1</v>
      </c>
      <c r="CE47" s="330" t="b">
        <v>1</v>
      </c>
      <c r="CF47" s="330" t="b">
        <v>1</v>
      </c>
      <c r="CG47" s="330" t="s">
        <v>242</v>
      </c>
      <c r="CH47" s="330"/>
      <c r="CI47" s="330"/>
      <c r="CJ47" s="330"/>
      <c r="CK47" s="330"/>
      <c r="CL47" s="330"/>
      <c r="CM47" s="330"/>
      <c r="CN47" s="330"/>
      <c r="CO47" s="330"/>
      <c r="CP47" s="330"/>
      <c r="CQ47" s="330"/>
      <c r="CR47" s="330"/>
      <c r="CS47" s="330"/>
      <c r="CT47" s="330"/>
      <c r="CU47" s="330"/>
      <c r="CV47" s="330"/>
      <c r="CW47" s="330"/>
      <c r="CX47" s="330"/>
      <c r="CY47" s="330"/>
      <c r="CZ47" s="330"/>
      <c r="DA47" s="330"/>
      <c r="DB47" s="330" t="b">
        <v>1</v>
      </c>
      <c r="DC47" s="330" t="b">
        <v>1</v>
      </c>
      <c r="DD47" s="330"/>
      <c r="DE47" s="330"/>
      <c r="DF47" s="338">
        <v>24051</v>
      </c>
      <c r="DG47" s="330" t="s">
        <v>221</v>
      </c>
      <c r="DH47" s="330"/>
      <c r="DI47" s="340">
        <v>36</v>
      </c>
      <c r="DJ47" s="330"/>
      <c r="DK47" s="330">
        <v>36</v>
      </c>
      <c r="DL47" s="330" t="s">
        <v>243</v>
      </c>
      <c r="DM47" s="330"/>
      <c r="DN47" s="330"/>
      <c r="DO47" s="330"/>
      <c r="DP47" s="330"/>
      <c r="DQ47" s="338" t="s">
        <v>197</v>
      </c>
      <c r="DR47" s="330"/>
      <c r="DS47" s="330"/>
      <c r="DT47" s="330"/>
      <c r="DU47" s="338" t="s">
        <v>197</v>
      </c>
      <c r="DV47" s="330"/>
      <c r="DW47" s="330"/>
      <c r="DX47" s="330"/>
      <c r="DY47" s="338" t="s">
        <v>197</v>
      </c>
      <c r="DZ47" s="330"/>
      <c r="EA47" s="330"/>
      <c r="EB47" s="330"/>
      <c r="EC47" s="330" t="s">
        <v>197</v>
      </c>
      <c r="ED47" s="338" t="s">
        <v>197</v>
      </c>
      <c r="EE47" s="330">
        <v>8</v>
      </c>
      <c r="EF47" s="330">
        <v>40</v>
      </c>
      <c r="EG47" s="330"/>
      <c r="EH47" s="330"/>
      <c r="EI47" s="330"/>
      <c r="EJ47" s="330"/>
      <c r="EK47" s="330"/>
      <c r="EL47" s="330"/>
      <c r="EM47" s="330"/>
      <c r="EN47" s="330"/>
      <c r="EO47" s="330"/>
      <c r="EP47" s="330"/>
      <c r="EQ47" s="332" t="s">
        <v>244</v>
      </c>
      <c r="ER47" s="330"/>
      <c r="ES47" s="330"/>
      <c r="ET47" s="332" t="s">
        <v>245</v>
      </c>
      <c r="EU47" s="332" t="s">
        <v>246</v>
      </c>
      <c r="EV47" s="336">
        <v>45825</v>
      </c>
      <c r="EW47" s="336">
        <v>45825</v>
      </c>
      <c r="EX47" s="330">
        <v>1</v>
      </c>
      <c r="EY47" s="330"/>
      <c r="EZ47" s="330" t="s">
        <v>201</v>
      </c>
      <c r="FA47" s="336">
        <v>45828</v>
      </c>
      <c r="FB47" s="330">
        <v>3</v>
      </c>
      <c r="FC47" s="330" t="s">
        <v>202</v>
      </c>
      <c r="FD47" s="332" t="s">
        <v>190</v>
      </c>
      <c r="FE47" s="336">
        <v>45832</v>
      </c>
      <c r="FF47" s="330"/>
      <c r="FG47" s="330" t="s">
        <v>203</v>
      </c>
      <c r="FH47" s="330" t="s">
        <v>604</v>
      </c>
      <c r="FI47" s="330" t="s">
        <v>204</v>
      </c>
      <c r="FJ47" s="330"/>
      <c r="FK47" s="330" t="s">
        <v>230</v>
      </c>
      <c r="FL47" s="330" t="s">
        <v>192</v>
      </c>
      <c r="FM47" s="330" t="s">
        <v>191</v>
      </c>
      <c r="FN47" s="330" t="s">
        <v>605</v>
      </c>
      <c r="FO47" s="330"/>
      <c r="FP47" s="330" t="s">
        <v>606</v>
      </c>
      <c r="FQ47" s="330"/>
      <c r="FR47" s="330"/>
      <c r="FS47" s="330"/>
      <c r="FT47" s="330"/>
      <c r="FU47" s="330"/>
    </row>
    <row r="48" spans="1:177" ht="25.5" x14ac:dyDescent="0.25">
      <c r="A48" s="330">
        <v>47</v>
      </c>
      <c r="B48" s="331" t="s">
        <v>607</v>
      </c>
      <c r="C48" s="330"/>
      <c r="D48" s="332" t="s">
        <v>608</v>
      </c>
      <c r="E48" s="332" t="s">
        <v>609</v>
      </c>
      <c r="F48" s="332" t="s">
        <v>610</v>
      </c>
      <c r="G48" s="330" t="s">
        <v>611</v>
      </c>
      <c r="H48" s="331"/>
      <c r="I48" s="330"/>
      <c r="J48" s="332"/>
      <c r="K48" s="332"/>
      <c r="L48" s="330"/>
      <c r="M48" s="332"/>
      <c r="N48" s="330" t="s">
        <v>612</v>
      </c>
      <c r="O48" s="333" t="s">
        <v>184</v>
      </c>
      <c r="P48" s="333" t="s">
        <v>184</v>
      </c>
      <c r="Q48" s="333" t="s">
        <v>184</v>
      </c>
      <c r="R48" s="333">
        <v>0</v>
      </c>
      <c r="S48" s="333">
        <v>200</v>
      </c>
      <c r="T48" s="333">
        <v>1</v>
      </c>
      <c r="U48" s="333">
        <v>0</v>
      </c>
      <c r="V48" s="333">
        <v>0</v>
      </c>
      <c r="W48" s="330">
        <v>50</v>
      </c>
      <c r="X48" s="330" t="s">
        <v>213</v>
      </c>
      <c r="Y48" s="332" t="s">
        <v>613</v>
      </c>
      <c r="Z48" s="330" t="s">
        <v>614</v>
      </c>
      <c r="AA48" s="330" t="s">
        <v>615</v>
      </c>
      <c r="AB48" s="330" t="s">
        <v>189</v>
      </c>
      <c r="AC48" s="330"/>
      <c r="AD48" s="330"/>
      <c r="AE48" s="330">
        <v>30</v>
      </c>
      <c r="AF48" s="330">
        <v>-46</v>
      </c>
      <c r="AG48" s="332" t="s">
        <v>190</v>
      </c>
      <c r="AH48" s="332" t="s">
        <v>191</v>
      </c>
      <c r="AI48" s="330"/>
      <c r="AJ48" s="330"/>
      <c r="AK48" s="330"/>
      <c r="AL48" s="330" t="s">
        <v>191</v>
      </c>
      <c r="AM48" s="330"/>
      <c r="AN48" s="330"/>
      <c r="AO48" s="330"/>
      <c r="AP48" s="332"/>
      <c r="AQ48" s="330"/>
      <c r="AR48" s="330"/>
      <c r="AS48" s="330"/>
      <c r="AT48" s="330"/>
      <c r="AU48" s="332" t="s">
        <v>191</v>
      </c>
      <c r="AV48" s="334">
        <v>45947.627544675925</v>
      </c>
      <c r="AW48" s="330"/>
      <c r="AX48" s="335">
        <v>46058</v>
      </c>
      <c r="AY48" s="336">
        <v>45950</v>
      </c>
      <c r="AZ48" s="330"/>
      <c r="BA48" s="336">
        <v>46065</v>
      </c>
      <c r="BB48" s="330"/>
      <c r="BC48" s="336">
        <v>46069</v>
      </c>
      <c r="BD48" s="330"/>
      <c r="BE48" s="336">
        <v>46069</v>
      </c>
      <c r="BF48" s="330"/>
      <c r="BG48" s="330"/>
      <c r="BH48" s="330" t="s">
        <v>193</v>
      </c>
      <c r="BI48" s="330">
        <v>100</v>
      </c>
      <c r="BJ48" s="330"/>
      <c r="BK48" s="330"/>
      <c r="BL48" s="330"/>
      <c r="BM48" s="332"/>
      <c r="BN48" s="330"/>
      <c r="BO48" s="330"/>
      <c r="BP48" s="330"/>
      <c r="BQ48" s="330"/>
      <c r="BR48" s="330"/>
      <c r="BS48" s="330"/>
      <c r="BT48" s="330"/>
      <c r="BU48" s="330"/>
      <c r="BV48" s="330"/>
      <c r="BW48" s="330"/>
      <c r="BX48" s="332"/>
      <c r="BY48" s="330"/>
      <c r="BZ48" s="330"/>
      <c r="CA48" s="330"/>
      <c r="CB48" s="330"/>
      <c r="CC48" s="337" t="s">
        <v>194</v>
      </c>
      <c r="CD48" s="330"/>
      <c r="CE48" s="330" t="b">
        <v>1</v>
      </c>
      <c r="CF48" s="330"/>
      <c r="CG48" s="330"/>
      <c r="CH48" s="330"/>
      <c r="CI48" s="330"/>
      <c r="CJ48" s="330"/>
      <c r="CK48" s="330"/>
      <c r="CL48" s="330"/>
      <c r="CM48" s="330"/>
      <c r="CN48" s="330"/>
      <c r="CO48" s="330" t="b">
        <v>1</v>
      </c>
      <c r="CP48" s="330" t="b">
        <v>1</v>
      </c>
      <c r="CQ48" s="330"/>
      <c r="CR48" s="330"/>
      <c r="CS48" s="330"/>
      <c r="CT48" s="330"/>
      <c r="CU48" s="330"/>
      <c r="CV48" s="330"/>
      <c r="CW48" s="330"/>
      <c r="CX48" s="330"/>
      <c r="CY48" s="330"/>
      <c r="CZ48" s="330"/>
      <c r="DA48" s="330"/>
      <c r="DB48" s="330"/>
      <c r="DC48" s="330"/>
      <c r="DD48" s="330"/>
      <c r="DE48" s="330"/>
      <c r="DF48" s="338">
        <v>24026</v>
      </c>
      <c r="DG48" s="330" t="s">
        <v>195</v>
      </c>
      <c r="DH48" s="330"/>
      <c r="DI48" s="338" t="s">
        <v>196</v>
      </c>
      <c r="DJ48" s="330"/>
      <c r="DK48" s="330">
        <v>1</v>
      </c>
      <c r="DL48" s="330" t="s">
        <v>607</v>
      </c>
      <c r="DM48" s="330"/>
      <c r="DN48" s="330"/>
      <c r="DO48" s="330"/>
      <c r="DP48" s="330"/>
      <c r="DQ48" s="338" t="s">
        <v>197</v>
      </c>
      <c r="DR48" s="330"/>
      <c r="DS48" s="330"/>
      <c r="DT48" s="330"/>
      <c r="DU48" s="338" t="s">
        <v>197</v>
      </c>
      <c r="DV48" s="330"/>
      <c r="DW48" s="330"/>
      <c r="DX48" s="330"/>
      <c r="DY48" s="338" t="s">
        <v>197</v>
      </c>
      <c r="DZ48" s="330"/>
      <c r="EA48" s="330"/>
      <c r="EB48" s="330"/>
      <c r="EC48" s="330" t="s">
        <v>197</v>
      </c>
      <c r="ED48" s="338" t="s">
        <v>197</v>
      </c>
      <c r="EE48" s="330">
        <v>2</v>
      </c>
      <c r="EF48" s="330">
        <v>16</v>
      </c>
      <c r="EG48" s="330"/>
      <c r="EH48" s="330"/>
      <c r="EI48" s="330"/>
      <c r="EJ48" s="330"/>
      <c r="EK48" s="330"/>
      <c r="EL48" s="330"/>
      <c r="EM48" s="330"/>
      <c r="EN48" s="330"/>
      <c r="EO48" s="330"/>
      <c r="EP48" s="330"/>
      <c r="EQ48" s="332" t="s">
        <v>244</v>
      </c>
      <c r="ER48" s="330"/>
      <c r="ES48" s="330"/>
      <c r="ET48" s="332"/>
      <c r="EU48" s="332" t="s">
        <v>199</v>
      </c>
      <c r="EV48" s="330"/>
      <c r="EW48" s="330"/>
      <c r="EX48" s="330" t="s">
        <v>200</v>
      </c>
      <c r="EY48" s="330"/>
      <c r="EZ48" s="330" t="s">
        <v>201</v>
      </c>
      <c r="FA48" s="336">
        <v>45967</v>
      </c>
      <c r="FB48" s="330">
        <v>2</v>
      </c>
      <c r="FC48" s="330" t="s">
        <v>202</v>
      </c>
      <c r="FD48" s="332" t="s">
        <v>190</v>
      </c>
      <c r="FE48" s="336">
        <v>45968</v>
      </c>
      <c r="FF48" s="330"/>
      <c r="FG48" s="330" t="s">
        <v>203</v>
      </c>
      <c r="FH48" s="330"/>
      <c r="FI48" s="330" t="s">
        <v>204</v>
      </c>
      <c r="FJ48" s="330"/>
      <c r="FK48" s="330" t="s">
        <v>610</v>
      </c>
      <c r="FL48" s="330" t="s">
        <v>191</v>
      </c>
      <c r="FM48" s="330"/>
      <c r="FN48" s="330" t="s">
        <v>616</v>
      </c>
      <c r="FO48" s="330"/>
      <c r="FP48" s="330" t="s">
        <v>528</v>
      </c>
      <c r="FQ48" s="330"/>
      <c r="FR48" s="330"/>
      <c r="FS48" s="330"/>
      <c r="FT48" s="330"/>
      <c r="FU48" s="330"/>
    </row>
    <row r="49" spans="1:177" ht="127.5" x14ac:dyDescent="0.25">
      <c r="A49" s="330">
        <v>48</v>
      </c>
      <c r="B49" s="331" t="s">
        <v>617</v>
      </c>
      <c r="C49" s="330"/>
      <c r="D49" s="332" t="s">
        <v>608</v>
      </c>
      <c r="E49" s="332" t="s">
        <v>609</v>
      </c>
      <c r="F49" s="332" t="s">
        <v>610</v>
      </c>
      <c r="G49" s="330" t="s">
        <v>611</v>
      </c>
      <c r="H49" s="331" t="s">
        <v>618</v>
      </c>
      <c r="I49" s="330"/>
      <c r="J49" s="332"/>
      <c r="K49" s="332" t="s">
        <v>619</v>
      </c>
      <c r="L49" s="330" t="s">
        <v>284</v>
      </c>
      <c r="M49" s="332" t="s">
        <v>620</v>
      </c>
      <c r="N49" s="330" t="s">
        <v>621</v>
      </c>
      <c r="O49" s="339">
        <v>5.9585492227979299E-2</v>
      </c>
      <c r="P49" s="333">
        <v>23</v>
      </c>
      <c r="Q49" s="333">
        <v>386</v>
      </c>
      <c r="R49" s="333">
        <v>23</v>
      </c>
      <c r="S49" s="333">
        <v>23</v>
      </c>
      <c r="T49" s="333">
        <v>23</v>
      </c>
      <c r="U49" s="333">
        <v>259</v>
      </c>
      <c r="V49" s="333">
        <v>0</v>
      </c>
      <c r="W49" s="330" t="s">
        <v>622</v>
      </c>
      <c r="X49" s="330" t="s">
        <v>623</v>
      </c>
      <c r="Y49" s="332" t="s">
        <v>624</v>
      </c>
      <c r="Z49" s="330" t="s">
        <v>215</v>
      </c>
      <c r="AA49" s="330" t="s">
        <v>625</v>
      </c>
      <c r="AB49" s="330" t="s">
        <v>217</v>
      </c>
      <c r="AC49" s="330"/>
      <c r="AD49" s="330"/>
      <c r="AE49" s="330">
        <v>1</v>
      </c>
      <c r="AF49" s="330">
        <v>7</v>
      </c>
      <c r="AG49" s="332" t="s">
        <v>626</v>
      </c>
      <c r="AH49" s="332" t="s">
        <v>191</v>
      </c>
      <c r="AI49" s="330" t="s">
        <v>316</v>
      </c>
      <c r="AJ49" s="330" t="s">
        <v>191</v>
      </c>
      <c r="AK49" s="330" t="s">
        <v>627</v>
      </c>
      <c r="AL49" s="330" t="s">
        <v>627</v>
      </c>
      <c r="AM49" s="330" t="s">
        <v>192</v>
      </c>
      <c r="AN49" s="330" t="s">
        <v>627</v>
      </c>
      <c r="AO49" s="330"/>
      <c r="AP49" s="332" t="s">
        <v>259</v>
      </c>
      <c r="AQ49" s="330"/>
      <c r="AR49" s="330"/>
      <c r="AS49" s="330" t="b">
        <v>1</v>
      </c>
      <c r="AT49" s="330"/>
      <c r="AU49" s="332" t="s">
        <v>628</v>
      </c>
      <c r="AV49" s="334">
        <v>46038.453543275464</v>
      </c>
      <c r="AW49" s="330"/>
      <c r="AX49" s="335">
        <v>46118</v>
      </c>
      <c r="AY49" s="336">
        <v>46120</v>
      </c>
      <c r="AZ49" s="330" t="b">
        <v>1</v>
      </c>
      <c r="BA49" s="336">
        <v>46136</v>
      </c>
      <c r="BB49" s="330"/>
      <c r="BC49" s="336">
        <v>46139</v>
      </c>
      <c r="BD49" s="330"/>
      <c r="BE49" s="336">
        <v>46094</v>
      </c>
      <c r="BF49" s="330"/>
      <c r="BG49" s="330"/>
      <c r="BH49" s="330" t="s">
        <v>193</v>
      </c>
      <c r="BI49" s="330">
        <v>10</v>
      </c>
      <c r="BJ49" s="330"/>
      <c r="BK49" s="330"/>
      <c r="BL49" s="330"/>
      <c r="BM49" s="332"/>
      <c r="BN49" s="330"/>
      <c r="BO49" s="330" t="s">
        <v>629</v>
      </c>
      <c r="BP49" s="330" t="s">
        <v>193</v>
      </c>
      <c r="BQ49" s="330" t="s">
        <v>218</v>
      </c>
      <c r="BR49" s="330" t="s">
        <v>193</v>
      </c>
      <c r="BS49" s="330" t="s">
        <v>630</v>
      </c>
      <c r="BT49" s="330" t="s">
        <v>220</v>
      </c>
      <c r="BU49" s="330"/>
      <c r="BV49" s="330" t="s">
        <v>220</v>
      </c>
      <c r="BW49" s="330"/>
      <c r="BX49" s="332"/>
      <c r="BY49" s="330"/>
      <c r="BZ49" s="330"/>
      <c r="CA49" s="330"/>
      <c r="CB49" s="330"/>
      <c r="CC49" s="337" t="s">
        <v>820</v>
      </c>
      <c r="CD49" s="330" t="b">
        <v>1</v>
      </c>
      <c r="CE49" s="330" t="b">
        <v>1</v>
      </c>
      <c r="CF49" s="330" t="b">
        <v>1</v>
      </c>
      <c r="CG49" s="330" t="s">
        <v>242</v>
      </c>
      <c r="CH49" s="330"/>
      <c r="CI49" s="330"/>
      <c r="CJ49" s="330"/>
      <c r="CK49" s="330"/>
      <c r="CL49" s="330"/>
      <c r="CM49" s="330"/>
      <c r="CN49" s="330"/>
      <c r="CO49" s="330"/>
      <c r="CP49" s="330"/>
      <c r="CQ49" s="330"/>
      <c r="CR49" s="330"/>
      <c r="CS49" s="330"/>
      <c r="CT49" s="330"/>
      <c r="CU49" s="330"/>
      <c r="CV49" s="330"/>
      <c r="CW49" s="330"/>
      <c r="CX49" s="330"/>
      <c r="CY49" s="330"/>
      <c r="CZ49" s="330"/>
      <c r="DA49" s="330"/>
      <c r="DB49" s="330" t="b">
        <v>1</v>
      </c>
      <c r="DC49" s="330" t="b">
        <v>1</v>
      </c>
      <c r="DD49" s="330"/>
      <c r="DE49" s="330"/>
      <c r="DF49" s="338">
        <v>24026</v>
      </c>
      <c r="DG49" s="330" t="s">
        <v>221</v>
      </c>
      <c r="DH49" s="330"/>
      <c r="DI49" s="338" t="s">
        <v>196</v>
      </c>
      <c r="DJ49" s="330"/>
      <c r="DK49" s="330">
        <v>1</v>
      </c>
      <c r="DL49" s="330" t="s">
        <v>617</v>
      </c>
      <c r="DM49" s="330"/>
      <c r="DN49" s="330"/>
      <c r="DO49" s="330"/>
      <c r="DP49" s="330"/>
      <c r="DQ49" s="338" t="s">
        <v>197</v>
      </c>
      <c r="DR49" s="330"/>
      <c r="DS49" s="330"/>
      <c r="DT49" s="330"/>
      <c r="DU49" s="338" t="s">
        <v>197</v>
      </c>
      <c r="DV49" s="330"/>
      <c r="DW49" s="330"/>
      <c r="DX49" s="330"/>
      <c r="DY49" s="338" t="s">
        <v>197</v>
      </c>
      <c r="DZ49" s="330"/>
      <c r="EA49" s="330"/>
      <c r="EB49" s="330"/>
      <c r="EC49" s="330" t="s">
        <v>197</v>
      </c>
      <c r="ED49" s="338" t="s">
        <v>197</v>
      </c>
      <c r="EE49" s="330">
        <v>24</v>
      </c>
      <c r="EF49" s="330">
        <v>30</v>
      </c>
      <c r="EG49" s="330"/>
      <c r="EH49" s="330"/>
      <c r="EI49" s="330"/>
      <c r="EJ49" s="330"/>
      <c r="EK49" s="330"/>
      <c r="EL49" s="330"/>
      <c r="EM49" s="330"/>
      <c r="EN49" s="330"/>
      <c r="EO49" s="330"/>
      <c r="EP49" s="330"/>
      <c r="EQ49" s="332" t="s">
        <v>244</v>
      </c>
      <c r="ER49" s="330"/>
      <c r="ES49" s="330"/>
      <c r="ET49" s="332" t="s">
        <v>245</v>
      </c>
      <c r="EU49" s="332" t="s">
        <v>246</v>
      </c>
      <c r="EV49" s="336">
        <v>46120</v>
      </c>
      <c r="EW49" s="336">
        <v>46120</v>
      </c>
      <c r="EX49" s="330">
        <v>1</v>
      </c>
      <c r="EY49" s="330"/>
      <c r="EZ49" s="330" t="s">
        <v>247</v>
      </c>
      <c r="FA49" s="330"/>
      <c r="FB49" s="330" t="s">
        <v>247</v>
      </c>
      <c r="FC49" s="330" t="s">
        <v>202</v>
      </c>
      <c r="FD49" s="332" t="s">
        <v>190</v>
      </c>
      <c r="FE49" s="330"/>
      <c r="FF49" s="330"/>
      <c r="FG49" s="330" t="s">
        <v>203</v>
      </c>
      <c r="FH49" s="330" t="s">
        <v>4092</v>
      </c>
      <c r="FI49" s="330" t="s">
        <v>204</v>
      </c>
      <c r="FJ49" s="330"/>
      <c r="FK49" s="330" t="s">
        <v>610</v>
      </c>
      <c r="FL49" s="330" t="s">
        <v>627</v>
      </c>
      <c r="FM49" s="330" t="s">
        <v>192</v>
      </c>
      <c r="FN49" s="330" t="s">
        <v>632</v>
      </c>
      <c r="FO49" s="330"/>
      <c r="FP49" s="330" t="s">
        <v>1807</v>
      </c>
      <c r="FQ49" s="330"/>
      <c r="FR49" s="330"/>
      <c r="FS49" s="330"/>
      <c r="FT49" s="330"/>
      <c r="FU49" s="330"/>
    </row>
    <row r="50" spans="1:177" ht="76.5" x14ac:dyDescent="0.25">
      <c r="A50" s="330">
        <v>49</v>
      </c>
      <c r="B50" s="331" t="s">
        <v>640</v>
      </c>
      <c r="C50" s="330"/>
      <c r="D50" s="332" t="s">
        <v>228</v>
      </c>
      <c r="E50" s="332" t="s">
        <v>229</v>
      </c>
      <c r="F50" s="332" t="s">
        <v>230</v>
      </c>
      <c r="G50" s="330" t="s">
        <v>231</v>
      </c>
      <c r="H50" s="331">
        <v>400</v>
      </c>
      <c r="I50" s="330"/>
      <c r="J50" s="332"/>
      <c r="K50" s="332" t="s">
        <v>641</v>
      </c>
      <c r="L50" s="330" t="s">
        <v>284</v>
      </c>
      <c r="M50" s="332" t="s">
        <v>642</v>
      </c>
      <c r="N50" s="330" t="s">
        <v>643</v>
      </c>
      <c r="O50" s="339">
        <v>0.74875441145941501</v>
      </c>
      <c r="P50" s="333">
        <v>14427</v>
      </c>
      <c r="Q50" s="333">
        <v>19268</v>
      </c>
      <c r="R50" s="333">
        <v>4</v>
      </c>
      <c r="S50" s="333">
        <v>4</v>
      </c>
      <c r="T50" s="333">
        <v>4</v>
      </c>
      <c r="U50" s="333">
        <v>26</v>
      </c>
      <c r="V50" s="333">
        <v>50</v>
      </c>
      <c r="W50" s="330" t="s">
        <v>644</v>
      </c>
      <c r="X50" s="330" t="s">
        <v>645</v>
      </c>
      <c r="Y50" s="332" t="s">
        <v>351</v>
      </c>
      <c r="Z50" s="330" t="s">
        <v>215</v>
      </c>
      <c r="AA50" s="330" t="s">
        <v>352</v>
      </c>
      <c r="AB50" s="330" t="s">
        <v>189</v>
      </c>
      <c r="AC50" s="330"/>
      <c r="AD50" s="330"/>
      <c r="AE50" s="330">
        <v>95</v>
      </c>
      <c r="AF50" s="330">
        <v>-15</v>
      </c>
      <c r="AG50" s="332" t="s">
        <v>238</v>
      </c>
      <c r="AH50" s="332" t="s">
        <v>191</v>
      </c>
      <c r="AI50" s="330" t="s">
        <v>192</v>
      </c>
      <c r="AJ50" s="330" t="s">
        <v>192</v>
      </c>
      <c r="AK50" s="330"/>
      <c r="AL50" s="330" t="s">
        <v>192</v>
      </c>
      <c r="AM50" s="330" t="s">
        <v>191</v>
      </c>
      <c r="AN50" s="330" t="s">
        <v>192</v>
      </c>
      <c r="AO50" s="330"/>
      <c r="AP50" s="332" t="s">
        <v>259</v>
      </c>
      <c r="AQ50" s="330"/>
      <c r="AR50" s="330"/>
      <c r="AS50" s="330" t="b">
        <v>1</v>
      </c>
      <c r="AT50" s="330"/>
      <c r="AU50" s="332" t="s">
        <v>554</v>
      </c>
      <c r="AV50" s="334">
        <v>46055.558022939818</v>
      </c>
      <c r="AW50" s="330"/>
      <c r="AX50" s="335">
        <v>46076</v>
      </c>
      <c r="AY50" s="336">
        <v>46092</v>
      </c>
      <c r="AZ50" s="330" t="b">
        <v>1</v>
      </c>
      <c r="BA50" s="336">
        <v>46108</v>
      </c>
      <c r="BB50" s="330"/>
      <c r="BC50" s="336">
        <v>46097</v>
      </c>
      <c r="BD50" s="330"/>
      <c r="BE50" s="336">
        <v>46097</v>
      </c>
      <c r="BF50" s="330"/>
      <c r="BG50" s="330"/>
      <c r="BH50" s="330" t="s">
        <v>193</v>
      </c>
      <c r="BI50" s="330">
        <v>1000</v>
      </c>
      <c r="BJ50" s="330"/>
      <c r="BK50" s="330"/>
      <c r="BL50" s="330"/>
      <c r="BM50" s="332"/>
      <c r="BN50" s="330"/>
      <c r="BO50" s="330" t="s">
        <v>240</v>
      </c>
      <c r="BP50" s="330" t="s">
        <v>193</v>
      </c>
      <c r="BQ50" s="330" t="s">
        <v>218</v>
      </c>
      <c r="BR50" s="330" t="s">
        <v>220</v>
      </c>
      <c r="BS50" s="330"/>
      <c r="BT50" s="330" t="s">
        <v>220</v>
      </c>
      <c r="BU50" s="330"/>
      <c r="BV50" s="330" t="s">
        <v>220</v>
      </c>
      <c r="BW50" s="330"/>
      <c r="BX50" s="332"/>
      <c r="BY50" s="330"/>
      <c r="BZ50" s="330"/>
      <c r="CA50" s="330"/>
      <c r="CB50" s="330"/>
      <c r="CC50" s="337" t="s">
        <v>241</v>
      </c>
      <c r="CD50" s="330" t="b">
        <v>1</v>
      </c>
      <c r="CE50" s="330" t="b">
        <v>1</v>
      </c>
      <c r="CF50" s="330" t="b">
        <v>1</v>
      </c>
      <c r="CG50" s="330" t="s">
        <v>242</v>
      </c>
      <c r="CH50" s="330"/>
      <c r="CI50" s="330"/>
      <c r="CJ50" s="330"/>
      <c r="CK50" s="330"/>
      <c r="CL50" s="330"/>
      <c r="CM50" s="330"/>
      <c r="CN50" s="330"/>
      <c r="CO50" s="330"/>
      <c r="CP50" s="330"/>
      <c r="CQ50" s="330"/>
      <c r="CR50" s="330"/>
      <c r="CS50" s="330"/>
      <c r="CT50" s="330"/>
      <c r="CU50" s="330"/>
      <c r="CV50" s="330"/>
      <c r="CW50" s="330"/>
      <c r="CX50" s="330"/>
      <c r="CY50" s="330"/>
      <c r="CZ50" s="330"/>
      <c r="DA50" s="330"/>
      <c r="DB50" s="330" t="b">
        <v>1</v>
      </c>
      <c r="DC50" s="330" t="b">
        <v>1</v>
      </c>
      <c r="DD50" s="330"/>
      <c r="DE50" s="330"/>
      <c r="DF50" s="338">
        <v>24051</v>
      </c>
      <c r="DG50" s="330" t="s">
        <v>221</v>
      </c>
      <c r="DH50" s="330"/>
      <c r="DI50" s="340">
        <v>82</v>
      </c>
      <c r="DJ50" s="330"/>
      <c r="DK50" s="330">
        <v>82</v>
      </c>
      <c r="DL50" s="330" t="s">
        <v>243</v>
      </c>
      <c r="DM50" s="330"/>
      <c r="DN50" s="330"/>
      <c r="DO50" s="330"/>
      <c r="DP50" s="330"/>
      <c r="DQ50" s="338" t="s">
        <v>197</v>
      </c>
      <c r="DR50" s="330"/>
      <c r="DS50" s="330"/>
      <c r="DT50" s="330"/>
      <c r="DU50" s="338" t="s">
        <v>197</v>
      </c>
      <c r="DV50" s="330"/>
      <c r="DW50" s="330"/>
      <c r="DX50" s="330"/>
      <c r="DY50" s="338" t="s">
        <v>197</v>
      </c>
      <c r="DZ50" s="330"/>
      <c r="EA50" s="330"/>
      <c r="EB50" s="330"/>
      <c r="EC50" s="330" t="s">
        <v>197</v>
      </c>
      <c r="ED50" s="338" t="s">
        <v>197</v>
      </c>
      <c r="EE50" s="330">
        <v>4</v>
      </c>
      <c r="EF50" s="330">
        <v>8</v>
      </c>
      <c r="EG50" s="330"/>
      <c r="EH50" s="330"/>
      <c r="EI50" s="330"/>
      <c r="EJ50" s="330"/>
      <c r="EK50" s="330"/>
      <c r="EL50" s="330"/>
      <c r="EM50" s="330"/>
      <c r="EN50" s="330"/>
      <c r="EO50" s="330"/>
      <c r="EP50" s="330"/>
      <c r="EQ50" s="332" t="s">
        <v>244</v>
      </c>
      <c r="ER50" s="330"/>
      <c r="ES50" s="330"/>
      <c r="ET50" s="332" t="s">
        <v>245</v>
      </c>
      <c r="EU50" s="332" t="s">
        <v>246</v>
      </c>
      <c r="EV50" s="336">
        <v>46091</v>
      </c>
      <c r="EW50" s="336">
        <v>46091</v>
      </c>
      <c r="EX50" s="330">
        <v>1</v>
      </c>
      <c r="EY50" s="330"/>
      <c r="EZ50" s="330" t="s">
        <v>201</v>
      </c>
      <c r="FA50" s="336">
        <v>46097</v>
      </c>
      <c r="FB50" s="330">
        <v>2</v>
      </c>
      <c r="FC50" s="330" t="s">
        <v>202</v>
      </c>
      <c r="FD50" s="332" t="s">
        <v>190</v>
      </c>
      <c r="FE50" s="336">
        <v>46098</v>
      </c>
      <c r="FF50" s="330"/>
      <c r="FG50" s="330" t="s">
        <v>203</v>
      </c>
      <c r="FH50" s="330" t="s">
        <v>457</v>
      </c>
      <c r="FI50" s="330" t="s">
        <v>204</v>
      </c>
      <c r="FJ50" s="330"/>
      <c r="FK50" s="330" t="s">
        <v>230</v>
      </c>
      <c r="FL50" s="330" t="s">
        <v>192</v>
      </c>
      <c r="FM50" s="330" t="s">
        <v>191</v>
      </c>
      <c r="FN50" s="330" t="s">
        <v>646</v>
      </c>
      <c r="FO50" s="330"/>
      <c r="FP50" s="330" t="s">
        <v>459</v>
      </c>
      <c r="FQ50" s="330"/>
      <c r="FR50" s="330"/>
      <c r="FS50" s="330"/>
      <c r="FT50" s="330"/>
      <c r="FU50" s="330"/>
    </row>
    <row r="51" spans="1:177" ht="76.5" x14ac:dyDescent="0.25">
      <c r="A51" s="330">
        <v>50</v>
      </c>
      <c r="B51" s="331" t="s">
        <v>647</v>
      </c>
      <c r="C51" s="330"/>
      <c r="D51" s="332" t="s">
        <v>228</v>
      </c>
      <c r="E51" s="332" t="s">
        <v>229</v>
      </c>
      <c r="F51" s="332" t="s">
        <v>230</v>
      </c>
      <c r="G51" s="330" t="s">
        <v>231</v>
      </c>
      <c r="H51" s="331">
        <v>400</v>
      </c>
      <c r="I51" s="330"/>
      <c r="J51" s="332" t="s">
        <v>648</v>
      </c>
      <c r="K51" s="332" t="s">
        <v>649</v>
      </c>
      <c r="L51" s="330" t="s">
        <v>284</v>
      </c>
      <c r="M51" s="332" t="s">
        <v>642</v>
      </c>
      <c r="N51" s="330" t="s">
        <v>650</v>
      </c>
      <c r="O51" s="339">
        <v>0.74896200954951198</v>
      </c>
      <c r="P51" s="333">
        <v>14431</v>
      </c>
      <c r="Q51" s="333">
        <v>19268</v>
      </c>
      <c r="R51" s="333">
        <v>4</v>
      </c>
      <c r="S51" s="333">
        <v>4</v>
      </c>
      <c r="T51" s="333">
        <v>4</v>
      </c>
      <c r="U51" s="333">
        <v>26</v>
      </c>
      <c r="V51" s="333">
        <v>50</v>
      </c>
      <c r="W51" s="330" t="s">
        <v>651</v>
      </c>
      <c r="X51" s="330" t="s">
        <v>652</v>
      </c>
      <c r="Y51" s="332" t="s">
        <v>351</v>
      </c>
      <c r="Z51" s="330" t="s">
        <v>215</v>
      </c>
      <c r="AA51" s="330" t="s">
        <v>352</v>
      </c>
      <c r="AB51" s="330" t="s">
        <v>189</v>
      </c>
      <c r="AC51" s="330"/>
      <c r="AD51" s="330"/>
      <c r="AE51" s="330">
        <v>95</v>
      </c>
      <c r="AF51" s="330">
        <v>-15</v>
      </c>
      <c r="AG51" s="332" t="s">
        <v>238</v>
      </c>
      <c r="AH51" s="332" t="s">
        <v>191</v>
      </c>
      <c r="AI51" s="330" t="s">
        <v>192</v>
      </c>
      <c r="AJ51" s="330" t="s">
        <v>192</v>
      </c>
      <c r="AK51" s="330"/>
      <c r="AL51" s="330" t="s">
        <v>192</v>
      </c>
      <c r="AM51" s="330" t="s">
        <v>191</v>
      </c>
      <c r="AN51" s="330" t="s">
        <v>192</v>
      </c>
      <c r="AO51" s="330"/>
      <c r="AP51" s="332" t="s">
        <v>259</v>
      </c>
      <c r="AQ51" s="330"/>
      <c r="AR51" s="330"/>
      <c r="AS51" s="330" t="b">
        <v>1</v>
      </c>
      <c r="AT51" s="330"/>
      <c r="AU51" s="332" t="s">
        <v>191</v>
      </c>
      <c r="AV51" s="334">
        <v>46055.559497048613</v>
      </c>
      <c r="AW51" s="330"/>
      <c r="AX51" s="335">
        <v>46076</v>
      </c>
      <c r="AY51" s="336">
        <v>46092</v>
      </c>
      <c r="AZ51" s="330" t="b">
        <v>1</v>
      </c>
      <c r="BA51" s="336">
        <v>46108</v>
      </c>
      <c r="BB51" s="330"/>
      <c r="BC51" s="336">
        <v>46097</v>
      </c>
      <c r="BD51" s="330"/>
      <c r="BE51" s="336">
        <v>46097</v>
      </c>
      <c r="BF51" s="330"/>
      <c r="BG51" s="330"/>
      <c r="BH51" s="330" t="s">
        <v>193</v>
      </c>
      <c r="BI51" s="330">
        <v>1000</v>
      </c>
      <c r="BJ51" s="330"/>
      <c r="BK51" s="330"/>
      <c r="BL51" s="330"/>
      <c r="BM51" s="332"/>
      <c r="BN51" s="330"/>
      <c r="BO51" s="330" t="s">
        <v>240</v>
      </c>
      <c r="BP51" s="330" t="s">
        <v>193</v>
      </c>
      <c r="BQ51" s="330" t="s">
        <v>218</v>
      </c>
      <c r="BR51" s="330" t="s">
        <v>220</v>
      </c>
      <c r="BS51" s="330"/>
      <c r="BT51" s="330" t="s">
        <v>220</v>
      </c>
      <c r="BU51" s="330"/>
      <c r="BV51" s="330" t="s">
        <v>220</v>
      </c>
      <c r="BW51" s="330"/>
      <c r="BX51" s="332"/>
      <c r="BY51" s="330"/>
      <c r="BZ51" s="330"/>
      <c r="CA51" s="330"/>
      <c r="CB51" s="330"/>
      <c r="CC51" s="337" t="s">
        <v>241</v>
      </c>
      <c r="CD51" s="330" t="b">
        <v>1</v>
      </c>
      <c r="CE51" s="330" t="b">
        <v>1</v>
      </c>
      <c r="CF51" s="330" t="b">
        <v>1</v>
      </c>
      <c r="CG51" s="330" t="s">
        <v>242</v>
      </c>
      <c r="CH51" s="330"/>
      <c r="CI51" s="330"/>
      <c r="CJ51" s="330"/>
      <c r="CK51" s="330"/>
      <c r="CL51" s="330"/>
      <c r="CM51" s="330"/>
      <c r="CN51" s="330"/>
      <c r="CO51" s="330"/>
      <c r="CP51" s="330"/>
      <c r="CQ51" s="330"/>
      <c r="CR51" s="330"/>
      <c r="CS51" s="330"/>
      <c r="CT51" s="330"/>
      <c r="CU51" s="330"/>
      <c r="CV51" s="330"/>
      <c r="CW51" s="330"/>
      <c r="CX51" s="330"/>
      <c r="CY51" s="330"/>
      <c r="CZ51" s="330"/>
      <c r="DA51" s="330"/>
      <c r="DB51" s="330" t="b">
        <v>1</v>
      </c>
      <c r="DC51" s="330" t="b">
        <v>1</v>
      </c>
      <c r="DD51" s="330"/>
      <c r="DE51" s="330"/>
      <c r="DF51" s="338">
        <v>24051</v>
      </c>
      <c r="DG51" s="330" t="s">
        <v>221</v>
      </c>
      <c r="DH51" s="330"/>
      <c r="DI51" s="340">
        <v>83</v>
      </c>
      <c r="DJ51" s="330"/>
      <c r="DK51" s="330">
        <v>83</v>
      </c>
      <c r="DL51" s="330" t="s">
        <v>243</v>
      </c>
      <c r="DM51" s="330"/>
      <c r="DN51" s="330"/>
      <c r="DO51" s="330"/>
      <c r="DP51" s="330"/>
      <c r="DQ51" s="338" t="s">
        <v>197</v>
      </c>
      <c r="DR51" s="330"/>
      <c r="DS51" s="330"/>
      <c r="DT51" s="330"/>
      <c r="DU51" s="338" t="s">
        <v>197</v>
      </c>
      <c r="DV51" s="330"/>
      <c r="DW51" s="330"/>
      <c r="DX51" s="330"/>
      <c r="DY51" s="338" t="s">
        <v>197</v>
      </c>
      <c r="DZ51" s="330"/>
      <c r="EA51" s="330"/>
      <c r="EB51" s="330"/>
      <c r="EC51" s="330" t="s">
        <v>197</v>
      </c>
      <c r="ED51" s="338" t="s">
        <v>197</v>
      </c>
      <c r="EE51" s="330">
        <v>4</v>
      </c>
      <c r="EF51" s="330">
        <v>8</v>
      </c>
      <c r="EG51" s="330"/>
      <c r="EH51" s="330"/>
      <c r="EI51" s="330"/>
      <c r="EJ51" s="330"/>
      <c r="EK51" s="330"/>
      <c r="EL51" s="330"/>
      <c r="EM51" s="330"/>
      <c r="EN51" s="330"/>
      <c r="EO51" s="330"/>
      <c r="EP51" s="330"/>
      <c r="EQ51" s="332" t="s">
        <v>244</v>
      </c>
      <c r="ER51" s="330"/>
      <c r="ES51" s="330"/>
      <c r="ET51" s="332" t="s">
        <v>245</v>
      </c>
      <c r="EU51" s="332" t="s">
        <v>246</v>
      </c>
      <c r="EV51" s="336">
        <v>46091</v>
      </c>
      <c r="EW51" s="336">
        <v>46091</v>
      </c>
      <c r="EX51" s="330">
        <v>1</v>
      </c>
      <c r="EY51" s="330"/>
      <c r="EZ51" s="330" t="s">
        <v>201</v>
      </c>
      <c r="FA51" s="336">
        <v>46097</v>
      </c>
      <c r="FB51" s="330">
        <v>2</v>
      </c>
      <c r="FC51" s="330" t="s">
        <v>202</v>
      </c>
      <c r="FD51" s="332" t="s">
        <v>190</v>
      </c>
      <c r="FE51" s="336">
        <v>46098</v>
      </c>
      <c r="FF51" s="330"/>
      <c r="FG51" s="330" t="s">
        <v>203</v>
      </c>
      <c r="FH51" s="330" t="s">
        <v>457</v>
      </c>
      <c r="FI51" s="330" t="s">
        <v>204</v>
      </c>
      <c r="FJ51" s="330"/>
      <c r="FK51" s="330" t="s">
        <v>230</v>
      </c>
      <c r="FL51" s="330" t="s">
        <v>192</v>
      </c>
      <c r="FM51" s="330" t="s">
        <v>191</v>
      </c>
      <c r="FN51" s="330" t="s">
        <v>653</v>
      </c>
      <c r="FO51" s="330"/>
      <c r="FP51" s="330" t="s">
        <v>459</v>
      </c>
      <c r="FQ51" s="330"/>
      <c r="FR51" s="330"/>
      <c r="FS51" s="330"/>
      <c r="FT51" s="330"/>
      <c r="FU51" s="330"/>
    </row>
    <row r="52" spans="1:177" ht="76.5" x14ac:dyDescent="0.25">
      <c r="A52" s="330">
        <v>51</v>
      </c>
      <c r="B52" s="331" t="s">
        <v>654</v>
      </c>
      <c r="C52" s="330"/>
      <c r="D52" s="332" t="s">
        <v>228</v>
      </c>
      <c r="E52" s="332" t="s">
        <v>229</v>
      </c>
      <c r="F52" s="332" t="s">
        <v>230</v>
      </c>
      <c r="G52" s="330" t="s">
        <v>231</v>
      </c>
      <c r="H52" s="331">
        <v>400</v>
      </c>
      <c r="I52" s="330"/>
      <c r="J52" s="332" t="s">
        <v>655</v>
      </c>
      <c r="K52" s="332"/>
      <c r="L52" s="330" t="s">
        <v>284</v>
      </c>
      <c r="M52" s="332" t="s">
        <v>656</v>
      </c>
      <c r="N52" s="330" t="s">
        <v>657</v>
      </c>
      <c r="O52" s="339">
        <v>0.75020759809009796</v>
      </c>
      <c r="P52" s="333">
        <v>14455</v>
      </c>
      <c r="Q52" s="333">
        <v>19268</v>
      </c>
      <c r="R52" s="333">
        <v>24</v>
      </c>
      <c r="S52" s="333">
        <v>24</v>
      </c>
      <c r="T52" s="333">
        <v>24</v>
      </c>
      <c r="U52" s="333">
        <v>164</v>
      </c>
      <c r="V52" s="333">
        <v>260</v>
      </c>
      <c r="W52" s="330" t="s">
        <v>658</v>
      </c>
      <c r="X52" s="330" t="s">
        <v>659</v>
      </c>
      <c r="Y52" s="332" t="s">
        <v>351</v>
      </c>
      <c r="Z52" s="330" t="s">
        <v>215</v>
      </c>
      <c r="AA52" s="330" t="s">
        <v>352</v>
      </c>
      <c r="AB52" s="330" t="s">
        <v>189</v>
      </c>
      <c r="AC52" s="330"/>
      <c r="AD52" s="330"/>
      <c r="AE52" s="330">
        <v>98</v>
      </c>
      <c r="AF52" s="330">
        <v>-14</v>
      </c>
      <c r="AG52" s="332" t="s">
        <v>238</v>
      </c>
      <c r="AH52" s="332" t="s">
        <v>191</v>
      </c>
      <c r="AI52" s="330" t="s">
        <v>192</v>
      </c>
      <c r="AJ52" s="330" t="s">
        <v>192</v>
      </c>
      <c r="AK52" s="330"/>
      <c r="AL52" s="330" t="s">
        <v>192</v>
      </c>
      <c r="AM52" s="330" t="s">
        <v>191</v>
      </c>
      <c r="AN52" s="330" t="s">
        <v>192</v>
      </c>
      <c r="AO52" s="330"/>
      <c r="AP52" s="332" t="s">
        <v>259</v>
      </c>
      <c r="AQ52" s="330"/>
      <c r="AR52" s="330"/>
      <c r="AS52" s="330" t="b">
        <v>1</v>
      </c>
      <c r="AT52" s="330"/>
      <c r="AU52" s="332" t="s">
        <v>191</v>
      </c>
      <c r="AV52" s="334">
        <v>46055.582964965281</v>
      </c>
      <c r="AW52" s="330"/>
      <c r="AX52" s="335">
        <v>46076</v>
      </c>
      <c r="AY52" s="336">
        <v>46093</v>
      </c>
      <c r="AZ52" s="330" t="b">
        <v>1</v>
      </c>
      <c r="BA52" s="336">
        <v>46111</v>
      </c>
      <c r="BB52" s="330"/>
      <c r="BC52" s="336">
        <v>46097</v>
      </c>
      <c r="BD52" s="330"/>
      <c r="BE52" s="336">
        <v>46097</v>
      </c>
      <c r="BF52" s="330"/>
      <c r="BG52" s="330"/>
      <c r="BH52" s="330" t="s">
        <v>193</v>
      </c>
      <c r="BI52" s="330">
        <v>1000</v>
      </c>
      <c r="BJ52" s="330"/>
      <c r="BK52" s="330"/>
      <c r="BL52" s="330"/>
      <c r="BM52" s="332"/>
      <c r="BN52" s="330"/>
      <c r="BO52" s="330" t="s">
        <v>240</v>
      </c>
      <c r="BP52" s="330" t="s">
        <v>193</v>
      </c>
      <c r="BQ52" s="330" t="s">
        <v>218</v>
      </c>
      <c r="BR52" s="330" t="s">
        <v>220</v>
      </c>
      <c r="BS52" s="330"/>
      <c r="BT52" s="330" t="s">
        <v>220</v>
      </c>
      <c r="BU52" s="330"/>
      <c r="BV52" s="330" t="s">
        <v>220</v>
      </c>
      <c r="BW52" s="330"/>
      <c r="BX52" s="332"/>
      <c r="BY52" s="330"/>
      <c r="BZ52" s="330"/>
      <c r="CA52" s="330"/>
      <c r="CB52" s="330"/>
      <c r="CC52" s="337" t="s">
        <v>241</v>
      </c>
      <c r="CD52" s="330" t="b">
        <v>1</v>
      </c>
      <c r="CE52" s="330" t="b">
        <v>1</v>
      </c>
      <c r="CF52" s="330" t="b">
        <v>1</v>
      </c>
      <c r="CG52" s="330" t="s">
        <v>242</v>
      </c>
      <c r="CH52" s="330"/>
      <c r="CI52" s="330"/>
      <c r="CJ52" s="330"/>
      <c r="CK52" s="330"/>
      <c r="CL52" s="330"/>
      <c r="CM52" s="330"/>
      <c r="CN52" s="330"/>
      <c r="CO52" s="330"/>
      <c r="CP52" s="330"/>
      <c r="CQ52" s="330"/>
      <c r="CR52" s="330"/>
      <c r="CS52" s="330"/>
      <c r="CT52" s="330"/>
      <c r="CU52" s="330"/>
      <c r="CV52" s="330"/>
      <c r="CW52" s="330"/>
      <c r="CX52" s="330"/>
      <c r="CY52" s="330"/>
      <c r="CZ52" s="330"/>
      <c r="DA52" s="330"/>
      <c r="DB52" s="330" t="b">
        <v>1</v>
      </c>
      <c r="DC52" s="330" t="b">
        <v>1</v>
      </c>
      <c r="DD52" s="330"/>
      <c r="DE52" s="330"/>
      <c r="DF52" s="338">
        <v>24051</v>
      </c>
      <c r="DG52" s="330" t="s">
        <v>221</v>
      </c>
      <c r="DH52" s="330"/>
      <c r="DI52" s="340">
        <v>84</v>
      </c>
      <c r="DJ52" s="330"/>
      <c r="DK52" s="330">
        <v>84</v>
      </c>
      <c r="DL52" s="330" t="s">
        <v>243</v>
      </c>
      <c r="DM52" s="330"/>
      <c r="DN52" s="330"/>
      <c r="DO52" s="330"/>
      <c r="DP52" s="330"/>
      <c r="DQ52" s="338" t="s">
        <v>197</v>
      </c>
      <c r="DR52" s="330"/>
      <c r="DS52" s="330"/>
      <c r="DT52" s="330"/>
      <c r="DU52" s="338" t="s">
        <v>197</v>
      </c>
      <c r="DV52" s="330"/>
      <c r="DW52" s="330"/>
      <c r="DX52" s="330"/>
      <c r="DY52" s="338" t="s">
        <v>197</v>
      </c>
      <c r="DZ52" s="330"/>
      <c r="EA52" s="330"/>
      <c r="EB52" s="330"/>
      <c r="EC52" s="330" t="s">
        <v>197</v>
      </c>
      <c r="ED52" s="338" t="s">
        <v>197</v>
      </c>
      <c r="EE52" s="330">
        <v>8</v>
      </c>
      <c r="EF52" s="330">
        <v>40</v>
      </c>
      <c r="EG52" s="330"/>
      <c r="EH52" s="330"/>
      <c r="EI52" s="330"/>
      <c r="EJ52" s="330"/>
      <c r="EK52" s="330"/>
      <c r="EL52" s="330"/>
      <c r="EM52" s="330"/>
      <c r="EN52" s="330"/>
      <c r="EO52" s="330"/>
      <c r="EP52" s="330"/>
      <c r="EQ52" s="332" t="s">
        <v>244</v>
      </c>
      <c r="ER52" s="330"/>
      <c r="ES52" s="330"/>
      <c r="ET52" s="332" t="s">
        <v>245</v>
      </c>
      <c r="EU52" s="332" t="s">
        <v>246</v>
      </c>
      <c r="EV52" s="336">
        <v>46092</v>
      </c>
      <c r="EW52" s="336">
        <v>46092</v>
      </c>
      <c r="EX52" s="330">
        <v>1</v>
      </c>
      <c r="EY52" s="330"/>
      <c r="EZ52" s="330" t="s">
        <v>201</v>
      </c>
      <c r="FA52" s="336">
        <v>46101</v>
      </c>
      <c r="FB52" s="330">
        <v>1</v>
      </c>
      <c r="FC52" s="330" t="s">
        <v>202</v>
      </c>
      <c r="FD52" s="332" t="s">
        <v>190</v>
      </c>
      <c r="FE52" s="336">
        <v>46102</v>
      </c>
      <c r="FF52" s="330"/>
      <c r="FG52" s="330" t="s">
        <v>203</v>
      </c>
      <c r="FH52" s="330" t="s">
        <v>291</v>
      </c>
      <c r="FI52" s="330" t="s">
        <v>204</v>
      </c>
      <c r="FJ52" s="330"/>
      <c r="FK52" s="330" t="s">
        <v>230</v>
      </c>
      <c r="FL52" s="330" t="s">
        <v>192</v>
      </c>
      <c r="FM52" s="330" t="s">
        <v>191</v>
      </c>
      <c r="FN52" s="330" t="s">
        <v>660</v>
      </c>
      <c r="FO52" s="330"/>
      <c r="FP52" s="330" t="s">
        <v>459</v>
      </c>
      <c r="FQ52" s="330"/>
      <c r="FR52" s="330"/>
      <c r="FS52" s="330"/>
      <c r="FT52" s="330"/>
      <c r="FU52" s="330"/>
    </row>
    <row r="53" spans="1:177" ht="51" x14ac:dyDescent="0.25">
      <c r="A53" s="330">
        <v>52</v>
      </c>
      <c r="B53" s="331" t="s">
        <v>661</v>
      </c>
      <c r="C53" s="330"/>
      <c r="D53" s="332" t="s">
        <v>228</v>
      </c>
      <c r="E53" s="332" t="s">
        <v>229</v>
      </c>
      <c r="F53" s="332" t="s">
        <v>230</v>
      </c>
      <c r="G53" s="330" t="s">
        <v>231</v>
      </c>
      <c r="H53" s="331">
        <v>400</v>
      </c>
      <c r="I53" s="330"/>
      <c r="J53" s="332"/>
      <c r="K53" s="332" t="s">
        <v>662</v>
      </c>
      <c r="L53" s="330" t="s">
        <v>284</v>
      </c>
      <c r="M53" s="332" t="s">
        <v>663</v>
      </c>
      <c r="N53" s="330" t="s">
        <v>664</v>
      </c>
      <c r="O53" s="339">
        <v>0.75041519618019503</v>
      </c>
      <c r="P53" s="333">
        <v>14459</v>
      </c>
      <c r="Q53" s="333">
        <v>19268</v>
      </c>
      <c r="R53" s="333">
        <v>4</v>
      </c>
      <c r="S53" s="333">
        <v>4</v>
      </c>
      <c r="T53" s="333">
        <v>4</v>
      </c>
      <c r="U53" s="333">
        <v>38</v>
      </c>
      <c r="V53" s="333">
        <v>25</v>
      </c>
      <c r="W53" s="330" t="s">
        <v>665</v>
      </c>
      <c r="X53" s="330" t="s">
        <v>666</v>
      </c>
      <c r="Y53" s="332" t="s">
        <v>351</v>
      </c>
      <c r="Z53" s="330" t="s">
        <v>215</v>
      </c>
      <c r="AA53" s="330" t="s">
        <v>352</v>
      </c>
      <c r="AB53" s="330" t="s">
        <v>189</v>
      </c>
      <c r="AC53" s="330"/>
      <c r="AD53" s="330"/>
      <c r="AE53" s="330">
        <v>98</v>
      </c>
      <c r="AF53" s="330">
        <v>-14</v>
      </c>
      <c r="AG53" s="332" t="s">
        <v>238</v>
      </c>
      <c r="AH53" s="332" t="s">
        <v>191</v>
      </c>
      <c r="AI53" s="330" t="s">
        <v>192</v>
      </c>
      <c r="AJ53" s="330" t="s">
        <v>192</v>
      </c>
      <c r="AK53" s="330"/>
      <c r="AL53" s="330" t="s">
        <v>192</v>
      </c>
      <c r="AM53" s="330" t="s">
        <v>191</v>
      </c>
      <c r="AN53" s="330" t="s">
        <v>192</v>
      </c>
      <c r="AO53" s="330"/>
      <c r="AP53" s="332" t="s">
        <v>259</v>
      </c>
      <c r="AQ53" s="330"/>
      <c r="AR53" s="330"/>
      <c r="AS53" s="330" t="b">
        <v>1</v>
      </c>
      <c r="AT53" s="330"/>
      <c r="AU53" s="332" t="s">
        <v>191</v>
      </c>
      <c r="AV53" s="334">
        <v>46055.618752824077</v>
      </c>
      <c r="AW53" s="330"/>
      <c r="AX53" s="335">
        <v>46076</v>
      </c>
      <c r="AY53" s="336">
        <v>46093</v>
      </c>
      <c r="AZ53" s="330" t="b">
        <v>1</v>
      </c>
      <c r="BA53" s="336">
        <v>46111</v>
      </c>
      <c r="BB53" s="330"/>
      <c r="BC53" s="336">
        <v>46097</v>
      </c>
      <c r="BD53" s="330"/>
      <c r="BE53" s="336">
        <v>46097</v>
      </c>
      <c r="BF53" s="330"/>
      <c r="BG53" s="330"/>
      <c r="BH53" s="330" t="s">
        <v>193</v>
      </c>
      <c r="BI53" s="330">
        <v>1000</v>
      </c>
      <c r="BJ53" s="330"/>
      <c r="BK53" s="330"/>
      <c r="BL53" s="330"/>
      <c r="BM53" s="332"/>
      <c r="BN53" s="330"/>
      <c r="BO53" s="330" t="s">
        <v>240</v>
      </c>
      <c r="BP53" s="330" t="s">
        <v>193</v>
      </c>
      <c r="BQ53" s="330" t="s">
        <v>218</v>
      </c>
      <c r="BR53" s="330" t="s">
        <v>220</v>
      </c>
      <c r="BS53" s="330"/>
      <c r="BT53" s="330" t="s">
        <v>220</v>
      </c>
      <c r="BU53" s="330"/>
      <c r="BV53" s="330" t="s">
        <v>220</v>
      </c>
      <c r="BW53" s="330"/>
      <c r="BX53" s="332"/>
      <c r="BY53" s="330"/>
      <c r="BZ53" s="330"/>
      <c r="CA53" s="330"/>
      <c r="CB53" s="330"/>
      <c r="CC53" s="337" t="s">
        <v>241</v>
      </c>
      <c r="CD53" s="330" t="b">
        <v>1</v>
      </c>
      <c r="CE53" s="330" t="b">
        <v>1</v>
      </c>
      <c r="CF53" s="330" t="b">
        <v>1</v>
      </c>
      <c r="CG53" s="330" t="s">
        <v>242</v>
      </c>
      <c r="CH53" s="330"/>
      <c r="CI53" s="330"/>
      <c r="CJ53" s="330"/>
      <c r="CK53" s="330"/>
      <c r="CL53" s="330"/>
      <c r="CM53" s="330"/>
      <c r="CN53" s="330"/>
      <c r="CO53" s="330"/>
      <c r="CP53" s="330"/>
      <c r="CQ53" s="330"/>
      <c r="CR53" s="330"/>
      <c r="CS53" s="330"/>
      <c r="CT53" s="330"/>
      <c r="CU53" s="330"/>
      <c r="CV53" s="330"/>
      <c r="CW53" s="330"/>
      <c r="CX53" s="330"/>
      <c r="CY53" s="330"/>
      <c r="CZ53" s="330"/>
      <c r="DA53" s="330"/>
      <c r="DB53" s="330" t="b">
        <v>1</v>
      </c>
      <c r="DC53" s="330" t="b">
        <v>1</v>
      </c>
      <c r="DD53" s="330"/>
      <c r="DE53" s="330"/>
      <c r="DF53" s="338">
        <v>24051</v>
      </c>
      <c r="DG53" s="330" t="s">
        <v>221</v>
      </c>
      <c r="DH53" s="330"/>
      <c r="DI53" s="340">
        <v>85</v>
      </c>
      <c r="DJ53" s="330"/>
      <c r="DK53" s="330">
        <v>85</v>
      </c>
      <c r="DL53" s="330" t="s">
        <v>243</v>
      </c>
      <c r="DM53" s="330"/>
      <c r="DN53" s="330"/>
      <c r="DO53" s="330"/>
      <c r="DP53" s="330"/>
      <c r="DQ53" s="338" t="s">
        <v>197</v>
      </c>
      <c r="DR53" s="330"/>
      <c r="DS53" s="330"/>
      <c r="DT53" s="330"/>
      <c r="DU53" s="338" t="s">
        <v>197</v>
      </c>
      <c r="DV53" s="330"/>
      <c r="DW53" s="330"/>
      <c r="DX53" s="330"/>
      <c r="DY53" s="338" t="s">
        <v>197</v>
      </c>
      <c r="DZ53" s="330"/>
      <c r="EA53" s="330"/>
      <c r="EB53" s="330"/>
      <c r="EC53" s="330" t="s">
        <v>197</v>
      </c>
      <c r="ED53" s="338" t="s">
        <v>197</v>
      </c>
      <c r="EE53" s="330">
        <v>8</v>
      </c>
      <c r="EF53" s="330">
        <v>8</v>
      </c>
      <c r="EG53" s="330"/>
      <c r="EH53" s="330"/>
      <c r="EI53" s="330"/>
      <c r="EJ53" s="330"/>
      <c r="EK53" s="330"/>
      <c r="EL53" s="330"/>
      <c r="EM53" s="330"/>
      <c r="EN53" s="330"/>
      <c r="EO53" s="330"/>
      <c r="EP53" s="330"/>
      <c r="EQ53" s="332" t="s">
        <v>244</v>
      </c>
      <c r="ER53" s="330"/>
      <c r="ES53" s="330"/>
      <c r="ET53" s="332" t="s">
        <v>245</v>
      </c>
      <c r="EU53" s="332" t="s">
        <v>246</v>
      </c>
      <c r="EV53" s="336">
        <v>46092</v>
      </c>
      <c r="EW53" s="336">
        <v>46092</v>
      </c>
      <c r="EX53" s="330">
        <v>1</v>
      </c>
      <c r="EY53" s="330"/>
      <c r="EZ53" s="330" t="s">
        <v>201</v>
      </c>
      <c r="FA53" s="336">
        <v>46101</v>
      </c>
      <c r="FB53" s="330">
        <v>2</v>
      </c>
      <c r="FC53" s="330" t="s">
        <v>202</v>
      </c>
      <c r="FD53" s="332" t="s">
        <v>190</v>
      </c>
      <c r="FE53" s="336">
        <v>46104</v>
      </c>
      <c r="FF53" s="330"/>
      <c r="FG53" s="330" t="s">
        <v>203</v>
      </c>
      <c r="FH53" s="330" t="s">
        <v>291</v>
      </c>
      <c r="FI53" s="330" t="s">
        <v>204</v>
      </c>
      <c r="FJ53" s="330"/>
      <c r="FK53" s="330" t="s">
        <v>230</v>
      </c>
      <c r="FL53" s="330" t="s">
        <v>192</v>
      </c>
      <c r="FM53" s="330" t="s">
        <v>191</v>
      </c>
      <c r="FN53" s="330" t="s">
        <v>667</v>
      </c>
      <c r="FO53" s="330"/>
      <c r="FP53" s="330" t="s">
        <v>459</v>
      </c>
      <c r="FQ53" s="330"/>
      <c r="FR53" s="330"/>
      <c r="FS53" s="330"/>
      <c r="FT53" s="330"/>
      <c r="FU53" s="330"/>
    </row>
    <row r="54" spans="1:177" ht="38.25" x14ac:dyDescent="0.25">
      <c r="A54" s="330">
        <v>53</v>
      </c>
      <c r="B54" s="331" t="s">
        <v>668</v>
      </c>
      <c r="C54" s="330"/>
      <c r="D54" s="332" t="s">
        <v>228</v>
      </c>
      <c r="E54" s="332" t="s">
        <v>229</v>
      </c>
      <c r="F54" s="332" t="s">
        <v>230</v>
      </c>
      <c r="G54" s="330" t="s">
        <v>231</v>
      </c>
      <c r="H54" s="331"/>
      <c r="I54" s="330"/>
      <c r="J54" s="332"/>
      <c r="K54" s="332" t="s">
        <v>669</v>
      </c>
      <c r="L54" s="330"/>
      <c r="M54" s="332"/>
      <c r="N54" s="330" t="s">
        <v>670</v>
      </c>
      <c r="O54" s="339">
        <v>0.481938966161511</v>
      </c>
      <c r="P54" s="333">
        <v>9286</v>
      </c>
      <c r="Q54" s="333">
        <v>19268</v>
      </c>
      <c r="R54" s="333">
        <v>1</v>
      </c>
      <c r="S54" s="333">
        <v>1</v>
      </c>
      <c r="T54" s="333">
        <v>0</v>
      </c>
      <c r="U54" s="333">
        <v>0</v>
      </c>
      <c r="V54" s="333">
        <v>0</v>
      </c>
      <c r="W54" s="330" t="s">
        <v>671</v>
      </c>
      <c r="X54" s="330" t="s">
        <v>672</v>
      </c>
      <c r="Y54" s="332" t="s">
        <v>299</v>
      </c>
      <c r="Z54" s="330" t="s">
        <v>215</v>
      </c>
      <c r="AA54" s="330" t="s">
        <v>673</v>
      </c>
      <c r="AB54" s="330" t="s">
        <v>217</v>
      </c>
      <c r="AC54" s="330"/>
      <c r="AD54" s="330"/>
      <c r="AE54" s="330">
        <v>34</v>
      </c>
      <c r="AF54" s="330">
        <v>-183</v>
      </c>
      <c r="AG54" s="332" t="s">
        <v>238</v>
      </c>
      <c r="AH54" s="332" t="s">
        <v>191</v>
      </c>
      <c r="AI54" s="330"/>
      <c r="AJ54" s="330"/>
      <c r="AK54" s="330"/>
      <c r="AL54" s="330"/>
      <c r="AM54" s="330"/>
      <c r="AN54" s="330" t="s">
        <v>674</v>
      </c>
      <c r="AO54" s="330" t="b">
        <v>1</v>
      </c>
      <c r="AP54" s="332" t="s">
        <v>239</v>
      </c>
      <c r="AQ54" s="330"/>
      <c r="AR54" s="330"/>
      <c r="AS54" s="330"/>
      <c r="AT54" s="330"/>
      <c r="AU54" s="332" t="s">
        <v>471</v>
      </c>
      <c r="AV54" s="334">
        <v>45874.264194467592</v>
      </c>
      <c r="AW54" s="330"/>
      <c r="AX54" s="335">
        <v>45874</v>
      </c>
      <c r="AY54" s="336">
        <v>45874</v>
      </c>
      <c r="AZ54" s="330"/>
      <c r="BA54" s="336">
        <v>45874</v>
      </c>
      <c r="BB54" s="330"/>
      <c r="BC54" s="336">
        <v>45883</v>
      </c>
      <c r="BD54" s="330"/>
      <c r="BE54" s="336">
        <v>45883</v>
      </c>
      <c r="BF54" s="330"/>
      <c r="BG54" s="330"/>
      <c r="BH54" s="330" t="s">
        <v>193</v>
      </c>
      <c r="BI54" s="330"/>
      <c r="BJ54" s="330"/>
      <c r="BK54" s="330"/>
      <c r="BL54" s="330"/>
      <c r="BM54" s="332"/>
      <c r="BN54" s="330"/>
      <c r="BO54" s="330"/>
      <c r="BP54" s="330"/>
      <c r="BQ54" s="330"/>
      <c r="BR54" s="330"/>
      <c r="BS54" s="330"/>
      <c r="BT54" s="330"/>
      <c r="BU54" s="330"/>
      <c r="BV54" s="330"/>
      <c r="BW54" s="330"/>
      <c r="BX54" s="332" t="s">
        <v>675</v>
      </c>
      <c r="BY54" s="330" t="s">
        <v>4093</v>
      </c>
      <c r="BZ54" s="330" t="s">
        <v>676</v>
      </c>
      <c r="CA54" s="330"/>
      <c r="CB54" s="330" t="s">
        <v>677</v>
      </c>
      <c r="CC54" s="337" t="s">
        <v>241</v>
      </c>
      <c r="CD54" s="330"/>
      <c r="CE54" s="330"/>
      <c r="CF54" s="330" t="b">
        <v>1</v>
      </c>
      <c r="CG54" s="330" t="s">
        <v>242</v>
      </c>
      <c r="CH54" s="330"/>
      <c r="CI54" s="330"/>
      <c r="CJ54" s="330"/>
      <c r="CK54" s="330"/>
      <c r="CL54" s="330"/>
      <c r="CM54" s="330"/>
      <c r="CN54" s="330"/>
      <c r="CO54" s="330"/>
      <c r="CP54" s="330"/>
      <c r="CQ54" s="330"/>
      <c r="CR54" s="330"/>
      <c r="CS54" s="330"/>
      <c r="CT54" s="330"/>
      <c r="CU54" s="330"/>
      <c r="CV54" s="330"/>
      <c r="CW54" s="330"/>
      <c r="CX54" s="330"/>
      <c r="CY54" s="330"/>
      <c r="CZ54" s="330"/>
      <c r="DA54" s="330"/>
      <c r="DB54" s="330" t="b">
        <v>1</v>
      </c>
      <c r="DC54" s="330" t="b">
        <v>1</v>
      </c>
      <c r="DD54" s="330"/>
      <c r="DE54" s="330"/>
      <c r="DF54" s="338">
        <v>24051</v>
      </c>
      <c r="DG54" s="330"/>
      <c r="DH54" s="330" t="s">
        <v>678</v>
      </c>
      <c r="DI54" s="338">
        <v>11</v>
      </c>
      <c r="DJ54" s="330" t="s">
        <v>679</v>
      </c>
      <c r="DK54" s="330">
        <v>11</v>
      </c>
      <c r="DL54" s="330" t="s">
        <v>4184</v>
      </c>
      <c r="DM54" s="330"/>
      <c r="DN54" s="330"/>
      <c r="DO54" s="330"/>
      <c r="DP54" s="330"/>
      <c r="DQ54" s="338" t="s">
        <v>197</v>
      </c>
      <c r="DR54" s="330"/>
      <c r="DS54" s="330"/>
      <c r="DT54" s="330"/>
      <c r="DU54" s="338" t="s">
        <v>197</v>
      </c>
      <c r="DV54" s="330"/>
      <c r="DW54" s="330"/>
      <c r="DX54" s="330"/>
      <c r="DY54" s="338" t="s">
        <v>197</v>
      </c>
      <c r="DZ54" s="330"/>
      <c r="EA54" s="330"/>
      <c r="EB54" s="330"/>
      <c r="EC54" s="330" t="s">
        <v>197</v>
      </c>
      <c r="ED54" s="338" t="s">
        <v>197</v>
      </c>
      <c r="EE54" s="330"/>
      <c r="EF54" s="330"/>
      <c r="EG54" s="330"/>
      <c r="EH54" s="330"/>
      <c r="EI54" s="330"/>
      <c r="EJ54" s="330"/>
      <c r="EK54" s="330"/>
      <c r="EL54" s="330"/>
      <c r="EM54" s="330"/>
      <c r="EN54" s="330"/>
      <c r="EO54" s="330"/>
      <c r="EP54" s="330"/>
      <c r="EQ54" s="332"/>
      <c r="ER54" s="330"/>
      <c r="ES54" s="330"/>
      <c r="ET54" s="332" t="s">
        <v>245</v>
      </c>
      <c r="EU54" s="332" t="s">
        <v>246</v>
      </c>
      <c r="EV54" s="336">
        <v>45874</v>
      </c>
      <c r="EW54" s="330"/>
      <c r="EX54" s="330" t="s">
        <v>4094</v>
      </c>
      <c r="EY54" s="330"/>
      <c r="EZ54" s="330" t="s">
        <v>201</v>
      </c>
      <c r="FA54" s="336">
        <v>45878</v>
      </c>
      <c r="FB54" s="330">
        <v>4</v>
      </c>
      <c r="FC54" s="330" t="s">
        <v>202</v>
      </c>
      <c r="FD54" s="332" t="s">
        <v>190</v>
      </c>
      <c r="FE54" s="336">
        <v>45883</v>
      </c>
      <c r="FF54" s="330"/>
      <c r="FG54" s="330" t="s">
        <v>681</v>
      </c>
      <c r="FH54" s="330" t="s">
        <v>682</v>
      </c>
      <c r="FI54" s="330" t="s">
        <v>204</v>
      </c>
      <c r="FJ54" s="330"/>
      <c r="FK54" s="330" t="s">
        <v>230</v>
      </c>
      <c r="FL54" s="330"/>
      <c r="FM54" s="330"/>
      <c r="FN54" s="330" t="s">
        <v>683</v>
      </c>
      <c r="FO54" s="330"/>
      <c r="FP54" s="330" t="s">
        <v>684</v>
      </c>
      <c r="FQ54" s="330"/>
      <c r="FR54" s="330"/>
      <c r="FS54" s="330"/>
      <c r="FT54" s="330"/>
      <c r="FU54" s="330"/>
    </row>
    <row r="55" spans="1:177" ht="38.25" x14ac:dyDescent="0.25">
      <c r="A55" s="330">
        <v>54</v>
      </c>
      <c r="B55" s="331" t="s">
        <v>685</v>
      </c>
      <c r="C55" s="330"/>
      <c r="D55" s="332" t="s">
        <v>228</v>
      </c>
      <c r="E55" s="332" t="s">
        <v>229</v>
      </c>
      <c r="F55" s="332" t="s">
        <v>230</v>
      </c>
      <c r="G55" s="330" t="s">
        <v>231</v>
      </c>
      <c r="H55" s="331"/>
      <c r="I55" s="330"/>
      <c r="J55" s="332"/>
      <c r="K55" s="332" t="s">
        <v>686</v>
      </c>
      <c r="L55" s="330"/>
      <c r="M55" s="332"/>
      <c r="N55" s="330" t="s">
        <v>687</v>
      </c>
      <c r="O55" s="339">
        <v>0.48629852605356</v>
      </c>
      <c r="P55" s="333">
        <v>9370</v>
      </c>
      <c r="Q55" s="333">
        <v>19268</v>
      </c>
      <c r="R55" s="333">
        <v>84</v>
      </c>
      <c r="S55" s="333">
        <v>84</v>
      </c>
      <c r="T55" s="333">
        <v>10</v>
      </c>
      <c r="U55" s="333">
        <v>588</v>
      </c>
      <c r="V55" s="333">
        <v>0</v>
      </c>
      <c r="W55" s="330" t="s">
        <v>601</v>
      </c>
      <c r="X55" s="330" t="s">
        <v>688</v>
      </c>
      <c r="Y55" s="332" t="s">
        <v>383</v>
      </c>
      <c r="Z55" s="330"/>
      <c r="AA55" s="330"/>
      <c r="AB55" s="330"/>
      <c r="AC55" s="330"/>
      <c r="AD55" s="330"/>
      <c r="AE55" s="330">
        <v>34</v>
      </c>
      <c r="AF55" s="330">
        <v>-183</v>
      </c>
      <c r="AG55" s="332" t="s">
        <v>238</v>
      </c>
      <c r="AH55" s="332" t="s">
        <v>191</v>
      </c>
      <c r="AI55" s="330"/>
      <c r="AJ55" s="330"/>
      <c r="AK55" s="330"/>
      <c r="AL55" s="330"/>
      <c r="AM55" s="330"/>
      <c r="AN55" s="330" t="s">
        <v>674</v>
      </c>
      <c r="AO55" s="330"/>
      <c r="AP55" s="332" t="s">
        <v>239</v>
      </c>
      <c r="AQ55" s="330"/>
      <c r="AR55" s="330"/>
      <c r="AS55" s="330" t="b">
        <v>1</v>
      </c>
      <c r="AT55" s="330"/>
      <c r="AU55" s="332" t="s">
        <v>192</v>
      </c>
      <c r="AV55" s="334">
        <v>45874.282389351851</v>
      </c>
      <c r="AW55" s="330"/>
      <c r="AX55" s="335">
        <v>45874</v>
      </c>
      <c r="AY55" s="336">
        <v>45874</v>
      </c>
      <c r="AZ55" s="330"/>
      <c r="BA55" s="336">
        <v>45874</v>
      </c>
      <c r="BB55" s="330"/>
      <c r="BC55" s="330"/>
      <c r="BD55" s="330"/>
      <c r="BE55" s="330"/>
      <c r="BF55" s="330"/>
      <c r="BG55" s="330"/>
      <c r="BH55" s="330"/>
      <c r="BI55" s="330"/>
      <c r="BJ55" s="330"/>
      <c r="BK55" s="330"/>
      <c r="BL55" s="330"/>
      <c r="BM55" s="332"/>
      <c r="BN55" s="330"/>
      <c r="BO55" s="330"/>
      <c r="BP55" s="330"/>
      <c r="BQ55" s="330"/>
      <c r="BR55" s="330"/>
      <c r="BS55" s="330"/>
      <c r="BT55" s="330"/>
      <c r="BU55" s="330"/>
      <c r="BV55" s="330"/>
      <c r="BW55" s="330"/>
      <c r="BX55" s="332" t="s">
        <v>689</v>
      </c>
      <c r="BY55" s="330" t="s">
        <v>690</v>
      </c>
      <c r="BZ55" s="330" t="s">
        <v>691</v>
      </c>
      <c r="CA55" s="330"/>
      <c r="CB55" s="330" t="s">
        <v>677</v>
      </c>
      <c r="CC55" s="337" t="s">
        <v>241</v>
      </c>
      <c r="CD55" s="330"/>
      <c r="CE55" s="330"/>
      <c r="CF55" s="330" t="b">
        <v>1</v>
      </c>
      <c r="CG55" s="330" t="s">
        <v>242</v>
      </c>
      <c r="CH55" s="330"/>
      <c r="CI55" s="330"/>
      <c r="CJ55" s="330"/>
      <c r="CK55" s="330"/>
      <c r="CL55" s="330"/>
      <c r="CM55" s="330"/>
      <c r="CN55" s="330"/>
      <c r="CO55" s="330"/>
      <c r="CP55" s="330"/>
      <c r="CQ55" s="330"/>
      <c r="CR55" s="330"/>
      <c r="CS55" s="330"/>
      <c r="CT55" s="330"/>
      <c r="CU55" s="330"/>
      <c r="CV55" s="330"/>
      <c r="CW55" s="330"/>
      <c r="CX55" s="330"/>
      <c r="CY55" s="330"/>
      <c r="CZ55" s="330"/>
      <c r="DA55" s="330"/>
      <c r="DB55" s="330" t="b">
        <v>1</v>
      </c>
      <c r="DC55" s="330" t="b">
        <v>1</v>
      </c>
      <c r="DD55" s="330"/>
      <c r="DE55" s="330"/>
      <c r="DF55" s="338">
        <v>24051</v>
      </c>
      <c r="DG55" s="330"/>
      <c r="DH55" s="330" t="s">
        <v>678</v>
      </c>
      <c r="DI55" s="338">
        <v>13</v>
      </c>
      <c r="DJ55" s="330" t="s">
        <v>679</v>
      </c>
      <c r="DK55" s="330">
        <v>13</v>
      </c>
      <c r="DL55" s="330" t="s">
        <v>4184</v>
      </c>
      <c r="DM55" s="330"/>
      <c r="DN55" s="330"/>
      <c r="DO55" s="330"/>
      <c r="DP55" s="330"/>
      <c r="DQ55" s="338" t="s">
        <v>197</v>
      </c>
      <c r="DR55" s="330"/>
      <c r="DS55" s="330"/>
      <c r="DT55" s="330"/>
      <c r="DU55" s="338" t="s">
        <v>197</v>
      </c>
      <c r="DV55" s="330"/>
      <c r="DW55" s="330"/>
      <c r="DX55" s="330"/>
      <c r="DY55" s="338" t="s">
        <v>197</v>
      </c>
      <c r="DZ55" s="330"/>
      <c r="EA55" s="330"/>
      <c r="EB55" s="330"/>
      <c r="EC55" s="330" t="s">
        <v>197</v>
      </c>
      <c r="ED55" s="338" t="s">
        <v>197</v>
      </c>
      <c r="EE55" s="330"/>
      <c r="EF55" s="330"/>
      <c r="EG55" s="330"/>
      <c r="EH55" s="330"/>
      <c r="EI55" s="330"/>
      <c r="EJ55" s="330"/>
      <c r="EK55" s="330"/>
      <c r="EL55" s="330"/>
      <c r="EM55" s="330"/>
      <c r="EN55" s="330"/>
      <c r="EO55" s="330"/>
      <c r="EP55" s="330"/>
      <c r="EQ55" s="332"/>
      <c r="ER55" s="330"/>
      <c r="ES55" s="330"/>
      <c r="ET55" s="332" t="s">
        <v>245</v>
      </c>
      <c r="EU55" s="332" t="s">
        <v>246</v>
      </c>
      <c r="EV55" s="336">
        <v>45874</v>
      </c>
      <c r="EW55" s="336">
        <v>45874</v>
      </c>
      <c r="EX55" s="330">
        <v>1</v>
      </c>
      <c r="EY55" s="330"/>
      <c r="EZ55" s="330" t="s">
        <v>201</v>
      </c>
      <c r="FA55" s="336">
        <v>45889</v>
      </c>
      <c r="FB55" s="330">
        <v>4</v>
      </c>
      <c r="FC55" s="330" t="s">
        <v>202</v>
      </c>
      <c r="FD55" s="332" t="s">
        <v>190</v>
      </c>
      <c r="FE55" s="336">
        <v>45894</v>
      </c>
      <c r="FF55" s="330"/>
      <c r="FG55" s="330" t="s">
        <v>681</v>
      </c>
      <c r="FH55" s="330" t="s">
        <v>692</v>
      </c>
      <c r="FI55" s="330" t="s">
        <v>204</v>
      </c>
      <c r="FJ55" s="330"/>
      <c r="FK55" s="330" t="s">
        <v>230</v>
      </c>
      <c r="FL55" s="330"/>
      <c r="FM55" s="330"/>
      <c r="FN55" s="330" t="s">
        <v>693</v>
      </c>
      <c r="FO55" s="330"/>
      <c r="FP55" s="330" t="s">
        <v>694</v>
      </c>
      <c r="FQ55" s="330"/>
      <c r="FR55" s="330"/>
      <c r="FS55" s="330"/>
      <c r="FT55" s="330"/>
      <c r="FU55" s="330"/>
    </row>
    <row r="56" spans="1:177" ht="38.25" x14ac:dyDescent="0.25">
      <c r="A56" s="330">
        <v>55</v>
      </c>
      <c r="B56" s="331" t="s">
        <v>695</v>
      </c>
      <c r="C56" s="330"/>
      <c r="D56" s="332" t="s">
        <v>228</v>
      </c>
      <c r="E56" s="332" t="s">
        <v>229</v>
      </c>
      <c r="F56" s="332" t="s">
        <v>230</v>
      </c>
      <c r="G56" s="330" t="s">
        <v>231</v>
      </c>
      <c r="H56" s="331"/>
      <c r="I56" s="330"/>
      <c r="J56" s="332"/>
      <c r="K56" s="332" t="s">
        <v>686</v>
      </c>
      <c r="L56" s="330"/>
      <c r="M56" s="332"/>
      <c r="N56" s="330" t="s">
        <v>696</v>
      </c>
      <c r="O56" s="339">
        <v>0.48754411459414598</v>
      </c>
      <c r="P56" s="333">
        <v>9394</v>
      </c>
      <c r="Q56" s="333">
        <v>19268</v>
      </c>
      <c r="R56" s="333">
        <v>24</v>
      </c>
      <c r="S56" s="333">
        <v>24</v>
      </c>
      <c r="T56" s="333">
        <v>2</v>
      </c>
      <c r="U56" s="333">
        <v>144</v>
      </c>
      <c r="V56" s="333">
        <v>0</v>
      </c>
      <c r="W56" s="330" t="s">
        <v>697</v>
      </c>
      <c r="X56" s="330" t="s">
        <v>698</v>
      </c>
      <c r="Y56" s="332" t="s">
        <v>383</v>
      </c>
      <c r="Z56" s="330"/>
      <c r="AA56" s="330"/>
      <c r="AB56" s="330"/>
      <c r="AC56" s="330"/>
      <c r="AD56" s="330"/>
      <c r="AE56" s="330">
        <v>34</v>
      </c>
      <c r="AF56" s="330">
        <v>-183</v>
      </c>
      <c r="AG56" s="332" t="s">
        <v>238</v>
      </c>
      <c r="AH56" s="332" t="s">
        <v>191</v>
      </c>
      <c r="AI56" s="330"/>
      <c r="AJ56" s="330"/>
      <c r="AK56" s="330"/>
      <c r="AL56" s="330"/>
      <c r="AM56" s="330"/>
      <c r="AN56" s="330" t="s">
        <v>674</v>
      </c>
      <c r="AO56" s="330"/>
      <c r="AP56" s="332" t="s">
        <v>239</v>
      </c>
      <c r="AQ56" s="330"/>
      <c r="AR56" s="330"/>
      <c r="AS56" s="330" t="b">
        <v>1</v>
      </c>
      <c r="AT56" s="330"/>
      <c r="AU56" s="332" t="s">
        <v>192</v>
      </c>
      <c r="AV56" s="334">
        <v>45874.284190289349</v>
      </c>
      <c r="AW56" s="330"/>
      <c r="AX56" s="335">
        <v>45874</v>
      </c>
      <c r="AY56" s="336">
        <v>45874</v>
      </c>
      <c r="AZ56" s="330"/>
      <c r="BA56" s="336">
        <v>45874</v>
      </c>
      <c r="BB56" s="330"/>
      <c r="BC56" s="330"/>
      <c r="BD56" s="330"/>
      <c r="BE56" s="330"/>
      <c r="BF56" s="330"/>
      <c r="BG56" s="330"/>
      <c r="BH56" s="330"/>
      <c r="BI56" s="330"/>
      <c r="BJ56" s="330"/>
      <c r="BK56" s="330"/>
      <c r="BL56" s="330"/>
      <c r="BM56" s="332"/>
      <c r="BN56" s="330"/>
      <c r="BO56" s="330"/>
      <c r="BP56" s="330"/>
      <c r="BQ56" s="330"/>
      <c r="BR56" s="330"/>
      <c r="BS56" s="330"/>
      <c r="BT56" s="330"/>
      <c r="BU56" s="330"/>
      <c r="BV56" s="330"/>
      <c r="BW56" s="330"/>
      <c r="BX56" s="332" t="s">
        <v>689</v>
      </c>
      <c r="BY56" s="330" t="s">
        <v>699</v>
      </c>
      <c r="BZ56" s="330" t="s">
        <v>691</v>
      </c>
      <c r="CA56" s="330"/>
      <c r="CB56" s="330" t="s">
        <v>677</v>
      </c>
      <c r="CC56" s="337" t="s">
        <v>241</v>
      </c>
      <c r="CD56" s="330"/>
      <c r="CE56" s="330"/>
      <c r="CF56" s="330" t="b">
        <v>1</v>
      </c>
      <c r="CG56" s="330" t="s">
        <v>242</v>
      </c>
      <c r="CH56" s="330"/>
      <c r="CI56" s="330"/>
      <c r="CJ56" s="330"/>
      <c r="CK56" s="330"/>
      <c r="CL56" s="330"/>
      <c r="CM56" s="330"/>
      <c r="CN56" s="330"/>
      <c r="CO56" s="330"/>
      <c r="CP56" s="330"/>
      <c r="CQ56" s="330"/>
      <c r="CR56" s="330"/>
      <c r="CS56" s="330"/>
      <c r="CT56" s="330"/>
      <c r="CU56" s="330"/>
      <c r="CV56" s="330"/>
      <c r="CW56" s="330"/>
      <c r="CX56" s="330"/>
      <c r="CY56" s="330"/>
      <c r="CZ56" s="330"/>
      <c r="DA56" s="330"/>
      <c r="DB56" s="330" t="b">
        <v>1</v>
      </c>
      <c r="DC56" s="330" t="b">
        <v>1</v>
      </c>
      <c r="DD56" s="330"/>
      <c r="DE56" s="330"/>
      <c r="DF56" s="338">
        <v>24051</v>
      </c>
      <c r="DG56" s="330"/>
      <c r="DH56" s="330" t="s">
        <v>678</v>
      </c>
      <c r="DI56" s="338">
        <v>14</v>
      </c>
      <c r="DJ56" s="330" t="s">
        <v>679</v>
      </c>
      <c r="DK56" s="330">
        <v>14</v>
      </c>
      <c r="DL56" s="330" t="s">
        <v>4184</v>
      </c>
      <c r="DM56" s="330"/>
      <c r="DN56" s="330"/>
      <c r="DO56" s="330"/>
      <c r="DP56" s="330"/>
      <c r="DQ56" s="338" t="s">
        <v>197</v>
      </c>
      <c r="DR56" s="330"/>
      <c r="DS56" s="330"/>
      <c r="DT56" s="330"/>
      <c r="DU56" s="338" t="s">
        <v>197</v>
      </c>
      <c r="DV56" s="330"/>
      <c r="DW56" s="330"/>
      <c r="DX56" s="330"/>
      <c r="DY56" s="338" t="s">
        <v>197</v>
      </c>
      <c r="DZ56" s="330"/>
      <c r="EA56" s="330"/>
      <c r="EB56" s="330"/>
      <c r="EC56" s="330" t="s">
        <v>197</v>
      </c>
      <c r="ED56" s="338" t="s">
        <v>197</v>
      </c>
      <c r="EE56" s="330"/>
      <c r="EF56" s="330"/>
      <c r="EG56" s="330"/>
      <c r="EH56" s="330"/>
      <c r="EI56" s="330"/>
      <c r="EJ56" s="330"/>
      <c r="EK56" s="330"/>
      <c r="EL56" s="330"/>
      <c r="EM56" s="330"/>
      <c r="EN56" s="330"/>
      <c r="EO56" s="330"/>
      <c r="EP56" s="330"/>
      <c r="EQ56" s="332"/>
      <c r="ER56" s="330"/>
      <c r="ES56" s="330"/>
      <c r="ET56" s="332" t="s">
        <v>245</v>
      </c>
      <c r="EU56" s="332" t="s">
        <v>246</v>
      </c>
      <c r="EV56" s="336">
        <v>45874</v>
      </c>
      <c r="EW56" s="336">
        <v>45874</v>
      </c>
      <c r="EX56" s="330">
        <v>1</v>
      </c>
      <c r="EY56" s="330"/>
      <c r="EZ56" s="330" t="s">
        <v>201</v>
      </c>
      <c r="FA56" s="336">
        <v>45891</v>
      </c>
      <c r="FB56" s="330">
        <v>2</v>
      </c>
      <c r="FC56" s="330" t="s">
        <v>202</v>
      </c>
      <c r="FD56" s="332" t="s">
        <v>190</v>
      </c>
      <c r="FE56" s="336">
        <v>45894</v>
      </c>
      <c r="FF56" s="330"/>
      <c r="FG56" s="330" t="s">
        <v>681</v>
      </c>
      <c r="FH56" s="330" t="s">
        <v>700</v>
      </c>
      <c r="FI56" s="330" t="s">
        <v>204</v>
      </c>
      <c r="FJ56" s="330"/>
      <c r="FK56" s="330" t="s">
        <v>230</v>
      </c>
      <c r="FL56" s="330"/>
      <c r="FM56" s="330"/>
      <c r="FN56" s="330" t="s">
        <v>701</v>
      </c>
      <c r="FO56" s="330"/>
      <c r="FP56" s="330" t="s">
        <v>694</v>
      </c>
      <c r="FQ56" s="330"/>
      <c r="FR56" s="330"/>
      <c r="FS56" s="330"/>
      <c r="FT56" s="330"/>
      <c r="FU56" s="330"/>
    </row>
    <row r="57" spans="1:177" ht="38.25" x14ac:dyDescent="0.25">
      <c r="A57" s="330">
        <v>56</v>
      </c>
      <c r="B57" s="331" t="s">
        <v>702</v>
      </c>
      <c r="C57" s="330"/>
      <c r="D57" s="332" t="s">
        <v>228</v>
      </c>
      <c r="E57" s="332" t="s">
        <v>229</v>
      </c>
      <c r="F57" s="332" t="s">
        <v>230</v>
      </c>
      <c r="G57" s="330" t="s">
        <v>231</v>
      </c>
      <c r="H57" s="331"/>
      <c r="I57" s="330"/>
      <c r="J57" s="332"/>
      <c r="K57" s="332" t="s">
        <v>686</v>
      </c>
      <c r="L57" s="330"/>
      <c r="M57" s="332"/>
      <c r="N57" s="330" t="s">
        <v>703</v>
      </c>
      <c r="O57" s="339">
        <v>0.49252646875648698</v>
      </c>
      <c r="P57" s="333">
        <v>9490</v>
      </c>
      <c r="Q57" s="333">
        <v>19268</v>
      </c>
      <c r="R57" s="333">
        <v>96</v>
      </c>
      <c r="S57" s="333">
        <v>96</v>
      </c>
      <c r="T57" s="333">
        <v>2</v>
      </c>
      <c r="U57" s="333">
        <v>576</v>
      </c>
      <c r="V57" s="333">
        <v>0</v>
      </c>
      <c r="W57" s="330" t="s">
        <v>276</v>
      </c>
      <c r="X57" s="330" t="s">
        <v>704</v>
      </c>
      <c r="Y57" s="332" t="s">
        <v>383</v>
      </c>
      <c r="Z57" s="330"/>
      <c r="AA57" s="330"/>
      <c r="AB57" s="330"/>
      <c r="AC57" s="330"/>
      <c r="AD57" s="330"/>
      <c r="AE57" s="330">
        <v>34</v>
      </c>
      <c r="AF57" s="330">
        <v>-183</v>
      </c>
      <c r="AG57" s="332" t="s">
        <v>238</v>
      </c>
      <c r="AH57" s="332" t="s">
        <v>191</v>
      </c>
      <c r="AI57" s="330"/>
      <c r="AJ57" s="330"/>
      <c r="AK57" s="330"/>
      <c r="AL57" s="330"/>
      <c r="AM57" s="330"/>
      <c r="AN57" s="330" t="s">
        <v>674</v>
      </c>
      <c r="AO57" s="330"/>
      <c r="AP57" s="332" t="s">
        <v>239</v>
      </c>
      <c r="AQ57" s="330"/>
      <c r="AR57" s="330"/>
      <c r="AS57" s="330" t="b">
        <v>1</v>
      </c>
      <c r="AT57" s="330"/>
      <c r="AU57" s="332" t="s">
        <v>192</v>
      </c>
      <c r="AV57" s="334">
        <v>45874.285597696762</v>
      </c>
      <c r="AW57" s="330"/>
      <c r="AX57" s="335">
        <v>45874</v>
      </c>
      <c r="AY57" s="336">
        <v>45874</v>
      </c>
      <c r="AZ57" s="330"/>
      <c r="BA57" s="336">
        <v>45874</v>
      </c>
      <c r="BB57" s="330"/>
      <c r="BC57" s="330"/>
      <c r="BD57" s="330"/>
      <c r="BE57" s="330"/>
      <c r="BF57" s="330"/>
      <c r="BG57" s="330"/>
      <c r="BH57" s="330"/>
      <c r="BI57" s="330"/>
      <c r="BJ57" s="330"/>
      <c r="BK57" s="330"/>
      <c r="BL57" s="330"/>
      <c r="BM57" s="332"/>
      <c r="BN57" s="330"/>
      <c r="BO57" s="330"/>
      <c r="BP57" s="330"/>
      <c r="BQ57" s="330"/>
      <c r="BR57" s="330"/>
      <c r="BS57" s="330"/>
      <c r="BT57" s="330"/>
      <c r="BU57" s="330"/>
      <c r="BV57" s="330"/>
      <c r="BW57" s="330"/>
      <c r="BX57" s="332" t="s">
        <v>689</v>
      </c>
      <c r="BY57" s="330" t="s">
        <v>705</v>
      </c>
      <c r="BZ57" s="330" t="s">
        <v>691</v>
      </c>
      <c r="CA57" s="330"/>
      <c r="CB57" s="330" t="s">
        <v>677</v>
      </c>
      <c r="CC57" s="337" t="s">
        <v>241</v>
      </c>
      <c r="CD57" s="330"/>
      <c r="CE57" s="330"/>
      <c r="CF57" s="330" t="b">
        <v>1</v>
      </c>
      <c r="CG57" s="330" t="s">
        <v>242</v>
      </c>
      <c r="CH57" s="330"/>
      <c r="CI57" s="330"/>
      <c r="CJ57" s="330"/>
      <c r="CK57" s="330"/>
      <c r="CL57" s="330"/>
      <c r="CM57" s="330"/>
      <c r="CN57" s="330"/>
      <c r="CO57" s="330"/>
      <c r="CP57" s="330"/>
      <c r="CQ57" s="330"/>
      <c r="CR57" s="330"/>
      <c r="CS57" s="330"/>
      <c r="CT57" s="330"/>
      <c r="CU57" s="330"/>
      <c r="CV57" s="330"/>
      <c r="CW57" s="330"/>
      <c r="CX57" s="330"/>
      <c r="CY57" s="330"/>
      <c r="CZ57" s="330"/>
      <c r="DA57" s="330"/>
      <c r="DB57" s="330" t="b">
        <v>1</v>
      </c>
      <c r="DC57" s="330" t="b">
        <v>1</v>
      </c>
      <c r="DD57" s="330"/>
      <c r="DE57" s="330"/>
      <c r="DF57" s="338">
        <v>24051</v>
      </c>
      <c r="DG57" s="330"/>
      <c r="DH57" s="330" t="s">
        <v>678</v>
      </c>
      <c r="DI57" s="338">
        <v>15</v>
      </c>
      <c r="DJ57" s="330" t="s">
        <v>679</v>
      </c>
      <c r="DK57" s="330">
        <v>15</v>
      </c>
      <c r="DL57" s="330" t="s">
        <v>4184</v>
      </c>
      <c r="DM57" s="330"/>
      <c r="DN57" s="330"/>
      <c r="DO57" s="330"/>
      <c r="DP57" s="330"/>
      <c r="DQ57" s="338" t="s">
        <v>197</v>
      </c>
      <c r="DR57" s="330"/>
      <c r="DS57" s="330"/>
      <c r="DT57" s="330"/>
      <c r="DU57" s="338" t="s">
        <v>197</v>
      </c>
      <c r="DV57" s="330"/>
      <c r="DW57" s="330"/>
      <c r="DX57" s="330"/>
      <c r="DY57" s="338" t="s">
        <v>197</v>
      </c>
      <c r="DZ57" s="330"/>
      <c r="EA57" s="330"/>
      <c r="EB57" s="330"/>
      <c r="EC57" s="330" t="s">
        <v>197</v>
      </c>
      <c r="ED57" s="338" t="s">
        <v>197</v>
      </c>
      <c r="EE57" s="330"/>
      <c r="EF57" s="330"/>
      <c r="EG57" s="330"/>
      <c r="EH57" s="330"/>
      <c r="EI57" s="330"/>
      <c r="EJ57" s="330"/>
      <c r="EK57" s="330"/>
      <c r="EL57" s="330"/>
      <c r="EM57" s="330"/>
      <c r="EN57" s="330"/>
      <c r="EO57" s="330"/>
      <c r="EP57" s="330"/>
      <c r="EQ57" s="332"/>
      <c r="ER57" s="330"/>
      <c r="ES57" s="330"/>
      <c r="ET57" s="332" t="s">
        <v>245</v>
      </c>
      <c r="EU57" s="332" t="s">
        <v>246</v>
      </c>
      <c r="EV57" s="336">
        <v>45874</v>
      </c>
      <c r="EW57" s="336">
        <v>45874</v>
      </c>
      <c r="EX57" s="330">
        <v>1</v>
      </c>
      <c r="EY57" s="330"/>
      <c r="EZ57" s="330" t="s">
        <v>201</v>
      </c>
      <c r="FA57" s="336">
        <v>45891</v>
      </c>
      <c r="FB57" s="330">
        <v>1</v>
      </c>
      <c r="FC57" s="330" t="s">
        <v>202</v>
      </c>
      <c r="FD57" s="332" t="s">
        <v>190</v>
      </c>
      <c r="FE57" s="336">
        <v>45891</v>
      </c>
      <c r="FF57" s="330"/>
      <c r="FG57" s="330" t="s">
        <v>681</v>
      </c>
      <c r="FH57" s="330" t="s">
        <v>692</v>
      </c>
      <c r="FI57" s="330" t="s">
        <v>204</v>
      </c>
      <c r="FJ57" s="330"/>
      <c r="FK57" s="330" t="s">
        <v>230</v>
      </c>
      <c r="FL57" s="330"/>
      <c r="FM57" s="330"/>
      <c r="FN57" s="330" t="s">
        <v>706</v>
      </c>
      <c r="FO57" s="330"/>
      <c r="FP57" s="330" t="s">
        <v>694</v>
      </c>
      <c r="FQ57" s="330"/>
      <c r="FR57" s="330"/>
      <c r="FS57" s="330"/>
      <c r="FT57" s="330"/>
      <c r="FU57" s="330"/>
    </row>
    <row r="58" spans="1:177" ht="51" x14ac:dyDescent="0.25">
      <c r="A58" s="330">
        <v>57</v>
      </c>
      <c r="B58" s="331" t="s">
        <v>707</v>
      </c>
      <c r="C58" s="330"/>
      <c r="D58" s="332" t="s">
        <v>228</v>
      </c>
      <c r="E58" s="332" t="s">
        <v>229</v>
      </c>
      <c r="F58" s="332" t="s">
        <v>230</v>
      </c>
      <c r="G58" s="330" t="s">
        <v>231</v>
      </c>
      <c r="H58" s="331"/>
      <c r="I58" s="330"/>
      <c r="J58" s="332"/>
      <c r="K58" s="332" t="s">
        <v>708</v>
      </c>
      <c r="L58" s="330"/>
      <c r="M58" s="332"/>
      <c r="N58" s="330" t="s">
        <v>709</v>
      </c>
      <c r="O58" s="339">
        <v>0.49278596636910899</v>
      </c>
      <c r="P58" s="333">
        <v>9495</v>
      </c>
      <c r="Q58" s="333">
        <v>19268</v>
      </c>
      <c r="R58" s="333">
        <v>5</v>
      </c>
      <c r="S58" s="333">
        <v>5</v>
      </c>
      <c r="T58" s="333">
        <v>4</v>
      </c>
      <c r="U58" s="333">
        <v>0</v>
      </c>
      <c r="V58" s="333">
        <v>0</v>
      </c>
      <c r="W58" s="330" t="s">
        <v>710</v>
      </c>
      <c r="X58" s="330" t="s">
        <v>711</v>
      </c>
      <c r="Y58" s="332" t="s">
        <v>383</v>
      </c>
      <c r="Z58" s="330"/>
      <c r="AA58" s="330"/>
      <c r="AB58" s="330"/>
      <c r="AC58" s="330"/>
      <c r="AD58" s="330"/>
      <c r="AE58" s="330">
        <v>39</v>
      </c>
      <c r="AF58" s="330">
        <v>-178</v>
      </c>
      <c r="AG58" s="332" t="s">
        <v>238</v>
      </c>
      <c r="AH58" s="332" t="s">
        <v>191</v>
      </c>
      <c r="AI58" s="330"/>
      <c r="AJ58" s="330"/>
      <c r="AK58" s="330"/>
      <c r="AL58" s="330"/>
      <c r="AM58" s="330"/>
      <c r="AN58" s="330" t="s">
        <v>674</v>
      </c>
      <c r="AO58" s="330"/>
      <c r="AP58" s="332" t="s">
        <v>259</v>
      </c>
      <c r="AQ58" s="330"/>
      <c r="AR58" s="330"/>
      <c r="AS58" s="330"/>
      <c r="AT58" s="330"/>
      <c r="AU58" s="332" t="s">
        <v>471</v>
      </c>
      <c r="AV58" s="334">
        <v>45881.299147604164</v>
      </c>
      <c r="AW58" s="330"/>
      <c r="AX58" s="335">
        <v>45881</v>
      </c>
      <c r="AY58" s="336">
        <v>45881</v>
      </c>
      <c r="AZ58" s="330"/>
      <c r="BA58" s="336">
        <v>45881</v>
      </c>
      <c r="BB58" s="330"/>
      <c r="BC58" s="336">
        <v>45894</v>
      </c>
      <c r="BD58" s="330"/>
      <c r="BE58" s="336">
        <v>45894</v>
      </c>
      <c r="BF58" s="330"/>
      <c r="BG58" s="330"/>
      <c r="BH58" s="330"/>
      <c r="BI58" s="330"/>
      <c r="BJ58" s="330"/>
      <c r="BK58" s="330"/>
      <c r="BL58" s="330"/>
      <c r="BM58" s="332"/>
      <c r="BN58" s="330"/>
      <c r="BO58" s="330"/>
      <c r="BP58" s="330"/>
      <c r="BQ58" s="330"/>
      <c r="BR58" s="330"/>
      <c r="BS58" s="330"/>
      <c r="BT58" s="330"/>
      <c r="BU58" s="330"/>
      <c r="BV58" s="330"/>
      <c r="BW58" s="330"/>
      <c r="BX58" s="332" t="s">
        <v>712</v>
      </c>
      <c r="BY58" s="330" t="s">
        <v>713</v>
      </c>
      <c r="BZ58" s="330" t="s">
        <v>714</v>
      </c>
      <c r="CA58" s="330"/>
      <c r="CB58" s="330" t="s">
        <v>677</v>
      </c>
      <c r="CC58" s="337" t="s">
        <v>241</v>
      </c>
      <c r="CD58" s="330"/>
      <c r="CE58" s="330"/>
      <c r="CF58" s="330" t="b">
        <v>1</v>
      </c>
      <c r="CG58" s="330" t="s">
        <v>242</v>
      </c>
      <c r="CH58" s="330"/>
      <c r="CI58" s="330"/>
      <c r="CJ58" s="330"/>
      <c r="CK58" s="330"/>
      <c r="CL58" s="330"/>
      <c r="CM58" s="330"/>
      <c r="CN58" s="330"/>
      <c r="CO58" s="330"/>
      <c r="CP58" s="330"/>
      <c r="CQ58" s="330"/>
      <c r="CR58" s="330"/>
      <c r="CS58" s="330"/>
      <c r="CT58" s="330"/>
      <c r="CU58" s="330"/>
      <c r="CV58" s="330"/>
      <c r="CW58" s="330"/>
      <c r="CX58" s="330"/>
      <c r="CY58" s="330"/>
      <c r="CZ58" s="330"/>
      <c r="DA58" s="330"/>
      <c r="DB58" s="330" t="b">
        <v>1</v>
      </c>
      <c r="DC58" s="330" t="b">
        <v>1</v>
      </c>
      <c r="DD58" s="330"/>
      <c r="DE58" s="330"/>
      <c r="DF58" s="338">
        <v>24051</v>
      </c>
      <c r="DG58" s="330"/>
      <c r="DH58" s="330" t="s">
        <v>678</v>
      </c>
      <c r="DI58" s="338">
        <v>16</v>
      </c>
      <c r="DJ58" s="330" t="s">
        <v>679</v>
      </c>
      <c r="DK58" s="330">
        <v>16</v>
      </c>
      <c r="DL58" s="330" t="s">
        <v>4184</v>
      </c>
      <c r="DM58" s="330"/>
      <c r="DN58" s="330"/>
      <c r="DO58" s="330"/>
      <c r="DP58" s="330"/>
      <c r="DQ58" s="338" t="s">
        <v>197</v>
      </c>
      <c r="DR58" s="330"/>
      <c r="DS58" s="330"/>
      <c r="DT58" s="330"/>
      <c r="DU58" s="338" t="s">
        <v>197</v>
      </c>
      <c r="DV58" s="330"/>
      <c r="DW58" s="330"/>
      <c r="DX58" s="330"/>
      <c r="DY58" s="338" t="s">
        <v>197</v>
      </c>
      <c r="DZ58" s="330"/>
      <c r="EA58" s="330"/>
      <c r="EB58" s="330"/>
      <c r="EC58" s="330" t="s">
        <v>197</v>
      </c>
      <c r="ED58" s="338" t="s">
        <v>197</v>
      </c>
      <c r="EE58" s="330"/>
      <c r="EF58" s="330"/>
      <c r="EG58" s="330"/>
      <c r="EH58" s="330"/>
      <c r="EI58" s="330"/>
      <c r="EJ58" s="330"/>
      <c r="EK58" s="330"/>
      <c r="EL58" s="330"/>
      <c r="EM58" s="330"/>
      <c r="EN58" s="330"/>
      <c r="EO58" s="330"/>
      <c r="EP58" s="330"/>
      <c r="EQ58" s="332"/>
      <c r="ER58" s="330"/>
      <c r="ES58" s="330"/>
      <c r="ET58" s="332" t="s">
        <v>245</v>
      </c>
      <c r="EU58" s="332" t="s">
        <v>246</v>
      </c>
      <c r="EV58" s="336">
        <v>45881</v>
      </c>
      <c r="EW58" s="330"/>
      <c r="EX58" s="330" t="s">
        <v>4095</v>
      </c>
      <c r="EY58" s="330"/>
      <c r="EZ58" s="330" t="s">
        <v>201</v>
      </c>
      <c r="FA58" s="336">
        <v>45890</v>
      </c>
      <c r="FB58" s="330">
        <v>3</v>
      </c>
      <c r="FC58" s="330" t="s">
        <v>202</v>
      </c>
      <c r="FD58" s="332" t="s">
        <v>190</v>
      </c>
      <c r="FE58" s="336">
        <v>45894</v>
      </c>
      <c r="FF58" s="330"/>
      <c r="FG58" s="330" t="s">
        <v>681</v>
      </c>
      <c r="FH58" s="330" t="s">
        <v>682</v>
      </c>
      <c r="FI58" s="330" t="s">
        <v>204</v>
      </c>
      <c r="FJ58" s="330"/>
      <c r="FK58" s="330" t="s">
        <v>230</v>
      </c>
      <c r="FL58" s="330"/>
      <c r="FM58" s="330"/>
      <c r="FN58" s="330" t="s">
        <v>715</v>
      </c>
      <c r="FO58" s="330"/>
      <c r="FP58" s="330" t="s">
        <v>716</v>
      </c>
      <c r="FQ58" s="330"/>
      <c r="FR58" s="330"/>
      <c r="FS58" s="330"/>
      <c r="FT58" s="330"/>
      <c r="FU58" s="330"/>
    </row>
    <row r="59" spans="1:177" ht="38.25" x14ac:dyDescent="0.25">
      <c r="A59" s="330">
        <v>58</v>
      </c>
      <c r="B59" s="331" t="s">
        <v>717</v>
      </c>
      <c r="C59" s="330"/>
      <c r="D59" s="332" t="s">
        <v>718</v>
      </c>
      <c r="E59" s="332" t="s">
        <v>229</v>
      </c>
      <c r="F59" s="332" t="s">
        <v>230</v>
      </c>
      <c r="G59" s="330" t="s">
        <v>231</v>
      </c>
      <c r="H59" s="331">
        <v>400</v>
      </c>
      <c r="I59" s="330"/>
      <c r="J59" s="332" t="s">
        <v>719</v>
      </c>
      <c r="K59" s="332"/>
      <c r="L59" s="330" t="s">
        <v>720</v>
      </c>
      <c r="M59" s="332"/>
      <c r="N59" s="330" t="s">
        <v>721</v>
      </c>
      <c r="O59" s="333" t="s">
        <v>184</v>
      </c>
      <c r="P59" s="333" t="s">
        <v>184</v>
      </c>
      <c r="Q59" s="333" t="s">
        <v>184</v>
      </c>
      <c r="R59" s="333">
        <v>0</v>
      </c>
      <c r="S59" s="333">
        <v>27</v>
      </c>
      <c r="T59" s="333">
        <v>2</v>
      </c>
      <c r="U59" s="333">
        <v>52</v>
      </c>
      <c r="V59" s="333">
        <v>0</v>
      </c>
      <c r="W59" s="330" t="s">
        <v>722</v>
      </c>
      <c r="X59" s="330" t="s">
        <v>723</v>
      </c>
      <c r="Y59" s="332" t="s">
        <v>351</v>
      </c>
      <c r="Z59" s="330" t="s">
        <v>215</v>
      </c>
      <c r="AA59" s="330" t="s">
        <v>352</v>
      </c>
      <c r="AB59" s="330" t="s">
        <v>189</v>
      </c>
      <c r="AC59" s="330"/>
      <c r="AD59" s="330"/>
      <c r="AE59" s="330">
        <v>80</v>
      </c>
      <c r="AF59" s="330">
        <v>-38</v>
      </c>
      <c r="AG59" s="332" t="s">
        <v>238</v>
      </c>
      <c r="AH59" s="332" t="s">
        <v>191</v>
      </c>
      <c r="AI59" s="330" t="s">
        <v>192</v>
      </c>
      <c r="AJ59" s="330" t="s">
        <v>192</v>
      </c>
      <c r="AK59" s="330"/>
      <c r="AL59" s="330" t="s">
        <v>192</v>
      </c>
      <c r="AM59" s="330" t="s">
        <v>191</v>
      </c>
      <c r="AN59" s="330" t="s">
        <v>192</v>
      </c>
      <c r="AO59" s="330"/>
      <c r="AP59" s="332" t="s">
        <v>259</v>
      </c>
      <c r="AQ59" s="330"/>
      <c r="AR59" s="330"/>
      <c r="AS59" s="330" t="b">
        <v>1</v>
      </c>
      <c r="AT59" s="330"/>
      <c r="AU59" s="332" t="s">
        <v>192</v>
      </c>
      <c r="AV59" s="334">
        <v>46038.357870370368</v>
      </c>
      <c r="AW59" s="330" t="b">
        <v>1</v>
      </c>
      <c r="AX59" s="335">
        <v>46059</v>
      </c>
      <c r="AY59" s="336">
        <v>46043</v>
      </c>
      <c r="AZ59" s="330"/>
      <c r="BA59" s="336">
        <v>46077</v>
      </c>
      <c r="BB59" s="330"/>
      <c r="BC59" s="336">
        <v>46079</v>
      </c>
      <c r="BD59" s="330"/>
      <c r="BE59" s="336">
        <v>46079</v>
      </c>
      <c r="BF59" s="330"/>
      <c r="BG59" s="330"/>
      <c r="BH59" s="330" t="s">
        <v>193</v>
      </c>
      <c r="BI59" s="330">
        <v>500</v>
      </c>
      <c r="BJ59" s="330"/>
      <c r="BK59" s="330"/>
      <c r="BL59" s="330"/>
      <c r="BM59" s="332"/>
      <c r="BN59" s="330"/>
      <c r="BO59" s="330" t="s">
        <v>240</v>
      </c>
      <c r="BP59" s="330" t="s">
        <v>193</v>
      </c>
      <c r="BQ59" s="330" t="s">
        <v>218</v>
      </c>
      <c r="BR59" s="330" t="s">
        <v>220</v>
      </c>
      <c r="BS59" s="330"/>
      <c r="BT59" s="330" t="s">
        <v>220</v>
      </c>
      <c r="BU59" s="330"/>
      <c r="BV59" s="330" t="s">
        <v>220</v>
      </c>
      <c r="BW59" s="330"/>
      <c r="BX59" s="332"/>
      <c r="BY59" s="330"/>
      <c r="BZ59" s="330"/>
      <c r="CA59" s="330"/>
      <c r="CB59" s="330"/>
      <c r="CC59" s="337" t="s">
        <v>241</v>
      </c>
      <c r="CD59" s="330"/>
      <c r="CE59" s="330" t="b">
        <v>1</v>
      </c>
      <c r="CF59" s="330" t="b">
        <v>1</v>
      </c>
      <c r="CG59" s="330"/>
      <c r="CH59" s="330"/>
      <c r="CI59" s="330"/>
      <c r="CJ59" s="330"/>
      <c r="CK59" s="330"/>
      <c r="CL59" s="330"/>
      <c r="CM59" s="330"/>
      <c r="CN59" s="330"/>
      <c r="CO59" s="330" t="b">
        <v>1</v>
      </c>
      <c r="CP59" s="330"/>
      <c r="CQ59" s="330"/>
      <c r="CR59" s="330"/>
      <c r="CS59" s="330"/>
      <c r="CT59" s="330"/>
      <c r="CU59" s="330"/>
      <c r="CV59" s="330"/>
      <c r="CW59" s="330"/>
      <c r="CX59" s="330"/>
      <c r="CY59" s="330"/>
      <c r="CZ59" s="330"/>
      <c r="DA59" s="330"/>
      <c r="DB59" s="330" t="b">
        <v>1</v>
      </c>
      <c r="DC59" s="330"/>
      <c r="DD59" s="330"/>
      <c r="DE59" s="330"/>
      <c r="DF59" s="338">
        <v>25035</v>
      </c>
      <c r="DG59" s="330" t="s">
        <v>221</v>
      </c>
      <c r="DH59" s="330"/>
      <c r="DI59" s="338" t="s">
        <v>724</v>
      </c>
      <c r="DJ59" s="330"/>
      <c r="DK59" s="330">
        <v>2.1</v>
      </c>
      <c r="DL59" s="330" t="s">
        <v>725</v>
      </c>
      <c r="DM59" s="330"/>
      <c r="DN59" s="330"/>
      <c r="DO59" s="330"/>
      <c r="DP59" s="330"/>
      <c r="DQ59" s="338" t="s">
        <v>197</v>
      </c>
      <c r="DR59" s="330"/>
      <c r="DS59" s="330"/>
      <c r="DT59" s="330"/>
      <c r="DU59" s="338" t="s">
        <v>197</v>
      </c>
      <c r="DV59" s="330"/>
      <c r="DW59" s="330"/>
      <c r="DX59" s="330"/>
      <c r="DY59" s="338" t="s">
        <v>197</v>
      </c>
      <c r="DZ59" s="330"/>
      <c r="EA59" s="330"/>
      <c r="EB59" s="330"/>
      <c r="EC59" s="330" t="s">
        <v>197</v>
      </c>
      <c r="ED59" s="338" t="s">
        <v>197</v>
      </c>
      <c r="EE59" s="330">
        <v>24</v>
      </c>
      <c r="EF59" s="330">
        <v>600</v>
      </c>
      <c r="EG59" s="330"/>
      <c r="EH59" s="330"/>
      <c r="EI59" s="330"/>
      <c r="EJ59" s="330"/>
      <c r="EK59" s="330"/>
      <c r="EL59" s="330"/>
      <c r="EM59" s="330"/>
      <c r="EN59" s="330"/>
      <c r="EO59" s="330"/>
      <c r="EP59" s="330"/>
      <c r="EQ59" s="332" t="s">
        <v>244</v>
      </c>
      <c r="ER59" s="330"/>
      <c r="ES59" s="330"/>
      <c r="ET59" s="332" t="s">
        <v>245</v>
      </c>
      <c r="EU59" s="332" t="s">
        <v>726</v>
      </c>
      <c r="EV59" s="336">
        <v>46041</v>
      </c>
      <c r="EW59" s="336">
        <v>46042</v>
      </c>
      <c r="EX59" s="330">
        <v>2</v>
      </c>
      <c r="EY59" s="330"/>
      <c r="EZ59" s="330" t="s">
        <v>201</v>
      </c>
      <c r="FA59" s="336">
        <v>46045</v>
      </c>
      <c r="FB59" s="330">
        <v>25</v>
      </c>
      <c r="FC59" s="330" t="s">
        <v>202</v>
      </c>
      <c r="FD59" s="332" t="s">
        <v>190</v>
      </c>
      <c r="FE59" s="336">
        <v>46079</v>
      </c>
      <c r="FF59" s="330"/>
      <c r="FG59" s="330" t="s">
        <v>203</v>
      </c>
      <c r="FH59" s="330" t="s">
        <v>727</v>
      </c>
      <c r="FI59" s="330" t="s">
        <v>204</v>
      </c>
      <c r="FJ59" s="330"/>
      <c r="FK59" s="330" t="s">
        <v>230</v>
      </c>
      <c r="FL59" s="330" t="s">
        <v>192</v>
      </c>
      <c r="FM59" s="330" t="s">
        <v>191</v>
      </c>
      <c r="FN59" s="330" t="s">
        <v>728</v>
      </c>
      <c r="FO59" s="330" t="b">
        <v>1</v>
      </c>
      <c r="FP59" s="330" t="s">
        <v>729</v>
      </c>
      <c r="FQ59" s="330"/>
      <c r="FR59" s="330"/>
      <c r="FS59" s="330"/>
      <c r="FT59" s="330"/>
      <c r="FU59" s="330"/>
    </row>
    <row r="60" spans="1:177" ht="140.25" x14ac:dyDescent="0.25">
      <c r="A60" s="330">
        <v>59</v>
      </c>
      <c r="B60" s="331" t="s">
        <v>730</v>
      </c>
      <c r="C60" s="330"/>
      <c r="D60" s="332" t="s">
        <v>718</v>
      </c>
      <c r="E60" s="332" t="s">
        <v>229</v>
      </c>
      <c r="F60" s="332" t="s">
        <v>230</v>
      </c>
      <c r="G60" s="330" t="s">
        <v>231</v>
      </c>
      <c r="H60" s="331" t="s">
        <v>731</v>
      </c>
      <c r="I60" s="330"/>
      <c r="J60" s="332" t="s">
        <v>732</v>
      </c>
      <c r="K60" s="332" t="s">
        <v>733</v>
      </c>
      <c r="L60" s="330" t="s">
        <v>284</v>
      </c>
      <c r="M60" s="332" t="s">
        <v>734</v>
      </c>
      <c r="N60" s="330" t="s">
        <v>735</v>
      </c>
      <c r="O60" s="333" t="s">
        <v>736</v>
      </c>
      <c r="P60" s="333">
        <v>613</v>
      </c>
      <c r="Q60" s="333"/>
      <c r="R60" s="333">
        <v>160</v>
      </c>
      <c r="S60" s="333">
        <v>320</v>
      </c>
      <c r="T60" s="333">
        <v>8</v>
      </c>
      <c r="U60" s="333">
        <v>640</v>
      </c>
      <c r="V60" s="333">
        <v>0</v>
      </c>
      <c r="W60" s="330">
        <v>39</v>
      </c>
      <c r="X60" s="330" t="s">
        <v>737</v>
      </c>
      <c r="Y60" s="332" t="s">
        <v>738</v>
      </c>
      <c r="Z60" s="330" t="s">
        <v>739</v>
      </c>
      <c r="AA60" s="330" t="s">
        <v>740</v>
      </c>
      <c r="AB60" s="330" t="s">
        <v>189</v>
      </c>
      <c r="AC60" s="330"/>
      <c r="AD60" s="330"/>
      <c r="AE60" s="330">
        <v>11</v>
      </c>
      <c r="AF60" s="330">
        <v>-32</v>
      </c>
      <c r="AG60" s="332" t="s">
        <v>190</v>
      </c>
      <c r="AH60" s="332" t="s">
        <v>202</v>
      </c>
      <c r="AI60" s="330" t="s">
        <v>202</v>
      </c>
      <c r="AJ60" s="330" t="s">
        <v>741</v>
      </c>
      <c r="AK60" s="330" t="s">
        <v>202</v>
      </c>
      <c r="AL60" s="330" t="s">
        <v>742</v>
      </c>
      <c r="AM60" s="330" t="s">
        <v>202</v>
      </c>
      <c r="AN60" s="330" t="s">
        <v>742</v>
      </c>
      <c r="AO60" s="330"/>
      <c r="AP60" s="332"/>
      <c r="AQ60" s="330"/>
      <c r="AR60" s="330" t="s">
        <v>334</v>
      </c>
      <c r="AS60" s="330" t="b">
        <v>1</v>
      </c>
      <c r="AT60" s="330"/>
      <c r="AU60" s="332"/>
      <c r="AV60" s="334">
        <v>46027.46737859954</v>
      </c>
      <c r="AW60" s="330"/>
      <c r="AX60" s="335">
        <v>46066</v>
      </c>
      <c r="AY60" s="336">
        <v>46041</v>
      </c>
      <c r="AZ60" s="330"/>
      <c r="BA60" s="336">
        <v>46085</v>
      </c>
      <c r="BB60" s="336">
        <v>46080</v>
      </c>
      <c r="BC60" s="336">
        <v>46087</v>
      </c>
      <c r="BD60" s="330"/>
      <c r="BE60" s="336">
        <v>46087</v>
      </c>
      <c r="BF60" s="330"/>
      <c r="BG60" s="336">
        <v>46084</v>
      </c>
      <c r="BH60" s="330" t="s">
        <v>193</v>
      </c>
      <c r="BI60" s="330">
        <v>80</v>
      </c>
      <c r="BJ60" s="336">
        <v>46027</v>
      </c>
      <c r="BK60" s="330" t="b">
        <v>1</v>
      </c>
      <c r="BL60" s="330" t="s">
        <v>335</v>
      </c>
      <c r="BM60" s="332" t="s">
        <v>743</v>
      </c>
      <c r="BN60" s="330" t="s">
        <v>337</v>
      </c>
      <c r="BO60" s="330" t="s">
        <v>240</v>
      </c>
      <c r="BP60" s="330" t="s">
        <v>193</v>
      </c>
      <c r="BQ60" s="330" t="s">
        <v>218</v>
      </c>
      <c r="BR60" s="330" t="s">
        <v>220</v>
      </c>
      <c r="BS60" s="330"/>
      <c r="BT60" s="330" t="s">
        <v>220</v>
      </c>
      <c r="BU60" s="330"/>
      <c r="BV60" s="330" t="s">
        <v>220</v>
      </c>
      <c r="BW60" s="330"/>
      <c r="BX60" s="332"/>
      <c r="BY60" s="330"/>
      <c r="BZ60" s="330"/>
      <c r="CA60" s="330"/>
      <c r="CB60" s="330"/>
      <c r="CC60" s="337" t="s">
        <v>744</v>
      </c>
      <c r="CD60" s="330" t="b">
        <v>1</v>
      </c>
      <c r="CE60" s="330" t="b">
        <v>1</v>
      </c>
      <c r="CF60" s="330"/>
      <c r="CG60" s="330"/>
      <c r="CH60" s="330"/>
      <c r="CI60" s="330"/>
      <c r="CJ60" s="330"/>
      <c r="CK60" s="330"/>
      <c r="CL60" s="330" t="b">
        <v>1</v>
      </c>
      <c r="CM60" s="330" t="s">
        <v>745</v>
      </c>
      <c r="CN60" s="330"/>
      <c r="CO60" s="330"/>
      <c r="CP60" s="330"/>
      <c r="CQ60" s="330"/>
      <c r="CR60" s="330"/>
      <c r="CS60" s="330"/>
      <c r="CT60" s="330"/>
      <c r="CU60" s="330" t="b">
        <v>1</v>
      </c>
      <c r="CV60" s="330"/>
      <c r="CW60" s="330"/>
      <c r="CX60" s="330"/>
      <c r="CY60" s="330"/>
      <c r="CZ60" s="330"/>
      <c r="DA60" s="330"/>
      <c r="DB60" s="330" t="b">
        <v>1</v>
      </c>
      <c r="DC60" s="330" t="b">
        <v>1</v>
      </c>
      <c r="DD60" s="330"/>
      <c r="DE60" s="330"/>
      <c r="DF60" s="338">
        <v>25035</v>
      </c>
      <c r="DG60" s="330" t="s">
        <v>221</v>
      </c>
      <c r="DH60" s="330"/>
      <c r="DI60" s="338" t="s">
        <v>746</v>
      </c>
      <c r="DJ60" s="330"/>
      <c r="DK60" s="330">
        <v>3</v>
      </c>
      <c r="DL60" s="330" t="s">
        <v>725</v>
      </c>
      <c r="DM60" s="330"/>
      <c r="DN60" s="330"/>
      <c r="DO60" s="330"/>
      <c r="DP60" s="330"/>
      <c r="DQ60" s="338" t="s">
        <v>197</v>
      </c>
      <c r="DR60" s="330"/>
      <c r="DS60" s="330"/>
      <c r="DT60" s="330"/>
      <c r="DU60" s="338" t="s">
        <v>197</v>
      </c>
      <c r="DV60" s="330"/>
      <c r="DW60" s="330"/>
      <c r="DX60" s="330"/>
      <c r="DY60" s="338" t="s">
        <v>197</v>
      </c>
      <c r="DZ60" s="330"/>
      <c r="EA60" s="330"/>
      <c r="EB60" s="330"/>
      <c r="EC60" s="330" t="s">
        <v>197</v>
      </c>
      <c r="ED60" s="338" t="s">
        <v>197</v>
      </c>
      <c r="EE60" s="330">
        <v>32</v>
      </c>
      <c r="EF60" s="330">
        <v>240</v>
      </c>
      <c r="EG60" s="330"/>
      <c r="EH60" s="330"/>
      <c r="EI60" s="330"/>
      <c r="EJ60" s="330"/>
      <c r="EK60" s="330"/>
      <c r="EL60" s="330"/>
      <c r="EM60" s="330"/>
      <c r="EN60" s="330"/>
      <c r="EO60" s="330"/>
      <c r="EP60" s="330"/>
      <c r="EQ60" s="332" t="s">
        <v>244</v>
      </c>
      <c r="ER60" s="330"/>
      <c r="ES60" s="330"/>
      <c r="ET60" s="332" t="s">
        <v>89</v>
      </c>
      <c r="EU60" s="332" t="s">
        <v>747</v>
      </c>
      <c r="EV60" s="336">
        <v>46038</v>
      </c>
      <c r="EW60" s="336">
        <v>46041</v>
      </c>
      <c r="EX60" s="330">
        <v>2</v>
      </c>
      <c r="EY60" s="330"/>
      <c r="EZ60" s="330" t="s">
        <v>201</v>
      </c>
      <c r="FA60" s="336">
        <v>46075</v>
      </c>
      <c r="FB60" s="330">
        <v>4</v>
      </c>
      <c r="FC60" s="330" t="s">
        <v>202</v>
      </c>
      <c r="FD60" s="332" t="s">
        <v>190</v>
      </c>
      <c r="FE60" s="336">
        <v>46079</v>
      </c>
      <c r="FF60" s="330"/>
      <c r="FG60" s="330" t="s">
        <v>203</v>
      </c>
      <c r="FH60" s="330" t="s">
        <v>748</v>
      </c>
      <c r="FI60" s="330" t="s">
        <v>204</v>
      </c>
      <c r="FJ60" s="330"/>
      <c r="FK60" s="330" t="s">
        <v>230</v>
      </c>
      <c r="FL60" s="330" t="s">
        <v>742</v>
      </c>
      <c r="FM60" s="330" t="s">
        <v>202</v>
      </c>
      <c r="FN60" s="330" t="s">
        <v>749</v>
      </c>
      <c r="FO60" s="330" t="b">
        <v>1</v>
      </c>
      <c r="FP60" s="330" t="s">
        <v>293</v>
      </c>
      <c r="FQ60" s="330"/>
      <c r="FR60" s="330"/>
      <c r="FS60" s="330"/>
      <c r="FT60" s="330"/>
      <c r="FU60" s="330"/>
    </row>
    <row r="61" spans="1:177" ht="51" x14ac:dyDescent="0.25">
      <c r="A61" s="330">
        <v>60</v>
      </c>
      <c r="B61" s="331" t="s">
        <v>725</v>
      </c>
      <c r="C61" s="330"/>
      <c r="D61" s="332" t="s">
        <v>718</v>
      </c>
      <c r="E61" s="332" t="s">
        <v>229</v>
      </c>
      <c r="F61" s="332" t="s">
        <v>230</v>
      </c>
      <c r="G61" s="330" t="s">
        <v>231</v>
      </c>
      <c r="H61" s="331">
        <v>400</v>
      </c>
      <c r="I61" s="330"/>
      <c r="J61" s="332"/>
      <c r="K61" s="332" t="s">
        <v>750</v>
      </c>
      <c r="L61" s="330" t="s">
        <v>284</v>
      </c>
      <c r="M61" s="332" t="s">
        <v>751</v>
      </c>
      <c r="N61" s="330"/>
      <c r="O61" s="333"/>
      <c r="P61" s="333"/>
      <c r="Q61" s="333"/>
      <c r="R61" s="333">
        <v>218</v>
      </c>
      <c r="S61" s="333"/>
      <c r="T61" s="333"/>
      <c r="U61" s="333"/>
      <c r="V61" s="333"/>
      <c r="W61" s="330"/>
      <c r="X61" s="330"/>
      <c r="Y61" s="332" t="s">
        <v>351</v>
      </c>
      <c r="Z61" s="330" t="s">
        <v>215</v>
      </c>
      <c r="AA61" s="330" t="s">
        <v>352</v>
      </c>
      <c r="AB61" s="330" t="s">
        <v>189</v>
      </c>
      <c r="AC61" s="330" t="b">
        <v>1</v>
      </c>
      <c r="AD61" s="330" t="s">
        <v>752</v>
      </c>
      <c r="AE61" s="330">
        <v>1</v>
      </c>
      <c r="AF61" s="330">
        <v>-34</v>
      </c>
      <c r="AG61" s="332" t="s">
        <v>753</v>
      </c>
      <c r="AH61" s="332" t="s">
        <v>191</v>
      </c>
      <c r="AI61" s="330" t="s">
        <v>192</v>
      </c>
      <c r="AJ61" s="330" t="s">
        <v>192</v>
      </c>
      <c r="AK61" s="330"/>
      <c r="AL61" s="330" t="s">
        <v>192</v>
      </c>
      <c r="AM61" s="330" t="s">
        <v>191</v>
      </c>
      <c r="AN61" s="330" t="s">
        <v>192</v>
      </c>
      <c r="AO61" s="330"/>
      <c r="AP61" s="332" t="s">
        <v>259</v>
      </c>
      <c r="AQ61" s="330"/>
      <c r="AR61" s="330"/>
      <c r="AS61" s="330"/>
      <c r="AT61" s="330"/>
      <c r="AU61" s="332" t="s">
        <v>192</v>
      </c>
      <c r="AV61" s="334">
        <v>46057.496999537034</v>
      </c>
      <c r="AW61" s="330"/>
      <c r="AX61" s="335">
        <v>46083</v>
      </c>
      <c r="AY61" s="330"/>
      <c r="AZ61" s="330"/>
      <c r="BA61" s="330"/>
      <c r="BB61" s="330"/>
      <c r="BC61" s="336">
        <v>46104</v>
      </c>
      <c r="BD61" s="330"/>
      <c r="BE61" s="336">
        <v>46104</v>
      </c>
      <c r="BF61" s="330"/>
      <c r="BG61" s="330"/>
      <c r="BH61" s="330" t="s">
        <v>193</v>
      </c>
      <c r="BI61" s="330">
        <v>500</v>
      </c>
      <c r="BJ61" s="330"/>
      <c r="BK61" s="330"/>
      <c r="BL61" s="330"/>
      <c r="BM61" s="332"/>
      <c r="BN61" s="330"/>
      <c r="BO61" s="330" t="s">
        <v>240</v>
      </c>
      <c r="BP61" s="330" t="s">
        <v>193</v>
      </c>
      <c r="BQ61" s="330" t="s">
        <v>218</v>
      </c>
      <c r="BR61" s="330" t="s">
        <v>220</v>
      </c>
      <c r="BS61" s="330"/>
      <c r="BT61" s="330" t="s">
        <v>220</v>
      </c>
      <c r="BU61" s="330"/>
      <c r="BV61" s="330" t="s">
        <v>220</v>
      </c>
      <c r="BW61" s="330"/>
      <c r="BX61" s="332"/>
      <c r="BY61" s="330"/>
      <c r="BZ61" s="330"/>
      <c r="CA61" s="330"/>
      <c r="CB61" s="330"/>
      <c r="CC61" s="337" t="s">
        <v>82</v>
      </c>
      <c r="CD61" s="330" t="b">
        <v>1</v>
      </c>
      <c r="CE61" s="330" t="b">
        <v>1</v>
      </c>
      <c r="CF61" s="330" t="b">
        <v>1</v>
      </c>
      <c r="CG61" s="330" t="s">
        <v>242</v>
      </c>
      <c r="CH61" s="330"/>
      <c r="CI61" s="330"/>
      <c r="CJ61" s="330"/>
      <c r="CK61" s="330"/>
      <c r="CL61" s="330"/>
      <c r="CM61" s="330"/>
      <c r="CN61" s="330"/>
      <c r="CO61" s="330"/>
      <c r="CP61" s="330"/>
      <c r="CQ61" s="330"/>
      <c r="CR61" s="330"/>
      <c r="CS61" s="330"/>
      <c r="CT61" s="330"/>
      <c r="CU61" s="330"/>
      <c r="CV61" s="330"/>
      <c r="CW61" s="330"/>
      <c r="CX61" s="330"/>
      <c r="CY61" s="330"/>
      <c r="CZ61" s="330"/>
      <c r="DA61" s="330"/>
      <c r="DB61" s="330" t="b">
        <v>1</v>
      </c>
      <c r="DC61" s="330" t="b">
        <v>1</v>
      </c>
      <c r="DD61" s="330"/>
      <c r="DE61" s="330"/>
      <c r="DF61" s="338">
        <v>25035</v>
      </c>
      <c r="DG61" s="330" t="s">
        <v>221</v>
      </c>
      <c r="DH61" s="330"/>
      <c r="DI61" s="338" t="s">
        <v>754</v>
      </c>
      <c r="DJ61" s="330"/>
      <c r="DK61" s="330">
        <v>4</v>
      </c>
      <c r="DL61" s="330" t="s">
        <v>725</v>
      </c>
      <c r="DM61" s="330"/>
      <c r="DN61" s="330"/>
      <c r="DO61" s="330"/>
      <c r="DP61" s="330"/>
      <c r="DQ61" s="338" t="s">
        <v>197</v>
      </c>
      <c r="DR61" s="330"/>
      <c r="DS61" s="330"/>
      <c r="DT61" s="330"/>
      <c r="DU61" s="338" t="s">
        <v>197</v>
      </c>
      <c r="DV61" s="330"/>
      <c r="DW61" s="330"/>
      <c r="DX61" s="330"/>
      <c r="DY61" s="338" t="s">
        <v>197</v>
      </c>
      <c r="DZ61" s="330"/>
      <c r="EA61" s="330"/>
      <c r="EB61" s="330"/>
      <c r="EC61" s="330" t="s">
        <v>197</v>
      </c>
      <c r="ED61" s="338" t="s">
        <v>197</v>
      </c>
      <c r="EE61" s="330">
        <v>24</v>
      </c>
      <c r="EF61" s="330">
        <v>230</v>
      </c>
      <c r="EG61" s="330"/>
      <c r="EH61" s="330"/>
      <c r="EI61" s="330"/>
      <c r="EJ61" s="330"/>
      <c r="EK61" s="330"/>
      <c r="EL61" s="330"/>
      <c r="EM61" s="330"/>
      <c r="EN61" s="330"/>
      <c r="EO61" s="330"/>
      <c r="EP61" s="330"/>
      <c r="EQ61" s="332" t="s">
        <v>244</v>
      </c>
      <c r="ER61" s="330"/>
      <c r="ES61" s="330"/>
      <c r="ET61" s="332" t="s">
        <v>245</v>
      </c>
      <c r="EU61" s="332" t="s">
        <v>246</v>
      </c>
      <c r="EV61" s="330"/>
      <c r="EW61" s="330"/>
      <c r="EX61" s="330" t="s">
        <v>200</v>
      </c>
      <c r="EY61" s="330"/>
      <c r="EZ61" s="330" t="s">
        <v>247</v>
      </c>
      <c r="FA61" s="330"/>
      <c r="FB61" s="330" t="s">
        <v>247</v>
      </c>
      <c r="FC61" s="330" t="s">
        <v>202</v>
      </c>
      <c r="FD61" s="332" t="s">
        <v>190</v>
      </c>
      <c r="FE61" s="330"/>
      <c r="FF61" s="330"/>
      <c r="FG61" s="330" t="s">
        <v>203</v>
      </c>
      <c r="FH61" s="330"/>
      <c r="FI61" s="330" t="s">
        <v>204</v>
      </c>
      <c r="FJ61" s="330"/>
      <c r="FK61" s="330" t="s">
        <v>230</v>
      </c>
      <c r="FL61" s="330" t="s">
        <v>192</v>
      </c>
      <c r="FM61" s="330" t="s">
        <v>191</v>
      </c>
      <c r="FN61" s="330" t="s">
        <v>755</v>
      </c>
      <c r="FO61" s="330"/>
      <c r="FP61" s="330" t="s">
        <v>756</v>
      </c>
      <c r="FQ61" s="330"/>
      <c r="FR61" s="330"/>
      <c r="FS61" s="330"/>
      <c r="FT61" s="330"/>
      <c r="FU61" s="330"/>
    </row>
    <row r="62" spans="1:177" ht="25.5" x14ac:dyDescent="0.25">
      <c r="A62" s="330">
        <v>61</v>
      </c>
      <c r="B62" s="331" t="s">
        <v>757</v>
      </c>
      <c r="C62" s="330"/>
      <c r="D62" s="332" t="s">
        <v>758</v>
      </c>
      <c r="E62" s="332" t="s">
        <v>759</v>
      </c>
      <c r="F62" s="332" t="s">
        <v>760</v>
      </c>
      <c r="G62" s="330"/>
      <c r="H62" s="331"/>
      <c r="I62" s="330"/>
      <c r="J62" s="332"/>
      <c r="K62" s="332"/>
      <c r="L62" s="330"/>
      <c r="M62" s="332"/>
      <c r="N62" s="330" t="s">
        <v>761</v>
      </c>
      <c r="O62" s="333" t="s">
        <v>184</v>
      </c>
      <c r="P62" s="333" t="s">
        <v>184</v>
      </c>
      <c r="Q62" s="333" t="s">
        <v>184</v>
      </c>
      <c r="R62" s="333">
        <v>0</v>
      </c>
      <c r="S62" s="333">
        <v>32</v>
      </c>
      <c r="T62" s="333">
        <v>2</v>
      </c>
      <c r="U62" s="333">
        <v>0</v>
      </c>
      <c r="V62" s="333">
        <v>0</v>
      </c>
      <c r="W62" s="330">
        <v>12.25</v>
      </c>
      <c r="X62" s="330" t="s">
        <v>213</v>
      </c>
      <c r="Y62" s="332" t="s">
        <v>762</v>
      </c>
      <c r="Z62" s="330" t="s">
        <v>187</v>
      </c>
      <c r="AA62" s="330" t="s">
        <v>763</v>
      </c>
      <c r="AB62" s="330" t="s">
        <v>189</v>
      </c>
      <c r="AC62" s="330"/>
      <c r="AD62" s="330"/>
      <c r="AE62" s="330">
        <v>3</v>
      </c>
      <c r="AF62" s="330">
        <v>-217</v>
      </c>
      <c r="AG62" s="332" t="s">
        <v>190</v>
      </c>
      <c r="AH62" s="332" t="s">
        <v>191</v>
      </c>
      <c r="AI62" s="330"/>
      <c r="AJ62" s="330"/>
      <c r="AK62" s="330"/>
      <c r="AL62" s="330"/>
      <c r="AM62" s="330"/>
      <c r="AN62" s="330" t="s">
        <v>191</v>
      </c>
      <c r="AO62" s="330"/>
      <c r="AP62" s="332"/>
      <c r="AQ62" s="330"/>
      <c r="AR62" s="330"/>
      <c r="AS62" s="330"/>
      <c r="AT62" s="330"/>
      <c r="AU62" s="332" t="s">
        <v>191</v>
      </c>
      <c r="AV62" s="334">
        <v>45820.455545486111</v>
      </c>
      <c r="AW62" s="330" t="b">
        <v>1</v>
      </c>
      <c r="AX62" s="335">
        <v>45828</v>
      </c>
      <c r="AY62" s="336">
        <v>45820</v>
      </c>
      <c r="AZ62" s="330" t="b">
        <v>1</v>
      </c>
      <c r="BA62" s="336">
        <v>45826</v>
      </c>
      <c r="BB62" s="330"/>
      <c r="BC62" s="336">
        <v>45825</v>
      </c>
      <c r="BD62" s="330"/>
      <c r="BE62" s="336">
        <v>45825</v>
      </c>
      <c r="BF62" s="330"/>
      <c r="BG62" s="330"/>
      <c r="BH62" s="330" t="s">
        <v>193</v>
      </c>
      <c r="BI62" s="330">
        <v>25</v>
      </c>
      <c r="BJ62" s="330"/>
      <c r="BK62" s="330"/>
      <c r="BL62" s="330"/>
      <c r="BM62" s="332"/>
      <c r="BN62" s="330"/>
      <c r="BO62" s="330"/>
      <c r="BP62" s="330"/>
      <c r="BQ62" s="330"/>
      <c r="BR62" s="330"/>
      <c r="BS62" s="330"/>
      <c r="BT62" s="330"/>
      <c r="BU62" s="330"/>
      <c r="BV62" s="330"/>
      <c r="BW62" s="330"/>
      <c r="BX62" s="332"/>
      <c r="BY62" s="330"/>
      <c r="BZ62" s="330"/>
      <c r="CA62" s="330"/>
      <c r="CB62" s="330"/>
      <c r="CC62" s="337" t="s">
        <v>194</v>
      </c>
      <c r="CD62" s="330"/>
      <c r="CE62" s="330" t="b">
        <v>1</v>
      </c>
      <c r="CF62" s="330"/>
      <c r="CG62" s="330"/>
      <c r="CH62" s="330"/>
      <c r="CI62" s="330"/>
      <c r="CJ62" s="330"/>
      <c r="CK62" s="330"/>
      <c r="CL62" s="330"/>
      <c r="CM62" s="330"/>
      <c r="CN62" s="330"/>
      <c r="CO62" s="330" t="b">
        <v>1</v>
      </c>
      <c r="CP62" s="330" t="b">
        <v>1</v>
      </c>
      <c r="CQ62" s="330"/>
      <c r="CR62" s="330"/>
      <c r="CS62" s="330"/>
      <c r="CT62" s="330"/>
      <c r="CU62" s="330"/>
      <c r="CV62" s="330"/>
      <c r="CW62" s="330"/>
      <c r="CX62" s="330"/>
      <c r="CY62" s="330"/>
      <c r="CZ62" s="330"/>
      <c r="DA62" s="330"/>
      <c r="DB62" s="330"/>
      <c r="DC62" s="330"/>
      <c r="DD62" s="330"/>
      <c r="DE62" s="330"/>
      <c r="DF62" s="338">
        <v>24082</v>
      </c>
      <c r="DG62" s="330" t="s">
        <v>764</v>
      </c>
      <c r="DH62" s="330"/>
      <c r="DI62" s="338" t="s">
        <v>746</v>
      </c>
      <c r="DJ62" s="330"/>
      <c r="DK62" s="330">
        <v>3</v>
      </c>
      <c r="DL62" s="330" t="s">
        <v>757</v>
      </c>
      <c r="DM62" s="330"/>
      <c r="DN62" s="330"/>
      <c r="DO62" s="330"/>
      <c r="DP62" s="330"/>
      <c r="DQ62" s="338" t="s">
        <v>197</v>
      </c>
      <c r="DR62" s="330"/>
      <c r="DS62" s="330"/>
      <c r="DT62" s="330"/>
      <c r="DU62" s="338" t="s">
        <v>197</v>
      </c>
      <c r="DV62" s="330"/>
      <c r="DW62" s="330"/>
      <c r="DX62" s="330"/>
      <c r="DY62" s="338" t="s">
        <v>197</v>
      </c>
      <c r="DZ62" s="330"/>
      <c r="EA62" s="330"/>
      <c r="EB62" s="330"/>
      <c r="EC62" s="330" t="s">
        <v>197</v>
      </c>
      <c r="ED62" s="338" t="s">
        <v>197</v>
      </c>
      <c r="EE62" s="330">
        <v>1</v>
      </c>
      <c r="EF62" s="330">
        <v>4</v>
      </c>
      <c r="EG62" s="330"/>
      <c r="EH62" s="330"/>
      <c r="EI62" s="330"/>
      <c r="EJ62" s="330"/>
      <c r="EK62" s="330"/>
      <c r="EL62" s="330"/>
      <c r="EM62" s="330"/>
      <c r="EN62" s="330"/>
      <c r="EO62" s="330"/>
      <c r="EP62" s="330"/>
      <c r="EQ62" s="332" t="s">
        <v>244</v>
      </c>
      <c r="ER62" s="330"/>
      <c r="ES62" s="330"/>
      <c r="ET62" s="332"/>
      <c r="EU62" s="332" t="s">
        <v>199</v>
      </c>
      <c r="EV62" s="330"/>
      <c r="EW62" s="330"/>
      <c r="EX62" s="330" t="s">
        <v>200</v>
      </c>
      <c r="EY62" s="330"/>
      <c r="EZ62" s="330" t="s">
        <v>201</v>
      </c>
      <c r="FA62" s="336">
        <v>45852</v>
      </c>
      <c r="FB62" s="330">
        <v>2</v>
      </c>
      <c r="FC62" s="330" t="s">
        <v>202</v>
      </c>
      <c r="FD62" s="332" t="s">
        <v>190</v>
      </c>
      <c r="FE62" s="336">
        <v>45853</v>
      </c>
      <c r="FF62" s="330"/>
      <c r="FG62" s="330" t="s">
        <v>203</v>
      </c>
      <c r="FH62" s="330"/>
      <c r="FI62" s="330" t="s">
        <v>204</v>
      </c>
      <c r="FJ62" s="330"/>
      <c r="FK62" s="330" t="s">
        <v>760</v>
      </c>
      <c r="FL62" s="330"/>
      <c r="FM62" s="330"/>
      <c r="FN62" s="330" t="s">
        <v>765</v>
      </c>
      <c r="FO62" s="330"/>
      <c r="FP62" s="330" t="s">
        <v>251</v>
      </c>
      <c r="FQ62" s="330"/>
      <c r="FR62" s="330"/>
      <c r="FS62" s="330"/>
      <c r="FT62" s="330"/>
      <c r="FU62" s="330"/>
    </row>
    <row r="63" spans="1:177" ht="127.5" x14ac:dyDescent="0.25">
      <c r="A63" s="330">
        <v>62</v>
      </c>
      <c r="B63" s="331" t="s">
        <v>766</v>
      </c>
      <c r="C63" s="330"/>
      <c r="D63" s="332" t="s">
        <v>767</v>
      </c>
      <c r="E63" s="332" t="s">
        <v>768</v>
      </c>
      <c r="F63" s="332" t="s">
        <v>327</v>
      </c>
      <c r="G63" s="330"/>
      <c r="H63" s="331" t="s">
        <v>328</v>
      </c>
      <c r="I63" s="330"/>
      <c r="J63" s="332" t="s">
        <v>769</v>
      </c>
      <c r="K63" s="332" t="s">
        <v>770</v>
      </c>
      <c r="L63" s="330" t="s">
        <v>771</v>
      </c>
      <c r="M63" s="332"/>
      <c r="N63" s="330" t="s">
        <v>772</v>
      </c>
      <c r="O63" s="333" t="s">
        <v>184</v>
      </c>
      <c r="P63" s="333" t="s">
        <v>184</v>
      </c>
      <c r="Q63" s="333" t="s">
        <v>184</v>
      </c>
      <c r="R63" s="333">
        <v>0</v>
      </c>
      <c r="S63" s="333">
        <v>1</v>
      </c>
      <c r="T63" s="333">
        <v>1</v>
      </c>
      <c r="U63" s="333">
        <v>0</v>
      </c>
      <c r="V63" s="333">
        <v>0</v>
      </c>
      <c r="W63" s="330">
        <v>1</v>
      </c>
      <c r="X63" s="330" t="s">
        <v>773</v>
      </c>
      <c r="Y63" s="332" t="s">
        <v>774</v>
      </c>
      <c r="Z63" s="330" t="s">
        <v>187</v>
      </c>
      <c r="AA63" s="330" t="s">
        <v>775</v>
      </c>
      <c r="AB63" s="330" t="s">
        <v>189</v>
      </c>
      <c r="AC63" s="330"/>
      <c r="AD63" s="330"/>
      <c r="AE63" s="330">
        <v>19</v>
      </c>
      <c r="AF63" s="330">
        <v>-91</v>
      </c>
      <c r="AG63" s="332" t="s">
        <v>190</v>
      </c>
      <c r="AH63" s="332" t="s">
        <v>202</v>
      </c>
      <c r="AI63" s="330"/>
      <c r="AJ63" s="330"/>
      <c r="AK63" s="330"/>
      <c r="AL63" s="330" t="s">
        <v>741</v>
      </c>
      <c r="AM63" s="330" t="s">
        <v>202</v>
      </c>
      <c r="AN63" s="330" t="s">
        <v>741</v>
      </c>
      <c r="AO63" s="330"/>
      <c r="AP63" s="332"/>
      <c r="AQ63" s="330" t="s">
        <v>334</v>
      </c>
      <c r="AR63" s="330"/>
      <c r="AS63" s="330" t="b">
        <v>1</v>
      </c>
      <c r="AT63" s="330"/>
      <c r="AU63" s="332" t="s">
        <v>741</v>
      </c>
      <c r="AV63" s="334">
        <v>45982.287503784719</v>
      </c>
      <c r="AW63" s="330" t="b">
        <v>1</v>
      </c>
      <c r="AX63" s="335">
        <v>46003</v>
      </c>
      <c r="AY63" s="336">
        <v>45986</v>
      </c>
      <c r="AZ63" s="330" t="b">
        <v>1</v>
      </c>
      <c r="BA63" s="336">
        <v>46002</v>
      </c>
      <c r="BB63" s="330"/>
      <c r="BC63" s="336">
        <v>45997</v>
      </c>
      <c r="BD63" s="330"/>
      <c r="BE63" s="336">
        <v>45997</v>
      </c>
      <c r="BF63" s="330"/>
      <c r="BG63" s="330"/>
      <c r="BH63" s="330" t="s">
        <v>193</v>
      </c>
      <c r="BI63" s="330"/>
      <c r="BJ63" s="330"/>
      <c r="BK63" s="330"/>
      <c r="BL63" s="330"/>
      <c r="BM63" s="332"/>
      <c r="BN63" s="330"/>
      <c r="BO63" s="330"/>
      <c r="BP63" s="330"/>
      <c r="BQ63" s="330" t="s">
        <v>338</v>
      </c>
      <c r="BR63" s="330" t="s">
        <v>220</v>
      </c>
      <c r="BS63" s="330"/>
      <c r="BT63" s="330" t="s">
        <v>220</v>
      </c>
      <c r="BU63" s="330"/>
      <c r="BV63" s="330" t="s">
        <v>220</v>
      </c>
      <c r="BW63" s="330"/>
      <c r="BX63" s="332"/>
      <c r="BY63" s="330"/>
      <c r="BZ63" s="330"/>
      <c r="CA63" s="330"/>
      <c r="CB63" s="330"/>
      <c r="CC63" s="337" t="s">
        <v>194</v>
      </c>
      <c r="CD63" s="330"/>
      <c r="CE63" s="330" t="b">
        <v>1</v>
      </c>
      <c r="CF63" s="330"/>
      <c r="CG63" s="330"/>
      <c r="CH63" s="330"/>
      <c r="CI63" s="330" t="b">
        <v>1</v>
      </c>
      <c r="CJ63" s="330"/>
      <c r="CK63" s="330" t="s">
        <v>776</v>
      </c>
      <c r="CL63" s="330"/>
      <c r="CM63" s="330"/>
      <c r="CN63" s="330"/>
      <c r="CO63" s="330"/>
      <c r="CP63" s="330"/>
      <c r="CQ63" s="330"/>
      <c r="CR63" s="330"/>
      <c r="CS63" s="330"/>
      <c r="CT63" s="330"/>
      <c r="CU63" s="330"/>
      <c r="CV63" s="330"/>
      <c r="CW63" s="330"/>
      <c r="CX63" s="330"/>
      <c r="CY63" s="330"/>
      <c r="CZ63" s="330"/>
      <c r="DA63" s="330"/>
      <c r="DB63" s="330"/>
      <c r="DC63" s="330"/>
      <c r="DD63" s="330"/>
      <c r="DE63" s="330"/>
      <c r="DF63" s="338" t="s">
        <v>777</v>
      </c>
      <c r="DG63" s="330" t="s">
        <v>341</v>
      </c>
      <c r="DH63" s="330"/>
      <c r="DI63" s="338" t="s">
        <v>196</v>
      </c>
      <c r="DJ63" s="330"/>
      <c r="DK63" s="330">
        <v>1</v>
      </c>
      <c r="DL63" s="330" t="s">
        <v>778</v>
      </c>
      <c r="DM63" s="330"/>
      <c r="DN63" s="330"/>
      <c r="DO63" s="330"/>
      <c r="DP63" s="330"/>
      <c r="DQ63" s="338" t="s">
        <v>197</v>
      </c>
      <c r="DR63" s="330"/>
      <c r="DS63" s="330"/>
      <c r="DT63" s="330"/>
      <c r="DU63" s="338" t="s">
        <v>197</v>
      </c>
      <c r="DV63" s="330"/>
      <c r="DW63" s="330"/>
      <c r="DX63" s="330"/>
      <c r="DY63" s="338" t="s">
        <v>197</v>
      </c>
      <c r="DZ63" s="330"/>
      <c r="EA63" s="330"/>
      <c r="EB63" s="330"/>
      <c r="EC63" s="330" t="s">
        <v>197</v>
      </c>
      <c r="ED63" s="338" t="s">
        <v>197</v>
      </c>
      <c r="EE63" s="330">
        <v>2</v>
      </c>
      <c r="EF63" s="330">
        <v>2</v>
      </c>
      <c r="EG63" s="330"/>
      <c r="EH63" s="330"/>
      <c r="EI63" s="330"/>
      <c r="EJ63" s="330"/>
      <c r="EK63" s="330"/>
      <c r="EL63" s="330"/>
      <c r="EM63" s="330"/>
      <c r="EN63" s="330"/>
      <c r="EO63" s="330"/>
      <c r="EP63" s="330"/>
      <c r="EQ63" s="332" t="s">
        <v>224</v>
      </c>
      <c r="ER63" s="330"/>
      <c r="ES63" s="330"/>
      <c r="ET63" s="332" t="s">
        <v>86</v>
      </c>
      <c r="EU63" s="332" t="s">
        <v>776</v>
      </c>
      <c r="EV63" s="336">
        <v>45986</v>
      </c>
      <c r="EW63" s="336">
        <v>45986</v>
      </c>
      <c r="EX63" s="330">
        <v>1</v>
      </c>
      <c r="EY63" s="336">
        <v>45996</v>
      </c>
      <c r="EZ63" s="330">
        <v>1</v>
      </c>
      <c r="FA63" s="336">
        <v>45996</v>
      </c>
      <c r="FB63" s="330">
        <v>1</v>
      </c>
      <c r="FC63" s="330" t="s">
        <v>202</v>
      </c>
      <c r="FD63" s="332" t="s">
        <v>190</v>
      </c>
      <c r="FE63" s="336">
        <v>45997</v>
      </c>
      <c r="FF63" s="330"/>
      <c r="FG63" s="330" t="s">
        <v>203</v>
      </c>
      <c r="FH63" s="330" t="s">
        <v>779</v>
      </c>
      <c r="FI63" s="330" t="s">
        <v>204</v>
      </c>
      <c r="FJ63" s="330"/>
      <c r="FK63" s="330" t="s">
        <v>327</v>
      </c>
      <c r="FL63" s="330" t="s">
        <v>741</v>
      </c>
      <c r="FM63" s="330" t="s">
        <v>202</v>
      </c>
      <c r="FN63" s="330" t="s">
        <v>780</v>
      </c>
      <c r="FO63" s="330" t="b">
        <v>1</v>
      </c>
      <c r="FP63" s="330" t="s">
        <v>430</v>
      </c>
      <c r="FQ63" s="330"/>
      <c r="FR63" s="330"/>
      <c r="FS63" s="330"/>
      <c r="FT63" s="330"/>
      <c r="FU63" s="330"/>
    </row>
    <row r="64" spans="1:177" ht="204" x14ac:dyDescent="0.25">
      <c r="A64" s="330">
        <v>63</v>
      </c>
      <c r="B64" s="331" t="s">
        <v>778</v>
      </c>
      <c r="C64" s="330"/>
      <c r="D64" s="332" t="s">
        <v>767</v>
      </c>
      <c r="E64" s="332" t="s">
        <v>768</v>
      </c>
      <c r="F64" s="332" t="s">
        <v>327</v>
      </c>
      <c r="G64" s="330"/>
      <c r="H64" s="331" t="s">
        <v>328</v>
      </c>
      <c r="I64" s="330"/>
      <c r="J64" s="332" t="s">
        <v>781</v>
      </c>
      <c r="K64" s="332" t="s">
        <v>782</v>
      </c>
      <c r="L64" s="330" t="s">
        <v>771</v>
      </c>
      <c r="M64" s="332"/>
      <c r="N64" s="330" t="s">
        <v>783</v>
      </c>
      <c r="O64" s="333" t="s">
        <v>184</v>
      </c>
      <c r="P64" s="333" t="s">
        <v>184</v>
      </c>
      <c r="Q64" s="333" t="s">
        <v>184</v>
      </c>
      <c r="R64" s="333">
        <v>0</v>
      </c>
      <c r="S64" s="333">
        <v>232</v>
      </c>
      <c r="T64" s="333">
        <v>3</v>
      </c>
      <c r="U64" s="333">
        <v>0</v>
      </c>
      <c r="V64" s="333">
        <v>0</v>
      </c>
      <c r="W64" s="330" t="s">
        <v>784</v>
      </c>
      <c r="X64" s="330" t="s">
        <v>785</v>
      </c>
      <c r="Y64" s="332" t="s">
        <v>786</v>
      </c>
      <c r="Z64" s="330" t="s">
        <v>787</v>
      </c>
      <c r="AA64" s="330" t="s">
        <v>788</v>
      </c>
      <c r="AB64" s="330" t="s">
        <v>189</v>
      </c>
      <c r="AC64" s="330"/>
      <c r="AD64" s="330"/>
      <c r="AE64" s="330">
        <v>19</v>
      </c>
      <c r="AF64" s="330">
        <v>-91</v>
      </c>
      <c r="AG64" s="332" t="s">
        <v>190</v>
      </c>
      <c r="AH64" s="332" t="s">
        <v>202</v>
      </c>
      <c r="AI64" s="330"/>
      <c r="AJ64" s="330"/>
      <c r="AK64" s="330"/>
      <c r="AL64" s="330" t="s">
        <v>741</v>
      </c>
      <c r="AM64" s="330" t="s">
        <v>202</v>
      </c>
      <c r="AN64" s="330" t="s">
        <v>741</v>
      </c>
      <c r="AO64" s="330"/>
      <c r="AP64" s="332"/>
      <c r="AQ64" s="330" t="s">
        <v>789</v>
      </c>
      <c r="AR64" s="330"/>
      <c r="AS64" s="330" t="b">
        <v>1</v>
      </c>
      <c r="AT64" s="330"/>
      <c r="AU64" s="332" t="s">
        <v>741</v>
      </c>
      <c r="AV64" s="334">
        <v>45982.292427002314</v>
      </c>
      <c r="AW64" s="330" t="b">
        <v>1</v>
      </c>
      <c r="AX64" s="335">
        <v>46003</v>
      </c>
      <c r="AY64" s="336">
        <v>45986</v>
      </c>
      <c r="AZ64" s="330" t="b">
        <v>1</v>
      </c>
      <c r="BA64" s="336">
        <v>46002</v>
      </c>
      <c r="BB64" s="330"/>
      <c r="BC64" s="336">
        <v>45997</v>
      </c>
      <c r="BD64" s="330"/>
      <c r="BE64" s="336">
        <v>45997</v>
      </c>
      <c r="BF64" s="330"/>
      <c r="BG64" s="330"/>
      <c r="BH64" s="330" t="s">
        <v>193</v>
      </c>
      <c r="BI64" s="330"/>
      <c r="BJ64" s="330"/>
      <c r="BK64" s="330"/>
      <c r="BL64" s="330"/>
      <c r="BM64" s="332"/>
      <c r="BN64" s="330"/>
      <c r="BO64" s="330"/>
      <c r="BP64" s="330"/>
      <c r="BQ64" s="330" t="s">
        <v>338</v>
      </c>
      <c r="BR64" s="330" t="s">
        <v>220</v>
      </c>
      <c r="BS64" s="330"/>
      <c r="BT64" s="330" t="s">
        <v>220</v>
      </c>
      <c r="BU64" s="330"/>
      <c r="BV64" s="330" t="s">
        <v>220</v>
      </c>
      <c r="BW64" s="330"/>
      <c r="BX64" s="332"/>
      <c r="BY64" s="330"/>
      <c r="BZ64" s="330"/>
      <c r="CA64" s="330"/>
      <c r="CB64" s="330"/>
      <c r="CC64" s="337" t="s">
        <v>194</v>
      </c>
      <c r="CD64" s="330"/>
      <c r="CE64" s="330" t="b">
        <v>1</v>
      </c>
      <c r="CF64" s="330"/>
      <c r="CG64" s="330"/>
      <c r="CH64" s="330"/>
      <c r="CI64" s="330"/>
      <c r="CJ64" s="330" t="b">
        <v>1</v>
      </c>
      <c r="CK64" s="330"/>
      <c r="CL64" s="330"/>
      <c r="CM64" s="330"/>
      <c r="CN64" s="330"/>
      <c r="CO64" s="330"/>
      <c r="CP64" s="330"/>
      <c r="CQ64" s="330"/>
      <c r="CR64" s="330"/>
      <c r="CS64" s="330"/>
      <c r="CT64" s="330"/>
      <c r="CU64" s="330"/>
      <c r="CV64" s="330"/>
      <c r="CW64" s="330"/>
      <c r="CX64" s="330"/>
      <c r="CY64" s="330"/>
      <c r="CZ64" s="330"/>
      <c r="DA64" s="330"/>
      <c r="DB64" s="330"/>
      <c r="DC64" s="330"/>
      <c r="DD64" s="330"/>
      <c r="DE64" s="330"/>
      <c r="DF64" s="338" t="s">
        <v>777</v>
      </c>
      <c r="DG64" s="330" t="s">
        <v>341</v>
      </c>
      <c r="DH64" s="330"/>
      <c r="DI64" s="338" t="s">
        <v>638</v>
      </c>
      <c r="DJ64" s="330"/>
      <c r="DK64" s="330">
        <v>2</v>
      </c>
      <c r="DL64" s="330" t="s">
        <v>778</v>
      </c>
      <c r="DM64" s="330"/>
      <c r="DN64" s="330"/>
      <c r="DO64" s="330"/>
      <c r="DP64" s="330"/>
      <c r="DQ64" s="338" t="s">
        <v>197</v>
      </c>
      <c r="DR64" s="330"/>
      <c r="DS64" s="330"/>
      <c r="DT64" s="330"/>
      <c r="DU64" s="338" t="s">
        <v>197</v>
      </c>
      <c r="DV64" s="330"/>
      <c r="DW64" s="330"/>
      <c r="DX64" s="330"/>
      <c r="DY64" s="338" t="s">
        <v>197</v>
      </c>
      <c r="DZ64" s="330"/>
      <c r="EA64" s="330"/>
      <c r="EB64" s="330"/>
      <c r="EC64" s="330" t="s">
        <v>197</v>
      </c>
      <c r="ED64" s="338" t="s">
        <v>197</v>
      </c>
      <c r="EE64" s="330">
        <v>2</v>
      </c>
      <c r="EF64" s="330">
        <v>2</v>
      </c>
      <c r="EG64" s="330"/>
      <c r="EH64" s="330"/>
      <c r="EI64" s="330"/>
      <c r="EJ64" s="330"/>
      <c r="EK64" s="330"/>
      <c r="EL64" s="330"/>
      <c r="EM64" s="330"/>
      <c r="EN64" s="330"/>
      <c r="EO64" s="330"/>
      <c r="EP64" s="330"/>
      <c r="EQ64" s="332" t="s">
        <v>224</v>
      </c>
      <c r="ER64" s="330"/>
      <c r="ES64" s="330"/>
      <c r="ET64" s="332" t="s">
        <v>87</v>
      </c>
      <c r="EU64" s="332" t="s">
        <v>87</v>
      </c>
      <c r="EV64" s="336">
        <v>45986</v>
      </c>
      <c r="EW64" s="336">
        <v>45986</v>
      </c>
      <c r="EX64" s="330">
        <v>1</v>
      </c>
      <c r="EY64" s="336">
        <v>45996</v>
      </c>
      <c r="EZ64" s="330">
        <v>1</v>
      </c>
      <c r="FA64" s="336">
        <v>45996</v>
      </c>
      <c r="FB64" s="330">
        <v>1</v>
      </c>
      <c r="FC64" s="330" t="s">
        <v>202</v>
      </c>
      <c r="FD64" s="332" t="s">
        <v>190</v>
      </c>
      <c r="FE64" s="336">
        <v>45997</v>
      </c>
      <c r="FF64" s="330"/>
      <c r="FG64" s="330" t="s">
        <v>203</v>
      </c>
      <c r="FH64" s="330" t="s">
        <v>790</v>
      </c>
      <c r="FI64" s="330" t="s">
        <v>204</v>
      </c>
      <c r="FJ64" s="330"/>
      <c r="FK64" s="330" t="s">
        <v>327</v>
      </c>
      <c r="FL64" s="330" t="s">
        <v>741</v>
      </c>
      <c r="FM64" s="330" t="s">
        <v>202</v>
      </c>
      <c r="FN64" s="330" t="s">
        <v>791</v>
      </c>
      <c r="FO64" s="330" t="b">
        <v>1</v>
      </c>
      <c r="FP64" s="330" t="s">
        <v>430</v>
      </c>
      <c r="FQ64" s="330"/>
      <c r="FR64" s="330"/>
      <c r="FS64" s="330"/>
      <c r="FT64" s="330"/>
      <c r="FU64" s="330"/>
    </row>
    <row r="65" spans="1:177" ht="25.5" x14ac:dyDescent="0.25">
      <c r="A65" s="330">
        <v>64</v>
      </c>
      <c r="B65" s="331" t="s">
        <v>792</v>
      </c>
      <c r="C65" s="330"/>
      <c r="D65" s="332" t="s">
        <v>793</v>
      </c>
      <c r="E65" s="332" t="s">
        <v>794</v>
      </c>
      <c r="F65" s="332" t="s">
        <v>795</v>
      </c>
      <c r="G65" s="330" t="s">
        <v>796</v>
      </c>
      <c r="H65" s="331" t="s">
        <v>731</v>
      </c>
      <c r="I65" s="330"/>
      <c r="J65" s="332" t="s">
        <v>797</v>
      </c>
      <c r="K65" s="332" t="s">
        <v>797</v>
      </c>
      <c r="L65" s="330"/>
      <c r="M65" s="332"/>
      <c r="N65" s="330" t="s">
        <v>798</v>
      </c>
      <c r="O65" s="339">
        <v>0.97553516819571895</v>
      </c>
      <c r="P65" s="333">
        <v>319</v>
      </c>
      <c r="Q65" s="333">
        <v>327</v>
      </c>
      <c r="R65" s="333">
        <v>12</v>
      </c>
      <c r="S65" s="333">
        <v>12</v>
      </c>
      <c r="T65" s="333">
        <v>1</v>
      </c>
      <c r="U65" s="333">
        <v>0</v>
      </c>
      <c r="V65" s="333">
        <v>0</v>
      </c>
      <c r="W65" s="330">
        <v>1</v>
      </c>
      <c r="X65" s="330" t="s">
        <v>213</v>
      </c>
      <c r="Y65" s="332" t="s">
        <v>799</v>
      </c>
      <c r="Z65" s="330" t="s">
        <v>614</v>
      </c>
      <c r="AA65" s="330" t="s">
        <v>800</v>
      </c>
      <c r="AB65" s="330" t="s">
        <v>189</v>
      </c>
      <c r="AC65" s="330"/>
      <c r="AD65" s="330"/>
      <c r="AE65" s="330">
        <v>14</v>
      </c>
      <c r="AF65" s="330">
        <v>-161</v>
      </c>
      <c r="AG65" s="332" t="s">
        <v>190</v>
      </c>
      <c r="AH65" s="332" t="s">
        <v>191</v>
      </c>
      <c r="AI65" s="330"/>
      <c r="AJ65" s="330"/>
      <c r="AK65" s="330"/>
      <c r="AL65" s="330" t="s">
        <v>191</v>
      </c>
      <c r="AM65" s="330"/>
      <c r="AN65" s="330"/>
      <c r="AO65" s="330"/>
      <c r="AP65" s="332"/>
      <c r="AQ65" s="330"/>
      <c r="AR65" s="330"/>
      <c r="AS65" s="330"/>
      <c r="AT65" s="330"/>
      <c r="AU65" s="332" t="s">
        <v>191</v>
      </c>
      <c r="AV65" s="334">
        <v>45890.372673414349</v>
      </c>
      <c r="AW65" s="330" t="b">
        <v>1</v>
      </c>
      <c r="AX65" s="335">
        <v>45898</v>
      </c>
      <c r="AY65" s="336">
        <v>45891</v>
      </c>
      <c r="AZ65" s="330"/>
      <c r="BA65" s="336">
        <v>45904</v>
      </c>
      <c r="BB65" s="330"/>
      <c r="BC65" s="336">
        <v>45908</v>
      </c>
      <c r="BD65" s="330"/>
      <c r="BE65" s="336">
        <v>45908</v>
      </c>
      <c r="BF65" s="330"/>
      <c r="BG65" s="330"/>
      <c r="BH65" s="330" t="s">
        <v>193</v>
      </c>
      <c r="BI65" s="330"/>
      <c r="BJ65" s="330"/>
      <c r="BK65" s="330"/>
      <c r="BL65" s="330"/>
      <c r="BM65" s="332"/>
      <c r="BN65" s="330"/>
      <c r="BO65" s="330" t="s">
        <v>184</v>
      </c>
      <c r="BP65" s="330" t="s">
        <v>220</v>
      </c>
      <c r="BQ65" s="330" t="s">
        <v>801</v>
      </c>
      <c r="BR65" s="330" t="s">
        <v>220</v>
      </c>
      <c r="BS65" s="330"/>
      <c r="BT65" s="330" t="s">
        <v>220</v>
      </c>
      <c r="BU65" s="330"/>
      <c r="BV65" s="330" t="s">
        <v>220</v>
      </c>
      <c r="BW65" s="330"/>
      <c r="BX65" s="332"/>
      <c r="BY65" s="330"/>
      <c r="BZ65" s="330"/>
      <c r="CA65" s="330"/>
      <c r="CB65" s="330"/>
      <c r="CC65" s="337" t="s">
        <v>194</v>
      </c>
      <c r="CD65" s="330"/>
      <c r="CE65" s="330" t="b">
        <v>1</v>
      </c>
      <c r="CF65" s="330"/>
      <c r="CG65" s="330"/>
      <c r="CH65" s="330"/>
      <c r="CI65" s="330"/>
      <c r="CJ65" s="330"/>
      <c r="CK65" s="330"/>
      <c r="CL65" s="330"/>
      <c r="CM65" s="330"/>
      <c r="CN65" s="330"/>
      <c r="CO65" s="330" t="b">
        <v>1</v>
      </c>
      <c r="CP65" s="330" t="b">
        <v>1</v>
      </c>
      <c r="CQ65" s="330"/>
      <c r="CR65" s="330"/>
      <c r="CS65" s="330"/>
      <c r="CT65" s="330"/>
      <c r="CU65" s="330"/>
      <c r="CV65" s="330"/>
      <c r="CW65" s="330"/>
      <c r="CX65" s="330"/>
      <c r="CY65" s="330"/>
      <c r="CZ65" s="330"/>
      <c r="DA65" s="330"/>
      <c r="DB65" s="330"/>
      <c r="DC65" s="330"/>
      <c r="DD65" s="330"/>
      <c r="DE65" s="330"/>
      <c r="DF65" s="338">
        <v>25016</v>
      </c>
      <c r="DG65" s="330" t="s">
        <v>195</v>
      </c>
      <c r="DH65" s="330"/>
      <c r="DI65" s="338">
        <v>201</v>
      </c>
      <c r="DJ65" s="330"/>
      <c r="DK65" s="330">
        <v>201</v>
      </c>
      <c r="DL65" s="330" t="s">
        <v>792</v>
      </c>
      <c r="DM65" s="330"/>
      <c r="DN65" s="330"/>
      <c r="DO65" s="330"/>
      <c r="DP65" s="330"/>
      <c r="DQ65" s="338" t="s">
        <v>197</v>
      </c>
      <c r="DR65" s="330"/>
      <c r="DS65" s="330"/>
      <c r="DT65" s="330"/>
      <c r="DU65" s="338" t="s">
        <v>197</v>
      </c>
      <c r="DV65" s="330"/>
      <c r="DW65" s="330"/>
      <c r="DX65" s="330"/>
      <c r="DY65" s="338" t="s">
        <v>197</v>
      </c>
      <c r="DZ65" s="330"/>
      <c r="EA65" s="330"/>
      <c r="EB65" s="330"/>
      <c r="EC65" s="330" t="s">
        <v>197</v>
      </c>
      <c r="ED65" s="338" t="s">
        <v>197</v>
      </c>
      <c r="EE65" s="341">
        <v>0.25</v>
      </c>
      <c r="EF65" s="341">
        <v>2</v>
      </c>
      <c r="EG65" s="330"/>
      <c r="EH65" s="330"/>
      <c r="EI65" s="330"/>
      <c r="EJ65" s="330"/>
      <c r="EK65" s="330"/>
      <c r="EL65" s="330"/>
      <c r="EM65" s="330"/>
      <c r="EN65" s="330"/>
      <c r="EO65" s="330"/>
      <c r="EP65" s="330"/>
      <c r="EQ65" s="332" t="s">
        <v>198</v>
      </c>
      <c r="ER65" s="330"/>
      <c r="ES65" s="330"/>
      <c r="ET65" s="332"/>
      <c r="EU65" s="332" t="s">
        <v>199</v>
      </c>
      <c r="EV65" s="330"/>
      <c r="EW65" s="330"/>
      <c r="EX65" s="330" t="s">
        <v>200</v>
      </c>
      <c r="EY65" s="330"/>
      <c r="EZ65" s="330" t="s">
        <v>201</v>
      </c>
      <c r="FA65" s="336">
        <v>45896</v>
      </c>
      <c r="FB65" s="330">
        <v>9</v>
      </c>
      <c r="FC65" s="330" t="s">
        <v>202</v>
      </c>
      <c r="FD65" s="332" t="s">
        <v>190</v>
      </c>
      <c r="FE65" s="336">
        <v>45908</v>
      </c>
      <c r="FF65" s="330"/>
      <c r="FG65" s="330" t="s">
        <v>203</v>
      </c>
      <c r="FH65" s="330"/>
      <c r="FI65" s="330" t="s">
        <v>204</v>
      </c>
      <c r="FJ65" s="330"/>
      <c r="FK65" s="330" t="s">
        <v>795</v>
      </c>
      <c r="FL65" s="330" t="s">
        <v>191</v>
      </c>
      <c r="FM65" s="330"/>
      <c r="FN65" s="330" t="s">
        <v>802</v>
      </c>
      <c r="FO65" s="330"/>
      <c r="FP65" s="330" t="s">
        <v>803</v>
      </c>
      <c r="FQ65" s="330"/>
      <c r="FR65" s="330"/>
      <c r="FS65" s="330"/>
      <c r="FT65" s="330"/>
      <c r="FU65" s="330"/>
    </row>
    <row r="66" spans="1:177" ht="51" x14ac:dyDescent="0.25">
      <c r="A66" s="330">
        <v>65</v>
      </c>
      <c r="B66" s="331" t="s">
        <v>804</v>
      </c>
      <c r="C66" s="330"/>
      <c r="D66" s="332" t="s">
        <v>793</v>
      </c>
      <c r="E66" s="332" t="s">
        <v>794</v>
      </c>
      <c r="F66" s="332" t="s">
        <v>795</v>
      </c>
      <c r="G66" s="330" t="s">
        <v>796</v>
      </c>
      <c r="H66" s="331" t="s">
        <v>731</v>
      </c>
      <c r="I66" s="330"/>
      <c r="J66" s="332" t="s">
        <v>805</v>
      </c>
      <c r="K66" s="332" t="s">
        <v>806</v>
      </c>
      <c r="L66" s="330"/>
      <c r="M66" s="332"/>
      <c r="N66" s="330" t="s">
        <v>807</v>
      </c>
      <c r="O66" s="339">
        <v>1</v>
      </c>
      <c r="P66" s="333">
        <v>327</v>
      </c>
      <c r="Q66" s="333">
        <v>327</v>
      </c>
      <c r="R66" s="333">
        <v>8</v>
      </c>
      <c r="S66" s="333">
        <v>8</v>
      </c>
      <c r="T66" s="333">
        <v>3</v>
      </c>
      <c r="U66" s="333">
        <v>0</v>
      </c>
      <c r="V66" s="333">
        <v>0</v>
      </c>
      <c r="W66" s="330"/>
      <c r="X66" s="330" t="s">
        <v>213</v>
      </c>
      <c r="Y66" s="332" t="s">
        <v>808</v>
      </c>
      <c r="Z66" s="330" t="s">
        <v>739</v>
      </c>
      <c r="AA66" s="330" t="s">
        <v>809</v>
      </c>
      <c r="AB66" s="330" t="s">
        <v>189</v>
      </c>
      <c r="AC66" s="330"/>
      <c r="AD66" s="330"/>
      <c r="AE66" s="330">
        <v>14</v>
      </c>
      <c r="AF66" s="330">
        <v>-161</v>
      </c>
      <c r="AG66" s="332" t="s">
        <v>190</v>
      </c>
      <c r="AH66" s="332" t="s">
        <v>191</v>
      </c>
      <c r="AI66" s="330"/>
      <c r="AJ66" s="330"/>
      <c r="AK66" s="330"/>
      <c r="AL66" s="330" t="s">
        <v>810</v>
      </c>
      <c r="AM66" s="330" t="s">
        <v>191</v>
      </c>
      <c r="AN66" s="330" t="s">
        <v>810</v>
      </c>
      <c r="AO66" s="330"/>
      <c r="AP66" s="332"/>
      <c r="AQ66" s="330"/>
      <c r="AR66" s="330"/>
      <c r="AS66" s="330"/>
      <c r="AT66" s="330"/>
      <c r="AU66" s="332" t="s">
        <v>810</v>
      </c>
      <c r="AV66" s="334">
        <v>45890.372402106485</v>
      </c>
      <c r="AW66" s="330" t="b">
        <v>1</v>
      </c>
      <c r="AX66" s="335">
        <v>45898</v>
      </c>
      <c r="AY66" s="336">
        <v>45894</v>
      </c>
      <c r="AZ66" s="330"/>
      <c r="BA66" s="336">
        <v>45904</v>
      </c>
      <c r="BB66" s="330"/>
      <c r="BC66" s="336">
        <v>45908</v>
      </c>
      <c r="BD66" s="330"/>
      <c r="BE66" s="336">
        <v>45908</v>
      </c>
      <c r="BF66" s="330"/>
      <c r="BG66" s="330"/>
      <c r="BH66" s="330" t="s">
        <v>193</v>
      </c>
      <c r="BI66" s="330"/>
      <c r="BJ66" s="330"/>
      <c r="BK66" s="330"/>
      <c r="BL66" s="330"/>
      <c r="BM66" s="332"/>
      <c r="BN66" s="330"/>
      <c r="BO66" s="330" t="s">
        <v>184</v>
      </c>
      <c r="BP66" s="330" t="s">
        <v>184</v>
      </c>
      <c r="BQ66" s="330" t="s">
        <v>801</v>
      </c>
      <c r="BR66" s="330" t="s">
        <v>220</v>
      </c>
      <c r="BS66" s="330"/>
      <c r="BT66" s="330" t="s">
        <v>220</v>
      </c>
      <c r="BU66" s="330"/>
      <c r="BV66" s="330" t="s">
        <v>220</v>
      </c>
      <c r="BW66" s="330"/>
      <c r="BX66" s="332"/>
      <c r="BY66" s="330"/>
      <c r="BZ66" s="330"/>
      <c r="CA66" s="330"/>
      <c r="CB66" s="330"/>
      <c r="CC66" s="337" t="s">
        <v>194</v>
      </c>
      <c r="CD66" s="330"/>
      <c r="CE66" s="330" t="b">
        <v>1</v>
      </c>
      <c r="CF66" s="330"/>
      <c r="CG66" s="330"/>
      <c r="CH66" s="330"/>
      <c r="CI66" s="330"/>
      <c r="CJ66" s="330"/>
      <c r="CK66" s="330"/>
      <c r="CL66" s="330"/>
      <c r="CM66" s="330"/>
      <c r="CN66" s="330"/>
      <c r="CO66" s="330" t="b">
        <v>1</v>
      </c>
      <c r="CP66" s="330" t="b">
        <v>1</v>
      </c>
      <c r="CQ66" s="330"/>
      <c r="CR66" s="330"/>
      <c r="CS66" s="330"/>
      <c r="CT66" s="330"/>
      <c r="CU66" s="330"/>
      <c r="CV66" s="330"/>
      <c r="CW66" s="330"/>
      <c r="CX66" s="330"/>
      <c r="CY66" s="330"/>
      <c r="CZ66" s="330"/>
      <c r="DA66" s="330"/>
      <c r="DB66" s="330"/>
      <c r="DC66" s="330"/>
      <c r="DD66" s="330"/>
      <c r="DE66" s="330"/>
      <c r="DF66" s="338">
        <v>25016</v>
      </c>
      <c r="DG66" s="330" t="s">
        <v>764</v>
      </c>
      <c r="DH66" s="330"/>
      <c r="DI66" s="338">
        <v>200</v>
      </c>
      <c r="DJ66" s="330"/>
      <c r="DK66" s="330">
        <v>200</v>
      </c>
      <c r="DL66" s="330" t="s">
        <v>804</v>
      </c>
      <c r="DM66" s="330"/>
      <c r="DN66" s="330"/>
      <c r="DO66" s="330"/>
      <c r="DP66" s="330"/>
      <c r="DQ66" s="338" t="s">
        <v>197</v>
      </c>
      <c r="DR66" s="330"/>
      <c r="DS66" s="330"/>
      <c r="DT66" s="330"/>
      <c r="DU66" s="338" t="s">
        <v>197</v>
      </c>
      <c r="DV66" s="330"/>
      <c r="DW66" s="330"/>
      <c r="DX66" s="330"/>
      <c r="DY66" s="338" t="s">
        <v>197</v>
      </c>
      <c r="DZ66" s="330"/>
      <c r="EA66" s="330"/>
      <c r="EB66" s="330"/>
      <c r="EC66" s="330" t="s">
        <v>197</v>
      </c>
      <c r="ED66" s="338" t="s">
        <v>197</v>
      </c>
      <c r="EE66" s="341">
        <v>1</v>
      </c>
      <c r="EF66" s="341">
        <v>4</v>
      </c>
      <c r="EG66" s="330"/>
      <c r="EH66" s="330"/>
      <c r="EI66" s="330"/>
      <c r="EJ66" s="330"/>
      <c r="EK66" s="330"/>
      <c r="EL66" s="330"/>
      <c r="EM66" s="330"/>
      <c r="EN66" s="330"/>
      <c r="EO66" s="330"/>
      <c r="EP66" s="330"/>
      <c r="EQ66" s="332" t="s">
        <v>198</v>
      </c>
      <c r="ER66" s="330"/>
      <c r="ES66" s="330"/>
      <c r="ET66" s="332"/>
      <c r="EU66" s="332" t="s">
        <v>199</v>
      </c>
      <c r="EV66" s="330"/>
      <c r="EW66" s="330"/>
      <c r="EX66" s="330" t="s">
        <v>200</v>
      </c>
      <c r="EY66" s="330"/>
      <c r="EZ66" s="330" t="s">
        <v>201</v>
      </c>
      <c r="FA66" s="336">
        <v>45896</v>
      </c>
      <c r="FB66" s="330">
        <v>9</v>
      </c>
      <c r="FC66" s="330" t="s">
        <v>202</v>
      </c>
      <c r="FD66" s="332" t="s">
        <v>190</v>
      </c>
      <c r="FE66" s="336">
        <v>45908</v>
      </c>
      <c r="FF66" s="330"/>
      <c r="FG66" s="330" t="s">
        <v>203</v>
      </c>
      <c r="FH66" s="330" t="s">
        <v>811</v>
      </c>
      <c r="FI66" s="330" t="s">
        <v>204</v>
      </c>
      <c r="FJ66" s="330"/>
      <c r="FK66" s="330" t="s">
        <v>795</v>
      </c>
      <c r="FL66" s="330" t="s">
        <v>810</v>
      </c>
      <c r="FM66" s="330" t="s">
        <v>191</v>
      </c>
      <c r="FN66" s="330" t="s">
        <v>812</v>
      </c>
      <c r="FO66" s="330"/>
      <c r="FP66" s="330" t="s">
        <v>803</v>
      </c>
      <c r="FQ66" s="330"/>
      <c r="FR66" s="330"/>
      <c r="FS66" s="330"/>
      <c r="FT66" s="330"/>
      <c r="FU66" s="330"/>
    </row>
    <row r="67" spans="1:177" ht="38.25" x14ac:dyDescent="0.25">
      <c r="A67" s="330">
        <v>66</v>
      </c>
      <c r="B67" s="331" t="s">
        <v>813</v>
      </c>
      <c r="C67" s="330"/>
      <c r="D67" s="332" t="s">
        <v>793</v>
      </c>
      <c r="E67" s="332" t="s">
        <v>794</v>
      </c>
      <c r="F67" s="332" t="s">
        <v>795</v>
      </c>
      <c r="G67" s="330" t="s">
        <v>796</v>
      </c>
      <c r="H67" s="331">
        <v>400</v>
      </c>
      <c r="I67" s="330"/>
      <c r="J67" s="332" t="s">
        <v>814</v>
      </c>
      <c r="K67" s="332"/>
      <c r="L67" s="330"/>
      <c r="M67" s="332"/>
      <c r="N67" s="330" t="s">
        <v>815</v>
      </c>
      <c r="O67" s="339">
        <v>0.93577981651376196</v>
      </c>
      <c r="P67" s="333">
        <v>306</v>
      </c>
      <c r="Q67" s="333">
        <v>327</v>
      </c>
      <c r="R67" s="333">
        <v>4</v>
      </c>
      <c r="S67" s="333">
        <v>5</v>
      </c>
      <c r="T67" s="333">
        <v>5</v>
      </c>
      <c r="U67" s="333">
        <v>48</v>
      </c>
      <c r="V67" s="333">
        <v>0</v>
      </c>
      <c r="W67" s="330">
        <v>2</v>
      </c>
      <c r="X67" s="330" t="s">
        <v>816</v>
      </c>
      <c r="Y67" s="332" t="s">
        <v>817</v>
      </c>
      <c r="Z67" s="330" t="s">
        <v>215</v>
      </c>
      <c r="AA67" s="330" t="s">
        <v>818</v>
      </c>
      <c r="AB67" s="330" t="s">
        <v>217</v>
      </c>
      <c r="AC67" s="330"/>
      <c r="AD67" s="330"/>
      <c r="AE67" s="330">
        <v>4</v>
      </c>
      <c r="AF67" s="330">
        <v>-210</v>
      </c>
      <c r="AG67" s="332" t="s">
        <v>190</v>
      </c>
      <c r="AH67" s="332" t="s">
        <v>191</v>
      </c>
      <c r="AI67" s="330"/>
      <c r="AJ67" s="330" t="s">
        <v>471</v>
      </c>
      <c r="AK67" s="330" t="s">
        <v>191</v>
      </c>
      <c r="AL67" s="330" t="s">
        <v>471</v>
      </c>
      <c r="AM67" s="330" t="s">
        <v>191</v>
      </c>
      <c r="AN67" s="330" t="s">
        <v>471</v>
      </c>
      <c r="AO67" s="330"/>
      <c r="AP67" s="332" t="s">
        <v>239</v>
      </c>
      <c r="AQ67" s="330"/>
      <c r="AR67" s="330"/>
      <c r="AS67" s="330" t="b">
        <v>1</v>
      </c>
      <c r="AT67" s="330"/>
      <c r="AU67" s="332" t="s">
        <v>471</v>
      </c>
      <c r="AV67" s="334">
        <v>45807.517716365743</v>
      </c>
      <c r="AW67" s="330" t="b">
        <v>1</v>
      </c>
      <c r="AX67" s="335">
        <v>45828</v>
      </c>
      <c r="AY67" s="336">
        <v>45812</v>
      </c>
      <c r="AZ67" s="330"/>
      <c r="BA67" s="336">
        <v>45835</v>
      </c>
      <c r="BB67" s="330"/>
      <c r="BC67" s="336">
        <v>45839</v>
      </c>
      <c r="BD67" s="330"/>
      <c r="BE67" s="336">
        <v>45839</v>
      </c>
      <c r="BF67" s="330"/>
      <c r="BG67" s="330"/>
      <c r="BH67" s="330" t="s">
        <v>193</v>
      </c>
      <c r="BI67" s="330"/>
      <c r="BJ67" s="330"/>
      <c r="BK67" s="330"/>
      <c r="BL67" s="330"/>
      <c r="BM67" s="332"/>
      <c r="BN67" s="330"/>
      <c r="BO67" s="330" t="s">
        <v>184</v>
      </c>
      <c r="BP67" s="330" t="s">
        <v>193</v>
      </c>
      <c r="BQ67" s="330" t="s">
        <v>801</v>
      </c>
      <c r="BR67" s="330" t="s">
        <v>220</v>
      </c>
      <c r="BS67" s="330"/>
      <c r="BT67" s="330" t="s">
        <v>193</v>
      </c>
      <c r="BU67" s="330" t="s">
        <v>819</v>
      </c>
      <c r="BV67" s="330" t="s">
        <v>220</v>
      </c>
      <c r="BW67" s="330"/>
      <c r="BX67" s="332"/>
      <c r="BY67" s="330"/>
      <c r="BZ67" s="330"/>
      <c r="CA67" s="330"/>
      <c r="CB67" s="330"/>
      <c r="CC67" s="337" t="s">
        <v>194</v>
      </c>
      <c r="CD67" s="330" t="b">
        <v>1</v>
      </c>
      <c r="CE67" s="330" t="b">
        <v>1</v>
      </c>
      <c r="CF67" s="330" t="b">
        <v>1</v>
      </c>
      <c r="CG67" s="330" t="s">
        <v>820</v>
      </c>
      <c r="CH67" s="330"/>
      <c r="CI67" s="330"/>
      <c r="CJ67" s="330"/>
      <c r="CK67" s="330"/>
      <c r="CL67" s="330"/>
      <c r="CM67" s="330"/>
      <c r="CN67" s="330"/>
      <c r="CO67" s="330"/>
      <c r="CP67" s="330"/>
      <c r="CQ67" s="330"/>
      <c r="CR67" s="330"/>
      <c r="CS67" s="330"/>
      <c r="CT67" s="330"/>
      <c r="CU67" s="330"/>
      <c r="CV67" s="330"/>
      <c r="CW67" s="330"/>
      <c r="CX67" s="330"/>
      <c r="CY67" s="330"/>
      <c r="CZ67" s="330"/>
      <c r="DA67" s="330"/>
      <c r="DB67" s="330" t="b">
        <v>1</v>
      </c>
      <c r="DC67" s="330" t="b">
        <v>1</v>
      </c>
      <c r="DD67" s="330"/>
      <c r="DE67" s="330"/>
      <c r="DF67" s="338">
        <v>25016</v>
      </c>
      <c r="DG67" s="330" t="s">
        <v>821</v>
      </c>
      <c r="DH67" s="330"/>
      <c r="DI67" s="340">
        <v>101</v>
      </c>
      <c r="DJ67" s="330"/>
      <c r="DK67" s="330">
        <v>101</v>
      </c>
      <c r="DL67" s="330" t="s">
        <v>822</v>
      </c>
      <c r="DM67" s="330"/>
      <c r="DN67" s="330"/>
      <c r="DO67" s="330"/>
      <c r="DP67" s="330"/>
      <c r="DQ67" s="338" t="s">
        <v>197</v>
      </c>
      <c r="DR67" s="330"/>
      <c r="DS67" s="330"/>
      <c r="DT67" s="330"/>
      <c r="DU67" s="338" t="s">
        <v>197</v>
      </c>
      <c r="DV67" s="330"/>
      <c r="DW67" s="330"/>
      <c r="DX67" s="330"/>
      <c r="DY67" s="338" t="s">
        <v>197</v>
      </c>
      <c r="DZ67" s="330"/>
      <c r="EA67" s="330"/>
      <c r="EB67" s="330"/>
      <c r="EC67" s="330" t="s">
        <v>197</v>
      </c>
      <c r="ED67" s="338" t="s">
        <v>197</v>
      </c>
      <c r="EE67" s="330">
        <v>2</v>
      </c>
      <c r="EF67" s="330">
        <v>8</v>
      </c>
      <c r="EG67" s="330"/>
      <c r="EH67" s="330"/>
      <c r="EI67" s="330"/>
      <c r="EJ67" s="330"/>
      <c r="EK67" s="330"/>
      <c r="EL67" s="330"/>
      <c r="EM67" s="330"/>
      <c r="EN67" s="330"/>
      <c r="EO67" s="330"/>
      <c r="EP67" s="330"/>
      <c r="EQ67" s="332" t="s">
        <v>198</v>
      </c>
      <c r="ER67" s="330"/>
      <c r="ES67" s="330"/>
      <c r="ET67" s="332" t="s">
        <v>245</v>
      </c>
      <c r="EU67" s="332" t="s">
        <v>823</v>
      </c>
      <c r="EV67" s="336">
        <v>45812</v>
      </c>
      <c r="EW67" s="336">
        <v>45812</v>
      </c>
      <c r="EX67" s="330">
        <v>1</v>
      </c>
      <c r="EY67" s="330"/>
      <c r="EZ67" s="330" t="s">
        <v>201</v>
      </c>
      <c r="FA67" s="336">
        <v>45819</v>
      </c>
      <c r="FB67" s="330">
        <v>1</v>
      </c>
      <c r="FC67" s="330" t="s">
        <v>202</v>
      </c>
      <c r="FD67" s="332" t="s">
        <v>190</v>
      </c>
      <c r="FE67" s="336">
        <v>45819</v>
      </c>
      <c r="FF67" s="330"/>
      <c r="FG67" s="330" t="s">
        <v>203</v>
      </c>
      <c r="FH67" s="330" t="s">
        <v>824</v>
      </c>
      <c r="FI67" s="330" t="s">
        <v>204</v>
      </c>
      <c r="FJ67" s="330"/>
      <c r="FK67" s="330" t="s">
        <v>795</v>
      </c>
      <c r="FL67" s="330" t="s">
        <v>471</v>
      </c>
      <c r="FM67" s="330" t="s">
        <v>191</v>
      </c>
      <c r="FN67" s="330" t="s">
        <v>825</v>
      </c>
      <c r="FO67" s="330"/>
      <c r="FP67" s="330" t="s">
        <v>826</v>
      </c>
      <c r="FQ67" s="330"/>
      <c r="FR67" s="330"/>
      <c r="FS67" s="330"/>
      <c r="FT67" s="330"/>
      <c r="FU67" s="330"/>
    </row>
    <row r="68" spans="1:177" ht="25.5" x14ac:dyDescent="0.25">
      <c r="A68" s="330">
        <v>67</v>
      </c>
      <c r="B68" s="331" t="s">
        <v>827</v>
      </c>
      <c r="C68" s="330"/>
      <c r="D68" s="332" t="s">
        <v>793</v>
      </c>
      <c r="E68" s="332" t="s">
        <v>794</v>
      </c>
      <c r="F68" s="332" t="s">
        <v>795</v>
      </c>
      <c r="G68" s="330" t="s">
        <v>796</v>
      </c>
      <c r="H68" s="331" t="s">
        <v>731</v>
      </c>
      <c r="I68" s="330"/>
      <c r="J68" s="332" t="s">
        <v>828</v>
      </c>
      <c r="K68" s="332"/>
      <c r="L68" s="330"/>
      <c r="M68" s="332"/>
      <c r="N68" s="330"/>
      <c r="O68" s="333" t="s">
        <v>184</v>
      </c>
      <c r="P68" s="333" t="s">
        <v>184</v>
      </c>
      <c r="Q68" s="333" t="s">
        <v>184</v>
      </c>
      <c r="R68" s="333">
        <v>0</v>
      </c>
      <c r="S68" s="333">
        <v>8</v>
      </c>
      <c r="T68" s="333">
        <v>4</v>
      </c>
      <c r="U68" s="333">
        <v>0</v>
      </c>
      <c r="V68" s="333">
        <v>0</v>
      </c>
      <c r="W68" s="330" t="s">
        <v>184</v>
      </c>
      <c r="X68" s="330" t="s">
        <v>184</v>
      </c>
      <c r="Y68" s="332" t="s">
        <v>829</v>
      </c>
      <c r="Z68" s="330" t="s">
        <v>739</v>
      </c>
      <c r="AA68" s="330" t="s">
        <v>830</v>
      </c>
      <c r="AB68" s="330" t="s">
        <v>189</v>
      </c>
      <c r="AC68" s="330"/>
      <c r="AD68" s="330"/>
      <c r="AE68" s="330">
        <v>4</v>
      </c>
      <c r="AF68" s="330">
        <v>-210</v>
      </c>
      <c r="AG68" s="332" t="s">
        <v>190</v>
      </c>
      <c r="AH68" s="332" t="s">
        <v>202</v>
      </c>
      <c r="AI68" s="330" t="s">
        <v>191</v>
      </c>
      <c r="AJ68" s="330"/>
      <c r="AK68" s="330"/>
      <c r="AL68" s="330" t="s">
        <v>471</v>
      </c>
      <c r="AM68" s="330" t="s">
        <v>191</v>
      </c>
      <c r="AN68" s="330" t="s">
        <v>471</v>
      </c>
      <c r="AO68" s="330"/>
      <c r="AP68" s="332"/>
      <c r="AQ68" s="330"/>
      <c r="AR68" s="330"/>
      <c r="AS68" s="330"/>
      <c r="AT68" s="330"/>
      <c r="AU68" s="332" t="s">
        <v>471</v>
      </c>
      <c r="AV68" s="334">
        <v>45807.522862893522</v>
      </c>
      <c r="AW68" s="330" t="b">
        <v>1</v>
      </c>
      <c r="AX68" s="335">
        <v>45828</v>
      </c>
      <c r="AY68" s="336">
        <v>45811</v>
      </c>
      <c r="AZ68" s="330"/>
      <c r="BA68" s="336">
        <v>45835</v>
      </c>
      <c r="BB68" s="330"/>
      <c r="BC68" s="336">
        <v>45839</v>
      </c>
      <c r="BD68" s="330"/>
      <c r="BE68" s="336">
        <v>45839</v>
      </c>
      <c r="BF68" s="330"/>
      <c r="BG68" s="330"/>
      <c r="BH68" s="330" t="s">
        <v>193</v>
      </c>
      <c r="BI68" s="330"/>
      <c r="BJ68" s="330"/>
      <c r="BK68" s="330"/>
      <c r="BL68" s="330"/>
      <c r="BM68" s="332"/>
      <c r="BN68" s="330"/>
      <c r="BO68" s="330" t="s">
        <v>184</v>
      </c>
      <c r="BP68" s="330" t="s">
        <v>220</v>
      </c>
      <c r="BQ68" s="330" t="s">
        <v>801</v>
      </c>
      <c r="BR68" s="330" t="s">
        <v>220</v>
      </c>
      <c r="BS68" s="330"/>
      <c r="BT68" s="330" t="s">
        <v>193</v>
      </c>
      <c r="BU68" s="330" t="s">
        <v>831</v>
      </c>
      <c r="BV68" s="330" t="s">
        <v>220</v>
      </c>
      <c r="BW68" s="330"/>
      <c r="BX68" s="332"/>
      <c r="BY68" s="330"/>
      <c r="BZ68" s="330"/>
      <c r="CA68" s="330"/>
      <c r="CB68" s="330"/>
      <c r="CC68" s="337" t="s">
        <v>194</v>
      </c>
      <c r="CD68" s="330"/>
      <c r="CE68" s="330" t="b">
        <v>1</v>
      </c>
      <c r="CF68" s="330"/>
      <c r="CG68" s="330"/>
      <c r="CH68" s="330"/>
      <c r="CI68" s="330"/>
      <c r="CJ68" s="330"/>
      <c r="CK68" s="330"/>
      <c r="CL68" s="330"/>
      <c r="CM68" s="330"/>
      <c r="CN68" s="330"/>
      <c r="CO68" s="330" t="b">
        <v>1</v>
      </c>
      <c r="CP68" s="330" t="b">
        <v>1</v>
      </c>
      <c r="CQ68" s="330"/>
      <c r="CR68" s="330"/>
      <c r="CS68" s="330"/>
      <c r="CT68" s="330"/>
      <c r="CU68" s="330"/>
      <c r="CV68" s="330"/>
      <c r="CW68" s="330"/>
      <c r="CX68" s="330"/>
      <c r="CY68" s="330"/>
      <c r="CZ68" s="330"/>
      <c r="DA68" s="330"/>
      <c r="DB68" s="330"/>
      <c r="DC68" s="330"/>
      <c r="DD68" s="330"/>
      <c r="DE68" s="330"/>
      <c r="DF68" s="338">
        <v>25016</v>
      </c>
      <c r="DG68" s="330" t="s">
        <v>821</v>
      </c>
      <c r="DH68" s="330"/>
      <c r="DI68" s="340">
        <v>103</v>
      </c>
      <c r="DJ68" s="330"/>
      <c r="DK68" s="330">
        <v>103</v>
      </c>
      <c r="DL68" s="330" t="s">
        <v>822</v>
      </c>
      <c r="DM68" s="330"/>
      <c r="DN68" s="330"/>
      <c r="DO68" s="330"/>
      <c r="DP68" s="330"/>
      <c r="DQ68" s="338" t="s">
        <v>197</v>
      </c>
      <c r="DR68" s="330"/>
      <c r="DS68" s="330"/>
      <c r="DT68" s="330"/>
      <c r="DU68" s="338" t="s">
        <v>197</v>
      </c>
      <c r="DV68" s="330"/>
      <c r="DW68" s="330"/>
      <c r="DX68" s="330"/>
      <c r="DY68" s="338" t="s">
        <v>197</v>
      </c>
      <c r="DZ68" s="330"/>
      <c r="EA68" s="330"/>
      <c r="EB68" s="330"/>
      <c r="EC68" s="330" t="s">
        <v>197</v>
      </c>
      <c r="ED68" s="338" t="s">
        <v>197</v>
      </c>
      <c r="EE68" s="330">
        <v>1</v>
      </c>
      <c r="EF68" s="330">
        <v>2</v>
      </c>
      <c r="EG68" s="330"/>
      <c r="EH68" s="330"/>
      <c r="EI68" s="330"/>
      <c r="EJ68" s="330"/>
      <c r="EK68" s="330"/>
      <c r="EL68" s="330"/>
      <c r="EM68" s="330"/>
      <c r="EN68" s="330"/>
      <c r="EO68" s="330"/>
      <c r="EP68" s="330"/>
      <c r="EQ68" s="332" t="s">
        <v>198</v>
      </c>
      <c r="ER68" s="330"/>
      <c r="ES68" s="330"/>
      <c r="ET68" s="332"/>
      <c r="EU68" s="332" t="s">
        <v>199</v>
      </c>
      <c r="EV68" s="330"/>
      <c r="EW68" s="330"/>
      <c r="EX68" s="330" t="s">
        <v>200</v>
      </c>
      <c r="EY68" s="330"/>
      <c r="EZ68" s="330" t="s">
        <v>201</v>
      </c>
      <c r="FA68" s="336">
        <v>45826</v>
      </c>
      <c r="FB68" s="330">
        <v>2</v>
      </c>
      <c r="FC68" s="330" t="s">
        <v>202</v>
      </c>
      <c r="FD68" s="332" t="s">
        <v>190</v>
      </c>
      <c r="FE68" s="336">
        <v>45827</v>
      </c>
      <c r="FF68" s="330"/>
      <c r="FG68" s="330" t="s">
        <v>203</v>
      </c>
      <c r="FH68" s="330" t="s">
        <v>832</v>
      </c>
      <c r="FI68" s="330" t="s">
        <v>204</v>
      </c>
      <c r="FJ68" s="330"/>
      <c r="FK68" s="330" t="s">
        <v>795</v>
      </c>
      <c r="FL68" s="330" t="s">
        <v>471</v>
      </c>
      <c r="FM68" s="330" t="s">
        <v>191</v>
      </c>
      <c r="FN68" s="330" t="s">
        <v>833</v>
      </c>
      <c r="FO68" s="330"/>
      <c r="FP68" s="330" t="s">
        <v>826</v>
      </c>
      <c r="FQ68" s="330"/>
      <c r="FR68" s="330"/>
      <c r="FS68" s="330"/>
      <c r="FT68" s="330"/>
      <c r="FU68" s="330"/>
    </row>
    <row r="69" spans="1:177" ht="38.25" x14ac:dyDescent="0.25">
      <c r="A69" s="330">
        <v>68</v>
      </c>
      <c r="B69" s="331" t="s">
        <v>834</v>
      </c>
      <c r="C69" s="330"/>
      <c r="D69" s="332" t="s">
        <v>793</v>
      </c>
      <c r="E69" s="332" t="s">
        <v>794</v>
      </c>
      <c r="F69" s="332" t="s">
        <v>795</v>
      </c>
      <c r="G69" s="330" t="s">
        <v>796</v>
      </c>
      <c r="H69" s="331">
        <v>400</v>
      </c>
      <c r="I69" s="330"/>
      <c r="J69" s="332" t="s">
        <v>835</v>
      </c>
      <c r="K69" s="332" t="s">
        <v>836</v>
      </c>
      <c r="L69" s="330"/>
      <c r="M69" s="332"/>
      <c r="N69" s="330" t="s">
        <v>837</v>
      </c>
      <c r="O69" s="339">
        <v>0.93883792048929704</v>
      </c>
      <c r="P69" s="333">
        <v>307</v>
      </c>
      <c r="Q69" s="333">
        <v>327</v>
      </c>
      <c r="R69" s="333">
        <v>1</v>
      </c>
      <c r="S69" s="333">
        <v>1</v>
      </c>
      <c r="T69" s="333">
        <v>1</v>
      </c>
      <c r="U69" s="333">
        <v>5</v>
      </c>
      <c r="V69" s="333">
        <v>0</v>
      </c>
      <c r="W69" s="330">
        <v>1</v>
      </c>
      <c r="X69" s="330" t="s">
        <v>838</v>
      </c>
      <c r="Y69" s="332" t="s">
        <v>817</v>
      </c>
      <c r="Z69" s="330" t="s">
        <v>215</v>
      </c>
      <c r="AA69" s="330" t="s">
        <v>818</v>
      </c>
      <c r="AB69" s="330" t="s">
        <v>217</v>
      </c>
      <c r="AC69" s="330"/>
      <c r="AD69" s="330"/>
      <c r="AE69" s="330">
        <v>4</v>
      </c>
      <c r="AF69" s="330">
        <v>-210</v>
      </c>
      <c r="AG69" s="332" t="s">
        <v>190</v>
      </c>
      <c r="AH69" s="332" t="s">
        <v>191</v>
      </c>
      <c r="AI69" s="330"/>
      <c r="AJ69" s="330" t="s">
        <v>471</v>
      </c>
      <c r="AK69" s="330"/>
      <c r="AL69" s="330" t="s">
        <v>471</v>
      </c>
      <c r="AM69" s="330" t="s">
        <v>191</v>
      </c>
      <c r="AN69" s="330" t="s">
        <v>471</v>
      </c>
      <c r="AO69" s="330"/>
      <c r="AP69" s="332" t="s">
        <v>239</v>
      </c>
      <c r="AQ69" s="330"/>
      <c r="AR69" s="330"/>
      <c r="AS69" s="330" t="b">
        <v>1</v>
      </c>
      <c r="AT69" s="330"/>
      <c r="AU69" s="332" t="s">
        <v>471</v>
      </c>
      <c r="AV69" s="334">
        <v>45807.52561459491</v>
      </c>
      <c r="AW69" s="330" t="b">
        <v>1</v>
      </c>
      <c r="AX69" s="335">
        <v>45828</v>
      </c>
      <c r="AY69" s="336">
        <v>45812</v>
      </c>
      <c r="AZ69" s="330"/>
      <c r="BA69" s="336">
        <v>45835</v>
      </c>
      <c r="BB69" s="330"/>
      <c r="BC69" s="336">
        <v>45839</v>
      </c>
      <c r="BD69" s="330"/>
      <c r="BE69" s="336">
        <v>45839</v>
      </c>
      <c r="BF69" s="330"/>
      <c r="BG69" s="330"/>
      <c r="BH69" s="330" t="s">
        <v>193</v>
      </c>
      <c r="BI69" s="330"/>
      <c r="BJ69" s="330"/>
      <c r="BK69" s="330"/>
      <c r="BL69" s="330"/>
      <c r="BM69" s="332"/>
      <c r="BN69" s="330"/>
      <c r="BO69" s="330" t="s">
        <v>839</v>
      </c>
      <c r="BP69" s="330" t="s">
        <v>193</v>
      </c>
      <c r="BQ69" s="330" t="s">
        <v>801</v>
      </c>
      <c r="BR69" s="330" t="s">
        <v>220</v>
      </c>
      <c r="BS69" s="330"/>
      <c r="BT69" s="330" t="s">
        <v>193</v>
      </c>
      <c r="BU69" s="330" t="s">
        <v>840</v>
      </c>
      <c r="BV69" s="330" t="s">
        <v>220</v>
      </c>
      <c r="BW69" s="330"/>
      <c r="BX69" s="332"/>
      <c r="BY69" s="330"/>
      <c r="BZ69" s="330"/>
      <c r="CA69" s="330"/>
      <c r="CB69" s="330"/>
      <c r="CC69" s="337" t="s">
        <v>194</v>
      </c>
      <c r="CD69" s="330" t="b">
        <v>1</v>
      </c>
      <c r="CE69" s="330" t="b">
        <v>1</v>
      </c>
      <c r="CF69" s="330" t="b">
        <v>1</v>
      </c>
      <c r="CG69" s="330" t="s">
        <v>242</v>
      </c>
      <c r="CH69" s="330"/>
      <c r="CI69" s="330"/>
      <c r="CJ69" s="330"/>
      <c r="CK69" s="330"/>
      <c r="CL69" s="330"/>
      <c r="CM69" s="330"/>
      <c r="CN69" s="330"/>
      <c r="CO69" s="330"/>
      <c r="CP69" s="330"/>
      <c r="CQ69" s="330"/>
      <c r="CR69" s="330"/>
      <c r="CS69" s="330"/>
      <c r="CT69" s="330"/>
      <c r="CU69" s="330"/>
      <c r="CV69" s="330"/>
      <c r="CW69" s="330"/>
      <c r="CX69" s="330"/>
      <c r="CY69" s="330"/>
      <c r="CZ69" s="330"/>
      <c r="DA69" s="330"/>
      <c r="DB69" s="330" t="b">
        <v>1</v>
      </c>
      <c r="DC69" s="330" t="b">
        <v>1</v>
      </c>
      <c r="DD69" s="330"/>
      <c r="DE69" s="330"/>
      <c r="DF69" s="338">
        <v>25016</v>
      </c>
      <c r="DG69" s="330" t="s">
        <v>821</v>
      </c>
      <c r="DH69" s="330"/>
      <c r="DI69" s="340">
        <v>121</v>
      </c>
      <c r="DJ69" s="330"/>
      <c r="DK69" s="330">
        <v>121</v>
      </c>
      <c r="DL69" s="330" t="s">
        <v>822</v>
      </c>
      <c r="DM69" s="330"/>
      <c r="DN69" s="330"/>
      <c r="DO69" s="330"/>
      <c r="DP69" s="330"/>
      <c r="DQ69" s="338" t="s">
        <v>197</v>
      </c>
      <c r="DR69" s="330"/>
      <c r="DS69" s="330"/>
      <c r="DT69" s="330"/>
      <c r="DU69" s="338" t="s">
        <v>197</v>
      </c>
      <c r="DV69" s="330"/>
      <c r="DW69" s="330"/>
      <c r="DX69" s="330"/>
      <c r="DY69" s="338" t="s">
        <v>197</v>
      </c>
      <c r="DZ69" s="330"/>
      <c r="EA69" s="330"/>
      <c r="EB69" s="330"/>
      <c r="EC69" s="330" t="s">
        <v>197</v>
      </c>
      <c r="ED69" s="338" t="s">
        <v>197</v>
      </c>
      <c r="EE69" s="330">
        <v>1</v>
      </c>
      <c r="EF69" s="330">
        <v>2</v>
      </c>
      <c r="EG69" s="330"/>
      <c r="EH69" s="330"/>
      <c r="EI69" s="330"/>
      <c r="EJ69" s="330"/>
      <c r="EK69" s="330"/>
      <c r="EL69" s="330"/>
      <c r="EM69" s="330"/>
      <c r="EN69" s="330"/>
      <c r="EO69" s="330"/>
      <c r="EP69" s="330"/>
      <c r="EQ69" s="332" t="s">
        <v>198</v>
      </c>
      <c r="ER69" s="330"/>
      <c r="ES69" s="330"/>
      <c r="ET69" s="332" t="s">
        <v>245</v>
      </c>
      <c r="EU69" s="332" t="s">
        <v>246</v>
      </c>
      <c r="EV69" s="336">
        <v>45812</v>
      </c>
      <c r="EW69" s="336">
        <v>45812</v>
      </c>
      <c r="EX69" s="330">
        <v>1</v>
      </c>
      <c r="EY69" s="330"/>
      <c r="EZ69" s="330" t="s">
        <v>201</v>
      </c>
      <c r="FA69" s="336">
        <v>45819</v>
      </c>
      <c r="FB69" s="330">
        <v>1</v>
      </c>
      <c r="FC69" s="330" t="s">
        <v>202</v>
      </c>
      <c r="FD69" s="332" t="s">
        <v>190</v>
      </c>
      <c r="FE69" s="336">
        <v>45819</v>
      </c>
      <c r="FF69" s="330"/>
      <c r="FG69" s="330" t="s">
        <v>203</v>
      </c>
      <c r="FH69" s="330" t="s">
        <v>824</v>
      </c>
      <c r="FI69" s="330" t="s">
        <v>204</v>
      </c>
      <c r="FJ69" s="330"/>
      <c r="FK69" s="330" t="s">
        <v>795</v>
      </c>
      <c r="FL69" s="330" t="s">
        <v>471</v>
      </c>
      <c r="FM69" s="330" t="s">
        <v>191</v>
      </c>
      <c r="FN69" s="330" t="s">
        <v>841</v>
      </c>
      <c r="FO69" s="330"/>
      <c r="FP69" s="330" t="s">
        <v>826</v>
      </c>
      <c r="FQ69" s="330"/>
      <c r="FR69" s="330"/>
      <c r="FS69" s="330"/>
      <c r="FT69" s="330"/>
      <c r="FU69" s="330"/>
    </row>
    <row r="70" spans="1:177" ht="25.5" x14ac:dyDescent="0.25">
      <c r="A70" s="330">
        <v>69</v>
      </c>
      <c r="B70" s="331" t="s">
        <v>842</v>
      </c>
      <c r="C70" s="330"/>
      <c r="D70" s="332" t="s">
        <v>793</v>
      </c>
      <c r="E70" s="332" t="s">
        <v>794</v>
      </c>
      <c r="F70" s="332" t="s">
        <v>795</v>
      </c>
      <c r="G70" s="330" t="s">
        <v>796</v>
      </c>
      <c r="H70" s="331" t="s">
        <v>731</v>
      </c>
      <c r="I70" s="330"/>
      <c r="J70" s="332" t="s">
        <v>843</v>
      </c>
      <c r="K70" s="332"/>
      <c r="L70" s="330"/>
      <c r="M70" s="332"/>
      <c r="N70" s="330"/>
      <c r="O70" s="333" t="s">
        <v>184</v>
      </c>
      <c r="P70" s="333" t="s">
        <v>184</v>
      </c>
      <c r="Q70" s="333" t="s">
        <v>184</v>
      </c>
      <c r="R70" s="333">
        <v>0</v>
      </c>
      <c r="S70" s="333">
        <v>2</v>
      </c>
      <c r="T70" s="333">
        <v>1</v>
      </c>
      <c r="U70" s="333">
        <v>0</v>
      </c>
      <c r="V70" s="333">
        <v>0</v>
      </c>
      <c r="W70" s="330" t="s">
        <v>184</v>
      </c>
      <c r="X70" s="330" t="s">
        <v>184</v>
      </c>
      <c r="Y70" s="332" t="s">
        <v>799</v>
      </c>
      <c r="Z70" s="330" t="s">
        <v>614</v>
      </c>
      <c r="AA70" s="330" t="s">
        <v>800</v>
      </c>
      <c r="AB70" s="330" t="s">
        <v>189</v>
      </c>
      <c r="AC70" s="330"/>
      <c r="AD70" s="330"/>
      <c r="AE70" s="330">
        <v>4</v>
      </c>
      <c r="AF70" s="330">
        <v>-210</v>
      </c>
      <c r="AG70" s="332" t="s">
        <v>190</v>
      </c>
      <c r="AH70" s="332" t="s">
        <v>202</v>
      </c>
      <c r="AI70" s="330" t="s">
        <v>191</v>
      </c>
      <c r="AJ70" s="330"/>
      <c r="AK70" s="330"/>
      <c r="AL70" s="330" t="s">
        <v>471</v>
      </c>
      <c r="AM70" s="330" t="s">
        <v>191</v>
      </c>
      <c r="AN70" s="330" t="s">
        <v>471</v>
      </c>
      <c r="AO70" s="330"/>
      <c r="AP70" s="332"/>
      <c r="AQ70" s="330"/>
      <c r="AR70" s="330"/>
      <c r="AS70" s="330"/>
      <c r="AT70" s="330"/>
      <c r="AU70" s="332" t="s">
        <v>471</v>
      </c>
      <c r="AV70" s="334">
        <v>45807.527501481483</v>
      </c>
      <c r="AW70" s="330" t="b">
        <v>1</v>
      </c>
      <c r="AX70" s="335">
        <v>45828</v>
      </c>
      <c r="AY70" s="336">
        <v>45811</v>
      </c>
      <c r="AZ70" s="330"/>
      <c r="BA70" s="336">
        <v>45835</v>
      </c>
      <c r="BB70" s="330"/>
      <c r="BC70" s="336">
        <v>45839</v>
      </c>
      <c r="BD70" s="330"/>
      <c r="BE70" s="336">
        <v>45839</v>
      </c>
      <c r="BF70" s="330"/>
      <c r="BG70" s="330"/>
      <c r="BH70" s="330" t="s">
        <v>193</v>
      </c>
      <c r="BI70" s="330"/>
      <c r="BJ70" s="330"/>
      <c r="BK70" s="330"/>
      <c r="BL70" s="330"/>
      <c r="BM70" s="332"/>
      <c r="BN70" s="330"/>
      <c r="BO70" s="330" t="s">
        <v>184</v>
      </c>
      <c r="BP70" s="330" t="s">
        <v>184</v>
      </c>
      <c r="BQ70" s="330" t="s">
        <v>801</v>
      </c>
      <c r="BR70" s="330" t="s">
        <v>220</v>
      </c>
      <c r="BS70" s="330"/>
      <c r="BT70" s="330" t="s">
        <v>193</v>
      </c>
      <c r="BU70" s="330" t="s">
        <v>844</v>
      </c>
      <c r="BV70" s="330" t="s">
        <v>220</v>
      </c>
      <c r="BW70" s="330"/>
      <c r="BX70" s="332"/>
      <c r="BY70" s="330"/>
      <c r="BZ70" s="330"/>
      <c r="CA70" s="330"/>
      <c r="CB70" s="330"/>
      <c r="CC70" s="337" t="s">
        <v>194</v>
      </c>
      <c r="CD70" s="330"/>
      <c r="CE70" s="330" t="b">
        <v>1</v>
      </c>
      <c r="CF70" s="330"/>
      <c r="CG70" s="330"/>
      <c r="CH70" s="330"/>
      <c r="CI70" s="330"/>
      <c r="CJ70" s="330"/>
      <c r="CK70" s="330"/>
      <c r="CL70" s="330"/>
      <c r="CM70" s="330"/>
      <c r="CN70" s="330"/>
      <c r="CO70" s="330" t="b">
        <v>1</v>
      </c>
      <c r="CP70" s="330" t="b">
        <v>1</v>
      </c>
      <c r="CQ70" s="330"/>
      <c r="CR70" s="330"/>
      <c r="CS70" s="330"/>
      <c r="CT70" s="330"/>
      <c r="CU70" s="330"/>
      <c r="CV70" s="330"/>
      <c r="CW70" s="330"/>
      <c r="CX70" s="330"/>
      <c r="CY70" s="330"/>
      <c r="CZ70" s="330"/>
      <c r="DA70" s="330"/>
      <c r="DB70" s="330"/>
      <c r="DC70" s="330"/>
      <c r="DD70" s="330"/>
      <c r="DE70" s="330"/>
      <c r="DF70" s="338">
        <v>25016</v>
      </c>
      <c r="DG70" s="330" t="s">
        <v>821</v>
      </c>
      <c r="DH70" s="330"/>
      <c r="DI70" s="340">
        <v>122</v>
      </c>
      <c r="DJ70" s="330"/>
      <c r="DK70" s="330">
        <v>122</v>
      </c>
      <c r="DL70" s="330" t="s">
        <v>822</v>
      </c>
      <c r="DM70" s="330"/>
      <c r="DN70" s="330"/>
      <c r="DO70" s="330"/>
      <c r="DP70" s="330"/>
      <c r="DQ70" s="338" t="s">
        <v>197</v>
      </c>
      <c r="DR70" s="330"/>
      <c r="DS70" s="330"/>
      <c r="DT70" s="330"/>
      <c r="DU70" s="338" t="s">
        <v>197</v>
      </c>
      <c r="DV70" s="330"/>
      <c r="DW70" s="330"/>
      <c r="DX70" s="330"/>
      <c r="DY70" s="338" t="s">
        <v>197</v>
      </c>
      <c r="DZ70" s="330"/>
      <c r="EA70" s="330"/>
      <c r="EB70" s="330"/>
      <c r="EC70" s="330" t="s">
        <v>197</v>
      </c>
      <c r="ED70" s="338" t="s">
        <v>197</v>
      </c>
      <c r="EE70" s="330">
        <v>1</v>
      </c>
      <c r="EF70" s="330">
        <v>1</v>
      </c>
      <c r="EG70" s="330"/>
      <c r="EH70" s="330"/>
      <c r="EI70" s="330"/>
      <c r="EJ70" s="330"/>
      <c r="EK70" s="330"/>
      <c r="EL70" s="330"/>
      <c r="EM70" s="330"/>
      <c r="EN70" s="330"/>
      <c r="EO70" s="330"/>
      <c r="EP70" s="330"/>
      <c r="EQ70" s="332" t="s">
        <v>198</v>
      </c>
      <c r="ER70" s="330"/>
      <c r="ES70" s="330"/>
      <c r="ET70" s="332"/>
      <c r="EU70" s="332" t="s">
        <v>199</v>
      </c>
      <c r="EV70" s="330"/>
      <c r="EW70" s="330"/>
      <c r="EX70" s="330" t="s">
        <v>200</v>
      </c>
      <c r="EY70" s="330"/>
      <c r="EZ70" s="330" t="s">
        <v>201</v>
      </c>
      <c r="FA70" s="336">
        <v>45826</v>
      </c>
      <c r="FB70" s="330">
        <v>2</v>
      </c>
      <c r="FC70" s="330" t="s">
        <v>202</v>
      </c>
      <c r="FD70" s="332" t="s">
        <v>190</v>
      </c>
      <c r="FE70" s="336">
        <v>45827</v>
      </c>
      <c r="FF70" s="330"/>
      <c r="FG70" s="330" t="s">
        <v>203</v>
      </c>
      <c r="FH70" s="330" t="s">
        <v>845</v>
      </c>
      <c r="FI70" s="330" t="s">
        <v>204</v>
      </c>
      <c r="FJ70" s="330"/>
      <c r="FK70" s="330" t="s">
        <v>795</v>
      </c>
      <c r="FL70" s="330" t="s">
        <v>471</v>
      </c>
      <c r="FM70" s="330" t="s">
        <v>191</v>
      </c>
      <c r="FN70" s="330" t="s">
        <v>846</v>
      </c>
      <c r="FO70" s="330"/>
      <c r="FP70" s="330" t="s">
        <v>826</v>
      </c>
      <c r="FQ70" s="330"/>
      <c r="FR70" s="330"/>
      <c r="FS70" s="330"/>
      <c r="FT70" s="330"/>
      <c r="FU70" s="330"/>
    </row>
    <row r="71" spans="1:177" ht="25.5" x14ac:dyDescent="0.25">
      <c r="A71" s="330">
        <v>70</v>
      </c>
      <c r="B71" s="331" t="s">
        <v>822</v>
      </c>
      <c r="C71" s="330"/>
      <c r="D71" s="332" t="s">
        <v>793</v>
      </c>
      <c r="E71" s="332" t="s">
        <v>794</v>
      </c>
      <c r="F71" s="332" t="s">
        <v>795</v>
      </c>
      <c r="G71" s="330" t="s">
        <v>796</v>
      </c>
      <c r="H71" s="331" t="s">
        <v>731</v>
      </c>
      <c r="I71" s="330"/>
      <c r="J71" s="332" t="s">
        <v>847</v>
      </c>
      <c r="K71" s="332"/>
      <c r="L71" s="330"/>
      <c r="M71" s="332"/>
      <c r="N71" s="330"/>
      <c r="O71" s="333" t="s">
        <v>184</v>
      </c>
      <c r="P71" s="333" t="s">
        <v>184</v>
      </c>
      <c r="Q71" s="333" t="s">
        <v>184</v>
      </c>
      <c r="R71" s="333">
        <v>0</v>
      </c>
      <c r="S71" s="333">
        <v>2</v>
      </c>
      <c r="T71" s="333">
        <v>2</v>
      </c>
      <c r="U71" s="333">
        <v>0</v>
      </c>
      <c r="V71" s="333">
        <v>0</v>
      </c>
      <c r="W71" s="330" t="s">
        <v>184</v>
      </c>
      <c r="X71" s="330" t="s">
        <v>184</v>
      </c>
      <c r="Y71" s="332" t="s">
        <v>848</v>
      </c>
      <c r="Z71" s="330" t="s">
        <v>739</v>
      </c>
      <c r="AA71" s="330" t="s">
        <v>849</v>
      </c>
      <c r="AB71" s="330" t="s">
        <v>189</v>
      </c>
      <c r="AC71" s="330"/>
      <c r="AD71" s="330"/>
      <c r="AE71" s="330">
        <v>4</v>
      </c>
      <c r="AF71" s="330">
        <v>-210</v>
      </c>
      <c r="AG71" s="332" t="s">
        <v>190</v>
      </c>
      <c r="AH71" s="332" t="s">
        <v>202</v>
      </c>
      <c r="AI71" s="330" t="s">
        <v>191</v>
      </c>
      <c r="AJ71" s="330"/>
      <c r="AK71" s="330"/>
      <c r="AL71" s="330" t="s">
        <v>471</v>
      </c>
      <c r="AM71" s="330" t="s">
        <v>191</v>
      </c>
      <c r="AN71" s="330" t="s">
        <v>471</v>
      </c>
      <c r="AO71" s="330"/>
      <c r="AP71" s="332"/>
      <c r="AQ71" s="330"/>
      <c r="AR71" s="330"/>
      <c r="AS71" s="330"/>
      <c r="AT71" s="330"/>
      <c r="AU71" s="332" t="s">
        <v>471</v>
      </c>
      <c r="AV71" s="334">
        <v>45807.52907921296</v>
      </c>
      <c r="AW71" s="330" t="b">
        <v>1</v>
      </c>
      <c r="AX71" s="335">
        <v>45828</v>
      </c>
      <c r="AY71" s="336">
        <v>45811</v>
      </c>
      <c r="AZ71" s="330"/>
      <c r="BA71" s="336">
        <v>45835</v>
      </c>
      <c r="BB71" s="330"/>
      <c r="BC71" s="336">
        <v>45839</v>
      </c>
      <c r="BD71" s="330"/>
      <c r="BE71" s="336">
        <v>45839</v>
      </c>
      <c r="BF71" s="330"/>
      <c r="BG71" s="330"/>
      <c r="BH71" s="330" t="s">
        <v>193</v>
      </c>
      <c r="BI71" s="330"/>
      <c r="BJ71" s="330"/>
      <c r="BK71" s="330"/>
      <c r="BL71" s="330"/>
      <c r="BM71" s="332"/>
      <c r="BN71" s="330"/>
      <c r="BO71" s="330" t="s">
        <v>184</v>
      </c>
      <c r="BP71" s="330" t="s">
        <v>184</v>
      </c>
      <c r="BQ71" s="330" t="s">
        <v>801</v>
      </c>
      <c r="BR71" s="330" t="s">
        <v>220</v>
      </c>
      <c r="BS71" s="330"/>
      <c r="BT71" s="330" t="s">
        <v>193</v>
      </c>
      <c r="BU71" s="330" t="s">
        <v>850</v>
      </c>
      <c r="BV71" s="330" t="s">
        <v>220</v>
      </c>
      <c r="BW71" s="330"/>
      <c r="BX71" s="332"/>
      <c r="BY71" s="330"/>
      <c r="BZ71" s="330"/>
      <c r="CA71" s="330"/>
      <c r="CB71" s="330"/>
      <c r="CC71" s="337" t="s">
        <v>194</v>
      </c>
      <c r="CD71" s="330"/>
      <c r="CE71" s="330" t="b">
        <v>1</v>
      </c>
      <c r="CF71" s="330"/>
      <c r="CG71" s="330"/>
      <c r="CH71" s="330"/>
      <c r="CI71" s="330"/>
      <c r="CJ71" s="330"/>
      <c r="CK71" s="330"/>
      <c r="CL71" s="330"/>
      <c r="CM71" s="330"/>
      <c r="CN71" s="330"/>
      <c r="CO71" s="330" t="b">
        <v>1</v>
      </c>
      <c r="CP71" s="330" t="b">
        <v>1</v>
      </c>
      <c r="CQ71" s="330"/>
      <c r="CR71" s="330"/>
      <c r="CS71" s="330"/>
      <c r="CT71" s="330"/>
      <c r="CU71" s="330"/>
      <c r="CV71" s="330"/>
      <c r="CW71" s="330"/>
      <c r="CX71" s="330"/>
      <c r="CY71" s="330"/>
      <c r="CZ71" s="330"/>
      <c r="DA71" s="330"/>
      <c r="DB71" s="330"/>
      <c r="DC71" s="330"/>
      <c r="DD71" s="330"/>
      <c r="DE71" s="330"/>
      <c r="DF71" s="338">
        <v>25016</v>
      </c>
      <c r="DG71" s="330" t="s">
        <v>821</v>
      </c>
      <c r="DH71" s="330"/>
      <c r="DI71" s="340">
        <v>123</v>
      </c>
      <c r="DJ71" s="330"/>
      <c r="DK71" s="330">
        <v>123</v>
      </c>
      <c r="DL71" s="330" t="s">
        <v>822</v>
      </c>
      <c r="DM71" s="330"/>
      <c r="DN71" s="330"/>
      <c r="DO71" s="330"/>
      <c r="DP71" s="330"/>
      <c r="DQ71" s="338" t="s">
        <v>197</v>
      </c>
      <c r="DR71" s="330"/>
      <c r="DS71" s="330"/>
      <c r="DT71" s="330"/>
      <c r="DU71" s="338" t="s">
        <v>197</v>
      </c>
      <c r="DV71" s="330"/>
      <c r="DW71" s="330"/>
      <c r="DX71" s="330"/>
      <c r="DY71" s="338" t="s">
        <v>197</v>
      </c>
      <c r="DZ71" s="330"/>
      <c r="EA71" s="330"/>
      <c r="EB71" s="330"/>
      <c r="EC71" s="330" t="s">
        <v>197</v>
      </c>
      <c r="ED71" s="338" t="s">
        <v>197</v>
      </c>
      <c r="EE71" s="330">
        <v>1</v>
      </c>
      <c r="EF71" s="330">
        <v>1</v>
      </c>
      <c r="EG71" s="330"/>
      <c r="EH71" s="330"/>
      <c r="EI71" s="330"/>
      <c r="EJ71" s="330"/>
      <c r="EK71" s="330"/>
      <c r="EL71" s="330"/>
      <c r="EM71" s="330"/>
      <c r="EN71" s="330"/>
      <c r="EO71" s="330"/>
      <c r="EP71" s="330"/>
      <c r="EQ71" s="332" t="s">
        <v>198</v>
      </c>
      <c r="ER71" s="330"/>
      <c r="ES71" s="330"/>
      <c r="ET71" s="332"/>
      <c r="EU71" s="332" t="s">
        <v>199</v>
      </c>
      <c r="EV71" s="330"/>
      <c r="EW71" s="330"/>
      <c r="EX71" s="330" t="s">
        <v>200</v>
      </c>
      <c r="EY71" s="330"/>
      <c r="EZ71" s="330" t="s">
        <v>201</v>
      </c>
      <c r="FA71" s="336">
        <v>45826</v>
      </c>
      <c r="FB71" s="330">
        <v>2</v>
      </c>
      <c r="FC71" s="330" t="s">
        <v>202</v>
      </c>
      <c r="FD71" s="332" t="s">
        <v>190</v>
      </c>
      <c r="FE71" s="336">
        <v>45827</v>
      </c>
      <c r="FF71" s="330"/>
      <c r="FG71" s="330" t="s">
        <v>203</v>
      </c>
      <c r="FH71" s="330" t="s">
        <v>851</v>
      </c>
      <c r="FI71" s="330" t="s">
        <v>204</v>
      </c>
      <c r="FJ71" s="330"/>
      <c r="FK71" s="330" t="s">
        <v>795</v>
      </c>
      <c r="FL71" s="330" t="s">
        <v>471</v>
      </c>
      <c r="FM71" s="330" t="s">
        <v>191</v>
      </c>
      <c r="FN71" s="330" t="s">
        <v>852</v>
      </c>
      <c r="FO71" s="330"/>
      <c r="FP71" s="330" t="s">
        <v>826</v>
      </c>
      <c r="FQ71" s="330"/>
      <c r="FR71" s="330"/>
      <c r="FS71" s="330"/>
      <c r="FT71" s="330"/>
      <c r="FU71" s="330"/>
    </row>
    <row r="72" spans="1:177" ht="25.5" x14ac:dyDescent="0.25">
      <c r="A72" s="330">
        <v>71</v>
      </c>
      <c r="B72" s="331" t="s">
        <v>853</v>
      </c>
      <c r="C72" s="330"/>
      <c r="D72" s="332" t="s">
        <v>854</v>
      </c>
      <c r="E72" s="332" t="s">
        <v>855</v>
      </c>
      <c r="F72" s="332" t="s">
        <v>795</v>
      </c>
      <c r="G72" s="330" t="s">
        <v>796</v>
      </c>
      <c r="H72" s="331"/>
      <c r="I72" s="330"/>
      <c r="J72" s="332" t="s">
        <v>856</v>
      </c>
      <c r="K72" s="332" t="s">
        <v>856</v>
      </c>
      <c r="L72" s="330" t="s">
        <v>857</v>
      </c>
      <c r="M72" s="332"/>
      <c r="N72" s="330" t="s">
        <v>858</v>
      </c>
      <c r="O72" s="333" t="s">
        <v>184</v>
      </c>
      <c r="P72" s="333" t="s">
        <v>184</v>
      </c>
      <c r="Q72" s="333" t="s">
        <v>184</v>
      </c>
      <c r="R72" s="333">
        <v>0</v>
      </c>
      <c r="S72" s="333">
        <v>2</v>
      </c>
      <c r="T72" s="333">
        <v>1</v>
      </c>
      <c r="U72" s="333">
        <v>0</v>
      </c>
      <c r="V72" s="333">
        <v>0</v>
      </c>
      <c r="W72" s="330" t="s">
        <v>859</v>
      </c>
      <c r="X72" s="330" t="s">
        <v>213</v>
      </c>
      <c r="Y72" s="332" t="s">
        <v>860</v>
      </c>
      <c r="Z72" s="330" t="s">
        <v>739</v>
      </c>
      <c r="AA72" s="330" t="s">
        <v>861</v>
      </c>
      <c r="AB72" s="330" t="s">
        <v>217</v>
      </c>
      <c r="AC72" s="330"/>
      <c r="AD72" s="330"/>
      <c r="AE72" s="330">
        <v>25</v>
      </c>
      <c r="AF72" s="330">
        <v>-69</v>
      </c>
      <c r="AG72" s="332" t="s">
        <v>190</v>
      </c>
      <c r="AH72" s="332" t="s">
        <v>191</v>
      </c>
      <c r="AI72" s="330"/>
      <c r="AJ72" s="330"/>
      <c r="AK72" s="330"/>
      <c r="AL72" s="330" t="s">
        <v>191</v>
      </c>
      <c r="AM72" s="330"/>
      <c r="AN72" s="330"/>
      <c r="AO72" s="330"/>
      <c r="AP72" s="332"/>
      <c r="AQ72" s="330"/>
      <c r="AR72" s="330"/>
      <c r="AS72" s="330"/>
      <c r="AT72" s="330"/>
      <c r="AU72" s="332" t="s">
        <v>191</v>
      </c>
      <c r="AV72" s="334">
        <v>46014.433136030093</v>
      </c>
      <c r="AW72" s="330"/>
      <c r="AX72" s="335">
        <v>46027</v>
      </c>
      <c r="AY72" s="336">
        <v>46014</v>
      </c>
      <c r="AZ72" s="330"/>
      <c r="BA72" s="336">
        <v>46034</v>
      </c>
      <c r="BB72" s="330"/>
      <c r="BC72" s="336">
        <v>46036</v>
      </c>
      <c r="BD72" s="330"/>
      <c r="BE72" s="336">
        <v>46036</v>
      </c>
      <c r="BF72" s="330"/>
      <c r="BG72" s="330"/>
      <c r="BH72" s="330" t="s">
        <v>193</v>
      </c>
      <c r="BI72" s="330">
        <v>7</v>
      </c>
      <c r="BJ72" s="330"/>
      <c r="BK72" s="330"/>
      <c r="BL72" s="330"/>
      <c r="BM72" s="332"/>
      <c r="BN72" s="330"/>
      <c r="BO72" s="330"/>
      <c r="BP72" s="330"/>
      <c r="BQ72" s="330"/>
      <c r="BR72" s="330"/>
      <c r="BS72" s="330"/>
      <c r="BT72" s="330"/>
      <c r="BU72" s="330"/>
      <c r="BV72" s="330"/>
      <c r="BW72" s="330"/>
      <c r="BX72" s="332"/>
      <c r="BY72" s="330"/>
      <c r="BZ72" s="330"/>
      <c r="CA72" s="330"/>
      <c r="CB72" s="330"/>
      <c r="CC72" s="337" t="s">
        <v>194</v>
      </c>
      <c r="CD72" s="330"/>
      <c r="CE72" s="330" t="b">
        <v>1</v>
      </c>
      <c r="CF72" s="330"/>
      <c r="CG72" s="330"/>
      <c r="CH72" s="330"/>
      <c r="CI72" s="330"/>
      <c r="CJ72" s="330"/>
      <c r="CK72" s="330"/>
      <c r="CL72" s="330"/>
      <c r="CM72" s="330"/>
      <c r="CN72" s="330"/>
      <c r="CO72" s="330" t="b">
        <v>1</v>
      </c>
      <c r="CP72" s="330" t="b">
        <v>1</v>
      </c>
      <c r="CQ72" s="330"/>
      <c r="CR72" s="330"/>
      <c r="CS72" s="330"/>
      <c r="CT72" s="330"/>
      <c r="CU72" s="330"/>
      <c r="CV72" s="330"/>
      <c r="CW72" s="330"/>
      <c r="CX72" s="330"/>
      <c r="CY72" s="330"/>
      <c r="CZ72" s="330"/>
      <c r="DA72" s="330"/>
      <c r="DB72" s="330"/>
      <c r="DC72" s="330"/>
      <c r="DD72" s="330"/>
      <c r="DE72" s="330"/>
      <c r="DF72" s="338">
        <v>25017</v>
      </c>
      <c r="DG72" s="330" t="s">
        <v>764</v>
      </c>
      <c r="DH72" s="330"/>
      <c r="DI72" s="340">
        <v>99</v>
      </c>
      <c r="DJ72" s="330"/>
      <c r="DK72" s="330">
        <v>99</v>
      </c>
      <c r="DL72" s="330" t="s">
        <v>853</v>
      </c>
      <c r="DM72" s="330"/>
      <c r="DN72" s="330"/>
      <c r="DO72" s="330"/>
      <c r="DP72" s="330"/>
      <c r="DQ72" s="338" t="s">
        <v>197</v>
      </c>
      <c r="DR72" s="330"/>
      <c r="DS72" s="330"/>
      <c r="DT72" s="330"/>
      <c r="DU72" s="338" t="s">
        <v>197</v>
      </c>
      <c r="DV72" s="330"/>
      <c r="DW72" s="330"/>
      <c r="DX72" s="330"/>
      <c r="DY72" s="338" t="s">
        <v>197</v>
      </c>
      <c r="DZ72" s="330"/>
      <c r="EA72" s="330"/>
      <c r="EB72" s="330"/>
      <c r="EC72" s="330" t="s">
        <v>197</v>
      </c>
      <c r="ED72" s="338" t="s">
        <v>197</v>
      </c>
      <c r="EE72" s="330">
        <v>0.25</v>
      </c>
      <c r="EF72" s="330">
        <v>2</v>
      </c>
      <c r="EG72" s="330"/>
      <c r="EH72" s="330"/>
      <c r="EI72" s="330"/>
      <c r="EJ72" s="330"/>
      <c r="EK72" s="330"/>
      <c r="EL72" s="330"/>
      <c r="EM72" s="330"/>
      <c r="EN72" s="330"/>
      <c r="EO72" s="330"/>
      <c r="EP72" s="330"/>
      <c r="EQ72" s="332" t="s">
        <v>198</v>
      </c>
      <c r="ER72" s="330"/>
      <c r="ES72" s="330"/>
      <c r="ET72" s="332"/>
      <c r="EU72" s="332" t="s">
        <v>199</v>
      </c>
      <c r="EV72" s="330"/>
      <c r="EW72" s="330"/>
      <c r="EX72" s="330" t="s">
        <v>200</v>
      </c>
      <c r="EY72" s="330"/>
      <c r="EZ72" s="330" t="s">
        <v>201</v>
      </c>
      <c r="FA72" s="336">
        <v>46020</v>
      </c>
      <c r="FB72" s="330">
        <v>1</v>
      </c>
      <c r="FC72" s="330" t="s">
        <v>202</v>
      </c>
      <c r="FD72" s="332" t="s">
        <v>190</v>
      </c>
      <c r="FE72" s="336">
        <v>46020</v>
      </c>
      <c r="FF72" s="330"/>
      <c r="FG72" s="330" t="s">
        <v>203</v>
      </c>
      <c r="FH72" s="330" t="s">
        <v>862</v>
      </c>
      <c r="FI72" s="330" t="s">
        <v>204</v>
      </c>
      <c r="FJ72" s="330"/>
      <c r="FK72" s="330" t="s">
        <v>795</v>
      </c>
      <c r="FL72" s="330" t="s">
        <v>191</v>
      </c>
      <c r="FM72" s="330"/>
      <c r="FN72" s="330" t="s">
        <v>863</v>
      </c>
      <c r="FO72" s="330"/>
      <c r="FP72" s="330" t="s">
        <v>864</v>
      </c>
      <c r="FQ72" s="330"/>
      <c r="FR72" s="330"/>
      <c r="FS72" s="330"/>
      <c r="FT72" s="330"/>
      <c r="FU72" s="330"/>
    </row>
    <row r="73" spans="1:177" ht="38.25" x14ac:dyDescent="0.25">
      <c r="A73" s="330">
        <v>72</v>
      </c>
      <c r="B73" s="331" t="s">
        <v>865</v>
      </c>
      <c r="C73" s="330"/>
      <c r="D73" s="332" t="s">
        <v>228</v>
      </c>
      <c r="E73" s="332" t="s">
        <v>229</v>
      </c>
      <c r="F73" s="332" t="s">
        <v>230</v>
      </c>
      <c r="G73" s="330" t="s">
        <v>231</v>
      </c>
      <c r="H73" s="331">
        <v>400</v>
      </c>
      <c r="I73" s="330"/>
      <c r="J73" s="332"/>
      <c r="K73" s="332" t="s">
        <v>866</v>
      </c>
      <c r="L73" s="330"/>
      <c r="M73" s="332"/>
      <c r="N73" s="330" t="s">
        <v>867</v>
      </c>
      <c r="O73" s="339">
        <v>0.44150923811500897</v>
      </c>
      <c r="P73" s="333">
        <v>8507</v>
      </c>
      <c r="Q73" s="333">
        <v>19268</v>
      </c>
      <c r="R73" s="333">
        <v>24</v>
      </c>
      <c r="S73" s="333">
        <v>24</v>
      </c>
      <c r="T73" s="333">
        <v>2</v>
      </c>
      <c r="U73" s="333">
        <v>159</v>
      </c>
      <c r="V73" s="333">
        <v>270</v>
      </c>
      <c r="W73" s="330" t="s">
        <v>697</v>
      </c>
      <c r="X73" s="330" t="s">
        <v>868</v>
      </c>
      <c r="Y73" s="332" t="s">
        <v>383</v>
      </c>
      <c r="Z73" s="330" t="s">
        <v>215</v>
      </c>
      <c r="AA73" s="330" t="s">
        <v>384</v>
      </c>
      <c r="AB73" s="330" t="s">
        <v>189</v>
      </c>
      <c r="AC73" s="330"/>
      <c r="AD73" s="330"/>
      <c r="AE73" s="330">
        <v>26</v>
      </c>
      <c r="AF73" s="330">
        <v>-195</v>
      </c>
      <c r="AG73" s="332" t="s">
        <v>238</v>
      </c>
      <c r="AH73" s="332" t="s">
        <v>191</v>
      </c>
      <c r="AI73" s="330"/>
      <c r="AJ73" s="330" t="s">
        <v>192</v>
      </c>
      <c r="AK73" s="330"/>
      <c r="AL73" s="330" t="s">
        <v>192</v>
      </c>
      <c r="AM73" s="330" t="s">
        <v>191</v>
      </c>
      <c r="AN73" s="330" t="s">
        <v>192</v>
      </c>
      <c r="AO73" s="330"/>
      <c r="AP73" s="332" t="s">
        <v>239</v>
      </c>
      <c r="AQ73" s="330"/>
      <c r="AR73" s="330"/>
      <c r="AS73" s="330" t="b">
        <v>1</v>
      </c>
      <c r="AT73" s="330"/>
      <c r="AU73" s="332" t="s">
        <v>192</v>
      </c>
      <c r="AV73" s="334">
        <v>45817.620398344909</v>
      </c>
      <c r="AW73" s="330" t="b">
        <v>1</v>
      </c>
      <c r="AX73" s="335">
        <v>45838</v>
      </c>
      <c r="AY73" s="336">
        <v>45840</v>
      </c>
      <c r="AZ73" s="330" t="b">
        <v>1</v>
      </c>
      <c r="BA73" s="336">
        <v>45856</v>
      </c>
      <c r="BB73" s="330"/>
      <c r="BC73" s="336">
        <v>45852</v>
      </c>
      <c r="BD73" s="330"/>
      <c r="BE73" s="336">
        <v>45852</v>
      </c>
      <c r="BF73" s="330"/>
      <c r="BG73" s="330"/>
      <c r="BH73" s="330" t="s">
        <v>193</v>
      </c>
      <c r="BI73" s="330">
        <v>500</v>
      </c>
      <c r="BJ73" s="330"/>
      <c r="BK73" s="330"/>
      <c r="BL73" s="330"/>
      <c r="BM73" s="332"/>
      <c r="BN73" s="330"/>
      <c r="BO73" s="330" t="s">
        <v>240</v>
      </c>
      <c r="BP73" s="330" t="s">
        <v>193</v>
      </c>
      <c r="BQ73" s="330" t="s">
        <v>218</v>
      </c>
      <c r="BR73" s="330" t="s">
        <v>220</v>
      </c>
      <c r="BS73" s="330"/>
      <c r="BT73" s="330" t="s">
        <v>220</v>
      </c>
      <c r="BU73" s="330"/>
      <c r="BV73" s="330" t="s">
        <v>193</v>
      </c>
      <c r="BW73" s="330" t="s">
        <v>603</v>
      </c>
      <c r="BX73" s="332"/>
      <c r="BY73" s="330"/>
      <c r="BZ73" s="330"/>
      <c r="CA73" s="330"/>
      <c r="CB73" s="330"/>
      <c r="CC73" s="337" t="s">
        <v>241</v>
      </c>
      <c r="CD73" s="330" t="b">
        <v>1</v>
      </c>
      <c r="CE73" s="330" t="b">
        <v>1</v>
      </c>
      <c r="CF73" s="330" t="b">
        <v>1</v>
      </c>
      <c r="CG73" s="330" t="s">
        <v>242</v>
      </c>
      <c r="CH73" s="330"/>
      <c r="CI73" s="330"/>
      <c r="CJ73" s="330"/>
      <c r="CK73" s="330"/>
      <c r="CL73" s="330"/>
      <c r="CM73" s="330"/>
      <c r="CN73" s="330"/>
      <c r="CO73" s="330"/>
      <c r="CP73" s="330"/>
      <c r="CQ73" s="330"/>
      <c r="CR73" s="330"/>
      <c r="CS73" s="330"/>
      <c r="CT73" s="330"/>
      <c r="CU73" s="330"/>
      <c r="CV73" s="330"/>
      <c r="CW73" s="330"/>
      <c r="CX73" s="330"/>
      <c r="CY73" s="330"/>
      <c r="CZ73" s="330"/>
      <c r="DA73" s="330"/>
      <c r="DB73" s="330" t="b">
        <v>1</v>
      </c>
      <c r="DC73" s="330" t="b">
        <v>1</v>
      </c>
      <c r="DD73" s="330"/>
      <c r="DE73" s="330"/>
      <c r="DF73" s="338">
        <v>24051</v>
      </c>
      <c r="DG73" s="330" t="s">
        <v>221</v>
      </c>
      <c r="DH73" s="330"/>
      <c r="DI73" s="340">
        <v>37</v>
      </c>
      <c r="DJ73" s="330"/>
      <c r="DK73" s="330">
        <v>37</v>
      </c>
      <c r="DL73" s="330" t="s">
        <v>243</v>
      </c>
      <c r="DM73" s="330"/>
      <c r="DN73" s="330"/>
      <c r="DO73" s="330"/>
      <c r="DP73" s="330"/>
      <c r="DQ73" s="338" t="s">
        <v>197</v>
      </c>
      <c r="DR73" s="330"/>
      <c r="DS73" s="330"/>
      <c r="DT73" s="330"/>
      <c r="DU73" s="338" t="s">
        <v>197</v>
      </c>
      <c r="DV73" s="330"/>
      <c r="DW73" s="330"/>
      <c r="DX73" s="330"/>
      <c r="DY73" s="338" t="s">
        <v>197</v>
      </c>
      <c r="DZ73" s="330"/>
      <c r="EA73" s="330"/>
      <c r="EB73" s="330"/>
      <c r="EC73" s="330" t="s">
        <v>197</v>
      </c>
      <c r="ED73" s="338" t="s">
        <v>197</v>
      </c>
      <c r="EE73" s="330">
        <v>4</v>
      </c>
      <c r="EF73" s="330">
        <v>48</v>
      </c>
      <c r="EG73" s="330"/>
      <c r="EH73" s="330"/>
      <c r="EI73" s="330"/>
      <c r="EJ73" s="330"/>
      <c r="EK73" s="330"/>
      <c r="EL73" s="330"/>
      <c r="EM73" s="330"/>
      <c r="EN73" s="330"/>
      <c r="EO73" s="330"/>
      <c r="EP73" s="330"/>
      <c r="EQ73" s="332" t="s">
        <v>244</v>
      </c>
      <c r="ER73" s="330"/>
      <c r="ES73" s="330"/>
      <c r="ET73" s="332" t="s">
        <v>245</v>
      </c>
      <c r="EU73" s="332" t="s">
        <v>246</v>
      </c>
      <c r="EV73" s="336">
        <v>45839</v>
      </c>
      <c r="EW73" s="336">
        <v>45840</v>
      </c>
      <c r="EX73" s="330">
        <v>2</v>
      </c>
      <c r="EY73" s="330"/>
      <c r="EZ73" s="330" t="s">
        <v>201</v>
      </c>
      <c r="FA73" s="336">
        <v>45847</v>
      </c>
      <c r="FB73" s="330">
        <v>1</v>
      </c>
      <c r="FC73" s="330" t="s">
        <v>202</v>
      </c>
      <c r="FD73" s="332" t="s">
        <v>190</v>
      </c>
      <c r="FE73" s="336">
        <v>45847</v>
      </c>
      <c r="FF73" s="330"/>
      <c r="FG73" s="330" t="s">
        <v>203</v>
      </c>
      <c r="FH73" s="330" t="s">
        <v>869</v>
      </c>
      <c r="FI73" s="330" t="s">
        <v>204</v>
      </c>
      <c r="FJ73" s="330"/>
      <c r="FK73" s="330" t="s">
        <v>230</v>
      </c>
      <c r="FL73" s="330" t="s">
        <v>192</v>
      </c>
      <c r="FM73" s="330" t="s">
        <v>191</v>
      </c>
      <c r="FN73" s="330" t="s">
        <v>870</v>
      </c>
      <c r="FO73" s="330"/>
      <c r="FP73" s="330" t="s">
        <v>871</v>
      </c>
      <c r="FQ73" s="330"/>
      <c r="FR73" s="330"/>
      <c r="FS73" s="330"/>
      <c r="FT73" s="330"/>
      <c r="FU73" s="330"/>
    </row>
    <row r="74" spans="1:177" ht="38.25" x14ac:dyDescent="0.25">
      <c r="A74" s="330">
        <v>73</v>
      </c>
      <c r="B74" s="331" t="s">
        <v>872</v>
      </c>
      <c r="C74" s="330"/>
      <c r="D74" s="332" t="s">
        <v>228</v>
      </c>
      <c r="E74" s="332" t="s">
        <v>229</v>
      </c>
      <c r="F74" s="332" t="s">
        <v>230</v>
      </c>
      <c r="G74" s="330" t="s">
        <v>231</v>
      </c>
      <c r="H74" s="331">
        <v>400</v>
      </c>
      <c r="I74" s="330"/>
      <c r="J74" s="332"/>
      <c r="K74" s="332" t="s">
        <v>873</v>
      </c>
      <c r="L74" s="330"/>
      <c r="M74" s="332"/>
      <c r="N74" s="330" t="s">
        <v>874</v>
      </c>
      <c r="O74" s="339">
        <v>0.44618019514220503</v>
      </c>
      <c r="P74" s="333">
        <v>8597</v>
      </c>
      <c r="Q74" s="333">
        <v>19268</v>
      </c>
      <c r="R74" s="333">
        <v>90</v>
      </c>
      <c r="S74" s="333">
        <v>90</v>
      </c>
      <c r="T74" s="333">
        <v>6</v>
      </c>
      <c r="U74" s="333">
        <v>576</v>
      </c>
      <c r="V74" s="333">
        <v>650</v>
      </c>
      <c r="W74" s="330" t="s">
        <v>875</v>
      </c>
      <c r="X74" s="330" t="s">
        <v>876</v>
      </c>
      <c r="Y74" s="332" t="s">
        <v>383</v>
      </c>
      <c r="Z74" s="330" t="s">
        <v>215</v>
      </c>
      <c r="AA74" s="330" t="s">
        <v>384</v>
      </c>
      <c r="AB74" s="330" t="s">
        <v>189</v>
      </c>
      <c r="AC74" s="330"/>
      <c r="AD74" s="330"/>
      <c r="AE74" s="330">
        <v>26</v>
      </c>
      <c r="AF74" s="330">
        <v>-195</v>
      </c>
      <c r="AG74" s="332" t="s">
        <v>238</v>
      </c>
      <c r="AH74" s="332" t="s">
        <v>191</v>
      </c>
      <c r="AI74" s="330"/>
      <c r="AJ74" s="330" t="s">
        <v>192</v>
      </c>
      <c r="AK74" s="330"/>
      <c r="AL74" s="330" t="s">
        <v>192</v>
      </c>
      <c r="AM74" s="330" t="s">
        <v>191</v>
      </c>
      <c r="AN74" s="330" t="s">
        <v>192</v>
      </c>
      <c r="AO74" s="330"/>
      <c r="AP74" s="332" t="s">
        <v>239</v>
      </c>
      <c r="AQ74" s="330"/>
      <c r="AR74" s="330"/>
      <c r="AS74" s="330" t="b">
        <v>1</v>
      </c>
      <c r="AT74" s="330"/>
      <c r="AU74" s="332" t="s">
        <v>192</v>
      </c>
      <c r="AV74" s="334">
        <v>45817.622046400465</v>
      </c>
      <c r="AW74" s="330" t="b">
        <v>1</v>
      </c>
      <c r="AX74" s="335">
        <v>45838</v>
      </c>
      <c r="AY74" s="336">
        <v>45840</v>
      </c>
      <c r="AZ74" s="330" t="b">
        <v>1</v>
      </c>
      <c r="BA74" s="336">
        <v>45856</v>
      </c>
      <c r="BB74" s="330"/>
      <c r="BC74" s="336">
        <v>45852</v>
      </c>
      <c r="BD74" s="330"/>
      <c r="BE74" s="336">
        <v>45852</v>
      </c>
      <c r="BF74" s="330"/>
      <c r="BG74" s="330"/>
      <c r="BH74" s="330" t="s">
        <v>193</v>
      </c>
      <c r="BI74" s="330">
        <v>500</v>
      </c>
      <c r="BJ74" s="330"/>
      <c r="BK74" s="330"/>
      <c r="BL74" s="330"/>
      <c r="BM74" s="332"/>
      <c r="BN74" s="330"/>
      <c r="BO74" s="330" t="s">
        <v>240</v>
      </c>
      <c r="BP74" s="330" t="s">
        <v>193</v>
      </c>
      <c r="BQ74" s="330" t="s">
        <v>218</v>
      </c>
      <c r="BR74" s="330" t="s">
        <v>220</v>
      </c>
      <c r="BS74" s="330"/>
      <c r="BT74" s="330" t="s">
        <v>220</v>
      </c>
      <c r="BU74" s="330"/>
      <c r="BV74" s="330" t="s">
        <v>193</v>
      </c>
      <c r="BW74" s="330" t="s">
        <v>603</v>
      </c>
      <c r="BX74" s="332"/>
      <c r="BY74" s="330"/>
      <c r="BZ74" s="330"/>
      <c r="CA74" s="330"/>
      <c r="CB74" s="330"/>
      <c r="CC74" s="337" t="s">
        <v>241</v>
      </c>
      <c r="CD74" s="330" t="b">
        <v>1</v>
      </c>
      <c r="CE74" s="330" t="b">
        <v>1</v>
      </c>
      <c r="CF74" s="330" t="b">
        <v>1</v>
      </c>
      <c r="CG74" s="330" t="s">
        <v>242</v>
      </c>
      <c r="CH74" s="330"/>
      <c r="CI74" s="330"/>
      <c r="CJ74" s="330"/>
      <c r="CK74" s="330"/>
      <c r="CL74" s="330"/>
      <c r="CM74" s="330"/>
      <c r="CN74" s="330"/>
      <c r="CO74" s="330"/>
      <c r="CP74" s="330"/>
      <c r="CQ74" s="330"/>
      <c r="CR74" s="330"/>
      <c r="CS74" s="330"/>
      <c r="CT74" s="330"/>
      <c r="CU74" s="330"/>
      <c r="CV74" s="330"/>
      <c r="CW74" s="330"/>
      <c r="CX74" s="330"/>
      <c r="CY74" s="330"/>
      <c r="CZ74" s="330"/>
      <c r="DA74" s="330"/>
      <c r="DB74" s="330" t="b">
        <v>1</v>
      </c>
      <c r="DC74" s="330" t="b">
        <v>1</v>
      </c>
      <c r="DD74" s="330"/>
      <c r="DE74" s="330"/>
      <c r="DF74" s="338">
        <v>24051</v>
      </c>
      <c r="DG74" s="330" t="s">
        <v>221</v>
      </c>
      <c r="DH74" s="330"/>
      <c r="DI74" s="340">
        <v>38</v>
      </c>
      <c r="DJ74" s="330"/>
      <c r="DK74" s="330">
        <v>38</v>
      </c>
      <c r="DL74" s="330" t="s">
        <v>243</v>
      </c>
      <c r="DM74" s="330"/>
      <c r="DN74" s="330"/>
      <c r="DO74" s="330"/>
      <c r="DP74" s="330"/>
      <c r="DQ74" s="338" t="s">
        <v>197</v>
      </c>
      <c r="DR74" s="330"/>
      <c r="DS74" s="330"/>
      <c r="DT74" s="330"/>
      <c r="DU74" s="338" t="s">
        <v>197</v>
      </c>
      <c r="DV74" s="330"/>
      <c r="DW74" s="330"/>
      <c r="DX74" s="330"/>
      <c r="DY74" s="338" t="s">
        <v>197</v>
      </c>
      <c r="DZ74" s="330"/>
      <c r="EA74" s="330"/>
      <c r="EB74" s="330"/>
      <c r="EC74" s="330" t="s">
        <v>197</v>
      </c>
      <c r="ED74" s="338" t="s">
        <v>197</v>
      </c>
      <c r="EE74" s="330">
        <v>4</v>
      </c>
      <c r="EF74" s="330">
        <v>125</v>
      </c>
      <c r="EG74" s="330"/>
      <c r="EH74" s="330"/>
      <c r="EI74" s="330"/>
      <c r="EJ74" s="330"/>
      <c r="EK74" s="330"/>
      <c r="EL74" s="330"/>
      <c r="EM74" s="330"/>
      <c r="EN74" s="330"/>
      <c r="EO74" s="330"/>
      <c r="EP74" s="330"/>
      <c r="EQ74" s="332" t="s">
        <v>244</v>
      </c>
      <c r="ER74" s="330"/>
      <c r="ES74" s="330"/>
      <c r="ET74" s="332" t="s">
        <v>245</v>
      </c>
      <c r="EU74" s="332" t="s">
        <v>246</v>
      </c>
      <c r="EV74" s="336">
        <v>45840</v>
      </c>
      <c r="EW74" s="336">
        <v>45840</v>
      </c>
      <c r="EX74" s="330">
        <v>1</v>
      </c>
      <c r="EY74" s="330"/>
      <c r="EZ74" s="330" t="s">
        <v>201</v>
      </c>
      <c r="FA74" s="336">
        <v>45853</v>
      </c>
      <c r="FB74" s="330">
        <v>1</v>
      </c>
      <c r="FC74" s="330" t="s">
        <v>202</v>
      </c>
      <c r="FD74" s="332" t="s">
        <v>190</v>
      </c>
      <c r="FE74" s="336">
        <v>45853</v>
      </c>
      <c r="FF74" s="330"/>
      <c r="FG74" s="330" t="s">
        <v>203</v>
      </c>
      <c r="FH74" s="330" t="s">
        <v>869</v>
      </c>
      <c r="FI74" s="330" t="s">
        <v>204</v>
      </c>
      <c r="FJ74" s="330"/>
      <c r="FK74" s="330" t="s">
        <v>230</v>
      </c>
      <c r="FL74" s="330" t="s">
        <v>192</v>
      </c>
      <c r="FM74" s="330" t="s">
        <v>191</v>
      </c>
      <c r="FN74" s="330" t="s">
        <v>877</v>
      </c>
      <c r="FO74" s="330"/>
      <c r="FP74" s="330" t="s">
        <v>871</v>
      </c>
      <c r="FQ74" s="330"/>
      <c r="FR74" s="330"/>
      <c r="FS74" s="330"/>
      <c r="FT74" s="330"/>
      <c r="FU74" s="330"/>
    </row>
    <row r="75" spans="1:177" ht="38.25" x14ac:dyDescent="0.25">
      <c r="A75" s="330">
        <v>74</v>
      </c>
      <c r="B75" s="331" t="s">
        <v>878</v>
      </c>
      <c r="C75" s="330"/>
      <c r="D75" s="332" t="s">
        <v>228</v>
      </c>
      <c r="E75" s="332" t="s">
        <v>229</v>
      </c>
      <c r="F75" s="332" t="s">
        <v>230</v>
      </c>
      <c r="G75" s="330" t="s">
        <v>231</v>
      </c>
      <c r="H75" s="331">
        <v>400</v>
      </c>
      <c r="I75" s="330"/>
      <c r="J75" s="332"/>
      <c r="K75" s="332" t="s">
        <v>873</v>
      </c>
      <c r="L75" s="330"/>
      <c r="M75" s="332"/>
      <c r="N75" s="330" t="s">
        <v>879</v>
      </c>
      <c r="O75" s="339">
        <v>0.45116254930454602</v>
      </c>
      <c r="P75" s="333">
        <v>8693</v>
      </c>
      <c r="Q75" s="333">
        <v>19268</v>
      </c>
      <c r="R75" s="333">
        <v>96</v>
      </c>
      <c r="S75" s="333">
        <v>96</v>
      </c>
      <c r="T75" s="333">
        <v>2</v>
      </c>
      <c r="U75" s="333">
        <v>576</v>
      </c>
      <c r="V75" s="333">
        <v>1150</v>
      </c>
      <c r="W75" s="330" t="s">
        <v>276</v>
      </c>
      <c r="X75" s="330" t="s">
        <v>880</v>
      </c>
      <c r="Y75" s="332" t="s">
        <v>383</v>
      </c>
      <c r="Z75" s="330" t="s">
        <v>215</v>
      </c>
      <c r="AA75" s="330" t="s">
        <v>384</v>
      </c>
      <c r="AB75" s="330" t="s">
        <v>189</v>
      </c>
      <c r="AC75" s="330"/>
      <c r="AD75" s="330"/>
      <c r="AE75" s="330">
        <v>26</v>
      </c>
      <c r="AF75" s="330">
        <v>-195</v>
      </c>
      <c r="AG75" s="332" t="s">
        <v>238</v>
      </c>
      <c r="AH75" s="332" t="s">
        <v>191</v>
      </c>
      <c r="AI75" s="330"/>
      <c r="AJ75" s="330" t="s">
        <v>192</v>
      </c>
      <c r="AK75" s="330"/>
      <c r="AL75" s="330" t="s">
        <v>192</v>
      </c>
      <c r="AM75" s="330" t="s">
        <v>191</v>
      </c>
      <c r="AN75" s="330" t="s">
        <v>192</v>
      </c>
      <c r="AO75" s="330"/>
      <c r="AP75" s="332" t="s">
        <v>239</v>
      </c>
      <c r="AQ75" s="330"/>
      <c r="AR75" s="330"/>
      <c r="AS75" s="330" t="b">
        <v>1</v>
      </c>
      <c r="AT75" s="330"/>
      <c r="AU75" s="332" t="s">
        <v>192</v>
      </c>
      <c r="AV75" s="334">
        <v>45817.631419583333</v>
      </c>
      <c r="AW75" s="330" t="b">
        <v>1</v>
      </c>
      <c r="AX75" s="335">
        <v>45838</v>
      </c>
      <c r="AY75" s="336">
        <v>45840</v>
      </c>
      <c r="AZ75" s="330" t="b">
        <v>1</v>
      </c>
      <c r="BA75" s="336">
        <v>45856</v>
      </c>
      <c r="BB75" s="330"/>
      <c r="BC75" s="336">
        <v>45852</v>
      </c>
      <c r="BD75" s="330"/>
      <c r="BE75" s="336">
        <v>45852</v>
      </c>
      <c r="BF75" s="330"/>
      <c r="BG75" s="330"/>
      <c r="BH75" s="330" t="s">
        <v>193</v>
      </c>
      <c r="BI75" s="330">
        <v>500</v>
      </c>
      <c r="BJ75" s="330"/>
      <c r="BK75" s="330"/>
      <c r="BL75" s="330"/>
      <c r="BM75" s="332"/>
      <c r="BN75" s="330"/>
      <c r="BO75" s="330" t="s">
        <v>240</v>
      </c>
      <c r="BP75" s="330" t="s">
        <v>193</v>
      </c>
      <c r="BQ75" s="330" t="s">
        <v>218</v>
      </c>
      <c r="BR75" s="330" t="s">
        <v>220</v>
      </c>
      <c r="BS75" s="330"/>
      <c r="BT75" s="330" t="s">
        <v>220</v>
      </c>
      <c r="BU75" s="330"/>
      <c r="BV75" s="330" t="s">
        <v>193</v>
      </c>
      <c r="BW75" s="330" t="s">
        <v>603</v>
      </c>
      <c r="BX75" s="332"/>
      <c r="BY75" s="330"/>
      <c r="BZ75" s="330"/>
      <c r="CA75" s="330"/>
      <c r="CB75" s="330"/>
      <c r="CC75" s="337" t="s">
        <v>241</v>
      </c>
      <c r="CD75" s="330" t="b">
        <v>1</v>
      </c>
      <c r="CE75" s="330" t="b">
        <v>1</v>
      </c>
      <c r="CF75" s="330" t="b">
        <v>1</v>
      </c>
      <c r="CG75" s="330" t="s">
        <v>242</v>
      </c>
      <c r="CH75" s="330"/>
      <c r="CI75" s="330"/>
      <c r="CJ75" s="330"/>
      <c r="CK75" s="330"/>
      <c r="CL75" s="330"/>
      <c r="CM75" s="330"/>
      <c r="CN75" s="330"/>
      <c r="CO75" s="330"/>
      <c r="CP75" s="330"/>
      <c r="CQ75" s="330"/>
      <c r="CR75" s="330"/>
      <c r="CS75" s="330"/>
      <c r="CT75" s="330"/>
      <c r="CU75" s="330"/>
      <c r="CV75" s="330"/>
      <c r="CW75" s="330"/>
      <c r="CX75" s="330"/>
      <c r="CY75" s="330"/>
      <c r="CZ75" s="330"/>
      <c r="DA75" s="330"/>
      <c r="DB75" s="330" t="b">
        <v>1</v>
      </c>
      <c r="DC75" s="330" t="b">
        <v>1</v>
      </c>
      <c r="DD75" s="330"/>
      <c r="DE75" s="330"/>
      <c r="DF75" s="338">
        <v>24051</v>
      </c>
      <c r="DG75" s="330" t="s">
        <v>221</v>
      </c>
      <c r="DH75" s="330"/>
      <c r="DI75" s="340">
        <v>39</v>
      </c>
      <c r="DJ75" s="330"/>
      <c r="DK75" s="330">
        <v>39</v>
      </c>
      <c r="DL75" s="330" t="s">
        <v>243</v>
      </c>
      <c r="DM75" s="330"/>
      <c r="DN75" s="330"/>
      <c r="DO75" s="330"/>
      <c r="DP75" s="330"/>
      <c r="DQ75" s="338" t="s">
        <v>197</v>
      </c>
      <c r="DR75" s="330"/>
      <c r="DS75" s="330"/>
      <c r="DT75" s="330"/>
      <c r="DU75" s="338" t="s">
        <v>197</v>
      </c>
      <c r="DV75" s="330"/>
      <c r="DW75" s="330"/>
      <c r="DX75" s="330"/>
      <c r="DY75" s="338" t="s">
        <v>197</v>
      </c>
      <c r="DZ75" s="330"/>
      <c r="EA75" s="330"/>
      <c r="EB75" s="330"/>
      <c r="EC75" s="330" t="s">
        <v>197</v>
      </c>
      <c r="ED75" s="338" t="s">
        <v>197</v>
      </c>
      <c r="EE75" s="330">
        <v>4</v>
      </c>
      <c r="EF75" s="330">
        <v>125</v>
      </c>
      <c r="EG75" s="330"/>
      <c r="EH75" s="330"/>
      <c r="EI75" s="330"/>
      <c r="EJ75" s="330"/>
      <c r="EK75" s="330"/>
      <c r="EL75" s="330"/>
      <c r="EM75" s="330"/>
      <c r="EN75" s="330"/>
      <c r="EO75" s="330"/>
      <c r="EP75" s="330"/>
      <c r="EQ75" s="332" t="s">
        <v>244</v>
      </c>
      <c r="ER75" s="330"/>
      <c r="ES75" s="330"/>
      <c r="ET75" s="332" t="s">
        <v>245</v>
      </c>
      <c r="EU75" s="332" t="s">
        <v>246</v>
      </c>
      <c r="EV75" s="336">
        <v>45839</v>
      </c>
      <c r="EW75" s="336">
        <v>45840</v>
      </c>
      <c r="EX75" s="330">
        <v>2</v>
      </c>
      <c r="EY75" s="330"/>
      <c r="EZ75" s="330" t="s">
        <v>201</v>
      </c>
      <c r="FA75" s="336">
        <v>45847</v>
      </c>
      <c r="FB75" s="330">
        <v>3</v>
      </c>
      <c r="FC75" s="330" t="s">
        <v>202</v>
      </c>
      <c r="FD75" s="332" t="s">
        <v>190</v>
      </c>
      <c r="FE75" s="336">
        <v>45849</v>
      </c>
      <c r="FF75" s="330"/>
      <c r="FG75" s="330" t="s">
        <v>203</v>
      </c>
      <c r="FH75" s="330" t="s">
        <v>869</v>
      </c>
      <c r="FI75" s="330" t="s">
        <v>204</v>
      </c>
      <c r="FJ75" s="330"/>
      <c r="FK75" s="330" t="s">
        <v>230</v>
      </c>
      <c r="FL75" s="330" t="s">
        <v>192</v>
      </c>
      <c r="FM75" s="330" t="s">
        <v>191</v>
      </c>
      <c r="FN75" s="330" t="s">
        <v>881</v>
      </c>
      <c r="FO75" s="330"/>
      <c r="FP75" s="330" t="s">
        <v>871</v>
      </c>
      <c r="FQ75" s="330"/>
      <c r="FR75" s="330"/>
      <c r="FS75" s="330"/>
      <c r="FT75" s="330"/>
      <c r="FU75" s="330"/>
    </row>
    <row r="76" spans="1:177" ht="38.25" x14ac:dyDescent="0.25">
      <c r="A76" s="330">
        <v>75</v>
      </c>
      <c r="B76" s="331" t="s">
        <v>882</v>
      </c>
      <c r="C76" s="330"/>
      <c r="D76" s="332" t="s">
        <v>228</v>
      </c>
      <c r="E76" s="332" t="s">
        <v>229</v>
      </c>
      <c r="F76" s="332" t="s">
        <v>230</v>
      </c>
      <c r="G76" s="330" t="s">
        <v>231</v>
      </c>
      <c r="H76" s="331">
        <v>400</v>
      </c>
      <c r="I76" s="330"/>
      <c r="J76" s="332"/>
      <c r="K76" s="332" t="s">
        <v>873</v>
      </c>
      <c r="L76" s="330"/>
      <c r="M76" s="332"/>
      <c r="N76" s="330" t="s">
        <v>883</v>
      </c>
      <c r="O76" s="339">
        <v>0.45614490346688802</v>
      </c>
      <c r="P76" s="333">
        <v>8789</v>
      </c>
      <c r="Q76" s="333">
        <v>19268</v>
      </c>
      <c r="R76" s="333">
        <v>96</v>
      </c>
      <c r="S76" s="333">
        <v>96</v>
      </c>
      <c r="T76" s="333">
        <v>2</v>
      </c>
      <c r="U76" s="333">
        <v>442</v>
      </c>
      <c r="V76" s="333">
        <v>1000</v>
      </c>
      <c r="W76" s="330" t="s">
        <v>884</v>
      </c>
      <c r="X76" s="330" t="s">
        <v>885</v>
      </c>
      <c r="Y76" s="332" t="s">
        <v>383</v>
      </c>
      <c r="Z76" s="330" t="s">
        <v>215</v>
      </c>
      <c r="AA76" s="330" t="s">
        <v>384</v>
      </c>
      <c r="AB76" s="330" t="s">
        <v>189</v>
      </c>
      <c r="AC76" s="330"/>
      <c r="AD76" s="330"/>
      <c r="AE76" s="330">
        <v>26</v>
      </c>
      <c r="AF76" s="330">
        <v>-195</v>
      </c>
      <c r="AG76" s="332" t="s">
        <v>238</v>
      </c>
      <c r="AH76" s="332" t="s">
        <v>191</v>
      </c>
      <c r="AI76" s="330"/>
      <c r="AJ76" s="330" t="s">
        <v>192</v>
      </c>
      <c r="AK76" s="330"/>
      <c r="AL76" s="330" t="s">
        <v>192</v>
      </c>
      <c r="AM76" s="330" t="s">
        <v>191</v>
      </c>
      <c r="AN76" s="330" t="s">
        <v>192</v>
      </c>
      <c r="AO76" s="330"/>
      <c r="AP76" s="332" t="s">
        <v>239</v>
      </c>
      <c r="AQ76" s="330"/>
      <c r="AR76" s="330"/>
      <c r="AS76" s="330" t="b">
        <v>1</v>
      </c>
      <c r="AT76" s="330"/>
      <c r="AU76" s="332" t="s">
        <v>192</v>
      </c>
      <c r="AV76" s="334">
        <v>45817.634854768519</v>
      </c>
      <c r="AW76" s="330" t="b">
        <v>1</v>
      </c>
      <c r="AX76" s="335">
        <v>45838</v>
      </c>
      <c r="AY76" s="336">
        <v>45840</v>
      </c>
      <c r="AZ76" s="330" t="b">
        <v>1</v>
      </c>
      <c r="BA76" s="336">
        <v>45856</v>
      </c>
      <c r="BB76" s="330"/>
      <c r="BC76" s="336">
        <v>45853</v>
      </c>
      <c r="BD76" s="330"/>
      <c r="BE76" s="336">
        <v>45853</v>
      </c>
      <c r="BF76" s="330"/>
      <c r="BG76" s="330"/>
      <c r="BH76" s="330" t="s">
        <v>193</v>
      </c>
      <c r="BI76" s="330">
        <v>500</v>
      </c>
      <c r="BJ76" s="330"/>
      <c r="BK76" s="330"/>
      <c r="BL76" s="330"/>
      <c r="BM76" s="332"/>
      <c r="BN76" s="330"/>
      <c r="BO76" s="330" t="s">
        <v>240</v>
      </c>
      <c r="BP76" s="330" t="s">
        <v>193</v>
      </c>
      <c r="BQ76" s="330" t="s">
        <v>218</v>
      </c>
      <c r="BR76" s="330" t="s">
        <v>220</v>
      </c>
      <c r="BS76" s="330"/>
      <c r="BT76" s="330" t="s">
        <v>220</v>
      </c>
      <c r="BU76" s="330"/>
      <c r="BV76" s="330" t="s">
        <v>193</v>
      </c>
      <c r="BW76" s="330" t="s">
        <v>603</v>
      </c>
      <c r="BX76" s="332"/>
      <c r="BY76" s="330"/>
      <c r="BZ76" s="330"/>
      <c r="CA76" s="330"/>
      <c r="CB76" s="330"/>
      <c r="CC76" s="337" t="s">
        <v>241</v>
      </c>
      <c r="CD76" s="330" t="b">
        <v>1</v>
      </c>
      <c r="CE76" s="330" t="b">
        <v>1</v>
      </c>
      <c r="CF76" s="330" t="b">
        <v>1</v>
      </c>
      <c r="CG76" s="330" t="s">
        <v>242</v>
      </c>
      <c r="CH76" s="330"/>
      <c r="CI76" s="330"/>
      <c r="CJ76" s="330"/>
      <c r="CK76" s="330"/>
      <c r="CL76" s="330"/>
      <c r="CM76" s="330"/>
      <c r="CN76" s="330"/>
      <c r="CO76" s="330"/>
      <c r="CP76" s="330"/>
      <c r="CQ76" s="330"/>
      <c r="CR76" s="330"/>
      <c r="CS76" s="330"/>
      <c r="CT76" s="330"/>
      <c r="CU76" s="330"/>
      <c r="CV76" s="330"/>
      <c r="CW76" s="330"/>
      <c r="CX76" s="330"/>
      <c r="CY76" s="330"/>
      <c r="CZ76" s="330"/>
      <c r="DA76" s="330"/>
      <c r="DB76" s="330" t="b">
        <v>1</v>
      </c>
      <c r="DC76" s="330" t="b">
        <v>1</v>
      </c>
      <c r="DD76" s="330"/>
      <c r="DE76" s="330"/>
      <c r="DF76" s="338">
        <v>24051</v>
      </c>
      <c r="DG76" s="330" t="s">
        <v>221</v>
      </c>
      <c r="DH76" s="330"/>
      <c r="DI76" s="340">
        <v>40</v>
      </c>
      <c r="DJ76" s="330"/>
      <c r="DK76" s="330">
        <v>40</v>
      </c>
      <c r="DL76" s="330" t="s">
        <v>243</v>
      </c>
      <c r="DM76" s="330"/>
      <c r="DN76" s="330"/>
      <c r="DO76" s="330"/>
      <c r="DP76" s="330"/>
      <c r="DQ76" s="338" t="s">
        <v>197</v>
      </c>
      <c r="DR76" s="330"/>
      <c r="DS76" s="330"/>
      <c r="DT76" s="330"/>
      <c r="DU76" s="338" t="s">
        <v>197</v>
      </c>
      <c r="DV76" s="330"/>
      <c r="DW76" s="330"/>
      <c r="DX76" s="330"/>
      <c r="DY76" s="338" t="s">
        <v>197</v>
      </c>
      <c r="DZ76" s="330"/>
      <c r="EA76" s="330"/>
      <c r="EB76" s="330"/>
      <c r="EC76" s="330" t="s">
        <v>197</v>
      </c>
      <c r="ED76" s="338" t="s">
        <v>197</v>
      </c>
      <c r="EE76" s="330">
        <v>4</v>
      </c>
      <c r="EF76" s="330">
        <v>125</v>
      </c>
      <c r="EG76" s="330"/>
      <c r="EH76" s="330"/>
      <c r="EI76" s="330"/>
      <c r="EJ76" s="330"/>
      <c r="EK76" s="330"/>
      <c r="EL76" s="330"/>
      <c r="EM76" s="330"/>
      <c r="EN76" s="330"/>
      <c r="EO76" s="330"/>
      <c r="EP76" s="330"/>
      <c r="EQ76" s="332" t="s">
        <v>244</v>
      </c>
      <c r="ER76" s="330"/>
      <c r="ES76" s="330"/>
      <c r="ET76" s="332" t="s">
        <v>245</v>
      </c>
      <c r="EU76" s="332" t="s">
        <v>246</v>
      </c>
      <c r="EV76" s="336">
        <v>45839</v>
      </c>
      <c r="EW76" s="336">
        <v>45840</v>
      </c>
      <c r="EX76" s="330">
        <v>2</v>
      </c>
      <c r="EY76" s="330"/>
      <c r="EZ76" s="330" t="s">
        <v>201</v>
      </c>
      <c r="FA76" s="336">
        <v>45853</v>
      </c>
      <c r="FB76" s="330">
        <v>1</v>
      </c>
      <c r="FC76" s="330" t="s">
        <v>202</v>
      </c>
      <c r="FD76" s="332" t="s">
        <v>190</v>
      </c>
      <c r="FE76" s="336">
        <v>45853</v>
      </c>
      <c r="FF76" s="330"/>
      <c r="FG76" s="330" t="s">
        <v>203</v>
      </c>
      <c r="FH76" s="330" t="s">
        <v>869</v>
      </c>
      <c r="FI76" s="330" t="s">
        <v>204</v>
      </c>
      <c r="FJ76" s="330"/>
      <c r="FK76" s="330" t="s">
        <v>230</v>
      </c>
      <c r="FL76" s="330" t="s">
        <v>192</v>
      </c>
      <c r="FM76" s="330" t="s">
        <v>191</v>
      </c>
      <c r="FN76" s="330" t="s">
        <v>886</v>
      </c>
      <c r="FO76" s="330"/>
      <c r="FP76" s="330" t="s">
        <v>871</v>
      </c>
      <c r="FQ76" s="330"/>
      <c r="FR76" s="330"/>
      <c r="FS76" s="330"/>
      <c r="FT76" s="330"/>
      <c r="FU76" s="330"/>
    </row>
    <row r="77" spans="1:177" ht="38.25" x14ac:dyDescent="0.25">
      <c r="A77" s="330">
        <v>76</v>
      </c>
      <c r="B77" s="331" t="s">
        <v>887</v>
      </c>
      <c r="C77" s="330"/>
      <c r="D77" s="332" t="s">
        <v>228</v>
      </c>
      <c r="E77" s="332" t="s">
        <v>229</v>
      </c>
      <c r="F77" s="332" t="s">
        <v>230</v>
      </c>
      <c r="G77" s="330" t="s">
        <v>231</v>
      </c>
      <c r="H77" s="331">
        <v>400</v>
      </c>
      <c r="I77" s="330"/>
      <c r="J77" s="332"/>
      <c r="K77" s="332" t="s">
        <v>873</v>
      </c>
      <c r="L77" s="330"/>
      <c r="M77" s="332"/>
      <c r="N77" s="330" t="s">
        <v>888</v>
      </c>
      <c r="O77" s="339">
        <v>0.46112725762923001</v>
      </c>
      <c r="P77" s="333">
        <v>8885</v>
      </c>
      <c r="Q77" s="333">
        <v>19268</v>
      </c>
      <c r="R77" s="333">
        <v>96</v>
      </c>
      <c r="S77" s="333">
        <v>96</v>
      </c>
      <c r="T77" s="333">
        <v>2</v>
      </c>
      <c r="U77" s="333">
        <v>768</v>
      </c>
      <c r="V77" s="333">
        <v>1050</v>
      </c>
      <c r="W77" s="330" t="s">
        <v>889</v>
      </c>
      <c r="X77" s="330" t="s">
        <v>890</v>
      </c>
      <c r="Y77" s="332" t="s">
        <v>383</v>
      </c>
      <c r="Z77" s="330" t="s">
        <v>215</v>
      </c>
      <c r="AA77" s="330" t="s">
        <v>384</v>
      </c>
      <c r="AB77" s="330" t="s">
        <v>189</v>
      </c>
      <c r="AC77" s="330"/>
      <c r="AD77" s="330"/>
      <c r="AE77" s="330">
        <v>26</v>
      </c>
      <c r="AF77" s="330">
        <v>-195</v>
      </c>
      <c r="AG77" s="332" t="s">
        <v>238</v>
      </c>
      <c r="AH77" s="332" t="s">
        <v>191</v>
      </c>
      <c r="AI77" s="330"/>
      <c r="AJ77" s="330" t="s">
        <v>192</v>
      </c>
      <c r="AK77" s="330"/>
      <c r="AL77" s="330" t="s">
        <v>192</v>
      </c>
      <c r="AM77" s="330" t="s">
        <v>191</v>
      </c>
      <c r="AN77" s="330" t="s">
        <v>192</v>
      </c>
      <c r="AO77" s="330"/>
      <c r="AP77" s="332" t="s">
        <v>239</v>
      </c>
      <c r="AQ77" s="330"/>
      <c r="AR77" s="330"/>
      <c r="AS77" s="330" t="b">
        <v>1</v>
      </c>
      <c r="AT77" s="330"/>
      <c r="AU77" s="332" t="s">
        <v>192</v>
      </c>
      <c r="AV77" s="334">
        <v>45817.636230821758</v>
      </c>
      <c r="AW77" s="330"/>
      <c r="AX77" s="335">
        <v>45839</v>
      </c>
      <c r="AY77" s="336">
        <v>45840</v>
      </c>
      <c r="AZ77" s="330" t="b">
        <v>1</v>
      </c>
      <c r="BA77" s="336">
        <v>45856</v>
      </c>
      <c r="BB77" s="330"/>
      <c r="BC77" s="336">
        <v>45860</v>
      </c>
      <c r="BD77" s="330"/>
      <c r="BE77" s="336">
        <v>45860</v>
      </c>
      <c r="BF77" s="330"/>
      <c r="BG77" s="330"/>
      <c r="BH77" s="330" t="s">
        <v>193</v>
      </c>
      <c r="BI77" s="330">
        <v>500</v>
      </c>
      <c r="BJ77" s="330"/>
      <c r="BK77" s="330"/>
      <c r="BL77" s="330"/>
      <c r="BM77" s="332"/>
      <c r="BN77" s="330"/>
      <c r="BO77" s="330" t="s">
        <v>240</v>
      </c>
      <c r="BP77" s="330" t="s">
        <v>193</v>
      </c>
      <c r="BQ77" s="330" t="s">
        <v>218</v>
      </c>
      <c r="BR77" s="330" t="s">
        <v>220</v>
      </c>
      <c r="BS77" s="330"/>
      <c r="BT77" s="330" t="s">
        <v>220</v>
      </c>
      <c r="BU77" s="330"/>
      <c r="BV77" s="330" t="s">
        <v>193</v>
      </c>
      <c r="BW77" s="330" t="s">
        <v>603</v>
      </c>
      <c r="BX77" s="332"/>
      <c r="BY77" s="330"/>
      <c r="BZ77" s="330"/>
      <c r="CA77" s="330"/>
      <c r="CB77" s="330"/>
      <c r="CC77" s="337" t="s">
        <v>241</v>
      </c>
      <c r="CD77" s="330" t="b">
        <v>1</v>
      </c>
      <c r="CE77" s="330" t="b">
        <v>1</v>
      </c>
      <c r="CF77" s="330" t="b">
        <v>1</v>
      </c>
      <c r="CG77" s="330" t="s">
        <v>242</v>
      </c>
      <c r="CH77" s="330"/>
      <c r="CI77" s="330"/>
      <c r="CJ77" s="330"/>
      <c r="CK77" s="330"/>
      <c r="CL77" s="330"/>
      <c r="CM77" s="330"/>
      <c r="CN77" s="330"/>
      <c r="CO77" s="330"/>
      <c r="CP77" s="330"/>
      <c r="CQ77" s="330"/>
      <c r="CR77" s="330"/>
      <c r="CS77" s="330"/>
      <c r="CT77" s="330"/>
      <c r="CU77" s="330"/>
      <c r="CV77" s="330"/>
      <c r="CW77" s="330"/>
      <c r="CX77" s="330"/>
      <c r="CY77" s="330"/>
      <c r="CZ77" s="330"/>
      <c r="DA77" s="330"/>
      <c r="DB77" s="330" t="b">
        <v>1</v>
      </c>
      <c r="DC77" s="330" t="b">
        <v>1</v>
      </c>
      <c r="DD77" s="330"/>
      <c r="DE77" s="330"/>
      <c r="DF77" s="338">
        <v>24051</v>
      </c>
      <c r="DG77" s="330" t="s">
        <v>221</v>
      </c>
      <c r="DH77" s="330"/>
      <c r="DI77" s="340">
        <v>41</v>
      </c>
      <c r="DJ77" s="330"/>
      <c r="DK77" s="330">
        <v>41</v>
      </c>
      <c r="DL77" s="330" t="s">
        <v>243</v>
      </c>
      <c r="DM77" s="330"/>
      <c r="DN77" s="330"/>
      <c r="DO77" s="330"/>
      <c r="DP77" s="330"/>
      <c r="DQ77" s="338" t="s">
        <v>197</v>
      </c>
      <c r="DR77" s="330"/>
      <c r="DS77" s="330"/>
      <c r="DT77" s="330"/>
      <c r="DU77" s="338" t="s">
        <v>197</v>
      </c>
      <c r="DV77" s="330"/>
      <c r="DW77" s="330"/>
      <c r="DX77" s="330"/>
      <c r="DY77" s="338" t="s">
        <v>197</v>
      </c>
      <c r="DZ77" s="330"/>
      <c r="EA77" s="330"/>
      <c r="EB77" s="330"/>
      <c r="EC77" s="330" t="s">
        <v>197</v>
      </c>
      <c r="ED77" s="338" t="s">
        <v>197</v>
      </c>
      <c r="EE77" s="330">
        <v>4</v>
      </c>
      <c r="EF77" s="330">
        <v>125</v>
      </c>
      <c r="EG77" s="330"/>
      <c r="EH77" s="330"/>
      <c r="EI77" s="330"/>
      <c r="EJ77" s="330"/>
      <c r="EK77" s="330"/>
      <c r="EL77" s="330"/>
      <c r="EM77" s="330"/>
      <c r="EN77" s="330"/>
      <c r="EO77" s="330"/>
      <c r="EP77" s="330"/>
      <c r="EQ77" s="332" t="s">
        <v>244</v>
      </c>
      <c r="ER77" s="330"/>
      <c r="ES77" s="330"/>
      <c r="ET77" s="332" t="s">
        <v>245</v>
      </c>
      <c r="EU77" s="332" t="s">
        <v>246</v>
      </c>
      <c r="EV77" s="336">
        <v>45839</v>
      </c>
      <c r="EW77" s="336">
        <v>45840</v>
      </c>
      <c r="EX77" s="330">
        <v>2</v>
      </c>
      <c r="EY77" s="330"/>
      <c r="EZ77" s="330" t="s">
        <v>201</v>
      </c>
      <c r="FA77" s="336">
        <v>45857</v>
      </c>
      <c r="FB77" s="330">
        <v>2</v>
      </c>
      <c r="FC77" s="330" t="s">
        <v>202</v>
      </c>
      <c r="FD77" s="332" t="s">
        <v>190</v>
      </c>
      <c r="FE77" s="336">
        <v>45860</v>
      </c>
      <c r="FF77" s="330"/>
      <c r="FG77" s="330" t="s">
        <v>203</v>
      </c>
      <c r="FH77" s="330" t="s">
        <v>869</v>
      </c>
      <c r="FI77" s="330" t="s">
        <v>204</v>
      </c>
      <c r="FJ77" s="330"/>
      <c r="FK77" s="330" t="s">
        <v>230</v>
      </c>
      <c r="FL77" s="330" t="s">
        <v>192</v>
      </c>
      <c r="FM77" s="330" t="s">
        <v>191</v>
      </c>
      <c r="FN77" s="330" t="s">
        <v>891</v>
      </c>
      <c r="FO77" s="330"/>
      <c r="FP77" s="330" t="s">
        <v>892</v>
      </c>
      <c r="FQ77" s="330"/>
      <c r="FR77" s="330"/>
      <c r="FS77" s="330"/>
      <c r="FT77" s="330"/>
      <c r="FU77" s="330"/>
    </row>
    <row r="78" spans="1:177" ht="153" x14ac:dyDescent="0.25">
      <c r="A78" s="330">
        <v>77</v>
      </c>
      <c r="B78" s="331" t="s">
        <v>893</v>
      </c>
      <c r="C78" s="330"/>
      <c r="D78" s="332" t="s">
        <v>228</v>
      </c>
      <c r="E78" s="332" t="s">
        <v>229</v>
      </c>
      <c r="F78" s="332" t="s">
        <v>230</v>
      </c>
      <c r="G78" s="330" t="s">
        <v>231</v>
      </c>
      <c r="H78" s="331">
        <v>400</v>
      </c>
      <c r="I78" s="330"/>
      <c r="J78" s="332"/>
      <c r="K78" s="332" t="s">
        <v>894</v>
      </c>
      <c r="L78" s="330"/>
      <c r="M78" s="332"/>
      <c r="N78" s="330" t="s">
        <v>895</v>
      </c>
      <c r="O78" s="339">
        <v>0.46735520033215699</v>
      </c>
      <c r="P78" s="333">
        <v>9005</v>
      </c>
      <c r="Q78" s="333">
        <v>19268</v>
      </c>
      <c r="R78" s="333">
        <v>120</v>
      </c>
      <c r="S78" s="333">
        <v>120</v>
      </c>
      <c r="T78" s="333">
        <v>8</v>
      </c>
      <c r="U78" s="333">
        <v>725</v>
      </c>
      <c r="V78" s="333">
        <v>1700</v>
      </c>
      <c r="W78" s="330" t="s">
        <v>896</v>
      </c>
      <c r="X78" s="330" t="s">
        <v>897</v>
      </c>
      <c r="Y78" s="332" t="s">
        <v>383</v>
      </c>
      <c r="Z78" s="330" t="s">
        <v>215</v>
      </c>
      <c r="AA78" s="330" t="s">
        <v>384</v>
      </c>
      <c r="AB78" s="330" t="s">
        <v>189</v>
      </c>
      <c r="AC78" s="330"/>
      <c r="AD78" s="330"/>
      <c r="AE78" s="330">
        <v>38</v>
      </c>
      <c r="AF78" s="330">
        <v>-179</v>
      </c>
      <c r="AG78" s="332" t="s">
        <v>238</v>
      </c>
      <c r="AH78" s="332" t="s">
        <v>191</v>
      </c>
      <c r="AI78" s="330"/>
      <c r="AJ78" s="330" t="s">
        <v>192</v>
      </c>
      <c r="AK78" s="330"/>
      <c r="AL78" s="330" t="s">
        <v>192</v>
      </c>
      <c r="AM78" s="330" t="s">
        <v>191</v>
      </c>
      <c r="AN78" s="330" t="s">
        <v>192</v>
      </c>
      <c r="AO78" s="330"/>
      <c r="AP78" s="332" t="s">
        <v>239</v>
      </c>
      <c r="AQ78" s="330"/>
      <c r="AR78" s="330"/>
      <c r="AS78" s="330" t="b">
        <v>1</v>
      </c>
      <c r="AT78" s="330"/>
      <c r="AU78" s="332" t="s">
        <v>192</v>
      </c>
      <c r="AV78" s="334">
        <v>45817.656833275461</v>
      </c>
      <c r="AW78" s="330"/>
      <c r="AX78" s="335">
        <v>45861</v>
      </c>
      <c r="AY78" s="336">
        <v>45845</v>
      </c>
      <c r="AZ78" s="330"/>
      <c r="BA78" s="336">
        <v>45880</v>
      </c>
      <c r="BB78" s="330"/>
      <c r="BC78" s="336">
        <v>45882</v>
      </c>
      <c r="BD78" s="330"/>
      <c r="BE78" s="336">
        <v>45882</v>
      </c>
      <c r="BF78" s="330"/>
      <c r="BG78" s="330"/>
      <c r="BH78" s="330" t="s">
        <v>193</v>
      </c>
      <c r="BI78" s="330">
        <v>500</v>
      </c>
      <c r="BJ78" s="330"/>
      <c r="BK78" s="330"/>
      <c r="BL78" s="330"/>
      <c r="BM78" s="332"/>
      <c r="BN78" s="330"/>
      <c r="BO78" s="330" t="s">
        <v>240</v>
      </c>
      <c r="BP78" s="330" t="s">
        <v>193</v>
      </c>
      <c r="BQ78" s="330" t="s">
        <v>218</v>
      </c>
      <c r="BR78" s="330" t="s">
        <v>220</v>
      </c>
      <c r="BS78" s="330"/>
      <c r="BT78" s="330" t="s">
        <v>220</v>
      </c>
      <c r="BU78" s="330"/>
      <c r="BV78" s="330" t="s">
        <v>193</v>
      </c>
      <c r="BW78" s="330" t="s">
        <v>603</v>
      </c>
      <c r="BX78" s="332"/>
      <c r="BY78" s="330"/>
      <c r="BZ78" s="330"/>
      <c r="CA78" s="330"/>
      <c r="CB78" s="330"/>
      <c r="CC78" s="337" t="s">
        <v>241</v>
      </c>
      <c r="CD78" s="330" t="b">
        <v>1</v>
      </c>
      <c r="CE78" s="330" t="b">
        <v>1</v>
      </c>
      <c r="CF78" s="330" t="b">
        <v>1</v>
      </c>
      <c r="CG78" s="330" t="s">
        <v>242</v>
      </c>
      <c r="CH78" s="330"/>
      <c r="CI78" s="330"/>
      <c r="CJ78" s="330"/>
      <c r="CK78" s="330"/>
      <c r="CL78" s="330"/>
      <c r="CM78" s="330"/>
      <c r="CN78" s="330"/>
      <c r="CO78" s="330"/>
      <c r="CP78" s="330"/>
      <c r="CQ78" s="330"/>
      <c r="CR78" s="330"/>
      <c r="CS78" s="330"/>
      <c r="CT78" s="330"/>
      <c r="CU78" s="330"/>
      <c r="CV78" s="330"/>
      <c r="CW78" s="330"/>
      <c r="CX78" s="330"/>
      <c r="CY78" s="330"/>
      <c r="CZ78" s="330"/>
      <c r="DA78" s="330"/>
      <c r="DB78" s="330" t="b">
        <v>1</v>
      </c>
      <c r="DC78" s="330" t="b">
        <v>1</v>
      </c>
      <c r="DD78" s="330"/>
      <c r="DE78" s="330"/>
      <c r="DF78" s="338">
        <v>24051</v>
      </c>
      <c r="DG78" s="330" t="s">
        <v>221</v>
      </c>
      <c r="DH78" s="330"/>
      <c r="DI78" s="340">
        <v>42</v>
      </c>
      <c r="DJ78" s="330"/>
      <c r="DK78" s="330">
        <v>42</v>
      </c>
      <c r="DL78" s="330" t="s">
        <v>243</v>
      </c>
      <c r="DM78" s="330"/>
      <c r="DN78" s="330"/>
      <c r="DO78" s="330"/>
      <c r="DP78" s="330"/>
      <c r="DQ78" s="338" t="s">
        <v>197</v>
      </c>
      <c r="DR78" s="330"/>
      <c r="DS78" s="330"/>
      <c r="DT78" s="330"/>
      <c r="DU78" s="338" t="s">
        <v>197</v>
      </c>
      <c r="DV78" s="330"/>
      <c r="DW78" s="330"/>
      <c r="DX78" s="330"/>
      <c r="DY78" s="338" t="s">
        <v>197</v>
      </c>
      <c r="DZ78" s="330"/>
      <c r="EA78" s="330"/>
      <c r="EB78" s="330"/>
      <c r="EC78" s="330" t="s">
        <v>197</v>
      </c>
      <c r="ED78" s="338" t="s">
        <v>197</v>
      </c>
      <c r="EE78" s="330">
        <v>8</v>
      </c>
      <c r="EF78" s="330">
        <v>200</v>
      </c>
      <c r="EG78" s="330"/>
      <c r="EH78" s="330"/>
      <c r="EI78" s="330"/>
      <c r="EJ78" s="330"/>
      <c r="EK78" s="330"/>
      <c r="EL78" s="330"/>
      <c r="EM78" s="330"/>
      <c r="EN78" s="330"/>
      <c r="EO78" s="330"/>
      <c r="EP78" s="330"/>
      <c r="EQ78" s="332"/>
      <c r="ER78" s="330"/>
      <c r="ES78" s="330"/>
      <c r="ET78" s="332" t="s">
        <v>245</v>
      </c>
      <c r="EU78" s="332" t="s">
        <v>246</v>
      </c>
      <c r="EV78" s="336">
        <v>45840</v>
      </c>
      <c r="EW78" s="336">
        <v>45840</v>
      </c>
      <c r="EX78" s="330">
        <v>1</v>
      </c>
      <c r="EY78" s="330"/>
      <c r="EZ78" s="330" t="s">
        <v>201</v>
      </c>
      <c r="FA78" s="336">
        <v>45881</v>
      </c>
      <c r="FB78" s="330">
        <v>2</v>
      </c>
      <c r="FC78" s="330" t="s">
        <v>202</v>
      </c>
      <c r="FD78" s="332" t="s">
        <v>190</v>
      </c>
      <c r="FE78" s="336">
        <v>45882</v>
      </c>
      <c r="FF78" s="330"/>
      <c r="FG78" s="330" t="s">
        <v>203</v>
      </c>
      <c r="FH78" s="330" t="s">
        <v>869</v>
      </c>
      <c r="FI78" s="330" t="s">
        <v>204</v>
      </c>
      <c r="FJ78" s="330"/>
      <c r="FK78" s="330" t="s">
        <v>230</v>
      </c>
      <c r="FL78" s="330" t="s">
        <v>192</v>
      </c>
      <c r="FM78" s="330" t="s">
        <v>191</v>
      </c>
      <c r="FN78" s="330" t="s">
        <v>898</v>
      </c>
      <c r="FO78" s="330"/>
      <c r="FP78" s="330" t="s">
        <v>684</v>
      </c>
      <c r="FQ78" s="330"/>
      <c r="FR78" s="330"/>
      <c r="FS78" s="330"/>
      <c r="FT78" s="330"/>
      <c r="FU78" s="330"/>
    </row>
    <row r="79" spans="1:177" ht="165.75" x14ac:dyDescent="0.25">
      <c r="A79" s="330">
        <v>78</v>
      </c>
      <c r="B79" s="331" t="s">
        <v>899</v>
      </c>
      <c r="C79" s="330"/>
      <c r="D79" s="332" t="s">
        <v>900</v>
      </c>
      <c r="E79" s="332" t="s">
        <v>901</v>
      </c>
      <c r="F79" s="332" t="s">
        <v>902</v>
      </c>
      <c r="G79" s="330" t="s">
        <v>903</v>
      </c>
      <c r="H79" s="331" t="s">
        <v>328</v>
      </c>
      <c r="I79" s="330"/>
      <c r="J79" s="332" t="s">
        <v>904</v>
      </c>
      <c r="K79" s="332" t="s">
        <v>905</v>
      </c>
      <c r="L79" s="330"/>
      <c r="M79" s="332"/>
      <c r="N79" s="330"/>
      <c r="O79" s="333"/>
      <c r="P79" s="333"/>
      <c r="Q79" s="333"/>
      <c r="R79" s="333">
        <v>33</v>
      </c>
      <c r="S79" s="333"/>
      <c r="T79" s="333"/>
      <c r="U79" s="333"/>
      <c r="V79" s="333"/>
      <c r="W79" s="330"/>
      <c r="X79" s="330"/>
      <c r="Y79" s="332" t="s">
        <v>906</v>
      </c>
      <c r="Z79" s="330" t="s">
        <v>907</v>
      </c>
      <c r="AA79" s="330" t="s">
        <v>908</v>
      </c>
      <c r="AB79" s="330" t="s">
        <v>217</v>
      </c>
      <c r="AC79" s="330"/>
      <c r="AD79" s="330"/>
      <c r="AE79" s="330">
        <v>1</v>
      </c>
      <c r="AF79" s="330">
        <v>-39</v>
      </c>
      <c r="AG79" s="332" t="s">
        <v>191</v>
      </c>
      <c r="AH79" s="332" t="s">
        <v>202</v>
      </c>
      <c r="AI79" s="330" t="s">
        <v>191</v>
      </c>
      <c r="AJ79" s="330"/>
      <c r="AK79" s="330"/>
      <c r="AL79" s="330"/>
      <c r="AM79" s="330"/>
      <c r="AN79" s="330"/>
      <c r="AO79" s="330"/>
      <c r="AP79" s="332"/>
      <c r="AQ79" s="330"/>
      <c r="AR79" s="330"/>
      <c r="AS79" s="330"/>
      <c r="AT79" s="330"/>
      <c r="AU79" s="332"/>
      <c r="AV79" s="334">
        <v>46041.665355972225</v>
      </c>
      <c r="AW79" s="330"/>
      <c r="AX79" s="335">
        <v>46076</v>
      </c>
      <c r="AY79" s="330"/>
      <c r="AZ79" s="330"/>
      <c r="BA79" s="330"/>
      <c r="BB79" s="330"/>
      <c r="BC79" s="336">
        <v>46097</v>
      </c>
      <c r="BD79" s="330"/>
      <c r="BE79" s="336">
        <v>46097</v>
      </c>
      <c r="BF79" s="330"/>
      <c r="BG79" s="330"/>
      <c r="BH79" s="330" t="s">
        <v>193</v>
      </c>
      <c r="BI79" s="330">
        <v>999</v>
      </c>
      <c r="BJ79" s="330"/>
      <c r="BK79" s="330"/>
      <c r="BL79" s="330"/>
      <c r="BM79" s="332"/>
      <c r="BN79" s="330"/>
      <c r="BO79" s="330" t="s">
        <v>184</v>
      </c>
      <c r="BP79" s="330" t="s">
        <v>184</v>
      </c>
      <c r="BQ79" s="330" t="s">
        <v>909</v>
      </c>
      <c r="BR79" s="330" t="s">
        <v>193</v>
      </c>
      <c r="BS79" s="330" t="s">
        <v>910</v>
      </c>
      <c r="BT79" s="330" t="s">
        <v>220</v>
      </c>
      <c r="BU79" s="330"/>
      <c r="BV79" s="330" t="s">
        <v>220</v>
      </c>
      <c r="BW79" s="330"/>
      <c r="BX79" s="332"/>
      <c r="BY79" s="330"/>
      <c r="BZ79" s="330"/>
      <c r="CA79" s="330"/>
      <c r="CB79" s="330"/>
      <c r="CC79" s="337" t="s">
        <v>911</v>
      </c>
      <c r="CD79" s="330"/>
      <c r="CE79" s="330"/>
      <c r="CF79" s="330"/>
      <c r="CG79" s="330"/>
      <c r="CH79" s="330"/>
      <c r="CI79" s="330"/>
      <c r="CJ79" s="330"/>
      <c r="CK79" s="330"/>
      <c r="CL79" s="330"/>
      <c r="CM79" s="330"/>
      <c r="CN79" s="330"/>
      <c r="CO79" s="330"/>
      <c r="CP79" s="330"/>
      <c r="CQ79" s="330"/>
      <c r="CR79" s="330"/>
      <c r="CS79" s="330"/>
      <c r="CT79" s="330"/>
      <c r="CU79" s="330"/>
      <c r="CV79" s="330"/>
      <c r="CW79" s="330"/>
      <c r="CX79" s="330"/>
      <c r="CY79" s="330"/>
      <c r="CZ79" s="330"/>
      <c r="DA79" s="330"/>
      <c r="DB79" s="330"/>
      <c r="DC79" s="330"/>
      <c r="DD79" s="330"/>
      <c r="DE79" s="330"/>
      <c r="DF79" s="338">
        <v>24079</v>
      </c>
      <c r="DG79" s="330" t="s">
        <v>221</v>
      </c>
      <c r="DH79" s="330"/>
      <c r="DI79" s="338" t="s">
        <v>746</v>
      </c>
      <c r="DJ79" s="330"/>
      <c r="DK79" s="330">
        <v>3</v>
      </c>
      <c r="DL79" s="330" t="s">
        <v>912</v>
      </c>
      <c r="DM79" s="330"/>
      <c r="DN79" s="330"/>
      <c r="DO79" s="330"/>
      <c r="DP79" s="330"/>
      <c r="DQ79" s="338" t="s">
        <v>197</v>
      </c>
      <c r="DR79" s="330"/>
      <c r="DS79" s="330"/>
      <c r="DT79" s="330"/>
      <c r="DU79" s="338" t="s">
        <v>197</v>
      </c>
      <c r="DV79" s="330"/>
      <c r="DW79" s="330"/>
      <c r="DX79" s="330"/>
      <c r="DY79" s="338" t="s">
        <v>197</v>
      </c>
      <c r="DZ79" s="330"/>
      <c r="EA79" s="330"/>
      <c r="EB79" s="330"/>
      <c r="EC79" s="330" t="s">
        <v>197</v>
      </c>
      <c r="ED79" s="338" t="s">
        <v>197</v>
      </c>
      <c r="EE79" s="330">
        <v>20</v>
      </c>
      <c r="EF79" s="330">
        <v>0</v>
      </c>
      <c r="EG79" s="330"/>
      <c r="EH79" s="330"/>
      <c r="EI79" s="330"/>
      <c r="EJ79" s="330"/>
      <c r="EK79" s="330"/>
      <c r="EL79" s="330"/>
      <c r="EM79" s="330"/>
      <c r="EN79" s="330"/>
      <c r="EO79" s="330"/>
      <c r="EP79" s="330"/>
      <c r="EQ79" s="332" t="s">
        <v>224</v>
      </c>
      <c r="ER79" s="330"/>
      <c r="ES79" s="330"/>
      <c r="ET79" s="332"/>
      <c r="EU79" s="332"/>
      <c r="EV79" s="330"/>
      <c r="EW79" s="330"/>
      <c r="EX79" s="330" t="s">
        <v>200</v>
      </c>
      <c r="EY79" s="330"/>
      <c r="EZ79" s="330" t="s">
        <v>247</v>
      </c>
      <c r="FA79" s="330"/>
      <c r="FB79" s="330" t="s">
        <v>247</v>
      </c>
      <c r="FC79" s="330" t="s">
        <v>202</v>
      </c>
      <c r="FD79" s="332" t="s">
        <v>190</v>
      </c>
      <c r="FE79" s="330"/>
      <c r="FF79" s="330"/>
      <c r="FG79" s="330" t="s">
        <v>203</v>
      </c>
      <c r="FH79" s="330"/>
      <c r="FI79" s="330" t="s">
        <v>204</v>
      </c>
      <c r="FJ79" s="330"/>
      <c r="FK79" s="330" t="s">
        <v>902</v>
      </c>
      <c r="FL79" s="330"/>
      <c r="FM79" s="330"/>
      <c r="FN79" s="330" t="s">
        <v>913</v>
      </c>
      <c r="FO79" s="330"/>
      <c r="FP79" s="330" t="s">
        <v>459</v>
      </c>
      <c r="FQ79" s="330"/>
      <c r="FR79" s="330"/>
      <c r="FS79" s="330"/>
      <c r="FT79" s="330"/>
      <c r="FU79" s="330"/>
    </row>
    <row r="80" spans="1:177" ht="127.5" x14ac:dyDescent="0.25">
      <c r="A80" s="330">
        <v>79</v>
      </c>
      <c r="B80" s="331" t="s">
        <v>914</v>
      </c>
      <c r="C80" s="330"/>
      <c r="D80" s="332" t="s">
        <v>900</v>
      </c>
      <c r="E80" s="332" t="s">
        <v>901</v>
      </c>
      <c r="F80" s="332" t="s">
        <v>902</v>
      </c>
      <c r="G80" s="330" t="s">
        <v>903</v>
      </c>
      <c r="H80" s="331">
        <v>400</v>
      </c>
      <c r="I80" s="330"/>
      <c r="J80" s="332" t="s">
        <v>915</v>
      </c>
      <c r="K80" s="332" t="s">
        <v>916</v>
      </c>
      <c r="L80" s="330" t="s">
        <v>917</v>
      </c>
      <c r="M80" s="332" t="s">
        <v>918</v>
      </c>
      <c r="N80" s="330" t="s">
        <v>919</v>
      </c>
      <c r="O80" s="333" t="s">
        <v>736</v>
      </c>
      <c r="P80" s="333">
        <v>201</v>
      </c>
      <c r="Q80" s="333"/>
      <c r="R80" s="333">
        <v>173</v>
      </c>
      <c r="S80" s="333">
        <v>176</v>
      </c>
      <c r="T80" s="333">
        <v>149</v>
      </c>
      <c r="U80" s="333">
        <v>1370</v>
      </c>
      <c r="V80" s="333">
        <v>1450</v>
      </c>
      <c r="W80" s="330" t="s">
        <v>920</v>
      </c>
      <c r="X80" s="330" t="s">
        <v>921</v>
      </c>
      <c r="Y80" s="332" t="s">
        <v>922</v>
      </c>
      <c r="Z80" s="330" t="s">
        <v>215</v>
      </c>
      <c r="AA80" s="330" t="s">
        <v>923</v>
      </c>
      <c r="AB80" s="330" t="s">
        <v>217</v>
      </c>
      <c r="AC80" s="330"/>
      <c r="AD80" s="330" t="s">
        <v>924</v>
      </c>
      <c r="AE80" s="330">
        <v>40</v>
      </c>
      <c r="AF80" s="330">
        <v>-5</v>
      </c>
      <c r="AG80" s="332" t="s">
        <v>190</v>
      </c>
      <c r="AH80" s="332" t="s">
        <v>191</v>
      </c>
      <c r="AI80" s="330" t="s">
        <v>191</v>
      </c>
      <c r="AJ80" s="330" t="s">
        <v>191</v>
      </c>
      <c r="AK80" s="330" t="s">
        <v>191</v>
      </c>
      <c r="AL80" s="330" t="s">
        <v>192</v>
      </c>
      <c r="AM80" s="330" t="s">
        <v>191</v>
      </c>
      <c r="AN80" s="330" t="s">
        <v>192</v>
      </c>
      <c r="AO80" s="330"/>
      <c r="AP80" s="332" t="s">
        <v>259</v>
      </c>
      <c r="AQ80" s="330"/>
      <c r="AR80" s="330"/>
      <c r="AS80" s="330" t="b">
        <v>1</v>
      </c>
      <c r="AT80" s="330"/>
      <c r="AU80" s="332" t="s">
        <v>554</v>
      </c>
      <c r="AV80" s="334">
        <v>46007.318003287037</v>
      </c>
      <c r="AW80" s="330"/>
      <c r="AX80" s="335">
        <v>46055</v>
      </c>
      <c r="AY80" s="336">
        <v>46106</v>
      </c>
      <c r="AZ80" s="330" t="b">
        <v>1</v>
      </c>
      <c r="BA80" s="336">
        <v>46122</v>
      </c>
      <c r="BB80" s="330"/>
      <c r="BC80" s="336">
        <v>46076</v>
      </c>
      <c r="BD80" s="330"/>
      <c r="BE80" s="336">
        <v>46076</v>
      </c>
      <c r="BF80" s="330"/>
      <c r="BG80" s="330"/>
      <c r="BH80" s="330" t="s">
        <v>193</v>
      </c>
      <c r="BI80" s="330">
        <v>275</v>
      </c>
      <c r="BJ80" s="330"/>
      <c r="BK80" s="330"/>
      <c r="BL80" s="330"/>
      <c r="BM80" s="332"/>
      <c r="BN80" s="330"/>
      <c r="BO80" s="330" t="s">
        <v>240</v>
      </c>
      <c r="BP80" s="330" t="s">
        <v>220</v>
      </c>
      <c r="BQ80" s="330" t="s">
        <v>909</v>
      </c>
      <c r="BR80" s="330" t="s">
        <v>193</v>
      </c>
      <c r="BS80" s="330" t="s">
        <v>925</v>
      </c>
      <c r="BT80" s="330" t="s">
        <v>193</v>
      </c>
      <c r="BU80" s="330" t="s">
        <v>926</v>
      </c>
      <c r="BV80" s="330" t="s">
        <v>193</v>
      </c>
      <c r="BW80" s="330" t="s">
        <v>908</v>
      </c>
      <c r="BX80" s="332"/>
      <c r="BY80" s="330"/>
      <c r="BZ80" s="330"/>
      <c r="CA80" s="330"/>
      <c r="CB80" s="330"/>
      <c r="CC80" s="337" t="s">
        <v>194</v>
      </c>
      <c r="CD80" s="330" t="b">
        <v>1</v>
      </c>
      <c r="CE80" s="330" t="b">
        <v>1</v>
      </c>
      <c r="CF80" s="330" t="b">
        <v>1</v>
      </c>
      <c r="CG80" s="330" t="s">
        <v>242</v>
      </c>
      <c r="CH80" s="330"/>
      <c r="CI80" s="330"/>
      <c r="CJ80" s="330"/>
      <c r="CK80" s="330"/>
      <c r="CL80" s="330"/>
      <c r="CM80" s="330"/>
      <c r="CN80" s="330"/>
      <c r="CO80" s="330"/>
      <c r="CP80" s="330"/>
      <c r="CQ80" s="330"/>
      <c r="CR80" s="330"/>
      <c r="CS80" s="330"/>
      <c r="CT80" s="330"/>
      <c r="CU80" s="330"/>
      <c r="CV80" s="330"/>
      <c r="CW80" s="330"/>
      <c r="CX80" s="330"/>
      <c r="CY80" s="330"/>
      <c r="CZ80" s="330"/>
      <c r="DA80" s="330"/>
      <c r="DB80" s="330" t="b">
        <v>1</v>
      </c>
      <c r="DC80" s="330" t="b">
        <v>1</v>
      </c>
      <c r="DD80" s="330"/>
      <c r="DE80" s="330"/>
      <c r="DF80" s="338">
        <v>24079</v>
      </c>
      <c r="DG80" s="330" t="s">
        <v>221</v>
      </c>
      <c r="DH80" s="330"/>
      <c r="DI80" s="338">
        <v>101</v>
      </c>
      <c r="DJ80" s="330"/>
      <c r="DK80" s="330">
        <v>101</v>
      </c>
      <c r="DL80" s="330" t="s">
        <v>912</v>
      </c>
      <c r="DM80" s="330"/>
      <c r="DN80" s="330"/>
      <c r="DO80" s="330"/>
      <c r="DP80" s="330"/>
      <c r="DQ80" s="338" t="s">
        <v>197</v>
      </c>
      <c r="DR80" s="330"/>
      <c r="DS80" s="330"/>
      <c r="DT80" s="330"/>
      <c r="DU80" s="338" t="s">
        <v>197</v>
      </c>
      <c r="DV80" s="330"/>
      <c r="DW80" s="330"/>
      <c r="DX80" s="330"/>
      <c r="DY80" s="338" t="s">
        <v>197</v>
      </c>
      <c r="DZ80" s="330"/>
      <c r="EA80" s="330"/>
      <c r="EB80" s="330"/>
      <c r="EC80" s="330" t="s">
        <v>197</v>
      </c>
      <c r="ED80" s="338" t="s">
        <v>197</v>
      </c>
      <c r="EE80" s="330">
        <v>120</v>
      </c>
      <c r="EF80" s="330">
        <v>200</v>
      </c>
      <c r="EG80" s="330"/>
      <c r="EH80" s="330"/>
      <c r="EI80" s="330"/>
      <c r="EJ80" s="330"/>
      <c r="EK80" s="330"/>
      <c r="EL80" s="330"/>
      <c r="EM80" s="330"/>
      <c r="EN80" s="330"/>
      <c r="EO80" s="330"/>
      <c r="EP80" s="330"/>
      <c r="EQ80" s="332" t="s">
        <v>244</v>
      </c>
      <c r="ER80" s="330"/>
      <c r="ES80" s="330"/>
      <c r="ET80" s="332" t="s">
        <v>245</v>
      </c>
      <c r="EU80" s="332" t="s">
        <v>246</v>
      </c>
      <c r="EV80" s="336">
        <v>46104</v>
      </c>
      <c r="EW80" s="336">
        <v>46106</v>
      </c>
      <c r="EX80" s="330">
        <v>3</v>
      </c>
      <c r="EY80" s="330"/>
      <c r="EZ80" s="330" t="s">
        <v>201</v>
      </c>
      <c r="FA80" s="336">
        <v>46114</v>
      </c>
      <c r="FB80" s="330">
        <v>1</v>
      </c>
      <c r="FC80" s="330" t="s">
        <v>202</v>
      </c>
      <c r="FD80" s="332" t="s">
        <v>190</v>
      </c>
      <c r="FE80" s="336">
        <v>46114</v>
      </c>
      <c r="FF80" s="330"/>
      <c r="FG80" s="330" t="s">
        <v>203</v>
      </c>
      <c r="FH80" s="330" t="s">
        <v>291</v>
      </c>
      <c r="FI80" s="330" t="s">
        <v>204</v>
      </c>
      <c r="FJ80" s="330"/>
      <c r="FK80" s="330" t="s">
        <v>902</v>
      </c>
      <c r="FL80" s="330" t="s">
        <v>192</v>
      </c>
      <c r="FM80" s="330" t="s">
        <v>191</v>
      </c>
      <c r="FN80" s="330" t="s">
        <v>927</v>
      </c>
      <c r="FO80" s="330"/>
      <c r="FP80" s="330" t="s">
        <v>729</v>
      </c>
      <c r="FQ80" s="330"/>
      <c r="FR80" s="330"/>
      <c r="FS80" s="330"/>
      <c r="FT80" s="330"/>
      <c r="FU80" s="330"/>
    </row>
    <row r="81" spans="1:177" ht="306" x14ac:dyDescent="0.25">
      <c r="A81" s="330">
        <v>80</v>
      </c>
      <c r="B81" s="331" t="s">
        <v>928</v>
      </c>
      <c r="C81" s="330"/>
      <c r="D81" s="332" t="s">
        <v>900</v>
      </c>
      <c r="E81" s="332" t="s">
        <v>901</v>
      </c>
      <c r="F81" s="332" t="s">
        <v>902</v>
      </c>
      <c r="G81" s="330" t="s">
        <v>903</v>
      </c>
      <c r="H81" s="331">
        <v>400</v>
      </c>
      <c r="I81" s="330"/>
      <c r="J81" s="332" t="s">
        <v>929</v>
      </c>
      <c r="K81" s="332" t="s">
        <v>930</v>
      </c>
      <c r="L81" s="330" t="s">
        <v>284</v>
      </c>
      <c r="M81" s="332" t="s">
        <v>931</v>
      </c>
      <c r="N81" s="330"/>
      <c r="O81" s="333"/>
      <c r="P81" s="333"/>
      <c r="Q81" s="333"/>
      <c r="R81" s="333">
        <v>192</v>
      </c>
      <c r="S81" s="333">
        <v>198</v>
      </c>
      <c r="T81" s="333">
        <v>162</v>
      </c>
      <c r="U81" s="333"/>
      <c r="V81" s="333"/>
      <c r="W81" s="330"/>
      <c r="X81" s="330"/>
      <c r="Y81" s="332" t="s">
        <v>932</v>
      </c>
      <c r="Z81" s="330" t="s">
        <v>215</v>
      </c>
      <c r="AA81" s="330" t="s">
        <v>933</v>
      </c>
      <c r="AB81" s="330" t="s">
        <v>217</v>
      </c>
      <c r="AC81" s="330"/>
      <c r="AD81" s="330" t="s">
        <v>924</v>
      </c>
      <c r="AE81" s="330">
        <v>1</v>
      </c>
      <c r="AF81" s="330">
        <v>-39</v>
      </c>
      <c r="AG81" s="332" t="s">
        <v>191</v>
      </c>
      <c r="AH81" s="332" t="s">
        <v>191</v>
      </c>
      <c r="AI81" s="330" t="s">
        <v>191</v>
      </c>
      <c r="AJ81" s="330" t="s">
        <v>191</v>
      </c>
      <c r="AK81" s="330" t="s">
        <v>192</v>
      </c>
      <c r="AL81" s="330" t="s">
        <v>192</v>
      </c>
      <c r="AM81" s="330" t="s">
        <v>191</v>
      </c>
      <c r="AN81" s="330" t="s">
        <v>192</v>
      </c>
      <c r="AO81" s="330"/>
      <c r="AP81" s="332" t="s">
        <v>259</v>
      </c>
      <c r="AQ81" s="330"/>
      <c r="AR81" s="330"/>
      <c r="AS81" s="330"/>
      <c r="AT81" s="330"/>
      <c r="AU81" s="332" t="s">
        <v>192</v>
      </c>
      <c r="AV81" s="334">
        <v>46041.64982929398</v>
      </c>
      <c r="AW81" s="330"/>
      <c r="AX81" s="335">
        <v>46076</v>
      </c>
      <c r="AY81" s="330"/>
      <c r="AZ81" s="330"/>
      <c r="BA81" s="330"/>
      <c r="BB81" s="330"/>
      <c r="BC81" s="336">
        <v>46097</v>
      </c>
      <c r="BD81" s="330"/>
      <c r="BE81" s="336">
        <v>46097</v>
      </c>
      <c r="BF81" s="330"/>
      <c r="BG81" s="330"/>
      <c r="BH81" s="330" t="s">
        <v>193</v>
      </c>
      <c r="BI81" s="330">
        <v>370</v>
      </c>
      <c r="BJ81" s="330"/>
      <c r="BK81" s="330"/>
      <c r="BL81" s="330"/>
      <c r="BM81" s="332"/>
      <c r="BN81" s="330"/>
      <c r="BO81" s="330" t="s">
        <v>240</v>
      </c>
      <c r="BP81" s="330" t="s">
        <v>193</v>
      </c>
      <c r="BQ81" s="330" t="s">
        <v>909</v>
      </c>
      <c r="BR81" s="330" t="s">
        <v>193</v>
      </c>
      <c r="BS81" s="330" t="s">
        <v>934</v>
      </c>
      <c r="BT81" s="330" t="s">
        <v>220</v>
      </c>
      <c r="BU81" s="330"/>
      <c r="BV81" s="330" t="s">
        <v>220</v>
      </c>
      <c r="BW81" s="330"/>
      <c r="BX81" s="332"/>
      <c r="BY81" s="330"/>
      <c r="BZ81" s="330"/>
      <c r="CA81" s="330"/>
      <c r="CB81" s="330"/>
      <c r="CC81" s="337" t="s">
        <v>935</v>
      </c>
      <c r="CD81" s="330" t="b">
        <v>1</v>
      </c>
      <c r="CE81" s="330" t="b">
        <v>1</v>
      </c>
      <c r="CF81" s="330" t="b">
        <v>1</v>
      </c>
      <c r="CG81" s="330" t="s">
        <v>242</v>
      </c>
      <c r="CH81" s="330"/>
      <c r="CI81" s="330"/>
      <c r="CJ81" s="330"/>
      <c r="CK81" s="330"/>
      <c r="CL81" s="330"/>
      <c r="CM81" s="330"/>
      <c r="CN81" s="330"/>
      <c r="CO81" s="330"/>
      <c r="CP81" s="330"/>
      <c r="CQ81" s="330"/>
      <c r="CR81" s="330"/>
      <c r="CS81" s="330"/>
      <c r="CT81" s="330"/>
      <c r="CU81" s="330"/>
      <c r="CV81" s="330"/>
      <c r="CW81" s="330"/>
      <c r="CX81" s="330"/>
      <c r="CY81" s="330"/>
      <c r="CZ81" s="330"/>
      <c r="DA81" s="330"/>
      <c r="DB81" s="330" t="b">
        <v>1</v>
      </c>
      <c r="DC81" s="330" t="b">
        <v>1</v>
      </c>
      <c r="DD81" s="330"/>
      <c r="DE81" s="330"/>
      <c r="DF81" s="338">
        <v>24079</v>
      </c>
      <c r="DG81" s="330" t="s">
        <v>221</v>
      </c>
      <c r="DH81" s="330"/>
      <c r="DI81" s="340">
        <v>102</v>
      </c>
      <c r="DJ81" s="330"/>
      <c r="DK81" s="330">
        <v>102</v>
      </c>
      <c r="DL81" s="330" t="s">
        <v>912</v>
      </c>
      <c r="DM81" s="330"/>
      <c r="DN81" s="330"/>
      <c r="DO81" s="330"/>
      <c r="DP81" s="330"/>
      <c r="DQ81" s="338" t="s">
        <v>197</v>
      </c>
      <c r="DR81" s="330"/>
      <c r="DS81" s="330"/>
      <c r="DT81" s="330"/>
      <c r="DU81" s="338" t="s">
        <v>197</v>
      </c>
      <c r="DV81" s="330"/>
      <c r="DW81" s="330"/>
      <c r="DX81" s="330"/>
      <c r="DY81" s="338" t="s">
        <v>197</v>
      </c>
      <c r="DZ81" s="330"/>
      <c r="EA81" s="330"/>
      <c r="EB81" s="330"/>
      <c r="EC81" s="330" t="s">
        <v>197</v>
      </c>
      <c r="ED81" s="338" t="s">
        <v>197</v>
      </c>
      <c r="EE81" s="330">
        <v>80</v>
      </c>
      <c r="EF81" s="330">
        <v>462</v>
      </c>
      <c r="EG81" s="330"/>
      <c r="EH81" s="330"/>
      <c r="EI81" s="330"/>
      <c r="EJ81" s="330"/>
      <c r="EK81" s="330"/>
      <c r="EL81" s="330"/>
      <c r="EM81" s="330"/>
      <c r="EN81" s="330"/>
      <c r="EO81" s="330"/>
      <c r="EP81" s="330"/>
      <c r="EQ81" s="332" t="s">
        <v>936</v>
      </c>
      <c r="ER81" s="330"/>
      <c r="ES81" s="330"/>
      <c r="ET81" s="332" t="s">
        <v>245</v>
      </c>
      <c r="EU81" s="332" t="s">
        <v>246</v>
      </c>
      <c r="EV81" s="330"/>
      <c r="EW81" s="330"/>
      <c r="EX81" s="330" t="s">
        <v>200</v>
      </c>
      <c r="EY81" s="330"/>
      <c r="EZ81" s="330" t="s">
        <v>247</v>
      </c>
      <c r="FA81" s="330"/>
      <c r="FB81" s="330" t="s">
        <v>247</v>
      </c>
      <c r="FC81" s="330" t="s">
        <v>202</v>
      </c>
      <c r="FD81" s="332" t="s">
        <v>190</v>
      </c>
      <c r="FE81" s="330"/>
      <c r="FF81" s="330"/>
      <c r="FG81" s="330" t="s">
        <v>203</v>
      </c>
      <c r="FH81" s="330"/>
      <c r="FI81" s="330" t="s">
        <v>204</v>
      </c>
      <c r="FJ81" s="330"/>
      <c r="FK81" s="330" t="s">
        <v>902</v>
      </c>
      <c r="FL81" s="330" t="s">
        <v>192</v>
      </c>
      <c r="FM81" s="330" t="s">
        <v>191</v>
      </c>
      <c r="FN81" s="330" t="s">
        <v>937</v>
      </c>
      <c r="FO81" s="330"/>
      <c r="FP81" s="330" t="s">
        <v>459</v>
      </c>
      <c r="FQ81" s="330"/>
      <c r="FR81" s="330"/>
      <c r="FS81" s="330"/>
      <c r="FT81" s="330"/>
      <c r="FU81" s="330"/>
    </row>
    <row r="82" spans="1:177" ht="38.25" x14ac:dyDescent="0.25">
      <c r="A82" s="330">
        <v>81</v>
      </c>
      <c r="B82" s="331" t="s">
        <v>938</v>
      </c>
      <c r="C82" s="330"/>
      <c r="D82" s="332" t="s">
        <v>228</v>
      </c>
      <c r="E82" s="332" t="s">
        <v>229</v>
      </c>
      <c r="F82" s="332" t="s">
        <v>230</v>
      </c>
      <c r="G82" s="330" t="s">
        <v>231</v>
      </c>
      <c r="H82" s="331">
        <v>400</v>
      </c>
      <c r="I82" s="330"/>
      <c r="J82" s="332"/>
      <c r="K82" s="332" t="s">
        <v>939</v>
      </c>
      <c r="L82" s="330"/>
      <c r="M82" s="332"/>
      <c r="N82" s="330" t="s">
        <v>940</v>
      </c>
      <c r="O82" s="339">
        <v>0.280049823541623</v>
      </c>
      <c r="P82" s="333">
        <v>5396</v>
      </c>
      <c r="Q82" s="333">
        <v>19268</v>
      </c>
      <c r="R82" s="333">
        <v>153</v>
      </c>
      <c r="S82" s="333">
        <v>153</v>
      </c>
      <c r="T82" s="333">
        <v>2</v>
      </c>
      <c r="U82" s="333">
        <v>918</v>
      </c>
      <c r="V82" s="333">
        <v>1780</v>
      </c>
      <c r="W82" s="330" t="s">
        <v>941</v>
      </c>
      <c r="X82" s="330" t="s">
        <v>942</v>
      </c>
      <c r="Y82" s="332" t="s">
        <v>383</v>
      </c>
      <c r="Z82" s="330" t="s">
        <v>215</v>
      </c>
      <c r="AA82" s="330" t="s">
        <v>384</v>
      </c>
      <c r="AB82" s="330" t="s">
        <v>189</v>
      </c>
      <c r="AC82" s="330"/>
      <c r="AD82" s="330"/>
      <c r="AE82" s="330">
        <v>1</v>
      </c>
      <c r="AF82" s="330">
        <v>-260</v>
      </c>
      <c r="AG82" s="332" t="s">
        <v>190</v>
      </c>
      <c r="AH82" s="332" t="s">
        <v>191</v>
      </c>
      <c r="AI82" s="330"/>
      <c r="AJ82" s="330" t="s">
        <v>192</v>
      </c>
      <c r="AK82" s="330"/>
      <c r="AL82" s="330" t="s">
        <v>192</v>
      </c>
      <c r="AM82" s="330" t="s">
        <v>191</v>
      </c>
      <c r="AN82" s="330" t="s">
        <v>192</v>
      </c>
      <c r="AO82" s="330"/>
      <c r="AP82" s="332" t="s">
        <v>239</v>
      </c>
      <c r="AQ82" s="330"/>
      <c r="AR82" s="330"/>
      <c r="AS82" s="330" t="b">
        <v>1</v>
      </c>
      <c r="AT82" s="330"/>
      <c r="AU82" s="332" t="s">
        <v>192</v>
      </c>
      <c r="AV82" s="334">
        <v>45722.640248854164</v>
      </c>
      <c r="AW82" s="330"/>
      <c r="AX82" s="335">
        <v>45748</v>
      </c>
      <c r="AY82" s="336">
        <v>45735</v>
      </c>
      <c r="AZ82" s="330"/>
      <c r="BA82" s="336">
        <v>45765</v>
      </c>
      <c r="BB82" s="330"/>
      <c r="BC82" s="336">
        <v>45769</v>
      </c>
      <c r="BD82" s="330"/>
      <c r="BE82" s="336">
        <v>45769</v>
      </c>
      <c r="BF82" s="330"/>
      <c r="BG82" s="330"/>
      <c r="BH82" s="330" t="s">
        <v>193</v>
      </c>
      <c r="BI82" s="330">
        <v>1000</v>
      </c>
      <c r="BJ82" s="330"/>
      <c r="BK82" s="330"/>
      <c r="BL82" s="330"/>
      <c r="BM82" s="332"/>
      <c r="BN82" s="330"/>
      <c r="BO82" s="330" t="s">
        <v>240</v>
      </c>
      <c r="BP82" s="330" t="s">
        <v>193</v>
      </c>
      <c r="BQ82" s="330" t="s">
        <v>218</v>
      </c>
      <c r="BR82" s="330" t="s">
        <v>220</v>
      </c>
      <c r="BS82" s="330"/>
      <c r="BT82" s="330" t="s">
        <v>220</v>
      </c>
      <c r="BU82" s="330"/>
      <c r="BV82" s="330" t="s">
        <v>220</v>
      </c>
      <c r="BW82" s="330"/>
      <c r="BX82" s="332"/>
      <c r="BY82" s="330"/>
      <c r="BZ82" s="330"/>
      <c r="CA82" s="330"/>
      <c r="CB82" s="330"/>
      <c r="CC82" s="337" t="s">
        <v>943</v>
      </c>
      <c r="CD82" s="330" t="b">
        <v>1</v>
      </c>
      <c r="CE82" s="330" t="b">
        <v>1</v>
      </c>
      <c r="CF82" s="330" t="b">
        <v>1</v>
      </c>
      <c r="CG82" s="330" t="s">
        <v>242</v>
      </c>
      <c r="CH82" s="330"/>
      <c r="CI82" s="330"/>
      <c r="CJ82" s="330"/>
      <c r="CK82" s="330"/>
      <c r="CL82" s="330"/>
      <c r="CM82" s="330"/>
      <c r="CN82" s="330"/>
      <c r="CO82" s="330"/>
      <c r="CP82" s="330"/>
      <c r="CQ82" s="330"/>
      <c r="CR82" s="330"/>
      <c r="CS82" s="330"/>
      <c r="CT82" s="330"/>
      <c r="CU82" s="330"/>
      <c r="CV82" s="330"/>
      <c r="CW82" s="330"/>
      <c r="CX82" s="330"/>
      <c r="CY82" s="330"/>
      <c r="CZ82" s="330"/>
      <c r="DA82" s="330"/>
      <c r="DB82" s="330" t="b">
        <v>1</v>
      </c>
      <c r="DC82" s="330" t="b">
        <v>1</v>
      </c>
      <c r="DD82" s="330"/>
      <c r="DE82" s="330"/>
      <c r="DF82" s="338">
        <v>24051</v>
      </c>
      <c r="DG82" s="330" t="s">
        <v>221</v>
      </c>
      <c r="DH82" s="330"/>
      <c r="DI82" s="338" t="s">
        <v>754</v>
      </c>
      <c r="DJ82" s="330"/>
      <c r="DK82" s="330">
        <v>4</v>
      </c>
      <c r="DL82" s="330" t="s">
        <v>243</v>
      </c>
      <c r="DM82" s="330"/>
      <c r="DN82" s="330"/>
      <c r="DO82" s="330"/>
      <c r="DP82" s="330"/>
      <c r="DQ82" s="338" t="s">
        <v>197</v>
      </c>
      <c r="DR82" s="330"/>
      <c r="DS82" s="330"/>
      <c r="DT82" s="330"/>
      <c r="DU82" s="338" t="s">
        <v>197</v>
      </c>
      <c r="DV82" s="330"/>
      <c r="DW82" s="330"/>
      <c r="DX82" s="330"/>
      <c r="DY82" s="338" t="s">
        <v>197</v>
      </c>
      <c r="DZ82" s="330"/>
      <c r="EA82" s="330"/>
      <c r="EB82" s="330"/>
      <c r="EC82" s="330" t="s">
        <v>197</v>
      </c>
      <c r="ED82" s="338" t="s">
        <v>197</v>
      </c>
      <c r="EE82" s="330">
        <v>4</v>
      </c>
      <c r="EF82" s="330">
        <v>300</v>
      </c>
      <c r="EG82" s="330"/>
      <c r="EH82" s="330"/>
      <c r="EI82" s="330"/>
      <c r="EJ82" s="330"/>
      <c r="EK82" s="330"/>
      <c r="EL82" s="330"/>
      <c r="EM82" s="330"/>
      <c r="EN82" s="330"/>
      <c r="EO82" s="330"/>
      <c r="EP82" s="330"/>
      <c r="EQ82" s="332" t="s">
        <v>244</v>
      </c>
      <c r="ER82" s="330"/>
      <c r="ES82" s="330"/>
      <c r="ET82" s="332" t="s">
        <v>245</v>
      </c>
      <c r="EU82" s="332" t="s">
        <v>246</v>
      </c>
      <c r="EV82" s="336">
        <v>45734</v>
      </c>
      <c r="EW82" s="336">
        <v>45735</v>
      </c>
      <c r="EX82" s="330">
        <v>2</v>
      </c>
      <c r="EY82" s="330"/>
      <c r="EZ82" s="330" t="s">
        <v>201</v>
      </c>
      <c r="FA82" s="336">
        <v>45768</v>
      </c>
      <c r="FB82" s="330">
        <v>2</v>
      </c>
      <c r="FC82" s="330" t="s">
        <v>202</v>
      </c>
      <c r="FD82" s="332" t="s">
        <v>190</v>
      </c>
      <c r="FE82" s="336">
        <v>45769</v>
      </c>
      <c r="FF82" s="330"/>
      <c r="FG82" s="330" t="s">
        <v>203</v>
      </c>
      <c r="FH82" s="330" t="s">
        <v>944</v>
      </c>
      <c r="FI82" s="330" t="s">
        <v>204</v>
      </c>
      <c r="FJ82" s="330"/>
      <c r="FK82" s="330" t="s">
        <v>230</v>
      </c>
      <c r="FL82" s="330" t="s">
        <v>192</v>
      </c>
      <c r="FM82" s="330" t="s">
        <v>191</v>
      </c>
      <c r="FN82" s="330" t="s">
        <v>945</v>
      </c>
      <c r="FO82" s="330"/>
      <c r="FP82" s="330" t="s">
        <v>946</v>
      </c>
      <c r="FQ82" s="330"/>
      <c r="FR82" s="330"/>
      <c r="FS82" s="330"/>
      <c r="FT82" s="330"/>
      <c r="FU82" s="330"/>
    </row>
    <row r="83" spans="1:177" ht="38.25" x14ac:dyDescent="0.25">
      <c r="A83" s="330">
        <v>82</v>
      </c>
      <c r="B83" s="331" t="s">
        <v>947</v>
      </c>
      <c r="C83" s="330"/>
      <c r="D83" s="332" t="s">
        <v>228</v>
      </c>
      <c r="E83" s="332" t="s">
        <v>229</v>
      </c>
      <c r="F83" s="332" t="s">
        <v>230</v>
      </c>
      <c r="G83" s="330" t="s">
        <v>231</v>
      </c>
      <c r="H83" s="331">
        <v>400</v>
      </c>
      <c r="I83" s="330"/>
      <c r="J83" s="332"/>
      <c r="K83" s="332" t="s">
        <v>948</v>
      </c>
      <c r="L83" s="330"/>
      <c r="M83" s="332"/>
      <c r="N83" s="330" t="s">
        <v>949</v>
      </c>
      <c r="O83" s="339">
        <v>0.28799045048785599</v>
      </c>
      <c r="P83" s="333">
        <v>5549</v>
      </c>
      <c r="Q83" s="333">
        <v>19268</v>
      </c>
      <c r="R83" s="333">
        <v>153</v>
      </c>
      <c r="S83" s="333">
        <v>153</v>
      </c>
      <c r="T83" s="333">
        <v>2</v>
      </c>
      <c r="U83" s="333">
        <v>707</v>
      </c>
      <c r="V83" s="333">
        <v>1050</v>
      </c>
      <c r="W83" s="330" t="s">
        <v>950</v>
      </c>
      <c r="X83" s="330" t="s">
        <v>951</v>
      </c>
      <c r="Y83" s="332" t="s">
        <v>383</v>
      </c>
      <c r="Z83" s="330" t="s">
        <v>215</v>
      </c>
      <c r="AA83" s="330" t="s">
        <v>384</v>
      </c>
      <c r="AB83" s="330" t="s">
        <v>189</v>
      </c>
      <c r="AC83" s="330"/>
      <c r="AD83" s="330"/>
      <c r="AE83" s="330">
        <v>1</v>
      </c>
      <c r="AF83" s="330">
        <v>-260</v>
      </c>
      <c r="AG83" s="332" t="s">
        <v>190</v>
      </c>
      <c r="AH83" s="332" t="s">
        <v>191</v>
      </c>
      <c r="AI83" s="330"/>
      <c r="AJ83" s="330" t="s">
        <v>192</v>
      </c>
      <c r="AK83" s="330"/>
      <c r="AL83" s="330" t="s">
        <v>192</v>
      </c>
      <c r="AM83" s="330" t="s">
        <v>191</v>
      </c>
      <c r="AN83" s="330" t="s">
        <v>192</v>
      </c>
      <c r="AO83" s="330"/>
      <c r="AP83" s="332" t="s">
        <v>239</v>
      </c>
      <c r="AQ83" s="330"/>
      <c r="AR83" s="330"/>
      <c r="AS83" s="330" t="b">
        <v>1</v>
      </c>
      <c r="AT83" s="330"/>
      <c r="AU83" s="332" t="s">
        <v>192</v>
      </c>
      <c r="AV83" s="334">
        <v>45722.648776134258</v>
      </c>
      <c r="AW83" s="330"/>
      <c r="AX83" s="335">
        <v>45748</v>
      </c>
      <c r="AY83" s="336">
        <v>45735</v>
      </c>
      <c r="AZ83" s="330"/>
      <c r="BA83" s="336">
        <v>45765</v>
      </c>
      <c r="BB83" s="330"/>
      <c r="BC83" s="336">
        <v>45769</v>
      </c>
      <c r="BD83" s="330"/>
      <c r="BE83" s="336">
        <v>45769</v>
      </c>
      <c r="BF83" s="330"/>
      <c r="BG83" s="330"/>
      <c r="BH83" s="330" t="s">
        <v>193</v>
      </c>
      <c r="BI83" s="330">
        <v>1000</v>
      </c>
      <c r="BJ83" s="330"/>
      <c r="BK83" s="330"/>
      <c r="BL83" s="330"/>
      <c r="BM83" s="332"/>
      <c r="BN83" s="330"/>
      <c r="BO83" s="330" t="s">
        <v>240</v>
      </c>
      <c r="BP83" s="330" t="s">
        <v>193</v>
      </c>
      <c r="BQ83" s="330" t="s">
        <v>218</v>
      </c>
      <c r="BR83" s="330" t="s">
        <v>220</v>
      </c>
      <c r="BS83" s="330"/>
      <c r="BT83" s="330" t="s">
        <v>220</v>
      </c>
      <c r="BU83" s="330"/>
      <c r="BV83" s="330" t="s">
        <v>220</v>
      </c>
      <c r="BW83" s="330"/>
      <c r="BX83" s="332"/>
      <c r="BY83" s="330"/>
      <c r="BZ83" s="330"/>
      <c r="CA83" s="330"/>
      <c r="CB83" s="330"/>
      <c r="CC83" s="337" t="s">
        <v>943</v>
      </c>
      <c r="CD83" s="330" t="b">
        <v>1</v>
      </c>
      <c r="CE83" s="330" t="b">
        <v>1</v>
      </c>
      <c r="CF83" s="330" t="b">
        <v>1</v>
      </c>
      <c r="CG83" s="330" t="s">
        <v>242</v>
      </c>
      <c r="CH83" s="330"/>
      <c r="CI83" s="330"/>
      <c r="CJ83" s="330"/>
      <c r="CK83" s="330"/>
      <c r="CL83" s="330"/>
      <c r="CM83" s="330"/>
      <c r="CN83" s="330"/>
      <c r="CO83" s="330"/>
      <c r="CP83" s="330"/>
      <c r="CQ83" s="330"/>
      <c r="CR83" s="330"/>
      <c r="CS83" s="330"/>
      <c r="CT83" s="330"/>
      <c r="CU83" s="330"/>
      <c r="CV83" s="330"/>
      <c r="CW83" s="330"/>
      <c r="CX83" s="330"/>
      <c r="CY83" s="330"/>
      <c r="CZ83" s="330"/>
      <c r="DA83" s="330"/>
      <c r="DB83" s="330" t="b">
        <v>1</v>
      </c>
      <c r="DC83" s="330" t="b">
        <v>1</v>
      </c>
      <c r="DD83" s="330"/>
      <c r="DE83" s="330"/>
      <c r="DF83" s="338">
        <v>24051</v>
      </c>
      <c r="DG83" s="330" t="s">
        <v>221</v>
      </c>
      <c r="DH83" s="330"/>
      <c r="DI83" s="338" t="s">
        <v>952</v>
      </c>
      <c r="DJ83" s="330"/>
      <c r="DK83" s="330">
        <v>5</v>
      </c>
      <c r="DL83" s="330" t="s">
        <v>243</v>
      </c>
      <c r="DM83" s="330"/>
      <c r="DN83" s="330"/>
      <c r="DO83" s="330"/>
      <c r="DP83" s="330"/>
      <c r="DQ83" s="338" t="s">
        <v>197</v>
      </c>
      <c r="DR83" s="330"/>
      <c r="DS83" s="330"/>
      <c r="DT83" s="330"/>
      <c r="DU83" s="338" t="s">
        <v>197</v>
      </c>
      <c r="DV83" s="330"/>
      <c r="DW83" s="330"/>
      <c r="DX83" s="330"/>
      <c r="DY83" s="338" t="s">
        <v>197</v>
      </c>
      <c r="DZ83" s="330"/>
      <c r="EA83" s="330"/>
      <c r="EB83" s="330"/>
      <c r="EC83" s="330" t="s">
        <v>197</v>
      </c>
      <c r="ED83" s="338" t="s">
        <v>197</v>
      </c>
      <c r="EE83" s="330">
        <v>4</v>
      </c>
      <c r="EF83" s="330">
        <v>300</v>
      </c>
      <c r="EG83" s="330"/>
      <c r="EH83" s="330"/>
      <c r="EI83" s="330"/>
      <c r="EJ83" s="330"/>
      <c r="EK83" s="330"/>
      <c r="EL83" s="330"/>
      <c r="EM83" s="330"/>
      <c r="EN83" s="330"/>
      <c r="EO83" s="330"/>
      <c r="EP83" s="330"/>
      <c r="EQ83" s="332" t="s">
        <v>244</v>
      </c>
      <c r="ER83" s="330"/>
      <c r="ES83" s="330"/>
      <c r="ET83" s="332" t="s">
        <v>245</v>
      </c>
      <c r="EU83" s="332" t="s">
        <v>246</v>
      </c>
      <c r="EV83" s="336">
        <v>45734</v>
      </c>
      <c r="EW83" s="336">
        <v>45735</v>
      </c>
      <c r="EX83" s="330">
        <v>2</v>
      </c>
      <c r="EY83" s="330"/>
      <c r="EZ83" s="330" t="s">
        <v>201</v>
      </c>
      <c r="FA83" s="336">
        <v>45768</v>
      </c>
      <c r="FB83" s="330">
        <v>2</v>
      </c>
      <c r="FC83" s="330" t="s">
        <v>202</v>
      </c>
      <c r="FD83" s="332" t="s">
        <v>190</v>
      </c>
      <c r="FE83" s="336">
        <v>45769</v>
      </c>
      <c r="FF83" s="330"/>
      <c r="FG83" s="330" t="s">
        <v>203</v>
      </c>
      <c r="FH83" s="330" t="s">
        <v>944</v>
      </c>
      <c r="FI83" s="330" t="s">
        <v>204</v>
      </c>
      <c r="FJ83" s="330"/>
      <c r="FK83" s="330" t="s">
        <v>230</v>
      </c>
      <c r="FL83" s="330" t="s">
        <v>192</v>
      </c>
      <c r="FM83" s="330" t="s">
        <v>191</v>
      </c>
      <c r="FN83" s="330" t="s">
        <v>953</v>
      </c>
      <c r="FO83" s="330"/>
      <c r="FP83" s="330" t="s">
        <v>946</v>
      </c>
      <c r="FQ83" s="330"/>
      <c r="FR83" s="330"/>
      <c r="FS83" s="330"/>
      <c r="FT83" s="330"/>
      <c r="FU83" s="330"/>
    </row>
    <row r="84" spans="1:177" ht="38.25" x14ac:dyDescent="0.25">
      <c r="A84" s="330">
        <v>83</v>
      </c>
      <c r="B84" s="331" t="s">
        <v>954</v>
      </c>
      <c r="C84" s="330"/>
      <c r="D84" s="332" t="s">
        <v>228</v>
      </c>
      <c r="E84" s="332" t="s">
        <v>229</v>
      </c>
      <c r="F84" s="332" t="s">
        <v>230</v>
      </c>
      <c r="G84" s="330" t="s">
        <v>231</v>
      </c>
      <c r="H84" s="331">
        <v>400</v>
      </c>
      <c r="I84" s="330"/>
      <c r="J84" s="332"/>
      <c r="K84" s="332" t="s">
        <v>955</v>
      </c>
      <c r="L84" s="330"/>
      <c r="M84" s="332"/>
      <c r="N84" s="330" t="s">
        <v>956</v>
      </c>
      <c r="O84" s="339">
        <v>0.29593107743408797</v>
      </c>
      <c r="P84" s="333">
        <v>5702</v>
      </c>
      <c r="Q84" s="333">
        <v>19268</v>
      </c>
      <c r="R84" s="333">
        <v>153</v>
      </c>
      <c r="S84" s="333">
        <v>153</v>
      </c>
      <c r="T84" s="333">
        <v>4</v>
      </c>
      <c r="U84" s="333">
        <v>1071</v>
      </c>
      <c r="V84" s="333">
        <v>2160</v>
      </c>
      <c r="W84" s="330" t="s">
        <v>957</v>
      </c>
      <c r="X84" s="330" t="s">
        <v>958</v>
      </c>
      <c r="Y84" s="332" t="s">
        <v>383</v>
      </c>
      <c r="Z84" s="330" t="s">
        <v>215</v>
      </c>
      <c r="AA84" s="330" t="s">
        <v>384</v>
      </c>
      <c r="AB84" s="330" t="s">
        <v>189</v>
      </c>
      <c r="AC84" s="330"/>
      <c r="AD84" s="330"/>
      <c r="AE84" s="330">
        <v>3</v>
      </c>
      <c r="AF84" s="330">
        <v>-259</v>
      </c>
      <c r="AG84" s="332" t="s">
        <v>190</v>
      </c>
      <c r="AH84" s="332" t="s">
        <v>191</v>
      </c>
      <c r="AI84" s="330"/>
      <c r="AJ84" s="330" t="s">
        <v>192</v>
      </c>
      <c r="AK84" s="330"/>
      <c r="AL84" s="330" t="s">
        <v>192</v>
      </c>
      <c r="AM84" s="330" t="s">
        <v>191</v>
      </c>
      <c r="AN84" s="330" t="s">
        <v>192</v>
      </c>
      <c r="AO84" s="330"/>
      <c r="AP84" s="332" t="s">
        <v>239</v>
      </c>
      <c r="AQ84" s="330"/>
      <c r="AR84" s="330"/>
      <c r="AS84" s="330" t="b">
        <v>1</v>
      </c>
      <c r="AT84" s="330"/>
      <c r="AU84" s="332" t="s">
        <v>192</v>
      </c>
      <c r="AV84" s="334">
        <v>45722.650667118054</v>
      </c>
      <c r="AW84" s="330"/>
      <c r="AX84" s="335">
        <v>45749</v>
      </c>
      <c r="AY84" s="336">
        <v>45736</v>
      </c>
      <c r="AZ84" s="330"/>
      <c r="BA84" s="336">
        <v>45768</v>
      </c>
      <c r="BB84" s="330"/>
      <c r="BC84" s="336">
        <v>45770</v>
      </c>
      <c r="BD84" s="330"/>
      <c r="BE84" s="336">
        <v>45770</v>
      </c>
      <c r="BF84" s="330"/>
      <c r="BG84" s="330"/>
      <c r="BH84" s="330" t="s">
        <v>193</v>
      </c>
      <c r="BI84" s="330">
        <v>1000</v>
      </c>
      <c r="BJ84" s="330"/>
      <c r="BK84" s="330"/>
      <c r="BL84" s="330"/>
      <c r="BM84" s="332"/>
      <c r="BN84" s="330"/>
      <c r="BO84" s="330" t="s">
        <v>240</v>
      </c>
      <c r="BP84" s="330" t="s">
        <v>193</v>
      </c>
      <c r="BQ84" s="330" t="s">
        <v>218</v>
      </c>
      <c r="BR84" s="330" t="s">
        <v>220</v>
      </c>
      <c r="BS84" s="330"/>
      <c r="BT84" s="330" t="s">
        <v>220</v>
      </c>
      <c r="BU84" s="330"/>
      <c r="BV84" s="330" t="s">
        <v>220</v>
      </c>
      <c r="BW84" s="330"/>
      <c r="BX84" s="332"/>
      <c r="BY84" s="330"/>
      <c r="BZ84" s="330"/>
      <c r="CA84" s="330"/>
      <c r="CB84" s="330"/>
      <c r="CC84" s="337" t="s">
        <v>943</v>
      </c>
      <c r="CD84" s="330" t="b">
        <v>1</v>
      </c>
      <c r="CE84" s="330" t="b">
        <v>1</v>
      </c>
      <c r="CF84" s="330" t="b">
        <v>1</v>
      </c>
      <c r="CG84" s="330" t="s">
        <v>242</v>
      </c>
      <c r="CH84" s="330"/>
      <c r="CI84" s="330"/>
      <c r="CJ84" s="330"/>
      <c r="CK84" s="330"/>
      <c r="CL84" s="330"/>
      <c r="CM84" s="330"/>
      <c r="CN84" s="330"/>
      <c r="CO84" s="330"/>
      <c r="CP84" s="330"/>
      <c r="CQ84" s="330"/>
      <c r="CR84" s="330"/>
      <c r="CS84" s="330"/>
      <c r="CT84" s="330"/>
      <c r="CU84" s="330"/>
      <c r="CV84" s="330"/>
      <c r="CW84" s="330"/>
      <c r="CX84" s="330"/>
      <c r="CY84" s="330"/>
      <c r="CZ84" s="330"/>
      <c r="DA84" s="330"/>
      <c r="DB84" s="330" t="b">
        <v>1</v>
      </c>
      <c r="DC84" s="330" t="b">
        <v>1</v>
      </c>
      <c r="DD84" s="330"/>
      <c r="DE84" s="330"/>
      <c r="DF84" s="338">
        <v>24051</v>
      </c>
      <c r="DG84" s="330" t="s">
        <v>221</v>
      </c>
      <c r="DH84" s="330"/>
      <c r="DI84" s="338" t="s">
        <v>959</v>
      </c>
      <c r="DJ84" s="330"/>
      <c r="DK84" s="330">
        <v>6</v>
      </c>
      <c r="DL84" s="330" t="s">
        <v>243</v>
      </c>
      <c r="DM84" s="330"/>
      <c r="DN84" s="330"/>
      <c r="DO84" s="330"/>
      <c r="DP84" s="330"/>
      <c r="DQ84" s="338" t="s">
        <v>197</v>
      </c>
      <c r="DR84" s="330"/>
      <c r="DS84" s="330"/>
      <c r="DT84" s="330"/>
      <c r="DU84" s="338" t="s">
        <v>197</v>
      </c>
      <c r="DV84" s="330"/>
      <c r="DW84" s="330"/>
      <c r="DX84" s="330"/>
      <c r="DY84" s="338" t="s">
        <v>197</v>
      </c>
      <c r="DZ84" s="330"/>
      <c r="EA84" s="330"/>
      <c r="EB84" s="330"/>
      <c r="EC84" s="330" t="s">
        <v>197</v>
      </c>
      <c r="ED84" s="338" t="s">
        <v>197</v>
      </c>
      <c r="EE84" s="330">
        <v>4</v>
      </c>
      <c r="EF84" s="330">
        <v>300</v>
      </c>
      <c r="EG84" s="330"/>
      <c r="EH84" s="330"/>
      <c r="EI84" s="330"/>
      <c r="EJ84" s="330"/>
      <c r="EK84" s="330"/>
      <c r="EL84" s="330"/>
      <c r="EM84" s="330"/>
      <c r="EN84" s="330"/>
      <c r="EO84" s="330"/>
      <c r="EP84" s="330"/>
      <c r="EQ84" s="332" t="s">
        <v>244</v>
      </c>
      <c r="ER84" s="330"/>
      <c r="ES84" s="330"/>
      <c r="ET84" s="332" t="s">
        <v>245</v>
      </c>
      <c r="EU84" s="332" t="s">
        <v>246</v>
      </c>
      <c r="EV84" s="336">
        <v>45735</v>
      </c>
      <c r="EW84" s="336">
        <v>45735</v>
      </c>
      <c r="EX84" s="330">
        <v>1</v>
      </c>
      <c r="EY84" s="330"/>
      <c r="EZ84" s="330" t="s">
        <v>201</v>
      </c>
      <c r="FA84" s="336">
        <v>45770</v>
      </c>
      <c r="FB84" s="330">
        <v>1</v>
      </c>
      <c r="FC84" s="330" t="s">
        <v>202</v>
      </c>
      <c r="FD84" s="332" t="s">
        <v>190</v>
      </c>
      <c r="FE84" s="336">
        <v>45770</v>
      </c>
      <c r="FF84" s="330"/>
      <c r="FG84" s="330" t="s">
        <v>203</v>
      </c>
      <c r="FH84" s="330" t="s">
        <v>960</v>
      </c>
      <c r="FI84" s="330" t="s">
        <v>204</v>
      </c>
      <c r="FJ84" s="330"/>
      <c r="FK84" s="330" t="s">
        <v>230</v>
      </c>
      <c r="FL84" s="330" t="s">
        <v>192</v>
      </c>
      <c r="FM84" s="330" t="s">
        <v>191</v>
      </c>
      <c r="FN84" s="330" t="s">
        <v>961</v>
      </c>
      <c r="FO84" s="330"/>
      <c r="FP84" s="330" t="s">
        <v>946</v>
      </c>
      <c r="FQ84" s="330"/>
      <c r="FR84" s="330"/>
      <c r="FS84" s="330"/>
      <c r="FT84" s="330"/>
      <c r="FU84" s="330"/>
    </row>
    <row r="85" spans="1:177" ht="63.75" x14ac:dyDescent="0.25">
      <c r="A85" s="330">
        <v>84</v>
      </c>
      <c r="B85" s="331" t="s">
        <v>962</v>
      </c>
      <c r="C85" s="330"/>
      <c r="D85" s="332" t="s">
        <v>228</v>
      </c>
      <c r="E85" s="332" t="s">
        <v>229</v>
      </c>
      <c r="F85" s="332" t="s">
        <v>230</v>
      </c>
      <c r="G85" s="330" t="s">
        <v>231</v>
      </c>
      <c r="H85" s="331">
        <v>400</v>
      </c>
      <c r="I85" s="330"/>
      <c r="J85" s="332"/>
      <c r="K85" s="332" t="s">
        <v>963</v>
      </c>
      <c r="L85" s="330"/>
      <c r="M85" s="332"/>
      <c r="N85" s="330" t="s">
        <v>964</v>
      </c>
      <c r="O85" s="339">
        <v>0.30423500103799</v>
      </c>
      <c r="P85" s="333">
        <v>5862</v>
      </c>
      <c r="Q85" s="333">
        <v>19268</v>
      </c>
      <c r="R85" s="333">
        <v>160</v>
      </c>
      <c r="S85" s="333">
        <v>160</v>
      </c>
      <c r="T85" s="333">
        <v>2</v>
      </c>
      <c r="U85" s="333">
        <v>1120</v>
      </c>
      <c r="V85" s="333">
        <v>2080</v>
      </c>
      <c r="W85" s="330" t="s">
        <v>575</v>
      </c>
      <c r="X85" s="330" t="s">
        <v>965</v>
      </c>
      <c r="Y85" s="332" t="s">
        <v>383</v>
      </c>
      <c r="Z85" s="330" t="s">
        <v>215</v>
      </c>
      <c r="AA85" s="330" t="s">
        <v>384</v>
      </c>
      <c r="AB85" s="330" t="s">
        <v>189</v>
      </c>
      <c r="AC85" s="330"/>
      <c r="AD85" s="330"/>
      <c r="AE85" s="330">
        <v>4</v>
      </c>
      <c r="AF85" s="330">
        <v>-250</v>
      </c>
      <c r="AG85" s="332" t="s">
        <v>238</v>
      </c>
      <c r="AH85" s="332" t="s">
        <v>191</v>
      </c>
      <c r="AI85" s="330" t="s">
        <v>192</v>
      </c>
      <c r="AJ85" s="330" t="s">
        <v>192</v>
      </c>
      <c r="AK85" s="330"/>
      <c r="AL85" s="330" t="s">
        <v>192</v>
      </c>
      <c r="AM85" s="330" t="s">
        <v>191</v>
      </c>
      <c r="AN85" s="330" t="s">
        <v>192</v>
      </c>
      <c r="AO85" s="330"/>
      <c r="AP85" s="332" t="s">
        <v>239</v>
      </c>
      <c r="AQ85" s="330"/>
      <c r="AR85" s="330"/>
      <c r="AS85" s="330" t="b">
        <v>1</v>
      </c>
      <c r="AT85" s="330"/>
      <c r="AU85" s="332" t="s">
        <v>192</v>
      </c>
      <c r="AV85" s="334">
        <v>45737.230065277778</v>
      </c>
      <c r="AW85" s="330"/>
      <c r="AX85" s="335">
        <v>45762</v>
      </c>
      <c r="AY85" s="336">
        <v>45743</v>
      </c>
      <c r="AZ85" s="330"/>
      <c r="BA85" s="336">
        <v>45779</v>
      </c>
      <c r="BB85" s="330"/>
      <c r="BC85" s="336">
        <v>45783</v>
      </c>
      <c r="BD85" s="330"/>
      <c r="BE85" s="336">
        <v>45783</v>
      </c>
      <c r="BF85" s="330"/>
      <c r="BG85" s="330"/>
      <c r="BH85" s="330" t="s">
        <v>193</v>
      </c>
      <c r="BI85" s="330">
        <v>1000</v>
      </c>
      <c r="BJ85" s="330"/>
      <c r="BK85" s="330"/>
      <c r="BL85" s="330"/>
      <c r="BM85" s="332"/>
      <c r="BN85" s="330"/>
      <c r="BO85" s="330" t="s">
        <v>240</v>
      </c>
      <c r="BP85" s="330" t="s">
        <v>193</v>
      </c>
      <c r="BQ85" s="330" t="s">
        <v>218</v>
      </c>
      <c r="BR85" s="330" t="s">
        <v>220</v>
      </c>
      <c r="BS85" s="330"/>
      <c r="BT85" s="330" t="s">
        <v>220</v>
      </c>
      <c r="BU85" s="330"/>
      <c r="BV85" s="330" t="s">
        <v>220</v>
      </c>
      <c r="BW85" s="330"/>
      <c r="BX85" s="332"/>
      <c r="BY85" s="330"/>
      <c r="BZ85" s="330"/>
      <c r="CA85" s="330"/>
      <c r="CB85" s="330"/>
      <c r="CC85" s="337" t="s">
        <v>241</v>
      </c>
      <c r="CD85" s="330" t="b">
        <v>1</v>
      </c>
      <c r="CE85" s="330" t="b">
        <v>1</v>
      </c>
      <c r="CF85" s="330" t="b">
        <v>1</v>
      </c>
      <c r="CG85" s="330" t="s">
        <v>242</v>
      </c>
      <c r="CH85" s="330"/>
      <c r="CI85" s="330"/>
      <c r="CJ85" s="330"/>
      <c r="CK85" s="330"/>
      <c r="CL85" s="330"/>
      <c r="CM85" s="330"/>
      <c r="CN85" s="330"/>
      <c r="CO85" s="330"/>
      <c r="CP85" s="330"/>
      <c r="CQ85" s="330"/>
      <c r="CR85" s="330"/>
      <c r="CS85" s="330"/>
      <c r="CT85" s="330"/>
      <c r="CU85" s="330"/>
      <c r="CV85" s="330"/>
      <c r="CW85" s="330"/>
      <c r="CX85" s="330"/>
      <c r="CY85" s="330"/>
      <c r="CZ85" s="330"/>
      <c r="DA85" s="330"/>
      <c r="DB85" s="330" t="b">
        <v>1</v>
      </c>
      <c r="DC85" s="330" t="b">
        <v>1</v>
      </c>
      <c r="DD85" s="330"/>
      <c r="DE85" s="330"/>
      <c r="DF85" s="338">
        <v>24051</v>
      </c>
      <c r="DG85" s="330" t="s">
        <v>221</v>
      </c>
      <c r="DH85" s="330"/>
      <c r="DI85" s="338">
        <v>10</v>
      </c>
      <c r="DJ85" s="330"/>
      <c r="DK85" s="330">
        <v>10</v>
      </c>
      <c r="DL85" s="330" t="s">
        <v>243</v>
      </c>
      <c r="DM85" s="330"/>
      <c r="DN85" s="330"/>
      <c r="DO85" s="330"/>
      <c r="DP85" s="330"/>
      <c r="DQ85" s="338" t="s">
        <v>197</v>
      </c>
      <c r="DR85" s="330"/>
      <c r="DS85" s="330"/>
      <c r="DT85" s="330"/>
      <c r="DU85" s="338" t="s">
        <v>197</v>
      </c>
      <c r="DV85" s="330"/>
      <c r="DW85" s="330"/>
      <c r="DX85" s="330"/>
      <c r="DY85" s="338" t="s">
        <v>197</v>
      </c>
      <c r="DZ85" s="330"/>
      <c r="EA85" s="330"/>
      <c r="EB85" s="330"/>
      <c r="EC85" s="330" t="s">
        <v>197</v>
      </c>
      <c r="ED85" s="338" t="s">
        <v>197</v>
      </c>
      <c r="EE85" s="330">
        <v>8</v>
      </c>
      <c r="EF85" s="330">
        <v>300</v>
      </c>
      <c r="EG85" s="330"/>
      <c r="EH85" s="330"/>
      <c r="EI85" s="330"/>
      <c r="EJ85" s="330"/>
      <c r="EK85" s="330"/>
      <c r="EL85" s="330"/>
      <c r="EM85" s="330"/>
      <c r="EN85" s="330"/>
      <c r="EO85" s="330"/>
      <c r="EP85" s="330"/>
      <c r="EQ85" s="332" t="s">
        <v>244</v>
      </c>
      <c r="ER85" s="330"/>
      <c r="ES85" s="330"/>
      <c r="ET85" s="332" t="s">
        <v>245</v>
      </c>
      <c r="EU85" s="332" t="s">
        <v>246</v>
      </c>
      <c r="EV85" s="336">
        <v>45742</v>
      </c>
      <c r="EW85" s="336">
        <v>45742</v>
      </c>
      <c r="EX85" s="330">
        <v>1</v>
      </c>
      <c r="EY85" s="330"/>
      <c r="EZ85" s="330" t="s">
        <v>201</v>
      </c>
      <c r="FA85" s="336">
        <v>45782</v>
      </c>
      <c r="FB85" s="330">
        <v>2</v>
      </c>
      <c r="FC85" s="330" t="s">
        <v>202</v>
      </c>
      <c r="FD85" s="332" t="s">
        <v>190</v>
      </c>
      <c r="FE85" s="336">
        <v>45783</v>
      </c>
      <c r="FF85" s="330"/>
      <c r="FG85" s="330" t="s">
        <v>203</v>
      </c>
      <c r="FH85" s="330" t="s">
        <v>966</v>
      </c>
      <c r="FI85" s="330" t="s">
        <v>204</v>
      </c>
      <c r="FJ85" s="330"/>
      <c r="FK85" s="330" t="s">
        <v>230</v>
      </c>
      <c r="FL85" s="330" t="s">
        <v>192</v>
      </c>
      <c r="FM85" s="330" t="s">
        <v>191</v>
      </c>
      <c r="FN85" s="330" t="s">
        <v>967</v>
      </c>
      <c r="FO85" s="330"/>
      <c r="FP85" s="330" t="s">
        <v>968</v>
      </c>
      <c r="FQ85" s="330"/>
      <c r="FR85" s="330"/>
      <c r="FS85" s="330"/>
      <c r="FT85" s="330"/>
      <c r="FU85" s="330"/>
    </row>
    <row r="86" spans="1:177" ht="102" x14ac:dyDescent="0.25">
      <c r="A86" s="330">
        <v>85</v>
      </c>
      <c r="B86" s="331" t="s">
        <v>969</v>
      </c>
      <c r="C86" s="330"/>
      <c r="D86" s="332" t="s">
        <v>228</v>
      </c>
      <c r="E86" s="332" t="s">
        <v>229</v>
      </c>
      <c r="F86" s="332" t="s">
        <v>230</v>
      </c>
      <c r="G86" s="330" t="s">
        <v>231</v>
      </c>
      <c r="H86" s="331">
        <v>400</v>
      </c>
      <c r="I86" s="330"/>
      <c r="J86" s="332"/>
      <c r="K86" s="332" t="s">
        <v>379</v>
      </c>
      <c r="L86" s="330" t="s">
        <v>284</v>
      </c>
      <c r="M86" s="332" t="s">
        <v>970</v>
      </c>
      <c r="N86" s="330" t="s">
        <v>971</v>
      </c>
      <c r="O86" s="339">
        <v>0.66389869213203201</v>
      </c>
      <c r="P86" s="333">
        <v>12792</v>
      </c>
      <c r="Q86" s="333">
        <v>19268</v>
      </c>
      <c r="R86" s="333">
        <v>98</v>
      </c>
      <c r="S86" s="333">
        <v>98</v>
      </c>
      <c r="T86" s="333">
        <v>14</v>
      </c>
      <c r="U86" s="333">
        <v>661</v>
      </c>
      <c r="V86" s="333">
        <v>1582</v>
      </c>
      <c r="W86" s="330">
        <v>48</v>
      </c>
      <c r="X86" s="330" t="s">
        <v>972</v>
      </c>
      <c r="Y86" s="332" t="s">
        <v>351</v>
      </c>
      <c r="Z86" s="330" t="s">
        <v>215</v>
      </c>
      <c r="AA86" s="330" t="s">
        <v>352</v>
      </c>
      <c r="AB86" s="330" t="s">
        <v>189</v>
      </c>
      <c r="AC86" s="330"/>
      <c r="AD86" s="330"/>
      <c r="AE86" s="330">
        <v>75</v>
      </c>
      <c r="AF86" s="330">
        <v>-46</v>
      </c>
      <c r="AG86" s="332" t="s">
        <v>238</v>
      </c>
      <c r="AH86" s="332" t="s">
        <v>191</v>
      </c>
      <c r="AI86" s="330" t="s">
        <v>192</v>
      </c>
      <c r="AJ86" s="330" t="s">
        <v>192</v>
      </c>
      <c r="AK86" s="330"/>
      <c r="AL86" s="330" t="s">
        <v>192</v>
      </c>
      <c r="AM86" s="330" t="s">
        <v>191</v>
      </c>
      <c r="AN86" s="330" t="s">
        <v>353</v>
      </c>
      <c r="AO86" s="330"/>
      <c r="AP86" s="332" t="s">
        <v>259</v>
      </c>
      <c r="AQ86" s="330"/>
      <c r="AR86" s="330"/>
      <c r="AS86" s="330" t="b">
        <v>1</v>
      </c>
      <c r="AT86" s="330"/>
      <c r="AU86" s="332" t="s">
        <v>353</v>
      </c>
      <c r="AV86" s="334">
        <v>46011.24000283565</v>
      </c>
      <c r="AW86" s="330"/>
      <c r="AX86" s="335">
        <v>46045</v>
      </c>
      <c r="AY86" s="336">
        <v>46049</v>
      </c>
      <c r="AZ86" s="330" t="b">
        <v>1</v>
      </c>
      <c r="BA86" s="336">
        <v>46065</v>
      </c>
      <c r="BB86" s="330"/>
      <c r="BC86" s="336">
        <v>46066</v>
      </c>
      <c r="BD86" s="330"/>
      <c r="BE86" s="336">
        <v>46066</v>
      </c>
      <c r="BF86" s="330"/>
      <c r="BG86" s="330"/>
      <c r="BH86" s="330" t="s">
        <v>193</v>
      </c>
      <c r="BI86" s="330">
        <v>750</v>
      </c>
      <c r="BJ86" s="330"/>
      <c r="BK86" s="330"/>
      <c r="BL86" s="330"/>
      <c r="BM86" s="332"/>
      <c r="BN86" s="330"/>
      <c r="BO86" s="330" t="s">
        <v>240</v>
      </c>
      <c r="BP86" s="330" t="s">
        <v>193</v>
      </c>
      <c r="BQ86" s="330" t="s">
        <v>218</v>
      </c>
      <c r="BR86" s="330" t="s">
        <v>220</v>
      </c>
      <c r="BS86" s="330"/>
      <c r="BT86" s="330" t="s">
        <v>220</v>
      </c>
      <c r="BU86" s="330"/>
      <c r="BV86" s="330" t="s">
        <v>220</v>
      </c>
      <c r="BW86" s="330"/>
      <c r="BX86" s="332"/>
      <c r="BY86" s="330"/>
      <c r="BZ86" s="330"/>
      <c r="CA86" s="330"/>
      <c r="CB86" s="330"/>
      <c r="CC86" s="337" t="s">
        <v>241</v>
      </c>
      <c r="CD86" s="330" t="b">
        <v>1</v>
      </c>
      <c r="CE86" s="330" t="b">
        <v>1</v>
      </c>
      <c r="CF86" s="330" t="b">
        <v>1</v>
      </c>
      <c r="CG86" s="330" t="s">
        <v>242</v>
      </c>
      <c r="CH86" s="330"/>
      <c r="CI86" s="330"/>
      <c r="CJ86" s="330"/>
      <c r="CK86" s="330"/>
      <c r="CL86" s="330"/>
      <c r="CM86" s="330"/>
      <c r="CN86" s="330"/>
      <c r="CO86" s="330"/>
      <c r="CP86" s="330"/>
      <c r="CQ86" s="330"/>
      <c r="CR86" s="330"/>
      <c r="CS86" s="330"/>
      <c r="CT86" s="330"/>
      <c r="CU86" s="330"/>
      <c r="CV86" s="330"/>
      <c r="CW86" s="330"/>
      <c r="CX86" s="330"/>
      <c r="CY86" s="330"/>
      <c r="CZ86" s="330"/>
      <c r="DA86" s="330"/>
      <c r="DB86" s="330" t="b">
        <v>1</v>
      </c>
      <c r="DC86" s="330" t="b">
        <v>1</v>
      </c>
      <c r="DD86" s="330"/>
      <c r="DE86" s="330"/>
      <c r="DF86" s="338">
        <v>24051</v>
      </c>
      <c r="DG86" s="330" t="s">
        <v>221</v>
      </c>
      <c r="DH86" s="330"/>
      <c r="DI86" s="340">
        <v>42.1</v>
      </c>
      <c r="DJ86" s="330"/>
      <c r="DK86" s="330">
        <v>42.1</v>
      </c>
      <c r="DL86" s="330" t="s">
        <v>243</v>
      </c>
      <c r="DM86" s="330"/>
      <c r="DN86" s="330"/>
      <c r="DO86" s="330"/>
      <c r="DP86" s="330"/>
      <c r="DQ86" s="338" t="s">
        <v>197</v>
      </c>
      <c r="DR86" s="330"/>
      <c r="DS86" s="330"/>
      <c r="DT86" s="330"/>
      <c r="DU86" s="338" t="s">
        <v>197</v>
      </c>
      <c r="DV86" s="330"/>
      <c r="DW86" s="330"/>
      <c r="DX86" s="330"/>
      <c r="DY86" s="338" t="s">
        <v>197</v>
      </c>
      <c r="DZ86" s="330"/>
      <c r="EA86" s="330"/>
      <c r="EB86" s="330"/>
      <c r="EC86" s="330" t="s">
        <v>197</v>
      </c>
      <c r="ED86" s="338" t="s">
        <v>197</v>
      </c>
      <c r="EE86" s="330">
        <v>12</v>
      </c>
      <c r="EF86" s="330">
        <v>200</v>
      </c>
      <c r="EG86" s="330"/>
      <c r="EH86" s="330"/>
      <c r="EI86" s="330"/>
      <c r="EJ86" s="330"/>
      <c r="EK86" s="330"/>
      <c r="EL86" s="330"/>
      <c r="EM86" s="330"/>
      <c r="EN86" s="330"/>
      <c r="EO86" s="330"/>
      <c r="EP86" s="330"/>
      <c r="EQ86" s="332" t="s">
        <v>244</v>
      </c>
      <c r="ER86" s="330"/>
      <c r="ES86" s="330"/>
      <c r="ET86" s="332" t="s">
        <v>245</v>
      </c>
      <c r="EU86" s="332" t="s">
        <v>246</v>
      </c>
      <c r="EV86" s="336">
        <v>46046</v>
      </c>
      <c r="EW86" s="336">
        <v>46049</v>
      </c>
      <c r="EX86" s="330">
        <v>2</v>
      </c>
      <c r="EY86" s="330"/>
      <c r="EZ86" s="330" t="s">
        <v>201</v>
      </c>
      <c r="FA86" s="336">
        <v>46100</v>
      </c>
      <c r="FB86" s="330">
        <v>1</v>
      </c>
      <c r="FC86" s="330" t="s">
        <v>202</v>
      </c>
      <c r="FD86" s="332" t="s">
        <v>190</v>
      </c>
      <c r="FE86" s="336">
        <v>46100</v>
      </c>
      <c r="FF86" s="330"/>
      <c r="FG86" s="330" t="s">
        <v>203</v>
      </c>
      <c r="FH86" s="330" t="s">
        <v>973</v>
      </c>
      <c r="FI86" s="330" t="s">
        <v>204</v>
      </c>
      <c r="FJ86" s="330"/>
      <c r="FK86" s="330" t="s">
        <v>230</v>
      </c>
      <c r="FL86" s="330" t="s">
        <v>192</v>
      </c>
      <c r="FM86" s="330" t="s">
        <v>191</v>
      </c>
      <c r="FN86" s="330" t="s">
        <v>974</v>
      </c>
      <c r="FO86" s="330"/>
      <c r="FP86" s="330" t="s">
        <v>451</v>
      </c>
      <c r="FQ86" s="330"/>
      <c r="FR86" s="330"/>
      <c r="FS86" s="330"/>
      <c r="FT86" s="330"/>
      <c r="FU86" s="330"/>
    </row>
    <row r="87" spans="1:177" ht="102" x14ac:dyDescent="0.25">
      <c r="A87" s="330">
        <v>86</v>
      </c>
      <c r="B87" s="331" t="s">
        <v>975</v>
      </c>
      <c r="C87" s="330"/>
      <c r="D87" s="332" t="s">
        <v>228</v>
      </c>
      <c r="E87" s="332" t="s">
        <v>229</v>
      </c>
      <c r="F87" s="332" t="s">
        <v>230</v>
      </c>
      <c r="G87" s="330" t="s">
        <v>231</v>
      </c>
      <c r="H87" s="331">
        <v>400</v>
      </c>
      <c r="I87" s="330"/>
      <c r="J87" s="332"/>
      <c r="K87" s="332" t="s">
        <v>976</v>
      </c>
      <c r="L87" s="330"/>
      <c r="M87" s="332"/>
      <c r="N87" s="330" t="s">
        <v>977</v>
      </c>
      <c r="O87" s="339">
        <v>0.47565912393606002</v>
      </c>
      <c r="P87" s="333">
        <v>9165</v>
      </c>
      <c r="Q87" s="333">
        <v>19268</v>
      </c>
      <c r="R87" s="333">
        <v>160</v>
      </c>
      <c r="S87" s="333">
        <v>160</v>
      </c>
      <c r="T87" s="333">
        <v>8</v>
      </c>
      <c r="U87" s="333">
        <v>969</v>
      </c>
      <c r="V87" s="333">
        <v>2200</v>
      </c>
      <c r="W87" s="330" t="s">
        <v>978</v>
      </c>
      <c r="X87" s="330" t="s">
        <v>979</v>
      </c>
      <c r="Y87" s="332" t="s">
        <v>383</v>
      </c>
      <c r="Z87" s="330" t="s">
        <v>215</v>
      </c>
      <c r="AA87" s="330" t="s">
        <v>384</v>
      </c>
      <c r="AB87" s="330" t="s">
        <v>189</v>
      </c>
      <c r="AC87" s="330"/>
      <c r="AD87" s="330"/>
      <c r="AE87" s="330">
        <v>33</v>
      </c>
      <c r="AF87" s="330">
        <v>-186</v>
      </c>
      <c r="AG87" s="332" t="s">
        <v>238</v>
      </c>
      <c r="AH87" s="332" t="s">
        <v>191</v>
      </c>
      <c r="AI87" s="330"/>
      <c r="AJ87" s="330" t="s">
        <v>192</v>
      </c>
      <c r="AK87" s="330"/>
      <c r="AL87" s="330" t="s">
        <v>192</v>
      </c>
      <c r="AM87" s="330" t="s">
        <v>191</v>
      </c>
      <c r="AN87" s="330" t="s">
        <v>192</v>
      </c>
      <c r="AO87" s="330"/>
      <c r="AP87" s="332" t="s">
        <v>239</v>
      </c>
      <c r="AQ87" s="330"/>
      <c r="AR87" s="330"/>
      <c r="AS87" s="330" t="b">
        <v>1</v>
      </c>
      <c r="AT87" s="330"/>
      <c r="AU87" s="332" t="s">
        <v>192</v>
      </c>
      <c r="AV87" s="334">
        <v>45818.677039861112</v>
      </c>
      <c r="AW87" s="330"/>
      <c r="AX87" s="335">
        <v>45852</v>
      </c>
      <c r="AY87" s="336">
        <v>45845</v>
      </c>
      <c r="AZ87" s="330"/>
      <c r="BA87" s="336">
        <v>45869</v>
      </c>
      <c r="BB87" s="330"/>
      <c r="BC87" s="336">
        <v>45873</v>
      </c>
      <c r="BD87" s="330"/>
      <c r="BE87" s="336">
        <v>45873</v>
      </c>
      <c r="BF87" s="330"/>
      <c r="BG87" s="330"/>
      <c r="BH87" s="330" t="s">
        <v>193</v>
      </c>
      <c r="BI87" s="330">
        <v>500</v>
      </c>
      <c r="BJ87" s="330"/>
      <c r="BK87" s="330"/>
      <c r="BL87" s="330"/>
      <c r="BM87" s="332"/>
      <c r="BN87" s="330"/>
      <c r="BO87" s="330" t="s">
        <v>240</v>
      </c>
      <c r="BP87" s="330" t="s">
        <v>193</v>
      </c>
      <c r="BQ87" s="330" t="s">
        <v>218</v>
      </c>
      <c r="BR87" s="330" t="s">
        <v>220</v>
      </c>
      <c r="BS87" s="330"/>
      <c r="BT87" s="330" t="s">
        <v>220</v>
      </c>
      <c r="BU87" s="330"/>
      <c r="BV87" s="330" t="s">
        <v>193</v>
      </c>
      <c r="BW87" s="330" t="s">
        <v>603</v>
      </c>
      <c r="BX87" s="332"/>
      <c r="BY87" s="330"/>
      <c r="BZ87" s="330"/>
      <c r="CA87" s="330"/>
      <c r="CB87" s="330"/>
      <c r="CC87" s="337" t="s">
        <v>241</v>
      </c>
      <c r="CD87" s="330" t="b">
        <v>1</v>
      </c>
      <c r="CE87" s="330" t="b">
        <v>1</v>
      </c>
      <c r="CF87" s="330" t="b">
        <v>1</v>
      </c>
      <c r="CG87" s="330" t="s">
        <v>242</v>
      </c>
      <c r="CH87" s="330"/>
      <c r="CI87" s="330"/>
      <c r="CJ87" s="330"/>
      <c r="CK87" s="330"/>
      <c r="CL87" s="330"/>
      <c r="CM87" s="330"/>
      <c r="CN87" s="330"/>
      <c r="CO87" s="330"/>
      <c r="CP87" s="330"/>
      <c r="CQ87" s="330"/>
      <c r="CR87" s="330"/>
      <c r="CS87" s="330"/>
      <c r="CT87" s="330"/>
      <c r="CU87" s="330"/>
      <c r="CV87" s="330"/>
      <c r="CW87" s="330"/>
      <c r="CX87" s="330"/>
      <c r="CY87" s="330"/>
      <c r="CZ87" s="330"/>
      <c r="DA87" s="330"/>
      <c r="DB87" s="330" t="b">
        <v>1</v>
      </c>
      <c r="DC87" s="330" t="b">
        <v>1</v>
      </c>
      <c r="DD87" s="330"/>
      <c r="DE87" s="330"/>
      <c r="DF87" s="338">
        <v>24051</v>
      </c>
      <c r="DG87" s="330" t="s">
        <v>221</v>
      </c>
      <c r="DH87" s="330"/>
      <c r="DI87" s="340">
        <v>43</v>
      </c>
      <c r="DJ87" s="330"/>
      <c r="DK87" s="330">
        <v>43</v>
      </c>
      <c r="DL87" s="330" t="s">
        <v>243</v>
      </c>
      <c r="DM87" s="330"/>
      <c r="DN87" s="330"/>
      <c r="DO87" s="330"/>
      <c r="DP87" s="330"/>
      <c r="DQ87" s="338" t="s">
        <v>197</v>
      </c>
      <c r="DR87" s="330"/>
      <c r="DS87" s="330"/>
      <c r="DT87" s="330"/>
      <c r="DU87" s="338" t="s">
        <v>197</v>
      </c>
      <c r="DV87" s="330"/>
      <c r="DW87" s="330"/>
      <c r="DX87" s="330"/>
      <c r="DY87" s="338" t="s">
        <v>197</v>
      </c>
      <c r="DZ87" s="330"/>
      <c r="EA87" s="330"/>
      <c r="EB87" s="330"/>
      <c r="EC87" s="330" t="s">
        <v>197</v>
      </c>
      <c r="ED87" s="338" t="s">
        <v>197</v>
      </c>
      <c r="EE87" s="330">
        <v>4</v>
      </c>
      <c r="EF87" s="330">
        <v>250</v>
      </c>
      <c r="EG87" s="330"/>
      <c r="EH87" s="330"/>
      <c r="EI87" s="330"/>
      <c r="EJ87" s="330"/>
      <c r="EK87" s="330"/>
      <c r="EL87" s="330"/>
      <c r="EM87" s="330"/>
      <c r="EN87" s="330"/>
      <c r="EO87" s="330"/>
      <c r="EP87" s="330"/>
      <c r="EQ87" s="332" t="s">
        <v>244</v>
      </c>
      <c r="ER87" s="330"/>
      <c r="ES87" s="330"/>
      <c r="ET87" s="332" t="s">
        <v>245</v>
      </c>
      <c r="EU87" s="332" t="s">
        <v>246</v>
      </c>
      <c r="EV87" s="336">
        <v>45840</v>
      </c>
      <c r="EW87" s="336">
        <v>45841</v>
      </c>
      <c r="EX87" s="330">
        <v>2</v>
      </c>
      <c r="EY87" s="330"/>
      <c r="EZ87" s="330" t="s">
        <v>201</v>
      </c>
      <c r="FA87" s="336">
        <v>45885</v>
      </c>
      <c r="FB87" s="330">
        <v>1</v>
      </c>
      <c r="FC87" s="330" t="s">
        <v>202</v>
      </c>
      <c r="FD87" s="332" t="s">
        <v>190</v>
      </c>
      <c r="FE87" s="336">
        <v>45887</v>
      </c>
      <c r="FF87" s="330"/>
      <c r="FG87" s="330" t="s">
        <v>203</v>
      </c>
      <c r="FH87" s="330" t="s">
        <v>869</v>
      </c>
      <c r="FI87" s="330" t="s">
        <v>204</v>
      </c>
      <c r="FJ87" s="330"/>
      <c r="FK87" s="330" t="s">
        <v>230</v>
      </c>
      <c r="FL87" s="330" t="s">
        <v>192</v>
      </c>
      <c r="FM87" s="330" t="s">
        <v>191</v>
      </c>
      <c r="FN87" s="330" t="s">
        <v>980</v>
      </c>
      <c r="FO87" s="330"/>
      <c r="FP87" s="330" t="s">
        <v>981</v>
      </c>
      <c r="FQ87" s="330"/>
      <c r="FR87" s="330"/>
      <c r="FS87" s="330"/>
      <c r="FT87" s="330"/>
      <c r="FU87" s="330"/>
    </row>
    <row r="88" spans="1:177" ht="38.25" x14ac:dyDescent="0.25">
      <c r="A88" s="330">
        <v>87</v>
      </c>
      <c r="B88" s="331" t="s">
        <v>982</v>
      </c>
      <c r="C88" s="330"/>
      <c r="D88" s="332" t="s">
        <v>228</v>
      </c>
      <c r="E88" s="332" t="s">
        <v>229</v>
      </c>
      <c r="F88" s="332" t="s">
        <v>230</v>
      </c>
      <c r="G88" s="330" t="s">
        <v>231</v>
      </c>
      <c r="H88" s="331">
        <v>400</v>
      </c>
      <c r="I88" s="330"/>
      <c r="J88" s="332"/>
      <c r="K88" s="332" t="s">
        <v>983</v>
      </c>
      <c r="L88" s="330" t="s">
        <v>284</v>
      </c>
      <c r="M88" s="332" t="s">
        <v>984</v>
      </c>
      <c r="N88" s="330" t="s">
        <v>985</v>
      </c>
      <c r="O88" s="339">
        <v>0.65372638571725095</v>
      </c>
      <c r="P88" s="333">
        <v>12596</v>
      </c>
      <c r="Q88" s="333">
        <v>19268</v>
      </c>
      <c r="R88" s="333">
        <v>30</v>
      </c>
      <c r="S88" s="333">
        <v>30</v>
      </c>
      <c r="T88" s="333">
        <v>4</v>
      </c>
      <c r="U88" s="333">
        <v>183</v>
      </c>
      <c r="V88" s="333">
        <v>437</v>
      </c>
      <c r="W88" s="330">
        <v>30</v>
      </c>
      <c r="X88" s="330" t="s">
        <v>986</v>
      </c>
      <c r="Y88" s="332" t="s">
        <v>351</v>
      </c>
      <c r="Z88" s="330" t="s">
        <v>215</v>
      </c>
      <c r="AA88" s="330" t="s">
        <v>352</v>
      </c>
      <c r="AB88" s="330" t="s">
        <v>189</v>
      </c>
      <c r="AC88" s="330"/>
      <c r="AD88" s="330"/>
      <c r="AE88" s="330">
        <v>71</v>
      </c>
      <c r="AF88" s="330">
        <v>-48</v>
      </c>
      <c r="AG88" s="332" t="s">
        <v>238</v>
      </c>
      <c r="AH88" s="332" t="s">
        <v>191</v>
      </c>
      <c r="AI88" s="330" t="s">
        <v>192</v>
      </c>
      <c r="AJ88" s="330" t="s">
        <v>192</v>
      </c>
      <c r="AK88" s="330"/>
      <c r="AL88" s="330" t="s">
        <v>192</v>
      </c>
      <c r="AM88" s="330" t="s">
        <v>191</v>
      </c>
      <c r="AN88" s="330" t="s">
        <v>353</v>
      </c>
      <c r="AO88" s="330"/>
      <c r="AP88" s="332" t="s">
        <v>259</v>
      </c>
      <c r="AQ88" s="330"/>
      <c r="AR88" s="330"/>
      <c r="AS88" s="330" t="b">
        <v>1</v>
      </c>
      <c r="AT88" s="330"/>
      <c r="AU88" s="332" t="s">
        <v>353</v>
      </c>
      <c r="AV88" s="334">
        <v>46010.391544409722</v>
      </c>
      <c r="AW88" s="330"/>
      <c r="AX88" s="335">
        <v>46041</v>
      </c>
      <c r="AY88" s="336">
        <v>46045</v>
      </c>
      <c r="AZ88" s="330" t="b">
        <v>1</v>
      </c>
      <c r="BA88" s="336">
        <v>46063</v>
      </c>
      <c r="BB88" s="330"/>
      <c r="BC88" s="336">
        <v>46062</v>
      </c>
      <c r="BD88" s="330"/>
      <c r="BE88" s="336">
        <v>46062</v>
      </c>
      <c r="BF88" s="330"/>
      <c r="BG88" s="330"/>
      <c r="BH88" s="330" t="s">
        <v>193</v>
      </c>
      <c r="BI88" s="330">
        <v>1000</v>
      </c>
      <c r="BJ88" s="330"/>
      <c r="BK88" s="330"/>
      <c r="BL88" s="330"/>
      <c r="BM88" s="332"/>
      <c r="BN88" s="330"/>
      <c r="BO88" s="330" t="s">
        <v>240</v>
      </c>
      <c r="BP88" s="330" t="s">
        <v>193</v>
      </c>
      <c r="BQ88" s="330" t="s">
        <v>218</v>
      </c>
      <c r="BR88" s="330" t="s">
        <v>220</v>
      </c>
      <c r="BS88" s="330"/>
      <c r="BT88" s="330" t="s">
        <v>220</v>
      </c>
      <c r="BU88" s="330"/>
      <c r="BV88" s="330" t="s">
        <v>220</v>
      </c>
      <c r="BW88" s="330"/>
      <c r="BX88" s="332"/>
      <c r="BY88" s="330"/>
      <c r="BZ88" s="330"/>
      <c r="CA88" s="330"/>
      <c r="CB88" s="330"/>
      <c r="CC88" s="337" t="s">
        <v>241</v>
      </c>
      <c r="CD88" s="330"/>
      <c r="CE88" s="330" t="b">
        <v>1</v>
      </c>
      <c r="CF88" s="330" t="b">
        <v>1</v>
      </c>
      <c r="CG88" s="330" t="s">
        <v>242</v>
      </c>
      <c r="CH88" s="330"/>
      <c r="CI88" s="330"/>
      <c r="CJ88" s="330"/>
      <c r="CK88" s="330"/>
      <c r="CL88" s="330"/>
      <c r="CM88" s="330"/>
      <c r="CN88" s="330"/>
      <c r="CO88" s="330"/>
      <c r="CP88" s="330"/>
      <c r="CQ88" s="330"/>
      <c r="CR88" s="330"/>
      <c r="CS88" s="330"/>
      <c r="CT88" s="330"/>
      <c r="CU88" s="330"/>
      <c r="CV88" s="330"/>
      <c r="CW88" s="330"/>
      <c r="CX88" s="330"/>
      <c r="CY88" s="330"/>
      <c r="CZ88" s="330"/>
      <c r="DA88" s="330"/>
      <c r="DB88" s="330" t="b">
        <v>1</v>
      </c>
      <c r="DC88" s="330" t="b">
        <v>1</v>
      </c>
      <c r="DD88" s="330"/>
      <c r="DE88" s="330"/>
      <c r="DF88" s="338">
        <v>24051</v>
      </c>
      <c r="DG88" s="330" t="s">
        <v>221</v>
      </c>
      <c r="DH88" s="330"/>
      <c r="DI88" s="340">
        <v>43.1</v>
      </c>
      <c r="DJ88" s="330"/>
      <c r="DK88" s="330">
        <v>43.1</v>
      </c>
      <c r="DL88" s="330" t="s">
        <v>243</v>
      </c>
      <c r="DM88" s="330"/>
      <c r="DN88" s="330"/>
      <c r="DO88" s="330"/>
      <c r="DP88" s="330"/>
      <c r="DQ88" s="338" t="s">
        <v>197</v>
      </c>
      <c r="DR88" s="330"/>
      <c r="DS88" s="330"/>
      <c r="DT88" s="330"/>
      <c r="DU88" s="338" t="s">
        <v>197</v>
      </c>
      <c r="DV88" s="330"/>
      <c r="DW88" s="330"/>
      <c r="DX88" s="330"/>
      <c r="DY88" s="338" t="s">
        <v>197</v>
      </c>
      <c r="DZ88" s="330"/>
      <c r="EA88" s="330"/>
      <c r="EB88" s="330"/>
      <c r="EC88" s="330" t="s">
        <v>197</v>
      </c>
      <c r="ED88" s="338" t="s">
        <v>197</v>
      </c>
      <c r="EE88" s="330">
        <v>8</v>
      </c>
      <c r="EF88" s="330">
        <v>80</v>
      </c>
      <c r="EG88" s="330"/>
      <c r="EH88" s="330"/>
      <c r="EI88" s="330"/>
      <c r="EJ88" s="330"/>
      <c r="EK88" s="330"/>
      <c r="EL88" s="330"/>
      <c r="EM88" s="330"/>
      <c r="EN88" s="330"/>
      <c r="EO88" s="330"/>
      <c r="EP88" s="330"/>
      <c r="EQ88" s="332" t="s">
        <v>244</v>
      </c>
      <c r="ER88" s="330"/>
      <c r="ES88" s="330"/>
      <c r="ET88" s="332" t="s">
        <v>245</v>
      </c>
      <c r="EU88" s="332" t="s">
        <v>246</v>
      </c>
      <c r="EV88" s="336">
        <v>46045</v>
      </c>
      <c r="EW88" s="336">
        <v>46045</v>
      </c>
      <c r="EX88" s="330">
        <v>1</v>
      </c>
      <c r="EY88" s="330"/>
      <c r="EZ88" s="330" t="s">
        <v>247</v>
      </c>
      <c r="FA88" s="330"/>
      <c r="FB88" s="330" t="s">
        <v>248</v>
      </c>
      <c r="FC88" s="330" t="s">
        <v>202</v>
      </c>
      <c r="FD88" s="332" t="s">
        <v>190</v>
      </c>
      <c r="FE88" s="336">
        <v>46084</v>
      </c>
      <c r="FF88" s="330"/>
      <c r="FG88" s="330" t="s">
        <v>203</v>
      </c>
      <c r="FH88" s="330" t="s">
        <v>987</v>
      </c>
      <c r="FI88" s="330" t="s">
        <v>204</v>
      </c>
      <c r="FJ88" s="330"/>
      <c r="FK88" s="330" t="s">
        <v>230</v>
      </c>
      <c r="FL88" s="330" t="s">
        <v>192</v>
      </c>
      <c r="FM88" s="330" t="s">
        <v>191</v>
      </c>
      <c r="FN88" s="330" t="s">
        <v>988</v>
      </c>
      <c r="FO88" s="330"/>
      <c r="FP88" s="330" t="s">
        <v>451</v>
      </c>
      <c r="FQ88" s="330"/>
      <c r="FR88" s="330"/>
      <c r="FS88" s="330"/>
      <c r="FT88" s="330"/>
      <c r="FU88" s="330"/>
    </row>
    <row r="89" spans="1:177" ht="63.75" x14ac:dyDescent="0.25">
      <c r="A89" s="330">
        <v>88</v>
      </c>
      <c r="B89" s="331" t="s">
        <v>989</v>
      </c>
      <c r="C89" s="330"/>
      <c r="D89" s="332" t="s">
        <v>228</v>
      </c>
      <c r="E89" s="332" t="s">
        <v>229</v>
      </c>
      <c r="F89" s="332" t="s">
        <v>230</v>
      </c>
      <c r="G89" s="330" t="s">
        <v>231</v>
      </c>
      <c r="H89" s="331">
        <v>400</v>
      </c>
      <c r="I89" s="330"/>
      <c r="J89" s="332"/>
      <c r="K89" s="332" t="s">
        <v>990</v>
      </c>
      <c r="L89" s="330"/>
      <c r="M89" s="332"/>
      <c r="N89" s="330" t="s">
        <v>991</v>
      </c>
      <c r="O89" s="339">
        <v>0.481887066638987</v>
      </c>
      <c r="P89" s="333">
        <v>9285</v>
      </c>
      <c r="Q89" s="333">
        <v>19268</v>
      </c>
      <c r="R89" s="333">
        <v>120</v>
      </c>
      <c r="S89" s="333">
        <v>120</v>
      </c>
      <c r="T89" s="333">
        <v>8</v>
      </c>
      <c r="U89" s="333">
        <v>725</v>
      </c>
      <c r="V89" s="333">
        <v>1700</v>
      </c>
      <c r="W89" s="330" t="s">
        <v>896</v>
      </c>
      <c r="X89" s="330" t="s">
        <v>897</v>
      </c>
      <c r="Y89" s="332" t="s">
        <v>383</v>
      </c>
      <c r="Z89" s="330" t="s">
        <v>215</v>
      </c>
      <c r="AA89" s="330" t="s">
        <v>384</v>
      </c>
      <c r="AB89" s="330" t="s">
        <v>189</v>
      </c>
      <c r="AC89" s="330"/>
      <c r="AD89" s="330"/>
      <c r="AE89" s="330">
        <v>40</v>
      </c>
      <c r="AF89" s="330">
        <v>-176</v>
      </c>
      <c r="AG89" s="332" t="s">
        <v>238</v>
      </c>
      <c r="AH89" s="332" t="s">
        <v>191</v>
      </c>
      <c r="AI89" s="330"/>
      <c r="AJ89" s="330" t="s">
        <v>192</v>
      </c>
      <c r="AK89" s="330"/>
      <c r="AL89" s="330" t="s">
        <v>192</v>
      </c>
      <c r="AM89" s="330" t="s">
        <v>191</v>
      </c>
      <c r="AN89" s="330" t="s">
        <v>192</v>
      </c>
      <c r="AO89" s="330"/>
      <c r="AP89" s="332" t="s">
        <v>239</v>
      </c>
      <c r="AQ89" s="330"/>
      <c r="AR89" s="330"/>
      <c r="AS89" s="330" t="b">
        <v>1</v>
      </c>
      <c r="AT89" s="330"/>
      <c r="AU89" s="332" t="s">
        <v>192</v>
      </c>
      <c r="AV89" s="334">
        <v>45818.684520601855</v>
      </c>
      <c r="AW89" s="330"/>
      <c r="AX89" s="335">
        <v>45866</v>
      </c>
      <c r="AY89" s="336">
        <v>45845</v>
      </c>
      <c r="AZ89" s="330"/>
      <c r="BA89" s="336">
        <v>45883</v>
      </c>
      <c r="BB89" s="330"/>
      <c r="BC89" s="336">
        <v>45887</v>
      </c>
      <c r="BD89" s="330"/>
      <c r="BE89" s="336">
        <v>45887</v>
      </c>
      <c r="BF89" s="330"/>
      <c r="BG89" s="330"/>
      <c r="BH89" s="330" t="s">
        <v>193</v>
      </c>
      <c r="BI89" s="330">
        <v>500</v>
      </c>
      <c r="BJ89" s="330"/>
      <c r="BK89" s="330"/>
      <c r="BL89" s="330"/>
      <c r="BM89" s="332"/>
      <c r="BN89" s="330"/>
      <c r="BO89" s="330" t="s">
        <v>240</v>
      </c>
      <c r="BP89" s="330" t="s">
        <v>193</v>
      </c>
      <c r="BQ89" s="330" t="s">
        <v>218</v>
      </c>
      <c r="BR89" s="330" t="s">
        <v>220</v>
      </c>
      <c r="BS89" s="330"/>
      <c r="BT89" s="330" t="s">
        <v>220</v>
      </c>
      <c r="BU89" s="330"/>
      <c r="BV89" s="330" t="s">
        <v>193</v>
      </c>
      <c r="BW89" s="330" t="s">
        <v>603</v>
      </c>
      <c r="BX89" s="332"/>
      <c r="BY89" s="330"/>
      <c r="BZ89" s="330"/>
      <c r="CA89" s="330"/>
      <c r="CB89" s="330"/>
      <c r="CC89" s="337" t="s">
        <v>241</v>
      </c>
      <c r="CD89" s="330" t="b">
        <v>1</v>
      </c>
      <c r="CE89" s="330" t="b">
        <v>1</v>
      </c>
      <c r="CF89" s="330" t="b">
        <v>1</v>
      </c>
      <c r="CG89" s="330" t="s">
        <v>242</v>
      </c>
      <c r="CH89" s="330"/>
      <c r="CI89" s="330"/>
      <c r="CJ89" s="330"/>
      <c r="CK89" s="330"/>
      <c r="CL89" s="330"/>
      <c r="CM89" s="330"/>
      <c r="CN89" s="330"/>
      <c r="CO89" s="330"/>
      <c r="CP89" s="330"/>
      <c r="CQ89" s="330"/>
      <c r="CR89" s="330"/>
      <c r="CS89" s="330"/>
      <c r="CT89" s="330"/>
      <c r="CU89" s="330"/>
      <c r="CV89" s="330"/>
      <c r="CW89" s="330"/>
      <c r="CX89" s="330"/>
      <c r="CY89" s="330"/>
      <c r="CZ89" s="330"/>
      <c r="DA89" s="330"/>
      <c r="DB89" s="330" t="b">
        <v>1</v>
      </c>
      <c r="DC89" s="330" t="b">
        <v>1</v>
      </c>
      <c r="DD89" s="330"/>
      <c r="DE89" s="330"/>
      <c r="DF89" s="338">
        <v>24051</v>
      </c>
      <c r="DG89" s="330" t="s">
        <v>221</v>
      </c>
      <c r="DH89" s="330"/>
      <c r="DI89" s="340">
        <v>44</v>
      </c>
      <c r="DJ89" s="330"/>
      <c r="DK89" s="330">
        <v>44</v>
      </c>
      <c r="DL89" s="330" t="s">
        <v>243</v>
      </c>
      <c r="DM89" s="330"/>
      <c r="DN89" s="330"/>
      <c r="DO89" s="330"/>
      <c r="DP89" s="330"/>
      <c r="DQ89" s="338" t="s">
        <v>197</v>
      </c>
      <c r="DR89" s="330"/>
      <c r="DS89" s="330"/>
      <c r="DT89" s="330"/>
      <c r="DU89" s="338" t="s">
        <v>197</v>
      </c>
      <c r="DV89" s="330"/>
      <c r="DW89" s="330"/>
      <c r="DX89" s="330"/>
      <c r="DY89" s="338" t="s">
        <v>197</v>
      </c>
      <c r="DZ89" s="330"/>
      <c r="EA89" s="330"/>
      <c r="EB89" s="330"/>
      <c r="EC89" s="330" t="s">
        <v>197</v>
      </c>
      <c r="ED89" s="338" t="s">
        <v>197</v>
      </c>
      <c r="EE89" s="330">
        <v>4</v>
      </c>
      <c r="EF89" s="330">
        <v>200</v>
      </c>
      <c r="EG89" s="330"/>
      <c r="EH89" s="330"/>
      <c r="EI89" s="330"/>
      <c r="EJ89" s="330"/>
      <c r="EK89" s="330"/>
      <c r="EL89" s="330"/>
      <c r="EM89" s="330"/>
      <c r="EN89" s="330"/>
      <c r="EO89" s="330"/>
      <c r="EP89" s="330"/>
      <c r="EQ89" s="332" t="s">
        <v>244</v>
      </c>
      <c r="ER89" s="330"/>
      <c r="ES89" s="330"/>
      <c r="ET89" s="332" t="s">
        <v>245</v>
      </c>
      <c r="EU89" s="332" t="s">
        <v>246</v>
      </c>
      <c r="EV89" s="336">
        <v>45840</v>
      </c>
      <c r="EW89" s="336">
        <v>45841</v>
      </c>
      <c r="EX89" s="330">
        <v>2</v>
      </c>
      <c r="EY89" s="330"/>
      <c r="EZ89" s="330" t="s">
        <v>201</v>
      </c>
      <c r="FA89" s="336">
        <v>45881</v>
      </c>
      <c r="FB89" s="330">
        <v>5</v>
      </c>
      <c r="FC89" s="330" t="s">
        <v>202</v>
      </c>
      <c r="FD89" s="332" t="s">
        <v>190</v>
      </c>
      <c r="FE89" s="336">
        <v>45887</v>
      </c>
      <c r="FF89" s="330"/>
      <c r="FG89" s="330" t="s">
        <v>203</v>
      </c>
      <c r="FH89" s="330" t="s">
        <v>869</v>
      </c>
      <c r="FI89" s="330" t="s">
        <v>204</v>
      </c>
      <c r="FJ89" s="330"/>
      <c r="FK89" s="330" t="s">
        <v>230</v>
      </c>
      <c r="FL89" s="330" t="s">
        <v>192</v>
      </c>
      <c r="FM89" s="330" t="s">
        <v>191</v>
      </c>
      <c r="FN89" s="330" t="s">
        <v>992</v>
      </c>
      <c r="FO89" s="330"/>
      <c r="FP89" s="330" t="s">
        <v>993</v>
      </c>
      <c r="FQ89" s="330"/>
      <c r="FR89" s="330"/>
      <c r="FS89" s="330"/>
      <c r="FT89" s="330"/>
      <c r="FU89" s="330"/>
    </row>
    <row r="90" spans="1:177" ht="102" x14ac:dyDescent="0.25">
      <c r="A90" s="330">
        <v>89</v>
      </c>
      <c r="B90" s="331" t="s">
        <v>994</v>
      </c>
      <c r="C90" s="330"/>
      <c r="D90" s="332" t="s">
        <v>228</v>
      </c>
      <c r="E90" s="332" t="s">
        <v>229</v>
      </c>
      <c r="F90" s="332" t="s">
        <v>230</v>
      </c>
      <c r="G90" s="330" t="s">
        <v>231</v>
      </c>
      <c r="H90" s="331">
        <v>400</v>
      </c>
      <c r="I90" s="330"/>
      <c r="J90" s="332" t="s">
        <v>995</v>
      </c>
      <c r="K90" s="332" t="s">
        <v>996</v>
      </c>
      <c r="L90" s="330" t="s">
        <v>284</v>
      </c>
      <c r="M90" s="332" t="s">
        <v>997</v>
      </c>
      <c r="N90" s="330" t="s">
        <v>998</v>
      </c>
      <c r="O90" s="339">
        <v>0.53088021590201395</v>
      </c>
      <c r="P90" s="333">
        <v>10229</v>
      </c>
      <c r="Q90" s="333">
        <v>19268</v>
      </c>
      <c r="R90" s="333">
        <v>78</v>
      </c>
      <c r="S90" s="333">
        <v>78</v>
      </c>
      <c r="T90" s="333">
        <v>9</v>
      </c>
      <c r="U90" s="333">
        <v>468</v>
      </c>
      <c r="V90" s="333">
        <v>375</v>
      </c>
      <c r="W90" s="330" t="s">
        <v>999</v>
      </c>
      <c r="X90" s="330" t="s">
        <v>1000</v>
      </c>
      <c r="Y90" s="332" t="s">
        <v>365</v>
      </c>
      <c r="Z90" s="330" t="s">
        <v>215</v>
      </c>
      <c r="AA90" s="330" t="s">
        <v>366</v>
      </c>
      <c r="AB90" s="330" t="s">
        <v>189</v>
      </c>
      <c r="AC90" s="330"/>
      <c r="AD90" s="330"/>
      <c r="AE90" s="330">
        <v>47</v>
      </c>
      <c r="AF90" s="330">
        <v>-103</v>
      </c>
      <c r="AG90" s="332" t="s">
        <v>238</v>
      </c>
      <c r="AH90" s="332" t="s">
        <v>191</v>
      </c>
      <c r="AI90" s="330"/>
      <c r="AJ90" s="330" t="s">
        <v>192</v>
      </c>
      <c r="AK90" s="330"/>
      <c r="AL90" s="330" t="s">
        <v>192</v>
      </c>
      <c r="AM90" s="330" t="s">
        <v>191</v>
      </c>
      <c r="AN90" s="330" t="s">
        <v>192</v>
      </c>
      <c r="AO90" s="330"/>
      <c r="AP90" s="332" t="s">
        <v>259</v>
      </c>
      <c r="AQ90" s="330"/>
      <c r="AR90" s="330"/>
      <c r="AS90" s="330" t="b">
        <v>1</v>
      </c>
      <c r="AT90" s="330"/>
      <c r="AU90" s="332" t="s">
        <v>192</v>
      </c>
      <c r="AV90" s="334">
        <v>45945.676370763889</v>
      </c>
      <c r="AW90" s="330"/>
      <c r="AX90" s="335">
        <v>45966</v>
      </c>
      <c r="AY90" s="336">
        <v>45968</v>
      </c>
      <c r="AZ90" s="330" t="b">
        <v>1</v>
      </c>
      <c r="BA90" s="336">
        <v>45986</v>
      </c>
      <c r="BB90" s="330"/>
      <c r="BC90" s="336">
        <v>45987</v>
      </c>
      <c r="BD90" s="330"/>
      <c r="BE90" s="336">
        <v>45987</v>
      </c>
      <c r="BF90" s="330"/>
      <c r="BG90" s="330"/>
      <c r="BH90" s="330" t="s">
        <v>193</v>
      </c>
      <c r="BI90" s="330">
        <v>1000</v>
      </c>
      <c r="BJ90" s="330"/>
      <c r="BK90" s="330"/>
      <c r="BL90" s="330"/>
      <c r="BM90" s="332"/>
      <c r="BN90" s="330"/>
      <c r="BO90" s="330" t="s">
        <v>240</v>
      </c>
      <c r="BP90" s="330" t="s">
        <v>193</v>
      </c>
      <c r="BQ90" s="330" t="s">
        <v>218</v>
      </c>
      <c r="BR90" s="330" t="s">
        <v>220</v>
      </c>
      <c r="BS90" s="330"/>
      <c r="BT90" s="330" t="s">
        <v>220</v>
      </c>
      <c r="BU90" s="330"/>
      <c r="BV90" s="330" t="s">
        <v>220</v>
      </c>
      <c r="BW90" s="330"/>
      <c r="BX90" s="332"/>
      <c r="BY90" s="330"/>
      <c r="BZ90" s="330"/>
      <c r="CA90" s="330"/>
      <c r="CB90" s="330"/>
      <c r="CC90" s="337" t="s">
        <v>241</v>
      </c>
      <c r="CD90" s="330" t="b">
        <v>1</v>
      </c>
      <c r="CE90" s="330" t="b">
        <v>1</v>
      </c>
      <c r="CF90" s="330" t="b">
        <v>1</v>
      </c>
      <c r="CG90" s="330" t="s">
        <v>242</v>
      </c>
      <c r="CH90" s="330"/>
      <c r="CI90" s="330"/>
      <c r="CJ90" s="330"/>
      <c r="CK90" s="330"/>
      <c r="CL90" s="330"/>
      <c r="CM90" s="330"/>
      <c r="CN90" s="330"/>
      <c r="CO90" s="330"/>
      <c r="CP90" s="330"/>
      <c r="CQ90" s="330"/>
      <c r="CR90" s="330"/>
      <c r="CS90" s="330"/>
      <c r="CT90" s="330"/>
      <c r="CU90" s="330"/>
      <c r="CV90" s="330"/>
      <c r="CW90" s="330"/>
      <c r="CX90" s="330"/>
      <c r="CY90" s="330"/>
      <c r="CZ90" s="330"/>
      <c r="DA90" s="330"/>
      <c r="DB90" s="330" t="b">
        <v>1</v>
      </c>
      <c r="DC90" s="330" t="b">
        <v>1</v>
      </c>
      <c r="DD90" s="330"/>
      <c r="DE90" s="330"/>
      <c r="DF90" s="338">
        <v>24051</v>
      </c>
      <c r="DG90" s="330" t="s">
        <v>221</v>
      </c>
      <c r="DH90" s="330"/>
      <c r="DI90" s="338">
        <v>45</v>
      </c>
      <c r="DJ90" s="330"/>
      <c r="DK90" s="330">
        <v>45</v>
      </c>
      <c r="DL90" s="330" t="s">
        <v>243</v>
      </c>
      <c r="DM90" s="330"/>
      <c r="DN90" s="330"/>
      <c r="DO90" s="330"/>
      <c r="DP90" s="330"/>
      <c r="DQ90" s="338" t="s">
        <v>197</v>
      </c>
      <c r="DR90" s="330"/>
      <c r="DS90" s="330"/>
      <c r="DT90" s="330"/>
      <c r="DU90" s="338" t="s">
        <v>197</v>
      </c>
      <c r="DV90" s="330"/>
      <c r="DW90" s="330"/>
      <c r="DX90" s="330"/>
      <c r="DY90" s="338" t="s">
        <v>197</v>
      </c>
      <c r="DZ90" s="330"/>
      <c r="EA90" s="330"/>
      <c r="EB90" s="330"/>
      <c r="EC90" s="330" t="s">
        <v>197</v>
      </c>
      <c r="ED90" s="338" t="s">
        <v>197</v>
      </c>
      <c r="EE90" s="330">
        <v>8</v>
      </c>
      <c r="EF90" s="330">
        <v>140</v>
      </c>
      <c r="EG90" s="330"/>
      <c r="EH90" s="330"/>
      <c r="EI90" s="330"/>
      <c r="EJ90" s="330"/>
      <c r="EK90" s="330"/>
      <c r="EL90" s="330"/>
      <c r="EM90" s="330"/>
      <c r="EN90" s="330"/>
      <c r="EO90" s="330"/>
      <c r="EP90" s="330"/>
      <c r="EQ90" s="332" t="s">
        <v>244</v>
      </c>
      <c r="ER90" s="330"/>
      <c r="ES90" s="330"/>
      <c r="ET90" s="332" t="s">
        <v>245</v>
      </c>
      <c r="EU90" s="332" t="s">
        <v>246</v>
      </c>
      <c r="EV90" s="336">
        <v>45967</v>
      </c>
      <c r="EW90" s="336">
        <v>45967</v>
      </c>
      <c r="EX90" s="330">
        <v>1</v>
      </c>
      <c r="EY90" s="330"/>
      <c r="EZ90" s="330" t="s">
        <v>201</v>
      </c>
      <c r="FA90" s="336">
        <v>45974</v>
      </c>
      <c r="FB90" s="330">
        <v>8</v>
      </c>
      <c r="FC90" s="330" t="s">
        <v>202</v>
      </c>
      <c r="FD90" s="332" t="s">
        <v>190</v>
      </c>
      <c r="FE90" s="336">
        <v>45985</v>
      </c>
      <c r="FF90" s="330"/>
      <c r="FG90" s="330" t="s">
        <v>203</v>
      </c>
      <c r="FH90" s="330" t="s">
        <v>1001</v>
      </c>
      <c r="FI90" s="330" t="s">
        <v>204</v>
      </c>
      <c r="FJ90" s="330"/>
      <c r="FK90" s="330" t="s">
        <v>230</v>
      </c>
      <c r="FL90" s="330" t="s">
        <v>192</v>
      </c>
      <c r="FM90" s="330" t="s">
        <v>191</v>
      </c>
      <c r="FN90" s="330" t="s">
        <v>1002</v>
      </c>
      <c r="FO90" s="330" t="b">
        <v>1</v>
      </c>
      <c r="FP90" s="330" t="s">
        <v>1003</v>
      </c>
      <c r="FQ90" s="330"/>
      <c r="FR90" s="330"/>
      <c r="FS90" s="330"/>
      <c r="FT90" s="330"/>
      <c r="FU90" s="330"/>
    </row>
    <row r="91" spans="1:177" ht="51" x14ac:dyDescent="0.25">
      <c r="A91" s="330">
        <v>90</v>
      </c>
      <c r="B91" s="331" t="s">
        <v>1004</v>
      </c>
      <c r="C91" s="330"/>
      <c r="D91" s="332" t="s">
        <v>1005</v>
      </c>
      <c r="E91" s="332" t="s">
        <v>1006</v>
      </c>
      <c r="F91" s="332" t="s">
        <v>902</v>
      </c>
      <c r="G91" s="330" t="s">
        <v>903</v>
      </c>
      <c r="H91" s="331">
        <v>400</v>
      </c>
      <c r="I91" s="330"/>
      <c r="J91" s="332" t="s">
        <v>1007</v>
      </c>
      <c r="K91" s="332" t="s">
        <v>1008</v>
      </c>
      <c r="L91" s="330"/>
      <c r="M91" s="332" t="s">
        <v>908</v>
      </c>
      <c r="N91" s="330" t="s">
        <v>1009</v>
      </c>
      <c r="O91" s="339">
        <v>1.02374059061957</v>
      </c>
      <c r="P91" s="333">
        <v>1768</v>
      </c>
      <c r="Q91" s="333">
        <v>1727</v>
      </c>
      <c r="R91" s="333">
        <v>3</v>
      </c>
      <c r="S91" s="333">
        <v>3</v>
      </c>
      <c r="T91" s="333">
        <v>3</v>
      </c>
      <c r="U91" s="333">
        <v>0</v>
      </c>
      <c r="V91" s="333">
        <v>0</v>
      </c>
      <c r="W91" s="330" t="s">
        <v>1010</v>
      </c>
      <c r="X91" s="330" t="s">
        <v>1011</v>
      </c>
      <c r="Y91" s="332" t="s">
        <v>1012</v>
      </c>
      <c r="Z91" s="330" t="s">
        <v>215</v>
      </c>
      <c r="AA91" s="330" t="s">
        <v>1013</v>
      </c>
      <c r="AB91" s="330" t="s">
        <v>217</v>
      </c>
      <c r="AC91" s="330"/>
      <c r="AD91" s="330"/>
      <c r="AE91" s="330">
        <v>16</v>
      </c>
      <c r="AF91" s="330">
        <v>-157</v>
      </c>
      <c r="AG91" s="332" t="s">
        <v>190</v>
      </c>
      <c r="AH91" s="332" t="s">
        <v>191</v>
      </c>
      <c r="AI91" s="330"/>
      <c r="AJ91" s="330"/>
      <c r="AK91" s="330"/>
      <c r="AL91" s="330" t="s">
        <v>810</v>
      </c>
      <c r="AM91" s="330" t="s">
        <v>191</v>
      </c>
      <c r="AN91" s="330" t="s">
        <v>810</v>
      </c>
      <c r="AO91" s="330"/>
      <c r="AP91" s="332" t="s">
        <v>259</v>
      </c>
      <c r="AQ91" s="330"/>
      <c r="AR91" s="330"/>
      <c r="AS91" s="330" t="b">
        <v>1</v>
      </c>
      <c r="AT91" s="330"/>
      <c r="AU91" s="332" t="s">
        <v>810</v>
      </c>
      <c r="AV91" s="334">
        <v>45894.272664374999</v>
      </c>
      <c r="AW91" s="330" t="b">
        <v>1</v>
      </c>
      <c r="AX91" s="335">
        <v>45896</v>
      </c>
      <c r="AY91" s="336">
        <v>45894</v>
      </c>
      <c r="AZ91" s="330" t="b">
        <v>1</v>
      </c>
      <c r="BA91" s="336">
        <v>45910</v>
      </c>
      <c r="BB91" s="330"/>
      <c r="BC91" s="336">
        <v>45897</v>
      </c>
      <c r="BD91" s="330"/>
      <c r="BE91" s="336">
        <v>45897</v>
      </c>
      <c r="BF91" s="330"/>
      <c r="BG91" s="330"/>
      <c r="BH91" s="330" t="s">
        <v>193</v>
      </c>
      <c r="BI91" s="330">
        <v>81</v>
      </c>
      <c r="BJ91" s="330"/>
      <c r="BK91" s="330"/>
      <c r="BL91" s="330"/>
      <c r="BM91" s="332"/>
      <c r="BN91" s="330"/>
      <c r="BO91" s="330" t="s">
        <v>240</v>
      </c>
      <c r="BP91" s="330" t="s">
        <v>193</v>
      </c>
      <c r="BQ91" s="330" t="s">
        <v>909</v>
      </c>
      <c r="BR91" s="330" t="s">
        <v>220</v>
      </c>
      <c r="BS91" s="330"/>
      <c r="BT91" s="330" t="s">
        <v>193</v>
      </c>
      <c r="BU91" s="330" t="s">
        <v>1014</v>
      </c>
      <c r="BV91" s="330" t="s">
        <v>193</v>
      </c>
      <c r="BW91" s="330" t="s">
        <v>1015</v>
      </c>
      <c r="BX91" s="332" t="s">
        <v>1016</v>
      </c>
      <c r="BY91" s="330" t="s">
        <v>1017</v>
      </c>
      <c r="BZ91" s="330"/>
      <c r="CA91" s="330" t="s">
        <v>1018</v>
      </c>
      <c r="CB91" s="330"/>
      <c r="CC91" s="337" t="s">
        <v>194</v>
      </c>
      <c r="CD91" s="330"/>
      <c r="CE91" s="330" t="b">
        <v>1</v>
      </c>
      <c r="CF91" s="330" t="b">
        <v>1</v>
      </c>
      <c r="CG91" s="330" t="s">
        <v>242</v>
      </c>
      <c r="CH91" s="330"/>
      <c r="CI91" s="330"/>
      <c r="CJ91" s="330"/>
      <c r="CK91" s="330"/>
      <c r="CL91" s="330"/>
      <c r="CM91" s="330"/>
      <c r="CN91" s="330"/>
      <c r="CO91" s="330"/>
      <c r="CP91" s="330"/>
      <c r="CQ91" s="330"/>
      <c r="CR91" s="330"/>
      <c r="CS91" s="330"/>
      <c r="CT91" s="330"/>
      <c r="CU91" s="330"/>
      <c r="CV91" s="330"/>
      <c r="CW91" s="330"/>
      <c r="CX91" s="330"/>
      <c r="CY91" s="330"/>
      <c r="CZ91" s="330"/>
      <c r="DA91" s="330"/>
      <c r="DB91" s="330" t="b">
        <v>1</v>
      </c>
      <c r="DC91" s="330" t="b">
        <v>1</v>
      </c>
      <c r="DD91" s="330"/>
      <c r="DE91" s="330"/>
      <c r="DF91" s="338">
        <v>24048</v>
      </c>
      <c r="DG91" s="330" t="s">
        <v>1019</v>
      </c>
      <c r="DH91" s="330"/>
      <c r="DI91" s="338" t="s">
        <v>638</v>
      </c>
      <c r="DJ91" s="330"/>
      <c r="DK91" s="330">
        <v>2</v>
      </c>
      <c r="DL91" s="330" t="s">
        <v>1004</v>
      </c>
      <c r="DM91" s="330"/>
      <c r="DN91" s="330"/>
      <c r="DO91" s="330"/>
      <c r="DP91" s="330"/>
      <c r="DQ91" s="338" t="s">
        <v>197</v>
      </c>
      <c r="DR91" s="330"/>
      <c r="DS91" s="330"/>
      <c r="DT91" s="330"/>
      <c r="DU91" s="338" t="s">
        <v>197</v>
      </c>
      <c r="DV91" s="330"/>
      <c r="DW91" s="330"/>
      <c r="DX91" s="330"/>
      <c r="DY91" s="338" t="s">
        <v>197</v>
      </c>
      <c r="DZ91" s="330"/>
      <c r="EA91" s="330"/>
      <c r="EB91" s="330"/>
      <c r="EC91" s="330" t="s">
        <v>197</v>
      </c>
      <c r="ED91" s="338" t="s">
        <v>197</v>
      </c>
      <c r="EE91" s="341">
        <v>1</v>
      </c>
      <c r="EF91" s="341">
        <v>4</v>
      </c>
      <c r="EG91" s="330"/>
      <c r="EH91" s="330"/>
      <c r="EI91" s="330"/>
      <c r="EJ91" s="330"/>
      <c r="EK91" s="330"/>
      <c r="EL91" s="330"/>
      <c r="EM91" s="330"/>
      <c r="EN91" s="330"/>
      <c r="EO91" s="330"/>
      <c r="EP91" s="330"/>
      <c r="EQ91" s="332" t="s">
        <v>244</v>
      </c>
      <c r="ER91" s="330"/>
      <c r="ES91" s="330"/>
      <c r="ET91" s="332" t="s">
        <v>245</v>
      </c>
      <c r="EU91" s="332" t="s">
        <v>246</v>
      </c>
      <c r="EV91" s="336">
        <v>45894</v>
      </c>
      <c r="EW91" s="336">
        <v>45894</v>
      </c>
      <c r="EX91" s="330">
        <v>1</v>
      </c>
      <c r="EY91" s="330"/>
      <c r="EZ91" s="330" t="s">
        <v>201</v>
      </c>
      <c r="FA91" s="336">
        <v>45896</v>
      </c>
      <c r="FB91" s="330">
        <v>2</v>
      </c>
      <c r="FC91" s="330" t="s">
        <v>202</v>
      </c>
      <c r="FD91" s="332" t="s">
        <v>190</v>
      </c>
      <c r="FE91" s="336">
        <v>45897</v>
      </c>
      <c r="FF91" s="330"/>
      <c r="FG91" s="330" t="s">
        <v>203</v>
      </c>
      <c r="FH91" s="330" t="s">
        <v>1020</v>
      </c>
      <c r="FI91" s="330" t="s">
        <v>204</v>
      </c>
      <c r="FJ91" s="330"/>
      <c r="FK91" s="330" t="s">
        <v>902</v>
      </c>
      <c r="FL91" s="330" t="s">
        <v>810</v>
      </c>
      <c r="FM91" s="330" t="s">
        <v>191</v>
      </c>
      <c r="FN91" s="330" t="s">
        <v>1021</v>
      </c>
      <c r="FO91" s="330"/>
      <c r="FP91" s="330" t="s">
        <v>716</v>
      </c>
      <c r="FQ91" s="330"/>
      <c r="FR91" s="330"/>
      <c r="FS91" s="330"/>
      <c r="FT91" s="330"/>
      <c r="FU91" s="330"/>
    </row>
    <row r="92" spans="1:177" ht="38.25" x14ac:dyDescent="0.25">
      <c r="A92" s="330">
        <v>91</v>
      </c>
      <c r="B92" s="331" t="s">
        <v>1022</v>
      </c>
      <c r="C92" s="330"/>
      <c r="D92" s="332" t="s">
        <v>228</v>
      </c>
      <c r="E92" s="332" t="s">
        <v>229</v>
      </c>
      <c r="F92" s="332" t="s">
        <v>230</v>
      </c>
      <c r="G92" s="330" t="s">
        <v>231</v>
      </c>
      <c r="H92" s="331"/>
      <c r="I92" s="330"/>
      <c r="J92" s="332" t="s">
        <v>1023</v>
      </c>
      <c r="K92" s="332" t="s">
        <v>1024</v>
      </c>
      <c r="L92" s="330"/>
      <c r="M92" s="332"/>
      <c r="N92" s="330"/>
      <c r="O92" s="333" t="s">
        <v>184</v>
      </c>
      <c r="P92" s="333" t="s">
        <v>184</v>
      </c>
      <c r="Q92" s="333" t="s">
        <v>184</v>
      </c>
      <c r="R92" s="333">
        <v>0</v>
      </c>
      <c r="S92" s="333">
        <v>1900</v>
      </c>
      <c r="T92" s="333">
        <v>1</v>
      </c>
      <c r="U92" s="333">
        <v>0</v>
      </c>
      <c r="V92" s="333">
        <v>0</v>
      </c>
      <c r="W92" s="330">
        <v>150</v>
      </c>
      <c r="X92" s="330">
        <v>0</v>
      </c>
      <c r="Y92" s="332" t="s">
        <v>1025</v>
      </c>
      <c r="Z92" s="330" t="s">
        <v>739</v>
      </c>
      <c r="AA92" s="330" t="s">
        <v>1026</v>
      </c>
      <c r="AB92" s="330" t="s">
        <v>189</v>
      </c>
      <c r="AC92" s="330"/>
      <c r="AD92" s="330"/>
      <c r="AE92" s="330">
        <v>17</v>
      </c>
      <c r="AF92" s="330">
        <v>-219</v>
      </c>
      <c r="AG92" s="332" t="s">
        <v>238</v>
      </c>
      <c r="AH92" s="332" t="s">
        <v>191</v>
      </c>
      <c r="AI92" s="330" t="s">
        <v>674</v>
      </c>
      <c r="AJ92" s="330"/>
      <c r="AK92" s="330"/>
      <c r="AL92" s="330" t="s">
        <v>674</v>
      </c>
      <c r="AM92" s="330" t="s">
        <v>1027</v>
      </c>
      <c r="AN92" s="330" t="s">
        <v>674</v>
      </c>
      <c r="AO92" s="330"/>
      <c r="AP92" s="332"/>
      <c r="AQ92" s="330"/>
      <c r="AR92" s="330"/>
      <c r="AS92" s="330"/>
      <c r="AT92" s="330"/>
      <c r="AU92" s="332" t="s">
        <v>674</v>
      </c>
      <c r="AV92" s="334">
        <v>45721.446087523145</v>
      </c>
      <c r="AW92" s="330"/>
      <c r="AX92" s="335">
        <v>45817</v>
      </c>
      <c r="AY92" s="336">
        <v>45730</v>
      </c>
      <c r="AZ92" s="330"/>
      <c r="BA92" s="336">
        <v>45824</v>
      </c>
      <c r="BB92" s="330"/>
      <c r="BC92" s="336">
        <v>45826</v>
      </c>
      <c r="BD92" s="330"/>
      <c r="BE92" s="336">
        <v>45826</v>
      </c>
      <c r="BF92" s="330"/>
      <c r="BG92" s="330"/>
      <c r="BH92" s="330" t="s">
        <v>193</v>
      </c>
      <c r="BI92" s="330">
        <v>100</v>
      </c>
      <c r="BJ92" s="330"/>
      <c r="BK92" s="330"/>
      <c r="BL92" s="330"/>
      <c r="BM92" s="332"/>
      <c r="BN92" s="330"/>
      <c r="BO92" s="330"/>
      <c r="BP92" s="330"/>
      <c r="BQ92" s="330"/>
      <c r="BR92" s="330"/>
      <c r="BS92" s="330"/>
      <c r="BT92" s="330"/>
      <c r="BU92" s="330"/>
      <c r="BV92" s="330"/>
      <c r="BW92" s="330"/>
      <c r="BX92" s="332"/>
      <c r="BY92" s="330"/>
      <c r="BZ92" s="330"/>
      <c r="CA92" s="330"/>
      <c r="CB92" s="330"/>
      <c r="CC92" s="337" t="s">
        <v>241</v>
      </c>
      <c r="CD92" s="330"/>
      <c r="CE92" s="330" t="b">
        <v>1</v>
      </c>
      <c r="CF92" s="330"/>
      <c r="CG92" s="330"/>
      <c r="CH92" s="330"/>
      <c r="CI92" s="330"/>
      <c r="CJ92" s="330"/>
      <c r="CK92" s="330"/>
      <c r="CL92" s="330"/>
      <c r="CM92" s="330"/>
      <c r="CN92" s="330"/>
      <c r="CO92" s="330" t="b">
        <v>1</v>
      </c>
      <c r="CP92" s="330"/>
      <c r="CQ92" s="330"/>
      <c r="CR92" s="330"/>
      <c r="CS92" s="330"/>
      <c r="CT92" s="330"/>
      <c r="CU92" s="330" t="b">
        <v>1</v>
      </c>
      <c r="CV92" s="330"/>
      <c r="CW92" s="330"/>
      <c r="CX92" s="330"/>
      <c r="CY92" s="330"/>
      <c r="CZ92" s="330"/>
      <c r="DA92" s="330"/>
      <c r="DB92" s="330"/>
      <c r="DC92" s="330"/>
      <c r="DD92" s="330"/>
      <c r="DE92" s="330"/>
      <c r="DF92" s="338">
        <v>24051</v>
      </c>
      <c r="DG92" s="330" t="s">
        <v>195</v>
      </c>
      <c r="DH92" s="330"/>
      <c r="DI92" s="338" t="s">
        <v>196</v>
      </c>
      <c r="DJ92" s="330"/>
      <c r="DK92" s="330">
        <v>1</v>
      </c>
      <c r="DL92" s="330" t="s">
        <v>1028</v>
      </c>
      <c r="DM92" s="330"/>
      <c r="DN92" s="330"/>
      <c r="DO92" s="330"/>
      <c r="DP92" s="330"/>
      <c r="DQ92" s="338" t="s">
        <v>197</v>
      </c>
      <c r="DR92" s="330"/>
      <c r="DS92" s="330"/>
      <c r="DT92" s="330"/>
      <c r="DU92" s="338" t="s">
        <v>197</v>
      </c>
      <c r="DV92" s="330"/>
      <c r="DW92" s="330"/>
      <c r="DX92" s="330"/>
      <c r="DY92" s="338" t="s">
        <v>197</v>
      </c>
      <c r="DZ92" s="330"/>
      <c r="EA92" s="330"/>
      <c r="EB92" s="330"/>
      <c r="EC92" s="330" t="s">
        <v>197</v>
      </c>
      <c r="ED92" s="338" t="s">
        <v>197</v>
      </c>
      <c r="EE92" s="330">
        <v>1</v>
      </c>
      <c r="EF92" s="330">
        <v>60</v>
      </c>
      <c r="EG92" s="330"/>
      <c r="EH92" s="330"/>
      <c r="EI92" s="330"/>
      <c r="EJ92" s="330"/>
      <c r="EK92" s="330"/>
      <c r="EL92" s="330"/>
      <c r="EM92" s="330"/>
      <c r="EN92" s="330"/>
      <c r="EO92" s="330"/>
      <c r="EP92" s="330"/>
      <c r="EQ92" s="332" t="s">
        <v>244</v>
      </c>
      <c r="ER92" s="330"/>
      <c r="ES92" s="330"/>
      <c r="ET92" s="332"/>
      <c r="EU92" s="332" t="s">
        <v>1029</v>
      </c>
      <c r="EV92" s="330"/>
      <c r="EW92" s="330"/>
      <c r="EX92" s="330" t="s">
        <v>200</v>
      </c>
      <c r="EY92" s="330"/>
      <c r="EZ92" s="330" t="s">
        <v>201</v>
      </c>
      <c r="FA92" s="336">
        <v>45826</v>
      </c>
      <c r="FB92" s="330">
        <v>1</v>
      </c>
      <c r="FC92" s="330" t="s">
        <v>202</v>
      </c>
      <c r="FD92" s="332" t="s">
        <v>190</v>
      </c>
      <c r="FE92" s="336">
        <v>45826</v>
      </c>
      <c r="FF92" s="330"/>
      <c r="FG92" s="330" t="s">
        <v>203</v>
      </c>
      <c r="FH92" s="330" t="s">
        <v>1030</v>
      </c>
      <c r="FI92" s="330" t="s">
        <v>204</v>
      </c>
      <c r="FJ92" s="330"/>
      <c r="FK92" s="330" t="s">
        <v>230</v>
      </c>
      <c r="FL92" s="330" t="s">
        <v>674</v>
      </c>
      <c r="FM92" s="330" t="s">
        <v>1027</v>
      </c>
      <c r="FN92" s="330" t="s">
        <v>1031</v>
      </c>
      <c r="FO92" s="330"/>
      <c r="FP92" s="330" t="s">
        <v>251</v>
      </c>
      <c r="FQ92" s="330"/>
      <c r="FR92" s="330"/>
      <c r="FS92" s="330"/>
      <c r="FT92" s="330"/>
      <c r="FU92" s="330"/>
    </row>
    <row r="93" spans="1:177" ht="89.25" x14ac:dyDescent="0.25">
      <c r="A93" s="330">
        <v>92</v>
      </c>
      <c r="B93" s="331" t="s">
        <v>1028</v>
      </c>
      <c r="C93" s="330"/>
      <c r="D93" s="332" t="s">
        <v>228</v>
      </c>
      <c r="E93" s="332" t="s">
        <v>229</v>
      </c>
      <c r="F93" s="332" t="s">
        <v>230</v>
      </c>
      <c r="G93" s="330" t="s">
        <v>231</v>
      </c>
      <c r="H93" s="331"/>
      <c r="I93" s="330"/>
      <c r="J93" s="332" t="s">
        <v>1032</v>
      </c>
      <c r="K93" s="332"/>
      <c r="L93" s="330" t="s">
        <v>857</v>
      </c>
      <c r="M93" s="332"/>
      <c r="N93" s="330" t="s">
        <v>1033</v>
      </c>
      <c r="O93" s="333" t="s">
        <v>184</v>
      </c>
      <c r="P93" s="333" t="s">
        <v>184</v>
      </c>
      <c r="Q93" s="333" t="s">
        <v>184</v>
      </c>
      <c r="R93" s="333">
        <v>0</v>
      </c>
      <c r="S93" s="333">
        <v>141</v>
      </c>
      <c r="T93" s="333">
        <v>1</v>
      </c>
      <c r="U93" s="333">
        <v>0</v>
      </c>
      <c r="V93" s="333">
        <v>0</v>
      </c>
      <c r="W93" s="330" t="s">
        <v>1034</v>
      </c>
      <c r="X93" s="330" t="s">
        <v>1035</v>
      </c>
      <c r="Y93" s="332" t="s">
        <v>1036</v>
      </c>
      <c r="Z93" s="330" t="s">
        <v>739</v>
      </c>
      <c r="AA93" s="330" t="s">
        <v>1037</v>
      </c>
      <c r="AB93" s="330" t="s">
        <v>189</v>
      </c>
      <c r="AC93" s="330"/>
      <c r="AD93" s="330"/>
      <c r="AE93" s="330">
        <v>69</v>
      </c>
      <c r="AF93" s="330">
        <v>-52</v>
      </c>
      <c r="AG93" s="332" t="s">
        <v>238</v>
      </c>
      <c r="AH93" s="332" t="s">
        <v>191</v>
      </c>
      <c r="AI93" s="330"/>
      <c r="AJ93" s="330"/>
      <c r="AK93" s="330"/>
      <c r="AL93" s="330" t="s">
        <v>191</v>
      </c>
      <c r="AM93" s="330"/>
      <c r="AN93" s="330"/>
      <c r="AO93" s="330"/>
      <c r="AP93" s="332"/>
      <c r="AQ93" s="330"/>
      <c r="AR93" s="330"/>
      <c r="AS93" s="330"/>
      <c r="AT93" s="330"/>
      <c r="AU93" s="332" t="s">
        <v>191</v>
      </c>
      <c r="AV93" s="334">
        <v>46027.565188437497</v>
      </c>
      <c r="AW93" s="330"/>
      <c r="AX93" s="335">
        <v>46050</v>
      </c>
      <c r="AY93" s="336">
        <v>46027</v>
      </c>
      <c r="AZ93" s="330"/>
      <c r="BA93" s="336">
        <v>46057</v>
      </c>
      <c r="BB93" s="330"/>
      <c r="BC93" s="336">
        <v>46059</v>
      </c>
      <c r="BD93" s="330"/>
      <c r="BE93" s="336">
        <v>46059</v>
      </c>
      <c r="BF93" s="330"/>
      <c r="BG93" s="330"/>
      <c r="BH93" s="330" t="s">
        <v>193</v>
      </c>
      <c r="BI93" s="330">
        <v>12</v>
      </c>
      <c r="BJ93" s="330"/>
      <c r="BK93" s="330"/>
      <c r="BL93" s="330"/>
      <c r="BM93" s="332"/>
      <c r="BN93" s="330"/>
      <c r="BO93" s="330"/>
      <c r="BP93" s="330"/>
      <c r="BQ93" s="330"/>
      <c r="BR93" s="330"/>
      <c r="BS93" s="330"/>
      <c r="BT93" s="330"/>
      <c r="BU93" s="330"/>
      <c r="BV93" s="330"/>
      <c r="BW93" s="330"/>
      <c r="BX93" s="332"/>
      <c r="BY93" s="330"/>
      <c r="BZ93" s="330"/>
      <c r="CA93" s="330"/>
      <c r="CB93" s="330"/>
      <c r="CC93" s="337" t="s">
        <v>241</v>
      </c>
      <c r="CD93" s="330"/>
      <c r="CE93" s="330" t="b">
        <v>1</v>
      </c>
      <c r="CF93" s="330"/>
      <c r="CG93" s="330"/>
      <c r="CH93" s="330"/>
      <c r="CI93" s="330"/>
      <c r="CJ93" s="330"/>
      <c r="CK93" s="330"/>
      <c r="CL93" s="330"/>
      <c r="CM93" s="330"/>
      <c r="CN93" s="330"/>
      <c r="CO93" s="330" t="b">
        <v>1</v>
      </c>
      <c r="CP93" s="330" t="b">
        <v>1</v>
      </c>
      <c r="CQ93" s="330"/>
      <c r="CR93" s="330"/>
      <c r="CS93" s="330"/>
      <c r="CT93" s="330"/>
      <c r="CU93" s="330"/>
      <c r="CV93" s="330"/>
      <c r="CW93" s="330"/>
      <c r="CX93" s="330"/>
      <c r="CY93" s="330"/>
      <c r="CZ93" s="330"/>
      <c r="DA93" s="330"/>
      <c r="DB93" s="330"/>
      <c r="DC93" s="330"/>
      <c r="DD93" s="330"/>
      <c r="DE93" s="330"/>
      <c r="DF93" s="338">
        <v>24051</v>
      </c>
      <c r="DG93" s="330" t="s">
        <v>195</v>
      </c>
      <c r="DH93" s="330"/>
      <c r="DI93" s="338" t="s">
        <v>638</v>
      </c>
      <c r="DJ93" s="330"/>
      <c r="DK93" s="330">
        <v>2</v>
      </c>
      <c r="DL93" s="330" t="s">
        <v>1028</v>
      </c>
      <c r="DM93" s="330"/>
      <c r="DN93" s="330"/>
      <c r="DO93" s="330"/>
      <c r="DP93" s="330"/>
      <c r="DQ93" s="338" t="s">
        <v>197</v>
      </c>
      <c r="DR93" s="330"/>
      <c r="DS93" s="330"/>
      <c r="DT93" s="330"/>
      <c r="DU93" s="338" t="s">
        <v>197</v>
      </c>
      <c r="DV93" s="330"/>
      <c r="DW93" s="330"/>
      <c r="DX93" s="330"/>
      <c r="DY93" s="338" t="s">
        <v>197</v>
      </c>
      <c r="DZ93" s="330"/>
      <c r="EA93" s="330"/>
      <c r="EB93" s="330"/>
      <c r="EC93" s="330" t="s">
        <v>197</v>
      </c>
      <c r="ED93" s="338" t="s">
        <v>197</v>
      </c>
      <c r="EE93" s="330">
        <v>2</v>
      </c>
      <c r="EF93" s="330">
        <v>6</v>
      </c>
      <c r="EG93" s="330"/>
      <c r="EH93" s="330"/>
      <c r="EI93" s="330"/>
      <c r="EJ93" s="330"/>
      <c r="EK93" s="330"/>
      <c r="EL93" s="330"/>
      <c r="EM93" s="330"/>
      <c r="EN93" s="330"/>
      <c r="EO93" s="330"/>
      <c r="EP93" s="330"/>
      <c r="EQ93" s="332" t="s">
        <v>244</v>
      </c>
      <c r="ER93" s="330"/>
      <c r="ES93" s="330"/>
      <c r="ET93" s="332"/>
      <c r="EU93" s="332" t="s">
        <v>199</v>
      </c>
      <c r="EV93" s="330"/>
      <c r="EW93" s="330"/>
      <c r="EX93" s="330" t="s">
        <v>200</v>
      </c>
      <c r="EY93" s="330"/>
      <c r="EZ93" s="330" t="s">
        <v>201</v>
      </c>
      <c r="FA93" s="336">
        <v>46041</v>
      </c>
      <c r="FB93" s="330">
        <v>9</v>
      </c>
      <c r="FC93" s="330" t="s">
        <v>202</v>
      </c>
      <c r="FD93" s="332" t="s">
        <v>190</v>
      </c>
      <c r="FE93" s="336">
        <v>46051</v>
      </c>
      <c r="FF93" s="330"/>
      <c r="FG93" s="330" t="s">
        <v>203</v>
      </c>
      <c r="FH93" s="330" t="s">
        <v>1038</v>
      </c>
      <c r="FI93" s="330" t="s">
        <v>204</v>
      </c>
      <c r="FJ93" s="330"/>
      <c r="FK93" s="330" t="s">
        <v>230</v>
      </c>
      <c r="FL93" s="330" t="s">
        <v>191</v>
      </c>
      <c r="FM93" s="330"/>
      <c r="FN93" s="330" t="s">
        <v>1039</v>
      </c>
      <c r="FO93" s="330"/>
      <c r="FP93" s="330" t="s">
        <v>357</v>
      </c>
      <c r="FQ93" s="330"/>
      <c r="FR93" s="330"/>
      <c r="FS93" s="330"/>
      <c r="FT93" s="330"/>
      <c r="FU93" s="330"/>
    </row>
    <row r="94" spans="1:177" ht="25.5" x14ac:dyDescent="0.25">
      <c r="A94" s="330">
        <v>93</v>
      </c>
      <c r="B94" s="331" t="s">
        <v>1040</v>
      </c>
      <c r="C94" s="330"/>
      <c r="D94" s="332" t="s">
        <v>1041</v>
      </c>
      <c r="E94" s="332" t="s">
        <v>1042</v>
      </c>
      <c r="F94" s="332" t="s">
        <v>1043</v>
      </c>
      <c r="G94" s="330"/>
      <c r="H94" s="331"/>
      <c r="I94" s="330"/>
      <c r="J94" s="332" t="s">
        <v>1044</v>
      </c>
      <c r="K94" s="332"/>
      <c r="L94" s="330" t="s">
        <v>1045</v>
      </c>
      <c r="M94" s="332"/>
      <c r="N94" s="330" t="s">
        <v>1046</v>
      </c>
      <c r="O94" s="333" t="s">
        <v>184</v>
      </c>
      <c r="P94" s="333" t="s">
        <v>184</v>
      </c>
      <c r="Q94" s="333" t="s">
        <v>184</v>
      </c>
      <c r="R94" s="333">
        <v>0</v>
      </c>
      <c r="S94" s="333">
        <v>287</v>
      </c>
      <c r="T94" s="333">
        <v>16</v>
      </c>
      <c r="U94" s="333">
        <v>0</v>
      </c>
      <c r="V94" s="333">
        <v>0</v>
      </c>
      <c r="W94" s="330" t="s">
        <v>1047</v>
      </c>
      <c r="X94" s="330" t="s">
        <v>213</v>
      </c>
      <c r="Y94" s="332" t="s">
        <v>1048</v>
      </c>
      <c r="Z94" s="330" t="s">
        <v>187</v>
      </c>
      <c r="AA94" s="330" t="s">
        <v>1049</v>
      </c>
      <c r="AB94" s="330" t="s">
        <v>189</v>
      </c>
      <c r="AC94" s="330"/>
      <c r="AD94" s="330"/>
      <c r="AE94" s="330">
        <v>2</v>
      </c>
      <c r="AF94" s="330">
        <v>-17</v>
      </c>
      <c r="AG94" s="332" t="s">
        <v>1050</v>
      </c>
      <c r="AH94" s="332" t="s">
        <v>191</v>
      </c>
      <c r="AI94" s="330" t="s">
        <v>191</v>
      </c>
      <c r="AJ94" s="330"/>
      <c r="AK94" s="330"/>
      <c r="AL94" s="330" t="s">
        <v>191</v>
      </c>
      <c r="AM94" s="330"/>
      <c r="AN94" s="330"/>
      <c r="AO94" s="330"/>
      <c r="AP94" s="332"/>
      <c r="AQ94" s="330"/>
      <c r="AR94" s="330"/>
      <c r="AS94" s="330"/>
      <c r="AT94" s="330"/>
      <c r="AU94" s="332" t="s">
        <v>191</v>
      </c>
      <c r="AV94" s="334">
        <v>46057.364187268518</v>
      </c>
      <c r="AW94" s="330"/>
      <c r="AX94" s="335">
        <v>46099</v>
      </c>
      <c r="AY94" s="336">
        <v>46066</v>
      </c>
      <c r="AZ94" s="330"/>
      <c r="BA94" s="336">
        <v>46106</v>
      </c>
      <c r="BB94" s="330"/>
      <c r="BC94" s="336">
        <v>46108</v>
      </c>
      <c r="BD94" s="330"/>
      <c r="BE94" s="336">
        <v>46108</v>
      </c>
      <c r="BF94" s="330"/>
      <c r="BG94" s="330"/>
      <c r="BH94" s="330" t="s">
        <v>193</v>
      </c>
      <c r="BI94" s="330">
        <v>40</v>
      </c>
      <c r="BJ94" s="336">
        <v>46087</v>
      </c>
      <c r="BK94" s="330"/>
      <c r="BL94" s="330"/>
      <c r="BM94" s="332"/>
      <c r="BN94" s="330"/>
      <c r="BO94" s="330"/>
      <c r="BP94" s="330"/>
      <c r="BQ94" s="330"/>
      <c r="BR94" s="330"/>
      <c r="BS94" s="330"/>
      <c r="BT94" s="330"/>
      <c r="BU94" s="330"/>
      <c r="BV94" s="330"/>
      <c r="BW94" s="330"/>
      <c r="BX94" s="332"/>
      <c r="BY94" s="330"/>
      <c r="BZ94" s="330"/>
      <c r="CA94" s="330"/>
      <c r="CB94" s="330"/>
      <c r="CC94" s="337" t="s">
        <v>92</v>
      </c>
      <c r="CD94" s="330"/>
      <c r="CE94" s="330" t="b">
        <v>1</v>
      </c>
      <c r="CF94" s="330"/>
      <c r="CG94" s="330"/>
      <c r="CH94" s="330"/>
      <c r="CI94" s="330"/>
      <c r="CJ94" s="330"/>
      <c r="CK94" s="330"/>
      <c r="CL94" s="330"/>
      <c r="CM94" s="330"/>
      <c r="CN94" s="330"/>
      <c r="CO94" s="330" t="b">
        <v>1</v>
      </c>
      <c r="CP94" s="330" t="b">
        <v>1</v>
      </c>
      <c r="CQ94" s="330"/>
      <c r="CR94" s="330"/>
      <c r="CS94" s="330"/>
      <c r="CT94" s="330"/>
      <c r="CU94" s="330"/>
      <c r="CV94" s="330"/>
      <c r="CW94" s="330"/>
      <c r="CX94" s="330"/>
      <c r="CY94" s="330"/>
      <c r="CZ94" s="330"/>
      <c r="DA94" s="330"/>
      <c r="DB94" s="330"/>
      <c r="DC94" s="330"/>
      <c r="DD94" s="330"/>
      <c r="DE94" s="330"/>
      <c r="DF94" s="338">
        <v>25032</v>
      </c>
      <c r="DG94" s="330" t="s">
        <v>764</v>
      </c>
      <c r="DH94" s="330"/>
      <c r="DI94" s="338" t="s">
        <v>196</v>
      </c>
      <c r="DJ94" s="330"/>
      <c r="DK94" s="330">
        <v>1</v>
      </c>
      <c r="DL94" s="330" t="s">
        <v>1040</v>
      </c>
      <c r="DM94" s="330"/>
      <c r="DN94" s="330"/>
      <c r="DO94" s="330"/>
      <c r="DP94" s="330"/>
      <c r="DQ94" s="338" t="s">
        <v>197</v>
      </c>
      <c r="DR94" s="330"/>
      <c r="DS94" s="330"/>
      <c r="DT94" s="330"/>
      <c r="DU94" s="338" t="s">
        <v>197</v>
      </c>
      <c r="DV94" s="330"/>
      <c r="DW94" s="330"/>
      <c r="DX94" s="330"/>
      <c r="DY94" s="338" t="s">
        <v>197</v>
      </c>
      <c r="DZ94" s="330"/>
      <c r="EA94" s="330"/>
      <c r="EB94" s="330"/>
      <c r="EC94" s="330" t="s">
        <v>197</v>
      </c>
      <c r="ED94" s="338" t="s">
        <v>197</v>
      </c>
      <c r="EE94" s="330">
        <v>8</v>
      </c>
      <c r="EF94" s="330">
        <v>16</v>
      </c>
      <c r="EG94" s="330"/>
      <c r="EH94" s="330"/>
      <c r="EI94" s="330"/>
      <c r="EJ94" s="330"/>
      <c r="EK94" s="330"/>
      <c r="EL94" s="330"/>
      <c r="EM94" s="330"/>
      <c r="EN94" s="330"/>
      <c r="EO94" s="330"/>
      <c r="EP94" s="330"/>
      <c r="EQ94" s="332" t="s">
        <v>1051</v>
      </c>
      <c r="ER94" s="330"/>
      <c r="ES94" s="330"/>
      <c r="ET94" s="332"/>
      <c r="EU94" s="332" t="s">
        <v>199</v>
      </c>
      <c r="EV94" s="330"/>
      <c r="EW94" s="330"/>
      <c r="EX94" s="330" t="s">
        <v>200</v>
      </c>
      <c r="EY94" s="330"/>
      <c r="EZ94" s="330" t="s">
        <v>247</v>
      </c>
      <c r="FA94" s="330"/>
      <c r="FB94" s="330" t="s">
        <v>247</v>
      </c>
      <c r="FC94" s="330" t="s">
        <v>202</v>
      </c>
      <c r="FD94" s="332" t="s">
        <v>190</v>
      </c>
      <c r="FE94" s="330"/>
      <c r="FF94" s="330"/>
      <c r="FG94" s="330" t="s">
        <v>203</v>
      </c>
      <c r="FH94" s="330" t="s">
        <v>1052</v>
      </c>
      <c r="FI94" s="330" t="s">
        <v>204</v>
      </c>
      <c r="FJ94" s="330"/>
      <c r="FK94" s="330" t="s">
        <v>1043</v>
      </c>
      <c r="FL94" s="330" t="s">
        <v>191</v>
      </c>
      <c r="FM94" s="330"/>
      <c r="FN94" s="330" t="s">
        <v>1053</v>
      </c>
      <c r="FO94" s="330" t="b">
        <v>1</v>
      </c>
      <c r="FP94" s="330" t="s">
        <v>756</v>
      </c>
      <c r="FQ94" s="330"/>
      <c r="FR94" s="330"/>
      <c r="FS94" s="330"/>
      <c r="FT94" s="330"/>
      <c r="FU94" s="330"/>
    </row>
    <row r="95" spans="1:177" ht="204" x14ac:dyDescent="0.25">
      <c r="A95" s="330">
        <v>94</v>
      </c>
      <c r="B95" s="331" t="s">
        <v>1054</v>
      </c>
      <c r="C95" s="330"/>
      <c r="D95" s="332" t="s">
        <v>1055</v>
      </c>
      <c r="E95" s="332" t="s">
        <v>1056</v>
      </c>
      <c r="F95" s="332" t="s">
        <v>180</v>
      </c>
      <c r="G95" s="330" t="s">
        <v>181</v>
      </c>
      <c r="H95" s="331">
        <v>400</v>
      </c>
      <c r="I95" s="330"/>
      <c r="J95" s="332" t="s">
        <v>1057</v>
      </c>
      <c r="K95" s="332" t="s">
        <v>1058</v>
      </c>
      <c r="L95" s="330" t="s">
        <v>1059</v>
      </c>
      <c r="M95" s="332" t="s">
        <v>1060</v>
      </c>
      <c r="N95" s="330" t="s">
        <v>1061</v>
      </c>
      <c r="O95" s="333" t="s">
        <v>736</v>
      </c>
      <c r="P95" s="333">
        <v>127</v>
      </c>
      <c r="Q95" s="333">
        <v>0</v>
      </c>
      <c r="R95" s="333">
        <v>109</v>
      </c>
      <c r="S95" s="333">
        <v>308</v>
      </c>
      <c r="T95" s="333">
        <v>44</v>
      </c>
      <c r="U95" s="333">
        <v>674</v>
      </c>
      <c r="V95" s="333">
        <v>0</v>
      </c>
      <c r="W95" s="330">
        <v>28</v>
      </c>
      <c r="X95" s="330" t="s">
        <v>1062</v>
      </c>
      <c r="Y95" s="332" t="s">
        <v>1063</v>
      </c>
      <c r="Z95" s="330" t="s">
        <v>739</v>
      </c>
      <c r="AA95" s="330" t="s">
        <v>1064</v>
      </c>
      <c r="AB95" s="330" t="s">
        <v>189</v>
      </c>
      <c r="AC95" s="330"/>
      <c r="AD95" s="330"/>
      <c r="AE95" s="330">
        <v>2</v>
      </c>
      <c r="AF95" s="330">
        <v>-40</v>
      </c>
      <c r="AG95" s="332" t="s">
        <v>190</v>
      </c>
      <c r="AH95" s="332" t="s">
        <v>202</v>
      </c>
      <c r="AI95" s="330" t="s">
        <v>202</v>
      </c>
      <c r="AJ95" s="330" t="s">
        <v>741</v>
      </c>
      <c r="AK95" s="330" t="s">
        <v>202</v>
      </c>
      <c r="AL95" s="330" t="s">
        <v>741</v>
      </c>
      <c r="AM95" s="330" t="s">
        <v>202</v>
      </c>
      <c r="AN95" s="330" t="s">
        <v>741</v>
      </c>
      <c r="AO95" s="330"/>
      <c r="AP95" s="332"/>
      <c r="AQ95" s="330"/>
      <c r="AR95" s="330" t="s">
        <v>334</v>
      </c>
      <c r="AS95" s="330" t="b">
        <v>1</v>
      </c>
      <c r="AT95" s="330"/>
      <c r="AU95" s="332" t="s">
        <v>741</v>
      </c>
      <c r="AV95" s="334">
        <v>46029.648788125</v>
      </c>
      <c r="AW95" s="330"/>
      <c r="AX95" s="335">
        <v>46052</v>
      </c>
      <c r="AY95" s="336">
        <v>46057</v>
      </c>
      <c r="AZ95" s="330" t="b">
        <v>1</v>
      </c>
      <c r="BA95" s="336">
        <v>46073</v>
      </c>
      <c r="BB95" s="336">
        <v>46073</v>
      </c>
      <c r="BC95" s="336">
        <v>46073</v>
      </c>
      <c r="BD95" s="330"/>
      <c r="BE95" s="336">
        <v>46073</v>
      </c>
      <c r="BF95" s="330"/>
      <c r="BG95" s="336">
        <v>46078</v>
      </c>
      <c r="BH95" s="330" t="s">
        <v>193</v>
      </c>
      <c r="BI95" s="330">
        <v>215</v>
      </c>
      <c r="BJ95" s="330"/>
      <c r="BK95" s="330" t="b">
        <v>1</v>
      </c>
      <c r="BL95" s="330" t="s">
        <v>1065</v>
      </c>
      <c r="BM95" s="332" t="s">
        <v>1066</v>
      </c>
      <c r="BN95" s="330" t="s">
        <v>1067</v>
      </c>
      <c r="BO95" s="330" t="s">
        <v>629</v>
      </c>
      <c r="BP95" s="330" t="s">
        <v>184</v>
      </c>
      <c r="BQ95" s="330" t="s">
        <v>218</v>
      </c>
      <c r="BR95" s="330" t="s">
        <v>220</v>
      </c>
      <c r="BS95" s="330"/>
      <c r="BT95" s="330" t="s">
        <v>220</v>
      </c>
      <c r="BU95" s="330"/>
      <c r="BV95" s="330" t="s">
        <v>193</v>
      </c>
      <c r="BW95" s="330" t="s">
        <v>1068</v>
      </c>
      <c r="BX95" s="332"/>
      <c r="BY95" s="330"/>
      <c r="BZ95" s="330"/>
      <c r="CA95" s="330"/>
      <c r="CB95" s="330"/>
      <c r="CC95" s="337" t="s">
        <v>744</v>
      </c>
      <c r="CD95" s="330" t="b">
        <v>1</v>
      </c>
      <c r="CE95" s="330" t="b">
        <v>1</v>
      </c>
      <c r="CF95" s="330"/>
      <c r="CG95" s="330"/>
      <c r="CH95" s="330"/>
      <c r="CI95" s="330"/>
      <c r="CJ95" s="330"/>
      <c r="CK95" s="330"/>
      <c r="CL95" s="330" t="b">
        <v>1</v>
      </c>
      <c r="CM95" s="330" t="s">
        <v>745</v>
      </c>
      <c r="CN95" s="330"/>
      <c r="CO95" s="330"/>
      <c r="CP95" s="330"/>
      <c r="CQ95" s="330"/>
      <c r="CR95" s="330"/>
      <c r="CS95" s="330" t="b">
        <v>1</v>
      </c>
      <c r="CT95" s="330"/>
      <c r="CU95" s="330" t="b">
        <v>1</v>
      </c>
      <c r="CV95" s="330"/>
      <c r="CW95" s="330"/>
      <c r="CX95" s="330"/>
      <c r="CY95" s="330"/>
      <c r="CZ95" s="330"/>
      <c r="DA95" s="330"/>
      <c r="DB95" s="330" t="b">
        <v>1</v>
      </c>
      <c r="DC95" s="330" t="b">
        <v>1</v>
      </c>
      <c r="DD95" s="330"/>
      <c r="DE95" s="330"/>
      <c r="DF95" s="338">
        <v>24081</v>
      </c>
      <c r="DG95" s="330" t="s">
        <v>221</v>
      </c>
      <c r="DH95" s="330"/>
      <c r="DI95" s="338" t="s">
        <v>196</v>
      </c>
      <c r="DJ95" s="330"/>
      <c r="DK95" s="330">
        <v>1</v>
      </c>
      <c r="DL95" s="330" t="s">
        <v>1069</v>
      </c>
      <c r="DM95" s="330"/>
      <c r="DN95" s="330"/>
      <c r="DO95" s="330"/>
      <c r="DP95" s="330"/>
      <c r="DQ95" s="338" t="s">
        <v>197</v>
      </c>
      <c r="DR95" s="330"/>
      <c r="DS95" s="330"/>
      <c r="DT95" s="330"/>
      <c r="DU95" s="338" t="s">
        <v>197</v>
      </c>
      <c r="DV95" s="330"/>
      <c r="DW95" s="330"/>
      <c r="DX95" s="330"/>
      <c r="DY95" s="338" t="s">
        <v>197</v>
      </c>
      <c r="DZ95" s="330"/>
      <c r="EA95" s="330"/>
      <c r="EB95" s="330"/>
      <c r="EC95" s="330" t="s">
        <v>197</v>
      </c>
      <c r="ED95" s="338" t="s">
        <v>197</v>
      </c>
      <c r="EE95" s="330">
        <v>40</v>
      </c>
      <c r="EF95" s="330">
        <v>170</v>
      </c>
      <c r="EG95" s="330"/>
      <c r="EH95" s="330"/>
      <c r="EI95" s="330"/>
      <c r="EJ95" s="330"/>
      <c r="EK95" s="330"/>
      <c r="EL95" s="330"/>
      <c r="EM95" s="330"/>
      <c r="EN95" s="330"/>
      <c r="EO95" s="330"/>
      <c r="EP95" s="330"/>
      <c r="EQ95" s="332" t="s">
        <v>198</v>
      </c>
      <c r="ER95" s="330"/>
      <c r="ES95" s="330"/>
      <c r="ET95" s="332" t="s">
        <v>89</v>
      </c>
      <c r="EU95" s="332" t="s">
        <v>1070</v>
      </c>
      <c r="EV95" s="336">
        <v>46056</v>
      </c>
      <c r="EW95" s="336">
        <v>46057</v>
      </c>
      <c r="EX95" s="330">
        <v>2</v>
      </c>
      <c r="EY95" s="330"/>
      <c r="EZ95" s="330" t="s">
        <v>247</v>
      </c>
      <c r="FA95" s="330"/>
      <c r="FB95" s="330" t="s">
        <v>247</v>
      </c>
      <c r="FC95" s="330" t="s">
        <v>202</v>
      </c>
      <c r="FD95" s="332" t="s">
        <v>190</v>
      </c>
      <c r="FE95" s="330"/>
      <c r="FF95" s="330"/>
      <c r="FG95" s="330" t="s">
        <v>203</v>
      </c>
      <c r="FH95" s="330" t="s">
        <v>1071</v>
      </c>
      <c r="FI95" s="330" t="s">
        <v>204</v>
      </c>
      <c r="FJ95" s="330"/>
      <c r="FK95" s="330" t="s">
        <v>180</v>
      </c>
      <c r="FL95" s="330" t="s">
        <v>741</v>
      </c>
      <c r="FM95" s="330" t="s">
        <v>202</v>
      </c>
      <c r="FN95" s="330" t="s">
        <v>1072</v>
      </c>
      <c r="FO95" s="330" t="b">
        <v>1</v>
      </c>
      <c r="FP95" s="330" t="s">
        <v>528</v>
      </c>
      <c r="FQ95" s="330"/>
      <c r="FR95" s="330"/>
      <c r="FS95" s="330"/>
      <c r="FT95" s="330"/>
      <c r="FU95" s="330"/>
    </row>
    <row r="96" spans="1:177" ht="204" x14ac:dyDescent="0.25">
      <c r="A96" s="330">
        <v>95</v>
      </c>
      <c r="B96" s="331" t="s">
        <v>1073</v>
      </c>
      <c r="C96" s="330"/>
      <c r="D96" s="332" t="s">
        <v>1055</v>
      </c>
      <c r="E96" s="332" t="s">
        <v>1056</v>
      </c>
      <c r="F96" s="332" t="s">
        <v>180</v>
      </c>
      <c r="G96" s="330" t="s">
        <v>181</v>
      </c>
      <c r="H96" s="331">
        <v>400</v>
      </c>
      <c r="I96" s="330"/>
      <c r="J96" s="332" t="s">
        <v>1074</v>
      </c>
      <c r="K96" s="332" t="s">
        <v>1075</v>
      </c>
      <c r="L96" s="330" t="s">
        <v>1076</v>
      </c>
      <c r="M96" s="332" t="s">
        <v>1077</v>
      </c>
      <c r="N96" s="330" t="s">
        <v>1078</v>
      </c>
      <c r="O96" s="333" t="s">
        <v>736</v>
      </c>
      <c r="P96" s="333">
        <v>250</v>
      </c>
      <c r="Q96" s="333">
        <v>0</v>
      </c>
      <c r="R96" s="333">
        <v>123</v>
      </c>
      <c r="S96" s="333">
        <v>349</v>
      </c>
      <c r="T96" s="333">
        <v>57</v>
      </c>
      <c r="U96" s="333">
        <v>750</v>
      </c>
      <c r="V96" s="333">
        <v>0</v>
      </c>
      <c r="W96" s="330">
        <v>46</v>
      </c>
      <c r="X96" s="330" t="s">
        <v>1079</v>
      </c>
      <c r="Y96" s="332" t="s">
        <v>1063</v>
      </c>
      <c r="Z96" s="330" t="s">
        <v>739</v>
      </c>
      <c r="AA96" s="330" t="s">
        <v>1064</v>
      </c>
      <c r="AB96" s="330" t="s">
        <v>189</v>
      </c>
      <c r="AC96" s="330"/>
      <c r="AD96" s="330"/>
      <c r="AE96" s="330">
        <v>3</v>
      </c>
      <c r="AF96" s="330">
        <v>-39</v>
      </c>
      <c r="AG96" s="332" t="s">
        <v>190</v>
      </c>
      <c r="AH96" s="332" t="s">
        <v>202</v>
      </c>
      <c r="AI96" s="330" t="s">
        <v>202</v>
      </c>
      <c r="AJ96" s="330" t="s">
        <v>742</v>
      </c>
      <c r="AK96" s="330" t="s">
        <v>202</v>
      </c>
      <c r="AL96" s="330" t="s">
        <v>742</v>
      </c>
      <c r="AM96" s="330" t="s">
        <v>202</v>
      </c>
      <c r="AN96" s="330" t="s">
        <v>742</v>
      </c>
      <c r="AO96" s="330"/>
      <c r="AP96" s="332"/>
      <c r="AQ96" s="330"/>
      <c r="AR96" s="330" t="s">
        <v>334</v>
      </c>
      <c r="AS96" s="330" t="b">
        <v>1</v>
      </c>
      <c r="AT96" s="330"/>
      <c r="AU96" s="332" t="s">
        <v>742</v>
      </c>
      <c r="AV96" s="334">
        <v>46029.657161331015</v>
      </c>
      <c r="AW96" s="330"/>
      <c r="AX96" s="335">
        <v>46052</v>
      </c>
      <c r="AY96" s="336">
        <v>46058</v>
      </c>
      <c r="AZ96" s="330" t="b">
        <v>1</v>
      </c>
      <c r="BA96" s="336">
        <v>46076</v>
      </c>
      <c r="BB96" s="336">
        <v>46073</v>
      </c>
      <c r="BC96" s="336">
        <v>46073</v>
      </c>
      <c r="BD96" s="330"/>
      <c r="BE96" s="336">
        <v>46073</v>
      </c>
      <c r="BF96" s="330"/>
      <c r="BG96" s="336">
        <v>46078</v>
      </c>
      <c r="BH96" s="330" t="s">
        <v>193</v>
      </c>
      <c r="BI96" s="330">
        <v>215</v>
      </c>
      <c r="BJ96" s="330"/>
      <c r="BK96" s="330" t="b">
        <v>1</v>
      </c>
      <c r="BL96" s="330" t="s">
        <v>1065</v>
      </c>
      <c r="BM96" s="332" t="s">
        <v>1080</v>
      </c>
      <c r="BN96" s="330" t="s">
        <v>1067</v>
      </c>
      <c r="BO96" s="330" t="s">
        <v>629</v>
      </c>
      <c r="BP96" s="330" t="s">
        <v>184</v>
      </c>
      <c r="BQ96" s="330" t="s">
        <v>218</v>
      </c>
      <c r="BR96" s="330" t="s">
        <v>220</v>
      </c>
      <c r="BS96" s="330"/>
      <c r="BT96" s="330" t="s">
        <v>220</v>
      </c>
      <c r="BU96" s="330"/>
      <c r="BV96" s="330" t="s">
        <v>193</v>
      </c>
      <c r="BW96" s="330" t="s">
        <v>1081</v>
      </c>
      <c r="BX96" s="332"/>
      <c r="BY96" s="330"/>
      <c r="BZ96" s="330"/>
      <c r="CA96" s="330"/>
      <c r="CB96" s="330"/>
      <c r="CC96" s="337" t="s">
        <v>744</v>
      </c>
      <c r="CD96" s="330" t="b">
        <v>1</v>
      </c>
      <c r="CE96" s="330" t="b">
        <v>1</v>
      </c>
      <c r="CF96" s="330"/>
      <c r="CG96" s="330"/>
      <c r="CH96" s="330"/>
      <c r="CI96" s="330"/>
      <c r="CJ96" s="330"/>
      <c r="CK96" s="330"/>
      <c r="CL96" s="330" t="b">
        <v>1</v>
      </c>
      <c r="CM96" s="330" t="s">
        <v>745</v>
      </c>
      <c r="CN96" s="330"/>
      <c r="CO96" s="330"/>
      <c r="CP96" s="330"/>
      <c r="CQ96" s="330"/>
      <c r="CR96" s="330"/>
      <c r="CS96" s="330" t="b">
        <v>1</v>
      </c>
      <c r="CT96" s="330"/>
      <c r="CU96" s="330" t="b">
        <v>1</v>
      </c>
      <c r="CV96" s="330"/>
      <c r="CW96" s="330"/>
      <c r="CX96" s="330"/>
      <c r="CY96" s="330"/>
      <c r="CZ96" s="330"/>
      <c r="DA96" s="330"/>
      <c r="DB96" s="330"/>
      <c r="DC96" s="330" t="b">
        <v>1</v>
      </c>
      <c r="DD96" s="330"/>
      <c r="DE96" s="330"/>
      <c r="DF96" s="338">
        <v>24081</v>
      </c>
      <c r="DG96" s="330" t="s">
        <v>221</v>
      </c>
      <c r="DH96" s="330"/>
      <c r="DI96" s="338" t="s">
        <v>638</v>
      </c>
      <c r="DJ96" s="330"/>
      <c r="DK96" s="330">
        <v>2</v>
      </c>
      <c r="DL96" s="330" t="s">
        <v>1069</v>
      </c>
      <c r="DM96" s="330"/>
      <c r="DN96" s="330"/>
      <c r="DO96" s="330"/>
      <c r="DP96" s="330"/>
      <c r="DQ96" s="338" t="s">
        <v>197</v>
      </c>
      <c r="DR96" s="330"/>
      <c r="DS96" s="330"/>
      <c r="DT96" s="330"/>
      <c r="DU96" s="338" t="s">
        <v>197</v>
      </c>
      <c r="DV96" s="330"/>
      <c r="DW96" s="330"/>
      <c r="DX96" s="330"/>
      <c r="DY96" s="338" t="s">
        <v>197</v>
      </c>
      <c r="DZ96" s="330"/>
      <c r="EA96" s="330"/>
      <c r="EB96" s="330"/>
      <c r="EC96" s="330" t="s">
        <v>197</v>
      </c>
      <c r="ED96" s="338" t="s">
        <v>197</v>
      </c>
      <c r="EE96" s="330">
        <v>42</v>
      </c>
      <c r="EF96" s="330">
        <v>195</v>
      </c>
      <c r="EG96" s="330"/>
      <c r="EH96" s="330"/>
      <c r="EI96" s="330"/>
      <c r="EJ96" s="330"/>
      <c r="EK96" s="330"/>
      <c r="EL96" s="330"/>
      <c r="EM96" s="330"/>
      <c r="EN96" s="330"/>
      <c r="EO96" s="330"/>
      <c r="EP96" s="330"/>
      <c r="EQ96" s="332" t="s">
        <v>198</v>
      </c>
      <c r="ER96" s="330"/>
      <c r="ES96" s="330"/>
      <c r="ET96" s="332" t="s">
        <v>89</v>
      </c>
      <c r="EU96" s="332" t="s">
        <v>1082</v>
      </c>
      <c r="EV96" s="336">
        <v>46057</v>
      </c>
      <c r="EW96" s="336">
        <v>46058</v>
      </c>
      <c r="EX96" s="330">
        <v>2</v>
      </c>
      <c r="EY96" s="330"/>
      <c r="EZ96" s="330" t="s">
        <v>247</v>
      </c>
      <c r="FA96" s="330"/>
      <c r="FB96" s="330" t="s">
        <v>247</v>
      </c>
      <c r="FC96" s="330" t="s">
        <v>202</v>
      </c>
      <c r="FD96" s="332" t="s">
        <v>190</v>
      </c>
      <c r="FE96" s="330"/>
      <c r="FF96" s="330"/>
      <c r="FG96" s="330" t="s">
        <v>203</v>
      </c>
      <c r="FH96" s="330" t="s">
        <v>1071</v>
      </c>
      <c r="FI96" s="330" t="s">
        <v>204</v>
      </c>
      <c r="FJ96" s="330"/>
      <c r="FK96" s="330" t="s">
        <v>180</v>
      </c>
      <c r="FL96" s="330" t="s">
        <v>742</v>
      </c>
      <c r="FM96" s="330" t="s">
        <v>202</v>
      </c>
      <c r="FN96" s="330" t="s">
        <v>1083</v>
      </c>
      <c r="FO96" s="330" t="b">
        <v>1</v>
      </c>
      <c r="FP96" s="330" t="s">
        <v>528</v>
      </c>
      <c r="FQ96" s="330"/>
      <c r="FR96" s="330"/>
      <c r="FS96" s="330"/>
      <c r="FT96" s="330"/>
      <c r="FU96" s="330"/>
    </row>
    <row r="97" spans="1:177" ht="204" x14ac:dyDescent="0.25">
      <c r="A97" s="330">
        <v>96</v>
      </c>
      <c r="B97" s="331" t="s">
        <v>1084</v>
      </c>
      <c r="C97" s="330"/>
      <c r="D97" s="332" t="s">
        <v>1055</v>
      </c>
      <c r="E97" s="332" t="s">
        <v>1056</v>
      </c>
      <c r="F97" s="332" t="s">
        <v>180</v>
      </c>
      <c r="G97" s="330" t="s">
        <v>181</v>
      </c>
      <c r="H97" s="331">
        <v>400</v>
      </c>
      <c r="I97" s="330"/>
      <c r="J97" s="332" t="s">
        <v>1074</v>
      </c>
      <c r="K97" s="332" t="s">
        <v>1085</v>
      </c>
      <c r="L97" s="330" t="s">
        <v>1076</v>
      </c>
      <c r="M97" s="332" t="s">
        <v>1086</v>
      </c>
      <c r="N97" s="330" t="s">
        <v>1087</v>
      </c>
      <c r="O97" s="333" t="s">
        <v>736</v>
      </c>
      <c r="P97" s="333">
        <v>274</v>
      </c>
      <c r="Q97" s="333">
        <v>0</v>
      </c>
      <c r="R97" s="333">
        <v>24</v>
      </c>
      <c r="S97" s="333">
        <v>88</v>
      </c>
      <c r="T97" s="333">
        <v>19</v>
      </c>
      <c r="U97" s="333">
        <v>172</v>
      </c>
      <c r="V97" s="333">
        <v>0</v>
      </c>
      <c r="W97" s="330">
        <v>7</v>
      </c>
      <c r="X97" s="330" t="s">
        <v>1088</v>
      </c>
      <c r="Y97" s="332" t="s">
        <v>1063</v>
      </c>
      <c r="Z97" s="330" t="s">
        <v>739</v>
      </c>
      <c r="AA97" s="330" t="s">
        <v>1064</v>
      </c>
      <c r="AB97" s="330" t="s">
        <v>189</v>
      </c>
      <c r="AC97" s="330"/>
      <c r="AD97" s="330"/>
      <c r="AE97" s="330">
        <v>5</v>
      </c>
      <c r="AF97" s="330">
        <v>-37</v>
      </c>
      <c r="AG97" s="332" t="s">
        <v>190</v>
      </c>
      <c r="AH97" s="332" t="s">
        <v>202</v>
      </c>
      <c r="AI97" s="330" t="s">
        <v>202</v>
      </c>
      <c r="AJ97" s="330" t="s">
        <v>741</v>
      </c>
      <c r="AK97" s="330" t="s">
        <v>202</v>
      </c>
      <c r="AL97" s="330" t="s">
        <v>741</v>
      </c>
      <c r="AM97" s="330" t="s">
        <v>202</v>
      </c>
      <c r="AN97" s="330" t="s">
        <v>741</v>
      </c>
      <c r="AO97" s="330"/>
      <c r="AP97" s="332"/>
      <c r="AQ97" s="330"/>
      <c r="AR97" s="330" t="s">
        <v>334</v>
      </c>
      <c r="AS97" s="330" t="b">
        <v>1</v>
      </c>
      <c r="AT97" s="330"/>
      <c r="AU97" s="332" t="s">
        <v>741</v>
      </c>
      <c r="AV97" s="334">
        <v>46029.6621915625</v>
      </c>
      <c r="AW97" s="330"/>
      <c r="AX97" s="335">
        <v>46052</v>
      </c>
      <c r="AY97" s="336">
        <v>46062</v>
      </c>
      <c r="AZ97" s="330" t="b">
        <v>1</v>
      </c>
      <c r="BA97" s="336">
        <v>46078</v>
      </c>
      <c r="BB97" s="336">
        <v>46080</v>
      </c>
      <c r="BC97" s="336">
        <v>46073</v>
      </c>
      <c r="BD97" s="330"/>
      <c r="BE97" s="336">
        <v>46073</v>
      </c>
      <c r="BF97" s="330"/>
      <c r="BG97" s="336">
        <v>46084</v>
      </c>
      <c r="BH97" s="330" t="s">
        <v>193</v>
      </c>
      <c r="BI97" s="330">
        <v>215</v>
      </c>
      <c r="BJ97" s="330"/>
      <c r="BK97" s="330" t="b">
        <v>1</v>
      </c>
      <c r="BL97" s="330" t="s">
        <v>1065</v>
      </c>
      <c r="BM97" s="332" t="s">
        <v>1080</v>
      </c>
      <c r="BN97" s="330" t="s">
        <v>1067</v>
      </c>
      <c r="BO97" s="330" t="s">
        <v>629</v>
      </c>
      <c r="BP97" s="330" t="s">
        <v>184</v>
      </c>
      <c r="BQ97" s="330" t="s">
        <v>218</v>
      </c>
      <c r="BR97" s="330" t="s">
        <v>220</v>
      </c>
      <c r="BS97" s="330"/>
      <c r="BT97" s="330" t="s">
        <v>220</v>
      </c>
      <c r="BU97" s="330"/>
      <c r="BV97" s="330" t="s">
        <v>193</v>
      </c>
      <c r="BW97" s="330" t="s">
        <v>1089</v>
      </c>
      <c r="BX97" s="332"/>
      <c r="BY97" s="330"/>
      <c r="BZ97" s="330"/>
      <c r="CA97" s="330"/>
      <c r="CB97" s="330"/>
      <c r="CC97" s="337" t="s">
        <v>744</v>
      </c>
      <c r="CD97" s="330" t="b">
        <v>1</v>
      </c>
      <c r="CE97" s="330" t="b">
        <v>1</v>
      </c>
      <c r="CF97" s="330"/>
      <c r="CG97" s="330"/>
      <c r="CH97" s="330"/>
      <c r="CI97" s="330"/>
      <c r="CJ97" s="330"/>
      <c r="CK97" s="330"/>
      <c r="CL97" s="330" t="b">
        <v>1</v>
      </c>
      <c r="CM97" s="330" t="s">
        <v>745</v>
      </c>
      <c r="CN97" s="330"/>
      <c r="CO97" s="330"/>
      <c r="CP97" s="330"/>
      <c r="CQ97" s="330"/>
      <c r="CR97" s="330"/>
      <c r="CS97" s="330" t="b">
        <v>1</v>
      </c>
      <c r="CT97" s="330"/>
      <c r="CU97" s="330"/>
      <c r="CV97" s="330"/>
      <c r="CW97" s="330"/>
      <c r="CX97" s="330"/>
      <c r="CY97" s="330"/>
      <c r="CZ97" s="330"/>
      <c r="DA97" s="330"/>
      <c r="DB97" s="330" t="b">
        <v>1</v>
      </c>
      <c r="DC97" s="330" t="b">
        <v>1</v>
      </c>
      <c r="DD97" s="330"/>
      <c r="DE97" s="330"/>
      <c r="DF97" s="338">
        <v>24081</v>
      </c>
      <c r="DG97" s="330" t="s">
        <v>221</v>
      </c>
      <c r="DH97" s="330"/>
      <c r="DI97" s="338" t="s">
        <v>746</v>
      </c>
      <c r="DJ97" s="330"/>
      <c r="DK97" s="330">
        <v>3</v>
      </c>
      <c r="DL97" s="330" t="s">
        <v>1069</v>
      </c>
      <c r="DM97" s="330"/>
      <c r="DN97" s="330"/>
      <c r="DO97" s="330"/>
      <c r="DP97" s="330"/>
      <c r="DQ97" s="338" t="s">
        <v>197</v>
      </c>
      <c r="DR97" s="330"/>
      <c r="DS97" s="330"/>
      <c r="DT97" s="330"/>
      <c r="DU97" s="338" t="s">
        <v>197</v>
      </c>
      <c r="DV97" s="330"/>
      <c r="DW97" s="330"/>
      <c r="DX97" s="330"/>
      <c r="DY97" s="338" t="s">
        <v>197</v>
      </c>
      <c r="DZ97" s="330"/>
      <c r="EA97" s="330"/>
      <c r="EB97" s="330"/>
      <c r="EC97" s="330" t="s">
        <v>197</v>
      </c>
      <c r="ED97" s="338" t="s">
        <v>197</v>
      </c>
      <c r="EE97" s="330">
        <v>10</v>
      </c>
      <c r="EF97" s="330">
        <v>40</v>
      </c>
      <c r="EG97" s="330"/>
      <c r="EH97" s="330"/>
      <c r="EI97" s="330"/>
      <c r="EJ97" s="330"/>
      <c r="EK97" s="330"/>
      <c r="EL97" s="330"/>
      <c r="EM97" s="330"/>
      <c r="EN97" s="330"/>
      <c r="EO97" s="330"/>
      <c r="EP97" s="330"/>
      <c r="EQ97" s="332" t="s">
        <v>198</v>
      </c>
      <c r="ER97" s="330"/>
      <c r="ES97" s="330"/>
      <c r="ET97" s="332" t="s">
        <v>89</v>
      </c>
      <c r="EU97" s="332" t="s">
        <v>1090</v>
      </c>
      <c r="EV97" s="336">
        <v>46059</v>
      </c>
      <c r="EW97" s="336">
        <v>46059</v>
      </c>
      <c r="EX97" s="330">
        <v>1</v>
      </c>
      <c r="EY97" s="330"/>
      <c r="EZ97" s="330" t="s">
        <v>201</v>
      </c>
      <c r="FA97" s="336">
        <v>46075</v>
      </c>
      <c r="FB97" s="330">
        <v>5</v>
      </c>
      <c r="FC97" s="330" t="s">
        <v>202</v>
      </c>
      <c r="FD97" s="332" t="s">
        <v>190</v>
      </c>
      <c r="FE97" s="336">
        <v>46080</v>
      </c>
      <c r="FF97" s="330"/>
      <c r="FG97" s="330" t="s">
        <v>203</v>
      </c>
      <c r="FH97" s="330" t="s">
        <v>1091</v>
      </c>
      <c r="FI97" s="330" t="s">
        <v>204</v>
      </c>
      <c r="FJ97" s="330"/>
      <c r="FK97" s="330" t="s">
        <v>180</v>
      </c>
      <c r="FL97" s="330" t="s">
        <v>741</v>
      </c>
      <c r="FM97" s="330" t="s">
        <v>202</v>
      </c>
      <c r="FN97" s="330" t="s">
        <v>1092</v>
      </c>
      <c r="FO97" s="330" t="b">
        <v>1</v>
      </c>
      <c r="FP97" s="330" t="s">
        <v>528</v>
      </c>
      <c r="FQ97" s="330"/>
      <c r="FR97" s="330"/>
      <c r="FS97" s="330"/>
      <c r="FT97" s="330"/>
      <c r="FU97" s="330"/>
    </row>
    <row r="98" spans="1:177" ht="204" x14ac:dyDescent="0.25">
      <c r="A98" s="330">
        <v>97</v>
      </c>
      <c r="B98" s="331" t="s">
        <v>1093</v>
      </c>
      <c r="C98" s="330"/>
      <c r="D98" s="332" t="s">
        <v>1055</v>
      </c>
      <c r="E98" s="332" t="s">
        <v>1056</v>
      </c>
      <c r="F98" s="332" t="s">
        <v>180</v>
      </c>
      <c r="G98" s="330" t="s">
        <v>181</v>
      </c>
      <c r="H98" s="331">
        <v>400</v>
      </c>
      <c r="I98" s="330"/>
      <c r="J98" s="332" t="s">
        <v>1074</v>
      </c>
      <c r="K98" s="332" t="s">
        <v>1094</v>
      </c>
      <c r="L98" s="330" t="s">
        <v>1076</v>
      </c>
      <c r="M98" s="332" t="s">
        <v>1095</v>
      </c>
      <c r="N98" s="330" t="s">
        <v>1096</v>
      </c>
      <c r="O98" s="333" t="s">
        <v>736</v>
      </c>
      <c r="P98" s="333">
        <v>368</v>
      </c>
      <c r="Q98" s="333">
        <v>0</v>
      </c>
      <c r="R98" s="333">
        <v>94</v>
      </c>
      <c r="S98" s="333">
        <v>243</v>
      </c>
      <c r="T98" s="333">
        <v>63</v>
      </c>
      <c r="U98" s="333">
        <v>483</v>
      </c>
      <c r="V98" s="333">
        <v>0</v>
      </c>
      <c r="W98" s="330">
        <v>24</v>
      </c>
      <c r="X98" s="330" t="s">
        <v>1097</v>
      </c>
      <c r="Y98" s="332" t="s">
        <v>1063</v>
      </c>
      <c r="Z98" s="330" t="s">
        <v>739</v>
      </c>
      <c r="AA98" s="330" t="s">
        <v>1064</v>
      </c>
      <c r="AB98" s="330" t="s">
        <v>189</v>
      </c>
      <c r="AC98" s="330"/>
      <c r="AD98" s="330"/>
      <c r="AE98" s="330">
        <v>8</v>
      </c>
      <c r="AF98" s="330">
        <v>-36</v>
      </c>
      <c r="AG98" s="332" t="s">
        <v>190</v>
      </c>
      <c r="AH98" s="332" t="s">
        <v>202</v>
      </c>
      <c r="AI98" s="330" t="s">
        <v>202</v>
      </c>
      <c r="AJ98" s="330" t="s">
        <v>741</v>
      </c>
      <c r="AK98" s="330" t="s">
        <v>202</v>
      </c>
      <c r="AL98" s="330" t="s">
        <v>741</v>
      </c>
      <c r="AM98" s="330" t="s">
        <v>202</v>
      </c>
      <c r="AN98" s="330" t="s">
        <v>741</v>
      </c>
      <c r="AO98" s="330"/>
      <c r="AP98" s="332"/>
      <c r="AQ98" s="330"/>
      <c r="AR98" s="330" t="s">
        <v>334</v>
      </c>
      <c r="AS98" s="330" t="b">
        <v>1</v>
      </c>
      <c r="AT98" s="330"/>
      <c r="AU98" s="332"/>
      <c r="AV98" s="334">
        <v>46029.664981215275</v>
      </c>
      <c r="AW98" s="330"/>
      <c r="AX98" s="335">
        <v>46052</v>
      </c>
      <c r="AY98" s="336">
        <v>46063</v>
      </c>
      <c r="AZ98" s="330" t="b">
        <v>1</v>
      </c>
      <c r="BA98" s="336">
        <v>46079</v>
      </c>
      <c r="BB98" s="336">
        <v>46073</v>
      </c>
      <c r="BC98" s="336">
        <v>46073</v>
      </c>
      <c r="BD98" s="330"/>
      <c r="BE98" s="336">
        <v>46073</v>
      </c>
      <c r="BF98" s="330"/>
      <c r="BG98" s="336">
        <v>46084</v>
      </c>
      <c r="BH98" s="330" t="s">
        <v>193</v>
      </c>
      <c r="BI98" s="330">
        <v>215</v>
      </c>
      <c r="BJ98" s="330"/>
      <c r="BK98" s="330" t="b">
        <v>1</v>
      </c>
      <c r="BL98" s="330" t="s">
        <v>1065</v>
      </c>
      <c r="BM98" s="332" t="s">
        <v>1080</v>
      </c>
      <c r="BN98" s="330" t="s">
        <v>1067</v>
      </c>
      <c r="BO98" s="330" t="s">
        <v>629</v>
      </c>
      <c r="BP98" s="330" t="s">
        <v>184</v>
      </c>
      <c r="BQ98" s="330" t="s">
        <v>218</v>
      </c>
      <c r="BR98" s="330" t="s">
        <v>220</v>
      </c>
      <c r="BS98" s="330"/>
      <c r="BT98" s="330" t="s">
        <v>220</v>
      </c>
      <c r="BU98" s="330"/>
      <c r="BV98" s="330" t="s">
        <v>193</v>
      </c>
      <c r="BW98" s="330" t="s">
        <v>1098</v>
      </c>
      <c r="BX98" s="332"/>
      <c r="BY98" s="330"/>
      <c r="BZ98" s="330"/>
      <c r="CA98" s="330"/>
      <c r="CB98" s="330"/>
      <c r="CC98" s="337" t="s">
        <v>744</v>
      </c>
      <c r="CD98" s="330" t="b">
        <v>1</v>
      </c>
      <c r="CE98" s="330" t="b">
        <v>1</v>
      </c>
      <c r="CF98" s="330"/>
      <c r="CG98" s="330"/>
      <c r="CH98" s="330"/>
      <c r="CI98" s="330"/>
      <c r="CJ98" s="330"/>
      <c r="CK98" s="330"/>
      <c r="CL98" s="330" t="b">
        <v>1</v>
      </c>
      <c r="CM98" s="330" t="s">
        <v>745</v>
      </c>
      <c r="CN98" s="330"/>
      <c r="CO98" s="330"/>
      <c r="CP98" s="330"/>
      <c r="CQ98" s="330"/>
      <c r="CR98" s="330"/>
      <c r="CS98" s="330" t="b">
        <v>1</v>
      </c>
      <c r="CT98" s="330"/>
      <c r="CU98" s="330" t="b">
        <v>1</v>
      </c>
      <c r="CV98" s="330"/>
      <c r="CW98" s="330"/>
      <c r="CX98" s="330"/>
      <c r="CY98" s="330"/>
      <c r="CZ98" s="330"/>
      <c r="DA98" s="330"/>
      <c r="DB98" s="330" t="b">
        <v>1</v>
      </c>
      <c r="DC98" s="330" t="b">
        <v>1</v>
      </c>
      <c r="DD98" s="330"/>
      <c r="DE98" s="330"/>
      <c r="DF98" s="338">
        <v>24081</v>
      </c>
      <c r="DG98" s="330" t="s">
        <v>221</v>
      </c>
      <c r="DH98" s="330"/>
      <c r="DI98" s="338" t="s">
        <v>754</v>
      </c>
      <c r="DJ98" s="330"/>
      <c r="DK98" s="330">
        <v>4</v>
      </c>
      <c r="DL98" s="330" t="s">
        <v>1069</v>
      </c>
      <c r="DM98" s="330"/>
      <c r="DN98" s="330"/>
      <c r="DO98" s="330"/>
      <c r="DP98" s="330"/>
      <c r="DQ98" s="338" t="s">
        <v>197</v>
      </c>
      <c r="DR98" s="330"/>
      <c r="DS98" s="330"/>
      <c r="DT98" s="330"/>
      <c r="DU98" s="338" t="s">
        <v>197</v>
      </c>
      <c r="DV98" s="330"/>
      <c r="DW98" s="330"/>
      <c r="DX98" s="330"/>
      <c r="DY98" s="338" t="s">
        <v>197</v>
      </c>
      <c r="DZ98" s="330"/>
      <c r="EA98" s="330"/>
      <c r="EB98" s="330"/>
      <c r="EC98" s="330" t="s">
        <v>197</v>
      </c>
      <c r="ED98" s="338" t="s">
        <v>197</v>
      </c>
      <c r="EE98" s="330">
        <v>35</v>
      </c>
      <c r="EF98" s="330">
        <v>150</v>
      </c>
      <c r="EG98" s="330"/>
      <c r="EH98" s="330"/>
      <c r="EI98" s="330"/>
      <c r="EJ98" s="330"/>
      <c r="EK98" s="330"/>
      <c r="EL98" s="330"/>
      <c r="EM98" s="330"/>
      <c r="EN98" s="330"/>
      <c r="EO98" s="330"/>
      <c r="EP98" s="330"/>
      <c r="EQ98" s="332" t="s">
        <v>198</v>
      </c>
      <c r="ER98" s="330"/>
      <c r="ES98" s="330"/>
      <c r="ET98" s="332" t="s">
        <v>89</v>
      </c>
      <c r="EU98" s="332" t="s">
        <v>1070</v>
      </c>
      <c r="EV98" s="336">
        <v>46062</v>
      </c>
      <c r="EW98" s="336">
        <v>46063</v>
      </c>
      <c r="EX98" s="330">
        <v>2</v>
      </c>
      <c r="EY98" s="330"/>
      <c r="EZ98" s="330" t="s">
        <v>201</v>
      </c>
      <c r="FA98" s="336">
        <v>46078</v>
      </c>
      <c r="FB98" s="330">
        <v>5</v>
      </c>
      <c r="FC98" s="330" t="s">
        <v>202</v>
      </c>
      <c r="FD98" s="332" t="s">
        <v>190</v>
      </c>
      <c r="FE98" s="336">
        <v>46084</v>
      </c>
      <c r="FF98" s="330"/>
      <c r="FG98" s="330" t="s">
        <v>203</v>
      </c>
      <c r="FH98" s="330" t="s">
        <v>1099</v>
      </c>
      <c r="FI98" s="330" t="s">
        <v>204</v>
      </c>
      <c r="FJ98" s="330"/>
      <c r="FK98" s="330" t="s">
        <v>180</v>
      </c>
      <c r="FL98" s="330" t="s">
        <v>741</v>
      </c>
      <c r="FM98" s="330" t="s">
        <v>202</v>
      </c>
      <c r="FN98" s="330" t="s">
        <v>1100</v>
      </c>
      <c r="FO98" s="330" t="b">
        <v>1</v>
      </c>
      <c r="FP98" s="330" t="s">
        <v>528</v>
      </c>
      <c r="FQ98" s="330"/>
      <c r="FR98" s="330"/>
      <c r="FS98" s="330"/>
      <c r="FT98" s="330"/>
      <c r="FU98" s="330"/>
    </row>
    <row r="99" spans="1:177" ht="242.25" x14ac:dyDescent="0.25">
      <c r="A99" s="330">
        <v>98</v>
      </c>
      <c r="B99" s="331" t="s">
        <v>1069</v>
      </c>
      <c r="C99" s="330"/>
      <c r="D99" s="332" t="s">
        <v>1055</v>
      </c>
      <c r="E99" s="332" t="s">
        <v>1056</v>
      </c>
      <c r="F99" s="332" t="s">
        <v>180</v>
      </c>
      <c r="G99" s="330" t="s">
        <v>181</v>
      </c>
      <c r="H99" s="331">
        <v>400</v>
      </c>
      <c r="I99" s="330"/>
      <c r="J99" s="332" t="s">
        <v>1101</v>
      </c>
      <c r="K99" s="332" t="s">
        <v>1102</v>
      </c>
      <c r="L99" s="330" t="s">
        <v>1076</v>
      </c>
      <c r="M99" s="332" t="s">
        <v>1103</v>
      </c>
      <c r="N99" s="330" t="s">
        <v>1104</v>
      </c>
      <c r="O99" s="333" t="s">
        <v>736</v>
      </c>
      <c r="P99" s="333">
        <v>479</v>
      </c>
      <c r="Q99" s="333">
        <v>0</v>
      </c>
      <c r="R99" s="333">
        <v>111</v>
      </c>
      <c r="S99" s="333">
        <v>345</v>
      </c>
      <c r="T99" s="333">
        <v>32</v>
      </c>
      <c r="U99" s="333">
        <v>788</v>
      </c>
      <c r="V99" s="333">
        <v>0</v>
      </c>
      <c r="W99" s="330">
        <v>94</v>
      </c>
      <c r="X99" s="330" t="s">
        <v>1105</v>
      </c>
      <c r="Y99" s="332" t="s">
        <v>1063</v>
      </c>
      <c r="Z99" s="330" t="s">
        <v>739</v>
      </c>
      <c r="AA99" s="330" t="s">
        <v>1064</v>
      </c>
      <c r="AB99" s="330" t="s">
        <v>189</v>
      </c>
      <c r="AC99" s="330"/>
      <c r="AD99" s="330"/>
      <c r="AE99" s="330">
        <v>9</v>
      </c>
      <c r="AF99" s="330">
        <v>-35</v>
      </c>
      <c r="AG99" s="332" t="s">
        <v>190</v>
      </c>
      <c r="AH99" s="332" t="s">
        <v>202</v>
      </c>
      <c r="AI99" s="330" t="s">
        <v>202</v>
      </c>
      <c r="AJ99" s="330" t="s">
        <v>741</v>
      </c>
      <c r="AK99" s="330" t="s">
        <v>202</v>
      </c>
      <c r="AL99" s="330" t="s">
        <v>741</v>
      </c>
      <c r="AM99" s="330" t="s">
        <v>202</v>
      </c>
      <c r="AN99" s="330" t="s">
        <v>741</v>
      </c>
      <c r="AO99" s="330"/>
      <c r="AP99" s="332"/>
      <c r="AQ99" s="330"/>
      <c r="AR99" s="330" t="s">
        <v>334</v>
      </c>
      <c r="AS99" s="330" t="b">
        <v>1</v>
      </c>
      <c r="AT99" s="330"/>
      <c r="AU99" s="332"/>
      <c r="AV99" s="334">
        <v>46031.410235567128</v>
      </c>
      <c r="AW99" s="330"/>
      <c r="AX99" s="335">
        <v>46052</v>
      </c>
      <c r="AY99" s="336">
        <v>46064</v>
      </c>
      <c r="AZ99" s="330" t="b">
        <v>1</v>
      </c>
      <c r="BA99" s="336">
        <v>46080</v>
      </c>
      <c r="BB99" s="336">
        <v>46073</v>
      </c>
      <c r="BC99" s="336">
        <v>46073</v>
      </c>
      <c r="BD99" s="330"/>
      <c r="BE99" s="336">
        <v>46073</v>
      </c>
      <c r="BF99" s="330"/>
      <c r="BG99" s="336">
        <v>46084</v>
      </c>
      <c r="BH99" s="330" t="s">
        <v>193</v>
      </c>
      <c r="BI99" s="330">
        <v>215</v>
      </c>
      <c r="BJ99" s="330"/>
      <c r="BK99" s="330" t="b">
        <v>1</v>
      </c>
      <c r="BL99" s="330" t="s">
        <v>1065</v>
      </c>
      <c r="BM99" s="332" t="s">
        <v>1080</v>
      </c>
      <c r="BN99" s="330" t="s">
        <v>1067</v>
      </c>
      <c r="BO99" s="330" t="s">
        <v>629</v>
      </c>
      <c r="BP99" s="330" t="s">
        <v>184</v>
      </c>
      <c r="BQ99" s="330" t="s">
        <v>218</v>
      </c>
      <c r="BR99" s="330" t="s">
        <v>220</v>
      </c>
      <c r="BS99" s="330"/>
      <c r="BT99" s="330" t="s">
        <v>193</v>
      </c>
      <c r="BU99" s="330" t="s">
        <v>1106</v>
      </c>
      <c r="BV99" s="330" t="s">
        <v>193</v>
      </c>
      <c r="BW99" s="330" t="s">
        <v>1106</v>
      </c>
      <c r="BX99" s="332"/>
      <c r="BY99" s="330"/>
      <c r="BZ99" s="330"/>
      <c r="CA99" s="330"/>
      <c r="CB99" s="330"/>
      <c r="CC99" s="337" t="s">
        <v>744</v>
      </c>
      <c r="CD99" s="330" t="b">
        <v>1</v>
      </c>
      <c r="CE99" s="330" t="b">
        <v>1</v>
      </c>
      <c r="CF99" s="330"/>
      <c r="CG99" s="330"/>
      <c r="CH99" s="330"/>
      <c r="CI99" s="330"/>
      <c r="CJ99" s="330"/>
      <c r="CK99" s="330"/>
      <c r="CL99" s="330" t="b">
        <v>1</v>
      </c>
      <c r="CM99" s="330" t="s">
        <v>745</v>
      </c>
      <c r="CN99" s="330"/>
      <c r="CO99" s="330"/>
      <c r="CP99" s="330"/>
      <c r="CQ99" s="330"/>
      <c r="CR99" s="330"/>
      <c r="CS99" s="330"/>
      <c r="CT99" s="330"/>
      <c r="CU99" s="330" t="b">
        <v>1</v>
      </c>
      <c r="CV99" s="330"/>
      <c r="CW99" s="330"/>
      <c r="CX99" s="330"/>
      <c r="CY99" s="330"/>
      <c r="CZ99" s="330"/>
      <c r="DA99" s="330"/>
      <c r="DB99" s="330"/>
      <c r="DC99" s="330"/>
      <c r="DD99" s="330"/>
      <c r="DE99" s="330"/>
      <c r="DF99" s="338">
        <v>24081</v>
      </c>
      <c r="DG99" s="330" t="s">
        <v>221</v>
      </c>
      <c r="DH99" s="330"/>
      <c r="DI99" s="338" t="s">
        <v>952</v>
      </c>
      <c r="DJ99" s="330"/>
      <c r="DK99" s="330">
        <v>5</v>
      </c>
      <c r="DL99" s="330" t="s">
        <v>1069</v>
      </c>
      <c r="DM99" s="330"/>
      <c r="DN99" s="330"/>
      <c r="DO99" s="330"/>
      <c r="DP99" s="330"/>
      <c r="DQ99" s="338" t="s">
        <v>197</v>
      </c>
      <c r="DR99" s="330"/>
      <c r="DS99" s="330"/>
      <c r="DT99" s="330"/>
      <c r="DU99" s="338" t="s">
        <v>197</v>
      </c>
      <c r="DV99" s="330"/>
      <c r="DW99" s="330"/>
      <c r="DX99" s="330"/>
      <c r="DY99" s="338" t="s">
        <v>197</v>
      </c>
      <c r="DZ99" s="330"/>
      <c r="EA99" s="330"/>
      <c r="EB99" s="330"/>
      <c r="EC99" s="330" t="s">
        <v>197</v>
      </c>
      <c r="ED99" s="338" t="s">
        <v>197</v>
      </c>
      <c r="EE99" s="330">
        <v>40</v>
      </c>
      <c r="EF99" s="330">
        <v>180</v>
      </c>
      <c r="EG99" s="330"/>
      <c r="EH99" s="330"/>
      <c r="EI99" s="330"/>
      <c r="EJ99" s="330"/>
      <c r="EK99" s="330"/>
      <c r="EL99" s="330"/>
      <c r="EM99" s="330"/>
      <c r="EN99" s="330"/>
      <c r="EO99" s="330"/>
      <c r="EP99" s="330"/>
      <c r="EQ99" s="332" t="s">
        <v>198</v>
      </c>
      <c r="ER99" s="330"/>
      <c r="ES99" s="330"/>
      <c r="ET99" s="332" t="s">
        <v>89</v>
      </c>
      <c r="EU99" s="332" t="s">
        <v>1107</v>
      </c>
      <c r="EV99" s="336">
        <v>46063</v>
      </c>
      <c r="EW99" s="336">
        <v>46064</v>
      </c>
      <c r="EX99" s="330">
        <v>2</v>
      </c>
      <c r="EY99" s="330"/>
      <c r="EZ99" s="330" t="s">
        <v>201</v>
      </c>
      <c r="FA99" s="336">
        <v>46079</v>
      </c>
      <c r="FB99" s="330">
        <v>2</v>
      </c>
      <c r="FC99" s="330" t="s">
        <v>202</v>
      </c>
      <c r="FD99" s="332" t="s">
        <v>190</v>
      </c>
      <c r="FE99" s="336">
        <v>46081</v>
      </c>
      <c r="FF99" s="330"/>
      <c r="FG99" s="330" t="s">
        <v>203</v>
      </c>
      <c r="FH99" s="330" t="s">
        <v>1108</v>
      </c>
      <c r="FI99" s="330" t="s">
        <v>204</v>
      </c>
      <c r="FJ99" s="330"/>
      <c r="FK99" s="330" t="s">
        <v>180</v>
      </c>
      <c r="FL99" s="330" t="s">
        <v>741</v>
      </c>
      <c r="FM99" s="330" t="s">
        <v>202</v>
      </c>
      <c r="FN99" s="330" t="s">
        <v>1109</v>
      </c>
      <c r="FO99" s="330" t="b">
        <v>1</v>
      </c>
      <c r="FP99" s="330" t="s">
        <v>528</v>
      </c>
      <c r="FQ99" s="330"/>
      <c r="FR99" s="330"/>
      <c r="FS99" s="330"/>
      <c r="FT99" s="330"/>
      <c r="FU99" s="330"/>
    </row>
    <row r="100" spans="1:177" ht="76.5" x14ac:dyDescent="0.25">
      <c r="A100" s="330">
        <v>99</v>
      </c>
      <c r="B100" s="331" t="s">
        <v>1110</v>
      </c>
      <c r="C100" s="330"/>
      <c r="D100" s="332" t="s">
        <v>1111</v>
      </c>
      <c r="E100" s="332" t="s">
        <v>1112</v>
      </c>
      <c r="F100" s="332" t="s">
        <v>795</v>
      </c>
      <c r="G100" s="330" t="s">
        <v>796</v>
      </c>
      <c r="H100" s="331">
        <v>600</v>
      </c>
      <c r="I100" s="330"/>
      <c r="J100" s="332" t="s">
        <v>1113</v>
      </c>
      <c r="K100" s="332" t="s">
        <v>1114</v>
      </c>
      <c r="L100" s="330" t="s">
        <v>284</v>
      </c>
      <c r="M100" s="332" t="s">
        <v>1115</v>
      </c>
      <c r="N100" s="330" t="s">
        <v>1116</v>
      </c>
      <c r="O100" s="339">
        <v>2.2978723404255299</v>
      </c>
      <c r="P100" s="333">
        <v>108</v>
      </c>
      <c r="Q100" s="333">
        <v>47</v>
      </c>
      <c r="R100" s="333">
        <v>1</v>
      </c>
      <c r="S100" s="333">
        <v>1</v>
      </c>
      <c r="T100" s="333">
        <v>1</v>
      </c>
      <c r="U100" s="333">
        <v>36</v>
      </c>
      <c r="V100" s="333">
        <v>6</v>
      </c>
      <c r="W100" s="330">
        <v>1</v>
      </c>
      <c r="X100" s="330" t="s">
        <v>1117</v>
      </c>
      <c r="Y100" s="332" t="s">
        <v>1118</v>
      </c>
      <c r="Z100" s="330" t="s">
        <v>215</v>
      </c>
      <c r="AA100" s="330" t="s">
        <v>1119</v>
      </c>
      <c r="AB100" s="330" t="s">
        <v>217</v>
      </c>
      <c r="AC100" s="330"/>
      <c r="AD100" s="330"/>
      <c r="AE100" s="330">
        <v>27</v>
      </c>
      <c r="AF100" s="330">
        <v>-67</v>
      </c>
      <c r="AG100" s="332" t="s">
        <v>190</v>
      </c>
      <c r="AH100" s="332" t="s">
        <v>191</v>
      </c>
      <c r="AI100" s="330"/>
      <c r="AJ100" s="330" t="s">
        <v>191</v>
      </c>
      <c r="AK100" s="330"/>
      <c r="AL100" s="330" t="s">
        <v>471</v>
      </c>
      <c r="AM100" s="330" t="s">
        <v>191</v>
      </c>
      <c r="AN100" s="330" t="s">
        <v>471</v>
      </c>
      <c r="AO100" s="330"/>
      <c r="AP100" s="332" t="s">
        <v>259</v>
      </c>
      <c r="AQ100" s="330"/>
      <c r="AR100" s="330"/>
      <c r="AS100" s="330" t="b">
        <v>1</v>
      </c>
      <c r="AT100" s="330"/>
      <c r="AU100" s="332" t="s">
        <v>471</v>
      </c>
      <c r="AV100" s="334">
        <v>45999.565012025465</v>
      </c>
      <c r="AW100" s="330" t="b">
        <v>1</v>
      </c>
      <c r="AX100" s="335">
        <v>46020</v>
      </c>
      <c r="AY100" s="336">
        <v>46013</v>
      </c>
      <c r="AZ100" s="330"/>
      <c r="BA100" s="336">
        <v>46036</v>
      </c>
      <c r="BB100" s="330"/>
      <c r="BC100" s="336">
        <v>46038</v>
      </c>
      <c r="BD100" s="330"/>
      <c r="BE100" s="336">
        <v>46038</v>
      </c>
      <c r="BF100" s="330"/>
      <c r="BG100" s="330"/>
      <c r="BH100" s="330" t="s">
        <v>193</v>
      </c>
      <c r="BI100" s="330">
        <v>8</v>
      </c>
      <c r="BJ100" s="330"/>
      <c r="BK100" s="330"/>
      <c r="BL100" s="330"/>
      <c r="BM100" s="332"/>
      <c r="BN100" s="330"/>
      <c r="BO100" s="330" t="s">
        <v>240</v>
      </c>
      <c r="BP100" s="330" t="s">
        <v>193</v>
      </c>
      <c r="BQ100" s="330" t="s">
        <v>909</v>
      </c>
      <c r="BR100" s="330" t="s">
        <v>193</v>
      </c>
      <c r="BS100" s="330" t="s">
        <v>1120</v>
      </c>
      <c r="BT100" s="330" t="s">
        <v>220</v>
      </c>
      <c r="BU100" s="330"/>
      <c r="BV100" s="330" t="s">
        <v>220</v>
      </c>
      <c r="BW100" s="330"/>
      <c r="BX100" s="332"/>
      <c r="BY100" s="330"/>
      <c r="BZ100" s="330"/>
      <c r="CA100" s="330"/>
      <c r="CB100" s="330"/>
      <c r="CC100" s="337" t="s">
        <v>194</v>
      </c>
      <c r="CD100" s="330" t="b">
        <v>1</v>
      </c>
      <c r="CE100" s="330" t="b">
        <v>1</v>
      </c>
      <c r="CF100" s="330" t="b">
        <v>1</v>
      </c>
      <c r="CG100" s="330" t="s">
        <v>242</v>
      </c>
      <c r="CH100" s="330"/>
      <c r="CI100" s="330"/>
      <c r="CJ100" s="330"/>
      <c r="CK100" s="330"/>
      <c r="CL100" s="330"/>
      <c r="CM100" s="330"/>
      <c r="CN100" s="330"/>
      <c r="CO100" s="330"/>
      <c r="CP100" s="330"/>
      <c r="CQ100" s="330"/>
      <c r="CR100" s="330"/>
      <c r="CS100" s="330"/>
      <c r="CT100" s="330"/>
      <c r="CU100" s="330"/>
      <c r="CV100" s="330"/>
      <c r="CW100" s="330"/>
      <c r="CX100" s="330"/>
      <c r="CY100" s="330"/>
      <c r="CZ100" s="330"/>
      <c r="DA100" s="330"/>
      <c r="DB100" s="330" t="b">
        <v>1</v>
      </c>
      <c r="DC100" s="330" t="b">
        <v>1</v>
      </c>
      <c r="DD100" s="330"/>
      <c r="DE100" s="330"/>
      <c r="DF100" s="338">
        <v>23028</v>
      </c>
      <c r="DG100" s="330" t="s">
        <v>221</v>
      </c>
      <c r="DH100" s="330"/>
      <c r="DI100" s="338">
        <v>99</v>
      </c>
      <c r="DJ100" s="330"/>
      <c r="DK100" s="330">
        <v>99</v>
      </c>
      <c r="DL100" s="330" t="s">
        <v>1110</v>
      </c>
      <c r="DM100" s="330"/>
      <c r="DN100" s="330"/>
      <c r="DO100" s="330"/>
      <c r="DP100" s="330"/>
      <c r="DQ100" s="338" t="s">
        <v>197</v>
      </c>
      <c r="DR100" s="330"/>
      <c r="DS100" s="330"/>
      <c r="DT100" s="330"/>
      <c r="DU100" s="338" t="s">
        <v>197</v>
      </c>
      <c r="DV100" s="330"/>
      <c r="DW100" s="330"/>
      <c r="DX100" s="330"/>
      <c r="DY100" s="338" t="s">
        <v>197</v>
      </c>
      <c r="DZ100" s="330"/>
      <c r="EA100" s="330"/>
      <c r="EB100" s="330"/>
      <c r="EC100" s="330" t="s">
        <v>197</v>
      </c>
      <c r="ED100" s="338" t="s">
        <v>197</v>
      </c>
      <c r="EE100" s="330">
        <v>1</v>
      </c>
      <c r="EF100" s="330">
        <v>2</v>
      </c>
      <c r="EG100" s="330"/>
      <c r="EH100" s="330"/>
      <c r="EI100" s="330"/>
      <c r="EJ100" s="330"/>
      <c r="EK100" s="330"/>
      <c r="EL100" s="330"/>
      <c r="EM100" s="330"/>
      <c r="EN100" s="330"/>
      <c r="EO100" s="330"/>
      <c r="EP100" s="330"/>
      <c r="EQ100" s="332" t="s">
        <v>244</v>
      </c>
      <c r="ER100" s="330"/>
      <c r="ES100" s="330"/>
      <c r="ET100" s="332" t="s">
        <v>245</v>
      </c>
      <c r="EU100" s="332" t="s">
        <v>246</v>
      </c>
      <c r="EV100" s="336">
        <v>46013</v>
      </c>
      <c r="EW100" s="336">
        <v>46013</v>
      </c>
      <c r="EX100" s="330">
        <v>1</v>
      </c>
      <c r="EY100" s="330"/>
      <c r="EZ100" s="330" t="s">
        <v>201</v>
      </c>
      <c r="FA100" s="336">
        <v>46024</v>
      </c>
      <c r="FB100" s="330">
        <v>1</v>
      </c>
      <c r="FC100" s="330" t="s">
        <v>202</v>
      </c>
      <c r="FD100" s="332" t="s">
        <v>190</v>
      </c>
      <c r="FE100" s="336">
        <v>46024</v>
      </c>
      <c r="FF100" s="330"/>
      <c r="FG100" s="330" t="s">
        <v>203</v>
      </c>
      <c r="FH100" s="330" t="s">
        <v>472</v>
      </c>
      <c r="FI100" s="330" t="s">
        <v>204</v>
      </c>
      <c r="FJ100" s="330"/>
      <c r="FK100" s="330" t="s">
        <v>795</v>
      </c>
      <c r="FL100" s="330" t="s">
        <v>471</v>
      </c>
      <c r="FM100" s="330" t="s">
        <v>191</v>
      </c>
      <c r="FN100" s="330" t="s">
        <v>1121</v>
      </c>
      <c r="FO100" s="330"/>
      <c r="FP100" s="330" t="s">
        <v>864</v>
      </c>
      <c r="FQ100" s="330"/>
      <c r="FR100" s="330"/>
      <c r="FS100" s="330"/>
      <c r="FT100" s="330"/>
      <c r="FU100" s="330"/>
    </row>
    <row r="101" spans="1:177" ht="51" x14ac:dyDescent="0.25">
      <c r="A101" s="330">
        <v>100</v>
      </c>
      <c r="B101" s="331" t="s">
        <v>1122</v>
      </c>
      <c r="C101" s="330"/>
      <c r="D101" s="332" t="s">
        <v>1123</v>
      </c>
      <c r="E101" s="332" t="s">
        <v>1124</v>
      </c>
      <c r="F101" s="332" t="s">
        <v>1125</v>
      </c>
      <c r="G101" s="330" t="s">
        <v>1126</v>
      </c>
      <c r="H101" s="331"/>
      <c r="I101" s="330"/>
      <c r="J101" s="332"/>
      <c r="K101" s="332" t="s">
        <v>1127</v>
      </c>
      <c r="L101" s="330"/>
      <c r="M101" s="332"/>
      <c r="N101" s="330" t="s">
        <v>1128</v>
      </c>
      <c r="O101" s="333" t="s">
        <v>184</v>
      </c>
      <c r="P101" s="333" t="s">
        <v>184</v>
      </c>
      <c r="Q101" s="333" t="s">
        <v>184</v>
      </c>
      <c r="R101" s="333">
        <v>0</v>
      </c>
      <c r="S101" s="333">
        <v>12</v>
      </c>
      <c r="T101" s="333">
        <v>1</v>
      </c>
      <c r="U101" s="333">
        <v>0</v>
      </c>
      <c r="V101" s="333">
        <v>0</v>
      </c>
      <c r="W101" s="330">
        <v>1</v>
      </c>
      <c r="X101" s="330"/>
      <c r="Y101" s="332" t="s">
        <v>1129</v>
      </c>
      <c r="Z101" s="330" t="s">
        <v>614</v>
      </c>
      <c r="AA101" s="330" t="s">
        <v>1130</v>
      </c>
      <c r="AB101" s="330" t="s">
        <v>189</v>
      </c>
      <c r="AC101" s="330"/>
      <c r="AD101" s="330"/>
      <c r="AE101" s="330">
        <v>2</v>
      </c>
      <c r="AF101" s="330">
        <v>-296</v>
      </c>
      <c r="AG101" s="332" t="s">
        <v>190</v>
      </c>
      <c r="AH101" s="332" t="s">
        <v>191</v>
      </c>
      <c r="AI101" s="330"/>
      <c r="AJ101" s="330"/>
      <c r="AK101" s="330"/>
      <c r="AL101" s="330" t="s">
        <v>192</v>
      </c>
      <c r="AM101" s="330" t="s">
        <v>191</v>
      </c>
      <c r="AN101" s="330" t="s">
        <v>192</v>
      </c>
      <c r="AO101" s="330"/>
      <c r="AP101" s="332"/>
      <c r="AQ101" s="330"/>
      <c r="AR101" s="330"/>
      <c r="AS101" s="330"/>
      <c r="AT101" s="330"/>
      <c r="AU101" s="332" t="s">
        <v>192</v>
      </c>
      <c r="AV101" s="334">
        <v>45699.462165798614</v>
      </c>
      <c r="AW101" s="330"/>
      <c r="AX101" s="335">
        <v>45707</v>
      </c>
      <c r="AY101" s="336">
        <v>45699</v>
      </c>
      <c r="AZ101" s="330"/>
      <c r="BA101" s="336">
        <v>45715</v>
      </c>
      <c r="BB101" s="330"/>
      <c r="BC101" s="336">
        <v>45719</v>
      </c>
      <c r="BD101" s="330"/>
      <c r="BE101" s="336">
        <v>45719</v>
      </c>
      <c r="BF101" s="330"/>
      <c r="BG101" s="330"/>
      <c r="BH101" s="330" t="s">
        <v>193</v>
      </c>
      <c r="BI101" s="330">
        <v>43</v>
      </c>
      <c r="BJ101" s="330"/>
      <c r="BK101" s="330"/>
      <c r="BL101" s="330"/>
      <c r="BM101" s="332"/>
      <c r="BN101" s="330"/>
      <c r="BO101" s="330"/>
      <c r="BP101" s="330"/>
      <c r="BQ101" s="330"/>
      <c r="BR101" s="330"/>
      <c r="BS101" s="330"/>
      <c r="BT101" s="330"/>
      <c r="BU101" s="330"/>
      <c r="BV101" s="330"/>
      <c r="BW101" s="330"/>
      <c r="BX101" s="332"/>
      <c r="BY101" s="330"/>
      <c r="BZ101" s="330"/>
      <c r="CA101" s="330"/>
      <c r="CB101" s="330"/>
      <c r="CC101" s="337" t="s">
        <v>194</v>
      </c>
      <c r="CD101" s="330"/>
      <c r="CE101" s="330" t="b">
        <v>1</v>
      </c>
      <c r="CF101" s="330"/>
      <c r="CG101" s="330"/>
      <c r="CH101" s="330"/>
      <c r="CI101" s="330"/>
      <c r="CJ101" s="330"/>
      <c r="CK101" s="330"/>
      <c r="CL101" s="330"/>
      <c r="CM101" s="330"/>
      <c r="CN101" s="330"/>
      <c r="CO101" s="330" t="b">
        <v>1</v>
      </c>
      <c r="CP101" s="330" t="b">
        <v>1</v>
      </c>
      <c r="CQ101" s="330"/>
      <c r="CR101" s="330"/>
      <c r="CS101" s="330"/>
      <c r="CT101" s="330"/>
      <c r="CU101" s="330"/>
      <c r="CV101" s="330"/>
      <c r="CW101" s="330"/>
      <c r="CX101" s="330"/>
      <c r="CY101" s="330"/>
      <c r="CZ101" s="330"/>
      <c r="DA101" s="330"/>
      <c r="DB101" s="330"/>
      <c r="DC101" s="330"/>
      <c r="DD101" s="330"/>
      <c r="DE101" s="330"/>
      <c r="DF101" s="338">
        <v>24001</v>
      </c>
      <c r="DG101" s="330" t="s">
        <v>195</v>
      </c>
      <c r="DH101" s="330"/>
      <c r="DI101" s="338">
        <v>14</v>
      </c>
      <c r="DJ101" s="330"/>
      <c r="DK101" s="330">
        <v>14</v>
      </c>
      <c r="DL101" s="330" t="s">
        <v>1122</v>
      </c>
      <c r="DM101" s="330"/>
      <c r="DN101" s="330"/>
      <c r="DO101" s="330"/>
      <c r="DP101" s="330"/>
      <c r="DQ101" s="338" t="s">
        <v>197</v>
      </c>
      <c r="DR101" s="330"/>
      <c r="DS101" s="330"/>
      <c r="DT101" s="330"/>
      <c r="DU101" s="338" t="s">
        <v>197</v>
      </c>
      <c r="DV101" s="330"/>
      <c r="DW101" s="330"/>
      <c r="DX101" s="330"/>
      <c r="DY101" s="338" t="s">
        <v>197</v>
      </c>
      <c r="DZ101" s="330"/>
      <c r="EA101" s="330"/>
      <c r="EB101" s="330"/>
      <c r="EC101" s="330" t="s">
        <v>197</v>
      </c>
      <c r="ED101" s="338" t="s">
        <v>197</v>
      </c>
      <c r="EE101" s="330">
        <v>0.25</v>
      </c>
      <c r="EF101" s="330">
        <v>1</v>
      </c>
      <c r="EG101" s="330"/>
      <c r="EH101" s="330"/>
      <c r="EI101" s="330"/>
      <c r="EJ101" s="330"/>
      <c r="EK101" s="330"/>
      <c r="EL101" s="330"/>
      <c r="EM101" s="330"/>
      <c r="EN101" s="330"/>
      <c r="EO101" s="330"/>
      <c r="EP101" s="330"/>
      <c r="EQ101" s="332" t="s">
        <v>244</v>
      </c>
      <c r="ER101" s="330"/>
      <c r="ES101" s="330"/>
      <c r="ET101" s="332"/>
      <c r="EU101" s="332" t="s">
        <v>199</v>
      </c>
      <c r="EV101" s="330"/>
      <c r="EW101" s="330"/>
      <c r="EX101" s="330" t="s">
        <v>200</v>
      </c>
      <c r="EY101" s="330"/>
      <c r="EZ101" s="330" t="s">
        <v>201</v>
      </c>
      <c r="FA101" s="336">
        <v>45706</v>
      </c>
      <c r="FB101" s="330">
        <v>2</v>
      </c>
      <c r="FC101" s="330" t="s">
        <v>202</v>
      </c>
      <c r="FD101" s="332" t="s">
        <v>190</v>
      </c>
      <c r="FE101" s="336">
        <v>45707</v>
      </c>
      <c r="FF101" s="330"/>
      <c r="FG101" s="330" t="s">
        <v>203</v>
      </c>
      <c r="FH101" s="330"/>
      <c r="FI101" s="330" t="s">
        <v>204</v>
      </c>
      <c r="FJ101" s="330"/>
      <c r="FK101" s="330" t="s">
        <v>1125</v>
      </c>
      <c r="FL101" s="330" t="s">
        <v>192</v>
      </c>
      <c r="FM101" s="330" t="s">
        <v>191</v>
      </c>
      <c r="FN101" s="330" t="s">
        <v>1131</v>
      </c>
      <c r="FO101" s="330"/>
      <c r="FP101" s="330" t="s">
        <v>1132</v>
      </c>
      <c r="FQ101" s="330"/>
      <c r="FR101" s="330"/>
      <c r="FS101" s="330"/>
      <c r="FT101" s="330"/>
      <c r="FU101" s="330"/>
    </row>
    <row r="102" spans="1:177" ht="38.25" x14ac:dyDescent="0.25">
      <c r="A102" s="330">
        <v>101</v>
      </c>
      <c r="B102" s="331" t="s">
        <v>1133</v>
      </c>
      <c r="C102" s="330"/>
      <c r="D102" s="332" t="s">
        <v>1134</v>
      </c>
      <c r="E102" s="332" t="s">
        <v>1135</v>
      </c>
      <c r="F102" s="332" t="s">
        <v>1136</v>
      </c>
      <c r="G102" s="330" t="s">
        <v>1137</v>
      </c>
      <c r="H102" s="331"/>
      <c r="I102" s="330"/>
      <c r="J102" s="332"/>
      <c r="K102" s="332" t="s">
        <v>1138</v>
      </c>
      <c r="L102" s="330" t="s">
        <v>857</v>
      </c>
      <c r="M102" s="332"/>
      <c r="N102" s="330" t="s">
        <v>1139</v>
      </c>
      <c r="O102" s="333" t="s">
        <v>184</v>
      </c>
      <c r="P102" s="333" t="s">
        <v>184</v>
      </c>
      <c r="Q102" s="333" t="s">
        <v>184</v>
      </c>
      <c r="R102" s="333">
        <v>0</v>
      </c>
      <c r="S102" s="333">
        <v>80</v>
      </c>
      <c r="T102" s="333">
        <v>1</v>
      </c>
      <c r="U102" s="333">
        <v>0</v>
      </c>
      <c r="V102" s="333">
        <v>0</v>
      </c>
      <c r="W102" s="330" t="s">
        <v>1140</v>
      </c>
      <c r="X102" s="330" t="s">
        <v>213</v>
      </c>
      <c r="Y102" s="332" t="s">
        <v>1129</v>
      </c>
      <c r="Z102" s="330" t="s">
        <v>614</v>
      </c>
      <c r="AA102" s="330" t="s">
        <v>1130</v>
      </c>
      <c r="AB102" s="330" t="s">
        <v>189</v>
      </c>
      <c r="AC102" s="330"/>
      <c r="AD102" s="330"/>
      <c r="AE102" s="330">
        <v>23</v>
      </c>
      <c r="AF102" s="330">
        <v>-76</v>
      </c>
      <c r="AG102" s="332" t="s">
        <v>190</v>
      </c>
      <c r="AH102" s="332" t="s">
        <v>191</v>
      </c>
      <c r="AI102" s="330"/>
      <c r="AJ102" s="330"/>
      <c r="AK102" s="330"/>
      <c r="AL102" s="330" t="s">
        <v>191</v>
      </c>
      <c r="AM102" s="330"/>
      <c r="AN102" s="330"/>
      <c r="AO102" s="330"/>
      <c r="AP102" s="332"/>
      <c r="AQ102" s="330"/>
      <c r="AR102" s="330"/>
      <c r="AS102" s="330"/>
      <c r="AT102" s="330"/>
      <c r="AU102" s="332" t="s">
        <v>191</v>
      </c>
      <c r="AV102" s="334">
        <v>45971.684524641205</v>
      </c>
      <c r="AW102" s="330"/>
      <c r="AX102" s="335">
        <v>46016</v>
      </c>
      <c r="AY102" s="336">
        <v>45971</v>
      </c>
      <c r="AZ102" s="330"/>
      <c r="BA102" s="336">
        <v>46023</v>
      </c>
      <c r="BB102" s="330"/>
      <c r="BC102" s="336">
        <v>46027</v>
      </c>
      <c r="BD102" s="330"/>
      <c r="BE102" s="336">
        <v>46027</v>
      </c>
      <c r="BF102" s="330"/>
      <c r="BG102" s="330"/>
      <c r="BH102" s="330" t="s">
        <v>193</v>
      </c>
      <c r="BI102" s="330">
        <v>270</v>
      </c>
      <c r="BJ102" s="330"/>
      <c r="BK102" s="330"/>
      <c r="BL102" s="330"/>
      <c r="BM102" s="332"/>
      <c r="BN102" s="330"/>
      <c r="BO102" s="330"/>
      <c r="BP102" s="330"/>
      <c r="BQ102" s="330"/>
      <c r="BR102" s="330"/>
      <c r="BS102" s="330"/>
      <c r="BT102" s="330"/>
      <c r="BU102" s="330"/>
      <c r="BV102" s="330"/>
      <c r="BW102" s="330"/>
      <c r="BX102" s="332"/>
      <c r="BY102" s="330"/>
      <c r="BZ102" s="330"/>
      <c r="CA102" s="330"/>
      <c r="CB102" s="330"/>
      <c r="CC102" s="337" t="s">
        <v>194</v>
      </c>
      <c r="CD102" s="330"/>
      <c r="CE102" s="330" t="b">
        <v>1</v>
      </c>
      <c r="CF102" s="330"/>
      <c r="CG102" s="330"/>
      <c r="CH102" s="330"/>
      <c r="CI102" s="330"/>
      <c r="CJ102" s="330"/>
      <c r="CK102" s="330"/>
      <c r="CL102" s="330"/>
      <c r="CM102" s="330"/>
      <c r="CN102" s="330"/>
      <c r="CO102" s="330" t="b">
        <v>1</v>
      </c>
      <c r="CP102" s="330" t="b">
        <v>1</v>
      </c>
      <c r="CQ102" s="330"/>
      <c r="CR102" s="330"/>
      <c r="CS102" s="330"/>
      <c r="CT102" s="330"/>
      <c r="CU102" s="330"/>
      <c r="CV102" s="330"/>
      <c r="CW102" s="330"/>
      <c r="CX102" s="330"/>
      <c r="CY102" s="330"/>
      <c r="CZ102" s="330"/>
      <c r="DA102" s="330"/>
      <c r="DB102" s="330"/>
      <c r="DC102" s="330"/>
      <c r="DD102" s="330"/>
      <c r="DE102" s="330"/>
      <c r="DF102" s="338">
        <v>25007</v>
      </c>
      <c r="DG102" s="330" t="s">
        <v>195</v>
      </c>
      <c r="DH102" s="330"/>
      <c r="DI102" s="338" t="s">
        <v>746</v>
      </c>
      <c r="DJ102" s="330"/>
      <c r="DK102" s="330">
        <v>3</v>
      </c>
      <c r="DL102" s="330" t="s">
        <v>1133</v>
      </c>
      <c r="DM102" s="330"/>
      <c r="DN102" s="330"/>
      <c r="DO102" s="330"/>
      <c r="DP102" s="330"/>
      <c r="DQ102" s="338" t="s">
        <v>197</v>
      </c>
      <c r="DR102" s="330"/>
      <c r="DS102" s="330"/>
      <c r="DT102" s="330"/>
      <c r="DU102" s="338" t="s">
        <v>197</v>
      </c>
      <c r="DV102" s="330"/>
      <c r="DW102" s="330"/>
      <c r="DX102" s="330"/>
      <c r="DY102" s="338" t="s">
        <v>197</v>
      </c>
      <c r="DZ102" s="330"/>
      <c r="EA102" s="330"/>
      <c r="EB102" s="330"/>
      <c r="EC102" s="330" t="s">
        <v>197</v>
      </c>
      <c r="ED102" s="338" t="s">
        <v>197</v>
      </c>
      <c r="EE102" s="330">
        <v>1</v>
      </c>
      <c r="EF102" s="330">
        <v>4</v>
      </c>
      <c r="EG102" s="330"/>
      <c r="EH102" s="330"/>
      <c r="EI102" s="330"/>
      <c r="EJ102" s="330"/>
      <c r="EK102" s="330"/>
      <c r="EL102" s="330"/>
      <c r="EM102" s="330"/>
      <c r="EN102" s="330"/>
      <c r="EO102" s="330"/>
      <c r="EP102" s="330"/>
      <c r="EQ102" s="332" t="s">
        <v>1141</v>
      </c>
      <c r="ER102" s="330"/>
      <c r="ES102" s="330"/>
      <c r="ET102" s="332"/>
      <c r="EU102" s="332" t="s">
        <v>199</v>
      </c>
      <c r="EV102" s="330"/>
      <c r="EW102" s="330"/>
      <c r="EX102" s="330" t="s">
        <v>200</v>
      </c>
      <c r="EY102" s="330"/>
      <c r="EZ102" s="330" t="s">
        <v>201</v>
      </c>
      <c r="FA102" s="336">
        <v>45972</v>
      </c>
      <c r="FB102" s="330">
        <v>5</v>
      </c>
      <c r="FC102" s="330" t="s">
        <v>202</v>
      </c>
      <c r="FD102" s="332" t="s">
        <v>190</v>
      </c>
      <c r="FE102" s="336">
        <v>45978</v>
      </c>
      <c r="FF102" s="330"/>
      <c r="FG102" s="330" t="s">
        <v>203</v>
      </c>
      <c r="FH102" s="330"/>
      <c r="FI102" s="330" t="s">
        <v>204</v>
      </c>
      <c r="FJ102" s="330"/>
      <c r="FK102" s="330" t="s">
        <v>1136</v>
      </c>
      <c r="FL102" s="330" t="s">
        <v>191</v>
      </c>
      <c r="FM102" s="330"/>
      <c r="FN102" s="330" t="s">
        <v>1142</v>
      </c>
      <c r="FO102" s="330"/>
      <c r="FP102" s="330" t="s">
        <v>415</v>
      </c>
      <c r="FQ102" s="330"/>
      <c r="FR102" s="330"/>
      <c r="FS102" s="330"/>
      <c r="FT102" s="330"/>
      <c r="FU102" s="330"/>
    </row>
    <row r="103" spans="1:177" ht="409.5" x14ac:dyDescent="0.25">
      <c r="A103" s="330">
        <v>102</v>
      </c>
      <c r="B103" s="331" t="s">
        <v>1143</v>
      </c>
      <c r="C103" s="330"/>
      <c r="D103" s="332" t="s">
        <v>1144</v>
      </c>
      <c r="E103" s="332" t="s">
        <v>1145</v>
      </c>
      <c r="F103" s="332" t="s">
        <v>1146</v>
      </c>
      <c r="G103" s="330" t="s">
        <v>1147</v>
      </c>
      <c r="H103" s="331" t="s">
        <v>618</v>
      </c>
      <c r="I103" s="330"/>
      <c r="J103" s="332" t="s">
        <v>1148</v>
      </c>
      <c r="K103" s="332" t="s">
        <v>1149</v>
      </c>
      <c r="L103" s="330" t="s">
        <v>284</v>
      </c>
      <c r="M103" s="332" t="s">
        <v>1150</v>
      </c>
      <c r="N103" s="330" t="s">
        <v>1151</v>
      </c>
      <c r="O103" s="339">
        <v>0.95880149812734095</v>
      </c>
      <c r="P103" s="333">
        <v>512</v>
      </c>
      <c r="Q103" s="333">
        <v>534</v>
      </c>
      <c r="R103" s="333">
        <v>101</v>
      </c>
      <c r="S103" s="333">
        <v>101</v>
      </c>
      <c r="T103" s="333">
        <v>83</v>
      </c>
      <c r="U103" s="333">
        <v>645</v>
      </c>
      <c r="V103" s="333">
        <v>0</v>
      </c>
      <c r="W103" s="330">
        <v>38</v>
      </c>
      <c r="X103" s="330" t="s">
        <v>1152</v>
      </c>
      <c r="Y103" s="332" t="s">
        <v>1153</v>
      </c>
      <c r="Z103" s="330" t="s">
        <v>215</v>
      </c>
      <c r="AA103" s="330" t="s">
        <v>1154</v>
      </c>
      <c r="AB103" s="330" t="s">
        <v>189</v>
      </c>
      <c r="AC103" s="330"/>
      <c r="AD103" s="330"/>
      <c r="AE103" s="330">
        <v>3</v>
      </c>
      <c r="AF103" s="330">
        <v>-39</v>
      </c>
      <c r="AG103" s="332" t="s">
        <v>190</v>
      </c>
      <c r="AH103" s="332" t="s">
        <v>191</v>
      </c>
      <c r="AI103" s="330" t="s">
        <v>471</v>
      </c>
      <c r="AJ103" s="330" t="s">
        <v>471</v>
      </c>
      <c r="AK103" s="330"/>
      <c r="AL103" s="330" t="s">
        <v>471</v>
      </c>
      <c r="AM103" s="330" t="s">
        <v>191</v>
      </c>
      <c r="AN103" s="330" t="s">
        <v>471</v>
      </c>
      <c r="AO103" s="330"/>
      <c r="AP103" s="332" t="s">
        <v>259</v>
      </c>
      <c r="AQ103" s="330"/>
      <c r="AR103" s="330"/>
      <c r="AS103" s="330" t="b">
        <v>1</v>
      </c>
      <c r="AT103" s="330"/>
      <c r="AU103" s="332" t="s">
        <v>471</v>
      </c>
      <c r="AV103" s="334">
        <v>46003.562658796298</v>
      </c>
      <c r="AW103" s="330"/>
      <c r="AX103" s="335">
        <v>46050</v>
      </c>
      <c r="AY103" s="336">
        <v>46058</v>
      </c>
      <c r="AZ103" s="330" t="b">
        <v>1</v>
      </c>
      <c r="BA103" s="336">
        <v>46076</v>
      </c>
      <c r="BB103" s="330"/>
      <c r="BC103" s="336">
        <v>46071</v>
      </c>
      <c r="BD103" s="330"/>
      <c r="BE103" s="336">
        <v>46071</v>
      </c>
      <c r="BF103" s="330"/>
      <c r="BG103" s="336">
        <v>46069</v>
      </c>
      <c r="BH103" s="330" t="s">
        <v>193</v>
      </c>
      <c r="BI103" s="330">
        <v>107</v>
      </c>
      <c r="BJ103" s="330"/>
      <c r="BK103" s="330"/>
      <c r="BL103" s="330"/>
      <c r="BM103" s="332"/>
      <c r="BN103" s="330"/>
      <c r="BO103" s="330" t="s">
        <v>629</v>
      </c>
      <c r="BP103" s="330" t="s">
        <v>193</v>
      </c>
      <c r="BQ103" s="330" t="s">
        <v>909</v>
      </c>
      <c r="BR103" s="330" t="s">
        <v>220</v>
      </c>
      <c r="BS103" s="330"/>
      <c r="BT103" s="330" t="s">
        <v>193</v>
      </c>
      <c r="BU103" s="330" t="s">
        <v>1155</v>
      </c>
      <c r="BV103" s="330" t="s">
        <v>220</v>
      </c>
      <c r="BW103" s="330"/>
      <c r="BX103" s="332"/>
      <c r="BY103" s="330"/>
      <c r="BZ103" s="330"/>
      <c r="CA103" s="330"/>
      <c r="CB103" s="330"/>
      <c r="CC103" s="337" t="s">
        <v>744</v>
      </c>
      <c r="CD103" s="330" t="b">
        <v>1</v>
      </c>
      <c r="CE103" s="330" t="b">
        <v>1</v>
      </c>
      <c r="CF103" s="330" t="b">
        <v>1</v>
      </c>
      <c r="CG103" s="330" t="s">
        <v>242</v>
      </c>
      <c r="CH103" s="330"/>
      <c r="CI103" s="330"/>
      <c r="CJ103" s="330"/>
      <c r="CK103" s="330"/>
      <c r="CL103" s="330"/>
      <c r="CM103" s="330"/>
      <c r="CN103" s="330"/>
      <c r="CO103" s="330"/>
      <c r="CP103" s="330"/>
      <c r="CQ103" s="330"/>
      <c r="CR103" s="330"/>
      <c r="CS103" s="330"/>
      <c r="CT103" s="330"/>
      <c r="CU103" s="330"/>
      <c r="CV103" s="330"/>
      <c r="CW103" s="330"/>
      <c r="CX103" s="330"/>
      <c r="CY103" s="330"/>
      <c r="CZ103" s="330"/>
      <c r="DA103" s="330"/>
      <c r="DB103" s="330" t="b">
        <v>1</v>
      </c>
      <c r="DC103" s="330" t="b">
        <v>1</v>
      </c>
      <c r="DD103" s="330"/>
      <c r="DE103" s="330"/>
      <c r="DF103" s="338">
        <v>25008</v>
      </c>
      <c r="DG103" s="330" t="s">
        <v>221</v>
      </c>
      <c r="DH103" s="330"/>
      <c r="DI103" s="338" t="s">
        <v>952</v>
      </c>
      <c r="DJ103" s="330"/>
      <c r="DK103" s="330">
        <v>5</v>
      </c>
      <c r="DL103" s="330" t="s">
        <v>1156</v>
      </c>
      <c r="DM103" s="330"/>
      <c r="DN103" s="330"/>
      <c r="DO103" s="330"/>
      <c r="DP103" s="330"/>
      <c r="DQ103" s="338" t="s">
        <v>197</v>
      </c>
      <c r="DR103" s="330"/>
      <c r="DS103" s="330"/>
      <c r="DT103" s="330"/>
      <c r="DU103" s="338" t="s">
        <v>197</v>
      </c>
      <c r="DV103" s="330"/>
      <c r="DW103" s="330"/>
      <c r="DX103" s="330"/>
      <c r="DY103" s="338" t="s">
        <v>197</v>
      </c>
      <c r="DZ103" s="330"/>
      <c r="EA103" s="330"/>
      <c r="EB103" s="330"/>
      <c r="EC103" s="330" t="s">
        <v>197</v>
      </c>
      <c r="ED103" s="338" t="s">
        <v>197</v>
      </c>
      <c r="EE103" s="330">
        <v>35</v>
      </c>
      <c r="EF103" s="330">
        <v>130</v>
      </c>
      <c r="EG103" s="330"/>
      <c r="EH103" s="330"/>
      <c r="EI103" s="330"/>
      <c r="EJ103" s="330"/>
      <c r="EK103" s="330"/>
      <c r="EL103" s="330"/>
      <c r="EM103" s="330"/>
      <c r="EN103" s="330"/>
      <c r="EO103" s="330"/>
      <c r="EP103" s="330"/>
      <c r="EQ103" s="332" t="s">
        <v>224</v>
      </c>
      <c r="ER103" s="330"/>
      <c r="ES103" s="330"/>
      <c r="ET103" s="332" t="s">
        <v>245</v>
      </c>
      <c r="EU103" s="332" t="s">
        <v>246</v>
      </c>
      <c r="EV103" s="336">
        <v>46057</v>
      </c>
      <c r="EW103" s="336">
        <v>46058</v>
      </c>
      <c r="EX103" s="330">
        <v>2</v>
      </c>
      <c r="EY103" s="330"/>
      <c r="EZ103" s="330" t="s">
        <v>247</v>
      </c>
      <c r="FA103" s="330"/>
      <c r="FB103" s="330" t="s">
        <v>247</v>
      </c>
      <c r="FC103" s="330" t="s">
        <v>202</v>
      </c>
      <c r="FD103" s="332" t="s">
        <v>190</v>
      </c>
      <c r="FE103" s="330"/>
      <c r="FF103" s="330"/>
      <c r="FG103" s="330" t="s">
        <v>203</v>
      </c>
      <c r="FH103" s="330" t="s">
        <v>472</v>
      </c>
      <c r="FI103" s="330" t="s">
        <v>204</v>
      </c>
      <c r="FJ103" s="330"/>
      <c r="FK103" s="330" t="s">
        <v>1146</v>
      </c>
      <c r="FL103" s="330" t="s">
        <v>471</v>
      </c>
      <c r="FM103" s="330" t="s">
        <v>191</v>
      </c>
      <c r="FN103" s="330" t="s">
        <v>1157</v>
      </c>
      <c r="FO103" s="330"/>
      <c r="FP103" s="330" t="s">
        <v>528</v>
      </c>
      <c r="FQ103" s="330"/>
      <c r="FR103" s="330"/>
      <c r="FS103" s="330"/>
      <c r="FT103" s="330"/>
      <c r="FU103" s="330"/>
    </row>
    <row r="104" spans="1:177" ht="38.25" x14ac:dyDescent="0.25">
      <c r="A104" s="330">
        <v>103</v>
      </c>
      <c r="B104" s="331" t="s">
        <v>1158</v>
      </c>
      <c r="C104" s="330"/>
      <c r="D104" s="332" t="s">
        <v>228</v>
      </c>
      <c r="E104" s="332" t="s">
        <v>229</v>
      </c>
      <c r="F104" s="332" t="s">
        <v>230</v>
      </c>
      <c r="G104" s="330" t="s">
        <v>231</v>
      </c>
      <c r="H104" s="331">
        <v>400</v>
      </c>
      <c r="I104" s="330"/>
      <c r="J104" s="332"/>
      <c r="K104" s="332" t="s">
        <v>1159</v>
      </c>
      <c r="L104" s="330"/>
      <c r="M104" s="332"/>
      <c r="N104" s="330" t="s">
        <v>1160</v>
      </c>
      <c r="O104" s="339">
        <v>0.25560514843263399</v>
      </c>
      <c r="P104" s="333">
        <v>4925</v>
      </c>
      <c r="Q104" s="333">
        <v>19268</v>
      </c>
      <c r="R104" s="333">
        <v>160</v>
      </c>
      <c r="S104" s="333">
        <v>160</v>
      </c>
      <c r="T104" s="333">
        <v>2</v>
      </c>
      <c r="U104" s="333">
        <v>1120</v>
      </c>
      <c r="V104" s="333">
        <v>3010</v>
      </c>
      <c r="W104" s="330" t="s">
        <v>575</v>
      </c>
      <c r="X104" s="330" t="s">
        <v>1161</v>
      </c>
      <c r="Y104" s="332" t="s">
        <v>383</v>
      </c>
      <c r="Z104" s="330" t="s">
        <v>215</v>
      </c>
      <c r="AA104" s="330" t="s">
        <v>384</v>
      </c>
      <c r="AB104" s="330" t="s">
        <v>189</v>
      </c>
      <c r="AC104" s="330"/>
      <c r="AD104" s="330"/>
      <c r="AE104" s="330">
        <v>1</v>
      </c>
      <c r="AF104" s="330">
        <v>-272</v>
      </c>
      <c r="AG104" s="332" t="s">
        <v>238</v>
      </c>
      <c r="AH104" s="332" t="s">
        <v>191</v>
      </c>
      <c r="AI104" s="330" t="s">
        <v>192</v>
      </c>
      <c r="AJ104" s="330" t="s">
        <v>192</v>
      </c>
      <c r="AK104" s="330"/>
      <c r="AL104" s="330" t="s">
        <v>192</v>
      </c>
      <c r="AM104" s="330" t="s">
        <v>191</v>
      </c>
      <c r="AN104" s="330" t="s">
        <v>192</v>
      </c>
      <c r="AO104" s="330"/>
      <c r="AP104" s="332" t="s">
        <v>239</v>
      </c>
      <c r="AQ104" s="330"/>
      <c r="AR104" s="330"/>
      <c r="AS104" s="330" t="b">
        <v>1</v>
      </c>
      <c r="AT104" s="330"/>
      <c r="AU104" s="332" t="s">
        <v>192</v>
      </c>
      <c r="AV104" s="334">
        <v>45722.470880694447</v>
      </c>
      <c r="AW104" s="330" t="b">
        <v>1</v>
      </c>
      <c r="AX104" s="335">
        <v>45743</v>
      </c>
      <c r="AY104" s="336">
        <v>45733</v>
      </c>
      <c r="AZ104" s="330" t="b">
        <v>1</v>
      </c>
      <c r="BA104" s="336">
        <v>45749</v>
      </c>
      <c r="BB104" s="330"/>
      <c r="BC104" s="336">
        <v>45747</v>
      </c>
      <c r="BD104" s="330"/>
      <c r="BE104" s="336">
        <v>45747</v>
      </c>
      <c r="BF104" s="330"/>
      <c r="BG104" s="330"/>
      <c r="BH104" s="330" t="s">
        <v>193</v>
      </c>
      <c r="BI104" s="330">
        <v>1000</v>
      </c>
      <c r="BJ104" s="330"/>
      <c r="BK104" s="330"/>
      <c r="BL104" s="330"/>
      <c r="BM104" s="332"/>
      <c r="BN104" s="330"/>
      <c r="BO104" s="330" t="s">
        <v>240</v>
      </c>
      <c r="BP104" s="330" t="s">
        <v>193</v>
      </c>
      <c r="BQ104" s="330" t="s">
        <v>218</v>
      </c>
      <c r="BR104" s="330" t="s">
        <v>220</v>
      </c>
      <c r="BS104" s="330"/>
      <c r="BT104" s="330" t="s">
        <v>220</v>
      </c>
      <c r="BU104" s="330"/>
      <c r="BV104" s="330" t="s">
        <v>220</v>
      </c>
      <c r="BW104" s="330"/>
      <c r="BX104" s="332"/>
      <c r="BY104" s="330"/>
      <c r="BZ104" s="330"/>
      <c r="CA104" s="330"/>
      <c r="CB104" s="330"/>
      <c r="CC104" s="337" t="s">
        <v>241</v>
      </c>
      <c r="CD104" s="330" t="b">
        <v>1</v>
      </c>
      <c r="CE104" s="330" t="b">
        <v>1</v>
      </c>
      <c r="CF104" s="330" t="b">
        <v>1</v>
      </c>
      <c r="CG104" s="330" t="s">
        <v>242</v>
      </c>
      <c r="CH104" s="330"/>
      <c r="CI104" s="330"/>
      <c r="CJ104" s="330"/>
      <c r="CK104" s="330"/>
      <c r="CL104" s="330"/>
      <c r="CM104" s="330"/>
      <c r="CN104" s="330"/>
      <c r="CO104" s="330"/>
      <c r="CP104" s="330"/>
      <c r="CQ104" s="330"/>
      <c r="CR104" s="330"/>
      <c r="CS104" s="330"/>
      <c r="CT104" s="330"/>
      <c r="CU104" s="330"/>
      <c r="CV104" s="330"/>
      <c r="CW104" s="330"/>
      <c r="CX104" s="330"/>
      <c r="CY104" s="330"/>
      <c r="CZ104" s="330"/>
      <c r="DA104" s="330"/>
      <c r="DB104" s="330" t="b">
        <v>1</v>
      </c>
      <c r="DC104" s="330" t="b">
        <v>1</v>
      </c>
      <c r="DD104" s="330"/>
      <c r="DE104" s="330"/>
      <c r="DF104" s="338">
        <v>24051</v>
      </c>
      <c r="DG104" s="330" t="s">
        <v>221</v>
      </c>
      <c r="DH104" s="330"/>
      <c r="DI104" s="338" t="s">
        <v>196</v>
      </c>
      <c r="DJ104" s="330"/>
      <c r="DK104" s="330">
        <v>1</v>
      </c>
      <c r="DL104" s="330" t="s">
        <v>243</v>
      </c>
      <c r="DM104" s="330"/>
      <c r="DN104" s="330"/>
      <c r="DO104" s="330"/>
      <c r="DP104" s="330"/>
      <c r="DQ104" s="338" t="s">
        <v>197</v>
      </c>
      <c r="DR104" s="330"/>
      <c r="DS104" s="330"/>
      <c r="DT104" s="330"/>
      <c r="DU104" s="338" t="s">
        <v>197</v>
      </c>
      <c r="DV104" s="330"/>
      <c r="DW104" s="330"/>
      <c r="DX104" s="330"/>
      <c r="DY104" s="338" t="s">
        <v>197</v>
      </c>
      <c r="DZ104" s="330"/>
      <c r="EA104" s="330"/>
      <c r="EB104" s="330"/>
      <c r="EC104" s="330" t="s">
        <v>197</v>
      </c>
      <c r="ED104" s="338" t="s">
        <v>197</v>
      </c>
      <c r="EE104" s="330">
        <v>4</v>
      </c>
      <c r="EF104" s="330">
        <v>360</v>
      </c>
      <c r="EG104" s="330"/>
      <c r="EH104" s="330"/>
      <c r="EI104" s="330"/>
      <c r="EJ104" s="330"/>
      <c r="EK104" s="330"/>
      <c r="EL104" s="330"/>
      <c r="EM104" s="330"/>
      <c r="EN104" s="330"/>
      <c r="EO104" s="330"/>
      <c r="EP104" s="330"/>
      <c r="EQ104" s="332" t="s">
        <v>244</v>
      </c>
      <c r="ER104" s="330"/>
      <c r="ES104" s="330"/>
      <c r="ET104" s="332" t="s">
        <v>245</v>
      </c>
      <c r="EU104" s="332" t="s">
        <v>246</v>
      </c>
      <c r="EV104" s="336">
        <v>45733</v>
      </c>
      <c r="EW104" s="336">
        <v>45733</v>
      </c>
      <c r="EX104" s="330">
        <v>1</v>
      </c>
      <c r="EY104" s="330"/>
      <c r="EZ104" s="330" t="s">
        <v>201</v>
      </c>
      <c r="FA104" s="336">
        <v>45758</v>
      </c>
      <c r="FB104" s="330">
        <v>1</v>
      </c>
      <c r="FC104" s="330" t="s">
        <v>202</v>
      </c>
      <c r="FD104" s="332" t="s">
        <v>190</v>
      </c>
      <c r="FE104" s="336">
        <v>45758</v>
      </c>
      <c r="FF104" s="330"/>
      <c r="FG104" s="330" t="s">
        <v>203</v>
      </c>
      <c r="FH104" s="330" t="s">
        <v>944</v>
      </c>
      <c r="FI104" s="330" t="s">
        <v>204</v>
      </c>
      <c r="FJ104" s="330"/>
      <c r="FK104" s="330" t="s">
        <v>230</v>
      </c>
      <c r="FL104" s="330" t="s">
        <v>192</v>
      </c>
      <c r="FM104" s="330" t="s">
        <v>191</v>
      </c>
      <c r="FN104" s="330" t="s">
        <v>1162</v>
      </c>
      <c r="FO104" s="330"/>
      <c r="FP104" s="330" t="s">
        <v>1163</v>
      </c>
      <c r="FQ104" s="330"/>
      <c r="FR104" s="330"/>
      <c r="FS104" s="330"/>
      <c r="FT104" s="330"/>
      <c r="FU104" s="330"/>
    </row>
    <row r="105" spans="1:177" ht="51" x14ac:dyDescent="0.25">
      <c r="A105" s="330">
        <v>104</v>
      </c>
      <c r="B105" s="331" t="s">
        <v>1164</v>
      </c>
      <c r="C105" s="330"/>
      <c r="D105" s="332" t="s">
        <v>228</v>
      </c>
      <c r="E105" s="332" t="s">
        <v>229</v>
      </c>
      <c r="F105" s="332" t="s">
        <v>230</v>
      </c>
      <c r="G105" s="330" t="s">
        <v>231</v>
      </c>
      <c r="H105" s="331">
        <v>400</v>
      </c>
      <c r="I105" s="330"/>
      <c r="J105" s="332" t="s">
        <v>1165</v>
      </c>
      <c r="K105" s="332"/>
      <c r="L105" s="330"/>
      <c r="M105" s="332"/>
      <c r="N105" s="330" t="s">
        <v>1166</v>
      </c>
      <c r="O105" s="339">
        <v>0.42687357276313098</v>
      </c>
      <c r="P105" s="333">
        <v>8225</v>
      </c>
      <c r="Q105" s="333">
        <v>19268</v>
      </c>
      <c r="R105" s="333">
        <v>160</v>
      </c>
      <c r="S105" s="333">
        <v>160</v>
      </c>
      <c r="T105" s="333">
        <v>2</v>
      </c>
      <c r="U105" s="333">
        <v>1120</v>
      </c>
      <c r="V105" s="333">
        <v>800</v>
      </c>
      <c r="W105" s="330" t="s">
        <v>560</v>
      </c>
      <c r="X105" s="330" t="s">
        <v>1167</v>
      </c>
      <c r="Y105" s="332" t="s">
        <v>383</v>
      </c>
      <c r="Z105" s="330" t="s">
        <v>215</v>
      </c>
      <c r="AA105" s="330" t="s">
        <v>384</v>
      </c>
      <c r="AB105" s="330" t="s">
        <v>189</v>
      </c>
      <c r="AC105" s="330"/>
      <c r="AD105" s="330"/>
      <c r="AE105" s="330">
        <v>23</v>
      </c>
      <c r="AF105" s="330">
        <v>-210</v>
      </c>
      <c r="AG105" s="332" t="s">
        <v>238</v>
      </c>
      <c r="AH105" s="332" t="s">
        <v>191</v>
      </c>
      <c r="AI105" s="330"/>
      <c r="AJ105" s="330" t="s">
        <v>192</v>
      </c>
      <c r="AK105" s="330"/>
      <c r="AL105" s="330" t="s">
        <v>192</v>
      </c>
      <c r="AM105" s="330" t="s">
        <v>191</v>
      </c>
      <c r="AN105" s="330" t="s">
        <v>192</v>
      </c>
      <c r="AO105" s="330"/>
      <c r="AP105" s="332" t="s">
        <v>239</v>
      </c>
      <c r="AQ105" s="330"/>
      <c r="AR105" s="330"/>
      <c r="AS105" s="330" t="b">
        <v>1</v>
      </c>
      <c r="AT105" s="330"/>
      <c r="AU105" s="332" t="s">
        <v>192</v>
      </c>
      <c r="AV105" s="334">
        <v>45781.397066898149</v>
      </c>
      <c r="AW105" s="330"/>
      <c r="AX105" s="335">
        <v>45818</v>
      </c>
      <c r="AY105" s="336">
        <v>45784</v>
      </c>
      <c r="AZ105" s="330"/>
      <c r="BA105" s="336">
        <v>45835</v>
      </c>
      <c r="BB105" s="330"/>
      <c r="BC105" s="336">
        <v>45839</v>
      </c>
      <c r="BD105" s="330"/>
      <c r="BE105" s="336">
        <v>45839</v>
      </c>
      <c r="BF105" s="330"/>
      <c r="BG105" s="330"/>
      <c r="BH105" s="330" t="s">
        <v>193</v>
      </c>
      <c r="BI105" s="330">
        <v>1000</v>
      </c>
      <c r="BJ105" s="330"/>
      <c r="BK105" s="330"/>
      <c r="BL105" s="330"/>
      <c r="BM105" s="332"/>
      <c r="BN105" s="330"/>
      <c r="BO105" s="330" t="s">
        <v>240</v>
      </c>
      <c r="BP105" s="330" t="s">
        <v>193</v>
      </c>
      <c r="BQ105" s="330" t="s">
        <v>218</v>
      </c>
      <c r="BR105" s="330" t="s">
        <v>220</v>
      </c>
      <c r="BS105" s="330"/>
      <c r="BT105" s="330" t="s">
        <v>220</v>
      </c>
      <c r="BU105" s="330" t="s">
        <v>1168</v>
      </c>
      <c r="BV105" s="330" t="s">
        <v>220</v>
      </c>
      <c r="BW105" s="330"/>
      <c r="BX105" s="332"/>
      <c r="BY105" s="330"/>
      <c r="BZ105" s="330"/>
      <c r="CA105" s="330"/>
      <c r="CB105" s="330"/>
      <c r="CC105" s="337" t="s">
        <v>241</v>
      </c>
      <c r="CD105" s="330" t="b">
        <v>1</v>
      </c>
      <c r="CE105" s="330" t="b">
        <v>1</v>
      </c>
      <c r="CF105" s="330" t="b">
        <v>1</v>
      </c>
      <c r="CG105" s="330" t="s">
        <v>242</v>
      </c>
      <c r="CH105" s="330"/>
      <c r="CI105" s="330"/>
      <c r="CJ105" s="330"/>
      <c r="CK105" s="330"/>
      <c r="CL105" s="330"/>
      <c r="CM105" s="330"/>
      <c r="CN105" s="330"/>
      <c r="CO105" s="330"/>
      <c r="CP105" s="330"/>
      <c r="CQ105" s="330"/>
      <c r="CR105" s="330"/>
      <c r="CS105" s="330"/>
      <c r="CT105" s="330"/>
      <c r="CU105" s="330"/>
      <c r="CV105" s="330"/>
      <c r="CW105" s="330"/>
      <c r="CX105" s="330"/>
      <c r="CY105" s="330"/>
      <c r="CZ105" s="330"/>
      <c r="DA105" s="330"/>
      <c r="DB105" s="330" t="b">
        <v>1</v>
      </c>
      <c r="DC105" s="330" t="b">
        <v>1</v>
      </c>
      <c r="DD105" s="330"/>
      <c r="DE105" s="330"/>
      <c r="DF105" s="338">
        <v>24051</v>
      </c>
      <c r="DG105" s="330" t="s">
        <v>221</v>
      </c>
      <c r="DH105" s="330"/>
      <c r="DI105" s="338" t="s">
        <v>1169</v>
      </c>
      <c r="DJ105" s="330"/>
      <c r="DK105" s="330">
        <v>0</v>
      </c>
      <c r="DL105" s="330" t="s">
        <v>243</v>
      </c>
      <c r="DM105" s="330"/>
      <c r="DN105" s="330"/>
      <c r="DO105" s="330"/>
      <c r="DP105" s="330"/>
      <c r="DQ105" s="338" t="s">
        <v>197</v>
      </c>
      <c r="DR105" s="330"/>
      <c r="DS105" s="330"/>
      <c r="DT105" s="330"/>
      <c r="DU105" s="338" t="s">
        <v>197</v>
      </c>
      <c r="DV105" s="330"/>
      <c r="DW105" s="330"/>
      <c r="DX105" s="330"/>
      <c r="DY105" s="338" t="s">
        <v>197</v>
      </c>
      <c r="DZ105" s="330"/>
      <c r="EA105" s="330"/>
      <c r="EB105" s="330"/>
      <c r="EC105" s="330" t="s">
        <v>197</v>
      </c>
      <c r="ED105" s="338" t="s">
        <v>197</v>
      </c>
      <c r="EE105" s="330">
        <v>4</v>
      </c>
      <c r="EF105" s="330">
        <v>200</v>
      </c>
      <c r="EG105" s="330"/>
      <c r="EH105" s="330"/>
      <c r="EI105" s="330"/>
      <c r="EJ105" s="330"/>
      <c r="EK105" s="330"/>
      <c r="EL105" s="330"/>
      <c r="EM105" s="330"/>
      <c r="EN105" s="330"/>
      <c r="EO105" s="330"/>
      <c r="EP105" s="330"/>
      <c r="EQ105" s="332" t="s">
        <v>244</v>
      </c>
      <c r="ER105" s="330"/>
      <c r="ES105" s="330"/>
      <c r="ET105" s="332" t="s">
        <v>245</v>
      </c>
      <c r="EU105" s="332" t="s">
        <v>246</v>
      </c>
      <c r="EV105" s="336">
        <v>45783</v>
      </c>
      <c r="EW105" s="336">
        <v>45784</v>
      </c>
      <c r="EX105" s="330">
        <v>2</v>
      </c>
      <c r="EY105" s="330"/>
      <c r="EZ105" s="330" t="s">
        <v>201</v>
      </c>
      <c r="FA105" s="336">
        <v>45825</v>
      </c>
      <c r="FB105" s="330">
        <v>2</v>
      </c>
      <c r="FC105" s="330" t="s">
        <v>202</v>
      </c>
      <c r="FD105" s="332" t="s">
        <v>190</v>
      </c>
      <c r="FE105" s="336">
        <v>45826</v>
      </c>
      <c r="FF105" s="330"/>
      <c r="FG105" s="330" t="s">
        <v>203</v>
      </c>
      <c r="FH105" s="330" t="s">
        <v>1170</v>
      </c>
      <c r="FI105" s="330" t="s">
        <v>204</v>
      </c>
      <c r="FJ105" s="330"/>
      <c r="FK105" s="330" t="s">
        <v>230</v>
      </c>
      <c r="FL105" s="330" t="s">
        <v>192</v>
      </c>
      <c r="FM105" s="330" t="s">
        <v>191</v>
      </c>
      <c r="FN105" s="330" t="s">
        <v>1171</v>
      </c>
      <c r="FO105" s="330"/>
      <c r="FP105" s="330" t="s">
        <v>826</v>
      </c>
      <c r="FQ105" s="330"/>
      <c r="FR105" s="330"/>
      <c r="FS105" s="330"/>
      <c r="FT105" s="330"/>
      <c r="FU105" s="330"/>
    </row>
    <row r="106" spans="1:177" ht="38.25" x14ac:dyDescent="0.25">
      <c r="A106" s="330">
        <v>105</v>
      </c>
      <c r="B106" s="331" t="s">
        <v>1172</v>
      </c>
      <c r="C106" s="330"/>
      <c r="D106" s="332" t="s">
        <v>228</v>
      </c>
      <c r="E106" s="332" t="s">
        <v>229</v>
      </c>
      <c r="F106" s="332" t="s">
        <v>230</v>
      </c>
      <c r="G106" s="330" t="s">
        <v>231</v>
      </c>
      <c r="H106" s="331">
        <v>400</v>
      </c>
      <c r="I106" s="330"/>
      <c r="J106" s="332"/>
      <c r="K106" s="332" t="s">
        <v>1173</v>
      </c>
      <c r="L106" s="330"/>
      <c r="M106" s="332"/>
      <c r="N106" s="330" t="s">
        <v>1174</v>
      </c>
      <c r="O106" s="339">
        <v>0.26380527299148798</v>
      </c>
      <c r="P106" s="333">
        <v>5083</v>
      </c>
      <c r="Q106" s="333">
        <v>19268</v>
      </c>
      <c r="R106" s="333">
        <v>158</v>
      </c>
      <c r="S106" s="333">
        <v>158</v>
      </c>
      <c r="T106" s="333">
        <v>2</v>
      </c>
      <c r="U106" s="333">
        <v>726</v>
      </c>
      <c r="V106" s="333">
        <v>1050</v>
      </c>
      <c r="W106" s="330" t="s">
        <v>590</v>
      </c>
      <c r="X106" s="330" t="s">
        <v>1175</v>
      </c>
      <c r="Y106" s="332" t="s">
        <v>383</v>
      </c>
      <c r="Z106" s="330" t="s">
        <v>215</v>
      </c>
      <c r="AA106" s="330" t="s">
        <v>384</v>
      </c>
      <c r="AB106" s="330" t="s">
        <v>189</v>
      </c>
      <c r="AC106" s="330"/>
      <c r="AD106" s="330"/>
      <c r="AE106" s="330">
        <v>2</v>
      </c>
      <c r="AF106" s="330">
        <v>-263</v>
      </c>
      <c r="AG106" s="332" t="s">
        <v>238</v>
      </c>
      <c r="AH106" s="332" t="s">
        <v>191</v>
      </c>
      <c r="AI106" s="330"/>
      <c r="AJ106" s="330" t="s">
        <v>192</v>
      </c>
      <c r="AK106" s="330"/>
      <c r="AL106" s="330" t="s">
        <v>192</v>
      </c>
      <c r="AM106" s="330" t="s">
        <v>191</v>
      </c>
      <c r="AN106" s="330" t="s">
        <v>192</v>
      </c>
      <c r="AO106" s="330"/>
      <c r="AP106" s="332" t="s">
        <v>239</v>
      </c>
      <c r="AQ106" s="330"/>
      <c r="AR106" s="330"/>
      <c r="AS106" s="330" t="b">
        <v>1</v>
      </c>
      <c r="AT106" s="330"/>
      <c r="AU106" s="332" t="s">
        <v>192</v>
      </c>
      <c r="AV106" s="334">
        <v>45722.474623425929</v>
      </c>
      <c r="AW106" s="330"/>
      <c r="AX106" s="335">
        <v>45743</v>
      </c>
      <c r="AY106" s="336">
        <v>45734</v>
      </c>
      <c r="AZ106" s="330"/>
      <c r="BA106" s="336">
        <v>45762</v>
      </c>
      <c r="BB106" s="330"/>
      <c r="BC106" s="336">
        <v>45764</v>
      </c>
      <c r="BD106" s="330"/>
      <c r="BE106" s="336">
        <v>45764</v>
      </c>
      <c r="BF106" s="330"/>
      <c r="BG106" s="330"/>
      <c r="BH106" s="330" t="s">
        <v>193</v>
      </c>
      <c r="BI106" s="330">
        <v>1000</v>
      </c>
      <c r="BJ106" s="330"/>
      <c r="BK106" s="330"/>
      <c r="BL106" s="330"/>
      <c r="BM106" s="332"/>
      <c r="BN106" s="330"/>
      <c r="BO106" s="330" t="s">
        <v>240</v>
      </c>
      <c r="BP106" s="330" t="s">
        <v>193</v>
      </c>
      <c r="BQ106" s="330" t="s">
        <v>218</v>
      </c>
      <c r="BR106" s="330" t="s">
        <v>220</v>
      </c>
      <c r="BS106" s="330"/>
      <c r="BT106" s="330" t="s">
        <v>220</v>
      </c>
      <c r="BU106" s="330"/>
      <c r="BV106" s="330" t="s">
        <v>220</v>
      </c>
      <c r="BW106" s="330"/>
      <c r="BX106" s="332"/>
      <c r="BY106" s="330"/>
      <c r="BZ106" s="330"/>
      <c r="CA106" s="330"/>
      <c r="CB106" s="330"/>
      <c r="CC106" s="337" t="s">
        <v>241</v>
      </c>
      <c r="CD106" s="330" t="b">
        <v>1</v>
      </c>
      <c r="CE106" s="330" t="b">
        <v>1</v>
      </c>
      <c r="CF106" s="330" t="b">
        <v>1</v>
      </c>
      <c r="CG106" s="330" t="s">
        <v>242</v>
      </c>
      <c r="CH106" s="330"/>
      <c r="CI106" s="330"/>
      <c r="CJ106" s="330"/>
      <c r="CK106" s="330"/>
      <c r="CL106" s="330"/>
      <c r="CM106" s="330"/>
      <c r="CN106" s="330"/>
      <c r="CO106" s="330"/>
      <c r="CP106" s="330"/>
      <c r="CQ106" s="330"/>
      <c r="CR106" s="330"/>
      <c r="CS106" s="330"/>
      <c r="CT106" s="330"/>
      <c r="CU106" s="330"/>
      <c r="CV106" s="330"/>
      <c r="CW106" s="330"/>
      <c r="CX106" s="330"/>
      <c r="CY106" s="330"/>
      <c r="CZ106" s="330"/>
      <c r="DA106" s="330"/>
      <c r="DB106" s="330" t="b">
        <v>1</v>
      </c>
      <c r="DC106" s="330" t="b">
        <v>1</v>
      </c>
      <c r="DD106" s="330"/>
      <c r="DE106" s="330"/>
      <c r="DF106" s="338">
        <v>24051</v>
      </c>
      <c r="DG106" s="330" t="s">
        <v>221</v>
      </c>
      <c r="DH106" s="330"/>
      <c r="DI106" s="338" t="s">
        <v>638</v>
      </c>
      <c r="DJ106" s="330"/>
      <c r="DK106" s="330">
        <v>2</v>
      </c>
      <c r="DL106" s="330" t="s">
        <v>243</v>
      </c>
      <c r="DM106" s="330"/>
      <c r="DN106" s="330"/>
      <c r="DO106" s="330"/>
      <c r="DP106" s="330"/>
      <c r="DQ106" s="338" t="s">
        <v>197</v>
      </c>
      <c r="DR106" s="330"/>
      <c r="DS106" s="330"/>
      <c r="DT106" s="330"/>
      <c r="DU106" s="338" t="s">
        <v>197</v>
      </c>
      <c r="DV106" s="330"/>
      <c r="DW106" s="330"/>
      <c r="DX106" s="330"/>
      <c r="DY106" s="338" t="s">
        <v>197</v>
      </c>
      <c r="DZ106" s="330"/>
      <c r="EA106" s="330"/>
      <c r="EB106" s="330"/>
      <c r="EC106" s="330" t="s">
        <v>197</v>
      </c>
      <c r="ED106" s="338" t="s">
        <v>197</v>
      </c>
      <c r="EE106" s="330">
        <v>8</v>
      </c>
      <c r="EF106" s="330">
        <v>300</v>
      </c>
      <c r="EG106" s="330"/>
      <c r="EH106" s="330"/>
      <c r="EI106" s="330"/>
      <c r="EJ106" s="330"/>
      <c r="EK106" s="330"/>
      <c r="EL106" s="330"/>
      <c r="EM106" s="330"/>
      <c r="EN106" s="330"/>
      <c r="EO106" s="330"/>
      <c r="EP106" s="330"/>
      <c r="EQ106" s="332" t="s">
        <v>244</v>
      </c>
      <c r="ER106" s="330"/>
      <c r="ES106" s="330"/>
      <c r="ET106" s="332" t="s">
        <v>245</v>
      </c>
      <c r="EU106" s="332" t="s">
        <v>246</v>
      </c>
      <c r="EV106" s="336">
        <v>45734</v>
      </c>
      <c r="EW106" s="336">
        <v>45734</v>
      </c>
      <c r="EX106" s="330">
        <v>1</v>
      </c>
      <c r="EY106" s="330"/>
      <c r="EZ106" s="330" t="s">
        <v>201</v>
      </c>
      <c r="FA106" s="336">
        <v>45763</v>
      </c>
      <c r="FB106" s="330">
        <v>2</v>
      </c>
      <c r="FC106" s="330" t="s">
        <v>202</v>
      </c>
      <c r="FD106" s="332" t="s">
        <v>190</v>
      </c>
      <c r="FE106" s="336">
        <v>45764</v>
      </c>
      <c r="FF106" s="330"/>
      <c r="FG106" s="330" t="s">
        <v>203</v>
      </c>
      <c r="FH106" s="330" t="s">
        <v>944</v>
      </c>
      <c r="FI106" s="330" t="s">
        <v>204</v>
      </c>
      <c r="FJ106" s="330"/>
      <c r="FK106" s="330" t="s">
        <v>230</v>
      </c>
      <c r="FL106" s="330" t="s">
        <v>192</v>
      </c>
      <c r="FM106" s="330" t="s">
        <v>191</v>
      </c>
      <c r="FN106" s="330" t="s">
        <v>1176</v>
      </c>
      <c r="FO106" s="330"/>
      <c r="FP106" s="330" t="s">
        <v>1177</v>
      </c>
      <c r="FQ106" s="330"/>
      <c r="FR106" s="330"/>
      <c r="FS106" s="330"/>
      <c r="FT106" s="330"/>
      <c r="FU106" s="330"/>
    </row>
    <row r="107" spans="1:177" ht="38.25" x14ac:dyDescent="0.25">
      <c r="A107" s="330">
        <v>106</v>
      </c>
      <c r="B107" s="331" t="s">
        <v>1178</v>
      </c>
      <c r="C107" s="330"/>
      <c r="D107" s="332" t="s">
        <v>228</v>
      </c>
      <c r="E107" s="332" t="s">
        <v>229</v>
      </c>
      <c r="F107" s="332" t="s">
        <v>230</v>
      </c>
      <c r="G107" s="330" t="s">
        <v>231</v>
      </c>
      <c r="H107" s="331">
        <v>400</v>
      </c>
      <c r="I107" s="330"/>
      <c r="J107" s="332"/>
      <c r="K107" s="332" t="s">
        <v>1179</v>
      </c>
      <c r="L107" s="330"/>
      <c r="M107" s="332"/>
      <c r="N107" s="330" t="s">
        <v>1180</v>
      </c>
      <c r="O107" s="339">
        <v>0.27210919659539101</v>
      </c>
      <c r="P107" s="333">
        <v>5243</v>
      </c>
      <c r="Q107" s="333">
        <v>19268</v>
      </c>
      <c r="R107" s="333">
        <v>160</v>
      </c>
      <c r="S107" s="333">
        <v>160</v>
      </c>
      <c r="T107" s="333">
        <v>2</v>
      </c>
      <c r="U107" s="333">
        <v>1280</v>
      </c>
      <c r="V107" s="333">
        <v>2460</v>
      </c>
      <c r="W107" s="330" t="s">
        <v>1181</v>
      </c>
      <c r="X107" s="330" t="s">
        <v>1182</v>
      </c>
      <c r="Y107" s="332" t="s">
        <v>1183</v>
      </c>
      <c r="Z107" s="330" t="s">
        <v>215</v>
      </c>
      <c r="AA107" s="330" t="s">
        <v>1184</v>
      </c>
      <c r="AB107" s="330" t="s">
        <v>189</v>
      </c>
      <c r="AC107" s="330"/>
      <c r="AD107" s="330"/>
      <c r="AE107" s="330">
        <v>3</v>
      </c>
      <c r="AF107" s="330">
        <v>-262</v>
      </c>
      <c r="AG107" s="332" t="s">
        <v>238</v>
      </c>
      <c r="AH107" s="332" t="s">
        <v>191</v>
      </c>
      <c r="AI107" s="330"/>
      <c r="AJ107" s="330" t="s">
        <v>192</v>
      </c>
      <c r="AK107" s="330"/>
      <c r="AL107" s="330" t="s">
        <v>192</v>
      </c>
      <c r="AM107" s="330" t="s">
        <v>191</v>
      </c>
      <c r="AN107" s="330" t="s">
        <v>192</v>
      </c>
      <c r="AO107" s="330"/>
      <c r="AP107" s="332" t="s">
        <v>239</v>
      </c>
      <c r="AQ107" s="330"/>
      <c r="AR107" s="330"/>
      <c r="AS107" s="330" t="b">
        <v>1</v>
      </c>
      <c r="AT107" s="330"/>
      <c r="AU107" s="332" t="s">
        <v>192</v>
      </c>
      <c r="AV107" s="334">
        <v>45722.487933460645</v>
      </c>
      <c r="AW107" s="330"/>
      <c r="AX107" s="335">
        <v>45744</v>
      </c>
      <c r="AY107" s="336">
        <v>45734</v>
      </c>
      <c r="AZ107" s="330"/>
      <c r="BA107" s="336">
        <v>45763</v>
      </c>
      <c r="BB107" s="330"/>
      <c r="BC107" s="336">
        <v>45765</v>
      </c>
      <c r="BD107" s="330"/>
      <c r="BE107" s="336">
        <v>45765</v>
      </c>
      <c r="BF107" s="330"/>
      <c r="BG107" s="330"/>
      <c r="BH107" s="330" t="s">
        <v>193</v>
      </c>
      <c r="BI107" s="330">
        <v>1000</v>
      </c>
      <c r="BJ107" s="330"/>
      <c r="BK107" s="330"/>
      <c r="BL107" s="330"/>
      <c r="BM107" s="332"/>
      <c r="BN107" s="330"/>
      <c r="BO107" s="330" t="s">
        <v>240</v>
      </c>
      <c r="BP107" s="330" t="s">
        <v>193</v>
      </c>
      <c r="BQ107" s="330" t="s">
        <v>218</v>
      </c>
      <c r="BR107" s="330" t="s">
        <v>220</v>
      </c>
      <c r="BS107" s="330"/>
      <c r="BT107" s="330" t="s">
        <v>220</v>
      </c>
      <c r="BU107" s="330"/>
      <c r="BV107" s="330" t="s">
        <v>220</v>
      </c>
      <c r="BW107" s="330"/>
      <c r="BX107" s="332"/>
      <c r="BY107" s="330"/>
      <c r="BZ107" s="330"/>
      <c r="CA107" s="330"/>
      <c r="CB107" s="330"/>
      <c r="CC107" s="337" t="s">
        <v>241</v>
      </c>
      <c r="CD107" s="330" t="b">
        <v>1</v>
      </c>
      <c r="CE107" s="330" t="b">
        <v>1</v>
      </c>
      <c r="CF107" s="330" t="b">
        <v>1</v>
      </c>
      <c r="CG107" s="330" t="s">
        <v>820</v>
      </c>
      <c r="CH107" s="330"/>
      <c r="CI107" s="330"/>
      <c r="CJ107" s="330"/>
      <c r="CK107" s="330"/>
      <c r="CL107" s="330"/>
      <c r="CM107" s="330"/>
      <c r="CN107" s="330"/>
      <c r="CO107" s="330"/>
      <c r="CP107" s="330"/>
      <c r="CQ107" s="330"/>
      <c r="CR107" s="330"/>
      <c r="CS107" s="330"/>
      <c r="CT107" s="330"/>
      <c r="CU107" s="330"/>
      <c r="CV107" s="330"/>
      <c r="CW107" s="330"/>
      <c r="CX107" s="330"/>
      <c r="CY107" s="330"/>
      <c r="CZ107" s="330"/>
      <c r="DA107" s="330"/>
      <c r="DB107" s="330" t="b">
        <v>1</v>
      </c>
      <c r="DC107" s="330" t="b">
        <v>1</v>
      </c>
      <c r="DD107" s="330"/>
      <c r="DE107" s="330"/>
      <c r="DF107" s="338">
        <v>24051</v>
      </c>
      <c r="DG107" s="330" t="s">
        <v>221</v>
      </c>
      <c r="DH107" s="330"/>
      <c r="DI107" s="338" t="s">
        <v>746</v>
      </c>
      <c r="DJ107" s="330"/>
      <c r="DK107" s="330">
        <v>3</v>
      </c>
      <c r="DL107" s="330" t="s">
        <v>243</v>
      </c>
      <c r="DM107" s="330"/>
      <c r="DN107" s="330"/>
      <c r="DO107" s="330"/>
      <c r="DP107" s="330"/>
      <c r="DQ107" s="338" t="s">
        <v>197</v>
      </c>
      <c r="DR107" s="330"/>
      <c r="DS107" s="330"/>
      <c r="DT107" s="330"/>
      <c r="DU107" s="338" t="s">
        <v>197</v>
      </c>
      <c r="DV107" s="330"/>
      <c r="DW107" s="336">
        <v>45736</v>
      </c>
      <c r="DX107" s="336">
        <v>45736</v>
      </c>
      <c r="DY107" s="338">
        <v>1</v>
      </c>
      <c r="DZ107" s="330"/>
      <c r="EA107" s="330"/>
      <c r="EB107" s="330"/>
      <c r="EC107" s="330" t="s">
        <v>197</v>
      </c>
      <c r="ED107" s="338">
        <v>1</v>
      </c>
      <c r="EE107" s="330">
        <v>8</v>
      </c>
      <c r="EF107" s="330">
        <v>300</v>
      </c>
      <c r="EG107" s="330"/>
      <c r="EH107" s="330"/>
      <c r="EI107" s="330"/>
      <c r="EJ107" s="330"/>
      <c r="EK107" s="330"/>
      <c r="EL107" s="330"/>
      <c r="EM107" s="330"/>
      <c r="EN107" s="330"/>
      <c r="EO107" s="330"/>
      <c r="EP107" s="330"/>
      <c r="EQ107" s="332"/>
      <c r="ER107" s="330"/>
      <c r="ES107" s="330"/>
      <c r="ET107" s="332" t="s">
        <v>245</v>
      </c>
      <c r="EU107" s="332" t="s">
        <v>823</v>
      </c>
      <c r="EV107" s="336">
        <v>45734</v>
      </c>
      <c r="EW107" s="336">
        <v>45734</v>
      </c>
      <c r="EX107" s="330">
        <v>1</v>
      </c>
      <c r="EY107" s="330"/>
      <c r="EZ107" s="330" t="s">
        <v>247</v>
      </c>
      <c r="FA107" s="330"/>
      <c r="FB107" s="330" t="s">
        <v>248</v>
      </c>
      <c r="FC107" s="330" t="s">
        <v>202</v>
      </c>
      <c r="FD107" s="332" t="s">
        <v>190</v>
      </c>
      <c r="FE107" s="336">
        <v>45765</v>
      </c>
      <c r="FF107" s="330"/>
      <c r="FG107" s="330" t="s">
        <v>203</v>
      </c>
      <c r="FH107" s="330" t="s">
        <v>944</v>
      </c>
      <c r="FI107" s="330" t="s">
        <v>204</v>
      </c>
      <c r="FJ107" s="330"/>
      <c r="FK107" s="330" t="s">
        <v>230</v>
      </c>
      <c r="FL107" s="330" t="s">
        <v>192</v>
      </c>
      <c r="FM107" s="330" t="s">
        <v>191</v>
      </c>
      <c r="FN107" s="330" t="s">
        <v>1185</v>
      </c>
      <c r="FO107" s="330"/>
      <c r="FP107" s="330" t="s">
        <v>1177</v>
      </c>
      <c r="FQ107" s="330"/>
      <c r="FR107" s="330"/>
      <c r="FS107" s="330"/>
      <c r="FT107" s="330"/>
      <c r="FU107" s="330"/>
    </row>
    <row r="108" spans="1:177" ht="25.5" x14ac:dyDescent="0.25">
      <c r="A108" s="330">
        <v>107</v>
      </c>
      <c r="B108" s="331" t="s">
        <v>1186</v>
      </c>
      <c r="C108" s="330"/>
      <c r="D108" s="332" t="s">
        <v>1187</v>
      </c>
      <c r="E108" s="332" t="s">
        <v>1188</v>
      </c>
      <c r="F108" s="332" t="s">
        <v>1189</v>
      </c>
      <c r="G108" s="330" t="s">
        <v>1190</v>
      </c>
      <c r="H108" s="331"/>
      <c r="I108" s="330"/>
      <c r="J108" s="332"/>
      <c r="K108" s="332" t="s">
        <v>1191</v>
      </c>
      <c r="L108" s="330" t="s">
        <v>857</v>
      </c>
      <c r="M108" s="332"/>
      <c r="N108" s="330" t="s">
        <v>1192</v>
      </c>
      <c r="O108" s="333" t="s">
        <v>184</v>
      </c>
      <c r="P108" s="333" t="s">
        <v>184</v>
      </c>
      <c r="Q108" s="333" t="s">
        <v>184</v>
      </c>
      <c r="R108" s="333">
        <v>0</v>
      </c>
      <c r="S108" s="333">
        <v>16</v>
      </c>
      <c r="T108" s="333">
        <v>1</v>
      </c>
      <c r="U108" s="333">
        <v>0</v>
      </c>
      <c r="V108" s="333">
        <v>0</v>
      </c>
      <c r="W108" s="330" t="s">
        <v>1193</v>
      </c>
      <c r="X108" s="330" t="s">
        <v>213</v>
      </c>
      <c r="Y108" s="332" t="s">
        <v>1194</v>
      </c>
      <c r="Z108" s="330" t="s">
        <v>614</v>
      </c>
      <c r="AA108" s="330" t="s">
        <v>1195</v>
      </c>
      <c r="AB108" s="330" t="s">
        <v>189</v>
      </c>
      <c r="AC108" s="330"/>
      <c r="AD108" s="330"/>
      <c r="AE108" s="330">
        <v>23</v>
      </c>
      <c r="AF108" s="330">
        <v>-76</v>
      </c>
      <c r="AG108" s="332" t="s">
        <v>190</v>
      </c>
      <c r="AH108" s="332" t="s">
        <v>191</v>
      </c>
      <c r="AI108" s="330"/>
      <c r="AJ108" s="330"/>
      <c r="AK108" s="330"/>
      <c r="AL108" s="330" t="s">
        <v>191</v>
      </c>
      <c r="AM108" s="330"/>
      <c r="AN108" s="330"/>
      <c r="AO108" s="330"/>
      <c r="AP108" s="332"/>
      <c r="AQ108" s="330"/>
      <c r="AR108" s="330"/>
      <c r="AS108" s="330"/>
      <c r="AT108" s="330"/>
      <c r="AU108" s="332" t="s">
        <v>191</v>
      </c>
      <c r="AV108" s="334">
        <v>45971.65467689815</v>
      </c>
      <c r="AW108" s="330"/>
      <c r="AX108" s="335">
        <v>46016</v>
      </c>
      <c r="AY108" s="336">
        <v>45973</v>
      </c>
      <c r="AZ108" s="330"/>
      <c r="BA108" s="336">
        <v>46023</v>
      </c>
      <c r="BB108" s="330"/>
      <c r="BC108" s="336">
        <v>46027</v>
      </c>
      <c r="BD108" s="330"/>
      <c r="BE108" s="336">
        <v>46027</v>
      </c>
      <c r="BF108" s="330"/>
      <c r="BG108" s="330"/>
      <c r="BH108" s="330" t="s">
        <v>193</v>
      </c>
      <c r="BI108" s="330">
        <v>270</v>
      </c>
      <c r="BJ108" s="330"/>
      <c r="BK108" s="330"/>
      <c r="BL108" s="330"/>
      <c r="BM108" s="332"/>
      <c r="BN108" s="330"/>
      <c r="BO108" s="330"/>
      <c r="BP108" s="330"/>
      <c r="BQ108" s="330"/>
      <c r="BR108" s="330"/>
      <c r="BS108" s="330"/>
      <c r="BT108" s="330"/>
      <c r="BU108" s="330"/>
      <c r="BV108" s="330"/>
      <c r="BW108" s="330"/>
      <c r="BX108" s="332"/>
      <c r="BY108" s="330"/>
      <c r="BZ108" s="330"/>
      <c r="CA108" s="330"/>
      <c r="CB108" s="330"/>
      <c r="CC108" s="337" t="s">
        <v>194</v>
      </c>
      <c r="CD108" s="330"/>
      <c r="CE108" s="330" t="b">
        <v>1</v>
      </c>
      <c r="CF108" s="330"/>
      <c r="CG108" s="330"/>
      <c r="CH108" s="330"/>
      <c r="CI108" s="330"/>
      <c r="CJ108" s="330"/>
      <c r="CK108" s="330"/>
      <c r="CL108" s="330"/>
      <c r="CM108" s="330"/>
      <c r="CN108" s="330"/>
      <c r="CO108" s="330" t="b">
        <v>1</v>
      </c>
      <c r="CP108" s="330" t="b">
        <v>1</v>
      </c>
      <c r="CQ108" s="330"/>
      <c r="CR108" s="330"/>
      <c r="CS108" s="330"/>
      <c r="CT108" s="330"/>
      <c r="CU108" s="330"/>
      <c r="CV108" s="330"/>
      <c r="CW108" s="330"/>
      <c r="CX108" s="330"/>
      <c r="CY108" s="330"/>
      <c r="CZ108" s="330"/>
      <c r="DA108" s="330"/>
      <c r="DB108" s="330"/>
      <c r="DC108" s="330"/>
      <c r="DD108" s="330"/>
      <c r="DE108" s="330"/>
      <c r="DF108" s="338">
        <v>25052</v>
      </c>
      <c r="DG108" s="330" t="s">
        <v>195</v>
      </c>
      <c r="DH108" s="330"/>
      <c r="DI108" s="338" t="s">
        <v>196</v>
      </c>
      <c r="DJ108" s="330"/>
      <c r="DK108" s="330">
        <v>1</v>
      </c>
      <c r="DL108" s="330" t="s">
        <v>1186</v>
      </c>
      <c r="DM108" s="330"/>
      <c r="DN108" s="330"/>
      <c r="DO108" s="330"/>
      <c r="DP108" s="330"/>
      <c r="DQ108" s="338" t="s">
        <v>197</v>
      </c>
      <c r="DR108" s="330"/>
      <c r="DS108" s="330"/>
      <c r="DT108" s="330"/>
      <c r="DU108" s="338" t="s">
        <v>197</v>
      </c>
      <c r="DV108" s="330"/>
      <c r="DW108" s="330"/>
      <c r="DX108" s="330"/>
      <c r="DY108" s="338" t="s">
        <v>197</v>
      </c>
      <c r="DZ108" s="330"/>
      <c r="EA108" s="330"/>
      <c r="EB108" s="330"/>
      <c r="EC108" s="330" t="s">
        <v>197</v>
      </c>
      <c r="ED108" s="338" t="s">
        <v>197</v>
      </c>
      <c r="EE108" s="330">
        <v>2</v>
      </c>
      <c r="EF108" s="330">
        <v>5</v>
      </c>
      <c r="EG108" s="330"/>
      <c r="EH108" s="330"/>
      <c r="EI108" s="330"/>
      <c r="EJ108" s="330"/>
      <c r="EK108" s="330"/>
      <c r="EL108" s="330"/>
      <c r="EM108" s="330"/>
      <c r="EN108" s="330"/>
      <c r="EO108" s="330"/>
      <c r="EP108" s="330"/>
      <c r="EQ108" s="332" t="s">
        <v>198</v>
      </c>
      <c r="ER108" s="330"/>
      <c r="ES108" s="330"/>
      <c r="ET108" s="332"/>
      <c r="EU108" s="332" t="s">
        <v>199</v>
      </c>
      <c r="EV108" s="330"/>
      <c r="EW108" s="330"/>
      <c r="EX108" s="330" t="s">
        <v>200</v>
      </c>
      <c r="EY108" s="330"/>
      <c r="EZ108" s="330" t="s">
        <v>201</v>
      </c>
      <c r="FA108" s="336">
        <v>45974</v>
      </c>
      <c r="FB108" s="330">
        <v>3</v>
      </c>
      <c r="FC108" s="330" t="s">
        <v>202</v>
      </c>
      <c r="FD108" s="332" t="s">
        <v>190</v>
      </c>
      <c r="FE108" s="336">
        <v>45978</v>
      </c>
      <c r="FF108" s="330"/>
      <c r="FG108" s="330" t="s">
        <v>203</v>
      </c>
      <c r="FH108" s="330"/>
      <c r="FI108" s="330" t="s">
        <v>204</v>
      </c>
      <c r="FJ108" s="330"/>
      <c r="FK108" s="330" t="s">
        <v>1189</v>
      </c>
      <c r="FL108" s="330" t="s">
        <v>191</v>
      </c>
      <c r="FM108" s="330"/>
      <c r="FN108" s="330" t="s">
        <v>1196</v>
      </c>
      <c r="FO108" s="330"/>
      <c r="FP108" s="330" t="s">
        <v>415</v>
      </c>
      <c r="FQ108" s="330"/>
      <c r="FR108" s="330"/>
      <c r="FS108" s="330"/>
      <c r="FT108" s="330"/>
      <c r="FU108" s="330"/>
    </row>
    <row r="109" spans="1:177" ht="25.5" x14ac:dyDescent="0.25">
      <c r="A109" s="330">
        <v>108</v>
      </c>
      <c r="B109" s="331" t="s">
        <v>1197</v>
      </c>
      <c r="C109" s="330"/>
      <c r="D109" s="332" t="s">
        <v>1187</v>
      </c>
      <c r="E109" s="332" t="s">
        <v>1188</v>
      </c>
      <c r="F109" s="332" t="s">
        <v>1189</v>
      </c>
      <c r="G109" s="330" t="s">
        <v>1190</v>
      </c>
      <c r="H109" s="331"/>
      <c r="I109" s="330"/>
      <c r="J109" s="332" t="s">
        <v>1198</v>
      </c>
      <c r="K109" s="332" t="s">
        <v>1199</v>
      </c>
      <c r="L109" s="330" t="s">
        <v>857</v>
      </c>
      <c r="M109" s="332"/>
      <c r="N109" s="330" t="s">
        <v>1200</v>
      </c>
      <c r="O109" s="333" t="s">
        <v>184</v>
      </c>
      <c r="P109" s="333" t="s">
        <v>184</v>
      </c>
      <c r="Q109" s="333" t="s">
        <v>184</v>
      </c>
      <c r="R109" s="333">
        <v>0</v>
      </c>
      <c r="S109" s="333">
        <v>10</v>
      </c>
      <c r="T109" s="333">
        <v>1</v>
      </c>
      <c r="U109" s="333">
        <v>0</v>
      </c>
      <c r="V109" s="333">
        <v>0</v>
      </c>
      <c r="W109" s="330" t="s">
        <v>1201</v>
      </c>
      <c r="X109" s="330" t="s">
        <v>213</v>
      </c>
      <c r="Y109" s="332" t="s">
        <v>1202</v>
      </c>
      <c r="Z109" s="330" t="s">
        <v>739</v>
      </c>
      <c r="AA109" s="330" t="s">
        <v>1203</v>
      </c>
      <c r="AB109" s="330" t="s">
        <v>217</v>
      </c>
      <c r="AC109" s="330"/>
      <c r="AD109" s="330"/>
      <c r="AE109" s="330">
        <v>26</v>
      </c>
      <c r="AF109" s="330">
        <v>-68</v>
      </c>
      <c r="AG109" s="332" t="s">
        <v>190</v>
      </c>
      <c r="AH109" s="332" t="s">
        <v>191</v>
      </c>
      <c r="AI109" s="330"/>
      <c r="AJ109" s="330"/>
      <c r="AK109" s="330"/>
      <c r="AL109" s="330" t="s">
        <v>191</v>
      </c>
      <c r="AM109" s="330"/>
      <c r="AN109" s="330"/>
      <c r="AO109" s="330"/>
      <c r="AP109" s="332"/>
      <c r="AQ109" s="330"/>
      <c r="AR109" s="330"/>
      <c r="AS109" s="330"/>
      <c r="AT109" s="330"/>
      <c r="AU109" s="332" t="s">
        <v>191</v>
      </c>
      <c r="AV109" s="334">
        <v>45972.403048888889</v>
      </c>
      <c r="AW109" s="330"/>
      <c r="AX109" s="335">
        <v>46028</v>
      </c>
      <c r="AY109" s="336">
        <v>45975</v>
      </c>
      <c r="AZ109" s="330"/>
      <c r="BA109" s="336">
        <v>46035</v>
      </c>
      <c r="BB109" s="330"/>
      <c r="BC109" s="336">
        <v>46037</v>
      </c>
      <c r="BD109" s="330"/>
      <c r="BE109" s="336">
        <v>46037</v>
      </c>
      <c r="BF109" s="330"/>
      <c r="BG109" s="330"/>
      <c r="BH109" s="330" t="s">
        <v>193</v>
      </c>
      <c r="BI109" s="330">
        <v>2</v>
      </c>
      <c r="BJ109" s="336">
        <v>46000</v>
      </c>
      <c r="BK109" s="330"/>
      <c r="BL109" s="330"/>
      <c r="BM109" s="332"/>
      <c r="BN109" s="330"/>
      <c r="BO109" s="330"/>
      <c r="BP109" s="330"/>
      <c r="BQ109" s="330"/>
      <c r="BR109" s="330"/>
      <c r="BS109" s="330"/>
      <c r="BT109" s="330" t="s">
        <v>193</v>
      </c>
      <c r="BU109" s="330" t="s">
        <v>1204</v>
      </c>
      <c r="BV109" s="330"/>
      <c r="BW109" s="330"/>
      <c r="BX109" s="332"/>
      <c r="BY109" s="330"/>
      <c r="BZ109" s="330"/>
      <c r="CA109" s="330"/>
      <c r="CB109" s="330"/>
      <c r="CC109" s="337" t="s">
        <v>194</v>
      </c>
      <c r="CD109" s="330"/>
      <c r="CE109" s="330" t="b">
        <v>1</v>
      </c>
      <c r="CF109" s="330"/>
      <c r="CG109" s="330"/>
      <c r="CH109" s="330"/>
      <c r="CI109" s="330"/>
      <c r="CJ109" s="330"/>
      <c r="CK109" s="330"/>
      <c r="CL109" s="330"/>
      <c r="CM109" s="330"/>
      <c r="CN109" s="330"/>
      <c r="CO109" s="330" t="b">
        <v>1</v>
      </c>
      <c r="CP109" s="330" t="b">
        <v>1</v>
      </c>
      <c r="CQ109" s="330"/>
      <c r="CR109" s="330"/>
      <c r="CS109" s="330"/>
      <c r="CT109" s="330"/>
      <c r="CU109" s="330"/>
      <c r="CV109" s="330"/>
      <c r="CW109" s="330"/>
      <c r="CX109" s="330"/>
      <c r="CY109" s="330"/>
      <c r="CZ109" s="330"/>
      <c r="DA109" s="330"/>
      <c r="DB109" s="330"/>
      <c r="DC109" s="330"/>
      <c r="DD109" s="330"/>
      <c r="DE109" s="330"/>
      <c r="DF109" s="338">
        <v>25052</v>
      </c>
      <c r="DG109" s="330" t="s">
        <v>764</v>
      </c>
      <c r="DH109" s="330"/>
      <c r="DI109" s="338" t="s">
        <v>196</v>
      </c>
      <c r="DJ109" s="330"/>
      <c r="DK109" s="330">
        <v>1</v>
      </c>
      <c r="DL109" s="330" t="s">
        <v>1197</v>
      </c>
      <c r="DM109" s="330"/>
      <c r="DN109" s="330"/>
      <c r="DO109" s="330"/>
      <c r="DP109" s="330"/>
      <c r="DQ109" s="338" t="s">
        <v>197</v>
      </c>
      <c r="DR109" s="330"/>
      <c r="DS109" s="330"/>
      <c r="DT109" s="330"/>
      <c r="DU109" s="338" t="s">
        <v>197</v>
      </c>
      <c r="DV109" s="330"/>
      <c r="DW109" s="330"/>
      <c r="DX109" s="330"/>
      <c r="DY109" s="338" t="s">
        <v>197</v>
      </c>
      <c r="DZ109" s="330"/>
      <c r="EA109" s="330"/>
      <c r="EB109" s="330"/>
      <c r="EC109" s="330" t="s">
        <v>197</v>
      </c>
      <c r="ED109" s="338" t="s">
        <v>197</v>
      </c>
      <c r="EE109" s="330">
        <v>4</v>
      </c>
      <c r="EF109" s="330">
        <v>6</v>
      </c>
      <c r="EG109" s="330"/>
      <c r="EH109" s="330"/>
      <c r="EI109" s="330"/>
      <c r="EJ109" s="330"/>
      <c r="EK109" s="330"/>
      <c r="EL109" s="330"/>
      <c r="EM109" s="330"/>
      <c r="EN109" s="330"/>
      <c r="EO109" s="330"/>
      <c r="EP109" s="330"/>
      <c r="EQ109" s="332" t="s">
        <v>198</v>
      </c>
      <c r="ER109" s="330"/>
      <c r="ES109" s="330"/>
      <c r="ET109" s="332"/>
      <c r="EU109" s="332" t="s">
        <v>199</v>
      </c>
      <c r="EV109" s="330"/>
      <c r="EW109" s="330"/>
      <c r="EX109" s="330" t="s">
        <v>200</v>
      </c>
      <c r="EY109" s="330"/>
      <c r="EZ109" s="330" t="s">
        <v>201</v>
      </c>
      <c r="FA109" s="336">
        <v>46008</v>
      </c>
      <c r="FB109" s="330">
        <v>6</v>
      </c>
      <c r="FC109" s="330" t="s">
        <v>202</v>
      </c>
      <c r="FD109" s="332" t="s">
        <v>190</v>
      </c>
      <c r="FE109" s="336">
        <v>46015</v>
      </c>
      <c r="FF109" s="330"/>
      <c r="FG109" s="330" t="s">
        <v>203</v>
      </c>
      <c r="FH109" s="330" t="s">
        <v>1205</v>
      </c>
      <c r="FI109" s="330" t="s">
        <v>204</v>
      </c>
      <c r="FJ109" s="330"/>
      <c r="FK109" s="330" t="s">
        <v>1189</v>
      </c>
      <c r="FL109" s="330" t="s">
        <v>191</v>
      </c>
      <c r="FM109" s="330"/>
      <c r="FN109" s="330" t="s">
        <v>1206</v>
      </c>
      <c r="FO109" s="330"/>
      <c r="FP109" s="330" t="s">
        <v>864</v>
      </c>
      <c r="FQ109" s="330"/>
      <c r="FR109" s="330"/>
      <c r="FS109" s="330"/>
      <c r="FT109" s="330"/>
      <c r="FU109" s="330"/>
    </row>
    <row r="110" spans="1:177" ht="38.25" x14ac:dyDescent="0.25">
      <c r="A110" s="330">
        <v>109</v>
      </c>
      <c r="B110" s="331" t="s">
        <v>1207</v>
      </c>
      <c r="C110" s="330"/>
      <c r="D110" s="332" t="s">
        <v>228</v>
      </c>
      <c r="E110" s="332" t="s">
        <v>229</v>
      </c>
      <c r="F110" s="332" t="s">
        <v>230</v>
      </c>
      <c r="G110" s="330" t="s">
        <v>231</v>
      </c>
      <c r="H110" s="331"/>
      <c r="I110" s="330"/>
      <c r="J110" s="332"/>
      <c r="K110" s="332" t="s">
        <v>1208</v>
      </c>
      <c r="L110" s="330"/>
      <c r="M110" s="332"/>
      <c r="N110" s="330" t="s">
        <v>1209</v>
      </c>
      <c r="O110" s="339">
        <v>0.49283786589163397</v>
      </c>
      <c r="P110" s="333">
        <v>9496</v>
      </c>
      <c r="Q110" s="333">
        <v>19268</v>
      </c>
      <c r="R110" s="333">
        <v>1</v>
      </c>
      <c r="S110" s="333">
        <v>1</v>
      </c>
      <c r="T110" s="333">
        <v>0</v>
      </c>
      <c r="U110" s="333">
        <v>0</v>
      </c>
      <c r="V110" s="333">
        <v>0</v>
      </c>
      <c r="W110" s="330" t="s">
        <v>671</v>
      </c>
      <c r="X110" s="330" t="s">
        <v>1210</v>
      </c>
      <c r="Y110" s="332"/>
      <c r="Z110" s="330"/>
      <c r="AA110" s="330"/>
      <c r="AB110" s="330"/>
      <c r="AC110" s="330"/>
      <c r="AD110" s="330"/>
      <c r="AE110" s="330">
        <v>40</v>
      </c>
      <c r="AF110" s="330">
        <v>-176</v>
      </c>
      <c r="AG110" s="332" t="s">
        <v>238</v>
      </c>
      <c r="AH110" s="332" t="s">
        <v>202</v>
      </c>
      <c r="AI110" s="330"/>
      <c r="AJ110" s="330"/>
      <c r="AK110" s="330"/>
      <c r="AL110" s="330"/>
      <c r="AM110" s="330"/>
      <c r="AN110" s="330" t="s">
        <v>674</v>
      </c>
      <c r="AO110" s="330"/>
      <c r="AP110" s="332" t="s">
        <v>259</v>
      </c>
      <c r="AQ110" s="330"/>
      <c r="AR110" s="330"/>
      <c r="AS110" s="330"/>
      <c r="AT110" s="330"/>
      <c r="AU110" s="332" t="s">
        <v>471</v>
      </c>
      <c r="AV110" s="334">
        <v>45883.414495138888</v>
      </c>
      <c r="AW110" s="330"/>
      <c r="AX110" s="335">
        <v>45883</v>
      </c>
      <c r="AY110" s="336">
        <v>45883</v>
      </c>
      <c r="AZ110" s="330"/>
      <c r="BA110" s="336">
        <v>45883</v>
      </c>
      <c r="BB110" s="330"/>
      <c r="BC110" s="330"/>
      <c r="BD110" s="330"/>
      <c r="BE110" s="330"/>
      <c r="BF110" s="330"/>
      <c r="BG110" s="330"/>
      <c r="BH110" s="330"/>
      <c r="BI110" s="330"/>
      <c r="BJ110" s="330"/>
      <c r="BK110" s="330"/>
      <c r="BL110" s="330"/>
      <c r="BM110" s="332"/>
      <c r="BN110" s="330"/>
      <c r="BO110" s="330"/>
      <c r="BP110" s="330"/>
      <c r="BQ110" s="330"/>
      <c r="BR110" s="330"/>
      <c r="BS110" s="330"/>
      <c r="BT110" s="330"/>
      <c r="BU110" s="330"/>
      <c r="BV110" s="330"/>
      <c r="BW110" s="330"/>
      <c r="BX110" s="332" t="s">
        <v>1211</v>
      </c>
      <c r="BY110" s="330" t="s">
        <v>1212</v>
      </c>
      <c r="BZ110" s="330" t="s">
        <v>676</v>
      </c>
      <c r="CA110" s="330"/>
      <c r="CB110" s="330" t="s">
        <v>677</v>
      </c>
      <c r="CC110" s="337" t="s">
        <v>241</v>
      </c>
      <c r="CD110" s="330"/>
      <c r="CE110" s="330"/>
      <c r="CF110" s="330" t="b">
        <v>1</v>
      </c>
      <c r="CG110" s="330" t="s">
        <v>242</v>
      </c>
      <c r="CH110" s="330"/>
      <c r="CI110" s="330"/>
      <c r="CJ110" s="330"/>
      <c r="CK110" s="330"/>
      <c r="CL110" s="330"/>
      <c r="CM110" s="330"/>
      <c r="CN110" s="330"/>
      <c r="CO110" s="330"/>
      <c r="CP110" s="330"/>
      <c r="CQ110" s="330"/>
      <c r="CR110" s="330"/>
      <c r="CS110" s="330"/>
      <c r="CT110" s="330"/>
      <c r="CU110" s="330"/>
      <c r="CV110" s="330"/>
      <c r="CW110" s="330"/>
      <c r="CX110" s="330"/>
      <c r="CY110" s="330"/>
      <c r="CZ110" s="330"/>
      <c r="DA110" s="330"/>
      <c r="DB110" s="330" t="b">
        <v>1</v>
      </c>
      <c r="DC110" s="330" t="b">
        <v>1</v>
      </c>
      <c r="DD110" s="330"/>
      <c r="DE110" s="330"/>
      <c r="DF110" s="338">
        <v>24051</v>
      </c>
      <c r="DG110" s="330"/>
      <c r="DH110" s="330" t="s">
        <v>678</v>
      </c>
      <c r="DI110" s="338">
        <v>17</v>
      </c>
      <c r="DJ110" s="330" t="s">
        <v>679</v>
      </c>
      <c r="DK110" s="330">
        <v>17</v>
      </c>
      <c r="DL110" s="330" t="s">
        <v>4184</v>
      </c>
      <c r="DM110" s="330"/>
      <c r="DN110" s="330"/>
      <c r="DO110" s="330"/>
      <c r="DP110" s="330"/>
      <c r="DQ110" s="338" t="s">
        <v>197</v>
      </c>
      <c r="DR110" s="330"/>
      <c r="DS110" s="330"/>
      <c r="DT110" s="330"/>
      <c r="DU110" s="338" t="s">
        <v>197</v>
      </c>
      <c r="DV110" s="330"/>
      <c r="DW110" s="330"/>
      <c r="DX110" s="330"/>
      <c r="DY110" s="338" t="s">
        <v>197</v>
      </c>
      <c r="DZ110" s="330"/>
      <c r="EA110" s="330"/>
      <c r="EB110" s="330"/>
      <c r="EC110" s="330" t="s">
        <v>197</v>
      </c>
      <c r="ED110" s="338" t="s">
        <v>197</v>
      </c>
      <c r="EE110" s="330"/>
      <c r="EF110" s="330"/>
      <c r="EG110" s="330"/>
      <c r="EH110" s="330"/>
      <c r="EI110" s="330"/>
      <c r="EJ110" s="330"/>
      <c r="EK110" s="330"/>
      <c r="EL110" s="330"/>
      <c r="EM110" s="330"/>
      <c r="EN110" s="330"/>
      <c r="EO110" s="330"/>
      <c r="EP110" s="330"/>
      <c r="EQ110" s="332"/>
      <c r="ER110" s="330"/>
      <c r="ES110" s="330"/>
      <c r="ET110" s="332" t="s">
        <v>245</v>
      </c>
      <c r="EU110" s="332" t="s">
        <v>246</v>
      </c>
      <c r="EV110" s="336">
        <v>45883</v>
      </c>
      <c r="EW110" s="330"/>
      <c r="EX110" s="330" t="s">
        <v>4096</v>
      </c>
      <c r="EY110" s="330"/>
      <c r="EZ110" s="330" t="s">
        <v>201</v>
      </c>
      <c r="FA110" s="336">
        <v>45885</v>
      </c>
      <c r="FB110" s="330">
        <v>1</v>
      </c>
      <c r="FC110" s="330" t="s">
        <v>202</v>
      </c>
      <c r="FD110" s="332" t="s">
        <v>190</v>
      </c>
      <c r="FE110" s="336">
        <v>45887</v>
      </c>
      <c r="FF110" s="330"/>
      <c r="FG110" s="330" t="s">
        <v>681</v>
      </c>
      <c r="FH110" s="330" t="s">
        <v>682</v>
      </c>
      <c r="FI110" s="330" t="s">
        <v>204</v>
      </c>
      <c r="FJ110" s="330"/>
      <c r="FK110" s="330" t="s">
        <v>230</v>
      </c>
      <c r="FL110" s="330"/>
      <c r="FM110" s="330"/>
      <c r="FN110" s="330" t="s">
        <v>1213</v>
      </c>
      <c r="FO110" s="330"/>
      <c r="FP110" s="330" t="s">
        <v>694</v>
      </c>
      <c r="FQ110" s="330"/>
      <c r="FR110" s="330"/>
      <c r="FS110" s="330"/>
      <c r="FT110" s="330"/>
      <c r="FU110" s="330"/>
    </row>
    <row r="111" spans="1:177" ht="38.25" x14ac:dyDescent="0.25">
      <c r="A111" s="330">
        <v>110</v>
      </c>
      <c r="B111" s="331" t="s">
        <v>680</v>
      </c>
      <c r="C111" s="330"/>
      <c r="D111" s="332" t="s">
        <v>228</v>
      </c>
      <c r="E111" s="332" t="s">
        <v>229</v>
      </c>
      <c r="F111" s="332" t="s">
        <v>230</v>
      </c>
      <c r="G111" s="330" t="s">
        <v>231</v>
      </c>
      <c r="H111" s="331"/>
      <c r="I111" s="330"/>
      <c r="J111" s="332"/>
      <c r="K111" s="332" t="s">
        <v>1214</v>
      </c>
      <c r="L111" s="330"/>
      <c r="M111" s="332"/>
      <c r="N111" s="330" t="s">
        <v>1215</v>
      </c>
      <c r="O111" s="339">
        <v>0.49522524392775602</v>
      </c>
      <c r="P111" s="333">
        <v>9542</v>
      </c>
      <c r="Q111" s="333">
        <v>19268</v>
      </c>
      <c r="R111" s="333">
        <v>46</v>
      </c>
      <c r="S111" s="333">
        <v>46</v>
      </c>
      <c r="T111" s="333">
        <v>0</v>
      </c>
      <c r="U111" s="333">
        <v>0</v>
      </c>
      <c r="V111" s="333">
        <v>0</v>
      </c>
      <c r="W111" s="330" t="s">
        <v>1216</v>
      </c>
      <c r="X111" s="330" t="s">
        <v>1217</v>
      </c>
      <c r="Y111" s="332" t="s">
        <v>383</v>
      </c>
      <c r="Z111" s="330"/>
      <c r="AA111" s="330"/>
      <c r="AB111" s="330"/>
      <c r="AC111" s="330"/>
      <c r="AD111" s="330"/>
      <c r="AE111" s="330">
        <v>42</v>
      </c>
      <c r="AF111" s="330">
        <v>-149</v>
      </c>
      <c r="AG111" s="332" t="s">
        <v>238</v>
      </c>
      <c r="AH111" s="332" t="s">
        <v>191</v>
      </c>
      <c r="AI111" s="330"/>
      <c r="AJ111" s="330"/>
      <c r="AK111" s="330"/>
      <c r="AL111" s="330"/>
      <c r="AM111" s="330"/>
      <c r="AN111" s="330" t="s">
        <v>674</v>
      </c>
      <c r="AO111" s="330"/>
      <c r="AP111" s="332" t="s">
        <v>259</v>
      </c>
      <c r="AQ111" s="330"/>
      <c r="AR111" s="330"/>
      <c r="AS111" s="330"/>
      <c r="AT111" s="330"/>
      <c r="AU111" s="332" t="s">
        <v>471</v>
      </c>
      <c r="AV111" s="334">
        <v>45922.363528611109</v>
      </c>
      <c r="AW111" s="330"/>
      <c r="AX111" s="335">
        <v>45922</v>
      </c>
      <c r="AY111" s="336">
        <v>45922</v>
      </c>
      <c r="AZ111" s="330"/>
      <c r="BA111" s="336">
        <v>45922</v>
      </c>
      <c r="BB111" s="330"/>
      <c r="BC111" s="336">
        <v>45923</v>
      </c>
      <c r="BD111" s="330"/>
      <c r="BE111" s="336">
        <v>45923</v>
      </c>
      <c r="BF111" s="330"/>
      <c r="BG111" s="330"/>
      <c r="BH111" s="330"/>
      <c r="BI111" s="330"/>
      <c r="BJ111" s="330"/>
      <c r="BK111" s="330"/>
      <c r="BL111" s="330"/>
      <c r="BM111" s="332"/>
      <c r="BN111" s="330"/>
      <c r="BO111" s="330"/>
      <c r="BP111" s="330"/>
      <c r="BQ111" s="330"/>
      <c r="BR111" s="330"/>
      <c r="BS111" s="330"/>
      <c r="BT111" s="330"/>
      <c r="BU111" s="330"/>
      <c r="BV111" s="330"/>
      <c r="BW111" s="330"/>
      <c r="BX111" s="332" t="s">
        <v>1218</v>
      </c>
      <c r="BY111" s="330" t="s">
        <v>1017</v>
      </c>
      <c r="BZ111" s="330" t="s">
        <v>691</v>
      </c>
      <c r="CA111" s="330"/>
      <c r="CB111" s="330" t="s">
        <v>677</v>
      </c>
      <c r="CC111" s="337" t="s">
        <v>241</v>
      </c>
      <c r="CD111" s="330"/>
      <c r="CE111" s="330"/>
      <c r="CF111" s="330" t="b">
        <v>1</v>
      </c>
      <c r="CG111" s="330" t="s">
        <v>242</v>
      </c>
      <c r="CH111" s="330"/>
      <c r="CI111" s="330"/>
      <c r="CJ111" s="330"/>
      <c r="CK111" s="330"/>
      <c r="CL111" s="330"/>
      <c r="CM111" s="330"/>
      <c r="CN111" s="330"/>
      <c r="CO111" s="330"/>
      <c r="CP111" s="330"/>
      <c r="CQ111" s="330"/>
      <c r="CR111" s="330"/>
      <c r="CS111" s="330"/>
      <c r="CT111" s="330"/>
      <c r="CU111" s="330"/>
      <c r="CV111" s="330"/>
      <c r="CW111" s="330"/>
      <c r="CX111" s="330"/>
      <c r="CY111" s="330"/>
      <c r="CZ111" s="330"/>
      <c r="DA111" s="330"/>
      <c r="DB111" s="330" t="b">
        <v>1</v>
      </c>
      <c r="DC111" s="330" t="b">
        <v>1</v>
      </c>
      <c r="DD111" s="330"/>
      <c r="DE111" s="330"/>
      <c r="DF111" s="338">
        <v>24051</v>
      </c>
      <c r="DG111" s="330"/>
      <c r="DH111" s="330" t="s">
        <v>678</v>
      </c>
      <c r="DI111" s="338">
        <v>20</v>
      </c>
      <c r="DJ111" s="330" t="s">
        <v>679</v>
      </c>
      <c r="DK111" s="330">
        <v>20</v>
      </c>
      <c r="DL111" s="330" t="s">
        <v>4184</v>
      </c>
      <c r="DM111" s="330"/>
      <c r="DN111" s="330"/>
      <c r="DO111" s="330"/>
      <c r="DP111" s="330"/>
      <c r="DQ111" s="338" t="s">
        <v>197</v>
      </c>
      <c r="DR111" s="330"/>
      <c r="DS111" s="330"/>
      <c r="DT111" s="330"/>
      <c r="DU111" s="338" t="s">
        <v>197</v>
      </c>
      <c r="DV111" s="330"/>
      <c r="DW111" s="330"/>
      <c r="DX111" s="330"/>
      <c r="DY111" s="338" t="s">
        <v>197</v>
      </c>
      <c r="DZ111" s="330"/>
      <c r="EA111" s="330"/>
      <c r="EB111" s="330"/>
      <c r="EC111" s="330" t="s">
        <v>197</v>
      </c>
      <c r="ED111" s="338" t="s">
        <v>197</v>
      </c>
      <c r="EE111" s="330"/>
      <c r="EF111" s="330"/>
      <c r="EG111" s="330"/>
      <c r="EH111" s="330"/>
      <c r="EI111" s="330"/>
      <c r="EJ111" s="330"/>
      <c r="EK111" s="330"/>
      <c r="EL111" s="330"/>
      <c r="EM111" s="330"/>
      <c r="EN111" s="330"/>
      <c r="EO111" s="330"/>
      <c r="EP111" s="330"/>
      <c r="EQ111" s="332"/>
      <c r="ER111" s="330"/>
      <c r="ES111" s="330"/>
      <c r="ET111" s="332" t="s">
        <v>245</v>
      </c>
      <c r="EU111" s="332" t="s">
        <v>246</v>
      </c>
      <c r="EV111" s="336">
        <v>45922</v>
      </c>
      <c r="EW111" s="330"/>
      <c r="EX111" s="330" t="s">
        <v>4097</v>
      </c>
      <c r="EY111" s="330"/>
      <c r="EZ111" s="330" t="s">
        <v>201</v>
      </c>
      <c r="FA111" s="336">
        <v>45923</v>
      </c>
      <c r="FB111" s="330">
        <v>1</v>
      </c>
      <c r="FC111" s="330" t="s">
        <v>202</v>
      </c>
      <c r="FD111" s="332" t="s">
        <v>190</v>
      </c>
      <c r="FE111" s="336">
        <v>45923</v>
      </c>
      <c r="FF111" s="330"/>
      <c r="FG111" s="330" t="s">
        <v>681</v>
      </c>
      <c r="FH111" s="330" t="s">
        <v>1219</v>
      </c>
      <c r="FI111" s="330" t="s">
        <v>204</v>
      </c>
      <c r="FJ111" s="330"/>
      <c r="FK111" s="330" t="s">
        <v>230</v>
      </c>
      <c r="FL111" s="330"/>
      <c r="FM111" s="330"/>
      <c r="FN111" s="330" t="s">
        <v>1220</v>
      </c>
      <c r="FO111" s="330"/>
      <c r="FP111" s="330" t="s">
        <v>1221</v>
      </c>
      <c r="FQ111" s="330"/>
      <c r="FR111" s="330"/>
      <c r="FS111" s="330"/>
      <c r="FT111" s="330"/>
      <c r="FU111" s="330"/>
    </row>
    <row r="112" spans="1:177" ht="89.25" x14ac:dyDescent="0.25">
      <c r="A112" s="330">
        <v>111</v>
      </c>
      <c r="B112" s="331" t="s">
        <v>1222</v>
      </c>
      <c r="C112" s="330"/>
      <c r="D112" s="332" t="s">
        <v>228</v>
      </c>
      <c r="E112" s="332" t="s">
        <v>229</v>
      </c>
      <c r="F112" s="332" t="s">
        <v>230</v>
      </c>
      <c r="G112" s="330" t="s">
        <v>231</v>
      </c>
      <c r="H112" s="331">
        <v>400</v>
      </c>
      <c r="I112" s="330"/>
      <c r="J112" s="332" t="s">
        <v>359</v>
      </c>
      <c r="K112" s="332" t="s">
        <v>594</v>
      </c>
      <c r="L112" s="330" t="s">
        <v>284</v>
      </c>
      <c r="M112" s="332" t="s">
        <v>1223</v>
      </c>
      <c r="N112" s="330" t="s">
        <v>1224</v>
      </c>
      <c r="O112" s="339">
        <v>0.51416856964915902</v>
      </c>
      <c r="P112" s="333">
        <v>9907</v>
      </c>
      <c r="Q112" s="333">
        <v>19268</v>
      </c>
      <c r="R112" s="333">
        <v>138</v>
      </c>
      <c r="S112" s="333">
        <v>138</v>
      </c>
      <c r="T112" s="333">
        <v>2</v>
      </c>
      <c r="U112" s="333">
        <v>1380</v>
      </c>
      <c r="V112" s="333">
        <v>700</v>
      </c>
      <c r="W112" s="330">
        <v>69</v>
      </c>
      <c r="X112" s="330" t="s">
        <v>1225</v>
      </c>
      <c r="Y112" s="332" t="s">
        <v>270</v>
      </c>
      <c r="Z112" s="330" t="s">
        <v>215</v>
      </c>
      <c r="AA112" s="330" t="s">
        <v>271</v>
      </c>
      <c r="AB112" s="330" t="s">
        <v>217</v>
      </c>
      <c r="AC112" s="330"/>
      <c r="AD112" s="330"/>
      <c r="AE112" s="330">
        <v>45</v>
      </c>
      <c r="AF112" s="330">
        <v>-106</v>
      </c>
      <c r="AG112" s="332" t="s">
        <v>238</v>
      </c>
      <c r="AH112" s="332" t="s">
        <v>191</v>
      </c>
      <c r="AI112" s="330" t="s">
        <v>192</v>
      </c>
      <c r="AJ112" s="330" t="s">
        <v>192</v>
      </c>
      <c r="AK112" s="330"/>
      <c r="AL112" s="330" t="s">
        <v>192</v>
      </c>
      <c r="AM112" s="330" t="s">
        <v>191</v>
      </c>
      <c r="AN112" s="330" t="s">
        <v>192</v>
      </c>
      <c r="AO112" s="330"/>
      <c r="AP112" s="332" t="s">
        <v>259</v>
      </c>
      <c r="AQ112" s="330"/>
      <c r="AR112" s="330"/>
      <c r="AS112" s="330" t="b">
        <v>1</v>
      </c>
      <c r="AT112" s="330"/>
      <c r="AU112" s="332" t="s">
        <v>192</v>
      </c>
      <c r="AV112" s="334">
        <v>45754.681967789351</v>
      </c>
      <c r="AW112" s="330"/>
      <c r="AX112" s="335">
        <v>45964</v>
      </c>
      <c r="AY112" s="336">
        <v>45953</v>
      </c>
      <c r="AZ112" s="330"/>
      <c r="BA112" s="336">
        <v>45981</v>
      </c>
      <c r="BB112" s="330"/>
      <c r="BC112" s="336">
        <v>45985</v>
      </c>
      <c r="BD112" s="330"/>
      <c r="BE112" s="336">
        <v>45985</v>
      </c>
      <c r="BF112" s="330"/>
      <c r="BG112" s="330"/>
      <c r="BH112" s="330" t="s">
        <v>193</v>
      </c>
      <c r="BI112" s="330">
        <v>500</v>
      </c>
      <c r="BJ112" s="336">
        <v>45755</v>
      </c>
      <c r="BK112" s="330"/>
      <c r="BL112" s="330"/>
      <c r="BM112" s="332"/>
      <c r="BN112" s="330"/>
      <c r="BO112" s="330" t="s">
        <v>240</v>
      </c>
      <c r="BP112" s="330" t="s">
        <v>193</v>
      </c>
      <c r="BQ112" s="330" t="s">
        <v>218</v>
      </c>
      <c r="BR112" s="330" t="s">
        <v>220</v>
      </c>
      <c r="BS112" s="330"/>
      <c r="BT112" s="330" t="s">
        <v>220</v>
      </c>
      <c r="BU112" s="330"/>
      <c r="BV112" s="330" t="s">
        <v>220</v>
      </c>
      <c r="BW112" s="330"/>
      <c r="BX112" s="332"/>
      <c r="BY112" s="330"/>
      <c r="BZ112" s="330"/>
      <c r="CA112" s="330"/>
      <c r="CB112" s="330"/>
      <c r="CC112" s="337" t="s">
        <v>241</v>
      </c>
      <c r="CD112" s="330" t="b">
        <v>1</v>
      </c>
      <c r="CE112" s="330" t="b">
        <v>1</v>
      </c>
      <c r="CF112" s="330" t="b">
        <v>1</v>
      </c>
      <c r="CG112" s="330" t="s">
        <v>242</v>
      </c>
      <c r="CH112" s="330"/>
      <c r="CI112" s="330"/>
      <c r="CJ112" s="330"/>
      <c r="CK112" s="330"/>
      <c r="CL112" s="330"/>
      <c r="CM112" s="330"/>
      <c r="CN112" s="330"/>
      <c r="CO112" s="330"/>
      <c r="CP112" s="330"/>
      <c r="CQ112" s="330"/>
      <c r="CR112" s="330"/>
      <c r="CS112" s="330"/>
      <c r="CT112" s="330"/>
      <c r="CU112" s="330"/>
      <c r="CV112" s="330"/>
      <c r="CW112" s="330"/>
      <c r="CX112" s="330"/>
      <c r="CY112" s="330"/>
      <c r="CZ112" s="330"/>
      <c r="DA112" s="330"/>
      <c r="DB112" s="330" t="b">
        <v>1</v>
      </c>
      <c r="DC112" s="330" t="b">
        <v>1</v>
      </c>
      <c r="DD112" s="330"/>
      <c r="DE112" s="330"/>
      <c r="DF112" s="338">
        <v>24051</v>
      </c>
      <c r="DG112" s="330" t="s">
        <v>221</v>
      </c>
      <c r="DH112" s="330"/>
      <c r="DI112" s="338">
        <v>213</v>
      </c>
      <c r="DJ112" s="330"/>
      <c r="DK112" s="330">
        <v>213</v>
      </c>
      <c r="DL112" s="330" t="s">
        <v>243</v>
      </c>
      <c r="DM112" s="330"/>
      <c r="DN112" s="330"/>
      <c r="DO112" s="336">
        <v>45761</v>
      </c>
      <c r="DP112" s="336">
        <v>45944</v>
      </c>
      <c r="DQ112" s="338">
        <v>132</v>
      </c>
      <c r="DR112" s="330"/>
      <c r="DS112" s="330"/>
      <c r="DT112" s="330"/>
      <c r="DU112" s="338" t="s">
        <v>197</v>
      </c>
      <c r="DV112" s="330"/>
      <c r="DW112" s="330"/>
      <c r="DX112" s="330"/>
      <c r="DY112" s="338" t="s">
        <v>197</v>
      </c>
      <c r="DZ112" s="330"/>
      <c r="EA112" s="330"/>
      <c r="EB112" s="330"/>
      <c r="EC112" s="330" t="s">
        <v>197</v>
      </c>
      <c r="ED112" s="338">
        <v>132</v>
      </c>
      <c r="EE112" s="330">
        <v>4</v>
      </c>
      <c r="EF112" s="330">
        <v>300</v>
      </c>
      <c r="EG112" s="330"/>
      <c r="EH112" s="330"/>
      <c r="EI112" s="330"/>
      <c r="EJ112" s="330"/>
      <c r="EK112" s="330"/>
      <c r="EL112" s="330"/>
      <c r="EM112" s="330"/>
      <c r="EN112" s="330"/>
      <c r="EO112" s="330"/>
      <c r="EP112" s="330"/>
      <c r="EQ112" s="332" t="s">
        <v>244</v>
      </c>
      <c r="ER112" s="330"/>
      <c r="ES112" s="330"/>
      <c r="ET112" s="332" t="s">
        <v>245</v>
      </c>
      <c r="EU112" s="332" t="s">
        <v>246</v>
      </c>
      <c r="EV112" s="336">
        <v>45953</v>
      </c>
      <c r="EW112" s="336">
        <v>45953</v>
      </c>
      <c r="EX112" s="330">
        <v>1</v>
      </c>
      <c r="EY112" s="330"/>
      <c r="EZ112" s="330" t="s">
        <v>201</v>
      </c>
      <c r="FA112" s="336">
        <v>45969</v>
      </c>
      <c r="FB112" s="330">
        <v>2</v>
      </c>
      <c r="FC112" s="330" t="s">
        <v>202</v>
      </c>
      <c r="FD112" s="332" t="s">
        <v>190</v>
      </c>
      <c r="FE112" s="336">
        <v>45972</v>
      </c>
      <c r="FF112" s="330"/>
      <c r="FG112" s="330" t="s">
        <v>203</v>
      </c>
      <c r="FH112" s="330" t="s">
        <v>385</v>
      </c>
      <c r="FI112" s="330" t="s">
        <v>204</v>
      </c>
      <c r="FJ112" s="330"/>
      <c r="FK112" s="330" t="s">
        <v>230</v>
      </c>
      <c r="FL112" s="330" t="s">
        <v>192</v>
      </c>
      <c r="FM112" s="330" t="s">
        <v>191</v>
      </c>
      <c r="FN112" s="330" t="s">
        <v>1226</v>
      </c>
      <c r="FO112" s="330"/>
      <c r="FP112" s="330" t="s">
        <v>1003</v>
      </c>
      <c r="FQ112" s="330"/>
      <c r="FR112" s="330"/>
      <c r="FS112" s="330"/>
      <c r="FT112" s="330"/>
      <c r="FU112" s="330"/>
    </row>
    <row r="113" spans="1:177" ht="127.5" x14ac:dyDescent="0.25">
      <c r="A113" s="330">
        <v>112</v>
      </c>
      <c r="B113" s="331" t="s">
        <v>1227</v>
      </c>
      <c r="C113" s="330"/>
      <c r="D113" s="332" t="s">
        <v>228</v>
      </c>
      <c r="E113" s="332" t="s">
        <v>229</v>
      </c>
      <c r="F113" s="332" t="s">
        <v>230</v>
      </c>
      <c r="G113" s="330" t="s">
        <v>231</v>
      </c>
      <c r="H113" s="331">
        <v>400</v>
      </c>
      <c r="I113" s="330"/>
      <c r="J113" s="332"/>
      <c r="K113" s="332" t="s">
        <v>1228</v>
      </c>
      <c r="L113" s="330"/>
      <c r="M113" s="332"/>
      <c r="N113" s="330" t="s">
        <v>1229</v>
      </c>
      <c r="O113" s="339">
        <v>0.44026364957442399</v>
      </c>
      <c r="P113" s="333">
        <v>8483</v>
      </c>
      <c r="Q113" s="333">
        <v>19268</v>
      </c>
      <c r="R113" s="333">
        <v>14</v>
      </c>
      <c r="S113" s="333">
        <v>14</v>
      </c>
      <c r="T113" s="333">
        <v>14</v>
      </c>
      <c r="U113" s="333">
        <v>98</v>
      </c>
      <c r="V113" s="333">
        <v>200</v>
      </c>
      <c r="W113" s="330" t="s">
        <v>1230</v>
      </c>
      <c r="X113" s="330" t="s">
        <v>1231</v>
      </c>
      <c r="Y113" s="332" t="s">
        <v>299</v>
      </c>
      <c r="Z113" s="330" t="s">
        <v>215</v>
      </c>
      <c r="AA113" s="330" t="s">
        <v>300</v>
      </c>
      <c r="AB113" s="330" t="s">
        <v>217</v>
      </c>
      <c r="AC113" s="330"/>
      <c r="AD113" s="330"/>
      <c r="AE113" s="330">
        <v>31</v>
      </c>
      <c r="AF113" s="330">
        <v>-188</v>
      </c>
      <c r="AG113" s="332" t="s">
        <v>238</v>
      </c>
      <c r="AH113" s="332" t="s">
        <v>191</v>
      </c>
      <c r="AI113" s="330"/>
      <c r="AJ113" s="330" t="s">
        <v>192</v>
      </c>
      <c r="AK113" s="330"/>
      <c r="AL113" s="330" t="s">
        <v>192</v>
      </c>
      <c r="AM113" s="330" t="s">
        <v>191</v>
      </c>
      <c r="AN113" s="330" t="s">
        <v>192</v>
      </c>
      <c r="AO113" s="330"/>
      <c r="AP113" s="332" t="s">
        <v>239</v>
      </c>
      <c r="AQ113" s="330"/>
      <c r="AR113" s="330"/>
      <c r="AS113" s="330" t="b">
        <v>1</v>
      </c>
      <c r="AT113" s="330"/>
      <c r="AU113" s="332" t="s">
        <v>192</v>
      </c>
      <c r="AV113" s="334">
        <v>45812.435975902779</v>
      </c>
      <c r="AW113" s="330"/>
      <c r="AX113" s="335">
        <v>45848</v>
      </c>
      <c r="AY113" s="336">
        <v>45825</v>
      </c>
      <c r="AZ113" s="330"/>
      <c r="BA113" s="336">
        <v>45867</v>
      </c>
      <c r="BB113" s="330"/>
      <c r="BC113" s="336">
        <v>45869</v>
      </c>
      <c r="BD113" s="330"/>
      <c r="BE113" s="336">
        <v>45869</v>
      </c>
      <c r="BF113" s="330"/>
      <c r="BG113" s="330"/>
      <c r="BH113" s="330" t="s">
        <v>193</v>
      </c>
      <c r="BI113" s="330">
        <v>500</v>
      </c>
      <c r="BJ113" s="330"/>
      <c r="BK113" s="330"/>
      <c r="BL113" s="330"/>
      <c r="BM113" s="332"/>
      <c r="BN113" s="330"/>
      <c r="BO113" s="330" t="s">
        <v>240</v>
      </c>
      <c r="BP113" s="330" t="s">
        <v>193</v>
      </c>
      <c r="BQ113" s="330" t="s">
        <v>218</v>
      </c>
      <c r="BR113" s="330" t="s">
        <v>220</v>
      </c>
      <c r="BS113" s="330"/>
      <c r="BT113" s="330" t="s">
        <v>220</v>
      </c>
      <c r="BU113" s="330"/>
      <c r="BV113" s="330" t="s">
        <v>193</v>
      </c>
      <c r="BW113" s="330" t="s">
        <v>603</v>
      </c>
      <c r="BX113" s="332"/>
      <c r="BY113" s="330"/>
      <c r="BZ113" s="330"/>
      <c r="CA113" s="330"/>
      <c r="CB113" s="330"/>
      <c r="CC113" s="337" t="s">
        <v>241</v>
      </c>
      <c r="CD113" s="330" t="b">
        <v>1</v>
      </c>
      <c r="CE113" s="330" t="b">
        <v>1</v>
      </c>
      <c r="CF113" s="330" t="b">
        <v>1</v>
      </c>
      <c r="CG113" s="330" t="s">
        <v>242</v>
      </c>
      <c r="CH113" s="330"/>
      <c r="CI113" s="330"/>
      <c r="CJ113" s="330"/>
      <c r="CK113" s="330"/>
      <c r="CL113" s="330"/>
      <c r="CM113" s="330"/>
      <c r="CN113" s="330"/>
      <c r="CO113" s="330"/>
      <c r="CP113" s="330"/>
      <c r="CQ113" s="330"/>
      <c r="CR113" s="330"/>
      <c r="CS113" s="330"/>
      <c r="CT113" s="330"/>
      <c r="CU113" s="330"/>
      <c r="CV113" s="330"/>
      <c r="CW113" s="330"/>
      <c r="CX113" s="330"/>
      <c r="CY113" s="330"/>
      <c r="CZ113" s="330"/>
      <c r="DA113" s="330"/>
      <c r="DB113" s="330" t="b">
        <v>1</v>
      </c>
      <c r="DC113" s="330" t="b">
        <v>1</v>
      </c>
      <c r="DD113" s="330"/>
      <c r="DE113" s="330"/>
      <c r="DF113" s="338">
        <v>24051</v>
      </c>
      <c r="DG113" s="330" t="s">
        <v>221</v>
      </c>
      <c r="DH113" s="330"/>
      <c r="DI113" s="340">
        <v>215</v>
      </c>
      <c r="DJ113" s="330"/>
      <c r="DK113" s="330">
        <v>215</v>
      </c>
      <c r="DL113" s="330" t="s">
        <v>243</v>
      </c>
      <c r="DM113" s="330"/>
      <c r="DN113" s="330"/>
      <c r="DO113" s="330"/>
      <c r="DP113" s="330"/>
      <c r="DQ113" s="338" t="s">
        <v>197</v>
      </c>
      <c r="DR113" s="330"/>
      <c r="DS113" s="330"/>
      <c r="DT113" s="330"/>
      <c r="DU113" s="338" t="s">
        <v>197</v>
      </c>
      <c r="DV113" s="330"/>
      <c r="DW113" s="330"/>
      <c r="DX113" s="330"/>
      <c r="DY113" s="338" t="s">
        <v>197</v>
      </c>
      <c r="DZ113" s="330"/>
      <c r="EA113" s="330"/>
      <c r="EB113" s="330"/>
      <c r="EC113" s="330" t="s">
        <v>197</v>
      </c>
      <c r="ED113" s="338" t="s">
        <v>197</v>
      </c>
      <c r="EE113" s="330">
        <v>8</v>
      </c>
      <c r="EF113" s="330">
        <v>40</v>
      </c>
      <c r="EG113" s="330"/>
      <c r="EH113" s="330"/>
      <c r="EI113" s="330"/>
      <c r="EJ113" s="330"/>
      <c r="EK113" s="330"/>
      <c r="EL113" s="330"/>
      <c r="EM113" s="330"/>
      <c r="EN113" s="330"/>
      <c r="EO113" s="330"/>
      <c r="EP113" s="330"/>
      <c r="EQ113" s="332" t="s">
        <v>244</v>
      </c>
      <c r="ER113" s="330"/>
      <c r="ES113" s="330"/>
      <c r="ET113" s="332" t="s">
        <v>245</v>
      </c>
      <c r="EU113" s="332" t="s">
        <v>246</v>
      </c>
      <c r="EV113" s="336">
        <v>45825</v>
      </c>
      <c r="EW113" s="336">
        <v>45825</v>
      </c>
      <c r="EX113" s="330">
        <v>1</v>
      </c>
      <c r="EY113" s="330"/>
      <c r="EZ113" s="330" t="s">
        <v>201</v>
      </c>
      <c r="FA113" s="336">
        <v>45832</v>
      </c>
      <c r="FB113" s="330">
        <v>1</v>
      </c>
      <c r="FC113" s="330" t="s">
        <v>202</v>
      </c>
      <c r="FD113" s="332" t="s">
        <v>190</v>
      </c>
      <c r="FE113" s="336">
        <v>45832</v>
      </c>
      <c r="FF113" s="330"/>
      <c r="FG113" s="330" t="s">
        <v>203</v>
      </c>
      <c r="FH113" s="330" t="s">
        <v>604</v>
      </c>
      <c r="FI113" s="330" t="s">
        <v>204</v>
      </c>
      <c r="FJ113" s="330"/>
      <c r="FK113" s="330" t="s">
        <v>230</v>
      </c>
      <c r="FL113" s="330" t="s">
        <v>192</v>
      </c>
      <c r="FM113" s="330" t="s">
        <v>191</v>
      </c>
      <c r="FN113" s="330" t="s">
        <v>1232</v>
      </c>
      <c r="FO113" s="330"/>
      <c r="FP113" s="330" t="s">
        <v>606</v>
      </c>
      <c r="FQ113" s="330"/>
      <c r="FR113" s="330"/>
      <c r="FS113" s="330"/>
      <c r="FT113" s="330"/>
      <c r="FU113" s="330"/>
    </row>
    <row r="114" spans="1:177" ht="114.75" x14ac:dyDescent="0.25">
      <c r="A114" s="330">
        <v>113</v>
      </c>
      <c r="B114" s="331" t="s">
        <v>1233</v>
      </c>
      <c r="C114" s="330"/>
      <c r="D114" s="332" t="s">
        <v>1234</v>
      </c>
      <c r="E114" s="332" t="s">
        <v>1235</v>
      </c>
      <c r="F114" s="332" t="s">
        <v>1146</v>
      </c>
      <c r="G114" s="330" t="s">
        <v>1147</v>
      </c>
      <c r="H114" s="331"/>
      <c r="I114" s="330"/>
      <c r="J114" s="332" t="s">
        <v>1236</v>
      </c>
      <c r="K114" s="332" t="s">
        <v>1237</v>
      </c>
      <c r="L114" s="330" t="s">
        <v>857</v>
      </c>
      <c r="M114" s="332"/>
      <c r="N114" s="330" t="s">
        <v>1238</v>
      </c>
      <c r="O114" s="333" t="s">
        <v>184</v>
      </c>
      <c r="P114" s="333" t="s">
        <v>184</v>
      </c>
      <c r="Q114" s="333" t="s">
        <v>184</v>
      </c>
      <c r="R114" s="333">
        <v>0</v>
      </c>
      <c r="S114" s="333">
        <v>1</v>
      </c>
      <c r="T114" s="333">
        <v>1</v>
      </c>
      <c r="U114" s="333">
        <v>0</v>
      </c>
      <c r="V114" s="333">
        <v>0</v>
      </c>
      <c r="W114" s="330" t="s">
        <v>1239</v>
      </c>
      <c r="X114" s="330" t="s">
        <v>213</v>
      </c>
      <c r="Y114" s="332" t="s">
        <v>1240</v>
      </c>
      <c r="Z114" s="330" t="s">
        <v>739</v>
      </c>
      <c r="AA114" s="330" t="s">
        <v>1241</v>
      </c>
      <c r="AB114" s="330" t="s">
        <v>189</v>
      </c>
      <c r="AC114" s="330"/>
      <c r="AD114" s="330"/>
      <c r="AE114" s="330">
        <v>22</v>
      </c>
      <c r="AF114" s="330">
        <v>-80</v>
      </c>
      <c r="AG114" s="332" t="s">
        <v>190</v>
      </c>
      <c r="AH114" s="332" t="s">
        <v>191</v>
      </c>
      <c r="AI114" s="330"/>
      <c r="AJ114" s="330"/>
      <c r="AK114" s="330"/>
      <c r="AL114" s="330" t="s">
        <v>191</v>
      </c>
      <c r="AM114" s="330"/>
      <c r="AN114" s="330"/>
      <c r="AO114" s="330"/>
      <c r="AP114" s="332"/>
      <c r="AQ114" s="330"/>
      <c r="AR114" s="330"/>
      <c r="AS114" s="330"/>
      <c r="AT114" s="330"/>
      <c r="AU114" s="332" t="s">
        <v>191</v>
      </c>
      <c r="AV114" s="334">
        <v>45993.619342951388</v>
      </c>
      <c r="AW114" s="330"/>
      <c r="AX114" s="335">
        <v>46010</v>
      </c>
      <c r="AY114" s="336">
        <v>45996</v>
      </c>
      <c r="AZ114" s="330"/>
      <c r="BA114" s="336">
        <v>46017</v>
      </c>
      <c r="BB114" s="330"/>
      <c r="BC114" s="336">
        <v>46021</v>
      </c>
      <c r="BD114" s="330"/>
      <c r="BE114" s="336">
        <v>46021</v>
      </c>
      <c r="BF114" s="330"/>
      <c r="BG114" s="330"/>
      <c r="BH114" s="330" t="s">
        <v>193</v>
      </c>
      <c r="BI114" s="330">
        <v>1</v>
      </c>
      <c r="BJ114" s="330"/>
      <c r="BK114" s="330"/>
      <c r="BL114" s="330"/>
      <c r="BM114" s="332"/>
      <c r="BN114" s="330"/>
      <c r="BO114" s="330"/>
      <c r="BP114" s="330"/>
      <c r="BQ114" s="330"/>
      <c r="BR114" s="330"/>
      <c r="BS114" s="330"/>
      <c r="BT114" s="330"/>
      <c r="BU114" s="330"/>
      <c r="BV114" s="330"/>
      <c r="BW114" s="330"/>
      <c r="BX114" s="332"/>
      <c r="BY114" s="330"/>
      <c r="BZ114" s="330"/>
      <c r="CA114" s="330"/>
      <c r="CB114" s="330"/>
      <c r="CC114" s="337" t="s">
        <v>194</v>
      </c>
      <c r="CD114" s="330"/>
      <c r="CE114" s="330" t="b">
        <v>1</v>
      </c>
      <c r="CF114" s="330"/>
      <c r="CG114" s="330"/>
      <c r="CH114" s="330"/>
      <c r="CI114" s="330"/>
      <c r="CJ114" s="330"/>
      <c r="CK114" s="330"/>
      <c r="CL114" s="330"/>
      <c r="CM114" s="330"/>
      <c r="CN114" s="330"/>
      <c r="CO114" s="330" t="b">
        <v>1</v>
      </c>
      <c r="CP114" s="330" t="b">
        <v>1</v>
      </c>
      <c r="CQ114" s="330"/>
      <c r="CR114" s="330"/>
      <c r="CS114" s="330"/>
      <c r="CT114" s="330"/>
      <c r="CU114" s="330"/>
      <c r="CV114" s="330"/>
      <c r="CW114" s="330"/>
      <c r="CX114" s="330"/>
      <c r="CY114" s="330"/>
      <c r="CZ114" s="330"/>
      <c r="DA114" s="330"/>
      <c r="DB114" s="330"/>
      <c r="DC114" s="330"/>
      <c r="DD114" s="330"/>
      <c r="DE114" s="330"/>
      <c r="DF114" s="338">
        <v>25040</v>
      </c>
      <c r="DG114" s="330" t="s">
        <v>764</v>
      </c>
      <c r="DH114" s="330"/>
      <c r="DI114" s="338" t="s">
        <v>196</v>
      </c>
      <c r="DJ114" s="330"/>
      <c r="DK114" s="330">
        <v>1</v>
      </c>
      <c r="DL114" s="330" t="s">
        <v>1233</v>
      </c>
      <c r="DM114" s="330"/>
      <c r="DN114" s="330"/>
      <c r="DO114" s="330"/>
      <c r="DP114" s="330"/>
      <c r="DQ114" s="338" t="s">
        <v>197</v>
      </c>
      <c r="DR114" s="330"/>
      <c r="DS114" s="330"/>
      <c r="DT114" s="330"/>
      <c r="DU114" s="338" t="s">
        <v>197</v>
      </c>
      <c r="DV114" s="330"/>
      <c r="DW114" s="330"/>
      <c r="DX114" s="330"/>
      <c r="DY114" s="338" t="s">
        <v>197</v>
      </c>
      <c r="DZ114" s="330"/>
      <c r="EA114" s="330"/>
      <c r="EB114" s="330"/>
      <c r="EC114" s="330" t="s">
        <v>197</v>
      </c>
      <c r="ED114" s="338" t="s">
        <v>197</v>
      </c>
      <c r="EE114" s="341">
        <v>0.5</v>
      </c>
      <c r="EF114" s="330">
        <v>1</v>
      </c>
      <c r="EG114" s="330"/>
      <c r="EH114" s="330"/>
      <c r="EI114" s="330"/>
      <c r="EJ114" s="330"/>
      <c r="EK114" s="330"/>
      <c r="EL114" s="330"/>
      <c r="EM114" s="330"/>
      <c r="EN114" s="330"/>
      <c r="EO114" s="330"/>
      <c r="EP114" s="330"/>
      <c r="EQ114" s="332" t="s">
        <v>198</v>
      </c>
      <c r="ER114" s="330"/>
      <c r="ES114" s="330"/>
      <c r="ET114" s="332"/>
      <c r="EU114" s="332" t="s">
        <v>199</v>
      </c>
      <c r="EV114" s="330"/>
      <c r="EW114" s="330"/>
      <c r="EX114" s="330" t="s">
        <v>200</v>
      </c>
      <c r="EY114" s="330"/>
      <c r="EZ114" s="330" t="s">
        <v>201</v>
      </c>
      <c r="FA114" s="336">
        <v>45999</v>
      </c>
      <c r="FB114" s="330">
        <v>2</v>
      </c>
      <c r="FC114" s="330" t="s">
        <v>202</v>
      </c>
      <c r="FD114" s="332" t="s">
        <v>190</v>
      </c>
      <c r="FE114" s="336">
        <v>46000</v>
      </c>
      <c r="FF114" s="330"/>
      <c r="FG114" s="330" t="s">
        <v>203</v>
      </c>
      <c r="FH114" s="330" t="s">
        <v>1242</v>
      </c>
      <c r="FI114" s="330" t="s">
        <v>204</v>
      </c>
      <c r="FJ114" s="330"/>
      <c r="FK114" s="330" t="s">
        <v>1146</v>
      </c>
      <c r="FL114" s="330" t="s">
        <v>191</v>
      </c>
      <c r="FM114" s="330"/>
      <c r="FN114" s="330" t="s">
        <v>1243</v>
      </c>
      <c r="FO114" s="330"/>
      <c r="FP114" s="330" t="s">
        <v>1244</v>
      </c>
      <c r="FQ114" s="330"/>
      <c r="FR114" s="330"/>
      <c r="FS114" s="330"/>
      <c r="FT114" s="330"/>
      <c r="FU114" s="330"/>
    </row>
    <row r="115" spans="1:177" ht="114.75" x14ac:dyDescent="0.25">
      <c r="A115" s="330">
        <v>114</v>
      </c>
      <c r="B115" s="331" t="s">
        <v>1245</v>
      </c>
      <c r="C115" s="330"/>
      <c r="D115" s="332" t="s">
        <v>1246</v>
      </c>
      <c r="E115" s="332" t="s">
        <v>1247</v>
      </c>
      <c r="F115" s="332" t="s">
        <v>180</v>
      </c>
      <c r="G115" s="330" t="s">
        <v>181</v>
      </c>
      <c r="H115" s="331"/>
      <c r="I115" s="330"/>
      <c r="J115" s="332" t="s">
        <v>1248</v>
      </c>
      <c r="K115" s="332" t="s">
        <v>1249</v>
      </c>
      <c r="L115" s="330"/>
      <c r="M115" s="332"/>
      <c r="N115" s="330" t="s">
        <v>1250</v>
      </c>
      <c r="O115" s="333" t="s">
        <v>184</v>
      </c>
      <c r="P115" s="333" t="s">
        <v>184</v>
      </c>
      <c r="Q115" s="333" t="s">
        <v>184</v>
      </c>
      <c r="R115" s="333">
        <v>0</v>
      </c>
      <c r="S115" s="333">
        <v>4</v>
      </c>
      <c r="T115" s="333">
        <v>1</v>
      </c>
      <c r="U115" s="333">
        <v>0</v>
      </c>
      <c r="V115" s="333">
        <v>0</v>
      </c>
      <c r="W115" s="330">
        <v>3</v>
      </c>
      <c r="X115" s="330" t="s">
        <v>213</v>
      </c>
      <c r="Y115" s="332" t="s">
        <v>1251</v>
      </c>
      <c r="Z115" s="330" t="s">
        <v>739</v>
      </c>
      <c r="AA115" s="330" t="s">
        <v>1252</v>
      </c>
      <c r="AB115" s="330" t="s">
        <v>217</v>
      </c>
      <c r="AC115" s="330"/>
      <c r="AD115" s="330"/>
      <c r="AE115" s="330">
        <v>13</v>
      </c>
      <c r="AF115" s="330">
        <v>-177</v>
      </c>
      <c r="AG115" s="332" t="s">
        <v>190</v>
      </c>
      <c r="AH115" s="332" t="s">
        <v>191</v>
      </c>
      <c r="AI115" s="330"/>
      <c r="AJ115" s="330"/>
      <c r="AK115" s="330"/>
      <c r="AL115" s="330" t="s">
        <v>191</v>
      </c>
      <c r="AM115" s="330"/>
      <c r="AN115" s="330"/>
      <c r="AO115" s="330"/>
      <c r="AP115" s="332"/>
      <c r="AQ115" s="330"/>
      <c r="AR115" s="330"/>
      <c r="AS115" s="330"/>
      <c r="AT115" s="330"/>
      <c r="AU115" s="332" t="s">
        <v>191</v>
      </c>
      <c r="AV115" s="334">
        <v>45876.56000972222</v>
      </c>
      <c r="AW115" s="330" t="b">
        <v>1</v>
      </c>
      <c r="AX115" s="335">
        <v>45884</v>
      </c>
      <c r="AY115" s="336">
        <v>45876</v>
      </c>
      <c r="AZ115" s="330" t="b">
        <v>1</v>
      </c>
      <c r="BA115" s="336">
        <v>45882</v>
      </c>
      <c r="BB115" s="330"/>
      <c r="BC115" s="336">
        <v>45877</v>
      </c>
      <c r="BD115" s="330"/>
      <c r="BE115" s="336">
        <v>45877</v>
      </c>
      <c r="BF115" s="330"/>
      <c r="BG115" s="330"/>
      <c r="BH115" s="330" t="s">
        <v>193</v>
      </c>
      <c r="BI115" s="330">
        <v>3</v>
      </c>
      <c r="BJ115" s="330"/>
      <c r="BK115" s="330"/>
      <c r="BL115" s="330"/>
      <c r="BM115" s="332"/>
      <c r="BN115" s="330"/>
      <c r="BO115" s="330"/>
      <c r="BP115" s="330"/>
      <c r="BQ115" s="330"/>
      <c r="BR115" s="330"/>
      <c r="BS115" s="330"/>
      <c r="BT115" s="330"/>
      <c r="BU115" s="330"/>
      <c r="BV115" s="330"/>
      <c r="BW115" s="330"/>
      <c r="BX115" s="332"/>
      <c r="BY115" s="330"/>
      <c r="BZ115" s="330"/>
      <c r="CA115" s="330"/>
      <c r="CB115" s="330"/>
      <c r="CC115" s="337" t="s">
        <v>194</v>
      </c>
      <c r="CD115" s="330"/>
      <c r="CE115" s="330" t="b">
        <v>1</v>
      </c>
      <c r="CF115" s="330"/>
      <c r="CG115" s="330"/>
      <c r="CH115" s="330"/>
      <c r="CI115" s="330"/>
      <c r="CJ115" s="330"/>
      <c r="CK115" s="330"/>
      <c r="CL115" s="330"/>
      <c r="CM115" s="330"/>
      <c r="CN115" s="330"/>
      <c r="CO115" s="330" t="b">
        <v>1</v>
      </c>
      <c r="CP115" s="330" t="b">
        <v>1</v>
      </c>
      <c r="CQ115" s="330"/>
      <c r="CR115" s="330"/>
      <c r="CS115" s="330"/>
      <c r="CT115" s="330"/>
      <c r="CU115" s="330"/>
      <c r="CV115" s="330"/>
      <c r="CW115" s="330"/>
      <c r="CX115" s="330"/>
      <c r="CY115" s="330"/>
      <c r="CZ115" s="330"/>
      <c r="DA115" s="330"/>
      <c r="DB115" s="330"/>
      <c r="DC115" s="330"/>
      <c r="DD115" s="330"/>
      <c r="DE115" s="330"/>
      <c r="DF115" s="338">
        <v>25028</v>
      </c>
      <c r="DG115" s="330" t="s">
        <v>764</v>
      </c>
      <c r="DH115" s="330"/>
      <c r="DI115" s="338" t="s">
        <v>638</v>
      </c>
      <c r="DJ115" s="330"/>
      <c r="DK115" s="330">
        <v>2</v>
      </c>
      <c r="DL115" s="330" t="s">
        <v>1245</v>
      </c>
      <c r="DM115" s="330"/>
      <c r="DN115" s="330"/>
      <c r="DO115" s="330"/>
      <c r="DP115" s="330"/>
      <c r="DQ115" s="338" t="s">
        <v>197</v>
      </c>
      <c r="DR115" s="330"/>
      <c r="DS115" s="330"/>
      <c r="DT115" s="330"/>
      <c r="DU115" s="338" t="s">
        <v>197</v>
      </c>
      <c r="DV115" s="330"/>
      <c r="DW115" s="330"/>
      <c r="DX115" s="330"/>
      <c r="DY115" s="338" t="s">
        <v>197</v>
      </c>
      <c r="DZ115" s="330"/>
      <c r="EA115" s="330"/>
      <c r="EB115" s="330"/>
      <c r="EC115" s="330" t="s">
        <v>197</v>
      </c>
      <c r="ED115" s="338" t="s">
        <v>197</v>
      </c>
      <c r="EE115" s="330">
        <v>1</v>
      </c>
      <c r="EF115" s="330">
        <v>1</v>
      </c>
      <c r="EG115" s="330"/>
      <c r="EH115" s="330"/>
      <c r="EI115" s="330"/>
      <c r="EJ115" s="330"/>
      <c r="EK115" s="330"/>
      <c r="EL115" s="330"/>
      <c r="EM115" s="330"/>
      <c r="EN115" s="330"/>
      <c r="EO115" s="330"/>
      <c r="EP115" s="330"/>
      <c r="EQ115" s="332" t="s">
        <v>244</v>
      </c>
      <c r="ER115" s="330"/>
      <c r="ES115" s="330"/>
      <c r="ET115" s="332"/>
      <c r="EU115" s="332" t="s">
        <v>199</v>
      </c>
      <c r="EV115" s="330"/>
      <c r="EW115" s="330"/>
      <c r="EX115" s="330" t="s">
        <v>200</v>
      </c>
      <c r="EY115" s="330"/>
      <c r="EZ115" s="330" t="s">
        <v>201</v>
      </c>
      <c r="FA115" s="336">
        <v>45876</v>
      </c>
      <c r="FB115" s="330">
        <v>2</v>
      </c>
      <c r="FC115" s="330" t="s">
        <v>202</v>
      </c>
      <c r="FD115" s="332" t="s">
        <v>190</v>
      </c>
      <c r="FE115" s="336">
        <v>45877</v>
      </c>
      <c r="FF115" s="330"/>
      <c r="FG115" s="330" t="s">
        <v>203</v>
      </c>
      <c r="FH115" s="330"/>
      <c r="FI115" s="330" t="s">
        <v>204</v>
      </c>
      <c r="FJ115" s="330"/>
      <c r="FK115" s="330" t="s">
        <v>180</v>
      </c>
      <c r="FL115" s="330" t="s">
        <v>191</v>
      </c>
      <c r="FM115" s="330"/>
      <c r="FN115" s="330" t="s">
        <v>1253</v>
      </c>
      <c r="FO115" s="330"/>
      <c r="FP115" s="330" t="s">
        <v>981</v>
      </c>
      <c r="FQ115" s="330"/>
      <c r="FR115" s="330"/>
      <c r="FS115" s="330"/>
      <c r="FT115" s="330"/>
      <c r="FU115" s="330"/>
    </row>
    <row r="116" spans="1:177" ht="127.5" x14ac:dyDescent="0.25">
      <c r="A116" s="330">
        <v>115</v>
      </c>
      <c r="B116" s="331" t="s">
        <v>1254</v>
      </c>
      <c r="C116" s="330"/>
      <c r="D116" s="332" t="s">
        <v>1246</v>
      </c>
      <c r="E116" s="332" t="s">
        <v>1247</v>
      </c>
      <c r="F116" s="332" t="s">
        <v>180</v>
      </c>
      <c r="G116" s="330" t="s">
        <v>181</v>
      </c>
      <c r="H116" s="331" t="s">
        <v>618</v>
      </c>
      <c r="I116" s="330"/>
      <c r="J116" s="332"/>
      <c r="K116" s="332"/>
      <c r="L116" s="330"/>
      <c r="M116" s="332" t="s">
        <v>1255</v>
      </c>
      <c r="N116" s="330" t="s">
        <v>1256</v>
      </c>
      <c r="O116" s="339">
        <v>1.1875</v>
      </c>
      <c r="P116" s="333">
        <v>38</v>
      </c>
      <c r="Q116" s="333">
        <v>32</v>
      </c>
      <c r="R116" s="333">
        <v>26</v>
      </c>
      <c r="S116" s="333">
        <v>26</v>
      </c>
      <c r="T116" s="333">
        <v>26</v>
      </c>
      <c r="U116" s="333">
        <v>175</v>
      </c>
      <c r="V116" s="333">
        <v>0</v>
      </c>
      <c r="W116" s="330">
        <v>8</v>
      </c>
      <c r="X116" s="330" t="s">
        <v>1257</v>
      </c>
      <c r="Y116" s="332" t="s">
        <v>214</v>
      </c>
      <c r="Z116" s="330" t="s">
        <v>215</v>
      </c>
      <c r="AA116" s="330" t="s">
        <v>216</v>
      </c>
      <c r="AB116" s="330" t="s">
        <v>217</v>
      </c>
      <c r="AC116" s="330"/>
      <c r="AD116" s="330"/>
      <c r="AE116" s="330">
        <v>9</v>
      </c>
      <c r="AF116" s="330">
        <v>-194</v>
      </c>
      <c r="AG116" s="332" t="s">
        <v>190</v>
      </c>
      <c r="AH116" s="332" t="s">
        <v>191</v>
      </c>
      <c r="AI116" s="330" t="s">
        <v>1258</v>
      </c>
      <c r="AJ116" s="330" t="s">
        <v>1258</v>
      </c>
      <c r="AK116" s="330"/>
      <c r="AL116" s="330" t="s">
        <v>1258</v>
      </c>
      <c r="AM116" s="330" t="s">
        <v>191</v>
      </c>
      <c r="AN116" s="330" t="s">
        <v>1258</v>
      </c>
      <c r="AO116" s="330"/>
      <c r="AP116" s="332" t="s">
        <v>239</v>
      </c>
      <c r="AQ116" s="330"/>
      <c r="AR116" s="330"/>
      <c r="AS116" s="330" t="b">
        <v>1</v>
      </c>
      <c r="AT116" s="330"/>
      <c r="AU116" s="332" t="s">
        <v>1258</v>
      </c>
      <c r="AV116" s="334">
        <v>45820.331728715275</v>
      </c>
      <c r="AW116" s="330" t="b">
        <v>1</v>
      </c>
      <c r="AX116" s="335">
        <v>45841</v>
      </c>
      <c r="AY116" s="336">
        <v>45835</v>
      </c>
      <c r="AZ116" s="330"/>
      <c r="BA116" s="336">
        <v>45859</v>
      </c>
      <c r="BB116" s="330"/>
      <c r="BC116" s="336">
        <v>45861</v>
      </c>
      <c r="BD116" s="330"/>
      <c r="BE116" s="336">
        <v>45861</v>
      </c>
      <c r="BF116" s="330"/>
      <c r="BG116" s="330"/>
      <c r="BH116" s="330" t="s">
        <v>193</v>
      </c>
      <c r="BI116" s="330">
        <v>12</v>
      </c>
      <c r="BJ116" s="330"/>
      <c r="BK116" s="330"/>
      <c r="BL116" s="330"/>
      <c r="BM116" s="332"/>
      <c r="BN116" s="330"/>
      <c r="BO116" s="330" t="s">
        <v>629</v>
      </c>
      <c r="BP116" s="330" t="s">
        <v>193</v>
      </c>
      <c r="BQ116" s="330" t="s">
        <v>218</v>
      </c>
      <c r="BR116" s="330" t="s">
        <v>193</v>
      </c>
      <c r="BS116" s="330" t="s">
        <v>1259</v>
      </c>
      <c r="BT116" s="330" t="s">
        <v>193</v>
      </c>
      <c r="BU116" s="330" t="s">
        <v>1260</v>
      </c>
      <c r="BV116" s="330" t="s">
        <v>220</v>
      </c>
      <c r="BW116" s="330"/>
      <c r="BX116" s="332"/>
      <c r="BY116" s="330"/>
      <c r="BZ116" s="330"/>
      <c r="CA116" s="330"/>
      <c r="CB116" s="330"/>
      <c r="CC116" s="337" t="s">
        <v>194</v>
      </c>
      <c r="CD116" s="330" t="b">
        <v>1</v>
      </c>
      <c r="CE116" s="330" t="b">
        <v>1</v>
      </c>
      <c r="CF116" s="330" t="b">
        <v>1</v>
      </c>
      <c r="CG116" s="330" t="s">
        <v>242</v>
      </c>
      <c r="CH116" s="330"/>
      <c r="CI116" s="330"/>
      <c r="CJ116" s="330"/>
      <c r="CK116" s="330"/>
      <c r="CL116" s="330"/>
      <c r="CM116" s="330"/>
      <c r="CN116" s="330"/>
      <c r="CO116" s="330"/>
      <c r="CP116" s="330"/>
      <c r="CQ116" s="330"/>
      <c r="CR116" s="330"/>
      <c r="CS116" s="330"/>
      <c r="CT116" s="330"/>
      <c r="CU116" s="330"/>
      <c r="CV116" s="330"/>
      <c r="CW116" s="330"/>
      <c r="CX116" s="330"/>
      <c r="CY116" s="330"/>
      <c r="CZ116" s="330"/>
      <c r="DA116" s="330"/>
      <c r="DB116" s="330" t="b">
        <v>1</v>
      </c>
      <c r="DC116" s="330" t="b">
        <v>1</v>
      </c>
      <c r="DD116" s="330"/>
      <c r="DE116" s="330"/>
      <c r="DF116" s="338">
        <v>25028</v>
      </c>
      <c r="DG116" s="330" t="s">
        <v>221</v>
      </c>
      <c r="DH116" s="330"/>
      <c r="DI116" s="338" t="s">
        <v>196</v>
      </c>
      <c r="DJ116" s="330"/>
      <c r="DK116" s="330">
        <v>1</v>
      </c>
      <c r="DL116" s="330" t="s">
        <v>1254</v>
      </c>
      <c r="DM116" s="330"/>
      <c r="DN116" s="330"/>
      <c r="DO116" s="330"/>
      <c r="DP116" s="330"/>
      <c r="DQ116" s="338" t="s">
        <v>197</v>
      </c>
      <c r="DR116" s="330"/>
      <c r="DS116" s="330"/>
      <c r="DT116" s="330"/>
      <c r="DU116" s="338" t="s">
        <v>197</v>
      </c>
      <c r="DV116" s="330"/>
      <c r="DW116" s="330"/>
      <c r="DX116" s="330"/>
      <c r="DY116" s="338" t="s">
        <v>197</v>
      </c>
      <c r="DZ116" s="330"/>
      <c r="EA116" s="330"/>
      <c r="EB116" s="330"/>
      <c r="EC116" s="330" t="s">
        <v>197</v>
      </c>
      <c r="ED116" s="338" t="s">
        <v>197</v>
      </c>
      <c r="EE116" s="330">
        <v>14</v>
      </c>
      <c r="EF116" s="330">
        <v>46</v>
      </c>
      <c r="EG116" s="330"/>
      <c r="EH116" s="330"/>
      <c r="EI116" s="330"/>
      <c r="EJ116" s="330"/>
      <c r="EK116" s="330"/>
      <c r="EL116" s="330"/>
      <c r="EM116" s="330"/>
      <c r="EN116" s="330"/>
      <c r="EO116" s="330"/>
      <c r="EP116" s="330"/>
      <c r="EQ116" s="332" t="s">
        <v>198</v>
      </c>
      <c r="ER116" s="330"/>
      <c r="ES116" s="330"/>
      <c r="ET116" s="332" t="s">
        <v>245</v>
      </c>
      <c r="EU116" s="332" t="s">
        <v>246</v>
      </c>
      <c r="EV116" s="336">
        <v>45835</v>
      </c>
      <c r="EW116" s="336">
        <v>45835</v>
      </c>
      <c r="EX116" s="330">
        <v>1</v>
      </c>
      <c r="EY116" s="330"/>
      <c r="EZ116" s="330" t="s">
        <v>201</v>
      </c>
      <c r="FA116" s="336">
        <v>45847</v>
      </c>
      <c r="FB116" s="330">
        <v>1</v>
      </c>
      <c r="FC116" s="330" t="s">
        <v>202</v>
      </c>
      <c r="FD116" s="332" t="s">
        <v>190</v>
      </c>
      <c r="FE116" s="336">
        <v>45847</v>
      </c>
      <c r="FF116" s="330"/>
      <c r="FG116" s="330" t="s">
        <v>203</v>
      </c>
      <c r="FH116" s="330" t="s">
        <v>1261</v>
      </c>
      <c r="FI116" s="330" t="s">
        <v>204</v>
      </c>
      <c r="FJ116" s="330"/>
      <c r="FK116" s="330" t="s">
        <v>180</v>
      </c>
      <c r="FL116" s="330" t="s">
        <v>1258</v>
      </c>
      <c r="FM116" s="330" t="s">
        <v>191</v>
      </c>
      <c r="FN116" s="330" t="s">
        <v>1262</v>
      </c>
      <c r="FO116" s="330"/>
      <c r="FP116" s="330" t="s">
        <v>892</v>
      </c>
      <c r="FQ116" s="330"/>
      <c r="FR116" s="330"/>
      <c r="FS116" s="330"/>
      <c r="FT116" s="330"/>
      <c r="FU116" s="330"/>
    </row>
    <row r="117" spans="1:177" ht="25.5" x14ac:dyDescent="0.25">
      <c r="A117" s="330">
        <v>116</v>
      </c>
      <c r="B117" s="331" t="s">
        <v>1263</v>
      </c>
      <c r="C117" s="330"/>
      <c r="D117" s="332" t="s">
        <v>1264</v>
      </c>
      <c r="E117" s="332" t="s">
        <v>1265</v>
      </c>
      <c r="F117" s="332" t="s">
        <v>795</v>
      </c>
      <c r="G117" s="330" t="s">
        <v>796</v>
      </c>
      <c r="H117" s="331"/>
      <c r="I117" s="330"/>
      <c r="J117" s="332" t="s">
        <v>1266</v>
      </c>
      <c r="K117" s="332" t="s">
        <v>1267</v>
      </c>
      <c r="L117" s="330"/>
      <c r="M117" s="332"/>
      <c r="N117" s="330" t="s">
        <v>1268</v>
      </c>
      <c r="O117" s="333" t="s">
        <v>184</v>
      </c>
      <c r="P117" s="333" t="s">
        <v>184</v>
      </c>
      <c r="Q117" s="333" t="s">
        <v>184</v>
      </c>
      <c r="R117" s="333">
        <v>0</v>
      </c>
      <c r="S117" s="333">
        <v>1</v>
      </c>
      <c r="T117" s="333">
        <v>1</v>
      </c>
      <c r="U117" s="333">
        <v>0</v>
      </c>
      <c r="V117" s="333">
        <v>0</v>
      </c>
      <c r="W117" s="330" t="s">
        <v>1269</v>
      </c>
      <c r="X117" s="330" t="s">
        <v>213</v>
      </c>
      <c r="Y117" s="332" t="s">
        <v>1270</v>
      </c>
      <c r="Z117" s="330" t="s">
        <v>739</v>
      </c>
      <c r="AA117" s="330" t="s">
        <v>1271</v>
      </c>
      <c r="AB117" s="330" t="s">
        <v>189</v>
      </c>
      <c r="AC117" s="330"/>
      <c r="AD117" s="330"/>
      <c r="AE117" s="330">
        <v>21</v>
      </c>
      <c r="AF117" s="330">
        <v>-85</v>
      </c>
      <c r="AG117" s="332" t="s">
        <v>190</v>
      </c>
      <c r="AH117" s="332" t="s">
        <v>191</v>
      </c>
      <c r="AI117" s="330" t="s">
        <v>191</v>
      </c>
      <c r="AJ117" s="330"/>
      <c r="AK117" s="330"/>
      <c r="AL117" s="330" t="s">
        <v>191</v>
      </c>
      <c r="AM117" s="330"/>
      <c r="AN117" s="330"/>
      <c r="AO117" s="330"/>
      <c r="AP117" s="332"/>
      <c r="AQ117" s="330"/>
      <c r="AR117" s="330"/>
      <c r="AS117" s="330"/>
      <c r="AT117" s="330"/>
      <c r="AU117" s="332" t="s">
        <v>191</v>
      </c>
      <c r="AV117" s="334">
        <v>46006.372030694445</v>
      </c>
      <c r="AW117" s="330" t="b">
        <v>1</v>
      </c>
      <c r="AX117" s="335">
        <v>46014</v>
      </c>
      <c r="AY117" s="336">
        <v>46006</v>
      </c>
      <c r="AZ117" s="330" t="b">
        <v>1</v>
      </c>
      <c r="BA117" s="336">
        <v>46010</v>
      </c>
      <c r="BB117" s="330"/>
      <c r="BC117" s="336">
        <v>46008</v>
      </c>
      <c r="BD117" s="330"/>
      <c r="BE117" s="336">
        <v>46008</v>
      </c>
      <c r="BF117" s="330"/>
      <c r="BG117" s="330"/>
      <c r="BH117" s="330" t="s">
        <v>193</v>
      </c>
      <c r="BI117" s="330">
        <v>40</v>
      </c>
      <c r="BJ117" s="330"/>
      <c r="BK117" s="330"/>
      <c r="BL117" s="330"/>
      <c r="BM117" s="332"/>
      <c r="BN117" s="330"/>
      <c r="BO117" s="330"/>
      <c r="BP117" s="330"/>
      <c r="BQ117" s="330"/>
      <c r="BR117" s="330"/>
      <c r="BS117" s="330"/>
      <c r="BT117" s="330"/>
      <c r="BU117" s="330"/>
      <c r="BV117" s="330"/>
      <c r="BW117" s="330"/>
      <c r="BX117" s="332"/>
      <c r="BY117" s="330"/>
      <c r="BZ117" s="330"/>
      <c r="CA117" s="330"/>
      <c r="CB117" s="330"/>
      <c r="CC117" s="337" t="s">
        <v>194</v>
      </c>
      <c r="CD117" s="330"/>
      <c r="CE117" s="330" t="b">
        <v>1</v>
      </c>
      <c r="CF117" s="330"/>
      <c r="CG117" s="330"/>
      <c r="CH117" s="330"/>
      <c r="CI117" s="330"/>
      <c r="CJ117" s="330"/>
      <c r="CK117" s="330"/>
      <c r="CL117" s="330"/>
      <c r="CM117" s="330"/>
      <c r="CN117" s="330"/>
      <c r="CO117" s="330" t="b">
        <v>1</v>
      </c>
      <c r="CP117" s="330" t="b">
        <v>1</v>
      </c>
      <c r="CQ117" s="330"/>
      <c r="CR117" s="330"/>
      <c r="CS117" s="330"/>
      <c r="CT117" s="330"/>
      <c r="CU117" s="330"/>
      <c r="CV117" s="330"/>
      <c r="CW117" s="330"/>
      <c r="CX117" s="330"/>
      <c r="CY117" s="330"/>
      <c r="CZ117" s="330"/>
      <c r="DA117" s="330"/>
      <c r="DB117" s="330"/>
      <c r="DC117" s="330"/>
      <c r="DD117" s="330"/>
      <c r="DE117" s="330"/>
      <c r="DF117" s="338">
        <v>25029</v>
      </c>
      <c r="DG117" s="330" t="s">
        <v>764</v>
      </c>
      <c r="DH117" s="330"/>
      <c r="DI117" s="338">
        <v>97</v>
      </c>
      <c r="DJ117" s="330"/>
      <c r="DK117" s="330">
        <v>97</v>
      </c>
      <c r="DL117" s="330" t="s">
        <v>1263</v>
      </c>
      <c r="DM117" s="330"/>
      <c r="DN117" s="330"/>
      <c r="DO117" s="330"/>
      <c r="DP117" s="330"/>
      <c r="DQ117" s="338" t="s">
        <v>197</v>
      </c>
      <c r="DR117" s="330"/>
      <c r="DS117" s="330"/>
      <c r="DT117" s="330"/>
      <c r="DU117" s="338" t="s">
        <v>197</v>
      </c>
      <c r="DV117" s="330"/>
      <c r="DW117" s="330"/>
      <c r="DX117" s="330"/>
      <c r="DY117" s="338" t="s">
        <v>197</v>
      </c>
      <c r="DZ117" s="330"/>
      <c r="EA117" s="330"/>
      <c r="EB117" s="330"/>
      <c r="EC117" s="330" t="s">
        <v>197</v>
      </c>
      <c r="ED117" s="338" t="s">
        <v>197</v>
      </c>
      <c r="EE117" s="330">
        <v>0.25</v>
      </c>
      <c r="EF117" s="330">
        <v>1</v>
      </c>
      <c r="EG117" s="330"/>
      <c r="EH117" s="330"/>
      <c r="EI117" s="330"/>
      <c r="EJ117" s="330"/>
      <c r="EK117" s="330"/>
      <c r="EL117" s="330"/>
      <c r="EM117" s="330"/>
      <c r="EN117" s="330"/>
      <c r="EO117" s="330"/>
      <c r="EP117" s="330"/>
      <c r="EQ117" s="332" t="s">
        <v>244</v>
      </c>
      <c r="ER117" s="330"/>
      <c r="ES117" s="330"/>
      <c r="ET117" s="332"/>
      <c r="EU117" s="332" t="s">
        <v>199</v>
      </c>
      <c r="EV117" s="330"/>
      <c r="EW117" s="330"/>
      <c r="EX117" s="330" t="s">
        <v>200</v>
      </c>
      <c r="EY117" s="330"/>
      <c r="EZ117" s="330" t="s">
        <v>201</v>
      </c>
      <c r="FA117" s="336">
        <v>46007</v>
      </c>
      <c r="FB117" s="330">
        <v>2</v>
      </c>
      <c r="FC117" s="330" t="s">
        <v>202</v>
      </c>
      <c r="FD117" s="332" t="s">
        <v>190</v>
      </c>
      <c r="FE117" s="336">
        <v>46008</v>
      </c>
      <c r="FF117" s="330"/>
      <c r="FG117" s="330" t="s">
        <v>203</v>
      </c>
      <c r="FH117" s="330" t="s">
        <v>1272</v>
      </c>
      <c r="FI117" s="330" t="s">
        <v>204</v>
      </c>
      <c r="FJ117" s="330"/>
      <c r="FK117" s="330" t="s">
        <v>795</v>
      </c>
      <c r="FL117" s="330" t="s">
        <v>191</v>
      </c>
      <c r="FM117" s="330"/>
      <c r="FN117" s="330" t="s">
        <v>1273</v>
      </c>
      <c r="FO117" s="330"/>
      <c r="FP117" s="330" t="s">
        <v>393</v>
      </c>
      <c r="FQ117" s="330"/>
      <c r="FR117" s="330"/>
      <c r="FS117" s="330"/>
      <c r="FT117" s="330"/>
      <c r="FU117" s="330"/>
    </row>
    <row r="118" spans="1:177" ht="38.25" x14ac:dyDescent="0.25">
      <c r="A118" s="330">
        <v>117</v>
      </c>
      <c r="B118" s="331" t="s">
        <v>1274</v>
      </c>
      <c r="C118" s="330"/>
      <c r="D118" s="332" t="s">
        <v>1275</v>
      </c>
      <c r="E118" s="332" t="s">
        <v>1276</v>
      </c>
      <c r="F118" s="332" t="s">
        <v>795</v>
      </c>
      <c r="G118" s="330" t="s">
        <v>796</v>
      </c>
      <c r="H118" s="331"/>
      <c r="I118" s="330"/>
      <c r="J118" s="332" t="s">
        <v>1277</v>
      </c>
      <c r="K118" s="332" t="s">
        <v>1278</v>
      </c>
      <c r="L118" s="330"/>
      <c r="M118" s="332"/>
      <c r="N118" s="330" t="s">
        <v>1279</v>
      </c>
      <c r="O118" s="333" t="s">
        <v>184</v>
      </c>
      <c r="P118" s="333" t="s">
        <v>184</v>
      </c>
      <c r="Q118" s="333" t="s">
        <v>184</v>
      </c>
      <c r="R118" s="333"/>
      <c r="S118" s="333">
        <v>11</v>
      </c>
      <c r="T118" s="333"/>
      <c r="U118" s="333"/>
      <c r="V118" s="333"/>
      <c r="W118" s="330">
        <v>1.5</v>
      </c>
      <c r="X118" s="330"/>
      <c r="Y118" s="332" t="s">
        <v>1280</v>
      </c>
      <c r="Z118" s="330" t="s">
        <v>614</v>
      </c>
      <c r="AA118" s="330" t="s">
        <v>1281</v>
      </c>
      <c r="AB118" s="330" t="s">
        <v>189</v>
      </c>
      <c r="AC118" s="330"/>
      <c r="AD118" s="330"/>
      <c r="AE118" s="330">
        <v>11</v>
      </c>
      <c r="AF118" s="330">
        <v>-184</v>
      </c>
      <c r="AG118" s="332" t="s">
        <v>190</v>
      </c>
      <c r="AH118" s="332" t="s">
        <v>191</v>
      </c>
      <c r="AI118" s="330"/>
      <c r="AJ118" s="330"/>
      <c r="AK118" s="330"/>
      <c r="AL118" s="330" t="s">
        <v>1282</v>
      </c>
      <c r="AM118" s="330" t="s">
        <v>191</v>
      </c>
      <c r="AN118" s="330" t="s">
        <v>1282</v>
      </c>
      <c r="AO118" s="330"/>
      <c r="AP118" s="332"/>
      <c r="AQ118" s="330"/>
      <c r="AR118" s="330"/>
      <c r="AS118" s="330"/>
      <c r="AT118" s="330"/>
      <c r="AU118" s="332" t="s">
        <v>1282</v>
      </c>
      <c r="AV118" s="334">
        <v>45861.423795578703</v>
      </c>
      <c r="AW118" s="330" t="b">
        <v>1</v>
      </c>
      <c r="AX118" s="335">
        <v>45869</v>
      </c>
      <c r="AY118" s="336">
        <v>45862</v>
      </c>
      <c r="AZ118" s="330"/>
      <c r="BA118" s="336">
        <v>45873</v>
      </c>
      <c r="BB118" s="330"/>
      <c r="BC118" s="336">
        <v>45875</v>
      </c>
      <c r="BD118" s="330"/>
      <c r="BE118" s="336">
        <v>45875</v>
      </c>
      <c r="BF118" s="330"/>
      <c r="BG118" s="330"/>
      <c r="BH118" s="330" t="s">
        <v>193</v>
      </c>
      <c r="BI118" s="330">
        <v>155</v>
      </c>
      <c r="BJ118" s="330"/>
      <c r="BK118" s="330"/>
      <c r="BL118" s="330"/>
      <c r="BM118" s="332"/>
      <c r="BN118" s="330"/>
      <c r="BO118" s="330"/>
      <c r="BP118" s="330"/>
      <c r="BQ118" s="330"/>
      <c r="BR118" s="330"/>
      <c r="BS118" s="330"/>
      <c r="BT118" s="330"/>
      <c r="BU118" s="330"/>
      <c r="BV118" s="330"/>
      <c r="BW118" s="330"/>
      <c r="BX118" s="332"/>
      <c r="BY118" s="330"/>
      <c r="BZ118" s="330"/>
      <c r="CA118" s="330"/>
      <c r="CB118" s="330"/>
      <c r="CC118" s="337" t="s">
        <v>194</v>
      </c>
      <c r="CD118" s="330"/>
      <c r="CE118" s="330" t="b">
        <v>1</v>
      </c>
      <c r="CF118" s="330"/>
      <c r="CG118" s="330"/>
      <c r="CH118" s="330"/>
      <c r="CI118" s="330"/>
      <c r="CJ118" s="330"/>
      <c r="CK118" s="330"/>
      <c r="CL118" s="330"/>
      <c r="CM118" s="330"/>
      <c r="CN118" s="330"/>
      <c r="CO118" s="330" t="b">
        <v>1</v>
      </c>
      <c r="CP118" s="330" t="b">
        <v>1</v>
      </c>
      <c r="CQ118" s="330"/>
      <c r="CR118" s="330"/>
      <c r="CS118" s="330"/>
      <c r="CT118" s="330"/>
      <c r="CU118" s="330"/>
      <c r="CV118" s="330"/>
      <c r="CW118" s="330"/>
      <c r="CX118" s="330"/>
      <c r="CY118" s="330"/>
      <c r="CZ118" s="330"/>
      <c r="DA118" s="330"/>
      <c r="DB118" s="330"/>
      <c r="DC118" s="330"/>
      <c r="DD118" s="330"/>
      <c r="DE118" s="330"/>
      <c r="DF118" s="338">
        <v>24057</v>
      </c>
      <c r="DG118" s="330" t="s">
        <v>195</v>
      </c>
      <c r="DH118" s="330"/>
      <c r="DI118" s="340">
        <v>10</v>
      </c>
      <c r="DJ118" s="330"/>
      <c r="DK118" s="330">
        <v>10</v>
      </c>
      <c r="DL118" s="330" t="s">
        <v>1274</v>
      </c>
      <c r="DM118" s="330"/>
      <c r="DN118" s="330"/>
      <c r="DO118" s="330"/>
      <c r="DP118" s="330"/>
      <c r="DQ118" s="338" t="s">
        <v>197</v>
      </c>
      <c r="DR118" s="330"/>
      <c r="DS118" s="330"/>
      <c r="DT118" s="330"/>
      <c r="DU118" s="338" t="s">
        <v>197</v>
      </c>
      <c r="DV118" s="330"/>
      <c r="DW118" s="330"/>
      <c r="DX118" s="330"/>
      <c r="DY118" s="338" t="s">
        <v>197</v>
      </c>
      <c r="DZ118" s="330"/>
      <c r="EA118" s="330"/>
      <c r="EB118" s="330"/>
      <c r="EC118" s="330" t="s">
        <v>197</v>
      </c>
      <c r="ED118" s="338" t="s">
        <v>197</v>
      </c>
      <c r="EE118" s="330">
        <v>1</v>
      </c>
      <c r="EF118" s="330">
        <v>2</v>
      </c>
      <c r="EG118" s="330"/>
      <c r="EH118" s="330"/>
      <c r="EI118" s="330"/>
      <c r="EJ118" s="330"/>
      <c r="EK118" s="330"/>
      <c r="EL118" s="330"/>
      <c r="EM118" s="330"/>
      <c r="EN118" s="330"/>
      <c r="EO118" s="330"/>
      <c r="EP118" s="330"/>
      <c r="EQ118" s="332" t="s">
        <v>198</v>
      </c>
      <c r="ER118" s="330"/>
      <c r="ES118" s="330"/>
      <c r="ET118" s="332"/>
      <c r="EU118" s="332" t="s">
        <v>199</v>
      </c>
      <c r="EV118" s="330"/>
      <c r="EW118" s="330"/>
      <c r="EX118" s="330" t="s">
        <v>200</v>
      </c>
      <c r="EY118" s="330"/>
      <c r="EZ118" s="330" t="s">
        <v>201</v>
      </c>
      <c r="FA118" s="336">
        <v>45867</v>
      </c>
      <c r="FB118" s="330">
        <v>4</v>
      </c>
      <c r="FC118" s="330" t="s">
        <v>202</v>
      </c>
      <c r="FD118" s="332" t="s">
        <v>190</v>
      </c>
      <c r="FE118" s="336">
        <v>45870</v>
      </c>
      <c r="FF118" s="330"/>
      <c r="FG118" s="330" t="s">
        <v>203</v>
      </c>
      <c r="FH118" s="330"/>
      <c r="FI118" s="330" t="s">
        <v>204</v>
      </c>
      <c r="FJ118" s="330"/>
      <c r="FK118" s="330" t="s">
        <v>795</v>
      </c>
      <c r="FL118" s="330" t="s">
        <v>1282</v>
      </c>
      <c r="FM118" s="330" t="s">
        <v>191</v>
      </c>
      <c r="FN118" s="330" t="s">
        <v>1283</v>
      </c>
      <c r="FO118" s="330"/>
      <c r="FP118" s="330" t="s">
        <v>981</v>
      </c>
      <c r="FQ118" s="330"/>
      <c r="FR118" s="330"/>
      <c r="FS118" s="330"/>
      <c r="FT118" s="330"/>
      <c r="FU118" s="330"/>
    </row>
    <row r="119" spans="1:177" ht="51" x14ac:dyDescent="0.25">
      <c r="A119" s="330">
        <v>118</v>
      </c>
      <c r="B119" s="331" t="s">
        <v>1284</v>
      </c>
      <c r="C119" s="330"/>
      <c r="D119" s="332" t="s">
        <v>1285</v>
      </c>
      <c r="E119" s="332" t="s">
        <v>1286</v>
      </c>
      <c r="F119" s="332" t="s">
        <v>795</v>
      </c>
      <c r="G119" s="330" t="s">
        <v>796</v>
      </c>
      <c r="H119" s="331"/>
      <c r="I119" s="330"/>
      <c r="J119" s="332" t="s">
        <v>1287</v>
      </c>
      <c r="K119" s="332" t="s">
        <v>1288</v>
      </c>
      <c r="L119" s="330" t="s">
        <v>857</v>
      </c>
      <c r="M119" s="332"/>
      <c r="N119" s="330" t="s">
        <v>1289</v>
      </c>
      <c r="O119" s="333" t="s">
        <v>184</v>
      </c>
      <c r="P119" s="333" t="s">
        <v>184</v>
      </c>
      <c r="Q119" s="333" t="s">
        <v>184</v>
      </c>
      <c r="R119" s="333">
        <v>0</v>
      </c>
      <c r="S119" s="333">
        <v>870</v>
      </c>
      <c r="T119" s="333">
        <v>1</v>
      </c>
      <c r="U119" s="333">
        <v>0</v>
      </c>
      <c r="V119" s="333">
        <v>0</v>
      </c>
      <c r="W119" s="330" t="s">
        <v>1290</v>
      </c>
      <c r="X119" s="330" t="s">
        <v>213</v>
      </c>
      <c r="Y119" s="332" t="s">
        <v>1291</v>
      </c>
      <c r="Z119" s="330" t="s">
        <v>614</v>
      </c>
      <c r="AA119" s="330" t="s">
        <v>1292</v>
      </c>
      <c r="AB119" s="330" t="s">
        <v>189</v>
      </c>
      <c r="AC119" s="330"/>
      <c r="AD119" s="330"/>
      <c r="AE119" s="330" t="s">
        <v>1293</v>
      </c>
      <c r="AF119" s="330" t="s">
        <v>1293</v>
      </c>
      <c r="AG119" s="332" t="s">
        <v>1294</v>
      </c>
      <c r="AH119" s="332" t="s">
        <v>191</v>
      </c>
      <c r="AI119" s="330" t="s">
        <v>202</v>
      </c>
      <c r="AJ119" s="330"/>
      <c r="AK119" s="330"/>
      <c r="AL119" s="330" t="s">
        <v>191</v>
      </c>
      <c r="AM119" s="330"/>
      <c r="AN119" s="330"/>
      <c r="AO119" s="330"/>
      <c r="AP119" s="332"/>
      <c r="AQ119" s="330"/>
      <c r="AR119" s="330"/>
      <c r="AS119" s="330"/>
      <c r="AT119" s="330"/>
      <c r="AU119" s="332" t="s">
        <v>191</v>
      </c>
      <c r="AV119" s="334">
        <v>46064.032034525466</v>
      </c>
      <c r="AW119" s="330" t="b">
        <v>1</v>
      </c>
      <c r="AX119" s="335">
        <v>46072</v>
      </c>
      <c r="AY119" s="336">
        <v>46066</v>
      </c>
      <c r="AZ119" s="330"/>
      <c r="BA119" s="336">
        <v>46076</v>
      </c>
      <c r="BB119" s="330"/>
      <c r="BC119" s="336">
        <v>46078</v>
      </c>
      <c r="BD119" s="330"/>
      <c r="BE119" s="336">
        <v>46078</v>
      </c>
      <c r="BF119" s="336">
        <v>46078</v>
      </c>
      <c r="BG119" s="330"/>
      <c r="BH119" s="330" t="s">
        <v>193</v>
      </c>
      <c r="BI119" s="330">
        <v>325</v>
      </c>
      <c r="BJ119" s="330"/>
      <c r="BK119" s="330"/>
      <c r="BL119" s="330"/>
      <c r="BM119" s="332"/>
      <c r="BN119" s="330"/>
      <c r="BO119" s="330"/>
      <c r="BP119" s="330"/>
      <c r="BQ119" s="330"/>
      <c r="BR119" s="330"/>
      <c r="BS119" s="330"/>
      <c r="BT119" s="330"/>
      <c r="BU119" s="330"/>
      <c r="BV119" s="330"/>
      <c r="BW119" s="330"/>
      <c r="BX119" s="332"/>
      <c r="BY119" s="330"/>
      <c r="BZ119" s="330"/>
      <c r="CA119" s="330"/>
      <c r="CB119" s="330"/>
      <c r="CC119" s="337" t="s">
        <v>1293</v>
      </c>
      <c r="CD119" s="330"/>
      <c r="CE119" s="330" t="b">
        <v>1</v>
      </c>
      <c r="CF119" s="330"/>
      <c r="CG119" s="330"/>
      <c r="CH119" s="330"/>
      <c r="CI119" s="330"/>
      <c r="CJ119" s="330"/>
      <c r="CK119" s="330"/>
      <c r="CL119" s="330"/>
      <c r="CM119" s="330"/>
      <c r="CN119" s="330"/>
      <c r="CO119" s="330" t="b">
        <v>1</v>
      </c>
      <c r="CP119" s="330"/>
      <c r="CQ119" s="330"/>
      <c r="CR119" s="330"/>
      <c r="CS119" s="330"/>
      <c r="CT119" s="330"/>
      <c r="CU119" s="330" t="b">
        <v>1</v>
      </c>
      <c r="CV119" s="330"/>
      <c r="CW119" s="330"/>
      <c r="CX119" s="330"/>
      <c r="CY119" s="330"/>
      <c r="CZ119" s="330"/>
      <c r="DA119" s="330"/>
      <c r="DB119" s="330"/>
      <c r="DC119" s="330"/>
      <c r="DD119" s="330"/>
      <c r="DE119" s="330"/>
      <c r="DF119" s="338">
        <v>25025</v>
      </c>
      <c r="DG119" s="330" t="s">
        <v>195</v>
      </c>
      <c r="DH119" s="330"/>
      <c r="DI119" s="340">
        <v>100</v>
      </c>
      <c r="DJ119" s="330"/>
      <c r="DK119" s="330">
        <v>100</v>
      </c>
      <c r="DL119" s="330" t="s">
        <v>1284</v>
      </c>
      <c r="DM119" s="330"/>
      <c r="DN119" s="330"/>
      <c r="DO119" s="330"/>
      <c r="DP119" s="330"/>
      <c r="DQ119" s="338" t="s">
        <v>197</v>
      </c>
      <c r="DR119" s="330"/>
      <c r="DS119" s="330"/>
      <c r="DT119" s="330"/>
      <c r="DU119" s="338" t="s">
        <v>197</v>
      </c>
      <c r="DV119" s="330"/>
      <c r="DW119" s="330"/>
      <c r="DX119" s="330"/>
      <c r="DY119" s="338" t="s">
        <v>197</v>
      </c>
      <c r="DZ119" s="330"/>
      <c r="EA119" s="330"/>
      <c r="EB119" s="330"/>
      <c r="EC119" s="330" t="s">
        <v>197</v>
      </c>
      <c r="ED119" s="338" t="s">
        <v>197</v>
      </c>
      <c r="EE119" s="330">
        <v>0.5</v>
      </c>
      <c r="EF119" s="330">
        <v>60</v>
      </c>
      <c r="EG119" s="330"/>
      <c r="EH119" s="330"/>
      <c r="EI119" s="330"/>
      <c r="EJ119" s="330"/>
      <c r="EK119" s="330"/>
      <c r="EL119" s="330"/>
      <c r="EM119" s="330"/>
      <c r="EN119" s="330"/>
      <c r="EO119" s="330"/>
      <c r="EP119" s="330"/>
      <c r="EQ119" s="332" t="s">
        <v>198</v>
      </c>
      <c r="ER119" s="330"/>
      <c r="ES119" s="330"/>
      <c r="ET119" s="332"/>
      <c r="EU119" s="332" t="s">
        <v>1029</v>
      </c>
      <c r="EV119" s="330"/>
      <c r="EW119" s="330"/>
      <c r="EX119" s="330" t="s">
        <v>200</v>
      </c>
      <c r="EY119" s="330"/>
      <c r="EZ119" s="330" t="s">
        <v>201</v>
      </c>
      <c r="FA119" s="336">
        <v>46079</v>
      </c>
      <c r="FB119" s="330">
        <v>-2</v>
      </c>
      <c r="FC119" s="330" t="s">
        <v>202</v>
      </c>
      <c r="FD119" s="332" t="s">
        <v>190</v>
      </c>
      <c r="FE119" s="336">
        <v>46078</v>
      </c>
      <c r="FF119" s="330"/>
      <c r="FG119" s="330">
        <v>0</v>
      </c>
      <c r="FH119" s="330" t="s">
        <v>1295</v>
      </c>
      <c r="FI119" s="330" t="s">
        <v>204</v>
      </c>
      <c r="FJ119" s="330"/>
      <c r="FK119" s="330" t="s">
        <v>795</v>
      </c>
      <c r="FL119" s="330" t="s">
        <v>191</v>
      </c>
      <c r="FM119" s="330"/>
      <c r="FN119" s="330" t="s">
        <v>1296</v>
      </c>
      <c r="FO119" s="330"/>
      <c r="FP119" s="330" t="s">
        <v>729</v>
      </c>
      <c r="FQ119" s="330"/>
      <c r="FR119" s="330"/>
      <c r="FS119" s="330"/>
      <c r="FT119" s="330"/>
      <c r="FU119" s="330"/>
    </row>
    <row r="120" spans="1:177" ht="76.5" x14ac:dyDescent="0.25">
      <c r="A120" s="330">
        <v>119</v>
      </c>
      <c r="B120" s="331" t="s">
        <v>1297</v>
      </c>
      <c r="C120" s="330"/>
      <c r="D120" s="332" t="s">
        <v>1275</v>
      </c>
      <c r="E120" s="332" t="s">
        <v>1276</v>
      </c>
      <c r="F120" s="332" t="s">
        <v>795</v>
      </c>
      <c r="G120" s="330" t="s">
        <v>796</v>
      </c>
      <c r="H120" s="331"/>
      <c r="I120" s="330"/>
      <c r="J120" s="332" t="s">
        <v>1298</v>
      </c>
      <c r="K120" s="332" t="s">
        <v>1299</v>
      </c>
      <c r="L120" s="330"/>
      <c r="M120" s="332"/>
      <c r="N120" s="330" t="s">
        <v>1300</v>
      </c>
      <c r="O120" s="333" t="s">
        <v>184</v>
      </c>
      <c r="P120" s="333" t="s">
        <v>184</v>
      </c>
      <c r="Q120" s="333" t="s">
        <v>184</v>
      </c>
      <c r="R120" s="333">
        <v>0</v>
      </c>
      <c r="S120" s="333">
        <v>7</v>
      </c>
      <c r="T120" s="333">
        <v>3</v>
      </c>
      <c r="U120" s="333">
        <v>0</v>
      </c>
      <c r="V120" s="333">
        <v>0</v>
      </c>
      <c r="W120" s="330">
        <v>5</v>
      </c>
      <c r="X120" s="330" t="s">
        <v>1035</v>
      </c>
      <c r="Y120" s="332" t="s">
        <v>1301</v>
      </c>
      <c r="Z120" s="330" t="s">
        <v>739</v>
      </c>
      <c r="AA120" s="330" t="s">
        <v>1302</v>
      </c>
      <c r="AB120" s="330" t="s">
        <v>189</v>
      </c>
      <c r="AC120" s="330"/>
      <c r="AD120" s="330"/>
      <c r="AE120" s="330">
        <v>11</v>
      </c>
      <c r="AF120" s="330">
        <v>-184</v>
      </c>
      <c r="AG120" s="332" t="s">
        <v>190</v>
      </c>
      <c r="AH120" s="332" t="s">
        <v>191</v>
      </c>
      <c r="AI120" s="330"/>
      <c r="AJ120" s="330"/>
      <c r="AK120" s="330"/>
      <c r="AL120" s="330" t="s">
        <v>1282</v>
      </c>
      <c r="AM120" s="330" t="s">
        <v>191</v>
      </c>
      <c r="AN120" s="330" t="s">
        <v>1282</v>
      </c>
      <c r="AO120" s="330"/>
      <c r="AP120" s="332"/>
      <c r="AQ120" s="330"/>
      <c r="AR120" s="330"/>
      <c r="AS120" s="330"/>
      <c r="AT120" s="330"/>
      <c r="AU120" s="332" t="s">
        <v>1282</v>
      </c>
      <c r="AV120" s="334">
        <v>45861.380649432867</v>
      </c>
      <c r="AW120" s="330" t="b">
        <v>1</v>
      </c>
      <c r="AX120" s="335">
        <v>45869</v>
      </c>
      <c r="AY120" s="336">
        <v>45862</v>
      </c>
      <c r="AZ120" s="330"/>
      <c r="BA120" s="336">
        <v>45873</v>
      </c>
      <c r="BB120" s="330"/>
      <c r="BC120" s="336">
        <v>45875</v>
      </c>
      <c r="BD120" s="330"/>
      <c r="BE120" s="336">
        <v>45875</v>
      </c>
      <c r="BF120" s="330"/>
      <c r="BG120" s="330"/>
      <c r="BH120" s="330" t="s">
        <v>193</v>
      </c>
      <c r="BI120" s="330">
        <v>14</v>
      </c>
      <c r="BJ120" s="330"/>
      <c r="BK120" s="330"/>
      <c r="BL120" s="330"/>
      <c r="BM120" s="332"/>
      <c r="BN120" s="330"/>
      <c r="BO120" s="330"/>
      <c r="BP120" s="330"/>
      <c r="BQ120" s="330"/>
      <c r="BR120" s="330"/>
      <c r="BS120" s="330"/>
      <c r="BT120" s="330"/>
      <c r="BU120" s="330"/>
      <c r="BV120" s="330"/>
      <c r="BW120" s="330"/>
      <c r="BX120" s="332"/>
      <c r="BY120" s="330"/>
      <c r="BZ120" s="330"/>
      <c r="CA120" s="330"/>
      <c r="CB120" s="330"/>
      <c r="CC120" s="337" t="s">
        <v>194</v>
      </c>
      <c r="CD120" s="330"/>
      <c r="CE120" s="330" t="b">
        <v>1</v>
      </c>
      <c r="CF120" s="330"/>
      <c r="CG120" s="330"/>
      <c r="CH120" s="330"/>
      <c r="CI120" s="330"/>
      <c r="CJ120" s="330"/>
      <c r="CK120" s="330"/>
      <c r="CL120" s="330"/>
      <c r="CM120" s="330"/>
      <c r="CN120" s="330"/>
      <c r="CO120" s="330" t="b">
        <v>1</v>
      </c>
      <c r="CP120" s="330" t="b">
        <v>1</v>
      </c>
      <c r="CQ120" s="330"/>
      <c r="CR120" s="330"/>
      <c r="CS120" s="330"/>
      <c r="CT120" s="330"/>
      <c r="CU120" s="330"/>
      <c r="CV120" s="330"/>
      <c r="CW120" s="330"/>
      <c r="CX120" s="330"/>
      <c r="CY120" s="330"/>
      <c r="CZ120" s="330"/>
      <c r="DA120" s="330"/>
      <c r="DB120" s="330"/>
      <c r="DC120" s="330"/>
      <c r="DD120" s="330"/>
      <c r="DE120" s="330"/>
      <c r="DF120" s="338">
        <v>24057</v>
      </c>
      <c r="DG120" s="330" t="s">
        <v>764</v>
      </c>
      <c r="DH120" s="330"/>
      <c r="DI120" s="340">
        <v>10</v>
      </c>
      <c r="DJ120" s="330"/>
      <c r="DK120" s="330">
        <v>10</v>
      </c>
      <c r="DL120" s="330" t="s">
        <v>1297</v>
      </c>
      <c r="DM120" s="330"/>
      <c r="DN120" s="330"/>
      <c r="DO120" s="330"/>
      <c r="DP120" s="330"/>
      <c r="DQ120" s="338" t="s">
        <v>197</v>
      </c>
      <c r="DR120" s="330"/>
      <c r="DS120" s="330"/>
      <c r="DT120" s="330"/>
      <c r="DU120" s="338" t="s">
        <v>197</v>
      </c>
      <c r="DV120" s="330"/>
      <c r="DW120" s="330"/>
      <c r="DX120" s="330"/>
      <c r="DY120" s="338" t="s">
        <v>197</v>
      </c>
      <c r="DZ120" s="330"/>
      <c r="EA120" s="330"/>
      <c r="EB120" s="330"/>
      <c r="EC120" s="330" t="s">
        <v>197</v>
      </c>
      <c r="ED120" s="338" t="s">
        <v>197</v>
      </c>
      <c r="EE120" s="330">
        <v>1</v>
      </c>
      <c r="EF120" s="330">
        <v>2</v>
      </c>
      <c r="EG120" s="330"/>
      <c r="EH120" s="330"/>
      <c r="EI120" s="330"/>
      <c r="EJ120" s="330"/>
      <c r="EK120" s="330"/>
      <c r="EL120" s="330"/>
      <c r="EM120" s="330"/>
      <c r="EN120" s="330"/>
      <c r="EO120" s="330"/>
      <c r="EP120" s="330"/>
      <c r="EQ120" s="332" t="s">
        <v>198</v>
      </c>
      <c r="ER120" s="330"/>
      <c r="ES120" s="330"/>
      <c r="ET120" s="332"/>
      <c r="EU120" s="332" t="s">
        <v>199</v>
      </c>
      <c r="EV120" s="330"/>
      <c r="EW120" s="330"/>
      <c r="EX120" s="330" t="s">
        <v>200</v>
      </c>
      <c r="EY120" s="330"/>
      <c r="EZ120" s="330" t="s">
        <v>201</v>
      </c>
      <c r="FA120" s="336">
        <v>45867</v>
      </c>
      <c r="FB120" s="330">
        <v>4</v>
      </c>
      <c r="FC120" s="330" t="s">
        <v>202</v>
      </c>
      <c r="FD120" s="332" t="s">
        <v>190</v>
      </c>
      <c r="FE120" s="336">
        <v>45870</v>
      </c>
      <c r="FF120" s="330"/>
      <c r="FG120" s="330" t="s">
        <v>203</v>
      </c>
      <c r="FH120" s="330"/>
      <c r="FI120" s="330" t="s">
        <v>204</v>
      </c>
      <c r="FJ120" s="330"/>
      <c r="FK120" s="330" t="s">
        <v>795</v>
      </c>
      <c r="FL120" s="330" t="s">
        <v>1282</v>
      </c>
      <c r="FM120" s="330" t="s">
        <v>191</v>
      </c>
      <c r="FN120" s="330" t="s">
        <v>1303</v>
      </c>
      <c r="FO120" s="330"/>
      <c r="FP120" s="330" t="s">
        <v>981</v>
      </c>
      <c r="FQ120" s="330"/>
      <c r="FR120" s="330"/>
      <c r="FS120" s="330"/>
      <c r="FT120" s="330"/>
      <c r="FU120" s="330"/>
    </row>
    <row r="121" spans="1:177" ht="89.25" x14ac:dyDescent="0.25">
      <c r="A121" s="330">
        <v>120</v>
      </c>
      <c r="B121" s="331" t="s">
        <v>1304</v>
      </c>
      <c r="C121" s="330"/>
      <c r="D121" s="332" t="s">
        <v>1305</v>
      </c>
      <c r="E121" s="332" t="s">
        <v>1306</v>
      </c>
      <c r="F121" s="332" t="s">
        <v>795</v>
      </c>
      <c r="G121" s="330" t="s">
        <v>796</v>
      </c>
      <c r="H121" s="331">
        <v>400</v>
      </c>
      <c r="I121" s="330"/>
      <c r="J121" s="332" t="s">
        <v>1307</v>
      </c>
      <c r="K121" s="332" t="s">
        <v>1308</v>
      </c>
      <c r="L121" s="330" t="s">
        <v>284</v>
      </c>
      <c r="M121" s="332" t="s">
        <v>1309</v>
      </c>
      <c r="N121" s="330" t="s">
        <v>1310</v>
      </c>
      <c r="O121" s="339">
        <v>0.58659638554216897</v>
      </c>
      <c r="P121" s="333">
        <v>779</v>
      </c>
      <c r="Q121" s="333">
        <v>1328</v>
      </c>
      <c r="R121" s="333">
        <v>40</v>
      </c>
      <c r="S121" s="333">
        <v>40</v>
      </c>
      <c r="T121" s="333">
        <v>38</v>
      </c>
      <c r="U121" s="333">
        <v>219</v>
      </c>
      <c r="V121" s="333">
        <v>216</v>
      </c>
      <c r="W121" s="330">
        <v>12</v>
      </c>
      <c r="X121" s="330" t="s">
        <v>1311</v>
      </c>
      <c r="Y121" s="332" t="s">
        <v>1312</v>
      </c>
      <c r="Z121" s="330" t="s">
        <v>215</v>
      </c>
      <c r="AA121" s="330" t="s">
        <v>1313</v>
      </c>
      <c r="AB121" s="330" t="s">
        <v>189</v>
      </c>
      <c r="AC121" s="330"/>
      <c r="AD121" s="330" t="s">
        <v>924</v>
      </c>
      <c r="AE121" s="330">
        <v>41</v>
      </c>
      <c r="AF121" s="330">
        <v>-3</v>
      </c>
      <c r="AG121" s="332" t="s">
        <v>190</v>
      </c>
      <c r="AH121" s="332" t="s">
        <v>191</v>
      </c>
      <c r="AI121" s="330"/>
      <c r="AJ121" s="330" t="s">
        <v>810</v>
      </c>
      <c r="AK121" s="330"/>
      <c r="AL121" s="330" t="s">
        <v>810</v>
      </c>
      <c r="AM121" s="330" t="s">
        <v>191</v>
      </c>
      <c r="AN121" s="330" t="s">
        <v>810</v>
      </c>
      <c r="AO121" s="330"/>
      <c r="AP121" s="332" t="s">
        <v>259</v>
      </c>
      <c r="AQ121" s="330"/>
      <c r="AR121" s="330"/>
      <c r="AS121" s="330" t="b">
        <v>1</v>
      </c>
      <c r="AT121" s="330"/>
      <c r="AU121" s="332" t="s">
        <v>810</v>
      </c>
      <c r="AV121" s="334">
        <v>46062.461371585647</v>
      </c>
      <c r="AW121" s="330"/>
      <c r="AX121" s="335">
        <v>46107</v>
      </c>
      <c r="AY121" s="336">
        <v>46107</v>
      </c>
      <c r="AZ121" s="330"/>
      <c r="BA121" s="336">
        <v>46126</v>
      </c>
      <c r="BB121" s="330"/>
      <c r="BC121" s="336">
        <v>46128</v>
      </c>
      <c r="BD121" s="330"/>
      <c r="BE121" s="336">
        <v>46111</v>
      </c>
      <c r="BF121" s="330"/>
      <c r="BG121" s="330"/>
      <c r="BH121" s="330" t="s">
        <v>193</v>
      </c>
      <c r="BI121" s="330">
        <v>330</v>
      </c>
      <c r="BJ121" s="330"/>
      <c r="BK121" s="330"/>
      <c r="BL121" s="330"/>
      <c r="BM121" s="332"/>
      <c r="BN121" s="330"/>
      <c r="BO121" s="330" t="s">
        <v>240</v>
      </c>
      <c r="BP121" s="330" t="s">
        <v>193</v>
      </c>
      <c r="BQ121" s="330" t="s">
        <v>909</v>
      </c>
      <c r="BR121" s="330" t="s">
        <v>193</v>
      </c>
      <c r="BS121" s="330" t="s">
        <v>1314</v>
      </c>
      <c r="BT121" s="330" t="s">
        <v>193</v>
      </c>
      <c r="BU121" s="330" t="s">
        <v>1314</v>
      </c>
      <c r="BV121" s="330" t="s">
        <v>220</v>
      </c>
      <c r="BW121" s="330"/>
      <c r="BX121" s="332"/>
      <c r="BY121" s="330"/>
      <c r="BZ121" s="330"/>
      <c r="CA121" s="330"/>
      <c r="CB121" s="330"/>
      <c r="CC121" s="337" t="s">
        <v>194</v>
      </c>
      <c r="CD121" s="330" t="b">
        <v>1</v>
      </c>
      <c r="CE121" s="330" t="b">
        <v>1</v>
      </c>
      <c r="CF121" s="330" t="b">
        <v>1</v>
      </c>
      <c r="CG121" s="330" t="s">
        <v>242</v>
      </c>
      <c r="CH121" s="330"/>
      <c r="CI121" s="330"/>
      <c r="CJ121" s="330"/>
      <c r="CK121" s="330"/>
      <c r="CL121" s="330"/>
      <c r="CM121" s="330"/>
      <c r="CN121" s="330"/>
      <c r="CO121" s="330"/>
      <c r="CP121" s="330"/>
      <c r="CQ121" s="330"/>
      <c r="CR121" s="330"/>
      <c r="CS121" s="330"/>
      <c r="CT121" s="330"/>
      <c r="CU121" s="330"/>
      <c r="CV121" s="330"/>
      <c r="CW121" s="330"/>
      <c r="CX121" s="330"/>
      <c r="CY121" s="330"/>
      <c r="CZ121" s="330"/>
      <c r="DA121" s="330"/>
      <c r="DB121" s="330" t="b">
        <v>1</v>
      </c>
      <c r="DC121" s="330" t="b">
        <v>1</v>
      </c>
      <c r="DD121" s="330"/>
      <c r="DE121" s="330"/>
      <c r="DF121" s="338">
        <v>24074</v>
      </c>
      <c r="DG121" s="330" t="s">
        <v>221</v>
      </c>
      <c r="DH121" s="330"/>
      <c r="DI121" s="338" t="s">
        <v>959</v>
      </c>
      <c r="DJ121" s="330"/>
      <c r="DK121" s="330">
        <v>6</v>
      </c>
      <c r="DL121" s="330" t="s">
        <v>1315</v>
      </c>
      <c r="DM121" s="330"/>
      <c r="DN121" s="330"/>
      <c r="DO121" s="330"/>
      <c r="DP121" s="330"/>
      <c r="DQ121" s="338" t="s">
        <v>197</v>
      </c>
      <c r="DR121" s="330"/>
      <c r="DS121" s="330"/>
      <c r="DT121" s="330"/>
      <c r="DU121" s="338" t="s">
        <v>197</v>
      </c>
      <c r="DV121" s="330"/>
      <c r="DW121" s="330"/>
      <c r="DX121" s="330"/>
      <c r="DY121" s="338" t="s">
        <v>197</v>
      </c>
      <c r="DZ121" s="330"/>
      <c r="EA121" s="330"/>
      <c r="EB121" s="330"/>
      <c r="EC121" s="330" t="s">
        <v>197</v>
      </c>
      <c r="ED121" s="338" t="s">
        <v>197</v>
      </c>
      <c r="EE121" s="330">
        <v>40</v>
      </c>
      <c r="EF121" s="330">
        <v>343</v>
      </c>
      <c r="EG121" s="330"/>
      <c r="EH121" s="330"/>
      <c r="EI121" s="330"/>
      <c r="EJ121" s="330"/>
      <c r="EK121" s="330"/>
      <c r="EL121" s="330"/>
      <c r="EM121" s="330"/>
      <c r="EN121" s="330"/>
      <c r="EO121" s="330"/>
      <c r="EP121" s="330"/>
      <c r="EQ121" s="332" t="s">
        <v>224</v>
      </c>
      <c r="ER121" s="330"/>
      <c r="ES121" s="330"/>
      <c r="ET121" s="332" t="s">
        <v>245</v>
      </c>
      <c r="EU121" s="332" t="s">
        <v>246</v>
      </c>
      <c r="EV121" s="336">
        <v>46107</v>
      </c>
      <c r="EW121" s="336">
        <v>46107</v>
      </c>
      <c r="EX121" s="330">
        <v>1</v>
      </c>
      <c r="EY121" s="330"/>
      <c r="EZ121" s="330" t="s">
        <v>201</v>
      </c>
      <c r="FA121" s="336">
        <v>46115</v>
      </c>
      <c r="FB121" s="330">
        <v>8</v>
      </c>
      <c r="FC121" s="330" t="s">
        <v>202</v>
      </c>
      <c r="FD121" s="332" t="s">
        <v>190</v>
      </c>
      <c r="FE121" s="336">
        <v>46126</v>
      </c>
      <c r="FF121" s="330"/>
      <c r="FG121" s="330" t="s">
        <v>203</v>
      </c>
      <c r="FH121" s="330" t="s">
        <v>1316</v>
      </c>
      <c r="FI121" s="330" t="s">
        <v>204</v>
      </c>
      <c r="FJ121" s="330"/>
      <c r="FK121" s="330" t="s">
        <v>795</v>
      </c>
      <c r="FL121" s="330" t="s">
        <v>810</v>
      </c>
      <c r="FM121" s="330" t="s">
        <v>191</v>
      </c>
      <c r="FN121" s="330" t="s">
        <v>1317</v>
      </c>
      <c r="FO121" s="330"/>
      <c r="FP121" s="330" t="s">
        <v>639</v>
      </c>
      <c r="FQ121" s="330"/>
      <c r="FR121" s="330"/>
      <c r="FS121" s="330"/>
      <c r="FT121" s="330"/>
      <c r="FU121" s="330"/>
    </row>
    <row r="122" spans="1:177" ht="76.5" x14ac:dyDescent="0.25">
      <c r="A122" s="330">
        <v>121</v>
      </c>
      <c r="B122" s="331" t="s">
        <v>1318</v>
      </c>
      <c r="C122" s="330"/>
      <c r="D122" s="332" t="s">
        <v>1305</v>
      </c>
      <c r="E122" s="332" t="s">
        <v>1306</v>
      </c>
      <c r="F122" s="332" t="s">
        <v>795</v>
      </c>
      <c r="G122" s="330" t="s">
        <v>796</v>
      </c>
      <c r="H122" s="331">
        <v>400</v>
      </c>
      <c r="I122" s="330"/>
      <c r="J122" s="332" t="s">
        <v>1319</v>
      </c>
      <c r="K122" s="332" t="s">
        <v>1320</v>
      </c>
      <c r="L122" s="330" t="s">
        <v>284</v>
      </c>
      <c r="M122" s="332" t="s">
        <v>1321</v>
      </c>
      <c r="N122" s="330" t="s">
        <v>4160</v>
      </c>
      <c r="O122" s="333"/>
      <c r="P122" s="333"/>
      <c r="Q122" s="333">
        <v>1328</v>
      </c>
      <c r="R122" s="333">
        <v>155</v>
      </c>
      <c r="S122" s="333">
        <v>218</v>
      </c>
      <c r="T122" s="333">
        <v>180</v>
      </c>
      <c r="U122" s="333">
        <v>0</v>
      </c>
      <c r="V122" s="333">
        <v>0</v>
      </c>
      <c r="W122" s="330"/>
      <c r="X122" s="330"/>
      <c r="Y122" s="332" t="s">
        <v>1322</v>
      </c>
      <c r="Z122" s="330" t="s">
        <v>215</v>
      </c>
      <c r="AA122" s="330" t="s">
        <v>1323</v>
      </c>
      <c r="AB122" s="330" t="s">
        <v>189</v>
      </c>
      <c r="AC122" s="330"/>
      <c r="AD122" s="330" t="s">
        <v>924</v>
      </c>
      <c r="AE122" s="330">
        <v>1</v>
      </c>
      <c r="AF122" s="330">
        <v>-14</v>
      </c>
      <c r="AG122" s="332" t="s">
        <v>259</v>
      </c>
      <c r="AH122" s="332" t="s">
        <v>191</v>
      </c>
      <c r="AI122" s="330"/>
      <c r="AJ122" s="330" t="s">
        <v>810</v>
      </c>
      <c r="AK122" s="330"/>
      <c r="AL122" s="330" t="s">
        <v>810</v>
      </c>
      <c r="AM122" s="330" t="s">
        <v>191</v>
      </c>
      <c r="AN122" s="330" t="s">
        <v>810</v>
      </c>
      <c r="AO122" s="330"/>
      <c r="AP122" s="332" t="s">
        <v>259</v>
      </c>
      <c r="AQ122" s="330"/>
      <c r="AR122" s="330"/>
      <c r="AS122" s="330"/>
      <c r="AT122" s="330"/>
      <c r="AU122" s="332" t="s">
        <v>810</v>
      </c>
      <c r="AV122" s="334">
        <v>46062.465621030089</v>
      </c>
      <c r="AW122" s="330"/>
      <c r="AX122" s="335">
        <v>46111</v>
      </c>
      <c r="AY122" s="330"/>
      <c r="AZ122" s="330"/>
      <c r="BA122" s="330"/>
      <c r="BB122" s="330"/>
      <c r="BC122" s="336">
        <v>46132</v>
      </c>
      <c r="BD122" s="330"/>
      <c r="BE122" s="336">
        <v>46118</v>
      </c>
      <c r="BF122" s="330"/>
      <c r="BG122" s="330"/>
      <c r="BH122" s="330" t="s">
        <v>193</v>
      </c>
      <c r="BI122" s="330">
        <v>330</v>
      </c>
      <c r="BJ122" s="330"/>
      <c r="BK122" s="330"/>
      <c r="BL122" s="330"/>
      <c r="BM122" s="332"/>
      <c r="BN122" s="330"/>
      <c r="BO122" s="330" t="s">
        <v>240</v>
      </c>
      <c r="BP122" s="330" t="s">
        <v>193</v>
      </c>
      <c r="BQ122" s="330" t="s">
        <v>909</v>
      </c>
      <c r="BR122" s="330" t="s">
        <v>193</v>
      </c>
      <c r="BS122" s="330" t="s">
        <v>1324</v>
      </c>
      <c r="BT122" s="330" t="s">
        <v>193</v>
      </c>
      <c r="BU122" s="330" t="s">
        <v>1324</v>
      </c>
      <c r="BV122" s="330" t="s">
        <v>220</v>
      </c>
      <c r="BW122" s="330"/>
      <c r="BX122" s="332"/>
      <c r="BY122" s="330"/>
      <c r="BZ122" s="330"/>
      <c r="CA122" s="330"/>
      <c r="CB122" s="330"/>
      <c r="CC122" s="337" t="s">
        <v>1890</v>
      </c>
      <c r="CD122" s="330" t="b">
        <v>1</v>
      </c>
      <c r="CE122" s="330" t="b">
        <v>1</v>
      </c>
      <c r="CF122" s="330" t="b">
        <v>1</v>
      </c>
      <c r="CG122" s="330" t="s">
        <v>242</v>
      </c>
      <c r="CH122" s="330"/>
      <c r="CI122" s="330"/>
      <c r="CJ122" s="330"/>
      <c r="CK122" s="330"/>
      <c r="CL122" s="330"/>
      <c r="CM122" s="330"/>
      <c r="CN122" s="330" t="b">
        <v>1</v>
      </c>
      <c r="CO122" s="330"/>
      <c r="CP122" s="330"/>
      <c r="CQ122" s="330"/>
      <c r="CR122" s="330"/>
      <c r="CS122" s="330"/>
      <c r="CT122" s="330"/>
      <c r="CU122" s="330"/>
      <c r="CV122" s="330"/>
      <c r="CW122" s="330"/>
      <c r="CX122" s="330"/>
      <c r="CY122" s="330"/>
      <c r="CZ122" s="330"/>
      <c r="DA122" s="330"/>
      <c r="DB122" s="330" t="b">
        <v>1</v>
      </c>
      <c r="DC122" s="330" t="b">
        <v>1</v>
      </c>
      <c r="DD122" s="330"/>
      <c r="DE122" s="330"/>
      <c r="DF122" s="338">
        <v>24074</v>
      </c>
      <c r="DG122" s="330" t="s">
        <v>221</v>
      </c>
      <c r="DH122" s="330"/>
      <c r="DI122" s="338" t="s">
        <v>1326</v>
      </c>
      <c r="DJ122" s="330"/>
      <c r="DK122" s="330">
        <v>7</v>
      </c>
      <c r="DL122" s="330" t="s">
        <v>1315</v>
      </c>
      <c r="DM122" s="330"/>
      <c r="DN122" s="330"/>
      <c r="DO122" s="330"/>
      <c r="DP122" s="330"/>
      <c r="DQ122" s="338" t="s">
        <v>197</v>
      </c>
      <c r="DR122" s="330"/>
      <c r="DS122" s="330"/>
      <c r="DT122" s="330"/>
      <c r="DU122" s="338" t="s">
        <v>197</v>
      </c>
      <c r="DV122" s="330"/>
      <c r="DW122" s="330"/>
      <c r="DX122" s="330"/>
      <c r="DY122" s="338" t="s">
        <v>197</v>
      </c>
      <c r="DZ122" s="330"/>
      <c r="EA122" s="330"/>
      <c r="EB122" s="330"/>
      <c r="EC122" s="330" t="s">
        <v>197</v>
      </c>
      <c r="ED122" s="338" t="s">
        <v>197</v>
      </c>
      <c r="EE122" s="330">
        <v>50</v>
      </c>
      <c r="EF122" s="330">
        <v>385</v>
      </c>
      <c r="EG122" s="330"/>
      <c r="EH122" s="330"/>
      <c r="EI122" s="330"/>
      <c r="EJ122" s="330"/>
      <c r="EK122" s="330"/>
      <c r="EL122" s="330"/>
      <c r="EM122" s="330"/>
      <c r="EN122" s="330"/>
      <c r="EO122" s="330"/>
      <c r="EP122" s="330"/>
      <c r="EQ122" s="332" t="s">
        <v>224</v>
      </c>
      <c r="ER122" s="330"/>
      <c r="ES122" s="330"/>
      <c r="ET122" s="332" t="s">
        <v>245</v>
      </c>
      <c r="EU122" s="332" t="s">
        <v>1327</v>
      </c>
      <c r="EV122" s="336">
        <v>46128</v>
      </c>
      <c r="EW122" s="330"/>
      <c r="EX122" s="330" t="s">
        <v>1891</v>
      </c>
      <c r="EY122" s="330"/>
      <c r="EZ122" s="330" t="s">
        <v>247</v>
      </c>
      <c r="FA122" s="330"/>
      <c r="FB122" s="330" t="s">
        <v>247</v>
      </c>
      <c r="FC122" s="330" t="s">
        <v>202</v>
      </c>
      <c r="FD122" s="332" t="s">
        <v>190</v>
      </c>
      <c r="FE122" s="330"/>
      <c r="FF122" s="330"/>
      <c r="FG122" s="330" t="s">
        <v>203</v>
      </c>
      <c r="FH122" s="330" t="s">
        <v>1328</v>
      </c>
      <c r="FI122" s="330" t="s">
        <v>204</v>
      </c>
      <c r="FJ122" s="330"/>
      <c r="FK122" s="330" t="s">
        <v>795</v>
      </c>
      <c r="FL122" s="330" t="s">
        <v>810</v>
      </c>
      <c r="FM122" s="330" t="s">
        <v>191</v>
      </c>
      <c r="FN122" s="330" t="s">
        <v>1329</v>
      </c>
      <c r="FO122" s="330"/>
      <c r="FP122" s="330" t="s">
        <v>1330</v>
      </c>
      <c r="FQ122" s="330"/>
      <c r="FR122" s="330"/>
      <c r="FS122" s="330"/>
      <c r="FT122" s="330"/>
      <c r="FU122" s="330"/>
    </row>
    <row r="123" spans="1:177" ht="76.5" x14ac:dyDescent="0.25">
      <c r="A123" s="330">
        <v>122</v>
      </c>
      <c r="B123" s="331" t="s">
        <v>1331</v>
      </c>
      <c r="C123" s="330"/>
      <c r="D123" s="332" t="s">
        <v>228</v>
      </c>
      <c r="E123" s="332" t="s">
        <v>229</v>
      </c>
      <c r="F123" s="332" t="s">
        <v>230</v>
      </c>
      <c r="G123" s="330" t="s">
        <v>231</v>
      </c>
      <c r="H123" s="331">
        <v>400</v>
      </c>
      <c r="I123" s="330"/>
      <c r="J123" s="332" t="s">
        <v>1332</v>
      </c>
      <c r="K123" s="332"/>
      <c r="L123" s="330" t="s">
        <v>284</v>
      </c>
      <c r="M123" s="332" t="s">
        <v>1333</v>
      </c>
      <c r="N123" s="330" t="s">
        <v>1334</v>
      </c>
      <c r="O123" s="339">
        <v>0.65512767282540996</v>
      </c>
      <c r="P123" s="333">
        <v>12623</v>
      </c>
      <c r="Q123" s="333">
        <v>19268</v>
      </c>
      <c r="R123" s="333">
        <v>27</v>
      </c>
      <c r="S123" s="333">
        <v>27</v>
      </c>
      <c r="T123" s="333">
        <v>2</v>
      </c>
      <c r="U123" s="333">
        <v>189</v>
      </c>
      <c r="V123" s="333">
        <v>300</v>
      </c>
      <c r="W123" s="330">
        <v>3</v>
      </c>
      <c r="X123" s="330" t="s">
        <v>1335</v>
      </c>
      <c r="Y123" s="332" t="s">
        <v>351</v>
      </c>
      <c r="Z123" s="330" t="s">
        <v>215</v>
      </c>
      <c r="AA123" s="330" t="s">
        <v>352</v>
      </c>
      <c r="AB123" s="330" t="s">
        <v>189</v>
      </c>
      <c r="AC123" s="330"/>
      <c r="AD123" s="330"/>
      <c r="AE123" s="330">
        <v>71</v>
      </c>
      <c r="AF123" s="330">
        <v>-48</v>
      </c>
      <c r="AG123" s="332" t="s">
        <v>238</v>
      </c>
      <c r="AH123" s="332" t="s">
        <v>191</v>
      </c>
      <c r="AI123" s="330" t="s">
        <v>192</v>
      </c>
      <c r="AJ123" s="330" t="s">
        <v>192</v>
      </c>
      <c r="AK123" s="330"/>
      <c r="AL123" s="330" t="s">
        <v>192</v>
      </c>
      <c r="AM123" s="330" t="s">
        <v>191</v>
      </c>
      <c r="AN123" s="330" t="s">
        <v>353</v>
      </c>
      <c r="AO123" s="330"/>
      <c r="AP123" s="332" t="s">
        <v>259</v>
      </c>
      <c r="AQ123" s="330"/>
      <c r="AR123" s="330"/>
      <c r="AS123" s="330" t="b">
        <v>1</v>
      </c>
      <c r="AT123" s="330"/>
      <c r="AU123" s="332" t="s">
        <v>353</v>
      </c>
      <c r="AV123" s="334">
        <v>46009.652196342591</v>
      </c>
      <c r="AW123" s="330"/>
      <c r="AX123" s="335">
        <v>46041</v>
      </c>
      <c r="AY123" s="336">
        <v>46045</v>
      </c>
      <c r="AZ123" s="330" t="b">
        <v>1</v>
      </c>
      <c r="BA123" s="336">
        <v>46063</v>
      </c>
      <c r="BB123" s="330"/>
      <c r="BC123" s="336">
        <v>46062</v>
      </c>
      <c r="BD123" s="330"/>
      <c r="BE123" s="336">
        <v>46062</v>
      </c>
      <c r="BF123" s="330"/>
      <c r="BG123" s="330"/>
      <c r="BH123" s="330" t="s">
        <v>193</v>
      </c>
      <c r="BI123" s="330">
        <v>1000</v>
      </c>
      <c r="BJ123" s="330"/>
      <c r="BK123" s="330"/>
      <c r="BL123" s="330"/>
      <c r="BM123" s="332"/>
      <c r="BN123" s="330"/>
      <c r="BO123" s="330" t="s">
        <v>240</v>
      </c>
      <c r="BP123" s="330" t="s">
        <v>193</v>
      </c>
      <c r="BQ123" s="330" t="s">
        <v>218</v>
      </c>
      <c r="BR123" s="330" t="s">
        <v>220</v>
      </c>
      <c r="BS123" s="330"/>
      <c r="BT123" s="330" t="s">
        <v>220</v>
      </c>
      <c r="BU123" s="330"/>
      <c r="BV123" s="330" t="s">
        <v>220</v>
      </c>
      <c r="BW123" s="330"/>
      <c r="BX123" s="332"/>
      <c r="BY123" s="330"/>
      <c r="BZ123" s="330"/>
      <c r="CA123" s="330"/>
      <c r="CB123" s="330"/>
      <c r="CC123" s="337" t="s">
        <v>241</v>
      </c>
      <c r="CD123" s="330"/>
      <c r="CE123" s="330" t="b">
        <v>1</v>
      </c>
      <c r="CF123" s="330" t="b">
        <v>1</v>
      </c>
      <c r="CG123" s="330" t="s">
        <v>242</v>
      </c>
      <c r="CH123" s="330"/>
      <c r="CI123" s="330"/>
      <c r="CJ123" s="330"/>
      <c r="CK123" s="330"/>
      <c r="CL123" s="330"/>
      <c r="CM123" s="330"/>
      <c r="CN123" s="330"/>
      <c r="CO123" s="330"/>
      <c r="CP123" s="330"/>
      <c r="CQ123" s="330"/>
      <c r="CR123" s="330"/>
      <c r="CS123" s="330"/>
      <c r="CT123" s="330"/>
      <c r="CU123" s="330"/>
      <c r="CV123" s="330"/>
      <c r="CW123" s="330"/>
      <c r="CX123" s="330"/>
      <c r="CY123" s="330"/>
      <c r="CZ123" s="330"/>
      <c r="DA123" s="330"/>
      <c r="DB123" s="330" t="b">
        <v>1</v>
      </c>
      <c r="DC123" s="330" t="b">
        <v>1</v>
      </c>
      <c r="DD123" s="330"/>
      <c r="DE123" s="330"/>
      <c r="DF123" s="338">
        <v>24051</v>
      </c>
      <c r="DG123" s="330" t="s">
        <v>221</v>
      </c>
      <c r="DH123" s="330"/>
      <c r="DI123" s="338" t="s">
        <v>1336</v>
      </c>
      <c r="DJ123" s="330"/>
      <c r="DK123" s="330">
        <v>0</v>
      </c>
      <c r="DL123" s="330" t="s">
        <v>243</v>
      </c>
      <c r="DM123" s="330"/>
      <c r="DN123" s="330"/>
      <c r="DO123" s="330"/>
      <c r="DP123" s="330"/>
      <c r="DQ123" s="338" t="s">
        <v>197</v>
      </c>
      <c r="DR123" s="330"/>
      <c r="DS123" s="330"/>
      <c r="DT123" s="330"/>
      <c r="DU123" s="338" t="s">
        <v>197</v>
      </c>
      <c r="DV123" s="330"/>
      <c r="DW123" s="330"/>
      <c r="DX123" s="330"/>
      <c r="DY123" s="338" t="s">
        <v>197</v>
      </c>
      <c r="DZ123" s="330"/>
      <c r="EA123" s="330"/>
      <c r="EB123" s="330"/>
      <c r="EC123" s="330" t="s">
        <v>197</v>
      </c>
      <c r="ED123" s="338" t="s">
        <v>197</v>
      </c>
      <c r="EE123" s="330">
        <v>8</v>
      </c>
      <c r="EF123" s="330">
        <v>40</v>
      </c>
      <c r="EG123" s="330"/>
      <c r="EH123" s="330"/>
      <c r="EI123" s="330"/>
      <c r="EJ123" s="330"/>
      <c r="EK123" s="330"/>
      <c r="EL123" s="330"/>
      <c r="EM123" s="330"/>
      <c r="EN123" s="330"/>
      <c r="EO123" s="330"/>
      <c r="EP123" s="330"/>
      <c r="EQ123" s="332" t="s">
        <v>244</v>
      </c>
      <c r="ER123" s="330"/>
      <c r="ES123" s="330"/>
      <c r="ET123" s="332" t="s">
        <v>245</v>
      </c>
      <c r="EU123" s="332" t="s">
        <v>246</v>
      </c>
      <c r="EV123" s="336">
        <v>46045</v>
      </c>
      <c r="EW123" s="336">
        <v>46045</v>
      </c>
      <c r="EX123" s="330">
        <v>1</v>
      </c>
      <c r="EY123" s="330"/>
      <c r="EZ123" s="330" t="s">
        <v>201</v>
      </c>
      <c r="FA123" s="336">
        <v>46076</v>
      </c>
      <c r="FB123" s="330">
        <v>6</v>
      </c>
      <c r="FC123" s="330" t="s">
        <v>202</v>
      </c>
      <c r="FD123" s="332" t="s">
        <v>190</v>
      </c>
      <c r="FE123" s="336">
        <v>46083</v>
      </c>
      <c r="FF123" s="330"/>
      <c r="FG123" s="330" t="s">
        <v>203</v>
      </c>
      <c r="FH123" s="330" t="s">
        <v>987</v>
      </c>
      <c r="FI123" s="330" t="s">
        <v>204</v>
      </c>
      <c r="FJ123" s="330"/>
      <c r="FK123" s="330" t="s">
        <v>230</v>
      </c>
      <c r="FL123" s="330" t="s">
        <v>192</v>
      </c>
      <c r="FM123" s="330" t="s">
        <v>191</v>
      </c>
      <c r="FN123" s="330" t="s">
        <v>1337</v>
      </c>
      <c r="FO123" s="330"/>
      <c r="FP123" s="330" t="s">
        <v>451</v>
      </c>
      <c r="FQ123" s="330"/>
      <c r="FR123" s="330"/>
      <c r="FS123" s="330"/>
      <c r="FT123" s="330"/>
      <c r="FU123" s="330"/>
    </row>
    <row r="124" spans="1:177" ht="89.25" x14ac:dyDescent="0.25">
      <c r="A124" s="330">
        <v>123</v>
      </c>
      <c r="B124" s="331" t="s">
        <v>1338</v>
      </c>
      <c r="C124" s="330"/>
      <c r="D124" s="332" t="s">
        <v>900</v>
      </c>
      <c r="E124" s="332" t="s">
        <v>901</v>
      </c>
      <c r="F124" s="332" t="s">
        <v>902</v>
      </c>
      <c r="G124" s="330" t="s">
        <v>903</v>
      </c>
      <c r="H124" s="331"/>
      <c r="I124" s="330"/>
      <c r="J124" s="332" t="s">
        <v>1339</v>
      </c>
      <c r="K124" s="332" t="s">
        <v>1340</v>
      </c>
      <c r="L124" s="330"/>
      <c r="M124" s="332" t="s">
        <v>908</v>
      </c>
      <c r="N124" s="330" t="s">
        <v>1341</v>
      </c>
      <c r="O124" s="333" t="s">
        <v>184</v>
      </c>
      <c r="P124" s="333" t="s">
        <v>184</v>
      </c>
      <c r="Q124" s="333" t="s">
        <v>184</v>
      </c>
      <c r="R124" s="333">
        <v>0</v>
      </c>
      <c r="S124" s="333">
        <v>3600</v>
      </c>
      <c r="T124" s="333">
        <v>1</v>
      </c>
      <c r="U124" s="333">
        <v>0</v>
      </c>
      <c r="V124" s="333">
        <v>0</v>
      </c>
      <c r="W124" s="330">
        <v>328</v>
      </c>
      <c r="X124" s="330" t="s">
        <v>1342</v>
      </c>
      <c r="Y124" s="332" t="s">
        <v>1343</v>
      </c>
      <c r="Z124" s="330" t="s">
        <v>187</v>
      </c>
      <c r="AA124" s="330" t="s">
        <v>1344</v>
      </c>
      <c r="AB124" s="330" t="s">
        <v>189</v>
      </c>
      <c r="AC124" s="330"/>
      <c r="AD124" s="330"/>
      <c r="AE124" s="330">
        <v>1</v>
      </c>
      <c r="AF124" s="330">
        <v>-43</v>
      </c>
      <c r="AG124" s="332" t="s">
        <v>1050</v>
      </c>
      <c r="AH124" s="332" t="s">
        <v>191</v>
      </c>
      <c r="AI124" s="330" t="s">
        <v>202</v>
      </c>
      <c r="AJ124" s="330"/>
      <c r="AK124" s="330"/>
      <c r="AL124" s="330" t="s">
        <v>742</v>
      </c>
      <c r="AM124" s="330" t="s">
        <v>202</v>
      </c>
      <c r="AN124" s="330" t="s">
        <v>742</v>
      </c>
      <c r="AO124" s="330"/>
      <c r="AP124" s="332"/>
      <c r="AQ124" s="330"/>
      <c r="AR124" s="330" t="s">
        <v>334</v>
      </c>
      <c r="AS124" s="330" t="b">
        <v>1</v>
      </c>
      <c r="AT124" s="330"/>
      <c r="AU124" s="332" t="s">
        <v>742</v>
      </c>
      <c r="AV124" s="334">
        <v>46037.384175798608</v>
      </c>
      <c r="AW124" s="330"/>
      <c r="AX124" s="335">
        <v>46063</v>
      </c>
      <c r="AY124" s="336">
        <v>46056</v>
      </c>
      <c r="AZ124" s="330"/>
      <c r="BA124" s="336">
        <v>46070</v>
      </c>
      <c r="BB124" s="336">
        <v>46058</v>
      </c>
      <c r="BC124" s="336">
        <v>46072</v>
      </c>
      <c r="BD124" s="330"/>
      <c r="BE124" s="336">
        <v>46072</v>
      </c>
      <c r="BF124" s="330"/>
      <c r="BG124" s="330"/>
      <c r="BH124" s="330" t="s">
        <v>220</v>
      </c>
      <c r="BI124" s="330"/>
      <c r="BJ124" s="336">
        <v>46045</v>
      </c>
      <c r="BK124" s="330" t="b">
        <v>1</v>
      </c>
      <c r="BL124" s="330" t="s">
        <v>335</v>
      </c>
      <c r="BM124" s="332" t="s">
        <v>1345</v>
      </c>
      <c r="BN124" s="330" t="s">
        <v>1067</v>
      </c>
      <c r="BO124" s="330"/>
      <c r="BP124" s="330"/>
      <c r="BQ124" s="330"/>
      <c r="BR124" s="330"/>
      <c r="BS124" s="330"/>
      <c r="BT124" s="330"/>
      <c r="BU124" s="330"/>
      <c r="BV124" s="330"/>
      <c r="BW124" s="330"/>
      <c r="BX124" s="332"/>
      <c r="BY124" s="330"/>
      <c r="BZ124" s="330"/>
      <c r="CA124" s="330"/>
      <c r="CB124" s="330"/>
      <c r="CC124" s="337" t="s">
        <v>92</v>
      </c>
      <c r="CD124" s="330"/>
      <c r="CE124" s="330" t="b">
        <v>1</v>
      </c>
      <c r="CF124" s="330"/>
      <c r="CG124" s="330"/>
      <c r="CH124" s="330"/>
      <c r="CI124" s="330"/>
      <c r="CJ124" s="330"/>
      <c r="CK124" s="330"/>
      <c r="CL124" s="330" t="b">
        <v>1</v>
      </c>
      <c r="CM124" s="330" t="s">
        <v>745</v>
      </c>
      <c r="CN124" s="330"/>
      <c r="CO124" s="330" t="b">
        <v>1</v>
      </c>
      <c r="CP124" s="330"/>
      <c r="CQ124" s="330"/>
      <c r="CR124" s="330"/>
      <c r="CS124" s="330"/>
      <c r="CT124" s="330"/>
      <c r="CU124" s="330" t="b">
        <v>1</v>
      </c>
      <c r="CV124" s="330"/>
      <c r="CW124" s="330"/>
      <c r="CX124" s="330"/>
      <c r="CY124" s="330"/>
      <c r="CZ124" s="330"/>
      <c r="DA124" s="330"/>
      <c r="DB124" s="330"/>
      <c r="DC124" s="330"/>
      <c r="DD124" s="330"/>
      <c r="DE124" s="330"/>
      <c r="DF124" s="338">
        <v>24079</v>
      </c>
      <c r="DG124" s="330" t="s">
        <v>195</v>
      </c>
      <c r="DH124" s="330"/>
      <c r="DI124" s="338" t="s">
        <v>1346</v>
      </c>
      <c r="DJ124" s="330"/>
      <c r="DK124" s="330">
        <v>0</v>
      </c>
      <c r="DL124" s="330" t="s">
        <v>1347</v>
      </c>
      <c r="DM124" s="330"/>
      <c r="DN124" s="330"/>
      <c r="DO124" s="330"/>
      <c r="DP124" s="330"/>
      <c r="DQ124" s="338" t="s">
        <v>197</v>
      </c>
      <c r="DR124" s="330"/>
      <c r="DS124" s="330"/>
      <c r="DT124" s="330"/>
      <c r="DU124" s="338" t="s">
        <v>197</v>
      </c>
      <c r="DV124" s="330"/>
      <c r="DW124" s="330"/>
      <c r="DX124" s="330"/>
      <c r="DY124" s="338" t="s">
        <v>197</v>
      </c>
      <c r="DZ124" s="330"/>
      <c r="EA124" s="330"/>
      <c r="EB124" s="330"/>
      <c r="EC124" s="330" t="s">
        <v>197</v>
      </c>
      <c r="ED124" s="338" t="s">
        <v>197</v>
      </c>
      <c r="EE124" s="330">
        <v>1</v>
      </c>
      <c r="EF124" s="330">
        <v>40</v>
      </c>
      <c r="EG124" s="330"/>
      <c r="EH124" s="330"/>
      <c r="EI124" s="330"/>
      <c r="EJ124" s="330"/>
      <c r="EK124" s="330"/>
      <c r="EL124" s="330"/>
      <c r="EM124" s="330"/>
      <c r="EN124" s="330"/>
      <c r="EO124" s="330"/>
      <c r="EP124" s="330"/>
      <c r="EQ124" s="332" t="s">
        <v>244</v>
      </c>
      <c r="ER124" s="330"/>
      <c r="ES124" s="330"/>
      <c r="ET124" s="332" t="s">
        <v>89</v>
      </c>
      <c r="EU124" s="332" t="s">
        <v>1348</v>
      </c>
      <c r="EV124" s="336">
        <v>46045</v>
      </c>
      <c r="EW124" s="336">
        <v>46051</v>
      </c>
      <c r="EX124" s="330">
        <v>5</v>
      </c>
      <c r="EY124" s="330"/>
      <c r="EZ124" s="330" t="s">
        <v>247</v>
      </c>
      <c r="FA124" s="330"/>
      <c r="FB124" s="330" t="s">
        <v>247</v>
      </c>
      <c r="FC124" s="330" t="s">
        <v>202</v>
      </c>
      <c r="FD124" s="332" t="s">
        <v>190</v>
      </c>
      <c r="FE124" s="330"/>
      <c r="FF124" s="330"/>
      <c r="FG124" s="330" t="s">
        <v>203</v>
      </c>
      <c r="FH124" s="330" t="s">
        <v>1349</v>
      </c>
      <c r="FI124" s="330" t="s">
        <v>204</v>
      </c>
      <c r="FJ124" s="330"/>
      <c r="FK124" s="330" t="s">
        <v>902</v>
      </c>
      <c r="FL124" s="330" t="s">
        <v>742</v>
      </c>
      <c r="FM124" s="330" t="s">
        <v>202</v>
      </c>
      <c r="FN124" s="330" t="s">
        <v>1350</v>
      </c>
      <c r="FO124" s="330" t="b">
        <v>1</v>
      </c>
      <c r="FP124" s="330" t="s">
        <v>528</v>
      </c>
      <c r="FQ124" s="330"/>
      <c r="FR124" s="330"/>
      <c r="FS124" s="330"/>
      <c r="FT124" s="330"/>
      <c r="FU124" s="330"/>
    </row>
    <row r="125" spans="1:177" ht="114.75" x14ac:dyDescent="0.25">
      <c r="A125" s="330">
        <v>124</v>
      </c>
      <c r="B125" s="331" t="s">
        <v>1351</v>
      </c>
      <c r="C125" s="330"/>
      <c r="D125" s="332" t="s">
        <v>900</v>
      </c>
      <c r="E125" s="332" t="s">
        <v>901</v>
      </c>
      <c r="F125" s="332" t="s">
        <v>902</v>
      </c>
      <c r="G125" s="330" t="s">
        <v>903</v>
      </c>
      <c r="H125" s="331"/>
      <c r="I125" s="330"/>
      <c r="J125" s="332" t="s">
        <v>1352</v>
      </c>
      <c r="K125" s="332" t="s">
        <v>1353</v>
      </c>
      <c r="L125" s="330" t="s">
        <v>637</v>
      </c>
      <c r="M125" s="332" t="s">
        <v>908</v>
      </c>
      <c r="N125" s="330" t="s">
        <v>1354</v>
      </c>
      <c r="O125" s="333" t="s">
        <v>184</v>
      </c>
      <c r="P125" s="333" t="s">
        <v>184</v>
      </c>
      <c r="Q125" s="333" t="s">
        <v>184</v>
      </c>
      <c r="R125" s="333">
        <v>0</v>
      </c>
      <c r="S125" s="333">
        <v>220</v>
      </c>
      <c r="T125" s="333">
        <v>2</v>
      </c>
      <c r="U125" s="333">
        <v>0</v>
      </c>
      <c r="V125" s="333">
        <v>0</v>
      </c>
      <c r="W125" s="330" t="s">
        <v>1355</v>
      </c>
      <c r="X125" s="330" t="s">
        <v>1035</v>
      </c>
      <c r="Y125" s="332" t="s">
        <v>1356</v>
      </c>
      <c r="Z125" s="330" t="s">
        <v>739</v>
      </c>
      <c r="AA125" s="330" t="s">
        <v>1357</v>
      </c>
      <c r="AB125" s="330" t="s">
        <v>217</v>
      </c>
      <c r="AC125" s="330"/>
      <c r="AD125" s="330"/>
      <c r="AE125" s="330">
        <v>31</v>
      </c>
      <c r="AF125" s="330">
        <v>-43</v>
      </c>
      <c r="AG125" s="332" t="s">
        <v>190</v>
      </c>
      <c r="AH125" s="332" t="s">
        <v>191</v>
      </c>
      <c r="AI125" s="330"/>
      <c r="AJ125" s="330"/>
      <c r="AK125" s="330"/>
      <c r="AL125" s="330" t="s">
        <v>191</v>
      </c>
      <c r="AM125" s="330"/>
      <c r="AN125" s="330"/>
      <c r="AO125" s="330"/>
      <c r="AP125" s="332"/>
      <c r="AQ125" s="330"/>
      <c r="AR125" s="330"/>
      <c r="AS125" s="330"/>
      <c r="AT125" s="330"/>
      <c r="AU125" s="332" t="s">
        <v>191</v>
      </c>
      <c r="AV125" s="334">
        <v>46051.628356168978</v>
      </c>
      <c r="AW125" s="330"/>
      <c r="AX125" s="335">
        <v>46063</v>
      </c>
      <c r="AY125" s="336">
        <v>46056</v>
      </c>
      <c r="AZ125" s="330"/>
      <c r="BA125" s="336">
        <v>46070</v>
      </c>
      <c r="BB125" s="330"/>
      <c r="BC125" s="336">
        <v>46072</v>
      </c>
      <c r="BD125" s="330"/>
      <c r="BE125" s="336">
        <v>46072</v>
      </c>
      <c r="BF125" s="330"/>
      <c r="BG125" s="330"/>
      <c r="BH125" s="330" t="s">
        <v>193</v>
      </c>
      <c r="BI125" s="330">
        <v>138</v>
      </c>
      <c r="BJ125" s="330"/>
      <c r="BK125" s="330"/>
      <c r="BL125" s="330"/>
      <c r="BM125" s="332"/>
      <c r="BN125" s="330"/>
      <c r="BO125" s="330"/>
      <c r="BP125" s="330"/>
      <c r="BQ125" s="330"/>
      <c r="BR125" s="330"/>
      <c r="BS125" s="330"/>
      <c r="BT125" s="330"/>
      <c r="BU125" s="330"/>
      <c r="BV125" s="330"/>
      <c r="BW125" s="330"/>
      <c r="BX125" s="332"/>
      <c r="BY125" s="330"/>
      <c r="BZ125" s="330"/>
      <c r="CA125" s="330"/>
      <c r="CB125" s="330"/>
      <c r="CC125" s="337" t="s">
        <v>194</v>
      </c>
      <c r="CD125" s="330"/>
      <c r="CE125" s="330" t="b">
        <v>1</v>
      </c>
      <c r="CF125" s="330"/>
      <c r="CG125" s="330"/>
      <c r="CH125" s="330"/>
      <c r="CI125" s="330"/>
      <c r="CJ125" s="330"/>
      <c r="CK125" s="330"/>
      <c r="CL125" s="330"/>
      <c r="CM125" s="330"/>
      <c r="CN125" s="330"/>
      <c r="CO125" s="330" t="b">
        <v>1</v>
      </c>
      <c r="CP125" s="330" t="b">
        <v>1</v>
      </c>
      <c r="CQ125" s="330"/>
      <c r="CR125" s="330"/>
      <c r="CS125" s="330"/>
      <c r="CT125" s="330"/>
      <c r="CU125" s="330"/>
      <c r="CV125" s="330"/>
      <c r="CW125" s="330"/>
      <c r="CX125" s="330"/>
      <c r="CY125" s="330"/>
      <c r="CZ125" s="330"/>
      <c r="DA125" s="330"/>
      <c r="DB125" s="330"/>
      <c r="DC125" s="330"/>
      <c r="DD125" s="330"/>
      <c r="DE125" s="330"/>
      <c r="DF125" s="338">
        <v>24079</v>
      </c>
      <c r="DG125" s="330" t="s">
        <v>764</v>
      </c>
      <c r="DH125" s="330"/>
      <c r="DI125" s="338" t="s">
        <v>1326</v>
      </c>
      <c r="DJ125" s="330"/>
      <c r="DK125" s="330">
        <v>7</v>
      </c>
      <c r="DL125" s="330" t="s">
        <v>4161</v>
      </c>
      <c r="DM125" s="330"/>
      <c r="DN125" s="330"/>
      <c r="DO125" s="330"/>
      <c r="DP125" s="330"/>
      <c r="DQ125" s="338" t="s">
        <v>197</v>
      </c>
      <c r="DR125" s="330"/>
      <c r="DS125" s="330"/>
      <c r="DT125" s="330"/>
      <c r="DU125" s="338" t="s">
        <v>197</v>
      </c>
      <c r="DV125" s="330"/>
      <c r="DW125" s="330"/>
      <c r="DX125" s="330"/>
      <c r="DY125" s="338" t="s">
        <v>197</v>
      </c>
      <c r="DZ125" s="330"/>
      <c r="EA125" s="330"/>
      <c r="EB125" s="330"/>
      <c r="EC125" s="330" t="s">
        <v>197</v>
      </c>
      <c r="ED125" s="338" t="s">
        <v>197</v>
      </c>
      <c r="EE125" s="330">
        <v>1</v>
      </c>
      <c r="EF125" s="330">
        <v>6</v>
      </c>
      <c r="EG125" s="330"/>
      <c r="EH125" s="330"/>
      <c r="EI125" s="330"/>
      <c r="EJ125" s="330"/>
      <c r="EK125" s="330"/>
      <c r="EL125" s="330"/>
      <c r="EM125" s="330"/>
      <c r="EN125" s="330"/>
      <c r="EO125" s="330"/>
      <c r="EP125" s="330"/>
      <c r="EQ125" s="332" t="s">
        <v>936</v>
      </c>
      <c r="ER125" s="330"/>
      <c r="ES125" s="330"/>
      <c r="ET125" s="332"/>
      <c r="EU125" s="332" t="s">
        <v>199</v>
      </c>
      <c r="EV125" s="330"/>
      <c r="EW125" s="330"/>
      <c r="EX125" s="330" t="s">
        <v>200</v>
      </c>
      <c r="EY125" s="330"/>
      <c r="EZ125" s="330" t="s">
        <v>247</v>
      </c>
      <c r="FA125" s="330"/>
      <c r="FB125" s="330" t="s">
        <v>248</v>
      </c>
      <c r="FC125" s="330" t="s">
        <v>202</v>
      </c>
      <c r="FD125" s="332" t="s">
        <v>190</v>
      </c>
      <c r="FE125" s="336">
        <v>46059</v>
      </c>
      <c r="FF125" s="330"/>
      <c r="FG125" s="330" t="s">
        <v>203</v>
      </c>
      <c r="FH125" s="330"/>
      <c r="FI125" s="330" t="s">
        <v>204</v>
      </c>
      <c r="FJ125" s="330"/>
      <c r="FK125" s="330" t="s">
        <v>902</v>
      </c>
      <c r="FL125" s="330" t="s">
        <v>191</v>
      </c>
      <c r="FM125" s="330"/>
      <c r="FN125" s="330" t="s">
        <v>1359</v>
      </c>
      <c r="FO125" s="330"/>
      <c r="FP125" s="330" t="s">
        <v>528</v>
      </c>
      <c r="FQ125" s="330"/>
      <c r="FR125" s="330"/>
      <c r="FS125" s="330"/>
      <c r="FT125" s="330"/>
      <c r="FU125" s="330"/>
    </row>
    <row r="126" spans="1:177" ht="102" x14ac:dyDescent="0.25">
      <c r="A126" s="330">
        <v>125</v>
      </c>
      <c r="B126" s="331" t="s">
        <v>1360</v>
      </c>
      <c r="C126" s="330"/>
      <c r="D126" s="332" t="s">
        <v>900</v>
      </c>
      <c r="E126" s="332" t="s">
        <v>901</v>
      </c>
      <c r="F126" s="332" t="s">
        <v>902</v>
      </c>
      <c r="G126" s="330" t="s">
        <v>903</v>
      </c>
      <c r="H126" s="331"/>
      <c r="I126" s="330"/>
      <c r="J126" s="332" t="s">
        <v>1361</v>
      </c>
      <c r="K126" s="332" t="s">
        <v>1362</v>
      </c>
      <c r="L126" s="330" t="s">
        <v>637</v>
      </c>
      <c r="M126" s="332" t="s">
        <v>908</v>
      </c>
      <c r="N126" s="330" t="s">
        <v>1363</v>
      </c>
      <c r="O126" s="333" t="s">
        <v>184</v>
      </c>
      <c r="P126" s="333" t="s">
        <v>184</v>
      </c>
      <c r="Q126" s="333" t="s">
        <v>184</v>
      </c>
      <c r="R126" s="333">
        <v>0</v>
      </c>
      <c r="S126" s="333">
        <v>160</v>
      </c>
      <c r="T126" s="333">
        <v>2</v>
      </c>
      <c r="U126" s="333">
        <v>0</v>
      </c>
      <c r="V126" s="333">
        <v>0</v>
      </c>
      <c r="W126" s="330" t="s">
        <v>1355</v>
      </c>
      <c r="X126" s="330" t="s">
        <v>1035</v>
      </c>
      <c r="Y126" s="332" t="s">
        <v>1364</v>
      </c>
      <c r="Z126" s="330" t="s">
        <v>739</v>
      </c>
      <c r="AA126" s="330" t="s">
        <v>1365</v>
      </c>
      <c r="AB126" s="330" t="s">
        <v>189</v>
      </c>
      <c r="AC126" s="330"/>
      <c r="AD126" s="330"/>
      <c r="AE126" s="330">
        <v>31</v>
      </c>
      <c r="AF126" s="330">
        <v>-43</v>
      </c>
      <c r="AG126" s="332" t="s">
        <v>190</v>
      </c>
      <c r="AH126" s="332" t="s">
        <v>191</v>
      </c>
      <c r="AI126" s="330"/>
      <c r="AJ126" s="330"/>
      <c r="AK126" s="330"/>
      <c r="AL126" s="330" t="s">
        <v>191</v>
      </c>
      <c r="AM126" s="330"/>
      <c r="AN126" s="330"/>
      <c r="AO126" s="330"/>
      <c r="AP126" s="332"/>
      <c r="AQ126" s="330"/>
      <c r="AR126" s="330"/>
      <c r="AS126" s="330"/>
      <c r="AT126" s="330"/>
      <c r="AU126" s="332" t="s">
        <v>191</v>
      </c>
      <c r="AV126" s="334">
        <v>46051.636705555553</v>
      </c>
      <c r="AW126" s="330"/>
      <c r="AX126" s="335">
        <v>46063</v>
      </c>
      <c r="AY126" s="336">
        <v>46056</v>
      </c>
      <c r="AZ126" s="330"/>
      <c r="BA126" s="336">
        <v>46070</v>
      </c>
      <c r="BB126" s="330"/>
      <c r="BC126" s="336">
        <v>46072</v>
      </c>
      <c r="BD126" s="330"/>
      <c r="BE126" s="336">
        <v>46072</v>
      </c>
      <c r="BF126" s="330"/>
      <c r="BG126" s="330"/>
      <c r="BH126" s="330" t="s">
        <v>193</v>
      </c>
      <c r="BI126" s="330">
        <v>23</v>
      </c>
      <c r="BJ126" s="330"/>
      <c r="BK126" s="330"/>
      <c r="BL126" s="330"/>
      <c r="BM126" s="332"/>
      <c r="BN126" s="330"/>
      <c r="BO126" s="330"/>
      <c r="BP126" s="330"/>
      <c r="BQ126" s="330"/>
      <c r="BR126" s="330"/>
      <c r="BS126" s="330"/>
      <c r="BT126" s="330"/>
      <c r="BU126" s="330"/>
      <c r="BV126" s="330"/>
      <c r="BW126" s="330"/>
      <c r="BX126" s="332"/>
      <c r="BY126" s="330"/>
      <c r="BZ126" s="330"/>
      <c r="CA126" s="330"/>
      <c r="CB126" s="330"/>
      <c r="CC126" s="337" t="s">
        <v>194</v>
      </c>
      <c r="CD126" s="330"/>
      <c r="CE126" s="330" t="b">
        <v>1</v>
      </c>
      <c r="CF126" s="330"/>
      <c r="CG126" s="330"/>
      <c r="CH126" s="330"/>
      <c r="CI126" s="330"/>
      <c r="CJ126" s="330"/>
      <c r="CK126" s="330"/>
      <c r="CL126" s="330"/>
      <c r="CM126" s="330"/>
      <c r="CN126" s="330"/>
      <c r="CO126" s="330" t="b">
        <v>1</v>
      </c>
      <c r="CP126" s="330" t="b">
        <v>1</v>
      </c>
      <c r="CQ126" s="330"/>
      <c r="CR126" s="330"/>
      <c r="CS126" s="330"/>
      <c r="CT126" s="330"/>
      <c r="CU126" s="330"/>
      <c r="CV126" s="330"/>
      <c r="CW126" s="330"/>
      <c r="CX126" s="330"/>
      <c r="CY126" s="330"/>
      <c r="CZ126" s="330"/>
      <c r="DA126" s="330"/>
      <c r="DB126" s="330"/>
      <c r="DC126" s="330"/>
      <c r="DD126" s="330"/>
      <c r="DE126" s="330"/>
      <c r="DF126" s="338">
        <v>24079</v>
      </c>
      <c r="DG126" s="330" t="s">
        <v>764</v>
      </c>
      <c r="DH126" s="330"/>
      <c r="DI126" s="338" t="s">
        <v>1366</v>
      </c>
      <c r="DJ126" s="330"/>
      <c r="DK126" s="330">
        <v>8</v>
      </c>
      <c r="DL126" s="330" t="s">
        <v>4161</v>
      </c>
      <c r="DM126" s="330"/>
      <c r="DN126" s="330"/>
      <c r="DO126" s="330"/>
      <c r="DP126" s="330"/>
      <c r="DQ126" s="338" t="s">
        <v>197</v>
      </c>
      <c r="DR126" s="330"/>
      <c r="DS126" s="330"/>
      <c r="DT126" s="330"/>
      <c r="DU126" s="338" t="s">
        <v>197</v>
      </c>
      <c r="DV126" s="330"/>
      <c r="DW126" s="330"/>
      <c r="DX126" s="330"/>
      <c r="DY126" s="338" t="s">
        <v>197</v>
      </c>
      <c r="DZ126" s="330"/>
      <c r="EA126" s="330"/>
      <c r="EB126" s="330"/>
      <c r="EC126" s="330" t="s">
        <v>197</v>
      </c>
      <c r="ED126" s="338" t="s">
        <v>197</v>
      </c>
      <c r="EE126" s="330">
        <v>1</v>
      </c>
      <c r="EF126" s="330">
        <v>6</v>
      </c>
      <c r="EG126" s="330"/>
      <c r="EH126" s="330"/>
      <c r="EI126" s="330"/>
      <c r="EJ126" s="330"/>
      <c r="EK126" s="330"/>
      <c r="EL126" s="330"/>
      <c r="EM126" s="330"/>
      <c r="EN126" s="330"/>
      <c r="EO126" s="330"/>
      <c r="EP126" s="330"/>
      <c r="EQ126" s="332" t="s">
        <v>936</v>
      </c>
      <c r="ER126" s="330"/>
      <c r="ES126" s="330"/>
      <c r="ET126" s="332"/>
      <c r="EU126" s="332" t="s">
        <v>199</v>
      </c>
      <c r="EV126" s="330"/>
      <c r="EW126" s="330"/>
      <c r="EX126" s="330" t="s">
        <v>200</v>
      </c>
      <c r="EY126" s="330"/>
      <c r="EZ126" s="330" t="s">
        <v>201</v>
      </c>
      <c r="FA126" s="336">
        <v>46058</v>
      </c>
      <c r="FB126" s="330">
        <v>2</v>
      </c>
      <c r="FC126" s="330" t="s">
        <v>202</v>
      </c>
      <c r="FD126" s="332" t="s">
        <v>190</v>
      </c>
      <c r="FE126" s="336">
        <v>46059</v>
      </c>
      <c r="FF126" s="330"/>
      <c r="FG126" s="330" t="s">
        <v>203</v>
      </c>
      <c r="FH126" s="330"/>
      <c r="FI126" s="330" t="s">
        <v>204</v>
      </c>
      <c r="FJ126" s="330"/>
      <c r="FK126" s="330" t="s">
        <v>902</v>
      </c>
      <c r="FL126" s="330" t="s">
        <v>191</v>
      </c>
      <c r="FM126" s="330"/>
      <c r="FN126" s="330" t="s">
        <v>1367</v>
      </c>
      <c r="FO126" s="330"/>
      <c r="FP126" s="330" t="s">
        <v>528</v>
      </c>
      <c r="FQ126" s="330"/>
      <c r="FR126" s="330"/>
      <c r="FS126" s="330"/>
      <c r="FT126" s="330"/>
      <c r="FU126" s="330"/>
    </row>
    <row r="127" spans="1:177" ht="140.25" x14ac:dyDescent="0.25">
      <c r="A127" s="330">
        <v>126</v>
      </c>
      <c r="B127" s="331" t="s">
        <v>1368</v>
      </c>
      <c r="C127" s="330"/>
      <c r="D127" s="332" t="s">
        <v>900</v>
      </c>
      <c r="E127" s="332" t="s">
        <v>901</v>
      </c>
      <c r="F127" s="332" t="s">
        <v>902</v>
      </c>
      <c r="G127" s="330" t="s">
        <v>903</v>
      </c>
      <c r="H127" s="331"/>
      <c r="I127" s="330"/>
      <c r="J127" s="332" t="s">
        <v>1369</v>
      </c>
      <c r="K127" s="332" t="s">
        <v>1370</v>
      </c>
      <c r="L127" s="330" t="s">
        <v>637</v>
      </c>
      <c r="M127" s="332"/>
      <c r="N127" s="330" t="s">
        <v>1371</v>
      </c>
      <c r="O127" s="333" t="s">
        <v>184</v>
      </c>
      <c r="P127" s="333" t="s">
        <v>184</v>
      </c>
      <c r="Q127" s="333" t="s">
        <v>184</v>
      </c>
      <c r="R127" s="333">
        <v>0</v>
      </c>
      <c r="S127" s="333">
        <v>295</v>
      </c>
      <c r="T127" s="333">
        <v>3</v>
      </c>
      <c r="U127" s="333">
        <v>0</v>
      </c>
      <c r="V127" s="333">
        <v>0</v>
      </c>
      <c r="W127" s="330" t="s">
        <v>1372</v>
      </c>
      <c r="X127" s="330" t="s">
        <v>1035</v>
      </c>
      <c r="Y127" s="332" t="s">
        <v>1373</v>
      </c>
      <c r="Z127" s="330" t="s">
        <v>739</v>
      </c>
      <c r="AA127" s="330" t="s">
        <v>1374</v>
      </c>
      <c r="AB127" s="330" t="s">
        <v>217</v>
      </c>
      <c r="AC127" s="330"/>
      <c r="AD127" s="330"/>
      <c r="AE127" s="330">
        <v>31</v>
      </c>
      <c r="AF127" s="330">
        <v>-43</v>
      </c>
      <c r="AG127" s="332" t="s">
        <v>190</v>
      </c>
      <c r="AH127" s="332" t="s">
        <v>191</v>
      </c>
      <c r="AI127" s="330"/>
      <c r="AJ127" s="330"/>
      <c r="AK127" s="330"/>
      <c r="AL127" s="330" t="s">
        <v>191</v>
      </c>
      <c r="AM127" s="330"/>
      <c r="AN127" s="330"/>
      <c r="AO127" s="330"/>
      <c r="AP127" s="332"/>
      <c r="AQ127" s="330"/>
      <c r="AR127" s="330"/>
      <c r="AS127" s="330"/>
      <c r="AT127" s="330"/>
      <c r="AU127" s="332" t="s">
        <v>191</v>
      </c>
      <c r="AV127" s="334">
        <v>46051.64644384259</v>
      </c>
      <c r="AW127" s="330"/>
      <c r="AX127" s="335">
        <v>46063</v>
      </c>
      <c r="AY127" s="336">
        <v>46056</v>
      </c>
      <c r="AZ127" s="330"/>
      <c r="BA127" s="336">
        <v>46070</v>
      </c>
      <c r="BB127" s="330"/>
      <c r="BC127" s="336">
        <v>46072</v>
      </c>
      <c r="BD127" s="330"/>
      <c r="BE127" s="336">
        <v>46072</v>
      </c>
      <c r="BF127" s="330"/>
      <c r="BG127" s="330"/>
      <c r="BH127" s="330" t="s">
        <v>193</v>
      </c>
      <c r="BI127" s="330">
        <v>59</v>
      </c>
      <c r="BJ127" s="330"/>
      <c r="BK127" s="330"/>
      <c r="BL127" s="330"/>
      <c r="BM127" s="332"/>
      <c r="BN127" s="330"/>
      <c r="BO127" s="330"/>
      <c r="BP127" s="330"/>
      <c r="BQ127" s="330"/>
      <c r="BR127" s="330"/>
      <c r="BS127" s="330"/>
      <c r="BT127" s="330"/>
      <c r="BU127" s="330"/>
      <c r="BV127" s="330"/>
      <c r="BW127" s="330"/>
      <c r="BX127" s="332"/>
      <c r="BY127" s="330"/>
      <c r="BZ127" s="330"/>
      <c r="CA127" s="330"/>
      <c r="CB127" s="330"/>
      <c r="CC127" s="337" t="s">
        <v>194</v>
      </c>
      <c r="CD127" s="330"/>
      <c r="CE127" s="330" t="b">
        <v>1</v>
      </c>
      <c r="CF127" s="330"/>
      <c r="CG127" s="330"/>
      <c r="CH127" s="330"/>
      <c r="CI127" s="330"/>
      <c r="CJ127" s="330"/>
      <c r="CK127" s="330"/>
      <c r="CL127" s="330"/>
      <c r="CM127" s="330"/>
      <c r="CN127" s="330"/>
      <c r="CO127" s="330" t="b">
        <v>1</v>
      </c>
      <c r="CP127" s="330" t="b">
        <v>1</v>
      </c>
      <c r="CQ127" s="330"/>
      <c r="CR127" s="330"/>
      <c r="CS127" s="330"/>
      <c r="CT127" s="330"/>
      <c r="CU127" s="330"/>
      <c r="CV127" s="330"/>
      <c r="CW127" s="330"/>
      <c r="CX127" s="330"/>
      <c r="CY127" s="330"/>
      <c r="CZ127" s="330"/>
      <c r="DA127" s="330"/>
      <c r="DB127" s="330"/>
      <c r="DC127" s="330"/>
      <c r="DD127" s="330"/>
      <c r="DE127" s="330"/>
      <c r="DF127" s="338">
        <v>24079</v>
      </c>
      <c r="DG127" s="330" t="s">
        <v>764</v>
      </c>
      <c r="DH127" s="330"/>
      <c r="DI127" s="338" t="s">
        <v>1375</v>
      </c>
      <c r="DJ127" s="330"/>
      <c r="DK127" s="330">
        <v>9</v>
      </c>
      <c r="DL127" s="330" t="s">
        <v>4161</v>
      </c>
      <c r="DM127" s="330"/>
      <c r="DN127" s="330"/>
      <c r="DO127" s="330"/>
      <c r="DP127" s="330"/>
      <c r="DQ127" s="338" t="s">
        <v>197</v>
      </c>
      <c r="DR127" s="330"/>
      <c r="DS127" s="330"/>
      <c r="DT127" s="330"/>
      <c r="DU127" s="338" t="s">
        <v>197</v>
      </c>
      <c r="DV127" s="330"/>
      <c r="DW127" s="330"/>
      <c r="DX127" s="330"/>
      <c r="DY127" s="338" t="s">
        <v>197</v>
      </c>
      <c r="DZ127" s="330"/>
      <c r="EA127" s="330"/>
      <c r="EB127" s="330"/>
      <c r="EC127" s="330" t="s">
        <v>197</v>
      </c>
      <c r="ED127" s="338" t="s">
        <v>197</v>
      </c>
      <c r="EE127" s="330">
        <v>1</v>
      </c>
      <c r="EF127" s="330">
        <v>8</v>
      </c>
      <c r="EG127" s="330"/>
      <c r="EH127" s="330"/>
      <c r="EI127" s="330"/>
      <c r="EJ127" s="330"/>
      <c r="EK127" s="330"/>
      <c r="EL127" s="330"/>
      <c r="EM127" s="330"/>
      <c r="EN127" s="330"/>
      <c r="EO127" s="330"/>
      <c r="EP127" s="330"/>
      <c r="EQ127" s="332" t="s">
        <v>936</v>
      </c>
      <c r="ER127" s="330"/>
      <c r="ES127" s="330"/>
      <c r="ET127" s="332"/>
      <c r="EU127" s="332" t="s">
        <v>199</v>
      </c>
      <c r="EV127" s="330"/>
      <c r="EW127" s="330"/>
      <c r="EX127" s="330" t="s">
        <v>200</v>
      </c>
      <c r="EY127" s="330"/>
      <c r="EZ127" s="330" t="s">
        <v>201</v>
      </c>
      <c r="FA127" s="336">
        <v>46062</v>
      </c>
      <c r="FB127" s="330">
        <v>24</v>
      </c>
      <c r="FC127" s="330" t="s">
        <v>202</v>
      </c>
      <c r="FD127" s="332" t="s">
        <v>190</v>
      </c>
      <c r="FE127" s="336">
        <v>46093</v>
      </c>
      <c r="FF127" s="330"/>
      <c r="FG127" s="330" t="s">
        <v>203</v>
      </c>
      <c r="FH127" s="330"/>
      <c r="FI127" s="330" t="s">
        <v>204</v>
      </c>
      <c r="FJ127" s="330"/>
      <c r="FK127" s="330" t="s">
        <v>902</v>
      </c>
      <c r="FL127" s="330" t="s">
        <v>191</v>
      </c>
      <c r="FM127" s="330"/>
      <c r="FN127" s="330" t="s">
        <v>1376</v>
      </c>
      <c r="FO127" s="330"/>
      <c r="FP127" s="330" t="s">
        <v>528</v>
      </c>
      <c r="FQ127" s="330"/>
      <c r="FR127" s="330"/>
      <c r="FS127" s="330"/>
      <c r="FT127" s="330"/>
      <c r="FU127" s="330"/>
    </row>
    <row r="128" spans="1:177" ht="267.75" x14ac:dyDescent="0.25">
      <c r="A128" s="330">
        <v>127</v>
      </c>
      <c r="B128" s="331" t="s">
        <v>1377</v>
      </c>
      <c r="C128" s="330"/>
      <c r="D128" s="332" t="s">
        <v>1055</v>
      </c>
      <c r="E128" s="332" t="s">
        <v>1056</v>
      </c>
      <c r="F128" s="332" t="s">
        <v>180</v>
      </c>
      <c r="G128" s="330" t="s">
        <v>181</v>
      </c>
      <c r="H128" s="331"/>
      <c r="I128" s="330"/>
      <c r="J128" s="332" t="s">
        <v>1378</v>
      </c>
      <c r="K128" s="332" t="s">
        <v>1379</v>
      </c>
      <c r="L128" s="330" t="s">
        <v>1380</v>
      </c>
      <c r="M128" s="332"/>
      <c r="N128" s="330" t="s">
        <v>1381</v>
      </c>
      <c r="O128" s="333" t="s">
        <v>184</v>
      </c>
      <c r="P128" s="333" t="s">
        <v>184</v>
      </c>
      <c r="Q128" s="333" t="s">
        <v>184</v>
      </c>
      <c r="R128" s="333">
        <v>0</v>
      </c>
      <c r="S128" s="333">
        <v>118</v>
      </c>
      <c r="T128" s="333">
        <v>9</v>
      </c>
      <c r="U128" s="333">
        <v>0</v>
      </c>
      <c r="V128" s="333">
        <v>0</v>
      </c>
      <c r="W128" s="330">
        <v>21</v>
      </c>
      <c r="X128" s="330" t="s">
        <v>184</v>
      </c>
      <c r="Y128" s="332" t="s">
        <v>1382</v>
      </c>
      <c r="Z128" s="330" t="s">
        <v>739</v>
      </c>
      <c r="AA128" s="330" t="s">
        <v>1383</v>
      </c>
      <c r="AB128" s="330" t="s">
        <v>189</v>
      </c>
      <c r="AC128" s="330"/>
      <c r="AD128" s="330"/>
      <c r="AE128" s="330">
        <v>1</v>
      </c>
      <c r="AF128" s="330">
        <v>-42</v>
      </c>
      <c r="AG128" s="332" t="s">
        <v>190</v>
      </c>
      <c r="AH128" s="332" t="s">
        <v>191</v>
      </c>
      <c r="AI128" s="330" t="s">
        <v>202</v>
      </c>
      <c r="AJ128" s="330"/>
      <c r="AK128" s="330"/>
      <c r="AL128" s="330" t="s">
        <v>741</v>
      </c>
      <c r="AM128" s="330" t="s">
        <v>202</v>
      </c>
      <c r="AN128" s="330" t="s">
        <v>741</v>
      </c>
      <c r="AO128" s="330"/>
      <c r="AP128" s="332"/>
      <c r="AQ128" s="330" t="s">
        <v>334</v>
      </c>
      <c r="AR128" s="330"/>
      <c r="AS128" s="330"/>
      <c r="AT128" s="330"/>
      <c r="AU128" s="332" t="s">
        <v>741</v>
      </c>
      <c r="AV128" s="334">
        <v>46052.349386041664</v>
      </c>
      <c r="AW128" s="330"/>
      <c r="AX128" s="335">
        <v>46064</v>
      </c>
      <c r="AY128" s="336">
        <v>46065</v>
      </c>
      <c r="AZ128" s="330" t="b">
        <v>1</v>
      </c>
      <c r="BA128" s="336">
        <v>46071</v>
      </c>
      <c r="BB128" s="336">
        <v>46073</v>
      </c>
      <c r="BC128" s="336">
        <v>46073</v>
      </c>
      <c r="BD128" s="330"/>
      <c r="BE128" s="336">
        <v>46073</v>
      </c>
      <c r="BF128" s="330"/>
      <c r="BG128" s="336">
        <v>46078</v>
      </c>
      <c r="BH128" s="330" t="s">
        <v>193</v>
      </c>
      <c r="BI128" s="330">
        <v>64</v>
      </c>
      <c r="BJ128" s="330"/>
      <c r="BK128" s="330" t="b">
        <v>1</v>
      </c>
      <c r="BL128" s="330" t="s">
        <v>1065</v>
      </c>
      <c r="BM128" s="332" t="s">
        <v>1080</v>
      </c>
      <c r="BN128" s="330" t="s">
        <v>1067</v>
      </c>
      <c r="BO128" s="330"/>
      <c r="BP128" s="330"/>
      <c r="BQ128" s="330"/>
      <c r="BR128" s="330"/>
      <c r="BS128" s="330"/>
      <c r="BT128" s="330"/>
      <c r="BU128" s="330"/>
      <c r="BV128" s="330"/>
      <c r="BW128" s="330"/>
      <c r="BX128" s="332"/>
      <c r="BY128" s="330"/>
      <c r="BZ128" s="330"/>
      <c r="CA128" s="330"/>
      <c r="CB128" s="330"/>
      <c r="CC128" s="337" t="s">
        <v>744</v>
      </c>
      <c r="CD128" s="330"/>
      <c r="CE128" s="330" t="b">
        <v>1</v>
      </c>
      <c r="CF128" s="330"/>
      <c r="CG128" s="330"/>
      <c r="CH128" s="330"/>
      <c r="CI128" s="330"/>
      <c r="CJ128" s="330"/>
      <c r="CK128" s="330"/>
      <c r="CL128" s="330"/>
      <c r="CM128" s="330"/>
      <c r="CN128" s="330"/>
      <c r="CO128" s="330" t="b">
        <v>1</v>
      </c>
      <c r="CP128" s="330"/>
      <c r="CQ128" s="330"/>
      <c r="CR128" s="330"/>
      <c r="CS128" s="330"/>
      <c r="CT128" s="330"/>
      <c r="CU128" s="330" t="b">
        <v>1</v>
      </c>
      <c r="CV128" s="330"/>
      <c r="CW128" s="330"/>
      <c r="CX128" s="330"/>
      <c r="CY128" s="330"/>
      <c r="CZ128" s="330"/>
      <c r="DA128" s="330"/>
      <c r="DB128" s="330"/>
      <c r="DC128" s="330"/>
      <c r="DD128" s="330"/>
      <c r="DE128" s="330"/>
      <c r="DF128" s="338">
        <v>24081</v>
      </c>
      <c r="DG128" s="330" t="s">
        <v>764</v>
      </c>
      <c r="DH128" s="330"/>
      <c r="DI128" s="338" t="s">
        <v>196</v>
      </c>
      <c r="DJ128" s="330"/>
      <c r="DK128" s="330">
        <v>1</v>
      </c>
      <c r="DL128" s="330" t="s">
        <v>1384</v>
      </c>
      <c r="DM128" s="330"/>
      <c r="DN128" s="330"/>
      <c r="DO128" s="330"/>
      <c r="DP128" s="330"/>
      <c r="DQ128" s="338" t="s">
        <v>197</v>
      </c>
      <c r="DR128" s="330"/>
      <c r="DS128" s="330"/>
      <c r="DT128" s="330"/>
      <c r="DU128" s="338" t="s">
        <v>197</v>
      </c>
      <c r="DV128" s="330"/>
      <c r="DW128" s="330"/>
      <c r="DX128" s="330"/>
      <c r="DY128" s="338" t="s">
        <v>197</v>
      </c>
      <c r="DZ128" s="330"/>
      <c r="EA128" s="330"/>
      <c r="EB128" s="330"/>
      <c r="EC128" s="330" t="s">
        <v>197</v>
      </c>
      <c r="ED128" s="338" t="s">
        <v>197</v>
      </c>
      <c r="EE128" s="330">
        <v>8</v>
      </c>
      <c r="EF128" s="330">
        <v>25</v>
      </c>
      <c r="EG128" s="330"/>
      <c r="EH128" s="330"/>
      <c r="EI128" s="330"/>
      <c r="EJ128" s="330"/>
      <c r="EK128" s="330"/>
      <c r="EL128" s="330"/>
      <c r="EM128" s="330"/>
      <c r="EN128" s="330"/>
      <c r="EO128" s="330"/>
      <c r="EP128" s="330"/>
      <c r="EQ128" s="332" t="s">
        <v>198</v>
      </c>
      <c r="ER128" s="330"/>
      <c r="ES128" s="330"/>
      <c r="ET128" s="332"/>
      <c r="EU128" s="332" t="s">
        <v>1385</v>
      </c>
      <c r="EV128" s="330"/>
      <c r="EW128" s="330"/>
      <c r="EX128" s="330" t="s">
        <v>200</v>
      </c>
      <c r="EY128" s="330"/>
      <c r="EZ128" s="330" t="s">
        <v>201</v>
      </c>
      <c r="FA128" s="336">
        <v>46071</v>
      </c>
      <c r="FB128" s="330">
        <v>4</v>
      </c>
      <c r="FC128" s="330" t="s">
        <v>202</v>
      </c>
      <c r="FD128" s="332" t="s">
        <v>190</v>
      </c>
      <c r="FE128" s="336">
        <v>46076</v>
      </c>
      <c r="FF128" s="330"/>
      <c r="FG128" s="330" t="s">
        <v>203</v>
      </c>
      <c r="FH128" s="330" t="s">
        <v>1386</v>
      </c>
      <c r="FI128" s="330" t="s">
        <v>204</v>
      </c>
      <c r="FJ128" s="330"/>
      <c r="FK128" s="330" t="s">
        <v>180</v>
      </c>
      <c r="FL128" s="330" t="s">
        <v>741</v>
      </c>
      <c r="FM128" s="330" t="s">
        <v>202</v>
      </c>
      <c r="FN128" s="330" t="s">
        <v>1387</v>
      </c>
      <c r="FO128" s="330" t="b">
        <v>1</v>
      </c>
      <c r="FP128" s="330" t="s">
        <v>528</v>
      </c>
      <c r="FQ128" s="330"/>
      <c r="FR128" s="330"/>
      <c r="FS128" s="330"/>
      <c r="FT128" s="330"/>
      <c r="FU128" s="330"/>
    </row>
    <row r="129" spans="1:177" ht="25.5" x14ac:dyDescent="0.25">
      <c r="A129" s="330">
        <v>128</v>
      </c>
      <c r="B129" s="331" t="s">
        <v>1388</v>
      </c>
      <c r="C129" s="330"/>
      <c r="D129" s="332" t="s">
        <v>854</v>
      </c>
      <c r="E129" s="332" t="s">
        <v>855</v>
      </c>
      <c r="F129" s="332" t="s">
        <v>795</v>
      </c>
      <c r="G129" s="330" t="s">
        <v>796</v>
      </c>
      <c r="H129" s="331" t="s">
        <v>731</v>
      </c>
      <c r="I129" s="330"/>
      <c r="J129" s="332" t="s">
        <v>1389</v>
      </c>
      <c r="K129" s="332"/>
      <c r="L129" s="330" t="s">
        <v>1390</v>
      </c>
      <c r="M129" s="332"/>
      <c r="N129" s="330" t="s">
        <v>1391</v>
      </c>
      <c r="O129" s="333" t="s">
        <v>184</v>
      </c>
      <c r="P129" s="333" t="s">
        <v>184</v>
      </c>
      <c r="Q129" s="333" t="s">
        <v>184</v>
      </c>
      <c r="R129" s="333">
        <v>0</v>
      </c>
      <c r="S129" s="333">
        <v>16</v>
      </c>
      <c r="T129" s="333">
        <v>1</v>
      </c>
      <c r="U129" s="333">
        <v>0</v>
      </c>
      <c r="V129" s="333">
        <v>0</v>
      </c>
      <c r="W129" s="330" t="s">
        <v>1392</v>
      </c>
      <c r="X129" s="330" t="s">
        <v>1393</v>
      </c>
      <c r="Y129" s="332" t="s">
        <v>1394</v>
      </c>
      <c r="Z129" s="330" t="s">
        <v>331</v>
      </c>
      <c r="AA129" s="330" t="s">
        <v>1395</v>
      </c>
      <c r="AB129" s="330" t="s">
        <v>189</v>
      </c>
      <c r="AC129" s="330"/>
      <c r="AD129" s="330"/>
      <c r="AE129" s="330">
        <v>1</v>
      </c>
      <c r="AF129" s="330">
        <v>-54</v>
      </c>
      <c r="AG129" s="332" t="s">
        <v>333</v>
      </c>
      <c r="AH129" s="332" t="s">
        <v>202</v>
      </c>
      <c r="AI129" s="330" t="s">
        <v>202</v>
      </c>
      <c r="AJ129" s="330"/>
      <c r="AK129" s="330"/>
      <c r="AL129" s="330" t="s">
        <v>742</v>
      </c>
      <c r="AM129" s="330" t="s">
        <v>202</v>
      </c>
      <c r="AN129" s="330" t="s">
        <v>742</v>
      </c>
      <c r="AO129" s="330"/>
      <c r="AP129" s="332"/>
      <c r="AQ129" s="330" t="s">
        <v>334</v>
      </c>
      <c r="AR129" s="330"/>
      <c r="AS129" s="330" t="b">
        <v>1</v>
      </c>
      <c r="AT129" s="330"/>
      <c r="AU129" s="332"/>
      <c r="AV129" s="334">
        <v>46035.454500752312</v>
      </c>
      <c r="AW129" s="330" t="b">
        <v>1</v>
      </c>
      <c r="AX129" s="335">
        <v>46056</v>
      </c>
      <c r="AY129" s="336">
        <v>46037</v>
      </c>
      <c r="AZ129" s="330" t="b">
        <v>1</v>
      </c>
      <c r="BA129" s="336">
        <v>46055</v>
      </c>
      <c r="BB129" s="330"/>
      <c r="BC129" s="336">
        <v>46042</v>
      </c>
      <c r="BD129" s="330"/>
      <c r="BE129" s="336">
        <v>46042</v>
      </c>
      <c r="BF129" s="330"/>
      <c r="BG129" s="330"/>
      <c r="BH129" s="330" t="s">
        <v>193</v>
      </c>
      <c r="BI129" s="330"/>
      <c r="BJ129" s="330"/>
      <c r="BK129" s="330"/>
      <c r="BL129" s="330"/>
      <c r="BM129" s="332"/>
      <c r="BN129" s="330"/>
      <c r="BO129" s="330"/>
      <c r="BP129" s="330"/>
      <c r="BQ129" s="330" t="s">
        <v>801</v>
      </c>
      <c r="BR129" s="330" t="s">
        <v>220</v>
      </c>
      <c r="BS129" s="330"/>
      <c r="BT129" s="330" t="s">
        <v>220</v>
      </c>
      <c r="BU129" s="330"/>
      <c r="BV129" s="330" t="s">
        <v>220</v>
      </c>
      <c r="BW129" s="330"/>
      <c r="BX129" s="332"/>
      <c r="BY129" s="330"/>
      <c r="BZ129" s="330"/>
      <c r="CA129" s="330"/>
      <c r="CB129" s="330"/>
      <c r="CC129" s="337" t="s">
        <v>339</v>
      </c>
      <c r="CD129" s="330"/>
      <c r="CE129" s="330"/>
      <c r="CF129" s="330"/>
      <c r="CG129" s="330"/>
      <c r="CH129" s="330"/>
      <c r="CI129" s="330" t="b">
        <v>1</v>
      </c>
      <c r="CJ129" s="330"/>
      <c r="CK129" s="330" t="s">
        <v>776</v>
      </c>
      <c r="CL129" s="330"/>
      <c r="CM129" s="330"/>
      <c r="CN129" s="330"/>
      <c r="CO129" s="330"/>
      <c r="CP129" s="330"/>
      <c r="CQ129" s="330"/>
      <c r="CR129" s="330"/>
      <c r="CS129" s="330"/>
      <c r="CT129" s="330"/>
      <c r="CU129" s="330" t="b">
        <v>1</v>
      </c>
      <c r="CV129" s="330"/>
      <c r="CW129" s="330"/>
      <c r="CX129" s="330"/>
      <c r="CY129" s="330"/>
      <c r="CZ129" s="330"/>
      <c r="DA129" s="330"/>
      <c r="DB129" s="330"/>
      <c r="DC129" s="330"/>
      <c r="DD129" s="330"/>
      <c r="DE129" s="330"/>
      <c r="DF129" s="338">
        <v>25017</v>
      </c>
      <c r="DG129" s="330" t="s">
        <v>341</v>
      </c>
      <c r="DH129" s="330"/>
      <c r="DI129" s="338" t="s">
        <v>638</v>
      </c>
      <c r="DJ129" s="330"/>
      <c r="DK129" s="330">
        <v>2</v>
      </c>
      <c r="DL129" s="330" t="s">
        <v>1388</v>
      </c>
      <c r="DM129" s="330"/>
      <c r="DN129" s="330"/>
      <c r="DO129" s="330"/>
      <c r="DP129" s="330"/>
      <c r="DQ129" s="338" t="s">
        <v>197</v>
      </c>
      <c r="DR129" s="330"/>
      <c r="DS129" s="330"/>
      <c r="DT129" s="330"/>
      <c r="DU129" s="338" t="s">
        <v>197</v>
      </c>
      <c r="DV129" s="330"/>
      <c r="DW129" s="330"/>
      <c r="DX129" s="330"/>
      <c r="DY129" s="338" t="s">
        <v>197</v>
      </c>
      <c r="DZ129" s="330"/>
      <c r="EA129" s="330"/>
      <c r="EB129" s="330"/>
      <c r="EC129" s="330" t="s">
        <v>197</v>
      </c>
      <c r="ED129" s="338" t="s">
        <v>197</v>
      </c>
      <c r="EE129" s="330">
        <v>1</v>
      </c>
      <c r="EF129" s="330">
        <v>4</v>
      </c>
      <c r="EG129" s="330"/>
      <c r="EH129" s="330"/>
      <c r="EI129" s="330"/>
      <c r="EJ129" s="330"/>
      <c r="EK129" s="330"/>
      <c r="EL129" s="330"/>
      <c r="EM129" s="330"/>
      <c r="EN129" s="330"/>
      <c r="EO129" s="330"/>
      <c r="EP129" s="330"/>
      <c r="EQ129" s="332" t="s">
        <v>244</v>
      </c>
      <c r="ER129" s="330"/>
      <c r="ES129" s="330"/>
      <c r="ET129" s="332" t="s">
        <v>86</v>
      </c>
      <c r="EU129" s="332" t="s">
        <v>1396</v>
      </c>
      <c r="EV129" s="336">
        <v>46037</v>
      </c>
      <c r="EW129" s="336">
        <v>46037</v>
      </c>
      <c r="EX129" s="330">
        <v>1</v>
      </c>
      <c r="EY129" s="336">
        <v>46050</v>
      </c>
      <c r="EZ129" s="330" t="s">
        <v>4091</v>
      </c>
      <c r="FA129" s="330"/>
      <c r="FB129" s="330" t="s">
        <v>247</v>
      </c>
      <c r="FC129" s="330" t="s">
        <v>202</v>
      </c>
      <c r="FD129" s="332" t="s">
        <v>190</v>
      </c>
      <c r="FE129" s="330"/>
      <c r="FF129" s="330"/>
      <c r="FG129" s="330" t="s">
        <v>203</v>
      </c>
      <c r="FH129" s="330" t="s">
        <v>1397</v>
      </c>
      <c r="FI129" s="330" t="s">
        <v>204</v>
      </c>
      <c r="FJ129" s="330"/>
      <c r="FK129" s="330" t="s">
        <v>795</v>
      </c>
      <c r="FL129" s="330" t="s">
        <v>742</v>
      </c>
      <c r="FM129" s="330" t="s">
        <v>202</v>
      </c>
      <c r="FN129" s="330" t="s">
        <v>1398</v>
      </c>
      <c r="FO129" s="330" t="b">
        <v>1</v>
      </c>
      <c r="FP129" s="330" t="s">
        <v>344</v>
      </c>
      <c r="FQ129" s="330"/>
      <c r="FR129" s="330"/>
      <c r="FS129" s="330"/>
      <c r="FT129" s="330"/>
      <c r="FU129" s="330"/>
    </row>
    <row r="130" spans="1:177" ht="51" x14ac:dyDescent="0.25">
      <c r="A130" s="330">
        <v>129</v>
      </c>
      <c r="B130" s="331" t="s">
        <v>1399</v>
      </c>
      <c r="C130" s="330"/>
      <c r="D130" s="332" t="s">
        <v>228</v>
      </c>
      <c r="E130" s="332" t="s">
        <v>229</v>
      </c>
      <c r="F130" s="332" t="s">
        <v>230</v>
      </c>
      <c r="G130" s="330" t="s">
        <v>231</v>
      </c>
      <c r="H130" s="331">
        <v>400</v>
      </c>
      <c r="I130" s="330"/>
      <c r="J130" s="332"/>
      <c r="K130" s="332" t="s">
        <v>1400</v>
      </c>
      <c r="L130" s="330"/>
      <c r="M130" s="332"/>
      <c r="N130" s="330" t="s">
        <v>1401</v>
      </c>
      <c r="O130" s="339">
        <v>0.40144280672617799</v>
      </c>
      <c r="P130" s="333">
        <v>7735</v>
      </c>
      <c r="Q130" s="333">
        <v>19268</v>
      </c>
      <c r="R130" s="333">
        <v>50</v>
      </c>
      <c r="S130" s="333">
        <v>50</v>
      </c>
      <c r="T130" s="333">
        <v>4</v>
      </c>
      <c r="U130" s="333">
        <v>415</v>
      </c>
      <c r="V130" s="333">
        <v>560</v>
      </c>
      <c r="W130" s="330" t="s">
        <v>1402</v>
      </c>
      <c r="X130" s="330" t="s">
        <v>1403</v>
      </c>
      <c r="Y130" s="332" t="s">
        <v>383</v>
      </c>
      <c r="Z130" s="330" t="s">
        <v>215</v>
      </c>
      <c r="AA130" s="330" t="s">
        <v>384</v>
      </c>
      <c r="AB130" s="330" t="s">
        <v>189</v>
      </c>
      <c r="AC130" s="330"/>
      <c r="AD130" s="330"/>
      <c r="AE130" s="330">
        <v>10</v>
      </c>
      <c r="AF130" s="330">
        <v>-231</v>
      </c>
      <c r="AG130" s="332" t="s">
        <v>238</v>
      </c>
      <c r="AH130" s="332" t="s">
        <v>191</v>
      </c>
      <c r="AI130" s="330" t="s">
        <v>192</v>
      </c>
      <c r="AJ130" s="330" t="s">
        <v>192</v>
      </c>
      <c r="AK130" s="330"/>
      <c r="AL130" s="330" t="s">
        <v>192</v>
      </c>
      <c r="AM130" s="330" t="s">
        <v>191</v>
      </c>
      <c r="AN130" s="330" t="s">
        <v>192</v>
      </c>
      <c r="AO130" s="330"/>
      <c r="AP130" s="332" t="s">
        <v>239</v>
      </c>
      <c r="AQ130" s="330"/>
      <c r="AR130" s="330"/>
      <c r="AS130" s="330" t="b">
        <v>1</v>
      </c>
      <c r="AT130" s="330"/>
      <c r="AU130" s="332" t="s">
        <v>192</v>
      </c>
      <c r="AV130" s="334">
        <v>45751.591600648149</v>
      </c>
      <c r="AW130" s="330"/>
      <c r="AX130" s="335">
        <v>45789</v>
      </c>
      <c r="AY130" s="336">
        <v>45762</v>
      </c>
      <c r="AZ130" s="330"/>
      <c r="BA130" s="336">
        <v>45806</v>
      </c>
      <c r="BB130" s="330"/>
      <c r="BC130" s="336">
        <v>45810</v>
      </c>
      <c r="BD130" s="330"/>
      <c r="BE130" s="336">
        <v>45810</v>
      </c>
      <c r="BF130" s="330"/>
      <c r="BG130" s="330"/>
      <c r="BH130" s="330" t="s">
        <v>193</v>
      </c>
      <c r="BI130" s="330">
        <v>1000</v>
      </c>
      <c r="BJ130" s="330"/>
      <c r="BK130" s="330"/>
      <c r="BL130" s="330"/>
      <c r="BM130" s="332"/>
      <c r="BN130" s="330"/>
      <c r="BO130" s="330" t="s">
        <v>240</v>
      </c>
      <c r="BP130" s="330" t="s">
        <v>193</v>
      </c>
      <c r="BQ130" s="330" t="s">
        <v>218</v>
      </c>
      <c r="BR130" s="330" t="s">
        <v>220</v>
      </c>
      <c r="BS130" s="330"/>
      <c r="BT130" s="330" t="s">
        <v>220</v>
      </c>
      <c r="BU130" s="330"/>
      <c r="BV130" s="330" t="s">
        <v>220</v>
      </c>
      <c r="BW130" s="330"/>
      <c r="BX130" s="332"/>
      <c r="BY130" s="330"/>
      <c r="BZ130" s="330"/>
      <c r="CA130" s="330"/>
      <c r="CB130" s="330"/>
      <c r="CC130" s="337" t="s">
        <v>241</v>
      </c>
      <c r="CD130" s="330" t="b">
        <v>1</v>
      </c>
      <c r="CE130" s="330" t="b">
        <v>1</v>
      </c>
      <c r="CF130" s="330" t="b">
        <v>1</v>
      </c>
      <c r="CG130" s="330" t="s">
        <v>242</v>
      </c>
      <c r="CH130" s="330"/>
      <c r="CI130" s="330"/>
      <c r="CJ130" s="330"/>
      <c r="CK130" s="330"/>
      <c r="CL130" s="330"/>
      <c r="CM130" s="330"/>
      <c r="CN130" s="330"/>
      <c r="CO130" s="330"/>
      <c r="CP130" s="330"/>
      <c r="CQ130" s="330"/>
      <c r="CR130" s="330"/>
      <c r="CS130" s="330"/>
      <c r="CT130" s="330"/>
      <c r="CU130" s="330"/>
      <c r="CV130" s="330"/>
      <c r="CW130" s="330"/>
      <c r="CX130" s="330"/>
      <c r="CY130" s="330"/>
      <c r="CZ130" s="330"/>
      <c r="DA130" s="330"/>
      <c r="DB130" s="330" t="b">
        <v>1</v>
      </c>
      <c r="DC130" s="330" t="b">
        <v>1</v>
      </c>
      <c r="DD130" s="330"/>
      <c r="DE130" s="330"/>
      <c r="DF130" s="338">
        <v>24051</v>
      </c>
      <c r="DG130" s="330" t="s">
        <v>221</v>
      </c>
      <c r="DH130" s="330"/>
      <c r="DI130" s="338">
        <v>25</v>
      </c>
      <c r="DJ130" s="330"/>
      <c r="DK130" s="330">
        <v>25</v>
      </c>
      <c r="DL130" s="330" t="s">
        <v>243</v>
      </c>
      <c r="DM130" s="330"/>
      <c r="DN130" s="330"/>
      <c r="DO130" s="330"/>
      <c r="DP130" s="330"/>
      <c r="DQ130" s="338" t="s">
        <v>197</v>
      </c>
      <c r="DR130" s="330"/>
      <c r="DS130" s="330"/>
      <c r="DT130" s="330"/>
      <c r="DU130" s="338" t="s">
        <v>197</v>
      </c>
      <c r="DV130" s="330"/>
      <c r="DW130" s="330"/>
      <c r="DX130" s="330"/>
      <c r="DY130" s="338" t="s">
        <v>197</v>
      </c>
      <c r="DZ130" s="330"/>
      <c r="EA130" s="330"/>
      <c r="EB130" s="330"/>
      <c r="EC130" s="330" t="s">
        <v>197</v>
      </c>
      <c r="ED130" s="338" t="s">
        <v>197</v>
      </c>
      <c r="EE130" s="330">
        <v>4</v>
      </c>
      <c r="EF130" s="330">
        <v>100</v>
      </c>
      <c r="EG130" s="330"/>
      <c r="EH130" s="330"/>
      <c r="EI130" s="330"/>
      <c r="EJ130" s="330"/>
      <c r="EK130" s="330"/>
      <c r="EL130" s="330"/>
      <c r="EM130" s="330"/>
      <c r="EN130" s="330"/>
      <c r="EO130" s="330"/>
      <c r="EP130" s="330"/>
      <c r="EQ130" s="332" t="s">
        <v>244</v>
      </c>
      <c r="ER130" s="330"/>
      <c r="ES130" s="330"/>
      <c r="ET130" s="332" t="s">
        <v>245</v>
      </c>
      <c r="EU130" s="332" t="s">
        <v>246</v>
      </c>
      <c r="EV130" s="336">
        <v>45761</v>
      </c>
      <c r="EW130" s="336">
        <v>45761</v>
      </c>
      <c r="EX130" s="330">
        <v>1</v>
      </c>
      <c r="EY130" s="330"/>
      <c r="EZ130" s="330" t="s">
        <v>201</v>
      </c>
      <c r="FA130" s="336">
        <v>45810</v>
      </c>
      <c r="FB130" s="330">
        <v>1</v>
      </c>
      <c r="FC130" s="330" t="s">
        <v>202</v>
      </c>
      <c r="FD130" s="332" t="s">
        <v>190</v>
      </c>
      <c r="FE130" s="336">
        <v>45810</v>
      </c>
      <c r="FF130" s="330"/>
      <c r="FG130" s="330" t="s">
        <v>203</v>
      </c>
      <c r="FH130" s="330" t="s">
        <v>249</v>
      </c>
      <c r="FI130" s="330" t="s">
        <v>204</v>
      </c>
      <c r="FJ130" s="330"/>
      <c r="FK130" s="330" t="s">
        <v>230</v>
      </c>
      <c r="FL130" s="330" t="s">
        <v>192</v>
      </c>
      <c r="FM130" s="330" t="s">
        <v>191</v>
      </c>
      <c r="FN130" s="330" t="s">
        <v>1404</v>
      </c>
      <c r="FO130" s="330"/>
      <c r="FP130" s="330" t="s">
        <v>1405</v>
      </c>
      <c r="FQ130" s="330"/>
      <c r="FR130" s="330"/>
      <c r="FS130" s="330"/>
      <c r="FT130" s="330"/>
      <c r="FU130" s="330"/>
    </row>
    <row r="131" spans="1:177" ht="38.25" x14ac:dyDescent="0.25">
      <c r="A131" s="330">
        <v>130</v>
      </c>
      <c r="B131" s="331" t="s">
        <v>1406</v>
      </c>
      <c r="C131" s="330"/>
      <c r="D131" s="332" t="s">
        <v>228</v>
      </c>
      <c r="E131" s="332" t="s">
        <v>229</v>
      </c>
      <c r="F131" s="332" t="s">
        <v>230</v>
      </c>
      <c r="G131" s="330" t="s">
        <v>231</v>
      </c>
      <c r="H131" s="331">
        <v>400</v>
      </c>
      <c r="I131" s="330"/>
      <c r="J131" s="332" t="s">
        <v>1407</v>
      </c>
      <c r="K131" s="332"/>
      <c r="L131" s="330"/>
      <c r="M131" s="332"/>
      <c r="N131" s="330" t="s">
        <v>1408</v>
      </c>
      <c r="O131" s="339">
        <v>0.43517749636703301</v>
      </c>
      <c r="P131" s="333">
        <v>8385</v>
      </c>
      <c r="Q131" s="333">
        <v>19268</v>
      </c>
      <c r="R131" s="333">
        <v>160</v>
      </c>
      <c r="S131" s="333">
        <v>160</v>
      </c>
      <c r="T131" s="333">
        <v>2</v>
      </c>
      <c r="U131" s="333">
        <v>1120</v>
      </c>
      <c r="V131" s="333">
        <v>800</v>
      </c>
      <c r="W131" s="330" t="s">
        <v>560</v>
      </c>
      <c r="X131" s="330" t="s">
        <v>1167</v>
      </c>
      <c r="Y131" s="332" t="s">
        <v>383</v>
      </c>
      <c r="Z131" s="330" t="s">
        <v>215</v>
      </c>
      <c r="AA131" s="330" t="s">
        <v>384</v>
      </c>
      <c r="AB131" s="330" t="s">
        <v>189</v>
      </c>
      <c r="AC131" s="330"/>
      <c r="AD131" s="330"/>
      <c r="AE131" s="330">
        <v>24</v>
      </c>
      <c r="AF131" s="330">
        <v>-208</v>
      </c>
      <c r="AG131" s="332" t="s">
        <v>238</v>
      </c>
      <c r="AH131" s="332" t="s">
        <v>191</v>
      </c>
      <c r="AI131" s="330"/>
      <c r="AJ131" s="330" t="s">
        <v>192</v>
      </c>
      <c r="AK131" s="330"/>
      <c r="AL131" s="330" t="s">
        <v>192</v>
      </c>
      <c r="AM131" s="330" t="s">
        <v>191</v>
      </c>
      <c r="AN131" s="330" t="s">
        <v>192</v>
      </c>
      <c r="AO131" s="330"/>
      <c r="AP131" s="332" t="s">
        <v>239</v>
      </c>
      <c r="AQ131" s="330"/>
      <c r="AR131" s="330"/>
      <c r="AS131" s="330" t="b">
        <v>1</v>
      </c>
      <c r="AT131" s="330"/>
      <c r="AU131" s="332" t="s">
        <v>192</v>
      </c>
      <c r="AV131" s="334">
        <v>45782.37452420139</v>
      </c>
      <c r="AW131" s="330"/>
      <c r="AX131" s="335">
        <v>45820</v>
      </c>
      <c r="AY131" s="336">
        <v>45784</v>
      </c>
      <c r="AZ131" s="330"/>
      <c r="BA131" s="336">
        <v>45839</v>
      </c>
      <c r="BB131" s="330"/>
      <c r="BC131" s="336">
        <v>45841</v>
      </c>
      <c r="BD131" s="330"/>
      <c r="BE131" s="336">
        <v>45841</v>
      </c>
      <c r="BF131" s="330"/>
      <c r="BG131" s="330"/>
      <c r="BH131" s="330" t="s">
        <v>193</v>
      </c>
      <c r="BI131" s="330">
        <v>1000</v>
      </c>
      <c r="BJ131" s="330"/>
      <c r="BK131" s="330"/>
      <c r="BL131" s="330"/>
      <c r="BM131" s="332"/>
      <c r="BN131" s="330"/>
      <c r="BO131" s="330" t="s">
        <v>240</v>
      </c>
      <c r="BP131" s="330" t="s">
        <v>193</v>
      </c>
      <c r="BQ131" s="330" t="s">
        <v>218</v>
      </c>
      <c r="BR131" s="330" t="s">
        <v>220</v>
      </c>
      <c r="BS131" s="330"/>
      <c r="BT131" s="330" t="s">
        <v>220</v>
      </c>
      <c r="BU131" s="330"/>
      <c r="BV131" s="330" t="s">
        <v>220</v>
      </c>
      <c r="BW131" s="330"/>
      <c r="BX131" s="332"/>
      <c r="BY131" s="330"/>
      <c r="BZ131" s="330"/>
      <c r="CA131" s="330"/>
      <c r="CB131" s="330"/>
      <c r="CC131" s="337" t="s">
        <v>241</v>
      </c>
      <c r="CD131" s="330" t="b">
        <v>1</v>
      </c>
      <c r="CE131" s="330" t="b">
        <v>1</v>
      </c>
      <c r="CF131" s="330" t="b">
        <v>1</v>
      </c>
      <c r="CG131" s="330" t="s">
        <v>242</v>
      </c>
      <c r="CH131" s="330"/>
      <c r="CI131" s="330"/>
      <c r="CJ131" s="330"/>
      <c r="CK131" s="330"/>
      <c r="CL131" s="330"/>
      <c r="CM131" s="330"/>
      <c r="CN131" s="330"/>
      <c r="CO131" s="330"/>
      <c r="CP131" s="330"/>
      <c r="CQ131" s="330"/>
      <c r="CR131" s="330"/>
      <c r="CS131" s="330"/>
      <c r="CT131" s="330"/>
      <c r="CU131" s="330"/>
      <c r="CV131" s="330"/>
      <c r="CW131" s="330"/>
      <c r="CX131" s="330"/>
      <c r="CY131" s="330"/>
      <c r="CZ131" s="330"/>
      <c r="DA131" s="330"/>
      <c r="DB131" s="330" t="b">
        <v>1</v>
      </c>
      <c r="DC131" s="330" t="b">
        <v>1</v>
      </c>
      <c r="DD131" s="330"/>
      <c r="DE131" s="330"/>
      <c r="DF131" s="338">
        <v>24051</v>
      </c>
      <c r="DG131" s="330" t="s">
        <v>221</v>
      </c>
      <c r="DH131" s="330"/>
      <c r="DI131" s="338" t="s">
        <v>1409</v>
      </c>
      <c r="DJ131" s="330"/>
      <c r="DK131" s="330">
        <v>0</v>
      </c>
      <c r="DL131" s="330" t="s">
        <v>243</v>
      </c>
      <c r="DM131" s="330"/>
      <c r="DN131" s="330"/>
      <c r="DO131" s="330"/>
      <c r="DP131" s="330"/>
      <c r="DQ131" s="338" t="s">
        <v>197</v>
      </c>
      <c r="DR131" s="330"/>
      <c r="DS131" s="330"/>
      <c r="DT131" s="330"/>
      <c r="DU131" s="338" t="s">
        <v>197</v>
      </c>
      <c r="DV131" s="330"/>
      <c r="DW131" s="330"/>
      <c r="DX131" s="330"/>
      <c r="DY131" s="338" t="s">
        <v>197</v>
      </c>
      <c r="DZ131" s="330"/>
      <c r="EA131" s="330"/>
      <c r="EB131" s="330"/>
      <c r="EC131" s="330" t="s">
        <v>197</v>
      </c>
      <c r="ED131" s="338" t="s">
        <v>197</v>
      </c>
      <c r="EE131" s="330">
        <v>4</v>
      </c>
      <c r="EF131" s="330">
        <v>200</v>
      </c>
      <c r="EG131" s="330"/>
      <c r="EH131" s="330"/>
      <c r="EI131" s="330"/>
      <c r="EJ131" s="330"/>
      <c r="EK131" s="330"/>
      <c r="EL131" s="330"/>
      <c r="EM131" s="330"/>
      <c r="EN131" s="330"/>
      <c r="EO131" s="330"/>
      <c r="EP131" s="330"/>
      <c r="EQ131" s="332" t="s">
        <v>244</v>
      </c>
      <c r="ER131" s="330"/>
      <c r="ES131" s="330"/>
      <c r="ET131" s="332" t="s">
        <v>245</v>
      </c>
      <c r="EU131" s="332" t="s">
        <v>246</v>
      </c>
      <c r="EV131" s="336">
        <v>45783</v>
      </c>
      <c r="EW131" s="336">
        <v>45784</v>
      </c>
      <c r="EX131" s="330">
        <v>2</v>
      </c>
      <c r="EY131" s="330"/>
      <c r="EZ131" s="330" t="s">
        <v>201</v>
      </c>
      <c r="FA131" s="336">
        <v>45825</v>
      </c>
      <c r="FB131" s="330">
        <v>2</v>
      </c>
      <c r="FC131" s="330" t="s">
        <v>202</v>
      </c>
      <c r="FD131" s="332" t="s">
        <v>190</v>
      </c>
      <c r="FE131" s="336">
        <v>45826</v>
      </c>
      <c r="FF131" s="330"/>
      <c r="FG131" s="330" t="s">
        <v>203</v>
      </c>
      <c r="FH131" s="330" t="s">
        <v>1410</v>
      </c>
      <c r="FI131" s="330" t="s">
        <v>204</v>
      </c>
      <c r="FJ131" s="330"/>
      <c r="FK131" s="330" t="s">
        <v>230</v>
      </c>
      <c r="FL131" s="330" t="s">
        <v>192</v>
      </c>
      <c r="FM131" s="330" t="s">
        <v>191</v>
      </c>
      <c r="FN131" s="330" t="s">
        <v>1411</v>
      </c>
      <c r="FO131" s="330"/>
      <c r="FP131" s="330" t="s">
        <v>826</v>
      </c>
      <c r="FQ131" s="330"/>
      <c r="FR131" s="330"/>
      <c r="FS131" s="330"/>
      <c r="FT131" s="330"/>
      <c r="FU131" s="330"/>
    </row>
    <row r="132" spans="1:177" ht="51" x14ac:dyDescent="0.25">
      <c r="A132" s="330">
        <v>131</v>
      </c>
      <c r="B132" s="331" t="s">
        <v>1412</v>
      </c>
      <c r="C132" s="330"/>
      <c r="D132" s="332" t="s">
        <v>228</v>
      </c>
      <c r="E132" s="332" t="s">
        <v>229</v>
      </c>
      <c r="F132" s="332" t="s">
        <v>230</v>
      </c>
      <c r="G132" s="330" t="s">
        <v>231</v>
      </c>
      <c r="H132" s="331">
        <v>400</v>
      </c>
      <c r="I132" s="330"/>
      <c r="J132" s="332"/>
      <c r="K132" s="332" t="s">
        <v>264</v>
      </c>
      <c r="L132" s="330"/>
      <c r="M132" s="332"/>
      <c r="N132" s="330" t="s">
        <v>1413</v>
      </c>
      <c r="O132" s="339">
        <v>0.31253892464189298</v>
      </c>
      <c r="P132" s="333">
        <v>6022</v>
      </c>
      <c r="Q132" s="333">
        <v>19268</v>
      </c>
      <c r="R132" s="333">
        <v>160</v>
      </c>
      <c r="S132" s="333">
        <v>160</v>
      </c>
      <c r="T132" s="333">
        <v>2</v>
      </c>
      <c r="U132" s="333">
        <v>740</v>
      </c>
      <c r="V132" s="333">
        <v>1050</v>
      </c>
      <c r="W132" s="330" t="s">
        <v>590</v>
      </c>
      <c r="X132" s="330" t="s">
        <v>1414</v>
      </c>
      <c r="Y132" s="332" t="s">
        <v>383</v>
      </c>
      <c r="Z132" s="330" t="s">
        <v>215</v>
      </c>
      <c r="AA132" s="330" t="s">
        <v>384</v>
      </c>
      <c r="AB132" s="330" t="s">
        <v>189</v>
      </c>
      <c r="AC132" s="330"/>
      <c r="AD132" s="330"/>
      <c r="AE132" s="330">
        <v>5</v>
      </c>
      <c r="AF132" s="330">
        <v>-249</v>
      </c>
      <c r="AG132" s="332" t="s">
        <v>238</v>
      </c>
      <c r="AH132" s="332" t="s">
        <v>191</v>
      </c>
      <c r="AI132" s="330" t="s">
        <v>192</v>
      </c>
      <c r="AJ132" s="330" t="s">
        <v>192</v>
      </c>
      <c r="AK132" s="330"/>
      <c r="AL132" s="330" t="s">
        <v>192</v>
      </c>
      <c r="AM132" s="330" t="s">
        <v>191</v>
      </c>
      <c r="AN132" s="330" t="s">
        <v>192</v>
      </c>
      <c r="AO132" s="330"/>
      <c r="AP132" s="332" t="s">
        <v>239</v>
      </c>
      <c r="AQ132" s="330"/>
      <c r="AR132" s="330"/>
      <c r="AS132" s="330" t="b">
        <v>1</v>
      </c>
      <c r="AT132" s="330"/>
      <c r="AU132" s="332" t="s">
        <v>192</v>
      </c>
      <c r="AV132" s="334">
        <v>45737.232616967594</v>
      </c>
      <c r="AW132" s="330"/>
      <c r="AX132" s="335">
        <v>45763</v>
      </c>
      <c r="AY132" s="336">
        <v>45743</v>
      </c>
      <c r="AZ132" s="330"/>
      <c r="BA132" s="336">
        <v>45782</v>
      </c>
      <c r="BB132" s="330"/>
      <c r="BC132" s="336">
        <v>45784</v>
      </c>
      <c r="BD132" s="330"/>
      <c r="BE132" s="336">
        <v>45784</v>
      </c>
      <c r="BF132" s="330"/>
      <c r="BG132" s="330"/>
      <c r="BH132" s="330" t="s">
        <v>193</v>
      </c>
      <c r="BI132" s="330">
        <v>1000</v>
      </c>
      <c r="BJ132" s="330"/>
      <c r="BK132" s="330"/>
      <c r="BL132" s="330"/>
      <c r="BM132" s="332"/>
      <c r="BN132" s="330"/>
      <c r="BO132" s="330" t="s">
        <v>240</v>
      </c>
      <c r="BP132" s="330" t="s">
        <v>193</v>
      </c>
      <c r="BQ132" s="330" t="s">
        <v>218</v>
      </c>
      <c r="BR132" s="330" t="s">
        <v>220</v>
      </c>
      <c r="BS132" s="330"/>
      <c r="BT132" s="330" t="s">
        <v>220</v>
      </c>
      <c r="BU132" s="330"/>
      <c r="BV132" s="330" t="s">
        <v>220</v>
      </c>
      <c r="BW132" s="330"/>
      <c r="BX132" s="332"/>
      <c r="BY132" s="330"/>
      <c r="BZ132" s="330"/>
      <c r="CA132" s="330"/>
      <c r="CB132" s="330"/>
      <c r="CC132" s="337" t="s">
        <v>241</v>
      </c>
      <c r="CD132" s="330" t="b">
        <v>1</v>
      </c>
      <c r="CE132" s="330" t="b">
        <v>1</v>
      </c>
      <c r="CF132" s="330" t="b">
        <v>1</v>
      </c>
      <c r="CG132" s="330" t="s">
        <v>242</v>
      </c>
      <c r="CH132" s="330"/>
      <c r="CI132" s="330"/>
      <c r="CJ132" s="330"/>
      <c r="CK132" s="330"/>
      <c r="CL132" s="330"/>
      <c r="CM132" s="330"/>
      <c r="CN132" s="330"/>
      <c r="CO132" s="330"/>
      <c r="CP132" s="330"/>
      <c r="CQ132" s="330"/>
      <c r="CR132" s="330"/>
      <c r="CS132" s="330"/>
      <c r="CT132" s="330"/>
      <c r="CU132" s="330"/>
      <c r="CV132" s="330"/>
      <c r="CW132" s="330"/>
      <c r="CX132" s="330"/>
      <c r="CY132" s="330"/>
      <c r="CZ132" s="330"/>
      <c r="DA132" s="330"/>
      <c r="DB132" s="330" t="b">
        <v>1</v>
      </c>
      <c r="DC132" s="330" t="b">
        <v>1</v>
      </c>
      <c r="DD132" s="330"/>
      <c r="DE132" s="330"/>
      <c r="DF132" s="338">
        <v>24051</v>
      </c>
      <c r="DG132" s="330" t="s">
        <v>221</v>
      </c>
      <c r="DH132" s="330"/>
      <c r="DI132" s="338">
        <v>11</v>
      </c>
      <c r="DJ132" s="330"/>
      <c r="DK132" s="330">
        <v>11</v>
      </c>
      <c r="DL132" s="330" t="s">
        <v>243</v>
      </c>
      <c r="DM132" s="330"/>
      <c r="DN132" s="330"/>
      <c r="DO132" s="330"/>
      <c r="DP132" s="330"/>
      <c r="DQ132" s="338" t="s">
        <v>197</v>
      </c>
      <c r="DR132" s="330"/>
      <c r="DS132" s="330"/>
      <c r="DT132" s="330"/>
      <c r="DU132" s="338" t="s">
        <v>197</v>
      </c>
      <c r="DV132" s="330"/>
      <c r="DW132" s="330"/>
      <c r="DX132" s="330"/>
      <c r="DY132" s="338" t="s">
        <v>197</v>
      </c>
      <c r="DZ132" s="330"/>
      <c r="EA132" s="330"/>
      <c r="EB132" s="330"/>
      <c r="EC132" s="330" t="s">
        <v>197</v>
      </c>
      <c r="ED132" s="338" t="s">
        <v>197</v>
      </c>
      <c r="EE132" s="330">
        <v>8</v>
      </c>
      <c r="EF132" s="330">
        <v>300</v>
      </c>
      <c r="EG132" s="330"/>
      <c r="EH132" s="330"/>
      <c r="EI132" s="330"/>
      <c r="EJ132" s="330"/>
      <c r="EK132" s="330"/>
      <c r="EL132" s="330"/>
      <c r="EM132" s="330"/>
      <c r="EN132" s="330"/>
      <c r="EO132" s="330"/>
      <c r="EP132" s="330"/>
      <c r="EQ132" s="332" t="s">
        <v>244</v>
      </c>
      <c r="ER132" s="330"/>
      <c r="ES132" s="330"/>
      <c r="ET132" s="332" t="s">
        <v>245</v>
      </c>
      <c r="EU132" s="332" t="s">
        <v>246</v>
      </c>
      <c r="EV132" s="336">
        <v>45742</v>
      </c>
      <c r="EW132" s="336">
        <v>45743</v>
      </c>
      <c r="EX132" s="330">
        <v>2</v>
      </c>
      <c r="EY132" s="330"/>
      <c r="EZ132" s="330" t="s">
        <v>201</v>
      </c>
      <c r="FA132" s="336">
        <v>45783</v>
      </c>
      <c r="FB132" s="330">
        <v>2</v>
      </c>
      <c r="FC132" s="330" t="s">
        <v>202</v>
      </c>
      <c r="FD132" s="332" t="s">
        <v>190</v>
      </c>
      <c r="FE132" s="336">
        <v>45784</v>
      </c>
      <c r="FF132" s="330"/>
      <c r="FG132" s="330" t="s">
        <v>203</v>
      </c>
      <c r="FH132" s="330" t="s">
        <v>1415</v>
      </c>
      <c r="FI132" s="330" t="s">
        <v>204</v>
      </c>
      <c r="FJ132" s="330"/>
      <c r="FK132" s="330" t="s">
        <v>230</v>
      </c>
      <c r="FL132" s="330" t="s">
        <v>192</v>
      </c>
      <c r="FM132" s="330" t="s">
        <v>191</v>
      </c>
      <c r="FN132" s="330" t="s">
        <v>1416</v>
      </c>
      <c r="FO132" s="330"/>
      <c r="FP132" s="330" t="s">
        <v>968</v>
      </c>
      <c r="FQ132" s="330"/>
      <c r="FR132" s="330"/>
      <c r="FS132" s="330"/>
      <c r="FT132" s="330"/>
      <c r="FU132" s="330"/>
    </row>
    <row r="133" spans="1:177" ht="51" x14ac:dyDescent="0.25">
      <c r="A133" s="330">
        <v>132</v>
      </c>
      <c r="B133" s="331" t="s">
        <v>1417</v>
      </c>
      <c r="C133" s="330"/>
      <c r="D133" s="332" t="s">
        <v>228</v>
      </c>
      <c r="E133" s="332" t="s">
        <v>229</v>
      </c>
      <c r="F133" s="332" t="s">
        <v>230</v>
      </c>
      <c r="G133" s="330" t="s">
        <v>231</v>
      </c>
      <c r="H133" s="331">
        <v>400</v>
      </c>
      <c r="I133" s="330"/>
      <c r="J133" s="332"/>
      <c r="K133" s="332" t="s">
        <v>264</v>
      </c>
      <c r="L133" s="330"/>
      <c r="M133" s="332"/>
      <c r="N133" s="330" t="s">
        <v>1418</v>
      </c>
      <c r="O133" s="339">
        <v>0.32084284824579601</v>
      </c>
      <c r="P133" s="333">
        <v>6182</v>
      </c>
      <c r="Q133" s="333">
        <v>19268</v>
      </c>
      <c r="R133" s="333">
        <v>160</v>
      </c>
      <c r="S133" s="333">
        <v>160</v>
      </c>
      <c r="T133" s="333">
        <v>4</v>
      </c>
      <c r="U133" s="333">
        <v>1113</v>
      </c>
      <c r="V133" s="333">
        <v>1830</v>
      </c>
      <c r="W133" s="330" t="s">
        <v>1419</v>
      </c>
      <c r="X133" s="330" t="s">
        <v>1420</v>
      </c>
      <c r="Y133" s="332" t="s">
        <v>383</v>
      </c>
      <c r="Z133" s="330" t="s">
        <v>215</v>
      </c>
      <c r="AA133" s="330" t="s">
        <v>384</v>
      </c>
      <c r="AB133" s="330" t="s">
        <v>189</v>
      </c>
      <c r="AC133" s="330"/>
      <c r="AD133" s="330"/>
      <c r="AE133" s="330">
        <v>6</v>
      </c>
      <c r="AF133" s="330">
        <v>-244</v>
      </c>
      <c r="AG133" s="332" t="s">
        <v>238</v>
      </c>
      <c r="AH133" s="332" t="s">
        <v>191</v>
      </c>
      <c r="AI133" s="330" t="s">
        <v>192</v>
      </c>
      <c r="AJ133" s="330" t="s">
        <v>192</v>
      </c>
      <c r="AK133" s="330"/>
      <c r="AL133" s="330" t="s">
        <v>192</v>
      </c>
      <c r="AM133" s="330" t="s">
        <v>191</v>
      </c>
      <c r="AN133" s="330" t="s">
        <v>192</v>
      </c>
      <c r="AO133" s="330"/>
      <c r="AP133" s="332" t="s">
        <v>239</v>
      </c>
      <c r="AQ133" s="330"/>
      <c r="AR133" s="330"/>
      <c r="AS133" s="330" t="b">
        <v>1</v>
      </c>
      <c r="AT133" s="330"/>
      <c r="AU133" s="332" t="s">
        <v>192</v>
      </c>
      <c r="AV133" s="334">
        <v>45737.23392353009</v>
      </c>
      <c r="AW133" s="330"/>
      <c r="AX133" s="335">
        <v>45770</v>
      </c>
      <c r="AY133" s="336">
        <v>45743</v>
      </c>
      <c r="AZ133" s="330"/>
      <c r="BA133" s="336">
        <v>45789</v>
      </c>
      <c r="BB133" s="330"/>
      <c r="BC133" s="336">
        <v>45791</v>
      </c>
      <c r="BD133" s="330"/>
      <c r="BE133" s="336">
        <v>45791</v>
      </c>
      <c r="BF133" s="330"/>
      <c r="BG133" s="330"/>
      <c r="BH133" s="330" t="s">
        <v>193</v>
      </c>
      <c r="BI133" s="330">
        <v>1000</v>
      </c>
      <c r="BJ133" s="330"/>
      <c r="BK133" s="330"/>
      <c r="BL133" s="330"/>
      <c r="BM133" s="332"/>
      <c r="BN133" s="330"/>
      <c r="BO133" s="330" t="s">
        <v>240</v>
      </c>
      <c r="BP133" s="330" t="s">
        <v>193</v>
      </c>
      <c r="BQ133" s="330" t="s">
        <v>218</v>
      </c>
      <c r="BR133" s="330" t="s">
        <v>220</v>
      </c>
      <c r="BS133" s="330"/>
      <c r="BT133" s="330" t="s">
        <v>220</v>
      </c>
      <c r="BU133" s="330"/>
      <c r="BV133" s="330" t="s">
        <v>220</v>
      </c>
      <c r="BW133" s="330"/>
      <c r="BX133" s="332"/>
      <c r="BY133" s="330"/>
      <c r="BZ133" s="330"/>
      <c r="CA133" s="330"/>
      <c r="CB133" s="330"/>
      <c r="CC133" s="337" t="s">
        <v>241</v>
      </c>
      <c r="CD133" s="330" t="b">
        <v>1</v>
      </c>
      <c r="CE133" s="330" t="b">
        <v>1</v>
      </c>
      <c r="CF133" s="330" t="b">
        <v>1</v>
      </c>
      <c r="CG133" s="330" t="s">
        <v>242</v>
      </c>
      <c r="CH133" s="330"/>
      <c r="CI133" s="330"/>
      <c r="CJ133" s="330"/>
      <c r="CK133" s="330"/>
      <c r="CL133" s="330"/>
      <c r="CM133" s="330"/>
      <c r="CN133" s="330"/>
      <c r="CO133" s="330"/>
      <c r="CP133" s="330"/>
      <c r="CQ133" s="330"/>
      <c r="CR133" s="330"/>
      <c r="CS133" s="330"/>
      <c r="CT133" s="330"/>
      <c r="CU133" s="330"/>
      <c r="CV133" s="330"/>
      <c r="CW133" s="330"/>
      <c r="CX133" s="330"/>
      <c r="CY133" s="330"/>
      <c r="CZ133" s="330"/>
      <c r="DA133" s="330"/>
      <c r="DB133" s="330" t="b">
        <v>1</v>
      </c>
      <c r="DC133" s="330" t="b">
        <v>1</v>
      </c>
      <c r="DD133" s="330"/>
      <c r="DE133" s="330"/>
      <c r="DF133" s="338">
        <v>24051</v>
      </c>
      <c r="DG133" s="330" t="s">
        <v>221</v>
      </c>
      <c r="DH133" s="330"/>
      <c r="DI133" s="338">
        <v>12</v>
      </c>
      <c r="DJ133" s="330"/>
      <c r="DK133" s="330">
        <v>12</v>
      </c>
      <c r="DL133" s="330" t="s">
        <v>243</v>
      </c>
      <c r="DM133" s="330"/>
      <c r="DN133" s="330"/>
      <c r="DO133" s="330"/>
      <c r="DP133" s="330"/>
      <c r="DQ133" s="338" t="s">
        <v>197</v>
      </c>
      <c r="DR133" s="330"/>
      <c r="DS133" s="330"/>
      <c r="DT133" s="330"/>
      <c r="DU133" s="338" t="s">
        <v>197</v>
      </c>
      <c r="DV133" s="330"/>
      <c r="DW133" s="330"/>
      <c r="DX133" s="330"/>
      <c r="DY133" s="338" t="s">
        <v>197</v>
      </c>
      <c r="DZ133" s="330"/>
      <c r="EA133" s="330"/>
      <c r="EB133" s="330"/>
      <c r="EC133" s="330" t="s">
        <v>197</v>
      </c>
      <c r="ED133" s="338" t="s">
        <v>197</v>
      </c>
      <c r="EE133" s="330">
        <v>8</v>
      </c>
      <c r="EF133" s="330">
        <v>300</v>
      </c>
      <c r="EG133" s="330"/>
      <c r="EH133" s="330"/>
      <c r="EI133" s="330"/>
      <c r="EJ133" s="330"/>
      <c r="EK133" s="330"/>
      <c r="EL133" s="330"/>
      <c r="EM133" s="330"/>
      <c r="EN133" s="330"/>
      <c r="EO133" s="330"/>
      <c r="EP133" s="330"/>
      <c r="EQ133" s="332" t="s">
        <v>244</v>
      </c>
      <c r="ER133" s="330"/>
      <c r="ES133" s="330"/>
      <c r="ET133" s="332" t="s">
        <v>245</v>
      </c>
      <c r="EU133" s="332" t="s">
        <v>246</v>
      </c>
      <c r="EV133" s="336">
        <v>45742</v>
      </c>
      <c r="EW133" s="336">
        <v>45743</v>
      </c>
      <c r="EX133" s="330">
        <v>2</v>
      </c>
      <c r="EY133" s="330"/>
      <c r="EZ133" s="330" t="s">
        <v>201</v>
      </c>
      <c r="FA133" s="336">
        <v>45787</v>
      </c>
      <c r="FB133" s="330">
        <v>3</v>
      </c>
      <c r="FC133" s="330" t="s">
        <v>202</v>
      </c>
      <c r="FD133" s="332" t="s">
        <v>190</v>
      </c>
      <c r="FE133" s="336">
        <v>45791</v>
      </c>
      <c r="FF133" s="330"/>
      <c r="FG133" s="330" t="s">
        <v>203</v>
      </c>
      <c r="FH133" s="330" t="s">
        <v>1415</v>
      </c>
      <c r="FI133" s="330" t="s">
        <v>204</v>
      </c>
      <c r="FJ133" s="330"/>
      <c r="FK133" s="330" t="s">
        <v>230</v>
      </c>
      <c r="FL133" s="330" t="s">
        <v>192</v>
      </c>
      <c r="FM133" s="330" t="s">
        <v>191</v>
      </c>
      <c r="FN133" s="330" t="s">
        <v>1421</v>
      </c>
      <c r="FO133" s="330"/>
      <c r="FP133" s="330" t="s">
        <v>1422</v>
      </c>
      <c r="FQ133" s="330"/>
      <c r="FR133" s="330"/>
      <c r="FS133" s="330"/>
      <c r="FT133" s="330"/>
      <c r="FU133" s="330"/>
    </row>
    <row r="134" spans="1:177" ht="51" x14ac:dyDescent="0.25">
      <c r="A134" s="330">
        <v>133</v>
      </c>
      <c r="B134" s="331" t="s">
        <v>1423</v>
      </c>
      <c r="C134" s="330"/>
      <c r="D134" s="332" t="s">
        <v>228</v>
      </c>
      <c r="E134" s="332" t="s">
        <v>229</v>
      </c>
      <c r="F134" s="332" t="s">
        <v>230</v>
      </c>
      <c r="G134" s="330" t="s">
        <v>231</v>
      </c>
      <c r="H134" s="331">
        <v>400</v>
      </c>
      <c r="I134" s="330"/>
      <c r="J134" s="332"/>
      <c r="K134" s="332" t="s">
        <v>1424</v>
      </c>
      <c r="L134" s="330"/>
      <c r="M134" s="332"/>
      <c r="N134" s="330" t="s">
        <v>1425</v>
      </c>
      <c r="O134" s="339">
        <v>0.32655179572347898</v>
      </c>
      <c r="P134" s="333">
        <v>6292</v>
      </c>
      <c r="Q134" s="333">
        <v>19268</v>
      </c>
      <c r="R134" s="333">
        <v>110</v>
      </c>
      <c r="S134" s="333">
        <v>110</v>
      </c>
      <c r="T134" s="333">
        <v>2</v>
      </c>
      <c r="U134" s="333">
        <v>660</v>
      </c>
      <c r="V134" s="333">
        <v>1450</v>
      </c>
      <c r="W134" s="330" t="s">
        <v>1426</v>
      </c>
      <c r="X134" s="330" t="s">
        <v>1427</v>
      </c>
      <c r="Y134" s="332" t="s">
        <v>383</v>
      </c>
      <c r="Z134" s="330" t="s">
        <v>215</v>
      </c>
      <c r="AA134" s="330" t="s">
        <v>384</v>
      </c>
      <c r="AB134" s="330" t="s">
        <v>189</v>
      </c>
      <c r="AC134" s="330"/>
      <c r="AD134" s="330"/>
      <c r="AE134" s="330">
        <v>7</v>
      </c>
      <c r="AF134" s="330">
        <v>-241</v>
      </c>
      <c r="AG134" s="332" t="s">
        <v>238</v>
      </c>
      <c r="AH134" s="332" t="s">
        <v>191</v>
      </c>
      <c r="AI134" s="330" t="s">
        <v>192</v>
      </c>
      <c r="AJ134" s="330" t="s">
        <v>192</v>
      </c>
      <c r="AK134" s="330"/>
      <c r="AL134" s="330" t="s">
        <v>192</v>
      </c>
      <c r="AM134" s="330" t="s">
        <v>191</v>
      </c>
      <c r="AN134" s="330" t="s">
        <v>192</v>
      </c>
      <c r="AO134" s="330"/>
      <c r="AP134" s="332" t="s">
        <v>239</v>
      </c>
      <c r="AQ134" s="330"/>
      <c r="AR134" s="330"/>
      <c r="AS134" s="330" t="b">
        <v>1</v>
      </c>
      <c r="AT134" s="330"/>
      <c r="AU134" s="332" t="s">
        <v>192</v>
      </c>
      <c r="AV134" s="334">
        <v>45737.601734583332</v>
      </c>
      <c r="AW134" s="330"/>
      <c r="AX134" s="335">
        <v>45775</v>
      </c>
      <c r="AY134" s="336">
        <v>45743</v>
      </c>
      <c r="AZ134" s="330"/>
      <c r="BA134" s="336">
        <v>45792</v>
      </c>
      <c r="BB134" s="330"/>
      <c r="BC134" s="336">
        <v>45796</v>
      </c>
      <c r="BD134" s="330"/>
      <c r="BE134" s="336">
        <v>45796</v>
      </c>
      <c r="BF134" s="330"/>
      <c r="BG134" s="330"/>
      <c r="BH134" s="330" t="s">
        <v>193</v>
      </c>
      <c r="BI134" s="330">
        <v>1000</v>
      </c>
      <c r="BJ134" s="330"/>
      <c r="BK134" s="330"/>
      <c r="BL134" s="330"/>
      <c r="BM134" s="332"/>
      <c r="BN134" s="330"/>
      <c r="BO134" s="330" t="s">
        <v>240</v>
      </c>
      <c r="BP134" s="330" t="s">
        <v>193</v>
      </c>
      <c r="BQ134" s="330" t="s">
        <v>218</v>
      </c>
      <c r="BR134" s="330" t="s">
        <v>220</v>
      </c>
      <c r="BS134" s="330"/>
      <c r="BT134" s="330" t="s">
        <v>220</v>
      </c>
      <c r="BU134" s="330"/>
      <c r="BV134" s="330" t="s">
        <v>220</v>
      </c>
      <c r="BW134" s="330"/>
      <c r="BX134" s="332"/>
      <c r="BY134" s="330"/>
      <c r="BZ134" s="330"/>
      <c r="CA134" s="330"/>
      <c r="CB134" s="330"/>
      <c r="CC134" s="337" t="s">
        <v>241</v>
      </c>
      <c r="CD134" s="330" t="b">
        <v>1</v>
      </c>
      <c r="CE134" s="330" t="b">
        <v>1</v>
      </c>
      <c r="CF134" s="330" t="b">
        <v>1</v>
      </c>
      <c r="CG134" s="330" t="s">
        <v>242</v>
      </c>
      <c r="CH134" s="330"/>
      <c r="CI134" s="330"/>
      <c r="CJ134" s="330"/>
      <c r="CK134" s="330"/>
      <c r="CL134" s="330"/>
      <c r="CM134" s="330"/>
      <c r="CN134" s="330"/>
      <c r="CO134" s="330"/>
      <c r="CP134" s="330"/>
      <c r="CQ134" s="330"/>
      <c r="CR134" s="330"/>
      <c r="CS134" s="330"/>
      <c r="CT134" s="330"/>
      <c r="CU134" s="330"/>
      <c r="CV134" s="330"/>
      <c r="CW134" s="330"/>
      <c r="CX134" s="330"/>
      <c r="CY134" s="330"/>
      <c r="CZ134" s="330"/>
      <c r="DA134" s="330"/>
      <c r="DB134" s="330" t="b">
        <v>1</v>
      </c>
      <c r="DC134" s="330" t="b">
        <v>1</v>
      </c>
      <c r="DD134" s="330"/>
      <c r="DE134" s="330"/>
      <c r="DF134" s="338">
        <v>24051</v>
      </c>
      <c r="DG134" s="330" t="s">
        <v>221</v>
      </c>
      <c r="DH134" s="330"/>
      <c r="DI134" s="338">
        <v>13</v>
      </c>
      <c r="DJ134" s="330"/>
      <c r="DK134" s="330">
        <v>13</v>
      </c>
      <c r="DL134" s="330" t="s">
        <v>243</v>
      </c>
      <c r="DM134" s="330"/>
      <c r="DN134" s="330"/>
      <c r="DO134" s="330"/>
      <c r="DP134" s="330"/>
      <c r="DQ134" s="338" t="s">
        <v>197</v>
      </c>
      <c r="DR134" s="330"/>
      <c r="DS134" s="330"/>
      <c r="DT134" s="330"/>
      <c r="DU134" s="338" t="s">
        <v>197</v>
      </c>
      <c r="DV134" s="330"/>
      <c r="DW134" s="330"/>
      <c r="DX134" s="330"/>
      <c r="DY134" s="338" t="s">
        <v>197</v>
      </c>
      <c r="DZ134" s="330"/>
      <c r="EA134" s="330"/>
      <c r="EB134" s="330"/>
      <c r="EC134" s="330" t="s">
        <v>197</v>
      </c>
      <c r="ED134" s="338" t="s">
        <v>197</v>
      </c>
      <c r="EE134" s="330">
        <v>1</v>
      </c>
      <c r="EF134" s="330">
        <v>300</v>
      </c>
      <c r="EG134" s="330"/>
      <c r="EH134" s="330"/>
      <c r="EI134" s="330"/>
      <c r="EJ134" s="330"/>
      <c r="EK134" s="330"/>
      <c r="EL134" s="330"/>
      <c r="EM134" s="330"/>
      <c r="EN134" s="330"/>
      <c r="EO134" s="330"/>
      <c r="EP134" s="330"/>
      <c r="EQ134" s="332" t="s">
        <v>244</v>
      </c>
      <c r="ER134" s="330"/>
      <c r="ES134" s="330"/>
      <c r="ET134" s="332" t="s">
        <v>245</v>
      </c>
      <c r="EU134" s="332" t="s">
        <v>246</v>
      </c>
      <c r="EV134" s="336">
        <v>45743</v>
      </c>
      <c r="EW134" s="336">
        <v>45743</v>
      </c>
      <c r="EX134" s="330">
        <v>1</v>
      </c>
      <c r="EY134" s="330"/>
      <c r="EZ134" s="330" t="s">
        <v>201</v>
      </c>
      <c r="FA134" s="336">
        <v>45792</v>
      </c>
      <c r="FB134" s="330">
        <v>3</v>
      </c>
      <c r="FC134" s="330" t="s">
        <v>202</v>
      </c>
      <c r="FD134" s="332" t="s">
        <v>190</v>
      </c>
      <c r="FE134" s="336">
        <v>45796</v>
      </c>
      <c r="FF134" s="330"/>
      <c r="FG134" s="330" t="s">
        <v>203</v>
      </c>
      <c r="FH134" s="330" t="s">
        <v>1428</v>
      </c>
      <c r="FI134" s="330" t="s">
        <v>204</v>
      </c>
      <c r="FJ134" s="330"/>
      <c r="FK134" s="330" t="s">
        <v>230</v>
      </c>
      <c r="FL134" s="330" t="s">
        <v>192</v>
      </c>
      <c r="FM134" s="330" t="s">
        <v>191</v>
      </c>
      <c r="FN134" s="330" t="s">
        <v>1429</v>
      </c>
      <c r="FO134" s="330"/>
      <c r="FP134" s="330" t="s">
        <v>1430</v>
      </c>
      <c r="FQ134" s="330"/>
      <c r="FR134" s="330"/>
      <c r="FS134" s="330"/>
      <c r="FT134" s="330"/>
      <c r="FU134" s="330"/>
    </row>
    <row r="135" spans="1:177" ht="38.25" x14ac:dyDescent="0.25">
      <c r="A135" s="330">
        <v>134</v>
      </c>
      <c r="B135" s="331" t="s">
        <v>1431</v>
      </c>
      <c r="C135" s="330"/>
      <c r="D135" s="332" t="s">
        <v>228</v>
      </c>
      <c r="E135" s="332" t="s">
        <v>229</v>
      </c>
      <c r="F135" s="332" t="s">
        <v>230</v>
      </c>
      <c r="G135" s="330" t="s">
        <v>231</v>
      </c>
      <c r="H135" s="331">
        <v>400</v>
      </c>
      <c r="I135" s="330"/>
      <c r="J135" s="332" t="s">
        <v>1432</v>
      </c>
      <c r="K135" s="332"/>
      <c r="L135" s="330" t="s">
        <v>284</v>
      </c>
      <c r="M135" s="332" t="s">
        <v>1433</v>
      </c>
      <c r="N135" s="330" t="s">
        <v>1434</v>
      </c>
      <c r="O135" s="339">
        <v>0.74200747353124397</v>
      </c>
      <c r="P135" s="333">
        <v>14297</v>
      </c>
      <c r="Q135" s="333">
        <v>19268</v>
      </c>
      <c r="R135" s="333">
        <v>106</v>
      </c>
      <c r="S135" s="333">
        <v>106</v>
      </c>
      <c r="T135" s="333">
        <v>2</v>
      </c>
      <c r="U135" s="333">
        <v>742</v>
      </c>
      <c r="V135" s="333">
        <v>600</v>
      </c>
      <c r="W135" s="330">
        <v>11</v>
      </c>
      <c r="X135" s="330" t="s">
        <v>1435</v>
      </c>
      <c r="Y135" s="332" t="s">
        <v>351</v>
      </c>
      <c r="Z135" s="330" t="s">
        <v>215</v>
      </c>
      <c r="AA135" s="330" t="s">
        <v>352</v>
      </c>
      <c r="AB135" s="330" t="s">
        <v>189</v>
      </c>
      <c r="AC135" s="330"/>
      <c r="AD135" s="330"/>
      <c r="AE135" s="330">
        <v>91</v>
      </c>
      <c r="AF135" s="330">
        <v>-20</v>
      </c>
      <c r="AG135" s="332" t="s">
        <v>238</v>
      </c>
      <c r="AH135" s="332" t="s">
        <v>191</v>
      </c>
      <c r="AI135" s="330" t="s">
        <v>192</v>
      </c>
      <c r="AJ135" s="330" t="s">
        <v>192</v>
      </c>
      <c r="AK135" s="330"/>
      <c r="AL135" s="330" t="s">
        <v>192</v>
      </c>
      <c r="AM135" s="330" t="s">
        <v>191</v>
      </c>
      <c r="AN135" s="330" t="s">
        <v>192</v>
      </c>
      <c r="AO135" s="330"/>
      <c r="AP135" s="332" t="s">
        <v>259</v>
      </c>
      <c r="AQ135" s="330"/>
      <c r="AR135" s="330"/>
      <c r="AS135" s="330" t="b">
        <v>1</v>
      </c>
      <c r="AT135" s="330"/>
      <c r="AU135" s="332" t="s">
        <v>192</v>
      </c>
      <c r="AV135" s="334">
        <v>46058.475767233795</v>
      </c>
      <c r="AW135" s="330"/>
      <c r="AX135" s="335">
        <v>46080</v>
      </c>
      <c r="AY135" s="336">
        <v>46085</v>
      </c>
      <c r="AZ135" s="330" t="b">
        <v>1</v>
      </c>
      <c r="BA135" s="336">
        <v>46101</v>
      </c>
      <c r="BB135" s="330"/>
      <c r="BC135" s="336">
        <v>46101</v>
      </c>
      <c r="BD135" s="330"/>
      <c r="BE135" s="336">
        <v>46101</v>
      </c>
      <c r="BF135" s="330"/>
      <c r="BG135" s="330"/>
      <c r="BH135" s="330" t="s">
        <v>193</v>
      </c>
      <c r="BI135" s="330">
        <v>500</v>
      </c>
      <c r="BJ135" s="330"/>
      <c r="BK135" s="330"/>
      <c r="BL135" s="330"/>
      <c r="BM135" s="332"/>
      <c r="BN135" s="330"/>
      <c r="BO135" s="330" t="s">
        <v>240</v>
      </c>
      <c r="BP135" s="330" t="s">
        <v>193</v>
      </c>
      <c r="BQ135" s="330" t="s">
        <v>218</v>
      </c>
      <c r="BR135" s="330" t="s">
        <v>220</v>
      </c>
      <c r="BS135" s="330"/>
      <c r="BT135" s="330" t="s">
        <v>220</v>
      </c>
      <c r="BU135" s="330"/>
      <c r="BV135" s="330" t="s">
        <v>220</v>
      </c>
      <c r="BW135" s="330"/>
      <c r="BX135" s="332"/>
      <c r="BY135" s="330"/>
      <c r="BZ135" s="330"/>
      <c r="CA135" s="330"/>
      <c r="CB135" s="330"/>
      <c r="CC135" s="337" t="s">
        <v>241</v>
      </c>
      <c r="CD135" s="330" t="b">
        <v>1</v>
      </c>
      <c r="CE135" s="330" t="b">
        <v>1</v>
      </c>
      <c r="CF135" s="330" t="b">
        <v>1</v>
      </c>
      <c r="CG135" s="330" t="s">
        <v>242</v>
      </c>
      <c r="CH135" s="330"/>
      <c r="CI135" s="330"/>
      <c r="CJ135" s="330"/>
      <c r="CK135" s="330"/>
      <c r="CL135" s="330"/>
      <c r="CM135" s="330"/>
      <c r="CN135" s="330"/>
      <c r="CO135" s="330"/>
      <c r="CP135" s="330"/>
      <c r="CQ135" s="330"/>
      <c r="CR135" s="330"/>
      <c r="CS135" s="330"/>
      <c r="CT135" s="330"/>
      <c r="CU135" s="330"/>
      <c r="CV135" s="330"/>
      <c r="CW135" s="330"/>
      <c r="CX135" s="330"/>
      <c r="CY135" s="330"/>
      <c r="CZ135" s="330"/>
      <c r="DA135" s="330"/>
      <c r="DB135" s="330" t="b">
        <v>1</v>
      </c>
      <c r="DC135" s="330" t="b">
        <v>1</v>
      </c>
      <c r="DD135" s="330"/>
      <c r="DE135" s="330"/>
      <c r="DF135" s="338">
        <v>24051</v>
      </c>
      <c r="DG135" s="330" t="s">
        <v>221</v>
      </c>
      <c r="DH135" s="330"/>
      <c r="DI135" s="338" t="s">
        <v>1436</v>
      </c>
      <c r="DJ135" s="330"/>
      <c r="DK135" s="330">
        <v>0</v>
      </c>
      <c r="DL135" s="330" t="s">
        <v>243</v>
      </c>
      <c r="DM135" s="330"/>
      <c r="DN135" s="330"/>
      <c r="DO135" s="330"/>
      <c r="DP135" s="330"/>
      <c r="DQ135" s="338" t="s">
        <v>197</v>
      </c>
      <c r="DR135" s="330"/>
      <c r="DS135" s="330"/>
      <c r="DT135" s="330"/>
      <c r="DU135" s="338" t="s">
        <v>197</v>
      </c>
      <c r="DV135" s="330"/>
      <c r="DW135" s="330"/>
      <c r="DX135" s="330"/>
      <c r="DY135" s="338" t="s">
        <v>197</v>
      </c>
      <c r="DZ135" s="330"/>
      <c r="EA135" s="330"/>
      <c r="EB135" s="330"/>
      <c r="EC135" s="330" t="s">
        <v>197</v>
      </c>
      <c r="ED135" s="338" t="s">
        <v>197</v>
      </c>
      <c r="EE135" s="330">
        <v>4</v>
      </c>
      <c r="EF135" s="330">
        <v>200</v>
      </c>
      <c r="EG135" s="330"/>
      <c r="EH135" s="330"/>
      <c r="EI135" s="330"/>
      <c r="EJ135" s="330"/>
      <c r="EK135" s="330"/>
      <c r="EL135" s="330"/>
      <c r="EM135" s="330"/>
      <c r="EN135" s="330"/>
      <c r="EO135" s="330"/>
      <c r="EP135" s="330"/>
      <c r="EQ135" s="332" t="s">
        <v>244</v>
      </c>
      <c r="ER135" s="330"/>
      <c r="ES135" s="330"/>
      <c r="ET135" s="332" t="s">
        <v>245</v>
      </c>
      <c r="EU135" s="332" t="s">
        <v>246</v>
      </c>
      <c r="EV135" s="336">
        <v>46085</v>
      </c>
      <c r="EW135" s="336">
        <v>46085</v>
      </c>
      <c r="EX135" s="330">
        <v>1</v>
      </c>
      <c r="EY135" s="330"/>
      <c r="EZ135" s="330" t="s">
        <v>201</v>
      </c>
      <c r="FA135" s="336">
        <v>46100</v>
      </c>
      <c r="FB135" s="330">
        <v>1</v>
      </c>
      <c r="FC135" s="330" t="s">
        <v>202</v>
      </c>
      <c r="FD135" s="332" t="s">
        <v>190</v>
      </c>
      <c r="FE135" s="336">
        <v>46100</v>
      </c>
      <c r="FF135" s="330"/>
      <c r="FG135" s="330" t="s">
        <v>203</v>
      </c>
      <c r="FH135" s="330" t="s">
        <v>457</v>
      </c>
      <c r="FI135" s="330" t="s">
        <v>204</v>
      </c>
      <c r="FJ135" s="330"/>
      <c r="FK135" s="330" t="s">
        <v>230</v>
      </c>
      <c r="FL135" s="330" t="s">
        <v>192</v>
      </c>
      <c r="FM135" s="330" t="s">
        <v>191</v>
      </c>
      <c r="FN135" s="330" t="s">
        <v>1437</v>
      </c>
      <c r="FO135" s="330"/>
      <c r="FP135" s="330" t="s">
        <v>459</v>
      </c>
      <c r="FQ135" s="330"/>
      <c r="FR135" s="330"/>
      <c r="FS135" s="330"/>
      <c r="FT135" s="330"/>
      <c r="FU135" s="330"/>
    </row>
    <row r="136" spans="1:177" ht="63.75" x14ac:dyDescent="0.25">
      <c r="A136" s="330">
        <v>135</v>
      </c>
      <c r="B136" s="331" t="s">
        <v>1438</v>
      </c>
      <c r="C136" s="330"/>
      <c r="D136" s="332" t="s">
        <v>228</v>
      </c>
      <c r="E136" s="332" t="s">
        <v>229</v>
      </c>
      <c r="F136" s="332" t="s">
        <v>230</v>
      </c>
      <c r="G136" s="330" t="s">
        <v>231</v>
      </c>
      <c r="H136" s="331">
        <v>400</v>
      </c>
      <c r="I136" s="330"/>
      <c r="J136" s="332"/>
      <c r="K136" s="332" t="s">
        <v>1439</v>
      </c>
      <c r="L136" s="330" t="s">
        <v>284</v>
      </c>
      <c r="M136" s="332" t="s">
        <v>1440</v>
      </c>
      <c r="N136" s="330" t="s">
        <v>1441</v>
      </c>
      <c r="O136" s="339">
        <v>0.67547228565497197</v>
      </c>
      <c r="P136" s="333">
        <v>13015</v>
      </c>
      <c r="Q136" s="333">
        <v>19268</v>
      </c>
      <c r="R136" s="333">
        <v>39</v>
      </c>
      <c r="S136" s="333">
        <v>39</v>
      </c>
      <c r="T136" s="333">
        <v>6</v>
      </c>
      <c r="U136" s="333">
        <v>288</v>
      </c>
      <c r="V136" s="333">
        <v>600</v>
      </c>
      <c r="W136" s="330" t="s">
        <v>1442</v>
      </c>
      <c r="X136" s="330" t="s">
        <v>1443</v>
      </c>
      <c r="Y136" s="332" t="s">
        <v>351</v>
      </c>
      <c r="Z136" s="330" t="s">
        <v>215</v>
      </c>
      <c r="AA136" s="330" t="s">
        <v>352</v>
      </c>
      <c r="AB136" s="330" t="s">
        <v>189</v>
      </c>
      <c r="AC136" s="330"/>
      <c r="AD136" s="330"/>
      <c r="AE136" s="330">
        <v>81</v>
      </c>
      <c r="AF136" s="330">
        <v>-34</v>
      </c>
      <c r="AG136" s="332" t="s">
        <v>238</v>
      </c>
      <c r="AH136" s="332" t="s">
        <v>191</v>
      </c>
      <c r="AI136" s="330" t="s">
        <v>192</v>
      </c>
      <c r="AJ136" s="330" t="s">
        <v>192</v>
      </c>
      <c r="AK136" s="330"/>
      <c r="AL136" s="330" t="s">
        <v>192</v>
      </c>
      <c r="AM136" s="330" t="s">
        <v>191</v>
      </c>
      <c r="AN136" s="330" t="s">
        <v>192</v>
      </c>
      <c r="AO136" s="330"/>
      <c r="AP136" s="332" t="s">
        <v>259</v>
      </c>
      <c r="AQ136" s="330"/>
      <c r="AR136" s="330"/>
      <c r="AS136" s="330" t="b">
        <v>1</v>
      </c>
      <c r="AT136" s="330"/>
      <c r="AU136" s="332" t="s">
        <v>192</v>
      </c>
      <c r="AV136" s="334">
        <v>46009.63290196759</v>
      </c>
      <c r="AW136" s="330"/>
      <c r="AX136" s="335">
        <v>46034</v>
      </c>
      <c r="AY136" s="336">
        <v>46065</v>
      </c>
      <c r="AZ136" s="330" t="b">
        <v>1</v>
      </c>
      <c r="BA136" s="336">
        <v>46083</v>
      </c>
      <c r="BB136" s="330"/>
      <c r="BC136" s="336">
        <v>46055</v>
      </c>
      <c r="BD136" s="330"/>
      <c r="BE136" s="336">
        <v>46055</v>
      </c>
      <c r="BF136" s="330"/>
      <c r="BG136" s="330"/>
      <c r="BH136" s="330" t="s">
        <v>193</v>
      </c>
      <c r="BI136" s="330">
        <v>1000</v>
      </c>
      <c r="BJ136" s="330"/>
      <c r="BK136" s="330"/>
      <c r="BL136" s="330"/>
      <c r="BM136" s="332"/>
      <c r="BN136" s="330"/>
      <c r="BO136" s="330" t="s">
        <v>240</v>
      </c>
      <c r="BP136" s="330" t="s">
        <v>193</v>
      </c>
      <c r="BQ136" s="330" t="s">
        <v>218</v>
      </c>
      <c r="BR136" s="330" t="s">
        <v>220</v>
      </c>
      <c r="BS136" s="330"/>
      <c r="BT136" s="330" t="s">
        <v>220</v>
      </c>
      <c r="BU136" s="330"/>
      <c r="BV136" s="330" t="s">
        <v>220</v>
      </c>
      <c r="BW136" s="330"/>
      <c r="BX136" s="332"/>
      <c r="BY136" s="330"/>
      <c r="BZ136" s="330"/>
      <c r="CA136" s="330"/>
      <c r="CB136" s="330"/>
      <c r="CC136" s="337" t="s">
        <v>241</v>
      </c>
      <c r="CD136" s="330" t="b">
        <v>1</v>
      </c>
      <c r="CE136" s="330" t="b">
        <v>1</v>
      </c>
      <c r="CF136" s="330" t="b">
        <v>1</v>
      </c>
      <c r="CG136" s="330"/>
      <c r="CH136" s="330"/>
      <c r="CI136" s="330"/>
      <c r="CJ136" s="330"/>
      <c r="CK136" s="330"/>
      <c r="CL136" s="330"/>
      <c r="CM136" s="330"/>
      <c r="CN136" s="330"/>
      <c r="CO136" s="330"/>
      <c r="CP136" s="330"/>
      <c r="CQ136" s="330"/>
      <c r="CR136" s="330"/>
      <c r="CS136" s="330"/>
      <c r="CT136" s="330"/>
      <c r="CU136" s="330"/>
      <c r="CV136" s="330"/>
      <c r="CW136" s="330"/>
      <c r="CX136" s="330"/>
      <c r="CY136" s="330"/>
      <c r="CZ136" s="330"/>
      <c r="DA136" s="330"/>
      <c r="DB136" s="330" t="b">
        <v>1</v>
      </c>
      <c r="DC136" s="330" t="b">
        <v>1</v>
      </c>
      <c r="DD136" s="330"/>
      <c r="DE136" s="330"/>
      <c r="DF136" s="338">
        <v>24051</v>
      </c>
      <c r="DG136" s="330" t="s">
        <v>221</v>
      </c>
      <c r="DH136" s="330"/>
      <c r="DI136" s="338">
        <v>74</v>
      </c>
      <c r="DJ136" s="330"/>
      <c r="DK136" s="330">
        <v>74</v>
      </c>
      <c r="DL136" s="330" t="s">
        <v>243</v>
      </c>
      <c r="DM136" s="330"/>
      <c r="DN136" s="330"/>
      <c r="DO136" s="330"/>
      <c r="DP136" s="330"/>
      <c r="DQ136" s="338" t="s">
        <v>197</v>
      </c>
      <c r="DR136" s="330"/>
      <c r="DS136" s="330"/>
      <c r="DT136" s="330"/>
      <c r="DU136" s="338" t="s">
        <v>197</v>
      </c>
      <c r="DV136" s="330"/>
      <c r="DW136" s="330"/>
      <c r="DX136" s="330"/>
      <c r="DY136" s="338" t="s">
        <v>197</v>
      </c>
      <c r="DZ136" s="330"/>
      <c r="EA136" s="330"/>
      <c r="EB136" s="330"/>
      <c r="EC136" s="330" t="s">
        <v>197</v>
      </c>
      <c r="ED136" s="338" t="s">
        <v>197</v>
      </c>
      <c r="EE136" s="330">
        <v>24</v>
      </c>
      <c r="EF136" s="330">
        <v>300</v>
      </c>
      <c r="EG136" s="330"/>
      <c r="EH136" s="330"/>
      <c r="EI136" s="330"/>
      <c r="EJ136" s="330"/>
      <c r="EK136" s="330"/>
      <c r="EL136" s="330"/>
      <c r="EM136" s="330"/>
      <c r="EN136" s="330"/>
      <c r="EO136" s="330"/>
      <c r="EP136" s="330"/>
      <c r="EQ136" s="332" t="s">
        <v>244</v>
      </c>
      <c r="ER136" s="330"/>
      <c r="ES136" s="330"/>
      <c r="ET136" s="332" t="s">
        <v>245</v>
      </c>
      <c r="EU136" s="332" t="s">
        <v>354</v>
      </c>
      <c r="EV136" s="336">
        <v>46064</v>
      </c>
      <c r="EW136" s="336">
        <v>46065</v>
      </c>
      <c r="EX136" s="330">
        <v>2</v>
      </c>
      <c r="EY136" s="330"/>
      <c r="EZ136" s="330" t="s">
        <v>201</v>
      </c>
      <c r="FA136" s="336">
        <v>46100</v>
      </c>
      <c r="FB136" s="330">
        <v>1</v>
      </c>
      <c r="FC136" s="330" t="s">
        <v>202</v>
      </c>
      <c r="FD136" s="332" t="s">
        <v>190</v>
      </c>
      <c r="FE136" s="336">
        <v>46100</v>
      </c>
      <c r="FF136" s="330"/>
      <c r="FG136" s="330" t="s">
        <v>203</v>
      </c>
      <c r="FH136" s="330" t="s">
        <v>260</v>
      </c>
      <c r="FI136" s="330" t="s">
        <v>204</v>
      </c>
      <c r="FJ136" s="330"/>
      <c r="FK136" s="330" t="s">
        <v>230</v>
      </c>
      <c r="FL136" s="330" t="s">
        <v>192</v>
      </c>
      <c r="FM136" s="330" t="s">
        <v>191</v>
      </c>
      <c r="FN136" s="330" t="s">
        <v>1444</v>
      </c>
      <c r="FO136" s="330"/>
      <c r="FP136" s="330" t="s">
        <v>357</v>
      </c>
      <c r="FQ136" s="330"/>
      <c r="FR136" s="330"/>
      <c r="FS136" s="330"/>
      <c r="FT136" s="330"/>
      <c r="FU136" s="330"/>
    </row>
    <row r="137" spans="1:177" ht="51" x14ac:dyDescent="0.25">
      <c r="A137" s="330">
        <v>136</v>
      </c>
      <c r="B137" s="331" t="s">
        <v>1445</v>
      </c>
      <c r="C137" s="330"/>
      <c r="D137" s="332" t="s">
        <v>228</v>
      </c>
      <c r="E137" s="332" t="s">
        <v>229</v>
      </c>
      <c r="F137" s="332" t="s">
        <v>230</v>
      </c>
      <c r="G137" s="330" t="s">
        <v>231</v>
      </c>
      <c r="H137" s="331">
        <v>400</v>
      </c>
      <c r="I137" s="330"/>
      <c r="J137" s="332"/>
      <c r="K137" s="332" t="s">
        <v>1446</v>
      </c>
      <c r="L137" s="330" t="s">
        <v>284</v>
      </c>
      <c r="M137" s="332" t="s">
        <v>1447</v>
      </c>
      <c r="N137" s="330" t="s">
        <v>1448</v>
      </c>
      <c r="O137" s="339">
        <v>0.67977994602449698</v>
      </c>
      <c r="P137" s="333">
        <v>13098</v>
      </c>
      <c r="Q137" s="333">
        <v>19268</v>
      </c>
      <c r="R137" s="333">
        <v>83</v>
      </c>
      <c r="S137" s="333">
        <v>83</v>
      </c>
      <c r="T137" s="333">
        <v>22</v>
      </c>
      <c r="U137" s="333">
        <v>487</v>
      </c>
      <c r="V137" s="333">
        <v>900</v>
      </c>
      <c r="W137" s="330" t="s">
        <v>1449</v>
      </c>
      <c r="X137" s="330" t="s">
        <v>1450</v>
      </c>
      <c r="Y137" s="332" t="s">
        <v>351</v>
      </c>
      <c r="Z137" s="330" t="s">
        <v>215</v>
      </c>
      <c r="AA137" s="330" t="s">
        <v>352</v>
      </c>
      <c r="AB137" s="330" t="s">
        <v>189</v>
      </c>
      <c r="AC137" s="330"/>
      <c r="AD137" s="330"/>
      <c r="AE137" s="330">
        <v>81</v>
      </c>
      <c r="AF137" s="330">
        <v>-34</v>
      </c>
      <c r="AG137" s="332" t="s">
        <v>238</v>
      </c>
      <c r="AH137" s="332" t="s">
        <v>191</v>
      </c>
      <c r="AI137" s="330" t="s">
        <v>192</v>
      </c>
      <c r="AJ137" s="330" t="s">
        <v>192</v>
      </c>
      <c r="AK137" s="330"/>
      <c r="AL137" s="330" t="s">
        <v>192</v>
      </c>
      <c r="AM137" s="330" t="s">
        <v>191</v>
      </c>
      <c r="AN137" s="330" t="s">
        <v>192</v>
      </c>
      <c r="AO137" s="330"/>
      <c r="AP137" s="330" t="s">
        <v>259</v>
      </c>
      <c r="AQ137" s="330"/>
      <c r="AR137" s="330"/>
      <c r="AS137" s="330" t="b">
        <v>1</v>
      </c>
      <c r="AT137" s="330"/>
      <c r="AU137" s="332" t="s">
        <v>192</v>
      </c>
      <c r="AV137" s="334">
        <v>46034.456947962964</v>
      </c>
      <c r="AW137" s="330" t="b">
        <v>1</v>
      </c>
      <c r="AX137" s="335">
        <v>46055</v>
      </c>
      <c r="AY137" s="336">
        <v>46065</v>
      </c>
      <c r="AZ137" s="330" t="b">
        <v>1</v>
      </c>
      <c r="BA137" s="336">
        <v>46083</v>
      </c>
      <c r="BB137" s="330"/>
      <c r="BC137" s="336">
        <v>46066</v>
      </c>
      <c r="BD137" s="330"/>
      <c r="BE137" s="336">
        <v>46066</v>
      </c>
      <c r="BF137" s="330"/>
      <c r="BG137" s="330"/>
      <c r="BH137" s="330" t="s">
        <v>193</v>
      </c>
      <c r="BI137" s="330">
        <v>1000</v>
      </c>
      <c r="BJ137" s="330"/>
      <c r="BK137" s="330"/>
      <c r="BL137" s="330"/>
      <c r="BM137" s="332"/>
      <c r="BN137" s="330"/>
      <c r="BO137" s="330" t="s">
        <v>240</v>
      </c>
      <c r="BP137" s="330" t="s">
        <v>193</v>
      </c>
      <c r="BQ137" s="330" t="s">
        <v>218</v>
      </c>
      <c r="BR137" s="330" t="s">
        <v>220</v>
      </c>
      <c r="BS137" s="330"/>
      <c r="BT137" s="330" t="s">
        <v>220</v>
      </c>
      <c r="BU137" s="330"/>
      <c r="BV137" s="330" t="s">
        <v>220</v>
      </c>
      <c r="BW137" s="330"/>
      <c r="BX137" s="332"/>
      <c r="BY137" s="330"/>
      <c r="BZ137" s="330"/>
      <c r="CA137" s="330"/>
      <c r="CB137" s="330"/>
      <c r="CC137" s="337" t="s">
        <v>241</v>
      </c>
      <c r="CD137" s="330" t="b">
        <v>1</v>
      </c>
      <c r="CE137" s="330" t="b">
        <v>1</v>
      </c>
      <c r="CF137" s="330" t="b">
        <v>1</v>
      </c>
      <c r="CG137" s="330"/>
      <c r="CH137" s="330"/>
      <c r="CI137" s="330"/>
      <c r="CJ137" s="330"/>
      <c r="CK137" s="330"/>
      <c r="CL137" s="330"/>
      <c r="CM137" s="330"/>
      <c r="CN137" s="330"/>
      <c r="CO137" s="330"/>
      <c r="CP137" s="330"/>
      <c r="CQ137" s="330"/>
      <c r="CR137" s="330"/>
      <c r="CS137" s="330"/>
      <c r="CT137" s="330"/>
      <c r="CU137" s="330"/>
      <c r="CV137" s="330"/>
      <c r="CW137" s="330"/>
      <c r="CX137" s="330"/>
      <c r="CY137" s="330"/>
      <c r="CZ137" s="330"/>
      <c r="DA137" s="330"/>
      <c r="DB137" s="330" t="b">
        <v>1</v>
      </c>
      <c r="DC137" s="330" t="b">
        <v>1</v>
      </c>
      <c r="DD137" s="330"/>
      <c r="DE137" s="330"/>
      <c r="DF137" s="338">
        <v>24051</v>
      </c>
      <c r="DG137" s="330" t="s">
        <v>221</v>
      </c>
      <c r="DH137" s="330"/>
      <c r="DI137" s="340">
        <v>75</v>
      </c>
      <c r="DJ137" s="330"/>
      <c r="DK137" s="330">
        <v>75</v>
      </c>
      <c r="DL137" s="330" t="s">
        <v>243</v>
      </c>
      <c r="DM137" s="330"/>
      <c r="DN137" s="330"/>
      <c r="DO137" s="330"/>
      <c r="DP137" s="330"/>
      <c r="DQ137" s="338" t="s">
        <v>197</v>
      </c>
      <c r="DR137" s="330"/>
      <c r="DS137" s="330"/>
      <c r="DT137" s="330"/>
      <c r="DU137" s="338" t="s">
        <v>197</v>
      </c>
      <c r="DV137" s="330"/>
      <c r="DW137" s="330"/>
      <c r="DX137" s="330"/>
      <c r="DY137" s="338" t="s">
        <v>197</v>
      </c>
      <c r="DZ137" s="330"/>
      <c r="EA137" s="330"/>
      <c r="EB137" s="330"/>
      <c r="EC137" s="330" t="s">
        <v>197</v>
      </c>
      <c r="ED137" s="338" t="s">
        <v>197</v>
      </c>
      <c r="EE137" s="330">
        <v>24</v>
      </c>
      <c r="EF137" s="330">
        <v>160</v>
      </c>
      <c r="EG137" s="330"/>
      <c r="EH137" s="330"/>
      <c r="EI137" s="330"/>
      <c r="EJ137" s="330"/>
      <c r="EK137" s="330"/>
      <c r="EL137" s="330"/>
      <c r="EM137" s="330"/>
      <c r="EN137" s="330"/>
      <c r="EO137" s="330"/>
      <c r="EP137" s="330"/>
      <c r="EQ137" s="332" t="s">
        <v>244</v>
      </c>
      <c r="ER137" s="330"/>
      <c r="ES137" s="330"/>
      <c r="ET137" s="332" t="s">
        <v>245</v>
      </c>
      <c r="EU137" s="332" t="s">
        <v>354</v>
      </c>
      <c r="EV137" s="336">
        <v>46064</v>
      </c>
      <c r="EW137" s="336">
        <v>46065</v>
      </c>
      <c r="EX137" s="330">
        <v>2</v>
      </c>
      <c r="EY137" s="330"/>
      <c r="EZ137" s="330" t="s">
        <v>201</v>
      </c>
      <c r="FA137" s="336">
        <v>46095</v>
      </c>
      <c r="FB137" s="330">
        <v>1</v>
      </c>
      <c r="FC137" s="330" t="s">
        <v>202</v>
      </c>
      <c r="FD137" s="332" t="s">
        <v>190</v>
      </c>
      <c r="FE137" s="336">
        <v>46097</v>
      </c>
      <c r="FF137" s="330"/>
      <c r="FG137" s="330" t="s">
        <v>203</v>
      </c>
      <c r="FH137" s="330" t="s">
        <v>260</v>
      </c>
      <c r="FI137" s="330" t="s">
        <v>204</v>
      </c>
      <c r="FJ137" s="330"/>
      <c r="FK137" s="330" t="s">
        <v>230</v>
      </c>
      <c r="FL137" s="330" t="s">
        <v>192</v>
      </c>
      <c r="FM137" s="330" t="s">
        <v>191</v>
      </c>
      <c r="FN137" s="330" t="s">
        <v>1451</v>
      </c>
      <c r="FO137" s="330"/>
      <c r="FP137" s="330" t="s">
        <v>451</v>
      </c>
      <c r="FQ137" s="330"/>
      <c r="FR137" s="330"/>
      <c r="FS137" s="330"/>
      <c r="FT137" s="330"/>
      <c r="FU137" s="330"/>
    </row>
    <row r="138" spans="1:177" ht="63.75" x14ac:dyDescent="0.25">
      <c r="A138" s="330">
        <v>137</v>
      </c>
      <c r="B138" s="331" t="s">
        <v>1452</v>
      </c>
      <c r="C138" s="330"/>
      <c r="D138" s="332" t="s">
        <v>228</v>
      </c>
      <c r="E138" s="332" t="s">
        <v>229</v>
      </c>
      <c r="F138" s="332" t="s">
        <v>230</v>
      </c>
      <c r="G138" s="330" t="s">
        <v>231</v>
      </c>
      <c r="H138" s="331">
        <v>400</v>
      </c>
      <c r="I138" s="330"/>
      <c r="J138" s="332"/>
      <c r="K138" s="332" t="s">
        <v>1453</v>
      </c>
      <c r="L138" s="330" t="s">
        <v>284</v>
      </c>
      <c r="M138" s="332" t="s">
        <v>1454</v>
      </c>
      <c r="N138" s="330" t="s">
        <v>1455</v>
      </c>
      <c r="O138" s="339">
        <v>0.68766867344820404</v>
      </c>
      <c r="P138" s="333">
        <v>13250</v>
      </c>
      <c r="Q138" s="333">
        <v>19268</v>
      </c>
      <c r="R138" s="333">
        <v>152</v>
      </c>
      <c r="S138" s="333">
        <v>152</v>
      </c>
      <c r="T138" s="333">
        <v>6</v>
      </c>
      <c r="U138" s="333">
        <v>1032</v>
      </c>
      <c r="V138" s="333">
        <v>2200</v>
      </c>
      <c r="W138" s="330" t="s">
        <v>1456</v>
      </c>
      <c r="X138" s="330" t="s">
        <v>1457</v>
      </c>
      <c r="Y138" s="332" t="s">
        <v>351</v>
      </c>
      <c r="Z138" s="330" t="s">
        <v>215</v>
      </c>
      <c r="AA138" s="330" t="s">
        <v>352</v>
      </c>
      <c r="AB138" s="330" t="s">
        <v>189</v>
      </c>
      <c r="AC138" s="330"/>
      <c r="AD138" s="330"/>
      <c r="AE138" s="330">
        <v>81</v>
      </c>
      <c r="AF138" s="330">
        <v>-34</v>
      </c>
      <c r="AG138" s="332" t="s">
        <v>238</v>
      </c>
      <c r="AH138" s="332" t="s">
        <v>191</v>
      </c>
      <c r="AI138" s="330" t="s">
        <v>192</v>
      </c>
      <c r="AJ138" s="330" t="s">
        <v>192</v>
      </c>
      <c r="AK138" s="330"/>
      <c r="AL138" s="330" t="s">
        <v>192</v>
      </c>
      <c r="AM138" s="330" t="s">
        <v>191</v>
      </c>
      <c r="AN138" s="330" t="s">
        <v>192</v>
      </c>
      <c r="AO138" s="330"/>
      <c r="AP138" s="332" t="s">
        <v>259</v>
      </c>
      <c r="AQ138" s="330"/>
      <c r="AR138" s="330"/>
      <c r="AS138" s="330" t="b">
        <v>1</v>
      </c>
      <c r="AT138" s="330"/>
      <c r="AU138" s="332" t="s">
        <v>192</v>
      </c>
      <c r="AV138" s="334">
        <v>46010.487901886576</v>
      </c>
      <c r="AW138" s="330"/>
      <c r="AX138" s="335">
        <v>46041</v>
      </c>
      <c r="AY138" s="336">
        <v>46065</v>
      </c>
      <c r="AZ138" s="330" t="b">
        <v>1</v>
      </c>
      <c r="BA138" s="336">
        <v>46083</v>
      </c>
      <c r="BB138" s="330"/>
      <c r="BC138" s="336">
        <v>46062</v>
      </c>
      <c r="BD138" s="330"/>
      <c r="BE138" s="336">
        <v>46062</v>
      </c>
      <c r="BF138" s="330"/>
      <c r="BG138" s="330"/>
      <c r="BH138" s="330" t="s">
        <v>193</v>
      </c>
      <c r="BI138" s="330">
        <v>750</v>
      </c>
      <c r="BJ138" s="330"/>
      <c r="BK138" s="330"/>
      <c r="BL138" s="330"/>
      <c r="BM138" s="332"/>
      <c r="BN138" s="330"/>
      <c r="BO138" s="330" t="s">
        <v>240</v>
      </c>
      <c r="BP138" s="330" t="s">
        <v>193</v>
      </c>
      <c r="BQ138" s="330" t="s">
        <v>218</v>
      </c>
      <c r="BR138" s="330" t="s">
        <v>220</v>
      </c>
      <c r="BS138" s="330"/>
      <c r="BT138" s="330" t="s">
        <v>220</v>
      </c>
      <c r="BU138" s="330"/>
      <c r="BV138" s="330" t="s">
        <v>220</v>
      </c>
      <c r="BW138" s="330"/>
      <c r="BX138" s="332"/>
      <c r="BY138" s="330"/>
      <c r="BZ138" s="330"/>
      <c r="CA138" s="330"/>
      <c r="CB138" s="330"/>
      <c r="CC138" s="337" t="s">
        <v>241</v>
      </c>
      <c r="CD138" s="330"/>
      <c r="CE138" s="330" t="b">
        <v>1</v>
      </c>
      <c r="CF138" s="330" t="b">
        <v>1</v>
      </c>
      <c r="CG138" s="330"/>
      <c r="CH138" s="330"/>
      <c r="CI138" s="330"/>
      <c r="CJ138" s="330"/>
      <c r="CK138" s="330"/>
      <c r="CL138" s="330"/>
      <c r="CM138" s="330"/>
      <c r="CN138" s="330"/>
      <c r="CO138" s="330"/>
      <c r="CP138" s="330"/>
      <c r="CQ138" s="330"/>
      <c r="CR138" s="330"/>
      <c r="CS138" s="330"/>
      <c r="CT138" s="330"/>
      <c r="CU138" s="330"/>
      <c r="CV138" s="330"/>
      <c r="CW138" s="330"/>
      <c r="CX138" s="330"/>
      <c r="CY138" s="330"/>
      <c r="CZ138" s="330"/>
      <c r="DA138" s="330"/>
      <c r="DB138" s="330" t="b">
        <v>1</v>
      </c>
      <c r="DC138" s="330" t="b">
        <v>1</v>
      </c>
      <c r="DD138" s="330"/>
      <c r="DE138" s="330"/>
      <c r="DF138" s="338">
        <v>24051</v>
      </c>
      <c r="DG138" s="330" t="s">
        <v>221</v>
      </c>
      <c r="DH138" s="330"/>
      <c r="DI138" s="340">
        <v>76</v>
      </c>
      <c r="DJ138" s="330"/>
      <c r="DK138" s="330">
        <v>76</v>
      </c>
      <c r="DL138" s="330" t="s">
        <v>243</v>
      </c>
      <c r="DM138" s="330"/>
      <c r="DN138" s="330"/>
      <c r="DO138" s="330"/>
      <c r="DP138" s="330"/>
      <c r="DQ138" s="338" t="s">
        <v>197</v>
      </c>
      <c r="DR138" s="330"/>
      <c r="DS138" s="330"/>
      <c r="DT138" s="330"/>
      <c r="DU138" s="338" t="s">
        <v>197</v>
      </c>
      <c r="DV138" s="330"/>
      <c r="DW138" s="330"/>
      <c r="DX138" s="330"/>
      <c r="DY138" s="338" t="s">
        <v>197</v>
      </c>
      <c r="DZ138" s="330"/>
      <c r="EA138" s="330"/>
      <c r="EB138" s="330"/>
      <c r="EC138" s="330" t="s">
        <v>197</v>
      </c>
      <c r="ED138" s="338" t="s">
        <v>197</v>
      </c>
      <c r="EE138" s="330">
        <v>8</v>
      </c>
      <c r="EF138" s="330">
        <v>300</v>
      </c>
      <c r="EG138" s="330"/>
      <c r="EH138" s="330"/>
      <c r="EI138" s="330"/>
      <c r="EJ138" s="330"/>
      <c r="EK138" s="330"/>
      <c r="EL138" s="330"/>
      <c r="EM138" s="330"/>
      <c r="EN138" s="330"/>
      <c r="EO138" s="330"/>
      <c r="EP138" s="330"/>
      <c r="EQ138" s="332" t="s">
        <v>244</v>
      </c>
      <c r="ER138" s="330"/>
      <c r="ES138" s="330"/>
      <c r="ET138" s="332" t="s">
        <v>245</v>
      </c>
      <c r="EU138" s="332" t="s">
        <v>354</v>
      </c>
      <c r="EV138" s="336">
        <v>46064</v>
      </c>
      <c r="EW138" s="336">
        <v>46065</v>
      </c>
      <c r="EX138" s="330">
        <v>2</v>
      </c>
      <c r="EY138" s="330"/>
      <c r="EZ138" s="330" t="s">
        <v>201</v>
      </c>
      <c r="FA138" s="336">
        <v>46099</v>
      </c>
      <c r="FB138" s="330">
        <v>2</v>
      </c>
      <c r="FC138" s="330" t="s">
        <v>202</v>
      </c>
      <c r="FD138" s="332" t="s">
        <v>190</v>
      </c>
      <c r="FE138" s="336">
        <v>46100</v>
      </c>
      <c r="FF138" s="330"/>
      <c r="FG138" s="330" t="s">
        <v>203</v>
      </c>
      <c r="FH138" s="330" t="s">
        <v>1458</v>
      </c>
      <c r="FI138" s="330" t="s">
        <v>204</v>
      </c>
      <c r="FJ138" s="330"/>
      <c r="FK138" s="330" t="s">
        <v>230</v>
      </c>
      <c r="FL138" s="330" t="s">
        <v>192</v>
      </c>
      <c r="FM138" s="330" t="s">
        <v>191</v>
      </c>
      <c r="FN138" s="330" t="s">
        <v>1459</v>
      </c>
      <c r="FO138" s="330"/>
      <c r="FP138" s="330" t="s">
        <v>451</v>
      </c>
      <c r="FQ138" s="330"/>
      <c r="FR138" s="330"/>
      <c r="FS138" s="330"/>
      <c r="FT138" s="330"/>
      <c r="FU138" s="330"/>
    </row>
    <row r="139" spans="1:177" ht="89.25" x14ac:dyDescent="0.25">
      <c r="A139" s="330">
        <v>138</v>
      </c>
      <c r="B139" s="331" t="s">
        <v>1460</v>
      </c>
      <c r="C139" s="330"/>
      <c r="D139" s="332" t="s">
        <v>228</v>
      </c>
      <c r="E139" s="332" t="s">
        <v>229</v>
      </c>
      <c r="F139" s="332" t="s">
        <v>230</v>
      </c>
      <c r="G139" s="330" t="s">
        <v>231</v>
      </c>
      <c r="H139" s="331">
        <v>400</v>
      </c>
      <c r="I139" s="330"/>
      <c r="J139" s="332" t="s">
        <v>359</v>
      </c>
      <c r="K139" s="332" t="s">
        <v>417</v>
      </c>
      <c r="L139" s="330" t="s">
        <v>284</v>
      </c>
      <c r="M139" s="332" t="s">
        <v>1461</v>
      </c>
      <c r="N139" s="330" t="s">
        <v>1462</v>
      </c>
      <c r="O139" s="339">
        <v>0.57504670957027204</v>
      </c>
      <c r="P139" s="333">
        <v>11080</v>
      </c>
      <c r="Q139" s="333">
        <v>19268</v>
      </c>
      <c r="R139" s="333">
        <v>70</v>
      </c>
      <c r="S139" s="333">
        <v>70</v>
      </c>
      <c r="T139" s="333">
        <v>3</v>
      </c>
      <c r="U139" s="333">
        <v>490</v>
      </c>
      <c r="V139" s="333">
        <v>350</v>
      </c>
      <c r="W139" s="330" t="s">
        <v>1463</v>
      </c>
      <c r="X139" s="330" t="s">
        <v>1464</v>
      </c>
      <c r="Y139" s="332" t="s">
        <v>351</v>
      </c>
      <c r="Z139" s="330" t="s">
        <v>215</v>
      </c>
      <c r="AA139" s="330" t="s">
        <v>352</v>
      </c>
      <c r="AB139" s="330" t="s">
        <v>189</v>
      </c>
      <c r="AC139" s="330"/>
      <c r="AD139" s="330"/>
      <c r="AE139" s="330">
        <v>62</v>
      </c>
      <c r="AF139" s="330">
        <v>-70</v>
      </c>
      <c r="AG139" s="332" t="s">
        <v>238</v>
      </c>
      <c r="AH139" s="332" t="s">
        <v>191</v>
      </c>
      <c r="AI139" s="330" t="s">
        <v>192</v>
      </c>
      <c r="AJ139" s="330" t="s">
        <v>192</v>
      </c>
      <c r="AK139" s="330" t="s">
        <v>192</v>
      </c>
      <c r="AL139" s="330" t="s">
        <v>192</v>
      </c>
      <c r="AM139" s="330" t="s">
        <v>191</v>
      </c>
      <c r="AN139" s="330" t="s">
        <v>192</v>
      </c>
      <c r="AO139" s="330"/>
      <c r="AP139" s="332" t="s">
        <v>259</v>
      </c>
      <c r="AQ139" s="330"/>
      <c r="AR139" s="330"/>
      <c r="AS139" s="330" t="b">
        <v>1</v>
      </c>
      <c r="AT139" s="330"/>
      <c r="AU139" s="332" t="s">
        <v>192</v>
      </c>
      <c r="AV139" s="334">
        <v>45951.46052015046</v>
      </c>
      <c r="AW139" s="330"/>
      <c r="AX139" s="335">
        <v>46014</v>
      </c>
      <c r="AY139" s="336">
        <v>45995</v>
      </c>
      <c r="AZ139" s="330"/>
      <c r="BA139" s="336">
        <v>46031</v>
      </c>
      <c r="BB139" s="330"/>
      <c r="BC139" s="336">
        <v>46035</v>
      </c>
      <c r="BD139" s="330"/>
      <c r="BE139" s="336">
        <v>46035</v>
      </c>
      <c r="BF139" s="330"/>
      <c r="BG139" s="330"/>
      <c r="BH139" s="330" t="s">
        <v>193</v>
      </c>
      <c r="BI139" s="330">
        <v>1000</v>
      </c>
      <c r="BJ139" s="330"/>
      <c r="BK139" s="330"/>
      <c r="BL139" s="330"/>
      <c r="BM139" s="332"/>
      <c r="BN139" s="330"/>
      <c r="BO139" s="330" t="s">
        <v>240</v>
      </c>
      <c r="BP139" s="330" t="s">
        <v>193</v>
      </c>
      <c r="BQ139" s="330" t="s">
        <v>218</v>
      </c>
      <c r="BR139" s="330" t="s">
        <v>220</v>
      </c>
      <c r="BS139" s="330"/>
      <c r="BT139" s="330" t="s">
        <v>220</v>
      </c>
      <c r="BU139" s="330"/>
      <c r="BV139" s="330" t="s">
        <v>220</v>
      </c>
      <c r="BW139" s="330"/>
      <c r="BX139" s="332"/>
      <c r="BY139" s="330"/>
      <c r="BZ139" s="330"/>
      <c r="CA139" s="330"/>
      <c r="CB139" s="330"/>
      <c r="CC139" s="337" t="s">
        <v>241</v>
      </c>
      <c r="CD139" s="330" t="b">
        <v>1</v>
      </c>
      <c r="CE139" s="330" t="b">
        <v>1</v>
      </c>
      <c r="CF139" s="330" t="b">
        <v>1</v>
      </c>
      <c r="CG139" s="330" t="s">
        <v>242</v>
      </c>
      <c r="CH139" s="330"/>
      <c r="CI139" s="330"/>
      <c r="CJ139" s="330"/>
      <c r="CK139" s="330"/>
      <c r="CL139" s="330"/>
      <c r="CM139" s="330"/>
      <c r="CN139" s="330"/>
      <c r="CO139" s="330"/>
      <c r="CP139" s="330"/>
      <c r="CQ139" s="330"/>
      <c r="CR139" s="330"/>
      <c r="CS139" s="330"/>
      <c r="CT139" s="330"/>
      <c r="CU139" s="330"/>
      <c r="CV139" s="330"/>
      <c r="CW139" s="330"/>
      <c r="CX139" s="330"/>
      <c r="CY139" s="330"/>
      <c r="CZ139" s="330"/>
      <c r="DA139" s="330"/>
      <c r="DB139" s="330" t="b">
        <v>1</v>
      </c>
      <c r="DC139" s="330" t="b">
        <v>1</v>
      </c>
      <c r="DD139" s="330"/>
      <c r="DE139" s="330"/>
      <c r="DF139" s="338">
        <v>24051</v>
      </c>
      <c r="DG139" s="330" t="s">
        <v>221</v>
      </c>
      <c r="DH139" s="330"/>
      <c r="DI139" s="338" t="s">
        <v>1465</v>
      </c>
      <c r="DJ139" s="330"/>
      <c r="DK139" s="330">
        <v>0</v>
      </c>
      <c r="DL139" s="330" t="s">
        <v>243</v>
      </c>
      <c r="DM139" s="330"/>
      <c r="DN139" s="330"/>
      <c r="DO139" s="330"/>
      <c r="DP139" s="330"/>
      <c r="DQ139" s="338" t="s">
        <v>197</v>
      </c>
      <c r="DR139" s="330"/>
      <c r="DS139" s="330"/>
      <c r="DT139" s="330"/>
      <c r="DU139" s="338" t="s">
        <v>197</v>
      </c>
      <c r="DV139" s="330"/>
      <c r="DW139" s="330"/>
      <c r="DX139" s="330"/>
      <c r="DY139" s="338" t="s">
        <v>197</v>
      </c>
      <c r="DZ139" s="330"/>
      <c r="EA139" s="330"/>
      <c r="EB139" s="330"/>
      <c r="EC139" s="330" t="s">
        <v>197</v>
      </c>
      <c r="ED139" s="338" t="s">
        <v>197</v>
      </c>
      <c r="EE139" s="341">
        <v>4</v>
      </c>
      <c r="EF139" s="341">
        <v>140</v>
      </c>
      <c r="EG139" s="330"/>
      <c r="EH139" s="330"/>
      <c r="EI139" s="330"/>
      <c r="EJ139" s="330"/>
      <c r="EK139" s="330"/>
      <c r="EL139" s="330"/>
      <c r="EM139" s="330"/>
      <c r="EN139" s="330"/>
      <c r="EO139" s="330"/>
      <c r="EP139" s="330"/>
      <c r="EQ139" s="332" t="s">
        <v>244</v>
      </c>
      <c r="ER139" s="330"/>
      <c r="ES139" s="330"/>
      <c r="ET139" s="332" t="s">
        <v>245</v>
      </c>
      <c r="EU139" s="332" t="s">
        <v>246</v>
      </c>
      <c r="EV139" s="336">
        <v>45995</v>
      </c>
      <c r="EW139" s="336">
        <v>45995</v>
      </c>
      <c r="EX139" s="330">
        <v>1</v>
      </c>
      <c r="EY139" s="330"/>
      <c r="EZ139" s="330" t="s">
        <v>201</v>
      </c>
      <c r="FA139" s="336">
        <v>46032</v>
      </c>
      <c r="FB139" s="330">
        <v>2</v>
      </c>
      <c r="FC139" s="330" t="s">
        <v>202</v>
      </c>
      <c r="FD139" s="332" t="s">
        <v>190</v>
      </c>
      <c r="FE139" s="336">
        <v>46035</v>
      </c>
      <c r="FF139" s="330"/>
      <c r="FG139" s="330" t="s">
        <v>203</v>
      </c>
      <c r="FH139" s="330" t="s">
        <v>260</v>
      </c>
      <c r="FI139" s="330" t="s">
        <v>204</v>
      </c>
      <c r="FJ139" s="330"/>
      <c r="FK139" s="330" t="s">
        <v>230</v>
      </c>
      <c r="FL139" s="330" t="s">
        <v>192</v>
      </c>
      <c r="FM139" s="330" t="s">
        <v>191</v>
      </c>
      <c r="FN139" s="330" t="s">
        <v>1466</v>
      </c>
      <c r="FO139" s="330"/>
      <c r="FP139" s="330" t="s">
        <v>864</v>
      </c>
      <c r="FQ139" s="330"/>
      <c r="FR139" s="330"/>
      <c r="FS139" s="330"/>
      <c r="FT139" s="330"/>
      <c r="FU139" s="330"/>
    </row>
    <row r="140" spans="1:177" ht="89.25" x14ac:dyDescent="0.25">
      <c r="A140" s="330">
        <v>139</v>
      </c>
      <c r="B140" s="331" t="s">
        <v>1467</v>
      </c>
      <c r="C140" s="330"/>
      <c r="D140" s="332" t="s">
        <v>228</v>
      </c>
      <c r="E140" s="332" t="s">
        <v>229</v>
      </c>
      <c r="F140" s="332" t="s">
        <v>230</v>
      </c>
      <c r="G140" s="330" t="s">
        <v>231</v>
      </c>
      <c r="H140" s="331">
        <v>400</v>
      </c>
      <c r="I140" s="330"/>
      <c r="J140" s="332" t="s">
        <v>530</v>
      </c>
      <c r="K140" s="332" t="s">
        <v>379</v>
      </c>
      <c r="L140" s="330" t="s">
        <v>284</v>
      </c>
      <c r="M140" s="332" t="s">
        <v>1468</v>
      </c>
      <c r="N140" s="330" t="s">
        <v>1469</v>
      </c>
      <c r="O140" s="339">
        <v>0.61936890180610304</v>
      </c>
      <c r="P140" s="333">
        <v>11934</v>
      </c>
      <c r="Q140" s="333">
        <v>19268</v>
      </c>
      <c r="R140" s="333">
        <v>48</v>
      </c>
      <c r="S140" s="333">
        <v>48</v>
      </c>
      <c r="T140" s="333">
        <v>6</v>
      </c>
      <c r="U140" s="333">
        <v>350</v>
      </c>
      <c r="V140" s="333">
        <v>800</v>
      </c>
      <c r="W140" s="330">
        <v>46</v>
      </c>
      <c r="X140" s="330" t="s">
        <v>1470</v>
      </c>
      <c r="Y140" s="332" t="s">
        <v>351</v>
      </c>
      <c r="Z140" s="330" t="s">
        <v>215</v>
      </c>
      <c r="AA140" s="330" t="s">
        <v>352</v>
      </c>
      <c r="AB140" s="330" t="s">
        <v>189</v>
      </c>
      <c r="AC140" s="330"/>
      <c r="AD140" s="330"/>
      <c r="AE140" s="330">
        <v>64</v>
      </c>
      <c r="AF140" s="330">
        <v>-64</v>
      </c>
      <c r="AG140" s="332" t="s">
        <v>238</v>
      </c>
      <c r="AH140" s="332" t="s">
        <v>191</v>
      </c>
      <c r="AI140" s="330" t="s">
        <v>192</v>
      </c>
      <c r="AJ140" s="330" t="s">
        <v>192</v>
      </c>
      <c r="AK140" s="330"/>
      <c r="AL140" s="330" t="s">
        <v>192</v>
      </c>
      <c r="AM140" s="330" t="s">
        <v>191</v>
      </c>
      <c r="AN140" s="330" t="s">
        <v>192</v>
      </c>
      <c r="AO140" s="330"/>
      <c r="AP140" s="332" t="s">
        <v>259</v>
      </c>
      <c r="AQ140" s="330"/>
      <c r="AR140" s="330"/>
      <c r="AS140" s="330" t="b">
        <v>1</v>
      </c>
      <c r="AT140" s="330"/>
      <c r="AU140" s="332" t="s">
        <v>192</v>
      </c>
      <c r="AV140" s="334">
        <v>45951.612839583337</v>
      </c>
      <c r="AW140" s="330"/>
      <c r="AX140" s="335">
        <v>46022</v>
      </c>
      <c r="AY140" s="336">
        <v>46003</v>
      </c>
      <c r="AZ140" s="330"/>
      <c r="BA140" s="336">
        <v>46041</v>
      </c>
      <c r="BB140" s="330"/>
      <c r="BC140" s="336">
        <v>46043</v>
      </c>
      <c r="BD140" s="330"/>
      <c r="BE140" s="336">
        <v>46043</v>
      </c>
      <c r="BF140" s="330"/>
      <c r="BG140" s="330"/>
      <c r="BH140" s="330" t="s">
        <v>193</v>
      </c>
      <c r="BI140" s="330">
        <v>1000</v>
      </c>
      <c r="BJ140" s="330"/>
      <c r="BK140" s="330"/>
      <c r="BL140" s="330"/>
      <c r="BM140" s="332"/>
      <c r="BN140" s="330"/>
      <c r="BO140" s="330" t="s">
        <v>240</v>
      </c>
      <c r="BP140" s="330" t="s">
        <v>193</v>
      </c>
      <c r="BQ140" s="330" t="s">
        <v>218</v>
      </c>
      <c r="BR140" s="330" t="s">
        <v>220</v>
      </c>
      <c r="BS140" s="330"/>
      <c r="BT140" s="330" t="s">
        <v>220</v>
      </c>
      <c r="BU140" s="330"/>
      <c r="BV140" s="330" t="s">
        <v>220</v>
      </c>
      <c r="BW140" s="330"/>
      <c r="BX140" s="332"/>
      <c r="BY140" s="330"/>
      <c r="BZ140" s="330"/>
      <c r="CA140" s="330"/>
      <c r="CB140" s="330"/>
      <c r="CC140" s="337" t="s">
        <v>241</v>
      </c>
      <c r="CD140" s="330" t="b">
        <v>1</v>
      </c>
      <c r="CE140" s="330" t="b">
        <v>1</v>
      </c>
      <c r="CF140" s="330" t="b">
        <v>1</v>
      </c>
      <c r="CG140" s="330" t="s">
        <v>242</v>
      </c>
      <c r="CH140" s="330"/>
      <c r="CI140" s="330"/>
      <c r="CJ140" s="330"/>
      <c r="CK140" s="330"/>
      <c r="CL140" s="330"/>
      <c r="CM140" s="330"/>
      <c r="CN140" s="330"/>
      <c r="CO140" s="330"/>
      <c r="CP140" s="330"/>
      <c r="CQ140" s="330"/>
      <c r="CR140" s="330"/>
      <c r="CS140" s="330"/>
      <c r="CT140" s="330"/>
      <c r="CU140" s="330"/>
      <c r="CV140" s="330"/>
      <c r="CW140" s="330"/>
      <c r="CX140" s="330"/>
      <c r="CY140" s="330"/>
      <c r="CZ140" s="330"/>
      <c r="DA140" s="330"/>
      <c r="DB140" s="330" t="b">
        <v>1</v>
      </c>
      <c r="DC140" s="330" t="b">
        <v>1</v>
      </c>
      <c r="DD140" s="330"/>
      <c r="DE140" s="330"/>
      <c r="DF140" s="338">
        <v>24051</v>
      </c>
      <c r="DG140" s="330" t="s">
        <v>221</v>
      </c>
      <c r="DH140" s="330"/>
      <c r="DI140" s="338">
        <v>53</v>
      </c>
      <c r="DJ140" s="330"/>
      <c r="DK140" s="330">
        <v>53</v>
      </c>
      <c r="DL140" s="330" t="s">
        <v>243</v>
      </c>
      <c r="DM140" s="330"/>
      <c r="DN140" s="330"/>
      <c r="DO140" s="330"/>
      <c r="DP140" s="330"/>
      <c r="DQ140" s="338" t="s">
        <v>197</v>
      </c>
      <c r="DR140" s="330"/>
      <c r="DS140" s="330"/>
      <c r="DT140" s="330"/>
      <c r="DU140" s="338" t="s">
        <v>197</v>
      </c>
      <c r="DV140" s="330"/>
      <c r="DW140" s="330"/>
      <c r="DX140" s="330"/>
      <c r="DY140" s="338" t="s">
        <v>197</v>
      </c>
      <c r="DZ140" s="330"/>
      <c r="EA140" s="330"/>
      <c r="EB140" s="330"/>
      <c r="EC140" s="330" t="s">
        <v>197</v>
      </c>
      <c r="ED140" s="338" t="s">
        <v>197</v>
      </c>
      <c r="EE140" s="330">
        <v>4</v>
      </c>
      <c r="EF140" s="330">
        <v>80</v>
      </c>
      <c r="EG140" s="330"/>
      <c r="EH140" s="330"/>
      <c r="EI140" s="330"/>
      <c r="EJ140" s="330"/>
      <c r="EK140" s="330"/>
      <c r="EL140" s="330"/>
      <c r="EM140" s="330"/>
      <c r="EN140" s="330"/>
      <c r="EO140" s="330"/>
      <c r="EP140" s="330"/>
      <c r="EQ140" s="332" t="s">
        <v>244</v>
      </c>
      <c r="ER140" s="330"/>
      <c r="ES140" s="330"/>
      <c r="ET140" s="332" t="s">
        <v>245</v>
      </c>
      <c r="EU140" s="332" t="s">
        <v>246</v>
      </c>
      <c r="EV140" s="336">
        <v>46002</v>
      </c>
      <c r="EW140" s="336">
        <v>46003</v>
      </c>
      <c r="EX140" s="330">
        <v>2</v>
      </c>
      <c r="EY140" s="330"/>
      <c r="EZ140" s="330" t="s">
        <v>201</v>
      </c>
      <c r="FA140" s="336">
        <v>46037</v>
      </c>
      <c r="FB140" s="330">
        <v>5</v>
      </c>
      <c r="FC140" s="330" t="s">
        <v>202</v>
      </c>
      <c r="FD140" s="332" t="s">
        <v>190</v>
      </c>
      <c r="FE140" s="336">
        <v>46043</v>
      </c>
      <c r="FF140" s="330"/>
      <c r="FG140" s="330" t="s">
        <v>203</v>
      </c>
      <c r="FH140" s="330" t="s">
        <v>385</v>
      </c>
      <c r="FI140" s="330" t="s">
        <v>204</v>
      </c>
      <c r="FJ140" s="330"/>
      <c r="FK140" s="330" t="s">
        <v>230</v>
      </c>
      <c r="FL140" s="330" t="s">
        <v>192</v>
      </c>
      <c r="FM140" s="330" t="s">
        <v>191</v>
      </c>
      <c r="FN140" s="330" t="s">
        <v>1471</v>
      </c>
      <c r="FO140" s="330"/>
      <c r="FP140" s="330" t="s">
        <v>344</v>
      </c>
      <c r="FQ140" s="330"/>
      <c r="FR140" s="330"/>
      <c r="FS140" s="330"/>
      <c r="FT140" s="330"/>
      <c r="FU140" s="330"/>
    </row>
    <row r="141" spans="1:177" ht="127.5" x14ac:dyDescent="0.25">
      <c r="A141" s="330">
        <v>140</v>
      </c>
      <c r="B141" s="331" t="s">
        <v>1472</v>
      </c>
      <c r="C141" s="330"/>
      <c r="D141" s="332" t="s">
        <v>228</v>
      </c>
      <c r="E141" s="332" t="s">
        <v>229</v>
      </c>
      <c r="F141" s="332" t="s">
        <v>230</v>
      </c>
      <c r="G141" s="330" t="s">
        <v>231</v>
      </c>
      <c r="H141" s="331">
        <v>400</v>
      </c>
      <c r="I141" s="330"/>
      <c r="J141" s="332" t="s">
        <v>388</v>
      </c>
      <c r="K141" s="332" t="s">
        <v>408</v>
      </c>
      <c r="L141" s="330" t="s">
        <v>284</v>
      </c>
      <c r="M141" s="332" t="s">
        <v>1473</v>
      </c>
      <c r="N141" s="330" t="s">
        <v>1474</v>
      </c>
      <c r="O141" s="339">
        <v>0.58594560930039397</v>
      </c>
      <c r="P141" s="333">
        <v>11290</v>
      </c>
      <c r="Q141" s="333">
        <v>19268</v>
      </c>
      <c r="R141" s="333">
        <v>210</v>
      </c>
      <c r="S141" s="333">
        <v>210</v>
      </c>
      <c r="T141" s="333">
        <v>9</v>
      </c>
      <c r="U141" s="333">
        <v>1442</v>
      </c>
      <c r="V141" s="333">
        <v>1900</v>
      </c>
      <c r="W141" s="330" t="s">
        <v>1475</v>
      </c>
      <c r="X141" s="330" t="s">
        <v>1476</v>
      </c>
      <c r="Y141" s="332" t="s">
        <v>351</v>
      </c>
      <c r="Z141" s="330" t="s">
        <v>215</v>
      </c>
      <c r="AA141" s="330" t="s">
        <v>352</v>
      </c>
      <c r="AB141" s="330" t="s">
        <v>189</v>
      </c>
      <c r="AC141" s="330"/>
      <c r="AD141" s="330"/>
      <c r="AE141" s="330">
        <v>62</v>
      </c>
      <c r="AF141" s="330">
        <v>-70</v>
      </c>
      <c r="AG141" s="332" t="s">
        <v>238</v>
      </c>
      <c r="AH141" s="332" t="s">
        <v>191</v>
      </c>
      <c r="AI141" s="330" t="s">
        <v>192</v>
      </c>
      <c r="AJ141" s="330" t="s">
        <v>192</v>
      </c>
      <c r="AK141" s="330" t="s">
        <v>192</v>
      </c>
      <c r="AL141" s="330" t="s">
        <v>192</v>
      </c>
      <c r="AM141" s="330" t="s">
        <v>191</v>
      </c>
      <c r="AN141" s="330" t="s">
        <v>192</v>
      </c>
      <c r="AO141" s="330"/>
      <c r="AP141" s="332" t="s">
        <v>259</v>
      </c>
      <c r="AQ141" s="330"/>
      <c r="AR141" s="330"/>
      <c r="AS141" s="330" t="b">
        <v>1</v>
      </c>
      <c r="AT141" s="330"/>
      <c r="AU141" s="332" t="s">
        <v>192</v>
      </c>
      <c r="AV141" s="334">
        <v>45951.457170798611</v>
      </c>
      <c r="AW141" s="330"/>
      <c r="AX141" s="335">
        <v>46014</v>
      </c>
      <c r="AY141" s="336">
        <v>45995</v>
      </c>
      <c r="AZ141" s="330"/>
      <c r="BA141" s="336">
        <v>46031</v>
      </c>
      <c r="BB141" s="330"/>
      <c r="BC141" s="336">
        <v>46035</v>
      </c>
      <c r="BD141" s="330"/>
      <c r="BE141" s="336">
        <v>46035</v>
      </c>
      <c r="BF141" s="330"/>
      <c r="BG141" s="330"/>
      <c r="BH141" s="330" t="s">
        <v>193</v>
      </c>
      <c r="BI141" s="330">
        <v>1000</v>
      </c>
      <c r="BJ141" s="330"/>
      <c r="BK141" s="330"/>
      <c r="BL141" s="330"/>
      <c r="BM141" s="332"/>
      <c r="BN141" s="330"/>
      <c r="BO141" s="330" t="s">
        <v>240</v>
      </c>
      <c r="BP141" s="330" t="s">
        <v>193</v>
      </c>
      <c r="BQ141" s="330" t="s">
        <v>218</v>
      </c>
      <c r="BR141" s="330" t="s">
        <v>220</v>
      </c>
      <c r="BS141" s="330"/>
      <c r="BT141" s="330" t="s">
        <v>220</v>
      </c>
      <c r="BU141" s="330"/>
      <c r="BV141" s="330" t="s">
        <v>220</v>
      </c>
      <c r="BW141" s="330"/>
      <c r="BX141" s="332"/>
      <c r="BY141" s="330"/>
      <c r="BZ141" s="330"/>
      <c r="CA141" s="330"/>
      <c r="CB141" s="330"/>
      <c r="CC141" s="337" t="s">
        <v>241</v>
      </c>
      <c r="CD141" s="330" t="b">
        <v>1</v>
      </c>
      <c r="CE141" s="330" t="b">
        <v>1</v>
      </c>
      <c r="CF141" s="330" t="b">
        <v>1</v>
      </c>
      <c r="CG141" s="330" t="s">
        <v>242</v>
      </c>
      <c r="CH141" s="330"/>
      <c r="CI141" s="330"/>
      <c r="CJ141" s="330"/>
      <c r="CK141" s="330"/>
      <c r="CL141" s="330"/>
      <c r="CM141" s="330"/>
      <c r="CN141" s="330"/>
      <c r="CO141" s="330"/>
      <c r="CP141" s="330"/>
      <c r="CQ141" s="330"/>
      <c r="CR141" s="330"/>
      <c r="CS141" s="330"/>
      <c r="CT141" s="330"/>
      <c r="CU141" s="330"/>
      <c r="CV141" s="330"/>
      <c r="CW141" s="330"/>
      <c r="CX141" s="330"/>
      <c r="CY141" s="330"/>
      <c r="CZ141" s="330"/>
      <c r="DA141" s="330"/>
      <c r="DB141" s="330" t="b">
        <v>1</v>
      </c>
      <c r="DC141" s="330" t="b">
        <v>1</v>
      </c>
      <c r="DD141" s="330"/>
      <c r="DE141" s="330"/>
      <c r="DF141" s="338">
        <v>24051</v>
      </c>
      <c r="DG141" s="330" t="s">
        <v>221</v>
      </c>
      <c r="DH141" s="330"/>
      <c r="DI141" s="338">
        <v>52</v>
      </c>
      <c r="DJ141" s="330"/>
      <c r="DK141" s="330">
        <v>52</v>
      </c>
      <c r="DL141" s="330" t="s">
        <v>243</v>
      </c>
      <c r="DM141" s="330"/>
      <c r="DN141" s="330"/>
      <c r="DO141" s="330"/>
      <c r="DP141" s="330"/>
      <c r="DQ141" s="338" t="s">
        <v>197</v>
      </c>
      <c r="DR141" s="330"/>
      <c r="DS141" s="330"/>
      <c r="DT141" s="330"/>
      <c r="DU141" s="338" t="s">
        <v>197</v>
      </c>
      <c r="DV141" s="330"/>
      <c r="DW141" s="330"/>
      <c r="DX141" s="330"/>
      <c r="DY141" s="338" t="s">
        <v>197</v>
      </c>
      <c r="DZ141" s="330"/>
      <c r="EA141" s="330"/>
      <c r="EB141" s="330"/>
      <c r="EC141" s="330" t="s">
        <v>197</v>
      </c>
      <c r="ED141" s="338" t="s">
        <v>197</v>
      </c>
      <c r="EE141" s="341">
        <v>12</v>
      </c>
      <c r="EF141" s="341">
        <v>320</v>
      </c>
      <c r="EG141" s="330"/>
      <c r="EH141" s="330"/>
      <c r="EI141" s="330"/>
      <c r="EJ141" s="330"/>
      <c r="EK141" s="330"/>
      <c r="EL141" s="330"/>
      <c r="EM141" s="330"/>
      <c r="EN141" s="330"/>
      <c r="EO141" s="330"/>
      <c r="EP141" s="330"/>
      <c r="EQ141" s="332" t="s">
        <v>244</v>
      </c>
      <c r="ER141" s="330"/>
      <c r="ES141" s="330"/>
      <c r="ET141" s="332" t="s">
        <v>245</v>
      </c>
      <c r="EU141" s="332" t="s">
        <v>246</v>
      </c>
      <c r="EV141" s="336">
        <v>45995</v>
      </c>
      <c r="EW141" s="336">
        <v>45995</v>
      </c>
      <c r="EX141" s="330">
        <v>1</v>
      </c>
      <c r="EY141" s="330"/>
      <c r="EZ141" s="330" t="s">
        <v>201</v>
      </c>
      <c r="FA141" s="336">
        <v>46034</v>
      </c>
      <c r="FB141" s="330">
        <v>2</v>
      </c>
      <c r="FC141" s="330" t="s">
        <v>202</v>
      </c>
      <c r="FD141" s="332" t="s">
        <v>190</v>
      </c>
      <c r="FE141" s="336">
        <v>46035</v>
      </c>
      <c r="FF141" s="330"/>
      <c r="FG141" s="330" t="s">
        <v>203</v>
      </c>
      <c r="FH141" s="330" t="s">
        <v>260</v>
      </c>
      <c r="FI141" s="330" t="s">
        <v>204</v>
      </c>
      <c r="FJ141" s="330"/>
      <c r="FK141" s="330" t="s">
        <v>230</v>
      </c>
      <c r="FL141" s="330" t="s">
        <v>192</v>
      </c>
      <c r="FM141" s="330" t="s">
        <v>191</v>
      </c>
      <c r="FN141" s="330" t="s">
        <v>1477</v>
      </c>
      <c r="FO141" s="330" t="b">
        <v>1</v>
      </c>
      <c r="FP141" s="330" t="s">
        <v>864</v>
      </c>
      <c r="FQ141" s="330"/>
      <c r="FR141" s="330"/>
      <c r="FS141" s="330"/>
      <c r="FT141" s="330"/>
      <c r="FU141" s="330"/>
    </row>
    <row r="142" spans="1:177" ht="102" x14ac:dyDescent="0.25">
      <c r="A142" s="330">
        <v>141</v>
      </c>
      <c r="B142" s="331" t="s">
        <v>1478</v>
      </c>
      <c r="C142" s="330"/>
      <c r="D142" s="332" t="s">
        <v>228</v>
      </c>
      <c r="E142" s="332" t="s">
        <v>229</v>
      </c>
      <c r="F142" s="332" t="s">
        <v>230</v>
      </c>
      <c r="G142" s="330" t="s">
        <v>231</v>
      </c>
      <c r="H142" s="331">
        <v>400</v>
      </c>
      <c r="I142" s="330"/>
      <c r="J142" s="332" t="s">
        <v>359</v>
      </c>
      <c r="K142" s="332" t="s">
        <v>1479</v>
      </c>
      <c r="L142" s="330" t="s">
        <v>284</v>
      </c>
      <c r="M142" s="332" t="s">
        <v>1480</v>
      </c>
      <c r="N142" s="330" t="s">
        <v>1481</v>
      </c>
      <c r="O142" s="339">
        <v>0.52683205314511095</v>
      </c>
      <c r="P142" s="333">
        <v>10151</v>
      </c>
      <c r="Q142" s="333">
        <v>19268</v>
      </c>
      <c r="R142" s="333">
        <v>26</v>
      </c>
      <c r="S142" s="333">
        <v>26</v>
      </c>
      <c r="T142" s="333">
        <v>3</v>
      </c>
      <c r="U142" s="333">
        <v>225</v>
      </c>
      <c r="V142" s="333">
        <v>150</v>
      </c>
      <c r="W142" s="330">
        <v>9</v>
      </c>
      <c r="X142" s="330" t="s">
        <v>1482</v>
      </c>
      <c r="Y142" s="332" t="s">
        <v>270</v>
      </c>
      <c r="Z142" s="330" t="s">
        <v>215</v>
      </c>
      <c r="AA142" s="330" t="s">
        <v>271</v>
      </c>
      <c r="AB142" s="330" t="s">
        <v>217</v>
      </c>
      <c r="AC142" s="330"/>
      <c r="AD142" s="330"/>
      <c r="AE142" s="330">
        <v>45</v>
      </c>
      <c r="AF142" s="330">
        <v>-106</v>
      </c>
      <c r="AG142" s="332" t="s">
        <v>238</v>
      </c>
      <c r="AH142" s="332" t="s">
        <v>191</v>
      </c>
      <c r="AI142" s="330"/>
      <c r="AJ142" s="330" t="s">
        <v>192</v>
      </c>
      <c r="AK142" s="330"/>
      <c r="AL142" s="330" t="s">
        <v>192</v>
      </c>
      <c r="AM142" s="330" t="s">
        <v>191</v>
      </c>
      <c r="AN142" s="330" t="s">
        <v>192</v>
      </c>
      <c r="AO142" s="330"/>
      <c r="AP142" s="332" t="s">
        <v>259</v>
      </c>
      <c r="AQ142" s="330"/>
      <c r="AR142" s="330"/>
      <c r="AS142" s="330" t="b">
        <v>1</v>
      </c>
      <c r="AT142" s="330"/>
      <c r="AU142" s="332" t="s">
        <v>192</v>
      </c>
      <c r="AV142" s="334">
        <v>45945.664150775461</v>
      </c>
      <c r="AW142" s="330" t="b">
        <v>1</v>
      </c>
      <c r="AX142" s="335">
        <v>45966</v>
      </c>
      <c r="AY142" s="336">
        <v>45960</v>
      </c>
      <c r="AZ142" s="330"/>
      <c r="BA142" s="336">
        <v>45981</v>
      </c>
      <c r="BB142" s="330"/>
      <c r="BC142" s="336">
        <v>45985</v>
      </c>
      <c r="BD142" s="330"/>
      <c r="BE142" s="336">
        <v>45985</v>
      </c>
      <c r="BF142" s="330"/>
      <c r="BG142" s="330"/>
      <c r="BH142" s="330" t="s">
        <v>193</v>
      </c>
      <c r="BI142" s="330">
        <v>500</v>
      </c>
      <c r="BJ142" s="330"/>
      <c r="BK142" s="330"/>
      <c r="BL142" s="330"/>
      <c r="BM142" s="332"/>
      <c r="BN142" s="330"/>
      <c r="BO142" s="330" t="s">
        <v>240</v>
      </c>
      <c r="BP142" s="330" t="s">
        <v>193</v>
      </c>
      <c r="BQ142" s="330" t="s">
        <v>218</v>
      </c>
      <c r="BR142" s="330" t="s">
        <v>220</v>
      </c>
      <c r="BS142" s="330"/>
      <c r="BT142" s="330" t="s">
        <v>220</v>
      </c>
      <c r="BU142" s="330"/>
      <c r="BV142" s="330" t="s">
        <v>220</v>
      </c>
      <c r="BW142" s="330"/>
      <c r="BX142" s="332"/>
      <c r="BY142" s="330"/>
      <c r="BZ142" s="330"/>
      <c r="CA142" s="330"/>
      <c r="CB142" s="330"/>
      <c r="CC142" s="337" t="s">
        <v>241</v>
      </c>
      <c r="CD142" s="330" t="b">
        <v>1</v>
      </c>
      <c r="CE142" s="330" t="b">
        <v>1</v>
      </c>
      <c r="CF142" s="330" t="b">
        <v>1</v>
      </c>
      <c r="CG142" s="330" t="s">
        <v>242</v>
      </c>
      <c r="CH142" s="330"/>
      <c r="CI142" s="330"/>
      <c r="CJ142" s="330"/>
      <c r="CK142" s="330"/>
      <c r="CL142" s="330"/>
      <c r="CM142" s="330"/>
      <c r="CN142" s="330"/>
      <c r="CO142" s="330"/>
      <c r="CP142" s="330"/>
      <c r="CQ142" s="330"/>
      <c r="CR142" s="330"/>
      <c r="CS142" s="330"/>
      <c r="CT142" s="330"/>
      <c r="CU142" s="330"/>
      <c r="CV142" s="330"/>
      <c r="CW142" s="330"/>
      <c r="CX142" s="330"/>
      <c r="CY142" s="330"/>
      <c r="CZ142" s="330"/>
      <c r="DA142" s="330"/>
      <c r="DB142" s="330" t="b">
        <v>1</v>
      </c>
      <c r="DC142" s="330" t="b">
        <v>1</v>
      </c>
      <c r="DD142" s="330"/>
      <c r="DE142" s="330"/>
      <c r="DF142" s="338">
        <v>24051</v>
      </c>
      <c r="DG142" s="330" t="s">
        <v>221</v>
      </c>
      <c r="DH142" s="330"/>
      <c r="DI142" s="338">
        <v>216</v>
      </c>
      <c r="DJ142" s="330"/>
      <c r="DK142" s="330">
        <v>216</v>
      </c>
      <c r="DL142" s="330" t="s">
        <v>243</v>
      </c>
      <c r="DM142" s="330"/>
      <c r="DN142" s="330"/>
      <c r="DO142" s="330"/>
      <c r="DP142" s="330"/>
      <c r="DQ142" s="338" t="s">
        <v>197</v>
      </c>
      <c r="DR142" s="330"/>
      <c r="DS142" s="330"/>
      <c r="DT142" s="330"/>
      <c r="DU142" s="338" t="s">
        <v>197</v>
      </c>
      <c r="DV142" s="330"/>
      <c r="DW142" s="330"/>
      <c r="DX142" s="330"/>
      <c r="DY142" s="338" t="s">
        <v>197</v>
      </c>
      <c r="DZ142" s="330"/>
      <c r="EA142" s="330"/>
      <c r="EB142" s="330"/>
      <c r="EC142" s="330" t="s">
        <v>197</v>
      </c>
      <c r="ED142" s="338" t="s">
        <v>197</v>
      </c>
      <c r="EE142" s="330">
        <v>8</v>
      </c>
      <c r="EF142" s="330">
        <v>40</v>
      </c>
      <c r="EG142" s="330"/>
      <c r="EH142" s="330"/>
      <c r="EI142" s="330"/>
      <c r="EJ142" s="330"/>
      <c r="EK142" s="330"/>
      <c r="EL142" s="330"/>
      <c r="EM142" s="330"/>
      <c r="EN142" s="330"/>
      <c r="EO142" s="330"/>
      <c r="EP142" s="330"/>
      <c r="EQ142" s="332" t="s">
        <v>244</v>
      </c>
      <c r="ER142" s="330"/>
      <c r="ES142" s="330"/>
      <c r="ET142" s="332" t="s">
        <v>245</v>
      </c>
      <c r="EU142" s="332" t="s">
        <v>246</v>
      </c>
      <c r="EV142" s="336">
        <v>45959</v>
      </c>
      <c r="EW142" s="336">
        <v>45959</v>
      </c>
      <c r="EX142" s="330">
        <v>1</v>
      </c>
      <c r="EY142" s="330"/>
      <c r="EZ142" s="330" t="s">
        <v>201</v>
      </c>
      <c r="FA142" s="336">
        <v>45976</v>
      </c>
      <c r="FB142" s="330">
        <v>1</v>
      </c>
      <c r="FC142" s="330" t="s">
        <v>202</v>
      </c>
      <c r="FD142" s="332" t="s">
        <v>190</v>
      </c>
      <c r="FE142" s="336">
        <v>45978</v>
      </c>
      <c r="FF142" s="330"/>
      <c r="FG142" s="330" t="s">
        <v>203</v>
      </c>
      <c r="FH142" s="330" t="s">
        <v>385</v>
      </c>
      <c r="FI142" s="330" t="s">
        <v>204</v>
      </c>
      <c r="FJ142" s="330"/>
      <c r="FK142" s="330" t="s">
        <v>230</v>
      </c>
      <c r="FL142" s="330" t="s">
        <v>192</v>
      </c>
      <c r="FM142" s="330" t="s">
        <v>191</v>
      </c>
      <c r="FN142" s="330" t="s">
        <v>1483</v>
      </c>
      <c r="FO142" s="330"/>
      <c r="FP142" s="330" t="s">
        <v>1003</v>
      </c>
      <c r="FQ142" s="330"/>
      <c r="FR142" s="330"/>
      <c r="FS142" s="330"/>
      <c r="FT142" s="330"/>
      <c r="FU142" s="330"/>
    </row>
    <row r="143" spans="1:177" ht="89.25" x14ac:dyDescent="0.25">
      <c r="A143" s="330">
        <v>142</v>
      </c>
      <c r="B143" s="331" t="s">
        <v>1484</v>
      </c>
      <c r="C143" s="330"/>
      <c r="D143" s="332" t="s">
        <v>635</v>
      </c>
      <c r="E143" s="332" t="s">
        <v>636</v>
      </c>
      <c r="F143" s="332" t="s">
        <v>610</v>
      </c>
      <c r="G143" s="330" t="s">
        <v>611</v>
      </c>
      <c r="H143" s="331"/>
      <c r="I143" s="330"/>
      <c r="J143" s="332" t="s">
        <v>1485</v>
      </c>
      <c r="K143" s="332" t="s">
        <v>1486</v>
      </c>
      <c r="L143" s="330" t="s">
        <v>637</v>
      </c>
      <c r="M143" s="332"/>
      <c r="N143" s="330" t="s">
        <v>1487</v>
      </c>
      <c r="O143" s="333" t="s">
        <v>184</v>
      </c>
      <c r="P143" s="333" t="s">
        <v>184</v>
      </c>
      <c r="Q143" s="333" t="s">
        <v>184</v>
      </c>
      <c r="R143" s="333">
        <v>0</v>
      </c>
      <c r="S143" s="333">
        <v>265</v>
      </c>
      <c r="T143" s="333">
        <v>3</v>
      </c>
      <c r="U143" s="333">
        <v>0</v>
      </c>
      <c r="V143" s="333">
        <v>0</v>
      </c>
      <c r="W143" s="330" t="s">
        <v>1488</v>
      </c>
      <c r="X143" s="330" t="s">
        <v>213</v>
      </c>
      <c r="Y143" s="332" t="s">
        <v>1489</v>
      </c>
      <c r="Z143" s="330" t="s">
        <v>739</v>
      </c>
      <c r="AA143" s="330" t="s">
        <v>1490</v>
      </c>
      <c r="AB143" s="330" t="s">
        <v>189</v>
      </c>
      <c r="AC143" s="330"/>
      <c r="AD143" s="330"/>
      <c r="AE143" s="330">
        <v>4</v>
      </c>
      <c r="AF143" s="330">
        <v>-57</v>
      </c>
      <c r="AG143" s="332" t="s">
        <v>190</v>
      </c>
      <c r="AH143" s="332" t="s">
        <v>191</v>
      </c>
      <c r="AI143" s="330"/>
      <c r="AJ143" s="330"/>
      <c r="AK143" s="330"/>
      <c r="AL143" s="330" t="s">
        <v>191</v>
      </c>
      <c r="AM143" s="330"/>
      <c r="AN143" s="330"/>
      <c r="AO143" s="330"/>
      <c r="AP143" s="332"/>
      <c r="AQ143" s="330"/>
      <c r="AR143" s="330"/>
      <c r="AS143" s="330"/>
      <c r="AT143" s="330"/>
      <c r="AU143" s="332" t="s">
        <v>191</v>
      </c>
      <c r="AV143" s="334">
        <v>45964.625808217592</v>
      </c>
      <c r="AW143" s="330"/>
      <c r="AX143" s="335">
        <v>46043</v>
      </c>
      <c r="AY143" s="336">
        <v>45978</v>
      </c>
      <c r="AZ143" s="330"/>
      <c r="BA143" s="336">
        <v>46050</v>
      </c>
      <c r="BB143" s="330"/>
      <c r="BC143" s="336">
        <v>46052</v>
      </c>
      <c r="BD143" s="330"/>
      <c r="BE143" s="336">
        <v>46052</v>
      </c>
      <c r="BF143" s="330"/>
      <c r="BG143" s="330"/>
      <c r="BH143" s="330" t="s">
        <v>220</v>
      </c>
      <c r="BI143" s="330">
        <v>60</v>
      </c>
      <c r="BJ143" s="336">
        <v>46024</v>
      </c>
      <c r="BK143" s="330"/>
      <c r="BL143" s="330"/>
      <c r="BM143" s="332"/>
      <c r="BN143" s="330"/>
      <c r="BO143" s="330"/>
      <c r="BP143" s="330"/>
      <c r="BQ143" s="330"/>
      <c r="BR143" s="330"/>
      <c r="BS143" s="330"/>
      <c r="BT143" s="330"/>
      <c r="BU143" s="330"/>
      <c r="BV143" s="330"/>
      <c r="BW143" s="330"/>
      <c r="BX143" s="332"/>
      <c r="BY143" s="330"/>
      <c r="BZ143" s="330"/>
      <c r="CA143" s="330"/>
      <c r="CB143" s="330"/>
      <c r="CC143" s="337" t="s">
        <v>943</v>
      </c>
      <c r="CD143" s="330"/>
      <c r="CE143" s="330" t="b">
        <v>1</v>
      </c>
      <c r="CF143" s="330"/>
      <c r="CG143" s="330"/>
      <c r="CH143" s="330"/>
      <c r="CI143" s="330"/>
      <c r="CJ143" s="330"/>
      <c r="CK143" s="330"/>
      <c r="CL143" s="330"/>
      <c r="CM143" s="330"/>
      <c r="CN143" s="330"/>
      <c r="CO143" s="330" t="b">
        <v>1</v>
      </c>
      <c r="CP143" s="330" t="b">
        <v>1</v>
      </c>
      <c r="CQ143" s="330"/>
      <c r="CR143" s="330"/>
      <c r="CS143" s="330"/>
      <c r="CT143" s="330"/>
      <c r="CU143" s="330"/>
      <c r="CV143" s="330"/>
      <c r="CW143" s="330"/>
      <c r="CX143" s="330"/>
      <c r="CY143" s="330"/>
      <c r="CZ143" s="330"/>
      <c r="DA143" s="330"/>
      <c r="DB143" s="330"/>
      <c r="DC143" s="330"/>
      <c r="DD143" s="330"/>
      <c r="DE143" s="330"/>
      <c r="DF143" s="338">
        <v>24030</v>
      </c>
      <c r="DG143" s="330" t="s">
        <v>764</v>
      </c>
      <c r="DH143" s="330"/>
      <c r="DI143" s="338" t="s">
        <v>638</v>
      </c>
      <c r="DJ143" s="330"/>
      <c r="DK143" s="330">
        <v>2</v>
      </c>
      <c r="DL143" s="330" t="s">
        <v>1484</v>
      </c>
      <c r="DM143" s="330"/>
      <c r="DN143" s="330"/>
      <c r="DO143" s="330"/>
      <c r="DP143" s="330"/>
      <c r="DQ143" s="338" t="s">
        <v>197</v>
      </c>
      <c r="DR143" s="330"/>
      <c r="DS143" s="330"/>
      <c r="DT143" s="330"/>
      <c r="DU143" s="338" t="s">
        <v>197</v>
      </c>
      <c r="DV143" s="330"/>
      <c r="DW143" s="330"/>
      <c r="DX143" s="330"/>
      <c r="DY143" s="338" t="s">
        <v>197</v>
      </c>
      <c r="DZ143" s="330"/>
      <c r="EA143" s="330"/>
      <c r="EB143" s="330"/>
      <c r="EC143" s="330" t="s">
        <v>197</v>
      </c>
      <c r="ED143" s="338" t="s">
        <v>197</v>
      </c>
      <c r="EE143" s="330">
        <v>8</v>
      </c>
      <c r="EF143" s="330">
        <v>32</v>
      </c>
      <c r="EG143" s="330"/>
      <c r="EH143" s="330"/>
      <c r="EI143" s="330"/>
      <c r="EJ143" s="330"/>
      <c r="EK143" s="330"/>
      <c r="EL143" s="330"/>
      <c r="EM143" s="330"/>
      <c r="EN143" s="330"/>
      <c r="EO143" s="330"/>
      <c r="EP143" s="330"/>
      <c r="EQ143" s="332" t="s">
        <v>321</v>
      </c>
      <c r="ER143" s="330"/>
      <c r="ES143" s="330"/>
      <c r="ET143" s="332"/>
      <c r="EU143" s="332" t="s">
        <v>199</v>
      </c>
      <c r="EV143" s="330"/>
      <c r="EW143" s="330"/>
      <c r="EX143" s="330" t="s">
        <v>200</v>
      </c>
      <c r="EY143" s="330"/>
      <c r="EZ143" s="330" t="s">
        <v>247</v>
      </c>
      <c r="FA143" s="330"/>
      <c r="FB143" s="330" t="s">
        <v>247</v>
      </c>
      <c r="FC143" s="330" t="s">
        <v>202</v>
      </c>
      <c r="FD143" s="332" t="s">
        <v>190</v>
      </c>
      <c r="FE143" s="330"/>
      <c r="FF143" s="330"/>
      <c r="FG143" s="330" t="s">
        <v>203</v>
      </c>
      <c r="FH143" s="330" t="s">
        <v>1491</v>
      </c>
      <c r="FI143" s="330" t="s">
        <v>204</v>
      </c>
      <c r="FJ143" s="330"/>
      <c r="FK143" s="330" t="s">
        <v>610</v>
      </c>
      <c r="FL143" s="330" t="s">
        <v>191</v>
      </c>
      <c r="FM143" s="330"/>
      <c r="FN143" s="330" t="s">
        <v>1492</v>
      </c>
      <c r="FO143" s="330" t="b">
        <v>1</v>
      </c>
      <c r="FP143" s="330" t="s">
        <v>226</v>
      </c>
      <c r="FQ143" s="330"/>
      <c r="FR143" s="330"/>
      <c r="FS143" s="330"/>
      <c r="FT143" s="330"/>
      <c r="FU143" s="330"/>
    </row>
    <row r="144" spans="1:177" ht="89.25" x14ac:dyDescent="0.25">
      <c r="A144" s="330">
        <v>143</v>
      </c>
      <c r="B144" s="331" t="s">
        <v>1493</v>
      </c>
      <c r="C144" s="330"/>
      <c r="D144" s="332" t="s">
        <v>228</v>
      </c>
      <c r="E144" s="332" t="s">
        <v>229</v>
      </c>
      <c r="F144" s="332" t="s">
        <v>230</v>
      </c>
      <c r="G144" s="330" t="s">
        <v>231</v>
      </c>
      <c r="H144" s="331">
        <v>400</v>
      </c>
      <c r="I144" s="330"/>
      <c r="J144" s="332" t="s">
        <v>1494</v>
      </c>
      <c r="K144" s="332" t="s">
        <v>1495</v>
      </c>
      <c r="L144" s="330" t="s">
        <v>284</v>
      </c>
      <c r="M144" s="332" t="s">
        <v>1496</v>
      </c>
      <c r="N144" s="330" t="s">
        <v>1497</v>
      </c>
      <c r="O144" s="339">
        <v>0.65523147187045905</v>
      </c>
      <c r="P144" s="333">
        <v>12625</v>
      </c>
      <c r="Q144" s="333">
        <v>19268</v>
      </c>
      <c r="R144" s="333">
        <v>2</v>
      </c>
      <c r="S144" s="333">
        <v>2</v>
      </c>
      <c r="T144" s="333">
        <v>2</v>
      </c>
      <c r="U144" s="333">
        <v>16</v>
      </c>
      <c r="V144" s="333">
        <v>8</v>
      </c>
      <c r="W144" s="330">
        <v>1</v>
      </c>
      <c r="X144" s="330" t="s">
        <v>1498</v>
      </c>
      <c r="Y144" s="332" t="s">
        <v>351</v>
      </c>
      <c r="Z144" s="330" t="s">
        <v>215</v>
      </c>
      <c r="AA144" s="330" t="s">
        <v>352</v>
      </c>
      <c r="AB144" s="330" t="s">
        <v>189</v>
      </c>
      <c r="AC144" s="330"/>
      <c r="AD144" s="330"/>
      <c r="AE144" s="330">
        <v>71</v>
      </c>
      <c r="AF144" s="330">
        <v>-48</v>
      </c>
      <c r="AG144" s="332" t="s">
        <v>238</v>
      </c>
      <c r="AH144" s="332" t="s">
        <v>191</v>
      </c>
      <c r="AI144" s="330" t="s">
        <v>192</v>
      </c>
      <c r="AJ144" s="330" t="s">
        <v>192</v>
      </c>
      <c r="AK144" s="330"/>
      <c r="AL144" s="330" t="s">
        <v>192</v>
      </c>
      <c r="AM144" s="330" t="s">
        <v>191</v>
      </c>
      <c r="AN144" s="330" t="s">
        <v>353</v>
      </c>
      <c r="AO144" s="330"/>
      <c r="AP144" s="332" t="s">
        <v>259</v>
      </c>
      <c r="AQ144" s="330"/>
      <c r="AR144" s="330"/>
      <c r="AS144" s="330" t="b">
        <v>1</v>
      </c>
      <c r="AT144" s="330"/>
      <c r="AU144" s="332" t="s">
        <v>353</v>
      </c>
      <c r="AV144" s="334">
        <v>46009.477560833337</v>
      </c>
      <c r="AW144" s="330"/>
      <c r="AX144" s="335">
        <v>46037</v>
      </c>
      <c r="AY144" s="336">
        <v>46045</v>
      </c>
      <c r="AZ144" s="330" t="b">
        <v>1</v>
      </c>
      <c r="BA144" s="336">
        <v>46063</v>
      </c>
      <c r="BB144" s="330"/>
      <c r="BC144" s="336">
        <v>46058</v>
      </c>
      <c r="BD144" s="330"/>
      <c r="BE144" s="336">
        <v>46058</v>
      </c>
      <c r="BF144" s="330"/>
      <c r="BG144" s="330"/>
      <c r="BH144" s="330" t="s">
        <v>193</v>
      </c>
      <c r="BI144" s="330">
        <v>1000</v>
      </c>
      <c r="BJ144" s="330"/>
      <c r="BK144" s="330"/>
      <c r="BL144" s="330"/>
      <c r="BM144" s="332"/>
      <c r="BN144" s="330"/>
      <c r="BO144" s="330" t="s">
        <v>240</v>
      </c>
      <c r="BP144" s="330" t="s">
        <v>193</v>
      </c>
      <c r="BQ144" s="330" t="s">
        <v>218</v>
      </c>
      <c r="BR144" s="330" t="s">
        <v>220</v>
      </c>
      <c r="BS144" s="330"/>
      <c r="BT144" s="330" t="s">
        <v>220</v>
      </c>
      <c r="BU144" s="330"/>
      <c r="BV144" s="330" t="s">
        <v>220</v>
      </c>
      <c r="BW144" s="330"/>
      <c r="BX144" s="332"/>
      <c r="BY144" s="330"/>
      <c r="BZ144" s="330"/>
      <c r="CA144" s="330"/>
      <c r="CB144" s="330"/>
      <c r="CC144" s="337" t="s">
        <v>241</v>
      </c>
      <c r="CD144" s="330" t="b">
        <v>1</v>
      </c>
      <c r="CE144" s="330" t="b">
        <v>1</v>
      </c>
      <c r="CF144" s="330" t="b">
        <v>1</v>
      </c>
      <c r="CG144" s="330" t="s">
        <v>242</v>
      </c>
      <c r="CH144" s="330"/>
      <c r="CI144" s="330"/>
      <c r="CJ144" s="330"/>
      <c r="CK144" s="330"/>
      <c r="CL144" s="330"/>
      <c r="CM144" s="330"/>
      <c r="CN144" s="330"/>
      <c r="CO144" s="330"/>
      <c r="CP144" s="330"/>
      <c r="CQ144" s="330"/>
      <c r="CR144" s="330"/>
      <c r="CS144" s="330"/>
      <c r="CT144" s="330"/>
      <c r="CU144" s="330"/>
      <c r="CV144" s="330"/>
      <c r="CW144" s="330"/>
      <c r="CX144" s="330"/>
      <c r="CY144" s="330"/>
      <c r="CZ144" s="330"/>
      <c r="DA144" s="330"/>
      <c r="DB144" s="330" t="b">
        <v>1</v>
      </c>
      <c r="DC144" s="330" t="b">
        <v>1</v>
      </c>
      <c r="DD144" s="330"/>
      <c r="DE144" s="330"/>
      <c r="DF144" s="338">
        <v>24051</v>
      </c>
      <c r="DG144" s="330" t="s">
        <v>221</v>
      </c>
      <c r="DH144" s="330"/>
      <c r="DI144" s="338" t="s">
        <v>1499</v>
      </c>
      <c r="DJ144" s="330"/>
      <c r="DK144" s="330">
        <v>0</v>
      </c>
      <c r="DL144" s="330" t="s">
        <v>243</v>
      </c>
      <c r="DM144" s="330"/>
      <c r="DN144" s="330"/>
      <c r="DO144" s="330"/>
      <c r="DP144" s="330"/>
      <c r="DQ144" s="338" t="s">
        <v>197</v>
      </c>
      <c r="DR144" s="330"/>
      <c r="DS144" s="330"/>
      <c r="DT144" s="330"/>
      <c r="DU144" s="338" t="s">
        <v>197</v>
      </c>
      <c r="DV144" s="330"/>
      <c r="DW144" s="330"/>
      <c r="DX144" s="330"/>
      <c r="DY144" s="338" t="s">
        <v>197</v>
      </c>
      <c r="DZ144" s="330"/>
      <c r="EA144" s="330"/>
      <c r="EB144" s="330"/>
      <c r="EC144" s="330" t="s">
        <v>197</v>
      </c>
      <c r="ED144" s="338" t="s">
        <v>197</v>
      </c>
      <c r="EE144" s="330">
        <v>1</v>
      </c>
      <c r="EF144" s="330">
        <v>1</v>
      </c>
      <c r="EG144" s="330"/>
      <c r="EH144" s="330"/>
      <c r="EI144" s="330"/>
      <c r="EJ144" s="330"/>
      <c r="EK144" s="330"/>
      <c r="EL144" s="330"/>
      <c r="EM144" s="330"/>
      <c r="EN144" s="330"/>
      <c r="EO144" s="330"/>
      <c r="EP144" s="330"/>
      <c r="EQ144" s="332" t="s">
        <v>244</v>
      </c>
      <c r="ER144" s="330"/>
      <c r="ES144" s="330"/>
      <c r="ET144" s="332" t="s">
        <v>245</v>
      </c>
      <c r="EU144" s="332" t="s">
        <v>246</v>
      </c>
      <c r="EV144" s="336">
        <v>46045</v>
      </c>
      <c r="EW144" s="336">
        <v>46045</v>
      </c>
      <c r="EX144" s="330">
        <v>1</v>
      </c>
      <c r="EY144" s="330"/>
      <c r="EZ144" s="330" t="s">
        <v>201</v>
      </c>
      <c r="FA144" s="336">
        <v>46055</v>
      </c>
      <c r="FB144" s="330">
        <v>2</v>
      </c>
      <c r="FC144" s="330" t="s">
        <v>202</v>
      </c>
      <c r="FD144" s="332" t="s">
        <v>190</v>
      </c>
      <c r="FE144" s="336">
        <v>46056</v>
      </c>
      <c r="FF144" s="330"/>
      <c r="FG144" s="330" t="s">
        <v>203</v>
      </c>
      <c r="FH144" s="330" t="s">
        <v>987</v>
      </c>
      <c r="FI144" s="330" t="s">
        <v>204</v>
      </c>
      <c r="FJ144" s="330"/>
      <c r="FK144" s="330" t="s">
        <v>230</v>
      </c>
      <c r="FL144" s="330" t="s">
        <v>192</v>
      </c>
      <c r="FM144" s="330" t="s">
        <v>191</v>
      </c>
      <c r="FN144" s="330" t="s">
        <v>1500</v>
      </c>
      <c r="FO144" s="330"/>
      <c r="FP144" s="330" t="s">
        <v>357</v>
      </c>
      <c r="FQ144" s="330"/>
      <c r="FR144" s="330"/>
      <c r="FS144" s="330"/>
      <c r="FT144" s="330"/>
      <c r="FU144" s="330"/>
    </row>
    <row r="145" spans="1:177" ht="38.25" x14ac:dyDescent="0.25">
      <c r="A145" s="330">
        <v>144</v>
      </c>
      <c r="B145" s="331" t="s">
        <v>1501</v>
      </c>
      <c r="C145" s="330"/>
      <c r="D145" s="332" t="s">
        <v>228</v>
      </c>
      <c r="E145" s="332" t="s">
        <v>229</v>
      </c>
      <c r="F145" s="332" t="s">
        <v>230</v>
      </c>
      <c r="G145" s="330" t="s">
        <v>231</v>
      </c>
      <c r="H145" s="331">
        <v>400</v>
      </c>
      <c r="I145" s="330"/>
      <c r="J145" s="332"/>
      <c r="K145" s="332" t="s">
        <v>1502</v>
      </c>
      <c r="L145" s="330"/>
      <c r="M145" s="332"/>
      <c r="N145" s="330" t="s">
        <v>1503</v>
      </c>
      <c r="O145" s="339">
        <v>0.41021382603280099</v>
      </c>
      <c r="P145" s="333">
        <v>7904</v>
      </c>
      <c r="Q145" s="333">
        <v>19268</v>
      </c>
      <c r="R145" s="333">
        <v>169</v>
      </c>
      <c r="S145" s="333">
        <v>169</v>
      </c>
      <c r="T145" s="333">
        <v>4</v>
      </c>
      <c r="U145" s="333">
        <v>1183</v>
      </c>
      <c r="V145" s="333">
        <v>1800</v>
      </c>
      <c r="W145" s="330" t="s">
        <v>1504</v>
      </c>
      <c r="X145" s="330" t="s">
        <v>1505</v>
      </c>
      <c r="Y145" s="332" t="s">
        <v>383</v>
      </c>
      <c r="Z145" s="330" t="s">
        <v>215</v>
      </c>
      <c r="AA145" s="330" t="s">
        <v>384</v>
      </c>
      <c r="AB145" s="330" t="s">
        <v>189</v>
      </c>
      <c r="AC145" s="330"/>
      <c r="AD145" s="330"/>
      <c r="AE145" s="330">
        <v>10</v>
      </c>
      <c r="AF145" s="330">
        <v>-231</v>
      </c>
      <c r="AG145" s="332" t="s">
        <v>238</v>
      </c>
      <c r="AH145" s="332" t="s">
        <v>191</v>
      </c>
      <c r="AI145" s="330" t="s">
        <v>192</v>
      </c>
      <c r="AJ145" s="330" t="s">
        <v>192</v>
      </c>
      <c r="AK145" s="330"/>
      <c r="AL145" s="330" t="s">
        <v>192</v>
      </c>
      <c r="AM145" s="330" t="s">
        <v>191</v>
      </c>
      <c r="AN145" s="330" t="s">
        <v>192</v>
      </c>
      <c r="AO145" s="330"/>
      <c r="AP145" s="332" t="s">
        <v>239</v>
      </c>
      <c r="AQ145" s="330"/>
      <c r="AR145" s="330"/>
      <c r="AS145" s="330" t="b">
        <v>1</v>
      </c>
      <c r="AT145" s="330"/>
      <c r="AU145" s="332" t="s">
        <v>192</v>
      </c>
      <c r="AV145" s="334">
        <v>45751.594140729168</v>
      </c>
      <c r="AW145" s="330"/>
      <c r="AX145" s="335">
        <v>45789</v>
      </c>
      <c r="AY145" s="336">
        <v>45762</v>
      </c>
      <c r="AZ145" s="330"/>
      <c r="BA145" s="336">
        <v>45806</v>
      </c>
      <c r="BB145" s="330"/>
      <c r="BC145" s="336">
        <v>45810</v>
      </c>
      <c r="BD145" s="330"/>
      <c r="BE145" s="336">
        <v>45810</v>
      </c>
      <c r="BF145" s="330"/>
      <c r="BG145" s="330"/>
      <c r="BH145" s="330" t="s">
        <v>193</v>
      </c>
      <c r="BI145" s="330">
        <v>1000</v>
      </c>
      <c r="BJ145" s="330"/>
      <c r="BK145" s="330"/>
      <c r="BL145" s="330"/>
      <c r="BM145" s="332"/>
      <c r="BN145" s="330"/>
      <c r="BO145" s="330" t="s">
        <v>240</v>
      </c>
      <c r="BP145" s="330" t="s">
        <v>193</v>
      </c>
      <c r="BQ145" s="330" t="s">
        <v>218</v>
      </c>
      <c r="BR145" s="330" t="s">
        <v>220</v>
      </c>
      <c r="BS145" s="330"/>
      <c r="BT145" s="330" t="s">
        <v>220</v>
      </c>
      <c r="BU145" s="330"/>
      <c r="BV145" s="330" t="s">
        <v>220</v>
      </c>
      <c r="BW145" s="330"/>
      <c r="BX145" s="332"/>
      <c r="BY145" s="330"/>
      <c r="BZ145" s="330"/>
      <c r="CA145" s="330"/>
      <c r="CB145" s="330"/>
      <c r="CC145" s="337" t="s">
        <v>241</v>
      </c>
      <c r="CD145" s="330" t="b">
        <v>1</v>
      </c>
      <c r="CE145" s="330" t="b">
        <v>1</v>
      </c>
      <c r="CF145" s="330" t="b">
        <v>1</v>
      </c>
      <c r="CG145" s="330" t="s">
        <v>242</v>
      </c>
      <c r="CH145" s="330"/>
      <c r="CI145" s="330"/>
      <c r="CJ145" s="330"/>
      <c r="CK145" s="330"/>
      <c r="CL145" s="330"/>
      <c r="CM145" s="330"/>
      <c r="CN145" s="330"/>
      <c r="CO145" s="330"/>
      <c r="CP145" s="330"/>
      <c r="CQ145" s="330"/>
      <c r="CR145" s="330"/>
      <c r="CS145" s="330"/>
      <c r="CT145" s="330"/>
      <c r="CU145" s="330"/>
      <c r="CV145" s="330"/>
      <c r="CW145" s="330"/>
      <c r="CX145" s="330"/>
      <c r="CY145" s="330"/>
      <c r="CZ145" s="330"/>
      <c r="DA145" s="330"/>
      <c r="DB145" s="330" t="b">
        <v>1</v>
      </c>
      <c r="DC145" s="330" t="b">
        <v>1</v>
      </c>
      <c r="DD145" s="330"/>
      <c r="DE145" s="330"/>
      <c r="DF145" s="338">
        <v>24051</v>
      </c>
      <c r="DG145" s="330" t="s">
        <v>221</v>
      </c>
      <c r="DH145" s="330"/>
      <c r="DI145" s="338">
        <v>26</v>
      </c>
      <c r="DJ145" s="330"/>
      <c r="DK145" s="330">
        <v>26</v>
      </c>
      <c r="DL145" s="330" t="s">
        <v>243</v>
      </c>
      <c r="DM145" s="330"/>
      <c r="DN145" s="330"/>
      <c r="DO145" s="330"/>
      <c r="DP145" s="330"/>
      <c r="DQ145" s="338" t="s">
        <v>197</v>
      </c>
      <c r="DR145" s="330"/>
      <c r="DS145" s="330"/>
      <c r="DT145" s="330"/>
      <c r="DU145" s="338" t="s">
        <v>197</v>
      </c>
      <c r="DV145" s="330"/>
      <c r="DW145" s="330"/>
      <c r="DX145" s="330"/>
      <c r="DY145" s="338" t="s">
        <v>197</v>
      </c>
      <c r="DZ145" s="330"/>
      <c r="EA145" s="330"/>
      <c r="EB145" s="330"/>
      <c r="EC145" s="330" t="s">
        <v>197</v>
      </c>
      <c r="ED145" s="338" t="s">
        <v>197</v>
      </c>
      <c r="EE145" s="330">
        <v>4</v>
      </c>
      <c r="EF145" s="330">
        <v>300</v>
      </c>
      <c r="EG145" s="330"/>
      <c r="EH145" s="330"/>
      <c r="EI145" s="330"/>
      <c r="EJ145" s="330"/>
      <c r="EK145" s="330"/>
      <c r="EL145" s="330"/>
      <c r="EM145" s="330"/>
      <c r="EN145" s="330"/>
      <c r="EO145" s="330"/>
      <c r="EP145" s="330"/>
      <c r="EQ145" s="332" t="s">
        <v>244</v>
      </c>
      <c r="ER145" s="330"/>
      <c r="ES145" s="330"/>
      <c r="ET145" s="332" t="s">
        <v>245</v>
      </c>
      <c r="EU145" s="332" t="s">
        <v>246</v>
      </c>
      <c r="EV145" s="336">
        <v>45761</v>
      </c>
      <c r="EW145" s="336">
        <v>45761</v>
      </c>
      <c r="EX145" s="330">
        <v>1</v>
      </c>
      <c r="EY145" s="330"/>
      <c r="EZ145" s="330" t="s">
        <v>201</v>
      </c>
      <c r="FA145" s="336">
        <v>45810</v>
      </c>
      <c r="FB145" s="330">
        <v>1</v>
      </c>
      <c r="FC145" s="330" t="s">
        <v>202</v>
      </c>
      <c r="FD145" s="332" t="s">
        <v>190</v>
      </c>
      <c r="FE145" s="336">
        <v>45810</v>
      </c>
      <c r="FF145" s="330"/>
      <c r="FG145" s="330" t="s">
        <v>203</v>
      </c>
      <c r="FH145" s="330" t="s">
        <v>1506</v>
      </c>
      <c r="FI145" s="330" t="s">
        <v>204</v>
      </c>
      <c r="FJ145" s="330"/>
      <c r="FK145" s="330" t="s">
        <v>230</v>
      </c>
      <c r="FL145" s="330" t="s">
        <v>192</v>
      </c>
      <c r="FM145" s="330" t="s">
        <v>191</v>
      </c>
      <c r="FN145" s="330" t="s">
        <v>1507</v>
      </c>
      <c r="FO145" s="330"/>
      <c r="FP145" s="330" t="s">
        <v>1405</v>
      </c>
      <c r="FQ145" s="330"/>
      <c r="FR145" s="330"/>
      <c r="FS145" s="330"/>
      <c r="FT145" s="330"/>
      <c r="FU145" s="330"/>
    </row>
    <row r="146" spans="1:177" ht="38.25" x14ac:dyDescent="0.25">
      <c r="A146" s="330">
        <v>145</v>
      </c>
      <c r="B146" s="331" t="s">
        <v>1508</v>
      </c>
      <c r="C146" s="330"/>
      <c r="D146" s="332" t="s">
        <v>228</v>
      </c>
      <c r="E146" s="332" t="s">
        <v>229</v>
      </c>
      <c r="F146" s="332" t="s">
        <v>230</v>
      </c>
      <c r="G146" s="330" t="s">
        <v>231</v>
      </c>
      <c r="H146" s="331">
        <v>400</v>
      </c>
      <c r="I146" s="330"/>
      <c r="J146" s="332"/>
      <c r="K146" s="332" t="s">
        <v>1509</v>
      </c>
      <c r="L146" s="330" t="s">
        <v>284</v>
      </c>
      <c r="M146" s="332" t="s">
        <v>551</v>
      </c>
      <c r="N146" s="330" t="s">
        <v>1510</v>
      </c>
      <c r="O146" s="339">
        <v>0.74335686111687804</v>
      </c>
      <c r="P146" s="333">
        <v>14323</v>
      </c>
      <c r="Q146" s="333">
        <v>19268</v>
      </c>
      <c r="R146" s="333">
        <v>26</v>
      </c>
      <c r="S146" s="333">
        <v>26</v>
      </c>
      <c r="T146" s="333">
        <v>3</v>
      </c>
      <c r="U146" s="333">
        <v>182</v>
      </c>
      <c r="V146" s="333">
        <v>200</v>
      </c>
      <c r="W146" s="330">
        <v>3</v>
      </c>
      <c r="X146" s="330" t="s">
        <v>1511</v>
      </c>
      <c r="Y146" s="332" t="s">
        <v>351</v>
      </c>
      <c r="Z146" s="330" t="s">
        <v>215</v>
      </c>
      <c r="AA146" s="330" t="s">
        <v>352</v>
      </c>
      <c r="AB146" s="330" t="s">
        <v>189</v>
      </c>
      <c r="AC146" s="330"/>
      <c r="AD146" s="330"/>
      <c r="AE146" s="330">
        <v>91</v>
      </c>
      <c r="AF146" s="330">
        <v>-20</v>
      </c>
      <c r="AG146" s="332" t="s">
        <v>238</v>
      </c>
      <c r="AH146" s="332" t="s">
        <v>191</v>
      </c>
      <c r="AI146" s="330" t="s">
        <v>192</v>
      </c>
      <c r="AJ146" s="330" t="s">
        <v>192</v>
      </c>
      <c r="AK146" s="330"/>
      <c r="AL146" s="330" t="s">
        <v>192</v>
      </c>
      <c r="AM146" s="330" t="s">
        <v>191</v>
      </c>
      <c r="AN146" s="330" t="s">
        <v>192</v>
      </c>
      <c r="AO146" s="330"/>
      <c r="AP146" s="332" t="s">
        <v>259</v>
      </c>
      <c r="AQ146" s="330"/>
      <c r="AR146" s="330"/>
      <c r="AS146" s="330" t="b">
        <v>1</v>
      </c>
      <c r="AT146" s="330"/>
      <c r="AU146" s="332" t="s">
        <v>192</v>
      </c>
      <c r="AV146" s="334">
        <v>46055.390477337962</v>
      </c>
      <c r="AW146" s="330"/>
      <c r="AX146" s="335">
        <v>46076</v>
      </c>
      <c r="AY146" s="336">
        <v>46085</v>
      </c>
      <c r="AZ146" s="330" t="b">
        <v>1</v>
      </c>
      <c r="BA146" s="336">
        <v>46101</v>
      </c>
      <c r="BB146" s="330"/>
      <c r="BC146" s="336">
        <v>46097</v>
      </c>
      <c r="BD146" s="330"/>
      <c r="BE146" s="336">
        <v>46097</v>
      </c>
      <c r="BF146" s="330"/>
      <c r="BG146" s="330"/>
      <c r="BH146" s="330" t="s">
        <v>193</v>
      </c>
      <c r="BI146" s="330">
        <v>1000</v>
      </c>
      <c r="BJ146" s="330"/>
      <c r="BK146" s="330"/>
      <c r="BL146" s="330"/>
      <c r="BM146" s="332"/>
      <c r="BN146" s="330"/>
      <c r="BO146" s="330" t="s">
        <v>240</v>
      </c>
      <c r="BP146" s="330" t="s">
        <v>193</v>
      </c>
      <c r="BQ146" s="330" t="s">
        <v>218</v>
      </c>
      <c r="BR146" s="330" t="s">
        <v>220</v>
      </c>
      <c r="BS146" s="330"/>
      <c r="BT146" s="330" t="s">
        <v>220</v>
      </c>
      <c r="BU146" s="330"/>
      <c r="BV146" s="330" t="s">
        <v>220</v>
      </c>
      <c r="BW146" s="330"/>
      <c r="BX146" s="332"/>
      <c r="BY146" s="330"/>
      <c r="BZ146" s="330"/>
      <c r="CA146" s="330"/>
      <c r="CB146" s="330"/>
      <c r="CC146" s="337" t="s">
        <v>241</v>
      </c>
      <c r="CD146" s="330" t="b">
        <v>1</v>
      </c>
      <c r="CE146" s="330" t="b">
        <v>1</v>
      </c>
      <c r="CF146" s="330" t="b">
        <v>1</v>
      </c>
      <c r="CG146" s="330" t="s">
        <v>242</v>
      </c>
      <c r="CH146" s="330"/>
      <c r="CI146" s="330"/>
      <c r="CJ146" s="330"/>
      <c r="CK146" s="330"/>
      <c r="CL146" s="330"/>
      <c r="CM146" s="330"/>
      <c r="CN146" s="330"/>
      <c r="CO146" s="330"/>
      <c r="CP146" s="330"/>
      <c r="CQ146" s="330"/>
      <c r="CR146" s="330"/>
      <c r="CS146" s="330"/>
      <c r="CT146" s="330"/>
      <c r="CU146" s="330"/>
      <c r="CV146" s="330"/>
      <c r="CW146" s="330"/>
      <c r="CX146" s="330"/>
      <c r="CY146" s="330"/>
      <c r="CZ146" s="330"/>
      <c r="DA146" s="330"/>
      <c r="DB146" s="330" t="b">
        <v>1</v>
      </c>
      <c r="DC146" s="330" t="b">
        <v>1</v>
      </c>
      <c r="DD146" s="330"/>
      <c r="DE146" s="330"/>
      <c r="DF146" s="338">
        <v>24051</v>
      </c>
      <c r="DG146" s="330" t="s">
        <v>221</v>
      </c>
      <c r="DH146" s="330"/>
      <c r="DI146" s="338" t="s">
        <v>1512</v>
      </c>
      <c r="DJ146" s="330"/>
      <c r="DK146" s="330">
        <v>0</v>
      </c>
      <c r="DL146" s="330" t="s">
        <v>243</v>
      </c>
      <c r="DM146" s="330"/>
      <c r="DN146" s="330"/>
      <c r="DO146" s="330"/>
      <c r="DP146" s="330"/>
      <c r="DQ146" s="338" t="s">
        <v>197</v>
      </c>
      <c r="DR146" s="330"/>
      <c r="DS146" s="330"/>
      <c r="DT146" s="330"/>
      <c r="DU146" s="338" t="s">
        <v>197</v>
      </c>
      <c r="DV146" s="330"/>
      <c r="DW146" s="330"/>
      <c r="DX146" s="330"/>
      <c r="DY146" s="338" t="s">
        <v>197</v>
      </c>
      <c r="DZ146" s="330"/>
      <c r="EA146" s="330"/>
      <c r="EB146" s="330"/>
      <c r="EC146" s="330" t="s">
        <v>197</v>
      </c>
      <c r="ED146" s="338" t="s">
        <v>197</v>
      </c>
      <c r="EE146" s="330">
        <v>4</v>
      </c>
      <c r="EF146" s="330">
        <v>40</v>
      </c>
      <c r="EG146" s="330"/>
      <c r="EH146" s="330"/>
      <c r="EI146" s="330"/>
      <c r="EJ146" s="330"/>
      <c r="EK146" s="330"/>
      <c r="EL146" s="330"/>
      <c r="EM146" s="330"/>
      <c r="EN146" s="330"/>
      <c r="EO146" s="330"/>
      <c r="EP146" s="330"/>
      <c r="EQ146" s="332" t="s">
        <v>244</v>
      </c>
      <c r="ER146" s="330"/>
      <c r="ES146" s="330"/>
      <c r="ET146" s="332" t="s">
        <v>245</v>
      </c>
      <c r="EU146" s="332" t="s">
        <v>246</v>
      </c>
      <c r="EV146" s="336">
        <v>46085</v>
      </c>
      <c r="EW146" s="336">
        <v>46085</v>
      </c>
      <c r="EX146" s="330">
        <v>1</v>
      </c>
      <c r="EY146" s="330"/>
      <c r="EZ146" s="330" t="s">
        <v>201</v>
      </c>
      <c r="FA146" s="336">
        <v>46096</v>
      </c>
      <c r="FB146" s="330">
        <v>1</v>
      </c>
      <c r="FC146" s="330" t="s">
        <v>202</v>
      </c>
      <c r="FD146" s="332" t="s">
        <v>190</v>
      </c>
      <c r="FE146" s="336">
        <v>46097</v>
      </c>
      <c r="FF146" s="330"/>
      <c r="FG146" s="330" t="s">
        <v>203</v>
      </c>
      <c r="FH146" s="330" t="s">
        <v>457</v>
      </c>
      <c r="FI146" s="330" t="s">
        <v>204</v>
      </c>
      <c r="FJ146" s="330"/>
      <c r="FK146" s="330" t="s">
        <v>230</v>
      </c>
      <c r="FL146" s="330" t="s">
        <v>192</v>
      </c>
      <c r="FM146" s="330" t="s">
        <v>191</v>
      </c>
      <c r="FN146" s="330" t="s">
        <v>1513</v>
      </c>
      <c r="FO146" s="330"/>
      <c r="FP146" s="330" t="s">
        <v>459</v>
      </c>
      <c r="FQ146" s="330"/>
      <c r="FR146" s="330"/>
      <c r="FS146" s="330"/>
      <c r="FT146" s="330"/>
      <c r="FU146" s="330"/>
    </row>
    <row r="147" spans="1:177" ht="89.25" x14ac:dyDescent="0.25">
      <c r="A147" s="330">
        <v>146</v>
      </c>
      <c r="B147" s="331" t="s">
        <v>1514</v>
      </c>
      <c r="C147" s="330"/>
      <c r="D147" s="332" t="s">
        <v>228</v>
      </c>
      <c r="E147" s="332" t="s">
        <v>229</v>
      </c>
      <c r="F147" s="332" t="s">
        <v>230</v>
      </c>
      <c r="G147" s="330" t="s">
        <v>231</v>
      </c>
      <c r="H147" s="331">
        <v>400</v>
      </c>
      <c r="I147" s="330"/>
      <c r="J147" s="332" t="s">
        <v>359</v>
      </c>
      <c r="K147" s="332" t="s">
        <v>1515</v>
      </c>
      <c r="L147" s="330" t="s">
        <v>284</v>
      </c>
      <c r="M147" s="332" t="s">
        <v>1516</v>
      </c>
      <c r="N147" s="330" t="s">
        <v>1517</v>
      </c>
      <c r="O147" s="339">
        <v>0.53222960348764803</v>
      </c>
      <c r="P147" s="333">
        <v>10255</v>
      </c>
      <c r="Q147" s="333">
        <v>19268</v>
      </c>
      <c r="R147" s="333">
        <v>26</v>
      </c>
      <c r="S147" s="333">
        <v>26</v>
      </c>
      <c r="T147" s="333">
        <v>3</v>
      </c>
      <c r="U147" s="333">
        <v>186</v>
      </c>
      <c r="V147" s="333">
        <v>180</v>
      </c>
      <c r="W147" s="330">
        <v>3</v>
      </c>
      <c r="X147" s="330" t="s">
        <v>1518</v>
      </c>
      <c r="Y147" s="332" t="s">
        <v>365</v>
      </c>
      <c r="Z147" s="330" t="s">
        <v>215</v>
      </c>
      <c r="AA147" s="330" t="s">
        <v>366</v>
      </c>
      <c r="AB147" s="330" t="s">
        <v>189</v>
      </c>
      <c r="AC147" s="330"/>
      <c r="AD147" s="330"/>
      <c r="AE147" s="330">
        <v>47</v>
      </c>
      <c r="AF147" s="330">
        <v>-103</v>
      </c>
      <c r="AG147" s="332" t="s">
        <v>238</v>
      </c>
      <c r="AH147" s="332" t="s">
        <v>191</v>
      </c>
      <c r="AI147" s="330" t="s">
        <v>192</v>
      </c>
      <c r="AJ147" s="330" t="s">
        <v>192</v>
      </c>
      <c r="AK147" s="330"/>
      <c r="AL147" s="330" t="s">
        <v>192</v>
      </c>
      <c r="AM147" s="330" t="s">
        <v>191</v>
      </c>
      <c r="AN147" s="330" t="s">
        <v>192</v>
      </c>
      <c r="AO147" s="330"/>
      <c r="AP147" s="332" t="s">
        <v>259</v>
      </c>
      <c r="AQ147" s="330"/>
      <c r="AR147" s="330"/>
      <c r="AS147" s="330" t="b">
        <v>1</v>
      </c>
      <c r="AT147" s="330"/>
      <c r="AU147" s="332" t="s">
        <v>192</v>
      </c>
      <c r="AV147" s="334">
        <v>45954.477494432867</v>
      </c>
      <c r="AW147" s="330" t="b">
        <v>1</v>
      </c>
      <c r="AX147" s="335">
        <v>45975</v>
      </c>
      <c r="AY147" s="336">
        <v>45968</v>
      </c>
      <c r="AZ147" s="330" t="b">
        <v>1</v>
      </c>
      <c r="BA147" s="336">
        <v>45986</v>
      </c>
      <c r="BB147" s="330"/>
      <c r="BC147" s="336">
        <v>45978</v>
      </c>
      <c r="BD147" s="330"/>
      <c r="BE147" s="336">
        <v>45978</v>
      </c>
      <c r="BF147" s="330"/>
      <c r="BG147" s="330"/>
      <c r="BH147" s="330" t="s">
        <v>193</v>
      </c>
      <c r="BI147" s="330">
        <v>1000</v>
      </c>
      <c r="BJ147" s="330"/>
      <c r="BK147" s="330"/>
      <c r="BL147" s="330"/>
      <c r="BM147" s="332"/>
      <c r="BN147" s="330"/>
      <c r="BO147" s="330" t="s">
        <v>240</v>
      </c>
      <c r="BP147" s="330" t="s">
        <v>193</v>
      </c>
      <c r="BQ147" s="330" t="s">
        <v>218</v>
      </c>
      <c r="BR147" s="330" t="s">
        <v>220</v>
      </c>
      <c r="BS147" s="330"/>
      <c r="BT147" s="330" t="s">
        <v>220</v>
      </c>
      <c r="BU147" s="330"/>
      <c r="BV147" s="330" t="s">
        <v>220</v>
      </c>
      <c r="BW147" s="330"/>
      <c r="BX147" s="332"/>
      <c r="BY147" s="330"/>
      <c r="BZ147" s="330"/>
      <c r="CA147" s="330"/>
      <c r="CB147" s="330"/>
      <c r="CC147" s="337" t="s">
        <v>241</v>
      </c>
      <c r="CD147" s="330" t="b">
        <v>1</v>
      </c>
      <c r="CE147" s="330" t="b">
        <v>1</v>
      </c>
      <c r="CF147" s="330" t="b">
        <v>1</v>
      </c>
      <c r="CG147" s="330" t="s">
        <v>242</v>
      </c>
      <c r="CH147" s="330"/>
      <c r="CI147" s="330"/>
      <c r="CJ147" s="330"/>
      <c r="CK147" s="330"/>
      <c r="CL147" s="330"/>
      <c r="CM147" s="330"/>
      <c r="CN147" s="330"/>
      <c r="CO147" s="330"/>
      <c r="CP147" s="330"/>
      <c r="CQ147" s="330"/>
      <c r="CR147" s="330"/>
      <c r="CS147" s="330"/>
      <c r="CT147" s="330"/>
      <c r="CU147" s="330"/>
      <c r="CV147" s="330"/>
      <c r="CW147" s="330"/>
      <c r="CX147" s="330"/>
      <c r="CY147" s="330"/>
      <c r="CZ147" s="330"/>
      <c r="DA147" s="330"/>
      <c r="DB147" s="330" t="b">
        <v>1</v>
      </c>
      <c r="DC147" s="330" t="b">
        <v>1</v>
      </c>
      <c r="DD147" s="330"/>
      <c r="DE147" s="330"/>
      <c r="DF147" s="338">
        <v>24051</v>
      </c>
      <c r="DG147" s="330" t="s">
        <v>221</v>
      </c>
      <c r="DH147" s="330"/>
      <c r="DI147" s="338" t="s">
        <v>1519</v>
      </c>
      <c r="DJ147" s="330"/>
      <c r="DK147" s="330">
        <v>0</v>
      </c>
      <c r="DL147" s="330" t="s">
        <v>243</v>
      </c>
      <c r="DM147" s="330"/>
      <c r="DN147" s="330"/>
      <c r="DO147" s="330"/>
      <c r="DP147" s="330"/>
      <c r="DQ147" s="338" t="s">
        <v>197</v>
      </c>
      <c r="DR147" s="330"/>
      <c r="DS147" s="330"/>
      <c r="DT147" s="330"/>
      <c r="DU147" s="338" t="s">
        <v>197</v>
      </c>
      <c r="DV147" s="330"/>
      <c r="DW147" s="330"/>
      <c r="DX147" s="330"/>
      <c r="DY147" s="338" t="s">
        <v>197</v>
      </c>
      <c r="DZ147" s="330"/>
      <c r="EA147" s="330"/>
      <c r="EB147" s="330"/>
      <c r="EC147" s="330" t="s">
        <v>197</v>
      </c>
      <c r="ED147" s="338" t="s">
        <v>197</v>
      </c>
      <c r="EE147" s="330">
        <v>4</v>
      </c>
      <c r="EF147" s="330">
        <v>40</v>
      </c>
      <c r="EG147" s="330"/>
      <c r="EH147" s="330"/>
      <c r="EI147" s="330"/>
      <c r="EJ147" s="330"/>
      <c r="EK147" s="330"/>
      <c r="EL147" s="330"/>
      <c r="EM147" s="330"/>
      <c r="EN147" s="330"/>
      <c r="EO147" s="330"/>
      <c r="EP147" s="330"/>
      <c r="EQ147" s="332" t="s">
        <v>244</v>
      </c>
      <c r="ER147" s="330"/>
      <c r="ES147" s="330"/>
      <c r="ET147" s="332" t="s">
        <v>245</v>
      </c>
      <c r="EU147" s="332" t="s">
        <v>246</v>
      </c>
      <c r="EV147" s="336">
        <v>45967</v>
      </c>
      <c r="EW147" s="336">
        <v>45967</v>
      </c>
      <c r="EX147" s="330">
        <v>1</v>
      </c>
      <c r="EY147" s="330"/>
      <c r="EZ147" s="330" t="s">
        <v>201</v>
      </c>
      <c r="FA147" s="336">
        <v>45971</v>
      </c>
      <c r="FB147" s="330">
        <v>5</v>
      </c>
      <c r="FC147" s="330" t="s">
        <v>202</v>
      </c>
      <c r="FD147" s="332" t="s">
        <v>190</v>
      </c>
      <c r="FE147" s="336">
        <v>45975</v>
      </c>
      <c r="FF147" s="330"/>
      <c r="FG147" s="330" t="s">
        <v>203</v>
      </c>
      <c r="FH147" s="330" t="s">
        <v>385</v>
      </c>
      <c r="FI147" s="330" t="s">
        <v>204</v>
      </c>
      <c r="FJ147" s="330"/>
      <c r="FK147" s="330" t="s">
        <v>230</v>
      </c>
      <c r="FL147" s="330" t="s">
        <v>192</v>
      </c>
      <c r="FM147" s="330" t="s">
        <v>191</v>
      </c>
      <c r="FN147" s="330" t="s">
        <v>1520</v>
      </c>
      <c r="FO147" s="330" t="b">
        <v>1</v>
      </c>
      <c r="FP147" s="330" t="s">
        <v>262</v>
      </c>
      <c r="FQ147" s="330"/>
      <c r="FR147" s="330"/>
      <c r="FS147" s="330"/>
      <c r="FT147" s="330"/>
      <c r="FU147" s="330"/>
    </row>
    <row r="148" spans="1:177" ht="127.5" x14ac:dyDescent="0.25">
      <c r="A148" s="330">
        <v>147</v>
      </c>
      <c r="B148" s="331" t="s">
        <v>1521</v>
      </c>
      <c r="C148" s="330"/>
      <c r="D148" s="332" t="s">
        <v>228</v>
      </c>
      <c r="E148" s="332" t="s">
        <v>229</v>
      </c>
      <c r="F148" s="332" t="s">
        <v>230</v>
      </c>
      <c r="G148" s="330" t="s">
        <v>231</v>
      </c>
      <c r="H148" s="331">
        <v>400</v>
      </c>
      <c r="I148" s="330"/>
      <c r="J148" s="332" t="s">
        <v>995</v>
      </c>
      <c r="K148" s="332" t="s">
        <v>346</v>
      </c>
      <c r="L148" s="330" t="s">
        <v>284</v>
      </c>
      <c r="M148" s="332" t="s">
        <v>1522</v>
      </c>
      <c r="N148" s="330" t="s">
        <v>1523</v>
      </c>
      <c r="O148" s="339">
        <v>0.54255760847000201</v>
      </c>
      <c r="P148" s="333">
        <v>10454</v>
      </c>
      <c r="Q148" s="333">
        <v>19268</v>
      </c>
      <c r="R148" s="333">
        <v>75</v>
      </c>
      <c r="S148" s="333">
        <v>75</v>
      </c>
      <c r="T148" s="333">
        <v>6</v>
      </c>
      <c r="U148" s="333">
        <v>465</v>
      </c>
      <c r="V148" s="333">
        <v>350</v>
      </c>
      <c r="W148" s="330" t="s">
        <v>1524</v>
      </c>
      <c r="X148" s="330" t="s">
        <v>1525</v>
      </c>
      <c r="Y148" s="332" t="s">
        <v>365</v>
      </c>
      <c r="Z148" s="330" t="s">
        <v>215</v>
      </c>
      <c r="AA148" s="330" t="s">
        <v>366</v>
      </c>
      <c r="AB148" s="330" t="s">
        <v>189</v>
      </c>
      <c r="AC148" s="330"/>
      <c r="AD148" s="330"/>
      <c r="AE148" s="330">
        <v>52</v>
      </c>
      <c r="AF148" s="330">
        <v>-96</v>
      </c>
      <c r="AG148" s="332" t="s">
        <v>238</v>
      </c>
      <c r="AH148" s="332" t="s">
        <v>191</v>
      </c>
      <c r="AI148" s="330" t="s">
        <v>192</v>
      </c>
      <c r="AJ148" s="330" t="s">
        <v>192</v>
      </c>
      <c r="AK148" s="330"/>
      <c r="AL148" s="330" t="s">
        <v>192</v>
      </c>
      <c r="AM148" s="330" t="s">
        <v>191</v>
      </c>
      <c r="AN148" s="330" t="s">
        <v>192</v>
      </c>
      <c r="AO148" s="330"/>
      <c r="AP148" s="332" t="s">
        <v>259</v>
      </c>
      <c r="AQ148" s="330"/>
      <c r="AR148" s="330"/>
      <c r="AS148" s="330" t="b">
        <v>1</v>
      </c>
      <c r="AT148" s="330"/>
      <c r="AU148" s="332" t="s">
        <v>192</v>
      </c>
      <c r="AV148" s="334">
        <v>45946.43497696759</v>
      </c>
      <c r="AW148" s="330"/>
      <c r="AX148" s="335">
        <v>45978</v>
      </c>
      <c r="AY148" s="336">
        <v>45971</v>
      </c>
      <c r="AZ148" s="330"/>
      <c r="BA148" s="336">
        <v>45995</v>
      </c>
      <c r="BB148" s="330"/>
      <c r="BC148" s="336">
        <v>45999</v>
      </c>
      <c r="BD148" s="330"/>
      <c r="BE148" s="336">
        <v>45999</v>
      </c>
      <c r="BF148" s="330"/>
      <c r="BG148" s="330"/>
      <c r="BH148" s="330" t="s">
        <v>193</v>
      </c>
      <c r="BI148" s="330">
        <v>1000</v>
      </c>
      <c r="BJ148" s="330"/>
      <c r="BK148" s="330"/>
      <c r="BL148" s="330"/>
      <c r="BM148" s="332"/>
      <c r="BN148" s="330"/>
      <c r="BO148" s="330" t="s">
        <v>240</v>
      </c>
      <c r="BP148" s="330" t="s">
        <v>193</v>
      </c>
      <c r="BQ148" s="330" t="s">
        <v>218</v>
      </c>
      <c r="BR148" s="330" t="s">
        <v>220</v>
      </c>
      <c r="BS148" s="330"/>
      <c r="BT148" s="330" t="s">
        <v>220</v>
      </c>
      <c r="BU148" s="330"/>
      <c r="BV148" s="330" t="s">
        <v>220</v>
      </c>
      <c r="BW148" s="330"/>
      <c r="BX148" s="332"/>
      <c r="BY148" s="330"/>
      <c r="BZ148" s="330"/>
      <c r="CA148" s="330"/>
      <c r="CB148" s="330"/>
      <c r="CC148" s="337" t="s">
        <v>241</v>
      </c>
      <c r="CD148" s="330" t="b">
        <v>1</v>
      </c>
      <c r="CE148" s="330" t="b">
        <v>1</v>
      </c>
      <c r="CF148" s="330" t="b">
        <v>1</v>
      </c>
      <c r="CG148" s="330" t="s">
        <v>242</v>
      </c>
      <c r="CH148" s="330"/>
      <c r="CI148" s="330"/>
      <c r="CJ148" s="330"/>
      <c r="CK148" s="330"/>
      <c r="CL148" s="330"/>
      <c r="CM148" s="330"/>
      <c r="CN148" s="330"/>
      <c r="CO148" s="330"/>
      <c r="CP148" s="330"/>
      <c r="CQ148" s="330"/>
      <c r="CR148" s="330"/>
      <c r="CS148" s="330"/>
      <c r="CT148" s="330"/>
      <c r="CU148" s="330"/>
      <c r="CV148" s="330"/>
      <c r="CW148" s="330"/>
      <c r="CX148" s="330"/>
      <c r="CY148" s="330"/>
      <c r="CZ148" s="330"/>
      <c r="DA148" s="330"/>
      <c r="DB148" s="330" t="b">
        <v>1</v>
      </c>
      <c r="DC148" s="330" t="b">
        <v>1</v>
      </c>
      <c r="DD148" s="330"/>
      <c r="DE148" s="330"/>
      <c r="DF148" s="338">
        <v>24051</v>
      </c>
      <c r="DG148" s="330" t="s">
        <v>221</v>
      </c>
      <c r="DH148" s="330"/>
      <c r="DI148" s="338">
        <v>46</v>
      </c>
      <c r="DJ148" s="330"/>
      <c r="DK148" s="330">
        <v>46</v>
      </c>
      <c r="DL148" s="330" t="s">
        <v>243</v>
      </c>
      <c r="DM148" s="330"/>
      <c r="DN148" s="330"/>
      <c r="DO148" s="330"/>
      <c r="DP148" s="330"/>
      <c r="DQ148" s="338" t="s">
        <v>197</v>
      </c>
      <c r="DR148" s="330"/>
      <c r="DS148" s="330"/>
      <c r="DT148" s="330"/>
      <c r="DU148" s="338" t="s">
        <v>197</v>
      </c>
      <c r="DV148" s="330"/>
      <c r="DW148" s="330"/>
      <c r="DX148" s="330"/>
      <c r="DY148" s="338" t="s">
        <v>197</v>
      </c>
      <c r="DZ148" s="330"/>
      <c r="EA148" s="330"/>
      <c r="EB148" s="330"/>
      <c r="EC148" s="330" t="s">
        <v>197</v>
      </c>
      <c r="ED148" s="338" t="s">
        <v>197</v>
      </c>
      <c r="EE148" s="330">
        <v>8</v>
      </c>
      <c r="EF148" s="330">
        <v>150</v>
      </c>
      <c r="EG148" s="330"/>
      <c r="EH148" s="330"/>
      <c r="EI148" s="330"/>
      <c r="EJ148" s="330"/>
      <c r="EK148" s="330"/>
      <c r="EL148" s="330"/>
      <c r="EM148" s="330"/>
      <c r="EN148" s="330"/>
      <c r="EO148" s="330"/>
      <c r="EP148" s="330"/>
      <c r="EQ148" s="332" t="s">
        <v>244</v>
      </c>
      <c r="ER148" s="330"/>
      <c r="ES148" s="330"/>
      <c r="ET148" s="332" t="s">
        <v>245</v>
      </c>
      <c r="EU148" s="332" t="s">
        <v>246</v>
      </c>
      <c r="EV148" s="336">
        <v>45967</v>
      </c>
      <c r="EW148" s="336">
        <v>45968</v>
      </c>
      <c r="EX148" s="330">
        <v>2</v>
      </c>
      <c r="EY148" s="330"/>
      <c r="EZ148" s="330" t="s">
        <v>201</v>
      </c>
      <c r="FA148" s="336">
        <v>45995</v>
      </c>
      <c r="FB148" s="330">
        <v>3</v>
      </c>
      <c r="FC148" s="330" t="s">
        <v>202</v>
      </c>
      <c r="FD148" s="332" t="s">
        <v>190</v>
      </c>
      <c r="FE148" s="336">
        <v>45999</v>
      </c>
      <c r="FF148" s="330"/>
      <c r="FG148" s="330" t="s">
        <v>203</v>
      </c>
      <c r="FH148" s="330" t="s">
        <v>260</v>
      </c>
      <c r="FI148" s="330" t="s">
        <v>204</v>
      </c>
      <c r="FJ148" s="330"/>
      <c r="FK148" s="330" t="s">
        <v>230</v>
      </c>
      <c r="FL148" s="330" t="s">
        <v>192</v>
      </c>
      <c r="FM148" s="330" t="s">
        <v>191</v>
      </c>
      <c r="FN148" s="330" t="s">
        <v>1526</v>
      </c>
      <c r="FO148" s="330" t="b">
        <v>1</v>
      </c>
      <c r="FP148" s="330" t="s">
        <v>369</v>
      </c>
      <c r="FQ148" s="330"/>
      <c r="FR148" s="330"/>
      <c r="FS148" s="330"/>
      <c r="FT148" s="330"/>
      <c r="FU148" s="330"/>
    </row>
    <row r="149" spans="1:177" ht="63.75" x14ac:dyDescent="0.25">
      <c r="A149" s="330">
        <v>148</v>
      </c>
      <c r="B149" s="331" t="s">
        <v>1527</v>
      </c>
      <c r="C149" s="330"/>
      <c r="D149" s="332" t="s">
        <v>1528</v>
      </c>
      <c r="E149" s="332" t="s">
        <v>1529</v>
      </c>
      <c r="F149" s="332" t="s">
        <v>795</v>
      </c>
      <c r="G149" s="330" t="s">
        <v>796</v>
      </c>
      <c r="H149" s="331">
        <v>400</v>
      </c>
      <c r="I149" s="330"/>
      <c r="J149" s="332" t="s">
        <v>1530</v>
      </c>
      <c r="K149" s="332" t="s">
        <v>1531</v>
      </c>
      <c r="L149" s="330" t="s">
        <v>1532</v>
      </c>
      <c r="M149" s="332" t="s">
        <v>1533</v>
      </c>
      <c r="N149" s="330" t="s">
        <v>1534</v>
      </c>
      <c r="O149" s="339">
        <v>0.47879140034863499</v>
      </c>
      <c r="P149" s="333">
        <v>824</v>
      </c>
      <c r="Q149" s="333">
        <v>1721</v>
      </c>
      <c r="R149" s="333">
        <v>4</v>
      </c>
      <c r="S149" s="333">
        <v>4</v>
      </c>
      <c r="T149" s="333">
        <v>4</v>
      </c>
      <c r="U149" s="333">
        <v>24</v>
      </c>
      <c r="V149" s="333">
        <v>15</v>
      </c>
      <c r="W149" s="330" t="s">
        <v>1535</v>
      </c>
      <c r="X149" s="330" t="s">
        <v>1536</v>
      </c>
      <c r="Y149" s="332" t="s">
        <v>1537</v>
      </c>
      <c r="Z149" s="330" t="s">
        <v>215</v>
      </c>
      <c r="AA149" s="330" t="s">
        <v>1538</v>
      </c>
      <c r="AB149" s="330" t="s">
        <v>189</v>
      </c>
      <c r="AC149" s="330"/>
      <c r="AD149" s="330"/>
      <c r="AE149" s="330">
        <v>28</v>
      </c>
      <c r="AF149" s="330">
        <v>-53</v>
      </c>
      <c r="AG149" s="332" t="s">
        <v>190</v>
      </c>
      <c r="AH149" s="332" t="s">
        <v>191</v>
      </c>
      <c r="AI149" s="330"/>
      <c r="AJ149" s="330"/>
      <c r="AK149" s="330"/>
      <c r="AL149" s="330" t="s">
        <v>471</v>
      </c>
      <c r="AM149" s="330" t="s">
        <v>191</v>
      </c>
      <c r="AN149" s="330" t="s">
        <v>471</v>
      </c>
      <c r="AO149" s="330"/>
      <c r="AP149" s="332" t="s">
        <v>259</v>
      </c>
      <c r="AQ149" s="330"/>
      <c r="AR149" s="330"/>
      <c r="AS149" s="330" t="b">
        <v>1</v>
      </c>
      <c r="AT149" s="330"/>
      <c r="AU149" s="332" t="s">
        <v>471</v>
      </c>
      <c r="AV149" s="334">
        <v>46036.247297164351</v>
      </c>
      <c r="AW149" s="330" t="b">
        <v>1</v>
      </c>
      <c r="AX149" s="335">
        <v>46057</v>
      </c>
      <c r="AY149" s="336">
        <v>46038</v>
      </c>
      <c r="AZ149" s="330" t="b">
        <v>1</v>
      </c>
      <c r="BA149" s="336">
        <v>46056</v>
      </c>
      <c r="BB149" s="330"/>
      <c r="BC149" s="336">
        <v>46043</v>
      </c>
      <c r="BD149" s="330"/>
      <c r="BE149" s="336">
        <v>46043</v>
      </c>
      <c r="BF149" s="330"/>
      <c r="BG149" s="330"/>
      <c r="BH149" s="330" t="s">
        <v>193</v>
      </c>
      <c r="BI149" s="330">
        <v>109</v>
      </c>
      <c r="BJ149" s="330"/>
      <c r="BK149" s="330"/>
      <c r="BL149" s="330"/>
      <c r="BM149" s="332"/>
      <c r="BN149" s="330"/>
      <c r="BO149" s="330" t="s">
        <v>240</v>
      </c>
      <c r="BP149" s="330" t="s">
        <v>193</v>
      </c>
      <c r="BQ149" s="330" t="s">
        <v>909</v>
      </c>
      <c r="BR149" s="330" t="s">
        <v>220</v>
      </c>
      <c r="BS149" s="330"/>
      <c r="BT149" s="330" t="s">
        <v>220</v>
      </c>
      <c r="BU149" s="330"/>
      <c r="BV149" s="330" t="s">
        <v>220</v>
      </c>
      <c r="BW149" s="330"/>
      <c r="BX149" s="332" t="s">
        <v>1539</v>
      </c>
      <c r="BY149" s="330" t="s">
        <v>1540</v>
      </c>
      <c r="BZ149" s="330"/>
      <c r="CA149" s="330"/>
      <c r="CB149" s="330"/>
      <c r="CC149" s="337" t="s">
        <v>194</v>
      </c>
      <c r="CD149" s="330"/>
      <c r="CE149" s="330" t="b">
        <v>1</v>
      </c>
      <c r="CF149" s="330" t="b">
        <v>1</v>
      </c>
      <c r="CG149" s="330"/>
      <c r="CH149" s="330"/>
      <c r="CI149" s="330"/>
      <c r="CJ149" s="330"/>
      <c r="CK149" s="330"/>
      <c r="CL149" s="330"/>
      <c r="CM149" s="330"/>
      <c r="CN149" s="330"/>
      <c r="CO149" s="330"/>
      <c r="CP149" s="330"/>
      <c r="CQ149" s="330"/>
      <c r="CR149" s="330"/>
      <c r="CS149" s="330"/>
      <c r="CT149" s="330"/>
      <c r="CU149" s="330"/>
      <c r="CV149" s="330"/>
      <c r="CW149" s="330"/>
      <c r="CX149" s="330"/>
      <c r="CY149" s="330"/>
      <c r="CZ149" s="330"/>
      <c r="DA149" s="330"/>
      <c r="DB149" s="330" t="b">
        <v>1</v>
      </c>
      <c r="DC149" s="330"/>
      <c r="DD149" s="330"/>
      <c r="DE149" s="330"/>
      <c r="DF149" s="338">
        <v>24019</v>
      </c>
      <c r="DG149" s="330" t="s">
        <v>1541</v>
      </c>
      <c r="DH149" s="330"/>
      <c r="DI149" s="338" t="s">
        <v>1326</v>
      </c>
      <c r="DJ149" s="330"/>
      <c r="DK149" s="330">
        <v>7</v>
      </c>
      <c r="DL149" s="330" t="s">
        <v>1527</v>
      </c>
      <c r="DM149" s="330"/>
      <c r="DN149" s="330"/>
      <c r="DO149" s="330"/>
      <c r="DP149" s="330"/>
      <c r="DQ149" s="338" t="s">
        <v>197</v>
      </c>
      <c r="DR149" s="330"/>
      <c r="DS149" s="330"/>
      <c r="DT149" s="330"/>
      <c r="DU149" s="338" t="s">
        <v>197</v>
      </c>
      <c r="DV149" s="330"/>
      <c r="DW149" s="330"/>
      <c r="DX149" s="330"/>
      <c r="DY149" s="338" t="s">
        <v>197</v>
      </c>
      <c r="DZ149" s="330"/>
      <c r="EA149" s="330"/>
      <c r="EB149" s="330"/>
      <c r="EC149" s="330" t="s">
        <v>197</v>
      </c>
      <c r="ED149" s="338" t="s">
        <v>197</v>
      </c>
      <c r="EE149" s="330">
        <v>1</v>
      </c>
      <c r="EF149" s="330">
        <v>3</v>
      </c>
      <c r="EG149" s="330"/>
      <c r="EH149" s="330"/>
      <c r="EI149" s="330"/>
      <c r="EJ149" s="330"/>
      <c r="EK149" s="330"/>
      <c r="EL149" s="330"/>
      <c r="EM149" s="330"/>
      <c r="EN149" s="330"/>
      <c r="EO149" s="330"/>
      <c r="EP149" s="330"/>
      <c r="EQ149" s="332" t="s">
        <v>198</v>
      </c>
      <c r="ER149" s="330"/>
      <c r="ES149" s="330"/>
      <c r="ET149" s="332" t="s">
        <v>245</v>
      </c>
      <c r="EU149" s="332" t="s">
        <v>1542</v>
      </c>
      <c r="EV149" s="336">
        <v>46037</v>
      </c>
      <c r="EW149" s="336">
        <v>46037</v>
      </c>
      <c r="EX149" s="330">
        <v>1</v>
      </c>
      <c r="EY149" s="330"/>
      <c r="EZ149" s="330" t="s">
        <v>247</v>
      </c>
      <c r="FA149" s="330"/>
      <c r="FB149" s="330" t="s">
        <v>248</v>
      </c>
      <c r="FC149" s="330" t="s">
        <v>202</v>
      </c>
      <c r="FD149" s="332" t="s">
        <v>190</v>
      </c>
      <c r="FE149" s="336">
        <v>46042</v>
      </c>
      <c r="FF149" s="330"/>
      <c r="FG149" s="330" t="s">
        <v>203</v>
      </c>
      <c r="FH149" s="330" t="s">
        <v>631</v>
      </c>
      <c r="FI149" s="330" t="s">
        <v>204</v>
      </c>
      <c r="FJ149" s="330"/>
      <c r="FK149" s="330" t="s">
        <v>795</v>
      </c>
      <c r="FL149" s="330" t="s">
        <v>471</v>
      </c>
      <c r="FM149" s="330" t="s">
        <v>191</v>
      </c>
      <c r="FN149" s="330" t="s">
        <v>1543</v>
      </c>
      <c r="FO149" s="330"/>
      <c r="FP149" s="330" t="s">
        <v>344</v>
      </c>
      <c r="FQ149" s="330"/>
      <c r="FR149" s="330"/>
      <c r="FS149" s="330"/>
      <c r="FT149" s="330"/>
      <c r="FU149" s="330"/>
    </row>
    <row r="150" spans="1:177" ht="25.5" x14ac:dyDescent="0.25">
      <c r="A150" s="330">
        <v>149</v>
      </c>
      <c r="B150" s="331" t="s">
        <v>1544</v>
      </c>
      <c r="C150" s="330"/>
      <c r="D150" s="332" t="s">
        <v>1545</v>
      </c>
      <c r="E150" s="332" t="s">
        <v>1546</v>
      </c>
      <c r="F150" s="332" t="s">
        <v>795</v>
      </c>
      <c r="G150" s="330" t="s">
        <v>796</v>
      </c>
      <c r="H150" s="331" t="s">
        <v>328</v>
      </c>
      <c r="I150" s="330"/>
      <c r="J150" s="332" t="s">
        <v>1547</v>
      </c>
      <c r="K150" s="332" t="s">
        <v>1547</v>
      </c>
      <c r="L150" s="330"/>
      <c r="M150" s="332"/>
      <c r="N150" s="330" t="s">
        <v>1548</v>
      </c>
      <c r="O150" s="339">
        <v>0.76450511945392496</v>
      </c>
      <c r="P150" s="333">
        <v>224</v>
      </c>
      <c r="Q150" s="333">
        <v>293</v>
      </c>
      <c r="R150" s="333">
        <v>2</v>
      </c>
      <c r="S150" s="333">
        <v>2</v>
      </c>
      <c r="T150" s="333">
        <v>1</v>
      </c>
      <c r="U150" s="333">
        <v>0</v>
      </c>
      <c r="V150" s="333">
        <v>0</v>
      </c>
      <c r="W150" s="330">
        <v>0.33</v>
      </c>
      <c r="X150" s="330" t="s">
        <v>213</v>
      </c>
      <c r="Y150" s="332" t="s">
        <v>1549</v>
      </c>
      <c r="Z150" s="330" t="s">
        <v>614</v>
      </c>
      <c r="AA150" s="330" t="s">
        <v>1550</v>
      </c>
      <c r="AB150" s="330" t="s">
        <v>189</v>
      </c>
      <c r="AC150" s="330"/>
      <c r="AD150" s="330"/>
      <c r="AE150" s="330">
        <v>10</v>
      </c>
      <c r="AF150" s="330">
        <v>-192</v>
      </c>
      <c r="AG150" s="332" t="s">
        <v>190</v>
      </c>
      <c r="AH150" s="332" t="s">
        <v>191</v>
      </c>
      <c r="AI150" s="330"/>
      <c r="AJ150" s="330"/>
      <c r="AK150" s="330"/>
      <c r="AL150" s="330" t="s">
        <v>191</v>
      </c>
      <c r="AM150" s="330"/>
      <c r="AN150" s="330"/>
      <c r="AO150" s="330"/>
      <c r="AP150" s="332"/>
      <c r="AQ150" s="330"/>
      <c r="AR150" s="330"/>
      <c r="AS150" s="330"/>
      <c r="AT150" s="330"/>
      <c r="AU150" s="332" t="s">
        <v>191</v>
      </c>
      <c r="AV150" s="334">
        <v>45855.441696631948</v>
      </c>
      <c r="AW150" s="330" t="b">
        <v>1</v>
      </c>
      <c r="AX150" s="335">
        <v>45863</v>
      </c>
      <c r="AY150" s="336">
        <v>45855</v>
      </c>
      <c r="AZ150" s="330" t="b">
        <v>1</v>
      </c>
      <c r="BA150" s="336">
        <v>45861</v>
      </c>
      <c r="BB150" s="330"/>
      <c r="BC150" s="336">
        <v>45856</v>
      </c>
      <c r="BD150" s="330"/>
      <c r="BE150" s="336">
        <v>45856</v>
      </c>
      <c r="BF150" s="330"/>
      <c r="BG150" s="330"/>
      <c r="BH150" s="330" t="s">
        <v>193</v>
      </c>
      <c r="BI150" s="330">
        <v>176</v>
      </c>
      <c r="BJ150" s="330"/>
      <c r="BK150" s="330"/>
      <c r="BL150" s="330"/>
      <c r="BM150" s="332"/>
      <c r="BN150" s="330"/>
      <c r="BO150" s="330" t="s">
        <v>184</v>
      </c>
      <c r="BP150" s="330" t="s">
        <v>220</v>
      </c>
      <c r="BQ150" s="330" t="s">
        <v>801</v>
      </c>
      <c r="BR150" s="330" t="s">
        <v>220</v>
      </c>
      <c r="BS150" s="330"/>
      <c r="BT150" s="330" t="s">
        <v>220</v>
      </c>
      <c r="BU150" s="330"/>
      <c r="BV150" s="330" t="s">
        <v>220</v>
      </c>
      <c r="BW150" s="330"/>
      <c r="BX150" s="332" t="s">
        <v>1551</v>
      </c>
      <c r="BY150" s="330" t="s">
        <v>1552</v>
      </c>
      <c r="BZ150" s="330"/>
      <c r="CA150" s="330" t="s">
        <v>1553</v>
      </c>
      <c r="CB150" s="330"/>
      <c r="CC150" s="337" t="s">
        <v>194</v>
      </c>
      <c r="CD150" s="330"/>
      <c r="CE150" s="330" t="b">
        <v>1</v>
      </c>
      <c r="CF150" s="330"/>
      <c r="CG150" s="330"/>
      <c r="CH150" s="330"/>
      <c r="CI150" s="330"/>
      <c r="CJ150" s="330"/>
      <c r="CK150" s="330"/>
      <c r="CL150" s="330"/>
      <c r="CM150" s="330"/>
      <c r="CN150" s="330"/>
      <c r="CO150" s="330" t="b">
        <v>1</v>
      </c>
      <c r="CP150" s="330" t="b">
        <v>1</v>
      </c>
      <c r="CQ150" s="330"/>
      <c r="CR150" s="330"/>
      <c r="CS150" s="330"/>
      <c r="CT150" s="330"/>
      <c r="CU150" s="330"/>
      <c r="CV150" s="330"/>
      <c r="CW150" s="330"/>
      <c r="CX150" s="330"/>
      <c r="CY150" s="330"/>
      <c r="CZ150" s="330"/>
      <c r="DA150" s="330"/>
      <c r="DB150" s="330"/>
      <c r="DC150" s="330"/>
      <c r="DD150" s="330"/>
      <c r="DE150" s="330"/>
      <c r="DF150" s="338">
        <v>24020</v>
      </c>
      <c r="DG150" s="330" t="s">
        <v>764</v>
      </c>
      <c r="DH150" s="330"/>
      <c r="DI150" s="338" t="s">
        <v>1326</v>
      </c>
      <c r="DJ150" s="330"/>
      <c r="DK150" s="330">
        <v>7</v>
      </c>
      <c r="DL150" s="330" t="s">
        <v>1544</v>
      </c>
      <c r="DM150" s="330"/>
      <c r="DN150" s="330"/>
      <c r="DO150" s="330"/>
      <c r="DP150" s="330"/>
      <c r="DQ150" s="338" t="s">
        <v>197</v>
      </c>
      <c r="DR150" s="330"/>
      <c r="DS150" s="330"/>
      <c r="DT150" s="330"/>
      <c r="DU150" s="338" t="s">
        <v>197</v>
      </c>
      <c r="DV150" s="330"/>
      <c r="DW150" s="330"/>
      <c r="DX150" s="330"/>
      <c r="DY150" s="338" t="s">
        <v>197</v>
      </c>
      <c r="DZ150" s="330"/>
      <c r="EA150" s="330"/>
      <c r="EB150" s="330"/>
      <c r="EC150" s="330" t="s">
        <v>197</v>
      </c>
      <c r="ED150" s="338" t="s">
        <v>197</v>
      </c>
      <c r="EE150" s="330">
        <v>1</v>
      </c>
      <c r="EF150" s="330">
        <v>1</v>
      </c>
      <c r="EG150" s="330"/>
      <c r="EH150" s="330"/>
      <c r="EI150" s="330"/>
      <c r="EJ150" s="330"/>
      <c r="EK150" s="330"/>
      <c r="EL150" s="330"/>
      <c r="EM150" s="330"/>
      <c r="EN150" s="330"/>
      <c r="EO150" s="330"/>
      <c r="EP150" s="330"/>
      <c r="EQ150" s="332" t="s">
        <v>198</v>
      </c>
      <c r="ER150" s="330"/>
      <c r="ES150" s="330"/>
      <c r="ET150" s="332"/>
      <c r="EU150" s="332" t="s">
        <v>199</v>
      </c>
      <c r="EV150" s="330"/>
      <c r="EW150" s="330"/>
      <c r="EX150" s="330" t="s">
        <v>200</v>
      </c>
      <c r="EY150" s="330"/>
      <c r="EZ150" s="330" t="s">
        <v>201</v>
      </c>
      <c r="FA150" s="336">
        <v>45855</v>
      </c>
      <c r="FB150" s="330">
        <v>1</v>
      </c>
      <c r="FC150" s="330" t="s">
        <v>202</v>
      </c>
      <c r="FD150" s="332" t="s">
        <v>190</v>
      </c>
      <c r="FE150" s="336">
        <v>45855</v>
      </c>
      <c r="FF150" s="330"/>
      <c r="FG150" s="330" t="s">
        <v>203</v>
      </c>
      <c r="FH150" s="330" t="s">
        <v>1554</v>
      </c>
      <c r="FI150" s="330" t="s">
        <v>204</v>
      </c>
      <c r="FJ150" s="330"/>
      <c r="FK150" s="330" t="s">
        <v>795</v>
      </c>
      <c r="FL150" s="330" t="s">
        <v>191</v>
      </c>
      <c r="FM150" s="330"/>
      <c r="FN150" s="330" t="s">
        <v>1555</v>
      </c>
      <c r="FO150" s="330"/>
      <c r="FP150" s="330" t="s">
        <v>871</v>
      </c>
      <c r="FQ150" s="330"/>
      <c r="FR150" s="330"/>
      <c r="FS150" s="330"/>
      <c r="FT150" s="330"/>
      <c r="FU150" s="330"/>
    </row>
    <row r="151" spans="1:177" ht="51" x14ac:dyDescent="0.25">
      <c r="A151" s="330">
        <v>150</v>
      </c>
      <c r="B151" s="331" t="s">
        <v>1556</v>
      </c>
      <c r="C151" s="330"/>
      <c r="D151" s="332" t="s">
        <v>228</v>
      </c>
      <c r="E151" s="332" t="s">
        <v>229</v>
      </c>
      <c r="F151" s="332" t="s">
        <v>230</v>
      </c>
      <c r="G151" s="330" t="s">
        <v>231</v>
      </c>
      <c r="H151" s="331">
        <v>400</v>
      </c>
      <c r="I151" s="330"/>
      <c r="J151" s="332"/>
      <c r="K151" s="332" t="s">
        <v>1424</v>
      </c>
      <c r="L151" s="330"/>
      <c r="M151" s="332"/>
      <c r="N151" s="330" t="s">
        <v>1557</v>
      </c>
      <c r="O151" s="339">
        <v>0.332260743201163</v>
      </c>
      <c r="P151" s="333">
        <v>6402</v>
      </c>
      <c r="Q151" s="333">
        <v>19268</v>
      </c>
      <c r="R151" s="333">
        <v>110</v>
      </c>
      <c r="S151" s="333">
        <v>110</v>
      </c>
      <c r="T151" s="333">
        <v>2</v>
      </c>
      <c r="U151" s="333">
        <v>490</v>
      </c>
      <c r="V151" s="333">
        <v>550</v>
      </c>
      <c r="W151" s="330" t="s">
        <v>697</v>
      </c>
      <c r="X151" s="330" t="s">
        <v>1558</v>
      </c>
      <c r="Y151" s="332" t="s">
        <v>383</v>
      </c>
      <c r="Z151" s="330" t="s">
        <v>215</v>
      </c>
      <c r="AA151" s="330" t="s">
        <v>384</v>
      </c>
      <c r="AB151" s="330" t="s">
        <v>189</v>
      </c>
      <c r="AC151" s="330"/>
      <c r="AD151" s="330"/>
      <c r="AE151" s="330">
        <v>8</v>
      </c>
      <c r="AF151" s="330">
        <v>-239</v>
      </c>
      <c r="AG151" s="332" t="s">
        <v>238</v>
      </c>
      <c r="AH151" s="332" t="s">
        <v>191</v>
      </c>
      <c r="AI151" s="330" t="s">
        <v>192</v>
      </c>
      <c r="AJ151" s="330" t="s">
        <v>192</v>
      </c>
      <c r="AK151" s="330"/>
      <c r="AL151" s="330" t="s">
        <v>192</v>
      </c>
      <c r="AM151" s="330" t="s">
        <v>191</v>
      </c>
      <c r="AN151" s="330" t="s">
        <v>192</v>
      </c>
      <c r="AO151" s="330"/>
      <c r="AP151" s="332" t="s">
        <v>239</v>
      </c>
      <c r="AQ151" s="330"/>
      <c r="AR151" s="330"/>
      <c r="AS151" s="330" t="b">
        <v>1</v>
      </c>
      <c r="AT151" s="330"/>
      <c r="AU151" s="332" t="s">
        <v>192</v>
      </c>
      <c r="AV151" s="334">
        <v>45737.604700694443</v>
      </c>
      <c r="AW151" s="330"/>
      <c r="AX151" s="335">
        <v>45777</v>
      </c>
      <c r="AY151" s="336">
        <v>45743</v>
      </c>
      <c r="AZ151" s="330"/>
      <c r="BA151" s="336">
        <v>45796</v>
      </c>
      <c r="BB151" s="330"/>
      <c r="BC151" s="336">
        <v>45798</v>
      </c>
      <c r="BD151" s="330"/>
      <c r="BE151" s="336">
        <v>45798</v>
      </c>
      <c r="BF151" s="330"/>
      <c r="BG151" s="330"/>
      <c r="BH151" s="330" t="s">
        <v>193</v>
      </c>
      <c r="BI151" s="330">
        <v>1000</v>
      </c>
      <c r="BJ151" s="330"/>
      <c r="BK151" s="330"/>
      <c r="BL151" s="330"/>
      <c r="BM151" s="332"/>
      <c r="BN151" s="330"/>
      <c r="BO151" s="330" t="s">
        <v>240</v>
      </c>
      <c r="BP151" s="330" t="s">
        <v>193</v>
      </c>
      <c r="BQ151" s="330" t="s">
        <v>218</v>
      </c>
      <c r="BR151" s="330" t="s">
        <v>220</v>
      </c>
      <c r="BS151" s="330"/>
      <c r="BT151" s="330" t="s">
        <v>220</v>
      </c>
      <c r="BU151" s="330"/>
      <c r="BV151" s="330" t="s">
        <v>220</v>
      </c>
      <c r="BW151" s="330"/>
      <c r="BX151" s="332"/>
      <c r="BY151" s="330"/>
      <c r="BZ151" s="330"/>
      <c r="CA151" s="330"/>
      <c r="CB151" s="330"/>
      <c r="CC151" s="337" t="s">
        <v>241</v>
      </c>
      <c r="CD151" s="330"/>
      <c r="CE151" s="330" t="b">
        <v>1</v>
      </c>
      <c r="CF151" s="330" t="b">
        <v>1</v>
      </c>
      <c r="CG151" s="330" t="s">
        <v>242</v>
      </c>
      <c r="CH151" s="330"/>
      <c r="CI151" s="330"/>
      <c r="CJ151" s="330"/>
      <c r="CK151" s="330"/>
      <c r="CL151" s="330"/>
      <c r="CM151" s="330"/>
      <c r="CN151" s="330"/>
      <c r="CO151" s="330"/>
      <c r="CP151" s="330"/>
      <c r="CQ151" s="330"/>
      <c r="CR151" s="330"/>
      <c r="CS151" s="330"/>
      <c r="CT151" s="330"/>
      <c r="CU151" s="330"/>
      <c r="CV151" s="330"/>
      <c r="CW151" s="330"/>
      <c r="CX151" s="330"/>
      <c r="CY151" s="330"/>
      <c r="CZ151" s="330"/>
      <c r="DA151" s="330"/>
      <c r="DB151" s="330" t="b">
        <v>1</v>
      </c>
      <c r="DC151" s="330" t="b">
        <v>1</v>
      </c>
      <c r="DD151" s="330"/>
      <c r="DE151" s="330"/>
      <c r="DF151" s="338">
        <v>24051</v>
      </c>
      <c r="DG151" s="330" t="s">
        <v>221</v>
      </c>
      <c r="DH151" s="330"/>
      <c r="DI151" s="338">
        <v>14</v>
      </c>
      <c r="DJ151" s="330"/>
      <c r="DK151" s="330">
        <v>14</v>
      </c>
      <c r="DL151" s="330" t="s">
        <v>243</v>
      </c>
      <c r="DM151" s="330"/>
      <c r="DN151" s="330"/>
      <c r="DO151" s="330"/>
      <c r="DP151" s="330"/>
      <c r="DQ151" s="338" t="s">
        <v>197</v>
      </c>
      <c r="DR151" s="330"/>
      <c r="DS151" s="330"/>
      <c r="DT151" s="330"/>
      <c r="DU151" s="338" t="s">
        <v>197</v>
      </c>
      <c r="DV151" s="330"/>
      <c r="DW151" s="330"/>
      <c r="DX151" s="330"/>
      <c r="DY151" s="338" t="s">
        <v>197</v>
      </c>
      <c r="DZ151" s="330"/>
      <c r="EA151" s="330"/>
      <c r="EB151" s="330"/>
      <c r="EC151" s="330" t="s">
        <v>197</v>
      </c>
      <c r="ED151" s="338" t="s">
        <v>197</v>
      </c>
      <c r="EE151" s="330">
        <v>4</v>
      </c>
      <c r="EF151" s="330">
        <v>200</v>
      </c>
      <c r="EG151" s="330"/>
      <c r="EH151" s="330"/>
      <c r="EI151" s="330"/>
      <c r="EJ151" s="330"/>
      <c r="EK151" s="330"/>
      <c r="EL151" s="330"/>
      <c r="EM151" s="330"/>
      <c r="EN151" s="330"/>
      <c r="EO151" s="330"/>
      <c r="EP151" s="330"/>
      <c r="EQ151" s="332"/>
      <c r="ER151" s="330"/>
      <c r="ES151" s="330"/>
      <c r="ET151" s="332" t="s">
        <v>245</v>
      </c>
      <c r="EU151" s="332" t="s">
        <v>246</v>
      </c>
      <c r="EV151" s="336">
        <v>45743</v>
      </c>
      <c r="EW151" s="336">
        <v>45743</v>
      </c>
      <c r="EX151" s="330">
        <v>1</v>
      </c>
      <c r="EY151" s="330"/>
      <c r="EZ151" s="330" t="s">
        <v>201</v>
      </c>
      <c r="FA151" s="336">
        <v>45794</v>
      </c>
      <c r="FB151" s="330">
        <v>3</v>
      </c>
      <c r="FC151" s="330" t="s">
        <v>202</v>
      </c>
      <c r="FD151" s="332" t="s">
        <v>190</v>
      </c>
      <c r="FE151" s="336">
        <v>45798</v>
      </c>
      <c r="FF151" s="330"/>
      <c r="FG151" s="330" t="s">
        <v>203</v>
      </c>
      <c r="FH151" s="330" t="s">
        <v>1428</v>
      </c>
      <c r="FI151" s="330" t="s">
        <v>204</v>
      </c>
      <c r="FJ151" s="330"/>
      <c r="FK151" s="330" t="s">
        <v>230</v>
      </c>
      <c r="FL151" s="330" t="s">
        <v>192</v>
      </c>
      <c r="FM151" s="330" t="s">
        <v>191</v>
      </c>
      <c r="FN151" s="330" t="s">
        <v>1559</v>
      </c>
      <c r="FO151" s="330"/>
      <c r="FP151" s="330" t="s">
        <v>1430</v>
      </c>
      <c r="FQ151" s="330"/>
      <c r="FR151" s="330"/>
      <c r="FS151" s="330"/>
      <c r="FT151" s="330"/>
      <c r="FU151" s="330"/>
    </row>
    <row r="152" spans="1:177" ht="51" x14ac:dyDescent="0.25">
      <c r="A152" s="330">
        <v>151</v>
      </c>
      <c r="B152" s="331" t="s">
        <v>1560</v>
      </c>
      <c r="C152" s="330"/>
      <c r="D152" s="332" t="s">
        <v>228</v>
      </c>
      <c r="E152" s="332" t="s">
        <v>229</v>
      </c>
      <c r="F152" s="332" t="s">
        <v>230</v>
      </c>
      <c r="G152" s="330" t="s">
        <v>231</v>
      </c>
      <c r="H152" s="331">
        <v>400</v>
      </c>
      <c r="I152" s="330"/>
      <c r="J152" s="332"/>
      <c r="K152" s="332" t="s">
        <v>1424</v>
      </c>
      <c r="L152" s="330"/>
      <c r="M152" s="332"/>
      <c r="N152" s="330" t="s">
        <v>1561</v>
      </c>
      <c r="O152" s="339">
        <v>0.33796969067884602</v>
      </c>
      <c r="P152" s="333">
        <v>6512</v>
      </c>
      <c r="Q152" s="333">
        <v>19268</v>
      </c>
      <c r="R152" s="333">
        <v>110</v>
      </c>
      <c r="S152" s="333">
        <v>110</v>
      </c>
      <c r="T152" s="333">
        <v>2</v>
      </c>
      <c r="U152" s="333">
        <v>880</v>
      </c>
      <c r="V152" s="333">
        <v>1680</v>
      </c>
      <c r="W152" s="330" t="s">
        <v>1562</v>
      </c>
      <c r="X152" s="330" t="s">
        <v>1563</v>
      </c>
      <c r="Y152" s="332" t="s">
        <v>383</v>
      </c>
      <c r="Z152" s="330" t="s">
        <v>215</v>
      </c>
      <c r="AA152" s="330" t="s">
        <v>384</v>
      </c>
      <c r="AB152" s="330" t="s">
        <v>189</v>
      </c>
      <c r="AC152" s="330"/>
      <c r="AD152" s="330"/>
      <c r="AE152" s="330">
        <v>9</v>
      </c>
      <c r="AF152" s="330">
        <v>-238</v>
      </c>
      <c r="AG152" s="332" t="s">
        <v>238</v>
      </c>
      <c r="AH152" s="332" t="s">
        <v>191</v>
      </c>
      <c r="AI152" s="330" t="s">
        <v>192</v>
      </c>
      <c r="AJ152" s="330" t="s">
        <v>192</v>
      </c>
      <c r="AK152" s="330"/>
      <c r="AL152" s="330" t="s">
        <v>192</v>
      </c>
      <c r="AM152" s="330" t="s">
        <v>191</v>
      </c>
      <c r="AN152" s="330" t="s">
        <v>192</v>
      </c>
      <c r="AO152" s="330"/>
      <c r="AP152" s="332" t="s">
        <v>239</v>
      </c>
      <c r="AQ152" s="330"/>
      <c r="AR152" s="330"/>
      <c r="AS152" s="330" t="b">
        <v>1</v>
      </c>
      <c r="AT152" s="330"/>
      <c r="AU152" s="332" t="s">
        <v>192</v>
      </c>
      <c r="AV152" s="334">
        <v>45737.610369166665</v>
      </c>
      <c r="AW152" s="330"/>
      <c r="AX152" s="335">
        <v>45778</v>
      </c>
      <c r="AY152" s="336">
        <v>45743</v>
      </c>
      <c r="AZ152" s="330"/>
      <c r="BA152" s="336">
        <v>45797</v>
      </c>
      <c r="BB152" s="330"/>
      <c r="BC152" s="336">
        <v>45799</v>
      </c>
      <c r="BD152" s="330"/>
      <c r="BE152" s="336">
        <v>45799</v>
      </c>
      <c r="BF152" s="330"/>
      <c r="BG152" s="330"/>
      <c r="BH152" s="330" t="s">
        <v>193</v>
      </c>
      <c r="BI152" s="330">
        <v>1000</v>
      </c>
      <c r="BJ152" s="330"/>
      <c r="BK152" s="330"/>
      <c r="BL152" s="330"/>
      <c r="BM152" s="332"/>
      <c r="BN152" s="330"/>
      <c r="BO152" s="330" t="s">
        <v>240</v>
      </c>
      <c r="BP152" s="330" t="s">
        <v>193</v>
      </c>
      <c r="BQ152" s="330" t="s">
        <v>218</v>
      </c>
      <c r="BR152" s="330" t="s">
        <v>220</v>
      </c>
      <c r="BS152" s="330"/>
      <c r="BT152" s="330" t="s">
        <v>220</v>
      </c>
      <c r="BU152" s="330"/>
      <c r="BV152" s="330" t="s">
        <v>220</v>
      </c>
      <c r="BW152" s="330"/>
      <c r="BX152" s="332"/>
      <c r="BY152" s="330"/>
      <c r="BZ152" s="330"/>
      <c r="CA152" s="330"/>
      <c r="CB152" s="330"/>
      <c r="CC152" s="337" t="s">
        <v>241</v>
      </c>
      <c r="CD152" s="330"/>
      <c r="CE152" s="330" t="b">
        <v>1</v>
      </c>
      <c r="CF152" s="330" t="b">
        <v>1</v>
      </c>
      <c r="CG152" s="330" t="s">
        <v>242</v>
      </c>
      <c r="CH152" s="330"/>
      <c r="CI152" s="330"/>
      <c r="CJ152" s="330"/>
      <c r="CK152" s="330"/>
      <c r="CL152" s="330"/>
      <c r="CM152" s="330"/>
      <c r="CN152" s="330"/>
      <c r="CO152" s="330"/>
      <c r="CP152" s="330"/>
      <c r="CQ152" s="330"/>
      <c r="CR152" s="330"/>
      <c r="CS152" s="330"/>
      <c r="CT152" s="330"/>
      <c r="CU152" s="330"/>
      <c r="CV152" s="330"/>
      <c r="CW152" s="330"/>
      <c r="CX152" s="330"/>
      <c r="CY152" s="330"/>
      <c r="CZ152" s="330"/>
      <c r="DA152" s="330"/>
      <c r="DB152" s="330" t="b">
        <v>1</v>
      </c>
      <c r="DC152" s="330" t="b">
        <v>1</v>
      </c>
      <c r="DD152" s="330"/>
      <c r="DE152" s="330"/>
      <c r="DF152" s="338">
        <v>24051</v>
      </c>
      <c r="DG152" s="330" t="s">
        <v>221</v>
      </c>
      <c r="DH152" s="330"/>
      <c r="DI152" s="338">
        <v>15</v>
      </c>
      <c r="DJ152" s="330"/>
      <c r="DK152" s="330">
        <v>15</v>
      </c>
      <c r="DL152" s="330" t="s">
        <v>243</v>
      </c>
      <c r="DM152" s="330"/>
      <c r="DN152" s="330"/>
      <c r="DO152" s="330"/>
      <c r="DP152" s="330"/>
      <c r="DQ152" s="338" t="s">
        <v>197</v>
      </c>
      <c r="DR152" s="330"/>
      <c r="DS152" s="330"/>
      <c r="DT152" s="330"/>
      <c r="DU152" s="338" t="s">
        <v>197</v>
      </c>
      <c r="DV152" s="330"/>
      <c r="DW152" s="330"/>
      <c r="DX152" s="330"/>
      <c r="DY152" s="338" t="s">
        <v>197</v>
      </c>
      <c r="DZ152" s="330"/>
      <c r="EA152" s="330"/>
      <c r="EB152" s="330"/>
      <c r="EC152" s="330" t="s">
        <v>197</v>
      </c>
      <c r="ED152" s="338" t="s">
        <v>197</v>
      </c>
      <c r="EE152" s="330">
        <v>4</v>
      </c>
      <c r="EF152" s="330">
        <v>200</v>
      </c>
      <c r="EG152" s="330"/>
      <c r="EH152" s="330"/>
      <c r="EI152" s="330"/>
      <c r="EJ152" s="330"/>
      <c r="EK152" s="330"/>
      <c r="EL152" s="330"/>
      <c r="EM152" s="330"/>
      <c r="EN152" s="330"/>
      <c r="EO152" s="330"/>
      <c r="EP152" s="330"/>
      <c r="EQ152" s="332" t="s">
        <v>244</v>
      </c>
      <c r="ER152" s="330"/>
      <c r="ES152" s="330"/>
      <c r="ET152" s="332" t="s">
        <v>245</v>
      </c>
      <c r="EU152" s="332" t="s">
        <v>246</v>
      </c>
      <c r="EV152" s="336">
        <v>45743</v>
      </c>
      <c r="EW152" s="336">
        <v>45743</v>
      </c>
      <c r="EX152" s="330">
        <v>1</v>
      </c>
      <c r="EY152" s="330"/>
      <c r="EZ152" s="330" t="s">
        <v>201</v>
      </c>
      <c r="FA152" s="336">
        <v>45798</v>
      </c>
      <c r="FB152" s="330">
        <v>2</v>
      </c>
      <c r="FC152" s="330" t="s">
        <v>202</v>
      </c>
      <c r="FD152" s="332" t="s">
        <v>190</v>
      </c>
      <c r="FE152" s="336">
        <v>45799</v>
      </c>
      <c r="FF152" s="330"/>
      <c r="FG152" s="330" t="s">
        <v>203</v>
      </c>
      <c r="FH152" s="330" t="s">
        <v>1428</v>
      </c>
      <c r="FI152" s="330" t="s">
        <v>204</v>
      </c>
      <c r="FJ152" s="330"/>
      <c r="FK152" s="330" t="s">
        <v>230</v>
      </c>
      <c r="FL152" s="330" t="s">
        <v>192</v>
      </c>
      <c r="FM152" s="330" t="s">
        <v>191</v>
      </c>
      <c r="FN152" s="330" t="s">
        <v>1564</v>
      </c>
      <c r="FO152" s="330"/>
      <c r="FP152" s="330" t="s">
        <v>1430</v>
      </c>
      <c r="FQ152" s="330"/>
      <c r="FR152" s="330"/>
      <c r="FS152" s="330"/>
      <c r="FT152" s="330"/>
      <c r="FU152" s="330"/>
    </row>
    <row r="153" spans="1:177" ht="51" x14ac:dyDescent="0.25">
      <c r="A153" s="330">
        <v>152</v>
      </c>
      <c r="B153" s="331" t="s">
        <v>1565</v>
      </c>
      <c r="C153" s="330"/>
      <c r="D153" s="332" t="s">
        <v>228</v>
      </c>
      <c r="E153" s="332" t="s">
        <v>229</v>
      </c>
      <c r="F153" s="332" t="s">
        <v>230</v>
      </c>
      <c r="G153" s="330" t="s">
        <v>231</v>
      </c>
      <c r="H153" s="331">
        <v>400</v>
      </c>
      <c r="I153" s="330"/>
      <c r="J153" s="332"/>
      <c r="K153" s="332" t="s">
        <v>1566</v>
      </c>
      <c r="L153" s="330" t="s">
        <v>284</v>
      </c>
      <c r="M153" s="332" t="s">
        <v>751</v>
      </c>
      <c r="N153" s="330"/>
      <c r="O153" s="333"/>
      <c r="P153" s="333"/>
      <c r="Q153" s="333">
        <v>19268</v>
      </c>
      <c r="R153" s="333">
        <v>26</v>
      </c>
      <c r="S153" s="333"/>
      <c r="T153" s="333"/>
      <c r="U153" s="333"/>
      <c r="V153" s="333"/>
      <c r="W153" s="330"/>
      <c r="X153" s="330"/>
      <c r="Y153" s="332" t="s">
        <v>289</v>
      </c>
      <c r="Z153" s="330" t="s">
        <v>215</v>
      </c>
      <c r="AA153" s="330" t="s">
        <v>290</v>
      </c>
      <c r="AB153" s="330" t="s">
        <v>217</v>
      </c>
      <c r="AC153" s="330"/>
      <c r="AD153" s="330"/>
      <c r="AE153" s="330">
        <v>1</v>
      </c>
      <c r="AF153" s="330">
        <v>-39</v>
      </c>
      <c r="AG153" s="332" t="s">
        <v>192</v>
      </c>
      <c r="AH153" s="332" t="s">
        <v>191</v>
      </c>
      <c r="AI153" s="330" t="s">
        <v>192</v>
      </c>
      <c r="AJ153" s="330" t="s">
        <v>192</v>
      </c>
      <c r="AK153" s="330"/>
      <c r="AL153" s="330" t="s">
        <v>192</v>
      </c>
      <c r="AM153" s="330" t="s">
        <v>191</v>
      </c>
      <c r="AN153" s="330" t="s">
        <v>192</v>
      </c>
      <c r="AO153" s="330"/>
      <c r="AP153" s="332" t="s">
        <v>259</v>
      </c>
      <c r="AQ153" s="330"/>
      <c r="AR153" s="330"/>
      <c r="AS153" s="330"/>
      <c r="AT153" s="330"/>
      <c r="AU153" s="332" t="s">
        <v>192</v>
      </c>
      <c r="AV153" s="334">
        <v>46055.645146261573</v>
      </c>
      <c r="AW153" s="330"/>
      <c r="AX153" s="335">
        <v>46076</v>
      </c>
      <c r="AY153" s="330"/>
      <c r="AZ153" s="330"/>
      <c r="BA153" s="330"/>
      <c r="BB153" s="330"/>
      <c r="BC153" s="336">
        <v>46097</v>
      </c>
      <c r="BD153" s="330"/>
      <c r="BE153" s="336">
        <v>46097</v>
      </c>
      <c r="BF153" s="330"/>
      <c r="BG153" s="330"/>
      <c r="BH153" s="330" t="s">
        <v>193</v>
      </c>
      <c r="BI153" s="330">
        <v>500</v>
      </c>
      <c r="BJ153" s="330"/>
      <c r="BK153" s="330"/>
      <c r="BL153" s="330"/>
      <c r="BM153" s="332"/>
      <c r="BN153" s="330"/>
      <c r="BO153" s="330" t="s">
        <v>240</v>
      </c>
      <c r="BP153" s="330" t="s">
        <v>193</v>
      </c>
      <c r="BQ153" s="330" t="s">
        <v>218</v>
      </c>
      <c r="BR153" s="330" t="s">
        <v>220</v>
      </c>
      <c r="BS153" s="330"/>
      <c r="BT153" s="330" t="s">
        <v>220</v>
      </c>
      <c r="BU153" s="330"/>
      <c r="BV153" s="330" t="s">
        <v>220</v>
      </c>
      <c r="BW153" s="330"/>
      <c r="BX153" s="332"/>
      <c r="BY153" s="330"/>
      <c r="BZ153" s="330"/>
      <c r="CA153" s="330"/>
      <c r="CB153" s="330"/>
      <c r="CC153" s="337" t="s">
        <v>81</v>
      </c>
      <c r="CD153" s="330"/>
      <c r="CE153" s="330"/>
      <c r="CF153" s="330"/>
      <c r="CG153" s="330" t="s">
        <v>242</v>
      </c>
      <c r="CH153" s="330"/>
      <c r="CI153" s="330"/>
      <c r="CJ153" s="330"/>
      <c r="CK153" s="330"/>
      <c r="CL153" s="330"/>
      <c r="CM153" s="330"/>
      <c r="CN153" s="330"/>
      <c r="CO153" s="330"/>
      <c r="CP153" s="330"/>
      <c r="CQ153" s="330"/>
      <c r="CR153" s="330"/>
      <c r="CS153" s="330"/>
      <c r="CT153" s="330"/>
      <c r="CU153" s="330"/>
      <c r="CV153" s="330"/>
      <c r="CW153" s="330"/>
      <c r="CX153" s="330"/>
      <c r="CY153" s="330"/>
      <c r="CZ153" s="330"/>
      <c r="DA153" s="330"/>
      <c r="DB153" s="330"/>
      <c r="DC153" s="330"/>
      <c r="DD153" s="330"/>
      <c r="DE153" s="330"/>
      <c r="DF153" s="338">
        <v>24051</v>
      </c>
      <c r="DG153" s="330" t="s">
        <v>221</v>
      </c>
      <c r="DH153" s="330"/>
      <c r="DI153" s="340">
        <v>225</v>
      </c>
      <c r="DJ153" s="330"/>
      <c r="DK153" s="330">
        <v>225</v>
      </c>
      <c r="DL153" s="330" t="s">
        <v>243</v>
      </c>
      <c r="DM153" s="330"/>
      <c r="DN153" s="330"/>
      <c r="DO153" s="330"/>
      <c r="DP153" s="330"/>
      <c r="DQ153" s="338" t="s">
        <v>197</v>
      </c>
      <c r="DR153" s="330"/>
      <c r="DS153" s="330"/>
      <c r="DT153" s="330"/>
      <c r="DU153" s="338" t="s">
        <v>197</v>
      </c>
      <c r="DV153" s="330"/>
      <c r="DW153" s="330"/>
      <c r="DX153" s="330"/>
      <c r="DY153" s="338" t="s">
        <v>197</v>
      </c>
      <c r="DZ153" s="330"/>
      <c r="EA153" s="330"/>
      <c r="EB153" s="330"/>
      <c r="EC153" s="330" t="s">
        <v>197</v>
      </c>
      <c r="ED153" s="338" t="s">
        <v>197</v>
      </c>
      <c r="EE153" s="330">
        <v>8</v>
      </c>
      <c r="EF153" s="330">
        <v>8</v>
      </c>
      <c r="EG153" s="330"/>
      <c r="EH153" s="330"/>
      <c r="EI153" s="330"/>
      <c r="EJ153" s="330"/>
      <c r="EK153" s="330"/>
      <c r="EL153" s="330"/>
      <c r="EM153" s="330"/>
      <c r="EN153" s="330"/>
      <c r="EO153" s="330"/>
      <c r="EP153" s="330"/>
      <c r="EQ153" s="332" t="s">
        <v>244</v>
      </c>
      <c r="ER153" s="330"/>
      <c r="ES153" s="330"/>
      <c r="ET153" s="332"/>
      <c r="EU153" s="332"/>
      <c r="EV153" s="330"/>
      <c r="EW153" s="330"/>
      <c r="EX153" s="330" t="s">
        <v>200</v>
      </c>
      <c r="EY153" s="330"/>
      <c r="EZ153" s="330" t="s">
        <v>247</v>
      </c>
      <c r="FA153" s="330"/>
      <c r="FB153" s="330" t="s">
        <v>247</v>
      </c>
      <c r="FC153" s="330" t="s">
        <v>202</v>
      </c>
      <c r="FD153" s="332" t="s">
        <v>190</v>
      </c>
      <c r="FE153" s="330"/>
      <c r="FF153" s="330"/>
      <c r="FG153" s="330" t="s">
        <v>203</v>
      </c>
      <c r="FH153" s="330" t="s">
        <v>1567</v>
      </c>
      <c r="FI153" s="330" t="s">
        <v>204</v>
      </c>
      <c r="FJ153" s="330"/>
      <c r="FK153" s="330" t="s">
        <v>230</v>
      </c>
      <c r="FL153" s="330" t="s">
        <v>192</v>
      </c>
      <c r="FM153" s="330" t="s">
        <v>191</v>
      </c>
      <c r="FN153" s="330" t="s">
        <v>1568</v>
      </c>
      <c r="FO153" s="330"/>
      <c r="FP153" s="330" t="s">
        <v>459</v>
      </c>
      <c r="FQ153" s="330"/>
      <c r="FR153" s="330"/>
      <c r="FS153" s="330"/>
      <c r="FT153" s="330"/>
      <c r="FU153" s="330"/>
    </row>
    <row r="154" spans="1:177" ht="51" x14ac:dyDescent="0.25">
      <c r="A154" s="330">
        <v>153</v>
      </c>
      <c r="B154" s="331" t="s">
        <v>1569</v>
      </c>
      <c r="C154" s="330"/>
      <c r="D154" s="332" t="s">
        <v>1570</v>
      </c>
      <c r="E154" s="332" t="s">
        <v>1571</v>
      </c>
      <c r="F154" s="332" t="s">
        <v>1572</v>
      </c>
      <c r="G154" s="330" t="s">
        <v>1573</v>
      </c>
      <c r="H154" s="331"/>
      <c r="I154" s="330"/>
      <c r="J154" s="332" t="s">
        <v>1574</v>
      </c>
      <c r="K154" s="332"/>
      <c r="L154" s="330"/>
      <c r="M154" s="332"/>
      <c r="N154" s="330" t="s">
        <v>1575</v>
      </c>
      <c r="O154" s="333" t="s">
        <v>184</v>
      </c>
      <c r="P154" s="333" t="s">
        <v>184</v>
      </c>
      <c r="Q154" s="333" t="s">
        <v>184</v>
      </c>
      <c r="R154" s="333"/>
      <c r="S154" s="333">
        <v>119</v>
      </c>
      <c r="T154" s="333">
        <v>3</v>
      </c>
      <c r="U154" s="333">
        <v>0</v>
      </c>
      <c r="V154" s="333">
        <v>0</v>
      </c>
      <c r="W154" s="330">
        <v>12.5</v>
      </c>
      <c r="X154" s="330" t="s">
        <v>213</v>
      </c>
      <c r="Y154" s="332" t="s">
        <v>1576</v>
      </c>
      <c r="Z154" s="330" t="s">
        <v>739</v>
      </c>
      <c r="AA154" s="330" t="s">
        <v>1577</v>
      </c>
      <c r="AB154" s="330" t="s">
        <v>189</v>
      </c>
      <c r="AC154" s="330"/>
      <c r="AD154" s="330"/>
      <c r="AE154" s="330">
        <v>17</v>
      </c>
      <c r="AF154" s="330">
        <v>-155</v>
      </c>
      <c r="AG154" s="332" t="s">
        <v>190</v>
      </c>
      <c r="AH154" s="332" t="s">
        <v>191</v>
      </c>
      <c r="AI154" s="330"/>
      <c r="AJ154" s="330"/>
      <c r="AK154" s="330"/>
      <c r="AL154" s="330" t="s">
        <v>191</v>
      </c>
      <c r="AM154" s="330"/>
      <c r="AN154" s="330"/>
      <c r="AO154" s="330"/>
      <c r="AP154" s="332"/>
      <c r="AQ154" s="330"/>
      <c r="AR154" s="330"/>
      <c r="AS154" s="330"/>
      <c r="AT154" s="330"/>
      <c r="AU154" s="332" t="s">
        <v>191</v>
      </c>
      <c r="AV154" s="334">
        <v>45903.336461539351</v>
      </c>
      <c r="AW154" s="330" t="b">
        <v>1</v>
      </c>
      <c r="AX154" s="335">
        <v>45911</v>
      </c>
      <c r="AY154" s="336">
        <v>45903</v>
      </c>
      <c r="AZ154" s="330"/>
      <c r="BA154" s="336">
        <v>45912</v>
      </c>
      <c r="BB154" s="330"/>
      <c r="BC154" s="336">
        <v>45916</v>
      </c>
      <c r="BD154" s="330"/>
      <c r="BE154" s="336">
        <v>45916</v>
      </c>
      <c r="BF154" s="330"/>
      <c r="BG154" s="330"/>
      <c r="BH154" s="330" t="s">
        <v>193</v>
      </c>
      <c r="BI154" s="330">
        <v>23</v>
      </c>
      <c r="BJ154" s="330"/>
      <c r="BK154" s="330"/>
      <c r="BL154" s="330"/>
      <c r="BM154" s="332"/>
      <c r="BN154" s="330"/>
      <c r="BO154" s="330"/>
      <c r="BP154" s="330"/>
      <c r="BQ154" s="330"/>
      <c r="BR154" s="330"/>
      <c r="BS154" s="330"/>
      <c r="BT154" s="330"/>
      <c r="BU154" s="330"/>
      <c r="BV154" s="330"/>
      <c r="BW154" s="330"/>
      <c r="BX154" s="332"/>
      <c r="BY154" s="330"/>
      <c r="BZ154" s="330"/>
      <c r="CA154" s="330"/>
      <c r="CB154" s="330"/>
      <c r="CC154" s="337" t="s">
        <v>194</v>
      </c>
      <c r="CD154" s="330"/>
      <c r="CE154" s="330" t="b">
        <v>1</v>
      </c>
      <c r="CF154" s="330"/>
      <c r="CG154" s="330"/>
      <c r="CH154" s="330"/>
      <c r="CI154" s="330"/>
      <c r="CJ154" s="330"/>
      <c r="CK154" s="330"/>
      <c r="CL154" s="330"/>
      <c r="CM154" s="330"/>
      <c r="CN154" s="330"/>
      <c r="CO154" s="330" t="b">
        <v>1</v>
      </c>
      <c r="CP154" s="330" t="b">
        <v>1</v>
      </c>
      <c r="CQ154" s="330"/>
      <c r="CR154" s="330"/>
      <c r="CS154" s="330"/>
      <c r="CT154" s="330"/>
      <c r="CU154" s="330"/>
      <c r="CV154" s="330"/>
      <c r="CW154" s="330"/>
      <c r="CX154" s="330"/>
      <c r="CY154" s="330"/>
      <c r="CZ154" s="330"/>
      <c r="DA154" s="330"/>
      <c r="DB154" s="330"/>
      <c r="DC154" s="330"/>
      <c r="DD154" s="330"/>
      <c r="DE154" s="330"/>
      <c r="DF154" s="338">
        <v>24046</v>
      </c>
      <c r="DG154" s="330" t="s">
        <v>764</v>
      </c>
      <c r="DH154" s="330"/>
      <c r="DI154" s="338">
        <v>12</v>
      </c>
      <c r="DJ154" s="330"/>
      <c r="DK154" s="330">
        <v>12</v>
      </c>
      <c r="DL154" s="330" t="s">
        <v>1578</v>
      </c>
      <c r="DM154" s="330"/>
      <c r="DN154" s="330"/>
      <c r="DO154" s="330"/>
      <c r="DP154" s="330"/>
      <c r="DQ154" s="338" t="s">
        <v>197</v>
      </c>
      <c r="DR154" s="330"/>
      <c r="DS154" s="330"/>
      <c r="DT154" s="330"/>
      <c r="DU154" s="338" t="s">
        <v>197</v>
      </c>
      <c r="DV154" s="330"/>
      <c r="DW154" s="330"/>
      <c r="DX154" s="330"/>
      <c r="DY154" s="338" t="s">
        <v>197</v>
      </c>
      <c r="DZ154" s="330"/>
      <c r="EA154" s="330"/>
      <c r="EB154" s="330"/>
      <c r="EC154" s="330" t="s">
        <v>197</v>
      </c>
      <c r="ED154" s="338" t="s">
        <v>197</v>
      </c>
      <c r="EE154" s="341">
        <v>2</v>
      </c>
      <c r="EF154" s="341">
        <v>7</v>
      </c>
      <c r="EG154" s="330"/>
      <c r="EH154" s="330"/>
      <c r="EI154" s="330"/>
      <c r="EJ154" s="330"/>
      <c r="EK154" s="330"/>
      <c r="EL154" s="330"/>
      <c r="EM154" s="330"/>
      <c r="EN154" s="330"/>
      <c r="EO154" s="330"/>
      <c r="EP154" s="330"/>
      <c r="EQ154" s="332" t="s">
        <v>198</v>
      </c>
      <c r="ER154" s="330"/>
      <c r="ES154" s="330"/>
      <c r="ET154" s="332"/>
      <c r="EU154" s="332" t="s">
        <v>199</v>
      </c>
      <c r="EV154" s="330"/>
      <c r="EW154" s="330"/>
      <c r="EX154" s="330" t="s">
        <v>200</v>
      </c>
      <c r="EY154" s="330"/>
      <c r="EZ154" s="330" t="s">
        <v>201</v>
      </c>
      <c r="FA154" s="336">
        <v>45908</v>
      </c>
      <c r="FB154" s="330">
        <v>2</v>
      </c>
      <c r="FC154" s="330" t="s">
        <v>202</v>
      </c>
      <c r="FD154" s="332" t="s">
        <v>190</v>
      </c>
      <c r="FE154" s="336">
        <v>45909</v>
      </c>
      <c r="FF154" s="330"/>
      <c r="FG154" s="330" t="s">
        <v>203</v>
      </c>
      <c r="FH154" s="330"/>
      <c r="FI154" s="330" t="s">
        <v>204</v>
      </c>
      <c r="FJ154" s="330"/>
      <c r="FK154" s="330" t="s">
        <v>1572</v>
      </c>
      <c r="FL154" s="330" t="s">
        <v>191</v>
      </c>
      <c r="FM154" s="330"/>
      <c r="FN154" s="330" t="s">
        <v>1579</v>
      </c>
      <c r="FO154" s="330"/>
      <c r="FP154" s="330" t="s">
        <v>1580</v>
      </c>
      <c r="FQ154" s="330"/>
      <c r="FR154" s="330"/>
      <c r="FS154" s="330"/>
      <c r="FT154" s="330"/>
      <c r="FU154" s="330"/>
    </row>
    <row r="155" spans="1:177" ht="25.5" x14ac:dyDescent="0.25">
      <c r="A155" s="330">
        <v>154</v>
      </c>
      <c r="B155" s="331" t="s">
        <v>1578</v>
      </c>
      <c r="C155" s="330"/>
      <c r="D155" s="332" t="s">
        <v>1570</v>
      </c>
      <c r="E155" s="332" t="s">
        <v>1571</v>
      </c>
      <c r="F155" s="332" t="s">
        <v>1572</v>
      </c>
      <c r="G155" s="330" t="s">
        <v>1573</v>
      </c>
      <c r="H155" s="331"/>
      <c r="I155" s="330"/>
      <c r="J155" s="332"/>
      <c r="K155" s="332"/>
      <c r="L155" s="330"/>
      <c r="M155" s="332"/>
      <c r="N155" s="330" t="s">
        <v>1581</v>
      </c>
      <c r="O155" s="333" t="s">
        <v>184</v>
      </c>
      <c r="P155" s="333" t="s">
        <v>184</v>
      </c>
      <c r="Q155" s="333" t="s">
        <v>184</v>
      </c>
      <c r="R155" s="333">
        <v>0</v>
      </c>
      <c r="S155" s="333">
        <v>53</v>
      </c>
      <c r="T155" s="333">
        <v>3</v>
      </c>
      <c r="U155" s="333">
        <v>0</v>
      </c>
      <c r="V155" s="333">
        <v>0</v>
      </c>
      <c r="W155" s="330">
        <v>8.25</v>
      </c>
      <c r="X155" s="330" t="s">
        <v>213</v>
      </c>
      <c r="Y155" s="332" t="s">
        <v>1582</v>
      </c>
      <c r="Z155" s="330" t="s">
        <v>739</v>
      </c>
      <c r="AA155" s="330" t="s">
        <v>1583</v>
      </c>
      <c r="AB155" s="330" t="s">
        <v>189</v>
      </c>
      <c r="AC155" s="330"/>
      <c r="AD155" s="330"/>
      <c r="AE155" s="330">
        <v>17</v>
      </c>
      <c r="AF155" s="330">
        <v>-155</v>
      </c>
      <c r="AG155" s="332" t="s">
        <v>190</v>
      </c>
      <c r="AH155" s="332" t="s">
        <v>191</v>
      </c>
      <c r="AI155" s="330"/>
      <c r="AJ155" s="330"/>
      <c r="AK155" s="330"/>
      <c r="AL155" s="330" t="s">
        <v>191</v>
      </c>
      <c r="AM155" s="330"/>
      <c r="AN155" s="330"/>
      <c r="AO155" s="330"/>
      <c r="AP155" s="332"/>
      <c r="AQ155" s="330"/>
      <c r="AR155" s="330"/>
      <c r="AS155" s="330"/>
      <c r="AT155" s="330"/>
      <c r="AU155" s="332" t="s">
        <v>191</v>
      </c>
      <c r="AV155" s="334">
        <v>45903.338617928239</v>
      </c>
      <c r="AW155" s="330" t="b">
        <v>1</v>
      </c>
      <c r="AX155" s="335">
        <v>45911</v>
      </c>
      <c r="AY155" s="336">
        <v>45903</v>
      </c>
      <c r="AZ155" s="330"/>
      <c r="BA155" s="336">
        <v>45912</v>
      </c>
      <c r="BB155" s="330"/>
      <c r="BC155" s="336">
        <v>45916</v>
      </c>
      <c r="BD155" s="330"/>
      <c r="BE155" s="336">
        <v>45916</v>
      </c>
      <c r="BF155" s="330"/>
      <c r="BG155" s="330"/>
      <c r="BH155" s="330" t="s">
        <v>193</v>
      </c>
      <c r="BI155" s="330">
        <v>23</v>
      </c>
      <c r="BJ155" s="330"/>
      <c r="BK155" s="330"/>
      <c r="BL155" s="330"/>
      <c r="BM155" s="332"/>
      <c r="BN155" s="330"/>
      <c r="BO155" s="330"/>
      <c r="BP155" s="330"/>
      <c r="BQ155" s="330"/>
      <c r="BR155" s="330"/>
      <c r="BS155" s="330"/>
      <c r="BT155" s="330"/>
      <c r="BU155" s="330"/>
      <c r="BV155" s="330"/>
      <c r="BW155" s="330"/>
      <c r="BX155" s="332"/>
      <c r="BY155" s="330"/>
      <c r="BZ155" s="330"/>
      <c r="CA155" s="330"/>
      <c r="CB155" s="330"/>
      <c r="CC155" s="337" t="s">
        <v>194</v>
      </c>
      <c r="CD155" s="330"/>
      <c r="CE155" s="330" t="b">
        <v>1</v>
      </c>
      <c r="CF155" s="330"/>
      <c r="CG155" s="330"/>
      <c r="CH155" s="330"/>
      <c r="CI155" s="330"/>
      <c r="CJ155" s="330"/>
      <c r="CK155" s="330"/>
      <c r="CL155" s="330"/>
      <c r="CM155" s="330"/>
      <c r="CN155" s="330"/>
      <c r="CO155" s="330" t="b">
        <v>1</v>
      </c>
      <c r="CP155" s="330" t="b">
        <v>1</v>
      </c>
      <c r="CQ155" s="330"/>
      <c r="CR155" s="330"/>
      <c r="CS155" s="330"/>
      <c r="CT155" s="330"/>
      <c r="CU155" s="330"/>
      <c r="CV155" s="330"/>
      <c r="CW155" s="330"/>
      <c r="CX155" s="330"/>
      <c r="CY155" s="330"/>
      <c r="CZ155" s="330"/>
      <c r="DA155" s="330"/>
      <c r="DB155" s="330"/>
      <c r="DC155" s="330"/>
      <c r="DD155" s="330"/>
      <c r="DE155" s="330"/>
      <c r="DF155" s="338">
        <v>24046</v>
      </c>
      <c r="DG155" s="330" t="s">
        <v>764</v>
      </c>
      <c r="DH155" s="330"/>
      <c r="DI155" s="338">
        <v>13</v>
      </c>
      <c r="DJ155" s="330"/>
      <c r="DK155" s="330">
        <v>13</v>
      </c>
      <c r="DL155" s="330" t="s">
        <v>1578</v>
      </c>
      <c r="DM155" s="330"/>
      <c r="DN155" s="330"/>
      <c r="DO155" s="330"/>
      <c r="DP155" s="330"/>
      <c r="DQ155" s="338" t="s">
        <v>197</v>
      </c>
      <c r="DR155" s="330"/>
      <c r="DS155" s="330"/>
      <c r="DT155" s="330"/>
      <c r="DU155" s="338" t="s">
        <v>197</v>
      </c>
      <c r="DV155" s="330"/>
      <c r="DW155" s="330"/>
      <c r="DX155" s="330"/>
      <c r="DY155" s="338" t="s">
        <v>197</v>
      </c>
      <c r="DZ155" s="330"/>
      <c r="EA155" s="330"/>
      <c r="EB155" s="330"/>
      <c r="EC155" s="330" t="s">
        <v>197</v>
      </c>
      <c r="ED155" s="338" t="s">
        <v>197</v>
      </c>
      <c r="EE155" s="341">
        <v>6</v>
      </c>
      <c r="EF155" s="341">
        <v>7</v>
      </c>
      <c r="EG155" s="330"/>
      <c r="EH155" s="330"/>
      <c r="EI155" s="330"/>
      <c r="EJ155" s="330"/>
      <c r="EK155" s="330"/>
      <c r="EL155" s="330"/>
      <c r="EM155" s="330"/>
      <c r="EN155" s="330"/>
      <c r="EO155" s="330"/>
      <c r="EP155" s="330"/>
      <c r="EQ155" s="332" t="s">
        <v>198</v>
      </c>
      <c r="ER155" s="330"/>
      <c r="ES155" s="330"/>
      <c r="ET155" s="332"/>
      <c r="EU155" s="332" t="s">
        <v>199</v>
      </c>
      <c r="EV155" s="330"/>
      <c r="EW155" s="330"/>
      <c r="EX155" s="330" t="s">
        <v>200</v>
      </c>
      <c r="EY155" s="330"/>
      <c r="EZ155" s="330" t="s">
        <v>201</v>
      </c>
      <c r="FA155" s="336">
        <v>45908</v>
      </c>
      <c r="FB155" s="330">
        <v>2</v>
      </c>
      <c r="FC155" s="330" t="s">
        <v>202</v>
      </c>
      <c r="FD155" s="332" t="s">
        <v>190</v>
      </c>
      <c r="FE155" s="336">
        <v>45909</v>
      </c>
      <c r="FF155" s="330"/>
      <c r="FG155" s="330" t="s">
        <v>203</v>
      </c>
      <c r="FH155" s="330"/>
      <c r="FI155" s="330" t="s">
        <v>204</v>
      </c>
      <c r="FJ155" s="330"/>
      <c r="FK155" s="330" t="s">
        <v>1572</v>
      </c>
      <c r="FL155" s="330" t="s">
        <v>191</v>
      </c>
      <c r="FM155" s="330"/>
      <c r="FN155" s="330" t="s">
        <v>1584</v>
      </c>
      <c r="FO155" s="330"/>
      <c r="FP155" s="330" t="s">
        <v>1580</v>
      </c>
      <c r="FQ155" s="330"/>
      <c r="FR155" s="330"/>
      <c r="FS155" s="330"/>
      <c r="FT155" s="330"/>
      <c r="FU155" s="330"/>
    </row>
    <row r="156" spans="1:177" ht="89.25" x14ac:dyDescent="0.25">
      <c r="A156" s="330">
        <v>155</v>
      </c>
      <c r="B156" s="331" t="s">
        <v>1585</v>
      </c>
      <c r="C156" s="330"/>
      <c r="D156" s="332" t="s">
        <v>228</v>
      </c>
      <c r="E156" s="332" t="s">
        <v>229</v>
      </c>
      <c r="F156" s="332" t="s">
        <v>230</v>
      </c>
      <c r="G156" s="330" t="s">
        <v>231</v>
      </c>
      <c r="H156" s="331">
        <v>400</v>
      </c>
      <c r="I156" s="330"/>
      <c r="J156" s="332"/>
      <c r="K156" s="332" t="s">
        <v>408</v>
      </c>
      <c r="L156" s="330" t="s">
        <v>284</v>
      </c>
      <c r="M156" s="332" t="s">
        <v>1586</v>
      </c>
      <c r="N156" s="330" t="s">
        <v>1587</v>
      </c>
      <c r="O156" s="339">
        <v>0.69851567365580203</v>
      </c>
      <c r="P156" s="333">
        <v>13459</v>
      </c>
      <c r="Q156" s="333">
        <v>19268</v>
      </c>
      <c r="R156" s="333">
        <v>209</v>
      </c>
      <c r="S156" s="333">
        <v>209</v>
      </c>
      <c r="T156" s="333">
        <v>14</v>
      </c>
      <c r="U156" s="333">
        <v>1432</v>
      </c>
      <c r="V156" s="333">
        <v>1900</v>
      </c>
      <c r="W156" s="330" t="s">
        <v>1588</v>
      </c>
      <c r="X156" s="330" t="s">
        <v>1589</v>
      </c>
      <c r="Y156" s="332" t="s">
        <v>351</v>
      </c>
      <c r="Z156" s="330" t="s">
        <v>215</v>
      </c>
      <c r="AA156" s="330" t="s">
        <v>352</v>
      </c>
      <c r="AB156" s="330" t="s">
        <v>189</v>
      </c>
      <c r="AC156" s="330"/>
      <c r="AD156" s="330"/>
      <c r="AE156" s="330">
        <v>81</v>
      </c>
      <c r="AF156" s="330">
        <v>-34</v>
      </c>
      <c r="AG156" s="332" t="s">
        <v>238</v>
      </c>
      <c r="AH156" s="332" t="s">
        <v>191</v>
      </c>
      <c r="AI156" s="330" t="s">
        <v>192</v>
      </c>
      <c r="AJ156" s="330" t="s">
        <v>192</v>
      </c>
      <c r="AK156" s="330"/>
      <c r="AL156" s="330" t="s">
        <v>192</v>
      </c>
      <c r="AM156" s="330" t="s">
        <v>191</v>
      </c>
      <c r="AN156" s="330" t="s">
        <v>192</v>
      </c>
      <c r="AO156" s="330"/>
      <c r="AP156" s="332" t="s">
        <v>259</v>
      </c>
      <c r="AQ156" s="330"/>
      <c r="AR156" s="330"/>
      <c r="AS156" s="330" t="b">
        <v>1</v>
      </c>
      <c r="AT156" s="330"/>
      <c r="AU156" s="332" t="s">
        <v>192</v>
      </c>
      <c r="AV156" s="334">
        <v>46010.674014826393</v>
      </c>
      <c r="AW156" s="330"/>
      <c r="AX156" s="335">
        <v>46041</v>
      </c>
      <c r="AY156" s="336">
        <v>46065</v>
      </c>
      <c r="AZ156" s="330" t="b">
        <v>1</v>
      </c>
      <c r="BA156" s="336">
        <v>46083</v>
      </c>
      <c r="BB156" s="330"/>
      <c r="BC156" s="336">
        <v>46062</v>
      </c>
      <c r="BD156" s="330"/>
      <c r="BE156" s="336">
        <v>46062</v>
      </c>
      <c r="BF156" s="330"/>
      <c r="BG156" s="330"/>
      <c r="BH156" s="330" t="s">
        <v>193</v>
      </c>
      <c r="BI156" s="330">
        <v>750</v>
      </c>
      <c r="BJ156" s="330"/>
      <c r="BK156" s="330"/>
      <c r="BL156" s="330"/>
      <c r="BM156" s="332"/>
      <c r="BN156" s="330"/>
      <c r="BO156" s="330" t="s">
        <v>240</v>
      </c>
      <c r="BP156" s="330" t="s">
        <v>193</v>
      </c>
      <c r="BQ156" s="330" t="s">
        <v>218</v>
      </c>
      <c r="BR156" s="330" t="s">
        <v>220</v>
      </c>
      <c r="BS156" s="330"/>
      <c r="BT156" s="330" t="s">
        <v>220</v>
      </c>
      <c r="BU156" s="330"/>
      <c r="BV156" s="330" t="s">
        <v>220</v>
      </c>
      <c r="BW156" s="330"/>
      <c r="BX156" s="332"/>
      <c r="BY156" s="330"/>
      <c r="BZ156" s="330"/>
      <c r="CA156" s="330"/>
      <c r="CB156" s="330"/>
      <c r="CC156" s="337" t="s">
        <v>241</v>
      </c>
      <c r="CD156" s="330" t="b">
        <v>1</v>
      </c>
      <c r="CE156" s="330" t="b">
        <v>1</v>
      </c>
      <c r="CF156" s="330" t="b">
        <v>1</v>
      </c>
      <c r="CG156" s="330"/>
      <c r="CH156" s="330"/>
      <c r="CI156" s="330"/>
      <c r="CJ156" s="330"/>
      <c r="CK156" s="330"/>
      <c r="CL156" s="330"/>
      <c r="CM156" s="330"/>
      <c r="CN156" s="330"/>
      <c r="CO156" s="330"/>
      <c r="CP156" s="330"/>
      <c r="CQ156" s="330"/>
      <c r="CR156" s="330"/>
      <c r="CS156" s="330"/>
      <c r="CT156" s="330"/>
      <c r="CU156" s="330"/>
      <c r="CV156" s="330"/>
      <c r="CW156" s="330"/>
      <c r="CX156" s="330"/>
      <c r="CY156" s="330"/>
      <c r="CZ156" s="330"/>
      <c r="DA156" s="330"/>
      <c r="DB156" s="330" t="b">
        <v>1</v>
      </c>
      <c r="DC156" s="330" t="b">
        <v>1</v>
      </c>
      <c r="DD156" s="330"/>
      <c r="DE156" s="330"/>
      <c r="DF156" s="338">
        <v>24051</v>
      </c>
      <c r="DG156" s="330" t="s">
        <v>221</v>
      </c>
      <c r="DH156" s="330"/>
      <c r="DI156" s="338">
        <v>77</v>
      </c>
      <c r="DJ156" s="330"/>
      <c r="DK156" s="330">
        <v>77</v>
      </c>
      <c r="DL156" s="330" t="s">
        <v>243</v>
      </c>
      <c r="DM156" s="330"/>
      <c r="DN156" s="330"/>
      <c r="DO156" s="330"/>
      <c r="DP156" s="330"/>
      <c r="DQ156" s="338" t="s">
        <v>197</v>
      </c>
      <c r="DR156" s="330"/>
      <c r="DS156" s="330"/>
      <c r="DT156" s="330"/>
      <c r="DU156" s="338" t="s">
        <v>197</v>
      </c>
      <c r="DV156" s="330"/>
      <c r="DW156" s="330"/>
      <c r="DX156" s="330"/>
      <c r="DY156" s="338" t="s">
        <v>197</v>
      </c>
      <c r="DZ156" s="330"/>
      <c r="EA156" s="330"/>
      <c r="EB156" s="330"/>
      <c r="EC156" s="330" t="s">
        <v>197</v>
      </c>
      <c r="ED156" s="338" t="s">
        <v>197</v>
      </c>
      <c r="EE156" s="330">
        <v>24</v>
      </c>
      <c r="EF156" s="330">
        <v>400</v>
      </c>
      <c r="EG156" s="330"/>
      <c r="EH156" s="330"/>
      <c r="EI156" s="330"/>
      <c r="EJ156" s="330"/>
      <c r="EK156" s="330"/>
      <c r="EL156" s="330"/>
      <c r="EM156" s="330"/>
      <c r="EN156" s="330"/>
      <c r="EO156" s="330"/>
      <c r="EP156" s="330"/>
      <c r="EQ156" s="332" t="s">
        <v>244</v>
      </c>
      <c r="ER156" s="330"/>
      <c r="ES156" s="330"/>
      <c r="ET156" s="332" t="s">
        <v>245</v>
      </c>
      <c r="EU156" s="332" t="s">
        <v>354</v>
      </c>
      <c r="EV156" s="336">
        <v>46064</v>
      </c>
      <c r="EW156" s="336">
        <v>46064</v>
      </c>
      <c r="EX156" s="330">
        <v>1</v>
      </c>
      <c r="EY156" s="330"/>
      <c r="EZ156" s="330" t="s">
        <v>201</v>
      </c>
      <c r="FA156" s="336">
        <v>46101</v>
      </c>
      <c r="FB156" s="330">
        <v>2</v>
      </c>
      <c r="FC156" s="330" t="s">
        <v>202</v>
      </c>
      <c r="FD156" s="332" t="s">
        <v>190</v>
      </c>
      <c r="FE156" s="336">
        <v>46104</v>
      </c>
      <c r="FF156" s="330"/>
      <c r="FG156" s="330" t="s">
        <v>203</v>
      </c>
      <c r="FH156" s="330" t="s">
        <v>260</v>
      </c>
      <c r="FI156" s="330" t="s">
        <v>204</v>
      </c>
      <c r="FJ156" s="330"/>
      <c r="FK156" s="330" t="s">
        <v>230</v>
      </c>
      <c r="FL156" s="330" t="s">
        <v>192</v>
      </c>
      <c r="FM156" s="330" t="s">
        <v>191</v>
      </c>
      <c r="FN156" s="330" t="s">
        <v>1590</v>
      </c>
      <c r="FO156" s="330"/>
      <c r="FP156" s="330" t="s">
        <v>451</v>
      </c>
      <c r="FQ156" s="330"/>
      <c r="FR156" s="330"/>
      <c r="FS156" s="330"/>
      <c r="FT156" s="330"/>
      <c r="FU156" s="330"/>
    </row>
    <row r="157" spans="1:177" ht="114.75" x14ac:dyDescent="0.25">
      <c r="A157" s="330">
        <v>156</v>
      </c>
      <c r="B157" s="331" t="s">
        <v>1591</v>
      </c>
      <c r="C157" s="330"/>
      <c r="D157" s="332" t="s">
        <v>228</v>
      </c>
      <c r="E157" s="332" t="s">
        <v>229</v>
      </c>
      <c r="F157" s="332" t="s">
        <v>230</v>
      </c>
      <c r="G157" s="330" t="s">
        <v>231</v>
      </c>
      <c r="H157" s="331">
        <v>400</v>
      </c>
      <c r="I157" s="330"/>
      <c r="J157" s="332"/>
      <c r="K157" s="332" t="s">
        <v>1592</v>
      </c>
      <c r="L157" s="330" t="s">
        <v>284</v>
      </c>
      <c r="M157" s="332" t="s">
        <v>1593</v>
      </c>
      <c r="N157" s="330" t="s">
        <v>1594</v>
      </c>
      <c r="O157" s="339">
        <v>0.72778700435956001</v>
      </c>
      <c r="P157" s="333">
        <v>14023</v>
      </c>
      <c r="Q157" s="333">
        <v>19268</v>
      </c>
      <c r="R157" s="333">
        <v>180</v>
      </c>
      <c r="S157" s="333">
        <v>180</v>
      </c>
      <c r="T157" s="333">
        <v>26</v>
      </c>
      <c r="U157" s="333">
        <v>1201</v>
      </c>
      <c r="V157" s="333">
        <v>1000</v>
      </c>
      <c r="W157" s="330">
        <v>44</v>
      </c>
      <c r="X157" s="330" t="s">
        <v>1595</v>
      </c>
      <c r="Y157" s="332" t="s">
        <v>351</v>
      </c>
      <c r="Z157" s="330" t="s">
        <v>215</v>
      </c>
      <c r="AA157" s="330" t="s">
        <v>352</v>
      </c>
      <c r="AB157" s="330" t="s">
        <v>189</v>
      </c>
      <c r="AC157" s="330"/>
      <c r="AD157" s="330"/>
      <c r="AE157" s="330">
        <v>89</v>
      </c>
      <c r="AF157" s="330">
        <v>-22</v>
      </c>
      <c r="AG157" s="332" t="s">
        <v>238</v>
      </c>
      <c r="AH157" s="332" t="s">
        <v>191</v>
      </c>
      <c r="AI157" s="330" t="s">
        <v>192</v>
      </c>
      <c r="AJ157" s="330" t="s">
        <v>192</v>
      </c>
      <c r="AK157" s="330"/>
      <c r="AL157" s="330" t="s">
        <v>192</v>
      </c>
      <c r="AM157" s="330" t="s">
        <v>191</v>
      </c>
      <c r="AN157" s="330" t="s">
        <v>192</v>
      </c>
      <c r="AO157" s="330"/>
      <c r="AP157" s="332" t="s">
        <v>259</v>
      </c>
      <c r="AQ157" s="330"/>
      <c r="AR157" s="330"/>
      <c r="AS157" s="330" t="b">
        <v>1</v>
      </c>
      <c r="AT157" s="330"/>
      <c r="AU157" s="332" t="s">
        <v>192</v>
      </c>
      <c r="AV157" s="334">
        <v>46012.247181319442</v>
      </c>
      <c r="AW157" s="330"/>
      <c r="AX157" s="335">
        <v>46045</v>
      </c>
      <c r="AY157" s="336">
        <v>46083</v>
      </c>
      <c r="AZ157" s="330" t="b">
        <v>1</v>
      </c>
      <c r="BA157" s="336">
        <v>46099</v>
      </c>
      <c r="BB157" s="330"/>
      <c r="BC157" s="336">
        <v>46066</v>
      </c>
      <c r="BD157" s="330"/>
      <c r="BE157" s="336">
        <v>46066</v>
      </c>
      <c r="BF157" s="330"/>
      <c r="BG157" s="330"/>
      <c r="BH157" s="330" t="s">
        <v>193</v>
      </c>
      <c r="BI157" s="330">
        <v>750</v>
      </c>
      <c r="BJ157" s="330"/>
      <c r="BK157" s="330"/>
      <c r="BL157" s="330"/>
      <c r="BM157" s="332"/>
      <c r="BN157" s="330"/>
      <c r="BO157" s="330" t="s">
        <v>240</v>
      </c>
      <c r="BP157" s="330" t="s">
        <v>193</v>
      </c>
      <c r="BQ157" s="330" t="s">
        <v>218</v>
      </c>
      <c r="BR157" s="330" t="s">
        <v>220</v>
      </c>
      <c r="BS157" s="330"/>
      <c r="BT157" s="330" t="s">
        <v>220</v>
      </c>
      <c r="BU157" s="330"/>
      <c r="BV157" s="330" t="s">
        <v>220</v>
      </c>
      <c r="BW157" s="330"/>
      <c r="BX157" s="332"/>
      <c r="BY157" s="330"/>
      <c r="BZ157" s="330"/>
      <c r="CA157" s="330"/>
      <c r="CB157" s="330"/>
      <c r="CC157" s="337" t="s">
        <v>241</v>
      </c>
      <c r="CD157" s="330"/>
      <c r="CE157" s="330"/>
      <c r="CF157" s="330"/>
      <c r="CG157" s="330" t="s">
        <v>242</v>
      </c>
      <c r="CH157" s="330"/>
      <c r="CI157" s="330"/>
      <c r="CJ157" s="330"/>
      <c r="CK157" s="330"/>
      <c r="CL157" s="330"/>
      <c r="CM157" s="330"/>
      <c r="CN157" s="330"/>
      <c r="CO157" s="330"/>
      <c r="CP157" s="330"/>
      <c r="CQ157" s="330"/>
      <c r="CR157" s="330"/>
      <c r="CS157" s="330"/>
      <c r="CT157" s="330"/>
      <c r="CU157" s="330"/>
      <c r="CV157" s="330"/>
      <c r="CW157" s="330"/>
      <c r="CX157" s="330"/>
      <c r="CY157" s="330"/>
      <c r="CZ157" s="330"/>
      <c r="DA157" s="330"/>
      <c r="DB157" s="330"/>
      <c r="DC157" s="330"/>
      <c r="DD157" s="330"/>
      <c r="DE157" s="330"/>
      <c r="DF157" s="338">
        <v>24051</v>
      </c>
      <c r="DG157" s="330" t="s">
        <v>221</v>
      </c>
      <c r="DH157" s="330"/>
      <c r="DI157" s="338">
        <v>78</v>
      </c>
      <c r="DJ157" s="330"/>
      <c r="DK157" s="330">
        <v>78</v>
      </c>
      <c r="DL157" s="330" t="s">
        <v>243</v>
      </c>
      <c r="DM157" s="330"/>
      <c r="DN157" s="330"/>
      <c r="DO157" s="330"/>
      <c r="DP157" s="330"/>
      <c r="DQ157" s="338" t="s">
        <v>197</v>
      </c>
      <c r="DR157" s="330"/>
      <c r="DS157" s="330"/>
      <c r="DT157" s="330"/>
      <c r="DU157" s="338" t="s">
        <v>197</v>
      </c>
      <c r="DV157" s="330"/>
      <c r="DW157" s="330"/>
      <c r="DX157" s="330"/>
      <c r="DY157" s="338" t="s">
        <v>197</v>
      </c>
      <c r="DZ157" s="330"/>
      <c r="EA157" s="330"/>
      <c r="EB157" s="330"/>
      <c r="EC157" s="330" t="s">
        <v>197</v>
      </c>
      <c r="ED157" s="338" t="s">
        <v>197</v>
      </c>
      <c r="EE157" s="330">
        <v>16</v>
      </c>
      <c r="EF157" s="330">
        <v>300</v>
      </c>
      <c r="EG157" s="330"/>
      <c r="EH157" s="330"/>
      <c r="EI157" s="330"/>
      <c r="EJ157" s="330"/>
      <c r="EK157" s="330"/>
      <c r="EL157" s="330"/>
      <c r="EM157" s="330"/>
      <c r="EN157" s="330"/>
      <c r="EO157" s="330"/>
      <c r="EP157" s="330"/>
      <c r="EQ157" s="332" t="s">
        <v>244</v>
      </c>
      <c r="ER157" s="330"/>
      <c r="ES157" s="330"/>
      <c r="ET157" s="332"/>
      <c r="EU157" s="332"/>
      <c r="EV157" s="336">
        <v>46080</v>
      </c>
      <c r="EW157" s="336">
        <v>46083</v>
      </c>
      <c r="EX157" s="330">
        <v>2</v>
      </c>
      <c r="EY157" s="330"/>
      <c r="EZ157" s="330" t="s">
        <v>201</v>
      </c>
      <c r="FA157" s="336">
        <v>46093</v>
      </c>
      <c r="FB157" s="330">
        <v>2</v>
      </c>
      <c r="FC157" s="330" t="s">
        <v>202</v>
      </c>
      <c r="FD157" s="332" t="s">
        <v>190</v>
      </c>
      <c r="FE157" s="336">
        <v>46094</v>
      </c>
      <c r="FF157" s="330"/>
      <c r="FG157" s="330" t="s">
        <v>203</v>
      </c>
      <c r="FH157" s="330" t="s">
        <v>457</v>
      </c>
      <c r="FI157" s="330" t="s">
        <v>204</v>
      </c>
      <c r="FJ157" s="330"/>
      <c r="FK157" s="330" t="s">
        <v>230</v>
      </c>
      <c r="FL157" s="330" t="s">
        <v>192</v>
      </c>
      <c r="FM157" s="330" t="s">
        <v>191</v>
      </c>
      <c r="FN157" s="330" t="s">
        <v>1596</v>
      </c>
      <c r="FO157" s="330"/>
      <c r="FP157" s="330" t="s">
        <v>451</v>
      </c>
      <c r="FQ157" s="330"/>
      <c r="FR157" s="330"/>
      <c r="FS157" s="330"/>
      <c r="FT157" s="330"/>
      <c r="FU157" s="330"/>
    </row>
    <row r="158" spans="1:177" ht="114.75" x14ac:dyDescent="0.25">
      <c r="A158" s="330">
        <v>157</v>
      </c>
      <c r="B158" s="331" t="s">
        <v>1597</v>
      </c>
      <c r="C158" s="330"/>
      <c r="D158" s="332" t="s">
        <v>228</v>
      </c>
      <c r="E158" s="332" t="s">
        <v>229</v>
      </c>
      <c r="F158" s="332" t="s">
        <v>230</v>
      </c>
      <c r="G158" s="330" t="s">
        <v>231</v>
      </c>
      <c r="H158" s="331">
        <v>400</v>
      </c>
      <c r="I158" s="330"/>
      <c r="J158" s="332"/>
      <c r="K158" s="332" t="s">
        <v>1598</v>
      </c>
      <c r="L158" s="330" t="s">
        <v>284</v>
      </c>
      <c r="M158" s="332" t="s">
        <v>1599</v>
      </c>
      <c r="N158" s="330" t="s">
        <v>1600</v>
      </c>
      <c r="O158" s="339">
        <v>0.73650612414365801</v>
      </c>
      <c r="P158" s="333">
        <v>14191</v>
      </c>
      <c r="Q158" s="333">
        <v>19268</v>
      </c>
      <c r="R158" s="333">
        <v>168</v>
      </c>
      <c r="S158" s="333">
        <v>168</v>
      </c>
      <c r="T158" s="333">
        <v>19</v>
      </c>
      <c r="U158" s="333">
        <v>1095</v>
      </c>
      <c r="V158" s="333">
        <v>1000</v>
      </c>
      <c r="W158" s="330">
        <v>48</v>
      </c>
      <c r="X158" s="330" t="s">
        <v>1601</v>
      </c>
      <c r="Y158" s="332" t="s">
        <v>351</v>
      </c>
      <c r="Z158" s="330" t="s">
        <v>215</v>
      </c>
      <c r="AA158" s="330" t="s">
        <v>352</v>
      </c>
      <c r="AB158" s="330" t="s">
        <v>189</v>
      </c>
      <c r="AC158" s="330"/>
      <c r="AD158" s="330"/>
      <c r="AE158" s="330">
        <v>89</v>
      </c>
      <c r="AF158" s="330">
        <v>-22</v>
      </c>
      <c r="AG158" s="332" t="s">
        <v>238</v>
      </c>
      <c r="AH158" s="332" t="s">
        <v>191</v>
      </c>
      <c r="AI158" s="330" t="s">
        <v>192</v>
      </c>
      <c r="AJ158" s="330" t="s">
        <v>192</v>
      </c>
      <c r="AK158" s="330"/>
      <c r="AL158" s="330" t="s">
        <v>192</v>
      </c>
      <c r="AM158" s="330" t="s">
        <v>191</v>
      </c>
      <c r="AN158" s="330" t="s">
        <v>192</v>
      </c>
      <c r="AO158" s="330"/>
      <c r="AP158" s="332" t="s">
        <v>259</v>
      </c>
      <c r="AQ158" s="330"/>
      <c r="AR158" s="330"/>
      <c r="AS158" s="330" t="b">
        <v>1</v>
      </c>
      <c r="AT158" s="330"/>
      <c r="AU158" s="332" t="s">
        <v>192</v>
      </c>
      <c r="AV158" s="334">
        <v>46012.255808252317</v>
      </c>
      <c r="AW158" s="330"/>
      <c r="AX158" s="335">
        <v>46045</v>
      </c>
      <c r="AY158" s="336">
        <v>46083</v>
      </c>
      <c r="AZ158" s="330" t="b">
        <v>1</v>
      </c>
      <c r="BA158" s="336">
        <v>46099</v>
      </c>
      <c r="BB158" s="330"/>
      <c r="BC158" s="336">
        <v>46066</v>
      </c>
      <c r="BD158" s="330"/>
      <c r="BE158" s="336">
        <v>46066</v>
      </c>
      <c r="BF158" s="330"/>
      <c r="BG158" s="330"/>
      <c r="BH158" s="330" t="s">
        <v>193</v>
      </c>
      <c r="BI158" s="330">
        <v>750</v>
      </c>
      <c r="BJ158" s="330"/>
      <c r="BK158" s="330"/>
      <c r="BL158" s="330"/>
      <c r="BM158" s="332"/>
      <c r="BN158" s="330"/>
      <c r="BO158" s="330" t="s">
        <v>240</v>
      </c>
      <c r="BP158" s="330" t="s">
        <v>193</v>
      </c>
      <c r="BQ158" s="330" t="s">
        <v>218</v>
      </c>
      <c r="BR158" s="330" t="s">
        <v>220</v>
      </c>
      <c r="BS158" s="330"/>
      <c r="BT158" s="330" t="s">
        <v>220</v>
      </c>
      <c r="BU158" s="330"/>
      <c r="BV158" s="330" t="s">
        <v>220</v>
      </c>
      <c r="BW158" s="330"/>
      <c r="BX158" s="332"/>
      <c r="BY158" s="330"/>
      <c r="BZ158" s="330"/>
      <c r="CA158" s="330"/>
      <c r="CB158" s="330"/>
      <c r="CC158" s="337" t="s">
        <v>241</v>
      </c>
      <c r="CD158" s="330" t="b">
        <v>1</v>
      </c>
      <c r="CE158" s="330" t="b">
        <v>1</v>
      </c>
      <c r="CF158" s="330" t="b">
        <v>1</v>
      </c>
      <c r="CG158" s="330" t="s">
        <v>242</v>
      </c>
      <c r="CH158" s="330"/>
      <c r="CI158" s="330"/>
      <c r="CJ158" s="330"/>
      <c r="CK158" s="330"/>
      <c r="CL158" s="330"/>
      <c r="CM158" s="330"/>
      <c r="CN158" s="330"/>
      <c r="CO158" s="330"/>
      <c r="CP158" s="330"/>
      <c r="CQ158" s="330"/>
      <c r="CR158" s="330"/>
      <c r="CS158" s="330"/>
      <c r="CT158" s="330"/>
      <c r="CU158" s="330"/>
      <c r="CV158" s="330"/>
      <c r="CW158" s="330"/>
      <c r="CX158" s="330"/>
      <c r="CY158" s="330"/>
      <c r="CZ158" s="330"/>
      <c r="DA158" s="330"/>
      <c r="DB158" s="330" t="b">
        <v>1</v>
      </c>
      <c r="DC158" s="330" t="b">
        <v>1</v>
      </c>
      <c r="DD158" s="330"/>
      <c r="DE158" s="330"/>
      <c r="DF158" s="338">
        <v>24051</v>
      </c>
      <c r="DG158" s="330" t="s">
        <v>221</v>
      </c>
      <c r="DH158" s="330"/>
      <c r="DI158" s="340">
        <v>78.099999999999994</v>
      </c>
      <c r="DJ158" s="330"/>
      <c r="DK158" s="330">
        <v>78.099999999999994</v>
      </c>
      <c r="DL158" s="330" t="s">
        <v>243</v>
      </c>
      <c r="DM158" s="330"/>
      <c r="DN158" s="330"/>
      <c r="DO158" s="330"/>
      <c r="DP158" s="330"/>
      <c r="DQ158" s="338" t="s">
        <v>197</v>
      </c>
      <c r="DR158" s="330"/>
      <c r="DS158" s="330"/>
      <c r="DT158" s="330"/>
      <c r="DU158" s="338" t="s">
        <v>197</v>
      </c>
      <c r="DV158" s="330"/>
      <c r="DW158" s="330"/>
      <c r="DX158" s="330"/>
      <c r="DY158" s="338" t="s">
        <v>197</v>
      </c>
      <c r="DZ158" s="330"/>
      <c r="EA158" s="330"/>
      <c r="EB158" s="330"/>
      <c r="EC158" s="330" t="s">
        <v>197</v>
      </c>
      <c r="ED158" s="338" t="s">
        <v>197</v>
      </c>
      <c r="EE158" s="330">
        <v>24</v>
      </c>
      <c r="EF158" s="330">
        <v>300</v>
      </c>
      <c r="EG158" s="330"/>
      <c r="EH158" s="330"/>
      <c r="EI158" s="330"/>
      <c r="EJ158" s="330"/>
      <c r="EK158" s="330"/>
      <c r="EL158" s="330"/>
      <c r="EM158" s="330"/>
      <c r="EN158" s="330"/>
      <c r="EO158" s="330"/>
      <c r="EP158" s="330"/>
      <c r="EQ158" s="332" t="s">
        <v>244</v>
      </c>
      <c r="ER158" s="330"/>
      <c r="ES158" s="330"/>
      <c r="ET158" s="332" t="s">
        <v>245</v>
      </c>
      <c r="EU158" s="332" t="s">
        <v>246</v>
      </c>
      <c r="EV158" s="336">
        <v>46080</v>
      </c>
      <c r="EW158" s="336">
        <v>46083</v>
      </c>
      <c r="EX158" s="330">
        <v>2</v>
      </c>
      <c r="EY158" s="330"/>
      <c r="EZ158" s="330" t="s">
        <v>201</v>
      </c>
      <c r="FA158" s="336">
        <v>46097</v>
      </c>
      <c r="FB158" s="330">
        <v>2</v>
      </c>
      <c r="FC158" s="330" t="s">
        <v>202</v>
      </c>
      <c r="FD158" s="332" t="s">
        <v>190</v>
      </c>
      <c r="FE158" s="336">
        <v>46098</v>
      </c>
      <c r="FF158" s="330"/>
      <c r="FG158" s="330" t="s">
        <v>203</v>
      </c>
      <c r="FH158" s="330" t="s">
        <v>457</v>
      </c>
      <c r="FI158" s="330" t="s">
        <v>204</v>
      </c>
      <c r="FJ158" s="330"/>
      <c r="FK158" s="330" t="s">
        <v>230</v>
      </c>
      <c r="FL158" s="330" t="s">
        <v>192</v>
      </c>
      <c r="FM158" s="330" t="s">
        <v>191</v>
      </c>
      <c r="FN158" s="330" t="s">
        <v>1602</v>
      </c>
      <c r="FO158" s="330"/>
      <c r="FP158" s="330" t="s">
        <v>451</v>
      </c>
      <c r="FQ158" s="330"/>
      <c r="FR158" s="330"/>
      <c r="FS158" s="330"/>
      <c r="FT158" s="330"/>
      <c r="FU158" s="330"/>
    </row>
    <row r="159" spans="1:177" ht="63.75" x14ac:dyDescent="0.25">
      <c r="A159" s="330">
        <v>158</v>
      </c>
      <c r="B159" s="331" t="s">
        <v>1603</v>
      </c>
      <c r="C159" s="330"/>
      <c r="D159" s="332" t="s">
        <v>228</v>
      </c>
      <c r="E159" s="332" t="s">
        <v>229</v>
      </c>
      <c r="F159" s="332" t="s">
        <v>230</v>
      </c>
      <c r="G159" s="330" t="s">
        <v>231</v>
      </c>
      <c r="H159" s="331">
        <v>400</v>
      </c>
      <c r="I159" s="330"/>
      <c r="J159" s="332"/>
      <c r="K159" s="332" t="s">
        <v>1604</v>
      </c>
      <c r="L159" s="330" t="s">
        <v>284</v>
      </c>
      <c r="M159" s="332" t="s">
        <v>1605</v>
      </c>
      <c r="N159" s="330" t="s">
        <v>1606</v>
      </c>
      <c r="O159" s="339">
        <v>0.71844509030516901</v>
      </c>
      <c r="P159" s="333">
        <v>13843</v>
      </c>
      <c r="Q159" s="333">
        <v>19268</v>
      </c>
      <c r="R159" s="333">
        <v>348</v>
      </c>
      <c r="S159" s="333">
        <v>348</v>
      </c>
      <c r="T159" s="333">
        <v>12</v>
      </c>
      <c r="U159" s="333">
        <v>2784</v>
      </c>
      <c r="V159" s="333">
        <v>3550</v>
      </c>
      <c r="W159" s="330" t="s">
        <v>1607</v>
      </c>
      <c r="X159" s="330" t="s">
        <v>1608</v>
      </c>
      <c r="Y159" s="332" t="s">
        <v>351</v>
      </c>
      <c r="Z159" s="330" t="s">
        <v>215</v>
      </c>
      <c r="AA159" s="330" t="s">
        <v>352</v>
      </c>
      <c r="AB159" s="330" t="s">
        <v>189</v>
      </c>
      <c r="AC159" s="330"/>
      <c r="AD159" s="330"/>
      <c r="AE159" s="330">
        <v>88</v>
      </c>
      <c r="AF159" s="330">
        <v>-23</v>
      </c>
      <c r="AG159" s="332" t="s">
        <v>238</v>
      </c>
      <c r="AH159" s="332" t="s">
        <v>191</v>
      </c>
      <c r="AI159" s="330" t="s">
        <v>192</v>
      </c>
      <c r="AJ159" s="330" t="s">
        <v>192</v>
      </c>
      <c r="AK159" s="330"/>
      <c r="AL159" s="330" t="s">
        <v>192</v>
      </c>
      <c r="AM159" s="330" t="s">
        <v>191</v>
      </c>
      <c r="AN159" s="330" t="s">
        <v>192</v>
      </c>
      <c r="AO159" s="330"/>
      <c r="AP159" s="332" t="s">
        <v>259</v>
      </c>
      <c r="AQ159" s="330"/>
      <c r="AR159" s="330"/>
      <c r="AS159" s="330" t="b">
        <v>1</v>
      </c>
      <c r="AT159" s="330"/>
      <c r="AU159" s="332" t="s">
        <v>554</v>
      </c>
      <c r="AV159" s="334">
        <v>46012.262536261573</v>
      </c>
      <c r="AW159" s="330"/>
      <c r="AX159" s="335">
        <v>46052</v>
      </c>
      <c r="AY159" s="336">
        <v>46080</v>
      </c>
      <c r="AZ159" s="330" t="b">
        <v>1</v>
      </c>
      <c r="BA159" s="336">
        <v>46098</v>
      </c>
      <c r="BB159" s="330"/>
      <c r="BC159" s="336">
        <v>46073</v>
      </c>
      <c r="BD159" s="330"/>
      <c r="BE159" s="336">
        <v>46073</v>
      </c>
      <c r="BF159" s="330"/>
      <c r="BG159" s="330"/>
      <c r="BH159" s="330" t="s">
        <v>193</v>
      </c>
      <c r="BI159" s="330">
        <v>750</v>
      </c>
      <c r="BJ159" s="330"/>
      <c r="BK159" s="330"/>
      <c r="BL159" s="330"/>
      <c r="BM159" s="332"/>
      <c r="BN159" s="330"/>
      <c r="BO159" s="330" t="s">
        <v>240</v>
      </c>
      <c r="BP159" s="330" t="s">
        <v>193</v>
      </c>
      <c r="BQ159" s="330" t="s">
        <v>218</v>
      </c>
      <c r="BR159" s="330" t="s">
        <v>220</v>
      </c>
      <c r="BS159" s="330"/>
      <c r="BT159" s="330" t="s">
        <v>220</v>
      </c>
      <c r="BU159" s="330"/>
      <c r="BV159" s="330" t="s">
        <v>220</v>
      </c>
      <c r="BW159" s="330"/>
      <c r="BX159" s="332"/>
      <c r="BY159" s="330"/>
      <c r="BZ159" s="330"/>
      <c r="CA159" s="330"/>
      <c r="CB159" s="330"/>
      <c r="CC159" s="337" t="s">
        <v>241</v>
      </c>
      <c r="CD159" s="330" t="b">
        <v>1</v>
      </c>
      <c r="CE159" s="330" t="b">
        <v>1</v>
      </c>
      <c r="CF159" s="330" t="b">
        <v>1</v>
      </c>
      <c r="CG159" s="330"/>
      <c r="CH159" s="330"/>
      <c r="CI159" s="330"/>
      <c r="CJ159" s="330"/>
      <c r="CK159" s="330"/>
      <c r="CL159" s="330"/>
      <c r="CM159" s="330"/>
      <c r="CN159" s="330"/>
      <c r="CO159" s="330"/>
      <c r="CP159" s="330"/>
      <c r="CQ159" s="330"/>
      <c r="CR159" s="330"/>
      <c r="CS159" s="330"/>
      <c r="CT159" s="330"/>
      <c r="CU159" s="330"/>
      <c r="CV159" s="330"/>
      <c r="CW159" s="330"/>
      <c r="CX159" s="330"/>
      <c r="CY159" s="330"/>
      <c r="CZ159" s="330"/>
      <c r="DA159" s="330"/>
      <c r="DB159" s="330" t="b">
        <v>1</v>
      </c>
      <c r="DC159" s="330" t="b">
        <v>1</v>
      </c>
      <c r="DD159" s="330"/>
      <c r="DE159" s="330"/>
      <c r="DF159" s="338">
        <v>24051</v>
      </c>
      <c r="DG159" s="330" t="s">
        <v>221</v>
      </c>
      <c r="DH159" s="330"/>
      <c r="DI159" s="340">
        <v>78.2</v>
      </c>
      <c r="DJ159" s="330"/>
      <c r="DK159" s="330">
        <v>78.2</v>
      </c>
      <c r="DL159" s="330" t="s">
        <v>243</v>
      </c>
      <c r="DM159" s="330"/>
      <c r="DN159" s="330"/>
      <c r="DO159" s="330"/>
      <c r="DP159" s="330"/>
      <c r="DQ159" s="338" t="s">
        <v>197</v>
      </c>
      <c r="DR159" s="330"/>
      <c r="DS159" s="330"/>
      <c r="DT159" s="330"/>
      <c r="DU159" s="338" t="s">
        <v>197</v>
      </c>
      <c r="DV159" s="330"/>
      <c r="DW159" s="330"/>
      <c r="DX159" s="330"/>
      <c r="DY159" s="338" t="s">
        <v>197</v>
      </c>
      <c r="DZ159" s="330"/>
      <c r="EA159" s="330"/>
      <c r="EB159" s="330"/>
      <c r="EC159" s="330" t="s">
        <v>197</v>
      </c>
      <c r="ED159" s="338" t="s">
        <v>197</v>
      </c>
      <c r="EE159" s="330">
        <v>24</v>
      </c>
      <c r="EF159" s="330">
        <v>600</v>
      </c>
      <c r="EG159" s="330"/>
      <c r="EH159" s="330"/>
      <c r="EI159" s="330"/>
      <c r="EJ159" s="330"/>
      <c r="EK159" s="330"/>
      <c r="EL159" s="330"/>
      <c r="EM159" s="330"/>
      <c r="EN159" s="330"/>
      <c r="EO159" s="330"/>
      <c r="EP159" s="330"/>
      <c r="EQ159" s="332" t="s">
        <v>244</v>
      </c>
      <c r="ER159" s="330"/>
      <c r="ES159" s="330"/>
      <c r="ET159" s="332" t="s">
        <v>245</v>
      </c>
      <c r="EU159" s="332" t="s">
        <v>354</v>
      </c>
      <c r="EV159" s="336">
        <v>46079</v>
      </c>
      <c r="EW159" s="336">
        <v>46079</v>
      </c>
      <c r="EX159" s="330">
        <v>1</v>
      </c>
      <c r="EY159" s="330"/>
      <c r="EZ159" s="330" t="s">
        <v>201</v>
      </c>
      <c r="FA159" s="336">
        <v>46095</v>
      </c>
      <c r="FB159" s="330">
        <v>6</v>
      </c>
      <c r="FC159" s="330" t="s">
        <v>202</v>
      </c>
      <c r="FD159" s="332" t="s">
        <v>190</v>
      </c>
      <c r="FE159" s="336">
        <v>46104</v>
      </c>
      <c r="FF159" s="330"/>
      <c r="FG159" s="330" t="s">
        <v>203</v>
      </c>
      <c r="FH159" s="330" t="s">
        <v>1609</v>
      </c>
      <c r="FI159" s="330" t="s">
        <v>204</v>
      </c>
      <c r="FJ159" s="330"/>
      <c r="FK159" s="330" t="s">
        <v>230</v>
      </c>
      <c r="FL159" s="330" t="s">
        <v>192</v>
      </c>
      <c r="FM159" s="330" t="s">
        <v>191</v>
      </c>
      <c r="FN159" s="330" t="s">
        <v>1610</v>
      </c>
      <c r="FO159" s="330" t="b">
        <v>1</v>
      </c>
      <c r="FP159" s="330" t="s">
        <v>528</v>
      </c>
      <c r="FQ159" s="330"/>
      <c r="FR159" s="330"/>
      <c r="FS159" s="330"/>
      <c r="FT159" s="330"/>
      <c r="FU159" s="330"/>
    </row>
    <row r="160" spans="1:177" ht="127.5" x14ac:dyDescent="0.25">
      <c r="A160" s="330">
        <v>159</v>
      </c>
      <c r="B160" s="331" t="s">
        <v>1611</v>
      </c>
      <c r="C160" s="330"/>
      <c r="D160" s="332" t="s">
        <v>1612</v>
      </c>
      <c r="E160" s="332" t="s">
        <v>1613</v>
      </c>
      <c r="F160" s="332" t="s">
        <v>306</v>
      </c>
      <c r="G160" s="330" t="s">
        <v>307</v>
      </c>
      <c r="H160" s="331" t="s">
        <v>1614</v>
      </c>
      <c r="I160" s="330"/>
      <c r="J160" s="332" t="s">
        <v>1615</v>
      </c>
      <c r="K160" s="332" t="s">
        <v>1616</v>
      </c>
      <c r="L160" s="330" t="s">
        <v>284</v>
      </c>
      <c r="M160" s="332" t="s">
        <v>1617</v>
      </c>
      <c r="N160" s="330" t="s">
        <v>1618</v>
      </c>
      <c r="O160" s="339">
        <v>1.0219072164948499</v>
      </c>
      <c r="P160" s="333">
        <v>3172</v>
      </c>
      <c r="Q160" s="333">
        <v>3104</v>
      </c>
      <c r="R160" s="333">
        <v>176</v>
      </c>
      <c r="S160" s="333">
        <v>197</v>
      </c>
      <c r="T160" s="333">
        <v>160</v>
      </c>
      <c r="U160" s="333">
        <v>2128</v>
      </c>
      <c r="V160" s="333">
        <v>1400</v>
      </c>
      <c r="W160" s="330">
        <v>65</v>
      </c>
      <c r="X160" s="330" t="s">
        <v>1619</v>
      </c>
      <c r="Y160" s="332" t="s">
        <v>1620</v>
      </c>
      <c r="Z160" s="330" t="s">
        <v>215</v>
      </c>
      <c r="AA160" s="330" t="s">
        <v>1621</v>
      </c>
      <c r="AB160" s="330" t="s">
        <v>217</v>
      </c>
      <c r="AC160" s="330"/>
      <c r="AD160" s="330"/>
      <c r="AE160" s="330">
        <v>5</v>
      </c>
      <c r="AF160" s="330">
        <v>-43</v>
      </c>
      <c r="AG160" s="332" t="s">
        <v>190</v>
      </c>
      <c r="AH160" s="332" t="s">
        <v>191</v>
      </c>
      <c r="AI160" s="330" t="s">
        <v>191</v>
      </c>
      <c r="AJ160" s="330" t="s">
        <v>191</v>
      </c>
      <c r="AK160" s="330" t="s">
        <v>191</v>
      </c>
      <c r="AL160" s="330" t="s">
        <v>192</v>
      </c>
      <c r="AM160" s="330" t="s">
        <v>191</v>
      </c>
      <c r="AN160" s="330" t="s">
        <v>192</v>
      </c>
      <c r="AO160" s="330"/>
      <c r="AP160" s="332" t="s">
        <v>259</v>
      </c>
      <c r="AQ160" s="330"/>
      <c r="AR160" s="330"/>
      <c r="AS160" s="330" t="b">
        <v>1</v>
      </c>
      <c r="AT160" s="330"/>
      <c r="AU160" s="332" t="s">
        <v>192</v>
      </c>
      <c r="AV160" s="334">
        <v>45992.687907928237</v>
      </c>
      <c r="AW160" s="330"/>
      <c r="AX160" s="335">
        <v>46042</v>
      </c>
      <c r="AY160" s="336">
        <v>46052</v>
      </c>
      <c r="AZ160" s="330" t="b">
        <v>1</v>
      </c>
      <c r="BA160" s="336">
        <v>46070</v>
      </c>
      <c r="BB160" s="330"/>
      <c r="BC160" s="336">
        <v>46063</v>
      </c>
      <c r="BD160" s="330"/>
      <c r="BE160" s="336">
        <v>46063</v>
      </c>
      <c r="BF160" s="330"/>
      <c r="BG160" s="330"/>
      <c r="BH160" s="330" t="s">
        <v>193</v>
      </c>
      <c r="BI160" s="330">
        <v>198</v>
      </c>
      <c r="BJ160" s="330"/>
      <c r="BK160" s="330"/>
      <c r="BL160" s="330"/>
      <c r="BM160" s="332"/>
      <c r="BN160" s="330"/>
      <c r="BO160" s="330" t="s">
        <v>629</v>
      </c>
      <c r="BP160" s="330" t="s">
        <v>193</v>
      </c>
      <c r="BQ160" s="330" t="s">
        <v>218</v>
      </c>
      <c r="BR160" s="330" t="s">
        <v>193</v>
      </c>
      <c r="BS160" s="330" t="s">
        <v>1622</v>
      </c>
      <c r="BT160" s="330" t="s">
        <v>220</v>
      </c>
      <c r="BU160" s="330"/>
      <c r="BV160" s="330" t="s">
        <v>220</v>
      </c>
      <c r="BW160" s="330"/>
      <c r="BX160" s="332"/>
      <c r="BY160" s="330"/>
      <c r="BZ160" s="330"/>
      <c r="CA160" s="330"/>
      <c r="CB160" s="330"/>
      <c r="CC160" s="337" t="s">
        <v>943</v>
      </c>
      <c r="CD160" s="330" t="b">
        <v>1</v>
      </c>
      <c r="CE160" s="330" t="b">
        <v>1</v>
      </c>
      <c r="CF160" s="330" t="b">
        <v>1</v>
      </c>
      <c r="CG160" s="330" t="s">
        <v>242</v>
      </c>
      <c r="CH160" s="330"/>
      <c r="CI160" s="330"/>
      <c r="CJ160" s="330"/>
      <c r="CK160" s="330"/>
      <c r="CL160" s="330"/>
      <c r="CM160" s="330"/>
      <c r="CN160" s="330"/>
      <c r="CO160" s="330"/>
      <c r="CP160" s="330"/>
      <c r="CQ160" s="330"/>
      <c r="CR160" s="330"/>
      <c r="CS160" s="330"/>
      <c r="CT160" s="330"/>
      <c r="CU160" s="330"/>
      <c r="CV160" s="330"/>
      <c r="CW160" s="330"/>
      <c r="CX160" s="330"/>
      <c r="CY160" s="330"/>
      <c r="CZ160" s="330"/>
      <c r="DA160" s="330"/>
      <c r="DB160" s="330" t="b">
        <v>1</v>
      </c>
      <c r="DC160" s="330" t="b">
        <v>1</v>
      </c>
      <c r="DD160" s="330"/>
      <c r="DE160" s="330"/>
      <c r="DF160" s="338">
        <v>24039</v>
      </c>
      <c r="DG160" s="330" t="s">
        <v>221</v>
      </c>
      <c r="DH160" s="330"/>
      <c r="DI160" s="338">
        <v>14</v>
      </c>
      <c r="DJ160" s="330"/>
      <c r="DK160" s="330">
        <v>14</v>
      </c>
      <c r="DL160" s="330" t="s">
        <v>1623</v>
      </c>
      <c r="DM160" s="330"/>
      <c r="DN160" s="330"/>
      <c r="DO160" s="330"/>
      <c r="DP160" s="330"/>
      <c r="DQ160" s="338" t="s">
        <v>197</v>
      </c>
      <c r="DR160" s="330"/>
      <c r="DS160" s="330"/>
      <c r="DT160" s="330"/>
      <c r="DU160" s="338" t="s">
        <v>197</v>
      </c>
      <c r="DV160" s="330"/>
      <c r="DW160" s="330"/>
      <c r="DX160" s="330"/>
      <c r="DY160" s="338" t="s">
        <v>197</v>
      </c>
      <c r="DZ160" s="330"/>
      <c r="EA160" s="330"/>
      <c r="EB160" s="330"/>
      <c r="EC160" s="330" t="s">
        <v>197</v>
      </c>
      <c r="ED160" s="338" t="s">
        <v>197</v>
      </c>
      <c r="EE160" s="330">
        <v>45</v>
      </c>
      <c r="EF160" s="330">
        <v>80</v>
      </c>
      <c r="EG160" s="330"/>
      <c r="EH160" s="330"/>
      <c r="EI160" s="330"/>
      <c r="EJ160" s="330"/>
      <c r="EK160" s="330"/>
      <c r="EL160" s="330"/>
      <c r="EM160" s="330"/>
      <c r="EN160" s="330"/>
      <c r="EO160" s="330"/>
      <c r="EP160" s="330"/>
      <c r="EQ160" s="332" t="s">
        <v>321</v>
      </c>
      <c r="ER160" s="330"/>
      <c r="ES160" s="330"/>
      <c r="ET160" s="332" t="s">
        <v>245</v>
      </c>
      <c r="EU160" s="332" t="s">
        <v>246</v>
      </c>
      <c r="EV160" s="336">
        <v>46050</v>
      </c>
      <c r="EW160" s="336">
        <v>46052</v>
      </c>
      <c r="EX160" s="330">
        <v>3</v>
      </c>
      <c r="EY160" s="330"/>
      <c r="EZ160" s="330" t="s">
        <v>201</v>
      </c>
      <c r="FA160" s="336">
        <v>46059</v>
      </c>
      <c r="FB160" s="330" t="s">
        <v>4098</v>
      </c>
      <c r="FC160" s="330" t="s">
        <v>202</v>
      </c>
      <c r="FD160" s="332" t="s">
        <v>190</v>
      </c>
      <c r="FE160" s="330"/>
      <c r="FF160" s="330"/>
      <c r="FG160" s="330" t="s">
        <v>203</v>
      </c>
      <c r="FH160" s="330" t="s">
        <v>385</v>
      </c>
      <c r="FI160" s="330" t="s">
        <v>204</v>
      </c>
      <c r="FJ160" s="330"/>
      <c r="FK160" s="330" t="s">
        <v>306</v>
      </c>
      <c r="FL160" s="330" t="s">
        <v>192</v>
      </c>
      <c r="FM160" s="330" t="s">
        <v>191</v>
      </c>
      <c r="FN160" s="330" t="s">
        <v>1624</v>
      </c>
      <c r="FO160" s="330"/>
      <c r="FP160" s="330" t="s">
        <v>451</v>
      </c>
      <c r="FQ160" s="330"/>
      <c r="FR160" s="330"/>
      <c r="FS160" s="330"/>
      <c r="FT160" s="330"/>
      <c r="FU160" s="330"/>
    </row>
    <row r="161" spans="1:177" ht="114.75" x14ac:dyDescent="0.25">
      <c r="A161" s="330">
        <v>160</v>
      </c>
      <c r="B161" s="331" t="s">
        <v>1623</v>
      </c>
      <c r="C161" s="330"/>
      <c r="D161" s="332" t="s">
        <v>1612</v>
      </c>
      <c r="E161" s="332" t="s">
        <v>1613</v>
      </c>
      <c r="F161" s="332" t="s">
        <v>306</v>
      </c>
      <c r="G161" s="330" t="s">
        <v>307</v>
      </c>
      <c r="H161" s="331" t="s">
        <v>1614</v>
      </c>
      <c r="I161" s="330"/>
      <c r="J161" s="332" t="s">
        <v>1625</v>
      </c>
      <c r="K161" s="332" t="s">
        <v>1626</v>
      </c>
      <c r="L161" s="330" t="s">
        <v>284</v>
      </c>
      <c r="M161" s="332" t="s">
        <v>1627</v>
      </c>
      <c r="N161" s="330" t="s">
        <v>1628</v>
      </c>
      <c r="O161" s="339">
        <v>1.04542525773196</v>
      </c>
      <c r="P161" s="333">
        <v>3245</v>
      </c>
      <c r="Q161" s="333">
        <v>3104</v>
      </c>
      <c r="R161" s="333">
        <v>73</v>
      </c>
      <c r="S161" s="333">
        <v>99</v>
      </c>
      <c r="T161" s="333">
        <v>53</v>
      </c>
      <c r="U161" s="333">
        <v>1059</v>
      </c>
      <c r="V161" s="333">
        <v>900</v>
      </c>
      <c r="W161" s="330" t="s">
        <v>1629</v>
      </c>
      <c r="X161" s="330" t="s">
        <v>1630</v>
      </c>
      <c r="Y161" s="332" t="s">
        <v>1631</v>
      </c>
      <c r="Z161" s="330" t="s">
        <v>215</v>
      </c>
      <c r="AA161" s="330" t="s">
        <v>1632</v>
      </c>
      <c r="AB161" s="330" t="s">
        <v>217</v>
      </c>
      <c r="AC161" s="330"/>
      <c r="AD161" s="330"/>
      <c r="AE161" s="330">
        <v>6</v>
      </c>
      <c r="AF161" s="330">
        <v>-41</v>
      </c>
      <c r="AG161" s="332" t="s">
        <v>190</v>
      </c>
      <c r="AH161" s="332" t="s">
        <v>191</v>
      </c>
      <c r="AI161" s="330" t="s">
        <v>191</v>
      </c>
      <c r="AJ161" s="330" t="s">
        <v>191</v>
      </c>
      <c r="AK161" s="330" t="s">
        <v>191</v>
      </c>
      <c r="AL161" s="330" t="s">
        <v>192</v>
      </c>
      <c r="AM161" s="330" t="s">
        <v>191</v>
      </c>
      <c r="AN161" s="330" t="s">
        <v>192</v>
      </c>
      <c r="AO161" s="330"/>
      <c r="AP161" s="332" t="s">
        <v>259</v>
      </c>
      <c r="AQ161" s="330"/>
      <c r="AR161" s="330"/>
      <c r="AS161" s="330" t="b">
        <v>1</v>
      </c>
      <c r="AT161" s="330"/>
      <c r="AU161" s="332" t="s">
        <v>192</v>
      </c>
      <c r="AV161" s="334">
        <v>45993.379279803237</v>
      </c>
      <c r="AW161" s="330"/>
      <c r="AX161" s="335">
        <v>46044</v>
      </c>
      <c r="AY161" s="336">
        <v>46056</v>
      </c>
      <c r="AZ161" s="330" t="b">
        <v>1</v>
      </c>
      <c r="BA161" s="336">
        <v>46072</v>
      </c>
      <c r="BB161" s="330"/>
      <c r="BC161" s="336">
        <v>46065</v>
      </c>
      <c r="BD161" s="330"/>
      <c r="BE161" s="336">
        <v>46065</v>
      </c>
      <c r="BF161" s="330"/>
      <c r="BG161" s="330"/>
      <c r="BH161" s="330" t="s">
        <v>193</v>
      </c>
      <c r="BI161" s="330" t="s">
        <v>318</v>
      </c>
      <c r="BJ161" s="330"/>
      <c r="BK161" s="330"/>
      <c r="BL161" s="330"/>
      <c r="BM161" s="332"/>
      <c r="BN161" s="330"/>
      <c r="BO161" s="330" t="s">
        <v>629</v>
      </c>
      <c r="BP161" s="330" t="s">
        <v>193</v>
      </c>
      <c r="BQ161" s="330" t="s">
        <v>218</v>
      </c>
      <c r="BR161" s="330" t="s">
        <v>193</v>
      </c>
      <c r="BS161" s="330" t="s">
        <v>1622</v>
      </c>
      <c r="BT161" s="330" t="s">
        <v>220</v>
      </c>
      <c r="BU161" s="330"/>
      <c r="BV161" s="330" t="s">
        <v>220</v>
      </c>
      <c r="BW161" s="330"/>
      <c r="BX161" s="332"/>
      <c r="BY161" s="330"/>
      <c r="BZ161" s="330"/>
      <c r="CA161" s="330"/>
      <c r="CB161" s="330"/>
      <c r="CC161" s="337" t="s">
        <v>943</v>
      </c>
      <c r="CD161" s="330" t="b">
        <v>1</v>
      </c>
      <c r="CE161" s="330" t="b">
        <v>1</v>
      </c>
      <c r="CF161" s="330" t="b">
        <v>1</v>
      </c>
      <c r="CG161" s="330"/>
      <c r="CH161" s="330"/>
      <c r="CI161" s="330"/>
      <c r="CJ161" s="330"/>
      <c r="CK161" s="330"/>
      <c r="CL161" s="330"/>
      <c r="CM161" s="330"/>
      <c r="CN161" s="330"/>
      <c r="CO161" s="330"/>
      <c r="CP161" s="330"/>
      <c r="CQ161" s="330"/>
      <c r="CR161" s="330"/>
      <c r="CS161" s="330"/>
      <c r="CT161" s="330"/>
      <c r="CU161" s="330"/>
      <c r="CV161" s="330"/>
      <c r="CW161" s="330"/>
      <c r="CX161" s="330"/>
      <c r="CY161" s="330"/>
      <c r="CZ161" s="330"/>
      <c r="DA161" s="330"/>
      <c r="DB161" s="330" t="b">
        <v>1</v>
      </c>
      <c r="DC161" s="330" t="b">
        <v>1</v>
      </c>
      <c r="DD161" s="330"/>
      <c r="DE161" s="330"/>
      <c r="DF161" s="338">
        <v>24039</v>
      </c>
      <c r="DG161" s="330" t="s">
        <v>221</v>
      </c>
      <c r="DH161" s="330"/>
      <c r="DI161" s="338">
        <v>15</v>
      </c>
      <c r="DJ161" s="330"/>
      <c r="DK161" s="330">
        <v>15</v>
      </c>
      <c r="DL161" s="330" t="s">
        <v>1623</v>
      </c>
      <c r="DM161" s="330"/>
      <c r="DN161" s="330"/>
      <c r="DO161" s="330"/>
      <c r="DP161" s="330"/>
      <c r="DQ161" s="338" t="s">
        <v>197</v>
      </c>
      <c r="DR161" s="330"/>
      <c r="DS161" s="330"/>
      <c r="DT161" s="330"/>
      <c r="DU161" s="338" t="s">
        <v>197</v>
      </c>
      <c r="DV161" s="330"/>
      <c r="DW161" s="330"/>
      <c r="DX161" s="330"/>
      <c r="DY161" s="338" t="s">
        <v>197</v>
      </c>
      <c r="DZ161" s="330"/>
      <c r="EA161" s="330"/>
      <c r="EB161" s="330"/>
      <c r="EC161" s="330" t="s">
        <v>197</v>
      </c>
      <c r="ED161" s="338" t="s">
        <v>197</v>
      </c>
      <c r="EE161" s="330">
        <v>45</v>
      </c>
      <c r="EF161" s="330">
        <v>80</v>
      </c>
      <c r="EG161" s="330"/>
      <c r="EH161" s="330"/>
      <c r="EI161" s="330"/>
      <c r="EJ161" s="330"/>
      <c r="EK161" s="330"/>
      <c r="EL161" s="330"/>
      <c r="EM161" s="330"/>
      <c r="EN161" s="330"/>
      <c r="EO161" s="330"/>
      <c r="EP161" s="330"/>
      <c r="EQ161" s="332" t="s">
        <v>321</v>
      </c>
      <c r="ER161" s="330"/>
      <c r="ES161" s="330"/>
      <c r="ET161" s="332" t="s">
        <v>245</v>
      </c>
      <c r="EU161" s="332" t="s">
        <v>354</v>
      </c>
      <c r="EV161" s="336">
        <v>46055</v>
      </c>
      <c r="EW161" s="336">
        <v>46056</v>
      </c>
      <c r="EX161" s="330">
        <v>2</v>
      </c>
      <c r="EY161" s="330"/>
      <c r="EZ161" s="330" t="s">
        <v>201</v>
      </c>
      <c r="FA161" s="336">
        <v>46063</v>
      </c>
      <c r="FB161" s="330" t="s">
        <v>4099</v>
      </c>
      <c r="FC161" s="330" t="s">
        <v>202</v>
      </c>
      <c r="FD161" s="332" t="s">
        <v>190</v>
      </c>
      <c r="FE161" s="330"/>
      <c r="FF161" s="330"/>
      <c r="FG161" s="330" t="s">
        <v>203</v>
      </c>
      <c r="FH161" s="330" t="s">
        <v>1633</v>
      </c>
      <c r="FI161" s="330" t="s">
        <v>204</v>
      </c>
      <c r="FJ161" s="330"/>
      <c r="FK161" s="330" t="s">
        <v>306</v>
      </c>
      <c r="FL161" s="330" t="s">
        <v>192</v>
      </c>
      <c r="FM161" s="330" t="s">
        <v>191</v>
      </c>
      <c r="FN161" s="330" t="s">
        <v>1634</v>
      </c>
      <c r="FO161" s="330" t="b">
        <v>1</v>
      </c>
      <c r="FP161" s="330" t="s">
        <v>451</v>
      </c>
      <c r="FQ161" s="330"/>
      <c r="FR161" s="330"/>
      <c r="FS161" s="330"/>
      <c r="FT161" s="330"/>
      <c r="FU161" s="330"/>
    </row>
    <row r="162" spans="1:177" ht="165.75" x14ac:dyDescent="0.25">
      <c r="A162" s="330">
        <v>161</v>
      </c>
      <c r="B162" s="331" t="s">
        <v>1635</v>
      </c>
      <c r="C162" s="330"/>
      <c r="D162" s="332" t="s">
        <v>718</v>
      </c>
      <c r="E162" s="332" t="s">
        <v>229</v>
      </c>
      <c r="F162" s="332" t="s">
        <v>230</v>
      </c>
      <c r="G162" s="330" t="s">
        <v>231</v>
      </c>
      <c r="H162" s="331" t="s">
        <v>731</v>
      </c>
      <c r="I162" s="330"/>
      <c r="J162" s="332" t="s">
        <v>1636</v>
      </c>
      <c r="K162" s="332" t="s">
        <v>733</v>
      </c>
      <c r="L162" s="330" t="s">
        <v>284</v>
      </c>
      <c r="M162" s="332" t="s">
        <v>1637</v>
      </c>
      <c r="N162" s="330" t="s">
        <v>1638</v>
      </c>
      <c r="O162" s="333" t="s">
        <v>736</v>
      </c>
      <c r="P162" s="333">
        <v>453</v>
      </c>
      <c r="Q162" s="333"/>
      <c r="R162" s="333">
        <v>109</v>
      </c>
      <c r="S162" s="333">
        <v>600</v>
      </c>
      <c r="T162" s="333">
        <v>13</v>
      </c>
      <c r="U162" s="333">
        <v>411</v>
      </c>
      <c r="V162" s="333">
        <v>0</v>
      </c>
      <c r="W162" s="330">
        <v>48</v>
      </c>
      <c r="X162" s="330" t="s">
        <v>1639</v>
      </c>
      <c r="Y162" s="332" t="s">
        <v>1640</v>
      </c>
      <c r="Z162" s="330" t="s">
        <v>739</v>
      </c>
      <c r="AA162" s="330" t="s">
        <v>1641</v>
      </c>
      <c r="AB162" s="330" t="s">
        <v>189</v>
      </c>
      <c r="AC162" s="330"/>
      <c r="AD162" s="330"/>
      <c r="AE162" s="330">
        <v>5</v>
      </c>
      <c r="AF162" s="330">
        <v>-37</v>
      </c>
      <c r="AG162" s="332" t="s">
        <v>190</v>
      </c>
      <c r="AH162" s="332" t="s">
        <v>202</v>
      </c>
      <c r="AI162" s="330" t="s">
        <v>202</v>
      </c>
      <c r="AJ162" s="330" t="s">
        <v>741</v>
      </c>
      <c r="AK162" s="330" t="s">
        <v>202</v>
      </c>
      <c r="AL162" s="330" t="s">
        <v>742</v>
      </c>
      <c r="AM162" s="330" t="s">
        <v>202</v>
      </c>
      <c r="AN162" s="330" t="s">
        <v>742</v>
      </c>
      <c r="AO162" s="330"/>
      <c r="AP162" s="332"/>
      <c r="AQ162" s="330"/>
      <c r="AR162" s="330" t="s">
        <v>334</v>
      </c>
      <c r="AS162" s="330" t="b">
        <v>1</v>
      </c>
      <c r="AT162" s="330"/>
      <c r="AU162" s="332" t="s">
        <v>741</v>
      </c>
      <c r="AV162" s="334">
        <v>46027.458674050926</v>
      </c>
      <c r="AW162" s="330"/>
      <c r="AX162" s="335">
        <v>46059</v>
      </c>
      <c r="AY162" s="336">
        <v>46038</v>
      </c>
      <c r="AZ162" s="330"/>
      <c r="BA162" s="336">
        <v>46078</v>
      </c>
      <c r="BB162" s="336">
        <v>46059</v>
      </c>
      <c r="BC162" s="336">
        <v>46080</v>
      </c>
      <c r="BD162" s="330"/>
      <c r="BE162" s="336">
        <v>46080</v>
      </c>
      <c r="BF162" s="330"/>
      <c r="BG162" s="336">
        <v>46084</v>
      </c>
      <c r="BH162" s="330" t="s">
        <v>193</v>
      </c>
      <c r="BI162" s="330">
        <v>120</v>
      </c>
      <c r="BJ162" s="336">
        <v>46027</v>
      </c>
      <c r="BK162" s="330" t="b">
        <v>1</v>
      </c>
      <c r="BL162" s="330" t="s">
        <v>1065</v>
      </c>
      <c r="BM162" s="332" t="s">
        <v>743</v>
      </c>
      <c r="BN162" s="330" t="s">
        <v>337</v>
      </c>
      <c r="BO162" s="330" t="s">
        <v>240</v>
      </c>
      <c r="BP162" s="330" t="s">
        <v>193</v>
      </c>
      <c r="BQ162" s="330" t="s">
        <v>218</v>
      </c>
      <c r="BR162" s="330" t="s">
        <v>220</v>
      </c>
      <c r="BS162" s="330"/>
      <c r="BT162" s="330" t="s">
        <v>220</v>
      </c>
      <c r="BU162" s="330"/>
      <c r="BV162" s="330" t="s">
        <v>220</v>
      </c>
      <c r="BW162" s="330"/>
      <c r="BX162" s="332"/>
      <c r="BY162" s="330"/>
      <c r="BZ162" s="330"/>
      <c r="CA162" s="330"/>
      <c r="CB162" s="330"/>
      <c r="CC162" s="337" t="s">
        <v>744</v>
      </c>
      <c r="CD162" s="330" t="b">
        <v>1</v>
      </c>
      <c r="CE162" s="330" t="b">
        <v>1</v>
      </c>
      <c r="CF162" s="330"/>
      <c r="CG162" s="330"/>
      <c r="CH162" s="330"/>
      <c r="CI162" s="330"/>
      <c r="CJ162" s="330"/>
      <c r="CK162" s="330"/>
      <c r="CL162" s="330" t="b">
        <v>1</v>
      </c>
      <c r="CM162" s="330" t="s">
        <v>745</v>
      </c>
      <c r="CN162" s="330"/>
      <c r="CO162" s="330"/>
      <c r="CP162" s="330"/>
      <c r="CQ162" s="330"/>
      <c r="CR162" s="330"/>
      <c r="CS162" s="330"/>
      <c r="CT162" s="330"/>
      <c r="CU162" s="330" t="b">
        <v>1</v>
      </c>
      <c r="CV162" s="330"/>
      <c r="CW162" s="330"/>
      <c r="CX162" s="330"/>
      <c r="CY162" s="330"/>
      <c r="CZ162" s="330"/>
      <c r="DA162" s="330"/>
      <c r="DB162" s="330" t="b">
        <v>1</v>
      </c>
      <c r="DC162" s="330" t="b">
        <v>1</v>
      </c>
      <c r="DD162" s="330"/>
      <c r="DE162" s="330"/>
      <c r="DF162" s="338">
        <v>25035</v>
      </c>
      <c r="DG162" s="330" t="s">
        <v>221</v>
      </c>
      <c r="DH162" s="330"/>
      <c r="DI162" s="338" t="s">
        <v>638</v>
      </c>
      <c r="DJ162" s="330"/>
      <c r="DK162" s="330">
        <v>2</v>
      </c>
      <c r="DL162" s="330" t="s">
        <v>725</v>
      </c>
      <c r="DM162" s="330"/>
      <c r="DN162" s="330"/>
      <c r="DO162" s="330"/>
      <c r="DP162" s="330"/>
      <c r="DQ162" s="338" t="s">
        <v>197</v>
      </c>
      <c r="DR162" s="330"/>
      <c r="DS162" s="330"/>
      <c r="DT162" s="330"/>
      <c r="DU162" s="338" t="s">
        <v>197</v>
      </c>
      <c r="DV162" s="330"/>
      <c r="DW162" s="330"/>
      <c r="DX162" s="330"/>
      <c r="DY162" s="338" t="s">
        <v>197</v>
      </c>
      <c r="DZ162" s="330"/>
      <c r="EA162" s="330"/>
      <c r="EB162" s="330"/>
      <c r="EC162" s="330" t="s">
        <v>197</v>
      </c>
      <c r="ED162" s="338" t="s">
        <v>197</v>
      </c>
      <c r="EE162" s="330">
        <v>24</v>
      </c>
      <c r="EF162" s="330">
        <v>250</v>
      </c>
      <c r="EG162" s="330"/>
      <c r="EH162" s="330"/>
      <c r="EI162" s="330"/>
      <c r="EJ162" s="330"/>
      <c r="EK162" s="330"/>
      <c r="EL162" s="330"/>
      <c r="EM162" s="330"/>
      <c r="EN162" s="330"/>
      <c r="EO162" s="330"/>
      <c r="EP162" s="330"/>
      <c r="EQ162" s="332" t="s">
        <v>244</v>
      </c>
      <c r="ER162" s="330"/>
      <c r="ES162" s="330"/>
      <c r="ET162" s="332" t="s">
        <v>89</v>
      </c>
      <c r="EU162" s="332" t="s">
        <v>1642</v>
      </c>
      <c r="EV162" s="336">
        <v>46038</v>
      </c>
      <c r="EW162" s="336">
        <v>46038</v>
      </c>
      <c r="EX162" s="330">
        <v>1</v>
      </c>
      <c r="EY162" s="330"/>
      <c r="EZ162" s="330" t="s">
        <v>201</v>
      </c>
      <c r="FA162" s="336">
        <v>46064</v>
      </c>
      <c r="FB162" s="330">
        <v>3</v>
      </c>
      <c r="FC162" s="330" t="s">
        <v>202</v>
      </c>
      <c r="FD162" s="332" t="s">
        <v>190</v>
      </c>
      <c r="FE162" s="336">
        <v>46066</v>
      </c>
      <c r="FF162" s="330"/>
      <c r="FG162" s="330" t="s">
        <v>203</v>
      </c>
      <c r="FH162" s="330" t="s">
        <v>1643</v>
      </c>
      <c r="FI162" s="330" t="s">
        <v>204</v>
      </c>
      <c r="FJ162" s="330"/>
      <c r="FK162" s="330" t="s">
        <v>230</v>
      </c>
      <c r="FL162" s="330" t="s">
        <v>742</v>
      </c>
      <c r="FM162" s="330" t="s">
        <v>202</v>
      </c>
      <c r="FN162" s="330" t="s">
        <v>1644</v>
      </c>
      <c r="FO162" s="330" t="b">
        <v>1</v>
      </c>
      <c r="FP162" s="330" t="s">
        <v>729</v>
      </c>
      <c r="FQ162" s="330"/>
      <c r="FR162" s="330"/>
      <c r="FS162" s="330"/>
      <c r="FT162" s="330"/>
      <c r="FU162" s="330"/>
    </row>
    <row r="163" spans="1:177" ht="89.25" x14ac:dyDescent="0.25">
      <c r="A163" s="330">
        <v>162</v>
      </c>
      <c r="B163" s="331" t="s">
        <v>1384</v>
      </c>
      <c r="C163" s="330"/>
      <c r="D163" s="332" t="s">
        <v>1055</v>
      </c>
      <c r="E163" s="332" t="s">
        <v>1056</v>
      </c>
      <c r="F163" s="332" t="s">
        <v>180</v>
      </c>
      <c r="G163" s="330" t="s">
        <v>181</v>
      </c>
      <c r="H163" s="331"/>
      <c r="I163" s="330"/>
      <c r="J163" s="332" t="s">
        <v>1645</v>
      </c>
      <c r="K163" s="332" t="s">
        <v>1646</v>
      </c>
      <c r="L163" s="330" t="s">
        <v>1647</v>
      </c>
      <c r="M163" s="332"/>
      <c r="N163" s="330" t="s">
        <v>1648</v>
      </c>
      <c r="O163" s="333" t="s">
        <v>184</v>
      </c>
      <c r="P163" s="333" t="s">
        <v>184</v>
      </c>
      <c r="Q163" s="333" t="s">
        <v>184</v>
      </c>
      <c r="R163" s="333">
        <v>0</v>
      </c>
      <c r="S163" s="333">
        <v>78</v>
      </c>
      <c r="T163" s="333">
        <v>2</v>
      </c>
      <c r="U163" s="333">
        <v>0</v>
      </c>
      <c r="V163" s="333">
        <v>0</v>
      </c>
      <c r="W163" s="330">
        <v>26</v>
      </c>
      <c r="X163" s="330" t="s">
        <v>1649</v>
      </c>
      <c r="Y163" s="332" t="s">
        <v>1650</v>
      </c>
      <c r="Z163" s="330" t="s">
        <v>739</v>
      </c>
      <c r="AA163" s="330" t="s">
        <v>1651</v>
      </c>
      <c r="AB163" s="330" t="s">
        <v>189</v>
      </c>
      <c r="AC163" s="330"/>
      <c r="AD163" s="330"/>
      <c r="AE163" s="330">
        <v>5</v>
      </c>
      <c r="AF163" s="330">
        <v>-37</v>
      </c>
      <c r="AG163" s="332" t="s">
        <v>190</v>
      </c>
      <c r="AH163" s="332" t="s">
        <v>191</v>
      </c>
      <c r="AI163" s="330"/>
      <c r="AJ163" s="330"/>
      <c r="AK163" s="330"/>
      <c r="AL163" s="330" t="s">
        <v>741</v>
      </c>
      <c r="AM163" s="330" t="s">
        <v>202</v>
      </c>
      <c r="AN163" s="330" t="s">
        <v>741</v>
      </c>
      <c r="AO163" s="330"/>
      <c r="AP163" s="332"/>
      <c r="AQ163" s="330" t="s">
        <v>334</v>
      </c>
      <c r="AR163" s="330"/>
      <c r="AS163" s="330" t="b">
        <v>1</v>
      </c>
      <c r="AT163" s="330"/>
      <c r="AU163" s="332"/>
      <c r="AV163" s="334">
        <v>46065.33003701389</v>
      </c>
      <c r="AW163" s="330" t="b">
        <v>1</v>
      </c>
      <c r="AX163" s="335">
        <v>46073</v>
      </c>
      <c r="AY163" s="336">
        <v>46065</v>
      </c>
      <c r="AZ163" s="330"/>
      <c r="BA163" s="336">
        <v>46078</v>
      </c>
      <c r="BB163" s="336">
        <v>46073</v>
      </c>
      <c r="BC163" s="336">
        <v>46080</v>
      </c>
      <c r="BD163" s="330"/>
      <c r="BE163" s="336">
        <v>46080</v>
      </c>
      <c r="BF163" s="330"/>
      <c r="BG163" s="336">
        <v>46084</v>
      </c>
      <c r="BH163" s="330" t="s">
        <v>193</v>
      </c>
      <c r="BI163" s="330">
        <v>64</v>
      </c>
      <c r="BJ163" s="330"/>
      <c r="BK163" s="330" t="b">
        <v>1</v>
      </c>
      <c r="BL163" s="330" t="s">
        <v>1065</v>
      </c>
      <c r="BM163" s="332" t="s">
        <v>1080</v>
      </c>
      <c r="BN163" s="330" t="s">
        <v>1067</v>
      </c>
      <c r="BO163" s="330"/>
      <c r="BP163" s="330"/>
      <c r="BQ163" s="330"/>
      <c r="BR163" s="330"/>
      <c r="BS163" s="330"/>
      <c r="BT163" s="330"/>
      <c r="BU163" s="330"/>
      <c r="BV163" s="330"/>
      <c r="BW163" s="330"/>
      <c r="BX163" s="332"/>
      <c r="BY163" s="330"/>
      <c r="BZ163" s="330"/>
      <c r="CA163" s="330"/>
      <c r="CB163" s="330"/>
      <c r="CC163" s="337" t="s">
        <v>744</v>
      </c>
      <c r="CD163" s="330"/>
      <c r="CE163" s="330"/>
      <c r="CF163" s="330"/>
      <c r="CG163" s="330"/>
      <c r="CH163" s="330"/>
      <c r="CI163" s="330" t="b">
        <v>1</v>
      </c>
      <c r="CJ163" s="330"/>
      <c r="CK163" s="330" t="s">
        <v>776</v>
      </c>
      <c r="CL163" s="330"/>
      <c r="CM163" s="330"/>
      <c r="CN163" s="330"/>
      <c r="CO163" s="330"/>
      <c r="CP163" s="330"/>
      <c r="CQ163" s="330"/>
      <c r="CR163" s="330"/>
      <c r="CS163" s="330"/>
      <c r="CT163" s="330"/>
      <c r="CU163" s="330" t="b">
        <v>1</v>
      </c>
      <c r="CV163" s="330"/>
      <c r="CW163" s="330"/>
      <c r="CX163" s="330"/>
      <c r="CY163" s="330"/>
      <c r="CZ163" s="330"/>
      <c r="DA163" s="330"/>
      <c r="DB163" s="330"/>
      <c r="DC163" s="330"/>
      <c r="DD163" s="330"/>
      <c r="DE163" s="330"/>
      <c r="DF163" s="338">
        <v>24081</v>
      </c>
      <c r="DG163" s="330" t="s">
        <v>764</v>
      </c>
      <c r="DH163" s="330"/>
      <c r="DI163" s="338" t="s">
        <v>638</v>
      </c>
      <c r="DJ163" s="330"/>
      <c r="DK163" s="330">
        <v>2</v>
      </c>
      <c r="DL163" s="330" t="s">
        <v>1384</v>
      </c>
      <c r="DM163" s="330"/>
      <c r="DN163" s="330"/>
      <c r="DO163" s="330"/>
      <c r="DP163" s="330"/>
      <c r="DQ163" s="338" t="s">
        <v>197</v>
      </c>
      <c r="DR163" s="330"/>
      <c r="DS163" s="330"/>
      <c r="DT163" s="330"/>
      <c r="DU163" s="338" t="s">
        <v>197</v>
      </c>
      <c r="DV163" s="330"/>
      <c r="DW163" s="330"/>
      <c r="DX163" s="330"/>
      <c r="DY163" s="338" t="s">
        <v>197</v>
      </c>
      <c r="DZ163" s="330"/>
      <c r="EA163" s="330"/>
      <c r="EB163" s="330"/>
      <c r="EC163" s="330" t="s">
        <v>197</v>
      </c>
      <c r="ED163" s="338" t="s">
        <v>197</v>
      </c>
      <c r="EE163" s="330">
        <v>1</v>
      </c>
      <c r="EF163" s="330">
        <v>2</v>
      </c>
      <c r="EG163" s="330"/>
      <c r="EH163" s="330"/>
      <c r="EI163" s="330"/>
      <c r="EJ163" s="330"/>
      <c r="EK163" s="330"/>
      <c r="EL163" s="330"/>
      <c r="EM163" s="330"/>
      <c r="EN163" s="330"/>
      <c r="EO163" s="330"/>
      <c r="EP163" s="330"/>
      <c r="EQ163" s="332" t="s">
        <v>198</v>
      </c>
      <c r="ER163" s="330"/>
      <c r="ES163" s="330"/>
      <c r="ET163" s="332" t="s">
        <v>86</v>
      </c>
      <c r="EU163" s="332" t="s">
        <v>1652</v>
      </c>
      <c r="EV163" s="336">
        <v>46065</v>
      </c>
      <c r="EW163" s="336">
        <v>46065</v>
      </c>
      <c r="EX163" s="330">
        <v>1</v>
      </c>
      <c r="EY163" s="330"/>
      <c r="EZ163" s="330" t="s">
        <v>247</v>
      </c>
      <c r="FA163" s="330"/>
      <c r="FB163" s="330" t="s">
        <v>248</v>
      </c>
      <c r="FC163" s="330" t="s">
        <v>202</v>
      </c>
      <c r="FD163" s="332" t="s">
        <v>190</v>
      </c>
      <c r="FE163" s="336">
        <v>46080</v>
      </c>
      <c r="FF163" s="330"/>
      <c r="FG163" s="330" t="s">
        <v>203</v>
      </c>
      <c r="FH163" s="330" t="s">
        <v>779</v>
      </c>
      <c r="FI163" s="330" t="s">
        <v>204</v>
      </c>
      <c r="FJ163" s="330"/>
      <c r="FK163" s="330" t="s">
        <v>180</v>
      </c>
      <c r="FL163" s="330" t="s">
        <v>741</v>
      </c>
      <c r="FM163" s="330" t="s">
        <v>202</v>
      </c>
      <c r="FN163" s="330" t="s">
        <v>1653</v>
      </c>
      <c r="FO163" s="330" t="b">
        <v>1</v>
      </c>
      <c r="FP163" s="330" t="s">
        <v>729</v>
      </c>
      <c r="FQ163" s="330"/>
      <c r="FR163" s="330"/>
      <c r="FS163" s="330"/>
      <c r="FT163" s="330"/>
      <c r="FU163" s="330"/>
    </row>
    <row r="164" spans="1:177" ht="63.75" x14ac:dyDescent="0.25">
      <c r="A164" s="330">
        <v>163</v>
      </c>
      <c r="B164" s="331" t="s">
        <v>1654</v>
      </c>
      <c r="C164" s="330"/>
      <c r="D164" s="332" t="s">
        <v>228</v>
      </c>
      <c r="E164" s="332" t="s">
        <v>229</v>
      </c>
      <c r="F164" s="332" t="s">
        <v>230</v>
      </c>
      <c r="G164" s="330" t="s">
        <v>231</v>
      </c>
      <c r="H164" s="331">
        <v>400</v>
      </c>
      <c r="I164" s="330"/>
      <c r="J164" s="332" t="s">
        <v>1655</v>
      </c>
      <c r="K164" s="332"/>
      <c r="L164" s="330" t="s">
        <v>284</v>
      </c>
      <c r="M164" s="332" t="s">
        <v>1656</v>
      </c>
      <c r="N164" s="330" t="s">
        <v>1657</v>
      </c>
      <c r="O164" s="339">
        <v>0.74854681336931705</v>
      </c>
      <c r="P164" s="333">
        <v>14423</v>
      </c>
      <c r="Q164" s="333">
        <v>19268</v>
      </c>
      <c r="R164" s="333">
        <v>74</v>
      </c>
      <c r="S164" s="333">
        <v>74</v>
      </c>
      <c r="T164" s="333">
        <v>4</v>
      </c>
      <c r="U164" s="333">
        <v>625</v>
      </c>
      <c r="V164" s="333">
        <v>400</v>
      </c>
      <c r="W164" s="330">
        <v>18</v>
      </c>
      <c r="X164" s="330" t="s">
        <v>1658</v>
      </c>
      <c r="Y164" s="332" t="s">
        <v>351</v>
      </c>
      <c r="Z164" s="330" t="s">
        <v>215</v>
      </c>
      <c r="AA164" s="330" t="s">
        <v>352</v>
      </c>
      <c r="AB164" s="330" t="s">
        <v>189</v>
      </c>
      <c r="AC164" s="330"/>
      <c r="AD164" s="330"/>
      <c r="AE164" s="330">
        <v>94</v>
      </c>
      <c r="AF164" s="330">
        <v>-18</v>
      </c>
      <c r="AG164" s="332" t="s">
        <v>238</v>
      </c>
      <c r="AH164" s="332" t="s">
        <v>191</v>
      </c>
      <c r="AI164" s="330" t="s">
        <v>192</v>
      </c>
      <c r="AJ164" s="330" t="s">
        <v>192</v>
      </c>
      <c r="AK164" s="330"/>
      <c r="AL164" s="330" t="s">
        <v>192</v>
      </c>
      <c r="AM164" s="330" t="s">
        <v>191</v>
      </c>
      <c r="AN164" s="330" t="s">
        <v>192</v>
      </c>
      <c r="AO164" s="330"/>
      <c r="AP164" s="332" t="s">
        <v>259</v>
      </c>
      <c r="AQ164" s="330"/>
      <c r="AR164" s="330"/>
      <c r="AS164" s="330" t="b">
        <v>1</v>
      </c>
      <c r="AT164" s="330"/>
      <c r="AU164" s="332" t="s">
        <v>192</v>
      </c>
      <c r="AV164" s="334">
        <v>46065.580765196763</v>
      </c>
      <c r="AW164" s="330"/>
      <c r="AX164" s="335">
        <v>46086</v>
      </c>
      <c r="AY164" s="336">
        <v>46086</v>
      </c>
      <c r="AZ164" s="330"/>
      <c r="BA164" s="336">
        <v>46105</v>
      </c>
      <c r="BB164" s="330"/>
      <c r="BC164" s="336">
        <v>46107</v>
      </c>
      <c r="BD164" s="330"/>
      <c r="BE164" s="336">
        <v>46107</v>
      </c>
      <c r="BF164" s="330"/>
      <c r="BG164" s="330"/>
      <c r="BH164" s="330" t="s">
        <v>193</v>
      </c>
      <c r="BI164" s="330">
        <v>1000</v>
      </c>
      <c r="BJ164" s="330"/>
      <c r="BK164" s="330"/>
      <c r="BL164" s="330"/>
      <c r="BM164" s="332"/>
      <c r="BN164" s="330"/>
      <c r="BO164" s="330" t="s">
        <v>240</v>
      </c>
      <c r="BP164" s="330" t="s">
        <v>193</v>
      </c>
      <c r="BQ164" s="330" t="s">
        <v>218</v>
      </c>
      <c r="BR164" s="330" t="s">
        <v>220</v>
      </c>
      <c r="BS164" s="330"/>
      <c r="BT164" s="330" t="s">
        <v>220</v>
      </c>
      <c r="BU164" s="330"/>
      <c r="BV164" s="330" t="s">
        <v>220</v>
      </c>
      <c r="BW164" s="330"/>
      <c r="BX164" s="332"/>
      <c r="BY164" s="330"/>
      <c r="BZ164" s="330"/>
      <c r="CA164" s="330"/>
      <c r="CB164" s="330"/>
      <c r="CC164" s="337" t="s">
        <v>241</v>
      </c>
      <c r="CD164" s="330" t="b">
        <v>1</v>
      </c>
      <c r="CE164" s="330" t="b">
        <v>1</v>
      </c>
      <c r="CF164" s="330" t="b">
        <v>1</v>
      </c>
      <c r="CG164" s="330" t="s">
        <v>242</v>
      </c>
      <c r="CH164" s="330"/>
      <c r="CI164" s="330"/>
      <c r="CJ164" s="330"/>
      <c r="CK164" s="330"/>
      <c r="CL164" s="330"/>
      <c r="CM164" s="330"/>
      <c r="CN164" s="330"/>
      <c r="CO164" s="330"/>
      <c r="CP164" s="330"/>
      <c r="CQ164" s="330"/>
      <c r="CR164" s="330"/>
      <c r="CS164" s="330"/>
      <c r="CT164" s="330"/>
      <c r="CU164" s="330"/>
      <c r="CV164" s="330"/>
      <c r="CW164" s="330"/>
      <c r="CX164" s="330"/>
      <c r="CY164" s="330"/>
      <c r="CZ164" s="330"/>
      <c r="DA164" s="330"/>
      <c r="DB164" s="330" t="b">
        <v>1</v>
      </c>
      <c r="DC164" s="330" t="b">
        <v>1</v>
      </c>
      <c r="DD164" s="330"/>
      <c r="DE164" s="330"/>
      <c r="DF164" s="338">
        <v>24051</v>
      </c>
      <c r="DG164" s="330" t="s">
        <v>221</v>
      </c>
      <c r="DH164" s="330"/>
      <c r="DI164" s="340">
        <v>76.099999999999994</v>
      </c>
      <c r="DJ164" s="330"/>
      <c r="DK164" s="330">
        <v>76.099999999999994</v>
      </c>
      <c r="DL164" s="330" t="s">
        <v>243</v>
      </c>
      <c r="DM164" s="330"/>
      <c r="DN164" s="330"/>
      <c r="DO164" s="330"/>
      <c r="DP164" s="330"/>
      <c r="DQ164" s="338" t="s">
        <v>197</v>
      </c>
      <c r="DR164" s="330"/>
      <c r="DS164" s="330"/>
      <c r="DT164" s="330"/>
      <c r="DU164" s="338" t="s">
        <v>197</v>
      </c>
      <c r="DV164" s="330"/>
      <c r="DW164" s="330"/>
      <c r="DX164" s="330"/>
      <c r="DY164" s="338" t="s">
        <v>197</v>
      </c>
      <c r="DZ164" s="330"/>
      <c r="EA164" s="330"/>
      <c r="EB164" s="330"/>
      <c r="EC164" s="330" t="s">
        <v>197</v>
      </c>
      <c r="ED164" s="338" t="s">
        <v>197</v>
      </c>
      <c r="EE164" s="330">
        <v>8</v>
      </c>
      <c r="EF164" s="330">
        <v>200</v>
      </c>
      <c r="EG164" s="330"/>
      <c r="EH164" s="330"/>
      <c r="EI164" s="330"/>
      <c r="EJ164" s="330"/>
      <c r="EK164" s="330"/>
      <c r="EL164" s="330"/>
      <c r="EM164" s="330"/>
      <c r="EN164" s="330"/>
      <c r="EO164" s="330"/>
      <c r="EP164" s="330"/>
      <c r="EQ164" s="332" t="s">
        <v>244</v>
      </c>
      <c r="ER164" s="330"/>
      <c r="ES164" s="330"/>
      <c r="ET164" s="332" t="s">
        <v>245</v>
      </c>
      <c r="EU164" s="332" t="s">
        <v>246</v>
      </c>
      <c r="EV164" s="336">
        <v>46085</v>
      </c>
      <c r="EW164" s="336">
        <v>46086</v>
      </c>
      <c r="EX164" s="330">
        <v>2</v>
      </c>
      <c r="EY164" s="330"/>
      <c r="EZ164" s="330" t="s">
        <v>201</v>
      </c>
      <c r="FA164" s="336">
        <v>46101</v>
      </c>
      <c r="FB164" s="330">
        <v>2</v>
      </c>
      <c r="FC164" s="330" t="s">
        <v>202</v>
      </c>
      <c r="FD164" s="332" t="s">
        <v>190</v>
      </c>
      <c r="FE164" s="336">
        <v>46104</v>
      </c>
      <c r="FF164" s="330"/>
      <c r="FG164" s="330" t="s">
        <v>203</v>
      </c>
      <c r="FH164" s="330" t="s">
        <v>457</v>
      </c>
      <c r="FI164" s="330" t="s">
        <v>204</v>
      </c>
      <c r="FJ164" s="330"/>
      <c r="FK164" s="330" t="s">
        <v>230</v>
      </c>
      <c r="FL164" s="330" t="s">
        <v>192</v>
      </c>
      <c r="FM164" s="330" t="s">
        <v>191</v>
      </c>
      <c r="FN164" s="330" t="s">
        <v>1659</v>
      </c>
      <c r="FO164" s="330"/>
      <c r="FP164" s="330" t="s">
        <v>756</v>
      </c>
      <c r="FQ164" s="330"/>
      <c r="FR164" s="330"/>
      <c r="FS164" s="330"/>
      <c r="FT164" s="330"/>
      <c r="FU164" s="330"/>
    </row>
    <row r="165" spans="1:177" ht="153" x14ac:dyDescent="0.25">
      <c r="A165" s="330">
        <v>164</v>
      </c>
      <c r="B165" s="331" t="s">
        <v>1660</v>
      </c>
      <c r="C165" s="330"/>
      <c r="D165" s="332" t="s">
        <v>325</v>
      </c>
      <c r="E165" s="332" t="s">
        <v>326</v>
      </c>
      <c r="F165" s="332" t="s">
        <v>327</v>
      </c>
      <c r="G165" s="330"/>
      <c r="H165" s="331" t="s">
        <v>731</v>
      </c>
      <c r="I165" s="330"/>
      <c r="J165" s="332" t="s">
        <v>1661</v>
      </c>
      <c r="K165" s="332"/>
      <c r="L165" s="330"/>
      <c r="M165" s="332"/>
      <c r="N165" s="330" t="s">
        <v>1662</v>
      </c>
      <c r="O165" s="333" t="s">
        <v>184</v>
      </c>
      <c r="P165" s="333" t="s">
        <v>184</v>
      </c>
      <c r="Q165" s="333" t="s">
        <v>184</v>
      </c>
      <c r="R165" s="333">
        <v>0</v>
      </c>
      <c r="S165" s="333">
        <v>3</v>
      </c>
      <c r="T165" s="333">
        <v>1</v>
      </c>
      <c r="U165" s="333">
        <v>0</v>
      </c>
      <c r="V165" s="333">
        <v>0</v>
      </c>
      <c r="W165" s="330">
        <v>0</v>
      </c>
      <c r="X165" s="330">
        <v>0</v>
      </c>
      <c r="Y165" s="332" t="s">
        <v>1663</v>
      </c>
      <c r="Z165" s="330"/>
      <c r="AA165" s="330" t="s">
        <v>1663</v>
      </c>
      <c r="AB165" s="330"/>
      <c r="AC165" s="330"/>
      <c r="AD165" s="330"/>
      <c r="AE165" s="330">
        <v>1</v>
      </c>
      <c r="AF165" s="330">
        <v>-30</v>
      </c>
      <c r="AG165" s="332" t="s">
        <v>1664</v>
      </c>
      <c r="AH165" s="332" t="s">
        <v>202</v>
      </c>
      <c r="AI165" s="330"/>
      <c r="AJ165" s="330"/>
      <c r="AK165" s="330"/>
      <c r="AL165" s="330" t="s">
        <v>674</v>
      </c>
      <c r="AM165" s="330" t="s">
        <v>202</v>
      </c>
      <c r="AN165" s="330" t="s">
        <v>674</v>
      </c>
      <c r="AO165" s="330"/>
      <c r="AP165" s="332"/>
      <c r="AQ165" s="330"/>
      <c r="AR165" s="330"/>
      <c r="AS165" s="330"/>
      <c r="AT165" s="330"/>
      <c r="AU165" s="332" t="s">
        <v>1665</v>
      </c>
      <c r="AV165" s="334">
        <v>46065.708329386573</v>
      </c>
      <c r="AW165" s="330" t="b">
        <v>1</v>
      </c>
      <c r="AX165" s="335">
        <v>46086</v>
      </c>
      <c r="AY165" s="336">
        <v>46071</v>
      </c>
      <c r="AZ165" s="330" t="b">
        <v>1</v>
      </c>
      <c r="BA165" s="336">
        <v>46087</v>
      </c>
      <c r="BB165" s="330"/>
      <c r="BC165" s="336">
        <v>46079</v>
      </c>
      <c r="BD165" s="330"/>
      <c r="BE165" s="336">
        <v>46079</v>
      </c>
      <c r="BF165" s="330"/>
      <c r="BG165" s="330"/>
      <c r="BH165" s="330" t="s">
        <v>193</v>
      </c>
      <c r="BI165" s="330"/>
      <c r="BJ165" s="330"/>
      <c r="BK165" s="330"/>
      <c r="BL165" s="330"/>
      <c r="BM165" s="332"/>
      <c r="BN165" s="330"/>
      <c r="BO165" s="330"/>
      <c r="BP165" s="330"/>
      <c r="BQ165" s="330" t="s">
        <v>338</v>
      </c>
      <c r="BR165" s="330" t="s">
        <v>220</v>
      </c>
      <c r="BS165" s="330"/>
      <c r="BT165" s="330" t="s">
        <v>193</v>
      </c>
      <c r="BU165" s="330" t="s">
        <v>1666</v>
      </c>
      <c r="BV165" s="330" t="s">
        <v>220</v>
      </c>
      <c r="BW165" s="330"/>
      <c r="BX165" s="332"/>
      <c r="BY165" s="330"/>
      <c r="BZ165" s="330"/>
      <c r="CA165" s="330"/>
      <c r="CB165" s="330"/>
      <c r="CC165" s="337" t="s">
        <v>1667</v>
      </c>
      <c r="CD165" s="330"/>
      <c r="CE165" s="330" t="b">
        <v>1</v>
      </c>
      <c r="CF165" s="330"/>
      <c r="CG165" s="330"/>
      <c r="CH165" s="330"/>
      <c r="CI165" s="330"/>
      <c r="CJ165" s="330"/>
      <c r="CK165" s="330"/>
      <c r="CL165" s="330"/>
      <c r="CM165" s="330"/>
      <c r="CN165" s="330"/>
      <c r="CO165" s="330"/>
      <c r="CP165" s="330"/>
      <c r="CQ165" s="330"/>
      <c r="CR165" s="330"/>
      <c r="CS165" s="330"/>
      <c r="CT165" s="330"/>
      <c r="CU165" s="330"/>
      <c r="CV165" s="330"/>
      <c r="CW165" s="330"/>
      <c r="CX165" s="330"/>
      <c r="CY165" s="330"/>
      <c r="CZ165" s="330"/>
      <c r="DA165" s="330"/>
      <c r="DB165" s="330"/>
      <c r="DC165" s="330"/>
      <c r="DD165" s="330" t="b">
        <v>1</v>
      </c>
      <c r="DE165" s="330"/>
      <c r="DF165" s="338" t="s">
        <v>1668</v>
      </c>
      <c r="DG165" s="330" t="s">
        <v>341</v>
      </c>
      <c r="DH165" s="330"/>
      <c r="DI165" s="338" t="s">
        <v>196</v>
      </c>
      <c r="DJ165" s="330"/>
      <c r="DK165" s="330">
        <v>1</v>
      </c>
      <c r="DL165" s="330" t="s">
        <v>1669</v>
      </c>
      <c r="DM165" s="330"/>
      <c r="DN165" s="330"/>
      <c r="DO165" s="330"/>
      <c r="DP165" s="330"/>
      <c r="DQ165" s="338" t="s">
        <v>197</v>
      </c>
      <c r="DR165" s="330"/>
      <c r="DS165" s="330"/>
      <c r="DT165" s="330"/>
      <c r="DU165" s="338" t="s">
        <v>197</v>
      </c>
      <c r="DV165" s="330"/>
      <c r="DW165" s="330"/>
      <c r="DX165" s="330"/>
      <c r="DY165" s="338" t="s">
        <v>197</v>
      </c>
      <c r="DZ165" s="330"/>
      <c r="EA165" s="330"/>
      <c r="EB165" s="330"/>
      <c r="EC165" s="330" t="s">
        <v>197</v>
      </c>
      <c r="ED165" s="338" t="s">
        <v>197</v>
      </c>
      <c r="EE165" s="330">
        <v>24</v>
      </c>
      <c r="EF165" s="330">
        <v>32</v>
      </c>
      <c r="EG165" s="330"/>
      <c r="EH165" s="330"/>
      <c r="EI165" s="330"/>
      <c r="EJ165" s="330"/>
      <c r="EK165" s="330"/>
      <c r="EL165" s="330"/>
      <c r="EM165" s="330"/>
      <c r="EN165" s="330"/>
      <c r="EO165" s="330"/>
      <c r="EP165" s="330"/>
      <c r="EQ165" s="332" t="s">
        <v>224</v>
      </c>
      <c r="ER165" s="330"/>
      <c r="ES165" s="330"/>
      <c r="ET165" s="332"/>
      <c r="EU165" s="332" t="s">
        <v>107</v>
      </c>
      <c r="EV165" s="330"/>
      <c r="EW165" s="330"/>
      <c r="EX165" s="330" t="s">
        <v>200</v>
      </c>
      <c r="EY165" s="330"/>
      <c r="EZ165" s="330" t="s">
        <v>247</v>
      </c>
      <c r="FA165" s="330"/>
      <c r="FB165" s="330" t="s">
        <v>247</v>
      </c>
      <c r="FC165" s="330" t="s">
        <v>202</v>
      </c>
      <c r="FD165" s="332" t="s">
        <v>190</v>
      </c>
      <c r="FE165" s="330"/>
      <c r="FF165" s="330"/>
      <c r="FG165" s="330" t="s">
        <v>203</v>
      </c>
      <c r="FH165" s="330" t="s">
        <v>1670</v>
      </c>
      <c r="FI165" s="330" t="s">
        <v>204</v>
      </c>
      <c r="FJ165" s="330"/>
      <c r="FK165" s="330" t="s">
        <v>327</v>
      </c>
      <c r="FL165" s="330" t="s">
        <v>674</v>
      </c>
      <c r="FM165" s="330" t="s">
        <v>202</v>
      </c>
      <c r="FN165" s="330" t="s">
        <v>1671</v>
      </c>
      <c r="FO165" s="330"/>
      <c r="FP165" s="330" t="s">
        <v>729</v>
      </c>
      <c r="FQ165" s="330"/>
      <c r="FR165" s="330"/>
      <c r="FS165" s="330"/>
      <c r="FT165" s="330"/>
      <c r="FU165" s="330"/>
    </row>
    <row r="166" spans="1:177" ht="76.5" x14ac:dyDescent="0.25">
      <c r="A166" s="330">
        <v>165</v>
      </c>
      <c r="B166" s="331" t="s">
        <v>1672</v>
      </c>
      <c r="C166" s="330"/>
      <c r="D166" s="332" t="s">
        <v>228</v>
      </c>
      <c r="E166" s="332" t="s">
        <v>229</v>
      </c>
      <c r="F166" s="332" t="s">
        <v>230</v>
      </c>
      <c r="G166" s="330" t="s">
        <v>231</v>
      </c>
      <c r="H166" s="331">
        <v>400</v>
      </c>
      <c r="I166" s="330"/>
      <c r="J166" s="332" t="s">
        <v>1673</v>
      </c>
      <c r="K166" s="332" t="s">
        <v>1674</v>
      </c>
      <c r="L166" s="330" t="s">
        <v>284</v>
      </c>
      <c r="M166" s="332" t="s">
        <v>1675</v>
      </c>
      <c r="N166" s="330" t="s">
        <v>1676</v>
      </c>
      <c r="O166" s="339">
        <v>0.75238737803612199</v>
      </c>
      <c r="P166" s="333">
        <v>14497</v>
      </c>
      <c r="Q166" s="333">
        <v>19268</v>
      </c>
      <c r="R166" s="333">
        <v>38</v>
      </c>
      <c r="S166" s="333">
        <v>38</v>
      </c>
      <c r="T166" s="333">
        <v>27</v>
      </c>
      <c r="U166" s="333">
        <v>289</v>
      </c>
      <c r="V166" s="333">
        <v>600</v>
      </c>
      <c r="W166" s="330" t="s">
        <v>1677</v>
      </c>
      <c r="X166" s="330" t="s">
        <v>1678</v>
      </c>
      <c r="Y166" s="332" t="s">
        <v>351</v>
      </c>
      <c r="Z166" s="330" t="s">
        <v>215</v>
      </c>
      <c r="AA166" s="330" t="s">
        <v>352</v>
      </c>
      <c r="AB166" s="330" t="s">
        <v>189</v>
      </c>
      <c r="AC166" s="330"/>
      <c r="AD166" s="330"/>
      <c r="AE166" s="330">
        <v>98</v>
      </c>
      <c r="AF166" s="330">
        <v>-14</v>
      </c>
      <c r="AG166" s="332" t="s">
        <v>238</v>
      </c>
      <c r="AH166" s="332" t="s">
        <v>191</v>
      </c>
      <c r="AI166" s="330"/>
      <c r="AJ166" s="330" t="s">
        <v>192</v>
      </c>
      <c r="AK166" s="330"/>
      <c r="AL166" s="330" t="s">
        <v>192</v>
      </c>
      <c r="AM166" s="330" t="s">
        <v>191</v>
      </c>
      <c r="AN166" s="330" t="s">
        <v>192</v>
      </c>
      <c r="AO166" s="330"/>
      <c r="AP166" s="332" t="s">
        <v>259</v>
      </c>
      <c r="AQ166" s="330"/>
      <c r="AR166" s="330"/>
      <c r="AS166" s="330" t="b">
        <v>1</v>
      </c>
      <c r="AT166" s="330"/>
      <c r="AU166" s="332" t="s">
        <v>1679</v>
      </c>
      <c r="AV166" s="334">
        <v>46066.645746493057</v>
      </c>
      <c r="AW166" s="330" t="b">
        <v>1</v>
      </c>
      <c r="AX166" s="335">
        <v>46087</v>
      </c>
      <c r="AY166" s="336">
        <v>46093</v>
      </c>
      <c r="AZ166" s="330" t="b">
        <v>1</v>
      </c>
      <c r="BA166" s="336">
        <v>46111</v>
      </c>
      <c r="BB166" s="330"/>
      <c r="BC166" s="336">
        <v>46085</v>
      </c>
      <c r="BD166" s="330"/>
      <c r="BE166" s="336">
        <v>46085</v>
      </c>
      <c r="BF166" s="330"/>
      <c r="BG166" s="330"/>
      <c r="BH166" s="330" t="s">
        <v>193</v>
      </c>
      <c r="BI166" s="330">
        <v>1000</v>
      </c>
      <c r="BJ166" s="330"/>
      <c r="BK166" s="330"/>
      <c r="BL166" s="330"/>
      <c r="BM166" s="332"/>
      <c r="BN166" s="330"/>
      <c r="BO166" s="330" t="s">
        <v>240</v>
      </c>
      <c r="BP166" s="330" t="s">
        <v>193</v>
      </c>
      <c r="BQ166" s="330" t="s">
        <v>218</v>
      </c>
      <c r="BR166" s="330" t="s">
        <v>220</v>
      </c>
      <c r="BS166" s="330"/>
      <c r="BT166" s="330" t="s">
        <v>220</v>
      </c>
      <c r="BU166" s="330"/>
      <c r="BV166" s="330" t="s">
        <v>220</v>
      </c>
      <c r="BW166" s="330"/>
      <c r="BX166" s="332"/>
      <c r="BY166" s="330"/>
      <c r="BZ166" s="330"/>
      <c r="CA166" s="330"/>
      <c r="CB166" s="330"/>
      <c r="CC166" s="337" t="s">
        <v>241</v>
      </c>
      <c r="CD166" s="330" t="b">
        <v>1</v>
      </c>
      <c r="CE166" s="330" t="b">
        <v>1</v>
      </c>
      <c r="CF166" s="330" t="b">
        <v>1</v>
      </c>
      <c r="CG166" s="330" t="s">
        <v>242</v>
      </c>
      <c r="CH166" s="330"/>
      <c r="CI166" s="330"/>
      <c r="CJ166" s="330"/>
      <c r="CK166" s="330"/>
      <c r="CL166" s="330"/>
      <c r="CM166" s="330"/>
      <c r="CN166" s="330"/>
      <c r="CO166" s="330"/>
      <c r="CP166" s="330"/>
      <c r="CQ166" s="330"/>
      <c r="CR166" s="330"/>
      <c r="CS166" s="330"/>
      <c r="CT166" s="330"/>
      <c r="CU166" s="330"/>
      <c r="CV166" s="330"/>
      <c r="CW166" s="330"/>
      <c r="CX166" s="330"/>
      <c r="CY166" s="330"/>
      <c r="CZ166" s="330"/>
      <c r="DA166" s="330"/>
      <c r="DB166" s="330" t="b">
        <v>1</v>
      </c>
      <c r="DC166" s="330" t="b">
        <v>1</v>
      </c>
      <c r="DD166" s="330"/>
      <c r="DE166" s="330"/>
      <c r="DF166" s="338">
        <v>24051</v>
      </c>
      <c r="DG166" s="330" t="s">
        <v>221</v>
      </c>
      <c r="DH166" s="330"/>
      <c r="DI166" s="338">
        <v>86</v>
      </c>
      <c r="DJ166" s="330"/>
      <c r="DK166" s="330">
        <v>86</v>
      </c>
      <c r="DL166" s="330" t="s">
        <v>243</v>
      </c>
      <c r="DM166" s="330"/>
      <c r="DN166" s="330"/>
      <c r="DO166" s="330"/>
      <c r="DP166" s="330"/>
      <c r="DQ166" s="338" t="s">
        <v>197</v>
      </c>
      <c r="DR166" s="330"/>
      <c r="DS166" s="330"/>
      <c r="DT166" s="330"/>
      <c r="DU166" s="338" t="s">
        <v>197</v>
      </c>
      <c r="DV166" s="330"/>
      <c r="DW166" s="330"/>
      <c r="DX166" s="330"/>
      <c r="DY166" s="338" t="s">
        <v>197</v>
      </c>
      <c r="DZ166" s="330"/>
      <c r="EA166" s="330"/>
      <c r="EB166" s="330"/>
      <c r="EC166" s="330" t="s">
        <v>197</v>
      </c>
      <c r="ED166" s="338" t="s">
        <v>197</v>
      </c>
      <c r="EE166" s="330">
        <v>8</v>
      </c>
      <c r="EF166" s="330">
        <v>40</v>
      </c>
      <c r="EG166" s="330"/>
      <c r="EH166" s="330"/>
      <c r="EI166" s="330"/>
      <c r="EJ166" s="330"/>
      <c r="EK166" s="330"/>
      <c r="EL166" s="330"/>
      <c r="EM166" s="330"/>
      <c r="EN166" s="330"/>
      <c r="EO166" s="330"/>
      <c r="EP166" s="330"/>
      <c r="EQ166" s="332" t="s">
        <v>244</v>
      </c>
      <c r="ER166" s="330"/>
      <c r="ES166" s="330"/>
      <c r="ET166" s="332" t="s">
        <v>245</v>
      </c>
      <c r="EU166" s="332" t="s">
        <v>246</v>
      </c>
      <c r="EV166" s="336">
        <v>46093</v>
      </c>
      <c r="EW166" s="336">
        <v>46093</v>
      </c>
      <c r="EX166" s="330">
        <v>1</v>
      </c>
      <c r="EY166" s="330"/>
      <c r="EZ166" s="330" t="s">
        <v>201</v>
      </c>
      <c r="FA166" s="336">
        <v>46102</v>
      </c>
      <c r="FB166" s="330">
        <v>1</v>
      </c>
      <c r="FC166" s="330" t="s">
        <v>202</v>
      </c>
      <c r="FD166" s="332" t="s">
        <v>190</v>
      </c>
      <c r="FE166" s="336">
        <v>46104</v>
      </c>
      <c r="FF166" s="330"/>
      <c r="FG166" s="330" t="s">
        <v>203</v>
      </c>
      <c r="FH166" s="330" t="s">
        <v>1680</v>
      </c>
      <c r="FI166" s="330" t="s">
        <v>204</v>
      </c>
      <c r="FJ166" s="330"/>
      <c r="FK166" s="330" t="s">
        <v>230</v>
      </c>
      <c r="FL166" s="330" t="s">
        <v>192</v>
      </c>
      <c r="FM166" s="330" t="s">
        <v>191</v>
      </c>
      <c r="FN166" s="330" t="s">
        <v>1681</v>
      </c>
      <c r="FO166" s="330"/>
      <c r="FP166" s="330" t="s">
        <v>293</v>
      </c>
      <c r="FQ166" s="330"/>
      <c r="FR166" s="330"/>
      <c r="FS166" s="330"/>
      <c r="FT166" s="330"/>
      <c r="FU166" s="330"/>
    </row>
    <row r="167" spans="1:177" ht="127.5" x14ac:dyDescent="0.25">
      <c r="A167" s="330">
        <v>166</v>
      </c>
      <c r="B167" s="331" t="s">
        <v>1682</v>
      </c>
      <c r="C167" s="330"/>
      <c r="D167" s="332" t="s">
        <v>900</v>
      </c>
      <c r="E167" s="332" t="s">
        <v>901</v>
      </c>
      <c r="F167" s="332" t="s">
        <v>902</v>
      </c>
      <c r="G167" s="330" t="s">
        <v>903</v>
      </c>
      <c r="H167" s="331" t="s">
        <v>328</v>
      </c>
      <c r="I167" s="330"/>
      <c r="J167" s="332" t="s">
        <v>1683</v>
      </c>
      <c r="K167" s="332" t="s">
        <v>1684</v>
      </c>
      <c r="L167" s="330"/>
      <c r="M167" s="332"/>
      <c r="N167" s="330"/>
      <c r="O167" s="333"/>
      <c r="P167" s="333"/>
      <c r="Q167" s="333"/>
      <c r="R167" s="333">
        <v>173</v>
      </c>
      <c r="S167" s="333"/>
      <c r="T167" s="333"/>
      <c r="U167" s="333"/>
      <c r="V167" s="333"/>
      <c r="W167" s="330"/>
      <c r="X167" s="330"/>
      <c r="Y167" s="332" t="s">
        <v>1685</v>
      </c>
      <c r="Z167" s="330" t="s">
        <v>907</v>
      </c>
      <c r="AA167" s="330" t="s">
        <v>1686</v>
      </c>
      <c r="AB167" s="330" t="s">
        <v>217</v>
      </c>
      <c r="AC167" s="330"/>
      <c r="AD167" s="330"/>
      <c r="AE167" s="330">
        <v>3</v>
      </c>
      <c r="AF167" s="330">
        <v>-29</v>
      </c>
      <c r="AG167" s="332" t="s">
        <v>191</v>
      </c>
      <c r="AH167" s="332" t="s">
        <v>202</v>
      </c>
      <c r="AI167" s="330" t="s">
        <v>191</v>
      </c>
      <c r="AJ167" s="330"/>
      <c r="AK167" s="330"/>
      <c r="AL167" s="330"/>
      <c r="AM167" s="330"/>
      <c r="AN167" s="330"/>
      <c r="AO167" s="330"/>
      <c r="AP167" s="332"/>
      <c r="AQ167" s="330"/>
      <c r="AR167" s="330"/>
      <c r="AS167" s="330"/>
      <c r="AT167" s="330"/>
      <c r="AU167" s="332"/>
      <c r="AV167" s="334">
        <v>46069.517283078705</v>
      </c>
      <c r="AW167" s="330"/>
      <c r="AX167" s="335">
        <v>46090</v>
      </c>
      <c r="AY167" s="330"/>
      <c r="AZ167" s="330"/>
      <c r="BA167" s="330"/>
      <c r="BB167" s="330"/>
      <c r="BC167" s="336">
        <v>46111</v>
      </c>
      <c r="BD167" s="330"/>
      <c r="BE167" s="336">
        <v>46111</v>
      </c>
      <c r="BF167" s="330"/>
      <c r="BG167" s="330"/>
      <c r="BH167" s="330" t="s">
        <v>193</v>
      </c>
      <c r="BI167" s="330">
        <v>999</v>
      </c>
      <c r="BJ167" s="330"/>
      <c r="BK167" s="330"/>
      <c r="BL167" s="330"/>
      <c r="BM167" s="332"/>
      <c r="BN167" s="330"/>
      <c r="BO167" s="330" t="s">
        <v>184</v>
      </c>
      <c r="BP167" s="330" t="s">
        <v>184</v>
      </c>
      <c r="BQ167" s="330" t="s">
        <v>909</v>
      </c>
      <c r="BR167" s="330" t="s">
        <v>193</v>
      </c>
      <c r="BS167" s="330" t="s">
        <v>1687</v>
      </c>
      <c r="BT167" s="330" t="s">
        <v>193</v>
      </c>
      <c r="BU167" s="330" t="s">
        <v>1687</v>
      </c>
      <c r="BV167" s="330" t="s">
        <v>220</v>
      </c>
      <c r="BW167" s="330"/>
      <c r="BX167" s="332"/>
      <c r="BY167" s="330"/>
      <c r="BZ167" s="330"/>
      <c r="CA167" s="330"/>
      <c r="CB167" s="330"/>
      <c r="CC167" s="337" t="s">
        <v>911</v>
      </c>
      <c r="CD167" s="330"/>
      <c r="CE167" s="330"/>
      <c r="CF167" s="330"/>
      <c r="CG167" s="330"/>
      <c r="CH167" s="330"/>
      <c r="CI167" s="330"/>
      <c r="CJ167" s="330"/>
      <c r="CK167" s="330"/>
      <c r="CL167" s="330"/>
      <c r="CM167" s="330"/>
      <c r="CN167" s="330"/>
      <c r="CO167" s="330"/>
      <c r="CP167" s="330"/>
      <c r="CQ167" s="330"/>
      <c r="CR167" s="330"/>
      <c r="CS167" s="330"/>
      <c r="CT167" s="330"/>
      <c r="CU167" s="330"/>
      <c r="CV167" s="330"/>
      <c r="CW167" s="330"/>
      <c r="CX167" s="330"/>
      <c r="CY167" s="330"/>
      <c r="CZ167" s="330"/>
      <c r="DA167" s="330"/>
      <c r="DB167" s="330"/>
      <c r="DC167" s="330"/>
      <c r="DD167" s="330"/>
      <c r="DE167" s="330"/>
      <c r="DF167" s="338">
        <v>24079</v>
      </c>
      <c r="DG167" s="330" t="s">
        <v>221</v>
      </c>
      <c r="DH167" s="330"/>
      <c r="DI167" s="338" t="s">
        <v>754</v>
      </c>
      <c r="DJ167" s="330"/>
      <c r="DK167" s="330">
        <v>4</v>
      </c>
      <c r="DL167" s="330" t="s">
        <v>912</v>
      </c>
      <c r="DM167" s="330"/>
      <c r="DN167" s="330"/>
      <c r="DO167" s="330"/>
      <c r="DP167" s="330"/>
      <c r="DQ167" s="338" t="s">
        <v>197</v>
      </c>
      <c r="DR167" s="330"/>
      <c r="DS167" s="330"/>
      <c r="DT167" s="330"/>
      <c r="DU167" s="338" t="s">
        <v>197</v>
      </c>
      <c r="DV167" s="330"/>
      <c r="DW167" s="330"/>
      <c r="DX167" s="330"/>
      <c r="DY167" s="338" t="s">
        <v>197</v>
      </c>
      <c r="DZ167" s="330"/>
      <c r="EA167" s="330"/>
      <c r="EB167" s="330"/>
      <c r="EC167" s="330" t="s">
        <v>197</v>
      </c>
      <c r="ED167" s="338" t="s">
        <v>197</v>
      </c>
      <c r="EE167" s="330">
        <v>8</v>
      </c>
      <c r="EF167" s="330">
        <v>0</v>
      </c>
      <c r="EG167" s="330"/>
      <c r="EH167" s="330"/>
      <c r="EI167" s="330"/>
      <c r="EJ167" s="330"/>
      <c r="EK167" s="330"/>
      <c r="EL167" s="330"/>
      <c r="EM167" s="330"/>
      <c r="EN167" s="330"/>
      <c r="EO167" s="330"/>
      <c r="EP167" s="330"/>
      <c r="EQ167" s="332" t="s">
        <v>224</v>
      </c>
      <c r="ER167" s="330"/>
      <c r="ES167" s="330"/>
      <c r="ET167" s="332"/>
      <c r="EU167" s="332"/>
      <c r="EV167" s="330"/>
      <c r="EW167" s="330"/>
      <c r="EX167" s="330" t="s">
        <v>200</v>
      </c>
      <c r="EY167" s="330"/>
      <c r="EZ167" s="330" t="s">
        <v>247</v>
      </c>
      <c r="FA167" s="330"/>
      <c r="FB167" s="330" t="s">
        <v>247</v>
      </c>
      <c r="FC167" s="330" t="s">
        <v>202</v>
      </c>
      <c r="FD167" s="332" t="s">
        <v>190</v>
      </c>
      <c r="FE167" s="330"/>
      <c r="FF167" s="330"/>
      <c r="FG167" s="330" t="s">
        <v>203</v>
      </c>
      <c r="FH167" s="330"/>
      <c r="FI167" s="330" t="s">
        <v>204</v>
      </c>
      <c r="FJ167" s="330"/>
      <c r="FK167" s="330" t="s">
        <v>902</v>
      </c>
      <c r="FL167" s="330"/>
      <c r="FM167" s="330"/>
      <c r="FN167" s="330" t="s">
        <v>1688</v>
      </c>
      <c r="FO167" s="330"/>
      <c r="FP167" s="330" t="s">
        <v>1689</v>
      </c>
      <c r="FQ167" s="330"/>
      <c r="FR167" s="330"/>
      <c r="FS167" s="330"/>
      <c r="FT167" s="330"/>
      <c r="FU167" s="330"/>
    </row>
    <row r="168" spans="1:177" ht="178.5" x14ac:dyDescent="0.25">
      <c r="A168" s="330">
        <v>167</v>
      </c>
      <c r="B168" s="331" t="s">
        <v>1690</v>
      </c>
      <c r="C168" s="330"/>
      <c r="D168" s="332" t="s">
        <v>325</v>
      </c>
      <c r="E168" s="332" t="s">
        <v>326</v>
      </c>
      <c r="F168" s="332" t="s">
        <v>327</v>
      </c>
      <c r="G168" s="330"/>
      <c r="H168" s="331" t="s">
        <v>731</v>
      </c>
      <c r="I168" s="330"/>
      <c r="J168" s="332" t="s">
        <v>1691</v>
      </c>
      <c r="K168" s="332"/>
      <c r="L168" s="330"/>
      <c r="M168" s="332"/>
      <c r="N168" s="330" t="s">
        <v>1692</v>
      </c>
      <c r="O168" s="333" t="s">
        <v>184</v>
      </c>
      <c r="P168" s="333" t="s">
        <v>184</v>
      </c>
      <c r="Q168" s="333" t="s">
        <v>184</v>
      </c>
      <c r="R168" s="333">
        <v>0</v>
      </c>
      <c r="S168" s="333">
        <v>9</v>
      </c>
      <c r="T168" s="333">
        <v>9</v>
      </c>
      <c r="U168" s="333">
        <v>0</v>
      </c>
      <c r="V168" s="333">
        <v>0</v>
      </c>
      <c r="W168" s="330">
        <v>2</v>
      </c>
      <c r="X168" s="330" t="s">
        <v>1693</v>
      </c>
      <c r="Y168" s="332" t="s">
        <v>1694</v>
      </c>
      <c r="Z168" s="330" t="s">
        <v>739</v>
      </c>
      <c r="AA168" s="330" t="s">
        <v>1695</v>
      </c>
      <c r="AB168" s="330" t="s">
        <v>189</v>
      </c>
      <c r="AC168" s="330"/>
      <c r="AD168" s="330"/>
      <c r="AE168" s="330">
        <v>1</v>
      </c>
      <c r="AF168" s="330">
        <v>-30</v>
      </c>
      <c r="AG168" s="332" t="s">
        <v>1664</v>
      </c>
      <c r="AH168" s="332" t="s">
        <v>202</v>
      </c>
      <c r="AI168" s="330"/>
      <c r="AJ168" s="330"/>
      <c r="AK168" s="330"/>
      <c r="AL168" s="330" t="s">
        <v>674</v>
      </c>
      <c r="AM168" s="330" t="s">
        <v>202</v>
      </c>
      <c r="AN168" s="330" t="s">
        <v>674</v>
      </c>
      <c r="AO168" s="330"/>
      <c r="AP168" s="332"/>
      <c r="AQ168" s="330" t="s">
        <v>334</v>
      </c>
      <c r="AR168" s="330"/>
      <c r="AS168" s="330" t="b">
        <v>1</v>
      </c>
      <c r="AT168" s="330"/>
      <c r="AU168" s="332"/>
      <c r="AV168" s="334">
        <v>46070.729668043983</v>
      </c>
      <c r="AW168" s="330" t="b">
        <v>1</v>
      </c>
      <c r="AX168" s="335">
        <v>46091</v>
      </c>
      <c r="AY168" s="336">
        <v>46071</v>
      </c>
      <c r="AZ168" s="330" t="b">
        <v>1</v>
      </c>
      <c r="BA168" s="336">
        <v>46087</v>
      </c>
      <c r="BB168" s="330"/>
      <c r="BC168" s="336">
        <v>46080</v>
      </c>
      <c r="BD168" s="330"/>
      <c r="BE168" s="336">
        <v>46080</v>
      </c>
      <c r="BF168" s="330"/>
      <c r="BG168" s="330"/>
      <c r="BH168" s="330" t="s">
        <v>193</v>
      </c>
      <c r="BI168" s="330"/>
      <c r="BJ168" s="330"/>
      <c r="BK168" s="330"/>
      <c r="BL168" s="330"/>
      <c r="BM168" s="332"/>
      <c r="BN168" s="330"/>
      <c r="BO168" s="330"/>
      <c r="BP168" s="330"/>
      <c r="BQ168" s="330" t="s">
        <v>338</v>
      </c>
      <c r="BR168" s="330" t="s">
        <v>220</v>
      </c>
      <c r="BS168" s="330"/>
      <c r="BT168" s="330" t="s">
        <v>220</v>
      </c>
      <c r="BU168" s="330"/>
      <c r="BV168" s="330" t="s">
        <v>220</v>
      </c>
      <c r="BW168" s="330"/>
      <c r="BX168" s="332"/>
      <c r="BY168" s="330"/>
      <c r="BZ168" s="330"/>
      <c r="CA168" s="330"/>
      <c r="CB168" s="330"/>
      <c r="CC168" s="337" t="s">
        <v>776</v>
      </c>
      <c r="CD168" s="330"/>
      <c r="CE168" s="330" t="b">
        <v>1</v>
      </c>
      <c r="CF168" s="330"/>
      <c r="CG168" s="330"/>
      <c r="CH168" s="330"/>
      <c r="CI168" s="330"/>
      <c r="CJ168" s="330"/>
      <c r="CK168" s="330"/>
      <c r="CL168" s="330" t="b">
        <v>1</v>
      </c>
      <c r="CM168" s="330" t="s">
        <v>745</v>
      </c>
      <c r="CN168" s="330"/>
      <c r="CO168" s="330"/>
      <c r="CP168" s="330"/>
      <c r="CQ168" s="330"/>
      <c r="CR168" s="330"/>
      <c r="CS168" s="330"/>
      <c r="CT168" s="330"/>
      <c r="CU168" s="330" t="b">
        <v>1</v>
      </c>
      <c r="CV168" s="330"/>
      <c r="CW168" s="330"/>
      <c r="CX168" s="330" t="b">
        <v>1</v>
      </c>
      <c r="CY168" s="330"/>
      <c r="CZ168" s="330"/>
      <c r="DA168" s="330"/>
      <c r="DB168" s="330"/>
      <c r="DC168" s="330"/>
      <c r="DD168" s="330"/>
      <c r="DE168" s="330"/>
      <c r="DF168" s="338" t="s">
        <v>1668</v>
      </c>
      <c r="DG168" s="330" t="s">
        <v>341</v>
      </c>
      <c r="DH168" s="330"/>
      <c r="DI168" s="338" t="s">
        <v>638</v>
      </c>
      <c r="DJ168" s="330"/>
      <c r="DK168" s="330">
        <v>2</v>
      </c>
      <c r="DL168" s="330" t="s">
        <v>1669</v>
      </c>
      <c r="DM168" s="330"/>
      <c r="DN168" s="330"/>
      <c r="DO168" s="330"/>
      <c r="DP168" s="330"/>
      <c r="DQ168" s="338" t="s">
        <v>197</v>
      </c>
      <c r="DR168" s="330"/>
      <c r="DS168" s="330"/>
      <c r="DT168" s="330"/>
      <c r="DU168" s="338" t="s">
        <v>197</v>
      </c>
      <c r="DV168" s="330"/>
      <c r="DW168" s="330"/>
      <c r="DX168" s="330"/>
      <c r="DY168" s="338" t="s">
        <v>197</v>
      </c>
      <c r="DZ168" s="330"/>
      <c r="EA168" s="330"/>
      <c r="EB168" s="330"/>
      <c r="EC168" s="330" t="s">
        <v>197</v>
      </c>
      <c r="ED168" s="338" t="s">
        <v>197</v>
      </c>
      <c r="EE168" s="330">
        <v>24</v>
      </c>
      <c r="EF168" s="330">
        <v>24</v>
      </c>
      <c r="EG168" s="330"/>
      <c r="EH168" s="330"/>
      <c r="EI168" s="330"/>
      <c r="EJ168" s="330"/>
      <c r="EK168" s="330"/>
      <c r="EL168" s="330"/>
      <c r="EM168" s="330"/>
      <c r="EN168" s="330"/>
      <c r="EO168" s="330"/>
      <c r="EP168" s="330"/>
      <c r="EQ168" s="332"/>
      <c r="ER168" s="330"/>
      <c r="ES168" s="330"/>
      <c r="ET168" s="332" t="s">
        <v>89</v>
      </c>
      <c r="EU168" s="332" t="s">
        <v>1696</v>
      </c>
      <c r="EV168" s="336">
        <v>46070</v>
      </c>
      <c r="EW168" s="336">
        <v>46071</v>
      </c>
      <c r="EX168" s="330">
        <v>2</v>
      </c>
      <c r="EY168" s="330"/>
      <c r="EZ168" s="330" t="s">
        <v>247</v>
      </c>
      <c r="FA168" s="330"/>
      <c r="FB168" s="330" t="s">
        <v>247</v>
      </c>
      <c r="FC168" s="330" t="s">
        <v>202</v>
      </c>
      <c r="FD168" s="332" t="s">
        <v>190</v>
      </c>
      <c r="FE168" s="330"/>
      <c r="FF168" s="330"/>
      <c r="FG168" s="330" t="s">
        <v>203</v>
      </c>
      <c r="FH168" s="330" t="s">
        <v>1697</v>
      </c>
      <c r="FI168" s="330" t="s">
        <v>204</v>
      </c>
      <c r="FJ168" s="330"/>
      <c r="FK168" s="330" t="s">
        <v>327</v>
      </c>
      <c r="FL168" s="330" t="s">
        <v>674</v>
      </c>
      <c r="FM168" s="330" t="s">
        <v>202</v>
      </c>
      <c r="FN168" s="330" t="s">
        <v>1698</v>
      </c>
      <c r="FO168" s="330"/>
      <c r="FP168" s="330" t="s">
        <v>729</v>
      </c>
      <c r="FQ168" s="330"/>
      <c r="FR168" s="330"/>
      <c r="FS168" s="330"/>
      <c r="FT168" s="330"/>
      <c r="FU168" s="330"/>
    </row>
    <row r="169" spans="1:177" ht="89.25" x14ac:dyDescent="0.25">
      <c r="A169" s="330">
        <v>168</v>
      </c>
      <c r="B169" s="331" t="s">
        <v>1699</v>
      </c>
      <c r="C169" s="330"/>
      <c r="D169" s="332" t="s">
        <v>325</v>
      </c>
      <c r="E169" s="332" t="s">
        <v>326</v>
      </c>
      <c r="F169" s="332" t="s">
        <v>327</v>
      </c>
      <c r="G169" s="330"/>
      <c r="H169" s="331" t="s">
        <v>731</v>
      </c>
      <c r="I169" s="330"/>
      <c r="J169" s="332" t="s">
        <v>1700</v>
      </c>
      <c r="K169" s="332"/>
      <c r="L169" s="330"/>
      <c r="M169" s="332"/>
      <c r="N169" s="330" t="s">
        <v>1701</v>
      </c>
      <c r="O169" s="333" t="s">
        <v>184</v>
      </c>
      <c r="P169" s="333" t="s">
        <v>184</v>
      </c>
      <c r="Q169" s="333" t="s">
        <v>184</v>
      </c>
      <c r="R169" s="333">
        <v>0</v>
      </c>
      <c r="S169" s="333">
        <v>10</v>
      </c>
      <c r="T169" s="333">
        <v>3</v>
      </c>
      <c r="U169" s="333">
        <v>0</v>
      </c>
      <c r="V169" s="333">
        <v>0</v>
      </c>
      <c r="W169" s="330" t="s">
        <v>1702</v>
      </c>
      <c r="X169" s="330" t="s">
        <v>1703</v>
      </c>
      <c r="Y169" s="332" t="s">
        <v>1704</v>
      </c>
      <c r="Z169" s="330" t="s">
        <v>1705</v>
      </c>
      <c r="AA169" s="330" t="s">
        <v>1706</v>
      </c>
      <c r="AB169" s="330" t="s">
        <v>189</v>
      </c>
      <c r="AC169" s="330"/>
      <c r="AD169" s="330"/>
      <c r="AE169" s="330">
        <v>1</v>
      </c>
      <c r="AF169" s="330">
        <v>-30</v>
      </c>
      <c r="AG169" s="332" t="s">
        <v>1664</v>
      </c>
      <c r="AH169" s="332" t="s">
        <v>202</v>
      </c>
      <c r="AI169" s="330"/>
      <c r="AJ169" s="330"/>
      <c r="AK169" s="330"/>
      <c r="AL169" s="330" t="s">
        <v>674</v>
      </c>
      <c r="AM169" s="330" t="s">
        <v>202</v>
      </c>
      <c r="AN169" s="330" t="s">
        <v>674</v>
      </c>
      <c r="AO169" s="330"/>
      <c r="AP169" s="332"/>
      <c r="AQ169" s="330" t="s">
        <v>789</v>
      </c>
      <c r="AR169" s="330"/>
      <c r="AS169" s="330" t="b">
        <v>1</v>
      </c>
      <c r="AT169" s="330"/>
      <c r="AU169" s="332"/>
      <c r="AV169" s="334">
        <v>46070.732139872685</v>
      </c>
      <c r="AW169" s="330" t="b">
        <v>1</v>
      </c>
      <c r="AX169" s="335">
        <v>46091</v>
      </c>
      <c r="AY169" s="336">
        <v>46071</v>
      </c>
      <c r="AZ169" s="330" t="b">
        <v>1</v>
      </c>
      <c r="BA169" s="336">
        <v>46087</v>
      </c>
      <c r="BB169" s="330"/>
      <c r="BC169" s="336">
        <v>46080</v>
      </c>
      <c r="BD169" s="330"/>
      <c r="BE169" s="336">
        <v>46080</v>
      </c>
      <c r="BF169" s="330"/>
      <c r="BG169" s="330"/>
      <c r="BH169" s="330" t="s">
        <v>193</v>
      </c>
      <c r="BI169" s="330"/>
      <c r="BJ169" s="330"/>
      <c r="BK169" s="330"/>
      <c r="BL169" s="330"/>
      <c r="BM169" s="332"/>
      <c r="BN169" s="330"/>
      <c r="BO169" s="330"/>
      <c r="BP169" s="330"/>
      <c r="BQ169" s="330" t="s">
        <v>338</v>
      </c>
      <c r="BR169" s="330" t="s">
        <v>220</v>
      </c>
      <c r="BS169" s="330"/>
      <c r="BT169" s="330" t="s">
        <v>220</v>
      </c>
      <c r="BU169" s="330"/>
      <c r="BV169" s="330" t="s">
        <v>220</v>
      </c>
      <c r="BW169" s="330"/>
      <c r="BX169" s="332"/>
      <c r="BY169" s="330"/>
      <c r="BZ169" s="330"/>
      <c r="CA169" s="330"/>
      <c r="CB169" s="330"/>
      <c r="CC169" s="337" t="s">
        <v>1667</v>
      </c>
      <c r="CD169" s="330"/>
      <c r="CE169" s="330" t="b">
        <v>1</v>
      </c>
      <c r="CF169" s="330"/>
      <c r="CG169" s="330"/>
      <c r="CH169" s="330"/>
      <c r="CI169" s="330"/>
      <c r="CJ169" s="330" t="b">
        <v>1</v>
      </c>
      <c r="CK169" s="330"/>
      <c r="CL169" s="330"/>
      <c r="CM169" s="330"/>
      <c r="CN169" s="330"/>
      <c r="CO169" s="330"/>
      <c r="CP169" s="330"/>
      <c r="CQ169" s="330"/>
      <c r="CR169" s="330"/>
      <c r="CS169" s="330"/>
      <c r="CT169" s="330"/>
      <c r="CU169" s="330"/>
      <c r="CV169" s="330"/>
      <c r="CW169" s="330"/>
      <c r="CX169" s="330" t="b">
        <v>1</v>
      </c>
      <c r="CY169" s="330"/>
      <c r="CZ169" s="330"/>
      <c r="DA169" s="330"/>
      <c r="DB169" s="330"/>
      <c r="DC169" s="330"/>
      <c r="DD169" s="330"/>
      <c r="DE169" s="330"/>
      <c r="DF169" s="338" t="s">
        <v>1668</v>
      </c>
      <c r="DG169" s="330" t="s">
        <v>341</v>
      </c>
      <c r="DH169" s="330"/>
      <c r="DI169" s="338" t="s">
        <v>724</v>
      </c>
      <c r="DJ169" s="330"/>
      <c r="DK169" s="330">
        <v>2.1</v>
      </c>
      <c r="DL169" s="330" t="s">
        <v>1669</v>
      </c>
      <c r="DM169" s="330"/>
      <c r="DN169" s="330"/>
      <c r="DO169" s="330"/>
      <c r="DP169" s="330"/>
      <c r="DQ169" s="338" t="s">
        <v>197</v>
      </c>
      <c r="DR169" s="330"/>
      <c r="DS169" s="330"/>
      <c r="DT169" s="330"/>
      <c r="DU169" s="338" t="s">
        <v>197</v>
      </c>
      <c r="DV169" s="330"/>
      <c r="DW169" s="330"/>
      <c r="DX169" s="330"/>
      <c r="DY169" s="338" t="s">
        <v>197</v>
      </c>
      <c r="DZ169" s="330"/>
      <c r="EA169" s="330"/>
      <c r="EB169" s="330"/>
      <c r="EC169" s="330" t="s">
        <v>197</v>
      </c>
      <c r="ED169" s="338" t="s">
        <v>197</v>
      </c>
      <c r="EE169" s="330">
        <v>2</v>
      </c>
      <c r="EF169" s="330">
        <v>2</v>
      </c>
      <c r="EG169" s="330"/>
      <c r="EH169" s="330"/>
      <c r="EI169" s="330"/>
      <c r="EJ169" s="330"/>
      <c r="EK169" s="330"/>
      <c r="EL169" s="330"/>
      <c r="EM169" s="330"/>
      <c r="EN169" s="330"/>
      <c r="EO169" s="330"/>
      <c r="EP169" s="330"/>
      <c r="EQ169" s="332"/>
      <c r="ER169" s="330"/>
      <c r="ES169" s="330"/>
      <c r="ET169" s="332" t="s">
        <v>87</v>
      </c>
      <c r="EU169" s="332" t="s">
        <v>1707</v>
      </c>
      <c r="EV169" s="336">
        <v>46070</v>
      </c>
      <c r="EW169" s="336">
        <v>46071</v>
      </c>
      <c r="EX169" s="330">
        <v>2</v>
      </c>
      <c r="EY169" s="330"/>
      <c r="EZ169" s="330" t="s">
        <v>247</v>
      </c>
      <c r="FA169" s="330"/>
      <c r="FB169" s="330" t="s">
        <v>247</v>
      </c>
      <c r="FC169" s="330" t="s">
        <v>202</v>
      </c>
      <c r="FD169" s="332" t="s">
        <v>190</v>
      </c>
      <c r="FE169" s="330"/>
      <c r="FF169" s="330"/>
      <c r="FG169" s="330" t="s">
        <v>203</v>
      </c>
      <c r="FH169" s="330" t="s">
        <v>1708</v>
      </c>
      <c r="FI169" s="330" t="s">
        <v>204</v>
      </c>
      <c r="FJ169" s="330"/>
      <c r="FK169" s="330" t="s">
        <v>327</v>
      </c>
      <c r="FL169" s="330" t="s">
        <v>674</v>
      </c>
      <c r="FM169" s="330" t="s">
        <v>202</v>
      </c>
      <c r="FN169" s="330" t="s">
        <v>1709</v>
      </c>
      <c r="FO169" s="330" t="b">
        <v>1</v>
      </c>
      <c r="FP169" s="330" t="s">
        <v>729</v>
      </c>
      <c r="FQ169" s="330"/>
      <c r="FR169" s="330"/>
      <c r="FS169" s="330"/>
      <c r="FT169" s="330"/>
      <c r="FU169" s="330"/>
    </row>
    <row r="170" spans="1:177" ht="318.75" x14ac:dyDescent="0.25">
      <c r="A170" s="330">
        <v>169</v>
      </c>
      <c r="B170" s="331" t="s">
        <v>1710</v>
      </c>
      <c r="C170" s="330"/>
      <c r="D170" s="332" t="s">
        <v>325</v>
      </c>
      <c r="E170" s="332" t="s">
        <v>326</v>
      </c>
      <c r="F170" s="332" t="s">
        <v>327</v>
      </c>
      <c r="G170" s="330"/>
      <c r="H170" s="331" t="s">
        <v>731</v>
      </c>
      <c r="I170" s="330"/>
      <c r="J170" s="332" t="s">
        <v>1711</v>
      </c>
      <c r="K170" s="332"/>
      <c r="L170" s="330"/>
      <c r="M170" s="332"/>
      <c r="N170" s="330" t="s">
        <v>1712</v>
      </c>
      <c r="O170" s="333" t="s">
        <v>184</v>
      </c>
      <c r="P170" s="333" t="s">
        <v>184</v>
      </c>
      <c r="Q170" s="333" t="s">
        <v>184</v>
      </c>
      <c r="R170" s="333">
        <v>0</v>
      </c>
      <c r="S170" s="333">
        <v>8</v>
      </c>
      <c r="T170" s="333">
        <v>6</v>
      </c>
      <c r="U170" s="333">
        <v>0</v>
      </c>
      <c r="V170" s="333">
        <v>0</v>
      </c>
      <c r="W170" s="330" t="s">
        <v>1702</v>
      </c>
      <c r="X170" s="330" t="s">
        <v>1713</v>
      </c>
      <c r="Y170" s="332" t="s">
        <v>1714</v>
      </c>
      <c r="Z170" s="330" t="s">
        <v>1715</v>
      </c>
      <c r="AA170" s="330" t="s">
        <v>1716</v>
      </c>
      <c r="AB170" s="330" t="s">
        <v>189</v>
      </c>
      <c r="AC170" s="330"/>
      <c r="AD170" s="330"/>
      <c r="AE170" s="330">
        <v>1</v>
      </c>
      <c r="AF170" s="330">
        <v>-30</v>
      </c>
      <c r="AG170" s="332" t="s">
        <v>1664</v>
      </c>
      <c r="AH170" s="332" t="s">
        <v>202</v>
      </c>
      <c r="AI170" s="330"/>
      <c r="AJ170" s="330"/>
      <c r="AK170" s="330"/>
      <c r="AL170" s="330" t="s">
        <v>674</v>
      </c>
      <c r="AM170" s="330" t="s">
        <v>202</v>
      </c>
      <c r="AN170" s="330" t="s">
        <v>674</v>
      </c>
      <c r="AO170" s="330"/>
      <c r="AP170" s="332"/>
      <c r="AQ170" s="330" t="s">
        <v>789</v>
      </c>
      <c r="AR170" s="330"/>
      <c r="AS170" s="330" t="b">
        <v>1</v>
      </c>
      <c r="AT170" s="330"/>
      <c r="AU170" s="332"/>
      <c r="AV170" s="334">
        <v>46070.744797847219</v>
      </c>
      <c r="AW170" s="330" t="b">
        <v>1</v>
      </c>
      <c r="AX170" s="335">
        <v>46091</v>
      </c>
      <c r="AY170" s="336">
        <v>46071</v>
      </c>
      <c r="AZ170" s="330" t="b">
        <v>1</v>
      </c>
      <c r="BA170" s="336">
        <v>46087</v>
      </c>
      <c r="BB170" s="330"/>
      <c r="BC170" s="336">
        <v>46080</v>
      </c>
      <c r="BD170" s="330"/>
      <c r="BE170" s="336">
        <v>46080</v>
      </c>
      <c r="BF170" s="330"/>
      <c r="BG170" s="330"/>
      <c r="BH170" s="330" t="s">
        <v>193</v>
      </c>
      <c r="BI170" s="330"/>
      <c r="BJ170" s="330"/>
      <c r="BK170" s="330"/>
      <c r="BL170" s="330"/>
      <c r="BM170" s="332"/>
      <c r="BN170" s="330"/>
      <c r="BO170" s="330"/>
      <c r="BP170" s="330"/>
      <c r="BQ170" s="330" t="s">
        <v>338</v>
      </c>
      <c r="BR170" s="330" t="s">
        <v>220</v>
      </c>
      <c r="BS170" s="330"/>
      <c r="BT170" s="330" t="s">
        <v>220</v>
      </c>
      <c r="BU170" s="330"/>
      <c r="BV170" s="330" t="s">
        <v>220</v>
      </c>
      <c r="BW170" s="330"/>
      <c r="BX170" s="332"/>
      <c r="BY170" s="330"/>
      <c r="BZ170" s="330"/>
      <c r="CA170" s="330"/>
      <c r="CB170" s="330"/>
      <c r="CC170" s="337" t="s">
        <v>1667</v>
      </c>
      <c r="CD170" s="330"/>
      <c r="CE170" s="330" t="b">
        <v>1</v>
      </c>
      <c r="CF170" s="330"/>
      <c r="CG170" s="330"/>
      <c r="CH170" s="330"/>
      <c r="CI170" s="330"/>
      <c r="CJ170" s="330" t="b">
        <v>1</v>
      </c>
      <c r="CK170" s="330"/>
      <c r="CL170" s="330"/>
      <c r="CM170" s="330"/>
      <c r="CN170" s="330"/>
      <c r="CO170" s="330"/>
      <c r="CP170" s="330"/>
      <c r="CQ170" s="330"/>
      <c r="CR170" s="330"/>
      <c r="CS170" s="330"/>
      <c r="CT170" s="330"/>
      <c r="CU170" s="330"/>
      <c r="CV170" s="330"/>
      <c r="CW170" s="330"/>
      <c r="CX170" s="330" t="b">
        <v>1</v>
      </c>
      <c r="CY170" s="330"/>
      <c r="CZ170" s="330"/>
      <c r="DA170" s="330"/>
      <c r="DB170" s="330"/>
      <c r="DC170" s="330"/>
      <c r="DD170" s="330"/>
      <c r="DE170" s="330"/>
      <c r="DF170" s="338" t="s">
        <v>1668</v>
      </c>
      <c r="DG170" s="330" t="s">
        <v>341</v>
      </c>
      <c r="DH170" s="330"/>
      <c r="DI170" s="338" t="s">
        <v>746</v>
      </c>
      <c r="DJ170" s="330"/>
      <c r="DK170" s="330">
        <v>3</v>
      </c>
      <c r="DL170" s="330" t="s">
        <v>1669</v>
      </c>
      <c r="DM170" s="330"/>
      <c r="DN170" s="330"/>
      <c r="DO170" s="330"/>
      <c r="DP170" s="330"/>
      <c r="DQ170" s="338" t="s">
        <v>197</v>
      </c>
      <c r="DR170" s="330"/>
      <c r="DS170" s="330"/>
      <c r="DT170" s="330"/>
      <c r="DU170" s="338" t="s">
        <v>197</v>
      </c>
      <c r="DV170" s="330"/>
      <c r="DW170" s="330"/>
      <c r="DX170" s="330"/>
      <c r="DY170" s="338" t="s">
        <v>197</v>
      </c>
      <c r="DZ170" s="330"/>
      <c r="EA170" s="330"/>
      <c r="EB170" s="330"/>
      <c r="EC170" s="330" t="s">
        <v>197</v>
      </c>
      <c r="ED170" s="338" t="s">
        <v>197</v>
      </c>
      <c r="EE170" s="330">
        <v>8</v>
      </c>
      <c r="EF170" s="330">
        <v>12</v>
      </c>
      <c r="EG170" s="330"/>
      <c r="EH170" s="330"/>
      <c r="EI170" s="330"/>
      <c r="EJ170" s="330"/>
      <c r="EK170" s="330"/>
      <c r="EL170" s="330"/>
      <c r="EM170" s="330"/>
      <c r="EN170" s="330"/>
      <c r="EO170" s="330"/>
      <c r="EP170" s="330"/>
      <c r="EQ170" s="332"/>
      <c r="ER170" s="330"/>
      <c r="ES170" s="330"/>
      <c r="ET170" s="332" t="s">
        <v>87</v>
      </c>
      <c r="EU170" s="332" t="s">
        <v>1707</v>
      </c>
      <c r="EV170" s="336">
        <v>46070</v>
      </c>
      <c r="EW170" s="336">
        <v>46071</v>
      </c>
      <c r="EX170" s="330">
        <v>2</v>
      </c>
      <c r="EY170" s="330"/>
      <c r="EZ170" s="330" t="s">
        <v>247</v>
      </c>
      <c r="FA170" s="330"/>
      <c r="FB170" s="330" t="s">
        <v>247</v>
      </c>
      <c r="FC170" s="330" t="s">
        <v>202</v>
      </c>
      <c r="FD170" s="332" t="s">
        <v>190</v>
      </c>
      <c r="FE170" s="330"/>
      <c r="FF170" s="330"/>
      <c r="FG170" s="330" t="s">
        <v>203</v>
      </c>
      <c r="FH170" s="330" t="s">
        <v>1708</v>
      </c>
      <c r="FI170" s="330" t="s">
        <v>204</v>
      </c>
      <c r="FJ170" s="330"/>
      <c r="FK170" s="330" t="s">
        <v>327</v>
      </c>
      <c r="FL170" s="330" t="s">
        <v>674</v>
      </c>
      <c r="FM170" s="330" t="s">
        <v>202</v>
      </c>
      <c r="FN170" s="330" t="s">
        <v>1717</v>
      </c>
      <c r="FO170" s="330" t="b">
        <v>1</v>
      </c>
      <c r="FP170" s="330" t="s">
        <v>729</v>
      </c>
      <c r="FQ170" s="330"/>
      <c r="FR170" s="330"/>
      <c r="FS170" s="330"/>
      <c r="FT170" s="330"/>
      <c r="FU170" s="330"/>
    </row>
    <row r="171" spans="1:177" ht="102" x14ac:dyDescent="0.25">
      <c r="A171" s="330">
        <v>170</v>
      </c>
      <c r="B171" s="331" t="s">
        <v>1669</v>
      </c>
      <c r="C171" s="330"/>
      <c r="D171" s="332" t="s">
        <v>325</v>
      </c>
      <c r="E171" s="332" t="s">
        <v>326</v>
      </c>
      <c r="F171" s="332" t="s">
        <v>327</v>
      </c>
      <c r="G171" s="330"/>
      <c r="H171" s="331" t="s">
        <v>731</v>
      </c>
      <c r="I171" s="330"/>
      <c r="J171" s="332" t="s">
        <v>1718</v>
      </c>
      <c r="K171" s="332"/>
      <c r="L171" s="330"/>
      <c r="M171" s="332"/>
      <c r="N171" s="330" t="s">
        <v>1719</v>
      </c>
      <c r="O171" s="333" t="s">
        <v>184</v>
      </c>
      <c r="P171" s="333" t="s">
        <v>184</v>
      </c>
      <c r="Q171" s="333" t="s">
        <v>184</v>
      </c>
      <c r="R171" s="333">
        <v>0</v>
      </c>
      <c r="S171" s="333">
        <v>6</v>
      </c>
      <c r="T171" s="333">
        <v>2</v>
      </c>
      <c r="U171" s="333">
        <v>0</v>
      </c>
      <c r="V171" s="333">
        <v>0</v>
      </c>
      <c r="W171" s="330">
        <v>1</v>
      </c>
      <c r="X171" s="330" t="s">
        <v>1720</v>
      </c>
      <c r="Y171" s="332" t="s">
        <v>1721</v>
      </c>
      <c r="Z171" s="330" t="s">
        <v>331</v>
      </c>
      <c r="AA171" s="330" t="s">
        <v>1722</v>
      </c>
      <c r="AB171" s="330" t="s">
        <v>189</v>
      </c>
      <c r="AC171" s="330"/>
      <c r="AD171" s="330"/>
      <c r="AE171" s="330">
        <v>1</v>
      </c>
      <c r="AF171" s="330">
        <v>-30</v>
      </c>
      <c r="AG171" s="332" t="s">
        <v>1664</v>
      </c>
      <c r="AH171" s="332" t="s">
        <v>202</v>
      </c>
      <c r="AI171" s="330"/>
      <c r="AJ171" s="330"/>
      <c r="AK171" s="330"/>
      <c r="AL171" s="330" t="s">
        <v>674</v>
      </c>
      <c r="AM171" s="330" t="s">
        <v>202</v>
      </c>
      <c r="AN171" s="330" t="s">
        <v>674</v>
      </c>
      <c r="AO171" s="330"/>
      <c r="AP171" s="332"/>
      <c r="AQ171" s="330" t="s">
        <v>334</v>
      </c>
      <c r="AR171" s="330"/>
      <c r="AS171" s="330" t="b">
        <v>1</v>
      </c>
      <c r="AT171" s="330"/>
      <c r="AU171" s="332"/>
      <c r="AV171" s="334">
        <v>46070.748183807867</v>
      </c>
      <c r="AW171" s="330" t="b">
        <v>1</v>
      </c>
      <c r="AX171" s="335">
        <v>46091</v>
      </c>
      <c r="AY171" s="336">
        <v>46071</v>
      </c>
      <c r="AZ171" s="330" t="b">
        <v>1</v>
      </c>
      <c r="BA171" s="336">
        <v>46087</v>
      </c>
      <c r="BB171" s="330"/>
      <c r="BC171" s="336">
        <v>46080</v>
      </c>
      <c r="BD171" s="330"/>
      <c r="BE171" s="336">
        <v>46080</v>
      </c>
      <c r="BF171" s="330"/>
      <c r="BG171" s="330"/>
      <c r="BH171" s="330" t="s">
        <v>193</v>
      </c>
      <c r="BI171" s="330"/>
      <c r="BJ171" s="330"/>
      <c r="BK171" s="330"/>
      <c r="BL171" s="330"/>
      <c r="BM171" s="332"/>
      <c r="BN171" s="330"/>
      <c r="BO171" s="330"/>
      <c r="BP171" s="330"/>
      <c r="BQ171" s="330" t="s">
        <v>338</v>
      </c>
      <c r="BR171" s="330" t="s">
        <v>220</v>
      </c>
      <c r="BS171" s="330"/>
      <c r="BT171" s="330" t="s">
        <v>220</v>
      </c>
      <c r="BU171" s="330"/>
      <c r="BV171" s="330" t="s">
        <v>220</v>
      </c>
      <c r="BW171" s="330"/>
      <c r="BX171" s="332"/>
      <c r="BY171" s="330"/>
      <c r="BZ171" s="330"/>
      <c r="CA171" s="330"/>
      <c r="CB171" s="330"/>
      <c r="CC171" s="337" t="s">
        <v>776</v>
      </c>
      <c r="CD171" s="330"/>
      <c r="CE171" s="330" t="b">
        <v>1</v>
      </c>
      <c r="CF171" s="330"/>
      <c r="CG171" s="330"/>
      <c r="CH171" s="330"/>
      <c r="CI171" s="330" t="b">
        <v>1</v>
      </c>
      <c r="CJ171" s="330"/>
      <c r="CK171" s="330" t="s">
        <v>776</v>
      </c>
      <c r="CL171" s="330"/>
      <c r="CM171" s="330"/>
      <c r="CN171" s="330"/>
      <c r="CO171" s="330"/>
      <c r="CP171" s="330"/>
      <c r="CQ171" s="330"/>
      <c r="CR171" s="330"/>
      <c r="CS171" s="330"/>
      <c r="CT171" s="330"/>
      <c r="CU171" s="330" t="b">
        <v>1</v>
      </c>
      <c r="CV171" s="330"/>
      <c r="CW171" s="330"/>
      <c r="CX171" s="330" t="b">
        <v>1</v>
      </c>
      <c r="CY171" s="330"/>
      <c r="CZ171" s="330"/>
      <c r="DA171" s="330"/>
      <c r="DB171" s="330"/>
      <c r="DC171" s="330"/>
      <c r="DD171" s="330"/>
      <c r="DE171" s="330"/>
      <c r="DF171" s="338" t="s">
        <v>1668</v>
      </c>
      <c r="DG171" s="330" t="s">
        <v>341</v>
      </c>
      <c r="DH171" s="330"/>
      <c r="DI171" s="338" t="s">
        <v>1723</v>
      </c>
      <c r="DJ171" s="330"/>
      <c r="DK171" s="330">
        <v>3.1</v>
      </c>
      <c r="DL171" s="330" t="s">
        <v>1669</v>
      </c>
      <c r="DM171" s="330"/>
      <c r="DN171" s="330"/>
      <c r="DO171" s="330"/>
      <c r="DP171" s="330"/>
      <c r="DQ171" s="338" t="s">
        <v>197</v>
      </c>
      <c r="DR171" s="330"/>
      <c r="DS171" s="330"/>
      <c r="DT171" s="330"/>
      <c r="DU171" s="338" t="s">
        <v>197</v>
      </c>
      <c r="DV171" s="330"/>
      <c r="DW171" s="330"/>
      <c r="DX171" s="330"/>
      <c r="DY171" s="338" t="s">
        <v>197</v>
      </c>
      <c r="DZ171" s="330"/>
      <c r="EA171" s="330"/>
      <c r="EB171" s="330"/>
      <c r="EC171" s="330" t="s">
        <v>197</v>
      </c>
      <c r="ED171" s="338" t="s">
        <v>197</v>
      </c>
      <c r="EE171" s="330">
        <v>1</v>
      </c>
      <c r="EF171" s="330">
        <v>3</v>
      </c>
      <c r="EG171" s="330"/>
      <c r="EH171" s="330"/>
      <c r="EI171" s="330"/>
      <c r="EJ171" s="330"/>
      <c r="EK171" s="330"/>
      <c r="EL171" s="330"/>
      <c r="EM171" s="330"/>
      <c r="EN171" s="330"/>
      <c r="EO171" s="330"/>
      <c r="EP171" s="330"/>
      <c r="EQ171" s="332"/>
      <c r="ER171" s="330"/>
      <c r="ES171" s="330"/>
      <c r="ET171" s="332" t="s">
        <v>86</v>
      </c>
      <c r="EU171" s="332" t="s">
        <v>1724</v>
      </c>
      <c r="EV171" s="336">
        <v>46070</v>
      </c>
      <c r="EW171" s="336">
        <v>46071</v>
      </c>
      <c r="EX171" s="330">
        <v>2</v>
      </c>
      <c r="EY171" s="330"/>
      <c r="EZ171" s="330" t="s">
        <v>247</v>
      </c>
      <c r="FA171" s="330"/>
      <c r="FB171" s="330" t="s">
        <v>247</v>
      </c>
      <c r="FC171" s="330" t="s">
        <v>202</v>
      </c>
      <c r="FD171" s="332" t="s">
        <v>190</v>
      </c>
      <c r="FE171" s="330"/>
      <c r="FF171" s="330"/>
      <c r="FG171" s="330" t="s">
        <v>203</v>
      </c>
      <c r="FH171" s="330" t="s">
        <v>1725</v>
      </c>
      <c r="FI171" s="330" t="s">
        <v>204</v>
      </c>
      <c r="FJ171" s="330"/>
      <c r="FK171" s="330" t="s">
        <v>327</v>
      </c>
      <c r="FL171" s="330" t="s">
        <v>674</v>
      </c>
      <c r="FM171" s="330" t="s">
        <v>202</v>
      </c>
      <c r="FN171" s="330" t="s">
        <v>1726</v>
      </c>
      <c r="FO171" s="330"/>
      <c r="FP171" s="330" t="s">
        <v>729</v>
      </c>
      <c r="FQ171" s="330"/>
      <c r="FR171" s="330"/>
      <c r="FS171" s="330"/>
      <c r="FT171" s="330"/>
      <c r="FU171" s="330"/>
    </row>
    <row r="172" spans="1:177" ht="89.25" x14ac:dyDescent="0.25">
      <c r="A172" s="330">
        <v>171</v>
      </c>
      <c r="B172" s="331" t="s">
        <v>1727</v>
      </c>
      <c r="C172" s="330"/>
      <c r="D172" s="332" t="s">
        <v>304</v>
      </c>
      <c r="E172" s="332" t="s">
        <v>305</v>
      </c>
      <c r="F172" s="332" t="s">
        <v>306</v>
      </c>
      <c r="G172" s="330" t="s">
        <v>307</v>
      </c>
      <c r="H172" s="331"/>
      <c r="I172" s="330"/>
      <c r="J172" s="332" t="s">
        <v>1728</v>
      </c>
      <c r="K172" s="332" t="s">
        <v>1729</v>
      </c>
      <c r="L172" s="330" t="s">
        <v>1647</v>
      </c>
      <c r="M172" s="332"/>
      <c r="N172" s="330" t="s">
        <v>1730</v>
      </c>
      <c r="O172" s="333" t="s">
        <v>184</v>
      </c>
      <c r="P172" s="333" t="s">
        <v>184</v>
      </c>
      <c r="Q172" s="333" t="s">
        <v>184</v>
      </c>
      <c r="R172" s="333">
        <v>0</v>
      </c>
      <c r="S172" s="333">
        <v>29</v>
      </c>
      <c r="T172" s="333">
        <v>3</v>
      </c>
      <c r="U172" s="333">
        <v>0</v>
      </c>
      <c r="V172" s="333">
        <v>0</v>
      </c>
      <c r="W172" s="330">
        <v>9</v>
      </c>
      <c r="X172" s="330" t="s">
        <v>1731</v>
      </c>
      <c r="Y172" s="332" t="s">
        <v>1732</v>
      </c>
      <c r="Z172" s="330" t="s">
        <v>187</v>
      </c>
      <c r="AA172" s="330" t="s">
        <v>1733</v>
      </c>
      <c r="AB172" s="330" t="s">
        <v>189</v>
      </c>
      <c r="AC172" s="330"/>
      <c r="AD172" s="330"/>
      <c r="AE172" s="330">
        <v>10</v>
      </c>
      <c r="AF172" s="330">
        <v>-33</v>
      </c>
      <c r="AG172" s="332" t="s">
        <v>190</v>
      </c>
      <c r="AH172" s="332" t="s">
        <v>191</v>
      </c>
      <c r="AI172" s="330" t="s">
        <v>202</v>
      </c>
      <c r="AJ172" s="330"/>
      <c r="AK172" s="330"/>
      <c r="AL172" s="330" t="s">
        <v>741</v>
      </c>
      <c r="AM172" s="330" t="s">
        <v>202</v>
      </c>
      <c r="AN172" s="330" t="s">
        <v>741</v>
      </c>
      <c r="AO172" s="330"/>
      <c r="AP172" s="332"/>
      <c r="AQ172" s="330" t="s">
        <v>334</v>
      </c>
      <c r="AR172" s="330"/>
      <c r="AS172" s="330" t="b">
        <v>1</v>
      </c>
      <c r="AT172" s="330"/>
      <c r="AU172" s="332" t="s">
        <v>741</v>
      </c>
      <c r="AV172" s="334">
        <v>46071.463510555557</v>
      </c>
      <c r="AW172" s="330" t="b">
        <v>1</v>
      </c>
      <c r="AX172" s="335">
        <v>46079</v>
      </c>
      <c r="AY172" s="336">
        <v>46078</v>
      </c>
      <c r="AZ172" s="330" t="b">
        <v>1</v>
      </c>
      <c r="BA172" s="336">
        <v>46084</v>
      </c>
      <c r="BB172" s="336">
        <v>46083</v>
      </c>
      <c r="BC172" s="336">
        <v>46085</v>
      </c>
      <c r="BD172" s="330"/>
      <c r="BE172" s="336">
        <v>46085</v>
      </c>
      <c r="BF172" s="330"/>
      <c r="BG172" s="336">
        <v>46104</v>
      </c>
      <c r="BH172" s="330" t="s">
        <v>193</v>
      </c>
      <c r="BI172" s="330" t="s">
        <v>318</v>
      </c>
      <c r="BJ172" s="330"/>
      <c r="BK172" s="330" t="b">
        <v>1</v>
      </c>
      <c r="BL172" s="330" t="s">
        <v>335</v>
      </c>
      <c r="BM172" s="332" t="s">
        <v>1734</v>
      </c>
      <c r="BN172" s="330" t="s">
        <v>1067</v>
      </c>
      <c r="BO172" s="330"/>
      <c r="BP172" s="330"/>
      <c r="BQ172" s="330"/>
      <c r="BR172" s="330"/>
      <c r="BS172" s="330"/>
      <c r="BT172" s="330"/>
      <c r="BU172" s="330"/>
      <c r="BV172" s="330"/>
      <c r="BW172" s="330"/>
      <c r="BX172" s="332"/>
      <c r="BY172" s="330"/>
      <c r="BZ172" s="330"/>
      <c r="CA172" s="330"/>
      <c r="CB172" s="330"/>
      <c r="CC172" s="337" t="s">
        <v>744</v>
      </c>
      <c r="CD172" s="330"/>
      <c r="CE172" s="330"/>
      <c r="CF172" s="330"/>
      <c r="CG172" s="330"/>
      <c r="CH172" s="330"/>
      <c r="CI172" s="330" t="b">
        <v>1</v>
      </c>
      <c r="CJ172" s="330"/>
      <c r="CK172" s="330" t="s">
        <v>776</v>
      </c>
      <c r="CL172" s="330"/>
      <c r="CM172" s="330"/>
      <c r="CN172" s="330"/>
      <c r="CO172" s="330"/>
      <c r="CP172" s="330"/>
      <c r="CQ172" s="330"/>
      <c r="CR172" s="330"/>
      <c r="CS172" s="330"/>
      <c r="CT172" s="330"/>
      <c r="CU172" s="330"/>
      <c r="CV172" s="330"/>
      <c r="CW172" s="330"/>
      <c r="CX172" s="330"/>
      <c r="CY172" s="330"/>
      <c r="CZ172" s="330"/>
      <c r="DA172" s="330"/>
      <c r="DB172" s="330"/>
      <c r="DC172" s="330"/>
      <c r="DD172" s="330"/>
      <c r="DE172" s="330"/>
      <c r="DF172" s="338">
        <v>25002</v>
      </c>
      <c r="DG172" s="330" t="s">
        <v>195</v>
      </c>
      <c r="DH172" s="330"/>
      <c r="DI172" s="338" t="s">
        <v>959</v>
      </c>
      <c r="DJ172" s="330"/>
      <c r="DK172" s="330">
        <v>6</v>
      </c>
      <c r="DL172" s="330" t="s">
        <v>4100</v>
      </c>
      <c r="DM172" s="330"/>
      <c r="DN172" s="330"/>
      <c r="DO172" s="330"/>
      <c r="DP172" s="330"/>
      <c r="DQ172" s="338" t="s">
        <v>197</v>
      </c>
      <c r="DR172" s="330"/>
      <c r="DS172" s="330"/>
      <c r="DT172" s="330"/>
      <c r="DU172" s="338" t="s">
        <v>197</v>
      </c>
      <c r="DV172" s="330"/>
      <c r="DW172" s="330"/>
      <c r="DX172" s="330"/>
      <c r="DY172" s="338" t="s">
        <v>197</v>
      </c>
      <c r="DZ172" s="330"/>
      <c r="EA172" s="330"/>
      <c r="EB172" s="330"/>
      <c r="EC172" s="330" t="s">
        <v>197</v>
      </c>
      <c r="ED172" s="338" t="s">
        <v>197</v>
      </c>
      <c r="EE172" s="330">
        <v>1</v>
      </c>
      <c r="EF172" s="330">
        <v>4</v>
      </c>
      <c r="EG172" s="330"/>
      <c r="EH172" s="330"/>
      <c r="EI172" s="330"/>
      <c r="EJ172" s="330"/>
      <c r="EK172" s="330"/>
      <c r="EL172" s="330"/>
      <c r="EM172" s="330"/>
      <c r="EN172" s="330"/>
      <c r="EO172" s="330"/>
      <c r="EP172" s="330"/>
      <c r="EQ172" s="332"/>
      <c r="ER172" s="330"/>
      <c r="ES172" s="330"/>
      <c r="ET172" s="332" t="s">
        <v>86</v>
      </c>
      <c r="EU172" s="332" t="s">
        <v>1735</v>
      </c>
      <c r="EV172" s="336">
        <v>46078</v>
      </c>
      <c r="EW172" s="336">
        <v>46078</v>
      </c>
      <c r="EX172" s="330">
        <v>1</v>
      </c>
      <c r="EY172" s="330"/>
      <c r="EZ172" s="330" t="s">
        <v>247</v>
      </c>
      <c r="FA172" s="330"/>
      <c r="FB172" s="330" t="s">
        <v>248</v>
      </c>
      <c r="FC172" s="330" t="s">
        <v>202</v>
      </c>
      <c r="FD172" s="332" t="s">
        <v>190</v>
      </c>
      <c r="FE172" s="336">
        <v>46097</v>
      </c>
      <c r="FF172" s="330"/>
      <c r="FG172" s="330" t="s">
        <v>203</v>
      </c>
      <c r="FH172" s="330" t="s">
        <v>1736</v>
      </c>
      <c r="FI172" s="330" t="s">
        <v>204</v>
      </c>
      <c r="FJ172" s="330"/>
      <c r="FK172" s="330" t="s">
        <v>306</v>
      </c>
      <c r="FL172" s="330" t="s">
        <v>741</v>
      </c>
      <c r="FM172" s="330" t="s">
        <v>202</v>
      </c>
      <c r="FN172" s="330" t="s">
        <v>1737</v>
      </c>
      <c r="FO172" s="330" t="b">
        <v>1</v>
      </c>
      <c r="FP172" s="330" t="s">
        <v>293</v>
      </c>
      <c r="FQ172" s="330"/>
      <c r="FR172" s="330"/>
      <c r="FS172" s="330"/>
      <c r="FT172" s="330"/>
      <c r="FU172" s="330"/>
    </row>
    <row r="173" spans="1:177" ht="293.25" x14ac:dyDescent="0.25">
      <c r="A173" s="330">
        <v>172</v>
      </c>
      <c r="B173" s="331" t="s">
        <v>1738</v>
      </c>
      <c r="C173" s="330"/>
      <c r="D173" s="332" t="s">
        <v>1739</v>
      </c>
      <c r="E173" s="332" t="s">
        <v>1740</v>
      </c>
      <c r="F173" s="332" t="s">
        <v>1741</v>
      </c>
      <c r="G173" s="330"/>
      <c r="H173" s="331" t="s">
        <v>328</v>
      </c>
      <c r="I173" s="330" t="b">
        <v>1</v>
      </c>
      <c r="J173" s="332" t="s">
        <v>1742</v>
      </c>
      <c r="K173" s="332"/>
      <c r="L173" s="330" t="s">
        <v>1743</v>
      </c>
      <c r="M173" s="332" t="s">
        <v>1744</v>
      </c>
      <c r="N173" s="330" t="s">
        <v>1745</v>
      </c>
      <c r="O173" s="333" t="s">
        <v>184</v>
      </c>
      <c r="P173" s="333" t="s">
        <v>184</v>
      </c>
      <c r="Q173" s="333" t="s">
        <v>184</v>
      </c>
      <c r="R173" s="333">
        <v>0</v>
      </c>
      <c r="S173" s="333">
        <v>120</v>
      </c>
      <c r="T173" s="333">
        <v>0</v>
      </c>
      <c r="U173" s="333">
        <v>4050</v>
      </c>
      <c r="V173" s="333">
        <v>0</v>
      </c>
      <c r="W173" s="330" t="s">
        <v>184</v>
      </c>
      <c r="X173" s="330" t="s">
        <v>184</v>
      </c>
      <c r="Y173" s="332" t="s">
        <v>1746</v>
      </c>
      <c r="Z173" s="330" t="s">
        <v>787</v>
      </c>
      <c r="AA173" s="330" t="s">
        <v>1747</v>
      </c>
      <c r="AB173" s="330"/>
      <c r="AC173" s="330"/>
      <c r="AD173" s="330"/>
      <c r="AE173" s="330">
        <v>35</v>
      </c>
      <c r="AF173" s="330">
        <v>-22</v>
      </c>
      <c r="AG173" s="332" t="s">
        <v>190</v>
      </c>
      <c r="AH173" s="332" t="s">
        <v>202</v>
      </c>
      <c r="AI173" s="330"/>
      <c r="AJ173" s="330"/>
      <c r="AK173" s="330"/>
      <c r="AL173" s="330"/>
      <c r="AM173" s="330"/>
      <c r="AN173" s="330" t="s">
        <v>202</v>
      </c>
      <c r="AO173" s="330"/>
      <c r="AP173" s="332"/>
      <c r="AQ173" s="330"/>
      <c r="AR173" s="330"/>
      <c r="AS173" s="330"/>
      <c r="AT173" s="330"/>
      <c r="AU173" s="332" t="s">
        <v>741</v>
      </c>
      <c r="AV173" s="334">
        <v>46072.340058310183</v>
      </c>
      <c r="AW173" s="330" t="b">
        <v>1</v>
      </c>
      <c r="AX173" s="335">
        <v>46083</v>
      </c>
      <c r="AY173" s="336">
        <v>46084</v>
      </c>
      <c r="AZ173" s="330" t="b">
        <v>1</v>
      </c>
      <c r="BA173" s="336">
        <v>46099</v>
      </c>
      <c r="BB173" s="330"/>
      <c r="BC173" s="336">
        <v>46101</v>
      </c>
      <c r="BD173" s="330"/>
      <c r="BE173" s="336">
        <v>46101</v>
      </c>
      <c r="BF173" s="330"/>
      <c r="BG173" s="330"/>
      <c r="BH173" s="330" t="s">
        <v>193</v>
      </c>
      <c r="BI173" s="330"/>
      <c r="BJ173" s="330"/>
      <c r="BK173" s="330"/>
      <c r="BL173" s="330"/>
      <c r="BM173" s="332"/>
      <c r="BN173" s="330"/>
      <c r="BO173" s="330"/>
      <c r="BP173" s="330"/>
      <c r="BQ173" s="330"/>
      <c r="BR173" s="330"/>
      <c r="BS173" s="330"/>
      <c r="BT173" s="330"/>
      <c r="BU173" s="330"/>
      <c r="BV173" s="330"/>
      <c r="BW173" s="330"/>
      <c r="BX173" s="332"/>
      <c r="BY173" s="330"/>
      <c r="BZ173" s="330"/>
      <c r="CA173" s="330"/>
      <c r="CB173" s="330"/>
      <c r="CC173" s="337" t="s">
        <v>194</v>
      </c>
      <c r="CD173" s="330"/>
      <c r="CE173" s="330"/>
      <c r="CF173" s="330"/>
      <c r="CG173" s="330"/>
      <c r="CH173" s="330"/>
      <c r="CI173" s="330"/>
      <c r="CJ173" s="330"/>
      <c r="CK173" s="330"/>
      <c r="CL173" s="330"/>
      <c r="CM173" s="330"/>
      <c r="CN173" s="330"/>
      <c r="CO173" s="330"/>
      <c r="CP173" s="330"/>
      <c r="CQ173" s="330"/>
      <c r="CR173" s="330"/>
      <c r="CS173" s="330" t="b">
        <v>1</v>
      </c>
      <c r="CT173" s="330"/>
      <c r="CU173" s="330"/>
      <c r="CV173" s="330"/>
      <c r="CW173" s="330"/>
      <c r="CX173" s="330"/>
      <c r="CY173" s="330"/>
      <c r="CZ173" s="330"/>
      <c r="DA173" s="330"/>
      <c r="DB173" s="330"/>
      <c r="DC173" s="330"/>
      <c r="DD173" s="330" t="b">
        <v>1</v>
      </c>
      <c r="DE173" s="330">
        <v>15000</v>
      </c>
      <c r="DF173" s="338" t="s">
        <v>1748</v>
      </c>
      <c r="DG173" s="330" t="s">
        <v>341</v>
      </c>
      <c r="DH173" s="330"/>
      <c r="DI173" s="338" t="s">
        <v>1366</v>
      </c>
      <c r="DJ173" s="330"/>
      <c r="DK173" s="330">
        <v>8</v>
      </c>
      <c r="DL173" s="330" t="s">
        <v>1749</v>
      </c>
      <c r="DM173" s="336">
        <v>46083</v>
      </c>
      <c r="DN173" s="330"/>
      <c r="DO173" s="330"/>
      <c r="DP173" s="330"/>
      <c r="DQ173" s="338" t="s">
        <v>197</v>
      </c>
      <c r="DR173" s="330"/>
      <c r="DS173" s="330"/>
      <c r="DT173" s="330"/>
      <c r="DU173" s="338" t="s">
        <v>197</v>
      </c>
      <c r="DV173" s="330"/>
      <c r="DW173" s="336">
        <v>46080</v>
      </c>
      <c r="DX173" s="336">
        <v>46080</v>
      </c>
      <c r="DY173" s="338">
        <v>1</v>
      </c>
      <c r="DZ173" s="330"/>
      <c r="EA173" s="330"/>
      <c r="EB173" s="330"/>
      <c r="EC173" s="330" t="s">
        <v>197</v>
      </c>
      <c r="ED173" s="338">
        <v>1</v>
      </c>
      <c r="EE173" s="330"/>
      <c r="EF173" s="330"/>
      <c r="EG173" s="330"/>
      <c r="EH173" s="330"/>
      <c r="EI173" s="330"/>
      <c r="EJ173" s="330"/>
      <c r="EK173" s="330"/>
      <c r="EL173" s="330"/>
      <c r="EM173" s="330"/>
      <c r="EN173" s="330"/>
      <c r="EO173" s="330"/>
      <c r="EP173" s="330"/>
      <c r="EQ173" s="332" t="s">
        <v>224</v>
      </c>
      <c r="ER173" s="330"/>
      <c r="ES173" s="330"/>
      <c r="ET173" s="332"/>
      <c r="EU173" s="332" t="s">
        <v>1750</v>
      </c>
      <c r="EV173" s="330"/>
      <c r="EW173" s="330"/>
      <c r="EX173" s="330" t="s">
        <v>200</v>
      </c>
      <c r="EY173" s="330"/>
      <c r="EZ173" s="330" t="s">
        <v>247</v>
      </c>
      <c r="FA173" s="330"/>
      <c r="FB173" s="330" t="s">
        <v>248</v>
      </c>
      <c r="FC173" s="330" t="s">
        <v>202</v>
      </c>
      <c r="FD173" s="332" t="s">
        <v>190</v>
      </c>
      <c r="FE173" s="336">
        <v>46120</v>
      </c>
      <c r="FF173" s="330"/>
      <c r="FG173" s="330" t="s">
        <v>203</v>
      </c>
      <c r="FH173" s="330" t="s">
        <v>1751</v>
      </c>
      <c r="FI173" s="330" t="s">
        <v>1752</v>
      </c>
      <c r="FJ173" s="330"/>
      <c r="FK173" s="330" t="s">
        <v>1741</v>
      </c>
      <c r="FL173" s="330"/>
      <c r="FM173" s="330"/>
      <c r="FN173" s="330" t="s">
        <v>1753</v>
      </c>
      <c r="FO173" s="330"/>
      <c r="FP173" s="330" t="s">
        <v>459</v>
      </c>
      <c r="FQ173" s="330"/>
      <c r="FR173" s="330"/>
      <c r="FS173" s="330"/>
      <c r="FT173" s="330"/>
      <c r="FU173" s="330"/>
    </row>
    <row r="174" spans="1:177" ht="89.25" x14ac:dyDescent="0.25">
      <c r="A174" s="330">
        <v>173</v>
      </c>
      <c r="B174" s="331" t="s">
        <v>223</v>
      </c>
      <c r="C174" s="330"/>
      <c r="D174" s="332" t="s">
        <v>208</v>
      </c>
      <c r="E174" s="332" t="s">
        <v>209</v>
      </c>
      <c r="F174" s="332" t="s">
        <v>180</v>
      </c>
      <c r="G174" s="330" t="s">
        <v>181</v>
      </c>
      <c r="H174" s="331">
        <v>400</v>
      </c>
      <c r="I174" s="330"/>
      <c r="J174" s="332"/>
      <c r="K174" s="332" t="s">
        <v>1754</v>
      </c>
      <c r="L174" s="330" t="s">
        <v>284</v>
      </c>
      <c r="M174" s="332" t="s">
        <v>1755</v>
      </c>
      <c r="N174" s="330" t="s">
        <v>1756</v>
      </c>
      <c r="O174" s="339">
        <v>0.93483992467043298</v>
      </c>
      <c r="P174" s="333">
        <v>2482</v>
      </c>
      <c r="Q174" s="333">
        <v>2655</v>
      </c>
      <c r="R174" s="333">
        <v>50</v>
      </c>
      <c r="S174" s="333">
        <v>69</v>
      </c>
      <c r="T174" s="333">
        <v>64</v>
      </c>
      <c r="U174" s="333">
        <v>506</v>
      </c>
      <c r="V174" s="333">
        <v>300</v>
      </c>
      <c r="W174" s="330">
        <v>32</v>
      </c>
      <c r="X174" s="330" t="s">
        <v>1757</v>
      </c>
      <c r="Y174" s="332" t="s">
        <v>1758</v>
      </c>
      <c r="Z174" s="330" t="s">
        <v>215</v>
      </c>
      <c r="AA174" s="330" t="s">
        <v>1759</v>
      </c>
      <c r="AB174" s="330" t="s">
        <v>217</v>
      </c>
      <c r="AC174" s="330"/>
      <c r="AD174" s="330"/>
      <c r="AE174" s="330">
        <v>2</v>
      </c>
      <c r="AF174" s="330">
        <v>5</v>
      </c>
      <c r="AG174" s="332" t="s">
        <v>2160</v>
      </c>
      <c r="AH174" s="332" t="s">
        <v>191</v>
      </c>
      <c r="AI174" s="330" t="s">
        <v>627</v>
      </c>
      <c r="AJ174" s="330" t="s">
        <v>627</v>
      </c>
      <c r="AK174" s="330"/>
      <c r="AL174" s="330" t="s">
        <v>627</v>
      </c>
      <c r="AM174" s="330" t="s">
        <v>192</v>
      </c>
      <c r="AN174" s="330" t="s">
        <v>627</v>
      </c>
      <c r="AO174" s="330"/>
      <c r="AP174" s="332" t="s">
        <v>259</v>
      </c>
      <c r="AQ174" s="330"/>
      <c r="AR174" s="330"/>
      <c r="AS174" s="330" t="b">
        <v>1</v>
      </c>
      <c r="AT174" s="330"/>
      <c r="AU174" s="332" t="s">
        <v>628</v>
      </c>
      <c r="AV174" s="334">
        <v>46072.53085891204</v>
      </c>
      <c r="AW174" s="330"/>
      <c r="AX174" s="335">
        <v>46106</v>
      </c>
      <c r="AY174" s="336">
        <v>46118</v>
      </c>
      <c r="AZ174" s="330" t="b">
        <v>1</v>
      </c>
      <c r="BA174" s="336">
        <v>46134</v>
      </c>
      <c r="BB174" s="330"/>
      <c r="BC174" s="336">
        <v>46127</v>
      </c>
      <c r="BD174" s="330"/>
      <c r="BE174" s="336">
        <v>46127</v>
      </c>
      <c r="BF174" s="330"/>
      <c r="BG174" s="330"/>
      <c r="BH174" s="330" t="s">
        <v>193</v>
      </c>
      <c r="BI174" s="330">
        <v>43</v>
      </c>
      <c r="BJ174" s="330"/>
      <c r="BK174" s="330"/>
      <c r="BL174" s="330"/>
      <c r="BM174" s="332"/>
      <c r="BN174" s="330"/>
      <c r="BO174" s="330" t="s">
        <v>240</v>
      </c>
      <c r="BP174" s="330" t="s">
        <v>193</v>
      </c>
      <c r="BQ174" s="330" t="s">
        <v>218</v>
      </c>
      <c r="BR174" s="330" t="s">
        <v>193</v>
      </c>
      <c r="BS174" s="330" t="s">
        <v>1760</v>
      </c>
      <c r="BT174" s="330" t="s">
        <v>193</v>
      </c>
      <c r="BU174" s="330" t="s">
        <v>1761</v>
      </c>
      <c r="BV174" s="330" t="s">
        <v>193</v>
      </c>
      <c r="BW174" s="330" t="s">
        <v>1762</v>
      </c>
      <c r="BX174" s="332"/>
      <c r="BY174" s="330"/>
      <c r="BZ174" s="330"/>
      <c r="CA174" s="330"/>
      <c r="CB174" s="330"/>
      <c r="CC174" s="337" t="s">
        <v>2161</v>
      </c>
      <c r="CD174" s="330" t="b">
        <v>1</v>
      </c>
      <c r="CE174" s="330" t="b">
        <v>1</v>
      </c>
      <c r="CF174" s="330" t="b">
        <v>1</v>
      </c>
      <c r="CG174" s="330" t="s">
        <v>242</v>
      </c>
      <c r="CH174" s="330"/>
      <c r="CI174" s="330"/>
      <c r="CJ174" s="330"/>
      <c r="CK174" s="330"/>
      <c r="CL174" s="330"/>
      <c r="CM174" s="330"/>
      <c r="CN174" s="330"/>
      <c r="CO174" s="330"/>
      <c r="CP174" s="330"/>
      <c r="CQ174" s="330"/>
      <c r="CR174" s="330"/>
      <c r="CS174" s="330"/>
      <c r="CT174" s="330"/>
      <c r="CU174" s="330"/>
      <c r="CV174" s="330"/>
      <c r="CW174" s="330"/>
      <c r="CX174" s="330"/>
      <c r="CY174" s="330"/>
      <c r="CZ174" s="330"/>
      <c r="DA174" s="330"/>
      <c r="DB174" s="330" t="b">
        <v>1</v>
      </c>
      <c r="DC174" s="330" t="b">
        <v>1</v>
      </c>
      <c r="DD174" s="330"/>
      <c r="DE174" s="330"/>
      <c r="DF174" s="338">
        <v>24071</v>
      </c>
      <c r="DG174" s="330" t="s">
        <v>221</v>
      </c>
      <c r="DH174" s="330"/>
      <c r="DI174" s="338">
        <v>11</v>
      </c>
      <c r="DJ174" s="330"/>
      <c r="DK174" s="330">
        <v>11</v>
      </c>
      <c r="DL174" s="330" t="s">
        <v>223</v>
      </c>
      <c r="DM174" s="330"/>
      <c r="DN174" s="330"/>
      <c r="DO174" s="336">
        <v>46114</v>
      </c>
      <c r="DP174" s="336">
        <v>46114</v>
      </c>
      <c r="DQ174" s="338">
        <v>1</v>
      </c>
      <c r="DR174" s="330"/>
      <c r="DS174" s="330"/>
      <c r="DT174" s="330"/>
      <c r="DU174" s="338" t="s">
        <v>197</v>
      </c>
      <c r="DV174" s="330"/>
      <c r="DW174" s="330"/>
      <c r="DX174" s="330"/>
      <c r="DY174" s="338" t="s">
        <v>197</v>
      </c>
      <c r="DZ174" s="330"/>
      <c r="EA174" s="330"/>
      <c r="EB174" s="330"/>
      <c r="EC174" s="330" t="s">
        <v>197</v>
      </c>
      <c r="ED174" s="338">
        <v>1</v>
      </c>
      <c r="EE174" s="330">
        <v>15</v>
      </c>
      <c r="EF174" s="330">
        <v>80</v>
      </c>
      <c r="EG174" s="330"/>
      <c r="EH174" s="330"/>
      <c r="EI174" s="330"/>
      <c r="EJ174" s="330"/>
      <c r="EK174" s="330"/>
      <c r="EL174" s="330"/>
      <c r="EM174" s="330"/>
      <c r="EN174" s="330"/>
      <c r="EO174" s="330"/>
      <c r="EP174" s="330"/>
      <c r="EQ174" s="332" t="s">
        <v>224</v>
      </c>
      <c r="ER174" s="330"/>
      <c r="ES174" s="330"/>
      <c r="ET174" s="332" t="s">
        <v>245</v>
      </c>
      <c r="EU174" s="332" t="s">
        <v>246</v>
      </c>
      <c r="EV174" s="336">
        <v>46115</v>
      </c>
      <c r="EW174" s="336">
        <v>46118</v>
      </c>
      <c r="EX174" s="330">
        <v>2</v>
      </c>
      <c r="EY174" s="330"/>
      <c r="EZ174" s="330" t="s">
        <v>201</v>
      </c>
      <c r="FA174" s="336">
        <v>46128</v>
      </c>
      <c r="FB174" s="330" t="s">
        <v>1891</v>
      </c>
      <c r="FC174" s="330" t="s">
        <v>202</v>
      </c>
      <c r="FD174" s="332" t="s">
        <v>190</v>
      </c>
      <c r="FE174" s="330"/>
      <c r="FF174" s="330"/>
      <c r="FG174" s="330" t="s">
        <v>203</v>
      </c>
      <c r="FH174" s="330" t="s">
        <v>4162</v>
      </c>
      <c r="FI174" s="330" t="s">
        <v>204</v>
      </c>
      <c r="FJ174" s="330"/>
      <c r="FK174" s="330" t="s">
        <v>180</v>
      </c>
      <c r="FL174" s="330" t="s">
        <v>627</v>
      </c>
      <c r="FM174" s="330" t="s">
        <v>192</v>
      </c>
      <c r="FN174" s="330" t="s">
        <v>1764</v>
      </c>
      <c r="FO174" s="330"/>
      <c r="FP174" s="330" t="s">
        <v>639</v>
      </c>
      <c r="FQ174" s="330"/>
      <c r="FR174" s="330"/>
      <c r="FS174" s="330"/>
      <c r="FT174" s="330"/>
      <c r="FU174" s="330"/>
    </row>
    <row r="175" spans="1:177" ht="178.5" x14ac:dyDescent="0.25">
      <c r="A175" s="330">
        <v>174</v>
      </c>
      <c r="B175" s="331" t="s">
        <v>1765</v>
      </c>
      <c r="C175" s="330"/>
      <c r="D175" s="332" t="s">
        <v>1766</v>
      </c>
      <c r="E175" s="332" t="s">
        <v>1767</v>
      </c>
      <c r="F175" s="332" t="s">
        <v>610</v>
      </c>
      <c r="G175" s="330" t="s">
        <v>611</v>
      </c>
      <c r="H175" s="331">
        <v>400</v>
      </c>
      <c r="I175" s="330"/>
      <c r="J175" s="332"/>
      <c r="K175" s="332" t="s">
        <v>1768</v>
      </c>
      <c r="L175" s="330" t="s">
        <v>284</v>
      </c>
      <c r="M175" s="332" t="s">
        <v>1769</v>
      </c>
      <c r="N175" s="330" t="s">
        <v>1770</v>
      </c>
      <c r="O175" s="333" t="s">
        <v>736</v>
      </c>
      <c r="P175" s="333">
        <v>82</v>
      </c>
      <c r="Q175" s="333"/>
      <c r="R175" s="333">
        <v>82</v>
      </c>
      <c r="S175" s="333">
        <v>92</v>
      </c>
      <c r="T175" s="333">
        <v>75</v>
      </c>
      <c r="U175" s="333" t="s">
        <v>185</v>
      </c>
      <c r="V175" s="333" t="s">
        <v>185</v>
      </c>
      <c r="W175" s="330" t="s">
        <v>1771</v>
      </c>
      <c r="X175" s="330" t="s">
        <v>1772</v>
      </c>
      <c r="Y175" s="332" t="s">
        <v>1773</v>
      </c>
      <c r="Z175" s="330" t="s">
        <v>215</v>
      </c>
      <c r="AA175" s="330" t="s">
        <v>1774</v>
      </c>
      <c r="AB175" s="330" t="s">
        <v>217</v>
      </c>
      <c r="AC175" s="330"/>
      <c r="AD175" s="330" t="s">
        <v>924</v>
      </c>
      <c r="AE175" s="330">
        <v>1</v>
      </c>
      <c r="AF175" s="330">
        <v>3</v>
      </c>
      <c r="AG175" s="332" t="s">
        <v>2160</v>
      </c>
      <c r="AH175" s="332" t="s">
        <v>191</v>
      </c>
      <c r="AI175" s="330"/>
      <c r="AJ175" s="330" t="s">
        <v>191</v>
      </c>
      <c r="AK175" s="330" t="s">
        <v>191</v>
      </c>
      <c r="AL175" s="330" t="s">
        <v>471</v>
      </c>
      <c r="AM175" s="330" t="s">
        <v>191</v>
      </c>
      <c r="AN175" s="330" t="s">
        <v>471</v>
      </c>
      <c r="AO175" s="330"/>
      <c r="AP175" s="332" t="s">
        <v>259</v>
      </c>
      <c r="AQ175" s="330"/>
      <c r="AR175" s="330"/>
      <c r="AS175" s="330" t="b">
        <v>1</v>
      </c>
      <c r="AT175" s="330"/>
      <c r="AU175" s="332" t="s">
        <v>471</v>
      </c>
      <c r="AV175" s="334">
        <v>46073.683235462966</v>
      </c>
      <c r="AW175" s="330"/>
      <c r="AX175" s="335">
        <v>46108</v>
      </c>
      <c r="AY175" s="336">
        <v>46114</v>
      </c>
      <c r="AZ175" s="330" t="b">
        <v>1</v>
      </c>
      <c r="BA175" s="336">
        <v>46132</v>
      </c>
      <c r="BB175" s="330"/>
      <c r="BC175" s="336">
        <v>46129</v>
      </c>
      <c r="BD175" s="330"/>
      <c r="BE175" s="336">
        <v>46129</v>
      </c>
      <c r="BF175" s="330"/>
      <c r="BG175" s="330"/>
      <c r="BH175" s="330" t="s">
        <v>193</v>
      </c>
      <c r="BI175" s="330">
        <v>50</v>
      </c>
      <c r="BJ175" s="336">
        <v>46099</v>
      </c>
      <c r="BK175" s="330"/>
      <c r="BL175" s="330"/>
      <c r="BM175" s="332"/>
      <c r="BN175" s="330"/>
      <c r="BO175" s="330" t="s">
        <v>240</v>
      </c>
      <c r="BP175" s="330" t="s">
        <v>220</v>
      </c>
      <c r="BQ175" s="330" t="s">
        <v>801</v>
      </c>
      <c r="BR175" s="330" t="s">
        <v>193</v>
      </c>
      <c r="BS175" s="330" t="s">
        <v>1775</v>
      </c>
      <c r="BT175" s="330" t="s">
        <v>193</v>
      </c>
      <c r="BU175" s="330" t="s">
        <v>1775</v>
      </c>
      <c r="BV175" s="330" t="s">
        <v>220</v>
      </c>
      <c r="BW175" s="330"/>
      <c r="BX175" s="332"/>
      <c r="BY175" s="330"/>
      <c r="BZ175" s="330"/>
      <c r="CA175" s="330"/>
      <c r="CB175" s="330"/>
      <c r="CC175" s="337" t="s">
        <v>2161</v>
      </c>
      <c r="CD175" s="330" t="b">
        <v>1</v>
      </c>
      <c r="CE175" s="330" t="b">
        <v>1</v>
      </c>
      <c r="CF175" s="330" t="b">
        <v>1</v>
      </c>
      <c r="CG175" s="330" t="s">
        <v>242</v>
      </c>
      <c r="CH175" s="330"/>
      <c r="CI175" s="330"/>
      <c r="CJ175" s="330"/>
      <c r="CK175" s="330"/>
      <c r="CL175" s="330"/>
      <c r="CM175" s="330"/>
      <c r="CN175" s="330"/>
      <c r="CO175" s="330"/>
      <c r="CP175" s="330"/>
      <c r="CQ175" s="330"/>
      <c r="CR175" s="330"/>
      <c r="CS175" s="330"/>
      <c r="CT175" s="330"/>
      <c r="CU175" s="330"/>
      <c r="CV175" s="330"/>
      <c r="CW175" s="330"/>
      <c r="CX175" s="330"/>
      <c r="CY175" s="330"/>
      <c r="CZ175" s="330"/>
      <c r="DA175" s="330"/>
      <c r="DB175" s="330" t="b">
        <v>1</v>
      </c>
      <c r="DC175" s="330" t="b">
        <v>1</v>
      </c>
      <c r="DD175" s="330"/>
      <c r="DE175" s="330"/>
      <c r="DF175" s="338">
        <v>25075</v>
      </c>
      <c r="DG175" s="330" t="s">
        <v>221</v>
      </c>
      <c r="DH175" s="330"/>
      <c r="DI175" s="338" t="s">
        <v>196</v>
      </c>
      <c r="DJ175" s="330"/>
      <c r="DK175" s="330">
        <v>1</v>
      </c>
      <c r="DL175" s="330" t="s">
        <v>1765</v>
      </c>
      <c r="DM175" s="330"/>
      <c r="DN175" s="330"/>
      <c r="DO175" s="330"/>
      <c r="DP175" s="330"/>
      <c r="DQ175" s="338" t="s">
        <v>197</v>
      </c>
      <c r="DR175" s="330"/>
      <c r="DS175" s="330"/>
      <c r="DT175" s="330"/>
      <c r="DU175" s="338" t="s">
        <v>197</v>
      </c>
      <c r="DV175" s="330"/>
      <c r="DW175" s="330"/>
      <c r="DX175" s="330"/>
      <c r="DY175" s="338" t="s">
        <v>197</v>
      </c>
      <c r="DZ175" s="330"/>
      <c r="EA175" s="330"/>
      <c r="EB175" s="330"/>
      <c r="EC175" s="330" t="s">
        <v>197</v>
      </c>
      <c r="ED175" s="338" t="s">
        <v>197</v>
      </c>
      <c r="EE175" s="330">
        <v>40</v>
      </c>
      <c r="EF175" s="330">
        <v>150</v>
      </c>
      <c r="EG175" s="330"/>
      <c r="EH175" s="330"/>
      <c r="EI175" s="330"/>
      <c r="EJ175" s="330"/>
      <c r="EK175" s="330"/>
      <c r="EL175" s="330"/>
      <c r="EM175" s="330"/>
      <c r="EN175" s="330"/>
      <c r="EO175" s="330"/>
      <c r="EP175" s="330"/>
      <c r="EQ175" s="332" t="s">
        <v>244</v>
      </c>
      <c r="ER175" s="330"/>
      <c r="ES175" s="330"/>
      <c r="ET175" s="332" t="s">
        <v>245</v>
      </c>
      <c r="EU175" s="332" t="s">
        <v>246</v>
      </c>
      <c r="EV175" s="336">
        <v>46114</v>
      </c>
      <c r="EW175" s="336">
        <v>46114</v>
      </c>
      <c r="EX175" s="330">
        <v>1</v>
      </c>
      <c r="EY175" s="330"/>
      <c r="EZ175" s="330" t="s">
        <v>201</v>
      </c>
      <c r="FA175" s="336">
        <v>46128</v>
      </c>
      <c r="FB175" s="330" t="s">
        <v>1891</v>
      </c>
      <c r="FC175" s="330" t="s">
        <v>202</v>
      </c>
      <c r="FD175" s="332" t="s">
        <v>190</v>
      </c>
      <c r="FE175" s="330"/>
      <c r="FF175" s="330"/>
      <c r="FG175" s="330" t="s">
        <v>203</v>
      </c>
      <c r="FH175" s="330" t="s">
        <v>631</v>
      </c>
      <c r="FI175" s="330" t="s">
        <v>204</v>
      </c>
      <c r="FJ175" s="330"/>
      <c r="FK175" s="330" t="s">
        <v>610</v>
      </c>
      <c r="FL175" s="330" t="s">
        <v>471</v>
      </c>
      <c r="FM175" s="330" t="s">
        <v>191</v>
      </c>
      <c r="FN175" s="330" t="s">
        <v>1776</v>
      </c>
      <c r="FO175" s="330"/>
      <c r="FP175" s="330" t="s">
        <v>639</v>
      </c>
      <c r="FQ175" s="330"/>
      <c r="FR175" s="330"/>
      <c r="FS175" s="330"/>
      <c r="FT175" s="330"/>
      <c r="FU175" s="330"/>
    </row>
    <row r="176" spans="1:177" ht="216.75" x14ac:dyDescent="0.25">
      <c r="A176" s="330">
        <v>175</v>
      </c>
      <c r="B176" s="331" t="s">
        <v>1777</v>
      </c>
      <c r="C176" s="330"/>
      <c r="D176" s="332" t="s">
        <v>1778</v>
      </c>
      <c r="E176" s="332" t="s">
        <v>1779</v>
      </c>
      <c r="F176" s="332" t="s">
        <v>1780</v>
      </c>
      <c r="G176" s="330"/>
      <c r="H176" s="331">
        <v>400</v>
      </c>
      <c r="I176" s="330"/>
      <c r="J176" s="332" t="s">
        <v>1781</v>
      </c>
      <c r="K176" s="332"/>
      <c r="L176" s="330" t="s">
        <v>284</v>
      </c>
      <c r="M176" s="332" t="s">
        <v>1782</v>
      </c>
      <c r="N176" s="330" t="s">
        <v>1783</v>
      </c>
      <c r="O176" s="339">
        <v>0.93606557377049204</v>
      </c>
      <c r="P176" s="333">
        <v>571</v>
      </c>
      <c r="Q176" s="333">
        <v>610</v>
      </c>
      <c r="R176" s="333">
        <v>52</v>
      </c>
      <c r="S176" s="333">
        <v>0</v>
      </c>
      <c r="T176" s="333">
        <v>9</v>
      </c>
      <c r="U176" s="333">
        <v>212</v>
      </c>
      <c r="V176" s="333">
        <v>63</v>
      </c>
      <c r="W176" s="330" t="s">
        <v>1784</v>
      </c>
      <c r="X176" s="330" t="s">
        <v>1785</v>
      </c>
      <c r="Y176" s="332" t="s">
        <v>1786</v>
      </c>
      <c r="Z176" s="330" t="s">
        <v>215</v>
      </c>
      <c r="AA176" s="330" t="s">
        <v>1787</v>
      </c>
      <c r="AB176" s="330" t="s">
        <v>189</v>
      </c>
      <c r="AC176" s="330"/>
      <c r="AD176" s="330"/>
      <c r="AE176" s="330">
        <v>38</v>
      </c>
      <c r="AF176" s="330">
        <v>-7</v>
      </c>
      <c r="AG176" s="332" t="s">
        <v>190</v>
      </c>
      <c r="AH176" s="332" t="s">
        <v>191</v>
      </c>
      <c r="AI176" s="330" t="s">
        <v>353</v>
      </c>
      <c r="AJ176" s="330" t="s">
        <v>353</v>
      </c>
      <c r="AK176" s="330"/>
      <c r="AL176" s="330" t="s">
        <v>353</v>
      </c>
      <c r="AM176" s="330" t="s">
        <v>191</v>
      </c>
      <c r="AN176" s="330" t="s">
        <v>353</v>
      </c>
      <c r="AO176" s="330"/>
      <c r="AP176" s="332" t="s">
        <v>259</v>
      </c>
      <c r="AQ176" s="330"/>
      <c r="AR176" s="330"/>
      <c r="AS176" s="330" t="b">
        <v>1</v>
      </c>
      <c r="AT176" s="330"/>
      <c r="AU176" s="332" t="s">
        <v>353</v>
      </c>
      <c r="AV176" s="334">
        <v>46077.445264490743</v>
      </c>
      <c r="AW176" s="330"/>
      <c r="AX176" s="335">
        <v>46098</v>
      </c>
      <c r="AY176" s="336">
        <v>46104</v>
      </c>
      <c r="AZ176" s="330" t="b">
        <v>1</v>
      </c>
      <c r="BA176" s="336">
        <v>46120</v>
      </c>
      <c r="BB176" s="330"/>
      <c r="BC176" s="336">
        <v>46119</v>
      </c>
      <c r="BD176" s="330"/>
      <c r="BE176" s="336">
        <v>46119</v>
      </c>
      <c r="BF176" s="330"/>
      <c r="BG176" s="330"/>
      <c r="BH176" s="330" t="s">
        <v>193</v>
      </c>
      <c r="BI176" s="330">
        <v>19</v>
      </c>
      <c r="BJ176" s="330"/>
      <c r="BK176" s="330"/>
      <c r="BL176" s="330"/>
      <c r="BM176" s="332"/>
      <c r="BN176" s="330"/>
      <c r="BO176" s="330" t="s">
        <v>1788</v>
      </c>
      <c r="BP176" s="330" t="s">
        <v>193</v>
      </c>
      <c r="BQ176" s="330" t="s">
        <v>218</v>
      </c>
      <c r="BR176" s="330" t="s">
        <v>220</v>
      </c>
      <c r="BS176" s="330"/>
      <c r="BT176" s="330" t="s">
        <v>193</v>
      </c>
      <c r="BU176" s="330" t="s">
        <v>1789</v>
      </c>
      <c r="BV176" s="330" t="s">
        <v>193</v>
      </c>
      <c r="BW176" s="330" t="s">
        <v>1790</v>
      </c>
      <c r="BX176" s="332"/>
      <c r="BY176" s="330"/>
      <c r="BZ176" s="330"/>
      <c r="CA176" s="330"/>
      <c r="CB176" s="330"/>
      <c r="CC176" s="337" t="s">
        <v>194</v>
      </c>
      <c r="CD176" s="330" t="b">
        <v>1</v>
      </c>
      <c r="CE176" s="330" t="b">
        <v>1</v>
      </c>
      <c r="CF176" s="330" t="b">
        <v>1</v>
      </c>
      <c r="CG176" s="330" t="s">
        <v>242</v>
      </c>
      <c r="CH176" s="330"/>
      <c r="CI176" s="330"/>
      <c r="CJ176" s="330"/>
      <c r="CK176" s="330"/>
      <c r="CL176" s="330"/>
      <c r="CM176" s="330"/>
      <c r="CN176" s="330"/>
      <c r="CO176" s="330"/>
      <c r="CP176" s="330"/>
      <c r="CQ176" s="330"/>
      <c r="CR176" s="330"/>
      <c r="CS176" s="330"/>
      <c r="CT176" s="330"/>
      <c r="CU176" s="330"/>
      <c r="CV176" s="330"/>
      <c r="CW176" s="330"/>
      <c r="CX176" s="330"/>
      <c r="CY176" s="330"/>
      <c r="CZ176" s="330"/>
      <c r="DA176" s="330"/>
      <c r="DB176" s="330" t="b">
        <v>1</v>
      </c>
      <c r="DC176" s="330" t="b">
        <v>1</v>
      </c>
      <c r="DD176" s="330"/>
      <c r="DE176" s="330"/>
      <c r="DF176" s="338">
        <v>25022</v>
      </c>
      <c r="DG176" s="330" t="s">
        <v>221</v>
      </c>
      <c r="DH176" s="330"/>
      <c r="DI176" s="338" t="s">
        <v>1326</v>
      </c>
      <c r="DJ176" s="330"/>
      <c r="DK176" s="330">
        <v>7</v>
      </c>
      <c r="DL176" s="330" t="s">
        <v>1791</v>
      </c>
      <c r="DM176" s="330"/>
      <c r="DN176" s="330"/>
      <c r="DO176" s="330"/>
      <c r="DP176" s="330"/>
      <c r="DQ176" s="338" t="s">
        <v>197</v>
      </c>
      <c r="DR176" s="330"/>
      <c r="DS176" s="330"/>
      <c r="DT176" s="330"/>
      <c r="DU176" s="338" t="s">
        <v>197</v>
      </c>
      <c r="DV176" s="330"/>
      <c r="DW176" s="330"/>
      <c r="DX176" s="330"/>
      <c r="DY176" s="338" t="s">
        <v>197</v>
      </c>
      <c r="DZ176" s="330"/>
      <c r="EA176" s="330"/>
      <c r="EB176" s="330"/>
      <c r="EC176" s="330" t="s">
        <v>197</v>
      </c>
      <c r="ED176" s="338" t="s">
        <v>197</v>
      </c>
      <c r="EE176" s="330">
        <v>4</v>
      </c>
      <c r="EF176" s="330">
        <v>8</v>
      </c>
      <c r="EG176" s="330"/>
      <c r="EH176" s="330"/>
      <c r="EI176" s="330"/>
      <c r="EJ176" s="330"/>
      <c r="EK176" s="330"/>
      <c r="EL176" s="330"/>
      <c r="EM176" s="330"/>
      <c r="EN176" s="330"/>
      <c r="EO176" s="330"/>
      <c r="EP176" s="330"/>
      <c r="EQ176" s="332" t="s">
        <v>198</v>
      </c>
      <c r="ER176" s="330"/>
      <c r="ES176" s="330"/>
      <c r="ET176" s="332" t="s">
        <v>245</v>
      </c>
      <c r="EU176" s="332" t="s">
        <v>246</v>
      </c>
      <c r="EV176" s="336">
        <v>46104</v>
      </c>
      <c r="EW176" s="336">
        <v>46104</v>
      </c>
      <c r="EX176" s="330">
        <v>1</v>
      </c>
      <c r="EY176" s="330"/>
      <c r="EZ176" s="330" t="s">
        <v>201</v>
      </c>
      <c r="FA176" s="336">
        <v>46107</v>
      </c>
      <c r="FB176" s="330">
        <v>4</v>
      </c>
      <c r="FC176" s="330" t="s">
        <v>202</v>
      </c>
      <c r="FD176" s="332" t="s">
        <v>190</v>
      </c>
      <c r="FE176" s="336">
        <v>46112</v>
      </c>
      <c r="FF176" s="330"/>
      <c r="FG176" s="330" t="s">
        <v>203</v>
      </c>
      <c r="FH176" s="330" t="s">
        <v>1792</v>
      </c>
      <c r="FI176" s="330" t="s">
        <v>204</v>
      </c>
      <c r="FJ176" s="330"/>
      <c r="FK176" s="330" t="s">
        <v>1780</v>
      </c>
      <c r="FL176" s="330" t="s">
        <v>353</v>
      </c>
      <c r="FM176" s="330" t="s">
        <v>191</v>
      </c>
      <c r="FN176" s="330" t="s">
        <v>1793</v>
      </c>
      <c r="FO176" s="330"/>
      <c r="FP176" s="330" t="s">
        <v>1794</v>
      </c>
      <c r="FQ176" s="330"/>
      <c r="FR176" s="330"/>
      <c r="FS176" s="330"/>
      <c r="FT176" s="330"/>
      <c r="FU176" s="330"/>
    </row>
    <row r="177" spans="1:177" ht="255" x14ac:dyDescent="0.25">
      <c r="A177" s="330">
        <v>176</v>
      </c>
      <c r="B177" s="331" t="s">
        <v>1795</v>
      </c>
      <c r="C177" s="330"/>
      <c r="D177" s="332" t="s">
        <v>1796</v>
      </c>
      <c r="E177" s="332" t="s">
        <v>1797</v>
      </c>
      <c r="F177" s="332" t="s">
        <v>1189</v>
      </c>
      <c r="G177" s="330" t="s">
        <v>1190</v>
      </c>
      <c r="H177" s="331" t="s">
        <v>618</v>
      </c>
      <c r="I177" s="330"/>
      <c r="J177" s="332"/>
      <c r="K177" s="332"/>
      <c r="L177" s="330" t="s">
        <v>284</v>
      </c>
      <c r="M177" s="332" t="s">
        <v>1798</v>
      </c>
      <c r="N177" s="330" t="s">
        <v>1799</v>
      </c>
      <c r="O177" s="339">
        <v>1.3409090909090899</v>
      </c>
      <c r="P177" s="333">
        <v>118</v>
      </c>
      <c r="Q177" s="333">
        <v>88</v>
      </c>
      <c r="R177" s="333">
        <v>29</v>
      </c>
      <c r="S177" s="333">
        <v>29</v>
      </c>
      <c r="T177" s="333">
        <v>29</v>
      </c>
      <c r="U177" s="333">
        <v>166</v>
      </c>
      <c r="V177" s="333">
        <v>180</v>
      </c>
      <c r="W177" s="330">
        <v>9</v>
      </c>
      <c r="X177" s="330" t="s">
        <v>1800</v>
      </c>
      <c r="Y177" s="332" t="s">
        <v>1801</v>
      </c>
      <c r="Z177" s="330" t="s">
        <v>215</v>
      </c>
      <c r="AA177" s="330" t="s">
        <v>1802</v>
      </c>
      <c r="AB177" s="330" t="s">
        <v>217</v>
      </c>
      <c r="AC177" s="330"/>
      <c r="AD177" s="330"/>
      <c r="AE177" s="330">
        <v>2</v>
      </c>
      <c r="AF177" s="330">
        <v>9</v>
      </c>
      <c r="AG177" s="332" t="s">
        <v>626</v>
      </c>
      <c r="AH177" s="332" t="s">
        <v>191</v>
      </c>
      <c r="AI177" s="330"/>
      <c r="AJ177" s="330" t="s">
        <v>191</v>
      </c>
      <c r="AK177" s="330"/>
      <c r="AL177" s="330" t="s">
        <v>353</v>
      </c>
      <c r="AM177" s="330" t="s">
        <v>191</v>
      </c>
      <c r="AN177" s="330" t="s">
        <v>353</v>
      </c>
      <c r="AO177" s="330"/>
      <c r="AP177" s="332" t="s">
        <v>259</v>
      </c>
      <c r="AQ177" s="330"/>
      <c r="AR177" s="330"/>
      <c r="AS177" s="330" t="b">
        <v>1</v>
      </c>
      <c r="AT177" s="330"/>
      <c r="AU177" s="332" t="s">
        <v>353</v>
      </c>
      <c r="AV177" s="334">
        <v>46078.474049560187</v>
      </c>
      <c r="AW177" s="330"/>
      <c r="AX177" s="335">
        <v>46121</v>
      </c>
      <c r="AY177" s="336">
        <v>46121</v>
      </c>
      <c r="AZ177" s="330"/>
      <c r="BA177" s="336">
        <v>46140</v>
      </c>
      <c r="BB177" s="330"/>
      <c r="BC177" s="336">
        <v>46142</v>
      </c>
      <c r="BD177" s="330"/>
      <c r="BE177" s="336">
        <v>46142</v>
      </c>
      <c r="BF177" s="330"/>
      <c r="BG177" s="330"/>
      <c r="BH177" s="330" t="s">
        <v>193</v>
      </c>
      <c r="BI177" s="330">
        <v>13</v>
      </c>
      <c r="BJ177" s="330"/>
      <c r="BK177" s="330"/>
      <c r="BL177" s="330"/>
      <c r="BM177" s="332"/>
      <c r="BN177" s="330"/>
      <c r="BO177" s="330" t="s">
        <v>184</v>
      </c>
      <c r="BP177" s="330" t="s">
        <v>220</v>
      </c>
      <c r="BQ177" s="330" t="s">
        <v>338</v>
      </c>
      <c r="BR177" s="330" t="s">
        <v>193</v>
      </c>
      <c r="BS177" s="330" t="s">
        <v>1803</v>
      </c>
      <c r="BT177" s="330" t="s">
        <v>193</v>
      </c>
      <c r="BU177" s="330" t="s">
        <v>1804</v>
      </c>
      <c r="BV177" s="330" t="s">
        <v>220</v>
      </c>
      <c r="BW177" s="330"/>
      <c r="BX177" s="332"/>
      <c r="BY177" s="330"/>
      <c r="BZ177" s="330"/>
      <c r="CA177" s="330"/>
      <c r="CB177" s="330"/>
      <c r="CC177" s="337" t="s">
        <v>820</v>
      </c>
      <c r="CD177" s="330" t="b">
        <v>1</v>
      </c>
      <c r="CE177" s="330" t="b">
        <v>1</v>
      </c>
      <c r="CF177" s="330" t="b">
        <v>1</v>
      </c>
      <c r="CG177" s="330" t="s">
        <v>242</v>
      </c>
      <c r="CH177" s="330"/>
      <c r="CI177" s="330"/>
      <c r="CJ177" s="330"/>
      <c r="CK177" s="330"/>
      <c r="CL177" s="330"/>
      <c r="CM177" s="330"/>
      <c r="CN177" s="330"/>
      <c r="CO177" s="330"/>
      <c r="CP177" s="330"/>
      <c r="CQ177" s="330"/>
      <c r="CR177" s="330"/>
      <c r="CS177" s="330"/>
      <c r="CT177" s="330"/>
      <c r="CU177" s="330"/>
      <c r="CV177" s="330"/>
      <c r="CW177" s="330"/>
      <c r="CX177" s="330"/>
      <c r="CY177" s="330"/>
      <c r="CZ177" s="330"/>
      <c r="DA177" s="330"/>
      <c r="DB177" s="330" t="b">
        <v>1</v>
      </c>
      <c r="DC177" s="330" t="b">
        <v>1</v>
      </c>
      <c r="DD177" s="330"/>
      <c r="DE177" s="330"/>
      <c r="DF177" s="338">
        <v>25067</v>
      </c>
      <c r="DG177" s="330" t="s">
        <v>221</v>
      </c>
      <c r="DH177" s="330"/>
      <c r="DI177" s="338" t="s">
        <v>638</v>
      </c>
      <c r="DJ177" s="330"/>
      <c r="DK177" s="330">
        <v>2</v>
      </c>
      <c r="DL177" s="330" t="s">
        <v>1795</v>
      </c>
      <c r="DM177" s="330"/>
      <c r="DN177" s="330"/>
      <c r="DO177" s="330"/>
      <c r="DP177" s="330"/>
      <c r="DQ177" s="338" t="s">
        <v>197</v>
      </c>
      <c r="DR177" s="330"/>
      <c r="DS177" s="330"/>
      <c r="DT177" s="330"/>
      <c r="DU177" s="338" t="s">
        <v>197</v>
      </c>
      <c r="DV177" s="330"/>
      <c r="DW177" s="330"/>
      <c r="DX177" s="330"/>
      <c r="DY177" s="338" t="s">
        <v>197</v>
      </c>
      <c r="DZ177" s="330"/>
      <c r="EA177" s="330"/>
      <c r="EB177" s="330"/>
      <c r="EC177" s="330" t="s">
        <v>197</v>
      </c>
      <c r="ED177" s="338" t="s">
        <v>197</v>
      </c>
      <c r="EE177" s="330">
        <v>16</v>
      </c>
      <c r="EF177" s="330">
        <v>35</v>
      </c>
      <c r="EG177" s="330"/>
      <c r="EH177" s="330"/>
      <c r="EI177" s="330"/>
      <c r="EJ177" s="330"/>
      <c r="EK177" s="330"/>
      <c r="EL177" s="330"/>
      <c r="EM177" s="330"/>
      <c r="EN177" s="330"/>
      <c r="EO177" s="330"/>
      <c r="EP177" s="330"/>
      <c r="EQ177" s="332" t="s">
        <v>198</v>
      </c>
      <c r="ER177" s="330"/>
      <c r="ES177" s="330"/>
      <c r="ET177" s="332" t="s">
        <v>245</v>
      </c>
      <c r="EU177" s="332" t="s">
        <v>246</v>
      </c>
      <c r="EV177" s="336">
        <v>46119</v>
      </c>
      <c r="EW177" s="336">
        <v>46121</v>
      </c>
      <c r="EX177" s="330">
        <v>3</v>
      </c>
      <c r="EY177" s="330"/>
      <c r="EZ177" s="330" t="s">
        <v>247</v>
      </c>
      <c r="FA177" s="330"/>
      <c r="FB177" s="330" t="s">
        <v>247</v>
      </c>
      <c r="FC177" s="330" t="s">
        <v>202</v>
      </c>
      <c r="FD177" s="332" t="s">
        <v>190</v>
      </c>
      <c r="FE177" s="330"/>
      <c r="FF177" s="330"/>
      <c r="FG177" s="330" t="s">
        <v>203</v>
      </c>
      <c r="FH177" s="330" t="s">
        <v>1805</v>
      </c>
      <c r="FI177" s="330" t="s">
        <v>204</v>
      </c>
      <c r="FJ177" s="330"/>
      <c r="FK177" s="330" t="s">
        <v>1189</v>
      </c>
      <c r="FL177" s="330" t="s">
        <v>353</v>
      </c>
      <c r="FM177" s="330" t="s">
        <v>191</v>
      </c>
      <c r="FN177" s="330" t="s">
        <v>1806</v>
      </c>
      <c r="FO177" s="330"/>
      <c r="FP177" s="330" t="s">
        <v>1807</v>
      </c>
      <c r="FQ177" s="330"/>
      <c r="FR177" s="330"/>
      <c r="FS177" s="330"/>
      <c r="FT177" s="330"/>
      <c r="FU177" s="330"/>
    </row>
    <row r="178" spans="1:177" ht="51" x14ac:dyDescent="0.25">
      <c r="A178" s="330">
        <v>177</v>
      </c>
      <c r="B178" s="331" t="s">
        <v>1808</v>
      </c>
      <c r="C178" s="330"/>
      <c r="D178" s="332" t="s">
        <v>1778</v>
      </c>
      <c r="E178" s="332" t="s">
        <v>1779</v>
      </c>
      <c r="F178" s="332" t="s">
        <v>1780</v>
      </c>
      <c r="G178" s="330"/>
      <c r="H178" s="331">
        <v>400</v>
      </c>
      <c r="I178" s="330"/>
      <c r="J178" s="332"/>
      <c r="K178" s="332" t="s">
        <v>1809</v>
      </c>
      <c r="L178" s="330" t="s">
        <v>284</v>
      </c>
      <c r="M178" s="332" t="s">
        <v>1810</v>
      </c>
      <c r="N178" s="330" t="s">
        <v>1811</v>
      </c>
      <c r="O178" s="339">
        <v>0.85081967213114795</v>
      </c>
      <c r="P178" s="333">
        <v>519</v>
      </c>
      <c r="Q178" s="333">
        <v>610</v>
      </c>
      <c r="R178" s="333">
        <v>60</v>
      </c>
      <c r="S178" s="333">
        <v>60</v>
      </c>
      <c r="T178" s="333">
        <v>12</v>
      </c>
      <c r="U178" s="333">
        <v>402</v>
      </c>
      <c r="V178" s="333">
        <v>1296</v>
      </c>
      <c r="W178" s="330" t="s">
        <v>1812</v>
      </c>
      <c r="X178" s="330" t="s">
        <v>1813</v>
      </c>
      <c r="Y178" s="332" t="s">
        <v>1814</v>
      </c>
      <c r="Z178" s="330" t="s">
        <v>215</v>
      </c>
      <c r="AA178" s="330" t="s">
        <v>1815</v>
      </c>
      <c r="AB178" s="330" t="s">
        <v>217</v>
      </c>
      <c r="AC178" s="330"/>
      <c r="AD178" s="330"/>
      <c r="AE178" s="330">
        <v>37</v>
      </c>
      <c r="AF178" s="330">
        <v>-9</v>
      </c>
      <c r="AG178" s="332" t="s">
        <v>190</v>
      </c>
      <c r="AH178" s="332" t="s">
        <v>191</v>
      </c>
      <c r="AI178" s="330"/>
      <c r="AJ178" s="330" t="s">
        <v>810</v>
      </c>
      <c r="AK178" s="330"/>
      <c r="AL178" s="330" t="s">
        <v>810</v>
      </c>
      <c r="AM178" s="330" t="s">
        <v>191</v>
      </c>
      <c r="AN178" s="330" t="s">
        <v>810</v>
      </c>
      <c r="AO178" s="330"/>
      <c r="AP178" s="332" t="s">
        <v>259</v>
      </c>
      <c r="AQ178" s="330"/>
      <c r="AR178" s="330"/>
      <c r="AS178" s="330" t="b">
        <v>1</v>
      </c>
      <c r="AT178" s="330"/>
      <c r="AU178" s="332" t="s">
        <v>810</v>
      </c>
      <c r="AV178" s="334">
        <v>46078.666493935183</v>
      </c>
      <c r="AW178" s="330"/>
      <c r="AX178" s="335">
        <v>46099</v>
      </c>
      <c r="AY178" s="336">
        <v>46094</v>
      </c>
      <c r="AZ178" s="330"/>
      <c r="BA178" s="336">
        <v>46118</v>
      </c>
      <c r="BB178" s="330"/>
      <c r="BC178" s="336">
        <v>46120</v>
      </c>
      <c r="BD178" s="330"/>
      <c r="BE178" s="336">
        <v>46120</v>
      </c>
      <c r="BF178" s="330"/>
      <c r="BG178" s="330"/>
      <c r="BH178" s="330" t="s">
        <v>193</v>
      </c>
      <c r="BI178" s="330">
        <v>173</v>
      </c>
      <c r="BJ178" s="330"/>
      <c r="BK178" s="330"/>
      <c r="BL178" s="330"/>
      <c r="BM178" s="332"/>
      <c r="BN178" s="330"/>
      <c r="BO178" s="330" t="s">
        <v>1816</v>
      </c>
      <c r="BP178" s="330" t="s">
        <v>193</v>
      </c>
      <c r="BQ178" s="330" t="s">
        <v>218</v>
      </c>
      <c r="BR178" s="330" t="s">
        <v>220</v>
      </c>
      <c r="BS178" s="330"/>
      <c r="BT178" s="330" t="s">
        <v>220</v>
      </c>
      <c r="BU178" s="330"/>
      <c r="BV178" s="330" t="s">
        <v>193</v>
      </c>
      <c r="BW178" s="330" t="s">
        <v>1817</v>
      </c>
      <c r="BX178" s="332"/>
      <c r="BY178" s="330"/>
      <c r="BZ178" s="330"/>
      <c r="CA178" s="330"/>
      <c r="CB178" s="330"/>
      <c r="CC178" s="337" t="s">
        <v>194</v>
      </c>
      <c r="CD178" s="330" t="b">
        <v>1</v>
      </c>
      <c r="CE178" s="330" t="b">
        <v>1</v>
      </c>
      <c r="CF178" s="330" t="b">
        <v>1</v>
      </c>
      <c r="CG178" s="330" t="s">
        <v>242</v>
      </c>
      <c r="CH178" s="330"/>
      <c r="CI178" s="330"/>
      <c r="CJ178" s="330"/>
      <c r="CK178" s="330"/>
      <c r="CL178" s="330"/>
      <c r="CM178" s="330"/>
      <c r="CN178" s="330"/>
      <c r="CO178" s="330"/>
      <c r="CP178" s="330"/>
      <c r="CQ178" s="330"/>
      <c r="CR178" s="330"/>
      <c r="CS178" s="330"/>
      <c r="CT178" s="330"/>
      <c r="CU178" s="330"/>
      <c r="CV178" s="330"/>
      <c r="CW178" s="330"/>
      <c r="CX178" s="330"/>
      <c r="CY178" s="330"/>
      <c r="CZ178" s="330"/>
      <c r="DA178" s="330"/>
      <c r="DB178" s="330" t="b">
        <v>1</v>
      </c>
      <c r="DC178" s="330" t="b">
        <v>1</v>
      </c>
      <c r="DD178" s="330"/>
      <c r="DE178" s="330"/>
      <c r="DF178" s="338">
        <v>25022</v>
      </c>
      <c r="DG178" s="330" t="s">
        <v>221</v>
      </c>
      <c r="DH178" s="330"/>
      <c r="DI178" s="338" t="s">
        <v>1366</v>
      </c>
      <c r="DJ178" s="330"/>
      <c r="DK178" s="330">
        <v>8</v>
      </c>
      <c r="DL178" s="330" t="s">
        <v>1791</v>
      </c>
      <c r="DM178" s="330"/>
      <c r="DN178" s="330"/>
      <c r="DO178" s="330"/>
      <c r="DP178" s="330"/>
      <c r="DQ178" s="338" t="s">
        <v>197</v>
      </c>
      <c r="DR178" s="330"/>
      <c r="DS178" s="330"/>
      <c r="DT178" s="330"/>
      <c r="DU178" s="338" t="s">
        <v>197</v>
      </c>
      <c r="DV178" s="330"/>
      <c r="DW178" s="330"/>
      <c r="DX178" s="330"/>
      <c r="DY178" s="338" t="s">
        <v>197</v>
      </c>
      <c r="DZ178" s="330"/>
      <c r="EA178" s="330"/>
      <c r="EB178" s="330"/>
      <c r="EC178" s="330" t="s">
        <v>197</v>
      </c>
      <c r="ED178" s="338" t="s">
        <v>197</v>
      </c>
      <c r="EE178" s="330">
        <v>8</v>
      </c>
      <c r="EF178" s="330">
        <v>8</v>
      </c>
      <c r="EG178" s="330"/>
      <c r="EH178" s="330"/>
      <c r="EI178" s="330"/>
      <c r="EJ178" s="330"/>
      <c r="EK178" s="330"/>
      <c r="EL178" s="330"/>
      <c r="EM178" s="330"/>
      <c r="EN178" s="330"/>
      <c r="EO178" s="330"/>
      <c r="EP178" s="330"/>
      <c r="EQ178" s="332" t="s">
        <v>198</v>
      </c>
      <c r="ER178" s="330"/>
      <c r="ES178" s="330"/>
      <c r="ET178" s="332" t="s">
        <v>245</v>
      </c>
      <c r="EU178" s="332" t="s">
        <v>246</v>
      </c>
      <c r="EV178" s="336">
        <v>46094</v>
      </c>
      <c r="EW178" s="336">
        <v>46094</v>
      </c>
      <c r="EX178" s="330">
        <v>1</v>
      </c>
      <c r="EY178" s="330"/>
      <c r="EZ178" s="330" t="s">
        <v>201</v>
      </c>
      <c r="FA178" s="336">
        <v>46108</v>
      </c>
      <c r="FB178" s="330">
        <v>1</v>
      </c>
      <c r="FC178" s="330" t="s">
        <v>202</v>
      </c>
      <c r="FD178" s="332" t="s">
        <v>190</v>
      </c>
      <c r="FE178" s="336">
        <v>46108</v>
      </c>
      <c r="FF178" s="330"/>
      <c r="FG178" s="330" t="s">
        <v>203</v>
      </c>
      <c r="FH178" s="330" t="s">
        <v>1818</v>
      </c>
      <c r="FI178" s="330" t="s">
        <v>204</v>
      </c>
      <c r="FJ178" s="330"/>
      <c r="FK178" s="330" t="s">
        <v>1780</v>
      </c>
      <c r="FL178" s="330" t="s">
        <v>810</v>
      </c>
      <c r="FM178" s="330" t="s">
        <v>191</v>
      </c>
      <c r="FN178" s="330" t="s">
        <v>1819</v>
      </c>
      <c r="FO178" s="330"/>
      <c r="FP178" s="330" t="s">
        <v>1794</v>
      </c>
      <c r="FQ178" s="330"/>
      <c r="FR178" s="330"/>
      <c r="FS178" s="330"/>
      <c r="FT178" s="330"/>
      <c r="FU178" s="330"/>
    </row>
    <row r="179" spans="1:177" ht="51" x14ac:dyDescent="0.25">
      <c r="A179" s="330">
        <v>178</v>
      </c>
      <c r="B179" s="331" t="s">
        <v>1820</v>
      </c>
      <c r="C179" s="330"/>
      <c r="D179" s="332" t="s">
        <v>1821</v>
      </c>
      <c r="E179" s="332" t="s">
        <v>1822</v>
      </c>
      <c r="F179" s="332" t="s">
        <v>610</v>
      </c>
      <c r="G179" s="330" t="s">
        <v>611</v>
      </c>
      <c r="H179" s="331" t="s">
        <v>1823</v>
      </c>
      <c r="I179" s="330"/>
      <c r="J179" s="332" t="s">
        <v>1824</v>
      </c>
      <c r="K179" s="332" t="s">
        <v>1825</v>
      </c>
      <c r="L179" s="330" t="s">
        <v>1647</v>
      </c>
      <c r="M179" s="332" t="s">
        <v>1826</v>
      </c>
      <c r="N179" s="330" t="s">
        <v>1827</v>
      </c>
      <c r="O179" s="333" t="s">
        <v>736</v>
      </c>
      <c r="P179" s="333">
        <v>1158</v>
      </c>
      <c r="Q179" s="333">
        <v>0</v>
      </c>
      <c r="R179" s="333">
        <v>1</v>
      </c>
      <c r="S179" s="333">
        <v>1</v>
      </c>
      <c r="T179" s="333">
        <v>1</v>
      </c>
      <c r="U179" s="333">
        <v>0</v>
      </c>
      <c r="V179" s="333">
        <v>0</v>
      </c>
      <c r="W179" s="330">
        <v>1</v>
      </c>
      <c r="X179" s="330" t="s">
        <v>1828</v>
      </c>
      <c r="Y179" s="332" t="s">
        <v>1829</v>
      </c>
      <c r="Z179" s="330" t="s">
        <v>739</v>
      </c>
      <c r="AA179" s="330" t="s">
        <v>1830</v>
      </c>
      <c r="AB179" s="330" t="s">
        <v>189</v>
      </c>
      <c r="AC179" s="330"/>
      <c r="AD179" s="330"/>
      <c r="AE179" s="330">
        <v>12</v>
      </c>
      <c r="AF179" s="330">
        <v>-16</v>
      </c>
      <c r="AG179" s="332" t="s">
        <v>190</v>
      </c>
      <c r="AH179" s="332" t="s">
        <v>202</v>
      </c>
      <c r="AI179" s="330"/>
      <c r="AJ179" s="330"/>
      <c r="AK179" s="330"/>
      <c r="AL179" s="330" t="s">
        <v>741</v>
      </c>
      <c r="AM179" s="330"/>
      <c r="AN179" s="330"/>
      <c r="AO179" s="330"/>
      <c r="AP179" s="332"/>
      <c r="AQ179" s="330"/>
      <c r="AR179" s="330" t="s">
        <v>334</v>
      </c>
      <c r="AS179" s="330" t="b">
        <v>1</v>
      </c>
      <c r="AT179" s="330"/>
      <c r="AU179" s="332" t="s">
        <v>741</v>
      </c>
      <c r="AV179" s="334">
        <v>46083.32382946759</v>
      </c>
      <c r="AW179" s="330"/>
      <c r="AX179" s="335">
        <v>46090</v>
      </c>
      <c r="AY179" s="336">
        <v>46083</v>
      </c>
      <c r="AZ179" s="330"/>
      <c r="BA179" s="336">
        <v>46107</v>
      </c>
      <c r="BB179" s="336">
        <v>46101</v>
      </c>
      <c r="BC179" s="336">
        <v>46111</v>
      </c>
      <c r="BD179" s="330"/>
      <c r="BE179" s="330"/>
      <c r="BF179" s="330"/>
      <c r="BG179" s="336">
        <v>46097</v>
      </c>
      <c r="BH179" s="330" t="s">
        <v>193</v>
      </c>
      <c r="BI179" s="330">
        <v>42</v>
      </c>
      <c r="BJ179" s="330"/>
      <c r="BK179" s="330" t="b">
        <v>1</v>
      </c>
      <c r="BL179" s="330" t="s">
        <v>1065</v>
      </c>
      <c r="BM179" s="332" t="s">
        <v>1831</v>
      </c>
      <c r="BN179" s="330" t="s">
        <v>1067</v>
      </c>
      <c r="BO179" s="330" t="s">
        <v>184</v>
      </c>
      <c r="BP179" s="330" t="s">
        <v>184</v>
      </c>
      <c r="BQ179" s="330" t="s">
        <v>218</v>
      </c>
      <c r="BR179" s="330" t="s">
        <v>220</v>
      </c>
      <c r="BS179" s="330"/>
      <c r="BT179" s="330" t="s">
        <v>220</v>
      </c>
      <c r="BU179" s="330"/>
      <c r="BV179" s="330" t="s">
        <v>220</v>
      </c>
      <c r="BW179" s="330"/>
      <c r="BX179" s="332" t="s">
        <v>1832</v>
      </c>
      <c r="BY179" s="330" t="s">
        <v>1833</v>
      </c>
      <c r="BZ179" s="330"/>
      <c r="CA179" s="330" t="s">
        <v>1834</v>
      </c>
      <c r="CB179" s="330"/>
      <c r="CC179" s="337" t="s">
        <v>744</v>
      </c>
      <c r="CD179" s="330"/>
      <c r="CE179" s="330"/>
      <c r="CF179" s="330"/>
      <c r="CG179" s="330"/>
      <c r="CH179" s="330"/>
      <c r="CI179" s="330"/>
      <c r="CJ179" s="330"/>
      <c r="CK179" s="330"/>
      <c r="CL179" s="330" t="b">
        <v>1</v>
      </c>
      <c r="CM179" s="330" t="s">
        <v>745</v>
      </c>
      <c r="CN179" s="330"/>
      <c r="CO179" s="330"/>
      <c r="CP179" s="330"/>
      <c r="CQ179" s="330"/>
      <c r="CR179" s="330"/>
      <c r="CS179" s="330"/>
      <c r="CT179" s="330"/>
      <c r="CU179" s="330" t="b">
        <v>1</v>
      </c>
      <c r="CV179" s="330"/>
      <c r="CW179" s="330"/>
      <c r="CX179" s="330"/>
      <c r="CY179" s="330"/>
      <c r="CZ179" s="330"/>
      <c r="DA179" s="330"/>
      <c r="DB179" s="330"/>
      <c r="DC179" s="330"/>
      <c r="DD179" s="330"/>
      <c r="DE179" s="330"/>
      <c r="DF179" s="338">
        <v>24069</v>
      </c>
      <c r="DG179" s="330" t="s">
        <v>1019</v>
      </c>
      <c r="DH179" s="330"/>
      <c r="DI179" s="338" t="s">
        <v>754</v>
      </c>
      <c r="DJ179" s="330"/>
      <c r="DK179" s="330">
        <v>4</v>
      </c>
      <c r="DL179" s="330" t="s">
        <v>1835</v>
      </c>
      <c r="DM179" s="330"/>
      <c r="DN179" s="330"/>
      <c r="DO179" s="330"/>
      <c r="DP179" s="330"/>
      <c r="DQ179" s="338" t="s">
        <v>197</v>
      </c>
      <c r="DR179" s="330"/>
      <c r="DS179" s="330"/>
      <c r="DT179" s="330"/>
      <c r="DU179" s="338" t="s">
        <v>197</v>
      </c>
      <c r="DV179" s="330"/>
      <c r="DW179" s="330"/>
      <c r="DX179" s="330"/>
      <c r="DY179" s="338" t="s">
        <v>197</v>
      </c>
      <c r="DZ179" s="330"/>
      <c r="EA179" s="330"/>
      <c r="EB179" s="330"/>
      <c r="EC179" s="330" t="s">
        <v>197</v>
      </c>
      <c r="ED179" s="338" t="s">
        <v>197</v>
      </c>
      <c r="EE179" s="330">
        <v>1</v>
      </c>
      <c r="EF179" s="330">
        <v>4</v>
      </c>
      <c r="EG179" s="330"/>
      <c r="EH179" s="330"/>
      <c r="EI179" s="330"/>
      <c r="EJ179" s="330"/>
      <c r="EK179" s="330"/>
      <c r="EL179" s="330"/>
      <c r="EM179" s="330"/>
      <c r="EN179" s="330"/>
      <c r="EO179" s="330"/>
      <c r="EP179" s="330"/>
      <c r="EQ179" s="332" t="s">
        <v>198</v>
      </c>
      <c r="ER179" s="330"/>
      <c r="ES179" s="330"/>
      <c r="ET179" s="332" t="s">
        <v>89</v>
      </c>
      <c r="EU179" s="332" t="s">
        <v>1107</v>
      </c>
      <c r="EV179" s="336">
        <v>46083</v>
      </c>
      <c r="EW179" s="336">
        <v>46083</v>
      </c>
      <c r="EX179" s="330">
        <v>1</v>
      </c>
      <c r="EY179" s="330"/>
      <c r="EZ179" s="330" t="s">
        <v>201</v>
      </c>
      <c r="FA179" s="336">
        <v>46091</v>
      </c>
      <c r="FB179" s="330">
        <v>4</v>
      </c>
      <c r="FC179" s="330" t="s">
        <v>202</v>
      </c>
      <c r="FD179" s="332" t="s">
        <v>190</v>
      </c>
      <c r="FE179" s="336">
        <v>46094</v>
      </c>
      <c r="FF179" s="330"/>
      <c r="FG179" s="330" t="s">
        <v>203</v>
      </c>
      <c r="FH179" s="330" t="s">
        <v>1836</v>
      </c>
      <c r="FI179" s="330" t="s">
        <v>204</v>
      </c>
      <c r="FJ179" s="330"/>
      <c r="FK179" s="330" t="s">
        <v>610</v>
      </c>
      <c r="FL179" s="330" t="s">
        <v>741</v>
      </c>
      <c r="FM179" s="330"/>
      <c r="FN179" s="330" t="s">
        <v>1837</v>
      </c>
      <c r="FO179" s="330" t="b">
        <v>1</v>
      </c>
      <c r="FP179" s="330" t="s">
        <v>1689</v>
      </c>
      <c r="FQ179" s="330"/>
      <c r="FR179" s="330"/>
      <c r="FS179" s="330"/>
      <c r="FT179" s="330"/>
      <c r="FU179" s="330"/>
    </row>
    <row r="180" spans="1:177" ht="25.5" x14ac:dyDescent="0.25">
      <c r="A180" s="330">
        <v>179</v>
      </c>
      <c r="B180" s="331" t="s">
        <v>1838</v>
      </c>
      <c r="C180" s="330"/>
      <c r="D180" s="332" t="s">
        <v>1111</v>
      </c>
      <c r="E180" s="332" t="s">
        <v>1112</v>
      </c>
      <c r="F180" s="332" t="s">
        <v>795</v>
      </c>
      <c r="G180" s="330" t="s">
        <v>796</v>
      </c>
      <c r="H180" s="331"/>
      <c r="I180" s="330"/>
      <c r="J180" s="332" t="s">
        <v>1839</v>
      </c>
      <c r="K180" s="332" t="s">
        <v>1840</v>
      </c>
      <c r="L180" s="330" t="s">
        <v>857</v>
      </c>
      <c r="M180" s="332"/>
      <c r="N180" s="330" t="s">
        <v>1841</v>
      </c>
      <c r="O180" s="333" t="s">
        <v>184</v>
      </c>
      <c r="P180" s="333" t="s">
        <v>184</v>
      </c>
      <c r="Q180" s="333" t="s">
        <v>184</v>
      </c>
      <c r="R180" s="333">
        <v>0</v>
      </c>
      <c r="S180" s="333">
        <v>4</v>
      </c>
      <c r="T180" s="333">
        <v>1</v>
      </c>
      <c r="U180" s="333">
        <v>0</v>
      </c>
      <c r="V180" s="333">
        <v>0</v>
      </c>
      <c r="W180" s="330" t="s">
        <v>1842</v>
      </c>
      <c r="X180" s="330" t="s">
        <v>213</v>
      </c>
      <c r="Y180" s="332" t="s">
        <v>1843</v>
      </c>
      <c r="Z180" s="330" t="s">
        <v>739</v>
      </c>
      <c r="AA180" s="330" t="s">
        <v>1844</v>
      </c>
      <c r="AB180" s="330" t="s">
        <v>189</v>
      </c>
      <c r="AC180" s="330"/>
      <c r="AD180" s="330"/>
      <c r="AE180" s="330">
        <v>34</v>
      </c>
      <c r="AF180" s="330">
        <v>-29</v>
      </c>
      <c r="AG180" s="332" t="s">
        <v>190</v>
      </c>
      <c r="AH180" s="332" t="s">
        <v>191</v>
      </c>
      <c r="AI180" s="330"/>
      <c r="AJ180" s="330"/>
      <c r="AK180" s="330"/>
      <c r="AL180" s="330" t="s">
        <v>191</v>
      </c>
      <c r="AM180" s="330"/>
      <c r="AN180" s="330"/>
      <c r="AO180" s="330"/>
      <c r="AP180" s="332"/>
      <c r="AQ180" s="330"/>
      <c r="AR180" s="330"/>
      <c r="AS180" s="330"/>
      <c r="AT180" s="330"/>
      <c r="AU180" s="332" t="s">
        <v>191</v>
      </c>
      <c r="AV180" s="334">
        <v>46083.52386144676</v>
      </c>
      <c r="AW180" s="330" t="b">
        <v>1</v>
      </c>
      <c r="AX180" s="335">
        <v>46091</v>
      </c>
      <c r="AY180" s="336">
        <v>46084</v>
      </c>
      <c r="AZ180" s="330" t="b">
        <v>1</v>
      </c>
      <c r="BA180" s="336">
        <v>46090</v>
      </c>
      <c r="BB180" s="330"/>
      <c r="BC180" s="336">
        <v>46087</v>
      </c>
      <c r="BD180" s="330"/>
      <c r="BE180" s="330"/>
      <c r="BF180" s="330"/>
      <c r="BG180" s="330"/>
      <c r="BH180" s="330" t="s">
        <v>193</v>
      </c>
      <c r="BI180" s="330">
        <v>22</v>
      </c>
      <c r="BJ180" s="330"/>
      <c r="BK180" s="330"/>
      <c r="BL180" s="330"/>
      <c r="BM180" s="332"/>
      <c r="BN180" s="330"/>
      <c r="BO180" s="330"/>
      <c r="BP180" s="330"/>
      <c r="BQ180" s="330"/>
      <c r="BR180" s="330"/>
      <c r="BS180" s="330"/>
      <c r="BT180" s="330"/>
      <c r="BU180" s="330"/>
      <c r="BV180" s="330"/>
      <c r="BW180" s="330"/>
      <c r="BX180" s="332"/>
      <c r="BY180" s="330"/>
      <c r="BZ180" s="330"/>
      <c r="CA180" s="330"/>
      <c r="CB180" s="330"/>
      <c r="CC180" s="337" t="s">
        <v>194</v>
      </c>
      <c r="CD180" s="330"/>
      <c r="CE180" s="330" t="b">
        <v>1</v>
      </c>
      <c r="CF180" s="330"/>
      <c r="CG180" s="330"/>
      <c r="CH180" s="330"/>
      <c r="CI180" s="330"/>
      <c r="CJ180" s="330"/>
      <c r="CK180" s="330"/>
      <c r="CL180" s="330"/>
      <c r="CM180" s="330"/>
      <c r="CN180" s="330"/>
      <c r="CO180" s="330" t="b">
        <v>1</v>
      </c>
      <c r="CP180" s="330" t="b">
        <v>1</v>
      </c>
      <c r="CQ180" s="330"/>
      <c r="CR180" s="330"/>
      <c r="CS180" s="330"/>
      <c r="CT180" s="330"/>
      <c r="CU180" s="330"/>
      <c r="CV180" s="330"/>
      <c r="CW180" s="330"/>
      <c r="CX180" s="330"/>
      <c r="CY180" s="330"/>
      <c r="CZ180" s="330"/>
      <c r="DA180" s="330"/>
      <c r="DB180" s="330"/>
      <c r="DC180" s="330"/>
      <c r="DD180" s="330"/>
      <c r="DE180" s="330"/>
      <c r="DF180" s="338">
        <v>23028</v>
      </c>
      <c r="DG180" s="330" t="s">
        <v>764</v>
      </c>
      <c r="DH180" s="330"/>
      <c r="DI180" s="338">
        <v>205</v>
      </c>
      <c r="DJ180" s="330"/>
      <c r="DK180" s="330">
        <v>205</v>
      </c>
      <c r="DL180" s="330" t="s">
        <v>1838</v>
      </c>
      <c r="DM180" s="330"/>
      <c r="DN180" s="330"/>
      <c r="DO180" s="330"/>
      <c r="DP180" s="330"/>
      <c r="DQ180" s="338" t="s">
        <v>197</v>
      </c>
      <c r="DR180" s="330"/>
      <c r="DS180" s="330"/>
      <c r="DT180" s="330"/>
      <c r="DU180" s="338" t="s">
        <v>197</v>
      </c>
      <c r="DV180" s="330"/>
      <c r="DW180" s="330"/>
      <c r="DX180" s="330"/>
      <c r="DY180" s="338" t="s">
        <v>197</v>
      </c>
      <c r="DZ180" s="330"/>
      <c r="EA180" s="330"/>
      <c r="EB180" s="330"/>
      <c r="EC180" s="330" t="s">
        <v>197</v>
      </c>
      <c r="ED180" s="338" t="s">
        <v>197</v>
      </c>
      <c r="EE180" s="330">
        <v>0.25</v>
      </c>
      <c r="EF180" s="330">
        <v>2</v>
      </c>
      <c r="EG180" s="330"/>
      <c r="EH180" s="330"/>
      <c r="EI180" s="330"/>
      <c r="EJ180" s="330"/>
      <c r="EK180" s="330"/>
      <c r="EL180" s="330"/>
      <c r="EM180" s="330"/>
      <c r="EN180" s="330"/>
      <c r="EO180" s="330"/>
      <c r="EP180" s="330"/>
      <c r="EQ180" s="332"/>
      <c r="ER180" s="330"/>
      <c r="ES180" s="330"/>
      <c r="ET180" s="332"/>
      <c r="EU180" s="332" t="s">
        <v>199</v>
      </c>
      <c r="EV180" s="330"/>
      <c r="EW180" s="330"/>
      <c r="EX180" s="330" t="s">
        <v>200</v>
      </c>
      <c r="EY180" s="330"/>
      <c r="EZ180" s="330" t="s">
        <v>201</v>
      </c>
      <c r="FA180" s="336">
        <v>46084</v>
      </c>
      <c r="FB180" s="330">
        <v>5</v>
      </c>
      <c r="FC180" s="330" t="s">
        <v>202</v>
      </c>
      <c r="FD180" s="332" t="s">
        <v>190</v>
      </c>
      <c r="FE180" s="336">
        <v>46090</v>
      </c>
      <c r="FF180" s="330"/>
      <c r="FG180" s="330" t="s">
        <v>203</v>
      </c>
      <c r="FH180" s="330"/>
      <c r="FI180" s="330" t="s">
        <v>204</v>
      </c>
      <c r="FJ180" s="330"/>
      <c r="FK180" s="330" t="s">
        <v>795</v>
      </c>
      <c r="FL180" s="330" t="s">
        <v>191</v>
      </c>
      <c r="FM180" s="330"/>
      <c r="FN180" s="330" t="s">
        <v>1845</v>
      </c>
      <c r="FO180" s="330"/>
      <c r="FP180" s="330" t="s">
        <v>293</v>
      </c>
      <c r="FQ180" s="330"/>
      <c r="FR180" s="330"/>
      <c r="FS180" s="330"/>
      <c r="FT180" s="330"/>
      <c r="FU180" s="330"/>
    </row>
    <row r="181" spans="1:177" ht="63.75" x14ac:dyDescent="0.25">
      <c r="A181" s="330">
        <v>180</v>
      </c>
      <c r="B181" s="331" t="s">
        <v>1846</v>
      </c>
      <c r="C181" s="330"/>
      <c r="D181" s="332" t="s">
        <v>854</v>
      </c>
      <c r="E181" s="332" t="s">
        <v>855</v>
      </c>
      <c r="F181" s="332" t="s">
        <v>795</v>
      </c>
      <c r="G181" s="330" t="s">
        <v>796</v>
      </c>
      <c r="H181" s="331">
        <v>400</v>
      </c>
      <c r="I181" s="330"/>
      <c r="J181" s="332" t="s">
        <v>1847</v>
      </c>
      <c r="K181" s="332" t="s">
        <v>1847</v>
      </c>
      <c r="L181" s="330" t="s">
        <v>1848</v>
      </c>
      <c r="M181" s="332" t="s">
        <v>1849</v>
      </c>
      <c r="N181" s="330" t="s">
        <v>1850</v>
      </c>
      <c r="O181" s="339">
        <v>1.84905660377359</v>
      </c>
      <c r="P181" s="333">
        <v>98</v>
      </c>
      <c r="Q181" s="333">
        <v>53</v>
      </c>
      <c r="R181" s="333">
        <v>1</v>
      </c>
      <c r="S181" s="333">
        <v>3</v>
      </c>
      <c r="T181" s="333">
        <v>2</v>
      </c>
      <c r="U181" s="333">
        <v>12</v>
      </c>
      <c r="V181" s="333">
        <v>14</v>
      </c>
      <c r="W181" s="330" t="s">
        <v>722</v>
      </c>
      <c r="X181" s="330" t="s">
        <v>1851</v>
      </c>
      <c r="Y181" s="332" t="s">
        <v>1852</v>
      </c>
      <c r="Z181" s="330" t="s">
        <v>215</v>
      </c>
      <c r="AA181" s="330" t="s">
        <v>1853</v>
      </c>
      <c r="AB181" s="330" t="s">
        <v>189</v>
      </c>
      <c r="AC181" s="330"/>
      <c r="AD181" s="330"/>
      <c r="AE181" s="330">
        <v>36</v>
      </c>
      <c r="AF181" s="330">
        <v>-21</v>
      </c>
      <c r="AG181" s="332" t="s">
        <v>190</v>
      </c>
      <c r="AH181" s="332" t="s">
        <v>191</v>
      </c>
      <c r="AI181" s="330"/>
      <c r="AJ181" s="330"/>
      <c r="AK181" s="330"/>
      <c r="AL181" s="330" t="s">
        <v>471</v>
      </c>
      <c r="AM181" s="330"/>
      <c r="AN181" s="330" t="s">
        <v>471</v>
      </c>
      <c r="AO181" s="330"/>
      <c r="AP181" s="332" t="s">
        <v>259</v>
      </c>
      <c r="AQ181" s="330"/>
      <c r="AR181" s="330"/>
      <c r="AS181" s="330" t="b">
        <v>1</v>
      </c>
      <c r="AT181" s="330"/>
      <c r="AU181" s="332" t="s">
        <v>471</v>
      </c>
      <c r="AV181" s="334">
        <v>46083.664247025466</v>
      </c>
      <c r="AW181" s="330" t="b">
        <v>1</v>
      </c>
      <c r="AX181" s="335">
        <v>46104</v>
      </c>
      <c r="AY181" s="336">
        <v>46084</v>
      </c>
      <c r="AZ181" s="330" t="b">
        <v>1</v>
      </c>
      <c r="BA181" s="336">
        <v>46100</v>
      </c>
      <c r="BB181" s="330"/>
      <c r="BC181" s="336">
        <v>46097</v>
      </c>
      <c r="BD181" s="330"/>
      <c r="BE181" s="330"/>
      <c r="BF181" s="330"/>
      <c r="BG181" s="330"/>
      <c r="BH181" s="330" t="s">
        <v>220</v>
      </c>
      <c r="BI181" s="330">
        <v>3</v>
      </c>
      <c r="BJ181" s="336">
        <v>46087</v>
      </c>
      <c r="BK181" s="330"/>
      <c r="BL181" s="330"/>
      <c r="BM181" s="332"/>
      <c r="BN181" s="330"/>
      <c r="BO181" s="330" t="s">
        <v>240</v>
      </c>
      <c r="BP181" s="330" t="s">
        <v>193</v>
      </c>
      <c r="BQ181" s="330" t="s">
        <v>218</v>
      </c>
      <c r="BR181" s="330" t="s">
        <v>220</v>
      </c>
      <c r="BS181" s="330"/>
      <c r="BT181" s="330" t="s">
        <v>220</v>
      </c>
      <c r="BU181" s="330"/>
      <c r="BV181" s="330" t="s">
        <v>220</v>
      </c>
      <c r="BW181" s="330"/>
      <c r="BX181" s="332" t="s">
        <v>1854</v>
      </c>
      <c r="BY181" s="330" t="s">
        <v>1855</v>
      </c>
      <c r="BZ181" s="330"/>
      <c r="CA181" s="330"/>
      <c r="CB181" s="330"/>
      <c r="CC181" s="337" t="s">
        <v>194</v>
      </c>
      <c r="CD181" s="330"/>
      <c r="CE181" s="330" t="b">
        <v>1</v>
      </c>
      <c r="CF181" s="330" t="b">
        <v>1</v>
      </c>
      <c r="CG181" s="330" t="s">
        <v>242</v>
      </c>
      <c r="CH181" s="330"/>
      <c r="CI181" s="330"/>
      <c r="CJ181" s="330"/>
      <c r="CK181" s="330"/>
      <c r="CL181" s="330"/>
      <c r="CM181" s="330"/>
      <c r="CN181" s="330"/>
      <c r="CO181" s="330"/>
      <c r="CP181" s="330"/>
      <c r="CQ181" s="330"/>
      <c r="CR181" s="330"/>
      <c r="CS181" s="330"/>
      <c r="CT181" s="330"/>
      <c r="CU181" s="330"/>
      <c r="CV181" s="330"/>
      <c r="CW181" s="330"/>
      <c r="CX181" s="330"/>
      <c r="CY181" s="330"/>
      <c r="CZ181" s="330"/>
      <c r="DA181" s="330"/>
      <c r="DB181" s="330" t="b">
        <v>1</v>
      </c>
      <c r="DC181" s="330" t="b">
        <v>1</v>
      </c>
      <c r="DD181" s="330"/>
      <c r="DE181" s="330"/>
      <c r="DF181" s="338">
        <v>25017</v>
      </c>
      <c r="DG181" s="330" t="s">
        <v>1541</v>
      </c>
      <c r="DH181" s="330"/>
      <c r="DI181" s="338" t="s">
        <v>196</v>
      </c>
      <c r="DJ181" s="330"/>
      <c r="DK181" s="330">
        <v>1</v>
      </c>
      <c r="DL181" s="330" t="s">
        <v>1856</v>
      </c>
      <c r="DM181" s="330"/>
      <c r="DN181" s="330"/>
      <c r="DO181" s="330"/>
      <c r="DP181" s="330"/>
      <c r="DQ181" s="338" t="s">
        <v>197</v>
      </c>
      <c r="DR181" s="330"/>
      <c r="DS181" s="330"/>
      <c r="DT181" s="330"/>
      <c r="DU181" s="338" t="s">
        <v>197</v>
      </c>
      <c r="DV181" s="330"/>
      <c r="DW181" s="330"/>
      <c r="DX181" s="330"/>
      <c r="DY181" s="338" t="s">
        <v>197</v>
      </c>
      <c r="DZ181" s="330"/>
      <c r="EA181" s="330"/>
      <c r="EB181" s="330"/>
      <c r="EC181" s="330" t="s">
        <v>197</v>
      </c>
      <c r="ED181" s="338" t="s">
        <v>197</v>
      </c>
      <c r="EE181" s="330">
        <v>0.25</v>
      </c>
      <c r="EF181" s="330">
        <v>3</v>
      </c>
      <c r="EG181" s="330"/>
      <c r="EH181" s="330"/>
      <c r="EI181" s="330"/>
      <c r="EJ181" s="330"/>
      <c r="EK181" s="330"/>
      <c r="EL181" s="330"/>
      <c r="EM181" s="330"/>
      <c r="EN181" s="330"/>
      <c r="EO181" s="330"/>
      <c r="EP181" s="330"/>
      <c r="EQ181" s="332"/>
      <c r="ER181" s="330"/>
      <c r="ES181" s="330"/>
      <c r="ET181" s="332" t="s">
        <v>245</v>
      </c>
      <c r="EU181" s="332" t="s">
        <v>246</v>
      </c>
      <c r="EV181" s="336">
        <v>46084</v>
      </c>
      <c r="EW181" s="336">
        <v>46084</v>
      </c>
      <c r="EX181" s="330">
        <v>1</v>
      </c>
      <c r="EY181" s="330"/>
      <c r="EZ181" s="330" t="s">
        <v>201</v>
      </c>
      <c r="FA181" s="336">
        <v>46090</v>
      </c>
      <c r="FB181" s="330">
        <v>1</v>
      </c>
      <c r="FC181" s="330" t="s">
        <v>202</v>
      </c>
      <c r="FD181" s="332" t="s">
        <v>190</v>
      </c>
      <c r="FE181" s="336">
        <v>46090</v>
      </c>
      <c r="FF181" s="330"/>
      <c r="FG181" s="330" t="s">
        <v>203</v>
      </c>
      <c r="FH181" s="330" t="s">
        <v>631</v>
      </c>
      <c r="FI181" s="330" t="s">
        <v>204</v>
      </c>
      <c r="FJ181" s="330"/>
      <c r="FK181" s="330" t="s">
        <v>795</v>
      </c>
      <c r="FL181" s="330" t="s">
        <v>471</v>
      </c>
      <c r="FM181" s="330"/>
      <c r="FN181" s="330" t="s">
        <v>1857</v>
      </c>
      <c r="FO181" s="330"/>
      <c r="FP181" s="330" t="s">
        <v>459</v>
      </c>
      <c r="FQ181" s="330"/>
      <c r="FR181" s="330"/>
      <c r="FS181" s="330"/>
      <c r="FT181" s="330"/>
      <c r="FU181" s="330"/>
    </row>
    <row r="182" spans="1:177" ht="127.5" x14ac:dyDescent="0.25">
      <c r="A182" s="330">
        <v>181</v>
      </c>
      <c r="B182" s="331" t="s">
        <v>1858</v>
      </c>
      <c r="C182" s="330"/>
      <c r="D182" s="332" t="s">
        <v>1264</v>
      </c>
      <c r="E182" s="332" t="s">
        <v>1265</v>
      </c>
      <c r="F182" s="332" t="s">
        <v>795</v>
      </c>
      <c r="G182" s="330" t="s">
        <v>796</v>
      </c>
      <c r="H182" s="331" t="s">
        <v>731</v>
      </c>
      <c r="I182" s="330"/>
      <c r="J182" s="332" t="s">
        <v>1859</v>
      </c>
      <c r="K182" s="332" t="s">
        <v>1860</v>
      </c>
      <c r="L182" s="330" t="s">
        <v>1861</v>
      </c>
      <c r="M182" s="332"/>
      <c r="N182" s="330" t="s">
        <v>1862</v>
      </c>
      <c r="O182" s="339">
        <v>0.77439024390243905</v>
      </c>
      <c r="P182" s="333">
        <v>127</v>
      </c>
      <c r="Q182" s="333">
        <v>164</v>
      </c>
      <c r="R182" s="333">
        <v>1</v>
      </c>
      <c r="S182" s="333">
        <v>1</v>
      </c>
      <c r="T182" s="333">
        <v>1</v>
      </c>
      <c r="U182" s="333">
        <v>0</v>
      </c>
      <c r="V182" s="333">
        <v>0</v>
      </c>
      <c r="W182" s="330">
        <v>1</v>
      </c>
      <c r="X182" s="330" t="s">
        <v>1863</v>
      </c>
      <c r="Y182" s="332" t="s">
        <v>1864</v>
      </c>
      <c r="Z182" s="330" t="s">
        <v>739</v>
      </c>
      <c r="AA182" s="330" t="s">
        <v>1865</v>
      </c>
      <c r="AB182" s="330" t="s">
        <v>189</v>
      </c>
      <c r="AC182" s="330"/>
      <c r="AD182" s="330"/>
      <c r="AE182" s="330">
        <v>3</v>
      </c>
      <c r="AF182" s="330">
        <v>-20</v>
      </c>
      <c r="AG182" s="332" t="s">
        <v>1664</v>
      </c>
      <c r="AH182" s="332" t="s">
        <v>202</v>
      </c>
      <c r="AI182" s="330" t="s">
        <v>202</v>
      </c>
      <c r="AJ182" s="330"/>
      <c r="AK182" s="330"/>
      <c r="AL182" s="330" t="s">
        <v>742</v>
      </c>
      <c r="AM182" s="330" t="s">
        <v>202</v>
      </c>
      <c r="AN182" s="330" t="s">
        <v>742</v>
      </c>
      <c r="AO182" s="330"/>
      <c r="AP182" s="332"/>
      <c r="AQ182" s="330" t="s">
        <v>334</v>
      </c>
      <c r="AR182" s="330"/>
      <c r="AS182" s="330" t="b">
        <v>1</v>
      </c>
      <c r="AT182" s="330"/>
      <c r="AU182" s="332" t="s">
        <v>742</v>
      </c>
      <c r="AV182" s="334">
        <v>46084.612017789354</v>
      </c>
      <c r="AW182" s="330" t="b">
        <v>1</v>
      </c>
      <c r="AX182" s="335">
        <v>46105</v>
      </c>
      <c r="AY182" s="336">
        <v>46085</v>
      </c>
      <c r="AZ182" s="330" t="b">
        <v>1</v>
      </c>
      <c r="BA182" s="336">
        <v>46101</v>
      </c>
      <c r="BB182" s="330"/>
      <c r="BC182" s="336">
        <v>46094</v>
      </c>
      <c r="BD182" s="330"/>
      <c r="BE182" s="330"/>
      <c r="BF182" s="330"/>
      <c r="BG182" s="330"/>
      <c r="BH182" s="330" t="s">
        <v>193</v>
      </c>
      <c r="BI182" s="330"/>
      <c r="BJ182" s="330"/>
      <c r="BK182" s="330"/>
      <c r="BL182" s="330"/>
      <c r="BM182" s="332"/>
      <c r="BN182" s="330"/>
      <c r="BO182" s="330" t="s">
        <v>184</v>
      </c>
      <c r="BP182" s="330" t="s">
        <v>184</v>
      </c>
      <c r="BQ182" s="330" t="s">
        <v>801</v>
      </c>
      <c r="BR182" s="330" t="s">
        <v>220</v>
      </c>
      <c r="BS182" s="330"/>
      <c r="BT182" s="330" t="s">
        <v>193</v>
      </c>
      <c r="BU182" s="330" t="s">
        <v>1866</v>
      </c>
      <c r="BV182" s="330" t="s">
        <v>220</v>
      </c>
      <c r="BW182" s="330"/>
      <c r="BX182" s="332"/>
      <c r="BY182" s="330"/>
      <c r="BZ182" s="330"/>
      <c r="CA182" s="330"/>
      <c r="CB182" s="330"/>
      <c r="CC182" s="337" t="s">
        <v>776</v>
      </c>
      <c r="CD182" s="330"/>
      <c r="CE182" s="330" t="b">
        <v>1</v>
      </c>
      <c r="CF182" s="330"/>
      <c r="CG182" s="330"/>
      <c r="CH182" s="330"/>
      <c r="CI182" s="330" t="b">
        <v>1</v>
      </c>
      <c r="CJ182" s="330"/>
      <c r="CK182" s="330" t="s">
        <v>776</v>
      </c>
      <c r="CL182" s="330"/>
      <c r="CM182" s="330"/>
      <c r="CN182" s="330"/>
      <c r="CO182" s="330"/>
      <c r="CP182" s="330"/>
      <c r="CQ182" s="330"/>
      <c r="CR182" s="330"/>
      <c r="CS182" s="330"/>
      <c r="CT182" s="330"/>
      <c r="CU182" s="330"/>
      <c r="CV182" s="330"/>
      <c r="CW182" s="330"/>
      <c r="CX182" s="330"/>
      <c r="CY182" s="330"/>
      <c r="CZ182" s="330"/>
      <c r="DA182" s="330"/>
      <c r="DB182" s="330"/>
      <c r="DC182" s="330"/>
      <c r="DD182" s="330"/>
      <c r="DE182" s="330"/>
      <c r="DF182" s="338">
        <v>25029</v>
      </c>
      <c r="DG182" s="330" t="s">
        <v>821</v>
      </c>
      <c r="DH182" s="330"/>
      <c r="DI182" s="338" t="s">
        <v>638</v>
      </c>
      <c r="DJ182" s="330"/>
      <c r="DK182" s="330">
        <v>2</v>
      </c>
      <c r="DL182" s="330" t="s">
        <v>1867</v>
      </c>
      <c r="DM182" s="330"/>
      <c r="DN182" s="330"/>
      <c r="DO182" s="330"/>
      <c r="DP182" s="330"/>
      <c r="DQ182" s="338" t="s">
        <v>197</v>
      </c>
      <c r="DR182" s="330"/>
      <c r="DS182" s="330"/>
      <c r="DT182" s="330"/>
      <c r="DU182" s="338" t="s">
        <v>197</v>
      </c>
      <c r="DV182" s="330"/>
      <c r="DW182" s="330"/>
      <c r="DX182" s="330"/>
      <c r="DY182" s="338" t="s">
        <v>197</v>
      </c>
      <c r="DZ182" s="330"/>
      <c r="EA182" s="330"/>
      <c r="EB182" s="330"/>
      <c r="EC182" s="330" t="s">
        <v>197</v>
      </c>
      <c r="ED182" s="338" t="s">
        <v>197</v>
      </c>
      <c r="EE182" s="330">
        <v>1</v>
      </c>
      <c r="EF182" s="330">
        <v>2</v>
      </c>
      <c r="EG182" s="330"/>
      <c r="EH182" s="330"/>
      <c r="EI182" s="330"/>
      <c r="EJ182" s="330"/>
      <c r="EK182" s="330"/>
      <c r="EL182" s="330"/>
      <c r="EM182" s="330"/>
      <c r="EN182" s="330"/>
      <c r="EO182" s="330"/>
      <c r="EP182" s="330"/>
      <c r="EQ182" s="332" t="s">
        <v>244</v>
      </c>
      <c r="ER182" s="330"/>
      <c r="ES182" s="330"/>
      <c r="ET182" s="332" t="s">
        <v>86</v>
      </c>
      <c r="EU182" s="332" t="s">
        <v>776</v>
      </c>
      <c r="EV182" s="336">
        <v>46085</v>
      </c>
      <c r="EW182" s="336">
        <v>46085</v>
      </c>
      <c r="EX182" s="330">
        <v>1</v>
      </c>
      <c r="EY182" s="330"/>
      <c r="EZ182" s="330" t="s">
        <v>247</v>
      </c>
      <c r="FA182" s="330"/>
      <c r="FB182" s="330" t="s">
        <v>247</v>
      </c>
      <c r="FC182" s="330" t="s">
        <v>202</v>
      </c>
      <c r="FD182" s="332" t="s">
        <v>190</v>
      </c>
      <c r="FE182" s="330"/>
      <c r="FF182" s="330"/>
      <c r="FG182" s="330" t="s">
        <v>203</v>
      </c>
      <c r="FH182" s="330" t="s">
        <v>1868</v>
      </c>
      <c r="FI182" s="330" t="s">
        <v>204</v>
      </c>
      <c r="FJ182" s="330"/>
      <c r="FK182" s="330" t="s">
        <v>795</v>
      </c>
      <c r="FL182" s="330" t="s">
        <v>742</v>
      </c>
      <c r="FM182" s="330" t="s">
        <v>202</v>
      </c>
      <c r="FN182" s="330" t="s">
        <v>1869</v>
      </c>
      <c r="FO182" s="330" t="b">
        <v>1</v>
      </c>
      <c r="FP182" s="330" t="s">
        <v>633</v>
      </c>
      <c r="FQ182" s="330"/>
      <c r="FR182" s="330"/>
      <c r="FS182" s="330"/>
      <c r="FT182" s="330"/>
      <c r="FU182" s="330"/>
    </row>
    <row r="183" spans="1:177" ht="51" x14ac:dyDescent="0.25">
      <c r="A183" s="330">
        <v>182</v>
      </c>
      <c r="B183" s="331" t="s">
        <v>1870</v>
      </c>
      <c r="C183" s="330"/>
      <c r="D183" s="332" t="s">
        <v>228</v>
      </c>
      <c r="E183" s="332" t="s">
        <v>229</v>
      </c>
      <c r="F183" s="332" t="s">
        <v>230</v>
      </c>
      <c r="G183" s="330" t="s">
        <v>231</v>
      </c>
      <c r="H183" s="331">
        <v>400</v>
      </c>
      <c r="I183" s="330"/>
      <c r="J183" s="332" t="s">
        <v>1871</v>
      </c>
      <c r="K183" s="332"/>
      <c r="L183" s="330" t="s">
        <v>284</v>
      </c>
      <c r="M183" s="332" t="s">
        <v>1872</v>
      </c>
      <c r="N183" s="330" t="s">
        <v>1873</v>
      </c>
      <c r="O183" s="339">
        <v>0.757577330288561</v>
      </c>
      <c r="P183" s="333">
        <v>14597</v>
      </c>
      <c r="Q183" s="333">
        <v>19268</v>
      </c>
      <c r="R183" s="333">
        <v>54</v>
      </c>
      <c r="S183" s="333">
        <v>54</v>
      </c>
      <c r="T183" s="333">
        <v>6</v>
      </c>
      <c r="U183" s="333">
        <v>292</v>
      </c>
      <c r="V183" s="333">
        <v>300</v>
      </c>
      <c r="W183" s="330" t="s">
        <v>1874</v>
      </c>
      <c r="X183" s="330" t="s">
        <v>1875</v>
      </c>
      <c r="Y183" s="332" t="s">
        <v>351</v>
      </c>
      <c r="Z183" s="330" t="s">
        <v>215</v>
      </c>
      <c r="AA183" s="330" t="s">
        <v>352</v>
      </c>
      <c r="AB183" s="330" t="s">
        <v>189</v>
      </c>
      <c r="AC183" s="330"/>
      <c r="AD183" s="330"/>
      <c r="AE183" s="330">
        <v>4</v>
      </c>
      <c r="AF183" s="330">
        <v>6</v>
      </c>
      <c r="AG183" s="332" t="s">
        <v>315</v>
      </c>
      <c r="AH183" s="332" t="s">
        <v>191</v>
      </c>
      <c r="AI183" s="330" t="s">
        <v>192</v>
      </c>
      <c r="AJ183" s="330" t="s">
        <v>192</v>
      </c>
      <c r="AK183" s="330"/>
      <c r="AL183" s="330" t="s">
        <v>192</v>
      </c>
      <c r="AM183" s="330" t="s">
        <v>627</v>
      </c>
      <c r="AN183" s="330" t="s">
        <v>192</v>
      </c>
      <c r="AO183" s="330"/>
      <c r="AP183" s="332" t="s">
        <v>259</v>
      </c>
      <c r="AQ183" s="330"/>
      <c r="AR183" s="330"/>
      <c r="AS183" s="330" t="b">
        <v>1</v>
      </c>
      <c r="AT183" s="330"/>
      <c r="AU183" s="332" t="s">
        <v>192</v>
      </c>
      <c r="AV183" s="334">
        <v>46085.356951851849</v>
      </c>
      <c r="AW183" s="330"/>
      <c r="AX183" s="335">
        <v>46106</v>
      </c>
      <c r="AY183" s="336">
        <v>46119</v>
      </c>
      <c r="AZ183" s="330" t="b">
        <v>1</v>
      </c>
      <c r="BA183" s="336">
        <v>46135</v>
      </c>
      <c r="BB183" s="330"/>
      <c r="BC183" s="336">
        <v>46127</v>
      </c>
      <c r="BD183" s="330"/>
      <c r="BE183" s="330"/>
      <c r="BF183" s="330"/>
      <c r="BG183" s="330"/>
      <c r="BH183" s="330" t="s">
        <v>193</v>
      </c>
      <c r="BI183" s="330">
        <v>1000</v>
      </c>
      <c r="BJ183" s="330"/>
      <c r="BK183" s="330"/>
      <c r="BL183" s="330"/>
      <c r="BM183" s="332"/>
      <c r="BN183" s="330"/>
      <c r="BO183" s="330" t="s">
        <v>240</v>
      </c>
      <c r="BP183" s="330" t="s">
        <v>193</v>
      </c>
      <c r="BQ183" s="330" t="s">
        <v>218</v>
      </c>
      <c r="BR183" s="330" t="s">
        <v>220</v>
      </c>
      <c r="BS183" s="330"/>
      <c r="BT183" s="330" t="s">
        <v>220</v>
      </c>
      <c r="BU183" s="330"/>
      <c r="BV183" s="330" t="s">
        <v>220</v>
      </c>
      <c r="BW183" s="330"/>
      <c r="BX183" s="332"/>
      <c r="BY183" s="330"/>
      <c r="BZ183" s="330"/>
      <c r="CA183" s="330"/>
      <c r="CB183" s="330"/>
      <c r="CC183" s="337" t="s">
        <v>319</v>
      </c>
      <c r="CD183" s="330" t="b">
        <v>1</v>
      </c>
      <c r="CE183" s="330" t="b">
        <v>1</v>
      </c>
      <c r="CF183" s="330" t="b">
        <v>1</v>
      </c>
      <c r="CG183" s="330" t="s">
        <v>242</v>
      </c>
      <c r="CH183" s="330"/>
      <c r="CI183" s="330"/>
      <c r="CJ183" s="330"/>
      <c r="CK183" s="330"/>
      <c r="CL183" s="330"/>
      <c r="CM183" s="330"/>
      <c r="CN183" s="330"/>
      <c r="CO183" s="330"/>
      <c r="CP183" s="330"/>
      <c r="CQ183" s="330"/>
      <c r="CR183" s="330"/>
      <c r="CS183" s="330"/>
      <c r="CT183" s="330"/>
      <c r="CU183" s="330"/>
      <c r="CV183" s="330"/>
      <c r="CW183" s="330"/>
      <c r="CX183" s="330"/>
      <c r="CY183" s="330"/>
      <c r="CZ183" s="330"/>
      <c r="DA183" s="330"/>
      <c r="DB183" s="330" t="b">
        <v>1</v>
      </c>
      <c r="DC183" s="330" t="b">
        <v>1</v>
      </c>
      <c r="DD183" s="330"/>
      <c r="DE183" s="330"/>
      <c r="DF183" s="338">
        <v>24051</v>
      </c>
      <c r="DG183" s="330" t="s">
        <v>221</v>
      </c>
      <c r="DH183" s="330"/>
      <c r="DI183" s="338">
        <v>87</v>
      </c>
      <c r="DJ183" s="330"/>
      <c r="DK183" s="330">
        <v>87</v>
      </c>
      <c r="DL183" s="330" t="s">
        <v>243</v>
      </c>
      <c r="DM183" s="330"/>
      <c r="DN183" s="330"/>
      <c r="DO183" s="330"/>
      <c r="DP183" s="330"/>
      <c r="DQ183" s="338" t="s">
        <v>197</v>
      </c>
      <c r="DR183" s="330"/>
      <c r="DS183" s="330"/>
      <c r="DT183" s="330"/>
      <c r="DU183" s="338" t="s">
        <v>197</v>
      </c>
      <c r="DV183" s="330"/>
      <c r="DW183" s="330"/>
      <c r="DX183" s="330"/>
      <c r="DY183" s="338" t="s">
        <v>197</v>
      </c>
      <c r="DZ183" s="330"/>
      <c r="EA183" s="330"/>
      <c r="EB183" s="330"/>
      <c r="EC183" s="330" t="s">
        <v>197</v>
      </c>
      <c r="ED183" s="338" t="s">
        <v>197</v>
      </c>
      <c r="EE183" s="330">
        <v>8</v>
      </c>
      <c r="EF183" s="330">
        <v>16</v>
      </c>
      <c r="EG183" s="330"/>
      <c r="EH183" s="330"/>
      <c r="EI183" s="330"/>
      <c r="EJ183" s="330"/>
      <c r="EK183" s="330"/>
      <c r="EL183" s="330"/>
      <c r="EM183" s="330"/>
      <c r="EN183" s="330"/>
      <c r="EO183" s="330"/>
      <c r="EP183" s="330"/>
      <c r="EQ183" s="332" t="s">
        <v>244</v>
      </c>
      <c r="ER183" s="330"/>
      <c r="ES183" s="330"/>
      <c r="ET183" s="332" t="s">
        <v>245</v>
      </c>
      <c r="EU183" s="332" t="s">
        <v>246</v>
      </c>
      <c r="EV183" s="336">
        <v>46119</v>
      </c>
      <c r="EW183" s="336">
        <v>46119</v>
      </c>
      <c r="EX183" s="330">
        <v>1</v>
      </c>
      <c r="EY183" s="330"/>
      <c r="EZ183" s="330" t="s">
        <v>247</v>
      </c>
      <c r="FA183" s="330"/>
      <c r="FB183" s="330" t="s">
        <v>247</v>
      </c>
      <c r="FC183" s="330" t="s">
        <v>202</v>
      </c>
      <c r="FD183" s="332" t="s">
        <v>190</v>
      </c>
      <c r="FE183" s="330"/>
      <c r="FF183" s="330"/>
      <c r="FG183" s="330" t="s">
        <v>203</v>
      </c>
      <c r="FH183" s="330" t="s">
        <v>1876</v>
      </c>
      <c r="FI183" s="330" t="s">
        <v>204</v>
      </c>
      <c r="FJ183" s="330"/>
      <c r="FK183" s="330" t="s">
        <v>230</v>
      </c>
      <c r="FL183" s="330" t="s">
        <v>192</v>
      </c>
      <c r="FM183" s="330" t="s">
        <v>627</v>
      </c>
      <c r="FN183" s="330" t="s">
        <v>1877</v>
      </c>
      <c r="FO183" s="330"/>
      <c r="FP183" s="330" t="s">
        <v>639</v>
      </c>
      <c r="FQ183" s="330"/>
      <c r="FR183" s="330"/>
      <c r="FS183" s="330"/>
      <c r="FT183" s="330"/>
      <c r="FU183" s="330"/>
    </row>
    <row r="184" spans="1:177" ht="51" x14ac:dyDescent="0.25">
      <c r="A184" s="330">
        <v>183</v>
      </c>
      <c r="B184" s="331" t="s">
        <v>1878</v>
      </c>
      <c r="C184" s="330"/>
      <c r="D184" s="332" t="s">
        <v>228</v>
      </c>
      <c r="E184" s="332" t="s">
        <v>229</v>
      </c>
      <c r="F184" s="332" t="s">
        <v>230</v>
      </c>
      <c r="G184" s="330" t="s">
        <v>231</v>
      </c>
      <c r="H184" s="331">
        <v>400</v>
      </c>
      <c r="I184" s="330"/>
      <c r="J184" s="332" t="s">
        <v>1879</v>
      </c>
      <c r="K184" s="332"/>
      <c r="L184" s="330" t="s">
        <v>284</v>
      </c>
      <c r="M184" s="332" t="s">
        <v>1880</v>
      </c>
      <c r="N184" s="330" t="s">
        <v>1881</v>
      </c>
      <c r="O184" s="339">
        <v>0.76162549304546401</v>
      </c>
      <c r="P184" s="333">
        <v>14675</v>
      </c>
      <c r="Q184" s="333">
        <v>19268</v>
      </c>
      <c r="R184" s="333">
        <v>78</v>
      </c>
      <c r="S184" s="333">
        <v>78</v>
      </c>
      <c r="T184" s="333">
        <v>8</v>
      </c>
      <c r="U184" s="333">
        <v>417</v>
      </c>
      <c r="V184" s="333">
        <v>440</v>
      </c>
      <c r="W184" s="330" t="s">
        <v>1882</v>
      </c>
      <c r="X184" s="330" t="s">
        <v>1883</v>
      </c>
      <c r="Y184" s="332" t="s">
        <v>351</v>
      </c>
      <c r="Z184" s="330" t="s">
        <v>215</v>
      </c>
      <c r="AA184" s="330" t="s">
        <v>352</v>
      </c>
      <c r="AB184" s="330" t="s">
        <v>189</v>
      </c>
      <c r="AC184" s="330"/>
      <c r="AD184" s="330"/>
      <c r="AE184" s="330">
        <v>102</v>
      </c>
      <c r="AF184" s="330">
        <v>6</v>
      </c>
      <c r="AG184" s="332" t="s">
        <v>238</v>
      </c>
      <c r="AH184" s="332" t="s">
        <v>191</v>
      </c>
      <c r="AI184" s="330" t="s">
        <v>192</v>
      </c>
      <c r="AJ184" s="330" t="s">
        <v>192</v>
      </c>
      <c r="AK184" s="330"/>
      <c r="AL184" s="330" t="s">
        <v>192</v>
      </c>
      <c r="AM184" s="330" t="s">
        <v>627</v>
      </c>
      <c r="AN184" s="330" t="s">
        <v>192</v>
      </c>
      <c r="AO184" s="330"/>
      <c r="AP184" s="332" t="s">
        <v>259</v>
      </c>
      <c r="AQ184" s="330"/>
      <c r="AR184" s="330"/>
      <c r="AS184" s="330" t="b">
        <v>1</v>
      </c>
      <c r="AT184" s="330"/>
      <c r="AU184" s="332" t="s">
        <v>192</v>
      </c>
      <c r="AV184" s="334">
        <v>46085.410897256945</v>
      </c>
      <c r="AW184" s="330"/>
      <c r="AX184" s="335">
        <v>46106</v>
      </c>
      <c r="AY184" s="336">
        <v>46119</v>
      </c>
      <c r="AZ184" s="330" t="b">
        <v>1</v>
      </c>
      <c r="BA184" s="336">
        <v>46135</v>
      </c>
      <c r="BB184" s="330"/>
      <c r="BC184" s="336">
        <v>46127</v>
      </c>
      <c r="BD184" s="330"/>
      <c r="BE184" s="330"/>
      <c r="BF184" s="330"/>
      <c r="BG184" s="330"/>
      <c r="BH184" s="330" t="s">
        <v>193</v>
      </c>
      <c r="BI184" s="330">
        <v>1000</v>
      </c>
      <c r="BJ184" s="330"/>
      <c r="BK184" s="330"/>
      <c r="BL184" s="330"/>
      <c r="BM184" s="332"/>
      <c r="BN184" s="330"/>
      <c r="BO184" s="330" t="s">
        <v>240</v>
      </c>
      <c r="BP184" s="330" t="s">
        <v>193</v>
      </c>
      <c r="BQ184" s="330" t="s">
        <v>218</v>
      </c>
      <c r="BR184" s="330" t="s">
        <v>220</v>
      </c>
      <c r="BS184" s="330"/>
      <c r="BT184" s="330" t="s">
        <v>220</v>
      </c>
      <c r="BU184" s="330"/>
      <c r="BV184" s="330" t="s">
        <v>220</v>
      </c>
      <c r="BW184" s="330"/>
      <c r="BX184" s="332"/>
      <c r="BY184" s="330"/>
      <c r="BZ184" s="330"/>
      <c r="CA184" s="330"/>
      <c r="CB184" s="330"/>
      <c r="CC184" s="337" t="s">
        <v>241</v>
      </c>
      <c r="CD184" s="330" t="b">
        <v>1</v>
      </c>
      <c r="CE184" s="330" t="b">
        <v>1</v>
      </c>
      <c r="CF184" s="330" t="b">
        <v>1</v>
      </c>
      <c r="CG184" s="330" t="s">
        <v>242</v>
      </c>
      <c r="CH184" s="330"/>
      <c r="CI184" s="330"/>
      <c r="CJ184" s="330"/>
      <c r="CK184" s="330"/>
      <c r="CL184" s="330"/>
      <c r="CM184" s="330"/>
      <c r="CN184" s="330"/>
      <c r="CO184" s="330"/>
      <c r="CP184" s="330"/>
      <c r="CQ184" s="330"/>
      <c r="CR184" s="330"/>
      <c r="CS184" s="330"/>
      <c r="CT184" s="330"/>
      <c r="CU184" s="330"/>
      <c r="CV184" s="330"/>
      <c r="CW184" s="330"/>
      <c r="CX184" s="330"/>
      <c r="CY184" s="330"/>
      <c r="CZ184" s="330"/>
      <c r="DA184" s="330"/>
      <c r="DB184" s="330" t="b">
        <v>1</v>
      </c>
      <c r="DC184" s="330" t="b">
        <v>1</v>
      </c>
      <c r="DD184" s="330"/>
      <c r="DE184" s="330"/>
      <c r="DF184" s="338">
        <v>24051</v>
      </c>
      <c r="DG184" s="330" t="s">
        <v>221</v>
      </c>
      <c r="DH184" s="330"/>
      <c r="DI184" s="338">
        <v>88</v>
      </c>
      <c r="DJ184" s="330"/>
      <c r="DK184" s="330">
        <v>88</v>
      </c>
      <c r="DL184" s="330" t="s">
        <v>243</v>
      </c>
      <c r="DM184" s="330"/>
      <c r="DN184" s="330"/>
      <c r="DO184" s="330"/>
      <c r="DP184" s="330"/>
      <c r="DQ184" s="338" t="s">
        <v>197</v>
      </c>
      <c r="DR184" s="330"/>
      <c r="DS184" s="330"/>
      <c r="DT184" s="330"/>
      <c r="DU184" s="338" t="s">
        <v>197</v>
      </c>
      <c r="DV184" s="330"/>
      <c r="DW184" s="330"/>
      <c r="DX184" s="330"/>
      <c r="DY184" s="338" t="s">
        <v>197</v>
      </c>
      <c r="DZ184" s="330"/>
      <c r="EA184" s="330"/>
      <c r="EB184" s="330"/>
      <c r="EC184" s="330" t="s">
        <v>197</v>
      </c>
      <c r="ED184" s="338" t="s">
        <v>197</v>
      </c>
      <c r="EE184" s="330">
        <v>8</v>
      </c>
      <c r="EF184" s="330">
        <v>20</v>
      </c>
      <c r="EG184" s="330"/>
      <c r="EH184" s="330"/>
      <c r="EI184" s="330"/>
      <c r="EJ184" s="330"/>
      <c r="EK184" s="330"/>
      <c r="EL184" s="330"/>
      <c r="EM184" s="330"/>
      <c r="EN184" s="330"/>
      <c r="EO184" s="330"/>
      <c r="EP184" s="330"/>
      <c r="EQ184" s="332" t="s">
        <v>244</v>
      </c>
      <c r="ER184" s="330"/>
      <c r="ES184" s="330"/>
      <c r="ET184" s="332" t="s">
        <v>245</v>
      </c>
      <c r="EU184" s="332" t="s">
        <v>246</v>
      </c>
      <c r="EV184" s="336">
        <v>46119</v>
      </c>
      <c r="EW184" s="336">
        <v>46119</v>
      </c>
      <c r="EX184" s="330">
        <v>1</v>
      </c>
      <c r="EY184" s="330"/>
      <c r="EZ184" s="330" t="s">
        <v>201</v>
      </c>
      <c r="FA184" s="336">
        <v>46122</v>
      </c>
      <c r="FB184" s="330">
        <v>3</v>
      </c>
      <c r="FC184" s="330" t="s">
        <v>202</v>
      </c>
      <c r="FD184" s="332" t="s">
        <v>190</v>
      </c>
      <c r="FE184" s="336">
        <v>46126</v>
      </c>
      <c r="FF184" s="330"/>
      <c r="FG184" s="330" t="s">
        <v>203</v>
      </c>
      <c r="FH184" s="330" t="s">
        <v>1884</v>
      </c>
      <c r="FI184" s="330" t="s">
        <v>204</v>
      </c>
      <c r="FJ184" s="330"/>
      <c r="FK184" s="330" t="s">
        <v>230</v>
      </c>
      <c r="FL184" s="330" t="s">
        <v>192</v>
      </c>
      <c r="FM184" s="330" t="s">
        <v>627</v>
      </c>
      <c r="FN184" s="330" t="s">
        <v>1885</v>
      </c>
      <c r="FO184" s="330"/>
      <c r="FP184" s="330" t="s">
        <v>639</v>
      </c>
      <c r="FQ184" s="330"/>
      <c r="FR184" s="330"/>
      <c r="FS184" s="330"/>
      <c r="FT184" s="330"/>
      <c r="FU184" s="330"/>
    </row>
    <row r="185" spans="1:177" ht="51" x14ac:dyDescent="0.25">
      <c r="A185" s="330">
        <v>184</v>
      </c>
      <c r="B185" s="331" t="s">
        <v>1886</v>
      </c>
      <c r="C185" s="330"/>
      <c r="D185" s="332" t="s">
        <v>228</v>
      </c>
      <c r="E185" s="332" t="s">
        <v>229</v>
      </c>
      <c r="F185" s="332" t="s">
        <v>230</v>
      </c>
      <c r="G185" s="330" t="s">
        <v>231</v>
      </c>
      <c r="H185" s="331">
        <v>400</v>
      </c>
      <c r="I185" s="330"/>
      <c r="J185" s="332" t="s">
        <v>1887</v>
      </c>
      <c r="K185" s="332"/>
      <c r="L185" s="330" t="s">
        <v>284</v>
      </c>
      <c r="M185" s="332" t="s">
        <v>1888</v>
      </c>
      <c r="N185" s="330" t="s">
        <v>1889</v>
      </c>
      <c r="O185" s="339">
        <v>0.76702304338800098</v>
      </c>
      <c r="P185" s="333">
        <v>14779</v>
      </c>
      <c r="Q185" s="333">
        <v>19268</v>
      </c>
      <c r="R185" s="333">
        <v>40</v>
      </c>
      <c r="S185" s="333">
        <v>40</v>
      </c>
      <c r="T185" s="333">
        <v>19</v>
      </c>
      <c r="U185" s="333">
        <v>388</v>
      </c>
      <c r="V185" s="333">
        <v>300</v>
      </c>
      <c r="W185" s="330">
        <v>12</v>
      </c>
      <c r="X185" s="330" t="s">
        <v>4101</v>
      </c>
      <c r="Y185" s="332" t="s">
        <v>351</v>
      </c>
      <c r="Z185" s="330" t="s">
        <v>215</v>
      </c>
      <c r="AA185" s="330" t="s">
        <v>352</v>
      </c>
      <c r="AB185" s="330" t="s">
        <v>189</v>
      </c>
      <c r="AC185" s="330"/>
      <c r="AD185" s="330"/>
      <c r="AE185" s="330">
        <v>5</v>
      </c>
      <c r="AF185" s="330">
        <v>12</v>
      </c>
      <c r="AG185" s="332" t="s">
        <v>626</v>
      </c>
      <c r="AH185" s="332" t="s">
        <v>191</v>
      </c>
      <c r="AI185" s="330" t="s">
        <v>192</v>
      </c>
      <c r="AJ185" s="330" t="s">
        <v>192</v>
      </c>
      <c r="AK185" s="330"/>
      <c r="AL185" s="330" t="s">
        <v>192</v>
      </c>
      <c r="AM185" s="330" t="s">
        <v>627</v>
      </c>
      <c r="AN185" s="330" t="s">
        <v>192</v>
      </c>
      <c r="AO185" s="330"/>
      <c r="AP185" s="332" t="s">
        <v>259</v>
      </c>
      <c r="AQ185" s="330"/>
      <c r="AR185" s="330"/>
      <c r="AS185" s="330" t="b">
        <v>1</v>
      </c>
      <c r="AT185" s="330"/>
      <c r="AU185" s="332" t="s">
        <v>192</v>
      </c>
      <c r="AV185" s="334">
        <v>46085.484926620367</v>
      </c>
      <c r="AW185" s="330"/>
      <c r="AX185" s="335">
        <v>46106</v>
      </c>
      <c r="AY185" s="336">
        <v>46127</v>
      </c>
      <c r="AZ185" s="330" t="b">
        <v>1</v>
      </c>
      <c r="BA185" s="336">
        <v>46143</v>
      </c>
      <c r="BB185" s="330"/>
      <c r="BC185" s="336">
        <v>46127</v>
      </c>
      <c r="BD185" s="330"/>
      <c r="BE185" s="330"/>
      <c r="BF185" s="330"/>
      <c r="BG185" s="330"/>
      <c r="BH185" s="330" t="s">
        <v>193</v>
      </c>
      <c r="BI185" s="330">
        <v>1000</v>
      </c>
      <c r="BJ185" s="330"/>
      <c r="BK185" s="330"/>
      <c r="BL185" s="330"/>
      <c r="BM185" s="332"/>
      <c r="BN185" s="330"/>
      <c r="BO185" s="330" t="s">
        <v>240</v>
      </c>
      <c r="BP185" s="330" t="s">
        <v>193</v>
      </c>
      <c r="BQ185" s="330" t="s">
        <v>218</v>
      </c>
      <c r="BR185" s="330" t="s">
        <v>220</v>
      </c>
      <c r="BS185" s="330"/>
      <c r="BT185" s="330" t="s">
        <v>220</v>
      </c>
      <c r="BU185" s="330"/>
      <c r="BV185" s="330" t="s">
        <v>220</v>
      </c>
      <c r="BW185" s="330"/>
      <c r="BX185" s="332"/>
      <c r="BY185" s="330"/>
      <c r="BZ185" s="330"/>
      <c r="CA185" s="330"/>
      <c r="CB185" s="330"/>
      <c r="CC185" s="337" t="s">
        <v>820</v>
      </c>
      <c r="CD185" s="330" t="b">
        <v>1</v>
      </c>
      <c r="CE185" s="330" t="b">
        <v>1</v>
      </c>
      <c r="CF185" s="330" t="b">
        <v>1</v>
      </c>
      <c r="CG185" s="330" t="s">
        <v>242</v>
      </c>
      <c r="CH185" s="330"/>
      <c r="CI185" s="330"/>
      <c r="CJ185" s="330"/>
      <c r="CK185" s="330"/>
      <c r="CL185" s="330"/>
      <c r="CM185" s="330"/>
      <c r="CN185" s="330"/>
      <c r="CO185" s="330"/>
      <c r="CP185" s="330"/>
      <c r="CQ185" s="330"/>
      <c r="CR185" s="330"/>
      <c r="CS185" s="330"/>
      <c r="CT185" s="330"/>
      <c r="CU185" s="330"/>
      <c r="CV185" s="330"/>
      <c r="CW185" s="330"/>
      <c r="CX185" s="330"/>
      <c r="CY185" s="330"/>
      <c r="CZ185" s="330"/>
      <c r="DA185" s="330"/>
      <c r="DB185" s="330" t="b">
        <v>1</v>
      </c>
      <c r="DC185" s="330" t="b">
        <v>1</v>
      </c>
      <c r="DD185" s="330"/>
      <c r="DE185" s="330"/>
      <c r="DF185" s="338">
        <v>24051</v>
      </c>
      <c r="DG185" s="330" t="s">
        <v>221</v>
      </c>
      <c r="DH185" s="330"/>
      <c r="DI185" s="338">
        <v>89</v>
      </c>
      <c r="DJ185" s="330"/>
      <c r="DK185" s="330">
        <v>89</v>
      </c>
      <c r="DL185" s="330" t="s">
        <v>243</v>
      </c>
      <c r="DM185" s="330"/>
      <c r="DN185" s="330"/>
      <c r="DO185" s="330"/>
      <c r="DP185" s="330"/>
      <c r="DQ185" s="338" t="s">
        <v>197</v>
      </c>
      <c r="DR185" s="330"/>
      <c r="DS185" s="330"/>
      <c r="DT185" s="330"/>
      <c r="DU185" s="338" t="s">
        <v>197</v>
      </c>
      <c r="DV185" s="330"/>
      <c r="DW185" s="330"/>
      <c r="DX185" s="330"/>
      <c r="DY185" s="338" t="s">
        <v>197</v>
      </c>
      <c r="DZ185" s="330"/>
      <c r="EA185" s="330"/>
      <c r="EB185" s="330"/>
      <c r="EC185" s="330" t="s">
        <v>197</v>
      </c>
      <c r="ED185" s="338" t="s">
        <v>197</v>
      </c>
      <c r="EE185" s="330">
        <v>8</v>
      </c>
      <c r="EF185" s="330">
        <v>40</v>
      </c>
      <c r="EG185" s="330"/>
      <c r="EH185" s="330"/>
      <c r="EI185" s="330"/>
      <c r="EJ185" s="330"/>
      <c r="EK185" s="330"/>
      <c r="EL185" s="330"/>
      <c r="EM185" s="330"/>
      <c r="EN185" s="330"/>
      <c r="EO185" s="330"/>
      <c r="EP185" s="330"/>
      <c r="EQ185" s="332" t="s">
        <v>244</v>
      </c>
      <c r="ER185" s="330"/>
      <c r="ES185" s="330"/>
      <c r="ET185" s="332" t="s">
        <v>245</v>
      </c>
      <c r="EU185" s="332" t="s">
        <v>246</v>
      </c>
      <c r="EV185" s="336">
        <v>46127</v>
      </c>
      <c r="EW185" s="336">
        <v>46127</v>
      </c>
      <c r="EX185" s="330">
        <v>1</v>
      </c>
      <c r="EY185" s="330"/>
      <c r="EZ185" s="330" t="s">
        <v>247</v>
      </c>
      <c r="FA185" s="330"/>
      <c r="FB185" s="330" t="s">
        <v>247</v>
      </c>
      <c r="FC185" s="330" t="s">
        <v>202</v>
      </c>
      <c r="FD185" s="332" t="s">
        <v>190</v>
      </c>
      <c r="FE185" s="330"/>
      <c r="FF185" s="330"/>
      <c r="FG185" s="330" t="s">
        <v>203</v>
      </c>
      <c r="FH185" s="330" t="s">
        <v>4102</v>
      </c>
      <c r="FI185" s="330" t="s">
        <v>204</v>
      </c>
      <c r="FJ185" s="330"/>
      <c r="FK185" s="330" t="s">
        <v>230</v>
      </c>
      <c r="FL185" s="330" t="s">
        <v>192</v>
      </c>
      <c r="FM185" s="330" t="s">
        <v>627</v>
      </c>
      <c r="FN185" s="330" t="s">
        <v>1892</v>
      </c>
      <c r="FO185" s="330"/>
      <c r="FP185" s="330" t="s">
        <v>639</v>
      </c>
      <c r="FQ185" s="330"/>
      <c r="FR185" s="330"/>
      <c r="FS185" s="330"/>
      <c r="FT185" s="330"/>
      <c r="FU185" s="330"/>
    </row>
    <row r="186" spans="1:177" ht="38.25" x14ac:dyDescent="0.25">
      <c r="A186" s="330">
        <v>185</v>
      </c>
      <c r="B186" s="331" t="s">
        <v>1893</v>
      </c>
      <c r="C186" s="330"/>
      <c r="D186" s="332" t="s">
        <v>228</v>
      </c>
      <c r="E186" s="332" t="s">
        <v>229</v>
      </c>
      <c r="F186" s="332" t="s">
        <v>230</v>
      </c>
      <c r="G186" s="330" t="s">
        <v>231</v>
      </c>
      <c r="H186" s="331">
        <v>400</v>
      </c>
      <c r="I186" s="330"/>
      <c r="J186" s="332" t="s">
        <v>1894</v>
      </c>
      <c r="K186" s="332"/>
      <c r="L186" s="330" t="s">
        <v>284</v>
      </c>
      <c r="M186" s="332" t="s">
        <v>1895</v>
      </c>
      <c r="N186" s="330" t="s">
        <v>1896</v>
      </c>
      <c r="O186" s="339">
        <v>0.76359767490139097</v>
      </c>
      <c r="P186" s="333">
        <v>14713</v>
      </c>
      <c r="Q186" s="333">
        <v>19268</v>
      </c>
      <c r="R186" s="333">
        <v>38</v>
      </c>
      <c r="S186" s="333">
        <v>38</v>
      </c>
      <c r="T186" s="333">
        <v>12</v>
      </c>
      <c r="U186" s="333">
        <v>152</v>
      </c>
      <c r="V186" s="333">
        <v>250</v>
      </c>
      <c r="W186" s="330">
        <v>7</v>
      </c>
      <c r="X186" s="330" t="s">
        <v>1897</v>
      </c>
      <c r="Y186" s="332" t="s">
        <v>351</v>
      </c>
      <c r="Z186" s="330" t="s">
        <v>215</v>
      </c>
      <c r="AA186" s="330" t="s">
        <v>352</v>
      </c>
      <c r="AB186" s="330" t="s">
        <v>189</v>
      </c>
      <c r="AC186" s="330"/>
      <c r="AD186" s="330"/>
      <c r="AE186" s="330">
        <v>1</v>
      </c>
      <c r="AF186" s="330">
        <v>7</v>
      </c>
      <c r="AG186" s="332" t="s">
        <v>315</v>
      </c>
      <c r="AH186" s="332" t="s">
        <v>191</v>
      </c>
      <c r="AI186" s="330"/>
      <c r="AJ186" s="330" t="s">
        <v>192</v>
      </c>
      <c r="AK186" s="330"/>
      <c r="AL186" s="330" t="s">
        <v>192</v>
      </c>
      <c r="AM186" s="330" t="s">
        <v>627</v>
      </c>
      <c r="AN186" s="330" t="s">
        <v>192</v>
      </c>
      <c r="AO186" s="330"/>
      <c r="AP186" s="332" t="s">
        <v>259</v>
      </c>
      <c r="AQ186" s="330"/>
      <c r="AR186" s="330"/>
      <c r="AS186" s="330" t="b">
        <v>1</v>
      </c>
      <c r="AT186" s="330"/>
      <c r="AU186" s="332" t="s">
        <v>554</v>
      </c>
      <c r="AV186" s="334">
        <v>46085.567017060188</v>
      </c>
      <c r="AW186" s="330"/>
      <c r="AX186" s="335">
        <v>46106</v>
      </c>
      <c r="AY186" s="336">
        <v>46120</v>
      </c>
      <c r="AZ186" s="330" t="b">
        <v>1</v>
      </c>
      <c r="BA186" s="336">
        <v>46136</v>
      </c>
      <c r="BB186" s="330"/>
      <c r="BC186" s="336">
        <v>46127</v>
      </c>
      <c r="BD186" s="330"/>
      <c r="BE186" s="330"/>
      <c r="BF186" s="330"/>
      <c r="BG186" s="330"/>
      <c r="BH186" s="330" t="s">
        <v>193</v>
      </c>
      <c r="BI186" s="330">
        <v>1000</v>
      </c>
      <c r="BJ186" s="330"/>
      <c r="BK186" s="330"/>
      <c r="BL186" s="330"/>
      <c r="BM186" s="332"/>
      <c r="BN186" s="330"/>
      <c r="BO186" s="330" t="s">
        <v>240</v>
      </c>
      <c r="BP186" s="330" t="s">
        <v>193</v>
      </c>
      <c r="BQ186" s="330" t="s">
        <v>218</v>
      </c>
      <c r="BR186" s="330" t="s">
        <v>220</v>
      </c>
      <c r="BS186" s="330"/>
      <c r="BT186" s="330" t="s">
        <v>220</v>
      </c>
      <c r="BU186" s="330"/>
      <c r="BV186" s="330" t="s">
        <v>220</v>
      </c>
      <c r="BW186" s="330"/>
      <c r="BX186" s="332"/>
      <c r="BY186" s="330"/>
      <c r="BZ186" s="330"/>
      <c r="CA186" s="330"/>
      <c r="CB186" s="330"/>
      <c r="CC186" s="337" t="s">
        <v>1763</v>
      </c>
      <c r="CD186" s="330" t="b">
        <v>1</v>
      </c>
      <c r="CE186" s="330" t="b">
        <v>1</v>
      </c>
      <c r="CF186" s="330" t="b">
        <v>1</v>
      </c>
      <c r="CG186" s="330" t="s">
        <v>242</v>
      </c>
      <c r="CH186" s="330"/>
      <c r="CI186" s="330"/>
      <c r="CJ186" s="330"/>
      <c r="CK186" s="330"/>
      <c r="CL186" s="330"/>
      <c r="CM186" s="330"/>
      <c r="CN186" s="330"/>
      <c r="CO186" s="330"/>
      <c r="CP186" s="330"/>
      <c r="CQ186" s="330"/>
      <c r="CR186" s="330"/>
      <c r="CS186" s="330"/>
      <c r="CT186" s="330"/>
      <c r="CU186" s="330"/>
      <c r="CV186" s="330"/>
      <c r="CW186" s="330"/>
      <c r="CX186" s="330"/>
      <c r="CY186" s="330"/>
      <c r="CZ186" s="330"/>
      <c r="DA186" s="330"/>
      <c r="DB186" s="330" t="b">
        <v>1</v>
      </c>
      <c r="DC186" s="330" t="b">
        <v>1</v>
      </c>
      <c r="DD186" s="330"/>
      <c r="DE186" s="330"/>
      <c r="DF186" s="338">
        <v>24051</v>
      </c>
      <c r="DG186" s="330" t="s">
        <v>221</v>
      </c>
      <c r="DH186" s="330"/>
      <c r="DI186" s="340">
        <v>36.200000000000003</v>
      </c>
      <c r="DJ186" s="330"/>
      <c r="DK186" s="330">
        <v>36.200000000000003</v>
      </c>
      <c r="DL186" s="330" t="s">
        <v>243</v>
      </c>
      <c r="DM186" s="330"/>
      <c r="DN186" s="330"/>
      <c r="DO186" s="330"/>
      <c r="DP186" s="330"/>
      <c r="DQ186" s="338" t="s">
        <v>197</v>
      </c>
      <c r="DR186" s="330"/>
      <c r="DS186" s="330"/>
      <c r="DT186" s="330"/>
      <c r="DU186" s="338" t="s">
        <v>197</v>
      </c>
      <c r="DV186" s="330"/>
      <c r="DW186" s="330"/>
      <c r="DX186" s="330"/>
      <c r="DY186" s="338" t="s">
        <v>197</v>
      </c>
      <c r="DZ186" s="330"/>
      <c r="EA186" s="330"/>
      <c r="EB186" s="330"/>
      <c r="EC186" s="330" t="s">
        <v>197</v>
      </c>
      <c r="ED186" s="338" t="s">
        <v>197</v>
      </c>
      <c r="EE186" s="330">
        <v>8</v>
      </c>
      <c r="EF186" s="330">
        <v>40</v>
      </c>
      <c r="EG186" s="330"/>
      <c r="EH186" s="330"/>
      <c r="EI186" s="330"/>
      <c r="EJ186" s="330"/>
      <c r="EK186" s="330"/>
      <c r="EL186" s="330"/>
      <c r="EM186" s="330"/>
      <c r="EN186" s="330"/>
      <c r="EO186" s="330"/>
      <c r="EP186" s="330"/>
      <c r="EQ186" s="332" t="s">
        <v>244</v>
      </c>
      <c r="ER186" s="330"/>
      <c r="ES186" s="330"/>
      <c r="ET186" s="332" t="s">
        <v>245</v>
      </c>
      <c r="EU186" s="332" t="s">
        <v>246</v>
      </c>
      <c r="EV186" s="336">
        <v>46119</v>
      </c>
      <c r="EW186" s="336">
        <v>46120</v>
      </c>
      <c r="EX186" s="330">
        <v>2</v>
      </c>
      <c r="EY186" s="330"/>
      <c r="EZ186" s="330" t="s">
        <v>247</v>
      </c>
      <c r="FA186" s="330"/>
      <c r="FB186" s="330" t="s">
        <v>247</v>
      </c>
      <c r="FC186" s="330" t="s">
        <v>202</v>
      </c>
      <c r="FD186" s="332" t="s">
        <v>190</v>
      </c>
      <c r="FE186" s="330"/>
      <c r="FF186" s="330"/>
      <c r="FG186" s="330" t="s">
        <v>203</v>
      </c>
      <c r="FH186" s="330" t="s">
        <v>1876</v>
      </c>
      <c r="FI186" s="330" t="s">
        <v>204</v>
      </c>
      <c r="FJ186" s="330"/>
      <c r="FK186" s="330" t="s">
        <v>230</v>
      </c>
      <c r="FL186" s="330" t="s">
        <v>192</v>
      </c>
      <c r="FM186" s="330" t="s">
        <v>627</v>
      </c>
      <c r="FN186" s="330" t="s">
        <v>1898</v>
      </c>
      <c r="FO186" s="330"/>
      <c r="FP186" s="330" t="s">
        <v>639</v>
      </c>
      <c r="FQ186" s="330"/>
      <c r="FR186" s="330"/>
      <c r="FS186" s="330"/>
      <c r="FT186" s="330"/>
      <c r="FU186" s="330"/>
    </row>
    <row r="187" spans="1:177" ht="38.25" x14ac:dyDescent="0.25">
      <c r="A187" s="330">
        <v>186</v>
      </c>
      <c r="B187" s="331" t="s">
        <v>1899</v>
      </c>
      <c r="C187" s="330"/>
      <c r="D187" s="332" t="s">
        <v>228</v>
      </c>
      <c r="E187" s="332" t="s">
        <v>229</v>
      </c>
      <c r="F187" s="332" t="s">
        <v>230</v>
      </c>
      <c r="G187" s="330" t="s">
        <v>231</v>
      </c>
      <c r="H187" s="331">
        <v>400</v>
      </c>
      <c r="I187" s="330"/>
      <c r="J187" s="332" t="s">
        <v>1900</v>
      </c>
      <c r="K187" s="332"/>
      <c r="L187" s="330" t="s">
        <v>284</v>
      </c>
      <c r="M187" s="332" t="s">
        <v>1895</v>
      </c>
      <c r="N187" s="330" t="s">
        <v>1901</v>
      </c>
      <c r="O187" s="339">
        <v>0.76494706248702504</v>
      </c>
      <c r="P187" s="333">
        <v>14739</v>
      </c>
      <c r="Q187" s="333">
        <v>19268</v>
      </c>
      <c r="R187" s="333">
        <v>26</v>
      </c>
      <c r="S187" s="333">
        <v>26</v>
      </c>
      <c r="T187" s="333">
        <v>4</v>
      </c>
      <c r="U187" s="333">
        <v>182</v>
      </c>
      <c r="V187" s="333">
        <v>250</v>
      </c>
      <c r="W187" s="330">
        <v>13</v>
      </c>
      <c r="X187" s="330" t="s">
        <v>1902</v>
      </c>
      <c r="Y187" s="332" t="s">
        <v>289</v>
      </c>
      <c r="Z187" s="330" t="s">
        <v>215</v>
      </c>
      <c r="AA187" s="330" t="s">
        <v>290</v>
      </c>
      <c r="AB187" s="330" t="s">
        <v>217</v>
      </c>
      <c r="AC187" s="330"/>
      <c r="AD187" s="330"/>
      <c r="AE187" s="330">
        <v>1</v>
      </c>
      <c r="AF187" s="330">
        <v>7</v>
      </c>
      <c r="AG187" s="332" t="s">
        <v>315</v>
      </c>
      <c r="AH187" s="332" t="s">
        <v>191</v>
      </c>
      <c r="AI187" s="330"/>
      <c r="AJ187" s="330" t="s">
        <v>192</v>
      </c>
      <c r="AK187" s="330"/>
      <c r="AL187" s="330" t="s">
        <v>192</v>
      </c>
      <c r="AM187" s="330" t="s">
        <v>191</v>
      </c>
      <c r="AN187" s="330" t="s">
        <v>192</v>
      </c>
      <c r="AO187" s="330"/>
      <c r="AP187" s="332" t="s">
        <v>259</v>
      </c>
      <c r="AQ187" s="330"/>
      <c r="AR187" s="330"/>
      <c r="AS187" s="330" t="b">
        <v>1</v>
      </c>
      <c r="AT187" s="330"/>
      <c r="AU187" s="332" t="s">
        <v>554</v>
      </c>
      <c r="AV187" s="334">
        <v>46085.581638796299</v>
      </c>
      <c r="AW187" s="330"/>
      <c r="AX187" s="335">
        <v>46106</v>
      </c>
      <c r="AY187" s="336">
        <v>46120</v>
      </c>
      <c r="AZ187" s="330" t="b">
        <v>1</v>
      </c>
      <c r="BA187" s="336">
        <v>46136</v>
      </c>
      <c r="BB187" s="330"/>
      <c r="BC187" s="336">
        <v>46127</v>
      </c>
      <c r="BD187" s="330"/>
      <c r="BE187" s="330"/>
      <c r="BF187" s="330"/>
      <c r="BG187" s="330"/>
      <c r="BH187" s="330" t="s">
        <v>193</v>
      </c>
      <c r="BI187" s="330">
        <v>1000</v>
      </c>
      <c r="BJ187" s="330"/>
      <c r="BK187" s="330"/>
      <c r="BL187" s="330"/>
      <c r="BM187" s="332"/>
      <c r="BN187" s="330"/>
      <c r="BO187" s="330" t="s">
        <v>240</v>
      </c>
      <c r="BP187" s="330" t="s">
        <v>193</v>
      </c>
      <c r="BQ187" s="330" t="s">
        <v>218</v>
      </c>
      <c r="BR187" s="330" t="s">
        <v>220</v>
      </c>
      <c r="BS187" s="330"/>
      <c r="BT187" s="330" t="s">
        <v>220</v>
      </c>
      <c r="BU187" s="330"/>
      <c r="BV187" s="330" t="s">
        <v>220</v>
      </c>
      <c r="BW187" s="330"/>
      <c r="BX187" s="332"/>
      <c r="BY187" s="330"/>
      <c r="BZ187" s="330"/>
      <c r="CA187" s="330"/>
      <c r="CB187" s="330"/>
      <c r="CC187" s="337" t="s">
        <v>1763</v>
      </c>
      <c r="CD187" s="330" t="b">
        <v>1</v>
      </c>
      <c r="CE187" s="330" t="b">
        <v>1</v>
      </c>
      <c r="CF187" s="330" t="b">
        <v>1</v>
      </c>
      <c r="CG187" s="330" t="s">
        <v>242</v>
      </c>
      <c r="CH187" s="330"/>
      <c r="CI187" s="330"/>
      <c r="CJ187" s="330"/>
      <c r="CK187" s="330"/>
      <c r="CL187" s="330"/>
      <c r="CM187" s="330"/>
      <c r="CN187" s="330"/>
      <c r="CO187" s="330"/>
      <c r="CP187" s="330"/>
      <c r="CQ187" s="330"/>
      <c r="CR187" s="330"/>
      <c r="CS187" s="330"/>
      <c r="CT187" s="330"/>
      <c r="CU187" s="330"/>
      <c r="CV187" s="330"/>
      <c r="CW187" s="330"/>
      <c r="CX187" s="330"/>
      <c r="CY187" s="330"/>
      <c r="CZ187" s="330"/>
      <c r="DA187" s="330"/>
      <c r="DB187" s="330" t="b">
        <v>1</v>
      </c>
      <c r="DC187" s="330" t="b">
        <v>1</v>
      </c>
      <c r="DD187" s="330"/>
      <c r="DE187" s="330"/>
      <c r="DF187" s="338">
        <v>24051</v>
      </c>
      <c r="DG187" s="330" t="s">
        <v>221</v>
      </c>
      <c r="DH187" s="330"/>
      <c r="DI187" s="338">
        <v>226</v>
      </c>
      <c r="DJ187" s="330"/>
      <c r="DK187" s="330">
        <v>226</v>
      </c>
      <c r="DL187" s="330" t="s">
        <v>243</v>
      </c>
      <c r="DM187" s="330"/>
      <c r="DN187" s="330"/>
      <c r="DO187" s="330"/>
      <c r="DP187" s="330"/>
      <c r="DQ187" s="338" t="s">
        <v>197</v>
      </c>
      <c r="DR187" s="330"/>
      <c r="DS187" s="330"/>
      <c r="DT187" s="330"/>
      <c r="DU187" s="338" t="s">
        <v>197</v>
      </c>
      <c r="DV187" s="330"/>
      <c r="DW187" s="330"/>
      <c r="DX187" s="330"/>
      <c r="DY187" s="338" t="s">
        <v>197</v>
      </c>
      <c r="DZ187" s="330"/>
      <c r="EA187" s="330"/>
      <c r="EB187" s="330"/>
      <c r="EC187" s="330" t="s">
        <v>197</v>
      </c>
      <c r="ED187" s="338" t="s">
        <v>197</v>
      </c>
      <c r="EE187" s="330">
        <v>8</v>
      </c>
      <c r="EF187" s="330">
        <v>40</v>
      </c>
      <c r="EG187" s="330"/>
      <c r="EH187" s="330"/>
      <c r="EI187" s="330"/>
      <c r="EJ187" s="330"/>
      <c r="EK187" s="330"/>
      <c r="EL187" s="330"/>
      <c r="EM187" s="330"/>
      <c r="EN187" s="330"/>
      <c r="EO187" s="330"/>
      <c r="EP187" s="330"/>
      <c r="EQ187" s="332" t="s">
        <v>244</v>
      </c>
      <c r="ER187" s="330"/>
      <c r="ES187" s="330"/>
      <c r="ET187" s="332" t="s">
        <v>245</v>
      </c>
      <c r="EU187" s="332" t="s">
        <v>246</v>
      </c>
      <c r="EV187" s="336">
        <v>46120</v>
      </c>
      <c r="EW187" s="336">
        <v>46120</v>
      </c>
      <c r="EX187" s="330">
        <v>1</v>
      </c>
      <c r="EY187" s="330"/>
      <c r="EZ187" s="330" t="s">
        <v>247</v>
      </c>
      <c r="FA187" s="330"/>
      <c r="FB187" s="330" t="s">
        <v>247</v>
      </c>
      <c r="FC187" s="330" t="s">
        <v>202</v>
      </c>
      <c r="FD187" s="332" t="s">
        <v>190</v>
      </c>
      <c r="FE187" s="330"/>
      <c r="FF187" s="330"/>
      <c r="FG187" s="330" t="s">
        <v>203</v>
      </c>
      <c r="FH187" s="330" t="s">
        <v>1876</v>
      </c>
      <c r="FI187" s="330" t="s">
        <v>204</v>
      </c>
      <c r="FJ187" s="330"/>
      <c r="FK187" s="330" t="s">
        <v>230</v>
      </c>
      <c r="FL187" s="330" t="s">
        <v>192</v>
      </c>
      <c r="FM187" s="330" t="s">
        <v>191</v>
      </c>
      <c r="FN187" s="330" t="s">
        <v>1903</v>
      </c>
      <c r="FO187" s="330"/>
      <c r="FP187" s="330" t="s">
        <v>639</v>
      </c>
      <c r="FQ187" s="330"/>
      <c r="FR187" s="330"/>
      <c r="FS187" s="330"/>
      <c r="FT187" s="330"/>
      <c r="FU187" s="330"/>
    </row>
    <row r="188" spans="1:177" ht="409.5" x14ac:dyDescent="0.25">
      <c r="A188" s="330">
        <v>187</v>
      </c>
      <c r="B188" s="331" t="s">
        <v>1904</v>
      </c>
      <c r="C188" s="330"/>
      <c r="D188" s="332" t="s">
        <v>1905</v>
      </c>
      <c r="E188" s="332" t="s">
        <v>1906</v>
      </c>
      <c r="F188" s="332" t="s">
        <v>1146</v>
      </c>
      <c r="G188" s="330" t="s">
        <v>1147</v>
      </c>
      <c r="H188" s="331">
        <v>400</v>
      </c>
      <c r="I188" s="330"/>
      <c r="J188" s="332" t="s">
        <v>1907</v>
      </c>
      <c r="K188" s="332" t="s">
        <v>1908</v>
      </c>
      <c r="L188" s="330" t="s">
        <v>284</v>
      </c>
      <c r="M188" s="332" t="s">
        <v>751</v>
      </c>
      <c r="N188" s="330"/>
      <c r="O188" s="333"/>
      <c r="P188" s="333"/>
      <c r="Q188" s="333">
        <v>292</v>
      </c>
      <c r="R188" s="333">
        <v>88</v>
      </c>
      <c r="S188" s="333"/>
      <c r="T188" s="333"/>
      <c r="U188" s="333"/>
      <c r="V188" s="333"/>
      <c r="W188" s="330"/>
      <c r="X188" s="330"/>
      <c r="Y188" s="332" t="s">
        <v>1909</v>
      </c>
      <c r="Z188" s="330" t="s">
        <v>215</v>
      </c>
      <c r="AA188" s="330" t="s">
        <v>1910</v>
      </c>
      <c r="AB188" s="330" t="s">
        <v>217</v>
      </c>
      <c r="AC188" s="330"/>
      <c r="AD188" s="330" t="s">
        <v>924</v>
      </c>
      <c r="AE188" s="330">
        <v>1</v>
      </c>
      <c r="AF188" s="330">
        <v>-10</v>
      </c>
      <c r="AG188" s="332" t="s">
        <v>810</v>
      </c>
      <c r="AH188" s="332" t="s">
        <v>191</v>
      </c>
      <c r="AI188" s="330" t="s">
        <v>191</v>
      </c>
      <c r="AJ188" s="330" t="s">
        <v>191</v>
      </c>
      <c r="AK188" s="330" t="s">
        <v>627</v>
      </c>
      <c r="AL188" s="330" t="s">
        <v>810</v>
      </c>
      <c r="AM188" s="330" t="s">
        <v>191</v>
      </c>
      <c r="AN188" s="330" t="s">
        <v>810</v>
      </c>
      <c r="AO188" s="330"/>
      <c r="AP188" s="332" t="s">
        <v>259</v>
      </c>
      <c r="AQ188" s="330"/>
      <c r="AR188" s="330"/>
      <c r="AS188" s="330"/>
      <c r="AT188" s="330"/>
      <c r="AU188" s="332" t="s">
        <v>810</v>
      </c>
      <c r="AV188" s="334">
        <v>46086.637547916667</v>
      </c>
      <c r="AW188" s="330"/>
      <c r="AX188" s="335">
        <v>46115</v>
      </c>
      <c r="AY188" s="330"/>
      <c r="AZ188" s="330"/>
      <c r="BA188" s="330"/>
      <c r="BB188" s="330"/>
      <c r="BC188" s="336">
        <v>46136</v>
      </c>
      <c r="BD188" s="330"/>
      <c r="BE188" s="330"/>
      <c r="BF188" s="330"/>
      <c r="BG188" s="330"/>
      <c r="BH188" s="330" t="s">
        <v>193</v>
      </c>
      <c r="BI188" s="330">
        <v>92</v>
      </c>
      <c r="BJ188" s="330"/>
      <c r="BK188" s="330"/>
      <c r="BL188" s="330"/>
      <c r="BM188" s="332"/>
      <c r="BN188" s="330"/>
      <c r="BO188" s="330" t="s">
        <v>240</v>
      </c>
      <c r="BP188" s="330" t="s">
        <v>193</v>
      </c>
      <c r="BQ188" s="330" t="s">
        <v>909</v>
      </c>
      <c r="BR188" s="330" t="s">
        <v>193</v>
      </c>
      <c r="BS188" s="330" t="s">
        <v>1911</v>
      </c>
      <c r="BT188" s="330" t="s">
        <v>193</v>
      </c>
      <c r="BU188" s="330" t="s">
        <v>1912</v>
      </c>
      <c r="BV188" s="330" t="s">
        <v>220</v>
      </c>
      <c r="BW188" s="330"/>
      <c r="BX188" s="332"/>
      <c r="BY188" s="330"/>
      <c r="BZ188" s="330"/>
      <c r="CA188" s="330"/>
      <c r="CB188" s="330"/>
      <c r="CC188" s="337" t="s">
        <v>1325</v>
      </c>
      <c r="CD188" s="330" t="b">
        <v>1</v>
      </c>
      <c r="CE188" s="330" t="b">
        <v>1</v>
      </c>
      <c r="CF188" s="330" t="b">
        <v>1</v>
      </c>
      <c r="CG188" s="330"/>
      <c r="CH188" s="330"/>
      <c r="CI188" s="330"/>
      <c r="CJ188" s="330"/>
      <c r="CK188" s="330"/>
      <c r="CL188" s="330"/>
      <c r="CM188" s="330"/>
      <c r="CN188" s="330"/>
      <c r="CO188" s="330"/>
      <c r="CP188" s="330"/>
      <c r="CQ188" s="330"/>
      <c r="CR188" s="330"/>
      <c r="CS188" s="330"/>
      <c r="CT188" s="330"/>
      <c r="CU188" s="330"/>
      <c r="CV188" s="330"/>
      <c r="CW188" s="330"/>
      <c r="CX188" s="330"/>
      <c r="CY188" s="330"/>
      <c r="CZ188" s="330"/>
      <c r="DA188" s="330"/>
      <c r="DB188" s="330" t="b">
        <v>1</v>
      </c>
      <c r="DC188" s="330" t="b">
        <v>1</v>
      </c>
      <c r="DD188" s="330"/>
      <c r="DE188" s="330"/>
      <c r="DF188" s="338">
        <v>25030</v>
      </c>
      <c r="DG188" s="330" t="s">
        <v>221</v>
      </c>
      <c r="DH188" s="330"/>
      <c r="DI188" s="338" t="s">
        <v>196</v>
      </c>
      <c r="DJ188" s="330"/>
      <c r="DK188" s="330">
        <v>1</v>
      </c>
      <c r="DL188" s="330" t="s">
        <v>1913</v>
      </c>
      <c r="DM188" s="330"/>
      <c r="DN188" s="330"/>
      <c r="DO188" s="330"/>
      <c r="DP188" s="330"/>
      <c r="DQ188" s="338" t="s">
        <v>197</v>
      </c>
      <c r="DR188" s="330"/>
      <c r="DS188" s="330"/>
      <c r="DT188" s="330"/>
      <c r="DU188" s="338" t="s">
        <v>197</v>
      </c>
      <c r="DV188" s="330"/>
      <c r="DW188" s="330"/>
      <c r="DX188" s="330"/>
      <c r="DY188" s="338" t="s">
        <v>197</v>
      </c>
      <c r="DZ188" s="330"/>
      <c r="EA188" s="330"/>
      <c r="EB188" s="330"/>
      <c r="EC188" s="330" t="s">
        <v>197</v>
      </c>
      <c r="ED188" s="338" t="s">
        <v>197</v>
      </c>
      <c r="EE188" s="330">
        <v>50</v>
      </c>
      <c r="EF188" s="330">
        <v>240</v>
      </c>
      <c r="EG188" s="330"/>
      <c r="EH188" s="330"/>
      <c r="EI188" s="330"/>
      <c r="EJ188" s="330"/>
      <c r="EK188" s="330"/>
      <c r="EL188" s="330"/>
      <c r="EM188" s="330"/>
      <c r="EN188" s="330"/>
      <c r="EO188" s="330"/>
      <c r="EP188" s="330"/>
      <c r="EQ188" s="332" t="s">
        <v>1914</v>
      </c>
      <c r="ER188" s="330"/>
      <c r="ES188" s="330"/>
      <c r="ET188" s="332" t="s">
        <v>245</v>
      </c>
      <c r="EU188" s="332" t="s">
        <v>354</v>
      </c>
      <c r="EV188" s="330"/>
      <c r="EW188" s="330"/>
      <c r="EX188" s="330" t="s">
        <v>200</v>
      </c>
      <c r="EY188" s="330"/>
      <c r="EZ188" s="330" t="s">
        <v>247</v>
      </c>
      <c r="FA188" s="330"/>
      <c r="FB188" s="330" t="s">
        <v>247</v>
      </c>
      <c r="FC188" s="330" t="s">
        <v>202</v>
      </c>
      <c r="FD188" s="332" t="s">
        <v>190</v>
      </c>
      <c r="FE188" s="330"/>
      <c r="FF188" s="330"/>
      <c r="FG188" s="330" t="s">
        <v>203</v>
      </c>
      <c r="FH188" s="330" t="s">
        <v>1915</v>
      </c>
      <c r="FI188" s="330" t="s">
        <v>204</v>
      </c>
      <c r="FJ188" s="330"/>
      <c r="FK188" s="330" t="s">
        <v>1146</v>
      </c>
      <c r="FL188" s="330" t="s">
        <v>810</v>
      </c>
      <c r="FM188" s="330" t="s">
        <v>191</v>
      </c>
      <c r="FN188" s="330" t="s">
        <v>1916</v>
      </c>
      <c r="FO188" s="330"/>
      <c r="FP188" s="330" t="s">
        <v>1330</v>
      </c>
      <c r="FQ188" s="330"/>
      <c r="FR188" s="330"/>
      <c r="FS188" s="330"/>
      <c r="FT188" s="330"/>
      <c r="FU188" s="330"/>
    </row>
    <row r="189" spans="1:177" ht="382.5" x14ac:dyDescent="0.25">
      <c r="A189" s="330">
        <v>188</v>
      </c>
      <c r="B189" s="331" t="s">
        <v>1913</v>
      </c>
      <c r="C189" s="330"/>
      <c r="D189" s="332" t="s">
        <v>1905</v>
      </c>
      <c r="E189" s="332" t="s">
        <v>1906</v>
      </c>
      <c r="F189" s="332" t="s">
        <v>1146</v>
      </c>
      <c r="G189" s="330" t="s">
        <v>1147</v>
      </c>
      <c r="H189" s="331">
        <v>400</v>
      </c>
      <c r="I189" s="330"/>
      <c r="J189" s="332" t="s">
        <v>1917</v>
      </c>
      <c r="K189" s="332" t="s">
        <v>1918</v>
      </c>
      <c r="L189" s="330" t="s">
        <v>284</v>
      </c>
      <c r="M189" s="332" t="s">
        <v>751</v>
      </c>
      <c r="N189" s="330"/>
      <c r="O189" s="333"/>
      <c r="P189" s="333"/>
      <c r="Q189" s="333">
        <v>292</v>
      </c>
      <c r="R189" s="333">
        <v>84</v>
      </c>
      <c r="S189" s="333"/>
      <c r="T189" s="333"/>
      <c r="U189" s="333"/>
      <c r="V189" s="333"/>
      <c r="W189" s="330"/>
      <c r="X189" s="330"/>
      <c r="Y189" s="332" t="s">
        <v>1909</v>
      </c>
      <c r="Z189" s="330" t="s">
        <v>215</v>
      </c>
      <c r="AA189" s="330" t="s">
        <v>1910</v>
      </c>
      <c r="AB189" s="330" t="s">
        <v>217</v>
      </c>
      <c r="AC189" s="330"/>
      <c r="AD189" s="330" t="s">
        <v>924</v>
      </c>
      <c r="AE189" s="330">
        <v>1</v>
      </c>
      <c r="AF189" s="330">
        <v>-10</v>
      </c>
      <c r="AG189" s="332" t="s">
        <v>810</v>
      </c>
      <c r="AH189" s="332" t="s">
        <v>191</v>
      </c>
      <c r="AI189" s="330" t="s">
        <v>191</v>
      </c>
      <c r="AJ189" s="330" t="s">
        <v>191</v>
      </c>
      <c r="AK189" s="330" t="s">
        <v>627</v>
      </c>
      <c r="AL189" s="330" t="s">
        <v>810</v>
      </c>
      <c r="AM189" s="330" t="s">
        <v>191</v>
      </c>
      <c r="AN189" s="330" t="s">
        <v>810</v>
      </c>
      <c r="AO189" s="330"/>
      <c r="AP189" s="332" t="s">
        <v>259</v>
      </c>
      <c r="AQ189" s="330"/>
      <c r="AR189" s="330"/>
      <c r="AS189" s="330"/>
      <c r="AT189" s="330"/>
      <c r="AU189" s="332" t="s">
        <v>810</v>
      </c>
      <c r="AV189" s="334">
        <v>46086.6777215162</v>
      </c>
      <c r="AW189" s="330"/>
      <c r="AX189" s="335">
        <v>46115</v>
      </c>
      <c r="AY189" s="330"/>
      <c r="AZ189" s="330"/>
      <c r="BA189" s="330"/>
      <c r="BB189" s="330"/>
      <c r="BC189" s="336">
        <v>46136</v>
      </c>
      <c r="BD189" s="330"/>
      <c r="BE189" s="330"/>
      <c r="BF189" s="330"/>
      <c r="BG189" s="330"/>
      <c r="BH189" s="330" t="s">
        <v>193</v>
      </c>
      <c r="BI189" s="330">
        <v>120</v>
      </c>
      <c r="BJ189" s="330"/>
      <c r="BK189" s="330"/>
      <c r="BL189" s="330"/>
      <c r="BM189" s="332"/>
      <c r="BN189" s="330"/>
      <c r="BO189" s="330" t="s">
        <v>240</v>
      </c>
      <c r="BP189" s="330" t="s">
        <v>193</v>
      </c>
      <c r="BQ189" s="330" t="s">
        <v>909</v>
      </c>
      <c r="BR189" s="330" t="s">
        <v>193</v>
      </c>
      <c r="BS189" s="330" t="s">
        <v>1911</v>
      </c>
      <c r="BT189" s="330" t="s">
        <v>193</v>
      </c>
      <c r="BU189" s="330" t="s">
        <v>1912</v>
      </c>
      <c r="BV189" s="330" t="s">
        <v>220</v>
      </c>
      <c r="BW189" s="330"/>
      <c r="BX189" s="332"/>
      <c r="BY189" s="330"/>
      <c r="BZ189" s="330"/>
      <c r="CA189" s="330"/>
      <c r="CB189" s="330"/>
      <c r="CC189" s="337" t="s">
        <v>82</v>
      </c>
      <c r="CD189" s="330" t="b">
        <v>1</v>
      </c>
      <c r="CE189" s="330" t="b">
        <v>1</v>
      </c>
      <c r="CF189" s="330" t="b">
        <v>1</v>
      </c>
      <c r="CG189" s="330"/>
      <c r="CH189" s="330"/>
      <c r="CI189" s="330"/>
      <c r="CJ189" s="330"/>
      <c r="CK189" s="330"/>
      <c r="CL189" s="330"/>
      <c r="CM189" s="330"/>
      <c r="CN189" s="330"/>
      <c r="CO189" s="330"/>
      <c r="CP189" s="330"/>
      <c r="CQ189" s="330"/>
      <c r="CR189" s="330"/>
      <c r="CS189" s="330"/>
      <c r="CT189" s="330"/>
      <c r="CU189" s="330"/>
      <c r="CV189" s="330"/>
      <c r="CW189" s="330"/>
      <c r="CX189" s="330"/>
      <c r="CY189" s="330"/>
      <c r="CZ189" s="330"/>
      <c r="DA189" s="330"/>
      <c r="DB189" s="330" t="b">
        <v>1</v>
      </c>
      <c r="DC189" s="330" t="b">
        <v>1</v>
      </c>
      <c r="DD189" s="330"/>
      <c r="DE189" s="330"/>
      <c r="DF189" s="338">
        <v>25030</v>
      </c>
      <c r="DG189" s="330" t="s">
        <v>221</v>
      </c>
      <c r="DH189" s="330"/>
      <c r="DI189" s="338" t="s">
        <v>638</v>
      </c>
      <c r="DJ189" s="330"/>
      <c r="DK189" s="330">
        <v>2</v>
      </c>
      <c r="DL189" s="330" t="s">
        <v>1913</v>
      </c>
      <c r="DM189" s="330"/>
      <c r="DN189" s="330"/>
      <c r="DO189" s="330"/>
      <c r="DP189" s="330"/>
      <c r="DQ189" s="338" t="s">
        <v>197</v>
      </c>
      <c r="DR189" s="330"/>
      <c r="DS189" s="330"/>
      <c r="DT189" s="330"/>
      <c r="DU189" s="338" t="s">
        <v>197</v>
      </c>
      <c r="DV189" s="330"/>
      <c r="DW189" s="330"/>
      <c r="DX189" s="330"/>
      <c r="DY189" s="338" t="s">
        <v>197</v>
      </c>
      <c r="DZ189" s="330"/>
      <c r="EA189" s="330"/>
      <c r="EB189" s="330"/>
      <c r="EC189" s="330" t="s">
        <v>197</v>
      </c>
      <c r="ED189" s="338" t="s">
        <v>197</v>
      </c>
      <c r="EE189" s="330">
        <v>40</v>
      </c>
      <c r="EF189" s="330">
        <v>240</v>
      </c>
      <c r="EG189" s="330"/>
      <c r="EH189" s="330"/>
      <c r="EI189" s="330"/>
      <c r="EJ189" s="330"/>
      <c r="EK189" s="330"/>
      <c r="EL189" s="330"/>
      <c r="EM189" s="330"/>
      <c r="EN189" s="330"/>
      <c r="EO189" s="330"/>
      <c r="EP189" s="330"/>
      <c r="EQ189" s="332" t="s">
        <v>1914</v>
      </c>
      <c r="ER189" s="330"/>
      <c r="ES189" s="330"/>
      <c r="ET189" s="332" t="s">
        <v>245</v>
      </c>
      <c r="EU189" s="332" t="s">
        <v>354</v>
      </c>
      <c r="EV189" s="330"/>
      <c r="EW189" s="330"/>
      <c r="EX189" s="330" t="s">
        <v>200</v>
      </c>
      <c r="EY189" s="330"/>
      <c r="EZ189" s="330" t="s">
        <v>247</v>
      </c>
      <c r="FA189" s="330"/>
      <c r="FB189" s="330" t="s">
        <v>247</v>
      </c>
      <c r="FC189" s="330" t="s">
        <v>202</v>
      </c>
      <c r="FD189" s="332" t="s">
        <v>190</v>
      </c>
      <c r="FE189" s="330"/>
      <c r="FF189" s="330"/>
      <c r="FG189" s="330" t="s">
        <v>203</v>
      </c>
      <c r="FH189" s="330" t="s">
        <v>1919</v>
      </c>
      <c r="FI189" s="330" t="s">
        <v>204</v>
      </c>
      <c r="FJ189" s="330"/>
      <c r="FK189" s="330" t="s">
        <v>1146</v>
      </c>
      <c r="FL189" s="330" t="s">
        <v>810</v>
      </c>
      <c r="FM189" s="330" t="s">
        <v>191</v>
      </c>
      <c r="FN189" s="330" t="s">
        <v>1920</v>
      </c>
      <c r="FO189" s="330"/>
      <c r="FP189" s="330" t="s">
        <v>1330</v>
      </c>
      <c r="FQ189" s="330"/>
      <c r="FR189" s="330"/>
      <c r="FS189" s="330"/>
      <c r="FT189" s="330"/>
      <c r="FU189" s="330"/>
    </row>
    <row r="190" spans="1:177" ht="140.25" x14ac:dyDescent="0.25">
      <c r="A190" s="330">
        <v>189</v>
      </c>
      <c r="B190" s="331" t="s">
        <v>1921</v>
      </c>
      <c r="C190" s="330"/>
      <c r="D190" s="332" t="s">
        <v>1778</v>
      </c>
      <c r="E190" s="332" t="s">
        <v>1779</v>
      </c>
      <c r="F190" s="332" t="s">
        <v>1780</v>
      </c>
      <c r="G190" s="330"/>
      <c r="H190" s="331">
        <v>400</v>
      </c>
      <c r="I190" s="330"/>
      <c r="J190" s="332" t="s">
        <v>1035</v>
      </c>
      <c r="K190" s="332" t="s">
        <v>1922</v>
      </c>
      <c r="L190" s="330" t="s">
        <v>284</v>
      </c>
      <c r="M190" s="332" t="s">
        <v>1923</v>
      </c>
      <c r="N190" s="330" t="s">
        <v>1924</v>
      </c>
      <c r="O190" s="339">
        <v>1.26393442622951</v>
      </c>
      <c r="P190" s="333">
        <v>771</v>
      </c>
      <c r="Q190" s="333">
        <v>610</v>
      </c>
      <c r="R190" s="333">
        <v>200</v>
      </c>
      <c r="S190" s="333">
        <v>200</v>
      </c>
      <c r="T190" s="333">
        <v>46</v>
      </c>
      <c r="U190" s="333">
        <v>1055</v>
      </c>
      <c r="V190" s="333">
        <v>2077</v>
      </c>
      <c r="W190" s="330">
        <v>60</v>
      </c>
      <c r="X190" s="330" t="s">
        <v>1925</v>
      </c>
      <c r="Y190" s="332" t="s">
        <v>1926</v>
      </c>
      <c r="Z190" s="330" t="s">
        <v>215</v>
      </c>
      <c r="AA190" s="330" t="s">
        <v>1927</v>
      </c>
      <c r="AB190" s="330" t="s">
        <v>217</v>
      </c>
      <c r="AC190" s="330"/>
      <c r="AD190" s="330"/>
      <c r="AE190" s="330">
        <v>42</v>
      </c>
      <c r="AF190" s="330">
        <v>1</v>
      </c>
      <c r="AG190" s="332" t="s">
        <v>190</v>
      </c>
      <c r="AH190" s="332" t="s">
        <v>191</v>
      </c>
      <c r="AI190" s="330" t="s">
        <v>471</v>
      </c>
      <c r="AJ190" s="330" t="s">
        <v>471</v>
      </c>
      <c r="AK190" s="330"/>
      <c r="AL190" s="330" t="s">
        <v>471</v>
      </c>
      <c r="AM190" s="330" t="s">
        <v>191</v>
      </c>
      <c r="AN190" s="330" t="s">
        <v>471</v>
      </c>
      <c r="AO190" s="330"/>
      <c r="AP190" s="332" t="s">
        <v>259</v>
      </c>
      <c r="AQ190" s="330"/>
      <c r="AR190" s="330"/>
      <c r="AS190" s="330" t="b">
        <v>1</v>
      </c>
      <c r="AT190" s="330"/>
      <c r="AU190" s="332" t="s">
        <v>471</v>
      </c>
      <c r="AV190" s="334">
        <v>46087.665652858799</v>
      </c>
      <c r="AW190" s="330" t="b">
        <v>1</v>
      </c>
      <c r="AX190" s="335">
        <v>46108</v>
      </c>
      <c r="AY190" s="336">
        <v>46112</v>
      </c>
      <c r="AZ190" s="330" t="b">
        <v>1</v>
      </c>
      <c r="BA190" s="336">
        <v>46128</v>
      </c>
      <c r="BB190" s="330"/>
      <c r="BC190" s="336">
        <v>46119</v>
      </c>
      <c r="BD190" s="330"/>
      <c r="BE190" s="330"/>
      <c r="BF190" s="330"/>
      <c r="BG190" s="330"/>
      <c r="BH190" s="330" t="s">
        <v>193</v>
      </c>
      <c r="BI190" s="330">
        <v>63</v>
      </c>
      <c r="BJ190" s="330"/>
      <c r="BK190" s="330"/>
      <c r="BL190" s="330"/>
      <c r="BM190" s="332"/>
      <c r="BN190" s="330"/>
      <c r="BO190" s="330" t="s">
        <v>1928</v>
      </c>
      <c r="BP190" s="330" t="s">
        <v>193</v>
      </c>
      <c r="BQ190" s="330" t="s">
        <v>218</v>
      </c>
      <c r="BR190" s="330" t="s">
        <v>220</v>
      </c>
      <c r="BS190" s="330"/>
      <c r="BT190" s="330" t="s">
        <v>193</v>
      </c>
      <c r="BU190" s="330" t="s">
        <v>1929</v>
      </c>
      <c r="BV190" s="330" t="s">
        <v>193</v>
      </c>
      <c r="BW190" s="330" t="s">
        <v>1817</v>
      </c>
      <c r="BX190" s="332"/>
      <c r="BY190" s="330"/>
      <c r="BZ190" s="330"/>
      <c r="CA190" s="330"/>
      <c r="CB190" s="330"/>
      <c r="CC190" s="337" t="s">
        <v>194</v>
      </c>
      <c r="CD190" s="330" t="b">
        <v>1</v>
      </c>
      <c r="CE190" s="330" t="b">
        <v>1</v>
      </c>
      <c r="CF190" s="330" t="b">
        <v>1</v>
      </c>
      <c r="CG190" s="330" t="s">
        <v>242</v>
      </c>
      <c r="CH190" s="330"/>
      <c r="CI190" s="330"/>
      <c r="CJ190" s="330"/>
      <c r="CK190" s="330"/>
      <c r="CL190" s="330"/>
      <c r="CM190" s="330"/>
      <c r="CN190" s="330"/>
      <c r="CO190" s="330"/>
      <c r="CP190" s="330"/>
      <c r="CQ190" s="330"/>
      <c r="CR190" s="330"/>
      <c r="CS190" s="330"/>
      <c r="CT190" s="330"/>
      <c r="CU190" s="330"/>
      <c r="CV190" s="330"/>
      <c r="CW190" s="330"/>
      <c r="CX190" s="330"/>
      <c r="CY190" s="330"/>
      <c r="CZ190" s="330"/>
      <c r="DA190" s="330"/>
      <c r="DB190" s="330" t="b">
        <v>1</v>
      </c>
      <c r="DC190" s="330" t="b">
        <v>1</v>
      </c>
      <c r="DD190" s="330"/>
      <c r="DE190" s="330"/>
      <c r="DF190" s="338">
        <v>25022</v>
      </c>
      <c r="DG190" s="330" t="s">
        <v>221</v>
      </c>
      <c r="DH190" s="330"/>
      <c r="DI190" s="338">
        <v>10</v>
      </c>
      <c r="DJ190" s="330"/>
      <c r="DK190" s="330">
        <v>10</v>
      </c>
      <c r="DL190" s="330" t="s">
        <v>1791</v>
      </c>
      <c r="DM190" s="330"/>
      <c r="DN190" s="330"/>
      <c r="DO190" s="330"/>
      <c r="DP190" s="330"/>
      <c r="DQ190" s="338" t="s">
        <v>197</v>
      </c>
      <c r="DR190" s="330"/>
      <c r="DS190" s="330"/>
      <c r="DT190" s="330"/>
      <c r="DU190" s="338" t="s">
        <v>197</v>
      </c>
      <c r="DV190" s="330"/>
      <c r="DW190" s="330"/>
      <c r="DX190" s="330"/>
      <c r="DY190" s="338" t="s">
        <v>197</v>
      </c>
      <c r="DZ190" s="330"/>
      <c r="EA190" s="330"/>
      <c r="EB190" s="330"/>
      <c r="EC190" s="330" t="s">
        <v>197</v>
      </c>
      <c r="ED190" s="338" t="s">
        <v>197</v>
      </c>
      <c r="EE190" s="330">
        <v>8</v>
      </c>
      <c r="EF190" s="330">
        <v>16</v>
      </c>
      <c r="EG190" s="330"/>
      <c r="EH190" s="330"/>
      <c r="EI190" s="330"/>
      <c r="EJ190" s="330"/>
      <c r="EK190" s="330"/>
      <c r="EL190" s="330"/>
      <c r="EM190" s="330"/>
      <c r="EN190" s="330"/>
      <c r="EO190" s="330"/>
      <c r="EP190" s="330"/>
      <c r="EQ190" s="332" t="s">
        <v>198</v>
      </c>
      <c r="ER190" s="330"/>
      <c r="ES190" s="330"/>
      <c r="ET190" s="332" t="s">
        <v>245</v>
      </c>
      <c r="EU190" s="332" t="s">
        <v>246</v>
      </c>
      <c r="EV190" s="336">
        <v>46112</v>
      </c>
      <c r="EW190" s="336">
        <v>46112</v>
      </c>
      <c r="EX190" s="330">
        <v>1</v>
      </c>
      <c r="EY190" s="330"/>
      <c r="EZ190" s="330" t="s">
        <v>247</v>
      </c>
      <c r="FA190" s="330"/>
      <c r="FB190" s="330" t="s">
        <v>248</v>
      </c>
      <c r="FC190" s="330" t="s">
        <v>202</v>
      </c>
      <c r="FD190" s="332" t="s">
        <v>190</v>
      </c>
      <c r="FE190" s="336">
        <v>46120</v>
      </c>
      <c r="FF190" s="330"/>
      <c r="FG190" s="330" t="s">
        <v>203</v>
      </c>
      <c r="FH190" s="330" t="s">
        <v>1930</v>
      </c>
      <c r="FI190" s="330" t="s">
        <v>204</v>
      </c>
      <c r="FJ190" s="330"/>
      <c r="FK190" s="330" t="s">
        <v>1780</v>
      </c>
      <c r="FL190" s="330" t="s">
        <v>471</v>
      </c>
      <c r="FM190" s="330" t="s">
        <v>191</v>
      </c>
      <c r="FN190" s="330" t="s">
        <v>1931</v>
      </c>
      <c r="FO190" s="330"/>
      <c r="FP190" s="330" t="s">
        <v>1794</v>
      </c>
      <c r="FQ190" s="330"/>
      <c r="FR190" s="330"/>
      <c r="FS190" s="330"/>
      <c r="FT190" s="330"/>
      <c r="FU190" s="330"/>
    </row>
    <row r="191" spans="1:177" ht="89.25" x14ac:dyDescent="0.25">
      <c r="A191" s="330">
        <v>190</v>
      </c>
      <c r="B191" s="331" t="s">
        <v>1932</v>
      </c>
      <c r="C191" s="330"/>
      <c r="D191" s="332" t="s">
        <v>1778</v>
      </c>
      <c r="E191" s="332" t="s">
        <v>1779</v>
      </c>
      <c r="F191" s="332" t="s">
        <v>1780</v>
      </c>
      <c r="G191" s="330"/>
      <c r="H191" s="331">
        <v>400</v>
      </c>
      <c r="I191" s="330"/>
      <c r="J191" s="332" t="s">
        <v>1035</v>
      </c>
      <c r="K191" s="332" t="s">
        <v>1933</v>
      </c>
      <c r="L191" s="330" t="s">
        <v>284</v>
      </c>
      <c r="M191" s="332" t="s">
        <v>1934</v>
      </c>
      <c r="N191" s="330" t="s">
        <v>1935</v>
      </c>
      <c r="O191" s="339">
        <v>1.38196721311475</v>
      </c>
      <c r="P191" s="333">
        <v>843</v>
      </c>
      <c r="Q191" s="333">
        <v>610</v>
      </c>
      <c r="R191" s="333">
        <v>72</v>
      </c>
      <c r="S191" s="333">
        <v>72</v>
      </c>
      <c r="T191" s="333">
        <v>20</v>
      </c>
      <c r="U191" s="333">
        <v>350</v>
      </c>
      <c r="V191" s="333">
        <v>60</v>
      </c>
      <c r="W191" s="330">
        <v>13</v>
      </c>
      <c r="X191" s="330" t="s">
        <v>1936</v>
      </c>
      <c r="Y191" s="332" t="s">
        <v>1937</v>
      </c>
      <c r="Z191" s="330" t="s">
        <v>215</v>
      </c>
      <c r="AA191" s="330" t="s">
        <v>1938</v>
      </c>
      <c r="AB191" s="330" t="s">
        <v>217</v>
      </c>
      <c r="AC191" s="330"/>
      <c r="AD191" s="330"/>
      <c r="AE191" s="330">
        <v>42</v>
      </c>
      <c r="AF191" s="330">
        <v>1</v>
      </c>
      <c r="AG191" s="332" t="s">
        <v>190</v>
      </c>
      <c r="AH191" s="332" t="s">
        <v>191</v>
      </c>
      <c r="AI191" s="330" t="s">
        <v>471</v>
      </c>
      <c r="AJ191" s="330" t="s">
        <v>471</v>
      </c>
      <c r="AK191" s="330"/>
      <c r="AL191" s="330" t="s">
        <v>353</v>
      </c>
      <c r="AM191" s="330" t="s">
        <v>191</v>
      </c>
      <c r="AN191" s="330" t="s">
        <v>353</v>
      </c>
      <c r="AO191" s="330"/>
      <c r="AP191" s="332" t="s">
        <v>259</v>
      </c>
      <c r="AQ191" s="330"/>
      <c r="AR191" s="330"/>
      <c r="AS191" s="330" t="b">
        <v>1</v>
      </c>
      <c r="AT191" s="330"/>
      <c r="AU191" s="332" t="s">
        <v>353</v>
      </c>
      <c r="AV191" s="334">
        <v>46087.672272731485</v>
      </c>
      <c r="AW191" s="330" t="b">
        <v>1</v>
      </c>
      <c r="AX191" s="335">
        <v>46108</v>
      </c>
      <c r="AY191" s="336">
        <v>46112</v>
      </c>
      <c r="AZ191" s="330" t="b">
        <v>1</v>
      </c>
      <c r="BA191" s="336">
        <v>46128</v>
      </c>
      <c r="BB191" s="330"/>
      <c r="BC191" s="336">
        <v>46118</v>
      </c>
      <c r="BD191" s="330"/>
      <c r="BE191" s="330"/>
      <c r="BF191" s="330"/>
      <c r="BG191" s="330"/>
      <c r="BH191" s="330" t="s">
        <v>193</v>
      </c>
      <c r="BI191" s="330">
        <v>17</v>
      </c>
      <c r="BJ191" s="330"/>
      <c r="BK191" s="330"/>
      <c r="BL191" s="330"/>
      <c r="BM191" s="332"/>
      <c r="BN191" s="330"/>
      <c r="BO191" s="330" t="s">
        <v>1939</v>
      </c>
      <c r="BP191" s="330" t="s">
        <v>193</v>
      </c>
      <c r="BQ191" s="330" t="s">
        <v>218</v>
      </c>
      <c r="BR191" s="330" t="s">
        <v>220</v>
      </c>
      <c r="BS191" s="330"/>
      <c r="BT191" s="330" t="s">
        <v>193</v>
      </c>
      <c r="BU191" s="330" t="s">
        <v>1940</v>
      </c>
      <c r="BV191" s="330" t="s">
        <v>193</v>
      </c>
      <c r="BW191" s="330" t="s">
        <v>1817</v>
      </c>
      <c r="BX191" s="332"/>
      <c r="BY191" s="330"/>
      <c r="BZ191" s="330"/>
      <c r="CA191" s="330"/>
      <c r="CB191" s="330"/>
      <c r="CC191" s="337" t="s">
        <v>194</v>
      </c>
      <c r="CD191" s="330" t="b">
        <v>1</v>
      </c>
      <c r="CE191" s="330" t="b">
        <v>1</v>
      </c>
      <c r="CF191" s="330" t="b">
        <v>1</v>
      </c>
      <c r="CG191" s="330" t="s">
        <v>242</v>
      </c>
      <c r="CH191" s="330"/>
      <c r="CI191" s="330"/>
      <c r="CJ191" s="330"/>
      <c r="CK191" s="330"/>
      <c r="CL191" s="330"/>
      <c r="CM191" s="330"/>
      <c r="CN191" s="330"/>
      <c r="CO191" s="330"/>
      <c r="CP191" s="330"/>
      <c r="CQ191" s="330"/>
      <c r="CR191" s="330"/>
      <c r="CS191" s="330"/>
      <c r="CT191" s="330"/>
      <c r="CU191" s="330"/>
      <c r="CV191" s="330"/>
      <c r="CW191" s="330"/>
      <c r="CX191" s="330"/>
      <c r="CY191" s="330"/>
      <c r="CZ191" s="330"/>
      <c r="DA191" s="330"/>
      <c r="DB191" s="330" t="b">
        <v>1</v>
      </c>
      <c r="DC191" s="330" t="b">
        <v>1</v>
      </c>
      <c r="DD191" s="330"/>
      <c r="DE191" s="330"/>
      <c r="DF191" s="338">
        <v>25022</v>
      </c>
      <c r="DG191" s="330" t="s">
        <v>221</v>
      </c>
      <c r="DH191" s="330"/>
      <c r="DI191" s="338">
        <v>11</v>
      </c>
      <c r="DJ191" s="330"/>
      <c r="DK191" s="330">
        <v>11</v>
      </c>
      <c r="DL191" s="330" t="s">
        <v>1791</v>
      </c>
      <c r="DM191" s="330"/>
      <c r="DN191" s="330"/>
      <c r="DO191" s="330"/>
      <c r="DP191" s="330"/>
      <c r="DQ191" s="338" t="s">
        <v>197</v>
      </c>
      <c r="DR191" s="330"/>
      <c r="DS191" s="330"/>
      <c r="DT191" s="330"/>
      <c r="DU191" s="338" t="s">
        <v>197</v>
      </c>
      <c r="DV191" s="330"/>
      <c r="DW191" s="330"/>
      <c r="DX191" s="330"/>
      <c r="DY191" s="338" t="s">
        <v>197</v>
      </c>
      <c r="DZ191" s="330"/>
      <c r="EA191" s="330"/>
      <c r="EB191" s="330"/>
      <c r="EC191" s="330" t="s">
        <v>197</v>
      </c>
      <c r="ED191" s="338" t="s">
        <v>197</v>
      </c>
      <c r="EE191" s="330">
        <v>6</v>
      </c>
      <c r="EF191" s="330">
        <v>8</v>
      </c>
      <c r="EG191" s="330"/>
      <c r="EH191" s="330"/>
      <c r="EI191" s="330"/>
      <c r="EJ191" s="330"/>
      <c r="EK191" s="330"/>
      <c r="EL191" s="330"/>
      <c r="EM191" s="330"/>
      <c r="EN191" s="330"/>
      <c r="EO191" s="330"/>
      <c r="EP191" s="330"/>
      <c r="EQ191" s="332" t="s">
        <v>198</v>
      </c>
      <c r="ER191" s="330"/>
      <c r="ES191" s="330"/>
      <c r="ET191" s="332" t="s">
        <v>245</v>
      </c>
      <c r="EU191" s="332" t="s">
        <v>246</v>
      </c>
      <c r="EV191" s="336">
        <v>46111</v>
      </c>
      <c r="EW191" s="336">
        <v>46112</v>
      </c>
      <c r="EX191" s="330">
        <v>2</v>
      </c>
      <c r="EY191" s="330"/>
      <c r="EZ191" s="330" t="s">
        <v>201</v>
      </c>
      <c r="FA191" s="336">
        <v>46115</v>
      </c>
      <c r="FB191" s="330">
        <v>4</v>
      </c>
      <c r="FC191" s="330" t="s">
        <v>202</v>
      </c>
      <c r="FD191" s="332" t="s">
        <v>190</v>
      </c>
      <c r="FE191" s="336">
        <v>46120</v>
      </c>
      <c r="FF191" s="330"/>
      <c r="FG191" s="330" t="s">
        <v>203</v>
      </c>
      <c r="FH191" s="330" t="s">
        <v>1930</v>
      </c>
      <c r="FI191" s="330" t="s">
        <v>204</v>
      </c>
      <c r="FJ191" s="330"/>
      <c r="FK191" s="330" t="s">
        <v>1780</v>
      </c>
      <c r="FL191" s="330" t="s">
        <v>353</v>
      </c>
      <c r="FM191" s="330" t="s">
        <v>191</v>
      </c>
      <c r="FN191" s="330" t="s">
        <v>1941</v>
      </c>
      <c r="FO191" s="330"/>
      <c r="FP191" s="330" t="s">
        <v>1794</v>
      </c>
      <c r="FQ191" s="330"/>
      <c r="FR191" s="330"/>
      <c r="FS191" s="330"/>
      <c r="FT191" s="330"/>
      <c r="FU191" s="330"/>
    </row>
    <row r="192" spans="1:177" ht="51" x14ac:dyDescent="0.25">
      <c r="A192" s="330">
        <v>191</v>
      </c>
      <c r="B192" s="331" t="s">
        <v>1942</v>
      </c>
      <c r="C192" s="330"/>
      <c r="D192" s="332" t="s">
        <v>1943</v>
      </c>
      <c r="E192" s="332" t="s">
        <v>1944</v>
      </c>
      <c r="F192" s="332" t="s">
        <v>180</v>
      </c>
      <c r="G192" s="330" t="s">
        <v>181</v>
      </c>
      <c r="H192" s="331">
        <v>400</v>
      </c>
      <c r="I192" s="330"/>
      <c r="J192" s="332" t="s">
        <v>1945</v>
      </c>
      <c r="K192" s="332"/>
      <c r="L192" s="330" t="s">
        <v>284</v>
      </c>
      <c r="M192" s="332" t="s">
        <v>751</v>
      </c>
      <c r="N192" s="330"/>
      <c r="O192" s="333"/>
      <c r="P192" s="333"/>
      <c r="Q192" s="333">
        <v>2058</v>
      </c>
      <c r="R192" s="333">
        <v>216</v>
      </c>
      <c r="S192" s="333"/>
      <c r="T192" s="333"/>
      <c r="U192" s="333"/>
      <c r="V192" s="333"/>
      <c r="W192" s="330"/>
      <c r="X192" s="330"/>
      <c r="Y192" s="332" t="s">
        <v>1946</v>
      </c>
      <c r="Z192" s="330" t="s">
        <v>215</v>
      </c>
      <c r="AA192" s="330" t="s">
        <v>1947</v>
      </c>
      <c r="AB192" s="330" t="s">
        <v>217</v>
      </c>
      <c r="AC192" s="330"/>
      <c r="AD192" s="330" t="s">
        <v>924</v>
      </c>
      <c r="AE192" s="330">
        <v>1</v>
      </c>
      <c r="AF192" s="330">
        <v>-3</v>
      </c>
      <c r="AG192" s="332" t="s">
        <v>1258</v>
      </c>
      <c r="AH192" s="332" t="s">
        <v>191</v>
      </c>
      <c r="AI192" s="330"/>
      <c r="AJ192" s="330" t="s">
        <v>191</v>
      </c>
      <c r="AK192" s="330" t="s">
        <v>627</v>
      </c>
      <c r="AL192" s="330" t="s">
        <v>1258</v>
      </c>
      <c r="AM192" s="330" t="s">
        <v>191</v>
      </c>
      <c r="AN192" s="330" t="s">
        <v>1258</v>
      </c>
      <c r="AO192" s="330"/>
      <c r="AP192" s="332" t="s">
        <v>259</v>
      </c>
      <c r="AQ192" s="330"/>
      <c r="AR192" s="330"/>
      <c r="AS192" s="330"/>
      <c r="AT192" s="330"/>
      <c r="AU192" s="332" t="s">
        <v>1258</v>
      </c>
      <c r="AV192" s="334">
        <v>46092.329027025466</v>
      </c>
      <c r="AW192" s="330"/>
      <c r="AX192" s="335">
        <v>46126</v>
      </c>
      <c r="AY192" s="330"/>
      <c r="AZ192" s="330"/>
      <c r="BA192" s="330"/>
      <c r="BB192" s="330"/>
      <c r="BC192" s="336">
        <v>46147</v>
      </c>
      <c r="BD192" s="330"/>
      <c r="BE192" s="330"/>
      <c r="BF192" s="330"/>
      <c r="BG192" s="330"/>
      <c r="BH192" s="330" t="s">
        <v>193</v>
      </c>
      <c r="BI192" s="330">
        <v>430</v>
      </c>
      <c r="BJ192" s="330"/>
      <c r="BK192" s="330"/>
      <c r="BL192" s="330"/>
      <c r="BM192" s="332"/>
      <c r="BN192" s="330"/>
      <c r="BO192" s="330" t="s">
        <v>240</v>
      </c>
      <c r="BP192" s="330" t="s">
        <v>193</v>
      </c>
      <c r="BQ192" s="330" t="s">
        <v>218</v>
      </c>
      <c r="BR192" s="330" t="s">
        <v>193</v>
      </c>
      <c r="BS192" s="330" t="s">
        <v>1948</v>
      </c>
      <c r="BT192" s="330" t="s">
        <v>193</v>
      </c>
      <c r="BU192" s="330" t="s">
        <v>1949</v>
      </c>
      <c r="BV192" s="330" t="s">
        <v>220</v>
      </c>
      <c r="BW192" s="330"/>
      <c r="BX192" s="332"/>
      <c r="BY192" s="330"/>
      <c r="BZ192" s="330"/>
      <c r="CA192" s="330"/>
      <c r="CB192" s="330"/>
      <c r="CC192" s="337" t="s">
        <v>1325</v>
      </c>
      <c r="CD192" s="330" t="b">
        <v>1</v>
      </c>
      <c r="CE192" s="330" t="b">
        <v>1</v>
      </c>
      <c r="CF192" s="330" t="b">
        <v>1</v>
      </c>
      <c r="CG192" s="330"/>
      <c r="CH192" s="330"/>
      <c r="CI192" s="330"/>
      <c r="CJ192" s="330"/>
      <c r="CK192" s="330"/>
      <c r="CL192" s="330"/>
      <c r="CM192" s="330"/>
      <c r="CN192" s="330"/>
      <c r="CO192" s="330"/>
      <c r="CP192" s="330"/>
      <c r="CQ192" s="330"/>
      <c r="CR192" s="330"/>
      <c r="CS192" s="330"/>
      <c r="CT192" s="330"/>
      <c r="CU192" s="330"/>
      <c r="CV192" s="330"/>
      <c r="CW192" s="330"/>
      <c r="CX192" s="330"/>
      <c r="CY192" s="330"/>
      <c r="CZ192" s="330"/>
      <c r="DA192" s="330"/>
      <c r="DB192" s="330" t="b">
        <v>1</v>
      </c>
      <c r="DC192" s="330" t="b">
        <v>1</v>
      </c>
      <c r="DD192" s="330"/>
      <c r="DE192" s="330"/>
      <c r="DF192" s="338">
        <v>25006</v>
      </c>
      <c r="DG192" s="330" t="s">
        <v>221</v>
      </c>
      <c r="DH192" s="330"/>
      <c r="DI192" s="338" t="s">
        <v>746</v>
      </c>
      <c r="DJ192" s="330"/>
      <c r="DK192" s="330">
        <v>3</v>
      </c>
      <c r="DL192" s="330" t="s">
        <v>1950</v>
      </c>
      <c r="DM192" s="330"/>
      <c r="DN192" s="330"/>
      <c r="DO192" s="330"/>
      <c r="DP192" s="330"/>
      <c r="DQ192" s="338" t="s">
        <v>197</v>
      </c>
      <c r="DR192" s="330"/>
      <c r="DS192" s="330"/>
      <c r="DT192" s="330"/>
      <c r="DU192" s="338" t="s">
        <v>197</v>
      </c>
      <c r="DV192" s="330"/>
      <c r="DW192" s="330"/>
      <c r="DX192" s="330"/>
      <c r="DY192" s="338" t="s">
        <v>197</v>
      </c>
      <c r="DZ192" s="330"/>
      <c r="EA192" s="330"/>
      <c r="EB192" s="330"/>
      <c r="EC192" s="330" t="s">
        <v>197</v>
      </c>
      <c r="ED192" s="338" t="s">
        <v>197</v>
      </c>
      <c r="EE192" s="330">
        <v>60</v>
      </c>
      <c r="EF192" s="330">
        <v>360</v>
      </c>
      <c r="EG192" s="330"/>
      <c r="EH192" s="330"/>
      <c r="EI192" s="330"/>
      <c r="EJ192" s="330"/>
      <c r="EK192" s="330"/>
      <c r="EL192" s="330"/>
      <c r="EM192" s="330"/>
      <c r="EN192" s="330"/>
      <c r="EO192" s="330"/>
      <c r="EP192" s="330"/>
      <c r="EQ192" s="332" t="s">
        <v>224</v>
      </c>
      <c r="ER192" s="330"/>
      <c r="ES192" s="330"/>
      <c r="ET192" s="332" t="s">
        <v>245</v>
      </c>
      <c r="EU192" s="332" t="s">
        <v>354</v>
      </c>
      <c r="EV192" s="330"/>
      <c r="EW192" s="330"/>
      <c r="EX192" s="330" t="s">
        <v>200</v>
      </c>
      <c r="EY192" s="330"/>
      <c r="EZ192" s="330" t="s">
        <v>247</v>
      </c>
      <c r="FA192" s="330"/>
      <c r="FB192" s="330" t="s">
        <v>247</v>
      </c>
      <c r="FC192" s="330" t="s">
        <v>202</v>
      </c>
      <c r="FD192" s="332" t="s">
        <v>190</v>
      </c>
      <c r="FE192" s="330"/>
      <c r="FF192" s="330"/>
      <c r="FG192" s="330" t="s">
        <v>203</v>
      </c>
      <c r="FH192" s="330" t="s">
        <v>2142</v>
      </c>
      <c r="FI192" s="330" t="s">
        <v>204</v>
      </c>
      <c r="FJ192" s="330"/>
      <c r="FK192" s="330" t="s">
        <v>180</v>
      </c>
      <c r="FL192" s="330" t="s">
        <v>1258</v>
      </c>
      <c r="FM192" s="330" t="s">
        <v>191</v>
      </c>
      <c r="FN192" s="330" t="s">
        <v>1951</v>
      </c>
      <c r="FO192" s="330"/>
      <c r="FP192" s="330" t="s">
        <v>1952</v>
      </c>
      <c r="FQ192" s="330"/>
      <c r="FR192" s="330"/>
      <c r="FS192" s="330"/>
      <c r="FT192" s="330"/>
      <c r="FU192" s="330"/>
    </row>
    <row r="193" spans="1:177" ht="51" x14ac:dyDescent="0.25">
      <c r="A193" s="330">
        <v>192</v>
      </c>
      <c r="B193" s="331" t="s">
        <v>1953</v>
      </c>
      <c r="C193" s="330"/>
      <c r="D193" s="332" t="s">
        <v>1943</v>
      </c>
      <c r="E193" s="332" t="s">
        <v>1944</v>
      </c>
      <c r="F193" s="332" t="s">
        <v>180</v>
      </c>
      <c r="G193" s="330" t="s">
        <v>181</v>
      </c>
      <c r="H193" s="331">
        <v>400</v>
      </c>
      <c r="I193" s="330"/>
      <c r="J193" s="332"/>
      <c r="K193" s="332" t="s">
        <v>1954</v>
      </c>
      <c r="L193" s="330" t="s">
        <v>284</v>
      </c>
      <c r="M193" s="332" t="s">
        <v>751</v>
      </c>
      <c r="N193" s="330"/>
      <c r="O193" s="333"/>
      <c r="P193" s="333"/>
      <c r="Q193" s="333">
        <v>2058</v>
      </c>
      <c r="R193" s="333">
        <v>232</v>
      </c>
      <c r="S193" s="333"/>
      <c r="T193" s="333"/>
      <c r="U193" s="333"/>
      <c r="V193" s="333"/>
      <c r="W193" s="330"/>
      <c r="X193" s="330"/>
      <c r="Y193" s="332" t="s">
        <v>1946</v>
      </c>
      <c r="Z193" s="330" t="s">
        <v>215</v>
      </c>
      <c r="AA193" s="330" t="s">
        <v>1947</v>
      </c>
      <c r="AB193" s="330" t="s">
        <v>217</v>
      </c>
      <c r="AC193" s="330"/>
      <c r="AD193" s="330" t="s">
        <v>924</v>
      </c>
      <c r="AE193" s="330">
        <v>5</v>
      </c>
      <c r="AF193" s="330">
        <v>7</v>
      </c>
      <c r="AG193" s="332" t="s">
        <v>627</v>
      </c>
      <c r="AH193" s="332" t="s">
        <v>191</v>
      </c>
      <c r="AI193" s="330"/>
      <c r="AJ193" s="330" t="s">
        <v>191</v>
      </c>
      <c r="AK193" s="330" t="s">
        <v>627</v>
      </c>
      <c r="AL193" s="330"/>
      <c r="AM193" s="330" t="s">
        <v>191</v>
      </c>
      <c r="AN193" s="330"/>
      <c r="AO193" s="330"/>
      <c r="AP193" s="332" t="s">
        <v>259</v>
      </c>
      <c r="AQ193" s="330"/>
      <c r="AR193" s="330"/>
      <c r="AS193" s="330"/>
      <c r="AT193" s="330"/>
      <c r="AU193" s="332" t="s">
        <v>191</v>
      </c>
      <c r="AV193" s="334">
        <v>46092.330309594909</v>
      </c>
      <c r="AW193" s="330"/>
      <c r="AX193" s="335">
        <v>46136</v>
      </c>
      <c r="AY193" s="330"/>
      <c r="AZ193" s="330"/>
      <c r="BA193" s="330"/>
      <c r="BB193" s="330"/>
      <c r="BC193" s="336">
        <v>46157</v>
      </c>
      <c r="BD193" s="330"/>
      <c r="BE193" s="330"/>
      <c r="BF193" s="330"/>
      <c r="BG193" s="330"/>
      <c r="BH193" s="330" t="s">
        <v>193</v>
      </c>
      <c r="BI193" s="330">
        <v>430</v>
      </c>
      <c r="BJ193" s="330"/>
      <c r="BK193" s="330"/>
      <c r="BL193" s="330"/>
      <c r="BM193" s="332"/>
      <c r="BN193" s="330"/>
      <c r="BO193" s="330" t="s">
        <v>240</v>
      </c>
      <c r="BP193" s="330" t="s">
        <v>193</v>
      </c>
      <c r="BQ193" s="330" t="s">
        <v>218</v>
      </c>
      <c r="BR193" s="330" t="s">
        <v>193</v>
      </c>
      <c r="BS193" s="330" t="s">
        <v>1948</v>
      </c>
      <c r="BT193" s="330" t="s">
        <v>193</v>
      </c>
      <c r="BU193" s="330" t="s">
        <v>1949</v>
      </c>
      <c r="BV193" s="330" t="s">
        <v>220</v>
      </c>
      <c r="BW193" s="330"/>
      <c r="BX193" s="332"/>
      <c r="BY193" s="330"/>
      <c r="BZ193" s="330"/>
      <c r="CA193" s="330"/>
      <c r="CB193" s="330"/>
      <c r="CC193" s="337" t="s">
        <v>1955</v>
      </c>
      <c r="CD193" s="330" t="b">
        <v>1</v>
      </c>
      <c r="CE193" s="330" t="b">
        <v>1</v>
      </c>
      <c r="CF193" s="330" t="b">
        <v>1</v>
      </c>
      <c r="CG193" s="330"/>
      <c r="CH193" s="330"/>
      <c r="CI193" s="330"/>
      <c r="CJ193" s="330"/>
      <c r="CK193" s="330"/>
      <c r="CL193" s="330"/>
      <c r="CM193" s="330"/>
      <c r="CN193" s="330"/>
      <c r="CO193" s="330"/>
      <c r="CP193" s="330"/>
      <c r="CQ193" s="330"/>
      <c r="CR193" s="330"/>
      <c r="CS193" s="330"/>
      <c r="CT193" s="330"/>
      <c r="CU193" s="330"/>
      <c r="CV193" s="330"/>
      <c r="CW193" s="330"/>
      <c r="CX193" s="330"/>
      <c r="CY193" s="330"/>
      <c r="CZ193" s="330"/>
      <c r="DA193" s="330"/>
      <c r="DB193" s="330" t="b">
        <v>1</v>
      </c>
      <c r="DC193" s="330" t="b">
        <v>1</v>
      </c>
      <c r="DD193" s="330"/>
      <c r="DE193" s="330"/>
      <c r="DF193" s="338">
        <v>25006</v>
      </c>
      <c r="DG193" s="330" t="s">
        <v>221</v>
      </c>
      <c r="DH193" s="330"/>
      <c r="DI193" s="338" t="s">
        <v>754</v>
      </c>
      <c r="DJ193" s="330"/>
      <c r="DK193" s="330">
        <v>4</v>
      </c>
      <c r="DL193" s="330" t="s">
        <v>1950</v>
      </c>
      <c r="DM193" s="330"/>
      <c r="DN193" s="330"/>
      <c r="DO193" s="330"/>
      <c r="DP193" s="330"/>
      <c r="DQ193" s="338" t="s">
        <v>197</v>
      </c>
      <c r="DR193" s="330"/>
      <c r="DS193" s="330"/>
      <c r="DT193" s="330"/>
      <c r="DU193" s="338" t="s">
        <v>197</v>
      </c>
      <c r="DV193" s="330"/>
      <c r="DW193" s="330"/>
      <c r="DX193" s="330"/>
      <c r="DY193" s="338" t="s">
        <v>197</v>
      </c>
      <c r="DZ193" s="330"/>
      <c r="EA193" s="330"/>
      <c r="EB193" s="330"/>
      <c r="EC193" s="330" t="s">
        <v>197</v>
      </c>
      <c r="ED193" s="338" t="s">
        <v>197</v>
      </c>
      <c r="EE193" s="330">
        <v>60</v>
      </c>
      <c r="EF193" s="330">
        <v>360</v>
      </c>
      <c r="EG193" s="330"/>
      <c r="EH193" s="330"/>
      <c r="EI193" s="330"/>
      <c r="EJ193" s="330"/>
      <c r="EK193" s="330"/>
      <c r="EL193" s="330"/>
      <c r="EM193" s="330"/>
      <c r="EN193" s="330"/>
      <c r="EO193" s="330"/>
      <c r="EP193" s="330"/>
      <c r="EQ193" s="332" t="s">
        <v>224</v>
      </c>
      <c r="ER193" s="330"/>
      <c r="ES193" s="330"/>
      <c r="ET193" s="332" t="s">
        <v>245</v>
      </c>
      <c r="EU193" s="332" t="s">
        <v>354</v>
      </c>
      <c r="EV193" s="330"/>
      <c r="EW193" s="330"/>
      <c r="EX193" s="330" t="s">
        <v>200</v>
      </c>
      <c r="EY193" s="330"/>
      <c r="EZ193" s="330" t="s">
        <v>247</v>
      </c>
      <c r="FA193" s="330"/>
      <c r="FB193" s="330" t="s">
        <v>247</v>
      </c>
      <c r="FC193" s="330" t="s">
        <v>202</v>
      </c>
      <c r="FD193" s="332" t="s">
        <v>190</v>
      </c>
      <c r="FE193" s="330"/>
      <c r="FF193" s="330"/>
      <c r="FG193" s="330" t="s">
        <v>203</v>
      </c>
      <c r="FH193" s="330" t="s">
        <v>1956</v>
      </c>
      <c r="FI193" s="330" t="s">
        <v>204</v>
      </c>
      <c r="FJ193" s="330"/>
      <c r="FK193" s="330" t="s">
        <v>180</v>
      </c>
      <c r="FL193" s="330"/>
      <c r="FM193" s="330" t="s">
        <v>191</v>
      </c>
      <c r="FN193" s="330" t="s">
        <v>1957</v>
      </c>
      <c r="FO193" s="330"/>
      <c r="FP193" s="330" t="s">
        <v>1958</v>
      </c>
      <c r="FQ193" s="330"/>
      <c r="FR193" s="330"/>
      <c r="FS193" s="330"/>
      <c r="FT193" s="330"/>
      <c r="FU193" s="330"/>
    </row>
    <row r="194" spans="1:177" ht="51" x14ac:dyDescent="0.25">
      <c r="A194" s="330">
        <v>193</v>
      </c>
      <c r="B194" s="331" t="s">
        <v>1959</v>
      </c>
      <c r="C194" s="330"/>
      <c r="D194" s="332" t="s">
        <v>1943</v>
      </c>
      <c r="E194" s="332" t="s">
        <v>1944</v>
      </c>
      <c r="F194" s="332" t="s">
        <v>180</v>
      </c>
      <c r="G194" s="330" t="s">
        <v>181</v>
      </c>
      <c r="H194" s="331">
        <v>400</v>
      </c>
      <c r="I194" s="330"/>
      <c r="J194" s="332"/>
      <c r="K194" s="332" t="s">
        <v>1960</v>
      </c>
      <c r="L194" s="330" t="s">
        <v>284</v>
      </c>
      <c r="M194" s="332" t="s">
        <v>751</v>
      </c>
      <c r="N194" s="330"/>
      <c r="O194" s="333"/>
      <c r="P194" s="333"/>
      <c r="Q194" s="333">
        <v>2058</v>
      </c>
      <c r="R194" s="333">
        <v>18</v>
      </c>
      <c r="S194" s="333"/>
      <c r="T194" s="333"/>
      <c r="U194" s="333"/>
      <c r="V194" s="333"/>
      <c r="W194" s="330"/>
      <c r="X194" s="330"/>
      <c r="Y194" s="332" t="s">
        <v>1961</v>
      </c>
      <c r="Z194" s="330" t="s">
        <v>215</v>
      </c>
      <c r="AA194" s="330" t="s">
        <v>1962</v>
      </c>
      <c r="AB194" s="330" t="s">
        <v>189</v>
      </c>
      <c r="AC194" s="330"/>
      <c r="AD194" s="330" t="s">
        <v>924</v>
      </c>
      <c r="AE194" s="330">
        <v>2</v>
      </c>
      <c r="AF194" s="330">
        <v>3</v>
      </c>
      <c r="AG194" s="332" t="s">
        <v>627</v>
      </c>
      <c r="AH194" s="332" t="s">
        <v>191</v>
      </c>
      <c r="AI194" s="330"/>
      <c r="AJ194" s="330" t="s">
        <v>191</v>
      </c>
      <c r="AK194" s="330" t="s">
        <v>627</v>
      </c>
      <c r="AL194" s="330"/>
      <c r="AM194" s="330" t="s">
        <v>191</v>
      </c>
      <c r="AN194" s="330"/>
      <c r="AO194" s="330"/>
      <c r="AP194" s="332" t="s">
        <v>259</v>
      </c>
      <c r="AQ194" s="330"/>
      <c r="AR194" s="330"/>
      <c r="AS194" s="330"/>
      <c r="AT194" s="330"/>
      <c r="AU194" s="332" t="s">
        <v>191</v>
      </c>
      <c r="AV194" s="334">
        <v>46092.339094722221</v>
      </c>
      <c r="AW194" s="330"/>
      <c r="AX194" s="335">
        <v>46132</v>
      </c>
      <c r="AY194" s="330"/>
      <c r="AZ194" s="330"/>
      <c r="BA194" s="330"/>
      <c r="BB194" s="330"/>
      <c r="BC194" s="336">
        <v>46153</v>
      </c>
      <c r="BD194" s="330"/>
      <c r="BE194" s="330"/>
      <c r="BF194" s="330"/>
      <c r="BG194" s="330"/>
      <c r="BH194" s="330" t="s">
        <v>193</v>
      </c>
      <c r="BI194" s="330">
        <v>30</v>
      </c>
      <c r="BJ194" s="330"/>
      <c r="BK194" s="330"/>
      <c r="BL194" s="330"/>
      <c r="BM194" s="332"/>
      <c r="BN194" s="330"/>
      <c r="BO194" s="330" t="s">
        <v>240</v>
      </c>
      <c r="BP194" s="330" t="s">
        <v>193</v>
      </c>
      <c r="BQ194" s="330" t="s">
        <v>218</v>
      </c>
      <c r="BR194" s="330" t="s">
        <v>193</v>
      </c>
      <c r="BS194" s="330" t="s">
        <v>1963</v>
      </c>
      <c r="BT194" s="330" t="s">
        <v>193</v>
      </c>
      <c r="BU194" s="330" t="s">
        <v>1964</v>
      </c>
      <c r="BV194" s="330" t="s">
        <v>220</v>
      </c>
      <c r="BW194" s="330"/>
      <c r="BX194" s="332"/>
      <c r="BY194" s="330"/>
      <c r="BZ194" s="330"/>
      <c r="CA194" s="330"/>
      <c r="CB194" s="330"/>
      <c r="CC194" s="337" t="s">
        <v>1955</v>
      </c>
      <c r="CD194" s="330" t="b">
        <v>1</v>
      </c>
      <c r="CE194" s="330" t="b">
        <v>1</v>
      </c>
      <c r="CF194" s="330" t="b">
        <v>1</v>
      </c>
      <c r="CG194" s="330"/>
      <c r="CH194" s="330"/>
      <c r="CI194" s="330"/>
      <c r="CJ194" s="330"/>
      <c r="CK194" s="330"/>
      <c r="CL194" s="330"/>
      <c r="CM194" s="330"/>
      <c r="CN194" s="330"/>
      <c r="CO194" s="330"/>
      <c r="CP194" s="330"/>
      <c r="CQ194" s="330"/>
      <c r="CR194" s="330"/>
      <c r="CS194" s="330"/>
      <c r="CT194" s="330"/>
      <c r="CU194" s="330"/>
      <c r="CV194" s="330"/>
      <c r="CW194" s="330"/>
      <c r="CX194" s="330"/>
      <c r="CY194" s="330"/>
      <c r="CZ194" s="330"/>
      <c r="DA194" s="330"/>
      <c r="DB194" s="330" t="b">
        <v>1</v>
      </c>
      <c r="DC194" s="330" t="b">
        <v>1</v>
      </c>
      <c r="DD194" s="330"/>
      <c r="DE194" s="330"/>
      <c r="DF194" s="338">
        <v>25006</v>
      </c>
      <c r="DG194" s="330" t="s">
        <v>221</v>
      </c>
      <c r="DH194" s="330"/>
      <c r="DI194" s="338" t="s">
        <v>952</v>
      </c>
      <c r="DJ194" s="330"/>
      <c r="DK194" s="330">
        <v>5</v>
      </c>
      <c r="DL194" s="330" t="s">
        <v>1950</v>
      </c>
      <c r="DM194" s="330"/>
      <c r="DN194" s="330"/>
      <c r="DO194" s="330"/>
      <c r="DP194" s="330"/>
      <c r="DQ194" s="338" t="s">
        <v>197</v>
      </c>
      <c r="DR194" s="330"/>
      <c r="DS194" s="330"/>
      <c r="DT194" s="330"/>
      <c r="DU194" s="338" t="s">
        <v>197</v>
      </c>
      <c r="DV194" s="330"/>
      <c r="DW194" s="330"/>
      <c r="DX194" s="330"/>
      <c r="DY194" s="338" t="s">
        <v>197</v>
      </c>
      <c r="DZ194" s="330"/>
      <c r="EA194" s="330"/>
      <c r="EB194" s="330"/>
      <c r="EC194" s="330" t="s">
        <v>197</v>
      </c>
      <c r="ED194" s="338" t="s">
        <v>197</v>
      </c>
      <c r="EE194" s="330">
        <v>5</v>
      </c>
      <c r="EF194" s="330">
        <v>30</v>
      </c>
      <c r="EG194" s="330"/>
      <c r="EH194" s="330"/>
      <c r="EI194" s="330"/>
      <c r="EJ194" s="330"/>
      <c r="EK194" s="330"/>
      <c r="EL194" s="330"/>
      <c r="EM194" s="330"/>
      <c r="EN194" s="330"/>
      <c r="EO194" s="330"/>
      <c r="EP194" s="330"/>
      <c r="EQ194" s="332" t="s">
        <v>224</v>
      </c>
      <c r="ER194" s="330"/>
      <c r="ES194" s="330"/>
      <c r="ET194" s="332" t="s">
        <v>245</v>
      </c>
      <c r="EU194" s="332" t="s">
        <v>354</v>
      </c>
      <c r="EV194" s="330"/>
      <c r="EW194" s="330"/>
      <c r="EX194" s="330" t="s">
        <v>200</v>
      </c>
      <c r="EY194" s="330"/>
      <c r="EZ194" s="330" t="s">
        <v>247</v>
      </c>
      <c r="FA194" s="330"/>
      <c r="FB194" s="330" t="s">
        <v>247</v>
      </c>
      <c r="FC194" s="330" t="s">
        <v>202</v>
      </c>
      <c r="FD194" s="332" t="s">
        <v>190</v>
      </c>
      <c r="FE194" s="330"/>
      <c r="FF194" s="330"/>
      <c r="FG194" s="330" t="s">
        <v>203</v>
      </c>
      <c r="FH194" s="330" t="s">
        <v>1965</v>
      </c>
      <c r="FI194" s="330" t="s">
        <v>204</v>
      </c>
      <c r="FJ194" s="330"/>
      <c r="FK194" s="330" t="s">
        <v>180</v>
      </c>
      <c r="FL194" s="330"/>
      <c r="FM194" s="330" t="s">
        <v>191</v>
      </c>
      <c r="FN194" s="330" t="s">
        <v>1966</v>
      </c>
      <c r="FO194" s="330"/>
      <c r="FP194" s="330" t="s">
        <v>1958</v>
      </c>
      <c r="FQ194" s="330"/>
      <c r="FR194" s="330"/>
      <c r="FS194" s="330"/>
      <c r="FT194" s="330"/>
      <c r="FU194" s="330"/>
    </row>
    <row r="195" spans="1:177" ht="25.5" x14ac:dyDescent="0.25">
      <c r="A195" s="330">
        <v>194</v>
      </c>
      <c r="B195" s="331" t="s">
        <v>1967</v>
      </c>
      <c r="C195" s="330"/>
      <c r="D195" s="332" t="s">
        <v>1264</v>
      </c>
      <c r="E195" s="332" t="s">
        <v>1265</v>
      </c>
      <c r="F195" s="332" t="s">
        <v>795</v>
      </c>
      <c r="G195" s="330" t="s">
        <v>796</v>
      </c>
      <c r="H195" s="331" t="s">
        <v>731</v>
      </c>
      <c r="I195" s="330"/>
      <c r="J195" s="332" t="s">
        <v>1968</v>
      </c>
      <c r="K195" s="332" t="s">
        <v>1969</v>
      </c>
      <c r="L195" s="330" t="s">
        <v>1970</v>
      </c>
      <c r="M195" s="332"/>
      <c r="N195" s="330" t="s">
        <v>1971</v>
      </c>
      <c r="O195" s="333" t="s">
        <v>184</v>
      </c>
      <c r="P195" s="333" t="s">
        <v>184</v>
      </c>
      <c r="Q195" s="333" t="s">
        <v>184</v>
      </c>
      <c r="R195" s="333">
        <v>0</v>
      </c>
      <c r="S195" s="333">
        <v>2</v>
      </c>
      <c r="T195" s="333">
        <v>1</v>
      </c>
      <c r="U195" s="333">
        <v>0</v>
      </c>
      <c r="V195" s="333">
        <v>0</v>
      </c>
      <c r="W195" s="330">
        <v>1</v>
      </c>
      <c r="X195" s="330" t="s">
        <v>1972</v>
      </c>
      <c r="Y195" s="332" t="s">
        <v>1973</v>
      </c>
      <c r="Z195" s="330" t="s">
        <v>187</v>
      </c>
      <c r="AA195" s="330" t="s">
        <v>1974</v>
      </c>
      <c r="AB195" s="330" t="s">
        <v>189</v>
      </c>
      <c r="AC195" s="330"/>
      <c r="AD195" s="330"/>
      <c r="AE195" s="330">
        <v>4</v>
      </c>
      <c r="AF195" s="330">
        <v>-15</v>
      </c>
      <c r="AG195" s="332" t="s">
        <v>1664</v>
      </c>
      <c r="AH195" s="332" t="s">
        <v>202</v>
      </c>
      <c r="AI195" s="330"/>
      <c r="AJ195" s="330"/>
      <c r="AK195" s="330"/>
      <c r="AL195" s="330" t="s">
        <v>742</v>
      </c>
      <c r="AM195" s="330" t="s">
        <v>202</v>
      </c>
      <c r="AN195" s="330" t="s">
        <v>742</v>
      </c>
      <c r="AO195" s="330"/>
      <c r="AP195" s="332"/>
      <c r="AQ195" s="330" t="s">
        <v>334</v>
      </c>
      <c r="AR195" s="330"/>
      <c r="AS195" s="330" t="b">
        <v>1</v>
      </c>
      <c r="AT195" s="330"/>
      <c r="AU195" s="332" t="s">
        <v>742</v>
      </c>
      <c r="AV195" s="334">
        <v>46092.34184335648</v>
      </c>
      <c r="AW195" s="330" t="b">
        <v>1</v>
      </c>
      <c r="AX195" s="335">
        <v>46113</v>
      </c>
      <c r="AY195" s="336">
        <v>46092</v>
      </c>
      <c r="AZ195" s="330" t="b">
        <v>1</v>
      </c>
      <c r="BA195" s="336">
        <v>46108</v>
      </c>
      <c r="BB195" s="330"/>
      <c r="BC195" s="336">
        <v>46094</v>
      </c>
      <c r="BD195" s="330"/>
      <c r="BE195" s="330"/>
      <c r="BF195" s="330"/>
      <c r="BG195" s="330"/>
      <c r="BH195" s="330" t="s">
        <v>193</v>
      </c>
      <c r="BI195" s="330"/>
      <c r="BJ195" s="330"/>
      <c r="BK195" s="330"/>
      <c r="BL195" s="330"/>
      <c r="BM195" s="332"/>
      <c r="BN195" s="330"/>
      <c r="BO195" s="330" t="s">
        <v>184</v>
      </c>
      <c r="BP195" s="330" t="s">
        <v>184</v>
      </c>
      <c r="BQ195" s="330" t="s">
        <v>338</v>
      </c>
      <c r="BR195" s="330" t="s">
        <v>220</v>
      </c>
      <c r="BS195" s="330"/>
      <c r="BT195" s="330" t="s">
        <v>220</v>
      </c>
      <c r="BU195" s="330"/>
      <c r="BV195" s="330" t="s">
        <v>220</v>
      </c>
      <c r="BW195" s="330"/>
      <c r="BX195" s="332"/>
      <c r="BY195" s="330"/>
      <c r="BZ195" s="330"/>
      <c r="CA195" s="330"/>
      <c r="CB195" s="330"/>
      <c r="CC195" s="337" t="s">
        <v>776</v>
      </c>
      <c r="CD195" s="330"/>
      <c r="CE195" s="330" t="b">
        <v>1</v>
      </c>
      <c r="CF195" s="330"/>
      <c r="CG195" s="330"/>
      <c r="CH195" s="330"/>
      <c r="CI195" s="330" t="b">
        <v>1</v>
      </c>
      <c r="CJ195" s="330"/>
      <c r="CK195" s="330" t="s">
        <v>776</v>
      </c>
      <c r="CL195" s="330"/>
      <c r="CM195" s="330"/>
      <c r="CN195" s="330"/>
      <c r="CO195" s="330"/>
      <c r="CP195" s="330"/>
      <c r="CQ195" s="330"/>
      <c r="CR195" s="330"/>
      <c r="CS195" s="330"/>
      <c r="CT195" s="330"/>
      <c r="CU195" s="330"/>
      <c r="CV195" s="330"/>
      <c r="CW195" s="330"/>
      <c r="CX195" s="330" t="b">
        <v>1</v>
      </c>
      <c r="CY195" s="330"/>
      <c r="CZ195" s="330"/>
      <c r="DA195" s="330"/>
      <c r="DB195" s="330"/>
      <c r="DC195" s="330"/>
      <c r="DD195" s="330"/>
      <c r="DE195" s="330"/>
      <c r="DF195" s="338">
        <v>25029</v>
      </c>
      <c r="DG195" s="330" t="s">
        <v>821</v>
      </c>
      <c r="DH195" s="330"/>
      <c r="DI195" s="338" t="s">
        <v>746</v>
      </c>
      <c r="DJ195" s="330"/>
      <c r="DK195" s="330">
        <v>3</v>
      </c>
      <c r="DL195" s="330" t="s">
        <v>1867</v>
      </c>
      <c r="DM195" s="330"/>
      <c r="DN195" s="330"/>
      <c r="DO195" s="330"/>
      <c r="DP195" s="330"/>
      <c r="DQ195" s="338" t="s">
        <v>197</v>
      </c>
      <c r="DR195" s="330"/>
      <c r="DS195" s="330"/>
      <c r="DT195" s="330"/>
      <c r="DU195" s="338" t="s">
        <v>197</v>
      </c>
      <c r="DV195" s="330"/>
      <c r="DW195" s="330"/>
      <c r="DX195" s="330"/>
      <c r="DY195" s="338" t="s">
        <v>197</v>
      </c>
      <c r="DZ195" s="330"/>
      <c r="EA195" s="330"/>
      <c r="EB195" s="330"/>
      <c r="EC195" s="330" t="s">
        <v>197</v>
      </c>
      <c r="ED195" s="338" t="s">
        <v>197</v>
      </c>
      <c r="EE195" s="330">
        <v>2</v>
      </c>
      <c r="EF195" s="330">
        <v>2</v>
      </c>
      <c r="EG195" s="330"/>
      <c r="EH195" s="330"/>
      <c r="EI195" s="330"/>
      <c r="EJ195" s="330"/>
      <c r="EK195" s="330"/>
      <c r="EL195" s="330"/>
      <c r="EM195" s="330"/>
      <c r="EN195" s="330"/>
      <c r="EO195" s="330"/>
      <c r="EP195" s="330"/>
      <c r="EQ195" s="332" t="s">
        <v>244</v>
      </c>
      <c r="ER195" s="330"/>
      <c r="ES195" s="330"/>
      <c r="ET195" s="332" t="s">
        <v>86</v>
      </c>
      <c r="EU195" s="332" t="s">
        <v>1975</v>
      </c>
      <c r="EV195" s="336">
        <v>46092</v>
      </c>
      <c r="EW195" s="336">
        <v>46092</v>
      </c>
      <c r="EX195" s="330">
        <v>1</v>
      </c>
      <c r="EY195" s="330"/>
      <c r="EZ195" s="330" t="s">
        <v>247</v>
      </c>
      <c r="FA195" s="330"/>
      <c r="FB195" s="330" t="s">
        <v>247</v>
      </c>
      <c r="FC195" s="330" t="s">
        <v>202</v>
      </c>
      <c r="FD195" s="332" t="s">
        <v>190</v>
      </c>
      <c r="FE195" s="330"/>
      <c r="FF195" s="330"/>
      <c r="FG195" s="330" t="s">
        <v>203</v>
      </c>
      <c r="FH195" s="330" t="s">
        <v>1976</v>
      </c>
      <c r="FI195" s="330" t="s">
        <v>204</v>
      </c>
      <c r="FJ195" s="330"/>
      <c r="FK195" s="330" t="s">
        <v>795</v>
      </c>
      <c r="FL195" s="330" t="s">
        <v>742</v>
      </c>
      <c r="FM195" s="330" t="s">
        <v>202</v>
      </c>
      <c r="FN195" s="330" t="s">
        <v>1977</v>
      </c>
      <c r="FO195" s="330" t="b">
        <v>1</v>
      </c>
      <c r="FP195" s="330" t="s">
        <v>633</v>
      </c>
      <c r="FQ195" s="330"/>
      <c r="FR195" s="330"/>
      <c r="FS195" s="330"/>
      <c r="FT195" s="330"/>
      <c r="FU195" s="330"/>
    </row>
    <row r="196" spans="1:177" ht="51" x14ac:dyDescent="0.25">
      <c r="A196" s="330">
        <v>195</v>
      </c>
      <c r="B196" s="331" t="s">
        <v>1978</v>
      </c>
      <c r="C196" s="330"/>
      <c r="D196" s="332" t="s">
        <v>1943</v>
      </c>
      <c r="E196" s="332" t="s">
        <v>1944</v>
      </c>
      <c r="F196" s="332" t="s">
        <v>180</v>
      </c>
      <c r="G196" s="330" t="s">
        <v>181</v>
      </c>
      <c r="H196" s="331">
        <v>400</v>
      </c>
      <c r="I196" s="330"/>
      <c r="J196" s="332"/>
      <c r="K196" s="332" t="s">
        <v>1979</v>
      </c>
      <c r="L196" s="330" t="s">
        <v>284</v>
      </c>
      <c r="M196" s="332" t="s">
        <v>751</v>
      </c>
      <c r="N196" s="330"/>
      <c r="O196" s="333"/>
      <c r="P196" s="333"/>
      <c r="Q196" s="333">
        <v>2058</v>
      </c>
      <c r="R196" s="333">
        <v>246</v>
      </c>
      <c r="S196" s="333"/>
      <c r="T196" s="333"/>
      <c r="U196" s="333"/>
      <c r="V196" s="333"/>
      <c r="W196" s="330"/>
      <c r="X196" s="330"/>
      <c r="Y196" s="332" t="s">
        <v>1946</v>
      </c>
      <c r="Z196" s="330" t="s">
        <v>215</v>
      </c>
      <c r="AA196" s="330" t="s">
        <v>1947</v>
      </c>
      <c r="AB196" s="330" t="s">
        <v>217</v>
      </c>
      <c r="AC196" s="330"/>
      <c r="AD196" s="330" t="s">
        <v>924</v>
      </c>
      <c r="AE196" s="330">
        <v>7</v>
      </c>
      <c r="AF196" s="330">
        <v>13</v>
      </c>
      <c r="AG196" s="332" t="s">
        <v>627</v>
      </c>
      <c r="AH196" s="332" t="s">
        <v>191</v>
      </c>
      <c r="AI196" s="330"/>
      <c r="AJ196" s="330" t="s">
        <v>191</v>
      </c>
      <c r="AK196" s="330" t="s">
        <v>627</v>
      </c>
      <c r="AL196" s="330"/>
      <c r="AM196" s="330" t="s">
        <v>191</v>
      </c>
      <c r="AN196" s="330"/>
      <c r="AO196" s="330"/>
      <c r="AP196" s="332" t="s">
        <v>259</v>
      </c>
      <c r="AQ196" s="330"/>
      <c r="AR196" s="330"/>
      <c r="AS196" s="330"/>
      <c r="AT196" s="330"/>
      <c r="AU196" s="332" t="s">
        <v>191</v>
      </c>
      <c r="AV196" s="334">
        <v>46092.342471597221</v>
      </c>
      <c r="AW196" s="330"/>
      <c r="AX196" s="335">
        <v>46146</v>
      </c>
      <c r="AY196" s="330"/>
      <c r="AZ196" s="330"/>
      <c r="BA196" s="330"/>
      <c r="BB196" s="330"/>
      <c r="BC196" s="336">
        <v>46167</v>
      </c>
      <c r="BD196" s="330"/>
      <c r="BE196" s="330"/>
      <c r="BF196" s="330"/>
      <c r="BG196" s="330"/>
      <c r="BH196" s="330" t="s">
        <v>193</v>
      </c>
      <c r="BI196" s="330">
        <v>430</v>
      </c>
      <c r="BJ196" s="330"/>
      <c r="BK196" s="330"/>
      <c r="BL196" s="330"/>
      <c r="BM196" s="332"/>
      <c r="BN196" s="330"/>
      <c r="BO196" s="330" t="s">
        <v>240</v>
      </c>
      <c r="BP196" s="330" t="s">
        <v>193</v>
      </c>
      <c r="BQ196" s="330" t="s">
        <v>218</v>
      </c>
      <c r="BR196" s="330" t="s">
        <v>193</v>
      </c>
      <c r="BS196" s="330" t="s">
        <v>1980</v>
      </c>
      <c r="BT196" s="330" t="s">
        <v>193</v>
      </c>
      <c r="BU196" s="330" t="s">
        <v>1981</v>
      </c>
      <c r="BV196" s="330" t="s">
        <v>220</v>
      </c>
      <c r="BW196" s="330"/>
      <c r="BX196" s="332"/>
      <c r="BY196" s="330"/>
      <c r="BZ196" s="330"/>
      <c r="CA196" s="330"/>
      <c r="CB196" s="330"/>
      <c r="CC196" s="337" t="s">
        <v>1955</v>
      </c>
      <c r="CD196" s="330" t="b">
        <v>1</v>
      </c>
      <c r="CE196" s="330" t="b">
        <v>1</v>
      </c>
      <c r="CF196" s="330" t="b">
        <v>1</v>
      </c>
      <c r="CG196" s="330"/>
      <c r="CH196" s="330"/>
      <c r="CI196" s="330"/>
      <c r="CJ196" s="330"/>
      <c r="CK196" s="330"/>
      <c r="CL196" s="330"/>
      <c r="CM196" s="330"/>
      <c r="CN196" s="330"/>
      <c r="CO196" s="330"/>
      <c r="CP196" s="330"/>
      <c r="CQ196" s="330"/>
      <c r="CR196" s="330"/>
      <c r="CS196" s="330"/>
      <c r="CT196" s="330"/>
      <c r="CU196" s="330"/>
      <c r="CV196" s="330"/>
      <c r="CW196" s="330"/>
      <c r="CX196" s="330"/>
      <c r="CY196" s="330"/>
      <c r="CZ196" s="330"/>
      <c r="DA196" s="330"/>
      <c r="DB196" s="330" t="b">
        <v>1</v>
      </c>
      <c r="DC196" s="330" t="b">
        <v>1</v>
      </c>
      <c r="DD196" s="330"/>
      <c r="DE196" s="330"/>
      <c r="DF196" s="338">
        <v>25006</v>
      </c>
      <c r="DG196" s="330" t="s">
        <v>221</v>
      </c>
      <c r="DH196" s="330"/>
      <c r="DI196" s="338" t="s">
        <v>959</v>
      </c>
      <c r="DJ196" s="330"/>
      <c r="DK196" s="330">
        <v>6</v>
      </c>
      <c r="DL196" s="330" t="s">
        <v>1950</v>
      </c>
      <c r="DM196" s="330"/>
      <c r="DN196" s="330"/>
      <c r="DO196" s="330"/>
      <c r="DP196" s="330"/>
      <c r="DQ196" s="338" t="s">
        <v>197</v>
      </c>
      <c r="DR196" s="330"/>
      <c r="DS196" s="330"/>
      <c r="DT196" s="330"/>
      <c r="DU196" s="338" t="s">
        <v>197</v>
      </c>
      <c r="DV196" s="330"/>
      <c r="DW196" s="330"/>
      <c r="DX196" s="330"/>
      <c r="DY196" s="338" t="s">
        <v>197</v>
      </c>
      <c r="DZ196" s="330"/>
      <c r="EA196" s="330"/>
      <c r="EB196" s="330"/>
      <c r="EC196" s="330" t="s">
        <v>197</v>
      </c>
      <c r="ED196" s="338" t="s">
        <v>197</v>
      </c>
      <c r="EE196" s="330">
        <v>70</v>
      </c>
      <c r="EF196" s="330">
        <v>400</v>
      </c>
      <c r="EG196" s="330"/>
      <c r="EH196" s="330"/>
      <c r="EI196" s="330"/>
      <c r="EJ196" s="330"/>
      <c r="EK196" s="330"/>
      <c r="EL196" s="330"/>
      <c r="EM196" s="330"/>
      <c r="EN196" s="330"/>
      <c r="EO196" s="330"/>
      <c r="EP196" s="330"/>
      <c r="EQ196" s="332" t="s">
        <v>224</v>
      </c>
      <c r="ER196" s="330"/>
      <c r="ES196" s="330"/>
      <c r="ET196" s="332" t="s">
        <v>245</v>
      </c>
      <c r="EU196" s="332" t="s">
        <v>354</v>
      </c>
      <c r="EV196" s="330"/>
      <c r="EW196" s="330"/>
      <c r="EX196" s="330" t="s">
        <v>200</v>
      </c>
      <c r="EY196" s="330"/>
      <c r="EZ196" s="330" t="s">
        <v>247</v>
      </c>
      <c r="FA196" s="330"/>
      <c r="FB196" s="330" t="s">
        <v>247</v>
      </c>
      <c r="FC196" s="330" t="s">
        <v>202</v>
      </c>
      <c r="FD196" s="332" t="s">
        <v>190</v>
      </c>
      <c r="FE196" s="330"/>
      <c r="FF196" s="330"/>
      <c r="FG196" s="330" t="s">
        <v>203</v>
      </c>
      <c r="FH196" s="330"/>
      <c r="FI196" s="330" t="s">
        <v>204</v>
      </c>
      <c r="FJ196" s="330"/>
      <c r="FK196" s="330" t="s">
        <v>180</v>
      </c>
      <c r="FL196" s="330"/>
      <c r="FM196" s="330" t="s">
        <v>191</v>
      </c>
      <c r="FN196" s="330" t="s">
        <v>1982</v>
      </c>
      <c r="FO196" s="330"/>
      <c r="FP196" s="330" t="s">
        <v>1983</v>
      </c>
      <c r="FQ196" s="330"/>
      <c r="FR196" s="330"/>
      <c r="FS196" s="330"/>
      <c r="FT196" s="330"/>
      <c r="FU196" s="330"/>
    </row>
    <row r="197" spans="1:177" ht="25.5" x14ac:dyDescent="0.25">
      <c r="A197" s="330">
        <v>196</v>
      </c>
      <c r="B197" s="331" t="s">
        <v>1984</v>
      </c>
      <c r="C197" s="330"/>
      <c r="D197" s="332" t="s">
        <v>228</v>
      </c>
      <c r="E197" s="332" t="s">
        <v>229</v>
      </c>
      <c r="F197" s="332" t="s">
        <v>230</v>
      </c>
      <c r="G197" s="330" t="s">
        <v>231</v>
      </c>
      <c r="H197" s="331">
        <v>400</v>
      </c>
      <c r="I197" s="330"/>
      <c r="J197" s="332" t="s">
        <v>1985</v>
      </c>
      <c r="K197" s="332"/>
      <c r="L197" s="330" t="s">
        <v>1986</v>
      </c>
      <c r="M197" s="332"/>
      <c r="N197" s="330" t="s">
        <v>1987</v>
      </c>
      <c r="O197" s="333" t="s">
        <v>184</v>
      </c>
      <c r="P197" s="333" t="s">
        <v>184</v>
      </c>
      <c r="Q197" s="333" t="s">
        <v>184</v>
      </c>
      <c r="R197" s="333">
        <v>0</v>
      </c>
      <c r="S197" s="333">
        <v>0</v>
      </c>
      <c r="T197" s="333">
        <v>1</v>
      </c>
      <c r="U197" s="333">
        <v>30</v>
      </c>
      <c r="V197" s="333">
        <v>0</v>
      </c>
      <c r="W197" s="330">
        <v>0</v>
      </c>
      <c r="X197" s="330" t="s">
        <v>184</v>
      </c>
      <c r="Y197" s="332" t="s">
        <v>1988</v>
      </c>
      <c r="Z197" s="330" t="s">
        <v>1989</v>
      </c>
      <c r="AA197" s="330" t="s">
        <v>1990</v>
      </c>
      <c r="AB197" s="330" t="s">
        <v>189</v>
      </c>
      <c r="AC197" s="330"/>
      <c r="AD197" s="330"/>
      <c r="AE197" s="330">
        <v>95</v>
      </c>
      <c r="AF197" s="330">
        <v>-15</v>
      </c>
      <c r="AG197" s="332" t="s">
        <v>238</v>
      </c>
      <c r="AH197" s="332" t="s">
        <v>202</v>
      </c>
      <c r="AI197" s="330"/>
      <c r="AJ197" s="330"/>
      <c r="AK197" s="330"/>
      <c r="AL197" s="330" t="s">
        <v>741</v>
      </c>
      <c r="AM197" s="330" t="s">
        <v>202</v>
      </c>
      <c r="AN197" s="330" t="s">
        <v>741</v>
      </c>
      <c r="AO197" s="330"/>
      <c r="AP197" s="332"/>
      <c r="AQ197" s="330"/>
      <c r="AR197" s="330"/>
      <c r="AS197" s="330" t="b">
        <v>1</v>
      </c>
      <c r="AT197" s="330"/>
      <c r="AU197" s="332" t="s">
        <v>741</v>
      </c>
      <c r="AV197" s="334">
        <v>46092.674674525464</v>
      </c>
      <c r="AW197" s="330" t="b">
        <v>1</v>
      </c>
      <c r="AX197" s="335">
        <v>46113</v>
      </c>
      <c r="AY197" s="336">
        <v>46092</v>
      </c>
      <c r="AZ197" s="330" t="b">
        <v>1</v>
      </c>
      <c r="BA197" s="336">
        <v>46108</v>
      </c>
      <c r="BB197" s="330"/>
      <c r="BC197" s="336">
        <v>46093</v>
      </c>
      <c r="BD197" s="330"/>
      <c r="BE197" s="330"/>
      <c r="BF197" s="330"/>
      <c r="BG197" s="330"/>
      <c r="BH197" s="330" t="s">
        <v>193</v>
      </c>
      <c r="BI197" s="330">
        <v>0</v>
      </c>
      <c r="BJ197" s="330"/>
      <c r="BK197" s="330"/>
      <c r="BL197" s="330"/>
      <c r="BM197" s="332"/>
      <c r="BN197" s="330"/>
      <c r="BO197" s="330" t="s">
        <v>184</v>
      </c>
      <c r="BP197" s="330" t="s">
        <v>184</v>
      </c>
      <c r="BQ197" s="330" t="s">
        <v>218</v>
      </c>
      <c r="BR197" s="330" t="s">
        <v>220</v>
      </c>
      <c r="BS197" s="330"/>
      <c r="BT197" s="330" t="s">
        <v>220</v>
      </c>
      <c r="BU197" s="330"/>
      <c r="BV197" s="330" t="s">
        <v>220</v>
      </c>
      <c r="BW197" s="330"/>
      <c r="BX197" s="332"/>
      <c r="BY197" s="330"/>
      <c r="BZ197" s="330"/>
      <c r="CA197" s="330"/>
      <c r="CB197" s="330"/>
      <c r="CC197" s="337" t="s">
        <v>241</v>
      </c>
      <c r="CD197" s="330"/>
      <c r="CE197" s="330" t="b">
        <v>1</v>
      </c>
      <c r="CF197" s="330"/>
      <c r="CG197" s="330"/>
      <c r="CH197" s="330"/>
      <c r="CI197" s="330"/>
      <c r="CJ197" s="330"/>
      <c r="CK197" s="330"/>
      <c r="CL197" s="330"/>
      <c r="CM197" s="330"/>
      <c r="CN197" s="330"/>
      <c r="CO197" s="330"/>
      <c r="CP197" s="330"/>
      <c r="CQ197" s="330"/>
      <c r="CR197" s="330"/>
      <c r="CS197" s="330" t="b">
        <v>1</v>
      </c>
      <c r="CT197" s="330"/>
      <c r="CU197" s="330"/>
      <c r="CV197" s="330"/>
      <c r="CW197" s="330"/>
      <c r="CX197" s="330"/>
      <c r="CY197" s="330"/>
      <c r="CZ197" s="330"/>
      <c r="DA197" s="330"/>
      <c r="DB197" s="330"/>
      <c r="DC197" s="330"/>
      <c r="DD197" s="330"/>
      <c r="DE197" s="330"/>
      <c r="DF197" s="338">
        <v>24051</v>
      </c>
      <c r="DG197" s="330" t="s">
        <v>221</v>
      </c>
      <c r="DH197" s="330"/>
      <c r="DI197" s="340">
        <v>71.099999999999994</v>
      </c>
      <c r="DJ197" s="330"/>
      <c r="DK197" s="330">
        <v>71.099999999999994</v>
      </c>
      <c r="DL197" s="330" t="s">
        <v>243</v>
      </c>
      <c r="DM197" s="330"/>
      <c r="DN197" s="330"/>
      <c r="DO197" s="330"/>
      <c r="DP197" s="330"/>
      <c r="DQ197" s="338" t="s">
        <v>197</v>
      </c>
      <c r="DR197" s="330"/>
      <c r="DS197" s="330"/>
      <c r="DT197" s="330"/>
      <c r="DU197" s="338" t="s">
        <v>197</v>
      </c>
      <c r="DV197" s="330"/>
      <c r="DW197" s="330"/>
      <c r="DX197" s="330"/>
      <c r="DY197" s="338" t="s">
        <v>197</v>
      </c>
      <c r="DZ197" s="330"/>
      <c r="EA197" s="330"/>
      <c r="EB197" s="330"/>
      <c r="EC197" s="330" t="s">
        <v>197</v>
      </c>
      <c r="ED197" s="338" t="s">
        <v>197</v>
      </c>
      <c r="EE197" s="330">
        <v>1</v>
      </c>
      <c r="EF197" s="330">
        <v>4</v>
      </c>
      <c r="EG197" s="330"/>
      <c r="EH197" s="330"/>
      <c r="EI197" s="330"/>
      <c r="EJ197" s="330"/>
      <c r="EK197" s="330"/>
      <c r="EL197" s="330"/>
      <c r="EM197" s="330"/>
      <c r="EN197" s="330"/>
      <c r="EO197" s="330"/>
      <c r="EP197" s="330"/>
      <c r="EQ197" s="332" t="s">
        <v>244</v>
      </c>
      <c r="ER197" s="330"/>
      <c r="ES197" s="330"/>
      <c r="ET197" s="332"/>
      <c r="EU197" s="332" t="s">
        <v>96</v>
      </c>
      <c r="EV197" s="330"/>
      <c r="EW197" s="336">
        <v>46093</v>
      </c>
      <c r="EX197" s="330" t="s">
        <v>1991</v>
      </c>
      <c r="EY197" s="330"/>
      <c r="EZ197" s="330" t="s">
        <v>247</v>
      </c>
      <c r="FA197" s="330"/>
      <c r="FB197" s="330" t="s">
        <v>248</v>
      </c>
      <c r="FC197" s="330" t="s">
        <v>202</v>
      </c>
      <c r="FD197" s="332" t="s">
        <v>190</v>
      </c>
      <c r="FE197" s="336">
        <v>46093</v>
      </c>
      <c r="FF197" s="330"/>
      <c r="FG197" s="330" t="s">
        <v>203</v>
      </c>
      <c r="FH197" s="330"/>
      <c r="FI197" s="330" t="s">
        <v>204</v>
      </c>
      <c r="FJ197" s="330"/>
      <c r="FK197" s="330" t="s">
        <v>230</v>
      </c>
      <c r="FL197" s="330" t="s">
        <v>741</v>
      </c>
      <c r="FM197" s="330" t="s">
        <v>202</v>
      </c>
      <c r="FN197" s="330" t="s">
        <v>1992</v>
      </c>
      <c r="FO197" s="330" t="b">
        <v>1</v>
      </c>
      <c r="FP197" s="330" t="s">
        <v>633</v>
      </c>
      <c r="FQ197" s="330"/>
      <c r="FR197" s="330"/>
      <c r="FS197" s="330"/>
      <c r="FT197" s="330"/>
      <c r="FU197" s="330"/>
    </row>
    <row r="198" spans="1:177" ht="38.25" x14ac:dyDescent="0.25">
      <c r="A198" s="330">
        <v>197</v>
      </c>
      <c r="B198" s="331" t="s">
        <v>1993</v>
      </c>
      <c r="C198" s="330"/>
      <c r="D198" s="332" t="s">
        <v>1994</v>
      </c>
      <c r="E198" s="332" t="s">
        <v>1995</v>
      </c>
      <c r="F198" s="332" t="s">
        <v>1572</v>
      </c>
      <c r="G198" s="330" t="s">
        <v>1573</v>
      </c>
      <c r="H198" s="331" t="s">
        <v>731</v>
      </c>
      <c r="I198" s="330"/>
      <c r="J198" s="332" t="s">
        <v>1996</v>
      </c>
      <c r="K198" s="332"/>
      <c r="L198" s="330" t="s">
        <v>1647</v>
      </c>
      <c r="M198" s="332"/>
      <c r="N198" s="330" t="s">
        <v>1997</v>
      </c>
      <c r="O198" s="333" t="s">
        <v>184</v>
      </c>
      <c r="P198" s="333" t="s">
        <v>184</v>
      </c>
      <c r="Q198" s="333" t="s">
        <v>184</v>
      </c>
      <c r="R198" s="333">
        <v>0</v>
      </c>
      <c r="S198" s="333">
        <v>4</v>
      </c>
      <c r="T198" s="333">
        <v>4</v>
      </c>
      <c r="U198" s="333">
        <v>0</v>
      </c>
      <c r="V198" s="333">
        <v>0</v>
      </c>
      <c r="W198" s="330">
        <v>1</v>
      </c>
      <c r="X198" s="330" t="s">
        <v>1998</v>
      </c>
      <c r="Y198" s="332" t="s">
        <v>1999</v>
      </c>
      <c r="Z198" s="330" t="s">
        <v>739</v>
      </c>
      <c r="AA198" s="330" t="s">
        <v>2000</v>
      </c>
      <c r="AB198" s="330" t="s">
        <v>189</v>
      </c>
      <c r="AC198" s="330"/>
      <c r="AD198" s="330"/>
      <c r="AE198" s="330">
        <v>5</v>
      </c>
      <c r="AF198" s="330">
        <v>-10</v>
      </c>
      <c r="AG198" s="332" t="s">
        <v>1664</v>
      </c>
      <c r="AH198" s="332" t="s">
        <v>202</v>
      </c>
      <c r="AI198" s="330"/>
      <c r="AJ198" s="330"/>
      <c r="AK198" s="330"/>
      <c r="AL198" s="330" t="s">
        <v>742</v>
      </c>
      <c r="AM198" s="330" t="s">
        <v>202</v>
      </c>
      <c r="AN198" s="330" t="s">
        <v>742</v>
      </c>
      <c r="AO198" s="330"/>
      <c r="AP198" s="332"/>
      <c r="AQ198" s="330" t="s">
        <v>334</v>
      </c>
      <c r="AR198" s="330"/>
      <c r="AS198" s="330" t="b">
        <v>1</v>
      </c>
      <c r="AT198" s="330"/>
      <c r="AU198" s="332" t="s">
        <v>742</v>
      </c>
      <c r="AV198" s="334">
        <v>46092.690452824078</v>
      </c>
      <c r="AW198" s="330" t="b">
        <v>1</v>
      </c>
      <c r="AX198" s="335">
        <v>46113</v>
      </c>
      <c r="AY198" s="336">
        <v>46099</v>
      </c>
      <c r="AZ198" s="330" t="b">
        <v>1</v>
      </c>
      <c r="BA198" s="336">
        <v>46115</v>
      </c>
      <c r="BB198" s="330"/>
      <c r="BC198" s="336">
        <v>46104</v>
      </c>
      <c r="BD198" s="330"/>
      <c r="BE198" s="330"/>
      <c r="BF198" s="330"/>
      <c r="BG198" s="330"/>
      <c r="BH198" s="330" t="s">
        <v>193</v>
      </c>
      <c r="BI198" s="330"/>
      <c r="BJ198" s="330"/>
      <c r="BK198" s="330"/>
      <c r="BL198" s="330"/>
      <c r="BM198" s="332"/>
      <c r="BN198" s="330"/>
      <c r="BO198" s="330"/>
      <c r="BP198" s="330"/>
      <c r="BQ198" s="330" t="s">
        <v>338</v>
      </c>
      <c r="BR198" s="330" t="s">
        <v>220</v>
      </c>
      <c r="BS198" s="330"/>
      <c r="BT198" s="330" t="s">
        <v>193</v>
      </c>
      <c r="BU198" s="330" t="s">
        <v>2001</v>
      </c>
      <c r="BV198" s="330" t="s">
        <v>220</v>
      </c>
      <c r="BW198" s="330"/>
      <c r="BX198" s="332"/>
      <c r="BY198" s="330"/>
      <c r="BZ198" s="330"/>
      <c r="CA198" s="330"/>
      <c r="CB198" s="330"/>
      <c r="CC198" s="337" t="s">
        <v>776</v>
      </c>
      <c r="CD198" s="330"/>
      <c r="CE198" s="330" t="b">
        <v>1</v>
      </c>
      <c r="CF198" s="330"/>
      <c r="CG198" s="330"/>
      <c r="CH198" s="330"/>
      <c r="CI198" s="330" t="b">
        <v>1</v>
      </c>
      <c r="CJ198" s="330"/>
      <c r="CK198" s="330" t="s">
        <v>776</v>
      </c>
      <c r="CL198" s="330"/>
      <c r="CM198" s="330"/>
      <c r="CN198" s="330"/>
      <c r="CO198" s="330"/>
      <c r="CP198" s="330"/>
      <c r="CQ198" s="330"/>
      <c r="CR198" s="330"/>
      <c r="CS198" s="330"/>
      <c r="CT198" s="330"/>
      <c r="CU198" s="330" t="b">
        <v>1</v>
      </c>
      <c r="CV198" s="330"/>
      <c r="CW198" s="330"/>
      <c r="CX198" s="330" t="b">
        <v>1</v>
      </c>
      <c r="CY198" s="330"/>
      <c r="CZ198" s="330"/>
      <c r="DA198" s="330"/>
      <c r="DB198" s="330"/>
      <c r="DC198" s="330"/>
      <c r="DD198" s="330"/>
      <c r="DE198" s="330"/>
      <c r="DF198" s="338">
        <v>26011</v>
      </c>
      <c r="DG198" s="330" t="s">
        <v>341</v>
      </c>
      <c r="DH198" s="330"/>
      <c r="DI198" s="338" t="s">
        <v>196</v>
      </c>
      <c r="DJ198" s="330"/>
      <c r="DK198" s="330">
        <v>1</v>
      </c>
      <c r="DL198" s="330" t="s">
        <v>2002</v>
      </c>
      <c r="DM198" s="330"/>
      <c r="DN198" s="330"/>
      <c r="DO198" s="330"/>
      <c r="DP198" s="330"/>
      <c r="DQ198" s="338" t="s">
        <v>197</v>
      </c>
      <c r="DR198" s="330"/>
      <c r="DS198" s="330"/>
      <c r="DT198" s="330"/>
      <c r="DU198" s="338" t="s">
        <v>197</v>
      </c>
      <c r="DV198" s="330"/>
      <c r="DW198" s="330"/>
      <c r="DX198" s="330"/>
      <c r="DY198" s="338" t="s">
        <v>197</v>
      </c>
      <c r="DZ198" s="330"/>
      <c r="EA198" s="330"/>
      <c r="EB198" s="330"/>
      <c r="EC198" s="330" t="s">
        <v>197</v>
      </c>
      <c r="ED198" s="338" t="s">
        <v>197</v>
      </c>
      <c r="EE198" s="330">
        <v>5</v>
      </c>
      <c r="EF198" s="330">
        <v>3</v>
      </c>
      <c r="EG198" s="330"/>
      <c r="EH198" s="330"/>
      <c r="EI198" s="330"/>
      <c r="EJ198" s="330"/>
      <c r="EK198" s="330"/>
      <c r="EL198" s="330"/>
      <c r="EM198" s="330"/>
      <c r="EN198" s="330"/>
      <c r="EO198" s="330"/>
      <c r="EP198" s="330"/>
      <c r="EQ198" s="332" t="s">
        <v>224</v>
      </c>
      <c r="ER198" s="330"/>
      <c r="ES198" s="330"/>
      <c r="ET198" s="332" t="s">
        <v>86</v>
      </c>
      <c r="EU198" s="332" t="s">
        <v>1724</v>
      </c>
      <c r="EV198" s="336">
        <v>46098</v>
      </c>
      <c r="EW198" s="336">
        <v>46099</v>
      </c>
      <c r="EX198" s="330">
        <v>2</v>
      </c>
      <c r="EY198" s="330"/>
      <c r="EZ198" s="330" t="s">
        <v>247</v>
      </c>
      <c r="FA198" s="330"/>
      <c r="FB198" s="330" t="s">
        <v>247</v>
      </c>
      <c r="FC198" s="330" t="s">
        <v>202</v>
      </c>
      <c r="FD198" s="332" t="s">
        <v>190</v>
      </c>
      <c r="FE198" s="330"/>
      <c r="FF198" s="330"/>
      <c r="FG198" s="330" t="s">
        <v>203</v>
      </c>
      <c r="FH198" s="330" t="s">
        <v>1976</v>
      </c>
      <c r="FI198" s="330" t="s">
        <v>204</v>
      </c>
      <c r="FJ198" s="330"/>
      <c r="FK198" s="330" t="s">
        <v>1572</v>
      </c>
      <c r="FL198" s="330" t="s">
        <v>742</v>
      </c>
      <c r="FM198" s="330" t="s">
        <v>202</v>
      </c>
      <c r="FN198" s="330" t="s">
        <v>2003</v>
      </c>
      <c r="FO198" s="330" t="b">
        <v>1</v>
      </c>
      <c r="FP198" s="330" t="s">
        <v>756</v>
      </c>
      <c r="FQ198" s="330"/>
      <c r="FR198" s="330"/>
      <c r="FS198" s="330"/>
      <c r="FT198" s="330"/>
      <c r="FU198" s="330"/>
    </row>
    <row r="199" spans="1:177" ht="25.5" x14ac:dyDescent="0.25">
      <c r="A199" s="330">
        <v>198</v>
      </c>
      <c r="B199" s="331" t="s">
        <v>2004</v>
      </c>
      <c r="C199" s="330"/>
      <c r="D199" s="332" t="s">
        <v>1994</v>
      </c>
      <c r="E199" s="332" t="s">
        <v>1995</v>
      </c>
      <c r="F199" s="332" t="s">
        <v>1572</v>
      </c>
      <c r="G199" s="330" t="s">
        <v>1573</v>
      </c>
      <c r="H199" s="331" t="s">
        <v>2005</v>
      </c>
      <c r="I199" s="330"/>
      <c r="J199" s="332" t="s">
        <v>2006</v>
      </c>
      <c r="K199" s="332" t="s">
        <v>2006</v>
      </c>
      <c r="L199" s="330" t="s">
        <v>1390</v>
      </c>
      <c r="M199" s="332"/>
      <c r="N199" s="330" t="s">
        <v>2007</v>
      </c>
      <c r="O199" s="333" t="s">
        <v>184</v>
      </c>
      <c r="P199" s="333" t="s">
        <v>184</v>
      </c>
      <c r="Q199" s="333" t="s">
        <v>184</v>
      </c>
      <c r="R199" s="333">
        <v>0</v>
      </c>
      <c r="S199" s="333">
        <v>1</v>
      </c>
      <c r="T199" s="333">
        <v>1</v>
      </c>
      <c r="U199" s="333">
        <v>0</v>
      </c>
      <c r="V199" s="333">
        <v>0</v>
      </c>
      <c r="W199" s="330" t="s">
        <v>2008</v>
      </c>
      <c r="X199" s="330" t="s">
        <v>1720</v>
      </c>
      <c r="Y199" s="332" t="s">
        <v>2009</v>
      </c>
      <c r="Z199" s="330" t="s">
        <v>2010</v>
      </c>
      <c r="AA199" s="330" t="s">
        <v>2011</v>
      </c>
      <c r="AB199" s="330" t="s">
        <v>189</v>
      </c>
      <c r="AC199" s="330"/>
      <c r="AD199" s="330"/>
      <c r="AE199" s="330">
        <v>4</v>
      </c>
      <c r="AF199" s="330">
        <v>-10</v>
      </c>
      <c r="AG199" s="332" t="s">
        <v>1664</v>
      </c>
      <c r="AH199" s="332" t="s">
        <v>202</v>
      </c>
      <c r="AI199" s="330"/>
      <c r="AJ199" s="330"/>
      <c r="AK199" s="330"/>
      <c r="AL199" s="330" t="s">
        <v>742</v>
      </c>
      <c r="AM199" s="330" t="s">
        <v>202</v>
      </c>
      <c r="AN199" s="330" t="s">
        <v>742</v>
      </c>
      <c r="AO199" s="330"/>
      <c r="AP199" s="332"/>
      <c r="AQ199" s="330" t="s">
        <v>239</v>
      </c>
      <c r="AR199" s="330"/>
      <c r="AS199" s="330" t="b">
        <v>1</v>
      </c>
      <c r="AT199" s="330"/>
      <c r="AU199" s="332" t="s">
        <v>742</v>
      </c>
      <c r="AV199" s="334">
        <v>46092.691697245369</v>
      </c>
      <c r="AW199" s="330" t="b">
        <v>1</v>
      </c>
      <c r="AX199" s="335">
        <v>46113</v>
      </c>
      <c r="AY199" s="336">
        <v>46099</v>
      </c>
      <c r="AZ199" s="330" t="b">
        <v>1</v>
      </c>
      <c r="BA199" s="336">
        <v>46115</v>
      </c>
      <c r="BB199" s="330"/>
      <c r="BC199" s="336">
        <v>46104</v>
      </c>
      <c r="BD199" s="330"/>
      <c r="BE199" s="330"/>
      <c r="BF199" s="330"/>
      <c r="BG199" s="330"/>
      <c r="BH199" s="330" t="s">
        <v>193</v>
      </c>
      <c r="BI199" s="330"/>
      <c r="BJ199" s="330"/>
      <c r="BK199" s="330"/>
      <c r="BL199" s="330"/>
      <c r="BM199" s="332"/>
      <c r="BN199" s="330"/>
      <c r="BO199" s="330"/>
      <c r="BP199" s="330"/>
      <c r="BQ199" s="330" t="s">
        <v>218</v>
      </c>
      <c r="BR199" s="330" t="s">
        <v>220</v>
      </c>
      <c r="BS199" s="330"/>
      <c r="BT199" s="330" t="s">
        <v>193</v>
      </c>
      <c r="BU199" s="330" t="s">
        <v>2001</v>
      </c>
      <c r="BV199" s="330" t="s">
        <v>220</v>
      </c>
      <c r="BW199" s="330"/>
      <c r="BX199" s="332"/>
      <c r="BY199" s="330"/>
      <c r="BZ199" s="330"/>
      <c r="CA199" s="330"/>
      <c r="CB199" s="330"/>
      <c r="CC199" s="337" t="s">
        <v>1667</v>
      </c>
      <c r="CD199" s="330"/>
      <c r="CE199" s="330" t="b">
        <v>1</v>
      </c>
      <c r="CF199" s="330"/>
      <c r="CG199" s="330"/>
      <c r="CH199" s="330"/>
      <c r="CI199" s="330"/>
      <c r="CJ199" s="330" t="b">
        <v>1</v>
      </c>
      <c r="CK199" s="330" t="s">
        <v>1667</v>
      </c>
      <c r="CL199" s="330"/>
      <c r="CM199" s="330"/>
      <c r="CN199" s="330"/>
      <c r="CO199" s="330"/>
      <c r="CP199" s="330"/>
      <c r="CQ199" s="330"/>
      <c r="CR199" s="330"/>
      <c r="CS199" s="330"/>
      <c r="CT199" s="330"/>
      <c r="CU199" s="330"/>
      <c r="CV199" s="330"/>
      <c r="CW199" s="330"/>
      <c r="CX199" s="330"/>
      <c r="CY199" s="330"/>
      <c r="CZ199" s="330"/>
      <c r="DA199" s="330"/>
      <c r="DB199" s="330"/>
      <c r="DC199" s="330"/>
      <c r="DD199" s="330"/>
      <c r="DE199" s="330"/>
      <c r="DF199" s="338">
        <v>26011</v>
      </c>
      <c r="DG199" s="330" t="s">
        <v>341</v>
      </c>
      <c r="DH199" s="330"/>
      <c r="DI199" s="340">
        <v>1.1000000000000001</v>
      </c>
      <c r="DJ199" s="330"/>
      <c r="DK199" s="330">
        <v>1.1000000000000001</v>
      </c>
      <c r="DL199" s="330" t="s">
        <v>2002</v>
      </c>
      <c r="DM199" s="330"/>
      <c r="DN199" s="330"/>
      <c r="DO199" s="330"/>
      <c r="DP199" s="330"/>
      <c r="DQ199" s="338" t="s">
        <v>197</v>
      </c>
      <c r="DR199" s="330"/>
      <c r="DS199" s="330"/>
      <c r="DT199" s="330"/>
      <c r="DU199" s="338" t="s">
        <v>197</v>
      </c>
      <c r="DV199" s="330"/>
      <c r="DW199" s="330"/>
      <c r="DX199" s="330"/>
      <c r="DY199" s="338" t="s">
        <v>197</v>
      </c>
      <c r="DZ199" s="330"/>
      <c r="EA199" s="330"/>
      <c r="EB199" s="330"/>
      <c r="EC199" s="330" t="s">
        <v>197</v>
      </c>
      <c r="ED199" s="338" t="s">
        <v>197</v>
      </c>
      <c r="EE199" s="330">
        <v>1</v>
      </c>
      <c r="EF199" s="330">
        <v>1</v>
      </c>
      <c r="EG199" s="330"/>
      <c r="EH199" s="330"/>
      <c r="EI199" s="330"/>
      <c r="EJ199" s="330"/>
      <c r="EK199" s="330"/>
      <c r="EL199" s="330"/>
      <c r="EM199" s="330"/>
      <c r="EN199" s="330"/>
      <c r="EO199" s="330"/>
      <c r="EP199" s="330"/>
      <c r="EQ199" s="332" t="s">
        <v>224</v>
      </c>
      <c r="ER199" s="330"/>
      <c r="ES199" s="330"/>
      <c r="ET199" s="332" t="s">
        <v>87</v>
      </c>
      <c r="EU199" s="332" t="s">
        <v>1667</v>
      </c>
      <c r="EV199" s="336">
        <v>46099</v>
      </c>
      <c r="EW199" s="336">
        <v>46099</v>
      </c>
      <c r="EX199" s="330">
        <v>1</v>
      </c>
      <c r="EY199" s="330"/>
      <c r="EZ199" s="330" t="s">
        <v>247</v>
      </c>
      <c r="FA199" s="330"/>
      <c r="FB199" s="330" t="s">
        <v>247</v>
      </c>
      <c r="FC199" s="330" t="s">
        <v>202</v>
      </c>
      <c r="FD199" s="332" t="s">
        <v>190</v>
      </c>
      <c r="FE199" s="330"/>
      <c r="FF199" s="330"/>
      <c r="FG199" s="330" t="s">
        <v>203</v>
      </c>
      <c r="FH199" s="330"/>
      <c r="FI199" s="330" t="s">
        <v>204</v>
      </c>
      <c r="FJ199" s="330"/>
      <c r="FK199" s="330" t="s">
        <v>1572</v>
      </c>
      <c r="FL199" s="330" t="s">
        <v>742</v>
      </c>
      <c r="FM199" s="330" t="s">
        <v>202</v>
      </c>
      <c r="FN199" s="330" t="s">
        <v>2012</v>
      </c>
      <c r="FO199" s="330" t="b">
        <v>1</v>
      </c>
      <c r="FP199" s="330" t="s">
        <v>756</v>
      </c>
      <c r="FQ199" s="330"/>
      <c r="FR199" s="330"/>
      <c r="FS199" s="330"/>
      <c r="FT199" s="330"/>
      <c r="FU199" s="330"/>
    </row>
    <row r="200" spans="1:177" ht="280.5" x14ac:dyDescent="0.25">
      <c r="A200" s="330">
        <v>199</v>
      </c>
      <c r="B200" s="331" t="s">
        <v>2013</v>
      </c>
      <c r="C200" s="330"/>
      <c r="D200" s="332" t="s">
        <v>2014</v>
      </c>
      <c r="E200" s="332" t="s">
        <v>2015</v>
      </c>
      <c r="F200" s="332" t="s">
        <v>180</v>
      </c>
      <c r="G200" s="330" t="s">
        <v>181</v>
      </c>
      <c r="H200" s="331">
        <v>400</v>
      </c>
      <c r="I200" s="330"/>
      <c r="J200" s="332" t="s">
        <v>2016</v>
      </c>
      <c r="K200" s="332" t="s">
        <v>2017</v>
      </c>
      <c r="L200" s="330" t="s">
        <v>284</v>
      </c>
      <c r="M200" s="332" t="s">
        <v>751</v>
      </c>
      <c r="N200" s="330"/>
      <c r="O200" s="333"/>
      <c r="P200" s="333"/>
      <c r="Q200" s="333">
        <v>23</v>
      </c>
      <c r="R200" s="333">
        <v>9</v>
      </c>
      <c r="S200" s="333"/>
      <c r="T200" s="333"/>
      <c r="U200" s="333"/>
      <c r="V200" s="333"/>
      <c r="W200" s="330"/>
      <c r="X200" s="330"/>
      <c r="Y200" s="332" t="s">
        <v>2018</v>
      </c>
      <c r="Z200" s="330" t="s">
        <v>215</v>
      </c>
      <c r="AA200" s="330" t="s">
        <v>2019</v>
      </c>
      <c r="AB200" s="330" t="s">
        <v>189</v>
      </c>
      <c r="AC200" s="330"/>
      <c r="AD200" s="330"/>
      <c r="AE200" s="330">
        <v>101</v>
      </c>
      <c r="AF200" s="330">
        <v>-10</v>
      </c>
      <c r="AG200" s="332" t="s">
        <v>238</v>
      </c>
      <c r="AH200" s="332" t="s">
        <v>191</v>
      </c>
      <c r="AI200" s="330"/>
      <c r="AJ200" s="330" t="s">
        <v>191</v>
      </c>
      <c r="AK200" s="330"/>
      <c r="AL200" s="330"/>
      <c r="AM200" s="330"/>
      <c r="AN200" s="330"/>
      <c r="AO200" s="330"/>
      <c r="AP200" s="332" t="s">
        <v>259</v>
      </c>
      <c r="AQ200" s="330"/>
      <c r="AR200" s="330"/>
      <c r="AS200" s="330"/>
      <c r="AT200" s="330"/>
      <c r="AU200" s="332"/>
      <c r="AV200" s="334">
        <v>46094.346073067129</v>
      </c>
      <c r="AW200" s="330" t="b">
        <v>1</v>
      </c>
      <c r="AX200" s="335">
        <v>46115</v>
      </c>
      <c r="AY200" s="330"/>
      <c r="AZ200" s="330"/>
      <c r="BA200" s="330"/>
      <c r="BB200" s="330"/>
      <c r="BC200" s="336">
        <v>46132</v>
      </c>
      <c r="BD200" s="330"/>
      <c r="BE200" s="330"/>
      <c r="BF200" s="330"/>
      <c r="BG200" s="330"/>
      <c r="BH200" s="330" t="s">
        <v>193</v>
      </c>
      <c r="BI200" s="330">
        <v>3</v>
      </c>
      <c r="BJ200" s="330"/>
      <c r="BK200" s="330"/>
      <c r="BL200" s="330"/>
      <c r="BM200" s="332"/>
      <c r="BN200" s="330"/>
      <c r="BO200" s="330" t="s">
        <v>240</v>
      </c>
      <c r="BP200" s="330" t="s">
        <v>193</v>
      </c>
      <c r="BQ200" s="330" t="s">
        <v>801</v>
      </c>
      <c r="BR200" s="330" t="s">
        <v>193</v>
      </c>
      <c r="BS200" s="330" t="s">
        <v>2020</v>
      </c>
      <c r="BT200" s="330" t="s">
        <v>220</v>
      </c>
      <c r="BU200" s="330"/>
      <c r="BV200" s="330" t="s">
        <v>220</v>
      </c>
      <c r="BW200" s="330"/>
      <c r="BX200" s="332"/>
      <c r="BY200" s="330"/>
      <c r="BZ200" s="330"/>
      <c r="CA200" s="330"/>
      <c r="CB200" s="330"/>
      <c r="CC200" s="337" t="s">
        <v>1955</v>
      </c>
      <c r="CD200" s="330" t="b">
        <v>1</v>
      </c>
      <c r="CE200" s="330" t="b">
        <v>1</v>
      </c>
      <c r="CF200" s="330" t="b">
        <v>1</v>
      </c>
      <c r="CG200" s="330"/>
      <c r="CH200" s="330"/>
      <c r="CI200" s="330"/>
      <c r="CJ200" s="330"/>
      <c r="CK200" s="330"/>
      <c r="CL200" s="330"/>
      <c r="CM200" s="330"/>
      <c r="CN200" s="330"/>
      <c r="CO200" s="330"/>
      <c r="CP200" s="330"/>
      <c r="CQ200" s="330"/>
      <c r="CR200" s="330"/>
      <c r="CS200" s="330"/>
      <c r="CT200" s="330"/>
      <c r="CU200" s="330"/>
      <c r="CV200" s="330"/>
      <c r="CW200" s="330"/>
      <c r="CX200" s="330"/>
      <c r="CY200" s="330"/>
      <c r="CZ200" s="330"/>
      <c r="DA200" s="330"/>
      <c r="DB200" s="330" t="b">
        <v>1</v>
      </c>
      <c r="DC200" s="330" t="b">
        <v>1</v>
      </c>
      <c r="DD200" s="330"/>
      <c r="DE200" s="330"/>
      <c r="DF200" s="338">
        <v>26009</v>
      </c>
      <c r="DG200" s="330" t="s">
        <v>221</v>
      </c>
      <c r="DH200" s="330"/>
      <c r="DI200" s="338" t="s">
        <v>196</v>
      </c>
      <c r="DJ200" s="330"/>
      <c r="DK200" s="330">
        <v>1</v>
      </c>
      <c r="DL200" s="330" t="s">
        <v>2013</v>
      </c>
      <c r="DM200" s="330"/>
      <c r="DN200" s="330"/>
      <c r="DO200" s="330"/>
      <c r="DP200" s="330"/>
      <c r="DQ200" s="338" t="s">
        <v>197</v>
      </c>
      <c r="DR200" s="330"/>
      <c r="DS200" s="330"/>
      <c r="DT200" s="330"/>
      <c r="DU200" s="338" t="s">
        <v>197</v>
      </c>
      <c r="DV200" s="330"/>
      <c r="DW200" s="330"/>
      <c r="DX200" s="330"/>
      <c r="DY200" s="338" t="s">
        <v>197</v>
      </c>
      <c r="DZ200" s="330"/>
      <c r="EA200" s="330"/>
      <c r="EB200" s="330"/>
      <c r="EC200" s="330" t="s">
        <v>197</v>
      </c>
      <c r="ED200" s="338" t="s">
        <v>197</v>
      </c>
      <c r="EE200" s="330">
        <v>9</v>
      </c>
      <c r="EF200" s="330">
        <v>16</v>
      </c>
      <c r="EG200" s="330"/>
      <c r="EH200" s="330"/>
      <c r="EI200" s="330"/>
      <c r="EJ200" s="330"/>
      <c r="EK200" s="330"/>
      <c r="EL200" s="330"/>
      <c r="EM200" s="330"/>
      <c r="EN200" s="330"/>
      <c r="EO200" s="330"/>
      <c r="EP200" s="330"/>
      <c r="EQ200" s="332" t="s">
        <v>244</v>
      </c>
      <c r="ER200" s="330"/>
      <c r="ES200" s="330"/>
      <c r="ET200" s="332" t="s">
        <v>245</v>
      </c>
      <c r="EU200" s="332" t="s">
        <v>354</v>
      </c>
      <c r="EV200" s="330"/>
      <c r="EW200" s="330"/>
      <c r="EX200" s="330" t="s">
        <v>200</v>
      </c>
      <c r="EY200" s="330"/>
      <c r="EZ200" s="330" t="s">
        <v>247</v>
      </c>
      <c r="FA200" s="330"/>
      <c r="FB200" s="330" t="s">
        <v>247</v>
      </c>
      <c r="FC200" s="330" t="s">
        <v>202</v>
      </c>
      <c r="FD200" s="332" t="s">
        <v>190</v>
      </c>
      <c r="FE200" s="330"/>
      <c r="FF200" s="330"/>
      <c r="FG200" s="330" t="s">
        <v>203</v>
      </c>
      <c r="FH200" s="330" t="s">
        <v>4103</v>
      </c>
      <c r="FI200" s="330" t="s">
        <v>204</v>
      </c>
      <c r="FJ200" s="330"/>
      <c r="FK200" s="330" t="s">
        <v>180</v>
      </c>
      <c r="FL200" s="330"/>
      <c r="FM200" s="330"/>
      <c r="FN200" s="330" t="s">
        <v>2021</v>
      </c>
      <c r="FO200" s="330"/>
      <c r="FP200" s="330" t="s">
        <v>1330</v>
      </c>
      <c r="FQ200" s="330"/>
      <c r="FR200" s="330"/>
      <c r="FS200" s="330"/>
      <c r="FT200" s="330"/>
      <c r="FU200" s="330"/>
    </row>
    <row r="201" spans="1:177" ht="51" x14ac:dyDescent="0.25">
      <c r="A201" s="330">
        <v>200</v>
      </c>
      <c r="B201" s="331" t="s">
        <v>2022</v>
      </c>
      <c r="C201" s="330"/>
      <c r="D201" s="332" t="s">
        <v>228</v>
      </c>
      <c r="E201" s="332" t="s">
        <v>229</v>
      </c>
      <c r="F201" s="332" t="s">
        <v>230</v>
      </c>
      <c r="G201" s="330" t="s">
        <v>231</v>
      </c>
      <c r="H201" s="331">
        <v>400</v>
      </c>
      <c r="I201" s="330"/>
      <c r="J201" s="332" t="s">
        <v>2023</v>
      </c>
      <c r="K201" s="332"/>
      <c r="L201" s="330" t="s">
        <v>284</v>
      </c>
      <c r="M201" s="332" t="s">
        <v>751</v>
      </c>
      <c r="N201" s="330"/>
      <c r="O201" s="333"/>
      <c r="P201" s="333"/>
      <c r="Q201" s="333">
        <v>19268</v>
      </c>
      <c r="R201" s="333">
        <v>117</v>
      </c>
      <c r="S201" s="333"/>
      <c r="T201" s="333"/>
      <c r="U201" s="333"/>
      <c r="V201" s="333"/>
      <c r="W201" s="330"/>
      <c r="X201" s="330"/>
      <c r="Y201" s="332" t="s">
        <v>351</v>
      </c>
      <c r="Z201" s="330" t="s">
        <v>215</v>
      </c>
      <c r="AA201" s="330" t="s">
        <v>352</v>
      </c>
      <c r="AB201" s="330" t="s">
        <v>189</v>
      </c>
      <c r="AC201" s="330"/>
      <c r="AD201" s="330"/>
      <c r="AE201" s="330">
        <v>2</v>
      </c>
      <c r="AF201" s="330">
        <v>-10</v>
      </c>
      <c r="AG201" s="332" t="s">
        <v>192</v>
      </c>
      <c r="AH201" s="332" t="s">
        <v>191</v>
      </c>
      <c r="AI201" s="330" t="s">
        <v>192</v>
      </c>
      <c r="AJ201" s="330" t="s">
        <v>192</v>
      </c>
      <c r="AK201" s="330"/>
      <c r="AL201" s="330" t="s">
        <v>192</v>
      </c>
      <c r="AM201" s="330" t="s">
        <v>191</v>
      </c>
      <c r="AN201" s="330" t="s">
        <v>192</v>
      </c>
      <c r="AO201" s="330"/>
      <c r="AP201" s="332" t="s">
        <v>259</v>
      </c>
      <c r="AQ201" s="330"/>
      <c r="AR201" s="330"/>
      <c r="AS201" s="330"/>
      <c r="AT201" s="330"/>
      <c r="AU201" s="332" t="s">
        <v>192</v>
      </c>
      <c r="AV201" s="334">
        <v>46094.592681875001</v>
      </c>
      <c r="AW201" s="330"/>
      <c r="AX201" s="335">
        <v>46115</v>
      </c>
      <c r="AY201" s="330"/>
      <c r="AZ201" s="330"/>
      <c r="BA201" s="330"/>
      <c r="BB201" s="330"/>
      <c r="BC201" s="336">
        <v>46136</v>
      </c>
      <c r="BD201" s="330"/>
      <c r="BE201" s="330"/>
      <c r="BF201" s="330"/>
      <c r="BG201" s="330"/>
      <c r="BH201" s="330" t="s">
        <v>193</v>
      </c>
      <c r="BI201" s="330">
        <v>1000</v>
      </c>
      <c r="BJ201" s="330"/>
      <c r="BK201" s="330"/>
      <c r="BL201" s="330"/>
      <c r="BM201" s="332"/>
      <c r="BN201" s="330"/>
      <c r="BO201" s="330" t="s">
        <v>240</v>
      </c>
      <c r="BP201" s="330" t="s">
        <v>193</v>
      </c>
      <c r="BQ201" s="330" t="s">
        <v>218</v>
      </c>
      <c r="BR201" s="330" t="s">
        <v>220</v>
      </c>
      <c r="BS201" s="330"/>
      <c r="BT201" s="330" t="s">
        <v>220</v>
      </c>
      <c r="BU201" s="330"/>
      <c r="BV201" s="330" t="s">
        <v>220</v>
      </c>
      <c r="BW201" s="330"/>
      <c r="BX201" s="332"/>
      <c r="BY201" s="330"/>
      <c r="BZ201" s="330"/>
      <c r="CA201" s="330"/>
      <c r="CB201" s="330"/>
      <c r="CC201" s="337" t="s">
        <v>2024</v>
      </c>
      <c r="CD201" s="330" t="b">
        <v>1</v>
      </c>
      <c r="CE201" s="330" t="b">
        <v>1</v>
      </c>
      <c r="CF201" s="330" t="b">
        <v>1</v>
      </c>
      <c r="CG201" s="330"/>
      <c r="CH201" s="330"/>
      <c r="CI201" s="330"/>
      <c r="CJ201" s="330"/>
      <c r="CK201" s="330"/>
      <c r="CL201" s="330"/>
      <c r="CM201" s="330"/>
      <c r="CN201" s="330"/>
      <c r="CO201" s="330"/>
      <c r="CP201" s="330"/>
      <c r="CQ201" s="330"/>
      <c r="CR201" s="330"/>
      <c r="CS201" s="330"/>
      <c r="CT201" s="330"/>
      <c r="CU201" s="330"/>
      <c r="CV201" s="330"/>
      <c r="CW201" s="330"/>
      <c r="CX201" s="330"/>
      <c r="CY201" s="330"/>
      <c r="CZ201" s="330"/>
      <c r="DA201" s="330"/>
      <c r="DB201" s="330" t="b">
        <v>1</v>
      </c>
      <c r="DC201" s="330" t="b">
        <v>1</v>
      </c>
      <c r="DD201" s="330"/>
      <c r="DE201" s="330"/>
      <c r="DF201" s="338">
        <v>24051</v>
      </c>
      <c r="DG201" s="330" t="s">
        <v>221</v>
      </c>
      <c r="DH201" s="330"/>
      <c r="DI201" s="338">
        <v>90</v>
      </c>
      <c r="DJ201" s="330"/>
      <c r="DK201" s="330">
        <v>90</v>
      </c>
      <c r="DL201" s="330" t="s">
        <v>243</v>
      </c>
      <c r="DM201" s="330"/>
      <c r="DN201" s="330"/>
      <c r="DO201" s="330"/>
      <c r="DP201" s="330"/>
      <c r="DQ201" s="338" t="s">
        <v>197</v>
      </c>
      <c r="DR201" s="330"/>
      <c r="DS201" s="330"/>
      <c r="DT201" s="330"/>
      <c r="DU201" s="338" t="s">
        <v>197</v>
      </c>
      <c r="DV201" s="330"/>
      <c r="DW201" s="330"/>
      <c r="DX201" s="330"/>
      <c r="DY201" s="338" t="s">
        <v>197</v>
      </c>
      <c r="DZ201" s="330"/>
      <c r="EA201" s="330"/>
      <c r="EB201" s="330"/>
      <c r="EC201" s="330" t="s">
        <v>197</v>
      </c>
      <c r="ED201" s="338" t="s">
        <v>197</v>
      </c>
      <c r="EE201" s="330">
        <v>16</v>
      </c>
      <c r="EF201" s="330">
        <v>240</v>
      </c>
      <c r="EG201" s="330"/>
      <c r="EH201" s="330"/>
      <c r="EI201" s="330"/>
      <c r="EJ201" s="330"/>
      <c r="EK201" s="330"/>
      <c r="EL201" s="330"/>
      <c r="EM201" s="330"/>
      <c r="EN201" s="330"/>
      <c r="EO201" s="330"/>
      <c r="EP201" s="330"/>
      <c r="EQ201" s="332" t="s">
        <v>244</v>
      </c>
      <c r="ER201" s="330"/>
      <c r="ES201" s="330"/>
      <c r="ET201" s="332" t="s">
        <v>245</v>
      </c>
      <c r="EU201" s="332" t="s">
        <v>354</v>
      </c>
      <c r="EV201" s="330"/>
      <c r="EW201" s="330"/>
      <c r="EX201" s="330" t="s">
        <v>200</v>
      </c>
      <c r="EY201" s="330"/>
      <c r="EZ201" s="330" t="s">
        <v>247</v>
      </c>
      <c r="FA201" s="330"/>
      <c r="FB201" s="330" t="s">
        <v>247</v>
      </c>
      <c r="FC201" s="330" t="s">
        <v>202</v>
      </c>
      <c r="FD201" s="332" t="s">
        <v>190</v>
      </c>
      <c r="FE201" s="330"/>
      <c r="FF201" s="330"/>
      <c r="FG201" s="330" t="s">
        <v>203</v>
      </c>
      <c r="FH201" s="330"/>
      <c r="FI201" s="330" t="s">
        <v>204</v>
      </c>
      <c r="FJ201" s="330"/>
      <c r="FK201" s="330" t="s">
        <v>230</v>
      </c>
      <c r="FL201" s="330" t="s">
        <v>192</v>
      </c>
      <c r="FM201" s="330" t="s">
        <v>191</v>
      </c>
      <c r="FN201" s="330" t="s">
        <v>2025</v>
      </c>
      <c r="FO201" s="330"/>
      <c r="FP201" s="330" t="s">
        <v>1330</v>
      </c>
      <c r="FQ201" s="330"/>
      <c r="FR201" s="330"/>
      <c r="FS201" s="330"/>
      <c r="FT201" s="330"/>
      <c r="FU201" s="330"/>
    </row>
    <row r="202" spans="1:177" ht="51" x14ac:dyDescent="0.25">
      <c r="A202" s="330">
        <v>201</v>
      </c>
      <c r="B202" s="331" t="s">
        <v>2026</v>
      </c>
      <c r="C202" s="330"/>
      <c r="D202" s="332" t="s">
        <v>228</v>
      </c>
      <c r="E202" s="332" t="s">
        <v>229</v>
      </c>
      <c r="F202" s="332" t="s">
        <v>230</v>
      </c>
      <c r="G202" s="330" t="s">
        <v>231</v>
      </c>
      <c r="H202" s="331">
        <v>400</v>
      </c>
      <c r="I202" s="330"/>
      <c r="J202" s="332" t="s">
        <v>2027</v>
      </c>
      <c r="K202" s="332"/>
      <c r="L202" s="330" t="s">
        <v>284</v>
      </c>
      <c r="M202" s="332" t="s">
        <v>751</v>
      </c>
      <c r="N202" s="330"/>
      <c r="O202" s="333"/>
      <c r="P202" s="333"/>
      <c r="Q202" s="333">
        <v>19268</v>
      </c>
      <c r="R202" s="333">
        <v>36</v>
      </c>
      <c r="S202" s="333"/>
      <c r="T202" s="333"/>
      <c r="U202" s="333"/>
      <c r="V202" s="333"/>
      <c r="W202" s="330"/>
      <c r="X202" s="330"/>
      <c r="Y202" s="332" t="s">
        <v>351</v>
      </c>
      <c r="Z202" s="330" t="s">
        <v>215</v>
      </c>
      <c r="AA202" s="330" t="s">
        <v>352</v>
      </c>
      <c r="AB202" s="330" t="s">
        <v>189</v>
      </c>
      <c r="AC202" s="330"/>
      <c r="AD202" s="330"/>
      <c r="AE202" s="330">
        <v>2</v>
      </c>
      <c r="AF202" s="330">
        <v>-10</v>
      </c>
      <c r="AG202" s="332" t="s">
        <v>192</v>
      </c>
      <c r="AH202" s="332" t="s">
        <v>191</v>
      </c>
      <c r="AI202" s="330" t="s">
        <v>192</v>
      </c>
      <c r="AJ202" s="330" t="s">
        <v>192</v>
      </c>
      <c r="AK202" s="330"/>
      <c r="AL202" s="330" t="s">
        <v>192</v>
      </c>
      <c r="AM202" s="330" t="s">
        <v>191</v>
      </c>
      <c r="AN202" s="330" t="s">
        <v>192</v>
      </c>
      <c r="AO202" s="330"/>
      <c r="AP202" s="332" t="s">
        <v>259</v>
      </c>
      <c r="AQ202" s="330"/>
      <c r="AR202" s="330"/>
      <c r="AS202" s="330"/>
      <c r="AT202" s="330"/>
      <c r="AU202" s="332" t="s">
        <v>192</v>
      </c>
      <c r="AV202" s="334">
        <v>46094.601426631947</v>
      </c>
      <c r="AW202" s="330"/>
      <c r="AX202" s="335">
        <v>46115</v>
      </c>
      <c r="AY202" s="330"/>
      <c r="AZ202" s="330"/>
      <c r="BA202" s="330"/>
      <c r="BB202" s="330"/>
      <c r="BC202" s="336">
        <v>46136</v>
      </c>
      <c r="BD202" s="330"/>
      <c r="BE202" s="330"/>
      <c r="BF202" s="330"/>
      <c r="BG202" s="330"/>
      <c r="BH202" s="330" t="s">
        <v>193</v>
      </c>
      <c r="BI202" s="330">
        <v>1000</v>
      </c>
      <c r="BJ202" s="330"/>
      <c r="BK202" s="330"/>
      <c r="BL202" s="330"/>
      <c r="BM202" s="332"/>
      <c r="BN202" s="330"/>
      <c r="BO202" s="330" t="s">
        <v>240</v>
      </c>
      <c r="BP202" s="330" t="s">
        <v>193</v>
      </c>
      <c r="BQ202" s="330" t="s">
        <v>218</v>
      </c>
      <c r="BR202" s="330" t="s">
        <v>220</v>
      </c>
      <c r="BS202" s="330"/>
      <c r="BT202" s="330" t="s">
        <v>220</v>
      </c>
      <c r="BU202" s="330"/>
      <c r="BV202" s="330" t="s">
        <v>220</v>
      </c>
      <c r="BW202" s="330"/>
      <c r="BX202" s="332"/>
      <c r="BY202" s="330"/>
      <c r="BZ202" s="330"/>
      <c r="CA202" s="330"/>
      <c r="CB202" s="330"/>
      <c r="CC202" s="337" t="s">
        <v>2024</v>
      </c>
      <c r="CD202" s="330" t="b">
        <v>1</v>
      </c>
      <c r="CE202" s="330" t="b">
        <v>1</v>
      </c>
      <c r="CF202" s="330" t="b">
        <v>1</v>
      </c>
      <c r="CG202" s="330"/>
      <c r="CH202" s="330"/>
      <c r="CI202" s="330"/>
      <c r="CJ202" s="330"/>
      <c r="CK202" s="330"/>
      <c r="CL202" s="330"/>
      <c r="CM202" s="330"/>
      <c r="CN202" s="330"/>
      <c r="CO202" s="330"/>
      <c r="CP202" s="330"/>
      <c r="CQ202" s="330"/>
      <c r="CR202" s="330"/>
      <c r="CS202" s="330"/>
      <c r="CT202" s="330"/>
      <c r="CU202" s="330"/>
      <c r="CV202" s="330"/>
      <c r="CW202" s="330"/>
      <c r="CX202" s="330"/>
      <c r="CY202" s="330"/>
      <c r="CZ202" s="330"/>
      <c r="DA202" s="330"/>
      <c r="DB202" s="330" t="b">
        <v>1</v>
      </c>
      <c r="DC202" s="330" t="b">
        <v>1</v>
      </c>
      <c r="DD202" s="330"/>
      <c r="DE202" s="330"/>
      <c r="DF202" s="338">
        <v>24051</v>
      </c>
      <c r="DG202" s="330" t="s">
        <v>221</v>
      </c>
      <c r="DH202" s="330"/>
      <c r="DI202" s="338">
        <v>91</v>
      </c>
      <c r="DJ202" s="330"/>
      <c r="DK202" s="330">
        <v>91</v>
      </c>
      <c r="DL202" s="330" t="s">
        <v>243</v>
      </c>
      <c r="DM202" s="330"/>
      <c r="DN202" s="330"/>
      <c r="DO202" s="330"/>
      <c r="DP202" s="330"/>
      <c r="DQ202" s="338" t="s">
        <v>197</v>
      </c>
      <c r="DR202" s="330"/>
      <c r="DS202" s="330"/>
      <c r="DT202" s="330"/>
      <c r="DU202" s="338" t="s">
        <v>197</v>
      </c>
      <c r="DV202" s="330"/>
      <c r="DW202" s="330"/>
      <c r="DX202" s="330"/>
      <c r="DY202" s="338" t="s">
        <v>197</v>
      </c>
      <c r="DZ202" s="330"/>
      <c r="EA202" s="330"/>
      <c r="EB202" s="330"/>
      <c r="EC202" s="330" t="s">
        <v>197</v>
      </c>
      <c r="ED202" s="338" t="s">
        <v>197</v>
      </c>
      <c r="EE202" s="330">
        <v>8</v>
      </c>
      <c r="EF202" s="330">
        <v>40</v>
      </c>
      <c r="EG202" s="330"/>
      <c r="EH202" s="330"/>
      <c r="EI202" s="330"/>
      <c r="EJ202" s="330"/>
      <c r="EK202" s="330"/>
      <c r="EL202" s="330"/>
      <c r="EM202" s="330"/>
      <c r="EN202" s="330"/>
      <c r="EO202" s="330"/>
      <c r="EP202" s="330"/>
      <c r="EQ202" s="332" t="s">
        <v>244</v>
      </c>
      <c r="ER202" s="330"/>
      <c r="ES202" s="330"/>
      <c r="ET202" s="332" t="s">
        <v>245</v>
      </c>
      <c r="EU202" s="332" t="s">
        <v>354</v>
      </c>
      <c r="EV202" s="330"/>
      <c r="EW202" s="330"/>
      <c r="EX202" s="330" t="s">
        <v>200</v>
      </c>
      <c r="EY202" s="330"/>
      <c r="EZ202" s="330" t="s">
        <v>247</v>
      </c>
      <c r="FA202" s="330"/>
      <c r="FB202" s="330" t="s">
        <v>247</v>
      </c>
      <c r="FC202" s="330" t="s">
        <v>202</v>
      </c>
      <c r="FD202" s="332" t="s">
        <v>190</v>
      </c>
      <c r="FE202" s="330"/>
      <c r="FF202" s="330"/>
      <c r="FG202" s="330" t="s">
        <v>203</v>
      </c>
      <c r="FH202" s="330"/>
      <c r="FI202" s="330" t="s">
        <v>204</v>
      </c>
      <c r="FJ202" s="330"/>
      <c r="FK202" s="330" t="s">
        <v>230</v>
      </c>
      <c r="FL202" s="330" t="s">
        <v>192</v>
      </c>
      <c r="FM202" s="330" t="s">
        <v>191</v>
      </c>
      <c r="FN202" s="330" t="s">
        <v>2028</v>
      </c>
      <c r="FO202" s="330"/>
      <c r="FP202" s="330" t="s">
        <v>1330</v>
      </c>
      <c r="FQ202" s="330"/>
      <c r="FR202" s="330"/>
      <c r="FS202" s="330"/>
      <c r="FT202" s="330"/>
      <c r="FU202" s="330"/>
    </row>
    <row r="203" spans="1:177" ht="51" x14ac:dyDescent="0.25">
      <c r="A203" s="330">
        <v>202</v>
      </c>
      <c r="B203" s="331" t="s">
        <v>2029</v>
      </c>
      <c r="C203" s="330"/>
      <c r="D203" s="332" t="s">
        <v>228</v>
      </c>
      <c r="E203" s="332" t="s">
        <v>229</v>
      </c>
      <c r="F203" s="332" t="s">
        <v>230</v>
      </c>
      <c r="G203" s="330" t="s">
        <v>231</v>
      </c>
      <c r="H203" s="331">
        <v>400</v>
      </c>
      <c r="I203" s="330"/>
      <c r="J203" s="332" t="s">
        <v>2027</v>
      </c>
      <c r="K203" s="332"/>
      <c r="L203" s="330" t="s">
        <v>284</v>
      </c>
      <c r="M203" s="332" t="s">
        <v>751</v>
      </c>
      <c r="N203" s="330"/>
      <c r="O203" s="333"/>
      <c r="P203" s="333"/>
      <c r="Q203" s="333">
        <v>19268</v>
      </c>
      <c r="R203" s="333">
        <v>119</v>
      </c>
      <c r="S203" s="333"/>
      <c r="T203" s="333"/>
      <c r="U203" s="333"/>
      <c r="V203" s="333"/>
      <c r="W203" s="330"/>
      <c r="X203" s="330"/>
      <c r="Y203" s="332" t="s">
        <v>289</v>
      </c>
      <c r="Z203" s="330" t="s">
        <v>215</v>
      </c>
      <c r="AA203" s="330" t="s">
        <v>290</v>
      </c>
      <c r="AB203" s="330" t="s">
        <v>217</v>
      </c>
      <c r="AC203" s="330"/>
      <c r="AD203" s="330"/>
      <c r="AE203" s="330">
        <v>2</v>
      </c>
      <c r="AF203" s="330">
        <v>-10</v>
      </c>
      <c r="AG203" s="332" t="s">
        <v>192</v>
      </c>
      <c r="AH203" s="332" t="s">
        <v>191</v>
      </c>
      <c r="AI203" s="330" t="s">
        <v>192</v>
      </c>
      <c r="AJ203" s="330" t="s">
        <v>192</v>
      </c>
      <c r="AK203" s="330"/>
      <c r="AL203" s="330" t="s">
        <v>192</v>
      </c>
      <c r="AM203" s="330" t="s">
        <v>191</v>
      </c>
      <c r="AN203" s="330" t="s">
        <v>192</v>
      </c>
      <c r="AO203" s="330"/>
      <c r="AP203" s="332" t="s">
        <v>259</v>
      </c>
      <c r="AQ203" s="330"/>
      <c r="AR203" s="330"/>
      <c r="AS203" s="330"/>
      <c r="AT203" s="330"/>
      <c r="AU203" s="332" t="s">
        <v>192</v>
      </c>
      <c r="AV203" s="334">
        <v>46094.613119571761</v>
      </c>
      <c r="AW203" s="330"/>
      <c r="AX203" s="335">
        <v>46115</v>
      </c>
      <c r="AY203" s="330"/>
      <c r="AZ203" s="330"/>
      <c r="BA203" s="330"/>
      <c r="BB203" s="330"/>
      <c r="BC203" s="336">
        <v>46136</v>
      </c>
      <c r="BD203" s="330"/>
      <c r="BE203" s="330"/>
      <c r="BF203" s="330"/>
      <c r="BG203" s="330"/>
      <c r="BH203" s="330" t="s">
        <v>193</v>
      </c>
      <c r="BI203" s="330">
        <v>500</v>
      </c>
      <c r="BJ203" s="330"/>
      <c r="BK203" s="330"/>
      <c r="BL203" s="330"/>
      <c r="BM203" s="332"/>
      <c r="BN203" s="330"/>
      <c r="BO203" s="330" t="s">
        <v>240</v>
      </c>
      <c r="BP203" s="330" t="s">
        <v>193</v>
      </c>
      <c r="BQ203" s="330" t="s">
        <v>218</v>
      </c>
      <c r="BR203" s="330" t="s">
        <v>220</v>
      </c>
      <c r="BS203" s="330"/>
      <c r="BT203" s="330" t="s">
        <v>220</v>
      </c>
      <c r="BU203" s="330"/>
      <c r="BV203" s="330" t="s">
        <v>220</v>
      </c>
      <c r="BW203" s="330"/>
      <c r="BX203" s="332"/>
      <c r="BY203" s="330"/>
      <c r="BZ203" s="330"/>
      <c r="CA203" s="330"/>
      <c r="CB203" s="330"/>
      <c r="CC203" s="337" t="s">
        <v>2024</v>
      </c>
      <c r="CD203" s="330" t="b">
        <v>1</v>
      </c>
      <c r="CE203" s="330" t="b">
        <v>1</v>
      </c>
      <c r="CF203" s="330" t="b">
        <v>1</v>
      </c>
      <c r="CG203" s="330"/>
      <c r="CH203" s="330"/>
      <c r="CI203" s="330"/>
      <c r="CJ203" s="330"/>
      <c r="CK203" s="330"/>
      <c r="CL203" s="330"/>
      <c r="CM203" s="330"/>
      <c r="CN203" s="330"/>
      <c r="CO203" s="330"/>
      <c r="CP203" s="330"/>
      <c r="CQ203" s="330"/>
      <c r="CR203" s="330"/>
      <c r="CS203" s="330"/>
      <c r="CT203" s="330"/>
      <c r="CU203" s="330"/>
      <c r="CV203" s="330"/>
      <c r="CW203" s="330"/>
      <c r="CX203" s="330"/>
      <c r="CY203" s="330"/>
      <c r="CZ203" s="330"/>
      <c r="DA203" s="330"/>
      <c r="DB203" s="330" t="b">
        <v>1</v>
      </c>
      <c r="DC203" s="330" t="b">
        <v>1</v>
      </c>
      <c r="DD203" s="330"/>
      <c r="DE203" s="330"/>
      <c r="DF203" s="338">
        <v>24051</v>
      </c>
      <c r="DG203" s="330" t="s">
        <v>221</v>
      </c>
      <c r="DH203" s="330"/>
      <c r="DI203" s="338">
        <v>227</v>
      </c>
      <c r="DJ203" s="330"/>
      <c r="DK203" s="330">
        <v>227</v>
      </c>
      <c r="DL203" s="330" t="s">
        <v>243</v>
      </c>
      <c r="DM203" s="330"/>
      <c r="DN203" s="330"/>
      <c r="DO203" s="330"/>
      <c r="DP203" s="330"/>
      <c r="DQ203" s="338" t="s">
        <v>197</v>
      </c>
      <c r="DR203" s="330"/>
      <c r="DS203" s="330"/>
      <c r="DT203" s="330"/>
      <c r="DU203" s="338" t="s">
        <v>197</v>
      </c>
      <c r="DV203" s="330"/>
      <c r="DW203" s="330"/>
      <c r="DX203" s="330"/>
      <c r="DY203" s="338" t="s">
        <v>197</v>
      </c>
      <c r="DZ203" s="330"/>
      <c r="EA203" s="330"/>
      <c r="EB203" s="330"/>
      <c r="EC203" s="330" t="s">
        <v>197</v>
      </c>
      <c r="ED203" s="338" t="s">
        <v>197</v>
      </c>
      <c r="EE203" s="330">
        <v>8</v>
      </c>
      <c r="EF203" s="330">
        <v>200</v>
      </c>
      <c r="EG203" s="330"/>
      <c r="EH203" s="330"/>
      <c r="EI203" s="330"/>
      <c r="EJ203" s="330"/>
      <c r="EK203" s="330"/>
      <c r="EL203" s="330"/>
      <c r="EM203" s="330"/>
      <c r="EN203" s="330"/>
      <c r="EO203" s="330"/>
      <c r="EP203" s="330"/>
      <c r="EQ203" s="332" t="s">
        <v>244</v>
      </c>
      <c r="ER203" s="330"/>
      <c r="ES203" s="330"/>
      <c r="ET203" s="332" t="s">
        <v>245</v>
      </c>
      <c r="EU203" s="332" t="s">
        <v>354</v>
      </c>
      <c r="EV203" s="330"/>
      <c r="EW203" s="330"/>
      <c r="EX203" s="330" t="s">
        <v>200</v>
      </c>
      <c r="EY203" s="330"/>
      <c r="EZ203" s="330" t="s">
        <v>247</v>
      </c>
      <c r="FA203" s="330"/>
      <c r="FB203" s="330" t="s">
        <v>247</v>
      </c>
      <c r="FC203" s="330" t="s">
        <v>202</v>
      </c>
      <c r="FD203" s="332" t="s">
        <v>190</v>
      </c>
      <c r="FE203" s="330"/>
      <c r="FF203" s="330"/>
      <c r="FG203" s="330" t="s">
        <v>203</v>
      </c>
      <c r="FH203" s="330"/>
      <c r="FI203" s="330" t="s">
        <v>204</v>
      </c>
      <c r="FJ203" s="330"/>
      <c r="FK203" s="330" t="s">
        <v>230</v>
      </c>
      <c r="FL203" s="330" t="s">
        <v>192</v>
      </c>
      <c r="FM203" s="330" t="s">
        <v>191</v>
      </c>
      <c r="FN203" s="330" t="s">
        <v>2030</v>
      </c>
      <c r="FO203" s="330"/>
      <c r="FP203" s="330" t="s">
        <v>1330</v>
      </c>
      <c r="FQ203" s="330"/>
      <c r="FR203" s="330"/>
      <c r="FS203" s="330"/>
      <c r="FT203" s="330"/>
      <c r="FU203" s="330"/>
    </row>
    <row r="204" spans="1:177" ht="51" x14ac:dyDescent="0.25">
      <c r="A204" s="330">
        <v>203</v>
      </c>
      <c r="B204" s="331" t="s">
        <v>2031</v>
      </c>
      <c r="C204" s="330"/>
      <c r="D204" s="332" t="s">
        <v>304</v>
      </c>
      <c r="E204" s="332" t="s">
        <v>305</v>
      </c>
      <c r="F204" s="332" t="s">
        <v>306</v>
      </c>
      <c r="G204" s="330" t="s">
        <v>307</v>
      </c>
      <c r="H204" s="331">
        <v>600</v>
      </c>
      <c r="I204" s="330"/>
      <c r="J204" s="332"/>
      <c r="K204" s="332" t="s">
        <v>2032</v>
      </c>
      <c r="L204" s="330"/>
      <c r="M204" s="332" t="s">
        <v>2033</v>
      </c>
      <c r="N204" s="330"/>
      <c r="O204" s="333"/>
      <c r="P204" s="333"/>
      <c r="Q204" s="333">
        <v>2014</v>
      </c>
      <c r="R204" s="333">
        <v>30</v>
      </c>
      <c r="S204" s="333"/>
      <c r="T204" s="333"/>
      <c r="U204" s="333"/>
      <c r="V204" s="333"/>
      <c r="W204" s="330"/>
      <c r="X204" s="330"/>
      <c r="Y204" s="332" t="s">
        <v>313</v>
      </c>
      <c r="Z204" s="330" t="s">
        <v>215</v>
      </c>
      <c r="AA204" s="330" t="s">
        <v>314</v>
      </c>
      <c r="AB204" s="330" t="s">
        <v>217</v>
      </c>
      <c r="AC204" s="330"/>
      <c r="AD204" s="330"/>
      <c r="AE204" s="330">
        <v>1</v>
      </c>
      <c r="AF204" s="330">
        <v>-10</v>
      </c>
      <c r="AG204" s="332" t="s">
        <v>353</v>
      </c>
      <c r="AH204" s="332" t="s">
        <v>191</v>
      </c>
      <c r="AI204" s="330" t="s">
        <v>353</v>
      </c>
      <c r="AJ204" s="330" t="s">
        <v>353</v>
      </c>
      <c r="AK204" s="330" t="s">
        <v>191</v>
      </c>
      <c r="AL204" s="330" t="s">
        <v>353</v>
      </c>
      <c r="AM204" s="330" t="s">
        <v>191</v>
      </c>
      <c r="AN204" s="330" t="s">
        <v>353</v>
      </c>
      <c r="AO204" s="330"/>
      <c r="AP204" s="332" t="s">
        <v>259</v>
      </c>
      <c r="AQ204" s="330"/>
      <c r="AR204" s="330"/>
      <c r="AS204" s="330"/>
      <c r="AT204" s="330"/>
      <c r="AU204" s="332" t="s">
        <v>353</v>
      </c>
      <c r="AV204" s="334">
        <v>46094.61378728009</v>
      </c>
      <c r="AW204" s="330" t="b">
        <v>1</v>
      </c>
      <c r="AX204" s="335">
        <v>46115</v>
      </c>
      <c r="AY204" s="330"/>
      <c r="AZ204" s="330"/>
      <c r="BA204" s="330"/>
      <c r="BB204" s="330"/>
      <c r="BC204" s="336">
        <v>46129</v>
      </c>
      <c r="BD204" s="330"/>
      <c r="BE204" s="330"/>
      <c r="BF204" s="330"/>
      <c r="BG204" s="330"/>
      <c r="BH204" s="330" t="s">
        <v>193</v>
      </c>
      <c r="BI204" s="330" t="s">
        <v>318</v>
      </c>
      <c r="BJ204" s="330"/>
      <c r="BK204" s="330"/>
      <c r="BL204" s="330"/>
      <c r="BM204" s="332"/>
      <c r="BN204" s="330"/>
      <c r="BO204" s="330" t="s">
        <v>240</v>
      </c>
      <c r="BP204" s="330" t="s">
        <v>193</v>
      </c>
      <c r="BQ204" s="330" t="s">
        <v>218</v>
      </c>
      <c r="BR204" s="330" t="s">
        <v>193</v>
      </c>
      <c r="BS204" s="330" t="s">
        <v>2034</v>
      </c>
      <c r="BT204" s="330" t="s">
        <v>220</v>
      </c>
      <c r="BU204" s="330"/>
      <c r="BV204" s="330" t="s">
        <v>220</v>
      </c>
      <c r="BW204" s="330"/>
      <c r="BX204" s="332"/>
      <c r="BY204" s="330"/>
      <c r="BZ204" s="330"/>
      <c r="CA204" s="330"/>
      <c r="CB204" s="330"/>
      <c r="CC204" s="337" t="s">
        <v>81</v>
      </c>
      <c r="CD204" s="330" t="b">
        <v>1</v>
      </c>
      <c r="CE204" s="330" t="b">
        <v>1</v>
      </c>
      <c r="CF204" s="330" t="b">
        <v>1</v>
      </c>
      <c r="CG204" s="330"/>
      <c r="CH204" s="330"/>
      <c r="CI204" s="330"/>
      <c r="CJ204" s="330"/>
      <c r="CK204" s="330"/>
      <c r="CL204" s="330"/>
      <c r="CM204" s="330"/>
      <c r="CN204" s="330"/>
      <c r="CO204" s="330"/>
      <c r="CP204" s="330"/>
      <c r="CQ204" s="330"/>
      <c r="CR204" s="330"/>
      <c r="CS204" s="330"/>
      <c r="CT204" s="330"/>
      <c r="CU204" s="330"/>
      <c r="CV204" s="330"/>
      <c r="CW204" s="330"/>
      <c r="CX204" s="330"/>
      <c r="CY204" s="330"/>
      <c r="CZ204" s="330"/>
      <c r="DA204" s="330"/>
      <c r="DB204" s="330" t="b">
        <v>1</v>
      </c>
      <c r="DC204" s="330" t="b">
        <v>1</v>
      </c>
      <c r="DD204" s="330"/>
      <c r="DE204" s="330"/>
      <c r="DF204" s="338">
        <v>25002</v>
      </c>
      <c r="DG204" s="330" t="s">
        <v>221</v>
      </c>
      <c r="DH204" s="330"/>
      <c r="DI204" s="338">
        <v>13</v>
      </c>
      <c r="DJ204" s="330"/>
      <c r="DK204" s="330">
        <v>13</v>
      </c>
      <c r="DL204" s="330" t="s">
        <v>4090</v>
      </c>
      <c r="DM204" s="330"/>
      <c r="DN204" s="330" t="b">
        <v>1</v>
      </c>
      <c r="DO204" s="336">
        <v>46108</v>
      </c>
      <c r="DP204" s="330"/>
      <c r="DQ204" s="338" t="s">
        <v>4104</v>
      </c>
      <c r="DR204" s="330"/>
      <c r="DS204" s="330"/>
      <c r="DT204" s="330"/>
      <c r="DU204" s="338" t="s">
        <v>197</v>
      </c>
      <c r="DV204" s="330"/>
      <c r="DW204" s="330"/>
      <c r="DX204" s="330"/>
      <c r="DY204" s="338" t="s">
        <v>197</v>
      </c>
      <c r="DZ204" s="330"/>
      <c r="EA204" s="330"/>
      <c r="EB204" s="330"/>
      <c r="EC204" s="330" t="s">
        <v>197</v>
      </c>
      <c r="ED204" s="338">
        <v>15</v>
      </c>
      <c r="EE204" s="330">
        <v>8</v>
      </c>
      <c r="EF204" s="330">
        <v>8</v>
      </c>
      <c r="EG204" s="330"/>
      <c r="EH204" s="330"/>
      <c r="EI204" s="330"/>
      <c r="EJ204" s="330"/>
      <c r="EK204" s="330"/>
      <c r="EL204" s="330"/>
      <c r="EM204" s="330"/>
      <c r="EN204" s="330"/>
      <c r="EO204" s="330"/>
      <c r="EP204" s="330"/>
      <c r="EQ204" s="332" t="s">
        <v>321</v>
      </c>
      <c r="ER204" s="330"/>
      <c r="ES204" s="330"/>
      <c r="ET204" s="332" t="s">
        <v>245</v>
      </c>
      <c r="EU204" s="332" t="s">
        <v>354</v>
      </c>
      <c r="EV204" s="330"/>
      <c r="EW204" s="330"/>
      <c r="EX204" s="330" t="s">
        <v>200</v>
      </c>
      <c r="EY204" s="330"/>
      <c r="EZ204" s="330" t="s">
        <v>247</v>
      </c>
      <c r="FA204" s="330"/>
      <c r="FB204" s="330" t="s">
        <v>247</v>
      </c>
      <c r="FC204" s="330" t="s">
        <v>202</v>
      </c>
      <c r="FD204" s="332" t="s">
        <v>190</v>
      </c>
      <c r="FE204" s="330"/>
      <c r="FF204" s="330"/>
      <c r="FG204" s="330" t="s">
        <v>203</v>
      </c>
      <c r="FH204" s="330" t="s">
        <v>2035</v>
      </c>
      <c r="FI204" s="330" t="s">
        <v>204</v>
      </c>
      <c r="FJ204" s="330"/>
      <c r="FK204" s="330" t="s">
        <v>306</v>
      </c>
      <c r="FL204" s="330" t="s">
        <v>353</v>
      </c>
      <c r="FM204" s="330" t="s">
        <v>191</v>
      </c>
      <c r="FN204" s="330" t="s">
        <v>2036</v>
      </c>
      <c r="FO204" s="330"/>
      <c r="FP204" s="330" t="s">
        <v>639</v>
      </c>
      <c r="FQ204" s="330"/>
      <c r="FR204" s="330"/>
      <c r="FS204" s="330"/>
      <c r="FT204" s="330"/>
      <c r="FU204" s="330"/>
    </row>
    <row r="205" spans="1:177" ht="89.25" x14ac:dyDescent="0.25">
      <c r="A205" s="330">
        <v>204</v>
      </c>
      <c r="B205" s="331" t="s">
        <v>2037</v>
      </c>
      <c r="C205" s="330"/>
      <c r="D205" s="332" t="s">
        <v>228</v>
      </c>
      <c r="E205" s="332" t="s">
        <v>229</v>
      </c>
      <c r="F205" s="332" t="s">
        <v>230</v>
      </c>
      <c r="G205" s="330" t="s">
        <v>231</v>
      </c>
      <c r="H205" s="331">
        <v>400</v>
      </c>
      <c r="I205" s="330"/>
      <c r="J205" s="332" t="s">
        <v>2038</v>
      </c>
      <c r="K205" s="332"/>
      <c r="L205" s="330" t="s">
        <v>284</v>
      </c>
      <c r="M205" s="332" t="s">
        <v>751</v>
      </c>
      <c r="N205" s="330"/>
      <c r="O205" s="333"/>
      <c r="P205" s="333"/>
      <c r="Q205" s="333">
        <v>19268</v>
      </c>
      <c r="R205" s="333">
        <v>104</v>
      </c>
      <c r="S205" s="333"/>
      <c r="T205" s="333"/>
      <c r="U205" s="333"/>
      <c r="V205" s="333"/>
      <c r="W205" s="330"/>
      <c r="X205" s="330"/>
      <c r="Y205" s="332" t="s">
        <v>351</v>
      </c>
      <c r="Z205" s="330" t="s">
        <v>215</v>
      </c>
      <c r="AA205" s="330" t="s">
        <v>352</v>
      </c>
      <c r="AB205" s="330" t="s">
        <v>189</v>
      </c>
      <c r="AC205" s="330"/>
      <c r="AD205" s="330"/>
      <c r="AE205" s="330">
        <v>9</v>
      </c>
      <c r="AF205" s="330">
        <v>-5</v>
      </c>
      <c r="AG205" s="332" t="s">
        <v>192</v>
      </c>
      <c r="AH205" s="332" t="s">
        <v>191</v>
      </c>
      <c r="AI205" s="330" t="s">
        <v>192</v>
      </c>
      <c r="AJ205" s="330" t="s">
        <v>192</v>
      </c>
      <c r="AK205" s="330"/>
      <c r="AL205" s="330" t="s">
        <v>192</v>
      </c>
      <c r="AM205" s="330" t="s">
        <v>191</v>
      </c>
      <c r="AN205" s="330" t="s">
        <v>192</v>
      </c>
      <c r="AO205" s="330"/>
      <c r="AP205" s="332" t="s">
        <v>259</v>
      </c>
      <c r="AQ205" s="330"/>
      <c r="AR205" s="330"/>
      <c r="AS205" s="330"/>
      <c r="AT205" s="330"/>
      <c r="AU205" s="332" t="s">
        <v>192</v>
      </c>
      <c r="AV205" s="334">
        <v>46094.672165555552</v>
      </c>
      <c r="AW205" s="330"/>
      <c r="AX205" s="335">
        <v>46122</v>
      </c>
      <c r="AY205" s="330"/>
      <c r="AZ205" s="330"/>
      <c r="BA205" s="330"/>
      <c r="BB205" s="330"/>
      <c r="BC205" s="336">
        <v>46143</v>
      </c>
      <c r="BD205" s="330"/>
      <c r="BE205" s="330"/>
      <c r="BF205" s="330"/>
      <c r="BG205" s="330"/>
      <c r="BH205" s="330" t="s">
        <v>193</v>
      </c>
      <c r="BI205" s="330">
        <v>1000</v>
      </c>
      <c r="BJ205" s="330"/>
      <c r="BK205" s="330"/>
      <c r="BL205" s="330"/>
      <c r="BM205" s="332"/>
      <c r="BN205" s="330"/>
      <c r="BO205" s="330" t="s">
        <v>240</v>
      </c>
      <c r="BP205" s="330" t="s">
        <v>193</v>
      </c>
      <c r="BQ205" s="330" t="s">
        <v>218</v>
      </c>
      <c r="BR205" s="330" t="s">
        <v>220</v>
      </c>
      <c r="BS205" s="330"/>
      <c r="BT205" s="330" t="s">
        <v>220</v>
      </c>
      <c r="BU205" s="330"/>
      <c r="BV205" s="330" t="s">
        <v>220</v>
      </c>
      <c r="BW205" s="330"/>
      <c r="BX205" s="332"/>
      <c r="BY205" s="330"/>
      <c r="BZ205" s="330"/>
      <c r="CA205" s="330"/>
      <c r="CB205" s="330"/>
      <c r="CC205" s="337" t="s">
        <v>2024</v>
      </c>
      <c r="CD205" s="330" t="b">
        <v>1</v>
      </c>
      <c r="CE205" s="330" t="b">
        <v>1</v>
      </c>
      <c r="CF205" s="330" t="b">
        <v>1</v>
      </c>
      <c r="CG205" s="330"/>
      <c r="CH205" s="330"/>
      <c r="CI205" s="330"/>
      <c r="CJ205" s="330"/>
      <c r="CK205" s="330"/>
      <c r="CL205" s="330"/>
      <c r="CM205" s="330"/>
      <c r="CN205" s="330"/>
      <c r="CO205" s="330"/>
      <c r="CP205" s="330"/>
      <c r="CQ205" s="330"/>
      <c r="CR205" s="330"/>
      <c r="CS205" s="330"/>
      <c r="CT205" s="330"/>
      <c r="CU205" s="330"/>
      <c r="CV205" s="330"/>
      <c r="CW205" s="330"/>
      <c r="CX205" s="330"/>
      <c r="CY205" s="330"/>
      <c r="CZ205" s="330"/>
      <c r="DA205" s="330"/>
      <c r="DB205" s="330" t="b">
        <v>1</v>
      </c>
      <c r="DC205" s="330" t="b">
        <v>1</v>
      </c>
      <c r="DD205" s="330"/>
      <c r="DE205" s="330"/>
      <c r="DF205" s="338">
        <v>24051</v>
      </c>
      <c r="DG205" s="330" t="s">
        <v>221</v>
      </c>
      <c r="DH205" s="330"/>
      <c r="DI205" s="338">
        <v>92</v>
      </c>
      <c r="DJ205" s="330"/>
      <c r="DK205" s="330">
        <v>92</v>
      </c>
      <c r="DL205" s="330" t="s">
        <v>243</v>
      </c>
      <c r="DM205" s="330"/>
      <c r="DN205" s="330"/>
      <c r="DO205" s="330"/>
      <c r="DP205" s="330"/>
      <c r="DQ205" s="338" t="s">
        <v>197</v>
      </c>
      <c r="DR205" s="330"/>
      <c r="DS205" s="330"/>
      <c r="DT205" s="330"/>
      <c r="DU205" s="338" t="s">
        <v>197</v>
      </c>
      <c r="DV205" s="330"/>
      <c r="DW205" s="330"/>
      <c r="DX205" s="330"/>
      <c r="DY205" s="338" t="s">
        <v>197</v>
      </c>
      <c r="DZ205" s="330"/>
      <c r="EA205" s="330"/>
      <c r="EB205" s="330"/>
      <c r="EC205" s="330" t="s">
        <v>197</v>
      </c>
      <c r="ED205" s="338" t="s">
        <v>197</v>
      </c>
      <c r="EE205" s="330">
        <v>8</v>
      </c>
      <c r="EF205" s="330">
        <v>80</v>
      </c>
      <c r="EG205" s="330"/>
      <c r="EH205" s="330"/>
      <c r="EI205" s="330"/>
      <c r="EJ205" s="330"/>
      <c r="EK205" s="330"/>
      <c r="EL205" s="330"/>
      <c r="EM205" s="330"/>
      <c r="EN205" s="330"/>
      <c r="EO205" s="330"/>
      <c r="EP205" s="330"/>
      <c r="EQ205" s="332" t="s">
        <v>244</v>
      </c>
      <c r="ER205" s="330"/>
      <c r="ES205" s="330"/>
      <c r="ET205" s="332" t="s">
        <v>245</v>
      </c>
      <c r="EU205" s="332" t="s">
        <v>354</v>
      </c>
      <c r="EV205" s="330"/>
      <c r="EW205" s="330"/>
      <c r="EX205" s="330" t="s">
        <v>200</v>
      </c>
      <c r="EY205" s="330"/>
      <c r="EZ205" s="330" t="s">
        <v>247</v>
      </c>
      <c r="FA205" s="330"/>
      <c r="FB205" s="330" t="s">
        <v>247</v>
      </c>
      <c r="FC205" s="330" t="s">
        <v>202</v>
      </c>
      <c r="FD205" s="332" t="s">
        <v>190</v>
      </c>
      <c r="FE205" s="330"/>
      <c r="FF205" s="330"/>
      <c r="FG205" s="330" t="s">
        <v>203</v>
      </c>
      <c r="FH205" s="330"/>
      <c r="FI205" s="330" t="s">
        <v>204</v>
      </c>
      <c r="FJ205" s="330"/>
      <c r="FK205" s="330" t="s">
        <v>230</v>
      </c>
      <c r="FL205" s="330" t="s">
        <v>192</v>
      </c>
      <c r="FM205" s="330" t="s">
        <v>191</v>
      </c>
      <c r="FN205" s="330" t="s">
        <v>2039</v>
      </c>
      <c r="FO205" s="330"/>
      <c r="FP205" s="330" t="s">
        <v>1807</v>
      </c>
      <c r="FQ205" s="330"/>
      <c r="FR205" s="330"/>
      <c r="FS205" s="330"/>
      <c r="FT205" s="330"/>
      <c r="FU205" s="330"/>
    </row>
    <row r="206" spans="1:177" ht="63.75" x14ac:dyDescent="0.25">
      <c r="A206" s="330">
        <v>205</v>
      </c>
      <c r="B206" s="331" t="s">
        <v>2040</v>
      </c>
      <c r="C206" s="330"/>
      <c r="D206" s="332" t="s">
        <v>228</v>
      </c>
      <c r="E206" s="332" t="s">
        <v>229</v>
      </c>
      <c r="F206" s="332" t="s">
        <v>230</v>
      </c>
      <c r="G206" s="330" t="s">
        <v>231</v>
      </c>
      <c r="H206" s="331">
        <v>400</v>
      </c>
      <c r="I206" s="330"/>
      <c r="J206" s="332" t="s">
        <v>2041</v>
      </c>
      <c r="K206" s="332"/>
      <c r="L206" s="330" t="s">
        <v>284</v>
      </c>
      <c r="M206" s="332" t="s">
        <v>4163</v>
      </c>
      <c r="N206" s="330"/>
      <c r="O206" s="333"/>
      <c r="P206" s="333"/>
      <c r="Q206" s="333">
        <v>19268</v>
      </c>
      <c r="R206" s="333">
        <v>131</v>
      </c>
      <c r="S206" s="333">
        <v>133</v>
      </c>
      <c r="T206" s="333">
        <v>43</v>
      </c>
      <c r="U206" s="333"/>
      <c r="V206" s="333"/>
      <c r="W206" s="330"/>
      <c r="X206" s="330"/>
      <c r="Y206" s="332" t="s">
        <v>351</v>
      </c>
      <c r="Z206" s="330" t="s">
        <v>215</v>
      </c>
      <c r="AA206" s="330" t="s">
        <v>352</v>
      </c>
      <c r="AB206" s="330" t="s">
        <v>189</v>
      </c>
      <c r="AC206" s="330"/>
      <c r="AD206" s="330"/>
      <c r="AE206" s="330">
        <v>5</v>
      </c>
      <c r="AF206" s="330">
        <v>-8</v>
      </c>
      <c r="AG206" s="332" t="s">
        <v>192</v>
      </c>
      <c r="AH206" s="332" t="s">
        <v>191</v>
      </c>
      <c r="AI206" s="330" t="s">
        <v>192</v>
      </c>
      <c r="AJ206" s="330" t="s">
        <v>192</v>
      </c>
      <c r="AK206" s="330"/>
      <c r="AL206" s="330" t="s">
        <v>192</v>
      </c>
      <c r="AM206" s="330" t="s">
        <v>191</v>
      </c>
      <c r="AN206" s="330" t="s">
        <v>192</v>
      </c>
      <c r="AO206" s="330"/>
      <c r="AP206" s="332" t="s">
        <v>259</v>
      </c>
      <c r="AQ206" s="330"/>
      <c r="AR206" s="330"/>
      <c r="AS206" s="330"/>
      <c r="AT206" s="330"/>
      <c r="AU206" s="332" t="s">
        <v>554</v>
      </c>
      <c r="AV206" s="334">
        <v>46097.479122337965</v>
      </c>
      <c r="AW206" s="330"/>
      <c r="AX206" s="335">
        <v>46119</v>
      </c>
      <c r="AY206" s="330"/>
      <c r="AZ206" s="330"/>
      <c r="BA206" s="330"/>
      <c r="BB206" s="330"/>
      <c r="BC206" s="336">
        <v>46140</v>
      </c>
      <c r="BD206" s="330"/>
      <c r="BE206" s="330"/>
      <c r="BF206" s="330"/>
      <c r="BG206" s="330"/>
      <c r="BH206" s="330" t="s">
        <v>193</v>
      </c>
      <c r="BI206" s="330">
        <v>1000</v>
      </c>
      <c r="BJ206" s="330"/>
      <c r="BK206" s="330"/>
      <c r="BL206" s="330"/>
      <c r="BM206" s="332"/>
      <c r="BN206" s="330"/>
      <c r="BO206" s="330" t="s">
        <v>240</v>
      </c>
      <c r="BP206" s="330" t="s">
        <v>193</v>
      </c>
      <c r="BQ206" s="330" t="s">
        <v>218</v>
      </c>
      <c r="BR206" s="330" t="s">
        <v>220</v>
      </c>
      <c r="BS206" s="330"/>
      <c r="BT206" s="330" t="s">
        <v>220</v>
      </c>
      <c r="BU206" s="330"/>
      <c r="BV206" s="330" t="s">
        <v>220</v>
      </c>
      <c r="BW206" s="330"/>
      <c r="BX206" s="332"/>
      <c r="BY206" s="330"/>
      <c r="BZ206" s="330"/>
      <c r="CA206" s="330"/>
      <c r="CB206" s="330"/>
      <c r="CC206" s="337" t="s">
        <v>1325</v>
      </c>
      <c r="CD206" s="330" t="b">
        <v>1</v>
      </c>
      <c r="CE206" s="330" t="b">
        <v>1</v>
      </c>
      <c r="CF206" s="330" t="b">
        <v>1</v>
      </c>
      <c r="CG206" s="330"/>
      <c r="CH206" s="330"/>
      <c r="CI206" s="330"/>
      <c r="CJ206" s="330"/>
      <c r="CK206" s="330"/>
      <c r="CL206" s="330"/>
      <c r="CM206" s="330"/>
      <c r="CN206" s="330"/>
      <c r="CO206" s="330"/>
      <c r="CP206" s="330"/>
      <c r="CQ206" s="330"/>
      <c r="CR206" s="330"/>
      <c r="CS206" s="330"/>
      <c r="CT206" s="330"/>
      <c r="CU206" s="330"/>
      <c r="CV206" s="330"/>
      <c r="CW206" s="330"/>
      <c r="CX206" s="330"/>
      <c r="CY206" s="330"/>
      <c r="CZ206" s="330"/>
      <c r="DA206" s="330"/>
      <c r="DB206" s="330" t="b">
        <v>1</v>
      </c>
      <c r="DC206" s="330" t="b">
        <v>1</v>
      </c>
      <c r="DD206" s="330"/>
      <c r="DE206" s="330"/>
      <c r="DF206" s="338">
        <v>24051</v>
      </c>
      <c r="DG206" s="330" t="s">
        <v>221</v>
      </c>
      <c r="DH206" s="330"/>
      <c r="DI206" s="338">
        <v>93</v>
      </c>
      <c r="DJ206" s="330"/>
      <c r="DK206" s="330">
        <v>93</v>
      </c>
      <c r="DL206" s="330" t="s">
        <v>243</v>
      </c>
      <c r="DM206" s="330"/>
      <c r="DN206" s="330"/>
      <c r="DO206" s="330"/>
      <c r="DP206" s="330"/>
      <c r="DQ206" s="338" t="s">
        <v>197</v>
      </c>
      <c r="DR206" s="330"/>
      <c r="DS206" s="330"/>
      <c r="DT206" s="330"/>
      <c r="DU206" s="338" t="s">
        <v>197</v>
      </c>
      <c r="DV206" s="330"/>
      <c r="DW206" s="330"/>
      <c r="DX206" s="330"/>
      <c r="DY206" s="338" t="s">
        <v>197</v>
      </c>
      <c r="DZ206" s="330"/>
      <c r="EA206" s="330"/>
      <c r="EB206" s="330"/>
      <c r="EC206" s="330" t="s">
        <v>197</v>
      </c>
      <c r="ED206" s="338" t="s">
        <v>197</v>
      </c>
      <c r="EE206" s="330">
        <v>16</v>
      </c>
      <c r="EF206" s="330">
        <v>200</v>
      </c>
      <c r="EG206" s="330"/>
      <c r="EH206" s="330"/>
      <c r="EI206" s="330"/>
      <c r="EJ206" s="330"/>
      <c r="EK206" s="330"/>
      <c r="EL206" s="330"/>
      <c r="EM206" s="330"/>
      <c r="EN206" s="330"/>
      <c r="EO206" s="330"/>
      <c r="EP206" s="330"/>
      <c r="EQ206" s="332" t="s">
        <v>244</v>
      </c>
      <c r="ER206" s="330"/>
      <c r="ES206" s="330"/>
      <c r="ET206" s="332" t="s">
        <v>245</v>
      </c>
      <c r="EU206" s="332" t="s">
        <v>354</v>
      </c>
      <c r="EV206" s="330"/>
      <c r="EW206" s="330"/>
      <c r="EX206" s="330" t="s">
        <v>200</v>
      </c>
      <c r="EY206" s="330"/>
      <c r="EZ206" s="330" t="s">
        <v>247</v>
      </c>
      <c r="FA206" s="330"/>
      <c r="FB206" s="330" t="s">
        <v>247</v>
      </c>
      <c r="FC206" s="330" t="s">
        <v>202</v>
      </c>
      <c r="FD206" s="332" t="s">
        <v>190</v>
      </c>
      <c r="FE206" s="330"/>
      <c r="FF206" s="330"/>
      <c r="FG206" s="330" t="s">
        <v>203</v>
      </c>
      <c r="FH206" s="330" t="s">
        <v>4164</v>
      </c>
      <c r="FI206" s="330" t="s">
        <v>204</v>
      </c>
      <c r="FJ206" s="330"/>
      <c r="FK206" s="330" t="s">
        <v>230</v>
      </c>
      <c r="FL206" s="330" t="s">
        <v>192</v>
      </c>
      <c r="FM206" s="330" t="s">
        <v>191</v>
      </c>
      <c r="FN206" s="330" t="s">
        <v>2042</v>
      </c>
      <c r="FO206" s="330"/>
      <c r="FP206" s="330" t="s">
        <v>1807</v>
      </c>
      <c r="FQ206" s="330"/>
      <c r="FR206" s="330"/>
      <c r="FS206" s="330"/>
      <c r="FT206" s="330"/>
      <c r="FU206" s="330"/>
    </row>
    <row r="207" spans="1:177" ht="140.25" x14ac:dyDescent="0.25">
      <c r="A207" s="330">
        <v>206</v>
      </c>
      <c r="B207" s="331" t="s">
        <v>2043</v>
      </c>
      <c r="C207" s="330"/>
      <c r="D207" s="332" t="s">
        <v>900</v>
      </c>
      <c r="E207" s="332" t="s">
        <v>901</v>
      </c>
      <c r="F207" s="332" t="s">
        <v>902</v>
      </c>
      <c r="G207" s="330" t="s">
        <v>903</v>
      </c>
      <c r="H207" s="331">
        <v>400</v>
      </c>
      <c r="I207" s="330"/>
      <c r="J207" s="332" t="s">
        <v>2044</v>
      </c>
      <c r="K207" s="332" t="s">
        <v>2045</v>
      </c>
      <c r="L207" s="330" t="s">
        <v>284</v>
      </c>
      <c r="M207" s="332" t="s">
        <v>751</v>
      </c>
      <c r="N207" s="330"/>
      <c r="O207" s="333"/>
      <c r="P207" s="333"/>
      <c r="Q207" s="333"/>
      <c r="R207" s="333">
        <v>111</v>
      </c>
      <c r="S207" s="333"/>
      <c r="T207" s="333"/>
      <c r="U207" s="333"/>
      <c r="V207" s="333"/>
      <c r="W207" s="330"/>
      <c r="X207" s="330"/>
      <c r="Y207" s="332" t="s">
        <v>2046</v>
      </c>
      <c r="Z207" s="330" t="s">
        <v>215</v>
      </c>
      <c r="AA207" s="330" t="s">
        <v>2047</v>
      </c>
      <c r="AB207" s="330" t="s">
        <v>217</v>
      </c>
      <c r="AC207" s="330"/>
      <c r="AD207" s="330"/>
      <c r="AE207" s="330">
        <v>2</v>
      </c>
      <c r="AF207" s="330">
        <v>3</v>
      </c>
      <c r="AG207" s="332" t="s">
        <v>627</v>
      </c>
      <c r="AH207" s="332" t="s">
        <v>191</v>
      </c>
      <c r="AI207" s="330"/>
      <c r="AJ207" s="330" t="s">
        <v>191</v>
      </c>
      <c r="AK207" s="330" t="s">
        <v>627</v>
      </c>
      <c r="AL207" s="330"/>
      <c r="AM207" s="330"/>
      <c r="AN207" s="330"/>
      <c r="AO207" s="330"/>
      <c r="AP207" s="332" t="s">
        <v>259</v>
      </c>
      <c r="AQ207" s="330"/>
      <c r="AR207" s="330"/>
      <c r="AS207" s="330"/>
      <c r="AT207" s="330"/>
      <c r="AU207" s="332"/>
      <c r="AV207" s="334">
        <v>46097.519807118057</v>
      </c>
      <c r="AW207" s="330"/>
      <c r="AX207" s="335">
        <v>46132</v>
      </c>
      <c r="AY207" s="330"/>
      <c r="AZ207" s="330"/>
      <c r="BA207" s="330"/>
      <c r="BB207" s="330"/>
      <c r="BC207" s="336">
        <v>46153</v>
      </c>
      <c r="BD207" s="330"/>
      <c r="BE207" s="330"/>
      <c r="BF207" s="330"/>
      <c r="BG207" s="330"/>
      <c r="BH207" s="330" t="s">
        <v>193</v>
      </c>
      <c r="BI207" s="330">
        <v>300</v>
      </c>
      <c r="BJ207" s="330"/>
      <c r="BK207" s="330"/>
      <c r="BL207" s="330"/>
      <c r="BM207" s="332"/>
      <c r="BN207" s="330"/>
      <c r="BO207" s="330" t="s">
        <v>240</v>
      </c>
      <c r="BP207" s="330" t="s">
        <v>193</v>
      </c>
      <c r="BQ207" s="330" t="s">
        <v>909</v>
      </c>
      <c r="BR207" s="330" t="s">
        <v>193</v>
      </c>
      <c r="BS207" s="330" t="s">
        <v>2048</v>
      </c>
      <c r="BT207" s="330" t="s">
        <v>220</v>
      </c>
      <c r="BU207" s="330"/>
      <c r="BV207" s="330" t="s">
        <v>193</v>
      </c>
      <c r="BW207" s="330" t="s">
        <v>2049</v>
      </c>
      <c r="BX207" s="332"/>
      <c r="BY207" s="330"/>
      <c r="BZ207" s="330"/>
      <c r="CA207" s="330"/>
      <c r="CB207" s="330"/>
      <c r="CC207" s="337" t="s">
        <v>1955</v>
      </c>
      <c r="CD207" s="330" t="b">
        <v>1</v>
      </c>
      <c r="CE207" s="330" t="b">
        <v>1</v>
      </c>
      <c r="CF207" s="330" t="b">
        <v>1</v>
      </c>
      <c r="CG207" s="330"/>
      <c r="CH207" s="330"/>
      <c r="CI207" s="330"/>
      <c r="CJ207" s="330"/>
      <c r="CK207" s="330"/>
      <c r="CL207" s="330"/>
      <c r="CM207" s="330"/>
      <c r="CN207" s="330"/>
      <c r="CO207" s="330"/>
      <c r="CP207" s="330"/>
      <c r="CQ207" s="330"/>
      <c r="CR207" s="330"/>
      <c r="CS207" s="330"/>
      <c r="CT207" s="330"/>
      <c r="CU207" s="330"/>
      <c r="CV207" s="330"/>
      <c r="CW207" s="330"/>
      <c r="CX207" s="330"/>
      <c r="CY207" s="330"/>
      <c r="CZ207" s="330"/>
      <c r="DA207" s="330"/>
      <c r="DB207" s="330" t="b">
        <v>1</v>
      </c>
      <c r="DC207" s="330" t="b">
        <v>1</v>
      </c>
      <c r="DD207" s="330"/>
      <c r="DE207" s="330"/>
      <c r="DF207" s="338">
        <v>24079</v>
      </c>
      <c r="DG207" s="330" t="s">
        <v>221</v>
      </c>
      <c r="DH207" s="330"/>
      <c r="DI207" s="338">
        <v>103</v>
      </c>
      <c r="DJ207" s="330"/>
      <c r="DK207" s="330">
        <v>103</v>
      </c>
      <c r="DL207" s="330" t="s">
        <v>912</v>
      </c>
      <c r="DM207" s="330"/>
      <c r="DN207" s="330"/>
      <c r="DO207" s="330"/>
      <c r="DP207" s="330"/>
      <c r="DQ207" s="338" t="s">
        <v>197</v>
      </c>
      <c r="DR207" s="330"/>
      <c r="DS207" s="330"/>
      <c r="DT207" s="330"/>
      <c r="DU207" s="338" t="s">
        <v>197</v>
      </c>
      <c r="DV207" s="330"/>
      <c r="DW207" s="330"/>
      <c r="DX207" s="330"/>
      <c r="DY207" s="338" t="s">
        <v>197</v>
      </c>
      <c r="DZ207" s="330"/>
      <c r="EA207" s="330"/>
      <c r="EB207" s="330"/>
      <c r="EC207" s="330" t="s">
        <v>197</v>
      </c>
      <c r="ED207" s="338" t="s">
        <v>197</v>
      </c>
      <c r="EE207" s="330">
        <v>40</v>
      </c>
      <c r="EF207" s="330">
        <v>80</v>
      </c>
      <c r="EG207" s="330"/>
      <c r="EH207" s="330"/>
      <c r="EI207" s="330"/>
      <c r="EJ207" s="330"/>
      <c r="EK207" s="330"/>
      <c r="EL207" s="330"/>
      <c r="EM207" s="330"/>
      <c r="EN207" s="330"/>
      <c r="EO207" s="330"/>
      <c r="EP207" s="330"/>
      <c r="EQ207" s="332" t="s">
        <v>936</v>
      </c>
      <c r="ER207" s="330"/>
      <c r="ES207" s="330"/>
      <c r="ET207" s="332" t="s">
        <v>245</v>
      </c>
      <c r="EU207" s="332" t="s">
        <v>354</v>
      </c>
      <c r="EV207" s="330"/>
      <c r="EW207" s="330"/>
      <c r="EX207" s="330" t="s">
        <v>200</v>
      </c>
      <c r="EY207" s="330"/>
      <c r="EZ207" s="330" t="s">
        <v>247</v>
      </c>
      <c r="FA207" s="330"/>
      <c r="FB207" s="330" t="s">
        <v>247</v>
      </c>
      <c r="FC207" s="330" t="s">
        <v>202</v>
      </c>
      <c r="FD207" s="332" t="s">
        <v>190</v>
      </c>
      <c r="FE207" s="330"/>
      <c r="FF207" s="330"/>
      <c r="FG207" s="330" t="s">
        <v>203</v>
      </c>
      <c r="FH207" s="330"/>
      <c r="FI207" s="330" t="s">
        <v>204</v>
      </c>
      <c r="FJ207" s="330"/>
      <c r="FK207" s="330" t="s">
        <v>902</v>
      </c>
      <c r="FL207" s="330"/>
      <c r="FM207" s="330"/>
      <c r="FN207" s="330" t="s">
        <v>2050</v>
      </c>
      <c r="FO207" s="330"/>
      <c r="FP207" s="330" t="s">
        <v>1958</v>
      </c>
      <c r="FQ207" s="330"/>
      <c r="FR207" s="330"/>
      <c r="FS207" s="330"/>
      <c r="FT207" s="330"/>
      <c r="FU207" s="330"/>
    </row>
    <row r="208" spans="1:177" ht="51" x14ac:dyDescent="0.25">
      <c r="A208" s="330">
        <v>207</v>
      </c>
      <c r="B208" s="331" t="s">
        <v>2051</v>
      </c>
      <c r="C208" s="330"/>
      <c r="D208" s="332" t="s">
        <v>228</v>
      </c>
      <c r="E208" s="332" t="s">
        <v>229</v>
      </c>
      <c r="F208" s="332" t="s">
        <v>230</v>
      </c>
      <c r="G208" s="330" t="s">
        <v>231</v>
      </c>
      <c r="H208" s="331">
        <v>400</v>
      </c>
      <c r="I208" s="330"/>
      <c r="J208" s="332" t="s">
        <v>2052</v>
      </c>
      <c r="K208" s="332"/>
      <c r="L208" s="330" t="s">
        <v>284</v>
      </c>
      <c r="M208" s="332" t="s">
        <v>751</v>
      </c>
      <c r="N208" s="330"/>
      <c r="O208" s="333"/>
      <c r="P208" s="333"/>
      <c r="Q208" s="333">
        <v>19268</v>
      </c>
      <c r="R208" s="333">
        <v>79</v>
      </c>
      <c r="S208" s="333"/>
      <c r="T208" s="333"/>
      <c r="U208" s="333"/>
      <c r="V208" s="333"/>
      <c r="W208" s="330"/>
      <c r="X208" s="330"/>
      <c r="Y208" s="332" t="s">
        <v>351</v>
      </c>
      <c r="Z208" s="330" t="s">
        <v>215</v>
      </c>
      <c r="AA208" s="330" t="s">
        <v>352</v>
      </c>
      <c r="AB208" s="330" t="s">
        <v>189</v>
      </c>
      <c r="AC208" s="330"/>
      <c r="AD208" s="330"/>
      <c r="AE208" s="330">
        <v>5</v>
      </c>
      <c r="AF208" s="330">
        <v>-8</v>
      </c>
      <c r="AG208" s="332" t="s">
        <v>192</v>
      </c>
      <c r="AH208" s="332" t="s">
        <v>191</v>
      </c>
      <c r="AI208" s="330" t="s">
        <v>192</v>
      </c>
      <c r="AJ208" s="330" t="s">
        <v>192</v>
      </c>
      <c r="AK208" s="330"/>
      <c r="AL208" s="330" t="s">
        <v>192</v>
      </c>
      <c r="AM208" s="330" t="s">
        <v>191</v>
      </c>
      <c r="AN208" s="330" t="s">
        <v>192</v>
      </c>
      <c r="AO208" s="330"/>
      <c r="AP208" s="332" t="s">
        <v>259</v>
      </c>
      <c r="AQ208" s="330"/>
      <c r="AR208" s="330"/>
      <c r="AS208" s="330"/>
      <c r="AT208" s="330"/>
      <c r="AU208" s="332" t="s">
        <v>554</v>
      </c>
      <c r="AV208" s="334">
        <v>46097.532545428243</v>
      </c>
      <c r="AW208" s="330"/>
      <c r="AX208" s="335">
        <v>46119</v>
      </c>
      <c r="AY208" s="330"/>
      <c r="AZ208" s="330"/>
      <c r="BA208" s="330"/>
      <c r="BB208" s="330"/>
      <c r="BC208" s="336">
        <v>46140</v>
      </c>
      <c r="BD208" s="330"/>
      <c r="BE208" s="330"/>
      <c r="BF208" s="330"/>
      <c r="BG208" s="330"/>
      <c r="BH208" s="330" t="s">
        <v>193</v>
      </c>
      <c r="BI208" s="330">
        <v>1000</v>
      </c>
      <c r="BJ208" s="330"/>
      <c r="BK208" s="330"/>
      <c r="BL208" s="330"/>
      <c r="BM208" s="332"/>
      <c r="BN208" s="330"/>
      <c r="BO208" s="330" t="s">
        <v>240</v>
      </c>
      <c r="BP208" s="330" t="s">
        <v>193</v>
      </c>
      <c r="BQ208" s="330" t="s">
        <v>218</v>
      </c>
      <c r="BR208" s="330" t="s">
        <v>220</v>
      </c>
      <c r="BS208" s="330"/>
      <c r="BT208" s="330" t="s">
        <v>220</v>
      </c>
      <c r="BU208" s="330"/>
      <c r="BV208" s="330" t="s">
        <v>220</v>
      </c>
      <c r="BW208" s="330"/>
      <c r="BX208" s="332"/>
      <c r="BY208" s="330"/>
      <c r="BZ208" s="330"/>
      <c r="CA208" s="330"/>
      <c r="CB208" s="330"/>
      <c r="CC208" s="337" t="s">
        <v>2024</v>
      </c>
      <c r="CD208" s="330" t="b">
        <v>1</v>
      </c>
      <c r="CE208" s="330" t="b">
        <v>1</v>
      </c>
      <c r="CF208" s="330" t="b">
        <v>1</v>
      </c>
      <c r="CG208" s="330"/>
      <c r="CH208" s="330"/>
      <c r="CI208" s="330"/>
      <c r="CJ208" s="330"/>
      <c r="CK208" s="330"/>
      <c r="CL208" s="330"/>
      <c r="CM208" s="330"/>
      <c r="CN208" s="330"/>
      <c r="CO208" s="330"/>
      <c r="CP208" s="330"/>
      <c r="CQ208" s="330"/>
      <c r="CR208" s="330"/>
      <c r="CS208" s="330"/>
      <c r="CT208" s="330"/>
      <c r="CU208" s="330"/>
      <c r="CV208" s="330"/>
      <c r="CW208" s="330"/>
      <c r="CX208" s="330"/>
      <c r="CY208" s="330"/>
      <c r="CZ208" s="330"/>
      <c r="DA208" s="330"/>
      <c r="DB208" s="330" t="b">
        <v>1</v>
      </c>
      <c r="DC208" s="330" t="b">
        <v>1</v>
      </c>
      <c r="DD208" s="330"/>
      <c r="DE208" s="330"/>
      <c r="DF208" s="338">
        <v>24051</v>
      </c>
      <c r="DG208" s="330" t="s">
        <v>221</v>
      </c>
      <c r="DH208" s="330"/>
      <c r="DI208" s="338">
        <v>94</v>
      </c>
      <c r="DJ208" s="330"/>
      <c r="DK208" s="330">
        <v>94</v>
      </c>
      <c r="DL208" s="330" t="s">
        <v>243</v>
      </c>
      <c r="DM208" s="330"/>
      <c r="DN208" s="330"/>
      <c r="DO208" s="330"/>
      <c r="DP208" s="330"/>
      <c r="DQ208" s="338" t="s">
        <v>197</v>
      </c>
      <c r="DR208" s="330"/>
      <c r="DS208" s="330"/>
      <c r="DT208" s="330"/>
      <c r="DU208" s="338" t="s">
        <v>197</v>
      </c>
      <c r="DV208" s="330"/>
      <c r="DW208" s="330"/>
      <c r="DX208" s="330"/>
      <c r="DY208" s="338" t="s">
        <v>197</v>
      </c>
      <c r="DZ208" s="330"/>
      <c r="EA208" s="330"/>
      <c r="EB208" s="330"/>
      <c r="EC208" s="330" t="s">
        <v>197</v>
      </c>
      <c r="ED208" s="338" t="s">
        <v>197</v>
      </c>
      <c r="EE208" s="330">
        <v>16</v>
      </c>
      <c r="EF208" s="330">
        <v>140</v>
      </c>
      <c r="EG208" s="330"/>
      <c r="EH208" s="330"/>
      <c r="EI208" s="330"/>
      <c r="EJ208" s="330"/>
      <c r="EK208" s="330"/>
      <c r="EL208" s="330"/>
      <c r="EM208" s="330"/>
      <c r="EN208" s="330"/>
      <c r="EO208" s="330"/>
      <c r="EP208" s="330"/>
      <c r="EQ208" s="332" t="s">
        <v>244</v>
      </c>
      <c r="ER208" s="330"/>
      <c r="ES208" s="330"/>
      <c r="ET208" s="332" t="s">
        <v>245</v>
      </c>
      <c r="EU208" s="332" t="s">
        <v>354</v>
      </c>
      <c r="EV208" s="330"/>
      <c r="EW208" s="330"/>
      <c r="EX208" s="330" t="s">
        <v>200</v>
      </c>
      <c r="EY208" s="330"/>
      <c r="EZ208" s="330" t="s">
        <v>247</v>
      </c>
      <c r="FA208" s="330"/>
      <c r="FB208" s="330" t="s">
        <v>247</v>
      </c>
      <c r="FC208" s="330" t="s">
        <v>202</v>
      </c>
      <c r="FD208" s="332" t="s">
        <v>190</v>
      </c>
      <c r="FE208" s="330"/>
      <c r="FF208" s="330"/>
      <c r="FG208" s="330" t="s">
        <v>203</v>
      </c>
      <c r="FH208" s="330"/>
      <c r="FI208" s="330" t="s">
        <v>204</v>
      </c>
      <c r="FJ208" s="330"/>
      <c r="FK208" s="330" t="s">
        <v>230</v>
      </c>
      <c r="FL208" s="330" t="s">
        <v>192</v>
      </c>
      <c r="FM208" s="330" t="s">
        <v>191</v>
      </c>
      <c r="FN208" s="330" t="s">
        <v>2053</v>
      </c>
      <c r="FO208" s="330"/>
      <c r="FP208" s="330" t="s">
        <v>1807</v>
      </c>
      <c r="FQ208" s="330"/>
      <c r="FR208" s="330"/>
      <c r="FS208" s="330"/>
      <c r="FT208" s="330"/>
      <c r="FU208" s="330"/>
    </row>
    <row r="209" spans="1:177" ht="127.5" x14ac:dyDescent="0.25">
      <c r="A209" s="330">
        <v>208</v>
      </c>
      <c r="B209" s="331" t="s">
        <v>2054</v>
      </c>
      <c r="C209" s="330"/>
      <c r="D209" s="332" t="s">
        <v>900</v>
      </c>
      <c r="E209" s="332" t="s">
        <v>901</v>
      </c>
      <c r="F209" s="332" t="s">
        <v>902</v>
      </c>
      <c r="G209" s="330" t="s">
        <v>903</v>
      </c>
      <c r="H209" s="331"/>
      <c r="I209" s="330"/>
      <c r="J209" s="332" t="s">
        <v>2055</v>
      </c>
      <c r="K209" s="332" t="s">
        <v>2056</v>
      </c>
      <c r="L209" s="330" t="s">
        <v>2057</v>
      </c>
      <c r="M209" s="332" t="s">
        <v>908</v>
      </c>
      <c r="N209" s="330" t="s">
        <v>2058</v>
      </c>
      <c r="O209" s="333" t="s">
        <v>736</v>
      </c>
      <c r="P209" s="333">
        <v>386</v>
      </c>
      <c r="Q209" s="333"/>
      <c r="R209" s="333">
        <v>185</v>
      </c>
      <c r="S209" s="333">
        <v>1295</v>
      </c>
      <c r="T209" s="333">
        <v>1</v>
      </c>
      <c r="U209" s="333">
        <v>0</v>
      </c>
      <c r="V209" s="333">
        <v>0</v>
      </c>
      <c r="W209" s="330">
        <v>185</v>
      </c>
      <c r="X209" s="330" t="s">
        <v>2059</v>
      </c>
      <c r="Y209" s="332" t="s">
        <v>2060</v>
      </c>
      <c r="Z209" s="330" t="s">
        <v>187</v>
      </c>
      <c r="AA209" s="330" t="s">
        <v>2061</v>
      </c>
      <c r="AB209" s="330" t="s">
        <v>189</v>
      </c>
      <c r="AC209" s="330"/>
      <c r="AD209" s="330"/>
      <c r="AE209" s="330">
        <v>1</v>
      </c>
      <c r="AF209" s="330">
        <v>-6</v>
      </c>
      <c r="AG209" s="332" t="s">
        <v>626</v>
      </c>
      <c r="AH209" s="332" t="s">
        <v>191</v>
      </c>
      <c r="AI209" s="330" t="s">
        <v>202</v>
      </c>
      <c r="AJ209" s="330"/>
      <c r="AK209" s="330"/>
      <c r="AL209" s="330" t="s">
        <v>742</v>
      </c>
      <c r="AM209" s="330" t="s">
        <v>202</v>
      </c>
      <c r="AN209" s="330" t="s">
        <v>742</v>
      </c>
      <c r="AO209" s="330" t="b">
        <v>1</v>
      </c>
      <c r="AP209" s="332"/>
      <c r="AQ209" s="330"/>
      <c r="AR209" s="330" t="s">
        <v>334</v>
      </c>
      <c r="AS209" s="330" t="b">
        <v>1</v>
      </c>
      <c r="AT209" s="330"/>
      <c r="AU209" s="332"/>
      <c r="AV209" s="334">
        <v>46097.583973171299</v>
      </c>
      <c r="AW209" s="330"/>
      <c r="AX209" s="335">
        <v>46114</v>
      </c>
      <c r="AY209" s="336">
        <v>46108</v>
      </c>
      <c r="AZ209" s="330"/>
      <c r="BA209" s="336">
        <v>46121</v>
      </c>
      <c r="BB209" s="336">
        <v>46118</v>
      </c>
      <c r="BC209" s="336">
        <v>46125</v>
      </c>
      <c r="BD209" s="330"/>
      <c r="BE209" s="330"/>
      <c r="BF209" s="330"/>
      <c r="BG209" s="330"/>
      <c r="BH209" s="330" t="s">
        <v>193</v>
      </c>
      <c r="BI209" s="330">
        <v>185</v>
      </c>
      <c r="BJ209" s="330"/>
      <c r="BK209" s="330" t="b">
        <v>1</v>
      </c>
      <c r="BL209" s="330" t="s">
        <v>335</v>
      </c>
      <c r="BM209" s="332" t="s">
        <v>2062</v>
      </c>
      <c r="BN209" s="330" t="s">
        <v>1067</v>
      </c>
      <c r="BO209" s="330"/>
      <c r="BP209" s="330"/>
      <c r="BQ209" s="330"/>
      <c r="BR209" s="330"/>
      <c r="BS209" s="330"/>
      <c r="BT209" s="330"/>
      <c r="BU209" s="330"/>
      <c r="BV209" s="330"/>
      <c r="BW209" s="330"/>
      <c r="BX209" s="332"/>
      <c r="BY209" s="330"/>
      <c r="BZ209" s="330"/>
      <c r="CA209" s="330"/>
      <c r="CB209" s="330"/>
      <c r="CC209" s="337" t="s">
        <v>2063</v>
      </c>
      <c r="CD209" s="330"/>
      <c r="CE209" s="330" t="b">
        <v>1</v>
      </c>
      <c r="CF209" s="330"/>
      <c r="CG209" s="330"/>
      <c r="CH209" s="330"/>
      <c r="CI209" s="330"/>
      <c r="CJ209" s="330"/>
      <c r="CK209" s="330"/>
      <c r="CL209" s="330" t="b">
        <v>1</v>
      </c>
      <c r="CM209" s="330" t="s">
        <v>2063</v>
      </c>
      <c r="CN209" s="330"/>
      <c r="CO209" s="330" t="b">
        <v>1</v>
      </c>
      <c r="CP209" s="330"/>
      <c r="CQ209" s="330"/>
      <c r="CR209" s="330"/>
      <c r="CS209" s="330"/>
      <c r="CT209" s="330"/>
      <c r="CU209" s="330" t="b">
        <v>1</v>
      </c>
      <c r="CV209" s="330"/>
      <c r="CW209" s="330"/>
      <c r="CX209" s="330"/>
      <c r="CY209" s="330"/>
      <c r="CZ209" s="330"/>
      <c r="DA209" s="330"/>
      <c r="DB209" s="330"/>
      <c r="DC209" s="330"/>
      <c r="DD209" s="330"/>
      <c r="DE209" s="330"/>
      <c r="DF209" s="338">
        <v>24079</v>
      </c>
      <c r="DG209" s="330" t="s">
        <v>195</v>
      </c>
      <c r="DH209" s="330"/>
      <c r="DI209" s="338" t="s">
        <v>2064</v>
      </c>
      <c r="DJ209" s="330"/>
      <c r="DK209" s="330">
        <v>0</v>
      </c>
      <c r="DL209" s="330" t="s">
        <v>1347</v>
      </c>
      <c r="DM209" s="330"/>
      <c r="DN209" s="330"/>
      <c r="DO209" s="330"/>
      <c r="DP209" s="330"/>
      <c r="DQ209" s="338" t="s">
        <v>197</v>
      </c>
      <c r="DR209" s="330"/>
      <c r="DS209" s="330"/>
      <c r="DT209" s="330"/>
      <c r="DU209" s="338" t="s">
        <v>197</v>
      </c>
      <c r="DV209" s="330"/>
      <c r="DW209" s="330"/>
      <c r="DX209" s="330"/>
      <c r="DY209" s="338" t="s">
        <v>197</v>
      </c>
      <c r="DZ209" s="330"/>
      <c r="EA209" s="330"/>
      <c r="EB209" s="330"/>
      <c r="EC209" s="330" t="s">
        <v>197</v>
      </c>
      <c r="ED209" s="338" t="s">
        <v>197</v>
      </c>
      <c r="EE209" s="330">
        <v>1</v>
      </c>
      <c r="EF209" s="330">
        <v>40</v>
      </c>
      <c r="EG209" s="330"/>
      <c r="EH209" s="330"/>
      <c r="EI209" s="330"/>
      <c r="EJ209" s="330"/>
      <c r="EK209" s="330"/>
      <c r="EL209" s="330"/>
      <c r="EM209" s="330"/>
      <c r="EN209" s="330"/>
      <c r="EO209" s="330"/>
      <c r="EP209" s="330"/>
      <c r="EQ209" s="332" t="s">
        <v>936</v>
      </c>
      <c r="ER209" s="330"/>
      <c r="ES209" s="330"/>
      <c r="ET209" s="332" t="s">
        <v>89</v>
      </c>
      <c r="EU209" s="332" t="s">
        <v>2065</v>
      </c>
      <c r="EV209" s="336">
        <v>46108</v>
      </c>
      <c r="EW209" s="336">
        <v>46108</v>
      </c>
      <c r="EX209" s="330">
        <v>1</v>
      </c>
      <c r="EY209" s="330"/>
      <c r="EZ209" s="330" t="s">
        <v>247</v>
      </c>
      <c r="FA209" s="330"/>
      <c r="FB209" s="330" t="s">
        <v>247</v>
      </c>
      <c r="FC209" s="330" t="s">
        <v>202</v>
      </c>
      <c r="FD209" s="332" t="s">
        <v>190</v>
      </c>
      <c r="FE209" s="330"/>
      <c r="FF209" s="330"/>
      <c r="FG209" s="330" t="s">
        <v>203</v>
      </c>
      <c r="FH209" s="330" t="s">
        <v>2066</v>
      </c>
      <c r="FI209" s="330" t="s">
        <v>204</v>
      </c>
      <c r="FJ209" s="330"/>
      <c r="FK209" s="330" t="s">
        <v>902</v>
      </c>
      <c r="FL209" s="330" t="s">
        <v>742</v>
      </c>
      <c r="FM209" s="330" t="s">
        <v>202</v>
      </c>
      <c r="FN209" s="330" t="s">
        <v>2067</v>
      </c>
      <c r="FO209" s="330"/>
      <c r="FP209" s="330" t="s">
        <v>639</v>
      </c>
      <c r="FQ209" s="330"/>
      <c r="FR209" s="330"/>
      <c r="FS209" s="330"/>
      <c r="FT209" s="330"/>
      <c r="FU209" s="330"/>
    </row>
    <row r="210" spans="1:177" ht="51" x14ac:dyDescent="0.25">
      <c r="A210" s="330">
        <v>209</v>
      </c>
      <c r="B210" s="331" t="s">
        <v>2068</v>
      </c>
      <c r="C210" s="330"/>
      <c r="D210" s="332" t="s">
        <v>228</v>
      </c>
      <c r="E210" s="332" t="s">
        <v>229</v>
      </c>
      <c r="F210" s="332" t="s">
        <v>230</v>
      </c>
      <c r="G210" s="330" t="s">
        <v>231</v>
      </c>
      <c r="H210" s="331">
        <v>400</v>
      </c>
      <c r="I210" s="330"/>
      <c r="J210" s="332" t="s">
        <v>2069</v>
      </c>
      <c r="K210" s="332"/>
      <c r="L210" s="330" t="s">
        <v>284</v>
      </c>
      <c r="M210" s="332" t="s">
        <v>751</v>
      </c>
      <c r="N210" s="330"/>
      <c r="O210" s="333"/>
      <c r="P210" s="333"/>
      <c r="Q210" s="333">
        <v>19268</v>
      </c>
      <c r="R210" s="333">
        <v>96</v>
      </c>
      <c r="S210" s="333"/>
      <c r="T210" s="333"/>
      <c r="U210" s="333"/>
      <c r="V210" s="333"/>
      <c r="W210" s="330"/>
      <c r="X210" s="330"/>
      <c r="Y210" s="332" t="s">
        <v>351</v>
      </c>
      <c r="Z210" s="330" t="s">
        <v>215</v>
      </c>
      <c r="AA210" s="330" t="s">
        <v>352</v>
      </c>
      <c r="AB210" s="330" t="s">
        <v>189</v>
      </c>
      <c r="AC210" s="330"/>
      <c r="AD210" s="330"/>
      <c r="AE210" s="330">
        <v>5</v>
      </c>
      <c r="AF210" s="330">
        <v>-8</v>
      </c>
      <c r="AG210" s="332" t="s">
        <v>192</v>
      </c>
      <c r="AH210" s="332" t="s">
        <v>191</v>
      </c>
      <c r="AI210" s="330" t="s">
        <v>192</v>
      </c>
      <c r="AJ210" s="330" t="s">
        <v>192</v>
      </c>
      <c r="AK210" s="330"/>
      <c r="AL210" s="330" t="s">
        <v>192</v>
      </c>
      <c r="AM210" s="330" t="s">
        <v>191</v>
      </c>
      <c r="AN210" s="330" t="s">
        <v>192</v>
      </c>
      <c r="AO210" s="330"/>
      <c r="AP210" s="332" t="s">
        <v>259</v>
      </c>
      <c r="AQ210" s="330"/>
      <c r="AR210" s="330"/>
      <c r="AS210" s="330"/>
      <c r="AT210" s="330"/>
      <c r="AU210" s="332" t="s">
        <v>554</v>
      </c>
      <c r="AV210" s="334">
        <v>46097.64937515046</v>
      </c>
      <c r="AW210" s="330"/>
      <c r="AX210" s="335">
        <v>46119</v>
      </c>
      <c r="AY210" s="330"/>
      <c r="AZ210" s="330"/>
      <c r="BA210" s="330"/>
      <c r="BB210" s="330"/>
      <c r="BC210" s="336">
        <v>46140</v>
      </c>
      <c r="BD210" s="330"/>
      <c r="BE210" s="330"/>
      <c r="BF210" s="330"/>
      <c r="BG210" s="330"/>
      <c r="BH210" s="330" t="s">
        <v>193</v>
      </c>
      <c r="BI210" s="330">
        <v>1000</v>
      </c>
      <c r="BJ210" s="330"/>
      <c r="BK210" s="330"/>
      <c r="BL210" s="330"/>
      <c r="BM210" s="332"/>
      <c r="BN210" s="330"/>
      <c r="BO210" s="330" t="s">
        <v>240</v>
      </c>
      <c r="BP210" s="330" t="s">
        <v>193</v>
      </c>
      <c r="BQ210" s="330" t="s">
        <v>218</v>
      </c>
      <c r="BR210" s="330" t="s">
        <v>220</v>
      </c>
      <c r="BS210" s="330"/>
      <c r="BT210" s="330" t="s">
        <v>220</v>
      </c>
      <c r="BU210" s="330"/>
      <c r="BV210" s="330" t="s">
        <v>220</v>
      </c>
      <c r="BW210" s="330"/>
      <c r="BX210" s="332"/>
      <c r="BY210" s="330"/>
      <c r="BZ210" s="330"/>
      <c r="CA210" s="330"/>
      <c r="CB210" s="330"/>
      <c r="CC210" s="337" t="s">
        <v>2024</v>
      </c>
      <c r="CD210" s="330" t="b">
        <v>1</v>
      </c>
      <c r="CE210" s="330" t="b">
        <v>1</v>
      </c>
      <c r="CF210" s="330" t="b">
        <v>1</v>
      </c>
      <c r="CG210" s="330"/>
      <c r="CH210" s="330"/>
      <c r="CI210" s="330"/>
      <c r="CJ210" s="330"/>
      <c r="CK210" s="330"/>
      <c r="CL210" s="330"/>
      <c r="CM210" s="330"/>
      <c r="CN210" s="330"/>
      <c r="CO210" s="330"/>
      <c r="CP210" s="330"/>
      <c r="CQ210" s="330"/>
      <c r="CR210" s="330"/>
      <c r="CS210" s="330"/>
      <c r="CT210" s="330"/>
      <c r="CU210" s="330"/>
      <c r="CV210" s="330"/>
      <c r="CW210" s="330"/>
      <c r="CX210" s="330"/>
      <c r="CY210" s="330"/>
      <c r="CZ210" s="330"/>
      <c r="DA210" s="330"/>
      <c r="DB210" s="330" t="b">
        <v>1</v>
      </c>
      <c r="DC210" s="330" t="b">
        <v>1</v>
      </c>
      <c r="DD210" s="330"/>
      <c r="DE210" s="330"/>
      <c r="DF210" s="338">
        <v>24051</v>
      </c>
      <c r="DG210" s="330" t="s">
        <v>221</v>
      </c>
      <c r="DH210" s="330"/>
      <c r="DI210" s="338">
        <v>95</v>
      </c>
      <c r="DJ210" s="330"/>
      <c r="DK210" s="330">
        <v>95</v>
      </c>
      <c r="DL210" s="330" t="s">
        <v>243</v>
      </c>
      <c r="DM210" s="330"/>
      <c r="DN210" s="330"/>
      <c r="DO210" s="330"/>
      <c r="DP210" s="330"/>
      <c r="DQ210" s="338" t="s">
        <v>197</v>
      </c>
      <c r="DR210" s="330"/>
      <c r="DS210" s="330"/>
      <c r="DT210" s="330"/>
      <c r="DU210" s="338" t="s">
        <v>197</v>
      </c>
      <c r="DV210" s="330"/>
      <c r="DW210" s="330"/>
      <c r="DX210" s="330"/>
      <c r="DY210" s="338" t="s">
        <v>197</v>
      </c>
      <c r="DZ210" s="330"/>
      <c r="EA210" s="330"/>
      <c r="EB210" s="330"/>
      <c r="EC210" s="330" t="s">
        <v>197</v>
      </c>
      <c r="ED210" s="338" t="s">
        <v>197</v>
      </c>
      <c r="EE210" s="330">
        <v>16</v>
      </c>
      <c r="EF210" s="330">
        <v>200</v>
      </c>
      <c r="EG210" s="330"/>
      <c r="EH210" s="330"/>
      <c r="EI210" s="330"/>
      <c r="EJ210" s="330"/>
      <c r="EK210" s="330"/>
      <c r="EL210" s="330"/>
      <c r="EM210" s="330"/>
      <c r="EN210" s="330"/>
      <c r="EO210" s="330"/>
      <c r="EP210" s="330"/>
      <c r="EQ210" s="332" t="s">
        <v>244</v>
      </c>
      <c r="ER210" s="330"/>
      <c r="ES210" s="330"/>
      <c r="ET210" s="332" t="s">
        <v>245</v>
      </c>
      <c r="EU210" s="332" t="s">
        <v>354</v>
      </c>
      <c r="EV210" s="330"/>
      <c r="EW210" s="330"/>
      <c r="EX210" s="330" t="s">
        <v>200</v>
      </c>
      <c r="EY210" s="330"/>
      <c r="EZ210" s="330" t="s">
        <v>247</v>
      </c>
      <c r="FA210" s="330"/>
      <c r="FB210" s="330" t="s">
        <v>247</v>
      </c>
      <c r="FC210" s="330" t="s">
        <v>202</v>
      </c>
      <c r="FD210" s="332" t="s">
        <v>190</v>
      </c>
      <c r="FE210" s="330"/>
      <c r="FF210" s="330"/>
      <c r="FG210" s="330" t="s">
        <v>203</v>
      </c>
      <c r="FH210" s="330"/>
      <c r="FI210" s="330" t="s">
        <v>204</v>
      </c>
      <c r="FJ210" s="330"/>
      <c r="FK210" s="330" t="s">
        <v>230</v>
      </c>
      <c r="FL210" s="330" t="s">
        <v>192</v>
      </c>
      <c r="FM210" s="330" t="s">
        <v>191</v>
      </c>
      <c r="FN210" s="330" t="s">
        <v>2070</v>
      </c>
      <c r="FO210" s="330"/>
      <c r="FP210" s="330" t="s">
        <v>1807</v>
      </c>
      <c r="FQ210" s="330"/>
      <c r="FR210" s="330"/>
      <c r="FS210" s="330"/>
      <c r="FT210" s="330"/>
      <c r="FU210" s="330"/>
    </row>
    <row r="211" spans="1:177" ht="51" x14ac:dyDescent="0.25">
      <c r="A211" s="330">
        <v>210</v>
      </c>
      <c r="B211" s="331" t="s">
        <v>2071</v>
      </c>
      <c r="C211" s="330"/>
      <c r="D211" s="332" t="s">
        <v>228</v>
      </c>
      <c r="E211" s="332" t="s">
        <v>229</v>
      </c>
      <c r="F211" s="332" t="s">
        <v>230</v>
      </c>
      <c r="G211" s="330" t="s">
        <v>231</v>
      </c>
      <c r="H211" s="331">
        <v>400</v>
      </c>
      <c r="I211" s="330"/>
      <c r="J211" s="332" t="s">
        <v>2072</v>
      </c>
      <c r="K211" s="332"/>
      <c r="L211" s="330" t="s">
        <v>284</v>
      </c>
      <c r="M211" s="332" t="s">
        <v>751</v>
      </c>
      <c r="N211" s="330"/>
      <c r="O211" s="333"/>
      <c r="P211" s="333"/>
      <c r="Q211" s="333">
        <v>19268</v>
      </c>
      <c r="R211" s="333">
        <v>95</v>
      </c>
      <c r="S211" s="333"/>
      <c r="T211" s="333"/>
      <c r="U211" s="333"/>
      <c r="V211" s="333"/>
      <c r="W211" s="330"/>
      <c r="X211" s="330"/>
      <c r="Y211" s="332" t="s">
        <v>289</v>
      </c>
      <c r="Z211" s="330" t="s">
        <v>215</v>
      </c>
      <c r="AA211" s="330" t="s">
        <v>290</v>
      </c>
      <c r="AB211" s="330" t="s">
        <v>217</v>
      </c>
      <c r="AC211" s="330"/>
      <c r="AD211" s="330"/>
      <c r="AE211" s="330">
        <v>5</v>
      </c>
      <c r="AF211" s="330">
        <v>-8</v>
      </c>
      <c r="AG211" s="332" t="s">
        <v>192</v>
      </c>
      <c r="AH211" s="332" t="s">
        <v>191</v>
      </c>
      <c r="AI211" s="330" t="s">
        <v>192</v>
      </c>
      <c r="AJ211" s="330" t="s">
        <v>192</v>
      </c>
      <c r="AK211" s="330"/>
      <c r="AL211" s="330" t="s">
        <v>192</v>
      </c>
      <c r="AM211" s="330" t="s">
        <v>191</v>
      </c>
      <c r="AN211" s="330" t="s">
        <v>192</v>
      </c>
      <c r="AO211" s="330"/>
      <c r="AP211" s="332" t="s">
        <v>259</v>
      </c>
      <c r="AQ211" s="330"/>
      <c r="AR211" s="330"/>
      <c r="AS211" s="330"/>
      <c r="AT211" s="330"/>
      <c r="AU211" s="332" t="s">
        <v>554</v>
      </c>
      <c r="AV211" s="334">
        <v>46097.659128310188</v>
      </c>
      <c r="AW211" s="330"/>
      <c r="AX211" s="335">
        <v>46119</v>
      </c>
      <c r="AY211" s="330"/>
      <c r="AZ211" s="330"/>
      <c r="BA211" s="330"/>
      <c r="BB211" s="330"/>
      <c r="BC211" s="336">
        <v>46140</v>
      </c>
      <c r="BD211" s="330"/>
      <c r="BE211" s="330"/>
      <c r="BF211" s="330"/>
      <c r="BG211" s="330"/>
      <c r="BH211" s="330" t="s">
        <v>193</v>
      </c>
      <c r="BI211" s="330">
        <v>500</v>
      </c>
      <c r="BJ211" s="330"/>
      <c r="BK211" s="330"/>
      <c r="BL211" s="330"/>
      <c r="BM211" s="332"/>
      <c r="BN211" s="330"/>
      <c r="BO211" s="330" t="s">
        <v>240</v>
      </c>
      <c r="BP211" s="330" t="s">
        <v>193</v>
      </c>
      <c r="BQ211" s="330" t="s">
        <v>218</v>
      </c>
      <c r="BR211" s="330" t="s">
        <v>220</v>
      </c>
      <c r="BS211" s="330"/>
      <c r="BT211" s="330" t="s">
        <v>220</v>
      </c>
      <c r="BU211" s="330"/>
      <c r="BV211" s="330" t="s">
        <v>220</v>
      </c>
      <c r="BW211" s="330"/>
      <c r="BX211" s="332"/>
      <c r="BY211" s="330"/>
      <c r="BZ211" s="330"/>
      <c r="CA211" s="330"/>
      <c r="CB211" s="330"/>
      <c r="CC211" s="337" t="s">
        <v>2024</v>
      </c>
      <c r="CD211" s="330" t="b">
        <v>1</v>
      </c>
      <c r="CE211" s="330" t="b">
        <v>1</v>
      </c>
      <c r="CF211" s="330" t="b">
        <v>1</v>
      </c>
      <c r="CG211" s="330"/>
      <c r="CH211" s="330"/>
      <c r="CI211" s="330"/>
      <c r="CJ211" s="330"/>
      <c r="CK211" s="330"/>
      <c r="CL211" s="330"/>
      <c r="CM211" s="330"/>
      <c r="CN211" s="330"/>
      <c r="CO211" s="330"/>
      <c r="CP211" s="330"/>
      <c r="CQ211" s="330"/>
      <c r="CR211" s="330"/>
      <c r="CS211" s="330"/>
      <c r="CT211" s="330"/>
      <c r="CU211" s="330"/>
      <c r="CV211" s="330"/>
      <c r="CW211" s="330"/>
      <c r="CX211" s="330"/>
      <c r="CY211" s="330"/>
      <c r="CZ211" s="330"/>
      <c r="DA211" s="330"/>
      <c r="DB211" s="330" t="b">
        <v>1</v>
      </c>
      <c r="DC211" s="330" t="b">
        <v>1</v>
      </c>
      <c r="DD211" s="330"/>
      <c r="DE211" s="330"/>
      <c r="DF211" s="338">
        <v>24051</v>
      </c>
      <c r="DG211" s="330" t="s">
        <v>221</v>
      </c>
      <c r="DH211" s="330"/>
      <c r="DI211" s="338">
        <v>228</v>
      </c>
      <c r="DJ211" s="330"/>
      <c r="DK211" s="330">
        <v>228</v>
      </c>
      <c r="DL211" s="330" t="s">
        <v>243</v>
      </c>
      <c r="DM211" s="330"/>
      <c r="DN211" s="330"/>
      <c r="DO211" s="330"/>
      <c r="DP211" s="330"/>
      <c r="DQ211" s="338" t="s">
        <v>197</v>
      </c>
      <c r="DR211" s="330"/>
      <c r="DS211" s="330"/>
      <c r="DT211" s="330"/>
      <c r="DU211" s="338" t="s">
        <v>197</v>
      </c>
      <c r="DV211" s="330"/>
      <c r="DW211" s="330"/>
      <c r="DX211" s="330"/>
      <c r="DY211" s="338" t="s">
        <v>197</v>
      </c>
      <c r="DZ211" s="330"/>
      <c r="EA211" s="330"/>
      <c r="EB211" s="330"/>
      <c r="EC211" s="330" t="s">
        <v>197</v>
      </c>
      <c r="ED211" s="338" t="s">
        <v>197</v>
      </c>
      <c r="EE211" s="330">
        <v>16</v>
      </c>
      <c r="EF211" s="330">
        <v>200</v>
      </c>
      <c r="EG211" s="330"/>
      <c r="EH211" s="330"/>
      <c r="EI211" s="330"/>
      <c r="EJ211" s="330"/>
      <c r="EK211" s="330"/>
      <c r="EL211" s="330"/>
      <c r="EM211" s="330"/>
      <c r="EN211" s="330"/>
      <c r="EO211" s="330"/>
      <c r="EP211" s="330"/>
      <c r="EQ211" s="332" t="s">
        <v>244</v>
      </c>
      <c r="ER211" s="330"/>
      <c r="ES211" s="330"/>
      <c r="ET211" s="332" t="s">
        <v>245</v>
      </c>
      <c r="EU211" s="332" t="s">
        <v>354</v>
      </c>
      <c r="EV211" s="330"/>
      <c r="EW211" s="330"/>
      <c r="EX211" s="330" t="s">
        <v>200</v>
      </c>
      <c r="EY211" s="330"/>
      <c r="EZ211" s="330" t="s">
        <v>247</v>
      </c>
      <c r="FA211" s="330"/>
      <c r="FB211" s="330" t="s">
        <v>247</v>
      </c>
      <c r="FC211" s="330" t="s">
        <v>202</v>
      </c>
      <c r="FD211" s="332" t="s">
        <v>190</v>
      </c>
      <c r="FE211" s="330"/>
      <c r="FF211" s="330"/>
      <c r="FG211" s="330" t="s">
        <v>203</v>
      </c>
      <c r="FH211" s="330"/>
      <c r="FI211" s="330" t="s">
        <v>204</v>
      </c>
      <c r="FJ211" s="330"/>
      <c r="FK211" s="330" t="s">
        <v>230</v>
      </c>
      <c r="FL211" s="330" t="s">
        <v>192</v>
      </c>
      <c r="FM211" s="330" t="s">
        <v>191</v>
      </c>
      <c r="FN211" s="330" t="s">
        <v>2073</v>
      </c>
      <c r="FO211" s="330"/>
      <c r="FP211" s="330" t="s">
        <v>1807</v>
      </c>
      <c r="FQ211" s="330"/>
      <c r="FR211" s="330"/>
      <c r="FS211" s="330"/>
      <c r="FT211" s="330"/>
      <c r="FU211" s="330"/>
    </row>
    <row r="212" spans="1:177" ht="51" x14ac:dyDescent="0.25">
      <c r="A212" s="330">
        <v>211</v>
      </c>
      <c r="B212" s="331" t="s">
        <v>2074</v>
      </c>
      <c r="C212" s="330"/>
      <c r="D212" s="332" t="s">
        <v>228</v>
      </c>
      <c r="E212" s="332" t="s">
        <v>229</v>
      </c>
      <c r="F212" s="332" t="s">
        <v>230</v>
      </c>
      <c r="G212" s="330" t="s">
        <v>231</v>
      </c>
      <c r="H212" s="331">
        <v>400</v>
      </c>
      <c r="I212" s="330"/>
      <c r="J212" s="332" t="s">
        <v>2075</v>
      </c>
      <c r="K212" s="332"/>
      <c r="L212" s="330" t="s">
        <v>284</v>
      </c>
      <c r="M212" s="332" t="s">
        <v>751</v>
      </c>
      <c r="N212" s="330"/>
      <c r="O212" s="333"/>
      <c r="P212" s="333"/>
      <c r="Q212" s="333">
        <v>19268</v>
      </c>
      <c r="R212" s="333">
        <v>52</v>
      </c>
      <c r="S212" s="333"/>
      <c r="T212" s="333"/>
      <c r="U212" s="333"/>
      <c r="V212" s="333"/>
      <c r="W212" s="330"/>
      <c r="X212" s="330"/>
      <c r="Y212" s="332" t="s">
        <v>351</v>
      </c>
      <c r="Z212" s="330" t="s">
        <v>215</v>
      </c>
      <c r="AA212" s="330" t="s">
        <v>352</v>
      </c>
      <c r="AB212" s="330" t="s">
        <v>189</v>
      </c>
      <c r="AC212" s="330"/>
      <c r="AD212" s="330"/>
      <c r="AE212" s="330">
        <v>9</v>
      </c>
      <c r="AF212" s="330">
        <v>-5</v>
      </c>
      <c r="AG212" s="332" t="s">
        <v>192</v>
      </c>
      <c r="AH212" s="332" t="s">
        <v>191</v>
      </c>
      <c r="AI212" s="330" t="s">
        <v>192</v>
      </c>
      <c r="AJ212" s="330" t="s">
        <v>192</v>
      </c>
      <c r="AK212" s="330"/>
      <c r="AL212" s="330" t="s">
        <v>192</v>
      </c>
      <c r="AM212" s="330" t="s">
        <v>191</v>
      </c>
      <c r="AN212" s="330" t="s">
        <v>192</v>
      </c>
      <c r="AO212" s="330"/>
      <c r="AP212" s="332" t="s">
        <v>259</v>
      </c>
      <c r="AQ212" s="330"/>
      <c r="AR212" s="330"/>
      <c r="AS212" s="330"/>
      <c r="AT212" s="330"/>
      <c r="AU212" s="332" t="s">
        <v>554</v>
      </c>
      <c r="AV212" s="334">
        <v>46098.308981539354</v>
      </c>
      <c r="AW212" s="330"/>
      <c r="AX212" s="335">
        <v>46122</v>
      </c>
      <c r="AY212" s="330"/>
      <c r="AZ212" s="330"/>
      <c r="BA212" s="330"/>
      <c r="BB212" s="330"/>
      <c r="BC212" s="336">
        <v>46143</v>
      </c>
      <c r="BD212" s="330"/>
      <c r="BE212" s="330"/>
      <c r="BF212" s="330"/>
      <c r="BG212" s="330"/>
      <c r="BH212" s="330" t="s">
        <v>193</v>
      </c>
      <c r="BI212" s="330">
        <v>1000</v>
      </c>
      <c r="BJ212" s="330"/>
      <c r="BK212" s="330"/>
      <c r="BL212" s="330"/>
      <c r="BM212" s="332"/>
      <c r="BN212" s="330"/>
      <c r="BO212" s="330" t="s">
        <v>240</v>
      </c>
      <c r="BP212" s="330" t="s">
        <v>193</v>
      </c>
      <c r="BQ212" s="330" t="s">
        <v>218</v>
      </c>
      <c r="BR212" s="330" t="s">
        <v>220</v>
      </c>
      <c r="BS212" s="330"/>
      <c r="BT212" s="330" t="s">
        <v>220</v>
      </c>
      <c r="BU212" s="330"/>
      <c r="BV212" s="330" t="s">
        <v>220</v>
      </c>
      <c r="BW212" s="330"/>
      <c r="BX212" s="332"/>
      <c r="BY212" s="330"/>
      <c r="BZ212" s="330"/>
      <c r="CA212" s="330"/>
      <c r="CB212" s="330"/>
      <c r="CC212" s="337" t="s">
        <v>2024</v>
      </c>
      <c r="CD212" s="330" t="b">
        <v>1</v>
      </c>
      <c r="CE212" s="330" t="b">
        <v>1</v>
      </c>
      <c r="CF212" s="330" t="b">
        <v>1</v>
      </c>
      <c r="CG212" s="330"/>
      <c r="CH212" s="330"/>
      <c r="CI212" s="330"/>
      <c r="CJ212" s="330"/>
      <c r="CK212" s="330"/>
      <c r="CL212" s="330"/>
      <c r="CM212" s="330"/>
      <c r="CN212" s="330"/>
      <c r="CO212" s="330"/>
      <c r="CP212" s="330"/>
      <c r="CQ212" s="330"/>
      <c r="CR212" s="330"/>
      <c r="CS212" s="330"/>
      <c r="CT212" s="330"/>
      <c r="CU212" s="330"/>
      <c r="CV212" s="330"/>
      <c r="CW212" s="330"/>
      <c r="CX212" s="330"/>
      <c r="CY212" s="330"/>
      <c r="CZ212" s="330"/>
      <c r="DA212" s="330"/>
      <c r="DB212" s="330" t="b">
        <v>1</v>
      </c>
      <c r="DC212" s="330" t="b">
        <v>1</v>
      </c>
      <c r="DD212" s="330"/>
      <c r="DE212" s="330"/>
      <c r="DF212" s="338">
        <v>24051</v>
      </c>
      <c r="DG212" s="330" t="s">
        <v>221</v>
      </c>
      <c r="DH212" s="330"/>
      <c r="DI212" s="338">
        <v>96</v>
      </c>
      <c r="DJ212" s="330"/>
      <c r="DK212" s="330">
        <v>96</v>
      </c>
      <c r="DL212" s="330" t="s">
        <v>243</v>
      </c>
      <c r="DM212" s="330"/>
      <c r="DN212" s="330"/>
      <c r="DO212" s="330"/>
      <c r="DP212" s="330"/>
      <c r="DQ212" s="338" t="s">
        <v>197</v>
      </c>
      <c r="DR212" s="330"/>
      <c r="DS212" s="330"/>
      <c r="DT212" s="330"/>
      <c r="DU212" s="338" t="s">
        <v>197</v>
      </c>
      <c r="DV212" s="330"/>
      <c r="DW212" s="330"/>
      <c r="DX212" s="330"/>
      <c r="DY212" s="338" t="s">
        <v>197</v>
      </c>
      <c r="DZ212" s="330"/>
      <c r="EA212" s="330"/>
      <c r="EB212" s="330"/>
      <c r="EC212" s="330" t="s">
        <v>197</v>
      </c>
      <c r="ED212" s="338" t="s">
        <v>197</v>
      </c>
      <c r="EE212" s="330">
        <v>16</v>
      </c>
      <c r="EF212" s="330">
        <v>100</v>
      </c>
      <c r="EG212" s="330"/>
      <c r="EH212" s="330"/>
      <c r="EI212" s="330"/>
      <c r="EJ212" s="330"/>
      <c r="EK212" s="330"/>
      <c r="EL212" s="330"/>
      <c r="EM212" s="330"/>
      <c r="EN212" s="330"/>
      <c r="EO212" s="330"/>
      <c r="EP212" s="330"/>
      <c r="EQ212" s="332" t="s">
        <v>244</v>
      </c>
      <c r="ER212" s="330"/>
      <c r="ES212" s="330"/>
      <c r="ET212" s="332" t="s">
        <v>245</v>
      </c>
      <c r="EU212" s="332" t="s">
        <v>354</v>
      </c>
      <c r="EV212" s="330"/>
      <c r="EW212" s="330"/>
      <c r="EX212" s="330" t="s">
        <v>200</v>
      </c>
      <c r="EY212" s="330"/>
      <c r="EZ212" s="330" t="s">
        <v>247</v>
      </c>
      <c r="FA212" s="330"/>
      <c r="FB212" s="330" t="s">
        <v>247</v>
      </c>
      <c r="FC212" s="330" t="s">
        <v>202</v>
      </c>
      <c r="FD212" s="332" t="s">
        <v>190</v>
      </c>
      <c r="FE212" s="330"/>
      <c r="FF212" s="330"/>
      <c r="FG212" s="330" t="s">
        <v>203</v>
      </c>
      <c r="FH212" s="330"/>
      <c r="FI212" s="330" t="s">
        <v>204</v>
      </c>
      <c r="FJ212" s="330"/>
      <c r="FK212" s="330" t="s">
        <v>230</v>
      </c>
      <c r="FL212" s="330" t="s">
        <v>192</v>
      </c>
      <c r="FM212" s="330" t="s">
        <v>191</v>
      </c>
      <c r="FN212" s="330" t="s">
        <v>2076</v>
      </c>
      <c r="FO212" s="330"/>
      <c r="FP212" s="330" t="s">
        <v>1807</v>
      </c>
      <c r="FQ212" s="330"/>
      <c r="FR212" s="330"/>
      <c r="FS212" s="330"/>
      <c r="FT212" s="330"/>
      <c r="FU212" s="330"/>
    </row>
    <row r="213" spans="1:177" ht="51" x14ac:dyDescent="0.25">
      <c r="A213" s="330">
        <v>212</v>
      </c>
      <c r="B213" s="331" t="s">
        <v>2077</v>
      </c>
      <c r="C213" s="330"/>
      <c r="D213" s="332" t="s">
        <v>228</v>
      </c>
      <c r="E213" s="332" t="s">
        <v>229</v>
      </c>
      <c r="F213" s="332" t="s">
        <v>230</v>
      </c>
      <c r="G213" s="330" t="s">
        <v>231</v>
      </c>
      <c r="H213" s="331">
        <v>400</v>
      </c>
      <c r="I213" s="330"/>
      <c r="J213" s="332" t="s">
        <v>2075</v>
      </c>
      <c r="K213" s="332"/>
      <c r="L213" s="330" t="s">
        <v>284</v>
      </c>
      <c r="M213" s="332" t="s">
        <v>751</v>
      </c>
      <c r="N213" s="330"/>
      <c r="O213" s="333"/>
      <c r="P213" s="333"/>
      <c r="Q213" s="333">
        <v>19268</v>
      </c>
      <c r="R213" s="333">
        <v>109</v>
      </c>
      <c r="S213" s="333"/>
      <c r="T213" s="333"/>
      <c r="U213" s="333"/>
      <c r="V213" s="333"/>
      <c r="W213" s="330"/>
      <c r="X213" s="330"/>
      <c r="Y213" s="332" t="s">
        <v>289</v>
      </c>
      <c r="Z213" s="330" t="s">
        <v>215</v>
      </c>
      <c r="AA213" s="330" t="s">
        <v>290</v>
      </c>
      <c r="AB213" s="330" t="s">
        <v>217</v>
      </c>
      <c r="AC213" s="330"/>
      <c r="AD213" s="330"/>
      <c r="AE213" s="330">
        <v>9</v>
      </c>
      <c r="AF213" s="330">
        <v>-5</v>
      </c>
      <c r="AG213" s="332" t="s">
        <v>192</v>
      </c>
      <c r="AH213" s="332" t="s">
        <v>191</v>
      </c>
      <c r="AI213" s="330" t="s">
        <v>192</v>
      </c>
      <c r="AJ213" s="330" t="s">
        <v>192</v>
      </c>
      <c r="AK213" s="330"/>
      <c r="AL213" s="330" t="s">
        <v>192</v>
      </c>
      <c r="AM213" s="330" t="s">
        <v>191</v>
      </c>
      <c r="AN213" s="330" t="s">
        <v>192</v>
      </c>
      <c r="AO213" s="330"/>
      <c r="AP213" s="332" t="s">
        <v>259</v>
      </c>
      <c r="AQ213" s="330"/>
      <c r="AR213" s="330"/>
      <c r="AS213" s="330"/>
      <c r="AT213" s="330"/>
      <c r="AU213" s="332" t="s">
        <v>554</v>
      </c>
      <c r="AV213" s="334">
        <v>46098.328354710648</v>
      </c>
      <c r="AW213" s="330"/>
      <c r="AX213" s="335">
        <v>46122</v>
      </c>
      <c r="AY213" s="330"/>
      <c r="AZ213" s="330"/>
      <c r="BA213" s="330"/>
      <c r="BB213" s="330"/>
      <c r="BC213" s="336">
        <v>46143</v>
      </c>
      <c r="BD213" s="330"/>
      <c r="BE213" s="330"/>
      <c r="BF213" s="330"/>
      <c r="BG213" s="330"/>
      <c r="BH213" s="330" t="s">
        <v>193</v>
      </c>
      <c r="BI213" s="330">
        <v>500</v>
      </c>
      <c r="BJ213" s="330"/>
      <c r="BK213" s="330"/>
      <c r="BL213" s="330"/>
      <c r="BM213" s="332"/>
      <c r="BN213" s="330"/>
      <c r="BO213" s="330" t="s">
        <v>240</v>
      </c>
      <c r="BP213" s="330" t="s">
        <v>193</v>
      </c>
      <c r="BQ213" s="330" t="s">
        <v>218</v>
      </c>
      <c r="BR213" s="330" t="s">
        <v>220</v>
      </c>
      <c r="BS213" s="330"/>
      <c r="BT213" s="330" t="s">
        <v>220</v>
      </c>
      <c r="BU213" s="330"/>
      <c r="BV213" s="330" t="s">
        <v>220</v>
      </c>
      <c r="BW213" s="330"/>
      <c r="BX213" s="332"/>
      <c r="BY213" s="330"/>
      <c r="BZ213" s="330"/>
      <c r="CA213" s="330"/>
      <c r="CB213" s="330"/>
      <c r="CC213" s="337" t="s">
        <v>2024</v>
      </c>
      <c r="CD213" s="330" t="b">
        <v>1</v>
      </c>
      <c r="CE213" s="330" t="b">
        <v>1</v>
      </c>
      <c r="CF213" s="330" t="b">
        <v>1</v>
      </c>
      <c r="CG213" s="330"/>
      <c r="CH213" s="330"/>
      <c r="CI213" s="330"/>
      <c r="CJ213" s="330"/>
      <c r="CK213" s="330"/>
      <c r="CL213" s="330"/>
      <c r="CM213" s="330"/>
      <c r="CN213" s="330"/>
      <c r="CO213" s="330"/>
      <c r="CP213" s="330"/>
      <c r="CQ213" s="330"/>
      <c r="CR213" s="330"/>
      <c r="CS213" s="330"/>
      <c r="CT213" s="330"/>
      <c r="CU213" s="330"/>
      <c r="CV213" s="330"/>
      <c r="CW213" s="330"/>
      <c r="CX213" s="330"/>
      <c r="CY213" s="330"/>
      <c r="CZ213" s="330"/>
      <c r="DA213" s="330"/>
      <c r="DB213" s="330" t="b">
        <v>1</v>
      </c>
      <c r="DC213" s="330" t="b">
        <v>1</v>
      </c>
      <c r="DD213" s="330"/>
      <c r="DE213" s="330"/>
      <c r="DF213" s="338">
        <v>24051</v>
      </c>
      <c r="DG213" s="330" t="s">
        <v>221</v>
      </c>
      <c r="DH213" s="330"/>
      <c r="DI213" s="338">
        <v>229</v>
      </c>
      <c r="DJ213" s="330"/>
      <c r="DK213" s="330">
        <v>229</v>
      </c>
      <c r="DL213" s="330" t="s">
        <v>243</v>
      </c>
      <c r="DM213" s="330"/>
      <c r="DN213" s="330"/>
      <c r="DO213" s="330"/>
      <c r="DP213" s="330"/>
      <c r="DQ213" s="338" t="s">
        <v>197</v>
      </c>
      <c r="DR213" s="330"/>
      <c r="DS213" s="330"/>
      <c r="DT213" s="330"/>
      <c r="DU213" s="338" t="s">
        <v>197</v>
      </c>
      <c r="DV213" s="330"/>
      <c r="DW213" s="330"/>
      <c r="DX213" s="330"/>
      <c r="DY213" s="338" t="s">
        <v>197</v>
      </c>
      <c r="DZ213" s="330"/>
      <c r="EA213" s="330"/>
      <c r="EB213" s="330"/>
      <c r="EC213" s="330" t="s">
        <v>197</v>
      </c>
      <c r="ED213" s="338" t="s">
        <v>197</v>
      </c>
      <c r="EE213" s="330">
        <v>16</v>
      </c>
      <c r="EF213" s="330">
        <v>200</v>
      </c>
      <c r="EG213" s="330"/>
      <c r="EH213" s="330"/>
      <c r="EI213" s="330"/>
      <c r="EJ213" s="330"/>
      <c r="EK213" s="330"/>
      <c r="EL213" s="330"/>
      <c r="EM213" s="330"/>
      <c r="EN213" s="330"/>
      <c r="EO213" s="330"/>
      <c r="EP213" s="330"/>
      <c r="EQ213" s="332" t="s">
        <v>244</v>
      </c>
      <c r="ER213" s="330"/>
      <c r="ES213" s="330"/>
      <c r="ET213" s="332" t="s">
        <v>245</v>
      </c>
      <c r="EU213" s="332" t="s">
        <v>354</v>
      </c>
      <c r="EV213" s="330"/>
      <c r="EW213" s="330"/>
      <c r="EX213" s="330" t="s">
        <v>200</v>
      </c>
      <c r="EY213" s="330"/>
      <c r="EZ213" s="330" t="s">
        <v>247</v>
      </c>
      <c r="FA213" s="330"/>
      <c r="FB213" s="330" t="s">
        <v>247</v>
      </c>
      <c r="FC213" s="330" t="s">
        <v>202</v>
      </c>
      <c r="FD213" s="332" t="s">
        <v>190</v>
      </c>
      <c r="FE213" s="330"/>
      <c r="FF213" s="330"/>
      <c r="FG213" s="330" t="s">
        <v>203</v>
      </c>
      <c r="FH213" s="330"/>
      <c r="FI213" s="330" t="s">
        <v>204</v>
      </c>
      <c r="FJ213" s="330"/>
      <c r="FK213" s="330" t="s">
        <v>230</v>
      </c>
      <c r="FL213" s="330" t="s">
        <v>192</v>
      </c>
      <c r="FM213" s="330" t="s">
        <v>191</v>
      </c>
      <c r="FN213" s="330" t="s">
        <v>2078</v>
      </c>
      <c r="FO213" s="330"/>
      <c r="FP213" s="330" t="s">
        <v>1807</v>
      </c>
      <c r="FQ213" s="330"/>
      <c r="FR213" s="330"/>
      <c r="FS213" s="330"/>
      <c r="FT213" s="330"/>
      <c r="FU213" s="330"/>
    </row>
    <row r="214" spans="1:177" ht="51" x14ac:dyDescent="0.25">
      <c r="A214" s="330">
        <v>213</v>
      </c>
      <c r="B214" s="331" t="s">
        <v>2079</v>
      </c>
      <c r="C214" s="330"/>
      <c r="D214" s="332" t="s">
        <v>228</v>
      </c>
      <c r="E214" s="332" t="s">
        <v>229</v>
      </c>
      <c r="F214" s="332" t="s">
        <v>230</v>
      </c>
      <c r="G214" s="330" t="s">
        <v>231</v>
      </c>
      <c r="H214" s="331">
        <v>400</v>
      </c>
      <c r="I214" s="330"/>
      <c r="J214" s="332" t="s">
        <v>379</v>
      </c>
      <c r="K214" s="332"/>
      <c r="L214" s="330" t="s">
        <v>284</v>
      </c>
      <c r="M214" s="332" t="s">
        <v>751</v>
      </c>
      <c r="N214" s="330"/>
      <c r="O214" s="333"/>
      <c r="P214" s="333"/>
      <c r="Q214" s="333">
        <v>19268</v>
      </c>
      <c r="R214" s="333">
        <v>67</v>
      </c>
      <c r="S214" s="333"/>
      <c r="T214" s="333"/>
      <c r="U214" s="333"/>
      <c r="V214" s="333"/>
      <c r="W214" s="330"/>
      <c r="X214" s="330"/>
      <c r="Y214" s="332" t="s">
        <v>289</v>
      </c>
      <c r="Z214" s="330" t="s">
        <v>215</v>
      </c>
      <c r="AA214" s="330" t="s">
        <v>290</v>
      </c>
      <c r="AB214" s="330" t="s">
        <v>217</v>
      </c>
      <c r="AC214" s="330"/>
      <c r="AD214" s="330"/>
      <c r="AE214" s="330">
        <v>9</v>
      </c>
      <c r="AF214" s="330">
        <v>-5</v>
      </c>
      <c r="AG214" s="332" t="s">
        <v>192</v>
      </c>
      <c r="AH214" s="332" t="s">
        <v>191</v>
      </c>
      <c r="AI214" s="330" t="s">
        <v>192</v>
      </c>
      <c r="AJ214" s="330" t="s">
        <v>192</v>
      </c>
      <c r="AK214" s="330"/>
      <c r="AL214" s="330" t="s">
        <v>192</v>
      </c>
      <c r="AM214" s="330" t="s">
        <v>191</v>
      </c>
      <c r="AN214" s="330" t="s">
        <v>192</v>
      </c>
      <c r="AO214" s="330"/>
      <c r="AP214" s="332" t="s">
        <v>259</v>
      </c>
      <c r="AQ214" s="330"/>
      <c r="AR214" s="330"/>
      <c r="AS214" s="330"/>
      <c r="AT214" s="330"/>
      <c r="AU214" s="332" t="s">
        <v>554</v>
      </c>
      <c r="AV214" s="334">
        <v>46098.381216666668</v>
      </c>
      <c r="AW214" s="330"/>
      <c r="AX214" s="335">
        <v>46122</v>
      </c>
      <c r="AY214" s="330"/>
      <c r="AZ214" s="330"/>
      <c r="BA214" s="330"/>
      <c r="BB214" s="330"/>
      <c r="BC214" s="336">
        <v>46143</v>
      </c>
      <c r="BD214" s="330"/>
      <c r="BE214" s="330"/>
      <c r="BF214" s="330"/>
      <c r="BG214" s="330"/>
      <c r="BH214" s="330" t="s">
        <v>193</v>
      </c>
      <c r="BI214" s="330">
        <v>500</v>
      </c>
      <c r="BJ214" s="330"/>
      <c r="BK214" s="330"/>
      <c r="BL214" s="330"/>
      <c r="BM214" s="332"/>
      <c r="BN214" s="330"/>
      <c r="BO214" s="330" t="s">
        <v>240</v>
      </c>
      <c r="BP214" s="330" t="s">
        <v>193</v>
      </c>
      <c r="BQ214" s="330" t="s">
        <v>218</v>
      </c>
      <c r="BR214" s="330" t="s">
        <v>220</v>
      </c>
      <c r="BS214" s="330"/>
      <c r="BT214" s="330" t="s">
        <v>220</v>
      </c>
      <c r="BU214" s="330"/>
      <c r="BV214" s="330" t="s">
        <v>220</v>
      </c>
      <c r="BW214" s="330"/>
      <c r="BX214" s="332"/>
      <c r="BY214" s="330"/>
      <c r="BZ214" s="330"/>
      <c r="CA214" s="330"/>
      <c r="CB214" s="330"/>
      <c r="CC214" s="337" t="s">
        <v>2024</v>
      </c>
      <c r="CD214" s="330" t="b">
        <v>1</v>
      </c>
      <c r="CE214" s="330" t="b">
        <v>1</v>
      </c>
      <c r="CF214" s="330" t="b">
        <v>1</v>
      </c>
      <c r="CG214" s="330"/>
      <c r="CH214" s="330"/>
      <c r="CI214" s="330"/>
      <c r="CJ214" s="330"/>
      <c r="CK214" s="330"/>
      <c r="CL214" s="330"/>
      <c r="CM214" s="330"/>
      <c r="CN214" s="330"/>
      <c r="CO214" s="330"/>
      <c r="CP214" s="330"/>
      <c r="CQ214" s="330"/>
      <c r="CR214" s="330"/>
      <c r="CS214" s="330"/>
      <c r="CT214" s="330"/>
      <c r="CU214" s="330"/>
      <c r="CV214" s="330"/>
      <c r="CW214" s="330"/>
      <c r="CX214" s="330"/>
      <c r="CY214" s="330"/>
      <c r="CZ214" s="330"/>
      <c r="DA214" s="330"/>
      <c r="DB214" s="330" t="b">
        <v>1</v>
      </c>
      <c r="DC214" s="330" t="b">
        <v>1</v>
      </c>
      <c r="DD214" s="330"/>
      <c r="DE214" s="330"/>
      <c r="DF214" s="338">
        <v>24051</v>
      </c>
      <c r="DG214" s="330" t="s">
        <v>221</v>
      </c>
      <c r="DH214" s="330"/>
      <c r="DI214" s="338">
        <v>230</v>
      </c>
      <c r="DJ214" s="330"/>
      <c r="DK214" s="330">
        <v>230</v>
      </c>
      <c r="DL214" s="330" t="s">
        <v>243</v>
      </c>
      <c r="DM214" s="330"/>
      <c r="DN214" s="330"/>
      <c r="DO214" s="330"/>
      <c r="DP214" s="330"/>
      <c r="DQ214" s="338" t="s">
        <v>197</v>
      </c>
      <c r="DR214" s="330"/>
      <c r="DS214" s="330"/>
      <c r="DT214" s="330"/>
      <c r="DU214" s="338" t="s">
        <v>197</v>
      </c>
      <c r="DV214" s="330"/>
      <c r="DW214" s="330"/>
      <c r="DX214" s="330"/>
      <c r="DY214" s="338" t="s">
        <v>197</v>
      </c>
      <c r="DZ214" s="330"/>
      <c r="EA214" s="330"/>
      <c r="EB214" s="330"/>
      <c r="EC214" s="330" t="s">
        <v>197</v>
      </c>
      <c r="ED214" s="338" t="s">
        <v>197</v>
      </c>
      <c r="EE214" s="330">
        <v>16</v>
      </c>
      <c r="EF214" s="330">
        <v>40</v>
      </c>
      <c r="EG214" s="330"/>
      <c r="EH214" s="330"/>
      <c r="EI214" s="330"/>
      <c r="EJ214" s="330"/>
      <c r="EK214" s="330"/>
      <c r="EL214" s="330"/>
      <c r="EM214" s="330"/>
      <c r="EN214" s="330"/>
      <c r="EO214" s="330"/>
      <c r="EP214" s="330"/>
      <c r="EQ214" s="332" t="s">
        <v>244</v>
      </c>
      <c r="ER214" s="330"/>
      <c r="ES214" s="330"/>
      <c r="ET214" s="332" t="s">
        <v>245</v>
      </c>
      <c r="EU214" s="332" t="s">
        <v>354</v>
      </c>
      <c r="EV214" s="330"/>
      <c r="EW214" s="330"/>
      <c r="EX214" s="330" t="s">
        <v>200</v>
      </c>
      <c r="EY214" s="330"/>
      <c r="EZ214" s="330" t="s">
        <v>247</v>
      </c>
      <c r="FA214" s="330"/>
      <c r="FB214" s="330" t="s">
        <v>247</v>
      </c>
      <c r="FC214" s="330" t="s">
        <v>202</v>
      </c>
      <c r="FD214" s="332" t="s">
        <v>190</v>
      </c>
      <c r="FE214" s="330"/>
      <c r="FF214" s="330"/>
      <c r="FG214" s="330" t="s">
        <v>203</v>
      </c>
      <c r="FH214" s="330"/>
      <c r="FI214" s="330" t="s">
        <v>204</v>
      </c>
      <c r="FJ214" s="330"/>
      <c r="FK214" s="330" t="s">
        <v>230</v>
      </c>
      <c r="FL214" s="330" t="s">
        <v>192</v>
      </c>
      <c r="FM214" s="330" t="s">
        <v>191</v>
      </c>
      <c r="FN214" s="330" t="s">
        <v>2080</v>
      </c>
      <c r="FO214" s="330"/>
      <c r="FP214" s="330" t="s">
        <v>1807</v>
      </c>
      <c r="FQ214" s="330"/>
      <c r="FR214" s="330"/>
      <c r="FS214" s="330"/>
      <c r="FT214" s="330"/>
      <c r="FU214" s="330"/>
    </row>
    <row r="215" spans="1:177" ht="38.25" x14ac:dyDescent="0.25">
      <c r="A215" s="330">
        <v>214</v>
      </c>
      <c r="B215" s="331" t="s">
        <v>2081</v>
      </c>
      <c r="C215" s="330"/>
      <c r="D215" s="332" t="s">
        <v>900</v>
      </c>
      <c r="E215" s="332" t="s">
        <v>901</v>
      </c>
      <c r="F215" s="332" t="s">
        <v>902</v>
      </c>
      <c r="G215" s="330" t="s">
        <v>903</v>
      </c>
      <c r="H215" s="331"/>
      <c r="I215" s="330"/>
      <c r="J215" s="332" t="s">
        <v>2082</v>
      </c>
      <c r="K215" s="332" t="s">
        <v>2083</v>
      </c>
      <c r="L215" s="330"/>
      <c r="M215" s="332" t="s">
        <v>908</v>
      </c>
      <c r="N215" s="330" t="s">
        <v>2084</v>
      </c>
      <c r="O215" s="333" t="s">
        <v>184</v>
      </c>
      <c r="P215" s="333" t="s">
        <v>184</v>
      </c>
      <c r="Q215" s="333" t="s">
        <v>184</v>
      </c>
      <c r="R215" s="333">
        <v>0</v>
      </c>
      <c r="S215" s="333">
        <v>2217</v>
      </c>
      <c r="T215" s="333">
        <v>1</v>
      </c>
      <c r="U215" s="333">
        <v>0</v>
      </c>
      <c r="V215" s="333">
        <v>0</v>
      </c>
      <c r="W215" s="330">
        <v>247</v>
      </c>
      <c r="X215" s="330" t="s">
        <v>2085</v>
      </c>
      <c r="Y215" s="332" t="s">
        <v>2086</v>
      </c>
      <c r="Z215" s="330" t="s">
        <v>614</v>
      </c>
      <c r="AA215" s="330" t="s">
        <v>2087</v>
      </c>
      <c r="AB215" s="330" t="s">
        <v>189</v>
      </c>
      <c r="AC215" s="330"/>
      <c r="AD215" s="330"/>
      <c r="AE215" s="330">
        <v>3</v>
      </c>
      <c r="AF215" s="330">
        <v>-4</v>
      </c>
      <c r="AG215" s="332" t="s">
        <v>1050</v>
      </c>
      <c r="AH215" s="332" t="s">
        <v>191</v>
      </c>
      <c r="AI215" s="330" t="s">
        <v>202</v>
      </c>
      <c r="AJ215" s="330"/>
      <c r="AK215" s="330"/>
      <c r="AL215" s="330" t="s">
        <v>742</v>
      </c>
      <c r="AM215" s="330" t="s">
        <v>202</v>
      </c>
      <c r="AN215" s="330" t="s">
        <v>742</v>
      </c>
      <c r="AO215" s="330"/>
      <c r="AP215" s="332"/>
      <c r="AQ215" s="330"/>
      <c r="AR215" s="330" t="s">
        <v>334</v>
      </c>
      <c r="AS215" s="330" t="b">
        <v>1</v>
      </c>
      <c r="AT215" s="330"/>
      <c r="AU215" s="332" t="s">
        <v>742</v>
      </c>
      <c r="AV215" s="334">
        <v>46099.550627928242</v>
      </c>
      <c r="AW215" s="330"/>
      <c r="AX215" s="335">
        <v>46118</v>
      </c>
      <c r="AY215" s="336">
        <v>46105</v>
      </c>
      <c r="AZ215" s="330"/>
      <c r="BA215" s="336">
        <v>46125</v>
      </c>
      <c r="BB215" s="330"/>
      <c r="BC215" s="336">
        <v>46127</v>
      </c>
      <c r="BD215" s="330"/>
      <c r="BE215" s="330"/>
      <c r="BF215" s="330"/>
      <c r="BG215" s="330"/>
      <c r="BH215" s="330" t="s">
        <v>193</v>
      </c>
      <c r="BI215" s="330">
        <v>999</v>
      </c>
      <c r="BJ215" s="330"/>
      <c r="BK215" s="330"/>
      <c r="BL215" s="330"/>
      <c r="BM215" s="332"/>
      <c r="BN215" s="330"/>
      <c r="BO215" s="330"/>
      <c r="BP215" s="330"/>
      <c r="BQ215" s="330"/>
      <c r="BR215" s="330"/>
      <c r="BS215" s="330"/>
      <c r="BT215" s="330"/>
      <c r="BU215" s="330"/>
      <c r="BV215" s="330"/>
      <c r="BW215" s="330"/>
      <c r="BX215" s="332"/>
      <c r="BY215" s="330"/>
      <c r="BZ215" s="330"/>
      <c r="CA215" s="330"/>
      <c r="CB215" s="330"/>
      <c r="CC215" s="337" t="s">
        <v>92</v>
      </c>
      <c r="CD215" s="330"/>
      <c r="CE215" s="330" t="b">
        <v>1</v>
      </c>
      <c r="CF215" s="330"/>
      <c r="CG215" s="330"/>
      <c r="CH215" s="330"/>
      <c r="CI215" s="330"/>
      <c r="CJ215" s="330"/>
      <c r="CK215" s="330"/>
      <c r="CL215" s="330" t="b">
        <v>1</v>
      </c>
      <c r="CM215" s="330" t="s">
        <v>2063</v>
      </c>
      <c r="CN215" s="330"/>
      <c r="CO215" s="330" t="b">
        <v>1</v>
      </c>
      <c r="CP215" s="330" t="b">
        <v>1</v>
      </c>
      <c r="CQ215" s="330"/>
      <c r="CR215" s="330"/>
      <c r="CS215" s="330"/>
      <c r="CT215" s="330"/>
      <c r="CU215" s="330"/>
      <c r="CV215" s="330"/>
      <c r="CW215" s="330"/>
      <c r="CX215" s="330"/>
      <c r="CY215" s="330"/>
      <c r="CZ215" s="330"/>
      <c r="DA215" s="330"/>
      <c r="DB215" s="330"/>
      <c r="DC215" s="330"/>
      <c r="DD215" s="330"/>
      <c r="DE215" s="330"/>
      <c r="DF215" s="338">
        <v>24079</v>
      </c>
      <c r="DG215" s="330" t="s">
        <v>195</v>
      </c>
      <c r="DH215" s="330"/>
      <c r="DI215" s="338" t="s">
        <v>2088</v>
      </c>
      <c r="DJ215" s="330"/>
      <c r="DK215" s="330">
        <v>0</v>
      </c>
      <c r="DL215" s="330" t="s">
        <v>1347</v>
      </c>
      <c r="DM215" s="330"/>
      <c r="DN215" s="330"/>
      <c r="DO215" s="330"/>
      <c r="DP215" s="330"/>
      <c r="DQ215" s="338" t="s">
        <v>197</v>
      </c>
      <c r="DR215" s="330"/>
      <c r="DS215" s="330"/>
      <c r="DT215" s="330"/>
      <c r="DU215" s="338" t="s">
        <v>197</v>
      </c>
      <c r="DV215" s="330"/>
      <c r="DW215" s="330"/>
      <c r="DX215" s="330"/>
      <c r="DY215" s="338" t="s">
        <v>197</v>
      </c>
      <c r="DZ215" s="330"/>
      <c r="EA215" s="330"/>
      <c r="EB215" s="330"/>
      <c r="EC215" s="330" t="s">
        <v>197</v>
      </c>
      <c r="ED215" s="338" t="s">
        <v>197</v>
      </c>
      <c r="EE215" s="330">
        <v>1</v>
      </c>
      <c r="EF215" s="330">
        <v>80</v>
      </c>
      <c r="EG215" s="330"/>
      <c r="EH215" s="330"/>
      <c r="EI215" s="330"/>
      <c r="EJ215" s="330"/>
      <c r="EK215" s="330"/>
      <c r="EL215" s="330"/>
      <c r="EM215" s="330"/>
      <c r="EN215" s="330"/>
      <c r="EO215" s="330"/>
      <c r="EP215" s="330"/>
      <c r="EQ215" s="332" t="s">
        <v>936</v>
      </c>
      <c r="ER215" s="330"/>
      <c r="ES215" s="330"/>
      <c r="ET215" s="332" t="s">
        <v>89</v>
      </c>
      <c r="EU215" s="332" t="s">
        <v>2089</v>
      </c>
      <c r="EV215" s="336">
        <v>46105</v>
      </c>
      <c r="EW215" s="336">
        <v>46105</v>
      </c>
      <c r="EX215" s="330">
        <v>1</v>
      </c>
      <c r="EY215" s="330"/>
      <c r="EZ215" s="330" t="s">
        <v>247</v>
      </c>
      <c r="FA215" s="330"/>
      <c r="FB215" s="330" t="s">
        <v>247</v>
      </c>
      <c r="FC215" s="330" t="s">
        <v>202</v>
      </c>
      <c r="FD215" s="332" t="s">
        <v>190</v>
      </c>
      <c r="FE215" s="330"/>
      <c r="FF215" s="330"/>
      <c r="FG215" s="330" t="s">
        <v>203</v>
      </c>
      <c r="FH215" s="330" t="s">
        <v>2090</v>
      </c>
      <c r="FI215" s="330" t="s">
        <v>204</v>
      </c>
      <c r="FJ215" s="330"/>
      <c r="FK215" s="330" t="s">
        <v>902</v>
      </c>
      <c r="FL215" s="330" t="s">
        <v>742</v>
      </c>
      <c r="FM215" s="330" t="s">
        <v>202</v>
      </c>
      <c r="FN215" s="330" t="s">
        <v>2091</v>
      </c>
      <c r="FO215" s="330"/>
      <c r="FP215" s="330" t="s">
        <v>639</v>
      </c>
      <c r="FQ215" s="330"/>
      <c r="FR215" s="330"/>
      <c r="FS215" s="330"/>
      <c r="FT215" s="330"/>
      <c r="FU215" s="330"/>
    </row>
    <row r="216" spans="1:177" ht="51" x14ac:dyDescent="0.25">
      <c r="A216" s="330">
        <v>215</v>
      </c>
      <c r="B216" s="331" t="s">
        <v>2092</v>
      </c>
      <c r="C216" s="330"/>
      <c r="D216" s="332" t="s">
        <v>1305</v>
      </c>
      <c r="E216" s="332" t="s">
        <v>1306</v>
      </c>
      <c r="F216" s="332" t="s">
        <v>795</v>
      </c>
      <c r="G216" s="330" t="s">
        <v>796</v>
      </c>
      <c r="H216" s="331">
        <v>400</v>
      </c>
      <c r="I216" s="330"/>
      <c r="J216" s="332" t="s">
        <v>2093</v>
      </c>
      <c r="K216" s="332"/>
      <c r="L216" s="330" t="s">
        <v>284</v>
      </c>
      <c r="M216" s="332" t="s">
        <v>751</v>
      </c>
      <c r="N216" s="330"/>
      <c r="O216" s="333"/>
      <c r="P216" s="333"/>
      <c r="Q216" s="333">
        <v>1328</v>
      </c>
      <c r="R216" s="333">
        <v>186</v>
      </c>
      <c r="S216" s="333"/>
      <c r="T216" s="333"/>
      <c r="U216" s="333"/>
      <c r="V216" s="333"/>
      <c r="W216" s="330"/>
      <c r="X216" s="330"/>
      <c r="Y216" s="332" t="s">
        <v>2094</v>
      </c>
      <c r="Z216" s="330" t="s">
        <v>215</v>
      </c>
      <c r="AA216" s="330" t="s">
        <v>2095</v>
      </c>
      <c r="AB216" s="330" t="s">
        <v>189</v>
      </c>
      <c r="AC216" s="330"/>
      <c r="AD216" s="330" t="s">
        <v>924</v>
      </c>
      <c r="AE216" s="330">
        <v>1</v>
      </c>
      <c r="AF216" s="330">
        <v>1</v>
      </c>
      <c r="AG216" s="332" t="s">
        <v>627</v>
      </c>
      <c r="AH216" s="332" t="s">
        <v>191</v>
      </c>
      <c r="AI216" s="330"/>
      <c r="AJ216" s="330" t="s">
        <v>191</v>
      </c>
      <c r="AK216" s="330" t="s">
        <v>627</v>
      </c>
      <c r="AL216" s="330" t="s">
        <v>810</v>
      </c>
      <c r="AM216" s="330" t="s">
        <v>191</v>
      </c>
      <c r="AN216" s="330" t="s">
        <v>810</v>
      </c>
      <c r="AO216" s="330"/>
      <c r="AP216" s="332" t="s">
        <v>259</v>
      </c>
      <c r="AQ216" s="330"/>
      <c r="AR216" s="330"/>
      <c r="AS216" s="330"/>
      <c r="AT216" s="330"/>
      <c r="AU216" s="332" t="s">
        <v>810</v>
      </c>
      <c r="AV216" s="334">
        <v>46100.354510092591</v>
      </c>
      <c r="AW216" s="330"/>
      <c r="AX216" s="335">
        <v>46128</v>
      </c>
      <c r="AY216" s="330"/>
      <c r="AZ216" s="330"/>
      <c r="BA216" s="330"/>
      <c r="BB216" s="330"/>
      <c r="BC216" s="336">
        <v>46149</v>
      </c>
      <c r="BD216" s="330"/>
      <c r="BE216" s="330"/>
      <c r="BF216" s="330"/>
      <c r="BG216" s="330"/>
      <c r="BH216" s="330" t="s">
        <v>193</v>
      </c>
      <c r="BI216" s="330">
        <v>62</v>
      </c>
      <c r="BJ216" s="330"/>
      <c r="BK216" s="330"/>
      <c r="BL216" s="330"/>
      <c r="BM216" s="332"/>
      <c r="BN216" s="330"/>
      <c r="BO216" s="330" t="s">
        <v>240</v>
      </c>
      <c r="BP216" s="330" t="s">
        <v>193</v>
      </c>
      <c r="BQ216" s="330" t="s">
        <v>909</v>
      </c>
      <c r="BR216" s="330" t="s">
        <v>193</v>
      </c>
      <c r="BS216" s="330" t="s">
        <v>2096</v>
      </c>
      <c r="BT216" s="330" t="s">
        <v>193</v>
      </c>
      <c r="BU216" s="330" t="s">
        <v>2096</v>
      </c>
      <c r="BV216" s="330" t="s">
        <v>220</v>
      </c>
      <c r="BW216" s="330"/>
      <c r="BX216" s="332"/>
      <c r="BY216" s="330"/>
      <c r="BZ216" s="330"/>
      <c r="CA216" s="330"/>
      <c r="CB216" s="330"/>
      <c r="CC216" s="337" t="s">
        <v>1955</v>
      </c>
      <c r="CD216" s="330" t="b">
        <v>1</v>
      </c>
      <c r="CE216" s="330" t="b">
        <v>1</v>
      </c>
      <c r="CF216" s="330" t="b">
        <v>1</v>
      </c>
      <c r="CG216" s="330"/>
      <c r="CH216" s="330"/>
      <c r="CI216" s="330"/>
      <c r="CJ216" s="330"/>
      <c r="CK216" s="330"/>
      <c r="CL216" s="330"/>
      <c r="CM216" s="330"/>
      <c r="CN216" s="330"/>
      <c r="CO216" s="330"/>
      <c r="CP216" s="330"/>
      <c r="CQ216" s="330"/>
      <c r="CR216" s="330"/>
      <c r="CS216" s="330"/>
      <c r="CT216" s="330"/>
      <c r="CU216" s="330"/>
      <c r="CV216" s="330"/>
      <c r="CW216" s="330"/>
      <c r="CX216" s="330"/>
      <c r="CY216" s="330"/>
      <c r="CZ216" s="330"/>
      <c r="DA216" s="330"/>
      <c r="DB216" s="330" t="b">
        <v>1</v>
      </c>
      <c r="DC216" s="330" t="b">
        <v>1</v>
      </c>
      <c r="DD216" s="330"/>
      <c r="DE216" s="330"/>
      <c r="DF216" s="338">
        <v>24074</v>
      </c>
      <c r="DG216" s="330" t="s">
        <v>221</v>
      </c>
      <c r="DH216" s="330"/>
      <c r="DI216" s="338" t="s">
        <v>1366</v>
      </c>
      <c r="DJ216" s="330"/>
      <c r="DK216" s="330">
        <v>8</v>
      </c>
      <c r="DL216" s="330" t="s">
        <v>1315</v>
      </c>
      <c r="DM216" s="330"/>
      <c r="DN216" s="330"/>
      <c r="DO216" s="330"/>
      <c r="DP216" s="330"/>
      <c r="DQ216" s="338" t="s">
        <v>197</v>
      </c>
      <c r="DR216" s="330"/>
      <c r="DS216" s="330"/>
      <c r="DT216" s="330"/>
      <c r="DU216" s="338" t="s">
        <v>197</v>
      </c>
      <c r="DV216" s="330"/>
      <c r="DW216" s="330"/>
      <c r="DX216" s="330"/>
      <c r="DY216" s="338" t="s">
        <v>197</v>
      </c>
      <c r="DZ216" s="330"/>
      <c r="EA216" s="330"/>
      <c r="EB216" s="330"/>
      <c r="EC216" s="330" t="s">
        <v>197</v>
      </c>
      <c r="ED216" s="338" t="s">
        <v>197</v>
      </c>
      <c r="EE216" s="330">
        <v>90</v>
      </c>
      <c r="EF216" s="330">
        <v>335</v>
      </c>
      <c r="EG216" s="330"/>
      <c r="EH216" s="330"/>
      <c r="EI216" s="330"/>
      <c r="EJ216" s="330"/>
      <c r="EK216" s="330"/>
      <c r="EL216" s="330"/>
      <c r="EM216" s="330"/>
      <c r="EN216" s="330"/>
      <c r="EO216" s="330"/>
      <c r="EP216" s="330"/>
      <c r="EQ216" s="332" t="s">
        <v>224</v>
      </c>
      <c r="ER216" s="330"/>
      <c r="ES216" s="330"/>
      <c r="ET216" s="332" t="s">
        <v>245</v>
      </c>
      <c r="EU216" s="332" t="s">
        <v>354</v>
      </c>
      <c r="EV216" s="330"/>
      <c r="EW216" s="330"/>
      <c r="EX216" s="330" t="s">
        <v>200</v>
      </c>
      <c r="EY216" s="330"/>
      <c r="EZ216" s="330" t="s">
        <v>247</v>
      </c>
      <c r="FA216" s="330"/>
      <c r="FB216" s="330" t="s">
        <v>247</v>
      </c>
      <c r="FC216" s="330" t="s">
        <v>202</v>
      </c>
      <c r="FD216" s="332" t="s">
        <v>190</v>
      </c>
      <c r="FE216" s="330"/>
      <c r="FF216" s="330"/>
      <c r="FG216" s="330" t="s">
        <v>203</v>
      </c>
      <c r="FH216" s="330"/>
      <c r="FI216" s="330" t="s">
        <v>204</v>
      </c>
      <c r="FJ216" s="330"/>
      <c r="FK216" s="330" t="s">
        <v>795</v>
      </c>
      <c r="FL216" s="330" t="s">
        <v>810</v>
      </c>
      <c r="FM216" s="330" t="s">
        <v>191</v>
      </c>
      <c r="FN216" s="330" t="s">
        <v>2097</v>
      </c>
      <c r="FO216" s="330"/>
      <c r="FP216" s="330" t="s">
        <v>1952</v>
      </c>
      <c r="FQ216" s="330"/>
      <c r="FR216" s="330"/>
      <c r="FS216" s="330"/>
      <c r="FT216" s="330"/>
      <c r="FU216" s="330"/>
    </row>
    <row r="217" spans="1:177" ht="51" x14ac:dyDescent="0.25">
      <c r="A217" s="330">
        <v>216</v>
      </c>
      <c r="B217" s="331" t="s">
        <v>2098</v>
      </c>
      <c r="C217" s="330"/>
      <c r="D217" s="332" t="s">
        <v>1305</v>
      </c>
      <c r="E217" s="332" t="s">
        <v>1306</v>
      </c>
      <c r="F217" s="332" t="s">
        <v>795</v>
      </c>
      <c r="G217" s="330" t="s">
        <v>796</v>
      </c>
      <c r="H217" s="331">
        <v>400</v>
      </c>
      <c r="I217" s="330"/>
      <c r="J217" s="332" t="s">
        <v>2099</v>
      </c>
      <c r="K217" s="332" t="s">
        <v>2099</v>
      </c>
      <c r="L217" s="330" t="s">
        <v>284</v>
      </c>
      <c r="M217" s="332" t="s">
        <v>751</v>
      </c>
      <c r="N217" s="330"/>
      <c r="O217" s="333"/>
      <c r="P217" s="333"/>
      <c r="Q217" s="333">
        <v>1328</v>
      </c>
      <c r="R217" s="333">
        <v>120</v>
      </c>
      <c r="S217" s="333"/>
      <c r="T217" s="333"/>
      <c r="U217" s="333"/>
      <c r="V217" s="333"/>
      <c r="W217" s="330"/>
      <c r="X217" s="330"/>
      <c r="Y217" s="332" t="s">
        <v>2100</v>
      </c>
      <c r="Z217" s="330" t="s">
        <v>215</v>
      </c>
      <c r="AA217" s="330" t="s">
        <v>2101</v>
      </c>
      <c r="AB217" s="330" t="s">
        <v>189</v>
      </c>
      <c r="AC217" s="330"/>
      <c r="AD217" s="330" t="s">
        <v>924</v>
      </c>
      <c r="AE217" s="330">
        <v>4</v>
      </c>
      <c r="AF217" s="330">
        <v>6</v>
      </c>
      <c r="AG217" s="332" t="s">
        <v>627</v>
      </c>
      <c r="AH217" s="332" t="s">
        <v>191</v>
      </c>
      <c r="AI217" s="330"/>
      <c r="AJ217" s="330" t="s">
        <v>191</v>
      </c>
      <c r="AK217" s="330" t="s">
        <v>627</v>
      </c>
      <c r="AL217" s="330" t="s">
        <v>810</v>
      </c>
      <c r="AM217" s="330" t="s">
        <v>191</v>
      </c>
      <c r="AN217" s="330" t="s">
        <v>810</v>
      </c>
      <c r="AO217" s="330"/>
      <c r="AP217" s="332" t="s">
        <v>259</v>
      </c>
      <c r="AQ217" s="330"/>
      <c r="AR217" s="330"/>
      <c r="AS217" s="330"/>
      <c r="AT217" s="330"/>
      <c r="AU217" s="332" t="s">
        <v>810</v>
      </c>
      <c r="AV217" s="334">
        <v>46100.357967731485</v>
      </c>
      <c r="AW217" s="330"/>
      <c r="AX217" s="335">
        <v>46135</v>
      </c>
      <c r="AY217" s="330"/>
      <c r="AZ217" s="330"/>
      <c r="BA217" s="330"/>
      <c r="BB217" s="330"/>
      <c r="BC217" s="336">
        <v>46156</v>
      </c>
      <c r="BD217" s="330"/>
      <c r="BE217" s="330"/>
      <c r="BF217" s="330"/>
      <c r="BG217" s="330"/>
      <c r="BH217" s="330" t="s">
        <v>193</v>
      </c>
      <c r="BI217" s="330">
        <v>141</v>
      </c>
      <c r="BJ217" s="330"/>
      <c r="BK217" s="330"/>
      <c r="BL217" s="330"/>
      <c r="BM217" s="332"/>
      <c r="BN217" s="330"/>
      <c r="BO217" s="330" t="s">
        <v>240</v>
      </c>
      <c r="BP217" s="330" t="s">
        <v>193</v>
      </c>
      <c r="BQ217" s="330" t="s">
        <v>909</v>
      </c>
      <c r="BR217" s="330" t="s">
        <v>193</v>
      </c>
      <c r="BS217" s="330" t="s">
        <v>2102</v>
      </c>
      <c r="BT217" s="330" t="s">
        <v>193</v>
      </c>
      <c r="BU217" s="330" t="s">
        <v>2102</v>
      </c>
      <c r="BV217" s="330" t="s">
        <v>220</v>
      </c>
      <c r="BW217" s="330"/>
      <c r="BX217" s="332"/>
      <c r="BY217" s="330"/>
      <c r="BZ217" s="330"/>
      <c r="CA217" s="330"/>
      <c r="CB217" s="330"/>
      <c r="CC217" s="337" t="s">
        <v>1955</v>
      </c>
      <c r="CD217" s="330" t="b">
        <v>1</v>
      </c>
      <c r="CE217" s="330" t="b">
        <v>1</v>
      </c>
      <c r="CF217" s="330" t="b">
        <v>1</v>
      </c>
      <c r="CG217" s="330"/>
      <c r="CH217" s="330"/>
      <c r="CI217" s="330"/>
      <c r="CJ217" s="330"/>
      <c r="CK217" s="330"/>
      <c r="CL217" s="330"/>
      <c r="CM217" s="330"/>
      <c r="CN217" s="330"/>
      <c r="CO217" s="330"/>
      <c r="CP217" s="330"/>
      <c r="CQ217" s="330"/>
      <c r="CR217" s="330"/>
      <c r="CS217" s="330"/>
      <c r="CT217" s="330"/>
      <c r="CU217" s="330"/>
      <c r="CV217" s="330"/>
      <c r="CW217" s="330"/>
      <c r="CX217" s="330"/>
      <c r="CY217" s="330"/>
      <c r="CZ217" s="330"/>
      <c r="DA217" s="330"/>
      <c r="DB217" s="330" t="b">
        <v>1</v>
      </c>
      <c r="DC217" s="330" t="b">
        <v>1</v>
      </c>
      <c r="DD217" s="330"/>
      <c r="DE217" s="330"/>
      <c r="DF217" s="338">
        <v>24074</v>
      </c>
      <c r="DG217" s="330" t="s">
        <v>221</v>
      </c>
      <c r="DH217" s="330"/>
      <c r="DI217" s="338" t="s">
        <v>1375</v>
      </c>
      <c r="DJ217" s="330"/>
      <c r="DK217" s="330">
        <v>9</v>
      </c>
      <c r="DL217" s="330" t="s">
        <v>1315</v>
      </c>
      <c r="DM217" s="330"/>
      <c r="DN217" s="330"/>
      <c r="DO217" s="330"/>
      <c r="DP217" s="330"/>
      <c r="DQ217" s="338" t="s">
        <v>197</v>
      </c>
      <c r="DR217" s="330"/>
      <c r="DS217" s="330"/>
      <c r="DT217" s="330"/>
      <c r="DU217" s="338" t="s">
        <v>197</v>
      </c>
      <c r="DV217" s="330"/>
      <c r="DW217" s="330"/>
      <c r="DX217" s="330"/>
      <c r="DY217" s="338" t="s">
        <v>197</v>
      </c>
      <c r="DZ217" s="330"/>
      <c r="EA217" s="330"/>
      <c r="EB217" s="330"/>
      <c r="EC217" s="330" t="s">
        <v>197</v>
      </c>
      <c r="ED217" s="338" t="s">
        <v>197</v>
      </c>
      <c r="EE217" s="330">
        <v>60</v>
      </c>
      <c r="EF217" s="330">
        <v>200</v>
      </c>
      <c r="EG217" s="330"/>
      <c r="EH217" s="330"/>
      <c r="EI217" s="330"/>
      <c r="EJ217" s="330"/>
      <c r="EK217" s="330"/>
      <c r="EL217" s="330"/>
      <c r="EM217" s="330"/>
      <c r="EN217" s="330"/>
      <c r="EO217" s="330"/>
      <c r="EP217" s="330"/>
      <c r="EQ217" s="332" t="s">
        <v>224</v>
      </c>
      <c r="ER217" s="330"/>
      <c r="ES217" s="330"/>
      <c r="ET217" s="332" t="s">
        <v>245</v>
      </c>
      <c r="EU217" s="332" t="s">
        <v>354</v>
      </c>
      <c r="EV217" s="330"/>
      <c r="EW217" s="330"/>
      <c r="EX217" s="330" t="s">
        <v>200</v>
      </c>
      <c r="EY217" s="330"/>
      <c r="EZ217" s="330" t="s">
        <v>247</v>
      </c>
      <c r="FA217" s="330"/>
      <c r="FB217" s="330" t="s">
        <v>247</v>
      </c>
      <c r="FC217" s="330" t="s">
        <v>202</v>
      </c>
      <c r="FD217" s="332" t="s">
        <v>190</v>
      </c>
      <c r="FE217" s="330"/>
      <c r="FF217" s="330"/>
      <c r="FG217" s="330" t="s">
        <v>203</v>
      </c>
      <c r="FH217" s="330"/>
      <c r="FI217" s="330" t="s">
        <v>204</v>
      </c>
      <c r="FJ217" s="330"/>
      <c r="FK217" s="330" t="s">
        <v>795</v>
      </c>
      <c r="FL217" s="330" t="s">
        <v>810</v>
      </c>
      <c r="FM217" s="330" t="s">
        <v>191</v>
      </c>
      <c r="FN217" s="330" t="s">
        <v>2103</v>
      </c>
      <c r="FO217" s="330"/>
      <c r="FP217" s="330" t="s">
        <v>1958</v>
      </c>
      <c r="FQ217" s="330"/>
      <c r="FR217" s="330"/>
      <c r="FS217" s="330"/>
      <c r="FT217" s="330"/>
      <c r="FU217" s="330"/>
    </row>
    <row r="218" spans="1:177" ht="38.25" x14ac:dyDescent="0.25">
      <c r="A218" s="330">
        <v>217</v>
      </c>
      <c r="B218" s="331" t="s">
        <v>1315</v>
      </c>
      <c r="C218" s="330"/>
      <c r="D218" s="332" t="s">
        <v>1305</v>
      </c>
      <c r="E218" s="332" t="s">
        <v>1306</v>
      </c>
      <c r="F218" s="332" t="s">
        <v>795</v>
      </c>
      <c r="G218" s="330" t="s">
        <v>796</v>
      </c>
      <c r="H218" s="331">
        <v>400</v>
      </c>
      <c r="I218" s="330"/>
      <c r="J218" s="332" t="s">
        <v>2104</v>
      </c>
      <c r="K218" s="332" t="s">
        <v>2104</v>
      </c>
      <c r="L218" s="330" t="s">
        <v>284</v>
      </c>
      <c r="M218" s="332"/>
      <c r="N218" s="330" t="s">
        <v>751</v>
      </c>
      <c r="O218" s="333"/>
      <c r="P218" s="333"/>
      <c r="Q218" s="333">
        <v>1328</v>
      </c>
      <c r="R218" s="333">
        <v>130</v>
      </c>
      <c r="S218" s="333"/>
      <c r="T218" s="333"/>
      <c r="U218" s="333"/>
      <c r="V218" s="333"/>
      <c r="W218" s="330"/>
      <c r="X218" s="330"/>
      <c r="Y218" s="332" t="s">
        <v>2105</v>
      </c>
      <c r="Z218" s="330" t="s">
        <v>215</v>
      </c>
      <c r="AA218" s="330" t="s">
        <v>2106</v>
      </c>
      <c r="AB218" s="330" t="s">
        <v>189</v>
      </c>
      <c r="AC218" s="330"/>
      <c r="AD218" s="330" t="s">
        <v>924</v>
      </c>
      <c r="AE218" s="330">
        <v>6</v>
      </c>
      <c r="AF218" s="330">
        <v>11</v>
      </c>
      <c r="AG218" s="332" t="s">
        <v>627</v>
      </c>
      <c r="AH218" s="332" t="s">
        <v>191</v>
      </c>
      <c r="AI218" s="330"/>
      <c r="AJ218" s="330" t="s">
        <v>191</v>
      </c>
      <c r="AK218" s="330" t="s">
        <v>627</v>
      </c>
      <c r="AL218" s="330" t="s">
        <v>810</v>
      </c>
      <c r="AM218" s="330" t="s">
        <v>191</v>
      </c>
      <c r="AN218" s="330" t="s">
        <v>810</v>
      </c>
      <c r="AO218" s="330"/>
      <c r="AP218" s="332" t="s">
        <v>259</v>
      </c>
      <c r="AQ218" s="330"/>
      <c r="AR218" s="330"/>
      <c r="AS218" s="330"/>
      <c r="AT218" s="330"/>
      <c r="AU218" s="332" t="s">
        <v>810</v>
      </c>
      <c r="AV218" s="334">
        <v>46100.360725104169</v>
      </c>
      <c r="AW218" s="330"/>
      <c r="AX218" s="335">
        <v>46142</v>
      </c>
      <c r="AY218" s="330"/>
      <c r="AZ218" s="330"/>
      <c r="BA218" s="330"/>
      <c r="BB218" s="330"/>
      <c r="BC218" s="336">
        <v>46163</v>
      </c>
      <c r="BD218" s="330"/>
      <c r="BE218" s="330"/>
      <c r="BF218" s="330"/>
      <c r="BG218" s="330"/>
      <c r="BH218" s="330" t="s">
        <v>193</v>
      </c>
      <c r="BI218" s="330">
        <v>51</v>
      </c>
      <c r="BJ218" s="330"/>
      <c r="BK218" s="330"/>
      <c r="BL218" s="330"/>
      <c r="BM218" s="332"/>
      <c r="BN218" s="330"/>
      <c r="BO218" s="330" t="s">
        <v>240</v>
      </c>
      <c r="BP218" s="330" t="s">
        <v>193</v>
      </c>
      <c r="BQ218" s="330" t="s">
        <v>909</v>
      </c>
      <c r="BR218" s="330" t="s">
        <v>193</v>
      </c>
      <c r="BS218" s="330" t="s">
        <v>2102</v>
      </c>
      <c r="BT218" s="330" t="s">
        <v>193</v>
      </c>
      <c r="BU218" s="330" t="s">
        <v>2102</v>
      </c>
      <c r="BV218" s="330" t="s">
        <v>220</v>
      </c>
      <c r="BW218" s="330"/>
      <c r="BX218" s="332"/>
      <c r="BY218" s="330"/>
      <c r="BZ218" s="330"/>
      <c r="CA218" s="330"/>
      <c r="CB218" s="330"/>
      <c r="CC218" s="337" t="s">
        <v>1955</v>
      </c>
      <c r="CD218" s="330" t="b">
        <v>1</v>
      </c>
      <c r="CE218" s="330" t="b">
        <v>1</v>
      </c>
      <c r="CF218" s="330" t="b">
        <v>1</v>
      </c>
      <c r="CG218" s="330"/>
      <c r="CH218" s="330"/>
      <c r="CI218" s="330"/>
      <c r="CJ218" s="330"/>
      <c r="CK218" s="330"/>
      <c r="CL218" s="330"/>
      <c r="CM218" s="330"/>
      <c r="CN218" s="330"/>
      <c r="CO218" s="330"/>
      <c r="CP218" s="330"/>
      <c r="CQ218" s="330"/>
      <c r="CR218" s="330"/>
      <c r="CS218" s="330"/>
      <c r="CT218" s="330"/>
      <c r="CU218" s="330"/>
      <c r="CV218" s="330"/>
      <c r="CW218" s="330"/>
      <c r="CX218" s="330"/>
      <c r="CY218" s="330"/>
      <c r="CZ218" s="330"/>
      <c r="DA218" s="330"/>
      <c r="DB218" s="330" t="b">
        <v>1</v>
      </c>
      <c r="DC218" s="330" t="b">
        <v>1</v>
      </c>
      <c r="DD218" s="330"/>
      <c r="DE218" s="330"/>
      <c r="DF218" s="338">
        <v>24074</v>
      </c>
      <c r="DG218" s="330" t="s">
        <v>221</v>
      </c>
      <c r="DH218" s="330"/>
      <c r="DI218" s="338">
        <v>10</v>
      </c>
      <c r="DJ218" s="330"/>
      <c r="DK218" s="330">
        <v>10</v>
      </c>
      <c r="DL218" s="330" t="s">
        <v>1315</v>
      </c>
      <c r="DM218" s="330"/>
      <c r="DN218" s="330"/>
      <c r="DO218" s="330"/>
      <c r="DP218" s="330"/>
      <c r="DQ218" s="338" t="s">
        <v>197</v>
      </c>
      <c r="DR218" s="330"/>
      <c r="DS218" s="330"/>
      <c r="DT218" s="330"/>
      <c r="DU218" s="338" t="s">
        <v>197</v>
      </c>
      <c r="DV218" s="330"/>
      <c r="DW218" s="330"/>
      <c r="DX218" s="330"/>
      <c r="DY218" s="338" t="s">
        <v>197</v>
      </c>
      <c r="DZ218" s="330"/>
      <c r="EA218" s="330"/>
      <c r="EB218" s="330"/>
      <c r="EC218" s="330" t="s">
        <v>197</v>
      </c>
      <c r="ED218" s="338" t="s">
        <v>197</v>
      </c>
      <c r="EE218" s="330">
        <v>75</v>
      </c>
      <c r="EF218" s="330">
        <v>234</v>
      </c>
      <c r="EG218" s="330"/>
      <c r="EH218" s="330"/>
      <c r="EI218" s="330"/>
      <c r="EJ218" s="330"/>
      <c r="EK218" s="330"/>
      <c r="EL218" s="330"/>
      <c r="EM218" s="330"/>
      <c r="EN218" s="330"/>
      <c r="EO218" s="330"/>
      <c r="EP218" s="330"/>
      <c r="EQ218" s="332" t="s">
        <v>224</v>
      </c>
      <c r="ER218" s="330"/>
      <c r="ES218" s="330"/>
      <c r="ET218" s="332" t="s">
        <v>245</v>
      </c>
      <c r="EU218" s="332" t="s">
        <v>354</v>
      </c>
      <c r="EV218" s="330"/>
      <c r="EW218" s="330"/>
      <c r="EX218" s="330" t="s">
        <v>200</v>
      </c>
      <c r="EY218" s="330"/>
      <c r="EZ218" s="330" t="s">
        <v>247</v>
      </c>
      <c r="FA218" s="330"/>
      <c r="FB218" s="330" t="s">
        <v>247</v>
      </c>
      <c r="FC218" s="330" t="s">
        <v>202</v>
      </c>
      <c r="FD218" s="332" t="s">
        <v>190</v>
      </c>
      <c r="FE218" s="330"/>
      <c r="FF218" s="330"/>
      <c r="FG218" s="330" t="s">
        <v>203</v>
      </c>
      <c r="FH218" s="330"/>
      <c r="FI218" s="330" t="s">
        <v>204</v>
      </c>
      <c r="FJ218" s="330"/>
      <c r="FK218" s="330" t="s">
        <v>795</v>
      </c>
      <c r="FL218" s="330" t="s">
        <v>810</v>
      </c>
      <c r="FM218" s="330" t="s">
        <v>191</v>
      </c>
      <c r="FN218" s="330" t="s">
        <v>2107</v>
      </c>
      <c r="FO218" s="330"/>
      <c r="FP218" s="330" t="s">
        <v>2108</v>
      </c>
      <c r="FQ218" s="330"/>
      <c r="FR218" s="330"/>
      <c r="FS218" s="330"/>
      <c r="FT218" s="330"/>
      <c r="FU218" s="330"/>
    </row>
    <row r="219" spans="1:177" ht="76.5" x14ac:dyDescent="0.25">
      <c r="A219" s="330">
        <v>218</v>
      </c>
      <c r="B219" s="331" t="s">
        <v>2109</v>
      </c>
      <c r="C219" s="330"/>
      <c r="D219" s="332" t="s">
        <v>2110</v>
      </c>
      <c r="E219" s="332" t="s">
        <v>2111</v>
      </c>
      <c r="F219" s="332" t="s">
        <v>1189</v>
      </c>
      <c r="G219" s="330" t="s">
        <v>1190</v>
      </c>
      <c r="H219" s="331">
        <v>400</v>
      </c>
      <c r="I219" s="330"/>
      <c r="J219" s="332"/>
      <c r="K219" s="332" t="s">
        <v>2112</v>
      </c>
      <c r="L219" s="330" t="s">
        <v>2113</v>
      </c>
      <c r="M219" s="332" t="s">
        <v>2114</v>
      </c>
      <c r="N219" s="330" t="s">
        <v>2115</v>
      </c>
      <c r="O219" s="339">
        <v>2.41157556270096E-3</v>
      </c>
      <c r="P219" s="333">
        <v>3</v>
      </c>
      <c r="Q219" s="333">
        <v>1244</v>
      </c>
      <c r="R219" s="333">
        <v>3</v>
      </c>
      <c r="S219" s="333">
        <v>3</v>
      </c>
      <c r="T219" s="333">
        <v>3</v>
      </c>
      <c r="U219" s="333">
        <v>33</v>
      </c>
      <c r="V219" s="333">
        <v>3</v>
      </c>
      <c r="W219" s="330">
        <v>1</v>
      </c>
      <c r="X219" s="330" t="s">
        <v>2116</v>
      </c>
      <c r="Y219" s="332" t="s">
        <v>2117</v>
      </c>
      <c r="Z219" s="330" t="s">
        <v>215</v>
      </c>
      <c r="AA219" s="330" t="s">
        <v>2118</v>
      </c>
      <c r="AB219" s="330" t="s">
        <v>217</v>
      </c>
      <c r="AC219" s="330"/>
      <c r="AD219" s="330"/>
      <c r="AE219" s="330">
        <v>49</v>
      </c>
      <c r="AF219" s="330">
        <v>5</v>
      </c>
      <c r="AG219" s="332" t="s">
        <v>190</v>
      </c>
      <c r="AH219" s="332" t="s">
        <v>191</v>
      </c>
      <c r="AI219" s="330"/>
      <c r="AJ219" s="330" t="s">
        <v>471</v>
      </c>
      <c r="AK219" s="330"/>
      <c r="AL219" s="330" t="s">
        <v>471</v>
      </c>
      <c r="AM219" s="330" t="s">
        <v>627</v>
      </c>
      <c r="AN219" s="330" t="s">
        <v>471</v>
      </c>
      <c r="AO219" s="330"/>
      <c r="AP219" s="332" t="s">
        <v>259</v>
      </c>
      <c r="AQ219" s="330"/>
      <c r="AR219" s="330"/>
      <c r="AS219" s="330" t="b">
        <v>1</v>
      </c>
      <c r="AT219" s="330"/>
      <c r="AU219" s="332" t="s">
        <v>471</v>
      </c>
      <c r="AV219" s="334">
        <v>46100.576641585649</v>
      </c>
      <c r="AW219" s="330" t="b">
        <v>1</v>
      </c>
      <c r="AX219" s="335">
        <v>46121</v>
      </c>
      <c r="AY219" s="336">
        <v>46118</v>
      </c>
      <c r="AZ219" s="330" t="b">
        <v>1</v>
      </c>
      <c r="BA219" s="336">
        <v>46134</v>
      </c>
      <c r="BB219" s="330"/>
      <c r="BC219" s="336">
        <v>46136</v>
      </c>
      <c r="BD219" s="330"/>
      <c r="BE219" s="330"/>
      <c r="BF219" s="330"/>
      <c r="BG219" s="330"/>
      <c r="BH219" s="330" t="s">
        <v>193</v>
      </c>
      <c r="BI219" s="330">
        <v>20</v>
      </c>
      <c r="BJ219" s="330"/>
      <c r="BK219" s="330"/>
      <c r="BL219" s="330"/>
      <c r="BM219" s="332"/>
      <c r="BN219" s="330"/>
      <c r="BO219" s="330" t="s">
        <v>240</v>
      </c>
      <c r="BP219" s="330" t="s">
        <v>193</v>
      </c>
      <c r="BQ219" s="330" t="s">
        <v>218</v>
      </c>
      <c r="BR219" s="330" t="s">
        <v>220</v>
      </c>
      <c r="BS219" s="330"/>
      <c r="BT219" s="330" t="s">
        <v>220</v>
      </c>
      <c r="BU219" s="330"/>
      <c r="BV219" s="330" t="s">
        <v>220</v>
      </c>
      <c r="BW219" s="330"/>
      <c r="BX219" s="332"/>
      <c r="BY219" s="330"/>
      <c r="BZ219" s="330"/>
      <c r="CA219" s="330"/>
      <c r="CB219" s="330"/>
      <c r="CC219" s="337" t="s">
        <v>194</v>
      </c>
      <c r="CD219" s="330" t="b">
        <v>1</v>
      </c>
      <c r="CE219" s="330" t="b">
        <v>1</v>
      </c>
      <c r="CF219" s="330" t="b">
        <v>1</v>
      </c>
      <c r="CG219" s="330" t="s">
        <v>242</v>
      </c>
      <c r="CH219" s="330"/>
      <c r="CI219" s="330"/>
      <c r="CJ219" s="330"/>
      <c r="CK219" s="330"/>
      <c r="CL219" s="330"/>
      <c r="CM219" s="330"/>
      <c r="CN219" s="330"/>
      <c r="CO219" s="330"/>
      <c r="CP219" s="330"/>
      <c r="CQ219" s="330"/>
      <c r="CR219" s="330"/>
      <c r="CS219" s="330"/>
      <c r="CT219" s="330"/>
      <c r="CU219" s="330"/>
      <c r="CV219" s="330"/>
      <c r="CW219" s="330"/>
      <c r="CX219" s="330"/>
      <c r="CY219" s="330"/>
      <c r="CZ219" s="330"/>
      <c r="DA219" s="330"/>
      <c r="DB219" s="330" t="b">
        <v>1</v>
      </c>
      <c r="DC219" s="330" t="b">
        <v>1</v>
      </c>
      <c r="DD219" s="330"/>
      <c r="DE219" s="330"/>
      <c r="DF219" s="338">
        <v>25061</v>
      </c>
      <c r="DG219" s="330" t="s">
        <v>221</v>
      </c>
      <c r="DH219" s="330"/>
      <c r="DI219" s="338" t="s">
        <v>196</v>
      </c>
      <c r="DJ219" s="330"/>
      <c r="DK219" s="330">
        <v>1</v>
      </c>
      <c r="DL219" s="330" t="s">
        <v>2109</v>
      </c>
      <c r="DM219" s="330"/>
      <c r="DN219" s="330"/>
      <c r="DO219" s="330"/>
      <c r="DP219" s="330"/>
      <c r="DQ219" s="338" t="s">
        <v>197</v>
      </c>
      <c r="DR219" s="330"/>
      <c r="DS219" s="330"/>
      <c r="DT219" s="330"/>
      <c r="DU219" s="338" t="s">
        <v>197</v>
      </c>
      <c r="DV219" s="330"/>
      <c r="DW219" s="330"/>
      <c r="DX219" s="330"/>
      <c r="DY219" s="338" t="s">
        <v>197</v>
      </c>
      <c r="DZ219" s="330"/>
      <c r="EA219" s="330"/>
      <c r="EB219" s="330"/>
      <c r="EC219" s="330" t="s">
        <v>197</v>
      </c>
      <c r="ED219" s="338" t="s">
        <v>197</v>
      </c>
      <c r="EE219" s="330">
        <v>4</v>
      </c>
      <c r="EF219" s="330">
        <v>8</v>
      </c>
      <c r="EG219" s="330"/>
      <c r="EH219" s="330"/>
      <c r="EI219" s="330"/>
      <c r="EJ219" s="330"/>
      <c r="EK219" s="330"/>
      <c r="EL219" s="330"/>
      <c r="EM219" s="330"/>
      <c r="EN219" s="330"/>
      <c r="EO219" s="330"/>
      <c r="EP219" s="330"/>
      <c r="EQ219" s="332" t="s">
        <v>244</v>
      </c>
      <c r="ER219" s="330"/>
      <c r="ES219" s="330"/>
      <c r="ET219" s="332" t="s">
        <v>245</v>
      </c>
      <c r="EU219" s="332" t="s">
        <v>246</v>
      </c>
      <c r="EV219" s="336">
        <v>46118</v>
      </c>
      <c r="EW219" s="336">
        <v>46118</v>
      </c>
      <c r="EX219" s="330">
        <v>1</v>
      </c>
      <c r="EY219" s="330"/>
      <c r="EZ219" s="330" t="s">
        <v>201</v>
      </c>
      <c r="FA219" s="336">
        <v>46121</v>
      </c>
      <c r="FB219" s="330">
        <v>2</v>
      </c>
      <c r="FC219" s="330" t="s">
        <v>202</v>
      </c>
      <c r="FD219" s="332" t="s">
        <v>190</v>
      </c>
      <c r="FE219" s="336">
        <v>46122</v>
      </c>
      <c r="FF219" s="330"/>
      <c r="FG219" s="330" t="s">
        <v>203</v>
      </c>
      <c r="FH219" s="330" t="s">
        <v>2119</v>
      </c>
      <c r="FI219" s="330" t="s">
        <v>204</v>
      </c>
      <c r="FJ219" s="330"/>
      <c r="FK219" s="330" t="s">
        <v>1189</v>
      </c>
      <c r="FL219" s="330" t="s">
        <v>471</v>
      </c>
      <c r="FM219" s="330" t="s">
        <v>627</v>
      </c>
      <c r="FN219" s="330" t="s">
        <v>2120</v>
      </c>
      <c r="FO219" s="330"/>
      <c r="FP219" s="330" t="s">
        <v>1330</v>
      </c>
      <c r="FQ219" s="330"/>
      <c r="FR219" s="330"/>
      <c r="FS219" s="330"/>
      <c r="FT219" s="330"/>
      <c r="FU219" s="330"/>
    </row>
    <row r="220" spans="1:177" ht="140.25" x14ac:dyDescent="0.25">
      <c r="A220" s="330">
        <v>219</v>
      </c>
      <c r="B220" s="331" t="s">
        <v>2121</v>
      </c>
      <c r="C220" s="330"/>
      <c r="D220" s="332" t="s">
        <v>1055</v>
      </c>
      <c r="E220" s="332" t="s">
        <v>1056</v>
      </c>
      <c r="F220" s="332" t="s">
        <v>180</v>
      </c>
      <c r="G220" s="330" t="s">
        <v>181</v>
      </c>
      <c r="H220" s="331">
        <v>400</v>
      </c>
      <c r="I220" s="330"/>
      <c r="J220" s="332" t="s">
        <v>2122</v>
      </c>
      <c r="K220" s="332" t="s">
        <v>2123</v>
      </c>
      <c r="L220" s="330" t="s">
        <v>2124</v>
      </c>
      <c r="M220" s="332"/>
      <c r="N220" s="330" t="s">
        <v>2125</v>
      </c>
      <c r="O220" s="333" t="s">
        <v>736</v>
      </c>
      <c r="P220" s="333">
        <v>480</v>
      </c>
      <c r="Q220" s="333">
        <v>0</v>
      </c>
      <c r="R220" s="333">
        <v>1</v>
      </c>
      <c r="S220" s="333">
        <v>1</v>
      </c>
      <c r="T220" s="333">
        <v>1</v>
      </c>
      <c r="U220" s="333">
        <v>10</v>
      </c>
      <c r="V220" s="333">
        <v>0</v>
      </c>
      <c r="W220" s="330">
        <v>1</v>
      </c>
      <c r="X220" s="330" t="s">
        <v>2126</v>
      </c>
      <c r="Y220" s="332"/>
      <c r="Z220" s="330" t="s">
        <v>739</v>
      </c>
      <c r="AA220" s="330" t="s">
        <v>2127</v>
      </c>
      <c r="AB220" s="330" t="s">
        <v>189</v>
      </c>
      <c r="AC220" s="330"/>
      <c r="AD220" s="330"/>
      <c r="AE220" s="330">
        <v>13</v>
      </c>
      <c r="AF220" s="330">
        <v>-6</v>
      </c>
      <c r="AG220" s="332" t="s">
        <v>190</v>
      </c>
      <c r="AH220" s="332" t="s">
        <v>202</v>
      </c>
      <c r="AI220" s="330" t="s">
        <v>202</v>
      </c>
      <c r="AJ220" s="330"/>
      <c r="AK220" s="330"/>
      <c r="AL220" s="330" t="s">
        <v>741</v>
      </c>
      <c r="AM220" s="330" t="s">
        <v>202</v>
      </c>
      <c r="AN220" s="330" t="s">
        <v>741</v>
      </c>
      <c r="AO220" s="330"/>
      <c r="AP220" s="332"/>
      <c r="AQ220" s="330"/>
      <c r="AR220" s="330" t="s">
        <v>334</v>
      </c>
      <c r="AS220" s="330" t="b">
        <v>1</v>
      </c>
      <c r="AT220" s="330"/>
      <c r="AU220" s="332" t="s">
        <v>741</v>
      </c>
      <c r="AV220" s="334">
        <v>46104.372510787034</v>
      </c>
      <c r="AW220" s="330" t="b">
        <v>1</v>
      </c>
      <c r="AX220" s="335">
        <v>46125</v>
      </c>
      <c r="AY220" s="336">
        <v>46105</v>
      </c>
      <c r="AZ220" s="330" t="b">
        <v>1</v>
      </c>
      <c r="BA220" s="336">
        <v>46121</v>
      </c>
      <c r="BB220" s="336">
        <v>46107</v>
      </c>
      <c r="BC220" s="336">
        <v>46107</v>
      </c>
      <c r="BD220" s="330"/>
      <c r="BE220" s="330"/>
      <c r="BF220" s="330"/>
      <c r="BG220" s="336">
        <v>46113</v>
      </c>
      <c r="BH220" s="330" t="s">
        <v>193</v>
      </c>
      <c r="BI220" s="330">
        <v>1</v>
      </c>
      <c r="BJ220" s="330"/>
      <c r="BK220" s="330" t="b">
        <v>1</v>
      </c>
      <c r="BL220" s="330" t="s">
        <v>1065</v>
      </c>
      <c r="BM220" s="332" t="s">
        <v>2128</v>
      </c>
      <c r="BN220" s="330" t="s">
        <v>1067</v>
      </c>
      <c r="BO220" s="330" t="s">
        <v>629</v>
      </c>
      <c r="BP220" s="330" t="s">
        <v>193</v>
      </c>
      <c r="BQ220" s="330" t="s">
        <v>218</v>
      </c>
      <c r="BR220" s="330" t="s">
        <v>220</v>
      </c>
      <c r="BS220" s="330"/>
      <c r="BT220" s="330" t="s">
        <v>220</v>
      </c>
      <c r="BU220" s="330"/>
      <c r="BV220" s="330" t="s">
        <v>220</v>
      </c>
      <c r="BW220" s="330"/>
      <c r="BX220" s="332" t="s">
        <v>2129</v>
      </c>
      <c r="BY220" s="330" t="s">
        <v>2130</v>
      </c>
      <c r="BZ220" s="330"/>
      <c r="CA220" s="330"/>
      <c r="CB220" s="330"/>
      <c r="CC220" s="337" t="s">
        <v>744</v>
      </c>
      <c r="CD220" s="330"/>
      <c r="CE220" s="330" t="b">
        <v>1</v>
      </c>
      <c r="CF220" s="330"/>
      <c r="CG220" s="330"/>
      <c r="CH220" s="330"/>
      <c r="CI220" s="330"/>
      <c r="CJ220" s="330"/>
      <c r="CK220" s="330"/>
      <c r="CL220" s="330" t="b">
        <v>1</v>
      </c>
      <c r="CM220" s="330" t="s">
        <v>745</v>
      </c>
      <c r="CN220" s="330"/>
      <c r="CO220" s="330"/>
      <c r="CP220" s="330"/>
      <c r="CQ220" s="330"/>
      <c r="CR220" s="330"/>
      <c r="CS220" s="330"/>
      <c r="CT220" s="330"/>
      <c r="CU220" s="330" t="b">
        <v>1</v>
      </c>
      <c r="CV220" s="330"/>
      <c r="CW220" s="330"/>
      <c r="CX220" s="330"/>
      <c r="CY220" s="330"/>
      <c r="CZ220" s="330"/>
      <c r="DA220" s="330"/>
      <c r="DB220" s="330"/>
      <c r="DC220" s="330" t="b">
        <v>1</v>
      </c>
      <c r="DD220" s="330"/>
      <c r="DE220" s="330"/>
      <c r="DF220" s="338">
        <v>24081</v>
      </c>
      <c r="DG220" s="330" t="s">
        <v>1541</v>
      </c>
      <c r="DH220" s="330"/>
      <c r="DI220" s="338" t="s">
        <v>196</v>
      </c>
      <c r="DJ220" s="330"/>
      <c r="DK220" s="330">
        <v>1</v>
      </c>
      <c r="DL220" s="330" t="s">
        <v>2121</v>
      </c>
      <c r="DM220" s="330"/>
      <c r="DN220" s="330"/>
      <c r="DO220" s="330"/>
      <c r="DP220" s="330"/>
      <c r="DQ220" s="338" t="s">
        <v>197</v>
      </c>
      <c r="DR220" s="330"/>
      <c r="DS220" s="330"/>
      <c r="DT220" s="330"/>
      <c r="DU220" s="338" t="s">
        <v>197</v>
      </c>
      <c r="DV220" s="330"/>
      <c r="DW220" s="330"/>
      <c r="DX220" s="330"/>
      <c r="DY220" s="338" t="s">
        <v>197</v>
      </c>
      <c r="DZ220" s="330"/>
      <c r="EA220" s="330"/>
      <c r="EB220" s="330"/>
      <c r="EC220" s="330" t="s">
        <v>197</v>
      </c>
      <c r="ED220" s="338" t="s">
        <v>197</v>
      </c>
      <c r="EE220" s="330">
        <v>1</v>
      </c>
      <c r="EF220" s="330">
        <v>2</v>
      </c>
      <c r="EG220" s="330"/>
      <c r="EH220" s="330"/>
      <c r="EI220" s="330"/>
      <c r="EJ220" s="330"/>
      <c r="EK220" s="330"/>
      <c r="EL220" s="330"/>
      <c r="EM220" s="330"/>
      <c r="EN220" s="330"/>
      <c r="EO220" s="330"/>
      <c r="EP220" s="330"/>
      <c r="EQ220" s="332" t="s">
        <v>198</v>
      </c>
      <c r="ER220" s="330"/>
      <c r="ES220" s="330"/>
      <c r="ET220" s="332" t="s">
        <v>89</v>
      </c>
      <c r="EU220" s="332" t="s">
        <v>2131</v>
      </c>
      <c r="EV220" s="336">
        <v>46104</v>
      </c>
      <c r="EW220" s="336">
        <v>46105</v>
      </c>
      <c r="EX220" s="330">
        <v>2</v>
      </c>
      <c r="EY220" s="330"/>
      <c r="EZ220" s="330" t="s">
        <v>247</v>
      </c>
      <c r="FA220" s="330"/>
      <c r="FB220" s="330" t="s">
        <v>248</v>
      </c>
      <c r="FC220" s="330" t="s">
        <v>202</v>
      </c>
      <c r="FD220" s="332" t="s">
        <v>190</v>
      </c>
      <c r="FE220" s="336">
        <v>46112</v>
      </c>
      <c r="FF220" s="330"/>
      <c r="FG220" s="330" t="s">
        <v>203</v>
      </c>
      <c r="FH220" s="330" t="s">
        <v>2132</v>
      </c>
      <c r="FI220" s="330" t="s">
        <v>204</v>
      </c>
      <c r="FJ220" s="330"/>
      <c r="FK220" s="330" t="s">
        <v>180</v>
      </c>
      <c r="FL220" s="330" t="s">
        <v>741</v>
      </c>
      <c r="FM220" s="330" t="s">
        <v>202</v>
      </c>
      <c r="FN220" s="330" t="s">
        <v>2133</v>
      </c>
      <c r="FO220" s="330"/>
      <c r="FP220" s="330" t="s">
        <v>756</v>
      </c>
      <c r="FQ220" s="330"/>
      <c r="FR220" s="330"/>
      <c r="FS220" s="330"/>
      <c r="FT220" s="330"/>
      <c r="FU220" s="330"/>
    </row>
    <row r="221" spans="1:177" ht="51" x14ac:dyDescent="0.25">
      <c r="A221" s="330">
        <v>220</v>
      </c>
      <c r="B221" s="331" t="s">
        <v>2134</v>
      </c>
      <c r="C221" s="330"/>
      <c r="D221" s="332" t="s">
        <v>2135</v>
      </c>
      <c r="E221" s="332" t="s">
        <v>2136</v>
      </c>
      <c r="F221" s="332" t="s">
        <v>180</v>
      </c>
      <c r="G221" s="330" t="s">
        <v>181</v>
      </c>
      <c r="H221" s="331">
        <v>400</v>
      </c>
      <c r="I221" s="330"/>
      <c r="J221" s="332"/>
      <c r="K221" s="332" t="s">
        <v>4165</v>
      </c>
      <c r="L221" s="330" t="s">
        <v>284</v>
      </c>
      <c r="M221" s="332" t="s">
        <v>751</v>
      </c>
      <c r="N221" s="330"/>
      <c r="O221" s="333"/>
      <c r="P221" s="333"/>
      <c r="Q221" s="333">
        <v>819</v>
      </c>
      <c r="R221" s="333">
        <v>111</v>
      </c>
      <c r="S221" s="333"/>
      <c r="T221" s="333"/>
      <c r="U221" s="333"/>
      <c r="V221" s="333"/>
      <c r="W221" s="330"/>
      <c r="X221" s="330"/>
      <c r="Y221" s="332" t="s">
        <v>2137</v>
      </c>
      <c r="Z221" s="330" t="s">
        <v>215</v>
      </c>
      <c r="AA221" s="330" t="s">
        <v>2138</v>
      </c>
      <c r="AB221" s="330" t="s">
        <v>217</v>
      </c>
      <c r="AC221" s="330"/>
      <c r="AD221" s="330"/>
      <c r="AE221" s="330">
        <v>2</v>
      </c>
      <c r="AF221" s="330">
        <v>3</v>
      </c>
      <c r="AG221" s="332" t="s">
        <v>1258</v>
      </c>
      <c r="AH221" s="332" t="s">
        <v>191</v>
      </c>
      <c r="AI221" s="330" t="s">
        <v>1258</v>
      </c>
      <c r="AJ221" s="330" t="s">
        <v>1258</v>
      </c>
      <c r="AK221" s="330"/>
      <c r="AL221" s="330" t="s">
        <v>1258</v>
      </c>
      <c r="AM221" s="330" t="s">
        <v>191</v>
      </c>
      <c r="AN221" s="330" t="s">
        <v>1258</v>
      </c>
      <c r="AO221" s="330"/>
      <c r="AP221" s="332" t="s">
        <v>259</v>
      </c>
      <c r="AQ221" s="330"/>
      <c r="AR221" s="330"/>
      <c r="AS221" s="330"/>
      <c r="AT221" s="330"/>
      <c r="AU221" s="332" t="s">
        <v>1258</v>
      </c>
      <c r="AV221" s="334">
        <v>46104.529389502313</v>
      </c>
      <c r="AW221" s="330"/>
      <c r="AX221" s="335">
        <v>46132</v>
      </c>
      <c r="AY221" s="330"/>
      <c r="AZ221" s="330"/>
      <c r="BA221" s="330"/>
      <c r="BB221" s="330"/>
      <c r="BC221" s="336">
        <v>46153</v>
      </c>
      <c r="BD221" s="330"/>
      <c r="BE221" s="330"/>
      <c r="BF221" s="330"/>
      <c r="BG221" s="330"/>
      <c r="BH221" s="330" t="s">
        <v>193</v>
      </c>
      <c r="BI221" s="330">
        <v>67</v>
      </c>
      <c r="BJ221" s="330"/>
      <c r="BK221" s="330"/>
      <c r="BL221" s="330"/>
      <c r="BM221" s="332"/>
      <c r="BN221" s="330"/>
      <c r="BO221" s="330" t="s">
        <v>240</v>
      </c>
      <c r="BP221" s="330" t="s">
        <v>193</v>
      </c>
      <c r="BQ221" s="330" t="s">
        <v>218</v>
      </c>
      <c r="BR221" s="330" t="s">
        <v>193</v>
      </c>
      <c r="BS221" s="330" t="s">
        <v>2139</v>
      </c>
      <c r="BT221" s="330" t="s">
        <v>193</v>
      </c>
      <c r="BU221" s="330" t="s">
        <v>2140</v>
      </c>
      <c r="BV221" s="330" t="s">
        <v>193</v>
      </c>
      <c r="BW221" s="330" t="s">
        <v>2141</v>
      </c>
      <c r="BX221" s="332"/>
      <c r="BY221" s="330"/>
      <c r="BZ221" s="330"/>
      <c r="CA221" s="330"/>
      <c r="CB221" s="330"/>
      <c r="CC221" s="337" t="s">
        <v>1325</v>
      </c>
      <c r="CD221" s="330" t="b">
        <v>1</v>
      </c>
      <c r="CE221" s="330" t="b">
        <v>1</v>
      </c>
      <c r="CF221" s="330" t="b">
        <v>1</v>
      </c>
      <c r="CG221" s="330"/>
      <c r="CH221" s="330"/>
      <c r="CI221" s="330"/>
      <c r="CJ221" s="330"/>
      <c r="CK221" s="330"/>
      <c r="CL221" s="330"/>
      <c r="CM221" s="330"/>
      <c r="CN221" s="330"/>
      <c r="CO221" s="330"/>
      <c r="CP221" s="330"/>
      <c r="CQ221" s="330"/>
      <c r="CR221" s="330"/>
      <c r="CS221" s="330"/>
      <c r="CT221" s="330"/>
      <c r="CU221" s="330"/>
      <c r="CV221" s="330"/>
      <c r="CW221" s="330"/>
      <c r="CX221" s="330"/>
      <c r="CY221" s="330"/>
      <c r="CZ221" s="330"/>
      <c r="DA221" s="330"/>
      <c r="DB221" s="330" t="b">
        <v>1</v>
      </c>
      <c r="DC221" s="330" t="b">
        <v>1</v>
      </c>
      <c r="DD221" s="330"/>
      <c r="DE221" s="330"/>
      <c r="DF221" s="338">
        <v>25010</v>
      </c>
      <c r="DG221" s="330" t="s">
        <v>221</v>
      </c>
      <c r="DH221" s="330"/>
      <c r="DI221" s="338" t="s">
        <v>1375</v>
      </c>
      <c r="DJ221" s="330"/>
      <c r="DK221" s="330">
        <v>9</v>
      </c>
      <c r="DL221" s="330" t="s">
        <v>2134</v>
      </c>
      <c r="DM221" s="330"/>
      <c r="DN221" s="330"/>
      <c r="DO221" s="330"/>
      <c r="DP221" s="330"/>
      <c r="DQ221" s="338" t="s">
        <v>197</v>
      </c>
      <c r="DR221" s="330"/>
      <c r="DS221" s="330"/>
      <c r="DT221" s="330"/>
      <c r="DU221" s="338" t="s">
        <v>197</v>
      </c>
      <c r="DV221" s="330"/>
      <c r="DW221" s="330"/>
      <c r="DX221" s="330"/>
      <c r="DY221" s="338" t="s">
        <v>197</v>
      </c>
      <c r="DZ221" s="330"/>
      <c r="EA221" s="330"/>
      <c r="EB221" s="330"/>
      <c r="EC221" s="330" t="s">
        <v>197</v>
      </c>
      <c r="ED221" s="338" t="s">
        <v>197</v>
      </c>
      <c r="EE221" s="330">
        <v>20</v>
      </c>
      <c r="EF221" s="330">
        <v>40</v>
      </c>
      <c r="EG221" s="330"/>
      <c r="EH221" s="330"/>
      <c r="EI221" s="330"/>
      <c r="EJ221" s="330"/>
      <c r="EK221" s="330"/>
      <c r="EL221" s="330"/>
      <c r="EM221" s="330"/>
      <c r="EN221" s="330"/>
      <c r="EO221" s="330"/>
      <c r="EP221" s="330"/>
      <c r="EQ221" s="332" t="s">
        <v>224</v>
      </c>
      <c r="ER221" s="330"/>
      <c r="ES221" s="330"/>
      <c r="ET221" s="332" t="s">
        <v>245</v>
      </c>
      <c r="EU221" s="332" t="s">
        <v>354</v>
      </c>
      <c r="EV221" s="330"/>
      <c r="EW221" s="330"/>
      <c r="EX221" s="330" t="s">
        <v>200</v>
      </c>
      <c r="EY221" s="330"/>
      <c r="EZ221" s="330" t="s">
        <v>247</v>
      </c>
      <c r="FA221" s="330"/>
      <c r="FB221" s="330" t="s">
        <v>247</v>
      </c>
      <c r="FC221" s="330" t="s">
        <v>202</v>
      </c>
      <c r="FD221" s="332" t="s">
        <v>190</v>
      </c>
      <c r="FE221" s="330"/>
      <c r="FF221" s="330"/>
      <c r="FG221" s="330" t="s">
        <v>203</v>
      </c>
      <c r="FH221" s="330" t="s">
        <v>2142</v>
      </c>
      <c r="FI221" s="330" t="s">
        <v>204</v>
      </c>
      <c r="FJ221" s="330"/>
      <c r="FK221" s="330" t="s">
        <v>180</v>
      </c>
      <c r="FL221" s="330" t="s">
        <v>1258</v>
      </c>
      <c r="FM221" s="330" t="s">
        <v>191</v>
      </c>
      <c r="FN221" s="330" t="s">
        <v>2143</v>
      </c>
      <c r="FO221" s="330"/>
      <c r="FP221" s="330" t="s">
        <v>1958</v>
      </c>
      <c r="FQ221" s="330"/>
      <c r="FR221" s="330"/>
      <c r="FS221" s="330"/>
      <c r="FT221" s="330"/>
      <c r="FU221" s="330"/>
    </row>
    <row r="222" spans="1:177" ht="76.5" x14ac:dyDescent="0.25">
      <c r="A222" s="330">
        <v>221</v>
      </c>
      <c r="B222" s="331" t="s">
        <v>1835</v>
      </c>
      <c r="C222" s="330"/>
      <c r="D222" s="332" t="s">
        <v>1821</v>
      </c>
      <c r="E222" s="332" t="s">
        <v>1822</v>
      </c>
      <c r="F222" s="332" t="s">
        <v>610</v>
      </c>
      <c r="G222" s="330" t="s">
        <v>611</v>
      </c>
      <c r="H222" s="331" t="s">
        <v>1823</v>
      </c>
      <c r="I222" s="330"/>
      <c r="J222" s="332" t="s">
        <v>2144</v>
      </c>
      <c r="K222" s="332" t="s">
        <v>2145</v>
      </c>
      <c r="L222" s="330" t="s">
        <v>1647</v>
      </c>
      <c r="M222" s="332"/>
      <c r="N222" s="330" t="s">
        <v>2146</v>
      </c>
      <c r="O222" s="333" t="s">
        <v>736</v>
      </c>
      <c r="P222" s="333">
        <v>1159</v>
      </c>
      <c r="Q222" s="333">
        <v>0</v>
      </c>
      <c r="R222" s="333">
        <v>1</v>
      </c>
      <c r="S222" s="333">
        <v>1</v>
      </c>
      <c r="T222" s="333">
        <v>1</v>
      </c>
      <c r="U222" s="333">
        <v>0</v>
      </c>
      <c r="V222" s="333">
        <v>0</v>
      </c>
      <c r="W222" s="330">
        <v>1</v>
      </c>
      <c r="X222" s="330" t="s">
        <v>2147</v>
      </c>
      <c r="Y222" s="332" t="s">
        <v>2148</v>
      </c>
      <c r="Z222" s="330" t="s">
        <v>739</v>
      </c>
      <c r="AA222" s="330" t="s">
        <v>2149</v>
      </c>
      <c r="AB222" s="330" t="s">
        <v>189</v>
      </c>
      <c r="AC222" s="330"/>
      <c r="AD222" s="330"/>
      <c r="AE222" s="330">
        <v>14</v>
      </c>
      <c r="AF222" s="330">
        <v>-2</v>
      </c>
      <c r="AG222" s="332" t="s">
        <v>190</v>
      </c>
      <c r="AH222" s="332" t="s">
        <v>202</v>
      </c>
      <c r="AI222" s="330" t="s">
        <v>202</v>
      </c>
      <c r="AJ222" s="330"/>
      <c r="AK222" s="330"/>
      <c r="AL222" s="330" t="s">
        <v>741</v>
      </c>
      <c r="AM222" s="330" t="s">
        <v>202</v>
      </c>
      <c r="AN222" s="330" t="s">
        <v>741</v>
      </c>
      <c r="AO222" s="330"/>
      <c r="AP222" s="332"/>
      <c r="AQ222" s="330"/>
      <c r="AR222" s="330" t="s">
        <v>334</v>
      </c>
      <c r="AS222" s="330" t="b">
        <v>1</v>
      </c>
      <c r="AT222" s="330"/>
      <c r="AU222" s="332" t="s">
        <v>741</v>
      </c>
      <c r="AV222" s="334">
        <v>46104.569707569448</v>
      </c>
      <c r="AW222" s="330"/>
      <c r="AX222" s="335">
        <v>46108</v>
      </c>
      <c r="AY222" s="336">
        <v>46105</v>
      </c>
      <c r="AZ222" s="330"/>
      <c r="BA222" s="336">
        <v>46127</v>
      </c>
      <c r="BB222" s="336">
        <v>46114</v>
      </c>
      <c r="BC222" s="336">
        <v>46129</v>
      </c>
      <c r="BD222" s="330"/>
      <c r="BE222" s="330"/>
      <c r="BF222" s="330"/>
      <c r="BG222" s="336">
        <v>46121</v>
      </c>
      <c r="BH222" s="330" t="s">
        <v>193</v>
      </c>
      <c r="BI222" s="330">
        <v>42</v>
      </c>
      <c r="BJ222" s="330"/>
      <c r="BK222" s="330" t="b">
        <v>1</v>
      </c>
      <c r="BL222" s="330" t="s">
        <v>1065</v>
      </c>
      <c r="BM222" s="332" t="s">
        <v>2150</v>
      </c>
      <c r="BN222" s="330" t="s">
        <v>1067</v>
      </c>
      <c r="BO222" s="330" t="s">
        <v>184</v>
      </c>
      <c r="BP222" s="330" t="s">
        <v>184</v>
      </c>
      <c r="BQ222" s="330" t="s">
        <v>218</v>
      </c>
      <c r="BR222" s="330" t="s">
        <v>220</v>
      </c>
      <c r="BS222" s="330"/>
      <c r="BT222" s="330" t="s">
        <v>220</v>
      </c>
      <c r="BU222" s="330"/>
      <c r="BV222" s="330" t="s">
        <v>220</v>
      </c>
      <c r="BW222" s="330"/>
      <c r="BX222" s="332" t="s">
        <v>2151</v>
      </c>
      <c r="BY222" s="330" t="s">
        <v>2152</v>
      </c>
      <c r="BZ222" s="330"/>
      <c r="CA222" s="330" t="s">
        <v>1018</v>
      </c>
      <c r="CB222" s="330"/>
      <c r="CC222" s="337" t="s">
        <v>744</v>
      </c>
      <c r="CD222" s="330"/>
      <c r="CE222" s="330" t="b">
        <v>1</v>
      </c>
      <c r="CF222" s="330"/>
      <c r="CG222" s="330"/>
      <c r="CH222" s="330"/>
      <c r="CI222" s="330"/>
      <c r="CJ222" s="330"/>
      <c r="CK222" s="330"/>
      <c r="CL222" s="330" t="b">
        <v>1</v>
      </c>
      <c r="CM222" s="330" t="s">
        <v>745</v>
      </c>
      <c r="CN222" s="330"/>
      <c r="CO222" s="330"/>
      <c r="CP222" s="330"/>
      <c r="CQ222" s="330"/>
      <c r="CR222" s="330"/>
      <c r="CS222" s="330"/>
      <c r="CT222" s="330"/>
      <c r="CU222" s="330" t="b">
        <v>1</v>
      </c>
      <c r="CV222" s="330"/>
      <c r="CW222" s="330"/>
      <c r="CX222" s="330"/>
      <c r="CY222" s="330"/>
      <c r="CZ222" s="330"/>
      <c r="DA222" s="330"/>
      <c r="DB222" s="330"/>
      <c r="DC222" s="330"/>
      <c r="DD222" s="330"/>
      <c r="DE222" s="330"/>
      <c r="DF222" s="338">
        <v>24069</v>
      </c>
      <c r="DG222" s="330" t="s">
        <v>1019</v>
      </c>
      <c r="DH222" s="330"/>
      <c r="DI222" s="338" t="s">
        <v>952</v>
      </c>
      <c r="DJ222" s="330"/>
      <c r="DK222" s="330">
        <v>5</v>
      </c>
      <c r="DL222" s="330" t="s">
        <v>1835</v>
      </c>
      <c r="DM222" s="330"/>
      <c r="DN222" s="330"/>
      <c r="DO222" s="330"/>
      <c r="DP222" s="330"/>
      <c r="DQ222" s="338" t="s">
        <v>197</v>
      </c>
      <c r="DR222" s="330"/>
      <c r="DS222" s="330"/>
      <c r="DT222" s="330"/>
      <c r="DU222" s="338" t="s">
        <v>197</v>
      </c>
      <c r="DV222" s="330"/>
      <c r="DW222" s="330"/>
      <c r="DX222" s="330"/>
      <c r="DY222" s="338" t="s">
        <v>197</v>
      </c>
      <c r="DZ222" s="330"/>
      <c r="EA222" s="330"/>
      <c r="EB222" s="330"/>
      <c r="EC222" s="330" t="s">
        <v>197</v>
      </c>
      <c r="ED222" s="338" t="s">
        <v>197</v>
      </c>
      <c r="EE222" s="330">
        <v>1</v>
      </c>
      <c r="EF222" s="330">
        <v>2</v>
      </c>
      <c r="EG222" s="330"/>
      <c r="EH222" s="330"/>
      <c r="EI222" s="330"/>
      <c r="EJ222" s="330"/>
      <c r="EK222" s="330"/>
      <c r="EL222" s="330"/>
      <c r="EM222" s="330"/>
      <c r="EN222" s="330"/>
      <c r="EO222" s="330"/>
      <c r="EP222" s="330"/>
      <c r="EQ222" s="332" t="s">
        <v>198</v>
      </c>
      <c r="ER222" s="330"/>
      <c r="ES222" s="330"/>
      <c r="ET222" s="332" t="s">
        <v>89</v>
      </c>
      <c r="EU222" s="332" t="s">
        <v>1107</v>
      </c>
      <c r="EV222" s="336">
        <v>46104</v>
      </c>
      <c r="EW222" s="336">
        <v>46105</v>
      </c>
      <c r="EX222" s="330">
        <v>2</v>
      </c>
      <c r="EY222" s="330"/>
      <c r="EZ222" s="330" t="s">
        <v>201</v>
      </c>
      <c r="FA222" s="336">
        <v>46118</v>
      </c>
      <c r="FB222" s="330">
        <v>2</v>
      </c>
      <c r="FC222" s="330" t="s">
        <v>202</v>
      </c>
      <c r="FD222" s="332" t="s">
        <v>190</v>
      </c>
      <c r="FE222" s="336">
        <v>46119</v>
      </c>
      <c r="FF222" s="330"/>
      <c r="FG222" s="330" t="s">
        <v>203</v>
      </c>
      <c r="FH222" s="330" t="s">
        <v>2153</v>
      </c>
      <c r="FI222" s="330" t="s">
        <v>204</v>
      </c>
      <c r="FJ222" s="330"/>
      <c r="FK222" s="330" t="s">
        <v>610</v>
      </c>
      <c r="FL222" s="330" t="s">
        <v>741</v>
      </c>
      <c r="FM222" s="330" t="s">
        <v>202</v>
      </c>
      <c r="FN222" s="330" t="s">
        <v>2154</v>
      </c>
      <c r="FO222" s="330"/>
      <c r="FP222" s="330" t="s">
        <v>639</v>
      </c>
      <c r="FQ222" s="330"/>
      <c r="FR222" s="330"/>
      <c r="FS222" s="330"/>
      <c r="FT222" s="330"/>
      <c r="FU222" s="330"/>
    </row>
    <row r="223" spans="1:177" ht="63.75" x14ac:dyDescent="0.25">
      <c r="A223" s="330">
        <v>222</v>
      </c>
      <c r="B223" s="331" t="s">
        <v>2155</v>
      </c>
      <c r="C223" s="330"/>
      <c r="D223" s="332" t="s">
        <v>900</v>
      </c>
      <c r="E223" s="332" t="s">
        <v>901</v>
      </c>
      <c r="F223" s="332" t="s">
        <v>902</v>
      </c>
      <c r="G223" s="330" t="s">
        <v>903</v>
      </c>
      <c r="H223" s="331">
        <v>400</v>
      </c>
      <c r="I223" s="330"/>
      <c r="J223" s="332" t="s">
        <v>915</v>
      </c>
      <c r="K223" s="332" t="s">
        <v>2156</v>
      </c>
      <c r="L223" s="330" t="s">
        <v>284</v>
      </c>
      <c r="M223" s="332" t="s">
        <v>2157</v>
      </c>
      <c r="N223" s="330" t="s">
        <v>2158</v>
      </c>
      <c r="O223" s="333" t="s">
        <v>736</v>
      </c>
      <c r="P223" s="333">
        <v>549</v>
      </c>
      <c r="Q223" s="333"/>
      <c r="R223" s="333">
        <v>163</v>
      </c>
      <c r="S223" s="333">
        <v>189</v>
      </c>
      <c r="T223" s="333">
        <v>140</v>
      </c>
      <c r="U223" s="333">
        <v>1512</v>
      </c>
      <c r="V223" s="333">
        <v>1200</v>
      </c>
      <c r="W223" s="330">
        <v>99</v>
      </c>
      <c r="X223" s="330" t="s">
        <v>2159</v>
      </c>
      <c r="Y223" s="332" t="s">
        <v>922</v>
      </c>
      <c r="Z223" s="330" t="s">
        <v>215</v>
      </c>
      <c r="AA223" s="330" t="s">
        <v>923</v>
      </c>
      <c r="AB223" s="330" t="s">
        <v>217</v>
      </c>
      <c r="AC223" s="330"/>
      <c r="AD223" s="330" t="s">
        <v>924</v>
      </c>
      <c r="AE223" s="330">
        <v>48</v>
      </c>
      <c r="AF223" s="330">
        <v>4</v>
      </c>
      <c r="AG223" s="332" t="s">
        <v>190</v>
      </c>
      <c r="AH223" s="332" t="s">
        <v>191</v>
      </c>
      <c r="AI223" s="330" t="s">
        <v>191</v>
      </c>
      <c r="AJ223" s="330" t="s">
        <v>191</v>
      </c>
      <c r="AK223" s="330" t="s">
        <v>191</v>
      </c>
      <c r="AL223" s="330" t="s">
        <v>192</v>
      </c>
      <c r="AM223" s="330" t="s">
        <v>191</v>
      </c>
      <c r="AN223" s="330" t="s">
        <v>192</v>
      </c>
      <c r="AO223" s="330"/>
      <c r="AP223" s="332" t="s">
        <v>259</v>
      </c>
      <c r="AQ223" s="330"/>
      <c r="AR223" s="330"/>
      <c r="AS223" s="330" t="b">
        <v>1</v>
      </c>
      <c r="AT223" s="330"/>
      <c r="AU223" s="332" t="s">
        <v>554</v>
      </c>
      <c r="AV223" s="334">
        <v>46105.370497685188</v>
      </c>
      <c r="AW223" s="330" t="b">
        <v>1</v>
      </c>
      <c r="AX223" s="335">
        <v>46126</v>
      </c>
      <c r="AY223" s="336">
        <v>46115</v>
      </c>
      <c r="AZ223" s="330" t="b">
        <v>1</v>
      </c>
      <c r="BA223" s="336">
        <v>46133</v>
      </c>
      <c r="BB223" s="330"/>
      <c r="BC223" s="336">
        <v>46076</v>
      </c>
      <c r="BD223" s="330"/>
      <c r="BE223" s="336">
        <v>46076</v>
      </c>
      <c r="BF223" s="330"/>
      <c r="BG223" s="330"/>
      <c r="BH223" s="330" t="s">
        <v>193</v>
      </c>
      <c r="BI223" s="330">
        <v>275</v>
      </c>
      <c r="BJ223" s="330"/>
      <c r="BK223" s="330"/>
      <c r="BL223" s="330"/>
      <c r="BM223" s="332"/>
      <c r="BN223" s="330"/>
      <c r="BO223" s="330" t="s">
        <v>240</v>
      </c>
      <c r="BP223" s="330" t="s">
        <v>220</v>
      </c>
      <c r="BQ223" s="330" t="s">
        <v>909</v>
      </c>
      <c r="BR223" s="330" t="s">
        <v>193</v>
      </c>
      <c r="BS223" s="330" t="s">
        <v>925</v>
      </c>
      <c r="BT223" s="330" t="s">
        <v>193</v>
      </c>
      <c r="BU223" s="330" t="s">
        <v>926</v>
      </c>
      <c r="BV223" s="330" t="s">
        <v>193</v>
      </c>
      <c r="BW223" s="330" t="s">
        <v>908</v>
      </c>
      <c r="BX223" s="332"/>
      <c r="BY223" s="330"/>
      <c r="BZ223" s="330"/>
      <c r="CA223" s="330"/>
      <c r="CB223" s="330"/>
      <c r="CC223" s="337" t="s">
        <v>194</v>
      </c>
      <c r="CD223" s="330" t="b">
        <v>1</v>
      </c>
      <c r="CE223" s="330" t="b">
        <v>1</v>
      </c>
      <c r="CF223" s="330" t="b">
        <v>1</v>
      </c>
      <c r="CG223" s="330" t="s">
        <v>242</v>
      </c>
      <c r="CH223" s="330"/>
      <c r="CI223" s="330"/>
      <c r="CJ223" s="330"/>
      <c r="CK223" s="330"/>
      <c r="CL223" s="330"/>
      <c r="CM223" s="330"/>
      <c r="CN223" s="330"/>
      <c r="CO223" s="330"/>
      <c r="CP223" s="330"/>
      <c r="CQ223" s="330"/>
      <c r="CR223" s="330"/>
      <c r="CS223" s="330"/>
      <c r="CT223" s="330"/>
      <c r="CU223" s="330"/>
      <c r="CV223" s="330"/>
      <c r="CW223" s="330"/>
      <c r="CX223" s="330"/>
      <c r="CY223" s="330"/>
      <c r="CZ223" s="330"/>
      <c r="DA223" s="330"/>
      <c r="DB223" s="330" t="b">
        <v>1</v>
      </c>
      <c r="DC223" s="330" t="b">
        <v>1</v>
      </c>
      <c r="DD223" s="330"/>
      <c r="DE223" s="330"/>
      <c r="DF223" s="338">
        <v>24079</v>
      </c>
      <c r="DG223" s="330" t="s">
        <v>221</v>
      </c>
      <c r="DH223" s="330"/>
      <c r="DI223" s="338">
        <v>101.1</v>
      </c>
      <c r="DJ223" s="330"/>
      <c r="DK223" s="330">
        <v>101.1</v>
      </c>
      <c r="DL223" s="330" t="s">
        <v>912</v>
      </c>
      <c r="DM223" s="330"/>
      <c r="DN223" s="330"/>
      <c r="DO223" s="330"/>
      <c r="DP223" s="330"/>
      <c r="DQ223" s="338" t="s">
        <v>197</v>
      </c>
      <c r="DR223" s="330"/>
      <c r="DS223" s="330"/>
      <c r="DT223" s="330"/>
      <c r="DU223" s="338" t="s">
        <v>197</v>
      </c>
      <c r="DV223" s="330"/>
      <c r="DW223" s="330"/>
      <c r="DX223" s="330"/>
      <c r="DY223" s="338" t="s">
        <v>197</v>
      </c>
      <c r="DZ223" s="330"/>
      <c r="EA223" s="330"/>
      <c r="EB223" s="330"/>
      <c r="EC223" s="330" t="s">
        <v>197</v>
      </c>
      <c r="ED223" s="338" t="s">
        <v>197</v>
      </c>
      <c r="EE223" s="330">
        <v>120</v>
      </c>
      <c r="EF223" s="330">
        <v>200</v>
      </c>
      <c r="EG223" s="330"/>
      <c r="EH223" s="330"/>
      <c r="EI223" s="330"/>
      <c r="EJ223" s="330"/>
      <c r="EK223" s="330"/>
      <c r="EL223" s="330"/>
      <c r="EM223" s="330"/>
      <c r="EN223" s="330"/>
      <c r="EO223" s="330"/>
      <c r="EP223" s="330"/>
      <c r="EQ223" s="332" t="s">
        <v>244</v>
      </c>
      <c r="ER223" s="330"/>
      <c r="ES223" s="330"/>
      <c r="ET223" s="332" t="s">
        <v>245</v>
      </c>
      <c r="EU223" s="332" t="s">
        <v>246</v>
      </c>
      <c r="EV223" s="336">
        <v>46114</v>
      </c>
      <c r="EW223" s="336">
        <v>46115</v>
      </c>
      <c r="EX223" s="330">
        <v>2</v>
      </c>
      <c r="EY223" s="330"/>
      <c r="EZ223" s="330" t="s">
        <v>201</v>
      </c>
      <c r="FA223" s="336">
        <v>46121</v>
      </c>
      <c r="FB223" s="330">
        <v>6</v>
      </c>
      <c r="FC223" s="330" t="s">
        <v>202</v>
      </c>
      <c r="FD223" s="332" t="s">
        <v>190</v>
      </c>
      <c r="FE223" s="336">
        <v>46128</v>
      </c>
      <c r="FF223" s="330"/>
      <c r="FG223" s="330" t="s">
        <v>203</v>
      </c>
      <c r="FH223" s="330" t="s">
        <v>1876</v>
      </c>
      <c r="FI223" s="330" t="s">
        <v>204</v>
      </c>
      <c r="FJ223" s="330"/>
      <c r="FK223" s="330" t="s">
        <v>902</v>
      </c>
      <c r="FL223" s="330" t="s">
        <v>192</v>
      </c>
      <c r="FM223" s="330" t="s">
        <v>191</v>
      </c>
      <c r="FN223" s="330" t="s">
        <v>2162</v>
      </c>
      <c r="FO223" s="330"/>
      <c r="FP223" s="330" t="s">
        <v>729</v>
      </c>
      <c r="FQ223" s="330"/>
      <c r="FR223" s="330"/>
      <c r="FS223" s="330"/>
      <c r="FT223" s="330"/>
      <c r="FU223" s="330"/>
    </row>
    <row r="224" spans="1:177" ht="51" x14ac:dyDescent="0.25">
      <c r="A224" s="330">
        <v>223</v>
      </c>
      <c r="B224" s="331" t="s">
        <v>1867</v>
      </c>
      <c r="C224" s="330"/>
      <c r="D224" s="332" t="s">
        <v>1264</v>
      </c>
      <c r="E224" s="332" t="s">
        <v>1265</v>
      </c>
      <c r="F224" s="332" t="s">
        <v>795</v>
      </c>
      <c r="G224" s="330" t="s">
        <v>796</v>
      </c>
      <c r="H224" s="331" t="s">
        <v>731</v>
      </c>
      <c r="I224" s="330"/>
      <c r="J224" s="332" t="s">
        <v>2163</v>
      </c>
      <c r="K224" s="332" t="s">
        <v>2164</v>
      </c>
      <c r="L224" s="330" t="s">
        <v>2057</v>
      </c>
      <c r="M224" s="332"/>
      <c r="N224" s="330" t="s">
        <v>2165</v>
      </c>
      <c r="O224" s="339">
        <v>0.78048780487804903</v>
      </c>
      <c r="P224" s="333">
        <v>128</v>
      </c>
      <c r="Q224" s="333">
        <v>164</v>
      </c>
      <c r="R224" s="333">
        <v>1</v>
      </c>
      <c r="S224" s="333">
        <v>1</v>
      </c>
      <c r="T224" s="333">
        <v>1</v>
      </c>
      <c r="U224" s="333">
        <v>0</v>
      </c>
      <c r="V224" s="333">
        <v>0</v>
      </c>
      <c r="W224" s="330">
        <v>1</v>
      </c>
      <c r="X224" s="330" t="s">
        <v>2166</v>
      </c>
      <c r="Y224" s="332" t="s">
        <v>2167</v>
      </c>
      <c r="Z224" s="330" t="s">
        <v>739</v>
      </c>
      <c r="AA224" s="330" t="s">
        <v>2168</v>
      </c>
      <c r="AB224" s="330" t="s">
        <v>189</v>
      </c>
      <c r="AC224" s="330"/>
      <c r="AD224" s="330"/>
      <c r="AE224" s="330">
        <v>6</v>
      </c>
      <c r="AF224" s="330">
        <v>3</v>
      </c>
      <c r="AG224" s="332" t="s">
        <v>1664</v>
      </c>
      <c r="AH224" s="332" t="s">
        <v>202</v>
      </c>
      <c r="AI224" s="330"/>
      <c r="AJ224" s="330"/>
      <c r="AK224" s="330"/>
      <c r="AL224" s="330" t="s">
        <v>742</v>
      </c>
      <c r="AM224" s="330" t="s">
        <v>202</v>
      </c>
      <c r="AN224" s="330" t="s">
        <v>742</v>
      </c>
      <c r="AO224" s="330"/>
      <c r="AP224" s="332"/>
      <c r="AQ224" s="330" t="s">
        <v>334</v>
      </c>
      <c r="AR224" s="330"/>
      <c r="AS224" s="330" t="b">
        <v>1</v>
      </c>
      <c r="AT224" s="330"/>
      <c r="AU224" s="332" t="s">
        <v>742</v>
      </c>
      <c r="AV224" s="334">
        <v>46105.470113217591</v>
      </c>
      <c r="AW224" s="330" t="b">
        <v>1</v>
      </c>
      <c r="AX224" s="335">
        <v>46126</v>
      </c>
      <c r="AY224" s="336">
        <v>46114</v>
      </c>
      <c r="AZ224" s="330" t="b">
        <v>1</v>
      </c>
      <c r="BA224" s="336">
        <v>46132</v>
      </c>
      <c r="BB224" s="330"/>
      <c r="BC224" s="336">
        <v>46108</v>
      </c>
      <c r="BD224" s="330"/>
      <c r="BE224" s="330"/>
      <c r="BF224" s="330"/>
      <c r="BG224" s="330"/>
      <c r="BH224" s="330" t="s">
        <v>193</v>
      </c>
      <c r="BI224" s="330"/>
      <c r="BJ224" s="336">
        <v>46107</v>
      </c>
      <c r="BK224" s="330"/>
      <c r="BL224" s="330"/>
      <c r="BM224" s="332"/>
      <c r="BN224" s="330"/>
      <c r="BO224" s="330" t="s">
        <v>184</v>
      </c>
      <c r="BP224" s="330" t="s">
        <v>184</v>
      </c>
      <c r="BQ224" s="330" t="s">
        <v>801</v>
      </c>
      <c r="BR224" s="330" t="s">
        <v>220</v>
      </c>
      <c r="BS224" s="330"/>
      <c r="BT224" s="330" t="s">
        <v>220</v>
      </c>
      <c r="BU224" s="330"/>
      <c r="BV224" s="330" t="s">
        <v>220</v>
      </c>
      <c r="BW224" s="330"/>
      <c r="BX224" s="332"/>
      <c r="BY224" s="330"/>
      <c r="BZ224" s="330"/>
      <c r="CA224" s="330"/>
      <c r="CB224" s="330"/>
      <c r="CC224" s="337" t="s">
        <v>776</v>
      </c>
      <c r="CD224" s="330"/>
      <c r="CE224" s="330" t="b">
        <v>1</v>
      </c>
      <c r="CF224" s="330"/>
      <c r="CG224" s="330"/>
      <c r="CH224" s="330"/>
      <c r="CI224" s="330" t="b">
        <v>1</v>
      </c>
      <c r="CJ224" s="330"/>
      <c r="CK224" s="330" t="s">
        <v>776</v>
      </c>
      <c r="CL224" s="330"/>
      <c r="CM224" s="330"/>
      <c r="CN224" s="330"/>
      <c r="CO224" s="330"/>
      <c r="CP224" s="330"/>
      <c r="CQ224" s="330"/>
      <c r="CR224" s="330"/>
      <c r="CS224" s="330"/>
      <c r="CT224" s="330"/>
      <c r="CU224" s="330"/>
      <c r="CV224" s="330"/>
      <c r="CW224" s="330"/>
      <c r="CX224" s="330"/>
      <c r="CY224" s="330"/>
      <c r="CZ224" s="330"/>
      <c r="DA224" s="330"/>
      <c r="DB224" s="330"/>
      <c r="DC224" s="330"/>
      <c r="DD224" s="330"/>
      <c r="DE224" s="330"/>
      <c r="DF224" s="338">
        <v>25029</v>
      </c>
      <c r="DG224" s="330" t="s">
        <v>821</v>
      </c>
      <c r="DH224" s="330"/>
      <c r="DI224" s="338">
        <v>10</v>
      </c>
      <c r="DJ224" s="330"/>
      <c r="DK224" s="330">
        <v>10</v>
      </c>
      <c r="DL224" s="330" t="s">
        <v>1867</v>
      </c>
      <c r="DM224" s="330"/>
      <c r="DN224" s="330"/>
      <c r="DO224" s="330"/>
      <c r="DP224" s="330"/>
      <c r="DQ224" s="338" t="s">
        <v>197</v>
      </c>
      <c r="DR224" s="330"/>
      <c r="DS224" s="330"/>
      <c r="DT224" s="330"/>
      <c r="DU224" s="338" t="s">
        <v>197</v>
      </c>
      <c r="DV224" s="330"/>
      <c r="DW224" s="330"/>
      <c r="DX224" s="330"/>
      <c r="DY224" s="338" t="s">
        <v>197</v>
      </c>
      <c r="DZ224" s="330"/>
      <c r="EA224" s="330"/>
      <c r="EB224" s="330"/>
      <c r="EC224" s="330" t="s">
        <v>197</v>
      </c>
      <c r="ED224" s="338" t="s">
        <v>197</v>
      </c>
      <c r="EE224" s="330">
        <v>2</v>
      </c>
      <c r="EF224" s="330">
        <v>2</v>
      </c>
      <c r="EG224" s="330"/>
      <c r="EH224" s="330"/>
      <c r="EI224" s="330"/>
      <c r="EJ224" s="330"/>
      <c r="EK224" s="330"/>
      <c r="EL224" s="330"/>
      <c r="EM224" s="330"/>
      <c r="EN224" s="330"/>
      <c r="EO224" s="330"/>
      <c r="EP224" s="330"/>
      <c r="EQ224" s="332" t="s">
        <v>244</v>
      </c>
      <c r="ER224" s="330"/>
      <c r="ES224" s="330"/>
      <c r="ET224" s="332" t="s">
        <v>86</v>
      </c>
      <c r="EU224" s="332" t="s">
        <v>776</v>
      </c>
      <c r="EV224" s="336">
        <v>46114</v>
      </c>
      <c r="EW224" s="336">
        <v>46114</v>
      </c>
      <c r="EX224" s="330">
        <v>1</v>
      </c>
      <c r="EY224" s="330"/>
      <c r="EZ224" s="330" t="s">
        <v>247</v>
      </c>
      <c r="FA224" s="330"/>
      <c r="FB224" s="330" t="s">
        <v>247</v>
      </c>
      <c r="FC224" s="330" t="s">
        <v>202</v>
      </c>
      <c r="FD224" s="332" t="s">
        <v>190</v>
      </c>
      <c r="FE224" s="330"/>
      <c r="FF224" s="330"/>
      <c r="FG224" s="330" t="s">
        <v>203</v>
      </c>
      <c r="FH224" s="330" t="s">
        <v>2169</v>
      </c>
      <c r="FI224" s="330" t="s">
        <v>204</v>
      </c>
      <c r="FJ224" s="330"/>
      <c r="FK224" s="330" t="s">
        <v>795</v>
      </c>
      <c r="FL224" s="330" t="s">
        <v>742</v>
      </c>
      <c r="FM224" s="330" t="s">
        <v>202</v>
      </c>
      <c r="FN224" s="330" t="s">
        <v>2170</v>
      </c>
      <c r="FO224" s="330"/>
      <c r="FP224" s="330" t="s">
        <v>756</v>
      </c>
      <c r="FQ224" s="330"/>
      <c r="FR224" s="330"/>
      <c r="FS224" s="330"/>
      <c r="FT224" s="330"/>
      <c r="FU224" s="330"/>
    </row>
    <row r="225" spans="1:177" ht="63.75" x14ac:dyDescent="0.25">
      <c r="A225" s="330">
        <v>224</v>
      </c>
      <c r="B225" s="331" t="s">
        <v>1856</v>
      </c>
      <c r="C225" s="330"/>
      <c r="D225" s="332" t="s">
        <v>854</v>
      </c>
      <c r="E225" s="332" t="s">
        <v>855</v>
      </c>
      <c r="F225" s="332" t="s">
        <v>795</v>
      </c>
      <c r="G225" s="330" t="s">
        <v>796</v>
      </c>
      <c r="H225" s="331">
        <v>400</v>
      </c>
      <c r="I225" s="330"/>
      <c r="J225" s="332" t="s">
        <v>2171</v>
      </c>
      <c r="K225" s="332" t="s">
        <v>2171</v>
      </c>
      <c r="L225" s="330" t="s">
        <v>2113</v>
      </c>
      <c r="M225" s="332" t="s">
        <v>1849</v>
      </c>
      <c r="N225" s="330" t="s">
        <v>2172</v>
      </c>
      <c r="O225" s="339">
        <v>1.8679245283018899</v>
      </c>
      <c r="P225" s="333">
        <v>99</v>
      </c>
      <c r="Q225" s="333">
        <v>53</v>
      </c>
      <c r="R225" s="333">
        <v>1</v>
      </c>
      <c r="S225" s="333">
        <v>3</v>
      </c>
      <c r="T225" s="333">
        <v>2</v>
      </c>
      <c r="U225" s="333">
        <v>12</v>
      </c>
      <c r="V225" s="333">
        <v>14</v>
      </c>
      <c r="W225" s="330">
        <v>1</v>
      </c>
      <c r="X225" s="330" t="s">
        <v>2173</v>
      </c>
      <c r="Y225" s="332"/>
      <c r="Z225" s="330" t="s">
        <v>215</v>
      </c>
      <c r="AA225" s="330" t="s">
        <v>2174</v>
      </c>
      <c r="AB225" s="330" t="s">
        <v>189</v>
      </c>
      <c r="AC225" s="330"/>
      <c r="AD225" s="330"/>
      <c r="AE225" s="330">
        <v>3</v>
      </c>
      <c r="AF225" s="330">
        <v>-4</v>
      </c>
      <c r="AG225" s="332" t="s">
        <v>315</v>
      </c>
      <c r="AH225" s="332" t="s">
        <v>202</v>
      </c>
      <c r="AI225" s="330"/>
      <c r="AJ225" s="330"/>
      <c r="AK225" s="330"/>
      <c r="AL225" s="330" t="s">
        <v>471</v>
      </c>
      <c r="AM225" s="330"/>
      <c r="AN225" s="330"/>
      <c r="AO225" s="330"/>
      <c r="AP225" s="332" t="s">
        <v>259</v>
      </c>
      <c r="AQ225" s="330"/>
      <c r="AR225" s="330"/>
      <c r="AS225" s="330" t="b">
        <v>1</v>
      </c>
      <c r="AT225" s="330"/>
      <c r="AU225" s="332" t="s">
        <v>471</v>
      </c>
      <c r="AV225" s="334">
        <v>46105.528923217593</v>
      </c>
      <c r="AW225" s="330" t="b">
        <v>1</v>
      </c>
      <c r="AX225" s="335">
        <v>46126</v>
      </c>
      <c r="AY225" s="336">
        <v>46106</v>
      </c>
      <c r="AZ225" s="330"/>
      <c r="BA225" s="336">
        <v>46125</v>
      </c>
      <c r="BB225" s="330"/>
      <c r="BC225" s="336">
        <v>46127</v>
      </c>
      <c r="BD225" s="330"/>
      <c r="BE225" s="330"/>
      <c r="BF225" s="330"/>
      <c r="BG225" s="330"/>
      <c r="BH225" s="330" t="s">
        <v>193</v>
      </c>
      <c r="BI225" s="330">
        <v>2</v>
      </c>
      <c r="BJ225" s="330"/>
      <c r="BK225" s="330"/>
      <c r="BL225" s="330"/>
      <c r="BM225" s="332"/>
      <c r="BN225" s="330"/>
      <c r="BO225" s="330" t="s">
        <v>240</v>
      </c>
      <c r="BP225" s="330" t="s">
        <v>193</v>
      </c>
      <c r="BQ225" s="330" t="s">
        <v>218</v>
      </c>
      <c r="BR225" s="330" t="s">
        <v>220</v>
      </c>
      <c r="BS225" s="330"/>
      <c r="BT225" s="330" t="s">
        <v>220</v>
      </c>
      <c r="BU225" s="330"/>
      <c r="BV225" s="330" t="s">
        <v>220</v>
      </c>
      <c r="BW225" s="330"/>
      <c r="BX225" s="332" t="s">
        <v>2175</v>
      </c>
      <c r="BY225" s="330" t="s">
        <v>2176</v>
      </c>
      <c r="BZ225" s="330"/>
      <c r="CA225" s="330"/>
      <c r="CB225" s="330"/>
      <c r="CC225" s="337" t="s">
        <v>319</v>
      </c>
      <c r="CD225" s="330"/>
      <c r="CE225" s="330" t="b">
        <v>1</v>
      </c>
      <c r="CF225" s="330" t="b">
        <v>1</v>
      </c>
      <c r="CG225" s="330" t="s">
        <v>242</v>
      </c>
      <c r="CH225" s="330"/>
      <c r="CI225" s="330"/>
      <c r="CJ225" s="330"/>
      <c r="CK225" s="330"/>
      <c r="CL225" s="330"/>
      <c r="CM225" s="330"/>
      <c r="CN225" s="330" t="b">
        <v>1</v>
      </c>
      <c r="CO225" s="330"/>
      <c r="CP225" s="330"/>
      <c r="CQ225" s="330"/>
      <c r="CR225" s="330"/>
      <c r="CS225" s="330"/>
      <c r="CT225" s="330"/>
      <c r="CU225" s="330"/>
      <c r="CV225" s="330"/>
      <c r="CW225" s="330"/>
      <c r="CX225" s="330"/>
      <c r="CY225" s="330"/>
      <c r="CZ225" s="330"/>
      <c r="DA225" s="330"/>
      <c r="DB225" s="330" t="b">
        <v>1</v>
      </c>
      <c r="DC225" s="330" t="b">
        <v>1</v>
      </c>
      <c r="DD225" s="330"/>
      <c r="DE225" s="330"/>
      <c r="DF225" s="338">
        <v>25017</v>
      </c>
      <c r="DG225" s="330" t="s">
        <v>1541</v>
      </c>
      <c r="DH225" s="330"/>
      <c r="DI225" s="338" t="s">
        <v>638</v>
      </c>
      <c r="DJ225" s="330"/>
      <c r="DK225" s="330">
        <v>2</v>
      </c>
      <c r="DL225" s="330" t="s">
        <v>1856</v>
      </c>
      <c r="DM225" s="330"/>
      <c r="DN225" s="330"/>
      <c r="DO225" s="330"/>
      <c r="DP225" s="330"/>
      <c r="DQ225" s="338" t="s">
        <v>197</v>
      </c>
      <c r="DR225" s="330"/>
      <c r="DS225" s="330"/>
      <c r="DT225" s="330"/>
      <c r="DU225" s="338" t="s">
        <v>197</v>
      </c>
      <c r="DV225" s="330"/>
      <c r="DW225" s="330"/>
      <c r="DX225" s="330"/>
      <c r="DY225" s="338" t="s">
        <v>197</v>
      </c>
      <c r="DZ225" s="330"/>
      <c r="EA225" s="330"/>
      <c r="EB225" s="330"/>
      <c r="EC225" s="330" t="s">
        <v>197</v>
      </c>
      <c r="ED225" s="338" t="s">
        <v>197</v>
      </c>
      <c r="EE225" s="330">
        <v>1</v>
      </c>
      <c r="EF225" s="330">
        <v>3</v>
      </c>
      <c r="EG225" s="330"/>
      <c r="EH225" s="330"/>
      <c r="EI225" s="330"/>
      <c r="EJ225" s="330"/>
      <c r="EK225" s="330"/>
      <c r="EL225" s="330"/>
      <c r="EM225" s="330"/>
      <c r="EN225" s="330"/>
      <c r="EO225" s="330"/>
      <c r="EP225" s="330"/>
      <c r="EQ225" s="332" t="s">
        <v>244</v>
      </c>
      <c r="ER225" s="330"/>
      <c r="ES225" s="330"/>
      <c r="ET225" s="332" t="s">
        <v>245</v>
      </c>
      <c r="EU225" s="332" t="s">
        <v>1327</v>
      </c>
      <c r="EV225" s="336">
        <v>46106</v>
      </c>
      <c r="EW225" s="336">
        <v>46106</v>
      </c>
      <c r="EX225" s="330">
        <v>1</v>
      </c>
      <c r="EY225" s="330"/>
      <c r="EZ225" s="330" t="s">
        <v>247</v>
      </c>
      <c r="FA225" s="330"/>
      <c r="FB225" s="330" t="s">
        <v>247</v>
      </c>
      <c r="FC225" s="330" t="s">
        <v>202</v>
      </c>
      <c r="FD225" s="332" t="s">
        <v>190</v>
      </c>
      <c r="FE225" s="330"/>
      <c r="FF225" s="330"/>
      <c r="FG225" s="330" t="s">
        <v>203</v>
      </c>
      <c r="FH225" s="330" t="s">
        <v>2119</v>
      </c>
      <c r="FI225" s="330" t="s">
        <v>204</v>
      </c>
      <c r="FJ225" s="330"/>
      <c r="FK225" s="330" t="s">
        <v>795</v>
      </c>
      <c r="FL225" s="330" t="s">
        <v>471</v>
      </c>
      <c r="FM225" s="330"/>
      <c r="FN225" s="330" t="s">
        <v>2177</v>
      </c>
      <c r="FO225" s="330"/>
      <c r="FP225" s="330" t="s">
        <v>639</v>
      </c>
      <c r="FQ225" s="330"/>
      <c r="FR225" s="330"/>
      <c r="FS225" s="330"/>
      <c r="FT225" s="330"/>
      <c r="FU225" s="330"/>
    </row>
    <row r="226" spans="1:177" ht="63.75" x14ac:dyDescent="0.25">
      <c r="A226" s="330">
        <v>225</v>
      </c>
      <c r="B226" s="331" t="s">
        <v>2178</v>
      </c>
      <c r="C226" s="330"/>
      <c r="D226" s="332" t="s">
        <v>1264</v>
      </c>
      <c r="E226" s="332" t="s">
        <v>1265</v>
      </c>
      <c r="F226" s="332" t="s">
        <v>795</v>
      </c>
      <c r="G226" s="330" t="s">
        <v>796</v>
      </c>
      <c r="H226" s="331" t="s">
        <v>2179</v>
      </c>
      <c r="I226" s="330"/>
      <c r="J226" s="332" t="s">
        <v>2180</v>
      </c>
      <c r="K226" s="332" t="s">
        <v>2181</v>
      </c>
      <c r="L226" s="330" t="s">
        <v>1380</v>
      </c>
      <c r="M226" s="332"/>
      <c r="N226" s="330"/>
      <c r="O226" s="333"/>
      <c r="P226" s="333"/>
      <c r="Q226" s="333">
        <v>164</v>
      </c>
      <c r="R226" s="333">
        <v>8</v>
      </c>
      <c r="S226" s="333">
        <v>4</v>
      </c>
      <c r="T226" s="333">
        <v>4</v>
      </c>
      <c r="U226" s="333">
        <v>0</v>
      </c>
      <c r="V226" s="333">
        <v>0</v>
      </c>
      <c r="W226" s="330"/>
      <c r="X226" s="330"/>
      <c r="Y226" s="332" t="s">
        <v>2182</v>
      </c>
      <c r="Z226" s="330" t="s">
        <v>739</v>
      </c>
      <c r="AA226" s="330" t="s">
        <v>2183</v>
      </c>
      <c r="AB226" s="330" t="s">
        <v>189</v>
      </c>
      <c r="AC226" s="330"/>
      <c r="AD226" s="330"/>
      <c r="AE226" s="330">
        <v>1</v>
      </c>
      <c r="AF226" s="330">
        <v>3</v>
      </c>
      <c r="AG226" s="332" t="s">
        <v>742</v>
      </c>
      <c r="AH226" s="332" t="s">
        <v>202</v>
      </c>
      <c r="AI226" s="330" t="s">
        <v>202</v>
      </c>
      <c r="AJ226" s="330"/>
      <c r="AK226" s="330"/>
      <c r="AL226" s="330" t="s">
        <v>742</v>
      </c>
      <c r="AM226" s="330" t="s">
        <v>202</v>
      </c>
      <c r="AN226" s="330" t="s">
        <v>742</v>
      </c>
      <c r="AO226" s="330"/>
      <c r="AP226" s="332"/>
      <c r="AQ226" s="330"/>
      <c r="AR226" s="330" t="s">
        <v>334</v>
      </c>
      <c r="AS226" s="330"/>
      <c r="AT226" s="330"/>
      <c r="AU226" s="332" t="s">
        <v>742</v>
      </c>
      <c r="AV226" s="334">
        <v>46105.546635810184</v>
      </c>
      <c r="AW226" s="330"/>
      <c r="AX226" s="335">
        <v>46132</v>
      </c>
      <c r="AY226" s="330"/>
      <c r="AZ226" s="330"/>
      <c r="BA226" s="330"/>
      <c r="BB226" s="330"/>
      <c r="BC226" s="336">
        <v>46153</v>
      </c>
      <c r="BD226" s="330"/>
      <c r="BE226" s="330"/>
      <c r="BF226" s="330"/>
      <c r="BG226" s="330"/>
      <c r="BH226" s="330" t="s">
        <v>220</v>
      </c>
      <c r="BI226" s="330">
        <v>9</v>
      </c>
      <c r="BJ226" s="336">
        <v>46111</v>
      </c>
      <c r="BK226" s="330"/>
      <c r="BL226" s="330"/>
      <c r="BM226" s="332"/>
      <c r="BN226" s="330"/>
      <c r="BO226" s="330" t="s">
        <v>184</v>
      </c>
      <c r="BP226" s="330" t="s">
        <v>184</v>
      </c>
      <c r="BQ226" s="330" t="s">
        <v>909</v>
      </c>
      <c r="BR226" s="330" t="s">
        <v>220</v>
      </c>
      <c r="BS226" s="330"/>
      <c r="BT226" s="330" t="s">
        <v>220</v>
      </c>
      <c r="BU226" s="330"/>
      <c r="BV226" s="330" t="s">
        <v>193</v>
      </c>
      <c r="BW226" s="330" t="s">
        <v>2184</v>
      </c>
      <c r="BX226" s="332"/>
      <c r="BY226" s="330"/>
      <c r="BZ226" s="330"/>
      <c r="CA226" s="330"/>
      <c r="CB226" s="330"/>
      <c r="CC226" s="337" t="s">
        <v>1325</v>
      </c>
      <c r="CD226" s="330"/>
      <c r="CE226" s="330" t="b">
        <v>1</v>
      </c>
      <c r="CF226" s="330"/>
      <c r="CG226" s="330"/>
      <c r="CH226" s="330"/>
      <c r="CI226" s="330"/>
      <c r="CJ226" s="330"/>
      <c r="CK226" s="330"/>
      <c r="CL226" s="330" t="b">
        <v>1</v>
      </c>
      <c r="CM226" s="330"/>
      <c r="CN226" s="330"/>
      <c r="CO226" s="330"/>
      <c r="CP226" s="330"/>
      <c r="CQ226" s="330"/>
      <c r="CR226" s="330"/>
      <c r="CS226" s="330"/>
      <c r="CT226" s="330"/>
      <c r="CU226" s="330" t="b">
        <v>1</v>
      </c>
      <c r="CV226" s="330"/>
      <c r="CW226" s="330"/>
      <c r="CX226" s="330"/>
      <c r="CY226" s="330"/>
      <c r="CZ226" s="330"/>
      <c r="DA226" s="330"/>
      <c r="DB226" s="330"/>
      <c r="DC226" s="330"/>
      <c r="DD226" s="330"/>
      <c r="DE226" s="330"/>
      <c r="DF226" s="338">
        <v>25029</v>
      </c>
      <c r="DG226" s="330" t="s">
        <v>221</v>
      </c>
      <c r="DH226" s="330"/>
      <c r="DI226" s="338">
        <v>50</v>
      </c>
      <c r="DJ226" s="330"/>
      <c r="DK226" s="330">
        <v>50</v>
      </c>
      <c r="DL226" s="330" t="s">
        <v>2178</v>
      </c>
      <c r="DM226" s="330"/>
      <c r="DN226" s="330"/>
      <c r="DO226" s="330"/>
      <c r="DP226" s="330"/>
      <c r="DQ226" s="338" t="s">
        <v>197</v>
      </c>
      <c r="DR226" s="330"/>
      <c r="DS226" s="330"/>
      <c r="DT226" s="330"/>
      <c r="DU226" s="338" t="s">
        <v>197</v>
      </c>
      <c r="DV226" s="330"/>
      <c r="DW226" s="330"/>
      <c r="DX226" s="330"/>
      <c r="DY226" s="338" t="s">
        <v>197</v>
      </c>
      <c r="DZ226" s="330"/>
      <c r="EA226" s="330"/>
      <c r="EB226" s="330"/>
      <c r="EC226" s="330" t="s">
        <v>197</v>
      </c>
      <c r="ED226" s="338" t="s">
        <v>197</v>
      </c>
      <c r="EE226" s="330">
        <v>8</v>
      </c>
      <c r="EF226" s="330">
        <v>16</v>
      </c>
      <c r="EG226" s="330"/>
      <c r="EH226" s="330"/>
      <c r="EI226" s="330"/>
      <c r="EJ226" s="330"/>
      <c r="EK226" s="330"/>
      <c r="EL226" s="330"/>
      <c r="EM226" s="330"/>
      <c r="EN226" s="330"/>
      <c r="EO226" s="330"/>
      <c r="EP226" s="330"/>
      <c r="EQ226" s="332" t="s">
        <v>244</v>
      </c>
      <c r="ER226" s="330"/>
      <c r="ES226" s="330"/>
      <c r="ET226" s="332" t="s">
        <v>89</v>
      </c>
      <c r="EU226" s="332" t="s">
        <v>2185</v>
      </c>
      <c r="EV226" s="330"/>
      <c r="EW226" s="330"/>
      <c r="EX226" s="330" t="s">
        <v>200</v>
      </c>
      <c r="EY226" s="330"/>
      <c r="EZ226" s="330" t="s">
        <v>247</v>
      </c>
      <c r="FA226" s="330"/>
      <c r="FB226" s="330" t="s">
        <v>247</v>
      </c>
      <c r="FC226" s="330" t="s">
        <v>202</v>
      </c>
      <c r="FD226" s="332" t="s">
        <v>190</v>
      </c>
      <c r="FE226" s="330"/>
      <c r="FF226" s="330"/>
      <c r="FG226" s="330" t="s">
        <v>203</v>
      </c>
      <c r="FH226" s="330" t="s">
        <v>4105</v>
      </c>
      <c r="FI226" s="330" t="s">
        <v>204</v>
      </c>
      <c r="FJ226" s="330"/>
      <c r="FK226" s="330" t="s">
        <v>795</v>
      </c>
      <c r="FL226" s="330" t="s">
        <v>742</v>
      </c>
      <c r="FM226" s="330" t="s">
        <v>202</v>
      </c>
      <c r="FN226" s="330" t="s">
        <v>2186</v>
      </c>
      <c r="FO226" s="330"/>
      <c r="FP226" s="330" t="s">
        <v>1958</v>
      </c>
      <c r="FQ226" s="330"/>
      <c r="FR226" s="330"/>
      <c r="FS226" s="330"/>
      <c r="FT226" s="330"/>
      <c r="FU226" s="330"/>
    </row>
    <row r="227" spans="1:177" ht="114.75" x14ac:dyDescent="0.25">
      <c r="A227" s="330">
        <v>226</v>
      </c>
      <c r="B227" s="331" t="s">
        <v>1791</v>
      </c>
      <c r="C227" s="330"/>
      <c r="D227" s="332" t="s">
        <v>1778</v>
      </c>
      <c r="E227" s="332" t="s">
        <v>1779</v>
      </c>
      <c r="F227" s="332" t="s">
        <v>1780</v>
      </c>
      <c r="G227" s="330"/>
      <c r="H227" s="331">
        <v>400</v>
      </c>
      <c r="I227" s="330"/>
      <c r="J227" s="332" t="s">
        <v>2187</v>
      </c>
      <c r="K227" s="332" t="s">
        <v>2188</v>
      </c>
      <c r="L227" s="330" t="s">
        <v>284</v>
      </c>
      <c r="M227" s="332" t="s">
        <v>2189</v>
      </c>
      <c r="N227" s="330" t="s">
        <v>2190</v>
      </c>
      <c r="O227" s="339">
        <v>1.50655737704918</v>
      </c>
      <c r="P227" s="333">
        <v>919</v>
      </c>
      <c r="Q227" s="333">
        <v>610</v>
      </c>
      <c r="R227" s="333">
        <v>76</v>
      </c>
      <c r="S227" s="333">
        <v>77</v>
      </c>
      <c r="T227" s="333">
        <v>43</v>
      </c>
      <c r="U227" s="333">
        <v>621</v>
      </c>
      <c r="V227" s="333">
        <v>762</v>
      </c>
      <c r="W227" s="330" t="s">
        <v>2191</v>
      </c>
      <c r="X227" s="330" t="s">
        <v>2192</v>
      </c>
      <c r="Y227" s="332" t="s">
        <v>2193</v>
      </c>
      <c r="Z227" s="330" t="s">
        <v>215</v>
      </c>
      <c r="AA227" s="330" t="s">
        <v>2194</v>
      </c>
      <c r="AB227" s="330" t="s">
        <v>217</v>
      </c>
      <c r="AC227" s="330"/>
      <c r="AD227" s="330"/>
      <c r="AE227" s="330">
        <v>4</v>
      </c>
      <c r="AF227" s="330">
        <v>9</v>
      </c>
      <c r="AG227" s="332" t="s">
        <v>2160</v>
      </c>
      <c r="AH227" s="332" t="s">
        <v>191</v>
      </c>
      <c r="AI227" s="330"/>
      <c r="AJ227" s="330" t="s">
        <v>471</v>
      </c>
      <c r="AK227" s="330"/>
      <c r="AL227" s="330" t="s">
        <v>471</v>
      </c>
      <c r="AM227" s="330" t="s">
        <v>191</v>
      </c>
      <c r="AN227" s="330" t="s">
        <v>471</v>
      </c>
      <c r="AO227" s="330"/>
      <c r="AP227" s="332" t="s">
        <v>259</v>
      </c>
      <c r="AQ227" s="330"/>
      <c r="AR227" s="330"/>
      <c r="AS227" s="330" t="b">
        <v>1</v>
      </c>
      <c r="AT227" s="330"/>
      <c r="AU227" s="332" t="s">
        <v>471</v>
      </c>
      <c r="AV227" s="334">
        <v>46105.554307071761</v>
      </c>
      <c r="AW227" s="330" t="b">
        <v>1</v>
      </c>
      <c r="AX227" s="335">
        <v>46126</v>
      </c>
      <c r="AY227" s="336">
        <v>46122</v>
      </c>
      <c r="AZ227" s="330" t="b">
        <v>1</v>
      </c>
      <c r="BA227" s="336">
        <v>46140</v>
      </c>
      <c r="BB227" s="330"/>
      <c r="BC227" s="336">
        <v>46136</v>
      </c>
      <c r="BD227" s="330"/>
      <c r="BE227" s="330"/>
      <c r="BF227" s="330"/>
      <c r="BG227" s="330"/>
      <c r="BH227" s="330" t="s">
        <v>193</v>
      </c>
      <c r="BI227" s="330">
        <v>19</v>
      </c>
      <c r="BJ227" s="330"/>
      <c r="BK227" s="330"/>
      <c r="BL227" s="330"/>
      <c r="BM227" s="332"/>
      <c r="BN227" s="330"/>
      <c r="BO227" s="330" t="s">
        <v>2195</v>
      </c>
      <c r="BP227" s="330" t="s">
        <v>193</v>
      </c>
      <c r="BQ227" s="330" t="s">
        <v>218</v>
      </c>
      <c r="BR227" s="330" t="s">
        <v>220</v>
      </c>
      <c r="BS227" s="330"/>
      <c r="BT227" s="330" t="s">
        <v>193</v>
      </c>
      <c r="BU227" s="330" t="s">
        <v>2196</v>
      </c>
      <c r="BV227" s="330" t="s">
        <v>193</v>
      </c>
      <c r="BW227" s="330" t="s">
        <v>1817</v>
      </c>
      <c r="BX227" s="332"/>
      <c r="BY227" s="330"/>
      <c r="BZ227" s="330"/>
      <c r="CA227" s="330"/>
      <c r="CB227" s="330"/>
      <c r="CC227" s="337" t="s">
        <v>2161</v>
      </c>
      <c r="CD227" s="330" t="b">
        <v>1</v>
      </c>
      <c r="CE227" s="330" t="b">
        <v>1</v>
      </c>
      <c r="CF227" s="330" t="b">
        <v>1</v>
      </c>
      <c r="CG227" s="330"/>
      <c r="CH227" s="330"/>
      <c r="CI227" s="330"/>
      <c r="CJ227" s="330"/>
      <c r="CK227" s="330"/>
      <c r="CL227" s="330"/>
      <c r="CM227" s="330"/>
      <c r="CN227" s="330"/>
      <c r="CO227" s="330"/>
      <c r="CP227" s="330"/>
      <c r="CQ227" s="330"/>
      <c r="CR227" s="330"/>
      <c r="CS227" s="330"/>
      <c r="CT227" s="330"/>
      <c r="CU227" s="330"/>
      <c r="CV227" s="330"/>
      <c r="CW227" s="330"/>
      <c r="CX227" s="330"/>
      <c r="CY227" s="330"/>
      <c r="CZ227" s="330"/>
      <c r="DA227" s="330"/>
      <c r="DB227" s="330" t="b">
        <v>1</v>
      </c>
      <c r="DC227" s="330" t="b">
        <v>1</v>
      </c>
      <c r="DD227" s="330"/>
      <c r="DE227" s="330"/>
      <c r="DF227" s="338">
        <v>25022</v>
      </c>
      <c r="DG227" s="330" t="s">
        <v>221</v>
      </c>
      <c r="DH227" s="330"/>
      <c r="DI227" s="338">
        <v>12</v>
      </c>
      <c r="DJ227" s="330"/>
      <c r="DK227" s="330">
        <v>12</v>
      </c>
      <c r="DL227" s="330" t="s">
        <v>1791</v>
      </c>
      <c r="DM227" s="330"/>
      <c r="DN227" s="330"/>
      <c r="DO227" s="330"/>
      <c r="DP227" s="330"/>
      <c r="DQ227" s="338" t="s">
        <v>197</v>
      </c>
      <c r="DR227" s="330"/>
      <c r="DS227" s="330"/>
      <c r="DT227" s="330"/>
      <c r="DU227" s="338" t="s">
        <v>197</v>
      </c>
      <c r="DV227" s="330"/>
      <c r="DW227" s="330"/>
      <c r="DX227" s="330"/>
      <c r="DY227" s="338" t="s">
        <v>197</v>
      </c>
      <c r="DZ227" s="330"/>
      <c r="EA227" s="330"/>
      <c r="EB227" s="330"/>
      <c r="EC227" s="330" t="s">
        <v>197</v>
      </c>
      <c r="ED227" s="338" t="s">
        <v>197</v>
      </c>
      <c r="EE227" s="330">
        <v>5</v>
      </c>
      <c r="EF227" s="330">
        <v>55</v>
      </c>
      <c r="EG227" s="330"/>
      <c r="EH227" s="330"/>
      <c r="EI227" s="330"/>
      <c r="EJ227" s="330"/>
      <c r="EK227" s="330"/>
      <c r="EL227" s="330"/>
      <c r="EM227" s="330"/>
      <c r="EN227" s="330"/>
      <c r="EO227" s="330"/>
      <c r="EP227" s="330"/>
      <c r="EQ227" s="332" t="s">
        <v>198</v>
      </c>
      <c r="ER227" s="330"/>
      <c r="ES227" s="330"/>
      <c r="ET227" s="332" t="s">
        <v>245</v>
      </c>
      <c r="EU227" s="332" t="s">
        <v>354</v>
      </c>
      <c r="EV227" s="336">
        <v>46122</v>
      </c>
      <c r="EW227" s="336">
        <v>46122</v>
      </c>
      <c r="EX227" s="330">
        <v>1</v>
      </c>
      <c r="EY227" s="330"/>
      <c r="EZ227" s="330" t="s">
        <v>201</v>
      </c>
      <c r="FA227" s="336">
        <v>46127</v>
      </c>
      <c r="FB227" s="330" t="s">
        <v>2486</v>
      </c>
      <c r="FC227" s="330" t="s">
        <v>202</v>
      </c>
      <c r="FD227" s="332" t="s">
        <v>190</v>
      </c>
      <c r="FE227" s="330"/>
      <c r="FF227" s="330"/>
      <c r="FG227" s="330" t="s">
        <v>203</v>
      </c>
      <c r="FH227" s="330" t="s">
        <v>631</v>
      </c>
      <c r="FI227" s="330" t="s">
        <v>204</v>
      </c>
      <c r="FJ227" s="330"/>
      <c r="FK227" s="330" t="s">
        <v>1780</v>
      </c>
      <c r="FL227" s="330" t="s">
        <v>471</v>
      </c>
      <c r="FM227" s="330" t="s">
        <v>191</v>
      </c>
      <c r="FN227" s="330" t="s">
        <v>2197</v>
      </c>
      <c r="FO227" s="330"/>
      <c r="FP227" s="330" t="s">
        <v>1330</v>
      </c>
      <c r="FQ227" s="330"/>
      <c r="FR227" s="330"/>
      <c r="FS227" s="330"/>
      <c r="FT227" s="330"/>
      <c r="FU227" s="330"/>
    </row>
    <row r="228" spans="1:177" ht="102" x14ac:dyDescent="0.25">
      <c r="A228" s="330">
        <v>227</v>
      </c>
      <c r="B228" s="331" t="s">
        <v>1358</v>
      </c>
      <c r="C228" s="330"/>
      <c r="D228" s="332" t="s">
        <v>900</v>
      </c>
      <c r="E228" s="332" t="s">
        <v>901</v>
      </c>
      <c r="F228" s="332" t="s">
        <v>902</v>
      </c>
      <c r="G228" s="330" t="s">
        <v>903</v>
      </c>
      <c r="H228" s="331"/>
      <c r="I228" s="330"/>
      <c r="J228" s="332" t="s">
        <v>2198</v>
      </c>
      <c r="K228" s="332" t="s">
        <v>2199</v>
      </c>
      <c r="L228" s="330" t="s">
        <v>1045</v>
      </c>
      <c r="M228" s="332" t="s">
        <v>2200</v>
      </c>
      <c r="N228" s="330" t="s">
        <v>2201</v>
      </c>
      <c r="O228" s="333" t="s">
        <v>184</v>
      </c>
      <c r="P228" s="333" t="s">
        <v>184</v>
      </c>
      <c r="Q228" s="333" t="s">
        <v>184</v>
      </c>
      <c r="R228" s="333">
        <v>0</v>
      </c>
      <c r="S228" s="333">
        <v>146</v>
      </c>
      <c r="T228" s="333">
        <v>2</v>
      </c>
      <c r="U228" s="333">
        <v>0</v>
      </c>
      <c r="V228" s="333">
        <v>0</v>
      </c>
      <c r="W228" s="330" t="s">
        <v>2202</v>
      </c>
      <c r="X228" s="330" t="s">
        <v>213</v>
      </c>
      <c r="Y228" s="332" t="s">
        <v>2203</v>
      </c>
      <c r="Z228" s="330" t="s">
        <v>739</v>
      </c>
      <c r="AA228" s="330" t="s">
        <v>2204</v>
      </c>
      <c r="AB228" s="330" t="s">
        <v>217</v>
      </c>
      <c r="AC228" s="330"/>
      <c r="AD228" s="330"/>
      <c r="AE228" s="330">
        <v>38</v>
      </c>
      <c r="AF228" s="330">
        <v>-7</v>
      </c>
      <c r="AG228" s="332" t="s">
        <v>190</v>
      </c>
      <c r="AH228" s="332" t="s">
        <v>191</v>
      </c>
      <c r="AI228" s="330"/>
      <c r="AJ228" s="330"/>
      <c r="AK228" s="330"/>
      <c r="AL228" s="330" t="s">
        <v>191</v>
      </c>
      <c r="AM228" s="330"/>
      <c r="AN228" s="330"/>
      <c r="AO228" s="330"/>
      <c r="AP228" s="332"/>
      <c r="AQ228" s="330"/>
      <c r="AR228" s="330"/>
      <c r="AS228" s="330"/>
      <c r="AT228" s="330"/>
      <c r="AU228" s="332" t="s">
        <v>191</v>
      </c>
      <c r="AV228" s="334">
        <v>46105.602359548611</v>
      </c>
      <c r="AW228" s="330" t="b">
        <v>1</v>
      </c>
      <c r="AX228" s="335">
        <v>46113</v>
      </c>
      <c r="AY228" s="336">
        <v>46105</v>
      </c>
      <c r="AZ228" s="330"/>
      <c r="BA228" s="336">
        <v>46120</v>
      </c>
      <c r="BB228" s="330"/>
      <c r="BC228" s="336">
        <v>46122</v>
      </c>
      <c r="BD228" s="330"/>
      <c r="BE228" s="330"/>
      <c r="BF228" s="330"/>
      <c r="BG228" s="330"/>
      <c r="BH228" s="330" t="s">
        <v>193</v>
      </c>
      <c r="BI228" s="330">
        <v>32</v>
      </c>
      <c r="BJ228" s="330"/>
      <c r="BK228" s="330"/>
      <c r="BL228" s="330"/>
      <c r="BM228" s="332"/>
      <c r="BN228" s="330"/>
      <c r="BO228" s="330"/>
      <c r="BP228" s="330"/>
      <c r="BQ228" s="330"/>
      <c r="BR228" s="330"/>
      <c r="BS228" s="330"/>
      <c r="BT228" s="330"/>
      <c r="BU228" s="330"/>
      <c r="BV228" s="330"/>
      <c r="BW228" s="330"/>
      <c r="BX228" s="332"/>
      <c r="BY228" s="330"/>
      <c r="BZ228" s="330"/>
      <c r="CA228" s="330"/>
      <c r="CB228" s="330"/>
      <c r="CC228" s="337" t="s">
        <v>194</v>
      </c>
      <c r="CD228" s="330"/>
      <c r="CE228" s="330" t="b">
        <v>1</v>
      </c>
      <c r="CF228" s="330"/>
      <c r="CG228" s="330"/>
      <c r="CH228" s="330"/>
      <c r="CI228" s="330"/>
      <c r="CJ228" s="330"/>
      <c r="CK228" s="330"/>
      <c r="CL228" s="330"/>
      <c r="CM228" s="330"/>
      <c r="CN228" s="330"/>
      <c r="CO228" s="330" t="b">
        <v>1</v>
      </c>
      <c r="CP228" s="330" t="b">
        <v>1</v>
      </c>
      <c r="CQ228" s="330"/>
      <c r="CR228" s="330"/>
      <c r="CS228" s="330"/>
      <c r="CT228" s="330"/>
      <c r="CU228" s="330"/>
      <c r="CV228" s="330"/>
      <c r="CW228" s="330"/>
      <c r="CX228" s="330"/>
      <c r="CY228" s="330"/>
      <c r="CZ228" s="330"/>
      <c r="DA228" s="330"/>
      <c r="DB228" s="330"/>
      <c r="DC228" s="330"/>
      <c r="DD228" s="330"/>
      <c r="DE228" s="330"/>
      <c r="DF228" s="338">
        <v>24079</v>
      </c>
      <c r="DG228" s="330" t="s">
        <v>764</v>
      </c>
      <c r="DH228" s="330"/>
      <c r="DI228" s="338">
        <v>13</v>
      </c>
      <c r="DJ228" s="330"/>
      <c r="DK228" s="330">
        <v>13</v>
      </c>
      <c r="DL228" s="330" t="s">
        <v>4161</v>
      </c>
      <c r="DM228" s="330"/>
      <c r="DN228" s="330"/>
      <c r="DO228" s="330"/>
      <c r="DP228" s="330"/>
      <c r="DQ228" s="338" t="s">
        <v>197</v>
      </c>
      <c r="DR228" s="330"/>
      <c r="DS228" s="330"/>
      <c r="DT228" s="330"/>
      <c r="DU228" s="338" t="s">
        <v>197</v>
      </c>
      <c r="DV228" s="330"/>
      <c r="DW228" s="330"/>
      <c r="DX228" s="330"/>
      <c r="DY228" s="338" t="s">
        <v>197</v>
      </c>
      <c r="DZ228" s="330"/>
      <c r="EA228" s="330"/>
      <c r="EB228" s="330"/>
      <c r="EC228" s="330" t="s">
        <v>197</v>
      </c>
      <c r="ED228" s="338" t="s">
        <v>197</v>
      </c>
      <c r="EE228" s="330">
        <v>1</v>
      </c>
      <c r="EF228" s="330">
        <v>6</v>
      </c>
      <c r="EG228" s="330"/>
      <c r="EH228" s="330"/>
      <c r="EI228" s="330"/>
      <c r="EJ228" s="330"/>
      <c r="EK228" s="330"/>
      <c r="EL228" s="330"/>
      <c r="EM228" s="330"/>
      <c r="EN228" s="330"/>
      <c r="EO228" s="330"/>
      <c r="EP228" s="330"/>
      <c r="EQ228" s="332" t="s">
        <v>224</v>
      </c>
      <c r="ER228" s="330"/>
      <c r="ES228" s="330"/>
      <c r="ET228" s="332"/>
      <c r="EU228" s="332" t="s">
        <v>199</v>
      </c>
      <c r="EV228" s="330"/>
      <c r="EW228" s="330"/>
      <c r="EX228" s="330" t="s">
        <v>200</v>
      </c>
      <c r="EY228" s="330"/>
      <c r="EZ228" s="330" t="s">
        <v>201</v>
      </c>
      <c r="FA228" s="336">
        <v>46125</v>
      </c>
      <c r="FB228" s="330">
        <v>4</v>
      </c>
      <c r="FC228" s="330" t="s">
        <v>202</v>
      </c>
      <c r="FD228" s="332" t="s">
        <v>190</v>
      </c>
      <c r="FE228" s="336">
        <v>46128</v>
      </c>
      <c r="FF228" s="330"/>
      <c r="FG228" s="330" t="s">
        <v>203</v>
      </c>
      <c r="FH228" s="330"/>
      <c r="FI228" s="330" t="s">
        <v>204</v>
      </c>
      <c r="FJ228" s="330"/>
      <c r="FK228" s="330" t="s">
        <v>902</v>
      </c>
      <c r="FL228" s="330" t="s">
        <v>191</v>
      </c>
      <c r="FM228" s="330"/>
      <c r="FN228" s="330" t="s">
        <v>2205</v>
      </c>
      <c r="FO228" s="330"/>
      <c r="FP228" s="330" t="s">
        <v>1794</v>
      </c>
      <c r="FQ228" s="330"/>
      <c r="FR228" s="330"/>
      <c r="FS228" s="330"/>
      <c r="FT228" s="330"/>
      <c r="FU228" s="330"/>
    </row>
    <row r="229" spans="1:177" ht="63.75" x14ac:dyDescent="0.25">
      <c r="A229" s="330">
        <v>228</v>
      </c>
      <c r="B229" s="331" t="s">
        <v>2206</v>
      </c>
      <c r="C229" s="330"/>
      <c r="D229" s="332" t="s">
        <v>2207</v>
      </c>
      <c r="E229" s="332" t="s">
        <v>1306</v>
      </c>
      <c r="F229" s="332" t="s">
        <v>795</v>
      </c>
      <c r="G229" s="330" t="s">
        <v>796</v>
      </c>
      <c r="H229" s="331" t="s">
        <v>2005</v>
      </c>
      <c r="I229" s="330"/>
      <c r="J229" s="332" t="s">
        <v>2208</v>
      </c>
      <c r="K229" s="332" t="s">
        <v>2209</v>
      </c>
      <c r="L229" s="330"/>
      <c r="M229" s="332"/>
      <c r="N229" s="330"/>
      <c r="O229" s="333"/>
      <c r="P229" s="333"/>
      <c r="Q229" s="333">
        <v>55</v>
      </c>
      <c r="R229" s="333">
        <v>53</v>
      </c>
      <c r="S229" s="333"/>
      <c r="T229" s="333"/>
      <c r="U229" s="333"/>
      <c r="V229" s="333"/>
      <c r="W229" s="330"/>
      <c r="X229" s="330"/>
      <c r="Y229" s="332" t="s">
        <v>2210</v>
      </c>
      <c r="Z229" s="330" t="s">
        <v>739</v>
      </c>
      <c r="AA229" s="330" t="s">
        <v>2211</v>
      </c>
      <c r="AB229" s="330" t="s">
        <v>189</v>
      </c>
      <c r="AC229" s="330"/>
      <c r="AD229" s="330"/>
      <c r="AE229" s="330">
        <v>1</v>
      </c>
      <c r="AF229" s="330">
        <v>12</v>
      </c>
      <c r="AG229" s="332" t="s">
        <v>741</v>
      </c>
      <c r="AH229" s="332" t="s">
        <v>202</v>
      </c>
      <c r="AI229" s="330" t="s">
        <v>202</v>
      </c>
      <c r="AJ229" s="330"/>
      <c r="AK229" s="330"/>
      <c r="AL229" s="330" t="s">
        <v>741</v>
      </c>
      <c r="AM229" s="330" t="s">
        <v>202</v>
      </c>
      <c r="AN229" s="330" t="s">
        <v>741</v>
      </c>
      <c r="AO229" s="330"/>
      <c r="AP229" s="332"/>
      <c r="AQ229" s="330"/>
      <c r="AR229" s="330" t="s">
        <v>334</v>
      </c>
      <c r="AS229" s="330"/>
      <c r="AT229" s="330"/>
      <c r="AU229" s="332" t="s">
        <v>741</v>
      </c>
      <c r="AV229" s="334">
        <v>46106.358396944444</v>
      </c>
      <c r="AW229" s="330"/>
      <c r="AX229" s="335">
        <v>46143</v>
      </c>
      <c r="AY229" s="330"/>
      <c r="AZ229" s="330"/>
      <c r="BA229" s="330"/>
      <c r="BB229" s="336">
        <v>46155</v>
      </c>
      <c r="BC229" s="336">
        <v>46164</v>
      </c>
      <c r="BD229" s="330"/>
      <c r="BE229" s="330"/>
      <c r="BF229" s="330"/>
      <c r="BG229" s="330"/>
      <c r="BH229" s="330" t="s">
        <v>193</v>
      </c>
      <c r="BI229" s="330">
        <v>58</v>
      </c>
      <c r="BJ229" s="330"/>
      <c r="BK229" s="330" t="b">
        <v>1</v>
      </c>
      <c r="BL229" s="330" t="s">
        <v>1065</v>
      </c>
      <c r="BM229" s="332" t="s">
        <v>2212</v>
      </c>
      <c r="BN229" s="330" t="s">
        <v>337</v>
      </c>
      <c r="BO229" s="330" t="s">
        <v>184</v>
      </c>
      <c r="BP229" s="330" t="s">
        <v>220</v>
      </c>
      <c r="BQ229" s="330" t="s">
        <v>218</v>
      </c>
      <c r="BR229" s="330" t="s">
        <v>193</v>
      </c>
      <c r="BS229" s="330" t="s">
        <v>2213</v>
      </c>
      <c r="BT229" s="330" t="s">
        <v>220</v>
      </c>
      <c r="BU229" s="330"/>
      <c r="BV229" s="330" t="s">
        <v>220</v>
      </c>
      <c r="BW229" s="330"/>
      <c r="BX229" s="332"/>
      <c r="BY229" s="330"/>
      <c r="BZ229" s="330"/>
      <c r="CA229" s="330"/>
      <c r="CB229" s="330"/>
      <c r="CC229" s="337" t="s">
        <v>82</v>
      </c>
      <c r="CD229" s="330"/>
      <c r="CE229" s="330" t="b">
        <v>1</v>
      </c>
      <c r="CF229" s="330"/>
      <c r="CG229" s="330"/>
      <c r="CH229" s="330"/>
      <c r="CI229" s="330"/>
      <c r="CJ229" s="330"/>
      <c r="CK229" s="330"/>
      <c r="CL229" s="330" t="b">
        <v>1</v>
      </c>
      <c r="CM229" s="330"/>
      <c r="CN229" s="330"/>
      <c r="CO229" s="330"/>
      <c r="CP229" s="330"/>
      <c r="CQ229" s="330"/>
      <c r="CR229" s="330"/>
      <c r="CS229" s="330"/>
      <c r="CT229" s="330"/>
      <c r="CU229" s="330" t="b">
        <v>1</v>
      </c>
      <c r="CV229" s="330"/>
      <c r="CW229" s="330"/>
      <c r="CX229" s="330"/>
      <c r="CY229" s="330"/>
      <c r="CZ229" s="330"/>
      <c r="DA229" s="330"/>
      <c r="DB229" s="330"/>
      <c r="DC229" s="330"/>
      <c r="DD229" s="330"/>
      <c r="DE229" s="330"/>
      <c r="DF229" s="338">
        <v>24073</v>
      </c>
      <c r="DG229" s="330" t="s">
        <v>221</v>
      </c>
      <c r="DH229" s="330"/>
      <c r="DI229" s="338" t="s">
        <v>196</v>
      </c>
      <c r="DJ229" s="330"/>
      <c r="DK229" s="330">
        <v>1</v>
      </c>
      <c r="DL229" s="330" t="s">
        <v>2206</v>
      </c>
      <c r="DM229" s="330"/>
      <c r="DN229" s="330"/>
      <c r="DO229" s="330"/>
      <c r="DP229" s="330"/>
      <c r="DQ229" s="338" t="s">
        <v>197</v>
      </c>
      <c r="DR229" s="330"/>
      <c r="DS229" s="330"/>
      <c r="DT229" s="330"/>
      <c r="DU229" s="338" t="s">
        <v>197</v>
      </c>
      <c r="DV229" s="330"/>
      <c r="DW229" s="330"/>
      <c r="DX229" s="330"/>
      <c r="DY229" s="338" t="s">
        <v>197</v>
      </c>
      <c r="DZ229" s="330"/>
      <c r="EA229" s="330"/>
      <c r="EB229" s="330"/>
      <c r="EC229" s="330" t="s">
        <v>197</v>
      </c>
      <c r="ED229" s="338" t="s">
        <v>197</v>
      </c>
      <c r="EE229" s="330">
        <v>50</v>
      </c>
      <c r="EF229" s="330">
        <v>100</v>
      </c>
      <c r="EG229" s="330"/>
      <c r="EH229" s="330"/>
      <c r="EI229" s="330"/>
      <c r="EJ229" s="330"/>
      <c r="EK229" s="330"/>
      <c r="EL229" s="330"/>
      <c r="EM229" s="330"/>
      <c r="EN229" s="330"/>
      <c r="EO229" s="330"/>
      <c r="EP229" s="330"/>
      <c r="EQ229" s="332" t="s">
        <v>198</v>
      </c>
      <c r="ER229" s="330"/>
      <c r="ES229" s="330"/>
      <c r="ET229" s="332" t="s">
        <v>89</v>
      </c>
      <c r="EU229" s="332" t="s">
        <v>2214</v>
      </c>
      <c r="EV229" s="330"/>
      <c r="EW229" s="330"/>
      <c r="EX229" s="330" t="s">
        <v>200</v>
      </c>
      <c r="EY229" s="330"/>
      <c r="EZ229" s="330" t="s">
        <v>247</v>
      </c>
      <c r="FA229" s="330"/>
      <c r="FB229" s="330" t="s">
        <v>247</v>
      </c>
      <c r="FC229" s="330" t="s">
        <v>202</v>
      </c>
      <c r="FD229" s="332" t="s">
        <v>190</v>
      </c>
      <c r="FE229" s="330"/>
      <c r="FF229" s="330"/>
      <c r="FG229" s="330" t="s">
        <v>203</v>
      </c>
      <c r="FH229" s="330" t="s">
        <v>2215</v>
      </c>
      <c r="FI229" s="330" t="s">
        <v>204</v>
      </c>
      <c r="FJ229" s="330"/>
      <c r="FK229" s="330" t="s">
        <v>795</v>
      </c>
      <c r="FL229" s="330" t="s">
        <v>741</v>
      </c>
      <c r="FM229" s="330" t="s">
        <v>202</v>
      </c>
      <c r="FN229" s="330" t="s">
        <v>2216</v>
      </c>
      <c r="FO229" s="330"/>
      <c r="FP229" s="330" t="s">
        <v>2108</v>
      </c>
      <c r="FQ229" s="330"/>
      <c r="FR229" s="330"/>
      <c r="FS229" s="330"/>
      <c r="FT229" s="330"/>
      <c r="FU229" s="330"/>
    </row>
    <row r="230" spans="1:177" ht="76.5" x14ac:dyDescent="0.25">
      <c r="A230" s="330">
        <v>229</v>
      </c>
      <c r="B230" s="331" t="s">
        <v>2217</v>
      </c>
      <c r="C230" s="330"/>
      <c r="D230" s="332" t="s">
        <v>1264</v>
      </c>
      <c r="E230" s="332" t="s">
        <v>1265</v>
      </c>
      <c r="F230" s="332" t="s">
        <v>795</v>
      </c>
      <c r="G230" s="330" t="s">
        <v>796</v>
      </c>
      <c r="H230" s="331" t="s">
        <v>2179</v>
      </c>
      <c r="I230" s="330"/>
      <c r="J230" s="332" t="s">
        <v>2218</v>
      </c>
      <c r="K230" s="332" t="s">
        <v>2219</v>
      </c>
      <c r="L230" s="330"/>
      <c r="M230" s="332"/>
      <c r="N230" s="330"/>
      <c r="O230" s="333"/>
      <c r="P230" s="333"/>
      <c r="Q230" s="333" t="s">
        <v>184</v>
      </c>
      <c r="R230" s="333">
        <v>0</v>
      </c>
      <c r="S230" s="333">
        <v>10</v>
      </c>
      <c r="T230" s="333">
        <v>1</v>
      </c>
      <c r="U230" s="333">
        <v>0</v>
      </c>
      <c r="V230" s="333">
        <v>0</v>
      </c>
      <c r="W230" s="330"/>
      <c r="X230" s="330"/>
      <c r="Y230" s="332" t="s">
        <v>2220</v>
      </c>
      <c r="Z230" s="330" t="s">
        <v>787</v>
      </c>
      <c r="AA230" s="330" t="s">
        <v>2221</v>
      </c>
      <c r="AB230" s="330" t="s">
        <v>189</v>
      </c>
      <c r="AC230" s="330"/>
      <c r="AD230" s="330"/>
      <c r="AE230" s="330">
        <v>4</v>
      </c>
      <c r="AF230" s="330">
        <v>8</v>
      </c>
      <c r="AG230" s="332" t="s">
        <v>742</v>
      </c>
      <c r="AH230" s="332" t="s">
        <v>202</v>
      </c>
      <c r="AI230" s="330" t="s">
        <v>202</v>
      </c>
      <c r="AJ230" s="330"/>
      <c r="AK230" s="330"/>
      <c r="AL230" s="330" t="s">
        <v>742</v>
      </c>
      <c r="AM230" s="330" t="s">
        <v>202</v>
      </c>
      <c r="AN230" s="330" t="s">
        <v>742</v>
      </c>
      <c r="AO230" s="330"/>
      <c r="AP230" s="332"/>
      <c r="AQ230" s="330" t="s">
        <v>789</v>
      </c>
      <c r="AR230" s="330"/>
      <c r="AS230" s="330"/>
      <c r="AT230" s="330"/>
      <c r="AU230" s="332"/>
      <c r="AV230" s="334">
        <v>46107.395573611109</v>
      </c>
      <c r="AW230" s="330"/>
      <c r="AX230" s="335">
        <v>46139</v>
      </c>
      <c r="AY230" s="330"/>
      <c r="AZ230" s="330"/>
      <c r="BA230" s="330"/>
      <c r="BB230" s="336">
        <v>46153</v>
      </c>
      <c r="BC230" s="336">
        <v>46160</v>
      </c>
      <c r="BD230" s="330"/>
      <c r="BE230" s="330"/>
      <c r="BF230" s="330"/>
      <c r="BG230" s="330"/>
      <c r="BH230" s="330" t="s">
        <v>220</v>
      </c>
      <c r="BI230" s="330"/>
      <c r="BJ230" s="336">
        <v>46115</v>
      </c>
      <c r="BK230" s="330" t="b">
        <v>1</v>
      </c>
      <c r="BL230" s="330" t="s">
        <v>335</v>
      </c>
      <c r="BM230" s="332" t="s">
        <v>2222</v>
      </c>
      <c r="BN230" s="330" t="s">
        <v>337</v>
      </c>
      <c r="BO230" s="330"/>
      <c r="BP230" s="330"/>
      <c r="BQ230" s="330" t="s">
        <v>909</v>
      </c>
      <c r="BR230" s="330" t="s">
        <v>220</v>
      </c>
      <c r="BS230" s="330"/>
      <c r="BT230" s="330" t="s">
        <v>220</v>
      </c>
      <c r="BU230" s="330"/>
      <c r="BV230" s="330" t="s">
        <v>220</v>
      </c>
      <c r="BW230" s="330"/>
      <c r="BX230" s="332"/>
      <c r="BY230" s="330"/>
      <c r="BZ230" s="330"/>
      <c r="CA230" s="330"/>
      <c r="CB230" s="330"/>
      <c r="CC230" s="337" t="s">
        <v>1325</v>
      </c>
      <c r="CD230" s="330"/>
      <c r="CE230" s="330"/>
      <c r="CF230" s="330"/>
      <c r="CG230" s="330"/>
      <c r="CH230" s="330"/>
      <c r="CI230" s="330"/>
      <c r="CJ230" s="330"/>
      <c r="CK230" s="330"/>
      <c r="CL230" s="330"/>
      <c r="CM230" s="330"/>
      <c r="CN230" s="330"/>
      <c r="CO230" s="330"/>
      <c r="CP230" s="330"/>
      <c r="CQ230" s="330"/>
      <c r="CR230" s="330"/>
      <c r="CS230" s="330"/>
      <c r="CT230" s="330"/>
      <c r="CU230" s="330"/>
      <c r="CV230" s="330"/>
      <c r="CW230" s="330"/>
      <c r="CX230" s="330"/>
      <c r="CY230" s="330"/>
      <c r="CZ230" s="330"/>
      <c r="DA230" s="330"/>
      <c r="DB230" s="330"/>
      <c r="DC230" s="330"/>
      <c r="DD230" s="330"/>
      <c r="DE230" s="330"/>
      <c r="DF230" s="338">
        <v>25029</v>
      </c>
      <c r="DG230" s="330" t="s">
        <v>341</v>
      </c>
      <c r="DH230" s="330"/>
      <c r="DI230" s="338">
        <v>51</v>
      </c>
      <c r="DJ230" s="330"/>
      <c r="DK230" s="330">
        <v>51</v>
      </c>
      <c r="DL230" s="330" t="s">
        <v>2223</v>
      </c>
      <c r="DM230" s="330"/>
      <c r="DN230" s="330"/>
      <c r="DO230" s="330"/>
      <c r="DP230" s="330"/>
      <c r="DQ230" s="338" t="s">
        <v>197</v>
      </c>
      <c r="DR230" s="330"/>
      <c r="DS230" s="330"/>
      <c r="DT230" s="330"/>
      <c r="DU230" s="338" t="s">
        <v>197</v>
      </c>
      <c r="DV230" s="330"/>
      <c r="DW230" s="330"/>
      <c r="DX230" s="330"/>
      <c r="DY230" s="338" t="s">
        <v>197</v>
      </c>
      <c r="DZ230" s="330"/>
      <c r="EA230" s="330"/>
      <c r="EB230" s="330"/>
      <c r="EC230" s="330" t="s">
        <v>197</v>
      </c>
      <c r="ED230" s="338" t="s">
        <v>197</v>
      </c>
      <c r="EE230" s="330">
        <v>3</v>
      </c>
      <c r="EF230" s="330">
        <v>5</v>
      </c>
      <c r="EG230" s="330"/>
      <c r="EH230" s="330"/>
      <c r="EI230" s="330"/>
      <c r="EJ230" s="330"/>
      <c r="EK230" s="330"/>
      <c r="EL230" s="330"/>
      <c r="EM230" s="330"/>
      <c r="EN230" s="330"/>
      <c r="EO230" s="330"/>
      <c r="EP230" s="330"/>
      <c r="EQ230" s="332" t="s">
        <v>244</v>
      </c>
      <c r="ER230" s="330"/>
      <c r="ES230" s="330"/>
      <c r="ET230" s="332"/>
      <c r="EU230" s="332" t="s">
        <v>335</v>
      </c>
      <c r="EV230" s="330"/>
      <c r="EW230" s="330"/>
      <c r="EX230" s="330" t="s">
        <v>200</v>
      </c>
      <c r="EY230" s="330"/>
      <c r="EZ230" s="330" t="s">
        <v>247</v>
      </c>
      <c r="FA230" s="330"/>
      <c r="FB230" s="330" t="s">
        <v>247</v>
      </c>
      <c r="FC230" s="330" t="s">
        <v>202</v>
      </c>
      <c r="FD230" s="332" t="s">
        <v>190</v>
      </c>
      <c r="FE230" s="330"/>
      <c r="FF230" s="330"/>
      <c r="FG230" s="330" t="s">
        <v>203</v>
      </c>
      <c r="FH230" s="330" t="s">
        <v>4107</v>
      </c>
      <c r="FI230" s="330" t="s">
        <v>204</v>
      </c>
      <c r="FJ230" s="330"/>
      <c r="FK230" s="330" t="s">
        <v>795</v>
      </c>
      <c r="FL230" s="330" t="s">
        <v>742</v>
      </c>
      <c r="FM230" s="330" t="s">
        <v>202</v>
      </c>
      <c r="FN230" s="330" t="s">
        <v>2224</v>
      </c>
      <c r="FO230" s="330"/>
      <c r="FP230" s="330" t="s">
        <v>2108</v>
      </c>
      <c r="FQ230" s="330"/>
      <c r="FR230" s="330"/>
      <c r="FS230" s="330"/>
      <c r="FT230" s="330"/>
      <c r="FU230" s="330"/>
    </row>
    <row r="231" spans="1:177" ht="204" x14ac:dyDescent="0.25">
      <c r="A231" s="330">
        <v>230</v>
      </c>
      <c r="B231" s="331" t="s">
        <v>2225</v>
      </c>
      <c r="C231" s="330"/>
      <c r="D231" s="332" t="s">
        <v>1264</v>
      </c>
      <c r="E231" s="332" t="s">
        <v>1265</v>
      </c>
      <c r="F231" s="332" t="s">
        <v>795</v>
      </c>
      <c r="G231" s="330" t="s">
        <v>796</v>
      </c>
      <c r="H231" s="331" t="s">
        <v>2005</v>
      </c>
      <c r="I231" s="330"/>
      <c r="J231" s="332" t="s">
        <v>2226</v>
      </c>
      <c r="K231" s="332"/>
      <c r="L231" s="330"/>
      <c r="M231" s="332" t="s">
        <v>2227</v>
      </c>
      <c r="N231" s="330"/>
      <c r="O231" s="333"/>
      <c r="P231" s="333"/>
      <c r="Q231" s="333" t="s">
        <v>184</v>
      </c>
      <c r="R231" s="333">
        <v>0</v>
      </c>
      <c r="S231" s="333">
        <v>10</v>
      </c>
      <c r="T231" s="333">
        <v>1</v>
      </c>
      <c r="U231" s="333">
        <v>0</v>
      </c>
      <c r="V231" s="333">
        <v>0</v>
      </c>
      <c r="W231" s="330"/>
      <c r="X231" s="330"/>
      <c r="Y231" s="332" t="s">
        <v>2228</v>
      </c>
      <c r="Z231" s="330" t="s">
        <v>739</v>
      </c>
      <c r="AA231" s="330" t="s">
        <v>2229</v>
      </c>
      <c r="AB231" s="330" t="s">
        <v>189</v>
      </c>
      <c r="AC231" s="330"/>
      <c r="AD231" s="330"/>
      <c r="AE231" s="330">
        <v>2</v>
      </c>
      <c r="AF231" s="330">
        <v>7</v>
      </c>
      <c r="AG231" s="332" t="s">
        <v>742</v>
      </c>
      <c r="AH231" s="332" t="s">
        <v>202</v>
      </c>
      <c r="AI231" s="330" t="s">
        <v>202</v>
      </c>
      <c r="AJ231" s="330"/>
      <c r="AK231" s="330"/>
      <c r="AL231" s="330" t="s">
        <v>742</v>
      </c>
      <c r="AM231" s="330" t="s">
        <v>202</v>
      </c>
      <c r="AN231" s="330" t="s">
        <v>742</v>
      </c>
      <c r="AO231" s="330"/>
      <c r="AP231" s="332"/>
      <c r="AQ231" s="330" t="s">
        <v>334</v>
      </c>
      <c r="AR231" s="330"/>
      <c r="AS231" s="330"/>
      <c r="AT231" s="330"/>
      <c r="AU231" s="332" t="s">
        <v>742</v>
      </c>
      <c r="AV231" s="334">
        <v>46107.405239745371</v>
      </c>
      <c r="AW231" s="330"/>
      <c r="AX231" s="335">
        <v>46136</v>
      </c>
      <c r="AY231" s="330"/>
      <c r="AZ231" s="330"/>
      <c r="BA231" s="330"/>
      <c r="BB231" s="336">
        <v>46153</v>
      </c>
      <c r="BC231" s="336">
        <v>46157</v>
      </c>
      <c r="BD231" s="330"/>
      <c r="BE231" s="330"/>
      <c r="BF231" s="330"/>
      <c r="BG231" s="330"/>
      <c r="BH231" s="330" t="s">
        <v>220</v>
      </c>
      <c r="BI231" s="330"/>
      <c r="BJ231" s="336">
        <v>46115</v>
      </c>
      <c r="BK231" s="330" t="b">
        <v>1</v>
      </c>
      <c r="BL231" s="330" t="s">
        <v>335</v>
      </c>
      <c r="BM231" s="332" t="s">
        <v>2222</v>
      </c>
      <c r="BN231" s="330" t="s">
        <v>337</v>
      </c>
      <c r="BO231" s="330"/>
      <c r="BP231" s="330"/>
      <c r="BQ231" s="330" t="s">
        <v>338</v>
      </c>
      <c r="BR231" s="330" t="s">
        <v>220</v>
      </c>
      <c r="BS231" s="330"/>
      <c r="BT231" s="330" t="s">
        <v>220</v>
      </c>
      <c r="BU231" s="330"/>
      <c r="BV231" s="330" t="s">
        <v>220</v>
      </c>
      <c r="BW231" s="330"/>
      <c r="BX231" s="332"/>
      <c r="BY231" s="330"/>
      <c r="BZ231" s="330"/>
      <c r="CA231" s="330"/>
      <c r="CB231" s="330"/>
      <c r="CC231" s="337" t="s">
        <v>1325</v>
      </c>
      <c r="CD231" s="330"/>
      <c r="CE231" s="330"/>
      <c r="CF231" s="330"/>
      <c r="CG231" s="330"/>
      <c r="CH231" s="330"/>
      <c r="CI231" s="330" t="b">
        <v>1</v>
      </c>
      <c r="CJ231" s="330"/>
      <c r="CK231" s="330"/>
      <c r="CL231" s="330"/>
      <c r="CM231" s="330"/>
      <c r="CN231" s="330"/>
      <c r="CO231" s="330"/>
      <c r="CP231" s="330"/>
      <c r="CQ231" s="330"/>
      <c r="CR231" s="330"/>
      <c r="CS231" s="330"/>
      <c r="CT231" s="330"/>
      <c r="CU231" s="330"/>
      <c r="CV231" s="330"/>
      <c r="CW231" s="330"/>
      <c r="CX231" s="330"/>
      <c r="CY231" s="330"/>
      <c r="CZ231" s="330"/>
      <c r="DA231" s="330"/>
      <c r="DB231" s="330"/>
      <c r="DC231" s="330"/>
      <c r="DD231" s="330"/>
      <c r="DE231" s="330"/>
      <c r="DF231" s="338">
        <v>25029</v>
      </c>
      <c r="DG231" s="330" t="s">
        <v>341</v>
      </c>
      <c r="DH231" s="330"/>
      <c r="DI231" s="338">
        <v>52</v>
      </c>
      <c r="DJ231" s="330"/>
      <c r="DK231" s="330">
        <v>52</v>
      </c>
      <c r="DL231" s="330" t="s">
        <v>2223</v>
      </c>
      <c r="DM231" s="330"/>
      <c r="DN231" s="330"/>
      <c r="DO231" s="330"/>
      <c r="DP231" s="330"/>
      <c r="DQ231" s="338" t="s">
        <v>197</v>
      </c>
      <c r="DR231" s="330"/>
      <c r="DS231" s="330"/>
      <c r="DT231" s="330"/>
      <c r="DU231" s="338" t="s">
        <v>197</v>
      </c>
      <c r="DV231" s="330"/>
      <c r="DW231" s="330"/>
      <c r="DX231" s="330"/>
      <c r="DY231" s="338" t="s">
        <v>197</v>
      </c>
      <c r="DZ231" s="330"/>
      <c r="EA231" s="330"/>
      <c r="EB231" s="330"/>
      <c r="EC231" s="330" t="s">
        <v>197</v>
      </c>
      <c r="ED231" s="338" t="s">
        <v>197</v>
      </c>
      <c r="EE231" s="330">
        <v>1</v>
      </c>
      <c r="EF231" s="330">
        <v>3</v>
      </c>
      <c r="EG231" s="330"/>
      <c r="EH231" s="330"/>
      <c r="EI231" s="330"/>
      <c r="EJ231" s="330"/>
      <c r="EK231" s="330"/>
      <c r="EL231" s="330"/>
      <c r="EM231" s="330"/>
      <c r="EN231" s="330"/>
      <c r="EO231" s="330"/>
      <c r="EP231" s="330"/>
      <c r="EQ231" s="332" t="s">
        <v>244</v>
      </c>
      <c r="ER231" s="330"/>
      <c r="ES231" s="330"/>
      <c r="ET231" s="332" t="s">
        <v>86</v>
      </c>
      <c r="EU231" s="332" t="s">
        <v>342</v>
      </c>
      <c r="EV231" s="330"/>
      <c r="EW231" s="330"/>
      <c r="EX231" s="330" t="s">
        <v>200</v>
      </c>
      <c r="EY231" s="330"/>
      <c r="EZ231" s="330" t="s">
        <v>247</v>
      </c>
      <c r="FA231" s="330"/>
      <c r="FB231" s="330" t="s">
        <v>247</v>
      </c>
      <c r="FC231" s="330" t="s">
        <v>202</v>
      </c>
      <c r="FD231" s="332" t="s">
        <v>190</v>
      </c>
      <c r="FE231" s="330"/>
      <c r="FF231" s="330"/>
      <c r="FG231" s="330" t="s">
        <v>203</v>
      </c>
      <c r="FH231" s="330" t="s">
        <v>2230</v>
      </c>
      <c r="FI231" s="330" t="s">
        <v>204</v>
      </c>
      <c r="FJ231" s="330"/>
      <c r="FK231" s="330" t="s">
        <v>795</v>
      </c>
      <c r="FL231" s="330" t="s">
        <v>742</v>
      </c>
      <c r="FM231" s="330" t="s">
        <v>202</v>
      </c>
      <c r="FN231" s="330" t="s">
        <v>2231</v>
      </c>
      <c r="FO231" s="330"/>
      <c r="FP231" s="330" t="s">
        <v>1958</v>
      </c>
      <c r="FQ231" s="330"/>
      <c r="FR231" s="330"/>
      <c r="FS231" s="330"/>
      <c r="FT231" s="330"/>
      <c r="FU231" s="330"/>
    </row>
    <row r="232" spans="1:177" ht="357" x14ac:dyDescent="0.25">
      <c r="A232" s="330">
        <v>231</v>
      </c>
      <c r="B232" s="331" t="s">
        <v>1156</v>
      </c>
      <c r="C232" s="330"/>
      <c r="D232" s="332" t="s">
        <v>1144</v>
      </c>
      <c r="E232" s="332" t="s">
        <v>1145</v>
      </c>
      <c r="F232" s="332" t="s">
        <v>1146</v>
      </c>
      <c r="G232" s="330" t="s">
        <v>1147</v>
      </c>
      <c r="H232" s="331" t="s">
        <v>618</v>
      </c>
      <c r="I232" s="330"/>
      <c r="J232" s="332" t="s">
        <v>2232</v>
      </c>
      <c r="K232" s="332" t="s">
        <v>2233</v>
      </c>
      <c r="L232" s="330" t="s">
        <v>284</v>
      </c>
      <c r="M232" s="332" t="s">
        <v>2234</v>
      </c>
      <c r="N232" s="330"/>
      <c r="O232" s="333"/>
      <c r="P232" s="333"/>
      <c r="Q232" s="333">
        <v>534</v>
      </c>
      <c r="R232" s="333">
        <v>58</v>
      </c>
      <c r="S232" s="333"/>
      <c r="T232" s="333"/>
      <c r="U232" s="333"/>
      <c r="V232" s="333"/>
      <c r="W232" s="330"/>
      <c r="X232" s="330"/>
      <c r="Y232" s="332" t="s">
        <v>2235</v>
      </c>
      <c r="Z232" s="330" t="s">
        <v>215</v>
      </c>
      <c r="AA232" s="330" t="s">
        <v>2236</v>
      </c>
      <c r="AB232" s="330" t="s">
        <v>189</v>
      </c>
      <c r="AC232" s="330"/>
      <c r="AD232" s="330"/>
      <c r="AE232" s="330">
        <v>1</v>
      </c>
      <c r="AF232" s="330">
        <v>10</v>
      </c>
      <c r="AG232" s="332" t="s">
        <v>471</v>
      </c>
      <c r="AH232" s="332" t="s">
        <v>191</v>
      </c>
      <c r="AI232" s="330" t="s">
        <v>471</v>
      </c>
      <c r="AJ232" s="330" t="s">
        <v>471</v>
      </c>
      <c r="AK232" s="330"/>
      <c r="AL232" s="330" t="s">
        <v>471</v>
      </c>
      <c r="AM232" s="330" t="s">
        <v>191</v>
      </c>
      <c r="AN232" s="330" t="s">
        <v>471</v>
      </c>
      <c r="AO232" s="330"/>
      <c r="AP232" s="332" t="s">
        <v>259</v>
      </c>
      <c r="AQ232" s="330"/>
      <c r="AR232" s="330"/>
      <c r="AS232" s="330"/>
      <c r="AT232" s="330"/>
      <c r="AU232" s="332" t="s">
        <v>471</v>
      </c>
      <c r="AV232" s="334">
        <v>46108.491368425923</v>
      </c>
      <c r="AW232" s="330"/>
      <c r="AX232" s="335">
        <v>46141</v>
      </c>
      <c r="AY232" s="330"/>
      <c r="AZ232" s="330"/>
      <c r="BA232" s="330"/>
      <c r="BB232" s="330"/>
      <c r="BC232" s="336">
        <v>46162</v>
      </c>
      <c r="BD232" s="330"/>
      <c r="BE232" s="330"/>
      <c r="BF232" s="330"/>
      <c r="BG232" s="330"/>
      <c r="BH232" s="330" t="s">
        <v>193</v>
      </c>
      <c r="BI232" s="330">
        <v>46</v>
      </c>
      <c r="BJ232" s="330"/>
      <c r="BK232" s="330"/>
      <c r="BL232" s="330"/>
      <c r="BM232" s="332"/>
      <c r="BN232" s="330"/>
      <c r="BO232" s="330" t="s">
        <v>629</v>
      </c>
      <c r="BP232" s="330" t="s">
        <v>193</v>
      </c>
      <c r="BQ232" s="330" t="s">
        <v>909</v>
      </c>
      <c r="BR232" s="330" t="s">
        <v>220</v>
      </c>
      <c r="BS232" s="330"/>
      <c r="BT232" s="330" t="s">
        <v>193</v>
      </c>
      <c r="BU232" s="330" t="s">
        <v>2237</v>
      </c>
      <c r="BV232" s="330" t="s">
        <v>220</v>
      </c>
      <c r="BW232" s="330"/>
      <c r="BX232" s="332"/>
      <c r="BY232" s="330"/>
      <c r="BZ232" s="330"/>
      <c r="CA232" s="330"/>
      <c r="CB232" s="330"/>
      <c r="CC232" s="337" t="s">
        <v>911</v>
      </c>
      <c r="CD232" s="330" t="b">
        <v>1</v>
      </c>
      <c r="CE232" s="330" t="b">
        <v>1</v>
      </c>
      <c r="CF232" s="330" t="b">
        <v>1</v>
      </c>
      <c r="CG232" s="330"/>
      <c r="CH232" s="330"/>
      <c r="CI232" s="330"/>
      <c r="CJ232" s="330"/>
      <c r="CK232" s="330"/>
      <c r="CL232" s="330"/>
      <c r="CM232" s="330"/>
      <c r="CN232" s="330"/>
      <c r="CO232" s="330"/>
      <c r="CP232" s="330"/>
      <c r="CQ232" s="330"/>
      <c r="CR232" s="330"/>
      <c r="CS232" s="330"/>
      <c r="CT232" s="330"/>
      <c r="CU232" s="330"/>
      <c r="CV232" s="330"/>
      <c r="CW232" s="330"/>
      <c r="CX232" s="330"/>
      <c r="CY232" s="330"/>
      <c r="CZ232" s="330"/>
      <c r="DA232" s="330"/>
      <c r="DB232" s="330" t="b">
        <v>1</v>
      </c>
      <c r="DC232" s="330" t="b">
        <v>1</v>
      </c>
      <c r="DD232" s="330"/>
      <c r="DE232" s="330"/>
      <c r="DF232" s="338">
        <v>25008</v>
      </c>
      <c r="DG232" s="330" t="s">
        <v>221</v>
      </c>
      <c r="DH232" s="330"/>
      <c r="DI232" s="338" t="s">
        <v>1326</v>
      </c>
      <c r="DJ232" s="330"/>
      <c r="DK232" s="330">
        <v>7</v>
      </c>
      <c r="DL232" s="330" t="s">
        <v>1156</v>
      </c>
      <c r="DM232" s="330"/>
      <c r="DN232" s="330"/>
      <c r="DO232" s="330"/>
      <c r="DP232" s="330"/>
      <c r="DQ232" s="338" t="s">
        <v>197</v>
      </c>
      <c r="DR232" s="330"/>
      <c r="DS232" s="330"/>
      <c r="DT232" s="330"/>
      <c r="DU232" s="338" t="s">
        <v>197</v>
      </c>
      <c r="DV232" s="330"/>
      <c r="DW232" s="330"/>
      <c r="DX232" s="330"/>
      <c r="DY232" s="338" t="s">
        <v>197</v>
      </c>
      <c r="DZ232" s="330"/>
      <c r="EA232" s="330"/>
      <c r="EB232" s="330"/>
      <c r="EC232" s="330" t="s">
        <v>197</v>
      </c>
      <c r="ED232" s="338" t="s">
        <v>197</v>
      </c>
      <c r="EE232" s="330">
        <v>30</v>
      </c>
      <c r="EF232" s="330">
        <v>110</v>
      </c>
      <c r="EG232" s="330"/>
      <c r="EH232" s="330"/>
      <c r="EI232" s="330"/>
      <c r="EJ232" s="330"/>
      <c r="EK232" s="330"/>
      <c r="EL232" s="330"/>
      <c r="EM232" s="330"/>
      <c r="EN232" s="330"/>
      <c r="EO232" s="330"/>
      <c r="EP232" s="330"/>
      <c r="EQ232" s="332" t="s">
        <v>224</v>
      </c>
      <c r="ER232" s="330"/>
      <c r="ES232" s="330"/>
      <c r="ET232" s="332" t="s">
        <v>245</v>
      </c>
      <c r="EU232" s="332" t="s">
        <v>354</v>
      </c>
      <c r="EV232" s="330"/>
      <c r="EW232" s="330"/>
      <c r="EX232" s="330" t="s">
        <v>200</v>
      </c>
      <c r="EY232" s="330"/>
      <c r="EZ232" s="330" t="s">
        <v>247</v>
      </c>
      <c r="FA232" s="330"/>
      <c r="FB232" s="330" t="s">
        <v>247</v>
      </c>
      <c r="FC232" s="330" t="s">
        <v>202</v>
      </c>
      <c r="FD232" s="332" t="s">
        <v>190</v>
      </c>
      <c r="FE232" s="330"/>
      <c r="FF232" s="330"/>
      <c r="FG232" s="330" t="s">
        <v>203</v>
      </c>
      <c r="FH232" s="330"/>
      <c r="FI232" s="330" t="s">
        <v>204</v>
      </c>
      <c r="FJ232" s="330"/>
      <c r="FK232" s="330" t="s">
        <v>1146</v>
      </c>
      <c r="FL232" s="330" t="s">
        <v>471</v>
      </c>
      <c r="FM232" s="330" t="s">
        <v>191</v>
      </c>
      <c r="FN232" s="330" t="s">
        <v>2238</v>
      </c>
      <c r="FO232" s="330"/>
      <c r="FP232" s="330" t="s">
        <v>2108</v>
      </c>
      <c r="FQ232" s="330"/>
      <c r="FR232" s="330"/>
      <c r="FS232" s="330"/>
      <c r="FT232" s="330"/>
      <c r="FU232" s="330"/>
    </row>
    <row r="233" spans="1:177" ht="409.5" x14ac:dyDescent="0.25">
      <c r="A233" s="330">
        <v>232</v>
      </c>
      <c r="B233" s="331" t="s">
        <v>2239</v>
      </c>
      <c r="C233" s="330"/>
      <c r="D233" s="332" t="s">
        <v>2240</v>
      </c>
      <c r="E233" s="332" t="s">
        <v>2241</v>
      </c>
      <c r="F233" s="332" t="s">
        <v>1146</v>
      </c>
      <c r="G233" s="330" t="s">
        <v>1147</v>
      </c>
      <c r="H233" s="331">
        <v>400</v>
      </c>
      <c r="I233" s="330"/>
      <c r="J233" s="332" t="s">
        <v>2242</v>
      </c>
      <c r="K233" s="332" t="s">
        <v>2243</v>
      </c>
      <c r="L233" s="330" t="s">
        <v>284</v>
      </c>
      <c r="M233" s="332" t="s">
        <v>751</v>
      </c>
      <c r="N233" s="330"/>
      <c r="O233" s="333"/>
      <c r="P233" s="333"/>
      <c r="Q233" s="333">
        <v>679</v>
      </c>
      <c r="R233" s="333">
        <v>218</v>
      </c>
      <c r="S233" s="333"/>
      <c r="T233" s="333"/>
      <c r="U233" s="333"/>
      <c r="V233" s="333"/>
      <c r="W233" s="330"/>
      <c r="X233" s="330"/>
      <c r="Y233" s="332" t="s">
        <v>2244</v>
      </c>
      <c r="Z233" s="330" t="s">
        <v>215</v>
      </c>
      <c r="AA233" s="330" t="s">
        <v>2245</v>
      </c>
      <c r="AB233" s="330" t="s">
        <v>189</v>
      </c>
      <c r="AC233" s="330"/>
      <c r="AD233" s="330" t="s">
        <v>924</v>
      </c>
      <c r="AE233" s="330">
        <v>7</v>
      </c>
      <c r="AF233" s="330">
        <v>13</v>
      </c>
      <c r="AG233" s="332" t="s">
        <v>627</v>
      </c>
      <c r="AH233" s="332" t="s">
        <v>191</v>
      </c>
      <c r="AI233" s="330" t="s">
        <v>191</v>
      </c>
      <c r="AJ233" s="330" t="s">
        <v>191</v>
      </c>
      <c r="AK233" s="330" t="s">
        <v>627</v>
      </c>
      <c r="AL233" s="330"/>
      <c r="AM233" s="330"/>
      <c r="AN233" s="330"/>
      <c r="AO233" s="330"/>
      <c r="AP233" s="332" t="s">
        <v>259</v>
      </c>
      <c r="AQ233" s="330"/>
      <c r="AR233" s="330"/>
      <c r="AS233" s="330"/>
      <c r="AT233" s="330"/>
      <c r="AU233" s="332"/>
      <c r="AV233" s="334">
        <v>46111.395017731484</v>
      </c>
      <c r="AW233" s="330"/>
      <c r="AX233" s="335">
        <v>46146</v>
      </c>
      <c r="AY233" s="330"/>
      <c r="AZ233" s="330"/>
      <c r="BA233" s="330"/>
      <c r="BB233" s="330"/>
      <c r="BC233" s="336">
        <v>46167</v>
      </c>
      <c r="BD233" s="330"/>
      <c r="BE233" s="330"/>
      <c r="BF233" s="330"/>
      <c r="BG233" s="330"/>
      <c r="BH233" s="330" t="s">
        <v>193</v>
      </c>
      <c r="BI233" s="330">
        <v>323</v>
      </c>
      <c r="BJ233" s="330"/>
      <c r="BK233" s="330"/>
      <c r="BL233" s="330"/>
      <c r="BM233" s="332"/>
      <c r="BN233" s="330"/>
      <c r="BO233" s="330" t="s">
        <v>240</v>
      </c>
      <c r="BP233" s="330" t="s">
        <v>220</v>
      </c>
      <c r="BQ233" s="330" t="s">
        <v>909</v>
      </c>
      <c r="BR233" s="330" t="s">
        <v>193</v>
      </c>
      <c r="BS233" s="330" t="s">
        <v>2247</v>
      </c>
      <c r="BT233" s="330" t="s">
        <v>193</v>
      </c>
      <c r="BU233" s="330" t="s">
        <v>2248</v>
      </c>
      <c r="BV233" s="330" t="s">
        <v>220</v>
      </c>
      <c r="BW233" s="330"/>
      <c r="BX233" s="332"/>
      <c r="BY233" s="330"/>
      <c r="BZ233" s="330"/>
      <c r="CA233" s="330"/>
      <c r="CB233" s="330"/>
      <c r="CC233" s="337" t="s">
        <v>1955</v>
      </c>
      <c r="CD233" s="330" t="b">
        <v>1</v>
      </c>
      <c r="CE233" s="330" t="b">
        <v>1</v>
      </c>
      <c r="CF233" s="330" t="b">
        <v>1</v>
      </c>
      <c r="CG233" s="330"/>
      <c r="CH233" s="330"/>
      <c r="CI233" s="330"/>
      <c r="CJ233" s="330"/>
      <c r="CK233" s="330"/>
      <c r="CL233" s="330"/>
      <c r="CM233" s="330"/>
      <c r="CN233" s="330"/>
      <c r="CO233" s="330"/>
      <c r="CP233" s="330"/>
      <c r="CQ233" s="330"/>
      <c r="CR233" s="330"/>
      <c r="CS233" s="330"/>
      <c r="CT233" s="330"/>
      <c r="CU233" s="330"/>
      <c r="CV233" s="330"/>
      <c r="CW233" s="330"/>
      <c r="CX233" s="330"/>
      <c r="CY233" s="330"/>
      <c r="CZ233" s="330"/>
      <c r="DA233" s="330"/>
      <c r="DB233" s="330" t="b">
        <v>1</v>
      </c>
      <c r="DC233" s="330" t="b">
        <v>1</v>
      </c>
      <c r="DD233" s="330"/>
      <c r="DE233" s="330"/>
      <c r="DF233" s="338">
        <v>25037</v>
      </c>
      <c r="DG233" s="330" t="s">
        <v>221</v>
      </c>
      <c r="DH233" s="330"/>
      <c r="DI233" s="338" t="s">
        <v>196</v>
      </c>
      <c r="DJ233" s="330"/>
      <c r="DK233" s="330">
        <v>1</v>
      </c>
      <c r="DL233" s="330" t="s">
        <v>2249</v>
      </c>
      <c r="DM233" s="330"/>
      <c r="DN233" s="330"/>
      <c r="DO233" s="330"/>
      <c r="DP233" s="330"/>
      <c r="DQ233" s="338" t="s">
        <v>197</v>
      </c>
      <c r="DR233" s="330"/>
      <c r="DS233" s="330"/>
      <c r="DT233" s="330"/>
      <c r="DU233" s="338" t="s">
        <v>197</v>
      </c>
      <c r="DV233" s="330"/>
      <c r="DW233" s="330"/>
      <c r="DX233" s="330"/>
      <c r="DY233" s="338" t="s">
        <v>197</v>
      </c>
      <c r="DZ233" s="330"/>
      <c r="EA233" s="330"/>
      <c r="EB233" s="330"/>
      <c r="EC233" s="330" t="s">
        <v>197</v>
      </c>
      <c r="ED233" s="338" t="s">
        <v>197</v>
      </c>
      <c r="EE233" s="330">
        <v>60</v>
      </c>
      <c r="EF233" s="330">
        <v>475</v>
      </c>
      <c r="EG233" s="330"/>
      <c r="EH233" s="330"/>
      <c r="EI233" s="330"/>
      <c r="EJ233" s="330"/>
      <c r="EK233" s="330"/>
      <c r="EL233" s="330"/>
      <c r="EM233" s="330"/>
      <c r="EN233" s="330"/>
      <c r="EO233" s="330"/>
      <c r="EP233" s="330"/>
      <c r="EQ233" s="332" t="s">
        <v>224</v>
      </c>
      <c r="ER233" s="330"/>
      <c r="ES233" s="330"/>
      <c r="ET233" s="332" t="s">
        <v>245</v>
      </c>
      <c r="EU233" s="332" t="s">
        <v>354</v>
      </c>
      <c r="EV233" s="330"/>
      <c r="EW233" s="330"/>
      <c r="EX233" s="330" t="s">
        <v>200</v>
      </c>
      <c r="EY233" s="330"/>
      <c r="EZ233" s="330" t="s">
        <v>247</v>
      </c>
      <c r="FA233" s="330"/>
      <c r="FB233" s="330" t="s">
        <v>247</v>
      </c>
      <c r="FC233" s="330" t="s">
        <v>202</v>
      </c>
      <c r="FD233" s="332" t="s">
        <v>190</v>
      </c>
      <c r="FE233" s="330"/>
      <c r="FF233" s="330"/>
      <c r="FG233" s="330" t="s">
        <v>203</v>
      </c>
      <c r="FH233" s="330" t="s">
        <v>4108</v>
      </c>
      <c r="FI233" s="330" t="s">
        <v>204</v>
      </c>
      <c r="FJ233" s="330"/>
      <c r="FK233" s="330" t="s">
        <v>1146</v>
      </c>
      <c r="FL233" s="330"/>
      <c r="FM233" s="330"/>
      <c r="FN233" s="330" t="s">
        <v>2250</v>
      </c>
      <c r="FO233" s="330"/>
      <c r="FP233" s="330" t="s">
        <v>1983</v>
      </c>
      <c r="FQ233" s="330"/>
      <c r="FR233" s="330"/>
      <c r="FS233" s="330"/>
      <c r="FT233" s="330"/>
      <c r="FU233" s="330"/>
    </row>
    <row r="234" spans="1:177" ht="409.5" x14ac:dyDescent="0.25">
      <c r="A234" s="330">
        <v>233</v>
      </c>
      <c r="B234" s="331" t="s">
        <v>2249</v>
      </c>
      <c r="C234" s="330"/>
      <c r="D234" s="332" t="s">
        <v>2240</v>
      </c>
      <c r="E234" s="332" t="s">
        <v>2241</v>
      </c>
      <c r="F234" s="332" t="s">
        <v>1146</v>
      </c>
      <c r="G234" s="330" t="s">
        <v>1147</v>
      </c>
      <c r="H234" s="331">
        <v>400</v>
      </c>
      <c r="I234" s="330"/>
      <c r="J234" s="332" t="s">
        <v>2242</v>
      </c>
      <c r="K234" s="332" t="s">
        <v>2251</v>
      </c>
      <c r="L234" s="330" t="s">
        <v>284</v>
      </c>
      <c r="M234" s="332" t="s">
        <v>751</v>
      </c>
      <c r="N234" s="330"/>
      <c r="O234" s="333"/>
      <c r="P234" s="333"/>
      <c r="Q234" s="333">
        <v>679</v>
      </c>
      <c r="R234" s="333">
        <v>204</v>
      </c>
      <c r="S234" s="333"/>
      <c r="T234" s="333"/>
      <c r="U234" s="333"/>
      <c r="V234" s="333"/>
      <c r="W234" s="330"/>
      <c r="X234" s="330"/>
      <c r="Y234" s="332" t="s">
        <v>2244</v>
      </c>
      <c r="Z234" s="330" t="s">
        <v>215</v>
      </c>
      <c r="AA234" s="330" t="s">
        <v>2245</v>
      </c>
      <c r="AB234" s="330" t="s">
        <v>189</v>
      </c>
      <c r="AC234" s="330" t="b">
        <v>1</v>
      </c>
      <c r="AD234" s="330" t="s">
        <v>924</v>
      </c>
      <c r="AE234" s="330">
        <v>5</v>
      </c>
      <c r="AF234" s="330">
        <v>23</v>
      </c>
      <c r="AG234" s="332" t="s">
        <v>2246</v>
      </c>
      <c r="AH234" s="332" t="s">
        <v>191</v>
      </c>
      <c r="AI234" s="330" t="s">
        <v>191</v>
      </c>
      <c r="AJ234" s="330" t="s">
        <v>191</v>
      </c>
      <c r="AK234" s="330" t="s">
        <v>627</v>
      </c>
      <c r="AL234" s="330"/>
      <c r="AM234" s="330"/>
      <c r="AN234" s="330"/>
      <c r="AO234" s="330"/>
      <c r="AP234" s="332" t="s">
        <v>259</v>
      </c>
      <c r="AQ234" s="330"/>
      <c r="AR234" s="330"/>
      <c r="AS234" s="330"/>
      <c r="AT234" s="330"/>
      <c r="AU234" s="332"/>
      <c r="AV234" s="334">
        <v>46111.404765810184</v>
      </c>
      <c r="AW234" s="330"/>
      <c r="AX234" s="335">
        <v>46160</v>
      </c>
      <c r="AY234" s="330"/>
      <c r="AZ234" s="330"/>
      <c r="BA234" s="330"/>
      <c r="BB234" s="330"/>
      <c r="BC234" s="336">
        <v>46181</v>
      </c>
      <c r="BD234" s="330"/>
      <c r="BE234" s="330"/>
      <c r="BF234" s="330"/>
      <c r="BG234" s="330"/>
      <c r="BH234" s="330" t="s">
        <v>193</v>
      </c>
      <c r="BI234" s="330">
        <v>204</v>
      </c>
      <c r="BJ234" s="330"/>
      <c r="BK234" s="330"/>
      <c r="BL234" s="330"/>
      <c r="BM234" s="332"/>
      <c r="BN234" s="330"/>
      <c r="BO234" s="330" t="s">
        <v>240</v>
      </c>
      <c r="BP234" s="330" t="s">
        <v>220</v>
      </c>
      <c r="BQ234" s="330" t="s">
        <v>909</v>
      </c>
      <c r="BR234" s="330" t="s">
        <v>193</v>
      </c>
      <c r="BS234" s="330" t="s">
        <v>2247</v>
      </c>
      <c r="BT234" s="330" t="s">
        <v>193</v>
      </c>
      <c r="BU234" s="330" t="s">
        <v>2248</v>
      </c>
      <c r="BV234" s="330" t="s">
        <v>220</v>
      </c>
      <c r="BW234" s="330"/>
      <c r="BX234" s="332"/>
      <c r="BY234" s="330"/>
      <c r="BZ234" s="330"/>
      <c r="CA234" s="330"/>
      <c r="CB234" s="330"/>
      <c r="CC234" s="337" t="s">
        <v>81</v>
      </c>
      <c r="CD234" s="330" t="b">
        <v>1</v>
      </c>
      <c r="CE234" s="330" t="b">
        <v>1</v>
      </c>
      <c r="CF234" s="330" t="b">
        <v>1</v>
      </c>
      <c r="CG234" s="330"/>
      <c r="CH234" s="330"/>
      <c r="CI234" s="330"/>
      <c r="CJ234" s="330"/>
      <c r="CK234" s="330"/>
      <c r="CL234" s="330"/>
      <c r="CM234" s="330"/>
      <c r="CN234" s="330"/>
      <c r="CO234" s="330"/>
      <c r="CP234" s="330"/>
      <c r="CQ234" s="330"/>
      <c r="CR234" s="330"/>
      <c r="CS234" s="330"/>
      <c r="CT234" s="330"/>
      <c r="CU234" s="330"/>
      <c r="CV234" s="330"/>
      <c r="CW234" s="330"/>
      <c r="CX234" s="330"/>
      <c r="CY234" s="330"/>
      <c r="CZ234" s="330"/>
      <c r="DA234" s="330"/>
      <c r="DB234" s="330" t="b">
        <v>1</v>
      </c>
      <c r="DC234" s="330" t="b">
        <v>1</v>
      </c>
      <c r="DD234" s="330"/>
      <c r="DE234" s="330"/>
      <c r="DF234" s="338">
        <v>25037</v>
      </c>
      <c r="DG234" s="330" t="s">
        <v>221</v>
      </c>
      <c r="DH234" s="330"/>
      <c r="DI234" s="338" t="s">
        <v>638</v>
      </c>
      <c r="DJ234" s="330"/>
      <c r="DK234" s="330">
        <v>2</v>
      </c>
      <c r="DL234" s="330" t="s">
        <v>2249</v>
      </c>
      <c r="DM234" s="330"/>
      <c r="DN234" s="330"/>
      <c r="DO234" s="330"/>
      <c r="DP234" s="330"/>
      <c r="DQ234" s="338" t="s">
        <v>197</v>
      </c>
      <c r="DR234" s="330"/>
      <c r="DS234" s="330"/>
      <c r="DT234" s="330"/>
      <c r="DU234" s="338" t="s">
        <v>197</v>
      </c>
      <c r="DV234" s="330"/>
      <c r="DW234" s="330"/>
      <c r="DX234" s="330"/>
      <c r="DY234" s="338" t="s">
        <v>197</v>
      </c>
      <c r="DZ234" s="330"/>
      <c r="EA234" s="330"/>
      <c r="EB234" s="330"/>
      <c r="EC234" s="330" t="s">
        <v>197</v>
      </c>
      <c r="ED234" s="338" t="s">
        <v>197</v>
      </c>
      <c r="EE234" s="330">
        <v>50</v>
      </c>
      <c r="EF234" s="330">
        <v>450</v>
      </c>
      <c r="EG234" s="330"/>
      <c r="EH234" s="330"/>
      <c r="EI234" s="330"/>
      <c r="EJ234" s="330"/>
      <c r="EK234" s="330"/>
      <c r="EL234" s="330"/>
      <c r="EM234" s="330"/>
      <c r="EN234" s="330"/>
      <c r="EO234" s="330"/>
      <c r="EP234" s="330"/>
      <c r="EQ234" s="332" t="s">
        <v>224</v>
      </c>
      <c r="ER234" s="330"/>
      <c r="ES234" s="330"/>
      <c r="ET234" s="332" t="s">
        <v>245</v>
      </c>
      <c r="EU234" s="332" t="s">
        <v>354</v>
      </c>
      <c r="EV234" s="330"/>
      <c r="EW234" s="330"/>
      <c r="EX234" s="330" t="s">
        <v>200</v>
      </c>
      <c r="EY234" s="330"/>
      <c r="EZ234" s="330" t="s">
        <v>247</v>
      </c>
      <c r="FA234" s="330"/>
      <c r="FB234" s="330" t="s">
        <v>247</v>
      </c>
      <c r="FC234" s="330" t="s">
        <v>202</v>
      </c>
      <c r="FD234" s="332" t="s">
        <v>190</v>
      </c>
      <c r="FE234" s="330"/>
      <c r="FF234" s="330"/>
      <c r="FG234" s="330" t="s">
        <v>203</v>
      </c>
      <c r="FH234" s="330"/>
      <c r="FI234" s="330" t="s">
        <v>204</v>
      </c>
      <c r="FJ234" s="330"/>
      <c r="FK234" s="330" t="s">
        <v>1146</v>
      </c>
      <c r="FL234" s="330"/>
      <c r="FM234" s="330"/>
      <c r="FN234" s="330" t="s">
        <v>2252</v>
      </c>
      <c r="FO234" s="330"/>
      <c r="FP234" s="330" t="s">
        <v>2253</v>
      </c>
      <c r="FQ234" s="330"/>
      <c r="FR234" s="330"/>
      <c r="FS234" s="330"/>
      <c r="FT234" s="330"/>
      <c r="FU234" s="330"/>
    </row>
    <row r="235" spans="1:177" ht="51" x14ac:dyDescent="0.25">
      <c r="A235" s="330">
        <v>234</v>
      </c>
      <c r="B235" s="331" t="s">
        <v>2254</v>
      </c>
      <c r="C235" s="330"/>
      <c r="D235" s="332" t="s">
        <v>2255</v>
      </c>
      <c r="E235" s="332" t="s">
        <v>1944</v>
      </c>
      <c r="F235" s="332" t="s">
        <v>180</v>
      </c>
      <c r="G235" s="330" t="s">
        <v>181</v>
      </c>
      <c r="H235" s="331">
        <v>400</v>
      </c>
      <c r="I235" s="330"/>
      <c r="J235" s="332"/>
      <c r="K235" s="332" t="s">
        <v>2256</v>
      </c>
      <c r="L235" s="330" t="s">
        <v>284</v>
      </c>
      <c r="M235" s="332" t="s">
        <v>751</v>
      </c>
      <c r="N235" s="330"/>
      <c r="O235" s="333"/>
      <c r="P235" s="333"/>
      <c r="Q235" s="333">
        <v>1810</v>
      </c>
      <c r="R235" s="333">
        <v>125</v>
      </c>
      <c r="S235" s="333"/>
      <c r="T235" s="333"/>
      <c r="U235" s="333"/>
      <c r="V235" s="333"/>
      <c r="W235" s="330"/>
      <c r="X235" s="330"/>
      <c r="Y235" s="332" t="s">
        <v>2257</v>
      </c>
      <c r="Z235" s="330" t="s">
        <v>215</v>
      </c>
      <c r="AA235" s="330" t="s">
        <v>2258</v>
      </c>
      <c r="AB235" s="330" t="s">
        <v>217</v>
      </c>
      <c r="AC235" s="330" t="b">
        <v>1</v>
      </c>
      <c r="AD235" s="330" t="s">
        <v>2259</v>
      </c>
      <c r="AE235" s="330">
        <v>1</v>
      </c>
      <c r="AF235" s="330">
        <v>12</v>
      </c>
      <c r="AG235" s="332" t="s">
        <v>2260</v>
      </c>
      <c r="AH235" s="332" t="s">
        <v>191</v>
      </c>
      <c r="AI235" s="330" t="s">
        <v>191</v>
      </c>
      <c r="AJ235" s="330" t="s">
        <v>191</v>
      </c>
      <c r="AK235" s="330" t="s">
        <v>627</v>
      </c>
      <c r="AL235" s="330"/>
      <c r="AM235" s="330" t="s">
        <v>191</v>
      </c>
      <c r="AN235" s="330"/>
      <c r="AO235" s="330"/>
      <c r="AP235" s="332" t="s">
        <v>259</v>
      </c>
      <c r="AQ235" s="330"/>
      <c r="AR235" s="330"/>
      <c r="AS235" s="330"/>
      <c r="AT235" s="330"/>
      <c r="AU235" s="332"/>
      <c r="AV235" s="334">
        <v>46111.629448645836</v>
      </c>
      <c r="AW235" s="330"/>
      <c r="AX235" s="335">
        <v>46143</v>
      </c>
      <c r="AY235" s="330"/>
      <c r="AZ235" s="330"/>
      <c r="BA235" s="330"/>
      <c r="BB235" s="330"/>
      <c r="BC235" s="336">
        <v>46164</v>
      </c>
      <c r="BD235" s="330"/>
      <c r="BE235" s="330"/>
      <c r="BF235" s="330"/>
      <c r="BG235" s="330"/>
      <c r="BH235" s="330" t="s">
        <v>193</v>
      </c>
      <c r="BI235" s="330">
        <v>160</v>
      </c>
      <c r="BJ235" s="330"/>
      <c r="BK235" s="330"/>
      <c r="BL235" s="330"/>
      <c r="BM235" s="332"/>
      <c r="BN235" s="330"/>
      <c r="BO235" s="330" t="s">
        <v>240</v>
      </c>
      <c r="BP235" s="330" t="s">
        <v>193</v>
      </c>
      <c r="BQ235" s="330" t="s">
        <v>218</v>
      </c>
      <c r="BR235" s="330" t="s">
        <v>193</v>
      </c>
      <c r="BS235" s="330" t="s">
        <v>2261</v>
      </c>
      <c r="BT235" s="330" t="s">
        <v>193</v>
      </c>
      <c r="BU235" s="330" t="s">
        <v>2262</v>
      </c>
      <c r="BV235" s="330" t="s">
        <v>220</v>
      </c>
      <c r="BW235" s="330"/>
      <c r="BX235" s="332"/>
      <c r="BY235" s="330"/>
      <c r="BZ235" s="330"/>
      <c r="CA235" s="330"/>
      <c r="CB235" s="330"/>
      <c r="CC235" s="337" t="s">
        <v>81</v>
      </c>
      <c r="CD235" s="330" t="b">
        <v>1</v>
      </c>
      <c r="CE235" s="330" t="b">
        <v>1</v>
      </c>
      <c r="CF235" s="330" t="b">
        <v>1</v>
      </c>
      <c r="CG235" s="330"/>
      <c r="CH235" s="330"/>
      <c r="CI235" s="330"/>
      <c r="CJ235" s="330"/>
      <c r="CK235" s="330"/>
      <c r="CL235" s="330"/>
      <c r="CM235" s="330"/>
      <c r="CN235" s="330"/>
      <c r="CO235" s="330"/>
      <c r="CP235" s="330"/>
      <c r="CQ235" s="330"/>
      <c r="CR235" s="330"/>
      <c r="CS235" s="330"/>
      <c r="CT235" s="330"/>
      <c r="CU235" s="330"/>
      <c r="CV235" s="330"/>
      <c r="CW235" s="330"/>
      <c r="CX235" s="330"/>
      <c r="CY235" s="330"/>
      <c r="CZ235" s="330"/>
      <c r="DA235" s="330"/>
      <c r="DB235" s="330" t="b">
        <v>1</v>
      </c>
      <c r="DC235" s="330" t="b">
        <v>1</v>
      </c>
      <c r="DD235" s="330"/>
      <c r="DE235" s="330"/>
      <c r="DF235" s="338">
        <v>25044</v>
      </c>
      <c r="DG235" s="330" t="s">
        <v>221</v>
      </c>
      <c r="DH235" s="330"/>
      <c r="DI235" s="338" t="s">
        <v>196</v>
      </c>
      <c r="DJ235" s="330"/>
      <c r="DK235" s="330">
        <v>1</v>
      </c>
      <c r="DL235" s="330" t="s">
        <v>2263</v>
      </c>
      <c r="DM235" s="330"/>
      <c r="DN235" s="330"/>
      <c r="DO235" s="330"/>
      <c r="DP235" s="330"/>
      <c r="DQ235" s="338" t="s">
        <v>197</v>
      </c>
      <c r="DR235" s="330"/>
      <c r="DS235" s="330"/>
      <c r="DT235" s="330"/>
      <c r="DU235" s="338" t="s">
        <v>197</v>
      </c>
      <c r="DV235" s="330"/>
      <c r="DW235" s="330"/>
      <c r="DX235" s="330"/>
      <c r="DY235" s="338" t="s">
        <v>197</v>
      </c>
      <c r="DZ235" s="330"/>
      <c r="EA235" s="330"/>
      <c r="EB235" s="330"/>
      <c r="EC235" s="330" t="s">
        <v>197</v>
      </c>
      <c r="ED235" s="338" t="s">
        <v>197</v>
      </c>
      <c r="EE235" s="330">
        <v>60</v>
      </c>
      <c r="EF235" s="330">
        <v>200</v>
      </c>
      <c r="EG235" s="330"/>
      <c r="EH235" s="330"/>
      <c r="EI235" s="330"/>
      <c r="EJ235" s="330"/>
      <c r="EK235" s="330"/>
      <c r="EL235" s="330"/>
      <c r="EM235" s="330"/>
      <c r="EN235" s="330"/>
      <c r="EO235" s="330"/>
      <c r="EP235" s="330"/>
      <c r="EQ235" s="332" t="s">
        <v>224</v>
      </c>
      <c r="ER235" s="330"/>
      <c r="ES235" s="330"/>
      <c r="ET235" s="332" t="s">
        <v>245</v>
      </c>
      <c r="EU235" s="332" t="s">
        <v>354</v>
      </c>
      <c r="EV235" s="330"/>
      <c r="EW235" s="330"/>
      <c r="EX235" s="330" t="s">
        <v>200</v>
      </c>
      <c r="EY235" s="330"/>
      <c r="EZ235" s="330" t="s">
        <v>247</v>
      </c>
      <c r="FA235" s="330"/>
      <c r="FB235" s="330" t="s">
        <v>247</v>
      </c>
      <c r="FC235" s="330" t="s">
        <v>202</v>
      </c>
      <c r="FD235" s="332" t="s">
        <v>190</v>
      </c>
      <c r="FE235" s="330"/>
      <c r="FF235" s="330"/>
      <c r="FG235" s="330" t="s">
        <v>203</v>
      </c>
      <c r="FH235" s="330" t="s">
        <v>2264</v>
      </c>
      <c r="FI235" s="330" t="s">
        <v>204</v>
      </c>
      <c r="FJ235" s="330"/>
      <c r="FK235" s="330" t="s">
        <v>180</v>
      </c>
      <c r="FL235" s="330"/>
      <c r="FM235" s="330" t="s">
        <v>191</v>
      </c>
      <c r="FN235" s="330" t="s">
        <v>2265</v>
      </c>
      <c r="FO235" s="330"/>
      <c r="FP235" s="330" t="s">
        <v>2108</v>
      </c>
      <c r="FQ235" s="330"/>
      <c r="FR235" s="330"/>
      <c r="FS235" s="330"/>
      <c r="FT235" s="330"/>
      <c r="FU235" s="330"/>
    </row>
    <row r="236" spans="1:177" ht="51" x14ac:dyDescent="0.25">
      <c r="A236" s="330">
        <v>235</v>
      </c>
      <c r="B236" s="331" t="s">
        <v>2266</v>
      </c>
      <c r="C236" s="330"/>
      <c r="D236" s="332" t="s">
        <v>2255</v>
      </c>
      <c r="E236" s="332" t="s">
        <v>1944</v>
      </c>
      <c r="F236" s="332" t="s">
        <v>180</v>
      </c>
      <c r="G236" s="330" t="s">
        <v>181</v>
      </c>
      <c r="H236" s="331">
        <v>400</v>
      </c>
      <c r="I236" s="330"/>
      <c r="J236" s="332"/>
      <c r="K236" s="332" t="s">
        <v>2267</v>
      </c>
      <c r="L236" s="330" t="s">
        <v>284</v>
      </c>
      <c r="M236" s="332" t="s">
        <v>751</v>
      </c>
      <c r="N236" s="330"/>
      <c r="O236" s="333"/>
      <c r="P236" s="333"/>
      <c r="Q236" s="333">
        <v>1810</v>
      </c>
      <c r="R236" s="333">
        <v>135</v>
      </c>
      <c r="S236" s="333"/>
      <c r="T236" s="333"/>
      <c r="U236" s="333"/>
      <c r="V236" s="333"/>
      <c r="W236" s="330"/>
      <c r="X236" s="330"/>
      <c r="Y236" s="332" t="s">
        <v>2257</v>
      </c>
      <c r="Z236" s="330" t="s">
        <v>215</v>
      </c>
      <c r="AA236" s="330" t="s">
        <v>2258</v>
      </c>
      <c r="AB236" s="330" t="s">
        <v>217</v>
      </c>
      <c r="AC236" s="330" t="b">
        <v>1</v>
      </c>
      <c r="AD236" s="330" t="s">
        <v>2259</v>
      </c>
      <c r="AE236" s="330">
        <v>3</v>
      </c>
      <c r="AF236" s="330">
        <v>18</v>
      </c>
      <c r="AG236" s="332" t="s">
        <v>2260</v>
      </c>
      <c r="AH236" s="332" t="s">
        <v>191</v>
      </c>
      <c r="AI236" s="330" t="s">
        <v>191</v>
      </c>
      <c r="AJ236" s="330" t="s">
        <v>191</v>
      </c>
      <c r="AK236" s="330" t="s">
        <v>627</v>
      </c>
      <c r="AL236" s="330"/>
      <c r="AM236" s="330" t="s">
        <v>191</v>
      </c>
      <c r="AN236" s="330"/>
      <c r="AO236" s="330"/>
      <c r="AP236" s="332" t="s">
        <v>259</v>
      </c>
      <c r="AQ236" s="330"/>
      <c r="AR236" s="330"/>
      <c r="AS236" s="330"/>
      <c r="AT236" s="330"/>
      <c r="AU236" s="332"/>
      <c r="AV236" s="334">
        <v>46111.632148680554</v>
      </c>
      <c r="AW236" s="330"/>
      <c r="AX236" s="335">
        <v>46153</v>
      </c>
      <c r="AY236" s="330"/>
      <c r="AZ236" s="330"/>
      <c r="BA236" s="330"/>
      <c r="BB236" s="330"/>
      <c r="BC236" s="336">
        <v>46173</v>
      </c>
      <c r="BD236" s="330"/>
      <c r="BE236" s="330"/>
      <c r="BF236" s="330"/>
      <c r="BG236" s="330"/>
      <c r="BH236" s="330" t="s">
        <v>193</v>
      </c>
      <c r="BI236" s="330">
        <v>160</v>
      </c>
      <c r="BJ236" s="330"/>
      <c r="BK236" s="330"/>
      <c r="BL236" s="330"/>
      <c r="BM236" s="332"/>
      <c r="BN236" s="330"/>
      <c r="BO236" s="330" t="s">
        <v>240</v>
      </c>
      <c r="BP236" s="330" t="s">
        <v>193</v>
      </c>
      <c r="BQ236" s="330" t="s">
        <v>218</v>
      </c>
      <c r="BR236" s="330" t="s">
        <v>193</v>
      </c>
      <c r="BS236" s="330" t="s">
        <v>2261</v>
      </c>
      <c r="BT236" s="330" t="s">
        <v>193</v>
      </c>
      <c r="BU236" s="330" t="s">
        <v>2262</v>
      </c>
      <c r="BV236" s="330" t="s">
        <v>220</v>
      </c>
      <c r="BW236" s="330"/>
      <c r="BX236" s="332"/>
      <c r="BY236" s="330"/>
      <c r="BZ236" s="330"/>
      <c r="CA236" s="330"/>
      <c r="CB236" s="330"/>
      <c r="CC236" s="337" t="s">
        <v>81</v>
      </c>
      <c r="CD236" s="330" t="b">
        <v>1</v>
      </c>
      <c r="CE236" s="330" t="b">
        <v>1</v>
      </c>
      <c r="CF236" s="330" t="b">
        <v>1</v>
      </c>
      <c r="CG236" s="330"/>
      <c r="CH236" s="330"/>
      <c r="CI236" s="330"/>
      <c r="CJ236" s="330"/>
      <c r="CK236" s="330"/>
      <c r="CL236" s="330"/>
      <c r="CM236" s="330"/>
      <c r="CN236" s="330"/>
      <c r="CO236" s="330"/>
      <c r="CP236" s="330"/>
      <c r="CQ236" s="330"/>
      <c r="CR236" s="330"/>
      <c r="CS236" s="330"/>
      <c r="CT236" s="330"/>
      <c r="CU236" s="330"/>
      <c r="CV236" s="330"/>
      <c r="CW236" s="330"/>
      <c r="CX236" s="330"/>
      <c r="CY236" s="330"/>
      <c r="CZ236" s="330"/>
      <c r="DA236" s="330"/>
      <c r="DB236" s="330" t="b">
        <v>1</v>
      </c>
      <c r="DC236" s="330" t="b">
        <v>1</v>
      </c>
      <c r="DD236" s="330"/>
      <c r="DE236" s="330"/>
      <c r="DF236" s="338">
        <v>25044</v>
      </c>
      <c r="DG236" s="330" t="s">
        <v>221</v>
      </c>
      <c r="DH236" s="330"/>
      <c r="DI236" s="338" t="s">
        <v>638</v>
      </c>
      <c r="DJ236" s="330"/>
      <c r="DK236" s="330">
        <v>2</v>
      </c>
      <c r="DL236" s="330" t="s">
        <v>2263</v>
      </c>
      <c r="DM236" s="330"/>
      <c r="DN236" s="330"/>
      <c r="DO236" s="330"/>
      <c r="DP236" s="330"/>
      <c r="DQ236" s="338" t="s">
        <v>197</v>
      </c>
      <c r="DR236" s="330"/>
      <c r="DS236" s="330"/>
      <c r="DT236" s="330"/>
      <c r="DU236" s="338" t="s">
        <v>197</v>
      </c>
      <c r="DV236" s="330"/>
      <c r="DW236" s="330"/>
      <c r="DX236" s="330"/>
      <c r="DY236" s="338" t="s">
        <v>197</v>
      </c>
      <c r="DZ236" s="330"/>
      <c r="EA236" s="330"/>
      <c r="EB236" s="330"/>
      <c r="EC236" s="330" t="s">
        <v>197</v>
      </c>
      <c r="ED236" s="338" t="s">
        <v>197</v>
      </c>
      <c r="EE236" s="330">
        <v>65</v>
      </c>
      <c r="EF236" s="330">
        <v>210</v>
      </c>
      <c r="EG236" s="330"/>
      <c r="EH236" s="330"/>
      <c r="EI236" s="330"/>
      <c r="EJ236" s="330"/>
      <c r="EK236" s="330"/>
      <c r="EL236" s="330"/>
      <c r="EM236" s="330"/>
      <c r="EN236" s="330"/>
      <c r="EO236" s="330"/>
      <c r="EP236" s="330"/>
      <c r="EQ236" s="332" t="s">
        <v>224</v>
      </c>
      <c r="ER236" s="330"/>
      <c r="ES236" s="330"/>
      <c r="ET236" s="332" t="s">
        <v>245</v>
      </c>
      <c r="EU236" s="332" t="s">
        <v>354</v>
      </c>
      <c r="EV236" s="330"/>
      <c r="EW236" s="330"/>
      <c r="EX236" s="330" t="s">
        <v>200</v>
      </c>
      <c r="EY236" s="330"/>
      <c r="EZ236" s="330" t="s">
        <v>247</v>
      </c>
      <c r="FA236" s="330"/>
      <c r="FB236" s="330" t="s">
        <v>247</v>
      </c>
      <c r="FC236" s="330" t="s">
        <v>202</v>
      </c>
      <c r="FD236" s="332" t="s">
        <v>190</v>
      </c>
      <c r="FE236" s="330"/>
      <c r="FF236" s="330"/>
      <c r="FG236" s="330" t="s">
        <v>203</v>
      </c>
      <c r="FH236" s="330" t="s">
        <v>2264</v>
      </c>
      <c r="FI236" s="330" t="s">
        <v>204</v>
      </c>
      <c r="FJ236" s="330"/>
      <c r="FK236" s="330" t="s">
        <v>180</v>
      </c>
      <c r="FL236" s="330"/>
      <c r="FM236" s="330" t="s">
        <v>191</v>
      </c>
      <c r="FN236" s="330" t="s">
        <v>2268</v>
      </c>
      <c r="FO236" s="330"/>
      <c r="FP236" s="330" t="s">
        <v>1983</v>
      </c>
      <c r="FQ236" s="330"/>
      <c r="FR236" s="330"/>
      <c r="FS236" s="330"/>
      <c r="FT236" s="330"/>
      <c r="FU236" s="330"/>
    </row>
    <row r="237" spans="1:177" ht="51" x14ac:dyDescent="0.25">
      <c r="A237" s="330">
        <v>236</v>
      </c>
      <c r="B237" s="331" t="s">
        <v>2269</v>
      </c>
      <c r="C237" s="330"/>
      <c r="D237" s="332" t="s">
        <v>2255</v>
      </c>
      <c r="E237" s="332" t="s">
        <v>1944</v>
      </c>
      <c r="F237" s="332" t="s">
        <v>180</v>
      </c>
      <c r="G237" s="330" t="s">
        <v>181</v>
      </c>
      <c r="H237" s="331">
        <v>400</v>
      </c>
      <c r="I237" s="330"/>
      <c r="J237" s="332"/>
      <c r="K237" s="332" t="s">
        <v>2270</v>
      </c>
      <c r="L237" s="330" t="s">
        <v>284</v>
      </c>
      <c r="M237" s="332" t="s">
        <v>751</v>
      </c>
      <c r="N237" s="330"/>
      <c r="O237" s="333"/>
      <c r="P237" s="333"/>
      <c r="Q237" s="333">
        <v>1810</v>
      </c>
      <c r="R237" s="333">
        <v>150</v>
      </c>
      <c r="S237" s="333"/>
      <c r="T237" s="333"/>
      <c r="U237" s="333"/>
      <c r="V237" s="333"/>
      <c r="W237" s="330"/>
      <c r="X237" s="330"/>
      <c r="Y237" s="332" t="s">
        <v>2257</v>
      </c>
      <c r="Z237" s="330" t="s">
        <v>215</v>
      </c>
      <c r="AA237" s="330" t="s">
        <v>2258</v>
      </c>
      <c r="AB237" s="330" t="s">
        <v>217</v>
      </c>
      <c r="AC237" s="330" t="b">
        <v>1</v>
      </c>
      <c r="AD237" s="330" t="s">
        <v>2259</v>
      </c>
      <c r="AE237" s="330">
        <v>4</v>
      </c>
      <c r="AF237" s="330">
        <v>25</v>
      </c>
      <c r="AG237" s="332" t="s">
        <v>2260</v>
      </c>
      <c r="AH237" s="332" t="s">
        <v>191</v>
      </c>
      <c r="AI237" s="330" t="s">
        <v>191</v>
      </c>
      <c r="AJ237" s="330" t="s">
        <v>191</v>
      </c>
      <c r="AK237" s="330" t="s">
        <v>627</v>
      </c>
      <c r="AL237" s="330"/>
      <c r="AM237" s="330" t="s">
        <v>191</v>
      </c>
      <c r="AN237" s="330"/>
      <c r="AO237" s="330"/>
      <c r="AP237" s="332" t="s">
        <v>259</v>
      </c>
      <c r="AQ237" s="330"/>
      <c r="AR237" s="330"/>
      <c r="AS237" s="330"/>
      <c r="AT237" s="330"/>
      <c r="AU237" s="332"/>
      <c r="AV237" s="334">
        <v>46111.634492418983</v>
      </c>
      <c r="AW237" s="330"/>
      <c r="AX237" s="335">
        <v>46162</v>
      </c>
      <c r="AY237" s="330"/>
      <c r="AZ237" s="330"/>
      <c r="BA237" s="330"/>
      <c r="BB237" s="330"/>
      <c r="BC237" s="336">
        <v>46183</v>
      </c>
      <c r="BD237" s="330"/>
      <c r="BE237" s="330"/>
      <c r="BF237" s="330"/>
      <c r="BG237" s="330"/>
      <c r="BH237" s="330" t="s">
        <v>193</v>
      </c>
      <c r="BI237" s="330">
        <v>160</v>
      </c>
      <c r="BJ237" s="330"/>
      <c r="BK237" s="330"/>
      <c r="BL237" s="330"/>
      <c r="BM237" s="332"/>
      <c r="BN237" s="330"/>
      <c r="BO237" s="330" t="s">
        <v>240</v>
      </c>
      <c r="BP237" s="330" t="s">
        <v>193</v>
      </c>
      <c r="BQ237" s="330" t="s">
        <v>218</v>
      </c>
      <c r="BR237" s="330" t="s">
        <v>193</v>
      </c>
      <c r="BS237" s="330" t="s">
        <v>2261</v>
      </c>
      <c r="BT237" s="330" t="s">
        <v>193</v>
      </c>
      <c r="BU237" s="330" t="s">
        <v>2262</v>
      </c>
      <c r="BV237" s="330" t="s">
        <v>220</v>
      </c>
      <c r="BW237" s="330"/>
      <c r="BX237" s="332"/>
      <c r="BY237" s="330"/>
      <c r="BZ237" s="330"/>
      <c r="CA237" s="330"/>
      <c r="CB237" s="330"/>
      <c r="CC237" s="337" t="s">
        <v>81</v>
      </c>
      <c r="CD237" s="330" t="b">
        <v>1</v>
      </c>
      <c r="CE237" s="330" t="b">
        <v>1</v>
      </c>
      <c r="CF237" s="330" t="b">
        <v>1</v>
      </c>
      <c r="CG237" s="330"/>
      <c r="CH237" s="330"/>
      <c r="CI237" s="330"/>
      <c r="CJ237" s="330"/>
      <c r="CK237" s="330"/>
      <c r="CL237" s="330"/>
      <c r="CM237" s="330"/>
      <c r="CN237" s="330"/>
      <c r="CO237" s="330"/>
      <c r="CP237" s="330"/>
      <c r="CQ237" s="330"/>
      <c r="CR237" s="330"/>
      <c r="CS237" s="330"/>
      <c r="CT237" s="330"/>
      <c r="CU237" s="330"/>
      <c r="CV237" s="330"/>
      <c r="CW237" s="330"/>
      <c r="CX237" s="330"/>
      <c r="CY237" s="330"/>
      <c r="CZ237" s="330"/>
      <c r="DA237" s="330"/>
      <c r="DB237" s="330" t="b">
        <v>1</v>
      </c>
      <c r="DC237" s="330" t="b">
        <v>1</v>
      </c>
      <c r="DD237" s="330"/>
      <c r="DE237" s="330"/>
      <c r="DF237" s="338">
        <v>25044</v>
      </c>
      <c r="DG237" s="330" t="s">
        <v>221</v>
      </c>
      <c r="DH237" s="330"/>
      <c r="DI237" s="338" t="s">
        <v>746</v>
      </c>
      <c r="DJ237" s="330"/>
      <c r="DK237" s="330">
        <v>3</v>
      </c>
      <c r="DL237" s="330" t="s">
        <v>2263</v>
      </c>
      <c r="DM237" s="330"/>
      <c r="DN237" s="330"/>
      <c r="DO237" s="330"/>
      <c r="DP237" s="330"/>
      <c r="DQ237" s="338" t="s">
        <v>197</v>
      </c>
      <c r="DR237" s="330"/>
      <c r="DS237" s="330"/>
      <c r="DT237" s="330"/>
      <c r="DU237" s="338" t="s">
        <v>197</v>
      </c>
      <c r="DV237" s="330"/>
      <c r="DW237" s="330"/>
      <c r="DX237" s="330"/>
      <c r="DY237" s="338" t="s">
        <v>197</v>
      </c>
      <c r="DZ237" s="330"/>
      <c r="EA237" s="330"/>
      <c r="EB237" s="330"/>
      <c r="EC237" s="330" t="s">
        <v>197</v>
      </c>
      <c r="ED237" s="338" t="s">
        <v>197</v>
      </c>
      <c r="EE237" s="330">
        <v>70</v>
      </c>
      <c r="EF237" s="330">
        <v>245</v>
      </c>
      <c r="EG237" s="330"/>
      <c r="EH237" s="330"/>
      <c r="EI237" s="330"/>
      <c r="EJ237" s="330"/>
      <c r="EK237" s="330"/>
      <c r="EL237" s="330"/>
      <c r="EM237" s="330"/>
      <c r="EN237" s="330"/>
      <c r="EO237" s="330"/>
      <c r="EP237" s="330"/>
      <c r="EQ237" s="332" t="s">
        <v>224</v>
      </c>
      <c r="ER237" s="330"/>
      <c r="ES237" s="330"/>
      <c r="ET237" s="332" t="s">
        <v>245</v>
      </c>
      <c r="EU237" s="332" t="s">
        <v>354</v>
      </c>
      <c r="EV237" s="330"/>
      <c r="EW237" s="330"/>
      <c r="EX237" s="330" t="s">
        <v>200</v>
      </c>
      <c r="EY237" s="330"/>
      <c r="EZ237" s="330" t="s">
        <v>247</v>
      </c>
      <c r="FA237" s="330"/>
      <c r="FB237" s="330" t="s">
        <v>247</v>
      </c>
      <c r="FC237" s="330" t="s">
        <v>202</v>
      </c>
      <c r="FD237" s="332" t="s">
        <v>190</v>
      </c>
      <c r="FE237" s="330"/>
      <c r="FF237" s="330"/>
      <c r="FG237" s="330" t="s">
        <v>203</v>
      </c>
      <c r="FH237" s="330" t="s">
        <v>2264</v>
      </c>
      <c r="FI237" s="330" t="s">
        <v>204</v>
      </c>
      <c r="FJ237" s="330"/>
      <c r="FK237" s="330" t="s">
        <v>180</v>
      </c>
      <c r="FL237" s="330"/>
      <c r="FM237" s="330" t="s">
        <v>191</v>
      </c>
      <c r="FN237" s="330" t="s">
        <v>2271</v>
      </c>
      <c r="FO237" s="330"/>
      <c r="FP237" s="330" t="s">
        <v>2253</v>
      </c>
      <c r="FQ237" s="330"/>
      <c r="FR237" s="330"/>
      <c r="FS237" s="330"/>
      <c r="FT237" s="330"/>
      <c r="FU237" s="330"/>
    </row>
    <row r="238" spans="1:177" ht="51" x14ac:dyDescent="0.25">
      <c r="A238" s="330">
        <v>237</v>
      </c>
      <c r="B238" s="331" t="s">
        <v>2272</v>
      </c>
      <c r="C238" s="330"/>
      <c r="D238" s="332" t="s">
        <v>2255</v>
      </c>
      <c r="E238" s="332" t="s">
        <v>1944</v>
      </c>
      <c r="F238" s="332" t="s">
        <v>180</v>
      </c>
      <c r="G238" s="330" t="s">
        <v>181</v>
      </c>
      <c r="H238" s="331">
        <v>400</v>
      </c>
      <c r="I238" s="330"/>
      <c r="J238" s="332"/>
      <c r="K238" s="332" t="s">
        <v>2273</v>
      </c>
      <c r="L238" s="330" t="s">
        <v>284</v>
      </c>
      <c r="M238" s="332" t="s">
        <v>751</v>
      </c>
      <c r="N238" s="330"/>
      <c r="O238" s="333"/>
      <c r="P238" s="333"/>
      <c r="Q238" s="333">
        <v>1810</v>
      </c>
      <c r="R238" s="333">
        <v>113</v>
      </c>
      <c r="S238" s="333"/>
      <c r="T238" s="333"/>
      <c r="U238" s="333"/>
      <c r="V238" s="333"/>
      <c r="W238" s="330"/>
      <c r="X238" s="330"/>
      <c r="Y238" s="332" t="s">
        <v>2257</v>
      </c>
      <c r="Z238" s="330" t="s">
        <v>215</v>
      </c>
      <c r="AA238" s="330" t="s">
        <v>2258</v>
      </c>
      <c r="AB238" s="330" t="s">
        <v>217</v>
      </c>
      <c r="AC238" s="330" t="b">
        <v>1</v>
      </c>
      <c r="AD238" s="330" t="s">
        <v>2259</v>
      </c>
      <c r="AE238" s="330">
        <v>5</v>
      </c>
      <c r="AF238" s="330">
        <v>32</v>
      </c>
      <c r="AG238" s="332" t="s">
        <v>2260</v>
      </c>
      <c r="AH238" s="332" t="s">
        <v>191</v>
      </c>
      <c r="AI238" s="330" t="s">
        <v>191</v>
      </c>
      <c r="AJ238" s="330" t="s">
        <v>191</v>
      </c>
      <c r="AK238" s="330" t="s">
        <v>627</v>
      </c>
      <c r="AL238" s="330"/>
      <c r="AM238" s="330" t="s">
        <v>191</v>
      </c>
      <c r="AN238" s="330"/>
      <c r="AO238" s="330"/>
      <c r="AP238" s="332" t="s">
        <v>259</v>
      </c>
      <c r="AQ238" s="330"/>
      <c r="AR238" s="330"/>
      <c r="AS238" s="330"/>
      <c r="AT238" s="330"/>
      <c r="AU238" s="332"/>
      <c r="AV238" s="334">
        <v>46111.636721030096</v>
      </c>
      <c r="AW238" s="330"/>
      <c r="AX238" s="335">
        <v>46171</v>
      </c>
      <c r="AY238" s="330"/>
      <c r="AZ238" s="330"/>
      <c r="BA238" s="330"/>
      <c r="BB238" s="330"/>
      <c r="BC238" s="336">
        <v>46192</v>
      </c>
      <c r="BD238" s="330"/>
      <c r="BE238" s="330"/>
      <c r="BF238" s="330"/>
      <c r="BG238" s="330"/>
      <c r="BH238" s="330" t="s">
        <v>193</v>
      </c>
      <c r="BI238" s="330">
        <v>160</v>
      </c>
      <c r="BJ238" s="330"/>
      <c r="BK238" s="330"/>
      <c r="BL238" s="330"/>
      <c r="BM238" s="332"/>
      <c r="BN238" s="330"/>
      <c r="BO238" s="330" t="s">
        <v>240</v>
      </c>
      <c r="BP238" s="330" t="s">
        <v>193</v>
      </c>
      <c r="BQ238" s="330" t="s">
        <v>218</v>
      </c>
      <c r="BR238" s="330" t="s">
        <v>193</v>
      </c>
      <c r="BS238" s="330" t="s">
        <v>2261</v>
      </c>
      <c r="BT238" s="330" t="s">
        <v>193</v>
      </c>
      <c r="BU238" s="330" t="s">
        <v>2262</v>
      </c>
      <c r="BV238" s="330" t="s">
        <v>220</v>
      </c>
      <c r="BW238" s="330"/>
      <c r="BX238" s="332"/>
      <c r="BY238" s="330"/>
      <c r="BZ238" s="330"/>
      <c r="CA238" s="330"/>
      <c r="CB238" s="330"/>
      <c r="CC238" s="337" t="s">
        <v>81</v>
      </c>
      <c r="CD238" s="330" t="b">
        <v>1</v>
      </c>
      <c r="CE238" s="330" t="b">
        <v>1</v>
      </c>
      <c r="CF238" s="330" t="b">
        <v>1</v>
      </c>
      <c r="CG238" s="330"/>
      <c r="CH238" s="330"/>
      <c r="CI238" s="330"/>
      <c r="CJ238" s="330"/>
      <c r="CK238" s="330"/>
      <c r="CL238" s="330"/>
      <c r="CM238" s="330"/>
      <c r="CN238" s="330"/>
      <c r="CO238" s="330"/>
      <c r="CP238" s="330"/>
      <c r="CQ238" s="330"/>
      <c r="CR238" s="330"/>
      <c r="CS238" s="330"/>
      <c r="CT238" s="330"/>
      <c r="CU238" s="330"/>
      <c r="CV238" s="330"/>
      <c r="CW238" s="330"/>
      <c r="CX238" s="330"/>
      <c r="CY238" s="330"/>
      <c r="CZ238" s="330"/>
      <c r="DA238" s="330"/>
      <c r="DB238" s="330" t="b">
        <v>1</v>
      </c>
      <c r="DC238" s="330" t="b">
        <v>1</v>
      </c>
      <c r="DD238" s="330"/>
      <c r="DE238" s="330"/>
      <c r="DF238" s="338">
        <v>25044</v>
      </c>
      <c r="DG238" s="330" t="s">
        <v>221</v>
      </c>
      <c r="DH238" s="330"/>
      <c r="DI238" s="338" t="s">
        <v>754</v>
      </c>
      <c r="DJ238" s="330"/>
      <c r="DK238" s="330">
        <v>4</v>
      </c>
      <c r="DL238" s="330" t="s">
        <v>2263</v>
      </c>
      <c r="DM238" s="330"/>
      <c r="DN238" s="330"/>
      <c r="DO238" s="330"/>
      <c r="DP238" s="330"/>
      <c r="DQ238" s="338" t="s">
        <v>197</v>
      </c>
      <c r="DR238" s="330"/>
      <c r="DS238" s="330"/>
      <c r="DT238" s="330"/>
      <c r="DU238" s="338" t="s">
        <v>197</v>
      </c>
      <c r="DV238" s="330"/>
      <c r="DW238" s="330"/>
      <c r="DX238" s="330"/>
      <c r="DY238" s="338" t="s">
        <v>197</v>
      </c>
      <c r="DZ238" s="330"/>
      <c r="EA238" s="330"/>
      <c r="EB238" s="330"/>
      <c r="EC238" s="330" t="s">
        <v>197</v>
      </c>
      <c r="ED238" s="338" t="s">
        <v>197</v>
      </c>
      <c r="EE238" s="330">
        <v>50</v>
      </c>
      <c r="EF238" s="330">
        <v>190</v>
      </c>
      <c r="EG238" s="330"/>
      <c r="EH238" s="330"/>
      <c r="EI238" s="330"/>
      <c r="EJ238" s="330"/>
      <c r="EK238" s="330"/>
      <c r="EL238" s="330"/>
      <c r="EM238" s="330"/>
      <c r="EN238" s="330"/>
      <c r="EO238" s="330"/>
      <c r="EP238" s="330"/>
      <c r="EQ238" s="332" t="s">
        <v>224</v>
      </c>
      <c r="ER238" s="330"/>
      <c r="ES238" s="330"/>
      <c r="ET238" s="332" t="s">
        <v>245</v>
      </c>
      <c r="EU238" s="332" t="s">
        <v>354</v>
      </c>
      <c r="EV238" s="330"/>
      <c r="EW238" s="330"/>
      <c r="EX238" s="330" t="s">
        <v>200</v>
      </c>
      <c r="EY238" s="330"/>
      <c r="EZ238" s="330" t="s">
        <v>247</v>
      </c>
      <c r="FA238" s="330"/>
      <c r="FB238" s="330" t="s">
        <v>247</v>
      </c>
      <c r="FC238" s="330" t="s">
        <v>202</v>
      </c>
      <c r="FD238" s="332" t="s">
        <v>190</v>
      </c>
      <c r="FE238" s="330"/>
      <c r="FF238" s="330"/>
      <c r="FG238" s="330" t="s">
        <v>203</v>
      </c>
      <c r="FH238" s="330" t="s">
        <v>2264</v>
      </c>
      <c r="FI238" s="330" t="s">
        <v>204</v>
      </c>
      <c r="FJ238" s="330"/>
      <c r="FK238" s="330" t="s">
        <v>180</v>
      </c>
      <c r="FL238" s="330"/>
      <c r="FM238" s="330" t="s">
        <v>191</v>
      </c>
      <c r="FN238" s="330" t="s">
        <v>2274</v>
      </c>
      <c r="FO238" s="330"/>
      <c r="FP238" s="330" t="s">
        <v>2275</v>
      </c>
      <c r="FQ238" s="330"/>
      <c r="FR238" s="330"/>
      <c r="FS238" s="330"/>
      <c r="FT238" s="330"/>
      <c r="FU238" s="330"/>
    </row>
    <row r="239" spans="1:177" ht="51" x14ac:dyDescent="0.25">
      <c r="A239" s="330">
        <v>238</v>
      </c>
      <c r="B239" s="331" t="s">
        <v>2276</v>
      </c>
      <c r="C239" s="330"/>
      <c r="D239" s="332" t="s">
        <v>2255</v>
      </c>
      <c r="E239" s="332" t="s">
        <v>1944</v>
      </c>
      <c r="F239" s="332" t="s">
        <v>180</v>
      </c>
      <c r="G239" s="330" t="s">
        <v>181</v>
      </c>
      <c r="H239" s="331">
        <v>400</v>
      </c>
      <c r="I239" s="330"/>
      <c r="J239" s="332"/>
      <c r="K239" s="332" t="s">
        <v>2277</v>
      </c>
      <c r="L239" s="330" t="s">
        <v>284</v>
      </c>
      <c r="M239" s="332" t="s">
        <v>751</v>
      </c>
      <c r="N239" s="330"/>
      <c r="O239" s="333"/>
      <c r="P239" s="333"/>
      <c r="Q239" s="333">
        <v>1810</v>
      </c>
      <c r="R239" s="333">
        <v>111</v>
      </c>
      <c r="S239" s="333"/>
      <c r="T239" s="333"/>
      <c r="U239" s="333"/>
      <c r="V239" s="333"/>
      <c r="W239" s="330"/>
      <c r="X239" s="330"/>
      <c r="Y239" s="332" t="s">
        <v>2257</v>
      </c>
      <c r="Z239" s="330" t="s">
        <v>215</v>
      </c>
      <c r="AA239" s="330" t="s">
        <v>2258</v>
      </c>
      <c r="AB239" s="330" t="s">
        <v>217</v>
      </c>
      <c r="AC239" s="330" t="b">
        <v>1</v>
      </c>
      <c r="AD239" s="330" t="s">
        <v>2259</v>
      </c>
      <c r="AE239" s="330">
        <v>6</v>
      </c>
      <c r="AF239" s="330">
        <v>37</v>
      </c>
      <c r="AG239" s="332" t="s">
        <v>2260</v>
      </c>
      <c r="AH239" s="332" t="s">
        <v>191</v>
      </c>
      <c r="AI239" s="330" t="s">
        <v>191</v>
      </c>
      <c r="AJ239" s="330" t="s">
        <v>191</v>
      </c>
      <c r="AK239" s="330" t="s">
        <v>627</v>
      </c>
      <c r="AL239" s="330"/>
      <c r="AM239" s="330" t="s">
        <v>191</v>
      </c>
      <c r="AN239" s="330"/>
      <c r="AO239" s="330"/>
      <c r="AP239" s="332" t="s">
        <v>259</v>
      </c>
      <c r="AQ239" s="330"/>
      <c r="AR239" s="330"/>
      <c r="AS239" s="330"/>
      <c r="AT239" s="330"/>
      <c r="AU239" s="332"/>
      <c r="AV239" s="334">
        <v>46111.638794791666</v>
      </c>
      <c r="AW239" s="330"/>
      <c r="AX239" s="335">
        <v>46178</v>
      </c>
      <c r="AY239" s="330"/>
      <c r="AZ239" s="330"/>
      <c r="BA239" s="330"/>
      <c r="BB239" s="330"/>
      <c r="BC239" s="336">
        <v>46199</v>
      </c>
      <c r="BD239" s="330"/>
      <c r="BE239" s="330"/>
      <c r="BF239" s="330"/>
      <c r="BG239" s="330"/>
      <c r="BH239" s="330" t="s">
        <v>193</v>
      </c>
      <c r="BI239" s="330">
        <v>160</v>
      </c>
      <c r="BJ239" s="330"/>
      <c r="BK239" s="330"/>
      <c r="BL239" s="330"/>
      <c r="BM239" s="332"/>
      <c r="BN239" s="330"/>
      <c r="BO239" s="330" t="s">
        <v>240</v>
      </c>
      <c r="BP239" s="330" t="s">
        <v>193</v>
      </c>
      <c r="BQ239" s="330" t="s">
        <v>218</v>
      </c>
      <c r="BR239" s="330" t="s">
        <v>193</v>
      </c>
      <c r="BS239" s="330" t="s">
        <v>2261</v>
      </c>
      <c r="BT239" s="330" t="s">
        <v>193</v>
      </c>
      <c r="BU239" s="330" t="s">
        <v>2262</v>
      </c>
      <c r="BV239" s="330" t="s">
        <v>220</v>
      </c>
      <c r="BW239" s="330"/>
      <c r="BX239" s="332"/>
      <c r="BY239" s="330"/>
      <c r="BZ239" s="330"/>
      <c r="CA239" s="330"/>
      <c r="CB239" s="330"/>
      <c r="CC239" s="337" t="s">
        <v>81</v>
      </c>
      <c r="CD239" s="330" t="b">
        <v>1</v>
      </c>
      <c r="CE239" s="330" t="b">
        <v>1</v>
      </c>
      <c r="CF239" s="330" t="b">
        <v>1</v>
      </c>
      <c r="CG239" s="330"/>
      <c r="CH239" s="330"/>
      <c r="CI239" s="330"/>
      <c r="CJ239" s="330"/>
      <c r="CK239" s="330"/>
      <c r="CL239" s="330"/>
      <c r="CM239" s="330"/>
      <c r="CN239" s="330"/>
      <c r="CO239" s="330"/>
      <c r="CP239" s="330"/>
      <c r="CQ239" s="330"/>
      <c r="CR239" s="330"/>
      <c r="CS239" s="330"/>
      <c r="CT239" s="330"/>
      <c r="CU239" s="330"/>
      <c r="CV239" s="330"/>
      <c r="CW239" s="330"/>
      <c r="CX239" s="330"/>
      <c r="CY239" s="330"/>
      <c r="CZ239" s="330"/>
      <c r="DA239" s="330"/>
      <c r="DB239" s="330" t="b">
        <v>1</v>
      </c>
      <c r="DC239" s="330" t="b">
        <v>1</v>
      </c>
      <c r="DD239" s="330"/>
      <c r="DE239" s="330"/>
      <c r="DF239" s="338">
        <v>25044</v>
      </c>
      <c r="DG239" s="330" t="s">
        <v>221</v>
      </c>
      <c r="DH239" s="330"/>
      <c r="DI239" s="338" t="s">
        <v>952</v>
      </c>
      <c r="DJ239" s="330"/>
      <c r="DK239" s="330">
        <v>5</v>
      </c>
      <c r="DL239" s="330" t="s">
        <v>2263</v>
      </c>
      <c r="DM239" s="330"/>
      <c r="DN239" s="330"/>
      <c r="DO239" s="330"/>
      <c r="DP239" s="330"/>
      <c r="DQ239" s="338" t="s">
        <v>197</v>
      </c>
      <c r="DR239" s="330"/>
      <c r="DS239" s="330"/>
      <c r="DT239" s="330"/>
      <c r="DU239" s="338" t="s">
        <v>197</v>
      </c>
      <c r="DV239" s="330"/>
      <c r="DW239" s="330"/>
      <c r="DX239" s="330"/>
      <c r="DY239" s="338" t="s">
        <v>197</v>
      </c>
      <c r="DZ239" s="330"/>
      <c r="EA239" s="330"/>
      <c r="EB239" s="330"/>
      <c r="EC239" s="330" t="s">
        <v>197</v>
      </c>
      <c r="ED239" s="338" t="s">
        <v>197</v>
      </c>
      <c r="EE239" s="330">
        <v>50</v>
      </c>
      <c r="EF239" s="330">
        <v>190</v>
      </c>
      <c r="EG239" s="330"/>
      <c r="EH239" s="330"/>
      <c r="EI239" s="330"/>
      <c r="EJ239" s="330"/>
      <c r="EK239" s="330"/>
      <c r="EL239" s="330"/>
      <c r="EM239" s="330"/>
      <c r="EN239" s="330"/>
      <c r="EO239" s="330"/>
      <c r="EP239" s="330"/>
      <c r="EQ239" s="332" t="s">
        <v>224</v>
      </c>
      <c r="ER239" s="330"/>
      <c r="ES239" s="330"/>
      <c r="ET239" s="332" t="s">
        <v>245</v>
      </c>
      <c r="EU239" s="332" t="s">
        <v>354</v>
      </c>
      <c r="EV239" s="330"/>
      <c r="EW239" s="330"/>
      <c r="EX239" s="330" t="s">
        <v>200</v>
      </c>
      <c r="EY239" s="330"/>
      <c r="EZ239" s="330" t="s">
        <v>247</v>
      </c>
      <c r="FA239" s="330"/>
      <c r="FB239" s="330" t="s">
        <v>247</v>
      </c>
      <c r="FC239" s="330" t="s">
        <v>202</v>
      </c>
      <c r="FD239" s="332" t="s">
        <v>190</v>
      </c>
      <c r="FE239" s="330"/>
      <c r="FF239" s="330"/>
      <c r="FG239" s="330" t="s">
        <v>203</v>
      </c>
      <c r="FH239" s="330" t="s">
        <v>2264</v>
      </c>
      <c r="FI239" s="330" t="s">
        <v>204</v>
      </c>
      <c r="FJ239" s="330"/>
      <c r="FK239" s="330" t="s">
        <v>180</v>
      </c>
      <c r="FL239" s="330"/>
      <c r="FM239" s="330" t="s">
        <v>191</v>
      </c>
      <c r="FN239" s="330" t="s">
        <v>2278</v>
      </c>
      <c r="FO239" s="330"/>
      <c r="FP239" s="330" t="s">
        <v>2279</v>
      </c>
      <c r="FQ239" s="330"/>
      <c r="FR239" s="330"/>
      <c r="FS239" s="330"/>
      <c r="FT239" s="330"/>
      <c r="FU239" s="330"/>
    </row>
    <row r="240" spans="1:177" ht="51" x14ac:dyDescent="0.25">
      <c r="A240" s="330">
        <v>239</v>
      </c>
      <c r="B240" s="331" t="s">
        <v>2280</v>
      </c>
      <c r="C240" s="330"/>
      <c r="D240" s="332" t="s">
        <v>2255</v>
      </c>
      <c r="E240" s="332" t="s">
        <v>1944</v>
      </c>
      <c r="F240" s="332" t="s">
        <v>180</v>
      </c>
      <c r="G240" s="330" t="s">
        <v>181</v>
      </c>
      <c r="H240" s="331">
        <v>400</v>
      </c>
      <c r="I240" s="330"/>
      <c r="J240" s="332"/>
      <c r="K240" s="332" t="s">
        <v>2281</v>
      </c>
      <c r="L240" s="330" t="s">
        <v>284</v>
      </c>
      <c r="M240" s="332" t="s">
        <v>751</v>
      </c>
      <c r="N240" s="330"/>
      <c r="O240" s="333"/>
      <c r="P240" s="333"/>
      <c r="Q240" s="333">
        <v>1810</v>
      </c>
      <c r="R240" s="333">
        <v>203</v>
      </c>
      <c r="S240" s="333"/>
      <c r="T240" s="333"/>
      <c r="U240" s="333"/>
      <c r="V240" s="333"/>
      <c r="W240" s="330"/>
      <c r="X240" s="330"/>
      <c r="Y240" s="332" t="s">
        <v>2282</v>
      </c>
      <c r="Z240" s="330" t="s">
        <v>215</v>
      </c>
      <c r="AA240" s="330" t="s">
        <v>2283</v>
      </c>
      <c r="AB240" s="330" t="s">
        <v>217</v>
      </c>
      <c r="AC240" s="330" t="b">
        <v>1</v>
      </c>
      <c r="AD240" s="330" t="s">
        <v>2259</v>
      </c>
      <c r="AE240" s="330">
        <v>7</v>
      </c>
      <c r="AF240" s="330">
        <v>43</v>
      </c>
      <c r="AG240" s="332" t="s">
        <v>2260</v>
      </c>
      <c r="AH240" s="332" t="s">
        <v>191</v>
      </c>
      <c r="AI240" s="330" t="s">
        <v>191</v>
      </c>
      <c r="AJ240" s="330" t="s">
        <v>191</v>
      </c>
      <c r="AK240" s="330" t="s">
        <v>627</v>
      </c>
      <c r="AL240" s="330"/>
      <c r="AM240" s="330" t="s">
        <v>191</v>
      </c>
      <c r="AN240" s="330"/>
      <c r="AO240" s="330"/>
      <c r="AP240" s="332" t="s">
        <v>259</v>
      </c>
      <c r="AQ240" s="330"/>
      <c r="AR240" s="330"/>
      <c r="AS240" s="330"/>
      <c r="AT240" s="330"/>
      <c r="AU240" s="332"/>
      <c r="AV240" s="334">
        <v>46111.641704085647</v>
      </c>
      <c r="AW240" s="330"/>
      <c r="AX240" s="335">
        <v>46188</v>
      </c>
      <c r="AY240" s="330"/>
      <c r="AZ240" s="330"/>
      <c r="BA240" s="330"/>
      <c r="BB240" s="330"/>
      <c r="BC240" s="336">
        <v>46209</v>
      </c>
      <c r="BD240" s="330"/>
      <c r="BE240" s="330"/>
      <c r="BF240" s="330"/>
      <c r="BG240" s="330"/>
      <c r="BH240" s="330" t="s">
        <v>193</v>
      </c>
      <c r="BI240" s="330">
        <v>160</v>
      </c>
      <c r="BJ240" s="330"/>
      <c r="BK240" s="330"/>
      <c r="BL240" s="330"/>
      <c r="BM240" s="332"/>
      <c r="BN240" s="330"/>
      <c r="BO240" s="330" t="s">
        <v>240</v>
      </c>
      <c r="BP240" s="330" t="s">
        <v>193</v>
      </c>
      <c r="BQ240" s="330" t="s">
        <v>218</v>
      </c>
      <c r="BR240" s="330" t="s">
        <v>193</v>
      </c>
      <c r="BS240" s="330" t="s">
        <v>2261</v>
      </c>
      <c r="BT240" s="330" t="s">
        <v>193</v>
      </c>
      <c r="BU240" s="330" t="s">
        <v>2262</v>
      </c>
      <c r="BV240" s="330" t="s">
        <v>220</v>
      </c>
      <c r="BW240" s="330"/>
      <c r="BX240" s="332"/>
      <c r="BY240" s="330"/>
      <c r="BZ240" s="330"/>
      <c r="CA240" s="330"/>
      <c r="CB240" s="330"/>
      <c r="CC240" s="337" t="s">
        <v>81</v>
      </c>
      <c r="CD240" s="330" t="b">
        <v>1</v>
      </c>
      <c r="CE240" s="330" t="b">
        <v>1</v>
      </c>
      <c r="CF240" s="330" t="b">
        <v>1</v>
      </c>
      <c r="CG240" s="330"/>
      <c r="CH240" s="330"/>
      <c r="CI240" s="330"/>
      <c r="CJ240" s="330"/>
      <c r="CK240" s="330"/>
      <c r="CL240" s="330"/>
      <c r="CM240" s="330"/>
      <c r="CN240" s="330"/>
      <c r="CO240" s="330"/>
      <c r="CP240" s="330"/>
      <c r="CQ240" s="330"/>
      <c r="CR240" s="330"/>
      <c r="CS240" s="330"/>
      <c r="CT240" s="330"/>
      <c r="CU240" s="330"/>
      <c r="CV240" s="330"/>
      <c r="CW240" s="330"/>
      <c r="CX240" s="330"/>
      <c r="CY240" s="330"/>
      <c r="CZ240" s="330"/>
      <c r="DA240" s="330"/>
      <c r="DB240" s="330" t="b">
        <v>1</v>
      </c>
      <c r="DC240" s="330" t="b">
        <v>1</v>
      </c>
      <c r="DD240" s="330"/>
      <c r="DE240" s="330"/>
      <c r="DF240" s="338">
        <v>25044</v>
      </c>
      <c r="DG240" s="330" t="s">
        <v>221</v>
      </c>
      <c r="DH240" s="330"/>
      <c r="DI240" s="338" t="s">
        <v>959</v>
      </c>
      <c r="DJ240" s="330"/>
      <c r="DK240" s="330">
        <v>6</v>
      </c>
      <c r="DL240" s="330" t="s">
        <v>2263</v>
      </c>
      <c r="DM240" s="330"/>
      <c r="DN240" s="330"/>
      <c r="DO240" s="330"/>
      <c r="DP240" s="330"/>
      <c r="DQ240" s="338" t="s">
        <v>197</v>
      </c>
      <c r="DR240" s="330"/>
      <c r="DS240" s="330"/>
      <c r="DT240" s="330"/>
      <c r="DU240" s="338" t="s">
        <v>197</v>
      </c>
      <c r="DV240" s="330"/>
      <c r="DW240" s="330"/>
      <c r="DX240" s="330"/>
      <c r="DY240" s="338" t="s">
        <v>197</v>
      </c>
      <c r="DZ240" s="330"/>
      <c r="EA240" s="330"/>
      <c r="EB240" s="330"/>
      <c r="EC240" s="330" t="s">
        <v>197</v>
      </c>
      <c r="ED240" s="338" t="s">
        <v>197</v>
      </c>
      <c r="EE240" s="330">
        <v>95</v>
      </c>
      <c r="EF240" s="330">
        <v>340</v>
      </c>
      <c r="EG240" s="330"/>
      <c r="EH240" s="330"/>
      <c r="EI240" s="330"/>
      <c r="EJ240" s="330"/>
      <c r="EK240" s="330"/>
      <c r="EL240" s="330"/>
      <c r="EM240" s="330"/>
      <c r="EN240" s="330"/>
      <c r="EO240" s="330"/>
      <c r="EP240" s="330"/>
      <c r="EQ240" s="332" t="s">
        <v>224</v>
      </c>
      <c r="ER240" s="330"/>
      <c r="ES240" s="330"/>
      <c r="ET240" s="332" t="s">
        <v>245</v>
      </c>
      <c r="EU240" s="332" t="s">
        <v>354</v>
      </c>
      <c r="EV240" s="330"/>
      <c r="EW240" s="330"/>
      <c r="EX240" s="330" t="s">
        <v>200</v>
      </c>
      <c r="EY240" s="330"/>
      <c r="EZ240" s="330" t="s">
        <v>247</v>
      </c>
      <c r="FA240" s="330"/>
      <c r="FB240" s="330" t="s">
        <v>247</v>
      </c>
      <c r="FC240" s="330" t="s">
        <v>202</v>
      </c>
      <c r="FD240" s="332" t="s">
        <v>190</v>
      </c>
      <c r="FE240" s="330"/>
      <c r="FF240" s="330"/>
      <c r="FG240" s="330" t="s">
        <v>203</v>
      </c>
      <c r="FH240" s="330" t="s">
        <v>2264</v>
      </c>
      <c r="FI240" s="330" t="s">
        <v>204</v>
      </c>
      <c r="FJ240" s="330"/>
      <c r="FK240" s="330" t="s">
        <v>180</v>
      </c>
      <c r="FL240" s="330"/>
      <c r="FM240" s="330" t="s">
        <v>191</v>
      </c>
      <c r="FN240" s="330" t="s">
        <v>2284</v>
      </c>
      <c r="FO240" s="330"/>
      <c r="FP240" s="330" t="s">
        <v>2285</v>
      </c>
      <c r="FQ240" s="330"/>
      <c r="FR240" s="330"/>
      <c r="FS240" s="330"/>
      <c r="FT240" s="330"/>
      <c r="FU240" s="330"/>
    </row>
    <row r="241" spans="1:177" ht="51" x14ac:dyDescent="0.25">
      <c r="A241" s="330">
        <v>240</v>
      </c>
      <c r="B241" s="331" t="s">
        <v>2286</v>
      </c>
      <c r="C241" s="330"/>
      <c r="D241" s="332" t="s">
        <v>2255</v>
      </c>
      <c r="E241" s="332" t="s">
        <v>1944</v>
      </c>
      <c r="F241" s="332" t="s">
        <v>180</v>
      </c>
      <c r="G241" s="330" t="s">
        <v>181</v>
      </c>
      <c r="H241" s="331">
        <v>400</v>
      </c>
      <c r="I241" s="330"/>
      <c r="J241" s="332"/>
      <c r="K241" s="332" t="s">
        <v>2287</v>
      </c>
      <c r="L241" s="330" t="s">
        <v>284</v>
      </c>
      <c r="M241" s="332" t="s">
        <v>751</v>
      </c>
      <c r="N241" s="330"/>
      <c r="O241" s="333"/>
      <c r="P241" s="333"/>
      <c r="Q241" s="333">
        <v>1810</v>
      </c>
      <c r="R241" s="333">
        <v>160</v>
      </c>
      <c r="S241" s="333"/>
      <c r="T241" s="333"/>
      <c r="U241" s="333"/>
      <c r="V241" s="333"/>
      <c r="W241" s="330"/>
      <c r="X241" s="330"/>
      <c r="Y241" s="332" t="s">
        <v>2257</v>
      </c>
      <c r="Z241" s="330" t="s">
        <v>215</v>
      </c>
      <c r="AA241" s="330" t="s">
        <v>2258</v>
      </c>
      <c r="AB241" s="330" t="s">
        <v>217</v>
      </c>
      <c r="AC241" s="330" t="b">
        <v>1</v>
      </c>
      <c r="AD241" s="330" t="s">
        <v>2259</v>
      </c>
      <c r="AE241" s="330">
        <v>8</v>
      </c>
      <c r="AF241" s="330">
        <v>50</v>
      </c>
      <c r="AG241" s="332" t="s">
        <v>2260</v>
      </c>
      <c r="AH241" s="332" t="s">
        <v>191</v>
      </c>
      <c r="AI241" s="330" t="s">
        <v>191</v>
      </c>
      <c r="AJ241" s="330" t="s">
        <v>191</v>
      </c>
      <c r="AK241" s="330" t="s">
        <v>627</v>
      </c>
      <c r="AL241" s="330"/>
      <c r="AM241" s="330" t="s">
        <v>191</v>
      </c>
      <c r="AN241" s="330"/>
      <c r="AO241" s="330"/>
      <c r="AP241" s="332" t="s">
        <v>259</v>
      </c>
      <c r="AQ241" s="330"/>
      <c r="AR241" s="330"/>
      <c r="AS241" s="330"/>
      <c r="AT241" s="330"/>
      <c r="AU241" s="332"/>
      <c r="AV241" s="334">
        <v>46111.644240000001</v>
      </c>
      <c r="AW241" s="330"/>
      <c r="AX241" s="335">
        <v>46197</v>
      </c>
      <c r="AY241" s="330"/>
      <c r="AZ241" s="330"/>
      <c r="BA241" s="330"/>
      <c r="BB241" s="330"/>
      <c r="BC241" s="336">
        <v>46218</v>
      </c>
      <c r="BD241" s="330"/>
      <c r="BE241" s="330"/>
      <c r="BF241" s="330"/>
      <c r="BG241" s="330"/>
      <c r="BH241" s="330" t="s">
        <v>193</v>
      </c>
      <c r="BI241" s="330">
        <v>160</v>
      </c>
      <c r="BJ241" s="330"/>
      <c r="BK241" s="330"/>
      <c r="BL241" s="330"/>
      <c r="BM241" s="332"/>
      <c r="BN241" s="330"/>
      <c r="BO241" s="330" t="s">
        <v>240</v>
      </c>
      <c r="BP241" s="330" t="s">
        <v>193</v>
      </c>
      <c r="BQ241" s="330" t="s">
        <v>218</v>
      </c>
      <c r="BR241" s="330" t="s">
        <v>193</v>
      </c>
      <c r="BS241" s="330" t="s">
        <v>2261</v>
      </c>
      <c r="BT241" s="330" t="s">
        <v>193</v>
      </c>
      <c r="BU241" s="330" t="s">
        <v>2262</v>
      </c>
      <c r="BV241" s="330" t="s">
        <v>220</v>
      </c>
      <c r="BW241" s="330"/>
      <c r="BX241" s="332"/>
      <c r="BY241" s="330"/>
      <c r="BZ241" s="330"/>
      <c r="CA241" s="330"/>
      <c r="CB241" s="330"/>
      <c r="CC241" s="337" t="s">
        <v>81</v>
      </c>
      <c r="CD241" s="330" t="b">
        <v>1</v>
      </c>
      <c r="CE241" s="330" t="b">
        <v>1</v>
      </c>
      <c r="CF241" s="330" t="b">
        <v>1</v>
      </c>
      <c r="CG241" s="330"/>
      <c r="CH241" s="330"/>
      <c r="CI241" s="330"/>
      <c r="CJ241" s="330"/>
      <c r="CK241" s="330"/>
      <c r="CL241" s="330"/>
      <c r="CM241" s="330"/>
      <c r="CN241" s="330"/>
      <c r="CO241" s="330"/>
      <c r="CP241" s="330"/>
      <c r="CQ241" s="330"/>
      <c r="CR241" s="330"/>
      <c r="CS241" s="330"/>
      <c r="CT241" s="330"/>
      <c r="CU241" s="330"/>
      <c r="CV241" s="330"/>
      <c r="CW241" s="330"/>
      <c r="CX241" s="330"/>
      <c r="CY241" s="330"/>
      <c r="CZ241" s="330"/>
      <c r="DA241" s="330"/>
      <c r="DB241" s="330" t="b">
        <v>1</v>
      </c>
      <c r="DC241" s="330" t="b">
        <v>1</v>
      </c>
      <c r="DD241" s="330"/>
      <c r="DE241" s="330"/>
      <c r="DF241" s="338">
        <v>25044</v>
      </c>
      <c r="DG241" s="330" t="s">
        <v>221</v>
      </c>
      <c r="DH241" s="330"/>
      <c r="DI241" s="338" t="s">
        <v>1326</v>
      </c>
      <c r="DJ241" s="330"/>
      <c r="DK241" s="330">
        <v>7</v>
      </c>
      <c r="DL241" s="330" t="s">
        <v>2263</v>
      </c>
      <c r="DM241" s="330"/>
      <c r="DN241" s="330"/>
      <c r="DO241" s="330"/>
      <c r="DP241" s="330"/>
      <c r="DQ241" s="338" t="s">
        <v>197</v>
      </c>
      <c r="DR241" s="330"/>
      <c r="DS241" s="330"/>
      <c r="DT241" s="330"/>
      <c r="DU241" s="338" t="s">
        <v>197</v>
      </c>
      <c r="DV241" s="330"/>
      <c r="DW241" s="330"/>
      <c r="DX241" s="330"/>
      <c r="DY241" s="338" t="s">
        <v>197</v>
      </c>
      <c r="DZ241" s="330"/>
      <c r="EA241" s="330"/>
      <c r="EB241" s="330"/>
      <c r="EC241" s="330" t="s">
        <v>197</v>
      </c>
      <c r="ED241" s="338" t="s">
        <v>197</v>
      </c>
      <c r="EE241" s="330">
        <v>80</v>
      </c>
      <c r="EF241" s="330">
        <v>270</v>
      </c>
      <c r="EG241" s="330"/>
      <c r="EH241" s="330"/>
      <c r="EI241" s="330"/>
      <c r="EJ241" s="330"/>
      <c r="EK241" s="330"/>
      <c r="EL241" s="330"/>
      <c r="EM241" s="330"/>
      <c r="EN241" s="330"/>
      <c r="EO241" s="330"/>
      <c r="EP241" s="330"/>
      <c r="EQ241" s="332" t="s">
        <v>224</v>
      </c>
      <c r="ER241" s="330"/>
      <c r="ES241" s="330"/>
      <c r="ET241" s="332" t="s">
        <v>245</v>
      </c>
      <c r="EU241" s="332" t="s">
        <v>354</v>
      </c>
      <c r="EV241" s="330"/>
      <c r="EW241" s="330"/>
      <c r="EX241" s="330" t="s">
        <v>200</v>
      </c>
      <c r="EY241" s="330"/>
      <c r="EZ241" s="330" t="s">
        <v>247</v>
      </c>
      <c r="FA241" s="330"/>
      <c r="FB241" s="330" t="s">
        <v>247</v>
      </c>
      <c r="FC241" s="330" t="s">
        <v>202</v>
      </c>
      <c r="FD241" s="332" t="s">
        <v>190</v>
      </c>
      <c r="FE241" s="330"/>
      <c r="FF241" s="330"/>
      <c r="FG241" s="330" t="s">
        <v>203</v>
      </c>
      <c r="FH241" s="330" t="s">
        <v>2264</v>
      </c>
      <c r="FI241" s="330" t="s">
        <v>204</v>
      </c>
      <c r="FJ241" s="330"/>
      <c r="FK241" s="330" t="s">
        <v>180</v>
      </c>
      <c r="FL241" s="330"/>
      <c r="FM241" s="330" t="s">
        <v>191</v>
      </c>
      <c r="FN241" s="330" t="s">
        <v>2288</v>
      </c>
      <c r="FO241" s="330"/>
      <c r="FP241" s="330" t="s">
        <v>2289</v>
      </c>
      <c r="FQ241" s="330"/>
      <c r="FR241" s="330"/>
      <c r="FS241" s="330"/>
      <c r="FT241" s="330"/>
      <c r="FU241" s="330"/>
    </row>
    <row r="242" spans="1:177" ht="51" x14ac:dyDescent="0.25">
      <c r="A242" s="330">
        <v>241</v>
      </c>
      <c r="B242" s="331" t="s">
        <v>2290</v>
      </c>
      <c r="C242" s="330"/>
      <c r="D242" s="332" t="s">
        <v>2255</v>
      </c>
      <c r="E242" s="332" t="s">
        <v>1944</v>
      </c>
      <c r="F242" s="332" t="s">
        <v>180</v>
      </c>
      <c r="G242" s="330" t="s">
        <v>181</v>
      </c>
      <c r="H242" s="331">
        <v>400</v>
      </c>
      <c r="I242" s="330"/>
      <c r="J242" s="332"/>
      <c r="K242" s="332" t="s">
        <v>2291</v>
      </c>
      <c r="L242" s="330" t="s">
        <v>284</v>
      </c>
      <c r="M242" s="332" t="s">
        <v>751</v>
      </c>
      <c r="N242" s="330"/>
      <c r="O242" s="333"/>
      <c r="P242" s="333"/>
      <c r="Q242" s="333">
        <v>1810</v>
      </c>
      <c r="R242" s="333">
        <v>163</v>
      </c>
      <c r="S242" s="333"/>
      <c r="T242" s="333"/>
      <c r="U242" s="333"/>
      <c r="V242" s="333"/>
      <c r="W242" s="330"/>
      <c r="X242" s="330"/>
      <c r="Y242" s="332" t="s">
        <v>2257</v>
      </c>
      <c r="Z242" s="330" t="s">
        <v>215</v>
      </c>
      <c r="AA242" s="330" t="s">
        <v>2258</v>
      </c>
      <c r="AB242" s="330" t="s">
        <v>217</v>
      </c>
      <c r="AC242" s="330" t="b">
        <v>1</v>
      </c>
      <c r="AD242" s="330" t="s">
        <v>2259</v>
      </c>
      <c r="AE242" s="330">
        <v>9</v>
      </c>
      <c r="AF242" s="330">
        <v>55</v>
      </c>
      <c r="AG242" s="332" t="s">
        <v>2260</v>
      </c>
      <c r="AH242" s="332" t="s">
        <v>191</v>
      </c>
      <c r="AI242" s="330" t="s">
        <v>191</v>
      </c>
      <c r="AJ242" s="330" t="s">
        <v>191</v>
      </c>
      <c r="AK242" s="330" t="s">
        <v>627</v>
      </c>
      <c r="AL242" s="330"/>
      <c r="AM242" s="330" t="s">
        <v>191</v>
      </c>
      <c r="AN242" s="330"/>
      <c r="AO242" s="330"/>
      <c r="AP242" s="332" t="s">
        <v>259</v>
      </c>
      <c r="AQ242" s="330"/>
      <c r="AR242" s="330"/>
      <c r="AS242" s="330"/>
      <c r="AT242" s="330"/>
      <c r="AU242" s="332"/>
      <c r="AV242" s="334">
        <v>46111.64589537037</v>
      </c>
      <c r="AW242" s="330"/>
      <c r="AX242" s="335">
        <v>46204</v>
      </c>
      <c r="AY242" s="330"/>
      <c r="AZ242" s="330"/>
      <c r="BA242" s="330"/>
      <c r="BB242" s="330"/>
      <c r="BC242" s="336">
        <v>46225</v>
      </c>
      <c r="BD242" s="330"/>
      <c r="BE242" s="330"/>
      <c r="BF242" s="330"/>
      <c r="BG242" s="330"/>
      <c r="BH242" s="330" t="s">
        <v>193</v>
      </c>
      <c r="BI242" s="330">
        <v>160</v>
      </c>
      <c r="BJ242" s="330"/>
      <c r="BK242" s="330"/>
      <c r="BL242" s="330"/>
      <c r="BM242" s="332"/>
      <c r="BN242" s="330"/>
      <c r="BO242" s="330" t="s">
        <v>240</v>
      </c>
      <c r="BP242" s="330" t="s">
        <v>193</v>
      </c>
      <c r="BQ242" s="330" t="s">
        <v>218</v>
      </c>
      <c r="BR242" s="330" t="s">
        <v>193</v>
      </c>
      <c r="BS242" s="330" t="s">
        <v>2261</v>
      </c>
      <c r="BT242" s="330" t="s">
        <v>193</v>
      </c>
      <c r="BU242" s="330" t="s">
        <v>2262</v>
      </c>
      <c r="BV242" s="330" t="s">
        <v>220</v>
      </c>
      <c r="BW242" s="330"/>
      <c r="BX242" s="332"/>
      <c r="BY242" s="330"/>
      <c r="BZ242" s="330"/>
      <c r="CA242" s="330"/>
      <c r="CB242" s="330"/>
      <c r="CC242" s="337" t="s">
        <v>81</v>
      </c>
      <c r="CD242" s="330" t="b">
        <v>1</v>
      </c>
      <c r="CE242" s="330" t="b">
        <v>1</v>
      </c>
      <c r="CF242" s="330" t="b">
        <v>1</v>
      </c>
      <c r="CG242" s="330"/>
      <c r="CH242" s="330"/>
      <c r="CI242" s="330"/>
      <c r="CJ242" s="330"/>
      <c r="CK242" s="330"/>
      <c r="CL242" s="330"/>
      <c r="CM242" s="330"/>
      <c r="CN242" s="330"/>
      <c r="CO242" s="330"/>
      <c r="CP242" s="330"/>
      <c r="CQ242" s="330"/>
      <c r="CR242" s="330"/>
      <c r="CS242" s="330"/>
      <c r="CT242" s="330"/>
      <c r="CU242" s="330"/>
      <c r="CV242" s="330"/>
      <c r="CW242" s="330"/>
      <c r="CX242" s="330"/>
      <c r="CY242" s="330"/>
      <c r="CZ242" s="330"/>
      <c r="DA242" s="330"/>
      <c r="DB242" s="330" t="b">
        <v>1</v>
      </c>
      <c r="DC242" s="330" t="b">
        <v>1</v>
      </c>
      <c r="DD242" s="330"/>
      <c r="DE242" s="330"/>
      <c r="DF242" s="338">
        <v>25044</v>
      </c>
      <c r="DG242" s="330" t="s">
        <v>221</v>
      </c>
      <c r="DH242" s="330"/>
      <c r="DI242" s="338" t="s">
        <v>1366</v>
      </c>
      <c r="DJ242" s="330"/>
      <c r="DK242" s="330">
        <v>8</v>
      </c>
      <c r="DL242" s="330" t="s">
        <v>2263</v>
      </c>
      <c r="DM242" s="330"/>
      <c r="DN242" s="330"/>
      <c r="DO242" s="330"/>
      <c r="DP242" s="330"/>
      <c r="DQ242" s="338" t="s">
        <v>197</v>
      </c>
      <c r="DR242" s="330"/>
      <c r="DS242" s="330"/>
      <c r="DT242" s="330"/>
      <c r="DU242" s="338" t="s">
        <v>197</v>
      </c>
      <c r="DV242" s="330"/>
      <c r="DW242" s="330"/>
      <c r="DX242" s="330"/>
      <c r="DY242" s="338" t="s">
        <v>197</v>
      </c>
      <c r="DZ242" s="330"/>
      <c r="EA242" s="330"/>
      <c r="EB242" s="330"/>
      <c r="EC242" s="330" t="s">
        <v>197</v>
      </c>
      <c r="ED242" s="338" t="s">
        <v>197</v>
      </c>
      <c r="EE242" s="330">
        <v>80</v>
      </c>
      <c r="EF242" s="330">
        <v>270</v>
      </c>
      <c r="EG242" s="330"/>
      <c r="EH242" s="330"/>
      <c r="EI242" s="330"/>
      <c r="EJ242" s="330"/>
      <c r="EK242" s="330"/>
      <c r="EL242" s="330"/>
      <c r="EM242" s="330"/>
      <c r="EN242" s="330"/>
      <c r="EO242" s="330"/>
      <c r="EP242" s="330"/>
      <c r="EQ242" s="332" t="s">
        <v>224</v>
      </c>
      <c r="ER242" s="330"/>
      <c r="ES242" s="330"/>
      <c r="ET242" s="332" t="s">
        <v>245</v>
      </c>
      <c r="EU242" s="332" t="s">
        <v>354</v>
      </c>
      <c r="EV242" s="330"/>
      <c r="EW242" s="330"/>
      <c r="EX242" s="330" t="s">
        <v>200</v>
      </c>
      <c r="EY242" s="330"/>
      <c r="EZ242" s="330" t="s">
        <v>247</v>
      </c>
      <c r="FA242" s="330"/>
      <c r="FB242" s="330" t="s">
        <v>247</v>
      </c>
      <c r="FC242" s="330" t="s">
        <v>202</v>
      </c>
      <c r="FD242" s="332" t="s">
        <v>190</v>
      </c>
      <c r="FE242" s="330"/>
      <c r="FF242" s="330"/>
      <c r="FG242" s="330" t="s">
        <v>203</v>
      </c>
      <c r="FH242" s="330" t="s">
        <v>2264</v>
      </c>
      <c r="FI242" s="330" t="s">
        <v>204</v>
      </c>
      <c r="FJ242" s="330"/>
      <c r="FK242" s="330" t="s">
        <v>180</v>
      </c>
      <c r="FL242" s="330"/>
      <c r="FM242" s="330" t="s">
        <v>191</v>
      </c>
      <c r="FN242" s="330" t="s">
        <v>2292</v>
      </c>
      <c r="FO242" s="330"/>
      <c r="FP242" s="330" t="s">
        <v>2293</v>
      </c>
      <c r="FQ242" s="330"/>
      <c r="FR242" s="330"/>
      <c r="FS242" s="330"/>
      <c r="FT242" s="330"/>
      <c r="FU242" s="330"/>
    </row>
    <row r="243" spans="1:177" ht="51" x14ac:dyDescent="0.25">
      <c r="A243" s="330">
        <v>242</v>
      </c>
      <c r="B243" s="331" t="s">
        <v>2294</v>
      </c>
      <c r="C243" s="330"/>
      <c r="D243" s="332" t="s">
        <v>2255</v>
      </c>
      <c r="E243" s="332" t="s">
        <v>1944</v>
      </c>
      <c r="F243" s="332" t="s">
        <v>180</v>
      </c>
      <c r="G243" s="330" t="s">
        <v>181</v>
      </c>
      <c r="H243" s="331">
        <v>400</v>
      </c>
      <c r="I243" s="330"/>
      <c r="J243" s="332"/>
      <c r="K243" s="332" t="s">
        <v>2295</v>
      </c>
      <c r="L243" s="330" t="s">
        <v>284</v>
      </c>
      <c r="M243" s="332" t="s">
        <v>751</v>
      </c>
      <c r="N243" s="330"/>
      <c r="O243" s="333"/>
      <c r="P243" s="333"/>
      <c r="Q243" s="333">
        <v>1810</v>
      </c>
      <c r="R243" s="333">
        <v>86</v>
      </c>
      <c r="S243" s="333"/>
      <c r="T243" s="333"/>
      <c r="U243" s="333"/>
      <c r="V243" s="333"/>
      <c r="W243" s="330"/>
      <c r="X243" s="330"/>
      <c r="Y243" s="332" t="s">
        <v>2257</v>
      </c>
      <c r="Z243" s="330" t="s">
        <v>215</v>
      </c>
      <c r="AA243" s="330" t="s">
        <v>2258</v>
      </c>
      <c r="AB243" s="330" t="s">
        <v>217</v>
      </c>
      <c r="AC243" s="330" t="b">
        <v>1</v>
      </c>
      <c r="AD243" s="330" t="s">
        <v>2259</v>
      </c>
      <c r="AE243" s="330">
        <v>10</v>
      </c>
      <c r="AF243" s="330">
        <v>60</v>
      </c>
      <c r="AG243" s="332" t="s">
        <v>2260</v>
      </c>
      <c r="AH243" s="332" t="s">
        <v>191</v>
      </c>
      <c r="AI243" s="330" t="s">
        <v>191</v>
      </c>
      <c r="AJ243" s="330" t="s">
        <v>191</v>
      </c>
      <c r="AK243" s="330" t="s">
        <v>627</v>
      </c>
      <c r="AL243" s="330"/>
      <c r="AM243" s="330" t="s">
        <v>191</v>
      </c>
      <c r="AN243" s="330"/>
      <c r="AO243" s="330"/>
      <c r="AP243" s="332" t="s">
        <v>259</v>
      </c>
      <c r="AQ243" s="330"/>
      <c r="AR243" s="330"/>
      <c r="AS243" s="330"/>
      <c r="AT243" s="330"/>
      <c r="AU243" s="332"/>
      <c r="AV243" s="334">
        <v>46111.64793684028</v>
      </c>
      <c r="AW243" s="330"/>
      <c r="AX243" s="335">
        <v>46211</v>
      </c>
      <c r="AY243" s="330"/>
      <c r="AZ243" s="330"/>
      <c r="BA243" s="330"/>
      <c r="BB243" s="330"/>
      <c r="BC243" s="336">
        <v>46232</v>
      </c>
      <c r="BD243" s="330"/>
      <c r="BE243" s="330"/>
      <c r="BF243" s="330"/>
      <c r="BG243" s="330"/>
      <c r="BH243" s="330" t="s">
        <v>193</v>
      </c>
      <c r="BI243" s="330">
        <v>160</v>
      </c>
      <c r="BJ243" s="330"/>
      <c r="BK243" s="330"/>
      <c r="BL243" s="330"/>
      <c r="BM243" s="332"/>
      <c r="BN243" s="330"/>
      <c r="BO243" s="330" t="s">
        <v>240</v>
      </c>
      <c r="BP243" s="330" t="s">
        <v>193</v>
      </c>
      <c r="BQ243" s="330" t="s">
        <v>218</v>
      </c>
      <c r="BR243" s="330" t="s">
        <v>193</v>
      </c>
      <c r="BS243" s="330" t="s">
        <v>2261</v>
      </c>
      <c r="BT243" s="330" t="s">
        <v>193</v>
      </c>
      <c r="BU243" s="330" t="s">
        <v>2262</v>
      </c>
      <c r="BV243" s="330" t="s">
        <v>220</v>
      </c>
      <c r="BW243" s="330"/>
      <c r="BX243" s="332"/>
      <c r="BY243" s="330"/>
      <c r="BZ243" s="330"/>
      <c r="CA243" s="330"/>
      <c r="CB243" s="330"/>
      <c r="CC243" s="337" t="s">
        <v>81</v>
      </c>
      <c r="CD243" s="330" t="b">
        <v>1</v>
      </c>
      <c r="CE243" s="330" t="b">
        <v>1</v>
      </c>
      <c r="CF243" s="330" t="b">
        <v>1</v>
      </c>
      <c r="CG243" s="330"/>
      <c r="CH243" s="330"/>
      <c r="CI243" s="330"/>
      <c r="CJ243" s="330"/>
      <c r="CK243" s="330"/>
      <c r="CL243" s="330"/>
      <c r="CM243" s="330"/>
      <c r="CN243" s="330"/>
      <c r="CO243" s="330"/>
      <c r="CP243" s="330"/>
      <c r="CQ243" s="330"/>
      <c r="CR243" s="330"/>
      <c r="CS243" s="330"/>
      <c r="CT243" s="330"/>
      <c r="CU243" s="330"/>
      <c r="CV243" s="330"/>
      <c r="CW243" s="330"/>
      <c r="CX243" s="330"/>
      <c r="CY243" s="330"/>
      <c r="CZ243" s="330"/>
      <c r="DA243" s="330"/>
      <c r="DB243" s="330" t="b">
        <v>1</v>
      </c>
      <c r="DC243" s="330" t="b">
        <v>1</v>
      </c>
      <c r="DD243" s="330"/>
      <c r="DE243" s="330"/>
      <c r="DF243" s="338">
        <v>25044</v>
      </c>
      <c r="DG243" s="330" t="s">
        <v>221</v>
      </c>
      <c r="DH243" s="330"/>
      <c r="DI243" s="338" t="s">
        <v>1375</v>
      </c>
      <c r="DJ243" s="330"/>
      <c r="DK243" s="330">
        <v>9</v>
      </c>
      <c r="DL243" s="330" t="s">
        <v>2263</v>
      </c>
      <c r="DM243" s="330"/>
      <c r="DN243" s="330"/>
      <c r="DO243" s="330"/>
      <c r="DP243" s="330"/>
      <c r="DQ243" s="338" t="s">
        <v>197</v>
      </c>
      <c r="DR243" s="330"/>
      <c r="DS243" s="330"/>
      <c r="DT243" s="330"/>
      <c r="DU243" s="338" t="s">
        <v>197</v>
      </c>
      <c r="DV243" s="330"/>
      <c r="DW243" s="330"/>
      <c r="DX243" s="330"/>
      <c r="DY243" s="338" t="s">
        <v>197</v>
      </c>
      <c r="DZ243" s="330"/>
      <c r="EA243" s="330"/>
      <c r="EB243" s="330"/>
      <c r="EC243" s="330" t="s">
        <v>197</v>
      </c>
      <c r="ED243" s="338" t="s">
        <v>197</v>
      </c>
      <c r="EE243" s="330">
        <v>40</v>
      </c>
      <c r="EF243" s="330">
        <v>145</v>
      </c>
      <c r="EG243" s="330"/>
      <c r="EH243" s="330"/>
      <c r="EI243" s="330"/>
      <c r="EJ243" s="330"/>
      <c r="EK243" s="330"/>
      <c r="EL243" s="330"/>
      <c r="EM243" s="330"/>
      <c r="EN243" s="330"/>
      <c r="EO243" s="330"/>
      <c r="EP243" s="330"/>
      <c r="EQ243" s="332" t="s">
        <v>224</v>
      </c>
      <c r="ER243" s="330"/>
      <c r="ES243" s="330"/>
      <c r="ET243" s="332" t="s">
        <v>245</v>
      </c>
      <c r="EU243" s="332" t="s">
        <v>354</v>
      </c>
      <c r="EV243" s="330"/>
      <c r="EW243" s="330"/>
      <c r="EX243" s="330" t="s">
        <v>200</v>
      </c>
      <c r="EY243" s="330"/>
      <c r="EZ243" s="330" t="s">
        <v>247</v>
      </c>
      <c r="FA243" s="330"/>
      <c r="FB243" s="330" t="s">
        <v>247</v>
      </c>
      <c r="FC243" s="330" t="s">
        <v>202</v>
      </c>
      <c r="FD243" s="332" t="s">
        <v>190</v>
      </c>
      <c r="FE243" s="330"/>
      <c r="FF243" s="330"/>
      <c r="FG243" s="330" t="s">
        <v>203</v>
      </c>
      <c r="FH243" s="330" t="s">
        <v>2264</v>
      </c>
      <c r="FI243" s="330" t="s">
        <v>204</v>
      </c>
      <c r="FJ243" s="330"/>
      <c r="FK243" s="330" t="s">
        <v>180</v>
      </c>
      <c r="FL243" s="330"/>
      <c r="FM243" s="330" t="s">
        <v>191</v>
      </c>
      <c r="FN243" s="330" t="s">
        <v>2296</v>
      </c>
      <c r="FO243" s="330"/>
      <c r="FP243" s="330" t="s">
        <v>2297</v>
      </c>
      <c r="FQ243" s="330"/>
      <c r="FR243" s="330"/>
      <c r="FS243" s="330"/>
      <c r="FT243" s="330"/>
      <c r="FU243" s="330"/>
    </row>
    <row r="244" spans="1:177" ht="51" x14ac:dyDescent="0.25">
      <c r="A244" s="330">
        <v>243</v>
      </c>
      <c r="B244" s="331" t="s">
        <v>2298</v>
      </c>
      <c r="C244" s="330"/>
      <c r="D244" s="332" t="s">
        <v>2255</v>
      </c>
      <c r="E244" s="332" t="s">
        <v>1944</v>
      </c>
      <c r="F244" s="332" t="s">
        <v>180</v>
      </c>
      <c r="G244" s="330" t="s">
        <v>181</v>
      </c>
      <c r="H244" s="331">
        <v>400</v>
      </c>
      <c r="I244" s="330"/>
      <c r="J244" s="332"/>
      <c r="K244" s="332" t="s">
        <v>2299</v>
      </c>
      <c r="L244" s="330" t="s">
        <v>284</v>
      </c>
      <c r="M244" s="332" t="s">
        <v>751</v>
      </c>
      <c r="N244" s="330"/>
      <c r="O244" s="333"/>
      <c r="P244" s="333"/>
      <c r="Q244" s="333">
        <v>1810</v>
      </c>
      <c r="R244" s="333">
        <v>185</v>
      </c>
      <c r="S244" s="333"/>
      <c r="T244" s="333"/>
      <c r="U244" s="333"/>
      <c r="V244" s="333"/>
      <c r="W244" s="330"/>
      <c r="X244" s="330"/>
      <c r="Y244" s="332" t="s">
        <v>2257</v>
      </c>
      <c r="Z244" s="330" t="s">
        <v>215</v>
      </c>
      <c r="AA244" s="330" t="s">
        <v>2258</v>
      </c>
      <c r="AB244" s="330" t="s">
        <v>217</v>
      </c>
      <c r="AC244" s="330" t="b">
        <v>1</v>
      </c>
      <c r="AD244" s="330" t="s">
        <v>2259</v>
      </c>
      <c r="AE244" s="330">
        <v>12</v>
      </c>
      <c r="AF244" s="330">
        <v>67</v>
      </c>
      <c r="AG244" s="332" t="s">
        <v>2260</v>
      </c>
      <c r="AH244" s="332" t="s">
        <v>191</v>
      </c>
      <c r="AI244" s="330" t="s">
        <v>191</v>
      </c>
      <c r="AJ244" s="330" t="s">
        <v>191</v>
      </c>
      <c r="AK244" s="330" t="s">
        <v>627</v>
      </c>
      <c r="AL244" s="330"/>
      <c r="AM244" s="330" t="s">
        <v>191</v>
      </c>
      <c r="AN244" s="330"/>
      <c r="AO244" s="330"/>
      <c r="AP244" s="332" t="s">
        <v>259</v>
      </c>
      <c r="AQ244" s="330"/>
      <c r="AR244" s="330"/>
      <c r="AS244" s="330"/>
      <c r="AT244" s="330"/>
      <c r="AU244" s="332"/>
      <c r="AV244" s="334">
        <v>46111.653151921295</v>
      </c>
      <c r="AW244" s="330"/>
      <c r="AX244" s="335">
        <v>46220</v>
      </c>
      <c r="AY244" s="330"/>
      <c r="AZ244" s="330"/>
      <c r="BA244" s="330"/>
      <c r="BB244" s="330"/>
      <c r="BC244" s="336">
        <v>46241</v>
      </c>
      <c r="BD244" s="330"/>
      <c r="BE244" s="330"/>
      <c r="BF244" s="330"/>
      <c r="BG244" s="330"/>
      <c r="BH244" s="330" t="s">
        <v>193</v>
      </c>
      <c r="BI244" s="330">
        <v>160</v>
      </c>
      <c r="BJ244" s="330"/>
      <c r="BK244" s="330"/>
      <c r="BL244" s="330"/>
      <c r="BM244" s="332"/>
      <c r="BN244" s="330"/>
      <c r="BO244" s="330" t="s">
        <v>240</v>
      </c>
      <c r="BP244" s="330" t="s">
        <v>193</v>
      </c>
      <c r="BQ244" s="330" t="s">
        <v>218</v>
      </c>
      <c r="BR244" s="330" t="s">
        <v>193</v>
      </c>
      <c r="BS244" s="330" t="s">
        <v>2300</v>
      </c>
      <c r="BT244" s="330" t="s">
        <v>193</v>
      </c>
      <c r="BU244" s="330" t="s">
        <v>2301</v>
      </c>
      <c r="BV244" s="330" t="s">
        <v>220</v>
      </c>
      <c r="BW244" s="330"/>
      <c r="BX244" s="332"/>
      <c r="BY244" s="330"/>
      <c r="BZ244" s="330"/>
      <c r="CA244" s="330"/>
      <c r="CB244" s="330"/>
      <c r="CC244" s="337" t="s">
        <v>81</v>
      </c>
      <c r="CD244" s="330" t="b">
        <v>1</v>
      </c>
      <c r="CE244" s="330" t="b">
        <v>1</v>
      </c>
      <c r="CF244" s="330" t="b">
        <v>1</v>
      </c>
      <c r="CG244" s="330"/>
      <c r="CH244" s="330"/>
      <c r="CI244" s="330"/>
      <c r="CJ244" s="330"/>
      <c r="CK244" s="330"/>
      <c r="CL244" s="330"/>
      <c r="CM244" s="330"/>
      <c r="CN244" s="330"/>
      <c r="CO244" s="330"/>
      <c r="CP244" s="330"/>
      <c r="CQ244" s="330"/>
      <c r="CR244" s="330"/>
      <c r="CS244" s="330"/>
      <c r="CT244" s="330"/>
      <c r="CU244" s="330"/>
      <c r="CV244" s="330"/>
      <c r="CW244" s="330"/>
      <c r="CX244" s="330"/>
      <c r="CY244" s="330"/>
      <c r="CZ244" s="330"/>
      <c r="DA244" s="330"/>
      <c r="DB244" s="330" t="b">
        <v>1</v>
      </c>
      <c r="DC244" s="330" t="b">
        <v>1</v>
      </c>
      <c r="DD244" s="330"/>
      <c r="DE244" s="330"/>
      <c r="DF244" s="338">
        <v>25044</v>
      </c>
      <c r="DG244" s="330" t="s">
        <v>221</v>
      </c>
      <c r="DH244" s="330"/>
      <c r="DI244" s="338">
        <v>10</v>
      </c>
      <c r="DJ244" s="330"/>
      <c r="DK244" s="330">
        <v>10</v>
      </c>
      <c r="DL244" s="330" t="s">
        <v>2263</v>
      </c>
      <c r="DM244" s="330"/>
      <c r="DN244" s="330"/>
      <c r="DO244" s="330"/>
      <c r="DP244" s="330"/>
      <c r="DQ244" s="338" t="s">
        <v>197</v>
      </c>
      <c r="DR244" s="330"/>
      <c r="DS244" s="330"/>
      <c r="DT244" s="330"/>
      <c r="DU244" s="338" t="s">
        <v>197</v>
      </c>
      <c r="DV244" s="330"/>
      <c r="DW244" s="330"/>
      <c r="DX244" s="330"/>
      <c r="DY244" s="338" t="s">
        <v>197</v>
      </c>
      <c r="DZ244" s="330"/>
      <c r="EA244" s="330"/>
      <c r="EB244" s="330"/>
      <c r="EC244" s="330" t="s">
        <v>197</v>
      </c>
      <c r="ED244" s="338" t="s">
        <v>197</v>
      </c>
      <c r="EE244" s="330">
        <v>90</v>
      </c>
      <c r="EF244" s="330">
        <v>300</v>
      </c>
      <c r="EG244" s="330"/>
      <c r="EH244" s="330"/>
      <c r="EI244" s="330"/>
      <c r="EJ244" s="330"/>
      <c r="EK244" s="330"/>
      <c r="EL244" s="330"/>
      <c r="EM244" s="330"/>
      <c r="EN244" s="330"/>
      <c r="EO244" s="330"/>
      <c r="EP244" s="330"/>
      <c r="EQ244" s="332" t="s">
        <v>224</v>
      </c>
      <c r="ER244" s="330"/>
      <c r="ES244" s="330"/>
      <c r="ET244" s="332" t="s">
        <v>245</v>
      </c>
      <c r="EU244" s="332" t="s">
        <v>354</v>
      </c>
      <c r="EV244" s="330"/>
      <c r="EW244" s="330"/>
      <c r="EX244" s="330" t="s">
        <v>200</v>
      </c>
      <c r="EY244" s="330"/>
      <c r="EZ244" s="330" t="s">
        <v>247</v>
      </c>
      <c r="FA244" s="330"/>
      <c r="FB244" s="330" t="s">
        <v>247</v>
      </c>
      <c r="FC244" s="330" t="s">
        <v>202</v>
      </c>
      <c r="FD244" s="332" t="s">
        <v>190</v>
      </c>
      <c r="FE244" s="330"/>
      <c r="FF244" s="330"/>
      <c r="FG244" s="330" t="s">
        <v>203</v>
      </c>
      <c r="FH244" s="330" t="s">
        <v>2264</v>
      </c>
      <c r="FI244" s="330" t="s">
        <v>204</v>
      </c>
      <c r="FJ244" s="330"/>
      <c r="FK244" s="330" t="s">
        <v>180</v>
      </c>
      <c r="FL244" s="330"/>
      <c r="FM244" s="330" t="s">
        <v>191</v>
      </c>
      <c r="FN244" s="330" t="s">
        <v>2302</v>
      </c>
      <c r="FO244" s="330"/>
      <c r="FP244" s="330" t="s">
        <v>2303</v>
      </c>
      <c r="FQ244" s="330"/>
      <c r="FR244" s="330"/>
      <c r="FS244" s="330"/>
      <c r="FT244" s="330"/>
      <c r="FU244" s="330"/>
    </row>
    <row r="245" spans="1:177" ht="51" x14ac:dyDescent="0.25">
      <c r="A245" s="330">
        <v>244</v>
      </c>
      <c r="B245" s="331" t="s">
        <v>2263</v>
      </c>
      <c r="C245" s="330"/>
      <c r="D245" s="332" t="s">
        <v>2255</v>
      </c>
      <c r="E245" s="332" t="s">
        <v>1944</v>
      </c>
      <c r="F245" s="332" t="s">
        <v>180</v>
      </c>
      <c r="G245" s="330" t="s">
        <v>181</v>
      </c>
      <c r="H245" s="331">
        <v>400</v>
      </c>
      <c r="I245" s="330"/>
      <c r="J245" s="332"/>
      <c r="K245" s="332" t="s">
        <v>2304</v>
      </c>
      <c r="L245" s="330" t="s">
        <v>284</v>
      </c>
      <c r="M245" s="332" t="s">
        <v>751</v>
      </c>
      <c r="N245" s="330"/>
      <c r="O245" s="333"/>
      <c r="P245" s="333"/>
      <c r="Q245" s="333">
        <v>1810</v>
      </c>
      <c r="R245" s="333">
        <v>185</v>
      </c>
      <c r="S245" s="333"/>
      <c r="T245" s="333"/>
      <c r="U245" s="333"/>
      <c r="V245" s="333"/>
      <c r="W245" s="330"/>
      <c r="X245" s="330"/>
      <c r="Y245" s="332" t="s">
        <v>2257</v>
      </c>
      <c r="Z245" s="330" t="s">
        <v>215</v>
      </c>
      <c r="AA245" s="330" t="s">
        <v>2258</v>
      </c>
      <c r="AB245" s="330" t="s">
        <v>217</v>
      </c>
      <c r="AC245" s="330" t="b">
        <v>1</v>
      </c>
      <c r="AD245" s="330" t="s">
        <v>2259</v>
      </c>
      <c r="AE245" s="330">
        <v>13</v>
      </c>
      <c r="AF245" s="330">
        <v>73</v>
      </c>
      <c r="AG245" s="332" t="s">
        <v>2260</v>
      </c>
      <c r="AH245" s="332" t="s">
        <v>191</v>
      </c>
      <c r="AI245" s="330" t="s">
        <v>191</v>
      </c>
      <c r="AJ245" s="330" t="s">
        <v>191</v>
      </c>
      <c r="AK245" s="330" t="s">
        <v>627</v>
      </c>
      <c r="AL245" s="330"/>
      <c r="AM245" s="330" t="s">
        <v>191</v>
      </c>
      <c r="AN245" s="330"/>
      <c r="AO245" s="330"/>
      <c r="AP245" s="332" t="s">
        <v>259</v>
      </c>
      <c r="AQ245" s="330"/>
      <c r="AR245" s="330"/>
      <c r="AS245" s="330"/>
      <c r="AT245" s="330"/>
      <c r="AU245" s="332"/>
      <c r="AV245" s="334">
        <v>46111.657735752313</v>
      </c>
      <c r="AW245" s="330"/>
      <c r="AX245" s="335">
        <v>46230</v>
      </c>
      <c r="AY245" s="330"/>
      <c r="AZ245" s="330"/>
      <c r="BA245" s="330"/>
      <c r="BB245" s="330"/>
      <c r="BC245" s="336">
        <v>46251</v>
      </c>
      <c r="BD245" s="330"/>
      <c r="BE245" s="330"/>
      <c r="BF245" s="330"/>
      <c r="BG245" s="330"/>
      <c r="BH245" s="330" t="s">
        <v>193</v>
      </c>
      <c r="BI245" s="330">
        <v>160</v>
      </c>
      <c r="BJ245" s="330"/>
      <c r="BK245" s="330"/>
      <c r="BL245" s="330"/>
      <c r="BM245" s="332"/>
      <c r="BN245" s="330"/>
      <c r="BO245" s="330" t="s">
        <v>240</v>
      </c>
      <c r="BP245" s="330" t="s">
        <v>193</v>
      </c>
      <c r="BQ245" s="330" t="s">
        <v>218</v>
      </c>
      <c r="BR245" s="330" t="s">
        <v>193</v>
      </c>
      <c r="BS245" s="330" t="s">
        <v>2300</v>
      </c>
      <c r="BT245" s="330" t="s">
        <v>193</v>
      </c>
      <c r="BU245" s="330" t="s">
        <v>2301</v>
      </c>
      <c r="BV245" s="330" t="s">
        <v>220</v>
      </c>
      <c r="BW245" s="330"/>
      <c r="BX245" s="332"/>
      <c r="BY245" s="330"/>
      <c r="BZ245" s="330"/>
      <c r="CA245" s="330"/>
      <c r="CB245" s="330"/>
      <c r="CC245" s="337" t="s">
        <v>81</v>
      </c>
      <c r="CD245" s="330" t="b">
        <v>1</v>
      </c>
      <c r="CE245" s="330" t="b">
        <v>1</v>
      </c>
      <c r="CF245" s="330" t="b">
        <v>1</v>
      </c>
      <c r="CG245" s="330"/>
      <c r="CH245" s="330"/>
      <c r="CI245" s="330"/>
      <c r="CJ245" s="330"/>
      <c r="CK245" s="330"/>
      <c r="CL245" s="330"/>
      <c r="CM245" s="330"/>
      <c r="CN245" s="330"/>
      <c r="CO245" s="330"/>
      <c r="CP245" s="330"/>
      <c r="CQ245" s="330"/>
      <c r="CR245" s="330"/>
      <c r="CS245" s="330"/>
      <c r="CT245" s="330"/>
      <c r="CU245" s="330"/>
      <c r="CV245" s="330"/>
      <c r="CW245" s="330"/>
      <c r="CX245" s="330"/>
      <c r="CY245" s="330"/>
      <c r="CZ245" s="330"/>
      <c r="DA245" s="330"/>
      <c r="DB245" s="330" t="b">
        <v>1</v>
      </c>
      <c r="DC245" s="330" t="b">
        <v>1</v>
      </c>
      <c r="DD245" s="330"/>
      <c r="DE245" s="330"/>
      <c r="DF245" s="338">
        <v>25044</v>
      </c>
      <c r="DG245" s="330" t="s">
        <v>221</v>
      </c>
      <c r="DH245" s="330"/>
      <c r="DI245" s="338">
        <v>11</v>
      </c>
      <c r="DJ245" s="330"/>
      <c r="DK245" s="330">
        <v>11</v>
      </c>
      <c r="DL245" s="330" t="s">
        <v>2263</v>
      </c>
      <c r="DM245" s="330"/>
      <c r="DN245" s="330"/>
      <c r="DO245" s="330"/>
      <c r="DP245" s="330"/>
      <c r="DQ245" s="338" t="s">
        <v>197</v>
      </c>
      <c r="DR245" s="330"/>
      <c r="DS245" s="330"/>
      <c r="DT245" s="330"/>
      <c r="DU245" s="338" t="s">
        <v>197</v>
      </c>
      <c r="DV245" s="330"/>
      <c r="DW245" s="330"/>
      <c r="DX245" s="330"/>
      <c r="DY245" s="338" t="s">
        <v>197</v>
      </c>
      <c r="DZ245" s="330"/>
      <c r="EA245" s="330"/>
      <c r="EB245" s="330"/>
      <c r="EC245" s="330" t="s">
        <v>197</v>
      </c>
      <c r="ED245" s="338" t="s">
        <v>197</v>
      </c>
      <c r="EE245" s="330">
        <v>90</v>
      </c>
      <c r="EF245" s="330">
        <v>300</v>
      </c>
      <c r="EG245" s="330"/>
      <c r="EH245" s="330"/>
      <c r="EI245" s="330"/>
      <c r="EJ245" s="330"/>
      <c r="EK245" s="330"/>
      <c r="EL245" s="330"/>
      <c r="EM245" s="330"/>
      <c r="EN245" s="330"/>
      <c r="EO245" s="330"/>
      <c r="EP245" s="330"/>
      <c r="EQ245" s="332" t="s">
        <v>224</v>
      </c>
      <c r="ER245" s="330"/>
      <c r="ES245" s="330"/>
      <c r="ET245" s="332" t="s">
        <v>245</v>
      </c>
      <c r="EU245" s="332" t="s">
        <v>354</v>
      </c>
      <c r="EV245" s="330"/>
      <c r="EW245" s="330"/>
      <c r="EX245" s="330" t="s">
        <v>200</v>
      </c>
      <c r="EY245" s="330"/>
      <c r="EZ245" s="330" t="s">
        <v>247</v>
      </c>
      <c r="FA245" s="330"/>
      <c r="FB245" s="330" t="s">
        <v>247</v>
      </c>
      <c r="FC245" s="330" t="s">
        <v>202</v>
      </c>
      <c r="FD245" s="332" t="s">
        <v>190</v>
      </c>
      <c r="FE245" s="330"/>
      <c r="FF245" s="330"/>
      <c r="FG245" s="330" t="s">
        <v>203</v>
      </c>
      <c r="FH245" s="330" t="s">
        <v>2264</v>
      </c>
      <c r="FI245" s="330" t="s">
        <v>204</v>
      </c>
      <c r="FJ245" s="330"/>
      <c r="FK245" s="330" t="s">
        <v>180</v>
      </c>
      <c r="FL245" s="330"/>
      <c r="FM245" s="330" t="s">
        <v>191</v>
      </c>
      <c r="FN245" s="330" t="s">
        <v>2305</v>
      </c>
      <c r="FO245" s="330"/>
      <c r="FP245" s="330" t="s">
        <v>2306</v>
      </c>
      <c r="FQ245" s="330"/>
      <c r="FR245" s="330"/>
      <c r="FS245" s="330"/>
      <c r="FT245" s="330"/>
      <c r="FU245" s="330"/>
    </row>
    <row r="246" spans="1:177" ht="51" x14ac:dyDescent="0.25">
      <c r="A246" s="330">
        <v>245</v>
      </c>
      <c r="B246" s="331" t="s">
        <v>2307</v>
      </c>
      <c r="C246" s="330"/>
      <c r="D246" s="332" t="s">
        <v>2255</v>
      </c>
      <c r="E246" s="332" t="s">
        <v>1944</v>
      </c>
      <c r="F246" s="332" t="s">
        <v>180</v>
      </c>
      <c r="G246" s="330" t="s">
        <v>181</v>
      </c>
      <c r="H246" s="331">
        <v>400</v>
      </c>
      <c r="I246" s="330"/>
      <c r="J246" s="332"/>
      <c r="K246" s="332" t="s">
        <v>2308</v>
      </c>
      <c r="L246" s="330" t="s">
        <v>284</v>
      </c>
      <c r="M246" s="332" t="s">
        <v>751</v>
      </c>
      <c r="N246" s="330"/>
      <c r="O246" s="333"/>
      <c r="P246" s="333"/>
      <c r="Q246" s="333">
        <v>1810</v>
      </c>
      <c r="R246" s="333">
        <v>34</v>
      </c>
      <c r="S246" s="333"/>
      <c r="T246" s="333"/>
      <c r="U246" s="333"/>
      <c r="V246" s="333"/>
      <c r="W246" s="330"/>
      <c r="X246" s="330"/>
      <c r="Y246" s="332" t="s">
        <v>2309</v>
      </c>
      <c r="Z246" s="330" t="s">
        <v>215</v>
      </c>
      <c r="AA246" s="330" t="s">
        <v>2310</v>
      </c>
      <c r="AB246" s="330" t="s">
        <v>217</v>
      </c>
      <c r="AC246" s="330" t="b">
        <v>1</v>
      </c>
      <c r="AD246" s="330" t="s">
        <v>2259</v>
      </c>
      <c r="AE246" s="330">
        <v>1</v>
      </c>
      <c r="AF246" s="330">
        <v>12</v>
      </c>
      <c r="AG246" s="332" t="s">
        <v>2260</v>
      </c>
      <c r="AH246" s="332" t="s">
        <v>191</v>
      </c>
      <c r="AI246" s="330" t="s">
        <v>191</v>
      </c>
      <c r="AJ246" s="330" t="s">
        <v>191</v>
      </c>
      <c r="AK246" s="330" t="s">
        <v>627</v>
      </c>
      <c r="AL246" s="330"/>
      <c r="AM246" s="330" t="s">
        <v>191</v>
      </c>
      <c r="AN246" s="330"/>
      <c r="AO246" s="330"/>
      <c r="AP246" s="332" t="s">
        <v>259</v>
      </c>
      <c r="AQ246" s="330"/>
      <c r="AR246" s="330"/>
      <c r="AS246" s="330"/>
      <c r="AT246" s="330"/>
      <c r="AU246" s="332"/>
      <c r="AV246" s="334">
        <v>46111.664674131942</v>
      </c>
      <c r="AW246" s="330"/>
      <c r="AX246" s="335">
        <v>46143</v>
      </c>
      <c r="AY246" s="330"/>
      <c r="AZ246" s="330"/>
      <c r="BA246" s="330"/>
      <c r="BB246" s="330"/>
      <c r="BC246" s="336">
        <v>46164</v>
      </c>
      <c r="BD246" s="330"/>
      <c r="BE246" s="330"/>
      <c r="BF246" s="330"/>
      <c r="BG246" s="330"/>
      <c r="BH246" s="330" t="s">
        <v>193</v>
      </c>
      <c r="BI246" s="330">
        <v>15</v>
      </c>
      <c r="BJ246" s="330"/>
      <c r="BK246" s="330"/>
      <c r="BL246" s="330"/>
      <c r="BM246" s="332"/>
      <c r="BN246" s="330"/>
      <c r="BO246" s="330" t="s">
        <v>240</v>
      </c>
      <c r="BP246" s="330" t="s">
        <v>193</v>
      </c>
      <c r="BQ246" s="330" t="s">
        <v>218</v>
      </c>
      <c r="BR246" s="330" t="s">
        <v>193</v>
      </c>
      <c r="BS246" s="330" t="s">
        <v>2311</v>
      </c>
      <c r="BT246" s="330" t="s">
        <v>193</v>
      </c>
      <c r="BU246" s="330" t="s">
        <v>2312</v>
      </c>
      <c r="BV246" s="330" t="s">
        <v>220</v>
      </c>
      <c r="BW246" s="330"/>
      <c r="BX246" s="332"/>
      <c r="BY246" s="330"/>
      <c r="BZ246" s="330"/>
      <c r="CA246" s="330"/>
      <c r="CB246" s="330"/>
      <c r="CC246" s="337" t="s">
        <v>81</v>
      </c>
      <c r="CD246" s="330" t="b">
        <v>1</v>
      </c>
      <c r="CE246" s="330" t="b">
        <v>1</v>
      </c>
      <c r="CF246" s="330" t="b">
        <v>1</v>
      </c>
      <c r="CG246" s="330"/>
      <c r="CH246" s="330"/>
      <c r="CI246" s="330"/>
      <c r="CJ246" s="330"/>
      <c r="CK246" s="330"/>
      <c r="CL246" s="330"/>
      <c r="CM246" s="330"/>
      <c r="CN246" s="330"/>
      <c r="CO246" s="330"/>
      <c r="CP246" s="330"/>
      <c r="CQ246" s="330"/>
      <c r="CR246" s="330"/>
      <c r="CS246" s="330"/>
      <c r="CT246" s="330"/>
      <c r="CU246" s="330"/>
      <c r="CV246" s="330"/>
      <c r="CW246" s="330"/>
      <c r="CX246" s="330"/>
      <c r="CY246" s="330"/>
      <c r="CZ246" s="330"/>
      <c r="DA246" s="330"/>
      <c r="DB246" s="330" t="b">
        <v>1</v>
      </c>
      <c r="DC246" s="330" t="b">
        <v>1</v>
      </c>
      <c r="DD246" s="330"/>
      <c r="DE246" s="330"/>
      <c r="DF246" s="338">
        <v>25044</v>
      </c>
      <c r="DG246" s="330" t="s">
        <v>221</v>
      </c>
      <c r="DH246" s="330"/>
      <c r="DI246" s="338" t="s">
        <v>2313</v>
      </c>
      <c r="DJ246" s="330"/>
      <c r="DK246" s="330">
        <v>1.1000000000000001</v>
      </c>
      <c r="DL246" s="330" t="s">
        <v>2263</v>
      </c>
      <c r="DM246" s="330"/>
      <c r="DN246" s="330"/>
      <c r="DO246" s="330"/>
      <c r="DP246" s="330"/>
      <c r="DQ246" s="338" t="s">
        <v>197</v>
      </c>
      <c r="DR246" s="330"/>
      <c r="DS246" s="330"/>
      <c r="DT246" s="330"/>
      <c r="DU246" s="338" t="s">
        <v>197</v>
      </c>
      <c r="DV246" s="330"/>
      <c r="DW246" s="330"/>
      <c r="DX246" s="330"/>
      <c r="DY246" s="338" t="s">
        <v>197</v>
      </c>
      <c r="DZ246" s="330"/>
      <c r="EA246" s="330"/>
      <c r="EB246" s="330"/>
      <c r="EC246" s="330" t="s">
        <v>197</v>
      </c>
      <c r="ED246" s="338" t="s">
        <v>197</v>
      </c>
      <c r="EE246" s="330">
        <v>17</v>
      </c>
      <c r="EF246" s="330">
        <v>57</v>
      </c>
      <c r="EG246" s="330"/>
      <c r="EH246" s="330"/>
      <c r="EI246" s="330"/>
      <c r="EJ246" s="330"/>
      <c r="EK246" s="330"/>
      <c r="EL246" s="330"/>
      <c r="EM246" s="330"/>
      <c r="EN246" s="330"/>
      <c r="EO246" s="330"/>
      <c r="EP246" s="330"/>
      <c r="EQ246" s="332" t="s">
        <v>224</v>
      </c>
      <c r="ER246" s="330"/>
      <c r="ES246" s="330"/>
      <c r="ET246" s="332" t="s">
        <v>245</v>
      </c>
      <c r="EU246" s="332" t="s">
        <v>354</v>
      </c>
      <c r="EV246" s="330"/>
      <c r="EW246" s="330"/>
      <c r="EX246" s="330" t="s">
        <v>200</v>
      </c>
      <c r="EY246" s="330"/>
      <c r="EZ246" s="330" t="s">
        <v>247</v>
      </c>
      <c r="FA246" s="330"/>
      <c r="FB246" s="330" t="s">
        <v>247</v>
      </c>
      <c r="FC246" s="330" t="s">
        <v>202</v>
      </c>
      <c r="FD246" s="332" t="s">
        <v>190</v>
      </c>
      <c r="FE246" s="330"/>
      <c r="FF246" s="330"/>
      <c r="FG246" s="330" t="s">
        <v>203</v>
      </c>
      <c r="FH246" s="330" t="s">
        <v>2264</v>
      </c>
      <c r="FI246" s="330" t="s">
        <v>204</v>
      </c>
      <c r="FJ246" s="330"/>
      <c r="FK246" s="330" t="s">
        <v>180</v>
      </c>
      <c r="FL246" s="330"/>
      <c r="FM246" s="330" t="s">
        <v>191</v>
      </c>
      <c r="FN246" s="330" t="s">
        <v>2314</v>
      </c>
      <c r="FO246" s="330"/>
      <c r="FP246" s="330" t="s">
        <v>2108</v>
      </c>
      <c r="FQ246" s="330"/>
      <c r="FR246" s="330"/>
      <c r="FS246" s="330"/>
      <c r="FT246" s="330"/>
      <c r="FU246" s="330"/>
    </row>
    <row r="247" spans="1:177" ht="63.75" x14ac:dyDescent="0.25">
      <c r="A247" s="330">
        <v>246</v>
      </c>
      <c r="B247" s="331" t="s">
        <v>2315</v>
      </c>
      <c r="C247" s="330"/>
      <c r="D247" s="332" t="s">
        <v>2255</v>
      </c>
      <c r="E247" s="332" t="s">
        <v>1944</v>
      </c>
      <c r="F247" s="332" t="s">
        <v>180</v>
      </c>
      <c r="G247" s="330" t="s">
        <v>181</v>
      </c>
      <c r="H247" s="331">
        <v>400</v>
      </c>
      <c r="I247" s="330"/>
      <c r="J247" s="332"/>
      <c r="K247" s="332" t="s">
        <v>2316</v>
      </c>
      <c r="L247" s="330" t="s">
        <v>284</v>
      </c>
      <c r="M247" s="332" t="s">
        <v>751</v>
      </c>
      <c r="N247" s="330"/>
      <c r="O247" s="333"/>
      <c r="P247" s="333"/>
      <c r="Q247" s="333">
        <v>1810</v>
      </c>
      <c r="R247" s="333">
        <v>193</v>
      </c>
      <c r="S247" s="333"/>
      <c r="T247" s="333"/>
      <c r="U247" s="333"/>
      <c r="V247" s="333"/>
      <c r="W247" s="330"/>
      <c r="X247" s="330"/>
      <c r="Y247" s="332" t="s">
        <v>2317</v>
      </c>
      <c r="Z247" s="330" t="s">
        <v>215</v>
      </c>
      <c r="AA247" s="330" t="s">
        <v>2318</v>
      </c>
      <c r="AB247" s="330" t="s">
        <v>189</v>
      </c>
      <c r="AC247" s="330" t="b">
        <v>1</v>
      </c>
      <c r="AD247" s="330" t="s">
        <v>2259</v>
      </c>
      <c r="AE247" s="330">
        <v>10</v>
      </c>
      <c r="AF247" s="330">
        <v>60</v>
      </c>
      <c r="AG247" s="332" t="s">
        <v>2260</v>
      </c>
      <c r="AH247" s="332" t="s">
        <v>191</v>
      </c>
      <c r="AI247" s="330" t="s">
        <v>191</v>
      </c>
      <c r="AJ247" s="330" t="s">
        <v>191</v>
      </c>
      <c r="AK247" s="330" t="s">
        <v>627</v>
      </c>
      <c r="AL247" s="330"/>
      <c r="AM247" s="330" t="s">
        <v>191</v>
      </c>
      <c r="AN247" s="330"/>
      <c r="AO247" s="330"/>
      <c r="AP247" s="332" t="s">
        <v>259</v>
      </c>
      <c r="AQ247" s="330"/>
      <c r="AR247" s="330"/>
      <c r="AS247" s="330"/>
      <c r="AT247" s="330"/>
      <c r="AU247" s="332"/>
      <c r="AV247" s="334">
        <v>46111.667878379631</v>
      </c>
      <c r="AW247" s="330"/>
      <c r="AX247" s="335">
        <v>46211</v>
      </c>
      <c r="AY247" s="330"/>
      <c r="AZ247" s="330"/>
      <c r="BA247" s="330"/>
      <c r="BB247" s="330"/>
      <c r="BC247" s="336">
        <v>46232</v>
      </c>
      <c r="BD247" s="330"/>
      <c r="BE247" s="330"/>
      <c r="BF247" s="330"/>
      <c r="BG247" s="330"/>
      <c r="BH247" s="330" t="s">
        <v>193</v>
      </c>
      <c r="BI247" s="330">
        <v>14</v>
      </c>
      <c r="BJ247" s="330"/>
      <c r="BK247" s="330"/>
      <c r="BL247" s="330"/>
      <c r="BM247" s="332"/>
      <c r="BN247" s="330"/>
      <c r="BO247" s="330" t="s">
        <v>240</v>
      </c>
      <c r="BP247" s="330" t="s">
        <v>193</v>
      </c>
      <c r="BQ247" s="330" t="s">
        <v>218</v>
      </c>
      <c r="BR247" s="330" t="s">
        <v>193</v>
      </c>
      <c r="BS247" s="330" t="s">
        <v>2319</v>
      </c>
      <c r="BT247" s="330" t="s">
        <v>193</v>
      </c>
      <c r="BU247" s="330" t="s">
        <v>2320</v>
      </c>
      <c r="BV247" s="330" t="s">
        <v>220</v>
      </c>
      <c r="BW247" s="330"/>
      <c r="BX247" s="332"/>
      <c r="BY247" s="330"/>
      <c r="BZ247" s="330"/>
      <c r="CA247" s="330"/>
      <c r="CB247" s="330"/>
      <c r="CC247" s="337" t="s">
        <v>81</v>
      </c>
      <c r="CD247" s="330" t="b">
        <v>1</v>
      </c>
      <c r="CE247" s="330" t="b">
        <v>1</v>
      </c>
      <c r="CF247" s="330" t="b">
        <v>1</v>
      </c>
      <c r="CG247" s="330"/>
      <c r="CH247" s="330"/>
      <c r="CI247" s="330"/>
      <c r="CJ247" s="330"/>
      <c r="CK247" s="330"/>
      <c r="CL247" s="330"/>
      <c r="CM247" s="330"/>
      <c r="CN247" s="330"/>
      <c r="CO247" s="330"/>
      <c r="CP247" s="330"/>
      <c r="CQ247" s="330"/>
      <c r="CR247" s="330"/>
      <c r="CS247" s="330"/>
      <c r="CT247" s="330"/>
      <c r="CU247" s="330"/>
      <c r="CV247" s="330"/>
      <c r="CW247" s="330"/>
      <c r="CX247" s="330"/>
      <c r="CY247" s="330"/>
      <c r="CZ247" s="330"/>
      <c r="DA247" s="330"/>
      <c r="DB247" s="330" t="b">
        <v>1</v>
      </c>
      <c r="DC247" s="330" t="b">
        <v>1</v>
      </c>
      <c r="DD247" s="330"/>
      <c r="DE247" s="330"/>
      <c r="DF247" s="338">
        <v>25044</v>
      </c>
      <c r="DG247" s="330" t="s">
        <v>221</v>
      </c>
      <c r="DH247" s="330"/>
      <c r="DI247" s="338" t="s">
        <v>2321</v>
      </c>
      <c r="DJ247" s="330"/>
      <c r="DK247" s="330">
        <v>1.2</v>
      </c>
      <c r="DL247" s="330" t="s">
        <v>2263</v>
      </c>
      <c r="DM247" s="330"/>
      <c r="DN247" s="330"/>
      <c r="DO247" s="330"/>
      <c r="DP247" s="330"/>
      <c r="DQ247" s="338" t="s">
        <v>197</v>
      </c>
      <c r="DR247" s="330"/>
      <c r="DS247" s="330"/>
      <c r="DT247" s="330"/>
      <c r="DU247" s="338" t="s">
        <v>197</v>
      </c>
      <c r="DV247" s="330"/>
      <c r="DW247" s="330"/>
      <c r="DX247" s="330"/>
      <c r="DY247" s="338" t="s">
        <v>197</v>
      </c>
      <c r="DZ247" s="330"/>
      <c r="EA247" s="330"/>
      <c r="EB247" s="330"/>
      <c r="EC247" s="330" t="s">
        <v>197</v>
      </c>
      <c r="ED247" s="338" t="s">
        <v>197</v>
      </c>
      <c r="EE247" s="330">
        <v>95</v>
      </c>
      <c r="EF247" s="330">
        <v>325</v>
      </c>
      <c r="EG247" s="330"/>
      <c r="EH247" s="330"/>
      <c r="EI247" s="330"/>
      <c r="EJ247" s="330"/>
      <c r="EK247" s="330"/>
      <c r="EL247" s="330"/>
      <c r="EM247" s="330"/>
      <c r="EN247" s="330"/>
      <c r="EO247" s="330"/>
      <c r="EP247" s="330"/>
      <c r="EQ247" s="332" t="s">
        <v>224</v>
      </c>
      <c r="ER247" s="330"/>
      <c r="ES247" s="330"/>
      <c r="ET247" s="332" t="s">
        <v>245</v>
      </c>
      <c r="EU247" s="332" t="s">
        <v>354</v>
      </c>
      <c r="EV247" s="330"/>
      <c r="EW247" s="330"/>
      <c r="EX247" s="330" t="s">
        <v>200</v>
      </c>
      <c r="EY247" s="330"/>
      <c r="EZ247" s="330" t="s">
        <v>247</v>
      </c>
      <c r="FA247" s="330"/>
      <c r="FB247" s="330" t="s">
        <v>247</v>
      </c>
      <c r="FC247" s="330" t="s">
        <v>202</v>
      </c>
      <c r="FD247" s="332" t="s">
        <v>190</v>
      </c>
      <c r="FE247" s="330"/>
      <c r="FF247" s="330"/>
      <c r="FG247" s="330" t="s">
        <v>203</v>
      </c>
      <c r="FH247" s="330" t="s">
        <v>2264</v>
      </c>
      <c r="FI247" s="330" t="s">
        <v>204</v>
      </c>
      <c r="FJ247" s="330"/>
      <c r="FK247" s="330" t="s">
        <v>180</v>
      </c>
      <c r="FL247" s="330"/>
      <c r="FM247" s="330" t="s">
        <v>191</v>
      </c>
      <c r="FN247" s="330" t="s">
        <v>2322</v>
      </c>
      <c r="FO247" s="330"/>
      <c r="FP247" s="330" t="s">
        <v>2297</v>
      </c>
      <c r="FQ247" s="330"/>
      <c r="FR247" s="330"/>
      <c r="FS247" s="330"/>
      <c r="FT247" s="330"/>
      <c r="FU247" s="330"/>
    </row>
    <row r="248" spans="1:177" ht="204" x14ac:dyDescent="0.25">
      <c r="A248" s="330">
        <v>247</v>
      </c>
      <c r="B248" s="331" t="s">
        <v>2323</v>
      </c>
      <c r="C248" s="330"/>
      <c r="D248" s="332" t="s">
        <v>325</v>
      </c>
      <c r="E248" s="332" t="s">
        <v>326</v>
      </c>
      <c r="F248" s="332" t="s">
        <v>327</v>
      </c>
      <c r="G248" s="330"/>
      <c r="H248" s="331" t="s">
        <v>2179</v>
      </c>
      <c r="I248" s="330"/>
      <c r="J248" s="332" t="s">
        <v>2324</v>
      </c>
      <c r="K248" s="332" t="s">
        <v>2325</v>
      </c>
      <c r="L248" s="330" t="s">
        <v>1647</v>
      </c>
      <c r="M248" s="332" t="s">
        <v>2227</v>
      </c>
      <c r="N248" s="330" t="s">
        <v>2326</v>
      </c>
      <c r="O248" s="333" t="s">
        <v>184</v>
      </c>
      <c r="P248" s="333" t="s">
        <v>184</v>
      </c>
      <c r="Q248" s="333" t="s">
        <v>184</v>
      </c>
      <c r="R248" s="333">
        <v>0</v>
      </c>
      <c r="S248" s="333">
        <v>8</v>
      </c>
      <c r="T248" s="333">
        <v>7</v>
      </c>
      <c r="U248" s="333">
        <v>0</v>
      </c>
      <c r="V248" s="333">
        <v>0</v>
      </c>
      <c r="W248" s="330" t="s">
        <v>2327</v>
      </c>
      <c r="X248" s="330">
        <v>4.32</v>
      </c>
      <c r="Y248" s="332" t="s">
        <v>2328</v>
      </c>
      <c r="Z248" s="330" t="s">
        <v>787</v>
      </c>
      <c r="AA248" s="330" t="s">
        <v>2329</v>
      </c>
      <c r="AB248" s="330" t="s">
        <v>189</v>
      </c>
      <c r="AC248" s="330"/>
      <c r="AD248" s="330"/>
      <c r="AE248" s="330">
        <v>5</v>
      </c>
      <c r="AF248" s="330">
        <v>7</v>
      </c>
      <c r="AG248" s="332" t="s">
        <v>1664</v>
      </c>
      <c r="AH248" s="332" t="s">
        <v>202</v>
      </c>
      <c r="AI248" s="330" t="s">
        <v>202</v>
      </c>
      <c r="AJ248" s="330"/>
      <c r="AK248" s="330"/>
      <c r="AL248" s="330" t="s">
        <v>741</v>
      </c>
      <c r="AM248" s="330" t="s">
        <v>202</v>
      </c>
      <c r="AN248" s="330" t="s">
        <v>741</v>
      </c>
      <c r="AO248" s="330"/>
      <c r="AP248" s="332"/>
      <c r="AQ248" s="330" t="s">
        <v>789</v>
      </c>
      <c r="AR248" s="330"/>
      <c r="AS248" s="330" t="b">
        <v>1</v>
      </c>
      <c r="AT248" s="330" t="b">
        <v>1</v>
      </c>
      <c r="AU248" s="332" t="s">
        <v>741</v>
      </c>
      <c r="AV248" s="334">
        <v>46112.29160290509</v>
      </c>
      <c r="AW248" s="330" t="b">
        <v>1</v>
      </c>
      <c r="AX248" s="335">
        <v>46133</v>
      </c>
      <c r="AY248" s="336">
        <v>46120</v>
      </c>
      <c r="AZ248" s="330" t="b">
        <v>1</v>
      </c>
      <c r="BA248" s="336">
        <v>46136</v>
      </c>
      <c r="BB248" s="330"/>
      <c r="BC248" s="336">
        <v>46118</v>
      </c>
      <c r="BD248" s="330"/>
      <c r="BE248" s="330"/>
      <c r="BF248" s="330"/>
      <c r="BG248" s="330"/>
      <c r="BH248" s="330" t="s">
        <v>193</v>
      </c>
      <c r="BI248" s="330"/>
      <c r="BJ248" s="330"/>
      <c r="BK248" s="330"/>
      <c r="BL248" s="330"/>
      <c r="BM248" s="332"/>
      <c r="BN248" s="330"/>
      <c r="BO248" s="330"/>
      <c r="BP248" s="330"/>
      <c r="BQ248" s="330" t="s">
        <v>338</v>
      </c>
      <c r="BR248" s="330" t="s">
        <v>220</v>
      </c>
      <c r="BS248" s="330"/>
      <c r="BT248" s="330" t="s">
        <v>220</v>
      </c>
      <c r="BU248" s="330"/>
      <c r="BV248" s="330" t="s">
        <v>220</v>
      </c>
      <c r="BW248" s="330"/>
      <c r="BX248" s="332"/>
      <c r="BY248" s="330"/>
      <c r="BZ248" s="330"/>
      <c r="CA248" s="330"/>
      <c r="CB248" s="330"/>
      <c r="CC248" s="337" t="s">
        <v>1667</v>
      </c>
      <c r="CD248" s="330"/>
      <c r="CE248" s="330" t="b">
        <v>1</v>
      </c>
      <c r="CF248" s="330"/>
      <c r="CG248" s="330"/>
      <c r="CH248" s="330"/>
      <c r="CI248" s="330"/>
      <c r="CJ248" s="330" t="b">
        <v>1</v>
      </c>
      <c r="CK248" s="330"/>
      <c r="CL248" s="330"/>
      <c r="CM248" s="330"/>
      <c r="CN248" s="330"/>
      <c r="CO248" s="330"/>
      <c r="CP248" s="330"/>
      <c r="CQ248" s="330"/>
      <c r="CR248" s="330"/>
      <c r="CS248" s="330"/>
      <c r="CT248" s="330"/>
      <c r="CU248" s="330"/>
      <c r="CV248" s="330"/>
      <c r="CW248" s="330"/>
      <c r="CX248" s="330" t="b">
        <v>1</v>
      </c>
      <c r="CY248" s="330"/>
      <c r="CZ248" s="330"/>
      <c r="DA248" s="330"/>
      <c r="DB248" s="330"/>
      <c r="DC248" s="330"/>
      <c r="DD248" s="330"/>
      <c r="DE248" s="330"/>
      <c r="DF248" s="338" t="s">
        <v>2330</v>
      </c>
      <c r="DG248" s="330" t="s">
        <v>341</v>
      </c>
      <c r="DH248" s="330"/>
      <c r="DI248" s="338" t="s">
        <v>196</v>
      </c>
      <c r="DJ248" s="330"/>
      <c r="DK248" s="330">
        <v>1</v>
      </c>
      <c r="DL248" s="330" t="s">
        <v>2331</v>
      </c>
      <c r="DM248" s="330"/>
      <c r="DN248" s="330"/>
      <c r="DO248" s="330"/>
      <c r="DP248" s="330"/>
      <c r="DQ248" s="338" t="s">
        <v>197</v>
      </c>
      <c r="DR248" s="330"/>
      <c r="DS248" s="330"/>
      <c r="DT248" s="330"/>
      <c r="DU248" s="338" t="s">
        <v>197</v>
      </c>
      <c r="DV248" s="330"/>
      <c r="DW248" s="330"/>
      <c r="DX248" s="330"/>
      <c r="DY248" s="338" t="s">
        <v>197</v>
      </c>
      <c r="DZ248" s="330"/>
      <c r="EA248" s="330"/>
      <c r="EB248" s="330"/>
      <c r="EC248" s="330" t="s">
        <v>197</v>
      </c>
      <c r="ED248" s="338" t="s">
        <v>197</v>
      </c>
      <c r="EE248" s="330">
        <v>10</v>
      </c>
      <c r="EF248" s="330">
        <v>10</v>
      </c>
      <c r="EG248" s="330"/>
      <c r="EH248" s="330"/>
      <c r="EI248" s="330"/>
      <c r="EJ248" s="330"/>
      <c r="EK248" s="330"/>
      <c r="EL248" s="330"/>
      <c r="EM248" s="330"/>
      <c r="EN248" s="330"/>
      <c r="EO248" s="330"/>
      <c r="EP248" s="330"/>
      <c r="EQ248" s="332" t="s">
        <v>244</v>
      </c>
      <c r="ER248" s="330"/>
      <c r="ES248" s="330"/>
      <c r="ET248" s="332" t="s">
        <v>87</v>
      </c>
      <c r="EU248" s="332" t="s">
        <v>1707</v>
      </c>
      <c r="EV248" s="336">
        <v>46119</v>
      </c>
      <c r="EW248" s="336">
        <v>46120</v>
      </c>
      <c r="EX248" s="330">
        <v>2</v>
      </c>
      <c r="EY248" s="330"/>
      <c r="EZ248" s="330" t="s">
        <v>247</v>
      </c>
      <c r="FA248" s="330"/>
      <c r="FB248" s="330" t="s">
        <v>247</v>
      </c>
      <c r="FC248" s="330" t="s">
        <v>202</v>
      </c>
      <c r="FD248" s="332" t="s">
        <v>190</v>
      </c>
      <c r="FE248" s="330"/>
      <c r="FF248" s="330"/>
      <c r="FG248" s="330" t="s">
        <v>203</v>
      </c>
      <c r="FH248" s="330" t="s">
        <v>2332</v>
      </c>
      <c r="FI248" s="330" t="s">
        <v>204</v>
      </c>
      <c r="FJ248" s="330"/>
      <c r="FK248" s="330" t="s">
        <v>327</v>
      </c>
      <c r="FL248" s="330" t="s">
        <v>741</v>
      </c>
      <c r="FM248" s="330" t="s">
        <v>202</v>
      </c>
      <c r="FN248" s="330" t="s">
        <v>2333</v>
      </c>
      <c r="FO248" s="330"/>
      <c r="FP248" s="330" t="s">
        <v>1794</v>
      </c>
      <c r="FQ248" s="330"/>
      <c r="FR248" s="330"/>
      <c r="FS248" s="330"/>
      <c r="FT248" s="330"/>
      <c r="FU248" s="330"/>
    </row>
    <row r="249" spans="1:177" ht="204" x14ac:dyDescent="0.25">
      <c r="A249" s="330">
        <v>248</v>
      </c>
      <c r="B249" s="331" t="s">
        <v>2334</v>
      </c>
      <c r="C249" s="330"/>
      <c r="D249" s="332" t="s">
        <v>325</v>
      </c>
      <c r="E249" s="332" t="s">
        <v>326</v>
      </c>
      <c r="F249" s="332" t="s">
        <v>327</v>
      </c>
      <c r="G249" s="330"/>
      <c r="H249" s="331" t="s">
        <v>2179</v>
      </c>
      <c r="I249" s="330"/>
      <c r="J249" s="332"/>
      <c r="K249" s="332" t="s">
        <v>2335</v>
      </c>
      <c r="L249" s="330" t="s">
        <v>1647</v>
      </c>
      <c r="M249" s="332" t="s">
        <v>2227</v>
      </c>
      <c r="N249" s="330" t="s">
        <v>2336</v>
      </c>
      <c r="O249" s="333" t="s">
        <v>736</v>
      </c>
      <c r="P249" s="333">
        <v>0</v>
      </c>
      <c r="Q249" s="333">
        <v>0</v>
      </c>
      <c r="R249" s="333">
        <v>4</v>
      </c>
      <c r="S249" s="333">
        <v>4</v>
      </c>
      <c r="T249" s="333">
        <v>4</v>
      </c>
      <c r="U249" s="333">
        <v>0</v>
      </c>
      <c r="V249" s="333">
        <v>0</v>
      </c>
      <c r="W249" s="330">
        <v>4</v>
      </c>
      <c r="X249" s="330" t="s">
        <v>2337</v>
      </c>
      <c r="Y249" s="332" t="s">
        <v>2338</v>
      </c>
      <c r="Z249" s="330" t="s">
        <v>739</v>
      </c>
      <c r="AA249" s="330" t="s">
        <v>2339</v>
      </c>
      <c r="AB249" s="330" t="s">
        <v>217</v>
      </c>
      <c r="AC249" s="330"/>
      <c r="AD249" s="330"/>
      <c r="AE249" s="330">
        <v>1</v>
      </c>
      <c r="AF249" s="330">
        <v>7</v>
      </c>
      <c r="AG249" s="332" t="s">
        <v>626</v>
      </c>
      <c r="AH249" s="332" t="s">
        <v>202</v>
      </c>
      <c r="AI249" s="330"/>
      <c r="AJ249" s="330"/>
      <c r="AK249" s="330"/>
      <c r="AL249" s="330" t="s">
        <v>741</v>
      </c>
      <c r="AM249" s="330" t="s">
        <v>202</v>
      </c>
      <c r="AN249" s="330" t="s">
        <v>741</v>
      </c>
      <c r="AO249" s="330"/>
      <c r="AP249" s="332"/>
      <c r="AQ249" s="330"/>
      <c r="AR249" s="330" t="s">
        <v>334</v>
      </c>
      <c r="AS249" s="330" t="b">
        <v>1</v>
      </c>
      <c r="AT249" s="330"/>
      <c r="AU249" s="332" t="s">
        <v>741</v>
      </c>
      <c r="AV249" s="334">
        <v>46112.298790370369</v>
      </c>
      <c r="AW249" s="330" t="b">
        <v>1</v>
      </c>
      <c r="AX249" s="335">
        <v>46133</v>
      </c>
      <c r="AY249" s="336">
        <v>46120</v>
      </c>
      <c r="AZ249" s="330" t="b">
        <v>1</v>
      </c>
      <c r="BA249" s="336">
        <v>46136</v>
      </c>
      <c r="BB249" s="330"/>
      <c r="BC249" s="336">
        <v>46118</v>
      </c>
      <c r="BD249" s="330"/>
      <c r="BE249" s="330"/>
      <c r="BF249" s="330"/>
      <c r="BG249" s="330"/>
      <c r="BH249" s="330" t="s">
        <v>220</v>
      </c>
      <c r="BI249" s="330">
        <v>4</v>
      </c>
      <c r="BJ249" s="336">
        <v>46115</v>
      </c>
      <c r="BK249" s="330"/>
      <c r="BL249" s="330"/>
      <c r="BM249" s="332"/>
      <c r="BN249" s="330"/>
      <c r="BO249" s="330" t="s">
        <v>184</v>
      </c>
      <c r="BP249" s="330" t="s">
        <v>220</v>
      </c>
      <c r="BQ249" s="330" t="s">
        <v>338</v>
      </c>
      <c r="BR249" s="330" t="s">
        <v>220</v>
      </c>
      <c r="BS249" s="330"/>
      <c r="BT249" s="330" t="s">
        <v>220</v>
      </c>
      <c r="BU249" s="330"/>
      <c r="BV249" s="330" t="s">
        <v>220</v>
      </c>
      <c r="BW249" s="330"/>
      <c r="BX249" s="332"/>
      <c r="BY249" s="330"/>
      <c r="BZ249" s="330"/>
      <c r="CA249" s="330"/>
      <c r="CB249" s="330"/>
      <c r="CC249" s="337" t="s">
        <v>745</v>
      </c>
      <c r="CD249" s="330"/>
      <c r="CE249" s="330" t="b">
        <v>1</v>
      </c>
      <c r="CF249" s="330"/>
      <c r="CG249" s="330"/>
      <c r="CH249" s="330"/>
      <c r="CI249" s="330"/>
      <c r="CJ249" s="330"/>
      <c r="CK249" s="330"/>
      <c r="CL249" s="330" t="b">
        <v>1</v>
      </c>
      <c r="CM249" s="330" t="s">
        <v>745</v>
      </c>
      <c r="CN249" s="330"/>
      <c r="CO249" s="330"/>
      <c r="CP249" s="330"/>
      <c r="CQ249" s="330"/>
      <c r="CR249" s="330"/>
      <c r="CS249" s="330"/>
      <c r="CT249" s="330"/>
      <c r="CU249" s="330" t="b">
        <v>1</v>
      </c>
      <c r="CV249" s="330"/>
      <c r="CW249" s="330"/>
      <c r="CX249" s="330"/>
      <c r="CY249" s="330"/>
      <c r="CZ249" s="330"/>
      <c r="DA249" s="330"/>
      <c r="DB249" s="330"/>
      <c r="DC249" s="330"/>
      <c r="DD249" s="330"/>
      <c r="DE249" s="330"/>
      <c r="DF249" s="338" t="s">
        <v>2330</v>
      </c>
      <c r="DG249" s="330" t="s">
        <v>221</v>
      </c>
      <c r="DH249" s="330"/>
      <c r="DI249" s="338" t="s">
        <v>196</v>
      </c>
      <c r="DJ249" s="330"/>
      <c r="DK249" s="330">
        <v>1</v>
      </c>
      <c r="DL249" s="330" t="s">
        <v>2334</v>
      </c>
      <c r="DM249" s="330"/>
      <c r="DN249" s="330"/>
      <c r="DO249" s="330"/>
      <c r="DP249" s="330"/>
      <c r="DQ249" s="338" t="s">
        <v>197</v>
      </c>
      <c r="DR249" s="330"/>
      <c r="DS249" s="330"/>
      <c r="DT249" s="330"/>
      <c r="DU249" s="338" t="s">
        <v>197</v>
      </c>
      <c r="DV249" s="330"/>
      <c r="DW249" s="330"/>
      <c r="DX249" s="330"/>
      <c r="DY249" s="338" t="s">
        <v>197</v>
      </c>
      <c r="DZ249" s="330"/>
      <c r="EA249" s="330"/>
      <c r="EB249" s="330"/>
      <c r="EC249" s="330" t="s">
        <v>197</v>
      </c>
      <c r="ED249" s="338" t="s">
        <v>197</v>
      </c>
      <c r="EE249" s="330">
        <v>6</v>
      </c>
      <c r="EF249" s="330">
        <v>10</v>
      </c>
      <c r="EG249" s="330"/>
      <c r="EH249" s="330"/>
      <c r="EI249" s="330"/>
      <c r="EJ249" s="330"/>
      <c r="EK249" s="330"/>
      <c r="EL249" s="330"/>
      <c r="EM249" s="330"/>
      <c r="EN249" s="330"/>
      <c r="EO249" s="330"/>
      <c r="EP249" s="330"/>
      <c r="EQ249" s="332" t="s">
        <v>244</v>
      </c>
      <c r="ER249" s="330"/>
      <c r="ES249" s="330"/>
      <c r="ET249" s="332" t="s">
        <v>89</v>
      </c>
      <c r="EU249" s="332" t="s">
        <v>2340</v>
      </c>
      <c r="EV249" s="336">
        <v>46119</v>
      </c>
      <c r="EW249" s="336">
        <v>46120</v>
      </c>
      <c r="EX249" s="330">
        <v>2</v>
      </c>
      <c r="EY249" s="330"/>
      <c r="EZ249" s="330" t="s">
        <v>247</v>
      </c>
      <c r="FA249" s="330"/>
      <c r="FB249" s="330" t="s">
        <v>247</v>
      </c>
      <c r="FC249" s="330" t="s">
        <v>202</v>
      </c>
      <c r="FD249" s="332" t="s">
        <v>190</v>
      </c>
      <c r="FE249" s="330"/>
      <c r="FF249" s="330"/>
      <c r="FG249" s="330" t="s">
        <v>203</v>
      </c>
      <c r="FH249" s="330" t="s">
        <v>2341</v>
      </c>
      <c r="FI249" s="330" t="s">
        <v>204</v>
      </c>
      <c r="FJ249" s="330"/>
      <c r="FK249" s="330" t="s">
        <v>327</v>
      </c>
      <c r="FL249" s="330" t="s">
        <v>741</v>
      </c>
      <c r="FM249" s="330" t="s">
        <v>202</v>
      </c>
      <c r="FN249" s="330" t="s">
        <v>2342</v>
      </c>
      <c r="FO249" s="330"/>
      <c r="FP249" s="330" t="s">
        <v>1794</v>
      </c>
      <c r="FQ249" s="330"/>
      <c r="FR249" s="330"/>
      <c r="FS249" s="330"/>
      <c r="FT249" s="330"/>
      <c r="FU249" s="330"/>
    </row>
    <row r="250" spans="1:177" ht="51" x14ac:dyDescent="0.25">
      <c r="A250" s="330">
        <v>249</v>
      </c>
      <c r="B250" s="331" t="s">
        <v>2343</v>
      </c>
      <c r="C250" s="330"/>
      <c r="D250" s="332" t="s">
        <v>2344</v>
      </c>
      <c r="E250" s="332" t="s">
        <v>2345</v>
      </c>
      <c r="F250" s="332" t="s">
        <v>1043</v>
      </c>
      <c r="G250" s="330"/>
      <c r="H250" s="331">
        <v>400</v>
      </c>
      <c r="I250" s="330"/>
      <c r="J250" s="332" t="s">
        <v>2346</v>
      </c>
      <c r="K250" s="332" t="s">
        <v>2347</v>
      </c>
      <c r="L250" s="330" t="s">
        <v>284</v>
      </c>
      <c r="M250" s="332" t="s">
        <v>751</v>
      </c>
      <c r="N250" s="330"/>
      <c r="O250" s="333"/>
      <c r="P250" s="333"/>
      <c r="Q250" s="333">
        <v>9703</v>
      </c>
      <c r="R250" s="333">
        <v>18</v>
      </c>
      <c r="S250" s="333">
        <v>14</v>
      </c>
      <c r="T250" s="333"/>
      <c r="U250" s="333"/>
      <c r="V250" s="333"/>
      <c r="W250" s="330"/>
      <c r="X250" s="330"/>
      <c r="Y250" s="332" t="s">
        <v>2348</v>
      </c>
      <c r="Z250" s="330" t="s">
        <v>215</v>
      </c>
      <c r="AA250" s="330" t="s">
        <v>2349</v>
      </c>
      <c r="AB250" s="330" t="s">
        <v>189</v>
      </c>
      <c r="AC250" s="330"/>
      <c r="AD250" s="330"/>
      <c r="AE250" s="330">
        <v>6</v>
      </c>
      <c r="AF250" s="330">
        <v>12</v>
      </c>
      <c r="AG250" s="332" t="s">
        <v>191</v>
      </c>
      <c r="AH250" s="332" t="s">
        <v>191</v>
      </c>
      <c r="AI250" s="330" t="s">
        <v>471</v>
      </c>
      <c r="AJ250" s="330" t="s">
        <v>471</v>
      </c>
      <c r="AK250" s="330"/>
      <c r="AL250" s="330" t="s">
        <v>471</v>
      </c>
      <c r="AM250" s="330" t="s">
        <v>191</v>
      </c>
      <c r="AN250" s="330" t="s">
        <v>471</v>
      </c>
      <c r="AO250" s="330"/>
      <c r="AP250" s="332" t="s">
        <v>259</v>
      </c>
      <c r="AQ250" s="330"/>
      <c r="AR250" s="330"/>
      <c r="AS250" s="330"/>
      <c r="AT250" s="330"/>
      <c r="AU250" s="332" t="s">
        <v>471</v>
      </c>
      <c r="AV250" s="334">
        <v>46112.430175532405</v>
      </c>
      <c r="AW250" s="330"/>
      <c r="AX250" s="335">
        <v>46143</v>
      </c>
      <c r="AY250" s="330"/>
      <c r="AZ250" s="330"/>
      <c r="BA250" s="330"/>
      <c r="BB250" s="330"/>
      <c r="BC250" s="336">
        <v>46164</v>
      </c>
      <c r="BD250" s="330"/>
      <c r="BE250" s="330"/>
      <c r="BF250" s="330"/>
      <c r="BG250" s="330"/>
      <c r="BH250" s="330" t="s">
        <v>220</v>
      </c>
      <c r="BI250" s="330"/>
      <c r="BJ250" s="336">
        <v>46136</v>
      </c>
      <c r="BK250" s="330"/>
      <c r="BL250" s="330"/>
      <c r="BM250" s="332"/>
      <c r="BN250" s="330"/>
      <c r="BO250" s="330" t="s">
        <v>240</v>
      </c>
      <c r="BP250" s="330" t="s">
        <v>220</v>
      </c>
      <c r="BQ250" s="330" t="s">
        <v>218</v>
      </c>
      <c r="BR250" s="330" t="s">
        <v>220</v>
      </c>
      <c r="BS250" s="330"/>
      <c r="BT250" s="330" t="s">
        <v>220</v>
      </c>
      <c r="BU250" s="330"/>
      <c r="BV250" s="330" t="s">
        <v>220</v>
      </c>
      <c r="BW250" s="330"/>
      <c r="BX250" s="332"/>
      <c r="BY250" s="330"/>
      <c r="BZ250" s="330"/>
      <c r="CA250" s="330"/>
      <c r="CB250" s="330"/>
      <c r="CC250" s="337" t="s">
        <v>935</v>
      </c>
      <c r="CD250" s="330" t="b">
        <v>1</v>
      </c>
      <c r="CE250" s="330" t="b">
        <v>1</v>
      </c>
      <c r="CF250" s="330" t="b">
        <v>1</v>
      </c>
      <c r="CG250" s="330"/>
      <c r="CH250" s="330"/>
      <c r="CI250" s="330"/>
      <c r="CJ250" s="330"/>
      <c r="CK250" s="330"/>
      <c r="CL250" s="330"/>
      <c r="CM250" s="330"/>
      <c r="CN250" s="330"/>
      <c r="CO250" s="330"/>
      <c r="CP250" s="330"/>
      <c r="CQ250" s="330"/>
      <c r="CR250" s="330"/>
      <c r="CS250" s="330"/>
      <c r="CT250" s="330"/>
      <c r="CU250" s="330"/>
      <c r="CV250" s="330"/>
      <c r="CW250" s="330"/>
      <c r="CX250" s="330"/>
      <c r="CY250" s="330"/>
      <c r="CZ250" s="330"/>
      <c r="DA250" s="330"/>
      <c r="DB250" s="330" t="b">
        <v>1</v>
      </c>
      <c r="DC250" s="330" t="b">
        <v>1</v>
      </c>
      <c r="DD250" s="330"/>
      <c r="DE250" s="330"/>
      <c r="DF250" s="338">
        <v>25065</v>
      </c>
      <c r="DG250" s="330" t="s">
        <v>821</v>
      </c>
      <c r="DH250" s="330"/>
      <c r="DI250" s="338" t="s">
        <v>196</v>
      </c>
      <c r="DJ250" s="330"/>
      <c r="DK250" s="330">
        <v>1</v>
      </c>
      <c r="DL250" s="330" t="s">
        <v>2350</v>
      </c>
      <c r="DM250" s="330"/>
      <c r="DN250" s="330"/>
      <c r="DO250" s="330"/>
      <c r="DP250" s="330"/>
      <c r="DQ250" s="338" t="s">
        <v>197</v>
      </c>
      <c r="DR250" s="330"/>
      <c r="DS250" s="330"/>
      <c r="DT250" s="330"/>
      <c r="DU250" s="338" t="s">
        <v>197</v>
      </c>
      <c r="DV250" s="330"/>
      <c r="DW250" s="330"/>
      <c r="DX250" s="330"/>
      <c r="DY250" s="338" t="s">
        <v>197</v>
      </c>
      <c r="DZ250" s="330"/>
      <c r="EA250" s="330"/>
      <c r="EB250" s="330"/>
      <c r="EC250" s="330" t="s">
        <v>197</v>
      </c>
      <c r="ED250" s="338" t="s">
        <v>197</v>
      </c>
      <c r="EE250" s="330">
        <v>4</v>
      </c>
      <c r="EF250" s="330">
        <v>20</v>
      </c>
      <c r="EG250" s="330"/>
      <c r="EH250" s="330"/>
      <c r="EI250" s="330"/>
      <c r="EJ250" s="330"/>
      <c r="EK250" s="330"/>
      <c r="EL250" s="330"/>
      <c r="EM250" s="330"/>
      <c r="EN250" s="330"/>
      <c r="EO250" s="330"/>
      <c r="EP250" s="330"/>
      <c r="EQ250" s="332" t="s">
        <v>321</v>
      </c>
      <c r="ER250" s="330"/>
      <c r="ES250" s="330"/>
      <c r="ET250" s="332" t="s">
        <v>245</v>
      </c>
      <c r="EU250" s="332" t="s">
        <v>354</v>
      </c>
      <c r="EV250" s="330"/>
      <c r="EW250" s="330"/>
      <c r="EX250" s="330" t="s">
        <v>200</v>
      </c>
      <c r="EY250" s="330"/>
      <c r="EZ250" s="330" t="s">
        <v>247</v>
      </c>
      <c r="FA250" s="330"/>
      <c r="FB250" s="330" t="s">
        <v>247</v>
      </c>
      <c r="FC250" s="330" t="s">
        <v>202</v>
      </c>
      <c r="FD250" s="332" t="s">
        <v>190</v>
      </c>
      <c r="FE250" s="330"/>
      <c r="FF250" s="330"/>
      <c r="FG250" s="330" t="s">
        <v>203</v>
      </c>
      <c r="FH250" s="330" t="s">
        <v>2351</v>
      </c>
      <c r="FI250" s="330" t="s">
        <v>204</v>
      </c>
      <c r="FJ250" s="330"/>
      <c r="FK250" s="330" t="s">
        <v>1043</v>
      </c>
      <c r="FL250" s="330" t="s">
        <v>471</v>
      </c>
      <c r="FM250" s="330" t="s">
        <v>191</v>
      </c>
      <c r="FN250" s="330" t="s">
        <v>2352</v>
      </c>
      <c r="FO250" s="330"/>
      <c r="FP250" s="330" t="s">
        <v>2108</v>
      </c>
      <c r="FQ250" s="330"/>
      <c r="FR250" s="330"/>
      <c r="FS250" s="330"/>
      <c r="FT250" s="330"/>
      <c r="FU250" s="330"/>
    </row>
    <row r="251" spans="1:177" ht="51" x14ac:dyDescent="0.25">
      <c r="A251" s="330">
        <v>250</v>
      </c>
      <c r="B251" s="331" t="s">
        <v>2353</v>
      </c>
      <c r="C251" s="330"/>
      <c r="D251" s="332" t="s">
        <v>2344</v>
      </c>
      <c r="E251" s="332" t="s">
        <v>2345</v>
      </c>
      <c r="F251" s="332" t="s">
        <v>1043</v>
      </c>
      <c r="G251" s="330"/>
      <c r="H251" s="331">
        <v>400</v>
      </c>
      <c r="I251" s="330"/>
      <c r="J251" s="332" t="s">
        <v>2354</v>
      </c>
      <c r="K251" s="332"/>
      <c r="L251" s="330" t="s">
        <v>284</v>
      </c>
      <c r="M251" s="332" t="s">
        <v>751</v>
      </c>
      <c r="N251" s="330"/>
      <c r="O251" s="333"/>
      <c r="P251" s="333"/>
      <c r="Q251" s="333">
        <v>9703</v>
      </c>
      <c r="R251" s="333">
        <v>15</v>
      </c>
      <c r="S251" s="333">
        <v>13</v>
      </c>
      <c r="T251" s="333"/>
      <c r="U251" s="333"/>
      <c r="V251" s="333"/>
      <c r="W251" s="330"/>
      <c r="X251" s="330"/>
      <c r="Y251" s="332" t="s">
        <v>2355</v>
      </c>
      <c r="Z251" s="330" t="s">
        <v>215</v>
      </c>
      <c r="AA251" s="330" t="s">
        <v>2356</v>
      </c>
      <c r="AB251" s="330" t="s">
        <v>189</v>
      </c>
      <c r="AC251" s="330"/>
      <c r="AD251" s="330"/>
      <c r="AE251" s="330">
        <v>2</v>
      </c>
      <c r="AF251" s="330">
        <v>17</v>
      </c>
      <c r="AG251" s="332" t="s">
        <v>471</v>
      </c>
      <c r="AH251" s="332" t="s">
        <v>191</v>
      </c>
      <c r="AI251" s="330" t="s">
        <v>471</v>
      </c>
      <c r="AJ251" s="330" t="s">
        <v>471</v>
      </c>
      <c r="AK251" s="330"/>
      <c r="AL251" s="330" t="s">
        <v>471</v>
      </c>
      <c r="AM251" s="330" t="s">
        <v>191</v>
      </c>
      <c r="AN251" s="330" t="s">
        <v>471</v>
      </c>
      <c r="AO251" s="330"/>
      <c r="AP251" s="332" t="s">
        <v>259</v>
      </c>
      <c r="AQ251" s="330"/>
      <c r="AR251" s="330"/>
      <c r="AS251" s="330"/>
      <c r="AT251" s="330"/>
      <c r="AU251" s="332" t="s">
        <v>471</v>
      </c>
      <c r="AV251" s="334">
        <v>46112.432260439811</v>
      </c>
      <c r="AW251" s="330"/>
      <c r="AX251" s="335">
        <v>46150</v>
      </c>
      <c r="AY251" s="330"/>
      <c r="AZ251" s="330"/>
      <c r="BA251" s="330"/>
      <c r="BB251" s="330"/>
      <c r="BC251" s="336">
        <v>46171</v>
      </c>
      <c r="BD251" s="330"/>
      <c r="BE251" s="330"/>
      <c r="BF251" s="330"/>
      <c r="BG251" s="330"/>
      <c r="BH251" s="330" t="s">
        <v>220</v>
      </c>
      <c r="BI251" s="330"/>
      <c r="BJ251" s="336">
        <v>46142</v>
      </c>
      <c r="BK251" s="330"/>
      <c r="BL251" s="330"/>
      <c r="BM251" s="332"/>
      <c r="BN251" s="330"/>
      <c r="BO251" s="330" t="s">
        <v>240</v>
      </c>
      <c r="BP251" s="330" t="s">
        <v>220</v>
      </c>
      <c r="BQ251" s="330" t="s">
        <v>218</v>
      </c>
      <c r="BR251" s="330" t="s">
        <v>220</v>
      </c>
      <c r="BS251" s="330"/>
      <c r="BT251" s="330" t="s">
        <v>220</v>
      </c>
      <c r="BU251" s="330"/>
      <c r="BV251" s="330" t="s">
        <v>220</v>
      </c>
      <c r="BW251" s="330"/>
      <c r="BX251" s="332"/>
      <c r="BY251" s="330"/>
      <c r="BZ251" s="330"/>
      <c r="CA251" s="330"/>
      <c r="CB251" s="330"/>
      <c r="CC251" s="337" t="s">
        <v>81</v>
      </c>
      <c r="CD251" s="330" t="b">
        <v>1</v>
      </c>
      <c r="CE251" s="330" t="b">
        <v>1</v>
      </c>
      <c r="CF251" s="330" t="b">
        <v>1</v>
      </c>
      <c r="CG251" s="330"/>
      <c r="CH251" s="330"/>
      <c r="CI251" s="330"/>
      <c r="CJ251" s="330"/>
      <c r="CK251" s="330"/>
      <c r="CL251" s="330"/>
      <c r="CM251" s="330"/>
      <c r="CN251" s="330"/>
      <c r="CO251" s="330"/>
      <c r="CP251" s="330"/>
      <c r="CQ251" s="330"/>
      <c r="CR251" s="330"/>
      <c r="CS251" s="330"/>
      <c r="CT251" s="330"/>
      <c r="CU251" s="330"/>
      <c r="CV251" s="330"/>
      <c r="CW251" s="330"/>
      <c r="CX251" s="330"/>
      <c r="CY251" s="330"/>
      <c r="CZ251" s="330"/>
      <c r="DA251" s="330"/>
      <c r="DB251" s="330" t="b">
        <v>1</v>
      </c>
      <c r="DC251" s="330" t="b">
        <v>1</v>
      </c>
      <c r="DD251" s="330"/>
      <c r="DE251" s="330"/>
      <c r="DF251" s="338">
        <v>25065</v>
      </c>
      <c r="DG251" s="330" t="s">
        <v>821</v>
      </c>
      <c r="DH251" s="330"/>
      <c r="DI251" s="338" t="s">
        <v>638</v>
      </c>
      <c r="DJ251" s="330"/>
      <c r="DK251" s="330">
        <v>2</v>
      </c>
      <c r="DL251" s="330" t="s">
        <v>2350</v>
      </c>
      <c r="DM251" s="330"/>
      <c r="DN251" s="330"/>
      <c r="DO251" s="330"/>
      <c r="DP251" s="330"/>
      <c r="DQ251" s="338" t="s">
        <v>197</v>
      </c>
      <c r="DR251" s="330"/>
      <c r="DS251" s="330"/>
      <c r="DT251" s="330"/>
      <c r="DU251" s="338" t="s">
        <v>197</v>
      </c>
      <c r="DV251" s="330"/>
      <c r="DW251" s="330"/>
      <c r="DX251" s="330"/>
      <c r="DY251" s="338" t="s">
        <v>197</v>
      </c>
      <c r="DZ251" s="330"/>
      <c r="EA251" s="330"/>
      <c r="EB251" s="330"/>
      <c r="EC251" s="330" t="s">
        <v>197</v>
      </c>
      <c r="ED251" s="338" t="s">
        <v>197</v>
      </c>
      <c r="EE251" s="330">
        <v>4</v>
      </c>
      <c r="EF251" s="330">
        <v>18</v>
      </c>
      <c r="EG251" s="330"/>
      <c r="EH251" s="330"/>
      <c r="EI251" s="330"/>
      <c r="EJ251" s="330"/>
      <c r="EK251" s="330"/>
      <c r="EL251" s="330"/>
      <c r="EM251" s="330"/>
      <c r="EN251" s="330"/>
      <c r="EO251" s="330"/>
      <c r="EP251" s="330"/>
      <c r="EQ251" s="332" t="s">
        <v>321</v>
      </c>
      <c r="ER251" s="330"/>
      <c r="ES251" s="330"/>
      <c r="ET251" s="332" t="s">
        <v>245</v>
      </c>
      <c r="EU251" s="332" t="s">
        <v>354</v>
      </c>
      <c r="EV251" s="330"/>
      <c r="EW251" s="330"/>
      <c r="EX251" s="330" t="s">
        <v>200</v>
      </c>
      <c r="EY251" s="330"/>
      <c r="EZ251" s="330" t="s">
        <v>247</v>
      </c>
      <c r="FA251" s="330"/>
      <c r="FB251" s="330" t="s">
        <v>247</v>
      </c>
      <c r="FC251" s="330" t="s">
        <v>202</v>
      </c>
      <c r="FD251" s="332" t="s">
        <v>190</v>
      </c>
      <c r="FE251" s="330"/>
      <c r="FF251" s="330"/>
      <c r="FG251" s="330" t="s">
        <v>203</v>
      </c>
      <c r="FH251" s="330"/>
      <c r="FI251" s="330" t="s">
        <v>204</v>
      </c>
      <c r="FJ251" s="330"/>
      <c r="FK251" s="330" t="s">
        <v>1043</v>
      </c>
      <c r="FL251" s="330" t="s">
        <v>471</v>
      </c>
      <c r="FM251" s="330" t="s">
        <v>191</v>
      </c>
      <c r="FN251" s="330" t="s">
        <v>2357</v>
      </c>
      <c r="FO251" s="330"/>
      <c r="FP251" s="330" t="s">
        <v>1983</v>
      </c>
      <c r="FQ251" s="330"/>
      <c r="FR251" s="330"/>
      <c r="FS251" s="330"/>
      <c r="FT251" s="330"/>
      <c r="FU251" s="330"/>
    </row>
    <row r="252" spans="1:177" ht="51" x14ac:dyDescent="0.25">
      <c r="A252" s="330">
        <v>251</v>
      </c>
      <c r="B252" s="331" t="s">
        <v>2358</v>
      </c>
      <c r="C252" s="330"/>
      <c r="D252" s="332" t="s">
        <v>2344</v>
      </c>
      <c r="E252" s="332" t="s">
        <v>2345</v>
      </c>
      <c r="F252" s="332" t="s">
        <v>1043</v>
      </c>
      <c r="G252" s="330"/>
      <c r="H252" s="331">
        <v>400</v>
      </c>
      <c r="I252" s="330"/>
      <c r="J252" s="332" t="s">
        <v>2359</v>
      </c>
      <c r="K252" s="332" t="s">
        <v>2360</v>
      </c>
      <c r="L252" s="330" t="s">
        <v>284</v>
      </c>
      <c r="M252" s="332" t="s">
        <v>751</v>
      </c>
      <c r="N252" s="330"/>
      <c r="O252" s="333"/>
      <c r="P252" s="333"/>
      <c r="Q252" s="333">
        <v>9703</v>
      </c>
      <c r="R252" s="333">
        <v>6</v>
      </c>
      <c r="S252" s="333">
        <v>6</v>
      </c>
      <c r="T252" s="333"/>
      <c r="U252" s="333"/>
      <c r="V252" s="333"/>
      <c r="W252" s="330"/>
      <c r="X252" s="330"/>
      <c r="Y252" s="332" t="s">
        <v>2361</v>
      </c>
      <c r="Z252" s="330" t="s">
        <v>215</v>
      </c>
      <c r="AA252" s="330" t="s">
        <v>2362</v>
      </c>
      <c r="AB252" s="330" t="s">
        <v>189</v>
      </c>
      <c r="AC252" s="330"/>
      <c r="AD252" s="330"/>
      <c r="AE252" s="330">
        <v>2</v>
      </c>
      <c r="AF252" s="330">
        <v>17</v>
      </c>
      <c r="AG252" s="332" t="s">
        <v>471</v>
      </c>
      <c r="AH252" s="332" t="s">
        <v>191</v>
      </c>
      <c r="AI252" s="330" t="s">
        <v>471</v>
      </c>
      <c r="AJ252" s="330" t="s">
        <v>471</v>
      </c>
      <c r="AK252" s="330"/>
      <c r="AL252" s="330" t="s">
        <v>471</v>
      </c>
      <c r="AM252" s="330" t="s">
        <v>191</v>
      </c>
      <c r="AN252" s="330" t="s">
        <v>471</v>
      </c>
      <c r="AO252" s="330"/>
      <c r="AP252" s="332" t="s">
        <v>259</v>
      </c>
      <c r="AQ252" s="330"/>
      <c r="AR252" s="330"/>
      <c r="AS252" s="330"/>
      <c r="AT252" s="330"/>
      <c r="AU252" s="332" t="s">
        <v>471</v>
      </c>
      <c r="AV252" s="334">
        <v>46112.433764097223</v>
      </c>
      <c r="AW252" s="330"/>
      <c r="AX252" s="335">
        <v>46150</v>
      </c>
      <c r="AY252" s="330"/>
      <c r="AZ252" s="330"/>
      <c r="BA252" s="330"/>
      <c r="BB252" s="330"/>
      <c r="BC252" s="336">
        <v>46171</v>
      </c>
      <c r="BD252" s="330"/>
      <c r="BE252" s="330"/>
      <c r="BF252" s="330"/>
      <c r="BG252" s="330"/>
      <c r="BH252" s="330" t="s">
        <v>220</v>
      </c>
      <c r="BI252" s="330"/>
      <c r="BJ252" s="336">
        <v>46142</v>
      </c>
      <c r="BK252" s="330"/>
      <c r="BL252" s="330"/>
      <c r="BM252" s="332"/>
      <c r="BN252" s="330"/>
      <c r="BO252" s="330" t="s">
        <v>240</v>
      </c>
      <c r="BP252" s="330" t="s">
        <v>220</v>
      </c>
      <c r="BQ252" s="330" t="s">
        <v>218</v>
      </c>
      <c r="BR252" s="330" t="s">
        <v>220</v>
      </c>
      <c r="BS252" s="330"/>
      <c r="BT252" s="330" t="s">
        <v>220</v>
      </c>
      <c r="BU252" s="330"/>
      <c r="BV252" s="330" t="s">
        <v>220</v>
      </c>
      <c r="BW252" s="330"/>
      <c r="BX252" s="332"/>
      <c r="BY252" s="330"/>
      <c r="BZ252" s="330"/>
      <c r="CA252" s="330"/>
      <c r="CB252" s="330"/>
      <c r="CC252" s="337" t="s">
        <v>81</v>
      </c>
      <c r="CD252" s="330" t="b">
        <v>1</v>
      </c>
      <c r="CE252" s="330" t="b">
        <v>1</v>
      </c>
      <c r="CF252" s="330" t="b">
        <v>1</v>
      </c>
      <c r="CG252" s="330"/>
      <c r="CH252" s="330"/>
      <c r="CI252" s="330"/>
      <c r="CJ252" s="330"/>
      <c r="CK252" s="330"/>
      <c r="CL252" s="330"/>
      <c r="CM252" s="330"/>
      <c r="CN252" s="330"/>
      <c r="CO252" s="330"/>
      <c r="CP252" s="330"/>
      <c r="CQ252" s="330"/>
      <c r="CR252" s="330"/>
      <c r="CS252" s="330"/>
      <c r="CT252" s="330"/>
      <c r="CU252" s="330"/>
      <c r="CV252" s="330"/>
      <c r="CW252" s="330"/>
      <c r="CX252" s="330"/>
      <c r="CY252" s="330"/>
      <c r="CZ252" s="330"/>
      <c r="DA252" s="330"/>
      <c r="DB252" s="330" t="b">
        <v>1</v>
      </c>
      <c r="DC252" s="330" t="b">
        <v>1</v>
      </c>
      <c r="DD252" s="330"/>
      <c r="DE252" s="330"/>
      <c r="DF252" s="338">
        <v>25065</v>
      </c>
      <c r="DG252" s="330" t="s">
        <v>821</v>
      </c>
      <c r="DH252" s="330"/>
      <c r="DI252" s="338" t="s">
        <v>746</v>
      </c>
      <c r="DJ252" s="330"/>
      <c r="DK252" s="330">
        <v>3</v>
      </c>
      <c r="DL252" s="330" t="s">
        <v>2350</v>
      </c>
      <c r="DM252" s="330"/>
      <c r="DN252" s="330"/>
      <c r="DO252" s="330"/>
      <c r="DP252" s="330"/>
      <c r="DQ252" s="338" t="s">
        <v>197</v>
      </c>
      <c r="DR252" s="330"/>
      <c r="DS252" s="330"/>
      <c r="DT252" s="330"/>
      <c r="DU252" s="338" t="s">
        <v>197</v>
      </c>
      <c r="DV252" s="330"/>
      <c r="DW252" s="330"/>
      <c r="DX252" s="330"/>
      <c r="DY252" s="338" t="s">
        <v>197</v>
      </c>
      <c r="DZ252" s="330"/>
      <c r="EA252" s="330"/>
      <c r="EB252" s="330"/>
      <c r="EC252" s="330" t="s">
        <v>197</v>
      </c>
      <c r="ED252" s="338" t="s">
        <v>197</v>
      </c>
      <c r="EE252" s="330">
        <v>2</v>
      </c>
      <c r="EF252" s="330">
        <v>8</v>
      </c>
      <c r="EG252" s="330"/>
      <c r="EH252" s="330"/>
      <c r="EI252" s="330"/>
      <c r="EJ252" s="330"/>
      <c r="EK252" s="330"/>
      <c r="EL252" s="330"/>
      <c r="EM252" s="330"/>
      <c r="EN252" s="330"/>
      <c r="EO252" s="330"/>
      <c r="EP252" s="330"/>
      <c r="EQ252" s="332" t="s">
        <v>321</v>
      </c>
      <c r="ER252" s="330"/>
      <c r="ES252" s="330"/>
      <c r="ET252" s="332" t="s">
        <v>245</v>
      </c>
      <c r="EU252" s="332" t="s">
        <v>354</v>
      </c>
      <c r="EV252" s="330"/>
      <c r="EW252" s="330"/>
      <c r="EX252" s="330" t="s">
        <v>200</v>
      </c>
      <c r="EY252" s="330"/>
      <c r="EZ252" s="330" t="s">
        <v>247</v>
      </c>
      <c r="FA252" s="330"/>
      <c r="FB252" s="330" t="s">
        <v>247</v>
      </c>
      <c r="FC252" s="330" t="s">
        <v>202</v>
      </c>
      <c r="FD252" s="332" t="s">
        <v>190</v>
      </c>
      <c r="FE252" s="330"/>
      <c r="FF252" s="330"/>
      <c r="FG252" s="330" t="s">
        <v>203</v>
      </c>
      <c r="FH252" s="330"/>
      <c r="FI252" s="330" t="s">
        <v>204</v>
      </c>
      <c r="FJ252" s="330"/>
      <c r="FK252" s="330" t="s">
        <v>1043</v>
      </c>
      <c r="FL252" s="330" t="s">
        <v>471</v>
      </c>
      <c r="FM252" s="330" t="s">
        <v>191</v>
      </c>
      <c r="FN252" s="330" t="s">
        <v>2363</v>
      </c>
      <c r="FO252" s="330"/>
      <c r="FP252" s="330" t="s">
        <v>1983</v>
      </c>
      <c r="FQ252" s="330"/>
      <c r="FR252" s="330"/>
      <c r="FS252" s="330"/>
      <c r="FT252" s="330"/>
      <c r="FU252" s="330"/>
    </row>
    <row r="253" spans="1:177" ht="51" x14ac:dyDescent="0.25">
      <c r="A253" s="330">
        <v>252</v>
      </c>
      <c r="B253" s="331" t="s">
        <v>2364</v>
      </c>
      <c r="C253" s="330"/>
      <c r="D253" s="332" t="s">
        <v>2344</v>
      </c>
      <c r="E253" s="332" t="s">
        <v>2345</v>
      </c>
      <c r="F253" s="332" t="s">
        <v>1043</v>
      </c>
      <c r="G253" s="330"/>
      <c r="H253" s="331">
        <v>400</v>
      </c>
      <c r="I253" s="330"/>
      <c r="J253" s="332" t="s">
        <v>2365</v>
      </c>
      <c r="K253" s="332"/>
      <c r="L253" s="330" t="s">
        <v>284</v>
      </c>
      <c r="M253" s="332" t="s">
        <v>751</v>
      </c>
      <c r="N253" s="330"/>
      <c r="O253" s="333"/>
      <c r="P253" s="333"/>
      <c r="Q253" s="333">
        <v>9703</v>
      </c>
      <c r="R253" s="333">
        <v>15</v>
      </c>
      <c r="S253" s="333">
        <v>13</v>
      </c>
      <c r="T253" s="333"/>
      <c r="U253" s="333"/>
      <c r="V253" s="333"/>
      <c r="W253" s="330"/>
      <c r="X253" s="330"/>
      <c r="Y253" s="332" t="s">
        <v>2366</v>
      </c>
      <c r="Z253" s="330" t="s">
        <v>215</v>
      </c>
      <c r="AA253" s="330" t="s">
        <v>2367</v>
      </c>
      <c r="AB253" s="330" t="s">
        <v>217</v>
      </c>
      <c r="AC253" s="330"/>
      <c r="AD253" s="330"/>
      <c r="AE253" s="330">
        <v>2</v>
      </c>
      <c r="AF253" s="330">
        <v>17</v>
      </c>
      <c r="AG253" s="332" t="s">
        <v>471</v>
      </c>
      <c r="AH253" s="332" t="s">
        <v>191</v>
      </c>
      <c r="AI253" s="330" t="s">
        <v>471</v>
      </c>
      <c r="AJ253" s="330" t="s">
        <v>471</v>
      </c>
      <c r="AK253" s="330"/>
      <c r="AL253" s="330" t="s">
        <v>471</v>
      </c>
      <c r="AM253" s="330" t="s">
        <v>191</v>
      </c>
      <c r="AN253" s="330" t="s">
        <v>471</v>
      </c>
      <c r="AO253" s="330"/>
      <c r="AP253" s="332" t="s">
        <v>259</v>
      </c>
      <c r="AQ253" s="330"/>
      <c r="AR253" s="330"/>
      <c r="AS253" s="330"/>
      <c r="AT253" s="330"/>
      <c r="AU253" s="332" t="s">
        <v>471</v>
      </c>
      <c r="AV253" s="334">
        <v>46112.435537256948</v>
      </c>
      <c r="AW253" s="330"/>
      <c r="AX253" s="335">
        <v>46150</v>
      </c>
      <c r="AY253" s="330"/>
      <c r="AZ253" s="330"/>
      <c r="BA253" s="330"/>
      <c r="BB253" s="330"/>
      <c r="BC253" s="336">
        <v>46171</v>
      </c>
      <c r="BD253" s="330"/>
      <c r="BE253" s="330"/>
      <c r="BF253" s="330"/>
      <c r="BG253" s="330"/>
      <c r="BH253" s="330" t="s">
        <v>220</v>
      </c>
      <c r="BI253" s="330"/>
      <c r="BJ253" s="336">
        <v>46142</v>
      </c>
      <c r="BK253" s="330"/>
      <c r="BL253" s="330"/>
      <c r="BM253" s="332"/>
      <c r="BN253" s="330"/>
      <c r="BO253" s="330" t="s">
        <v>240</v>
      </c>
      <c r="BP253" s="330" t="s">
        <v>220</v>
      </c>
      <c r="BQ253" s="330" t="s">
        <v>218</v>
      </c>
      <c r="BR253" s="330" t="s">
        <v>220</v>
      </c>
      <c r="BS253" s="330"/>
      <c r="BT253" s="330" t="s">
        <v>220</v>
      </c>
      <c r="BU253" s="330"/>
      <c r="BV253" s="330" t="s">
        <v>220</v>
      </c>
      <c r="BW253" s="330"/>
      <c r="BX253" s="332"/>
      <c r="BY253" s="330"/>
      <c r="BZ253" s="330"/>
      <c r="CA253" s="330"/>
      <c r="CB253" s="330"/>
      <c r="CC253" s="337" t="s">
        <v>81</v>
      </c>
      <c r="CD253" s="330" t="b">
        <v>1</v>
      </c>
      <c r="CE253" s="330" t="b">
        <v>1</v>
      </c>
      <c r="CF253" s="330" t="b">
        <v>1</v>
      </c>
      <c r="CG253" s="330"/>
      <c r="CH253" s="330"/>
      <c r="CI253" s="330"/>
      <c r="CJ253" s="330"/>
      <c r="CK253" s="330"/>
      <c r="CL253" s="330"/>
      <c r="CM253" s="330"/>
      <c r="CN253" s="330"/>
      <c r="CO253" s="330"/>
      <c r="CP253" s="330"/>
      <c r="CQ253" s="330"/>
      <c r="CR253" s="330"/>
      <c r="CS253" s="330"/>
      <c r="CT253" s="330"/>
      <c r="CU253" s="330"/>
      <c r="CV253" s="330"/>
      <c r="CW253" s="330"/>
      <c r="CX253" s="330"/>
      <c r="CY253" s="330"/>
      <c r="CZ253" s="330"/>
      <c r="DA253" s="330"/>
      <c r="DB253" s="330" t="b">
        <v>1</v>
      </c>
      <c r="DC253" s="330" t="b">
        <v>1</v>
      </c>
      <c r="DD253" s="330"/>
      <c r="DE253" s="330"/>
      <c r="DF253" s="338">
        <v>25065</v>
      </c>
      <c r="DG253" s="330" t="s">
        <v>821</v>
      </c>
      <c r="DH253" s="330"/>
      <c r="DI253" s="338" t="s">
        <v>754</v>
      </c>
      <c r="DJ253" s="330"/>
      <c r="DK253" s="330">
        <v>4</v>
      </c>
      <c r="DL253" s="330" t="s">
        <v>2350</v>
      </c>
      <c r="DM253" s="330"/>
      <c r="DN253" s="330"/>
      <c r="DO253" s="330"/>
      <c r="DP253" s="330"/>
      <c r="DQ253" s="338" t="s">
        <v>197</v>
      </c>
      <c r="DR253" s="330"/>
      <c r="DS253" s="330"/>
      <c r="DT253" s="330"/>
      <c r="DU253" s="338" t="s">
        <v>197</v>
      </c>
      <c r="DV253" s="330"/>
      <c r="DW253" s="330"/>
      <c r="DX253" s="330"/>
      <c r="DY253" s="338" t="s">
        <v>197</v>
      </c>
      <c r="DZ253" s="330"/>
      <c r="EA253" s="330"/>
      <c r="EB253" s="330"/>
      <c r="EC253" s="330" t="s">
        <v>197</v>
      </c>
      <c r="ED253" s="338" t="s">
        <v>197</v>
      </c>
      <c r="EE253" s="330">
        <v>8</v>
      </c>
      <c r="EF253" s="330">
        <v>20</v>
      </c>
      <c r="EG253" s="330"/>
      <c r="EH253" s="330"/>
      <c r="EI253" s="330"/>
      <c r="EJ253" s="330"/>
      <c r="EK253" s="330"/>
      <c r="EL253" s="330"/>
      <c r="EM253" s="330"/>
      <c r="EN253" s="330"/>
      <c r="EO253" s="330"/>
      <c r="EP253" s="330"/>
      <c r="EQ253" s="332" t="s">
        <v>321</v>
      </c>
      <c r="ER253" s="330"/>
      <c r="ES253" s="330"/>
      <c r="ET253" s="332" t="s">
        <v>245</v>
      </c>
      <c r="EU253" s="332" t="s">
        <v>354</v>
      </c>
      <c r="EV253" s="330"/>
      <c r="EW253" s="330"/>
      <c r="EX253" s="330" t="s">
        <v>200</v>
      </c>
      <c r="EY253" s="330"/>
      <c r="EZ253" s="330" t="s">
        <v>247</v>
      </c>
      <c r="FA253" s="330"/>
      <c r="FB253" s="330" t="s">
        <v>247</v>
      </c>
      <c r="FC253" s="330" t="s">
        <v>202</v>
      </c>
      <c r="FD253" s="332" t="s">
        <v>190</v>
      </c>
      <c r="FE253" s="330"/>
      <c r="FF253" s="330"/>
      <c r="FG253" s="330" t="s">
        <v>203</v>
      </c>
      <c r="FH253" s="330"/>
      <c r="FI253" s="330" t="s">
        <v>204</v>
      </c>
      <c r="FJ253" s="330"/>
      <c r="FK253" s="330" t="s">
        <v>1043</v>
      </c>
      <c r="FL253" s="330" t="s">
        <v>471</v>
      </c>
      <c r="FM253" s="330" t="s">
        <v>191</v>
      </c>
      <c r="FN253" s="330" t="s">
        <v>2368</v>
      </c>
      <c r="FO253" s="330"/>
      <c r="FP253" s="330" t="s">
        <v>1983</v>
      </c>
      <c r="FQ253" s="330"/>
      <c r="FR253" s="330"/>
      <c r="FS253" s="330"/>
      <c r="FT253" s="330"/>
      <c r="FU253" s="330"/>
    </row>
    <row r="254" spans="1:177" ht="25.5" x14ac:dyDescent="0.25">
      <c r="A254" s="330">
        <v>253</v>
      </c>
      <c r="B254" s="331" t="s">
        <v>2369</v>
      </c>
      <c r="C254" s="330"/>
      <c r="D254" s="332" t="s">
        <v>2344</v>
      </c>
      <c r="E254" s="332" t="s">
        <v>2345</v>
      </c>
      <c r="F254" s="332" t="s">
        <v>1043</v>
      </c>
      <c r="G254" s="330"/>
      <c r="H254" s="331" t="s">
        <v>731</v>
      </c>
      <c r="I254" s="330"/>
      <c r="J254" s="332" t="s">
        <v>2370</v>
      </c>
      <c r="K254" s="332" t="s">
        <v>2371</v>
      </c>
      <c r="L254" s="330"/>
      <c r="M254" s="332"/>
      <c r="N254" s="330"/>
      <c r="O254" s="333"/>
      <c r="P254" s="333"/>
      <c r="Q254" s="333">
        <v>9703</v>
      </c>
      <c r="R254" s="333">
        <v>3</v>
      </c>
      <c r="S254" s="333">
        <v>1</v>
      </c>
      <c r="T254" s="333"/>
      <c r="U254" s="333"/>
      <c r="V254" s="333"/>
      <c r="W254" s="330"/>
      <c r="X254" s="330"/>
      <c r="Y254" s="332" t="s">
        <v>2372</v>
      </c>
      <c r="Z254" s="330" t="s">
        <v>187</v>
      </c>
      <c r="AA254" s="330" t="s">
        <v>2373</v>
      </c>
      <c r="AB254" s="330" t="s">
        <v>217</v>
      </c>
      <c r="AC254" s="330"/>
      <c r="AD254" s="330"/>
      <c r="AE254" s="330">
        <v>10</v>
      </c>
      <c r="AF254" s="330">
        <v>17</v>
      </c>
      <c r="AG254" s="332" t="s">
        <v>191</v>
      </c>
      <c r="AH254" s="332" t="s">
        <v>202</v>
      </c>
      <c r="AI254" s="330" t="s">
        <v>191</v>
      </c>
      <c r="AJ254" s="330"/>
      <c r="AK254" s="330"/>
      <c r="AL254" s="330" t="s">
        <v>191</v>
      </c>
      <c r="AM254" s="330"/>
      <c r="AN254" s="330"/>
      <c r="AO254" s="330"/>
      <c r="AP254" s="332"/>
      <c r="AQ254" s="330"/>
      <c r="AR254" s="330"/>
      <c r="AS254" s="330"/>
      <c r="AT254" s="330"/>
      <c r="AU254" s="332" t="s">
        <v>191</v>
      </c>
      <c r="AV254" s="334">
        <v>46112.439324791667</v>
      </c>
      <c r="AW254" s="330"/>
      <c r="AX254" s="335">
        <v>46150</v>
      </c>
      <c r="AY254" s="330"/>
      <c r="AZ254" s="330"/>
      <c r="BA254" s="330"/>
      <c r="BB254" s="330"/>
      <c r="BC254" s="336">
        <v>46171</v>
      </c>
      <c r="BD254" s="330"/>
      <c r="BE254" s="330"/>
      <c r="BF254" s="330"/>
      <c r="BG254" s="330"/>
      <c r="BH254" s="330" t="s">
        <v>220</v>
      </c>
      <c r="BI254" s="330"/>
      <c r="BJ254" s="336">
        <v>46142</v>
      </c>
      <c r="BK254" s="330"/>
      <c r="BL254" s="330"/>
      <c r="BM254" s="332"/>
      <c r="BN254" s="330"/>
      <c r="BO254" s="330" t="s">
        <v>184</v>
      </c>
      <c r="BP254" s="330" t="s">
        <v>220</v>
      </c>
      <c r="BQ254" s="330" t="s">
        <v>218</v>
      </c>
      <c r="BR254" s="330" t="s">
        <v>220</v>
      </c>
      <c r="BS254" s="330"/>
      <c r="BT254" s="330" t="s">
        <v>220</v>
      </c>
      <c r="BU254" s="330"/>
      <c r="BV254" s="330" t="s">
        <v>220</v>
      </c>
      <c r="BW254" s="330"/>
      <c r="BX254" s="332"/>
      <c r="BY254" s="330"/>
      <c r="BZ254" s="330"/>
      <c r="CA254" s="330"/>
      <c r="CB254" s="330"/>
      <c r="CC254" s="337" t="s">
        <v>911</v>
      </c>
      <c r="CD254" s="330"/>
      <c r="CE254" s="330" t="b">
        <v>1</v>
      </c>
      <c r="CF254" s="330"/>
      <c r="CG254" s="330"/>
      <c r="CH254" s="330"/>
      <c r="CI254" s="330"/>
      <c r="CJ254" s="330"/>
      <c r="CK254" s="330"/>
      <c r="CL254" s="330"/>
      <c r="CM254" s="330"/>
      <c r="CN254" s="330"/>
      <c r="CO254" s="330" t="b">
        <v>1</v>
      </c>
      <c r="CP254" s="330" t="b">
        <v>1</v>
      </c>
      <c r="CQ254" s="330"/>
      <c r="CR254" s="330"/>
      <c r="CS254" s="330"/>
      <c r="CT254" s="330"/>
      <c r="CU254" s="330"/>
      <c r="CV254" s="330"/>
      <c r="CW254" s="330"/>
      <c r="CX254" s="330"/>
      <c r="CY254" s="330"/>
      <c r="CZ254" s="330"/>
      <c r="DA254" s="330"/>
      <c r="DB254" s="330"/>
      <c r="DC254" s="330"/>
      <c r="DD254" s="330"/>
      <c r="DE254" s="330"/>
      <c r="DF254" s="338">
        <v>25065</v>
      </c>
      <c r="DG254" s="330" t="s">
        <v>821</v>
      </c>
      <c r="DH254" s="330"/>
      <c r="DI254" s="338" t="s">
        <v>952</v>
      </c>
      <c r="DJ254" s="330"/>
      <c r="DK254" s="330">
        <v>5</v>
      </c>
      <c r="DL254" s="330" t="s">
        <v>2350</v>
      </c>
      <c r="DM254" s="330"/>
      <c r="DN254" s="330"/>
      <c r="DO254" s="330"/>
      <c r="DP254" s="330"/>
      <c r="DQ254" s="338" t="s">
        <v>197</v>
      </c>
      <c r="DR254" s="330"/>
      <c r="DS254" s="330"/>
      <c r="DT254" s="330"/>
      <c r="DU254" s="338" t="s">
        <v>197</v>
      </c>
      <c r="DV254" s="330"/>
      <c r="DW254" s="330"/>
      <c r="DX254" s="330"/>
      <c r="DY254" s="338" t="s">
        <v>197</v>
      </c>
      <c r="DZ254" s="330"/>
      <c r="EA254" s="330"/>
      <c r="EB254" s="330"/>
      <c r="EC254" s="330" t="s">
        <v>197</v>
      </c>
      <c r="ED254" s="338" t="s">
        <v>197</v>
      </c>
      <c r="EE254" s="330">
        <v>1</v>
      </c>
      <c r="EF254" s="330">
        <v>1</v>
      </c>
      <c r="EG254" s="330"/>
      <c r="EH254" s="330"/>
      <c r="EI254" s="330"/>
      <c r="EJ254" s="330"/>
      <c r="EK254" s="330"/>
      <c r="EL254" s="330"/>
      <c r="EM254" s="330"/>
      <c r="EN254" s="330"/>
      <c r="EO254" s="330"/>
      <c r="EP254" s="330"/>
      <c r="EQ254" s="332" t="s">
        <v>321</v>
      </c>
      <c r="ER254" s="330"/>
      <c r="ES254" s="330"/>
      <c r="ET254" s="332"/>
      <c r="EU254" s="332" t="s">
        <v>199</v>
      </c>
      <c r="EV254" s="330"/>
      <c r="EW254" s="330"/>
      <c r="EX254" s="330" t="s">
        <v>200</v>
      </c>
      <c r="EY254" s="330"/>
      <c r="EZ254" s="330" t="s">
        <v>247</v>
      </c>
      <c r="FA254" s="330"/>
      <c r="FB254" s="330" t="s">
        <v>247</v>
      </c>
      <c r="FC254" s="330" t="s">
        <v>202</v>
      </c>
      <c r="FD254" s="332" t="s">
        <v>190</v>
      </c>
      <c r="FE254" s="330"/>
      <c r="FF254" s="330"/>
      <c r="FG254" s="330" t="s">
        <v>203</v>
      </c>
      <c r="FH254" s="330"/>
      <c r="FI254" s="330" t="s">
        <v>204</v>
      </c>
      <c r="FJ254" s="330"/>
      <c r="FK254" s="330" t="s">
        <v>1043</v>
      </c>
      <c r="FL254" s="330" t="s">
        <v>191</v>
      </c>
      <c r="FM254" s="330"/>
      <c r="FN254" s="330" t="s">
        <v>2374</v>
      </c>
      <c r="FO254" s="330"/>
      <c r="FP254" s="330" t="s">
        <v>1983</v>
      </c>
      <c r="FQ254" s="330"/>
      <c r="FR254" s="330"/>
      <c r="FS254" s="330"/>
      <c r="FT254" s="330"/>
      <c r="FU254" s="330"/>
    </row>
    <row r="255" spans="1:177" ht="25.5" x14ac:dyDescent="0.25">
      <c r="A255" s="330">
        <v>254</v>
      </c>
      <c r="B255" s="331" t="s">
        <v>2375</v>
      </c>
      <c r="C255" s="330"/>
      <c r="D255" s="332" t="s">
        <v>2344</v>
      </c>
      <c r="E255" s="332" t="s">
        <v>2345</v>
      </c>
      <c r="F255" s="332" t="s">
        <v>1043</v>
      </c>
      <c r="G255" s="330"/>
      <c r="H255" s="331" t="s">
        <v>731</v>
      </c>
      <c r="I255" s="330"/>
      <c r="J255" s="332" t="s">
        <v>2376</v>
      </c>
      <c r="K255" s="332" t="s">
        <v>2377</v>
      </c>
      <c r="L255" s="330" t="s">
        <v>857</v>
      </c>
      <c r="M255" s="332"/>
      <c r="N255" s="330"/>
      <c r="O255" s="333"/>
      <c r="P255" s="333"/>
      <c r="Q255" s="333">
        <v>9703</v>
      </c>
      <c r="R255" s="333">
        <v>1</v>
      </c>
      <c r="S255" s="333">
        <v>1</v>
      </c>
      <c r="T255" s="333"/>
      <c r="U255" s="333"/>
      <c r="V255" s="333"/>
      <c r="W255" s="330"/>
      <c r="X255" s="330"/>
      <c r="Y255" s="332" t="s">
        <v>2378</v>
      </c>
      <c r="Z255" s="330" t="s">
        <v>739</v>
      </c>
      <c r="AA255" s="330" t="s">
        <v>2379</v>
      </c>
      <c r="AB255" s="330" t="s">
        <v>189</v>
      </c>
      <c r="AC255" s="330"/>
      <c r="AD255" s="330"/>
      <c r="AE255" s="330">
        <v>10</v>
      </c>
      <c r="AF255" s="330">
        <v>17</v>
      </c>
      <c r="AG255" s="332" t="s">
        <v>191</v>
      </c>
      <c r="AH255" s="332" t="s">
        <v>202</v>
      </c>
      <c r="AI255" s="330" t="s">
        <v>191</v>
      </c>
      <c r="AJ255" s="330"/>
      <c r="AK255" s="330"/>
      <c r="AL255" s="330" t="s">
        <v>191</v>
      </c>
      <c r="AM255" s="330"/>
      <c r="AN255" s="330"/>
      <c r="AO255" s="330"/>
      <c r="AP255" s="332"/>
      <c r="AQ255" s="330"/>
      <c r="AR255" s="330"/>
      <c r="AS255" s="330"/>
      <c r="AT255" s="330"/>
      <c r="AU255" s="332" t="s">
        <v>191</v>
      </c>
      <c r="AV255" s="334">
        <v>46112.442800925928</v>
      </c>
      <c r="AW255" s="330"/>
      <c r="AX255" s="335">
        <v>46150</v>
      </c>
      <c r="AY255" s="330"/>
      <c r="AZ255" s="330"/>
      <c r="BA255" s="330"/>
      <c r="BB255" s="330"/>
      <c r="BC255" s="336">
        <v>46171</v>
      </c>
      <c r="BD255" s="330"/>
      <c r="BE255" s="330"/>
      <c r="BF255" s="330"/>
      <c r="BG255" s="330"/>
      <c r="BH255" s="330" t="s">
        <v>220</v>
      </c>
      <c r="BI255" s="330"/>
      <c r="BJ255" s="336">
        <v>46171</v>
      </c>
      <c r="BK255" s="330"/>
      <c r="BL255" s="330"/>
      <c r="BM255" s="332"/>
      <c r="BN255" s="330"/>
      <c r="BO255" s="330" t="s">
        <v>184</v>
      </c>
      <c r="BP255" s="330" t="s">
        <v>220</v>
      </c>
      <c r="BQ255" s="330" t="s">
        <v>218</v>
      </c>
      <c r="BR255" s="330" t="s">
        <v>220</v>
      </c>
      <c r="BS255" s="330"/>
      <c r="BT255" s="330" t="s">
        <v>220</v>
      </c>
      <c r="BU255" s="330"/>
      <c r="BV255" s="330" t="s">
        <v>220</v>
      </c>
      <c r="BW255" s="330"/>
      <c r="BX255" s="332"/>
      <c r="BY255" s="330"/>
      <c r="BZ255" s="330"/>
      <c r="CA255" s="330"/>
      <c r="CB255" s="330"/>
      <c r="CC255" s="337" t="s">
        <v>911</v>
      </c>
      <c r="CD255" s="330"/>
      <c r="CE255" s="330" t="b">
        <v>1</v>
      </c>
      <c r="CF255" s="330"/>
      <c r="CG255" s="330"/>
      <c r="CH255" s="330"/>
      <c r="CI255" s="330"/>
      <c r="CJ255" s="330"/>
      <c r="CK255" s="330"/>
      <c r="CL255" s="330"/>
      <c r="CM255" s="330"/>
      <c r="CN255" s="330"/>
      <c r="CO255" s="330" t="b">
        <v>1</v>
      </c>
      <c r="CP255" s="330" t="b">
        <v>1</v>
      </c>
      <c r="CQ255" s="330"/>
      <c r="CR255" s="330"/>
      <c r="CS255" s="330"/>
      <c r="CT255" s="330"/>
      <c r="CU255" s="330"/>
      <c r="CV255" s="330"/>
      <c r="CW255" s="330"/>
      <c r="CX255" s="330"/>
      <c r="CY255" s="330"/>
      <c r="CZ255" s="330"/>
      <c r="DA255" s="330"/>
      <c r="DB255" s="330"/>
      <c r="DC255" s="330"/>
      <c r="DD255" s="330"/>
      <c r="DE255" s="330"/>
      <c r="DF255" s="338">
        <v>25065</v>
      </c>
      <c r="DG255" s="330" t="s">
        <v>821</v>
      </c>
      <c r="DH255" s="330"/>
      <c r="DI255" s="338">
        <v>11</v>
      </c>
      <c r="DJ255" s="330"/>
      <c r="DK255" s="330">
        <v>11</v>
      </c>
      <c r="DL255" s="330" t="s">
        <v>2350</v>
      </c>
      <c r="DM255" s="330"/>
      <c r="DN255" s="330"/>
      <c r="DO255" s="330"/>
      <c r="DP255" s="330"/>
      <c r="DQ255" s="338" t="s">
        <v>197</v>
      </c>
      <c r="DR255" s="330"/>
      <c r="DS255" s="330"/>
      <c r="DT255" s="330"/>
      <c r="DU255" s="338" t="s">
        <v>197</v>
      </c>
      <c r="DV255" s="330"/>
      <c r="DW255" s="330"/>
      <c r="DX255" s="330"/>
      <c r="DY255" s="338" t="s">
        <v>197</v>
      </c>
      <c r="DZ255" s="330"/>
      <c r="EA255" s="330"/>
      <c r="EB255" s="330"/>
      <c r="EC255" s="330" t="s">
        <v>197</v>
      </c>
      <c r="ED255" s="338" t="s">
        <v>197</v>
      </c>
      <c r="EE255" s="330">
        <v>1</v>
      </c>
      <c r="EF255" s="330">
        <v>1</v>
      </c>
      <c r="EG255" s="330"/>
      <c r="EH255" s="330"/>
      <c r="EI255" s="330"/>
      <c r="EJ255" s="330"/>
      <c r="EK255" s="330"/>
      <c r="EL255" s="330"/>
      <c r="EM255" s="330"/>
      <c r="EN255" s="330"/>
      <c r="EO255" s="330"/>
      <c r="EP255" s="330"/>
      <c r="EQ255" s="332" t="s">
        <v>321</v>
      </c>
      <c r="ER255" s="330"/>
      <c r="ES255" s="330"/>
      <c r="ET255" s="332"/>
      <c r="EU255" s="332" t="s">
        <v>199</v>
      </c>
      <c r="EV255" s="330"/>
      <c r="EW255" s="330"/>
      <c r="EX255" s="330" t="s">
        <v>200</v>
      </c>
      <c r="EY255" s="330"/>
      <c r="EZ255" s="330" t="s">
        <v>247</v>
      </c>
      <c r="FA255" s="330"/>
      <c r="FB255" s="330" t="s">
        <v>247</v>
      </c>
      <c r="FC255" s="330" t="s">
        <v>202</v>
      </c>
      <c r="FD255" s="332" t="s">
        <v>190</v>
      </c>
      <c r="FE255" s="330"/>
      <c r="FF255" s="330"/>
      <c r="FG255" s="330" t="s">
        <v>203</v>
      </c>
      <c r="FH255" s="330"/>
      <c r="FI255" s="330" t="s">
        <v>204</v>
      </c>
      <c r="FJ255" s="330"/>
      <c r="FK255" s="330" t="s">
        <v>1043</v>
      </c>
      <c r="FL255" s="330" t="s">
        <v>191</v>
      </c>
      <c r="FM255" s="330"/>
      <c r="FN255" s="330" t="s">
        <v>2380</v>
      </c>
      <c r="FO255" s="330"/>
      <c r="FP255" s="330" t="s">
        <v>1983</v>
      </c>
      <c r="FQ255" s="330"/>
      <c r="FR255" s="330"/>
      <c r="FS255" s="330"/>
      <c r="FT255" s="330"/>
      <c r="FU255" s="330"/>
    </row>
    <row r="256" spans="1:177" ht="25.5" x14ac:dyDescent="0.25">
      <c r="A256" s="330">
        <v>255</v>
      </c>
      <c r="B256" s="331" t="s">
        <v>2381</v>
      </c>
      <c r="C256" s="330"/>
      <c r="D256" s="332" t="s">
        <v>2344</v>
      </c>
      <c r="E256" s="332" t="s">
        <v>2345</v>
      </c>
      <c r="F256" s="332" t="s">
        <v>1043</v>
      </c>
      <c r="G256" s="330"/>
      <c r="H256" s="331" t="s">
        <v>731</v>
      </c>
      <c r="I256" s="330"/>
      <c r="J256" s="332" t="s">
        <v>2376</v>
      </c>
      <c r="K256" s="332" t="s">
        <v>2382</v>
      </c>
      <c r="L256" s="330" t="s">
        <v>857</v>
      </c>
      <c r="M256" s="332"/>
      <c r="N256" s="330"/>
      <c r="O256" s="333"/>
      <c r="P256" s="333"/>
      <c r="Q256" s="333" t="s">
        <v>184</v>
      </c>
      <c r="R256" s="333">
        <v>0</v>
      </c>
      <c r="S256" s="333">
        <v>2</v>
      </c>
      <c r="T256" s="333"/>
      <c r="U256" s="333"/>
      <c r="V256" s="333"/>
      <c r="W256" s="330"/>
      <c r="X256" s="330"/>
      <c r="Y256" s="332" t="s">
        <v>2383</v>
      </c>
      <c r="Z256" s="330" t="s">
        <v>739</v>
      </c>
      <c r="AA256" s="330" t="s">
        <v>2384</v>
      </c>
      <c r="AB256" s="330" t="s">
        <v>189</v>
      </c>
      <c r="AC256" s="330"/>
      <c r="AD256" s="330"/>
      <c r="AE256" s="330">
        <v>10</v>
      </c>
      <c r="AF256" s="330">
        <v>17</v>
      </c>
      <c r="AG256" s="332" t="s">
        <v>191</v>
      </c>
      <c r="AH256" s="332" t="s">
        <v>202</v>
      </c>
      <c r="AI256" s="330" t="s">
        <v>191</v>
      </c>
      <c r="AJ256" s="330"/>
      <c r="AK256" s="330"/>
      <c r="AL256" s="330" t="s">
        <v>191</v>
      </c>
      <c r="AM256" s="330"/>
      <c r="AN256" s="330"/>
      <c r="AO256" s="330"/>
      <c r="AP256" s="332"/>
      <c r="AQ256" s="330"/>
      <c r="AR256" s="330"/>
      <c r="AS256" s="330"/>
      <c r="AT256" s="330"/>
      <c r="AU256" s="332" t="s">
        <v>191</v>
      </c>
      <c r="AV256" s="334">
        <v>46112.444181423612</v>
      </c>
      <c r="AW256" s="330"/>
      <c r="AX256" s="335">
        <v>46150</v>
      </c>
      <c r="AY256" s="330"/>
      <c r="AZ256" s="330"/>
      <c r="BA256" s="330"/>
      <c r="BB256" s="330"/>
      <c r="BC256" s="336">
        <v>46171</v>
      </c>
      <c r="BD256" s="330"/>
      <c r="BE256" s="330"/>
      <c r="BF256" s="330"/>
      <c r="BG256" s="330"/>
      <c r="BH256" s="330" t="s">
        <v>220</v>
      </c>
      <c r="BI256" s="330"/>
      <c r="BJ256" s="336">
        <v>46142</v>
      </c>
      <c r="BK256" s="330"/>
      <c r="BL256" s="330"/>
      <c r="BM256" s="332"/>
      <c r="BN256" s="330"/>
      <c r="BO256" s="330" t="s">
        <v>184</v>
      </c>
      <c r="BP256" s="330" t="s">
        <v>220</v>
      </c>
      <c r="BQ256" s="330" t="s">
        <v>218</v>
      </c>
      <c r="BR256" s="330" t="s">
        <v>220</v>
      </c>
      <c r="BS256" s="330"/>
      <c r="BT256" s="330" t="s">
        <v>220</v>
      </c>
      <c r="BU256" s="330"/>
      <c r="BV256" s="330" t="s">
        <v>220</v>
      </c>
      <c r="BW256" s="330"/>
      <c r="BX256" s="332"/>
      <c r="BY256" s="330"/>
      <c r="BZ256" s="330"/>
      <c r="CA256" s="330"/>
      <c r="CB256" s="330"/>
      <c r="CC256" s="337" t="s">
        <v>911</v>
      </c>
      <c r="CD256" s="330"/>
      <c r="CE256" s="330" t="b">
        <v>1</v>
      </c>
      <c r="CF256" s="330"/>
      <c r="CG256" s="330"/>
      <c r="CH256" s="330"/>
      <c r="CI256" s="330"/>
      <c r="CJ256" s="330"/>
      <c r="CK256" s="330"/>
      <c r="CL256" s="330"/>
      <c r="CM256" s="330"/>
      <c r="CN256" s="330"/>
      <c r="CO256" s="330" t="b">
        <v>1</v>
      </c>
      <c r="CP256" s="330" t="b">
        <v>1</v>
      </c>
      <c r="CQ256" s="330"/>
      <c r="CR256" s="330"/>
      <c r="CS256" s="330"/>
      <c r="CT256" s="330"/>
      <c r="CU256" s="330"/>
      <c r="CV256" s="330"/>
      <c r="CW256" s="330"/>
      <c r="CX256" s="330"/>
      <c r="CY256" s="330"/>
      <c r="CZ256" s="330"/>
      <c r="DA256" s="330"/>
      <c r="DB256" s="330"/>
      <c r="DC256" s="330"/>
      <c r="DD256" s="330"/>
      <c r="DE256" s="330"/>
      <c r="DF256" s="338">
        <v>25065</v>
      </c>
      <c r="DG256" s="330" t="s">
        <v>821</v>
      </c>
      <c r="DH256" s="330"/>
      <c r="DI256" s="338">
        <v>12</v>
      </c>
      <c r="DJ256" s="330"/>
      <c r="DK256" s="330">
        <v>12</v>
      </c>
      <c r="DL256" s="330" t="s">
        <v>2350</v>
      </c>
      <c r="DM256" s="330"/>
      <c r="DN256" s="330"/>
      <c r="DO256" s="330"/>
      <c r="DP256" s="330"/>
      <c r="DQ256" s="338" t="s">
        <v>197</v>
      </c>
      <c r="DR256" s="330"/>
      <c r="DS256" s="330"/>
      <c r="DT256" s="330"/>
      <c r="DU256" s="338" t="s">
        <v>197</v>
      </c>
      <c r="DV256" s="330"/>
      <c r="DW256" s="330"/>
      <c r="DX256" s="330"/>
      <c r="DY256" s="338" t="s">
        <v>197</v>
      </c>
      <c r="DZ256" s="330"/>
      <c r="EA256" s="330"/>
      <c r="EB256" s="330"/>
      <c r="EC256" s="330" t="s">
        <v>197</v>
      </c>
      <c r="ED256" s="338" t="s">
        <v>197</v>
      </c>
      <c r="EE256" s="330">
        <v>1</v>
      </c>
      <c r="EF256" s="330">
        <v>1</v>
      </c>
      <c r="EG256" s="330"/>
      <c r="EH256" s="330"/>
      <c r="EI256" s="330"/>
      <c r="EJ256" s="330"/>
      <c r="EK256" s="330"/>
      <c r="EL256" s="330"/>
      <c r="EM256" s="330"/>
      <c r="EN256" s="330"/>
      <c r="EO256" s="330"/>
      <c r="EP256" s="330"/>
      <c r="EQ256" s="332" t="s">
        <v>321</v>
      </c>
      <c r="ER256" s="330"/>
      <c r="ES256" s="330"/>
      <c r="ET256" s="332"/>
      <c r="EU256" s="332" t="s">
        <v>199</v>
      </c>
      <c r="EV256" s="330"/>
      <c r="EW256" s="330"/>
      <c r="EX256" s="330" t="s">
        <v>200</v>
      </c>
      <c r="EY256" s="330"/>
      <c r="EZ256" s="330" t="s">
        <v>247</v>
      </c>
      <c r="FA256" s="330"/>
      <c r="FB256" s="330" t="s">
        <v>247</v>
      </c>
      <c r="FC256" s="330" t="s">
        <v>202</v>
      </c>
      <c r="FD256" s="332" t="s">
        <v>190</v>
      </c>
      <c r="FE256" s="330"/>
      <c r="FF256" s="330"/>
      <c r="FG256" s="330" t="s">
        <v>203</v>
      </c>
      <c r="FH256" s="330"/>
      <c r="FI256" s="330" t="s">
        <v>204</v>
      </c>
      <c r="FJ256" s="330"/>
      <c r="FK256" s="330" t="s">
        <v>1043</v>
      </c>
      <c r="FL256" s="330" t="s">
        <v>191</v>
      </c>
      <c r="FM256" s="330"/>
      <c r="FN256" s="330" t="s">
        <v>2385</v>
      </c>
      <c r="FO256" s="330"/>
      <c r="FP256" s="330" t="s">
        <v>1983</v>
      </c>
      <c r="FQ256" s="330"/>
      <c r="FR256" s="330"/>
      <c r="FS256" s="330"/>
      <c r="FT256" s="330"/>
      <c r="FU256" s="330"/>
    </row>
    <row r="257" spans="1:177" ht="25.5" x14ac:dyDescent="0.25">
      <c r="A257" s="330">
        <v>256</v>
      </c>
      <c r="B257" s="331" t="s">
        <v>2386</v>
      </c>
      <c r="C257" s="330"/>
      <c r="D257" s="332" t="s">
        <v>2344</v>
      </c>
      <c r="E257" s="332" t="s">
        <v>2345</v>
      </c>
      <c r="F257" s="332" t="s">
        <v>1043</v>
      </c>
      <c r="G257" s="330"/>
      <c r="H257" s="331" t="s">
        <v>731</v>
      </c>
      <c r="I257" s="330"/>
      <c r="J257" s="332" t="s">
        <v>2376</v>
      </c>
      <c r="K257" s="332" t="s">
        <v>2387</v>
      </c>
      <c r="L257" s="330" t="s">
        <v>857</v>
      </c>
      <c r="M257" s="332"/>
      <c r="N257" s="330"/>
      <c r="O257" s="333"/>
      <c r="P257" s="333"/>
      <c r="Q257" s="333" t="s">
        <v>184</v>
      </c>
      <c r="R257" s="333">
        <v>0</v>
      </c>
      <c r="S257" s="333">
        <v>1</v>
      </c>
      <c r="T257" s="333"/>
      <c r="U257" s="333"/>
      <c r="V257" s="333"/>
      <c r="W257" s="330"/>
      <c r="X257" s="330"/>
      <c r="Y257" s="332" t="s">
        <v>2388</v>
      </c>
      <c r="Z257" s="330" t="s">
        <v>739</v>
      </c>
      <c r="AA257" s="330" t="s">
        <v>2389</v>
      </c>
      <c r="AB257" s="330" t="s">
        <v>189</v>
      </c>
      <c r="AC257" s="330"/>
      <c r="AD257" s="330"/>
      <c r="AE257" s="330">
        <v>10</v>
      </c>
      <c r="AF257" s="330">
        <v>17</v>
      </c>
      <c r="AG257" s="332" t="s">
        <v>191</v>
      </c>
      <c r="AH257" s="332" t="s">
        <v>202</v>
      </c>
      <c r="AI257" s="330" t="s">
        <v>191</v>
      </c>
      <c r="AJ257" s="330"/>
      <c r="AK257" s="330"/>
      <c r="AL257" s="330" t="s">
        <v>191</v>
      </c>
      <c r="AM257" s="330"/>
      <c r="AN257" s="330"/>
      <c r="AO257" s="330"/>
      <c r="AP257" s="332"/>
      <c r="AQ257" s="330"/>
      <c r="AR257" s="330"/>
      <c r="AS257" s="330"/>
      <c r="AT257" s="330"/>
      <c r="AU257" s="332" t="s">
        <v>191</v>
      </c>
      <c r="AV257" s="334">
        <v>46112.445281296299</v>
      </c>
      <c r="AW257" s="330"/>
      <c r="AX257" s="335">
        <v>46150</v>
      </c>
      <c r="AY257" s="330"/>
      <c r="AZ257" s="330"/>
      <c r="BA257" s="330"/>
      <c r="BB257" s="330"/>
      <c r="BC257" s="336">
        <v>46171</v>
      </c>
      <c r="BD257" s="330"/>
      <c r="BE257" s="330"/>
      <c r="BF257" s="330"/>
      <c r="BG257" s="330"/>
      <c r="BH257" s="330" t="s">
        <v>220</v>
      </c>
      <c r="BI257" s="330"/>
      <c r="BJ257" s="336">
        <v>46142</v>
      </c>
      <c r="BK257" s="330"/>
      <c r="BL257" s="330"/>
      <c r="BM257" s="332"/>
      <c r="BN257" s="330"/>
      <c r="BO257" s="330" t="s">
        <v>184</v>
      </c>
      <c r="BP257" s="330" t="s">
        <v>220</v>
      </c>
      <c r="BQ257" s="330" t="s">
        <v>218</v>
      </c>
      <c r="BR257" s="330" t="s">
        <v>220</v>
      </c>
      <c r="BS257" s="330"/>
      <c r="BT257" s="330" t="s">
        <v>220</v>
      </c>
      <c r="BU257" s="330"/>
      <c r="BV257" s="330" t="s">
        <v>220</v>
      </c>
      <c r="BW257" s="330"/>
      <c r="BX257" s="332"/>
      <c r="BY257" s="330"/>
      <c r="BZ257" s="330"/>
      <c r="CA257" s="330"/>
      <c r="CB257" s="330"/>
      <c r="CC257" s="337" t="s">
        <v>911</v>
      </c>
      <c r="CD257" s="330"/>
      <c r="CE257" s="330" t="b">
        <v>1</v>
      </c>
      <c r="CF257" s="330"/>
      <c r="CG257" s="330"/>
      <c r="CH257" s="330"/>
      <c r="CI257" s="330"/>
      <c r="CJ257" s="330"/>
      <c r="CK257" s="330"/>
      <c r="CL257" s="330"/>
      <c r="CM257" s="330"/>
      <c r="CN257" s="330"/>
      <c r="CO257" s="330" t="b">
        <v>1</v>
      </c>
      <c r="CP257" s="330" t="b">
        <v>1</v>
      </c>
      <c r="CQ257" s="330"/>
      <c r="CR257" s="330"/>
      <c r="CS257" s="330"/>
      <c r="CT257" s="330"/>
      <c r="CU257" s="330"/>
      <c r="CV257" s="330"/>
      <c r="CW257" s="330"/>
      <c r="CX257" s="330"/>
      <c r="CY257" s="330"/>
      <c r="CZ257" s="330"/>
      <c r="DA257" s="330"/>
      <c r="DB257" s="330"/>
      <c r="DC257" s="330"/>
      <c r="DD257" s="330"/>
      <c r="DE257" s="330"/>
      <c r="DF257" s="338">
        <v>25065</v>
      </c>
      <c r="DG257" s="330" t="s">
        <v>821</v>
      </c>
      <c r="DH257" s="330"/>
      <c r="DI257" s="338">
        <v>13</v>
      </c>
      <c r="DJ257" s="330"/>
      <c r="DK257" s="330">
        <v>13</v>
      </c>
      <c r="DL257" s="330" t="s">
        <v>2350</v>
      </c>
      <c r="DM257" s="330"/>
      <c r="DN257" s="330"/>
      <c r="DO257" s="330"/>
      <c r="DP257" s="330"/>
      <c r="DQ257" s="338" t="s">
        <v>197</v>
      </c>
      <c r="DR257" s="330"/>
      <c r="DS257" s="330"/>
      <c r="DT257" s="330"/>
      <c r="DU257" s="338" t="s">
        <v>197</v>
      </c>
      <c r="DV257" s="330"/>
      <c r="DW257" s="330"/>
      <c r="DX257" s="330"/>
      <c r="DY257" s="338" t="s">
        <v>197</v>
      </c>
      <c r="DZ257" s="330"/>
      <c r="EA257" s="330"/>
      <c r="EB257" s="330"/>
      <c r="EC257" s="330" t="s">
        <v>197</v>
      </c>
      <c r="ED257" s="338" t="s">
        <v>197</v>
      </c>
      <c r="EE257" s="330">
        <v>1</v>
      </c>
      <c r="EF257" s="330">
        <v>1</v>
      </c>
      <c r="EG257" s="330"/>
      <c r="EH257" s="330"/>
      <c r="EI257" s="330"/>
      <c r="EJ257" s="330"/>
      <c r="EK257" s="330"/>
      <c r="EL257" s="330"/>
      <c r="EM257" s="330"/>
      <c r="EN257" s="330"/>
      <c r="EO257" s="330"/>
      <c r="EP257" s="330"/>
      <c r="EQ257" s="332" t="s">
        <v>321</v>
      </c>
      <c r="ER257" s="330"/>
      <c r="ES257" s="330"/>
      <c r="ET257" s="332"/>
      <c r="EU257" s="332" t="s">
        <v>199</v>
      </c>
      <c r="EV257" s="330"/>
      <c r="EW257" s="330"/>
      <c r="EX257" s="330" t="s">
        <v>200</v>
      </c>
      <c r="EY257" s="330"/>
      <c r="EZ257" s="330" t="s">
        <v>247</v>
      </c>
      <c r="FA257" s="330"/>
      <c r="FB257" s="330" t="s">
        <v>247</v>
      </c>
      <c r="FC257" s="330" t="s">
        <v>202</v>
      </c>
      <c r="FD257" s="332" t="s">
        <v>190</v>
      </c>
      <c r="FE257" s="330"/>
      <c r="FF257" s="330"/>
      <c r="FG257" s="330" t="s">
        <v>203</v>
      </c>
      <c r="FH257" s="330"/>
      <c r="FI257" s="330" t="s">
        <v>204</v>
      </c>
      <c r="FJ257" s="330"/>
      <c r="FK257" s="330" t="s">
        <v>1043</v>
      </c>
      <c r="FL257" s="330" t="s">
        <v>191</v>
      </c>
      <c r="FM257" s="330"/>
      <c r="FN257" s="330" t="s">
        <v>2390</v>
      </c>
      <c r="FO257" s="330"/>
      <c r="FP257" s="330" t="s">
        <v>1983</v>
      </c>
      <c r="FQ257" s="330"/>
      <c r="FR257" s="330"/>
      <c r="FS257" s="330"/>
      <c r="FT257" s="330"/>
      <c r="FU257" s="330"/>
    </row>
    <row r="258" spans="1:177" ht="25.5" x14ac:dyDescent="0.25">
      <c r="A258" s="330">
        <v>257</v>
      </c>
      <c r="B258" s="331" t="s">
        <v>2391</v>
      </c>
      <c r="C258" s="330"/>
      <c r="D258" s="332" t="s">
        <v>2344</v>
      </c>
      <c r="E258" s="332" t="s">
        <v>2345</v>
      </c>
      <c r="F258" s="332" t="s">
        <v>1043</v>
      </c>
      <c r="G258" s="330"/>
      <c r="H258" s="331" t="s">
        <v>731</v>
      </c>
      <c r="I258" s="330"/>
      <c r="J258" s="332" t="s">
        <v>2376</v>
      </c>
      <c r="K258" s="332" t="s">
        <v>2392</v>
      </c>
      <c r="L258" s="330" t="s">
        <v>857</v>
      </c>
      <c r="M258" s="332"/>
      <c r="N258" s="330"/>
      <c r="O258" s="333"/>
      <c r="P258" s="333"/>
      <c r="Q258" s="333" t="s">
        <v>184</v>
      </c>
      <c r="R258" s="333">
        <v>0</v>
      </c>
      <c r="S258" s="333">
        <v>3</v>
      </c>
      <c r="T258" s="333"/>
      <c r="U258" s="333"/>
      <c r="V258" s="333"/>
      <c r="W258" s="330"/>
      <c r="X258" s="330"/>
      <c r="Y258" s="332" t="s">
        <v>2393</v>
      </c>
      <c r="Z258" s="330" t="s">
        <v>739</v>
      </c>
      <c r="AA258" s="330" t="s">
        <v>2394</v>
      </c>
      <c r="AB258" s="330" t="s">
        <v>217</v>
      </c>
      <c r="AC258" s="330"/>
      <c r="AD258" s="330"/>
      <c r="AE258" s="330">
        <v>10</v>
      </c>
      <c r="AF258" s="330">
        <v>17</v>
      </c>
      <c r="AG258" s="332" t="s">
        <v>191</v>
      </c>
      <c r="AH258" s="332" t="s">
        <v>202</v>
      </c>
      <c r="AI258" s="330" t="s">
        <v>191</v>
      </c>
      <c r="AJ258" s="330"/>
      <c r="AK258" s="330"/>
      <c r="AL258" s="330" t="s">
        <v>191</v>
      </c>
      <c r="AM258" s="330"/>
      <c r="AN258" s="330"/>
      <c r="AO258" s="330"/>
      <c r="AP258" s="332"/>
      <c r="AQ258" s="330"/>
      <c r="AR258" s="330"/>
      <c r="AS258" s="330"/>
      <c r="AT258" s="330"/>
      <c r="AU258" s="332" t="s">
        <v>191</v>
      </c>
      <c r="AV258" s="334">
        <v>46112.446534236115</v>
      </c>
      <c r="AW258" s="330"/>
      <c r="AX258" s="335">
        <v>46150</v>
      </c>
      <c r="AY258" s="330"/>
      <c r="AZ258" s="330"/>
      <c r="BA258" s="330"/>
      <c r="BB258" s="330"/>
      <c r="BC258" s="336">
        <v>46171</v>
      </c>
      <c r="BD258" s="330"/>
      <c r="BE258" s="330"/>
      <c r="BF258" s="330"/>
      <c r="BG258" s="330"/>
      <c r="BH258" s="330" t="s">
        <v>220</v>
      </c>
      <c r="BI258" s="330"/>
      <c r="BJ258" s="336">
        <v>46142</v>
      </c>
      <c r="BK258" s="330"/>
      <c r="BL258" s="330"/>
      <c r="BM258" s="332"/>
      <c r="BN258" s="330"/>
      <c r="BO258" s="330" t="s">
        <v>184</v>
      </c>
      <c r="BP258" s="330" t="s">
        <v>220</v>
      </c>
      <c r="BQ258" s="330" t="s">
        <v>218</v>
      </c>
      <c r="BR258" s="330" t="s">
        <v>220</v>
      </c>
      <c r="BS258" s="330"/>
      <c r="BT258" s="330" t="s">
        <v>220</v>
      </c>
      <c r="BU258" s="330"/>
      <c r="BV258" s="330" t="s">
        <v>220</v>
      </c>
      <c r="BW258" s="330"/>
      <c r="BX258" s="332"/>
      <c r="BY258" s="330"/>
      <c r="BZ258" s="330"/>
      <c r="CA258" s="330"/>
      <c r="CB258" s="330"/>
      <c r="CC258" s="337" t="s">
        <v>911</v>
      </c>
      <c r="CD258" s="330"/>
      <c r="CE258" s="330" t="b">
        <v>1</v>
      </c>
      <c r="CF258" s="330"/>
      <c r="CG258" s="330"/>
      <c r="CH258" s="330"/>
      <c r="CI258" s="330"/>
      <c r="CJ258" s="330"/>
      <c r="CK258" s="330"/>
      <c r="CL258" s="330"/>
      <c r="CM258" s="330"/>
      <c r="CN258" s="330"/>
      <c r="CO258" s="330" t="b">
        <v>1</v>
      </c>
      <c r="CP258" s="330" t="b">
        <v>1</v>
      </c>
      <c r="CQ258" s="330"/>
      <c r="CR258" s="330"/>
      <c r="CS258" s="330"/>
      <c r="CT258" s="330"/>
      <c r="CU258" s="330"/>
      <c r="CV258" s="330"/>
      <c r="CW258" s="330"/>
      <c r="CX258" s="330"/>
      <c r="CY258" s="330"/>
      <c r="CZ258" s="330"/>
      <c r="DA258" s="330"/>
      <c r="DB258" s="330"/>
      <c r="DC258" s="330"/>
      <c r="DD258" s="330"/>
      <c r="DE258" s="330"/>
      <c r="DF258" s="338">
        <v>25065</v>
      </c>
      <c r="DG258" s="330" t="s">
        <v>821</v>
      </c>
      <c r="DH258" s="330"/>
      <c r="DI258" s="338">
        <v>14</v>
      </c>
      <c r="DJ258" s="330"/>
      <c r="DK258" s="330">
        <v>14</v>
      </c>
      <c r="DL258" s="330" t="s">
        <v>2350</v>
      </c>
      <c r="DM258" s="330"/>
      <c r="DN258" s="330"/>
      <c r="DO258" s="330"/>
      <c r="DP258" s="330"/>
      <c r="DQ258" s="338" t="s">
        <v>197</v>
      </c>
      <c r="DR258" s="330"/>
      <c r="DS258" s="330"/>
      <c r="DT258" s="330"/>
      <c r="DU258" s="338" t="s">
        <v>197</v>
      </c>
      <c r="DV258" s="330"/>
      <c r="DW258" s="330"/>
      <c r="DX258" s="330"/>
      <c r="DY258" s="338" t="s">
        <v>197</v>
      </c>
      <c r="DZ258" s="330"/>
      <c r="EA258" s="330"/>
      <c r="EB258" s="330"/>
      <c r="EC258" s="330" t="s">
        <v>197</v>
      </c>
      <c r="ED258" s="338" t="s">
        <v>197</v>
      </c>
      <c r="EE258" s="330">
        <v>1</v>
      </c>
      <c r="EF258" s="330">
        <v>1</v>
      </c>
      <c r="EG258" s="330"/>
      <c r="EH258" s="330"/>
      <c r="EI258" s="330"/>
      <c r="EJ258" s="330"/>
      <c r="EK258" s="330"/>
      <c r="EL258" s="330"/>
      <c r="EM258" s="330"/>
      <c r="EN258" s="330"/>
      <c r="EO258" s="330"/>
      <c r="EP258" s="330"/>
      <c r="EQ258" s="332" t="s">
        <v>321</v>
      </c>
      <c r="ER258" s="330"/>
      <c r="ES258" s="330"/>
      <c r="ET258" s="332"/>
      <c r="EU258" s="332" t="s">
        <v>199</v>
      </c>
      <c r="EV258" s="330"/>
      <c r="EW258" s="330"/>
      <c r="EX258" s="330" t="s">
        <v>200</v>
      </c>
      <c r="EY258" s="330"/>
      <c r="EZ258" s="330" t="s">
        <v>247</v>
      </c>
      <c r="FA258" s="330"/>
      <c r="FB258" s="330" t="s">
        <v>247</v>
      </c>
      <c r="FC258" s="330" t="s">
        <v>202</v>
      </c>
      <c r="FD258" s="332" t="s">
        <v>190</v>
      </c>
      <c r="FE258" s="330"/>
      <c r="FF258" s="330"/>
      <c r="FG258" s="330" t="s">
        <v>203</v>
      </c>
      <c r="FH258" s="330"/>
      <c r="FI258" s="330" t="s">
        <v>204</v>
      </c>
      <c r="FJ258" s="330"/>
      <c r="FK258" s="330" t="s">
        <v>1043</v>
      </c>
      <c r="FL258" s="330" t="s">
        <v>191</v>
      </c>
      <c r="FM258" s="330"/>
      <c r="FN258" s="330" t="s">
        <v>2395</v>
      </c>
      <c r="FO258" s="330"/>
      <c r="FP258" s="330" t="s">
        <v>1983</v>
      </c>
      <c r="FQ258" s="330"/>
      <c r="FR258" s="330"/>
      <c r="FS258" s="330"/>
      <c r="FT258" s="330"/>
      <c r="FU258" s="330"/>
    </row>
    <row r="259" spans="1:177" ht="25.5" x14ac:dyDescent="0.25">
      <c r="A259" s="330">
        <v>258</v>
      </c>
      <c r="B259" s="331" t="s">
        <v>2396</v>
      </c>
      <c r="C259" s="330"/>
      <c r="D259" s="332" t="s">
        <v>2344</v>
      </c>
      <c r="E259" s="332" t="s">
        <v>2345</v>
      </c>
      <c r="F259" s="332" t="s">
        <v>1043</v>
      </c>
      <c r="G259" s="330"/>
      <c r="H259" s="331" t="s">
        <v>731</v>
      </c>
      <c r="I259" s="330"/>
      <c r="J259" s="332" t="s">
        <v>2376</v>
      </c>
      <c r="K259" s="332" t="s">
        <v>2397</v>
      </c>
      <c r="L259" s="330" t="s">
        <v>857</v>
      </c>
      <c r="M259" s="332"/>
      <c r="N259" s="330"/>
      <c r="O259" s="333"/>
      <c r="P259" s="333"/>
      <c r="Q259" s="333" t="s">
        <v>184</v>
      </c>
      <c r="R259" s="333">
        <v>0</v>
      </c>
      <c r="S259" s="333">
        <v>6</v>
      </c>
      <c r="T259" s="333"/>
      <c r="U259" s="333"/>
      <c r="V259" s="333"/>
      <c r="W259" s="330"/>
      <c r="X259" s="330"/>
      <c r="Y259" s="332" t="s">
        <v>2372</v>
      </c>
      <c r="Z259" s="330" t="s">
        <v>187</v>
      </c>
      <c r="AA259" s="330" t="s">
        <v>2373</v>
      </c>
      <c r="AB259" s="330" t="s">
        <v>217</v>
      </c>
      <c r="AC259" s="330"/>
      <c r="AD259" s="330"/>
      <c r="AE259" s="330">
        <v>10</v>
      </c>
      <c r="AF259" s="330">
        <v>17</v>
      </c>
      <c r="AG259" s="332" t="s">
        <v>191</v>
      </c>
      <c r="AH259" s="332" t="s">
        <v>202</v>
      </c>
      <c r="AI259" s="330" t="s">
        <v>191</v>
      </c>
      <c r="AJ259" s="330"/>
      <c r="AK259" s="330"/>
      <c r="AL259" s="330" t="s">
        <v>191</v>
      </c>
      <c r="AM259" s="330"/>
      <c r="AN259" s="330"/>
      <c r="AO259" s="330"/>
      <c r="AP259" s="332"/>
      <c r="AQ259" s="330"/>
      <c r="AR259" s="330"/>
      <c r="AS259" s="330"/>
      <c r="AT259" s="330"/>
      <c r="AU259" s="332" t="s">
        <v>191</v>
      </c>
      <c r="AV259" s="334">
        <v>46112.448047060185</v>
      </c>
      <c r="AW259" s="330"/>
      <c r="AX259" s="335">
        <v>46150</v>
      </c>
      <c r="AY259" s="330"/>
      <c r="AZ259" s="330"/>
      <c r="BA259" s="330"/>
      <c r="BB259" s="330"/>
      <c r="BC259" s="336">
        <v>46171</v>
      </c>
      <c r="BD259" s="330"/>
      <c r="BE259" s="330"/>
      <c r="BF259" s="330"/>
      <c r="BG259" s="330"/>
      <c r="BH259" s="330" t="s">
        <v>220</v>
      </c>
      <c r="BI259" s="330"/>
      <c r="BJ259" s="336">
        <v>46142</v>
      </c>
      <c r="BK259" s="330"/>
      <c r="BL259" s="330"/>
      <c r="BM259" s="332"/>
      <c r="BN259" s="330"/>
      <c r="BO259" s="330" t="s">
        <v>184</v>
      </c>
      <c r="BP259" s="330" t="s">
        <v>220</v>
      </c>
      <c r="BQ259" s="330" t="s">
        <v>218</v>
      </c>
      <c r="BR259" s="330" t="s">
        <v>220</v>
      </c>
      <c r="BS259" s="330"/>
      <c r="BT259" s="330" t="s">
        <v>220</v>
      </c>
      <c r="BU259" s="330"/>
      <c r="BV259" s="330" t="s">
        <v>220</v>
      </c>
      <c r="BW259" s="330"/>
      <c r="BX259" s="332"/>
      <c r="BY259" s="330"/>
      <c r="BZ259" s="330"/>
      <c r="CA259" s="330"/>
      <c r="CB259" s="330"/>
      <c r="CC259" s="337" t="s">
        <v>911</v>
      </c>
      <c r="CD259" s="330"/>
      <c r="CE259" s="330" t="b">
        <v>1</v>
      </c>
      <c r="CF259" s="330"/>
      <c r="CG259" s="330"/>
      <c r="CH259" s="330"/>
      <c r="CI259" s="330"/>
      <c r="CJ259" s="330"/>
      <c r="CK259" s="330"/>
      <c r="CL259" s="330"/>
      <c r="CM259" s="330"/>
      <c r="CN259" s="330"/>
      <c r="CO259" s="330" t="b">
        <v>1</v>
      </c>
      <c r="CP259" s="330" t="b">
        <v>1</v>
      </c>
      <c r="CQ259" s="330"/>
      <c r="CR259" s="330"/>
      <c r="CS259" s="330"/>
      <c r="CT259" s="330"/>
      <c r="CU259" s="330"/>
      <c r="CV259" s="330"/>
      <c r="CW259" s="330"/>
      <c r="CX259" s="330"/>
      <c r="CY259" s="330"/>
      <c r="CZ259" s="330"/>
      <c r="DA259" s="330"/>
      <c r="DB259" s="330"/>
      <c r="DC259" s="330"/>
      <c r="DD259" s="330"/>
      <c r="DE259" s="330"/>
      <c r="DF259" s="338">
        <v>25065</v>
      </c>
      <c r="DG259" s="330" t="s">
        <v>821</v>
      </c>
      <c r="DH259" s="330"/>
      <c r="DI259" s="338">
        <v>15</v>
      </c>
      <c r="DJ259" s="330"/>
      <c r="DK259" s="330">
        <v>15</v>
      </c>
      <c r="DL259" s="330" t="s">
        <v>2350</v>
      </c>
      <c r="DM259" s="330"/>
      <c r="DN259" s="330"/>
      <c r="DO259" s="330"/>
      <c r="DP259" s="330"/>
      <c r="DQ259" s="338" t="s">
        <v>197</v>
      </c>
      <c r="DR259" s="330"/>
      <c r="DS259" s="330"/>
      <c r="DT259" s="330"/>
      <c r="DU259" s="338" t="s">
        <v>197</v>
      </c>
      <c r="DV259" s="330"/>
      <c r="DW259" s="330"/>
      <c r="DX259" s="330"/>
      <c r="DY259" s="338" t="s">
        <v>197</v>
      </c>
      <c r="DZ259" s="330"/>
      <c r="EA259" s="330"/>
      <c r="EB259" s="330"/>
      <c r="EC259" s="330" t="s">
        <v>197</v>
      </c>
      <c r="ED259" s="338" t="s">
        <v>197</v>
      </c>
      <c r="EE259" s="330">
        <v>1</v>
      </c>
      <c r="EF259" s="330">
        <v>1</v>
      </c>
      <c r="EG259" s="330"/>
      <c r="EH259" s="330"/>
      <c r="EI259" s="330"/>
      <c r="EJ259" s="330"/>
      <c r="EK259" s="330"/>
      <c r="EL259" s="330"/>
      <c r="EM259" s="330"/>
      <c r="EN259" s="330"/>
      <c r="EO259" s="330"/>
      <c r="EP259" s="330"/>
      <c r="EQ259" s="332" t="s">
        <v>321</v>
      </c>
      <c r="ER259" s="330"/>
      <c r="ES259" s="330"/>
      <c r="ET259" s="332"/>
      <c r="EU259" s="332" t="s">
        <v>199</v>
      </c>
      <c r="EV259" s="330"/>
      <c r="EW259" s="330"/>
      <c r="EX259" s="330" t="s">
        <v>200</v>
      </c>
      <c r="EY259" s="330"/>
      <c r="EZ259" s="330" t="s">
        <v>247</v>
      </c>
      <c r="FA259" s="330"/>
      <c r="FB259" s="330" t="s">
        <v>247</v>
      </c>
      <c r="FC259" s="330" t="s">
        <v>202</v>
      </c>
      <c r="FD259" s="332" t="s">
        <v>190</v>
      </c>
      <c r="FE259" s="330"/>
      <c r="FF259" s="330"/>
      <c r="FG259" s="330" t="s">
        <v>203</v>
      </c>
      <c r="FH259" s="330"/>
      <c r="FI259" s="330" t="s">
        <v>204</v>
      </c>
      <c r="FJ259" s="330"/>
      <c r="FK259" s="330" t="s">
        <v>1043</v>
      </c>
      <c r="FL259" s="330" t="s">
        <v>191</v>
      </c>
      <c r="FM259" s="330"/>
      <c r="FN259" s="330" t="s">
        <v>2398</v>
      </c>
      <c r="FO259" s="330"/>
      <c r="FP259" s="330" t="s">
        <v>1983</v>
      </c>
      <c r="FQ259" s="330"/>
      <c r="FR259" s="330"/>
      <c r="FS259" s="330"/>
      <c r="FT259" s="330"/>
      <c r="FU259" s="330"/>
    </row>
    <row r="260" spans="1:177" ht="25.5" x14ac:dyDescent="0.25">
      <c r="A260" s="330">
        <v>259</v>
      </c>
      <c r="B260" s="331" t="s">
        <v>2350</v>
      </c>
      <c r="C260" s="330"/>
      <c r="D260" s="332" t="s">
        <v>2344</v>
      </c>
      <c r="E260" s="332" t="s">
        <v>2345</v>
      </c>
      <c r="F260" s="332" t="s">
        <v>1043</v>
      </c>
      <c r="G260" s="330"/>
      <c r="H260" s="331" t="s">
        <v>731</v>
      </c>
      <c r="I260" s="330"/>
      <c r="J260" s="332" t="s">
        <v>2399</v>
      </c>
      <c r="K260" s="332" t="s">
        <v>2400</v>
      </c>
      <c r="L260" s="330" t="s">
        <v>857</v>
      </c>
      <c r="M260" s="332"/>
      <c r="N260" s="330"/>
      <c r="O260" s="333"/>
      <c r="P260" s="333"/>
      <c r="Q260" s="333" t="s">
        <v>184</v>
      </c>
      <c r="R260" s="333">
        <v>0</v>
      </c>
      <c r="S260" s="333">
        <v>3</v>
      </c>
      <c r="T260" s="333"/>
      <c r="U260" s="333"/>
      <c r="V260" s="333"/>
      <c r="W260" s="330"/>
      <c r="X260" s="330"/>
      <c r="Y260" s="332" t="s">
        <v>2401</v>
      </c>
      <c r="Z260" s="330" t="s">
        <v>187</v>
      </c>
      <c r="AA260" s="330" t="s">
        <v>2402</v>
      </c>
      <c r="AB260" s="330" t="s">
        <v>189</v>
      </c>
      <c r="AC260" s="330"/>
      <c r="AD260" s="330"/>
      <c r="AE260" s="330">
        <v>10</v>
      </c>
      <c r="AF260" s="330">
        <v>17</v>
      </c>
      <c r="AG260" s="332" t="s">
        <v>191</v>
      </c>
      <c r="AH260" s="332" t="s">
        <v>202</v>
      </c>
      <c r="AI260" s="330" t="s">
        <v>191</v>
      </c>
      <c r="AJ260" s="330"/>
      <c r="AK260" s="330"/>
      <c r="AL260" s="330" t="s">
        <v>191</v>
      </c>
      <c r="AM260" s="330"/>
      <c r="AN260" s="330"/>
      <c r="AO260" s="330"/>
      <c r="AP260" s="332"/>
      <c r="AQ260" s="330"/>
      <c r="AR260" s="330"/>
      <c r="AS260" s="330"/>
      <c r="AT260" s="330"/>
      <c r="AU260" s="332" t="s">
        <v>191</v>
      </c>
      <c r="AV260" s="334">
        <v>46112.567915694446</v>
      </c>
      <c r="AW260" s="330"/>
      <c r="AX260" s="335">
        <v>46150</v>
      </c>
      <c r="AY260" s="330"/>
      <c r="AZ260" s="330"/>
      <c r="BA260" s="330"/>
      <c r="BB260" s="330"/>
      <c r="BC260" s="336">
        <v>46171</v>
      </c>
      <c r="BD260" s="330"/>
      <c r="BE260" s="330"/>
      <c r="BF260" s="330"/>
      <c r="BG260" s="330"/>
      <c r="BH260" s="330" t="s">
        <v>193</v>
      </c>
      <c r="BI260" s="330"/>
      <c r="BJ260" s="330"/>
      <c r="BK260" s="330"/>
      <c r="BL260" s="330"/>
      <c r="BM260" s="332"/>
      <c r="BN260" s="330"/>
      <c r="BO260" s="330" t="s">
        <v>184</v>
      </c>
      <c r="BP260" s="330" t="s">
        <v>220</v>
      </c>
      <c r="BQ260" s="330" t="s">
        <v>218</v>
      </c>
      <c r="BR260" s="330" t="s">
        <v>220</v>
      </c>
      <c r="BS260" s="330"/>
      <c r="BT260" s="330" t="s">
        <v>220</v>
      </c>
      <c r="BU260" s="330"/>
      <c r="BV260" s="330" t="s">
        <v>220</v>
      </c>
      <c r="BW260" s="330"/>
      <c r="BX260" s="332"/>
      <c r="BY260" s="330"/>
      <c r="BZ260" s="330"/>
      <c r="CA260" s="330"/>
      <c r="CB260" s="330"/>
      <c r="CC260" s="337" t="s">
        <v>911</v>
      </c>
      <c r="CD260" s="330"/>
      <c r="CE260" s="330" t="b">
        <v>1</v>
      </c>
      <c r="CF260" s="330"/>
      <c r="CG260" s="330"/>
      <c r="CH260" s="330"/>
      <c r="CI260" s="330"/>
      <c r="CJ260" s="330"/>
      <c r="CK260" s="330"/>
      <c r="CL260" s="330"/>
      <c r="CM260" s="330"/>
      <c r="CN260" s="330"/>
      <c r="CO260" s="330" t="b">
        <v>1</v>
      </c>
      <c r="CP260" s="330" t="b">
        <v>1</v>
      </c>
      <c r="CQ260" s="330"/>
      <c r="CR260" s="330"/>
      <c r="CS260" s="330"/>
      <c r="CT260" s="330"/>
      <c r="CU260" s="330"/>
      <c r="CV260" s="330"/>
      <c r="CW260" s="330"/>
      <c r="CX260" s="330"/>
      <c r="CY260" s="330"/>
      <c r="CZ260" s="330"/>
      <c r="DA260" s="330"/>
      <c r="DB260" s="330"/>
      <c r="DC260" s="330"/>
      <c r="DD260" s="330"/>
      <c r="DE260" s="330"/>
      <c r="DF260" s="338">
        <v>25065</v>
      </c>
      <c r="DG260" s="330" t="s">
        <v>821</v>
      </c>
      <c r="DH260" s="330"/>
      <c r="DI260" s="338">
        <v>20</v>
      </c>
      <c r="DJ260" s="330"/>
      <c r="DK260" s="330">
        <v>20</v>
      </c>
      <c r="DL260" s="330" t="s">
        <v>2350</v>
      </c>
      <c r="DM260" s="330"/>
      <c r="DN260" s="330"/>
      <c r="DO260" s="330"/>
      <c r="DP260" s="330"/>
      <c r="DQ260" s="338" t="s">
        <v>197</v>
      </c>
      <c r="DR260" s="330"/>
      <c r="DS260" s="330"/>
      <c r="DT260" s="330"/>
      <c r="DU260" s="338" t="s">
        <v>197</v>
      </c>
      <c r="DV260" s="330"/>
      <c r="DW260" s="330"/>
      <c r="DX260" s="330"/>
      <c r="DY260" s="338" t="s">
        <v>197</v>
      </c>
      <c r="DZ260" s="330"/>
      <c r="EA260" s="330"/>
      <c r="EB260" s="330"/>
      <c r="EC260" s="330" t="s">
        <v>197</v>
      </c>
      <c r="ED260" s="338" t="s">
        <v>197</v>
      </c>
      <c r="EE260" s="330">
        <v>1</v>
      </c>
      <c r="EF260" s="330">
        <v>1</v>
      </c>
      <c r="EG260" s="330"/>
      <c r="EH260" s="330"/>
      <c r="EI260" s="330"/>
      <c r="EJ260" s="330"/>
      <c r="EK260" s="330"/>
      <c r="EL260" s="330"/>
      <c r="EM260" s="330"/>
      <c r="EN260" s="330"/>
      <c r="EO260" s="330"/>
      <c r="EP260" s="330"/>
      <c r="EQ260" s="332" t="s">
        <v>321</v>
      </c>
      <c r="ER260" s="330"/>
      <c r="ES260" s="330"/>
      <c r="ET260" s="332"/>
      <c r="EU260" s="332" t="s">
        <v>199</v>
      </c>
      <c r="EV260" s="330"/>
      <c r="EW260" s="330"/>
      <c r="EX260" s="330" t="s">
        <v>200</v>
      </c>
      <c r="EY260" s="330"/>
      <c r="EZ260" s="330" t="s">
        <v>247</v>
      </c>
      <c r="FA260" s="330"/>
      <c r="FB260" s="330" t="s">
        <v>247</v>
      </c>
      <c r="FC260" s="330" t="s">
        <v>202</v>
      </c>
      <c r="FD260" s="332" t="s">
        <v>190</v>
      </c>
      <c r="FE260" s="330"/>
      <c r="FF260" s="330"/>
      <c r="FG260" s="330" t="s">
        <v>203</v>
      </c>
      <c r="FH260" s="330"/>
      <c r="FI260" s="330" t="s">
        <v>204</v>
      </c>
      <c r="FJ260" s="330"/>
      <c r="FK260" s="330" t="s">
        <v>1043</v>
      </c>
      <c r="FL260" s="330" t="s">
        <v>191</v>
      </c>
      <c r="FM260" s="330"/>
      <c r="FN260" s="330" t="s">
        <v>2403</v>
      </c>
      <c r="FO260" s="330"/>
      <c r="FP260" s="330" t="s">
        <v>1983</v>
      </c>
      <c r="FQ260" s="330"/>
      <c r="FR260" s="330"/>
      <c r="FS260" s="330"/>
      <c r="FT260" s="330"/>
      <c r="FU260" s="330"/>
    </row>
    <row r="261" spans="1:177" ht="127.5" x14ac:dyDescent="0.25">
      <c r="A261" s="330">
        <v>260</v>
      </c>
      <c r="B261" s="331" t="s">
        <v>2404</v>
      </c>
      <c r="C261" s="330"/>
      <c r="D261" s="332" t="s">
        <v>1264</v>
      </c>
      <c r="E261" s="332" t="s">
        <v>1265</v>
      </c>
      <c r="F261" s="332" t="s">
        <v>795</v>
      </c>
      <c r="G261" s="330" t="s">
        <v>796</v>
      </c>
      <c r="H261" s="331" t="s">
        <v>731</v>
      </c>
      <c r="I261" s="330"/>
      <c r="J261" s="332" t="s">
        <v>2405</v>
      </c>
      <c r="K261" s="332" t="s">
        <v>2406</v>
      </c>
      <c r="L261" s="330"/>
      <c r="M261" s="332"/>
      <c r="N261" s="330"/>
      <c r="O261" s="333"/>
      <c r="P261" s="333"/>
      <c r="Q261" s="333" t="s">
        <v>184</v>
      </c>
      <c r="R261" s="333"/>
      <c r="S261" s="333">
        <v>6</v>
      </c>
      <c r="T261" s="333">
        <v>2</v>
      </c>
      <c r="U261" s="333"/>
      <c r="V261" s="333"/>
      <c r="W261" s="330"/>
      <c r="X261" s="330"/>
      <c r="Y261" s="332" t="s">
        <v>2407</v>
      </c>
      <c r="Z261" s="330" t="s">
        <v>187</v>
      </c>
      <c r="AA261" s="330" t="s">
        <v>2408</v>
      </c>
      <c r="AB261" s="330" t="s">
        <v>189</v>
      </c>
      <c r="AC261" s="330"/>
      <c r="AD261" s="330"/>
      <c r="AE261" s="330">
        <v>1</v>
      </c>
      <c r="AF261" s="330">
        <v>7</v>
      </c>
      <c r="AG261" s="332" t="s">
        <v>202</v>
      </c>
      <c r="AH261" s="332" t="s">
        <v>202</v>
      </c>
      <c r="AI261" s="330" t="s">
        <v>202</v>
      </c>
      <c r="AJ261" s="330" t="s">
        <v>742</v>
      </c>
      <c r="AK261" s="330" t="s">
        <v>202</v>
      </c>
      <c r="AL261" s="330" t="s">
        <v>742</v>
      </c>
      <c r="AM261" s="330" t="s">
        <v>202</v>
      </c>
      <c r="AN261" s="330" t="s">
        <v>742</v>
      </c>
      <c r="AO261" s="330"/>
      <c r="AP261" s="332"/>
      <c r="AQ261" s="330"/>
      <c r="AR261" s="330"/>
      <c r="AS261" s="330"/>
      <c r="AT261" s="330"/>
      <c r="AU261" s="332"/>
      <c r="AV261" s="334">
        <v>46112.61362405093</v>
      </c>
      <c r="AW261" s="330"/>
      <c r="AX261" s="335">
        <v>46136</v>
      </c>
      <c r="AY261" s="330"/>
      <c r="AZ261" s="330"/>
      <c r="BA261" s="330"/>
      <c r="BB261" s="330"/>
      <c r="BC261" s="336">
        <v>46157</v>
      </c>
      <c r="BD261" s="330"/>
      <c r="BE261" s="330"/>
      <c r="BF261" s="330"/>
      <c r="BG261" s="330"/>
      <c r="BH261" s="330" t="s">
        <v>220</v>
      </c>
      <c r="BI261" s="330"/>
      <c r="BJ261" s="336">
        <v>46126</v>
      </c>
      <c r="BK261" s="330"/>
      <c r="BL261" s="330"/>
      <c r="BM261" s="332"/>
      <c r="BN261" s="330"/>
      <c r="BO261" s="330"/>
      <c r="BP261" s="330"/>
      <c r="BQ261" s="330" t="s">
        <v>338</v>
      </c>
      <c r="BR261" s="330" t="s">
        <v>220</v>
      </c>
      <c r="BS261" s="330"/>
      <c r="BT261" s="330" t="s">
        <v>220</v>
      </c>
      <c r="BU261" s="330"/>
      <c r="BV261" s="330" t="s">
        <v>220</v>
      </c>
      <c r="BW261" s="330"/>
      <c r="BX261" s="332"/>
      <c r="BY261" s="330"/>
      <c r="BZ261" s="330"/>
      <c r="CA261" s="330"/>
      <c r="CB261" s="330"/>
      <c r="CC261" s="337" t="s">
        <v>935</v>
      </c>
      <c r="CD261" s="330" t="b">
        <v>1</v>
      </c>
      <c r="CE261" s="330" t="b">
        <v>1</v>
      </c>
      <c r="CF261" s="330"/>
      <c r="CG261" s="330"/>
      <c r="CH261" s="330"/>
      <c r="CI261" s="330" t="b">
        <v>1</v>
      </c>
      <c r="CJ261" s="330"/>
      <c r="CK261" s="330"/>
      <c r="CL261" s="330"/>
      <c r="CM261" s="330"/>
      <c r="CN261" s="330"/>
      <c r="CO261" s="330"/>
      <c r="CP261" s="330"/>
      <c r="CQ261" s="330"/>
      <c r="CR261" s="330"/>
      <c r="CS261" s="330"/>
      <c r="CT261" s="330"/>
      <c r="CU261" s="330"/>
      <c r="CV261" s="330"/>
      <c r="CW261" s="330"/>
      <c r="CX261" s="330"/>
      <c r="CY261" s="330"/>
      <c r="CZ261" s="330"/>
      <c r="DA261" s="330" t="b">
        <v>1</v>
      </c>
      <c r="DB261" s="330"/>
      <c r="DC261" s="330"/>
      <c r="DD261" s="330"/>
      <c r="DE261" s="330"/>
      <c r="DF261" s="338">
        <v>25029</v>
      </c>
      <c r="DG261" s="330" t="s">
        <v>341</v>
      </c>
      <c r="DH261" s="330"/>
      <c r="DI261" s="338">
        <v>70</v>
      </c>
      <c r="DJ261" s="330"/>
      <c r="DK261" s="330">
        <v>70</v>
      </c>
      <c r="DL261" s="330" t="s">
        <v>2223</v>
      </c>
      <c r="DM261" s="330"/>
      <c r="DN261" s="330"/>
      <c r="DO261" s="330"/>
      <c r="DP261" s="330"/>
      <c r="DQ261" s="338" t="s">
        <v>197</v>
      </c>
      <c r="DR261" s="330"/>
      <c r="DS261" s="330"/>
      <c r="DT261" s="330"/>
      <c r="DU261" s="338" t="s">
        <v>197</v>
      </c>
      <c r="DV261" s="330"/>
      <c r="DW261" s="330"/>
      <c r="DX261" s="330"/>
      <c r="DY261" s="338" t="s">
        <v>197</v>
      </c>
      <c r="DZ261" s="330"/>
      <c r="EA261" s="330"/>
      <c r="EB261" s="330"/>
      <c r="EC261" s="330" t="s">
        <v>197</v>
      </c>
      <c r="ED261" s="338" t="s">
        <v>197</v>
      </c>
      <c r="EE261" s="330">
        <v>15</v>
      </c>
      <c r="EF261" s="330">
        <v>2</v>
      </c>
      <c r="EG261" s="330"/>
      <c r="EH261" s="330"/>
      <c r="EI261" s="330"/>
      <c r="EJ261" s="330"/>
      <c r="EK261" s="330"/>
      <c r="EL261" s="330"/>
      <c r="EM261" s="330"/>
      <c r="EN261" s="330"/>
      <c r="EO261" s="330"/>
      <c r="EP261" s="330"/>
      <c r="EQ261" s="332"/>
      <c r="ER261" s="330"/>
      <c r="ES261" s="330"/>
      <c r="ET261" s="332" t="s">
        <v>86</v>
      </c>
      <c r="EU261" s="332" t="s">
        <v>86</v>
      </c>
      <c r="EV261" s="330"/>
      <c r="EW261" s="330"/>
      <c r="EX261" s="330" t="s">
        <v>200</v>
      </c>
      <c r="EY261" s="330"/>
      <c r="EZ261" s="330" t="s">
        <v>247</v>
      </c>
      <c r="FA261" s="330"/>
      <c r="FB261" s="330" t="s">
        <v>247</v>
      </c>
      <c r="FC261" s="330" t="s">
        <v>202</v>
      </c>
      <c r="FD261" s="332" t="s">
        <v>190</v>
      </c>
      <c r="FE261" s="330"/>
      <c r="FF261" s="330"/>
      <c r="FG261" s="330" t="s">
        <v>203</v>
      </c>
      <c r="FH261" s="330"/>
      <c r="FI261" s="330" t="s">
        <v>204</v>
      </c>
      <c r="FJ261" s="330"/>
      <c r="FK261" s="330" t="s">
        <v>795</v>
      </c>
      <c r="FL261" s="330" t="s">
        <v>742</v>
      </c>
      <c r="FM261" s="330" t="s">
        <v>202</v>
      </c>
      <c r="FN261" s="330" t="s">
        <v>2409</v>
      </c>
      <c r="FO261" s="330"/>
      <c r="FP261" s="330" t="s">
        <v>1958</v>
      </c>
      <c r="FQ261" s="330"/>
      <c r="FR261" s="330"/>
      <c r="FS261" s="330"/>
      <c r="FT261" s="330"/>
      <c r="FU261" s="330"/>
    </row>
    <row r="262" spans="1:177" ht="127.5" x14ac:dyDescent="0.25">
      <c r="A262" s="330">
        <v>261</v>
      </c>
      <c r="B262" s="331" t="s">
        <v>2410</v>
      </c>
      <c r="C262" s="330"/>
      <c r="D262" s="332" t="s">
        <v>1264</v>
      </c>
      <c r="E262" s="332" t="s">
        <v>1265</v>
      </c>
      <c r="F262" s="332" t="s">
        <v>795</v>
      </c>
      <c r="G262" s="330" t="s">
        <v>796</v>
      </c>
      <c r="H262" s="331" t="s">
        <v>731</v>
      </c>
      <c r="I262" s="330"/>
      <c r="J262" s="332" t="s">
        <v>2411</v>
      </c>
      <c r="K262" s="332" t="s">
        <v>2412</v>
      </c>
      <c r="L262" s="330"/>
      <c r="M262" s="332"/>
      <c r="N262" s="330"/>
      <c r="O262" s="333"/>
      <c r="P262" s="333"/>
      <c r="Q262" s="333" t="s">
        <v>184</v>
      </c>
      <c r="R262" s="333"/>
      <c r="S262" s="333">
        <v>1</v>
      </c>
      <c r="T262" s="333">
        <v>1</v>
      </c>
      <c r="U262" s="333"/>
      <c r="V262" s="333"/>
      <c r="W262" s="330"/>
      <c r="X262" s="330"/>
      <c r="Y262" s="332" t="s">
        <v>2413</v>
      </c>
      <c r="Z262" s="330" t="s">
        <v>2414</v>
      </c>
      <c r="AA262" s="330" t="s">
        <v>2415</v>
      </c>
      <c r="AB262" s="330" t="s">
        <v>189</v>
      </c>
      <c r="AC262" s="330"/>
      <c r="AD262" s="330"/>
      <c r="AE262" s="330">
        <v>2</v>
      </c>
      <c r="AF262" s="330">
        <v>7</v>
      </c>
      <c r="AG262" s="332" t="s">
        <v>742</v>
      </c>
      <c r="AH262" s="332" t="s">
        <v>202</v>
      </c>
      <c r="AI262" s="330"/>
      <c r="AJ262" s="330"/>
      <c r="AK262" s="330"/>
      <c r="AL262" s="330" t="s">
        <v>742</v>
      </c>
      <c r="AM262" s="330" t="s">
        <v>202</v>
      </c>
      <c r="AN262" s="330" t="s">
        <v>742</v>
      </c>
      <c r="AO262" s="330"/>
      <c r="AP262" s="332"/>
      <c r="AQ262" s="330" t="s">
        <v>789</v>
      </c>
      <c r="AR262" s="330"/>
      <c r="AS262" s="330"/>
      <c r="AT262" s="330"/>
      <c r="AU262" s="332" t="s">
        <v>742</v>
      </c>
      <c r="AV262" s="334">
        <v>46112.615960717594</v>
      </c>
      <c r="AW262" s="330"/>
      <c r="AX262" s="335">
        <v>46136</v>
      </c>
      <c r="AY262" s="330"/>
      <c r="AZ262" s="330"/>
      <c r="BA262" s="330"/>
      <c r="BB262" s="330"/>
      <c r="BC262" s="336">
        <v>46157</v>
      </c>
      <c r="BD262" s="330"/>
      <c r="BE262" s="330"/>
      <c r="BF262" s="330"/>
      <c r="BG262" s="330"/>
      <c r="BH262" s="330" t="s">
        <v>220</v>
      </c>
      <c r="BI262" s="330"/>
      <c r="BJ262" s="336">
        <v>46126</v>
      </c>
      <c r="BK262" s="330"/>
      <c r="BL262" s="330"/>
      <c r="BM262" s="332"/>
      <c r="BN262" s="330"/>
      <c r="BO262" s="330"/>
      <c r="BP262" s="330"/>
      <c r="BQ262" s="330" t="s">
        <v>338</v>
      </c>
      <c r="BR262" s="330" t="s">
        <v>220</v>
      </c>
      <c r="BS262" s="330"/>
      <c r="BT262" s="330" t="s">
        <v>220</v>
      </c>
      <c r="BU262" s="330"/>
      <c r="BV262" s="330" t="s">
        <v>220</v>
      </c>
      <c r="BW262" s="330"/>
      <c r="BX262" s="332"/>
      <c r="BY262" s="330"/>
      <c r="BZ262" s="330"/>
      <c r="CA262" s="330"/>
      <c r="CB262" s="330"/>
      <c r="CC262" s="337" t="s">
        <v>82</v>
      </c>
      <c r="CD262" s="330"/>
      <c r="CE262" s="330" t="b">
        <v>1</v>
      </c>
      <c r="CF262" s="330"/>
      <c r="CG262" s="330"/>
      <c r="CH262" s="330"/>
      <c r="CI262" s="330"/>
      <c r="CJ262" s="330" t="b">
        <v>1</v>
      </c>
      <c r="CK262" s="330"/>
      <c r="CL262" s="330"/>
      <c r="CM262" s="330"/>
      <c r="CN262" s="330"/>
      <c r="CO262" s="330"/>
      <c r="CP262" s="330"/>
      <c r="CQ262" s="330"/>
      <c r="CR262" s="330"/>
      <c r="CS262" s="330"/>
      <c r="CT262" s="330"/>
      <c r="CU262" s="330"/>
      <c r="CV262" s="330"/>
      <c r="CW262" s="330"/>
      <c r="CX262" s="330"/>
      <c r="CY262" s="330"/>
      <c r="CZ262" s="330"/>
      <c r="DA262" s="330"/>
      <c r="DB262" s="330"/>
      <c r="DC262" s="330"/>
      <c r="DD262" s="330"/>
      <c r="DE262" s="330"/>
      <c r="DF262" s="338">
        <v>25029</v>
      </c>
      <c r="DG262" s="330" t="s">
        <v>341</v>
      </c>
      <c r="DH262" s="330"/>
      <c r="DI262" s="338">
        <v>71</v>
      </c>
      <c r="DJ262" s="330"/>
      <c r="DK262" s="330">
        <v>71</v>
      </c>
      <c r="DL262" s="330" t="s">
        <v>2223</v>
      </c>
      <c r="DM262" s="330"/>
      <c r="DN262" s="330"/>
      <c r="DO262" s="330"/>
      <c r="DP262" s="330"/>
      <c r="DQ262" s="338" t="s">
        <v>197</v>
      </c>
      <c r="DR262" s="330"/>
      <c r="DS262" s="330"/>
      <c r="DT262" s="330"/>
      <c r="DU262" s="338" t="s">
        <v>197</v>
      </c>
      <c r="DV262" s="330"/>
      <c r="DW262" s="330"/>
      <c r="DX262" s="330"/>
      <c r="DY262" s="338" t="s">
        <v>197</v>
      </c>
      <c r="DZ262" s="330"/>
      <c r="EA262" s="330"/>
      <c r="EB262" s="330"/>
      <c r="EC262" s="330" t="s">
        <v>197</v>
      </c>
      <c r="ED262" s="338" t="s">
        <v>197</v>
      </c>
      <c r="EE262" s="330">
        <v>1</v>
      </c>
      <c r="EF262" s="330">
        <v>3</v>
      </c>
      <c r="EG262" s="330"/>
      <c r="EH262" s="330"/>
      <c r="EI262" s="330"/>
      <c r="EJ262" s="330"/>
      <c r="EK262" s="330"/>
      <c r="EL262" s="330"/>
      <c r="EM262" s="330"/>
      <c r="EN262" s="330"/>
      <c r="EO262" s="330"/>
      <c r="EP262" s="330"/>
      <c r="EQ262" s="332" t="s">
        <v>198</v>
      </c>
      <c r="ER262" s="330"/>
      <c r="ES262" s="330"/>
      <c r="ET262" s="332" t="s">
        <v>87</v>
      </c>
      <c r="EU262" s="332" t="s">
        <v>87</v>
      </c>
      <c r="EV262" s="330"/>
      <c r="EW262" s="330"/>
      <c r="EX262" s="330" t="s">
        <v>200</v>
      </c>
      <c r="EY262" s="330"/>
      <c r="EZ262" s="330" t="s">
        <v>247</v>
      </c>
      <c r="FA262" s="330"/>
      <c r="FB262" s="330" t="s">
        <v>247</v>
      </c>
      <c r="FC262" s="330" t="s">
        <v>202</v>
      </c>
      <c r="FD262" s="332" t="s">
        <v>190</v>
      </c>
      <c r="FE262" s="330"/>
      <c r="FF262" s="330"/>
      <c r="FG262" s="330" t="s">
        <v>203</v>
      </c>
      <c r="FH262" s="330"/>
      <c r="FI262" s="330" t="s">
        <v>204</v>
      </c>
      <c r="FJ262" s="330"/>
      <c r="FK262" s="330" t="s">
        <v>795</v>
      </c>
      <c r="FL262" s="330" t="s">
        <v>742</v>
      </c>
      <c r="FM262" s="330" t="s">
        <v>202</v>
      </c>
      <c r="FN262" s="330" t="s">
        <v>2416</v>
      </c>
      <c r="FO262" s="330"/>
      <c r="FP262" s="330" t="s">
        <v>1958</v>
      </c>
      <c r="FQ262" s="330"/>
      <c r="FR262" s="330"/>
      <c r="FS262" s="330"/>
      <c r="FT262" s="330"/>
      <c r="FU262" s="330"/>
    </row>
    <row r="263" spans="1:177" ht="114.75" x14ac:dyDescent="0.25">
      <c r="A263" s="330">
        <v>262</v>
      </c>
      <c r="B263" s="331" t="s">
        <v>2417</v>
      </c>
      <c r="C263" s="330"/>
      <c r="D263" s="332" t="s">
        <v>1264</v>
      </c>
      <c r="E263" s="332" t="s">
        <v>1265</v>
      </c>
      <c r="F263" s="332" t="s">
        <v>795</v>
      </c>
      <c r="G263" s="330" t="s">
        <v>796</v>
      </c>
      <c r="H263" s="331" t="s">
        <v>731</v>
      </c>
      <c r="I263" s="330"/>
      <c r="J263" s="332" t="s">
        <v>2418</v>
      </c>
      <c r="K263" s="332" t="s">
        <v>2419</v>
      </c>
      <c r="L263" s="330"/>
      <c r="M263" s="332"/>
      <c r="N263" s="330"/>
      <c r="O263" s="333"/>
      <c r="P263" s="333"/>
      <c r="Q263" s="333" t="s">
        <v>184</v>
      </c>
      <c r="R263" s="333"/>
      <c r="S263" s="333">
        <v>1</v>
      </c>
      <c r="T263" s="333">
        <v>1</v>
      </c>
      <c r="U263" s="333"/>
      <c r="V263" s="333"/>
      <c r="W263" s="330"/>
      <c r="X263" s="330"/>
      <c r="Y263" s="332" t="s">
        <v>2420</v>
      </c>
      <c r="Z263" s="330" t="s">
        <v>187</v>
      </c>
      <c r="AA263" s="330" t="s">
        <v>2421</v>
      </c>
      <c r="AB263" s="330" t="s">
        <v>189</v>
      </c>
      <c r="AC263" s="330"/>
      <c r="AD263" s="330"/>
      <c r="AE263" s="330">
        <v>1</v>
      </c>
      <c r="AF263" s="330">
        <v>7</v>
      </c>
      <c r="AG263" s="332" t="s">
        <v>202</v>
      </c>
      <c r="AH263" s="332" t="s">
        <v>202</v>
      </c>
      <c r="AI263" s="330" t="s">
        <v>202</v>
      </c>
      <c r="AJ263" s="330"/>
      <c r="AK263" s="330"/>
      <c r="AL263" s="330" t="s">
        <v>742</v>
      </c>
      <c r="AM263" s="330" t="s">
        <v>202</v>
      </c>
      <c r="AN263" s="330" t="s">
        <v>742</v>
      </c>
      <c r="AO263" s="330"/>
      <c r="AP263" s="332"/>
      <c r="AQ263" s="330" t="s">
        <v>334</v>
      </c>
      <c r="AR263" s="330"/>
      <c r="AS263" s="330"/>
      <c r="AT263" s="330"/>
      <c r="AU263" s="332" t="s">
        <v>742</v>
      </c>
      <c r="AV263" s="334">
        <v>46112.617983634256</v>
      </c>
      <c r="AW263" s="330"/>
      <c r="AX263" s="335">
        <v>46136</v>
      </c>
      <c r="AY263" s="330"/>
      <c r="AZ263" s="330"/>
      <c r="BA263" s="330"/>
      <c r="BB263" s="330"/>
      <c r="BC263" s="336">
        <v>46157</v>
      </c>
      <c r="BD263" s="330"/>
      <c r="BE263" s="330"/>
      <c r="BF263" s="330"/>
      <c r="BG263" s="330"/>
      <c r="BH263" s="330" t="s">
        <v>220</v>
      </c>
      <c r="BI263" s="330"/>
      <c r="BJ263" s="336">
        <v>46126</v>
      </c>
      <c r="BK263" s="330"/>
      <c r="BL263" s="330"/>
      <c r="BM263" s="332"/>
      <c r="BN263" s="330"/>
      <c r="BO263" s="330"/>
      <c r="BP263" s="330"/>
      <c r="BQ263" s="330" t="s">
        <v>338</v>
      </c>
      <c r="BR263" s="330" t="s">
        <v>220</v>
      </c>
      <c r="BS263" s="330"/>
      <c r="BT263" s="330" t="s">
        <v>220</v>
      </c>
      <c r="BU263" s="330"/>
      <c r="BV263" s="330" t="s">
        <v>220</v>
      </c>
      <c r="BW263" s="330"/>
      <c r="BX263" s="332"/>
      <c r="BY263" s="330"/>
      <c r="BZ263" s="330"/>
      <c r="CA263" s="330"/>
      <c r="CB263" s="330"/>
      <c r="CC263" s="337" t="s">
        <v>935</v>
      </c>
      <c r="CD263" s="330"/>
      <c r="CE263" s="330" t="b">
        <v>1</v>
      </c>
      <c r="CF263" s="330"/>
      <c r="CG263" s="330"/>
      <c r="CH263" s="330"/>
      <c r="CI263" s="330" t="b">
        <v>1</v>
      </c>
      <c r="CJ263" s="330"/>
      <c r="CK263" s="330"/>
      <c r="CL263" s="330"/>
      <c r="CM263" s="330"/>
      <c r="CN263" s="330"/>
      <c r="CO263" s="330"/>
      <c r="CP263" s="330"/>
      <c r="CQ263" s="330"/>
      <c r="CR263" s="330"/>
      <c r="CS263" s="330"/>
      <c r="CT263" s="330"/>
      <c r="CU263" s="330"/>
      <c r="CV263" s="330"/>
      <c r="CW263" s="330"/>
      <c r="CX263" s="330"/>
      <c r="CY263" s="330"/>
      <c r="CZ263" s="330"/>
      <c r="DA263" s="330" t="b">
        <v>1</v>
      </c>
      <c r="DB263" s="330"/>
      <c r="DC263" s="330"/>
      <c r="DD263" s="330"/>
      <c r="DE263" s="330"/>
      <c r="DF263" s="338">
        <v>25029</v>
      </c>
      <c r="DG263" s="330" t="s">
        <v>341</v>
      </c>
      <c r="DH263" s="330"/>
      <c r="DI263" s="338">
        <v>72</v>
      </c>
      <c r="DJ263" s="330"/>
      <c r="DK263" s="330">
        <v>72</v>
      </c>
      <c r="DL263" s="330" t="s">
        <v>2223</v>
      </c>
      <c r="DM263" s="330"/>
      <c r="DN263" s="330"/>
      <c r="DO263" s="330"/>
      <c r="DP263" s="330"/>
      <c r="DQ263" s="338" t="s">
        <v>197</v>
      </c>
      <c r="DR263" s="330"/>
      <c r="DS263" s="330"/>
      <c r="DT263" s="330"/>
      <c r="DU263" s="338" t="s">
        <v>197</v>
      </c>
      <c r="DV263" s="330"/>
      <c r="DW263" s="330"/>
      <c r="DX263" s="330"/>
      <c r="DY263" s="338" t="s">
        <v>197</v>
      </c>
      <c r="DZ263" s="330"/>
      <c r="EA263" s="330"/>
      <c r="EB263" s="330"/>
      <c r="EC263" s="330" t="s">
        <v>197</v>
      </c>
      <c r="ED263" s="338" t="s">
        <v>197</v>
      </c>
      <c r="EE263" s="330">
        <v>2</v>
      </c>
      <c r="EF263" s="330">
        <v>10</v>
      </c>
      <c r="EG263" s="330"/>
      <c r="EH263" s="330"/>
      <c r="EI263" s="330"/>
      <c r="EJ263" s="330"/>
      <c r="EK263" s="330"/>
      <c r="EL263" s="330"/>
      <c r="EM263" s="330"/>
      <c r="EN263" s="330"/>
      <c r="EO263" s="330"/>
      <c r="EP263" s="330"/>
      <c r="EQ263" s="332"/>
      <c r="ER263" s="330"/>
      <c r="ES263" s="330"/>
      <c r="ET263" s="332" t="s">
        <v>86</v>
      </c>
      <c r="EU263" s="332" t="s">
        <v>86</v>
      </c>
      <c r="EV263" s="330"/>
      <c r="EW263" s="330"/>
      <c r="EX263" s="330" t="s">
        <v>200</v>
      </c>
      <c r="EY263" s="330"/>
      <c r="EZ263" s="330" t="s">
        <v>247</v>
      </c>
      <c r="FA263" s="330"/>
      <c r="FB263" s="330" t="s">
        <v>247</v>
      </c>
      <c r="FC263" s="330" t="s">
        <v>202</v>
      </c>
      <c r="FD263" s="332" t="s">
        <v>190</v>
      </c>
      <c r="FE263" s="330"/>
      <c r="FF263" s="330"/>
      <c r="FG263" s="330" t="s">
        <v>203</v>
      </c>
      <c r="FH263" s="330"/>
      <c r="FI263" s="330" t="s">
        <v>204</v>
      </c>
      <c r="FJ263" s="330"/>
      <c r="FK263" s="330" t="s">
        <v>795</v>
      </c>
      <c r="FL263" s="330" t="s">
        <v>742</v>
      </c>
      <c r="FM263" s="330" t="s">
        <v>202</v>
      </c>
      <c r="FN263" s="330" t="s">
        <v>2422</v>
      </c>
      <c r="FO263" s="330"/>
      <c r="FP263" s="330" t="s">
        <v>1958</v>
      </c>
      <c r="FQ263" s="330"/>
      <c r="FR263" s="330"/>
      <c r="FS263" s="330"/>
      <c r="FT263" s="330"/>
      <c r="FU263" s="330"/>
    </row>
    <row r="264" spans="1:177" ht="51" x14ac:dyDescent="0.25">
      <c r="A264" s="330">
        <v>263</v>
      </c>
      <c r="B264" s="331" t="s">
        <v>2423</v>
      </c>
      <c r="C264" s="330"/>
      <c r="D264" s="332" t="s">
        <v>2424</v>
      </c>
      <c r="E264" s="332" t="s">
        <v>2425</v>
      </c>
      <c r="F264" s="332" t="s">
        <v>1572</v>
      </c>
      <c r="G264" s="330" t="s">
        <v>1573</v>
      </c>
      <c r="H264" s="331">
        <v>400</v>
      </c>
      <c r="I264" s="330"/>
      <c r="J264" s="332"/>
      <c r="K264" s="332"/>
      <c r="L264" s="330"/>
      <c r="M264" s="332"/>
      <c r="N264" s="330"/>
      <c r="O264" s="333"/>
      <c r="P264" s="333"/>
      <c r="Q264" s="333">
        <v>155</v>
      </c>
      <c r="R264" s="333">
        <v>31</v>
      </c>
      <c r="S264" s="333"/>
      <c r="T264" s="333"/>
      <c r="U264" s="333"/>
      <c r="V264" s="333"/>
      <c r="W264" s="330"/>
      <c r="X264" s="330"/>
      <c r="Y264" s="332" t="s">
        <v>2426</v>
      </c>
      <c r="Z264" s="330" t="s">
        <v>215</v>
      </c>
      <c r="AA264" s="330" t="s">
        <v>2427</v>
      </c>
      <c r="AB264" s="330" t="s">
        <v>189</v>
      </c>
      <c r="AC264" s="330"/>
      <c r="AD264" s="330"/>
      <c r="AE264" s="330">
        <v>2</v>
      </c>
      <c r="AF264" s="330">
        <v>14</v>
      </c>
      <c r="AG264" s="332" t="s">
        <v>353</v>
      </c>
      <c r="AH264" s="332" t="s">
        <v>191</v>
      </c>
      <c r="AI264" s="330" t="s">
        <v>353</v>
      </c>
      <c r="AJ264" s="330" t="s">
        <v>353</v>
      </c>
      <c r="AK264" s="330"/>
      <c r="AL264" s="330" t="s">
        <v>353</v>
      </c>
      <c r="AM264" s="330" t="s">
        <v>191</v>
      </c>
      <c r="AN264" s="330" t="s">
        <v>353</v>
      </c>
      <c r="AO264" s="330"/>
      <c r="AP264" s="332" t="s">
        <v>259</v>
      </c>
      <c r="AQ264" s="330"/>
      <c r="AR264" s="330"/>
      <c r="AS264" s="330"/>
      <c r="AT264" s="330"/>
      <c r="AU264" s="332" t="s">
        <v>353</v>
      </c>
      <c r="AV264" s="334">
        <v>46112.660786296299</v>
      </c>
      <c r="AW264" s="330"/>
      <c r="AX264" s="335">
        <v>46147</v>
      </c>
      <c r="AY264" s="330"/>
      <c r="AZ264" s="330"/>
      <c r="BA264" s="330"/>
      <c r="BB264" s="330"/>
      <c r="BC264" s="336">
        <v>46168</v>
      </c>
      <c r="BD264" s="330"/>
      <c r="BE264" s="330"/>
      <c r="BF264" s="330"/>
      <c r="BG264" s="330"/>
      <c r="BH264" s="330" t="s">
        <v>193</v>
      </c>
      <c r="BI264" s="330">
        <v>34</v>
      </c>
      <c r="BJ264" s="330"/>
      <c r="BK264" s="330"/>
      <c r="BL264" s="330"/>
      <c r="BM264" s="332"/>
      <c r="BN264" s="330"/>
      <c r="BO264" s="330" t="s">
        <v>2428</v>
      </c>
      <c r="BP264" s="330" t="s">
        <v>193</v>
      </c>
      <c r="BQ264" s="330" t="s">
        <v>218</v>
      </c>
      <c r="BR264" s="330" t="s">
        <v>220</v>
      </c>
      <c r="BS264" s="330"/>
      <c r="BT264" s="330" t="s">
        <v>193</v>
      </c>
      <c r="BU264" s="330" t="s">
        <v>2429</v>
      </c>
      <c r="BV264" s="330" t="s">
        <v>220</v>
      </c>
      <c r="BW264" s="330"/>
      <c r="BX264" s="332"/>
      <c r="BY264" s="330"/>
      <c r="BZ264" s="330"/>
      <c r="CA264" s="330"/>
      <c r="CB264" s="330"/>
      <c r="CC264" s="337" t="s">
        <v>81</v>
      </c>
      <c r="CD264" s="330" t="b">
        <v>1</v>
      </c>
      <c r="CE264" s="330" t="b">
        <v>1</v>
      </c>
      <c r="CF264" s="330" t="b">
        <v>1</v>
      </c>
      <c r="CG264" s="330"/>
      <c r="CH264" s="330"/>
      <c r="CI264" s="330"/>
      <c r="CJ264" s="330"/>
      <c r="CK264" s="330"/>
      <c r="CL264" s="330"/>
      <c r="CM264" s="330"/>
      <c r="CN264" s="330" t="b">
        <v>1</v>
      </c>
      <c r="CO264" s="330"/>
      <c r="CP264" s="330"/>
      <c r="CQ264" s="330"/>
      <c r="CR264" s="330"/>
      <c r="CS264" s="330"/>
      <c r="CT264" s="330"/>
      <c r="CU264" s="330"/>
      <c r="CV264" s="330"/>
      <c r="CW264" s="330"/>
      <c r="CX264" s="330"/>
      <c r="CY264" s="330"/>
      <c r="CZ264" s="330"/>
      <c r="DA264" s="330"/>
      <c r="DB264" s="330" t="b">
        <v>1</v>
      </c>
      <c r="DC264" s="330" t="b">
        <v>1</v>
      </c>
      <c r="DD264" s="330"/>
      <c r="DE264" s="330"/>
      <c r="DF264" s="338">
        <v>25041</v>
      </c>
      <c r="DG264" s="330" t="s">
        <v>221</v>
      </c>
      <c r="DH264" s="330"/>
      <c r="DI264" s="338" t="s">
        <v>638</v>
      </c>
      <c r="DJ264" s="330"/>
      <c r="DK264" s="330">
        <v>2</v>
      </c>
      <c r="DL264" s="330" t="s">
        <v>2423</v>
      </c>
      <c r="DM264" s="330"/>
      <c r="DN264" s="330" t="b">
        <v>1</v>
      </c>
      <c r="DO264" s="336">
        <v>46121</v>
      </c>
      <c r="DP264" s="330"/>
      <c r="DQ264" s="338" t="s">
        <v>4109</v>
      </c>
      <c r="DR264" s="330"/>
      <c r="DS264" s="330"/>
      <c r="DT264" s="330"/>
      <c r="DU264" s="338" t="s">
        <v>197</v>
      </c>
      <c r="DV264" s="330"/>
      <c r="DW264" s="330"/>
      <c r="DX264" s="330"/>
      <c r="DY264" s="338" t="s">
        <v>197</v>
      </c>
      <c r="DZ264" s="330"/>
      <c r="EA264" s="330"/>
      <c r="EB264" s="330"/>
      <c r="EC264" s="330" t="s">
        <v>197</v>
      </c>
      <c r="ED264" s="338">
        <v>6</v>
      </c>
      <c r="EE264" s="330">
        <v>10</v>
      </c>
      <c r="EF264" s="330">
        <v>50</v>
      </c>
      <c r="EG264" s="330"/>
      <c r="EH264" s="330"/>
      <c r="EI264" s="330"/>
      <c r="EJ264" s="330"/>
      <c r="EK264" s="330"/>
      <c r="EL264" s="330"/>
      <c r="EM264" s="330"/>
      <c r="EN264" s="330"/>
      <c r="EO264" s="330"/>
      <c r="EP264" s="330"/>
      <c r="EQ264" s="332" t="s">
        <v>224</v>
      </c>
      <c r="ER264" s="330"/>
      <c r="ES264" s="330"/>
      <c r="ET264" s="332" t="s">
        <v>245</v>
      </c>
      <c r="EU264" s="332" t="s">
        <v>2431</v>
      </c>
      <c r="EV264" s="330"/>
      <c r="EW264" s="330"/>
      <c r="EX264" s="330" t="s">
        <v>200</v>
      </c>
      <c r="EY264" s="330"/>
      <c r="EZ264" s="330" t="s">
        <v>247</v>
      </c>
      <c r="FA264" s="330"/>
      <c r="FB264" s="330" t="s">
        <v>247</v>
      </c>
      <c r="FC264" s="330" t="s">
        <v>202</v>
      </c>
      <c r="FD264" s="332" t="s">
        <v>190</v>
      </c>
      <c r="FE264" s="330"/>
      <c r="FF264" s="330"/>
      <c r="FG264" s="330" t="s">
        <v>203</v>
      </c>
      <c r="FH264" s="330" t="s">
        <v>2432</v>
      </c>
      <c r="FI264" s="330" t="s">
        <v>204</v>
      </c>
      <c r="FJ264" s="330"/>
      <c r="FK264" s="330" t="s">
        <v>1572</v>
      </c>
      <c r="FL264" s="330" t="s">
        <v>353</v>
      </c>
      <c r="FM264" s="330" t="s">
        <v>191</v>
      </c>
      <c r="FN264" s="330" t="s">
        <v>2433</v>
      </c>
      <c r="FO264" s="330"/>
      <c r="FP264" s="330" t="s">
        <v>1983</v>
      </c>
      <c r="FQ264" s="330"/>
      <c r="FR264" s="330"/>
      <c r="FS264" s="330"/>
      <c r="FT264" s="330"/>
      <c r="FU264" s="330"/>
    </row>
    <row r="265" spans="1:177" ht="51" x14ac:dyDescent="0.25">
      <c r="A265" s="330">
        <v>264</v>
      </c>
      <c r="B265" s="331" t="s">
        <v>2434</v>
      </c>
      <c r="C265" s="330"/>
      <c r="D265" s="332" t="s">
        <v>1943</v>
      </c>
      <c r="E265" s="332" t="s">
        <v>1944</v>
      </c>
      <c r="F265" s="332" t="s">
        <v>180</v>
      </c>
      <c r="G265" s="330" t="s">
        <v>181</v>
      </c>
      <c r="H265" s="331">
        <v>400</v>
      </c>
      <c r="I265" s="330"/>
      <c r="J265" s="332"/>
      <c r="K265" s="332" t="s">
        <v>2435</v>
      </c>
      <c r="L265" s="330" t="s">
        <v>284</v>
      </c>
      <c r="M265" s="332" t="s">
        <v>751</v>
      </c>
      <c r="N265" s="330"/>
      <c r="O265" s="333"/>
      <c r="P265" s="333"/>
      <c r="Q265" s="333">
        <v>2058</v>
      </c>
      <c r="R265" s="333">
        <v>190</v>
      </c>
      <c r="S265" s="333"/>
      <c r="T265" s="333"/>
      <c r="U265" s="333"/>
      <c r="V265" s="333"/>
      <c r="W265" s="330"/>
      <c r="X265" s="330"/>
      <c r="Y265" s="332" t="s">
        <v>2257</v>
      </c>
      <c r="Z265" s="330" t="s">
        <v>215</v>
      </c>
      <c r="AA265" s="330" t="s">
        <v>2258</v>
      </c>
      <c r="AB265" s="330" t="s">
        <v>217</v>
      </c>
      <c r="AC265" s="330"/>
      <c r="AD265" s="330" t="s">
        <v>924</v>
      </c>
      <c r="AE265" s="330">
        <v>9</v>
      </c>
      <c r="AF265" s="330">
        <v>20</v>
      </c>
      <c r="AG265" s="332" t="s">
        <v>627</v>
      </c>
      <c r="AH265" s="332" t="s">
        <v>191</v>
      </c>
      <c r="AI265" s="330" t="s">
        <v>191</v>
      </c>
      <c r="AJ265" s="330" t="s">
        <v>191</v>
      </c>
      <c r="AK265" s="330" t="s">
        <v>627</v>
      </c>
      <c r="AL265" s="330"/>
      <c r="AM265" s="330" t="s">
        <v>191</v>
      </c>
      <c r="AN265" s="330"/>
      <c r="AO265" s="330"/>
      <c r="AP265" s="332" t="s">
        <v>259</v>
      </c>
      <c r="AQ265" s="330"/>
      <c r="AR265" s="330"/>
      <c r="AS265" s="330"/>
      <c r="AT265" s="330"/>
      <c r="AU265" s="332"/>
      <c r="AV265" s="334">
        <v>46113.367210671298</v>
      </c>
      <c r="AW265" s="330"/>
      <c r="AX265" s="335">
        <v>46155</v>
      </c>
      <c r="AY265" s="330"/>
      <c r="AZ265" s="330"/>
      <c r="BA265" s="330"/>
      <c r="BB265" s="330"/>
      <c r="BC265" s="336">
        <v>46176</v>
      </c>
      <c r="BD265" s="330"/>
      <c r="BE265" s="330"/>
      <c r="BF265" s="330"/>
      <c r="BG265" s="330"/>
      <c r="BH265" s="330" t="s">
        <v>193</v>
      </c>
      <c r="BI265" s="330">
        <v>531</v>
      </c>
      <c r="BJ265" s="330"/>
      <c r="BK265" s="330"/>
      <c r="BL265" s="330"/>
      <c r="BM265" s="332"/>
      <c r="BN265" s="330"/>
      <c r="BO265" s="330" t="s">
        <v>240</v>
      </c>
      <c r="BP265" s="330" t="s">
        <v>193</v>
      </c>
      <c r="BQ265" s="330" t="s">
        <v>218</v>
      </c>
      <c r="BR265" s="330" t="s">
        <v>193</v>
      </c>
      <c r="BS265" s="330" t="s">
        <v>2436</v>
      </c>
      <c r="BT265" s="330" t="s">
        <v>193</v>
      </c>
      <c r="BU265" s="330" t="s">
        <v>2437</v>
      </c>
      <c r="BV265" s="330" t="s">
        <v>220</v>
      </c>
      <c r="BW265" s="330"/>
      <c r="BX265" s="332"/>
      <c r="BY265" s="330"/>
      <c r="BZ265" s="330"/>
      <c r="CA265" s="330"/>
      <c r="CB265" s="330"/>
      <c r="CC265" s="337" t="s">
        <v>1955</v>
      </c>
      <c r="CD265" s="330" t="b">
        <v>1</v>
      </c>
      <c r="CE265" s="330" t="b">
        <v>1</v>
      </c>
      <c r="CF265" s="330" t="b">
        <v>1</v>
      </c>
      <c r="CG265" s="330"/>
      <c r="CH265" s="330"/>
      <c r="CI265" s="330"/>
      <c r="CJ265" s="330"/>
      <c r="CK265" s="330"/>
      <c r="CL265" s="330"/>
      <c r="CM265" s="330"/>
      <c r="CN265" s="330"/>
      <c r="CO265" s="330"/>
      <c r="CP265" s="330"/>
      <c r="CQ265" s="330"/>
      <c r="CR265" s="330"/>
      <c r="CS265" s="330"/>
      <c r="CT265" s="330"/>
      <c r="CU265" s="330"/>
      <c r="CV265" s="330"/>
      <c r="CW265" s="330"/>
      <c r="CX265" s="330"/>
      <c r="CY265" s="330"/>
      <c r="CZ265" s="330"/>
      <c r="DA265" s="330"/>
      <c r="DB265" s="330" t="b">
        <v>1</v>
      </c>
      <c r="DC265" s="330" t="b">
        <v>1</v>
      </c>
      <c r="DD265" s="330"/>
      <c r="DE265" s="330"/>
      <c r="DF265" s="338">
        <v>25006</v>
      </c>
      <c r="DG265" s="330" t="s">
        <v>221</v>
      </c>
      <c r="DH265" s="330"/>
      <c r="DI265" s="338" t="s">
        <v>1326</v>
      </c>
      <c r="DJ265" s="330"/>
      <c r="DK265" s="330">
        <v>7</v>
      </c>
      <c r="DL265" s="330" t="s">
        <v>1950</v>
      </c>
      <c r="DM265" s="330"/>
      <c r="DN265" s="330"/>
      <c r="DO265" s="330"/>
      <c r="DP265" s="330"/>
      <c r="DQ265" s="338" t="s">
        <v>197</v>
      </c>
      <c r="DR265" s="330"/>
      <c r="DS265" s="330"/>
      <c r="DT265" s="330"/>
      <c r="DU265" s="338" t="s">
        <v>197</v>
      </c>
      <c r="DV265" s="330"/>
      <c r="DW265" s="330"/>
      <c r="DX265" s="330"/>
      <c r="DY265" s="338" t="s">
        <v>197</v>
      </c>
      <c r="DZ265" s="330"/>
      <c r="EA265" s="330"/>
      <c r="EB265" s="330"/>
      <c r="EC265" s="330" t="s">
        <v>197</v>
      </c>
      <c r="ED265" s="338" t="s">
        <v>197</v>
      </c>
      <c r="EE265" s="330">
        <v>90</v>
      </c>
      <c r="EF265" s="330">
        <v>300</v>
      </c>
      <c r="EG265" s="330"/>
      <c r="EH265" s="330"/>
      <c r="EI265" s="330"/>
      <c r="EJ265" s="330"/>
      <c r="EK265" s="330"/>
      <c r="EL265" s="330"/>
      <c r="EM265" s="330"/>
      <c r="EN265" s="330"/>
      <c r="EO265" s="330"/>
      <c r="EP265" s="330"/>
      <c r="EQ265" s="332" t="s">
        <v>224</v>
      </c>
      <c r="ER265" s="330"/>
      <c r="ES265" s="330"/>
      <c r="ET265" s="332" t="s">
        <v>245</v>
      </c>
      <c r="EU265" s="332" t="s">
        <v>354</v>
      </c>
      <c r="EV265" s="330"/>
      <c r="EW265" s="330"/>
      <c r="EX265" s="330" t="s">
        <v>200</v>
      </c>
      <c r="EY265" s="330"/>
      <c r="EZ265" s="330" t="s">
        <v>247</v>
      </c>
      <c r="FA265" s="330"/>
      <c r="FB265" s="330" t="s">
        <v>247</v>
      </c>
      <c r="FC265" s="330" t="s">
        <v>202</v>
      </c>
      <c r="FD265" s="332" t="s">
        <v>190</v>
      </c>
      <c r="FE265" s="330"/>
      <c r="FF265" s="330"/>
      <c r="FG265" s="330" t="s">
        <v>203</v>
      </c>
      <c r="FH265" s="330"/>
      <c r="FI265" s="330" t="s">
        <v>204</v>
      </c>
      <c r="FJ265" s="330"/>
      <c r="FK265" s="330" t="s">
        <v>180</v>
      </c>
      <c r="FL265" s="330"/>
      <c r="FM265" s="330" t="s">
        <v>191</v>
      </c>
      <c r="FN265" s="330" t="s">
        <v>2438</v>
      </c>
      <c r="FO265" s="330"/>
      <c r="FP265" s="330" t="s">
        <v>2439</v>
      </c>
      <c r="FQ265" s="330"/>
      <c r="FR265" s="330"/>
      <c r="FS265" s="330"/>
      <c r="FT265" s="330"/>
      <c r="FU265" s="330"/>
    </row>
    <row r="266" spans="1:177" ht="51" x14ac:dyDescent="0.25">
      <c r="A266" s="330">
        <v>265</v>
      </c>
      <c r="B266" s="331" t="s">
        <v>2440</v>
      </c>
      <c r="C266" s="330"/>
      <c r="D266" s="332" t="s">
        <v>1943</v>
      </c>
      <c r="E266" s="332" t="s">
        <v>1944</v>
      </c>
      <c r="F266" s="332" t="s">
        <v>180</v>
      </c>
      <c r="G266" s="330" t="s">
        <v>181</v>
      </c>
      <c r="H266" s="331">
        <v>400</v>
      </c>
      <c r="I266" s="330"/>
      <c r="J266" s="332"/>
      <c r="K266" s="332" t="s">
        <v>2441</v>
      </c>
      <c r="L266" s="330" t="s">
        <v>284</v>
      </c>
      <c r="M266" s="332" t="s">
        <v>751</v>
      </c>
      <c r="N266" s="330"/>
      <c r="O266" s="333"/>
      <c r="P266" s="333"/>
      <c r="Q266" s="333">
        <v>2058</v>
      </c>
      <c r="R266" s="333">
        <v>83</v>
      </c>
      <c r="S266" s="333"/>
      <c r="T266" s="333"/>
      <c r="U266" s="333"/>
      <c r="V266" s="333"/>
      <c r="W266" s="330"/>
      <c r="X266" s="330"/>
      <c r="Y266" s="332" t="s">
        <v>2257</v>
      </c>
      <c r="Z266" s="330" t="s">
        <v>215</v>
      </c>
      <c r="AA266" s="330" t="s">
        <v>2258</v>
      </c>
      <c r="AB266" s="330" t="s">
        <v>217</v>
      </c>
      <c r="AC266" s="330"/>
      <c r="AD266" s="330" t="s">
        <v>924</v>
      </c>
      <c r="AE266" s="330">
        <v>10</v>
      </c>
      <c r="AF266" s="330">
        <v>27</v>
      </c>
      <c r="AG266" s="332" t="s">
        <v>627</v>
      </c>
      <c r="AH266" s="332" t="s">
        <v>191</v>
      </c>
      <c r="AI266" s="330" t="s">
        <v>191</v>
      </c>
      <c r="AJ266" s="330" t="s">
        <v>191</v>
      </c>
      <c r="AK266" s="330" t="s">
        <v>627</v>
      </c>
      <c r="AL266" s="330"/>
      <c r="AM266" s="330" t="s">
        <v>191</v>
      </c>
      <c r="AN266" s="330"/>
      <c r="AO266" s="330"/>
      <c r="AP266" s="332" t="s">
        <v>259</v>
      </c>
      <c r="AQ266" s="330"/>
      <c r="AR266" s="330"/>
      <c r="AS266" s="330"/>
      <c r="AT266" s="330"/>
      <c r="AU266" s="332"/>
      <c r="AV266" s="334">
        <v>46113.368783391204</v>
      </c>
      <c r="AW266" s="330"/>
      <c r="AX266" s="335">
        <v>46164</v>
      </c>
      <c r="AY266" s="330"/>
      <c r="AZ266" s="330"/>
      <c r="BA266" s="330"/>
      <c r="BB266" s="330"/>
      <c r="BC266" s="336">
        <v>46185</v>
      </c>
      <c r="BD266" s="330"/>
      <c r="BE266" s="330"/>
      <c r="BF266" s="330"/>
      <c r="BG266" s="330"/>
      <c r="BH266" s="330" t="s">
        <v>193</v>
      </c>
      <c r="BI266" s="330">
        <v>531</v>
      </c>
      <c r="BJ266" s="330"/>
      <c r="BK266" s="330"/>
      <c r="BL266" s="330"/>
      <c r="BM266" s="332"/>
      <c r="BN266" s="330"/>
      <c r="BO266" s="330" t="s">
        <v>240</v>
      </c>
      <c r="BP266" s="330" t="s">
        <v>193</v>
      </c>
      <c r="BQ266" s="330" t="s">
        <v>218</v>
      </c>
      <c r="BR266" s="330" t="s">
        <v>193</v>
      </c>
      <c r="BS266" s="330" t="s">
        <v>2436</v>
      </c>
      <c r="BT266" s="330" t="s">
        <v>193</v>
      </c>
      <c r="BU266" s="330" t="s">
        <v>2437</v>
      </c>
      <c r="BV266" s="330" t="s">
        <v>220</v>
      </c>
      <c r="BW266" s="330"/>
      <c r="BX266" s="332"/>
      <c r="BY266" s="330"/>
      <c r="BZ266" s="330"/>
      <c r="CA266" s="330"/>
      <c r="CB266" s="330"/>
      <c r="CC266" s="337" t="s">
        <v>1955</v>
      </c>
      <c r="CD266" s="330" t="b">
        <v>1</v>
      </c>
      <c r="CE266" s="330" t="b">
        <v>1</v>
      </c>
      <c r="CF266" s="330" t="b">
        <v>1</v>
      </c>
      <c r="CG266" s="330"/>
      <c r="CH266" s="330"/>
      <c r="CI266" s="330"/>
      <c r="CJ266" s="330"/>
      <c r="CK266" s="330"/>
      <c r="CL266" s="330"/>
      <c r="CM266" s="330"/>
      <c r="CN266" s="330"/>
      <c r="CO266" s="330"/>
      <c r="CP266" s="330"/>
      <c r="CQ266" s="330"/>
      <c r="CR266" s="330"/>
      <c r="CS266" s="330"/>
      <c r="CT266" s="330"/>
      <c r="CU266" s="330"/>
      <c r="CV266" s="330"/>
      <c r="CW266" s="330"/>
      <c r="CX266" s="330"/>
      <c r="CY266" s="330"/>
      <c r="CZ266" s="330"/>
      <c r="DA266" s="330"/>
      <c r="DB266" s="330" t="b">
        <v>1</v>
      </c>
      <c r="DC266" s="330" t="b">
        <v>1</v>
      </c>
      <c r="DD266" s="330"/>
      <c r="DE266" s="330"/>
      <c r="DF266" s="338">
        <v>25006</v>
      </c>
      <c r="DG266" s="330" t="s">
        <v>221</v>
      </c>
      <c r="DH266" s="330"/>
      <c r="DI266" s="338" t="s">
        <v>1366</v>
      </c>
      <c r="DJ266" s="330"/>
      <c r="DK266" s="330">
        <v>8</v>
      </c>
      <c r="DL266" s="330" t="s">
        <v>1950</v>
      </c>
      <c r="DM266" s="330"/>
      <c r="DN266" s="330"/>
      <c r="DO266" s="330"/>
      <c r="DP266" s="330"/>
      <c r="DQ266" s="338" t="s">
        <v>197</v>
      </c>
      <c r="DR266" s="330"/>
      <c r="DS266" s="330"/>
      <c r="DT266" s="330"/>
      <c r="DU266" s="338" t="s">
        <v>197</v>
      </c>
      <c r="DV266" s="330"/>
      <c r="DW266" s="330"/>
      <c r="DX266" s="330"/>
      <c r="DY266" s="338" t="s">
        <v>197</v>
      </c>
      <c r="DZ266" s="330"/>
      <c r="EA266" s="330"/>
      <c r="EB266" s="330"/>
      <c r="EC266" s="330" t="s">
        <v>197</v>
      </c>
      <c r="ED266" s="338" t="s">
        <v>197</v>
      </c>
      <c r="EE266" s="330">
        <v>40</v>
      </c>
      <c r="EF266" s="330">
        <v>140</v>
      </c>
      <c r="EG266" s="330"/>
      <c r="EH266" s="330"/>
      <c r="EI266" s="330"/>
      <c r="EJ266" s="330"/>
      <c r="EK266" s="330"/>
      <c r="EL266" s="330"/>
      <c r="EM266" s="330"/>
      <c r="EN266" s="330"/>
      <c r="EO266" s="330"/>
      <c r="EP266" s="330"/>
      <c r="EQ266" s="332" t="s">
        <v>224</v>
      </c>
      <c r="ER266" s="330"/>
      <c r="ES266" s="330"/>
      <c r="ET266" s="332" t="s">
        <v>245</v>
      </c>
      <c r="EU266" s="332" t="s">
        <v>354</v>
      </c>
      <c r="EV266" s="330"/>
      <c r="EW266" s="330"/>
      <c r="EX266" s="330" t="s">
        <v>200</v>
      </c>
      <c r="EY266" s="330"/>
      <c r="EZ266" s="330" t="s">
        <v>247</v>
      </c>
      <c r="FA266" s="330"/>
      <c r="FB266" s="330" t="s">
        <v>247</v>
      </c>
      <c r="FC266" s="330" t="s">
        <v>202</v>
      </c>
      <c r="FD266" s="332" t="s">
        <v>190</v>
      </c>
      <c r="FE266" s="330"/>
      <c r="FF266" s="330"/>
      <c r="FG266" s="330" t="s">
        <v>203</v>
      </c>
      <c r="FH266" s="330"/>
      <c r="FI266" s="330" t="s">
        <v>204</v>
      </c>
      <c r="FJ266" s="330"/>
      <c r="FK266" s="330" t="s">
        <v>180</v>
      </c>
      <c r="FL266" s="330"/>
      <c r="FM266" s="330" t="s">
        <v>191</v>
      </c>
      <c r="FN266" s="330" t="s">
        <v>2442</v>
      </c>
      <c r="FO266" s="330"/>
      <c r="FP266" s="330" t="s">
        <v>2253</v>
      </c>
      <c r="FQ266" s="330"/>
      <c r="FR266" s="330"/>
      <c r="FS266" s="330"/>
      <c r="FT266" s="330"/>
      <c r="FU266" s="330"/>
    </row>
    <row r="267" spans="1:177" ht="25.5" x14ac:dyDescent="0.25">
      <c r="A267" s="330">
        <v>266</v>
      </c>
      <c r="B267" s="331" t="s">
        <v>2443</v>
      </c>
      <c r="C267" s="330"/>
      <c r="D267" s="332" t="s">
        <v>2444</v>
      </c>
      <c r="E267" s="332" t="s">
        <v>2445</v>
      </c>
      <c r="F267" s="332" t="s">
        <v>1572</v>
      </c>
      <c r="G267" s="330" t="s">
        <v>1573</v>
      </c>
      <c r="H267" s="331">
        <v>400</v>
      </c>
      <c r="I267" s="330"/>
      <c r="J267" s="332"/>
      <c r="K267" s="332"/>
      <c r="L267" s="330"/>
      <c r="M267" s="332" t="s">
        <v>2446</v>
      </c>
      <c r="N267" s="330" t="s">
        <v>2447</v>
      </c>
      <c r="O267" s="339">
        <v>4.8109965635738799E-2</v>
      </c>
      <c r="P267" s="333">
        <v>28</v>
      </c>
      <c r="Q267" s="333">
        <v>582</v>
      </c>
      <c r="R267" s="333">
        <v>8</v>
      </c>
      <c r="S267" s="333">
        <v>8</v>
      </c>
      <c r="T267" s="333">
        <v>1</v>
      </c>
      <c r="U267" s="333">
        <v>0</v>
      </c>
      <c r="V267" s="333">
        <v>0</v>
      </c>
      <c r="W267" s="330" t="s">
        <v>722</v>
      </c>
      <c r="X267" s="330" t="s">
        <v>2448</v>
      </c>
      <c r="Y267" s="332" t="s">
        <v>2449</v>
      </c>
      <c r="Z267" s="330" t="s">
        <v>215</v>
      </c>
      <c r="AA267" s="330" t="s">
        <v>2450</v>
      </c>
      <c r="AB267" s="330" t="s">
        <v>189</v>
      </c>
      <c r="AC267" s="330"/>
      <c r="AD267" s="330"/>
      <c r="AE267" s="330">
        <v>5</v>
      </c>
      <c r="AF267" s="330">
        <v>9</v>
      </c>
      <c r="AG267" s="332" t="s">
        <v>315</v>
      </c>
      <c r="AH267" s="332" t="s">
        <v>191</v>
      </c>
      <c r="AI267" s="330"/>
      <c r="AJ267" s="330"/>
      <c r="AK267" s="330"/>
      <c r="AL267" s="330" t="s">
        <v>353</v>
      </c>
      <c r="AM267" s="330" t="s">
        <v>471</v>
      </c>
      <c r="AN267" s="330" t="s">
        <v>353</v>
      </c>
      <c r="AO267" s="330"/>
      <c r="AP267" s="332" t="s">
        <v>259</v>
      </c>
      <c r="AQ267" s="330"/>
      <c r="AR267" s="330"/>
      <c r="AS267" s="330" t="b">
        <v>1</v>
      </c>
      <c r="AT267" s="330"/>
      <c r="AU267" s="332" t="s">
        <v>353</v>
      </c>
      <c r="AV267" s="334">
        <v>46113.51101199074</v>
      </c>
      <c r="AW267" s="330" t="b">
        <v>1</v>
      </c>
      <c r="AX267" s="335">
        <v>46134</v>
      </c>
      <c r="AY267" s="336">
        <v>46122</v>
      </c>
      <c r="AZ267" s="330" t="b">
        <v>1</v>
      </c>
      <c r="BA267" s="336">
        <v>46140</v>
      </c>
      <c r="BB267" s="330"/>
      <c r="BC267" s="336">
        <v>46126</v>
      </c>
      <c r="BD267" s="330"/>
      <c r="BE267" s="330"/>
      <c r="BF267" s="330"/>
      <c r="BG267" s="330"/>
      <c r="BH267" s="330" t="s">
        <v>193</v>
      </c>
      <c r="BI267" s="330"/>
      <c r="BJ267" s="330"/>
      <c r="BK267" s="330"/>
      <c r="BL267" s="330"/>
      <c r="BM267" s="332"/>
      <c r="BN267" s="330"/>
      <c r="BO267" s="330" t="s">
        <v>184</v>
      </c>
      <c r="BP267" s="330" t="s">
        <v>184</v>
      </c>
      <c r="BQ267" s="330" t="s">
        <v>801</v>
      </c>
      <c r="BR267" s="330" t="s">
        <v>220</v>
      </c>
      <c r="BS267" s="330"/>
      <c r="BT267" s="330" t="s">
        <v>193</v>
      </c>
      <c r="BU267" s="330" t="s">
        <v>2451</v>
      </c>
      <c r="BV267" s="330" t="s">
        <v>220</v>
      </c>
      <c r="BW267" s="330"/>
      <c r="BX267" s="332"/>
      <c r="BY267" s="330"/>
      <c r="BZ267" s="330"/>
      <c r="CA267" s="330"/>
      <c r="CB267" s="330"/>
      <c r="CC267" s="337" t="s">
        <v>319</v>
      </c>
      <c r="CD267" s="330"/>
      <c r="CE267" s="330" t="b">
        <v>1</v>
      </c>
      <c r="CF267" s="330" t="b">
        <v>1</v>
      </c>
      <c r="CG267" s="330"/>
      <c r="CH267" s="330"/>
      <c r="CI267" s="330"/>
      <c r="CJ267" s="330"/>
      <c r="CK267" s="330"/>
      <c r="CL267" s="330"/>
      <c r="CM267" s="330"/>
      <c r="CN267" s="330"/>
      <c r="CO267" s="330"/>
      <c r="CP267" s="330"/>
      <c r="CQ267" s="330"/>
      <c r="CR267" s="330"/>
      <c r="CS267" s="330"/>
      <c r="CT267" s="330"/>
      <c r="CU267" s="330"/>
      <c r="CV267" s="330"/>
      <c r="CW267" s="330"/>
      <c r="CX267" s="330"/>
      <c r="CY267" s="330"/>
      <c r="CZ267" s="330"/>
      <c r="DA267" s="330"/>
      <c r="DB267" s="330" t="b">
        <v>1</v>
      </c>
      <c r="DC267" s="330"/>
      <c r="DD267" s="330"/>
      <c r="DE267" s="330"/>
      <c r="DF267" s="338">
        <v>25012</v>
      </c>
      <c r="DG267" s="330" t="s">
        <v>821</v>
      </c>
      <c r="DH267" s="330"/>
      <c r="DI267" s="338" t="s">
        <v>1326</v>
      </c>
      <c r="DJ267" s="330"/>
      <c r="DK267" s="330">
        <v>7</v>
      </c>
      <c r="DL267" s="330" t="s">
        <v>2443</v>
      </c>
      <c r="DM267" s="330"/>
      <c r="DN267" s="330"/>
      <c r="DO267" s="336">
        <v>46119</v>
      </c>
      <c r="DP267" s="336">
        <v>46119</v>
      </c>
      <c r="DQ267" s="338">
        <v>1</v>
      </c>
      <c r="DR267" s="330"/>
      <c r="DS267" s="330"/>
      <c r="DT267" s="330"/>
      <c r="DU267" s="338" t="s">
        <v>197</v>
      </c>
      <c r="DV267" s="330"/>
      <c r="DW267" s="330"/>
      <c r="DX267" s="330"/>
      <c r="DY267" s="338" t="s">
        <v>197</v>
      </c>
      <c r="DZ267" s="330"/>
      <c r="EA267" s="330"/>
      <c r="EB267" s="330"/>
      <c r="EC267" s="330" t="s">
        <v>197</v>
      </c>
      <c r="ED267" s="338">
        <v>1</v>
      </c>
      <c r="EE267" s="330">
        <v>1</v>
      </c>
      <c r="EF267" s="330">
        <v>2</v>
      </c>
      <c r="EG267" s="330"/>
      <c r="EH267" s="330"/>
      <c r="EI267" s="330"/>
      <c r="EJ267" s="330"/>
      <c r="EK267" s="330"/>
      <c r="EL267" s="330"/>
      <c r="EM267" s="330"/>
      <c r="EN267" s="330"/>
      <c r="EO267" s="330"/>
      <c r="EP267" s="330"/>
      <c r="EQ267" s="332" t="s">
        <v>244</v>
      </c>
      <c r="ER267" s="330"/>
      <c r="ES267" s="330"/>
      <c r="ET267" s="332" t="s">
        <v>245</v>
      </c>
      <c r="EU267" s="332" t="s">
        <v>1542</v>
      </c>
      <c r="EV267" s="336">
        <v>46121</v>
      </c>
      <c r="EW267" s="336">
        <v>46122</v>
      </c>
      <c r="EX267" s="330">
        <v>2</v>
      </c>
      <c r="EY267" s="330"/>
      <c r="EZ267" s="330" t="s">
        <v>247</v>
      </c>
      <c r="FA267" s="330"/>
      <c r="FB267" s="330" t="s">
        <v>247</v>
      </c>
      <c r="FC267" s="330" t="s">
        <v>202</v>
      </c>
      <c r="FD267" s="332" t="s">
        <v>190</v>
      </c>
      <c r="FE267" s="330"/>
      <c r="FF267" s="330"/>
      <c r="FG267" s="330" t="s">
        <v>203</v>
      </c>
      <c r="FH267" s="330" t="s">
        <v>2452</v>
      </c>
      <c r="FI267" s="330" t="s">
        <v>204</v>
      </c>
      <c r="FJ267" s="330"/>
      <c r="FK267" s="330" t="s">
        <v>1572</v>
      </c>
      <c r="FL267" s="330" t="s">
        <v>353</v>
      </c>
      <c r="FM267" s="330" t="s">
        <v>471</v>
      </c>
      <c r="FN267" s="330" t="s">
        <v>2453</v>
      </c>
      <c r="FO267" s="330"/>
      <c r="FP267" s="330" t="s">
        <v>639</v>
      </c>
      <c r="FQ267" s="330"/>
      <c r="FR267" s="330"/>
      <c r="FS267" s="330"/>
      <c r="FT267" s="330"/>
      <c r="FU267" s="330"/>
    </row>
    <row r="268" spans="1:177" ht="293.25" x14ac:dyDescent="0.25">
      <c r="A268" s="330">
        <v>267</v>
      </c>
      <c r="B268" s="331" t="s">
        <v>2454</v>
      </c>
      <c r="C268" s="330"/>
      <c r="D268" s="332" t="s">
        <v>1739</v>
      </c>
      <c r="E268" s="332" t="s">
        <v>1740</v>
      </c>
      <c r="F268" s="332" t="s">
        <v>1741</v>
      </c>
      <c r="G268" s="330"/>
      <c r="H268" s="331" t="s">
        <v>328</v>
      </c>
      <c r="I268" s="330" t="b">
        <v>1</v>
      </c>
      <c r="J268" s="332" t="s">
        <v>2455</v>
      </c>
      <c r="K268" s="332"/>
      <c r="L268" s="330" t="s">
        <v>1743</v>
      </c>
      <c r="M268" s="332" t="s">
        <v>1744</v>
      </c>
      <c r="N268" s="330" t="s">
        <v>1745</v>
      </c>
      <c r="O268" s="333" t="s">
        <v>184</v>
      </c>
      <c r="P268" s="333" t="s">
        <v>184</v>
      </c>
      <c r="Q268" s="333" t="s">
        <v>184</v>
      </c>
      <c r="R268" s="333">
        <v>0</v>
      </c>
      <c r="S268" s="333">
        <v>185</v>
      </c>
      <c r="T268" s="333">
        <v>0</v>
      </c>
      <c r="U268" s="333">
        <v>6095</v>
      </c>
      <c r="V268" s="333">
        <v>0</v>
      </c>
      <c r="W268" s="330" t="s">
        <v>184</v>
      </c>
      <c r="X268" s="330" t="s">
        <v>184</v>
      </c>
      <c r="Y268" s="332" t="s">
        <v>1746</v>
      </c>
      <c r="Z268" s="330" t="s">
        <v>787</v>
      </c>
      <c r="AA268" s="330" t="s">
        <v>1747</v>
      </c>
      <c r="AB268" s="330"/>
      <c r="AC268" s="330"/>
      <c r="AD268" s="330"/>
      <c r="AE268" s="330">
        <v>1</v>
      </c>
      <c r="AF268" s="330">
        <v>-7</v>
      </c>
      <c r="AG268" s="332" t="s">
        <v>2456</v>
      </c>
      <c r="AH268" s="332" t="s">
        <v>202</v>
      </c>
      <c r="AI268" s="330"/>
      <c r="AJ268" s="330"/>
      <c r="AK268" s="330"/>
      <c r="AL268" s="330"/>
      <c r="AM268" s="330"/>
      <c r="AN268" s="330" t="s">
        <v>202</v>
      </c>
      <c r="AO268" s="330"/>
      <c r="AP268" s="332"/>
      <c r="AQ268" s="330"/>
      <c r="AR268" s="330"/>
      <c r="AS268" s="330"/>
      <c r="AT268" s="330"/>
      <c r="AU268" s="332" t="s">
        <v>741</v>
      </c>
      <c r="AV268" s="334">
        <v>46113.59800583333</v>
      </c>
      <c r="AW268" s="330" t="b">
        <v>1</v>
      </c>
      <c r="AX268" s="335">
        <v>46113</v>
      </c>
      <c r="AY268" s="336">
        <v>46113</v>
      </c>
      <c r="AZ268" s="330" t="b">
        <v>1</v>
      </c>
      <c r="BA268" s="336">
        <v>46120</v>
      </c>
      <c r="BB268" s="330"/>
      <c r="BC268" s="336">
        <v>46122</v>
      </c>
      <c r="BD268" s="330"/>
      <c r="BE268" s="330"/>
      <c r="BF268" s="330"/>
      <c r="BG268" s="330"/>
      <c r="BH268" s="330" t="s">
        <v>193</v>
      </c>
      <c r="BI268" s="330"/>
      <c r="BJ268" s="330"/>
      <c r="BK268" s="330"/>
      <c r="BL268" s="330"/>
      <c r="BM268" s="332"/>
      <c r="BN268" s="330"/>
      <c r="BO268" s="330"/>
      <c r="BP268" s="330"/>
      <c r="BQ268" s="330"/>
      <c r="BR268" s="330"/>
      <c r="BS268" s="330"/>
      <c r="BT268" s="330"/>
      <c r="BU268" s="330"/>
      <c r="BV268" s="330"/>
      <c r="BW268" s="330"/>
      <c r="BX268" s="332"/>
      <c r="BY268" s="330"/>
      <c r="BZ268" s="330"/>
      <c r="CA268" s="330"/>
      <c r="CB268" s="330"/>
      <c r="CC268" s="337" t="s">
        <v>107</v>
      </c>
      <c r="CD268" s="330"/>
      <c r="CE268" s="330"/>
      <c r="CF268" s="330"/>
      <c r="CG268" s="330"/>
      <c r="CH268" s="330"/>
      <c r="CI268" s="330"/>
      <c r="CJ268" s="330"/>
      <c r="CK268" s="330"/>
      <c r="CL268" s="330"/>
      <c r="CM268" s="330"/>
      <c r="CN268" s="330"/>
      <c r="CO268" s="330"/>
      <c r="CP268" s="330"/>
      <c r="CQ268" s="330"/>
      <c r="CR268" s="330"/>
      <c r="CS268" s="330" t="b">
        <v>1</v>
      </c>
      <c r="CT268" s="330"/>
      <c r="CU268" s="330"/>
      <c r="CV268" s="330"/>
      <c r="CW268" s="330"/>
      <c r="CX268" s="330"/>
      <c r="CY268" s="330"/>
      <c r="CZ268" s="330"/>
      <c r="DA268" s="330"/>
      <c r="DB268" s="330"/>
      <c r="DC268" s="330"/>
      <c r="DD268" s="330" t="b">
        <v>1</v>
      </c>
      <c r="DE268" s="330">
        <v>15000</v>
      </c>
      <c r="DF268" s="338" t="s">
        <v>1748</v>
      </c>
      <c r="DG268" s="330" t="s">
        <v>341</v>
      </c>
      <c r="DH268" s="330"/>
      <c r="DI268" s="338" t="s">
        <v>1375</v>
      </c>
      <c r="DJ268" s="330"/>
      <c r="DK268" s="330">
        <v>9</v>
      </c>
      <c r="DL268" s="330" t="s">
        <v>1749</v>
      </c>
      <c r="DM268" s="336">
        <v>46113</v>
      </c>
      <c r="DN268" s="330"/>
      <c r="DO268" s="330"/>
      <c r="DP268" s="330"/>
      <c r="DQ268" s="338" t="s">
        <v>197</v>
      </c>
      <c r="DR268" s="330"/>
      <c r="DS268" s="330"/>
      <c r="DT268" s="330"/>
      <c r="DU268" s="338" t="s">
        <v>197</v>
      </c>
      <c r="DV268" s="330"/>
      <c r="DW268" s="330"/>
      <c r="DX268" s="330"/>
      <c r="DY268" s="338" t="s">
        <v>197</v>
      </c>
      <c r="DZ268" s="330"/>
      <c r="EA268" s="330"/>
      <c r="EB268" s="330"/>
      <c r="EC268" s="330" t="s">
        <v>197</v>
      </c>
      <c r="ED268" s="338" t="s">
        <v>197</v>
      </c>
      <c r="EE268" s="330"/>
      <c r="EF268" s="330"/>
      <c r="EG268" s="330"/>
      <c r="EH268" s="330"/>
      <c r="EI268" s="330"/>
      <c r="EJ268" s="330"/>
      <c r="EK268" s="330"/>
      <c r="EL268" s="330"/>
      <c r="EM268" s="330"/>
      <c r="EN268" s="330"/>
      <c r="EO268" s="330"/>
      <c r="EP268" s="330"/>
      <c r="EQ268" s="332" t="s">
        <v>224</v>
      </c>
      <c r="ER268" s="330"/>
      <c r="ES268" s="330"/>
      <c r="ET268" s="332"/>
      <c r="EU268" s="332" t="s">
        <v>1750</v>
      </c>
      <c r="EV268" s="330"/>
      <c r="EW268" s="330"/>
      <c r="EX268" s="330" t="s">
        <v>200</v>
      </c>
      <c r="EY268" s="330"/>
      <c r="EZ268" s="330" t="s">
        <v>247</v>
      </c>
      <c r="FA268" s="330"/>
      <c r="FB268" s="330" t="s">
        <v>247</v>
      </c>
      <c r="FC268" s="330" t="s">
        <v>202</v>
      </c>
      <c r="FD268" s="332" t="s">
        <v>190</v>
      </c>
      <c r="FE268" s="330"/>
      <c r="FF268" s="330"/>
      <c r="FG268" s="330" t="s">
        <v>203</v>
      </c>
      <c r="FH268" s="330"/>
      <c r="FI268" s="330" t="s">
        <v>1752</v>
      </c>
      <c r="FJ268" s="330"/>
      <c r="FK268" s="330" t="s">
        <v>1741</v>
      </c>
      <c r="FL268" s="330"/>
      <c r="FM268" s="330"/>
      <c r="FN268" s="330" t="s">
        <v>2457</v>
      </c>
      <c r="FO268" s="330"/>
      <c r="FP268" s="330" t="s">
        <v>1794</v>
      </c>
      <c r="FQ268" s="330"/>
      <c r="FR268" s="330"/>
      <c r="FS268" s="330"/>
      <c r="FT268" s="330"/>
      <c r="FU268" s="330"/>
    </row>
    <row r="269" spans="1:177" ht="229.5" x14ac:dyDescent="0.25">
      <c r="A269" s="330">
        <v>268</v>
      </c>
      <c r="B269" s="331" t="s">
        <v>2458</v>
      </c>
      <c r="C269" s="330"/>
      <c r="D269" s="332" t="s">
        <v>2459</v>
      </c>
      <c r="E269" s="332" t="s">
        <v>2460</v>
      </c>
      <c r="F269" s="332" t="s">
        <v>610</v>
      </c>
      <c r="G269" s="330" t="s">
        <v>611</v>
      </c>
      <c r="H269" s="331" t="s">
        <v>731</v>
      </c>
      <c r="I269" s="330"/>
      <c r="J269" s="332"/>
      <c r="K269" s="332" t="s">
        <v>2461</v>
      </c>
      <c r="L269" s="330" t="s">
        <v>1647</v>
      </c>
      <c r="M269" s="332"/>
      <c r="N269" s="330" t="s">
        <v>2462</v>
      </c>
      <c r="O269" s="333" t="s">
        <v>184</v>
      </c>
      <c r="P269" s="333" t="s">
        <v>184</v>
      </c>
      <c r="Q269" s="333" t="s">
        <v>184</v>
      </c>
      <c r="R269" s="333">
        <v>0</v>
      </c>
      <c r="S269" s="333">
        <v>4</v>
      </c>
      <c r="T269" s="333">
        <v>2</v>
      </c>
      <c r="U269" s="333">
        <v>0</v>
      </c>
      <c r="V269" s="333">
        <v>0</v>
      </c>
      <c r="W269" s="330">
        <v>1</v>
      </c>
      <c r="X269" s="330" t="s">
        <v>2463</v>
      </c>
      <c r="Y269" s="332" t="s">
        <v>2464</v>
      </c>
      <c r="Z269" s="330" t="s">
        <v>187</v>
      </c>
      <c r="AA269" s="330" t="s">
        <v>2465</v>
      </c>
      <c r="AB269" s="330" t="s">
        <v>189</v>
      </c>
      <c r="AC269" s="330"/>
      <c r="AD269" s="330"/>
      <c r="AE269" s="330">
        <v>6</v>
      </c>
      <c r="AF269" s="330">
        <v>3</v>
      </c>
      <c r="AG269" s="332" t="s">
        <v>1664</v>
      </c>
      <c r="AH269" s="332" t="s">
        <v>202</v>
      </c>
      <c r="AI269" s="330" t="s">
        <v>202</v>
      </c>
      <c r="AJ269" s="330"/>
      <c r="AK269" s="330"/>
      <c r="AL269" s="330" t="s">
        <v>741</v>
      </c>
      <c r="AM269" s="330" t="s">
        <v>202</v>
      </c>
      <c r="AN269" s="330" t="s">
        <v>741</v>
      </c>
      <c r="AO269" s="330"/>
      <c r="AP269" s="332"/>
      <c r="AQ269" s="330" t="s">
        <v>334</v>
      </c>
      <c r="AR269" s="330"/>
      <c r="AS269" s="330" t="b">
        <v>1</v>
      </c>
      <c r="AT269" s="330"/>
      <c r="AU269" s="332" t="s">
        <v>741</v>
      </c>
      <c r="AV269" s="334">
        <v>46114.342279143515</v>
      </c>
      <c r="AW269" s="330" t="b">
        <v>1</v>
      </c>
      <c r="AX269" s="335">
        <v>46135</v>
      </c>
      <c r="AY269" s="336">
        <v>46114</v>
      </c>
      <c r="AZ269" s="330" t="b">
        <v>1</v>
      </c>
      <c r="BA269" s="336">
        <v>46132</v>
      </c>
      <c r="BB269" s="336">
        <v>46118</v>
      </c>
      <c r="BC269" s="336">
        <v>46125</v>
      </c>
      <c r="BD269" s="330"/>
      <c r="BE269" s="330"/>
      <c r="BF269" s="330"/>
      <c r="BG269" s="330"/>
      <c r="BH269" s="330" t="s">
        <v>220</v>
      </c>
      <c r="BI269" s="330"/>
      <c r="BJ269" s="336">
        <v>46118</v>
      </c>
      <c r="BK269" s="330" t="b">
        <v>1</v>
      </c>
      <c r="BL269" s="330" t="s">
        <v>335</v>
      </c>
      <c r="BM269" s="332" t="s">
        <v>2466</v>
      </c>
      <c r="BN269" s="330" t="s">
        <v>337</v>
      </c>
      <c r="BO269" s="330"/>
      <c r="BP269" s="330"/>
      <c r="BQ269" s="330" t="s">
        <v>218</v>
      </c>
      <c r="BR269" s="330" t="s">
        <v>220</v>
      </c>
      <c r="BS269" s="330"/>
      <c r="BT269" s="330" t="s">
        <v>220</v>
      </c>
      <c r="BU269" s="330"/>
      <c r="BV269" s="330" t="s">
        <v>220</v>
      </c>
      <c r="BW269" s="330"/>
      <c r="BX269" s="332"/>
      <c r="BY269" s="330"/>
      <c r="BZ269" s="330"/>
      <c r="CA269" s="330"/>
      <c r="CB269" s="330"/>
      <c r="CC269" s="337" t="s">
        <v>776</v>
      </c>
      <c r="CD269" s="330"/>
      <c r="CE269" s="330" t="b">
        <v>1</v>
      </c>
      <c r="CF269" s="330"/>
      <c r="CG269" s="330"/>
      <c r="CH269" s="330"/>
      <c r="CI269" s="330" t="b">
        <v>1</v>
      </c>
      <c r="CJ269" s="330"/>
      <c r="CK269" s="330" t="s">
        <v>776</v>
      </c>
      <c r="CL269" s="330"/>
      <c r="CM269" s="330"/>
      <c r="CN269" s="330"/>
      <c r="CO269" s="330"/>
      <c r="CP269" s="330"/>
      <c r="CQ269" s="330"/>
      <c r="CR269" s="330"/>
      <c r="CS269" s="330"/>
      <c r="CT269" s="330"/>
      <c r="CU269" s="330" t="b">
        <v>1</v>
      </c>
      <c r="CV269" s="330"/>
      <c r="CW269" s="330"/>
      <c r="CX269" s="330"/>
      <c r="CY269" s="330"/>
      <c r="CZ269" s="330"/>
      <c r="DA269" s="330"/>
      <c r="DB269" s="330"/>
      <c r="DC269" s="330" t="b">
        <v>1</v>
      </c>
      <c r="DD269" s="330"/>
      <c r="DE269" s="330"/>
      <c r="DF269" s="338">
        <v>25005</v>
      </c>
      <c r="DG269" s="330" t="s">
        <v>341</v>
      </c>
      <c r="DH269" s="330"/>
      <c r="DI269" s="338" t="s">
        <v>638</v>
      </c>
      <c r="DJ269" s="330"/>
      <c r="DK269" s="330">
        <v>2</v>
      </c>
      <c r="DL269" s="330" t="s">
        <v>2458</v>
      </c>
      <c r="DM269" s="330"/>
      <c r="DN269" s="330"/>
      <c r="DO269" s="330"/>
      <c r="DP269" s="330"/>
      <c r="DQ269" s="338" t="s">
        <v>197</v>
      </c>
      <c r="DR269" s="330"/>
      <c r="DS269" s="330"/>
      <c r="DT269" s="330"/>
      <c r="DU269" s="338" t="s">
        <v>197</v>
      </c>
      <c r="DV269" s="330"/>
      <c r="DW269" s="330"/>
      <c r="DX269" s="330"/>
      <c r="DY269" s="338" t="s">
        <v>197</v>
      </c>
      <c r="DZ269" s="330"/>
      <c r="EA269" s="330"/>
      <c r="EB269" s="330"/>
      <c r="EC269" s="330" t="s">
        <v>197</v>
      </c>
      <c r="ED269" s="338" t="s">
        <v>197</v>
      </c>
      <c r="EE269" s="330">
        <v>2</v>
      </c>
      <c r="EF269" s="330">
        <v>4</v>
      </c>
      <c r="EG269" s="330"/>
      <c r="EH269" s="330"/>
      <c r="EI269" s="330"/>
      <c r="EJ269" s="330"/>
      <c r="EK269" s="330"/>
      <c r="EL269" s="330"/>
      <c r="EM269" s="330"/>
      <c r="EN269" s="330"/>
      <c r="EO269" s="330"/>
      <c r="EP269" s="330"/>
      <c r="EQ269" s="332" t="s">
        <v>244</v>
      </c>
      <c r="ER269" s="330"/>
      <c r="ES269" s="330"/>
      <c r="ET269" s="332" t="s">
        <v>86</v>
      </c>
      <c r="EU269" s="332" t="s">
        <v>2467</v>
      </c>
      <c r="EV269" s="336">
        <v>46114</v>
      </c>
      <c r="EW269" s="336">
        <v>46114</v>
      </c>
      <c r="EX269" s="330">
        <v>1</v>
      </c>
      <c r="EY269" s="330"/>
      <c r="EZ269" s="330" t="s">
        <v>247</v>
      </c>
      <c r="FA269" s="330"/>
      <c r="FB269" s="330" t="s">
        <v>247</v>
      </c>
      <c r="FC269" s="330" t="s">
        <v>202</v>
      </c>
      <c r="FD269" s="332" t="s">
        <v>190</v>
      </c>
      <c r="FE269" s="330"/>
      <c r="FF269" s="330"/>
      <c r="FG269" s="330" t="s">
        <v>203</v>
      </c>
      <c r="FH269" s="330" t="s">
        <v>2153</v>
      </c>
      <c r="FI269" s="330" t="s">
        <v>204</v>
      </c>
      <c r="FJ269" s="330"/>
      <c r="FK269" s="330" t="s">
        <v>610</v>
      </c>
      <c r="FL269" s="330" t="s">
        <v>741</v>
      </c>
      <c r="FM269" s="330" t="s">
        <v>202</v>
      </c>
      <c r="FN269" s="330" t="s">
        <v>2468</v>
      </c>
      <c r="FO269" s="330"/>
      <c r="FP269" s="330" t="s">
        <v>639</v>
      </c>
      <c r="FQ269" s="330"/>
      <c r="FR269" s="330"/>
      <c r="FS269" s="330"/>
      <c r="FT269" s="330"/>
      <c r="FU269" s="330"/>
    </row>
    <row r="270" spans="1:177" ht="204" x14ac:dyDescent="0.25">
      <c r="A270" s="330">
        <v>269</v>
      </c>
      <c r="B270" s="331" t="s">
        <v>2331</v>
      </c>
      <c r="C270" s="330"/>
      <c r="D270" s="332" t="s">
        <v>325</v>
      </c>
      <c r="E270" s="332" t="s">
        <v>326</v>
      </c>
      <c r="F270" s="332" t="s">
        <v>327</v>
      </c>
      <c r="G270" s="330"/>
      <c r="H270" s="331" t="s">
        <v>2179</v>
      </c>
      <c r="I270" s="330"/>
      <c r="J270" s="332" t="s">
        <v>2469</v>
      </c>
      <c r="K270" s="332" t="s">
        <v>2470</v>
      </c>
      <c r="L270" s="330" t="s">
        <v>1647</v>
      </c>
      <c r="M270" s="332" t="s">
        <v>2227</v>
      </c>
      <c r="N270" s="330" t="s">
        <v>2471</v>
      </c>
      <c r="O270" s="333" t="s">
        <v>184</v>
      </c>
      <c r="P270" s="333" t="s">
        <v>184</v>
      </c>
      <c r="Q270" s="333" t="s">
        <v>184</v>
      </c>
      <c r="R270" s="333">
        <v>0</v>
      </c>
      <c r="S270" s="333">
        <v>15</v>
      </c>
      <c r="T270" s="333">
        <v>4</v>
      </c>
      <c r="U270" s="333">
        <v>0</v>
      </c>
      <c r="V270" s="333">
        <v>0</v>
      </c>
      <c r="W270" s="330">
        <v>1</v>
      </c>
      <c r="X270" s="330" t="s">
        <v>2472</v>
      </c>
      <c r="Y270" s="332" t="s">
        <v>2473</v>
      </c>
      <c r="Z270" s="330" t="s">
        <v>739</v>
      </c>
      <c r="AA270" s="330" t="s">
        <v>2474</v>
      </c>
      <c r="AB270" s="330" t="s">
        <v>189</v>
      </c>
      <c r="AC270" s="330"/>
      <c r="AD270" s="330"/>
      <c r="AE270" s="330">
        <v>8</v>
      </c>
      <c r="AF270" s="330">
        <v>7</v>
      </c>
      <c r="AG270" s="332" t="s">
        <v>1664</v>
      </c>
      <c r="AH270" s="332" t="s">
        <v>202</v>
      </c>
      <c r="AI270" s="330"/>
      <c r="AJ270" s="330"/>
      <c r="AK270" s="330"/>
      <c r="AL270" s="330" t="s">
        <v>741</v>
      </c>
      <c r="AM270" s="330" t="s">
        <v>202</v>
      </c>
      <c r="AN270" s="330" t="s">
        <v>741</v>
      </c>
      <c r="AO270" s="330"/>
      <c r="AP270" s="332"/>
      <c r="AQ270" s="330" t="s">
        <v>334</v>
      </c>
      <c r="AR270" s="330"/>
      <c r="AS270" s="330" t="b">
        <v>1</v>
      </c>
      <c r="AT270" s="330"/>
      <c r="AU270" s="332" t="s">
        <v>741</v>
      </c>
      <c r="AV270" s="334">
        <v>46114.406674907405</v>
      </c>
      <c r="AW270" s="330" t="b">
        <v>1</v>
      </c>
      <c r="AX270" s="335">
        <v>46135</v>
      </c>
      <c r="AY270" s="336">
        <v>46120</v>
      </c>
      <c r="AZ270" s="330" t="b">
        <v>1</v>
      </c>
      <c r="BA270" s="336">
        <v>46136</v>
      </c>
      <c r="BB270" s="336">
        <v>46121</v>
      </c>
      <c r="BC270" s="336">
        <v>46128</v>
      </c>
      <c r="BD270" s="330"/>
      <c r="BE270" s="330"/>
      <c r="BF270" s="330"/>
      <c r="BG270" s="330"/>
      <c r="BH270" s="330" t="s">
        <v>220</v>
      </c>
      <c r="BI270" s="330"/>
      <c r="BJ270" s="336">
        <v>46115</v>
      </c>
      <c r="BK270" s="330" t="b">
        <v>1</v>
      </c>
      <c r="BL270" s="330" t="s">
        <v>335</v>
      </c>
      <c r="BM270" s="332" t="s">
        <v>2222</v>
      </c>
      <c r="BN270" s="330" t="s">
        <v>337</v>
      </c>
      <c r="BO270" s="330"/>
      <c r="BP270" s="330"/>
      <c r="BQ270" s="330" t="s">
        <v>338</v>
      </c>
      <c r="BR270" s="330" t="s">
        <v>220</v>
      </c>
      <c r="BS270" s="330"/>
      <c r="BT270" s="330" t="s">
        <v>220</v>
      </c>
      <c r="BU270" s="330"/>
      <c r="BV270" s="330" t="s">
        <v>220</v>
      </c>
      <c r="BW270" s="330"/>
      <c r="BX270" s="332"/>
      <c r="BY270" s="330"/>
      <c r="BZ270" s="330"/>
      <c r="CA270" s="330"/>
      <c r="CB270" s="330"/>
      <c r="CC270" s="337" t="s">
        <v>776</v>
      </c>
      <c r="CD270" s="330"/>
      <c r="CE270" s="330" t="b">
        <v>1</v>
      </c>
      <c r="CF270" s="330"/>
      <c r="CG270" s="330"/>
      <c r="CH270" s="330"/>
      <c r="CI270" s="330" t="b">
        <v>1</v>
      </c>
      <c r="CJ270" s="330"/>
      <c r="CK270" s="330" t="s">
        <v>776</v>
      </c>
      <c r="CL270" s="330"/>
      <c r="CM270" s="330"/>
      <c r="CN270" s="330"/>
      <c r="CO270" s="330"/>
      <c r="CP270" s="330"/>
      <c r="CQ270" s="330"/>
      <c r="CR270" s="330"/>
      <c r="CS270" s="330"/>
      <c r="CT270" s="330"/>
      <c r="CU270" s="330" t="b">
        <v>1</v>
      </c>
      <c r="CV270" s="330"/>
      <c r="CW270" s="330"/>
      <c r="CX270" s="330" t="b">
        <v>1</v>
      </c>
      <c r="CY270" s="330"/>
      <c r="CZ270" s="330"/>
      <c r="DA270" s="330"/>
      <c r="DB270" s="330"/>
      <c r="DC270" s="330"/>
      <c r="DD270" s="330"/>
      <c r="DE270" s="330"/>
      <c r="DF270" s="338" t="s">
        <v>2330</v>
      </c>
      <c r="DG270" s="330" t="s">
        <v>341</v>
      </c>
      <c r="DH270" s="330"/>
      <c r="DI270" s="338" t="s">
        <v>638</v>
      </c>
      <c r="DJ270" s="330"/>
      <c r="DK270" s="330">
        <v>2</v>
      </c>
      <c r="DL270" s="330" t="s">
        <v>2331</v>
      </c>
      <c r="DM270" s="330"/>
      <c r="DN270" s="330"/>
      <c r="DO270" s="330"/>
      <c r="DP270" s="330"/>
      <c r="DQ270" s="338" t="s">
        <v>197</v>
      </c>
      <c r="DR270" s="330"/>
      <c r="DS270" s="330"/>
      <c r="DT270" s="330"/>
      <c r="DU270" s="338" t="s">
        <v>197</v>
      </c>
      <c r="DV270" s="330"/>
      <c r="DW270" s="330"/>
      <c r="DX270" s="330"/>
      <c r="DY270" s="338" t="s">
        <v>197</v>
      </c>
      <c r="DZ270" s="330"/>
      <c r="EA270" s="330"/>
      <c r="EB270" s="330"/>
      <c r="EC270" s="330" t="s">
        <v>197</v>
      </c>
      <c r="ED270" s="338" t="s">
        <v>197</v>
      </c>
      <c r="EE270" s="330">
        <v>1</v>
      </c>
      <c r="EF270" s="330">
        <v>1</v>
      </c>
      <c r="EG270" s="330"/>
      <c r="EH270" s="330"/>
      <c r="EI270" s="330"/>
      <c r="EJ270" s="330"/>
      <c r="EK270" s="330"/>
      <c r="EL270" s="330"/>
      <c r="EM270" s="330"/>
      <c r="EN270" s="330"/>
      <c r="EO270" s="330"/>
      <c r="EP270" s="330"/>
      <c r="EQ270" s="332" t="s">
        <v>244</v>
      </c>
      <c r="ER270" s="330"/>
      <c r="ES270" s="330"/>
      <c r="ET270" s="332" t="s">
        <v>86</v>
      </c>
      <c r="EU270" s="332" t="s">
        <v>2475</v>
      </c>
      <c r="EV270" s="336">
        <v>46119</v>
      </c>
      <c r="EW270" s="336">
        <v>46120</v>
      </c>
      <c r="EX270" s="330">
        <v>2</v>
      </c>
      <c r="EY270" s="330"/>
      <c r="EZ270" s="330" t="s">
        <v>247</v>
      </c>
      <c r="FA270" s="330"/>
      <c r="FB270" s="330" t="s">
        <v>247</v>
      </c>
      <c r="FC270" s="330" t="s">
        <v>202</v>
      </c>
      <c r="FD270" s="332" t="s">
        <v>190</v>
      </c>
      <c r="FE270" s="330"/>
      <c r="FF270" s="330"/>
      <c r="FG270" s="330" t="s">
        <v>203</v>
      </c>
      <c r="FH270" s="330" t="s">
        <v>2153</v>
      </c>
      <c r="FI270" s="330" t="s">
        <v>204</v>
      </c>
      <c r="FJ270" s="330"/>
      <c r="FK270" s="330" t="s">
        <v>327</v>
      </c>
      <c r="FL270" s="330" t="s">
        <v>741</v>
      </c>
      <c r="FM270" s="330" t="s">
        <v>202</v>
      </c>
      <c r="FN270" s="330" t="s">
        <v>2476</v>
      </c>
      <c r="FO270" s="330"/>
      <c r="FP270" s="330" t="s">
        <v>639</v>
      </c>
      <c r="FQ270" s="330"/>
      <c r="FR270" s="330"/>
      <c r="FS270" s="330"/>
      <c r="FT270" s="330"/>
      <c r="FU270" s="330"/>
    </row>
    <row r="271" spans="1:177" ht="204" x14ac:dyDescent="0.25">
      <c r="A271" s="330">
        <v>270</v>
      </c>
      <c r="B271" s="331" t="s">
        <v>243</v>
      </c>
      <c r="C271" s="330"/>
      <c r="D271" s="332" t="s">
        <v>228</v>
      </c>
      <c r="E271" s="332" t="s">
        <v>229</v>
      </c>
      <c r="F271" s="332" t="s">
        <v>230</v>
      </c>
      <c r="G271" s="330" t="s">
        <v>231</v>
      </c>
      <c r="H271" s="331">
        <v>400</v>
      </c>
      <c r="I271" s="330"/>
      <c r="J271" s="332" t="s">
        <v>2023</v>
      </c>
      <c r="K271" s="332"/>
      <c r="L271" s="330"/>
      <c r="M271" s="332" t="s">
        <v>2227</v>
      </c>
      <c r="N271" s="330"/>
      <c r="O271" s="333"/>
      <c r="P271" s="333"/>
      <c r="Q271" s="333">
        <v>19268</v>
      </c>
      <c r="R271" s="333">
        <v>1</v>
      </c>
      <c r="S271" s="333"/>
      <c r="T271" s="333"/>
      <c r="U271" s="333"/>
      <c r="V271" s="333"/>
      <c r="W271" s="330"/>
      <c r="X271" s="330"/>
      <c r="Y271" s="332" t="s">
        <v>289</v>
      </c>
      <c r="Z271" s="330" t="s">
        <v>215</v>
      </c>
      <c r="AA271" s="330" t="s">
        <v>290</v>
      </c>
      <c r="AB271" s="330" t="s">
        <v>217</v>
      </c>
      <c r="AC271" s="330"/>
      <c r="AD271" s="330"/>
      <c r="AE271" s="330">
        <v>14</v>
      </c>
      <c r="AF271" s="330">
        <v>6</v>
      </c>
      <c r="AG271" s="332" t="s">
        <v>192</v>
      </c>
      <c r="AH271" s="332" t="s">
        <v>191</v>
      </c>
      <c r="AI271" s="330"/>
      <c r="AJ271" s="330" t="s">
        <v>192</v>
      </c>
      <c r="AK271" s="330"/>
      <c r="AL271" s="330" t="s">
        <v>192</v>
      </c>
      <c r="AM271" s="330" t="s">
        <v>191</v>
      </c>
      <c r="AN271" s="330" t="s">
        <v>192</v>
      </c>
      <c r="AO271" s="330"/>
      <c r="AP271" s="332" t="s">
        <v>259</v>
      </c>
      <c r="AQ271" s="330"/>
      <c r="AR271" s="330"/>
      <c r="AS271" s="330"/>
      <c r="AT271" s="330"/>
      <c r="AU271" s="332" t="s">
        <v>192</v>
      </c>
      <c r="AV271" s="334">
        <v>46114.624883252312</v>
      </c>
      <c r="AW271" s="330" t="b">
        <v>1</v>
      </c>
      <c r="AX271" s="335">
        <v>46135</v>
      </c>
      <c r="AY271" s="330"/>
      <c r="AZ271" s="330"/>
      <c r="BA271" s="330"/>
      <c r="BB271" s="330"/>
      <c r="BC271" s="336">
        <v>46146</v>
      </c>
      <c r="BD271" s="330"/>
      <c r="BE271" s="330"/>
      <c r="BF271" s="330"/>
      <c r="BG271" s="330"/>
      <c r="BH271" s="330" t="s">
        <v>193</v>
      </c>
      <c r="BI271" s="330">
        <v>500</v>
      </c>
      <c r="BJ271" s="330"/>
      <c r="BK271" s="330"/>
      <c r="BL271" s="330"/>
      <c r="BM271" s="332"/>
      <c r="BN271" s="330"/>
      <c r="BO271" s="330" t="s">
        <v>240</v>
      </c>
      <c r="BP271" s="330" t="s">
        <v>193</v>
      </c>
      <c r="BQ271" s="330" t="s">
        <v>218</v>
      </c>
      <c r="BR271" s="330" t="s">
        <v>220</v>
      </c>
      <c r="BS271" s="330"/>
      <c r="BT271" s="330" t="s">
        <v>220</v>
      </c>
      <c r="BU271" s="330"/>
      <c r="BV271" s="330" t="s">
        <v>220</v>
      </c>
      <c r="BW271" s="330"/>
      <c r="BX271" s="332"/>
      <c r="BY271" s="330"/>
      <c r="BZ271" s="330"/>
      <c r="CA271" s="330"/>
      <c r="CB271" s="330"/>
      <c r="CC271" s="337" t="s">
        <v>2024</v>
      </c>
      <c r="CD271" s="330"/>
      <c r="CE271" s="330" t="b">
        <v>1</v>
      </c>
      <c r="CF271" s="330" t="b">
        <v>1</v>
      </c>
      <c r="CG271" s="330"/>
      <c r="CH271" s="330"/>
      <c r="CI271" s="330"/>
      <c r="CJ271" s="330"/>
      <c r="CK271" s="330"/>
      <c r="CL271" s="330"/>
      <c r="CM271" s="330"/>
      <c r="CN271" s="330"/>
      <c r="CO271" s="330"/>
      <c r="CP271" s="330"/>
      <c r="CQ271" s="330"/>
      <c r="CR271" s="330"/>
      <c r="CS271" s="330"/>
      <c r="CT271" s="330"/>
      <c r="CU271" s="330"/>
      <c r="CV271" s="330"/>
      <c r="CW271" s="330"/>
      <c r="CX271" s="330"/>
      <c r="CY271" s="330"/>
      <c r="CZ271" s="330"/>
      <c r="DA271" s="330"/>
      <c r="DB271" s="330" t="b">
        <v>1</v>
      </c>
      <c r="DC271" s="330" t="b">
        <v>1</v>
      </c>
      <c r="DD271" s="330"/>
      <c r="DE271" s="330"/>
      <c r="DF271" s="338">
        <v>24051</v>
      </c>
      <c r="DG271" s="330" t="s">
        <v>221</v>
      </c>
      <c r="DH271" s="330"/>
      <c r="DI271" s="338">
        <v>231</v>
      </c>
      <c r="DJ271" s="330"/>
      <c r="DK271" s="330">
        <v>231</v>
      </c>
      <c r="DL271" s="330" t="s">
        <v>243</v>
      </c>
      <c r="DM271" s="330"/>
      <c r="DN271" s="330"/>
      <c r="DO271" s="330"/>
      <c r="DP271" s="330"/>
      <c r="DQ271" s="338" t="s">
        <v>197</v>
      </c>
      <c r="DR271" s="330"/>
      <c r="DS271" s="330"/>
      <c r="DT271" s="330"/>
      <c r="DU271" s="338" t="s">
        <v>197</v>
      </c>
      <c r="DV271" s="330"/>
      <c r="DW271" s="330"/>
      <c r="DX271" s="330"/>
      <c r="DY271" s="338" t="s">
        <v>197</v>
      </c>
      <c r="DZ271" s="330"/>
      <c r="EA271" s="330"/>
      <c r="EB271" s="330"/>
      <c r="EC271" s="330" t="s">
        <v>197</v>
      </c>
      <c r="ED271" s="338" t="s">
        <v>197</v>
      </c>
      <c r="EE271" s="330">
        <v>1</v>
      </c>
      <c r="EF271" s="330">
        <v>4</v>
      </c>
      <c r="EG271" s="330"/>
      <c r="EH271" s="330"/>
      <c r="EI271" s="330"/>
      <c r="EJ271" s="330"/>
      <c r="EK271" s="330"/>
      <c r="EL271" s="330"/>
      <c r="EM271" s="330"/>
      <c r="EN271" s="330"/>
      <c r="EO271" s="330"/>
      <c r="EP271" s="330"/>
      <c r="EQ271" s="332" t="s">
        <v>244</v>
      </c>
      <c r="ER271" s="330"/>
      <c r="ES271" s="330"/>
      <c r="ET271" s="332" t="s">
        <v>245</v>
      </c>
      <c r="EU271" s="332" t="s">
        <v>354</v>
      </c>
      <c r="EV271" s="330"/>
      <c r="EW271" s="330"/>
      <c r="EX271" s="330" t="s">
        <v>200</v>
      </c>
      <c r="EY271" s="330"/>
      <c r="EZ271" s="330" t="s">
        <v>247</v>
      </c>
      <c r="FA271" s="330"/>
      <c r="FB271" s="330" t="s">
        <v>247</v>
      </c>
      <c r="FC271" s="330" t="s">
        <v>202</v>
      </c>
      <c r="FD271" s="332" t="s">
        <v>190</v>
      </c>
      <c r="FE271" s="330"/>
      <c r="FF271" s="330"/>
      <c r="FG271" s="330" t="s">
        <v>203</v>
      </c>
      <c r="FH271" s="330"/>
      <c r="FI271" s="330" t="s">
        <v>204</v>
      </c>
      <c r="FJ271" s="330"/>
      <c r="FK271" s="330" t="s">
        <v>230</v>
      </c>
      <c r="FL271" s="330" t="s">
        <v>192</v>
      </c>
      <c r="FM271" s="330" t="s">
        <v>191</v>
      </c>
      <c r="FN271" s="330" t="s">
        <v>2477</v>
      </c>
      <c r="FO271" s="330"/>
      <c r="FP271" s="330" t="s">
        <v>1952</v>
      </c>
      <c r="FQ271" s="330"/>
      <c r="FR271" s="330"/>
      <c r="FS271" s="330"/>
      <c r="FT271" s="330"/>
      <c r="FU271" s="330"/>
    </row>
    <row r="272" spans="1:177" ht="38.25" x14ac:dyDescent="0.25">
      <c r="A272" s="330">
        <v>271</v>
      </c>
      <c r="B272" s="331" t="s">
        <v>2478</v>
      </c>
      <c r="C272" s="330"/>
      <c r="D272" s="332" t="s">
        <v>325</v>
      </c>
      <c r="E272" s="332" t="s">
        <v>326</v>
      </c>
      <c r="F272" s="332" t="s">
        <v>327</v>
      </c>
      <c r="G272" s="330"/>
      <c r="H272" s="331">
        <v>400</v>
      </c>
      <c r="I272" s="330"/>
      <c r="J272" s="332" t="s">
        <v>2479</v>
      </c>
      <c r="K272" s="332"/>
      <c r="L272" s="330" t="s">
        <v>284</v>
      </c>
      <c r="M272" s="332" t="s">
        <v>2480</v>
      </c>
      <c r="N272" s="330" t="s">
        <v>2481</v>
      </c>
      <c r="O272" s="333" t="s">
        <v>736</v>
      </c>
      <c r="P272" s="333">
        <v>0</v>
      </c>
      <c r="Q272" s="333">
        <v>0</v>
      </c>
      <c r="R272" s="333">
        <v>25</v>
      </c>
      <c r="S272" s="333">
        <v>25</v>
      </c>
      <c r="T272" s="333">
        <v>3</v>
      </c>
      <c r="U272" s="333">
        <v>148</v>
      </c>
      <c r="V272" s="333">
        <v>192</v>
      </c>
      <c r="W272" s="330" t="s">
        <v>287</v>
      </c>
      <c r="X272" s="330" t="s">
        <v>2482</v>
      </c>
      <c r="Y272" s="332" t="s">
        <v>2483</v>
      </c>
      <c r="Z272" s="330" t="s">
        <v>215</v>
      </c>
      <c r="AA272" s="330" t="s">
        <v>2484</v>
      </c>
      <c r="AB272" s="330" t="s">
        <v>217</v>
      </c>
      <c r="AC272" s="330"/>
      <c r="AD272" s="330"/>
      <c r="AE272" s="330">
        <v>50</v>
      </c>
      <c r="AF272" s="330">
        <v>7</v>
      </c>
      <c r="AG272" s="332" t="s">
        <v>190</v>
      </c>
      <c r="AH272" s="332" t="s">
        <v>191</v>
      </c>
      <c r="AI272" s="330"/>
      <c r="AJ272" s="330" t="s">
        <v>191</v>
      </c>
      <c r="AK272" s="330"/>
      <c r="AL272" s="330" t="s">
        <v>810</v>
      </c>
      <c r="AM272" s="330" t="s">
        <v>627</v>
      </c>
      <c r="AN272" s="330" t="s">
        <v>810</v>
      </c>
      <c r="AO272" s="330"/>
      <c r="AP272" s="332" t="s">
        <v>259</v>
      </c>
      <c r="AQ272" s="330"/>
      <c r="AR272" s="330"/>
      <c r="AS272" s="330" t="b">
        <v>1</v>
      </c>
      <c r="AT272" s="330"/>
      <c r="AU272" s="332" t="s">
        <v>810</v>
      </c>
      <c r="AV272" s="334">
        <v>46114.734753379627</v>
      </c>
      <c r="AW272" s="330" t="b">
        <v>1</v>
      </c>
      <c r="AX272" s="335">
        <v>46135</v>
      </c>
      <c r="AY272" s="336">
        <v>46120</v>
      </c>
      <c r="AZ272" s="330" t="b">
        <v>1</v>
      </c>
      <c r="BA272" s="336">
        <v>46136</v>
      </c>
      <c r="BB272" s="330"/>
      <c r="BC272" s="336">
        <v>46126</v>
      </c>
      <c r="BD272" s="330"/>
      <c r="BE272" s="330"/>
      <c r="BF272" s="330"/>
      <c r="BG272" s="330"/>
      <c r="BH272" s="330" t="s">
        <v>193</v>
      </c>
      <c r="BI272" s="330">
        <v>34</v>
      </c>
      <c r="BJ272" s="330"/>
      <c r="BK272" s="330"/>
      <c r="BL272" s="330"/>
      <c r="BM272" s="332"/>
      <c r="BN272" s="330"/>
      <c r="BO272" s="330" t="s">
        <v>240</v>
      </c>
      <c r="BP272" s="330" t="s">
        <v>220</v>
      </c>
      <c r="BQ272" s="330" t="s">
        <v>338</v>
      </c>
      <c r="BR272" s="330" t="s">
        <v>220</v>
      </c>
      <c r="BS272" s="330"/>
      <c r="BT272" s="330" t="s">
        <v>220</v>
      </c>
      <c r="BU272" s="330"/>
      <c r="BV272" s="330" t="s">
        <v>220</v>
      </c>
      <c r="BW272" s="330"/>
      <c r="BX272" s="332"/>
      <c r="BY272" s="330"/>
      <c r="BZ272" s="330"/>
      <c r="CA272" s="330"/>
      <c r="CB272" s="330"/>
      <c r="CC272" s="337" t="s">
        <v>194</v>
      </c>
      <c r="CD272" s="330" t="b">
        <v>1</v>
      </c>
      <c r="CE272" s="330" t="b">
        <v>1</v>
      </c>
      <c r="CF272" s="330" t="b">
        <v>1</v>
      </c>
      <c r="CG272" s="330"/>
      <c r="CH272" s="330"/>
      <c r="CI272" s="330"/>
      <c r="CJ272" s="330"/>
      <c r="CK272" s="330"/>
      <c r="CL272" s="330"/>
      <c r="CM272" s="330"/>
      <c r="CN272" s="330"/>
      <c r="CO272" s="330"/>
      <c r="CP272" s="330"/>
      <c r="CQ272" s="330"/>
      <c r="CR272" s="330"/>
      <c r="CS272" s="330"/>
      <c r="CT272" s="330"/>
      <c r="CU272" s="330"/>
      <c r="CV272" s="330"/>
      <c r="CW272" s="330"/>
      <c r="CX272" s="330"/>
      <c r="CY272" s="330"/>
      <c r="CZ272" s="330"/>
      <c r="DA272" s="330"/>
      <c r="DB272" s="330" t="b">
        <v>1</v>
      </c>
      <c r="DC272" s="330" t="b">
        <v>1</v>
      </c>
      <c r="DD272" s="330"/>
      <c r="DE272" s="330"/>
      <c r="DF272" s="338" t="s">
        <v>2485</v>
      </c>
      <c r="DG272" s="330" t="s">
        <v>221</v>
      </c>
      <c r="DH272" s="330"/>
      <c r="DI272" s="338" t="s">
        <v>196</v>
      </c>
      <c r="DJ272" s="330"/>
      <c r="DK272" s="330">
        <v>1</v>
      </c>
      <c r="DL272" s="330" t="s">
        <v>2478</v>
      </c>
      <c r="DM272" s="330"/>
      <c r="DN272" s="330"/>
      <c r="DO272" s="330"/>
      <c r="DP272" s="330"/>
      <c r="DQ272" s="338" t="s">
        <v>197</v>
      </c>
      <c r="DR272" s="330"/>
      <c r="DS272" s="330"/>
      <c r="DT272" s="330"/>
      <c r="DU272" s="338" t="s">
        <v>197</v>
      </c>
      <c r="DV272" s="330"/>
      <c r="DW272" s="330"/>
      <c r="DX272" s="330"/>
      <c r="DY272" s="338" t="s">
        <v>197</v>
      </c>
      <c r="DZ272" s="330"/>
      <c r="EA272" s="330"/>
      <c r="EB272" s="330"/>
      <c r="EC272" s="330" t="s">
        <v>197</v>
      </c>
      <c r="ED272" s="338" t="s">
        <v>197</v>
      </c>
      <c r="EE272" s="330">
        <v>1</v>
      </c>
      <c r="EF272" s="330">
        <v>10</v>
      </c>
      <c r="EG272" s="330"/>
      <c r="EH272" s="330"/>
      <c r="EI272" s="330"/>
      <c r="EJ272" s="330"/>
      <c r="EK272" s="330"/>
      <c r="EL272" s="330"/>
      <c r="EM272" s="330"/>
      <c r="EN272" s="330"/>
      <c r="EO272" s="330"/>
      <c r="EP272" s="330"/>
      <c r="EQ272" s="332" t="s">
        <v>244</v>
      </c>
      <c r="ER272" s="330"/>
      <c r="ES272" s="330"/>
      <c r="ET272" s="332" t="s">
        <v>245</v>
      </c>
      <c r="EU272" s="332" t="s">
        <v>354</v>
      </c>
      <c r="EV272" s="336">
        <v>46119</v>
      </c>
      <c r="EW272" s="336">
        <v>46120</v>
      </c>
      <c r="EX272" s="330">
        <v>2</v>
      </c>
      <c r="EY272" s="330"/>
      <c r="EZ272" s="330" t="s">
        <v>201</v>
      </c>
      <c r="FA272" s="336">
        <v>46126</v>
      </c>
      <c r="FB272" s="330">
        <v>2</v>
      </c>
      <c r="FC272" s="330" t="s">
        <v>202</v>
      </c>
      <c r="FD272" s="332" t="s">
        <v>190</v>
      </c>
      <c r="FE272" s="336">
        <v>46127</v>
      </c>
      <c r="FF272" s="330"/>
      <c r="FG272" s="330" t="s">
        <v>203</v>
      </c>
      <c r="FH272" s="330" t="s">
        <v>1020</v>
      </c>
      <c r="FI272" s="330" t="s">
        <v>204</v>
      </c>
      <c r="FJ272" s="330"/>
      <c r="FK272" s="330" t="s">
        <v>327</v>
      </c>
      <c r="FL272" s="330" t="s">
        <v>810</v>
      </c>
      <c r="FM272" s="330" t="s">
        <v>627</v>
      </c>
      <c r="FN272" s="330" t="s">
        <v>2487</v>
      </c>
      <c r="FO272" s="330"/>
      <c r="FP272" s="330" t="s">
        <v>639</v>
      </c>
      <c r="FQ272" s="330"/>
      <c r="FR272" s="330"/>
      <c r="FS272" s="330"/>
      <c r="FT272" s="330"/>
      <c r="FU272" s="330"/>
    </row>
    <row r="273" spans="1:177" ht="306" x14ac:dyDescent="0.25">
      <c r="A273" s="330">
        <v>272</v>
      </c>
      <c r="B273" s="331" t="s">
        <v>2488</v>
      </c>
      <c r="C273" s="330"/>
      <c r="D273" s="332" t="s">
        <v>900</v>
      </c>
      <c r="E273" s="332" t="s">
        <v>901</v>
      </c>
      <c r="F273" s="332" t="s">
        <v>902</v>
      </c>
      <c r="G273" s="330" t="s">
        <v>903</v>
      </c>
      <c r="H273" s="331">
        <v>400</v>
      </c>
      <c r="I273" s="330"/>
      <c r="J273" s="332" t="s">
        <v>929</v>
      </c>
      <c r="K273" s="332" t="s">
        <v>930</v>
      </c>
      <c r="L273" s="330"/>
      <c r="M273" s="332" t="s">
        <v>2489</v>
      </c>
      <c r="N273" s="330"/>
      <c r="O273" s="333"/>
      <c r="P273" s="333"/>
      <c r="Q273" s="333"/>
      <c r="R273" s="333">
        <v>308</v>
      </c>
      <c r="S273" s="333"/>
      <c r="T273" s="333"/>
      <c r="U273" s="333"/>
      <c r="V273" s="333"/>
      <c r="W273" s="330"/>
      <c r="X273" s="330"/>
      <c r="Y273" s="332" t="s">
        <v>932</v>
      </c>
      <c r="Z273" s="330" t="s">
        <v>215</v>
      </c>
      <c r="AA273" s="330" t="s">
        <v>933</v>
      </c>
      <c r="AB273" s="330" t="s">
        <v>217</v>
      </c>
      <c r="AC273" s="330"/>
      <c r="AD273" s="330" t="s">
        <v>924</v>
      </c>
      <c r="AE273" s="330">
        <v>14</v>
      </c>
      <c r="AF273" s="330">
        <v>6</v>
      </c>
      <c r="AG273" s="332" t="s">
        <v>192</v>
      </c>
      <c r="AH273" s="332" t="s">
        <v>191</v>
      </c>
      <c r="AI273" s="330" t="s">
        <v>191</v>
      </c>
      <c r="AJ273" s="330" t="s">
        <v>191</v>
      </c>
      <c r="AK273" s="330" t="s">
        <v>192</v>
      </c>
      <c r="AL273" s="330" t="s">
        <v>192</v>
      </c>
      <c r="AM273" s="330" t="s">
        <v>627</v>
      </c>
      <c r="AN273" s="330" t="s">
        <v>192</v>
      </c>
      <c r="AO273" s="330"/>
      <c r="AP273" s="332" t="s">
        <v>259</v>
      </c>
      <c r="AQ273" s="330"/>
      <c r="AR273" s="330"/>
      <c r="AS273" s="330"/>
      <c r="AT273" s="330"/>
      <c r="AU273" s="332" t="s">
        <v>554</v>
      </c>
      <c r="AV273" s="334">
        <v>46114.741053240738</v>
      </c>
      <c r="AW273" s="330" t="b">
        <v>1</v>
      </c>
      <c r="AX273" s="335">
        <v>46135</v>
      </c>
      <c r="AY273" s="330"/>
      <c r="AZ273" s="330"/>
      <c r="BA273" s="330"/>
      <c r="BB273" s="330"/>
      <c r="BC273" s="336">
        <v>46097</v>
      </c>
      <c r="BD273" s="330"/>
      <c r="BE273" s="336">
        <v>46097</v>
      </c>
      <c r="BF273" s="330"/>
      <c r="BG273" s="330"/>
      <c r="BH273" s="330" t="s">
        <v>193</v>
      </c>
      <c r="BI273" s="330">
        <v>370</v>
      </c>
      <c r="BJ273" s="330"/>
      <c r="BK273" s="330"/>
      <c r="BL273" s="330"/>
      <c r="BM273" s="332"/>
      <c r="BN273" s="330"/>
      <c r="BO273" s="330" t="s">
        <v>240</v>
      </c>
      <c r="BP273" s="330" t="s">
        <v>193</v>
      </c>
      <c r="BQ273" s="330" t="s">
        <v>909</v>
      </c>
      <c r="BR273" s="330" t="s">
        <v>193</v>
      </c>
      <c r="BS273" s="330" t="s">
        <v>934</v>
      </c>
      <c r="BT273" s="330" t="s">
        <v>220</v>
      </c>
      <c r="BU273" s="330"/>
      <c r="BV273" s="330" t="s">
        <v>220</v>
      </c>
      <c r="BW273" s="330"/>
      <c r="BX273" s="332"/>
      <c r="BY273" s="330"/>
      <c r="BZ273" s="330"/>
      <c r="CA273" s="330"/>
      <c r="CB273" s="330"/>
      <c r="CC273" s="337" t="s">
        <v>82</v>
      </c>
      <c r="CD273" s="330" t="b">
        <v>1</v>
      </c>
      <c r="CE273" s="330" t="b">
        <v>1</v>
      </c>
      <c r="CF273" s="330" t="b">
        <v>1</v>
      </c>
      <c r="CG273" s="330" t="s">
        <v>242</v>
      </c>
      <c r="CH273" s="330"/>
      <c r="CI273" s="330"/>
      <c r="CJ273" s="330"/>
      <c r="CK273" s="330"/>
      <c r="CL273" s="330"/>
      <c r="CM273" s="330"/>
      <c r="CN273" s="330"/>
      <c r="CO273" s="330"/>
      <c r="CP273" s="330"/>
      <c r="CQ273" s="330"/>
      <c r="CR273" s="330"/>
      <c r="CS273" s="330"/>
      <c r="CT273" s="330"/>
      <c r="CU273" s="330"/>
      <c r="CV273" s="330"/>
      <c r="CW273" s="330"/>
      <c r="CX273" s="330"/>
      <c r="CY273" s="330"/>
      <c r="CZ273" s="330"/>
      <c r="DA273" s="330"/>
      <c r="DB273" s="330" t="b">
        <v>1</v>
      </c>
      <c r="DC273" s="330" t="b">
        <v>1</v>
      </c>
      <c r="DD273" s="330"/>
      <c r="DE273" s="330"/>
      <c r="DF273" s="338">
        <v>24079</v>
      </c>
      <c r="DG273" s="330" t="s">
        <v>221</v>
      </c>
      <c r="DH273" s="330"/>
      <c r="DI273" s="340">
        <v>102.1</v>
      </c>
      <c r="DJ273" s="330"/>
      <c r="DK273" s="330">
        <v>102.1</v>
      </c>
      <c r="DL273" s="330" t="s">
        <v>912</v>
      </c>
      <c r="DM273" s="330"/>
      <c r="DN273" s="330"/>
      <c r="DO273" s="330"/>
      <c r="DP273" s="330"/>
      <c r="DQ273" s="338" t="s">
        <v>197</v>
      </c>
      <c r="DR273" s="330"/>
      <c r="DS273" s="330"/>
      <c r="DT273" s="330"/>
      <c r="DU273" s="338" t="s">
        <v>197</v>
      </c>
      <c r="DV273" s="330"/>
      <c r="DW273" s="330"/>
      <c r="DX273" s="330"/>
      <c r="DY273" s="338" t="s">
        <v>197</v>
      </c>
      <c r="DZ273" s="330"/>
      <c r="EA273" s="330"/>
      <c r="EB273" s="330"/>
      <c r="EC273" s="330" t="s">
        <v>197</v>
      </c>
      <c r="ED273" s="338" t="s">
        <v>197</v>
      </c>
      <c r="EE273" s="330">
        <v>80</v>
      </c>
      <c r="EF273" s="330">
        <v>462</v>
      </c>
      <c r="EG273" s="330"/>
      <c r="EH273" s="330"/>
      <c r="EI273" s="330"/>
      <c r="EJ273" s="330"/>
      <c r="EK273" s="330"/>
      <c r="EL273" s="330"/>
      <c r="EM273" s="330"/>
      <c r="EN273" s="330"/>
      <c r="EO273" s="330"/>
      <c r="EP273" s="330"/>
      <c r="EQ273" s="332" t="s">
        <v>936</v>
      </c>
      <c r="ER273" s="330"/>
      <c r="ES273" s="330"/>
      <c r="ET273" s="332" t="s">
        <v>245</v>
      </c>
      <c r="EU273" s="332" t="s">
        <v>246</v>
      </c>
      <c r="EV273" s="330"/>
      <c r="EW273" s="330"/>
      <c r="EX273" s="330" t="s">
        <v>200</v>
      </c>
      <c r="EY273" s="330"/>
      <c r="EZ273" s="330" t="s">
        <v>247</v>
      </c>
      <c r="FA273" s="330"/>
      <c r="FB273" s="330" t="s">
        <v>247</v>
      </c>
      <c r="FC273" s="330" t="s">
        <v>202</v>
      </c>
      <c r="FD273" s="332" t="s">
        <v>190</v>
      </c>
      <c r="FE273" s="330"/>
      <c r="FF273" s="330"/>
      <c r="FG273" s="330" t="s">
        <v>203</v>
      </c>
      <c r="FH273" s="330"/>
      <c r="FI273" s="330" t="s">
        <v>204</v>
      </c>
      <c r="FJ273" s="330"/>
      <c r="FK273" s="330" t="s">
        <v>902</v>
      </c>
      <c r="FL273" s="330" t="s">
        <v>192</v>
      </c>
      <c r="FM273" s="330" t="s">
        <v>627</v>
      </c>
      <c r="FN273" s="330" t="s">
        <v>2490</v>
      </c>
      <c r="FO273" s="330"/>
      <c r="FP273" s="330" t="s">
        <v>459</v>
      </c>
      <c r="FQ273" s="330"/>
      <c r="FR273" s="330"/>
      <c r="FS273" s="330"/>
      <c r="FT273" s="330"/>
      <c r="FU273" s="330"/>
    </row>
    <row r="274" spans="1:177" ht="165.75" x14ac:dyDescent="0.25">
      <c r="A274" s="330">
        <v>273</v>
      </c>
      <c r="B274" s="331" t="s">
        <v>2491</v>
      </c>
      <c r="C274" s="330"/>
      <c r="D274" s="332" t="s">
        <v>900</v>
      </c>
      <c r="E274" s="332" t="s">
        <v>901</v>
      </c>
      <c r="F274" s="332" t="s">
        <v>902</v>
      </c>
      <c r="G274" s="330" t="s">
        <v>903</v>
      </c>
      <c r="H274" s="331">
        <v>400</v>
      </c>
      <c r="I274" s="330"/>
      <c r="J274" s="332" t="s">
        <v>2492</v>
      </c>
      <c r="K274" s="332" t="s">
        <v>2493</v>
      </c>
      <c r="L274" s="330" t="s">
        <v>284</v>
      </c>
      <c r="M274" s="332" t="s">
        <v>751</v>
      </c>
      <c r="N274" s="330"/>
      <c r="O274" s="333"/>
      <c r="P274" s="333"/>
      <c r="Q274" s="333"/>
      <c r="R274" s="333">
        <v>41</v>
      </c>
      <c r="S274" s="333"/>
      <c r="T274" s="333"/>
      <c r="U274" s="333"/>
      <c r="V274" s="333"/>
      <c r="W274" s="330"/>
      <c r="X274" s="330"/>
      <c r="Y274" s="332" t="s">
        <v>2494</v>
      </c>
      <c r="Z274" s="330" t="s">
        <v>215</v>
      </c>
      <c r="AA274" s="330" t="s">
        <v>2495</v>
      </c>
      <c r="AB274" s="330" t="s">
        <v>217</v>
      </c>
      <c r="AC274" s="330" t="b">
        <v>1</v>
      </c>
      <c r="AD274" s="330" t="s">
        <v>924</v>
      </c>
      <c r="AE274" s="330">
        <v>1</v>
      </c>
      <c r="AF274" s="330">
        <v>8</v>
      </c>
      <c r="AG274" s="332" t="s">
        <v>2246</v>
      </c>
      <c r="AH274" s="332" t="s">
        <v>191</v>
      </c>
      <c r="AI274" s="330" t="s">
        <v>191</v>
      </c>
      <c r="AJ274" s="330" t="s">
        <v>191</v>
      </c>
      <c r="AK274" s="330" t="s">
        <v>627</v>
      </c>
      <c r="AL274" s="330"/>
      <c r="AM274" s="330" t="s">
        <v>191</v>
      </c>
      <c r="AN274" s="330"/>
      <c r="AO274" s="330"/>
      <c r="AP274" s="332" t="s">
        <v>259</v>
      </c>
      <c r="AQ274" s="330"/>
      <c r="AR274" s="330"/>
      <c r="AS274" s="330"/>
      <c r="AT274" s="330"/>
      <c r="AU274" s="332"/>
      <c r="AV274" s="334">
        <v>46118.538882175926</v>
      </c>
      <c r="AW274" s="330"/>
      <c r="AX274" s="335">
        <v>46139</v>
      </c>
      <c r="AY274" s="330"/>
      <c r="AZ274" s="330"/>
      <c r="BA274" s="330"/>
      <c r="BB274" s="330"/>
      <c r="BC274" s="336">
        <v>46160</v>
      </c>
      <c r="BD274" s="330"/>
      <c r="BE274" s="330"/>
      <c r="BF274" s="330"/>
      <c r="BG274" s="330"/>
      <c r="BH274" s="330" t="s">
        <v>193</v>
      </c>
      <c r="BI274" s="330">
        <v>300</v>
      </c>
      <c r="BJ274" s="330"/>
      <c r="BK274" s="330"/>
      <c r="BL274" s="330"/>
      <c r="BM274" s="332"/>
      <c r="BN274" s="330"/>
      <c r="BO274" s="330" t="s">
        <v>240</v>
      </c>
      <c r="BP274" s="330" t="s">
        <v>193</v>
      </c>
      <c r="BQ274" s="330" t="s">
        <v>909</v>
      </c>
      <c r="BR274" s="330" t="s">
        <v>193</v>
      </c>
      <c r="BS274" s="330" t="s">
        <v>2496</v>
      </c>
      <c r="BT274" s="330" t="s">
        <v>220</v>
      </c>
      <c r="BU274" s="330"/>
      <c r="BV274" s="330" t="s">
        <v>193</v>
      </c>
      <c r="BW274" s="330" t="s">
        <v>2049</v>
      </c>
      <c r="BX274" s="332"/>
      <c r="BY274" s="330"/>
      <c r="BZ274" s="330"/>
      <c r="CA274" s="330"/>
      <c r="CB274" s="330"/>
      <c r="CC274" s="337" t="s">
        <v>81</v>
      </c>
      <c r="CD274" s="330" t="b">
        <v>1</v>
      </c>
      <c r="CE274" s="330" t="b">
        <v>1</v>
      </c>
      <c r="CF274" s="330" t="b">
        <v>1</v>
      </c>
      <c r="CG274" s="330"/>
      <c r="CH274" s="330"/>
      <c r="CI274" s="330"/>
      <c r="CJ274" s="330"/>
      <c r="CK274" s="330"/>
      <c r="CL274" s="330"/>
      <c r="CM274" s="330"/>
      <c r="CN274" s="330"/>
      <c r="CO274" s="330"/>
      <c r="CP274" s="330"/>
      <c r="CQ274" s="330"/>
      <c r="CR274" s="330"/>
      <c r="CS274" s="330"/>
      <c r="CT274" s="330"/>
      <c r="CU274" s="330"/>
      <c r="CV274" s="330"/>
      <c r="CW274" s="330"/>
      <c r="CX274" s="330"/>
      <c r="CY274" s="330"/>
      <c r="CZ274" s="330"/>
      <c r="DA274" s="330"/>
      <c r="DB274" s="330" t="b">
        <v>1</v>
      </c>
      <c r="DC274" s="330" t="b">
        <v>1</v>
      </c>
      <c r="DD274" s="330"/>
      <c r="DE274" s="330"/>
      <c r="DF274" s="338">
        <v>24079</v>
      </c>
      <c r="DG274" s="330" t="s">
        <v>221</v>
      </c>
      <c r="DH274" s="330"/>
      <c r="DI274" s="338">
        <v>201</v>
      </c>
      <c r="DJ274" s="330"/>
      <c r="DK274" s="330">
        <v>201</v>
      </c>
      <c r="DL274" s="330" t="s">
        <v>912</v>
      </c>
      <c r="DM274" s="330"/>
      <c r="DN274" s="330"/>
      <c r="DO274" s="330"/>
      <c r="DP274" s="330"/>
      <c r="DQ274" s="338" t="s">
        <v>197</v>
      </c>
      <c r="DR274" s="330"/>
      <c r="DS274" s="330"/>
      <c r="DT274" s="330"/>
      <c r="DU274" s="338" t="s">
        <v>197</v>
      </c>
      <c r="DV274" s="330"/>
      <c r="DW274" s="330"/>
      <c r="DX274" s="330"/>
      <c r="DY274" s="338" t="s">
        <v>197</v>
      </c>
      <c r="DZ274" s="330"/>
      <c r="EA274" s="330"/>
      <c r="EB274" s="330"/>
      <c r="EC274" s="330" t="s">
        <v>197</v>
      </c>
      <c r="ED274" s="338" t="s">
        <v>197</v>
      </c>
      <c r="EE274" s="330">
        <v>20</v>
      </c>
      <c r="EF274" s="330">
        <v>60</v>
      </c>
      <c r="EG274" s="330"/>
      <c r="EH274" s="330"/>
      <c r="EI274" s="330"/>
      <c r="EJ274" s="330"/>
      <c r="EK274" s="330"/>
      <c r="EL274" s="330"/>
      <c r="EM274" s="330"/>
      <c r="EN274" s="330"/>
      <c r="EO274" s="330"/>
      <c r="EP274" s="330"/>
      <c r="EQ274" s="332" t="s">
        <v>224</v>
      </c>
      <c r="ER274" s="330"/>
      <c r="ES274" s="330"/>
      <c r="ET274" s="332" t="s">
        <v>245</v>
      </c>
      <c r="EU274" s="332" t="s">
        <v>354</v>
      </c>
      <c r="EV274" s="330"/>
      <c r="EW274" s="330"/>
      <c r="EX274" s="330" t="s">
        <v>200</v>
      </c>
      <c r="EY274" s="330"/>
      <c r="EZ274" s="330" t="s">
        <v>247</v>
      </c>
      <c r="FA274" s="330"/>
      <c r="FB274" s="330" t="s">
        <v>247</v>
      </c>
      <c r="FC274" s="330" t="s">
        <v>202</v>
      </c>
      <c r="FD274" s="332" t="s">
        <v>190</v>
      </c>
      <c r="FE274" s="330"/>
      <c r="FF274" s="330"/>
      <c r="FG274" s="330" t="s">
        <v>203</v>
      </c>
      <c r="FH274" s="330"/>
      <c r="FI274" s="330" t="s">
        <v>204</v>
      </c>
      <c r="FJ274" s="330"/>
      <c r="FK274" s="330" t="s">
        <v>902</v>
      </c>
      <c r="FL274" s="330"/>
      <c r="FM274" s="330" t="s">
        <v>191</v>
      </c>
      <c r="FN274" s="330" t="s">
        <v>2497</v>
      </c>
      <c r="FO274" s="330"/>
      <c r="FP274" s="330" t="s">
        <v>2108</v>
      </c>
      <c r="FQ274" s="330"/>
      <c r="FR274" s="330"/>
      <c r="FS274" s="330"/>
      <c r="FT274" s="330"/>
      <c r="FU274" s="330"/>
    </row>
    <row r="275" spans="1:177" ht="165.75" x14ac:dyDescent="0.25">
      <c r="A275" s="330">
        <v>274</v>
      </c>
      <c r="B275" s="331" t="s">
        <v>2498</v>
      </c>
      <c r="C275" s="330"/>
      <c r="D275" s="332" t="s">
        <v>2499</v>
      </c>
      <c r="E275" s="332" t="s">
        <v>2500</v>
      </c>
      <c r="F275" s="332" t="s">
        <v>1146</v>
      </c>
      <c r="G275" s="330" t="s">
        <v>1147</v>
      </c>
      <c r="H275" s="331" t="s">
        <v>328</v>
      </c>
      <c r="I275" s="330"/>
      <c r="J275" s="332" t="s">
        <v>2501</v>
      </c>
      <c r="K275" s="332" t="s">
        <v>2502</v>
      </c>
      <c r="L275" s="330" t="s">
        <v>1380</v>
      </c>
      <c r="M275" s="332"/>
      <c r="N275" s="330" t="s">
        <v>2503</v>
      </c>
      <c r="O275" s="333" t="s">
        <v>184</v>
      </c>
      <c r="P275" s="333" t="s">
        <v>184</v>
      </c>
      <c r="Q275" s="333" t="s">
        <v>184</v>
      </c>
      <c r="R275" s="333">
        <v>0</v>
      </c>
      <c r="S275" s="333">
        <v>2</v>
      </c>
      <c r="T275" s="333">
        <v>2</v>
      </c>
      <c r="U275" s="333">
        <v>0</v>
      </c>
      <c r="V275" s="333">
        <v>0</v>
      </c>
      <c r="W275" s="330">
        <v>1</v>
      </c>
      <c r="X275" s="330" t="s">
        <v>184</v>
      </c>
      <c r="Y275" s="332" t="s">
        <v>2504</v>
      </c>
      <c r="Z275" s="330" t="s">
        <v>739</v>
      </c>
      <c r="AA275" s="330" t="s">
        <v>2505</v>
      </c>
      <c r="AB275" s="330" t="s">
        <v>189</v>
      </c>
      <c r="AC275" s="330"/>
      <c r="AD275" s="330"/>
      <c r="AE275" s="330" t="s">
        <v>1293</v>
      </c>
      <c r="AF275" s="330" t="s">
        <v>1293</v>
      </c>
      <c r="AG275" s="332" t="s">
        <v>1294</v>
      </c>
      <c r="AH275" s="332" t="s">
        <v>191</v>
      </c>
      <c r="AI275" s="330"/>
      <c r="AJ275" s="330"/>
      <c r="AK275" s="330"/>
      <c r="AL275" s="330" t="s">
        <v>741</v>
      </c>
      <c r="AM275" s="330" t="s">
        <v>202</v>
      </c>
      <c r="AN275" s="330" t="s">
        <v>741</v>
      </c>
      <c r="AO275" s="330"/>
      <c r="AP275" s="332"/>
      <c r="AQ275" s="330"/>
      <c r="AR275" s="330"/>
      <c r="AS275" s="330"/>
      <c r="AT275" s="330"/>
      <c r="AU275" s="332" t="s">
        <v>741</v>
      </c>
      <c r="AV275" s="334">
        <v>46118.62446673611</v>
      </c>
      <c r="AW275" s="330" t="b">
        <v>1</v>
      </c>
      <c r="AX275" s="335">
        <v>46126</v>
      </c>
      <c r="AY275" s="336">
        <v>46119</v>
      </c>
      <c r="AZ275" s="330" t="b">
        <v>1</v>
      </c>
      <c r="BA275" s="336">
        <v>46125</v>
      </c>
      <c r="BB275" s="330"/>
      <c r="BC275" s="336">
        <v>46119</v>
      </c>
      <c r="BD275" s="330"/>
      <c r="BE275" s="330"/>
      <c r="BF275" s="336">
        <v>46128</v>
      </c>
      <c r="BG275" s="330"/>
      <c r="BH275" s="330" t="s">
        <v>193</v>
      </c>
      <c r="BI275" s="330">
        <v>1</v>
      </c>
      <c r="BJ275" s="330"/>
      <c r="BK275" s="330"/>
      <c r="BL275" s="330"/>
      <c r="BM275" s="332"/>
      <c r="BN275" s="330"/>
      <c r="BO275" s="330"/>
      <c r="BP275" s="330"/>
      <c r="BQ275" s="330"/>
      <c r="BR275" s="330"/>
      <c r="BS275" s="330"/>
      <c r="BT275" s="330"/>
      <c r="BU275" s="330"/>
      <c r="BV275" s="330"/>
      <c r="BW275" s="330"/>
      <c r="BX275" s="332"/>
      <c r="BY275" s="330"/>
      <c r="BZ275" s="330"/>
      <c r="CA275" s="330"/>
      <c r="CB275" s="330"/>
      <c r="CC275" s="337" t="s">
        <v>1293</v>
      </c>
      <c r="CD275" s="330"/>
      <c r="CE275" s="330" t="b">
        <v>1</v>
      </c>
      <c r="CF275" s="330"/>
      <c r="CG275" s="330"/>
      <c r="CH275" s="330"/>
      <c r="CI275" s="330"/>
      <c r="CJ275" s="330"/>
      <c r="CK275" s="330"/>
      <c r="CL275" s="330"/>
      <c r="CM275" s="330"/>
      <c r="CN275" s="330"/>
      <c r="CO275" s="330" t="b">
        <v>1</v>
      </c>
      <c r="CP275" s="330" t="b">
        <v>1</v>
      </c>
      <c r="CQ275" s="330"/>
      <c r="CR275" s="330"/>
      <c r="CS275" s="330"/>
      <c r="CT275" s="330"/>
      <c r="CU275" s="330"/>
      <c r="CV275" s="330"/>
      <c r="CW275" s="330"/>
      <c r="CX275" s="330"/>
      <c r="CY275" s="330"/>
      <c r="CZ275" s="330"/>
      <c r="DA275" s="330"/>
      <c r="DB275" s="330"/>
      <c r="DC275" s="330"/>
      <c r="DD275" s="330"/>
      <c r="DE275" s="330"/>
      <c r="DF275" s="338">
        <v>25031</v>
      </c>
      <c r="DG275" s="330" t="s">
        <v>764</v>
      </c>
      <c r="DH275" s="330"/>
      <c r="DI275" s="338" t="s">
        <v>959</v>
      </c>
      <c r="DJ275" s="330"/>
      <c r="DK275" s="330">
        <v>6</v>
      </c>
      <c r="DL275" s="330" t="s">
        <v>4110</v>
      </c>
      <c r="DM275" s="330"/>
      <c r="DN275" s="330"/>
      <c r="DO275" s="330"/>
      <c r="DP275" s="330"/>
      <c r="DQ275" s="338" t="s">
        <v>197</v>
      </c>
      <c r="DR275" s="330"/>
      <c r="DS275" s="330"/>
      <c r="DT275" s="330"/>
      <c r="DU275" s="338" t="s">
        <v>197</v>
      </c>
      <c r="DV275" s="330"/>
      <c r="DW275" s="330"/>
      <c r="DX275" s="330"/>
      <c r="DY275" s="338" t="s">
        <v>197</v>
      </c>
      <c r="DZ275" s="330"/>
      <c r="EA275" s="330"/>
      <c r="EB275" s="330"/>
      <c r="EC275" s="330" t="s">
        <v>197</v>
      </c>
      <c r="ED275" s="338" t="s">
        <v>197</v>
      </c>
      <c r="EE275" s="343">
        <v>0.25</v>
      </c>
      <c r="EF275" s="330">
        <v>1</v>
      </c>
      <c r="EG275" s="330"/>
      <c r="EH275" s="330"/>
      <c r="EI275" s="330"/>
      <c r="EJ275" s="330"/>
      <c r="EK275" s="330"/>
      <c r="EL275" s="330"/>
      <c r="EM275" s="330"/>
      <c r="EN275" s="330"/>
      <c r="EO275" s="330"/>
      <c r="EP275" s="330"/>
      <c r="EQ275" s="332"/>
      <c r="ER275" s="330"/>
      <c r="ES275" s="330"/>
      <c r="ET275" s="332"/>
      <c r="EU275" s="332" t="s">
        <v>199</v>
      </c>
      <c r="EV275" s="330"/>
      <c r="EW275" s="330"/>
      <c r="EX275" s="330" t="s">
        <v>200</v>
      </c>
      <c r="EY275" s="330"/>
      <c r="EZ275" s="330" t="s">
        <v>201</v>
      </c>
      <c r="FA275" s="336">
        <v>46121</v>
      </c>
      <c r="FB275" s="330">
        <v>6</v>
      </c>
      <c r="FC275" s="330" t="s">
        <v>202</v>
      </c>
      <c r="FD275" s="332" t="s">
        <v>190</v>
      </c>
      <c r="FE275" s="336">
        <v>46128</v>
      </c>
      <c r="FF275" s="330" t="b">
        <v>1</v>
      </c>
      <c r="FG275" s="330">
        <v>-8</v>
      </c>
      <c r="FH275" s="330" t="s">
        <v>2506</v>
      </c>
      <c r="FI275" s="330" t="s">
        <v>204</v>
      </c>
      <c r="FJ275" s="330"/>
      <c r="FK275" s="330" t="s">
        <v>1146</v>
      </c>
      <c r="FL275" s="330" t="s">
        <v>741</v>
      </c>
      <c r="FM275" s="330" t="s">
        <v>202</v>
      </c>
      <c r="FN275" s="330" t="s">
        <v>2507</v>
      </c>
      <c r="FO275" s="330"/>
      <c r="FP275" s="330" t="s">
        <v>1794</v>
      </c>
      <c r="FQ275" s="330"/>
      <c r="FR275" s="330"/>
      <c r="FS275" s="330"/>
      <c r="FT275" s="330"/>
      <c r="FU275" s="330"/>
    </row>
    <row r="276" spans="1:177" ht="127.5" x14ac:dyDescent="0.25">
      <c r="A276" s="330">
        <v>275</v>
      </c>
      <c r="B276" s="331" t="s">
        <v>2508</v>
      </c>
      <c r="C276" s="330"/>
      <c r="D276" s="332" t="s">
        <v>304</v>
      </c>
      <c r="E276" s="332" t="s">
        <v>305</v>
      </c>
      <c r="F276" s="332" t="s">
        <v>306</v>
      </c>
      <c r="G276" s="330" t="s">
        <v>307</v>
      </c>
      <c r="H276" s="331">
        <v>600</v>
      </c>
      <c r="I276" s="330"/>
      <c r="J276" s="332"/>
      <c r="K276" s="332" t="s">
        <v>2509</v>
      </c>
      <c r="L276" s="330"/>
      <c r="M276" s="332"/>
      <c r="N276" s="330"/>
      <c r="O276" s="333"/>
      <c r="P276" s="333"/>
      <c r="Q276" s="333">
        <v>2014</v>
      </c>
      <c r="R276" s="333" t="s">
        <v>318</v>
      </c>
      <c r="S276" s="333"/>
      <c r="T276" s="333"/>
      <c r="U276" s="333"/>
      <c r="V276" s="333"/>
      <c r="W276" s="330"/>
      <c r="X276" s="330"/>
      <c r="Y276" s="332" t="s">
        <v>2510</v>
      </c>
      <c r="Z276" s="330" t="s">
        <v>215</v>
      </c>
      <c r="AA276" s="330" t="s">
        <v>2511</v>
      </c>
      <c r="AB276" s="330" t="s">
        <v>217</v>
      </c>
      <c r="AC276" s="330"/>
      <c r="AD276" s="330"/>
      <c r="AE276" s="330">
        <v>5</v>
      </c>
      <c r="AF276" s="330">
        <v>8</v>
      </c>
      <c r="AG276" s="332" t="s">
        <v>191</v>
      </c>
      <c r="AH276" s="332" t="s">
        <v>191</v>
      </c>
      <c r="AI276" s="330" t="s">
        <v>191</v>
      </c>
      <c r="AJ276" s="330" t="s">
        <v>191</v>
      </c>
      <c r="AK276" s="330"/>
      <c r="AL276" s="330"/>
      <c r="AM276" s="330"/>
      <c r="AN276" s="330"/>
      <c r="AO276" s="330"/>
      <c r="AP276" s="332" t="s">
        <v>259</v>
      </c>
      <c r="AQ276" s="330"/>
      <c r="AR276" s="330"/>
      <c r="AS276" s="330"/>
      <c r="AT276" s="330"/>
      <c r="AU276" s="332"/>
      <c r="AV276" s="334">
        <v>46118.654899479166</v>
      </c>
      <c r="AW276" s="330" t="b">
        <v>1</v>
      </c>
      <c r="AX276" s="335">
        <v>46139</v>
      </c>
      <c r="AY276" s="330"/>
      <c r="AZ276" s="330"/>
      <c r="BA276" s="330"/>
      <c r="BB276" s="330"/>
      <c r="BC276" s="336">
        <v>46146</v>
      </c>
      <c r="BD276" s="330"/>
      <c r="BE276" s="330"/>
      <c r="BF276" s="330"/>
      <c r="BG276" s="330"/>
      <c r="BH276" s="330" t="s">
        <v>220</v>
      </c>
      <c r="BI276" s="330">
        <v>14</v>
      </c>
      <c r="BJ276" s="336">
        <v>46120</v>
      </c>
      <c r="BK276" s="330"/>
      <c r="BL276" s="330"/>
      <c r="BM276" s="332"/>
      <c r="BN276" s="330"/>
      <c r="BO276" s="330" t="s">
        <v>240</v>
      </c>
      <c r="BP276" s="330" t="s">
        <v>193</v>
      </c>
      <c r="BQ276" s="330" t="s">
        <v>218</v>
      </c>
      <c r="BR276" s="330" t="s">
        <v>220</v>
      </c>
      <c r="BS276" s="330"/>
      <c r="BT276" s="330" t="s">
        <v>193</v>
      </c>
      <c r="BU276" s="330" t="s">
        <v>2512</v>
      </c>
      <c r="BV276" s="330" t="s">
        <v>220</v>
      </c>
      <c r="BW276" s="330"/>
      <c r="BX276" s="332"/>
      <c r="BY276" s="330"/>
      <c r="BZ276" s="330"/>
      <c r="CA276" s="330"/>
      <c r="CB276" s="330"/>
      <c r="CC276" s="337" t="s">
        <v>911</v>
      </c>
      <c r="CD276" s="330" t="b">
        <v>1</v>
      </c>
      <c r="CE276" s="330" t="b">
        <v>1</v>
      </c>
      <c r="CF276" s="330" t="b">
        <v>1</v>
      </c>
      <c r="CG276" s="330"/>
      <c r="CH276" s="330"/>
      <c r="CI276" s="330"/>
      <c r="CJ276" s="330"/>
      <c r="CK276" s="330"/>
      <c r="CL276" s="330"/>
      <c r="CM276" s="330"/>
      <c r="CN276" s="330"/>
      <c r="CO276" s="330"/>
      <c r="CP276" s="330"/>
      <c r="CQ276" s="330"/>
      <c r="CR276" s="330"/>
      <c r="CS276" s="330"/>
      <c r="CT276" s="330"/>
      <c r="CU276" s="330"/>
      <c r="CV276" s="330"/>
      <c r="CW276" s="330"/>
      <c r="CX276" s="330"/>
      <c r="CY276" s="330"/>
      <c r="CZ276" s="330"/>
      <c r="DA276" s="330"/>
      <c r="DB276" s="330" t="b">
        <v>1</v>
      </c>
      <c r="DC276" s="330" t="b">
        <v>1</v>
      </c>
      <c r="DD276" s="330"/>
      <c r="DE276" s="330"/>
      <c r="DF276" s="338">
        <v>25002</v>
      </c>
      <c r="DG276" s="330" t="s">
        <v>221</v>
      </c>
      <c r="DH276" s="330"/>
      <c r="DI276" s="338">
        <v>14</v>
      </c>
      <c r="DJ276" s="330"/>
      <c r="DK276" s="330">
        <v>14</v>
      </c>
      <c r="DL276" s="330" t="s">
        <v>4090</v>
      </c>
      <c r="DM276" s="330"/>
      <c r="DN276" s="330"/>
      <c r="DO276" s="336">
        <v>46122</v>
      </c>
      <c r="DP276" s="336">
        <v>46125</v>
      </c>
      <c r="DQ276" s="338">
        <v>2</v>
      </c>
      <c r="DR276" s="330"/>
      <c r="DS276" s="330"/>
      <c r="DT276" s="330"/>
      <c r="DU276" s="338" t="s">
        <v>197</v>
      </c>
      <c r="DV276" s="330"/>
      <c r="DW276" s="330"/>
      <c r="DX276" s="330"/>
      <c r="DY276" s="338" t="s">
        <v>197</v>
      </c>
      <c r="DZ276" s="330"/>
      <c r="EA276" s="330"/>
      <c r="EB276" s="330"/>
      <c r="EC276" s="330" t="s">
        <v>197</v>
      </c>
      <c r="ED276" s="338">
        <v>2</v>
      </c>
      <c r="EE276" s="330">
        <v>10</v>
      </c>
      <c r="EF276" s="330">
        <v>10</v>
      </c>
      <c r="EG276" s="330"/>
      <c r="EH276" s="330"/>
      <c r="EI276" s="330"/>
      <c r="EJ276" s="330"/>
      <c r="EK276" s="330"/>
      <c r="EL276" s="330"/>
      <c r="EM276" s="330"/>
      <c r="EN276" s="330"/>
      <c r="EO276" s="330"/>
      <c r="EP276" s="330"/>
      <c r="EQ276" s="332" t="s">
        <v>244</v>
      </c>
      <c r="ER276" s="330"/>
      <c r="ES276" s="330"/>
      <c r="ET276" s="332" t="s">
        <v>245</v>
      </c>
      <c r="EU276" s="332" t="s">
        <v>354</v>
      </c>
      <c r="EV276" s="330"/>
      <c r="EW276" s="330"/>
      <c r="EX276" s="330" t="s">
        <v>200</v>
      </c>
      <c r="EY276" s="330"/>
      <c r="EZ276" s="330" t="s">
        <v>247</v>
      </c>
      <c r="FA276" s="330"/>
      <c r="FB276" s="330" t="s">
        <v>247</v>
      </c>
      <c r="FC276" s="330" t="s">
        <v>202</v>
      </c>
      <c r="FD276" s="332" t="s">
        <v>190</v>
      </c>
      <c r="FE276" s="330"/>
      <c r="FF276" s="330"/>
      <c r="FG276" s="330" t="s">
        <v>203</v>
      </c>
      <c r="FH276" s="330" t="s">
        <v>2513</v>
      </c>
      <c r="FI276" s="330" t="s">
        <v>204</v>
      </c>
      <c r="FJ276" s="330"/>
      <c r="FK276" s="330" t="s">
        <v>306</v>
      </c>
      <c r="FL276" s="330"/>
      <c r="FM276" s="330"/>
      <c r="FN276" s="330" t="s">
        <v>2514</v>
      </c>
      <c r="FO276" s="330"/>
      <c r="FP276" s="330" t="s">
        <v>1952</v>
      </c>
      <c r="FQ276" s="330"/>
      <c r="FR276" s="330"/>
      <c r="FS276" s="330"/>
      <c r="FT276" s="330"/>
      <c r="FU276" s="330"/>
    </row>
    <row r="277" spans="1:177" ht="38.25" x14ac:dyDescent="0.25">
      <c r="A277" s="330">
        <v>276</v>
      </c>
      <c r="B277" s="331" t="s">
        <v>2515</v>
      </c>
      <c r="C277" s="330"/>
      <c r="D277" s="332" t="s">
        <v>325</v>
      </c>
      <c r="E277" s="332" t="s">
        <v>326</v>
      </c>
      <c r="F277" s="332" t="s">
        <v>327</v>
      </c>
      <c r="G277" s="330"/>
      <c r="H277" s="331" t="s">
        <v>731</v>
      </c>
      <c r="I277" s="330"/>
      <c r="J277" s="332" t="s">
        <v>2516</v>
      </c>
      <c r="K277" s="332" t="s">
        <v>2517</v>
      </c>
      <c r="L277" s="330" t="s">
        <v>2518</v>
      </c>
      <c r="M277" s="332" t="s">
        <v>2519</v>
      </c>
      <c r="N277" s="330" t="s">
        <v>2520</v>
      </c>
      <c r="O277" s="333" t="s">
        <v>184</v>
      </c>
      <c r="P277" s="333" t="s">
        <v>184</v>
      </c>
      <c r="Q277" s="333" t="s">
        <v>184</v>
      </c>
      <c r="R277" s="333">
        <v>0</v>
      </c>
      <c r="S277" s="333">
        <v>45</v>
      </c>
      <c r="T277" s="333">
        <v>9</v>
      </c>
      <c r="U277" s="333">
        <v>0</v>
      </c>
      <c r="V277" s="333">
        <v>0</v>
      </c>
      <c r="W277" s="330">
        <v>6</v>
      </c>
      <c r="X277" s="330" t="s">
        <v>2521</v>
      </c>
      <c r="Y277" s="332" t="s">
        <v>2522</v>
      </c>
      <c r="Z277" s="330" t="s">
        <v>2414</v>
      </c>
      <c r="AA277" s="330" t="s">
        <v>2523</v>
      </c>
      <c r="AB277" s="330" t="s">
        <v>189</v>
      </c>
      <c r="AC277" s="330"/>
      <c r="AD277" s="330"/>
      <c r="AE277" s="330">
        <v>1</v>
      </c>
      <c r="AF277" s="330">
        <v>9</v>
      </c>
      <c r="AG277" s="332" t="s">
        <v>1664</v>
      </c>
      <c r="AH277" s="332" t="s">
        <v>202</v>
      </c>
      <c r="AI277" s="330"/>
      <c r="AJ277" s="330"/>
      <c r="AK277" s="330"/>
      <c r="AL277" s="330" t="s">
        <v>742</v>
      </c>
      <c r="AM277" s="330" t="s">
        <v>202</v>
      </c>
      <c r="AN277" s="330" t="s">
        <v>742</v>
      </c>
      <c r="AO277" s="330"/>
      <c r="AP277" s="332"/>
      <c r="AQ277" s="330" t="s">
        <v>789</v>
      </c>
      <c r="AR277" s="330"/>
      <c r="AS277" s="330" t="b">
        <v>1</v>
      </c>
      <c r="AT277" s="330"/>
      <c r="AU277" s="332" t="s">
        <v>742</v>
      </c>
      <c r="AV277" s="334">
        <v>46119.289051215281</v>
      </c>
      <c r="AW277" s="330" t="b">
        <v>1</v>
      </c>
      <c r="AX277" s="335">
        <v>46140</v>
      </c>
      <c r="AY277" s="336">
        <v>46122</v>
      </c>
      <c r="AZ277" s="330" t="b">
        <v>1</v>
      </c>
      <c r="BA277" s="336">
        <v>46140</v>
      </c>
      <c r="BB277" s="330"/>
      <c r="BC277" s="336">
        <v>46129</v>
      </c>
      <c r="BD277" s="330"/>
      <c r="BE277" s="330"/>
      <c r="BF277" s="330"/>
      <c r="BG277" s="330"/>
      <c r="BH277" s="330" t="s">
        <v>220</v>
      </c>
      <c r="BI277" s="330"/>
      <c r="BJ277" s="336">
        <v>46122</v>
      </c>
      <c r="BK277" s="330"/>
      <c r="BL277" s="330"/>
      <c r="BM277" s="332"/>
      <c r="BN277" s="330"/>
      <c r="BO277" s="330"/>
      <c r="BP277" s="330"/>
      <c r="BQ277" s="330" t="s">
        <v>338</v>
      </c>
      <c r="BR277" s="330" t="s">
        <v>220</v>
      </c>
      <c r="BS277" s="330"/>
      <c r="BT277" s="330" t="s">
        <v>220</v>
      </c>
      <c r="BU277" s="330"/>
      <c r="BV277" s="330" t="s">
        <v>220</v>
      </c>
      <c r="BW277" s="330"/>
      <c r="BX277" s="332"/>
      <c r="BY277" s="330"/>
      <c r="BZ277" s="330"/>
      <c r="CA277" s="330"/>
      <c r="CB277" s="330"/>
      <c r="CC277" s="337" t="s">
        <v>2524</v>
      </c>
      <c r="CD277" s="330"/>
      <c r="CE277" s="330" t="b">
        <v>1</v>
      </c>
      <c r="CF277" s="330"/>
      <c r="CG277" s="330"/>
      <c r="CH277" s="330"/>
      <c r="CI277" s="330"/>
      <c r="CJ277" s="330" t="b">
        <v>1</v>
      </c>
      <c r="CK277" s="330"/>
      <c r="CL277" s="330"/>
      <c r="CM277" s="330"/>
      <c r="CN277" s="330"/>
      <c r="CO277" s="330"/>
      <c r="CP277" s="330"/>
      <c r="CQ277" s="330"/>
      <c r="CR277" s="330"/>
      <c r="CS277" s="330"/>
      <c r="CT277" s="330"/>
      <c r="CU277" s="330"/>
      <c r="CV277" s="330"/>
      <c r="CW277" s="330"/>
      <c r="CX277" s="330" t="b">
        <v>1</v>
      </c>
      <c r="CY277" s="330"/>
      <c r="CZ277" s="330"/>
      <c r="DA277" s="330"/>
      <c r="DB277" s="330"/>
      <c r="DC277" s="330"/>
      <c r="DD277" s="330"/>
      <c r="DE277" s="330"/>
      <c r="DF277" s="338" t="s">
        <v>2525</v>
      </c>
      <c r="DG277" s="330" t="s">
        <v>341</v>
      </c>
      <c r="DH277" s="330"/>
      <c r="DI277" s="338" t="s">
        <v>196</v>
      </c>
      <c r="DJ277" s="330"/>
      <c r="DK277" s="330">
        <v>1</v>
      </c>
      <c r="DL277" s="330" t="s">
        <v>2515</v>
      </c>
      <c r="DM277" s="330"/>
      <c r="DN277" s="330"/>
      <c r="DO277" s="330"/>
      <c r="DP277" s="330"/>
      <c r="DQ277" s="338" t="s">
        <v>197</v>
      </c>
      <c r="DR277" s="330"/>
      <c r="DS277" s="330"/>
      <c r="DT277" s="330"/>
      <c r="DU277" s="338" t="s">
        <v>197</v>
      </c>
      <c r="DV277" s="330"/>
      <c r="DW277" s="330"/>
      <c r="DX277" s="330"/>
      <c r="DY277" s="338" t="s">
        <v>197</v>
      </c>
      <c r="DZ277" s="330"/>
      <c r="EA277" s="330"/>
      <c r="EB277" s="330"/>
      <c r="EC277" s="330" t="s">
        <v>197</v>
      </c>
      <c r="ED277" s="338" t="s">
        <v>197</v>
      </c>
      <c r="EE277" s="330">
        <v>3</v>
      </c>
      <c r="EF277" s="330">
        <v>15</v>
      </c>
      <c r="EG277" s="330"/>
      <c r="EH277" s="330"/>
      <c r="EI277" s="330"/>
      <c r="EJ277" s="330"/>
      <c r="EK277" s="330"/>
      <c r="EL277" s="330"/>
      <c r="EM277" s="330"/>
      <c r="EN277" s="330"/>
      <c r="EO277" s="330"/>
      <c r="EP277" s="330"/>
      <c r="EQ277" s="332" t="s">
        <v>244</v>
      </c>
      <c r="ER277" s="330"/>
      <c r="ES277" s="330"/>
      <c r="ET277" s="332" t="s">
        <v>87</v>
      </c>
      <c r="EU277" s="332" t="s">
        <v>1707</v>
      </c>
      <c r="EV277" s="336">
        <v>46121</v>
      </c>
      <c r="EW277" s="336">
        <v>46121</v>
      </c>
      <c r="EX277" s="330">
        <v>1</v>
      </c>
      <c r="EY277" s="330"/>
      <c r="EZ277" s="330" t="s">
        <v>247</v>
      </c>
      <c r="FA277" s="330"/>
      <c r="FB277" s="330" t="s">
        <v>247</v>
      </c>
      <c r="FC277" s="330" t="s">
        <v>202</v>
      </c>
      <c r="FD277" s="332" t="s">
        <v>190</v>
      </c>
      <c r="FE277" s="330"/>
      <c r="FF277" s="330"/>
      <c r="FG277" s="330" t="s">
        <v>203</v>
      </c>
      <c r="FH277" s="330" t="s">
        <v>2526</v>
      </c>
      <c r="FI277" s="330" t="s">
        <v>204</v>
      </c>
      <c r="FJ277" s="330"/>
      <c r="FK277" s="330" t="s">
        <v>327</v>
      </c>
      <c r="FL277" s="330" t="s">
        <v>742</v>
      </c>
      <c r="FM277" s="330" t="s">
        <v>202</v>
      </c>
      <c r="FN277" s="330" t="s">
        <v>2527</v>
      </c>
      <c r="FO277" s="330"/>
      <c r="FP277" s="330" t="s">
        <v>639</v>
      </c>
      <c r="FQ277" s="330"/>
      <c r="FR277" s="330"/>
      <c r="FS277" s="330"/>
      <c r="FT277" s="330"/>
      <c r="FU277" s="330"/>
    </row>
    <row r="278" spans="1:177" ht="140.25" x14ac:dyDescent="0.25">
      <c r="A278" s="330">
        <v>277</v>
      </c>
      <c r="B278" s="331" t="s">
        <v>2528</v>
      </c>
      <c r="C278" s="330"/>
      <c r="D278" s="332" t="s">
        <v>1134</v>
      </c>
      <c r="E278" s="332" t="s">
        <v>1135</v>
      </c>
      <c r="F278" s="332" t="s">
        <v>1136</v>
      </c>
      <c r="G278" s="330" t="s">
        <v>1137</v>
      </c>
      <c r="H278" s="331">
        <v>400</v>
      </c>
      <c r="I278" s="330"/>
      <c r="J278" s="332"/>
      <c r="K278" s="332" t="s">
        <v>2529</v>
      </c>
      <c r="L278" s="330"/>
      <c r="M278" s="332" t="s">
        <v>2530</v>
      </c>
      <c r="N278" s="330" t="s">
        <v>2531</v>
      </c>
      <c r="O278" s="339">
        <v>0.68902439024390205</v>
      </c>
      <c r="P278" s="333">
        <v>113</v>
      </c>
      <c r="Q278" s="333">
        <v>164</v>
      </c>
      <c r="R278" s="333">
        <v>1</v>
      </c>
      <c r="S278" s="333">
        <v>1</v>
      </c>
      <c r="T278" s="333">
        <v>1</v>
      </c>
      <c r="U278" s="333">
        <v>6</v>
      </c>
      <c r="V278" s="333">
        <v>30</v>
      </c>
      <c r="W278" s="330">
        <v>1</v>
      </c>
      <c r="X278" s="330" t="s">
        <v>2532</v>
      </c>
      <c r="Y278" s="332" t="s">
        <v>2533</v>
      </c>
      <c r="Z278" s="330" t="s">
        <v>2534</v>
      </c>
      <c r="AA278" s="330" t="s">
        <v>2535</v>
      </c>
      <c r="AB278" s="330" t="s">
        <v>189</v>
      </c>
      <c r="AC278" s="330"/>
      <c r="AD278" s="330"/>
      <c r="AE278" s="330">
        <v>3</v>
      </c>
      <c r="AF278" s="330">
        <v>8</v>
      </c>
      <c r="AG278" s="332" t="s">
        <v>2160</v>
      </c>
      <c r="AH278" s="332" t="s">
        <v>191</v>
      </c>
      <c r="AI278" s="330"/>
      <c r="AJ278" s="330"/>
      <c r="AK278" s="330"/>
      <c r="AL278" s="330" t="s">
        <v>353</v>
      </c>
      <c r="AM278" s="330" t="s">
        <v>191</v>
      </c>
      <c r="AN278" s="330" t="s">
        <v>353</v>
      </c>
      <c r="AO278" s="330"/>
      <c r="AP278" s="332" t="s">
        <v>259</v>
      </c>
      <c r="AQ278" s="330"/>
      <c r="AR278" s="330"/>
      <c r="AS278" s="330" t="b">
        <v>1</v>
      </c>
      <c r="AT278" s="330"/>
      <c r="AU278" s="332" t="s">
        <v>353</v>
      </c>
      <c r="AV278" s="334">
        <v>46119.385150231479</v>
      </c>
      <c r="AW278" s="330" t="b">
        <v>1</v>
      </c>
      <c r="AX278" s="335">
        <v>46121</v>
      </c>
      <c r="AY278" s="336">
        <v>46121</v>
      </c>
      <c r="AZ278" s="330" t="b">
        <v>1</v>
      </c>
      <c r="BA278" s="336">
        <v>46139</v>
      </c>
      <c r="BB278" s="330"/>
      <c r="BC278" s="336">
        <v>46129</v>
      </c>
      <c r="BD278" s="330"/>
      <c r="BE278" s="330"/>
      <c r="BF278" s="330"/>
      <c r="BG278" s="330"/>
      <c r="BH278" s="330" t="s">
        <v>193</v>
      </c>
      <c r="BI278" s="330">
        <v>3</v>
      </c>
      <c r="BJ278" s="330"/>
      <c r="BK278" s="330"/>
      <c r="BL278" s="330"/>
      <c r="BM278" s="332"/>
      <c r="BN278" s="330"/>
      <c r="BO278" s="330" t="s">
        <v>240</v>
      </c>
      <c r="BP278" s="330" t="s">
        <v>193</v>
      </c>
      <c r="BQ278" s="330" t="s">
        <v>338</v>
      </c>
      <c r="BR278" s="330" t="s">
        <v>220</v>
      </c>
      <c r="BS278" s="330"/>
      <c r="BT278" s="330" t="s">
        <v>220</v>
      </c>
      <c r="BU278" s="330"/>
      <c r="BV278" s="330" t="s">
        <v>220</v>
      </c>
      <c r="BW278" s="330"/>
      <c r="BX278" s="332" t="s">
        <v>2536</v>
      </c>
      <c r="BY278" s="330" t="s">
        <v>1855</v>
      </c>
      <c r="BZ278" s="330"/>
      <c r="CA278" s="330" t="s">
        <v>2537</v>
      </c>
      <c r="CB278" s="330"/>
      <c r="CC278" s="337" t="s">
        <v>2161</v>
      </c>
      <c r="CD278" s="330"/>
      <c r="CE278" s="330" t="b">
        <v>1</v>
      </c>
      <c r="CF278" s="330" t="b">
        <v>1</v>
      </c>
      <c r="CG278" s="330" t="s">
        <v>242</v>
      </c>
      <c r="CH278" s="330"/>
      <c r="CI278" s="330"/>
      <c r="CJ278" s="330"/>
      <c r="CK278" s="330"/>
      <c r="CL278" s="330"/>
      <c r="CM278" s="330"/>
      <c r="CN278" s="330"/>
      <c r="CO278" s="330"/>
      <c r="CP278" s="330"/>
      <c r="CQ278" s="330"/>
      <c r="CR278" s="330"/>
      <c r="CS278" s="330"/>
      <c r="CT278" s="330"/>
      <c r="CU278" s="330"/>
      <c r="CV278" s="330"/>
      <c r="CW278" s="330"/>
      <c r="CX278" s="330"/>
      <c r="CY278" s="330"/>
      <c r="CZ278" s="330"/>
      <c r="DA278" s="330"/>
      <c r="DB278" s="330" t="b">
        <v>1</v>
      </c>
      <c r="DC278" s="330" t="b">
        <v>1</v>
      </c>
      <c r="DD278" s="330"/>
      <c r="DE278" s="330"/>
      <c r="DF278" s="338">
        <v>25007</v>
      </c>
      <c r="DG278" s="330" t="s">
        <v>1019</v>
      </c>
      <c r="DH278" s="330"/>
      <c r="DI278" s="338" t="s">
        <v>196</v>
      </c>
      <c r="DJ278" s="330"/>
      <c r="DK278" s="330">
        <v>1</v>
      </c>
      <c r="DL278" s="330" t="s">
        <v>2528</v>
      </c>
      <c r="DM278" s="330"/>
      <c r="DN278" s="330"/>
      <c r="DO278" s="330"/>
      <c r="DP278" s="330"/>
      <c r="DQ278" s="338" t="s">
        <v>197</v>
      </c>
      <c r="DR278" s="330"/>
      <c r="DS278" s="330"/>
      <c r="DT278" s="330"/>
      <c r="DU278" s="338" t="s">
        <v>197</v>
      </c>
      <c r="DV278" s="330"/>
      <c r="DW278" s="330"/>
      <c r="DX278" s="330"/>
      <c r="DY278" s="338" t="s">
        <v>197</v>
      </c>
      <c r="DZ278" s="330"/>
      <c r="EA278" s="330"/>
      <c r="EB278" s="330"/>
      <c r="EC278" s="330" t="s">
        <v>197</v>
      </c>
      <c r="ED278" s="338" t="s">
        <v>197</v>
      </c>
      <c r="EE278" s="330">
        <v>1</v>
      </c>
      <c r="EF278" s="330">
        <v>2</v>
      </c>
      <c r="EG278" s="330"/>
      <c r="EH278" s="330"/>
      <c r="EI278" s="330"/>
      <c r="EJ278" s="330"/>
      <c r="EK278" s="330"/>
      <c r="EL278" s="330"/>
      <c r="EM278" s="330"/>
      <c r="EN278" s="330"/>
      <c r="EO278" s="330"/>
      <c r="EP278" s="330"/>
      <c r="EQ278" s="332" t="s">
        <v>2538</v>
      </c>
      <c r="ER278" s="330"/>
      <c r="ES278" s="330"/>
      <c r="ET278" s="332" t="s">
        <v>245</v>
      </c>
      <c r="EU278" s="332" t="s">
        <v>246</v>
      </c>
      <c r="EV278" s="336">
        <v>46120</v>
      </c>
      <c r="EW278" s="336">
        <v>46121</v>
      </c>
      <c r="EX278" s="330">
        <v>2</v>
      </c>
      <c r="EY278" s="330"/>
      <c r="EZ278" s="330" t="s">
        <v>201</v>
      </c>
      <c r="FA278" s="336">
        <v>46128</v>
      </c>
      <c r="FB278" s="330" t="s">
        <v>1891</v>
      </c>
      <c r="FC278" s="330" t="s">
        <v>202</v>
      </c>
      <c r="FD278" s="332" t="s">
        <v>190</v>
      </c>
      <c r="FE278" s="330"/>
      <c r="FF278" s="330"/>
      <c r="FG278" s="330" t="s">
        <v>203</v>
      </c>
      <c r="FH278" s="330" t="s">
        <v>2539</v>
      </c>
      <c r="FI278" s="330" t="s">
        <v>204</v>
      </c>
      <c r="FJ278" s="330"/>
      <c r="FK278" s="330" t="s">
        <v>1136</v>
      </c>
      <c r="FL278" s="330" t="s">
        <v>353</v>
      </c>
      <c r="FM278" s="330" t="s">
        <v>191</v>
      </c>
      <c r="FN278" s="330" t="s">
        <v>2540</v>
      </c>
      <c r="FO278" s="330"/>
      <c r="FP278" s="330" t="s">
        <v>639</v>
      </c>
      <c r="FQ278" s="330"/>
      <c r="FR278" s="330"/>
      <c r="FS278" s="330"/>
      <c r="FT278" s="330"/>
      <c r="FU278" s="330"/>
    </row>
    <row r="279" spans="1:177" ht="102" x14ac:dyDescent="0.25">
      <c r="A279" s="330">
        <v>278</v>
      </c>
      <c r="B279" s="331" t="s">
        <v>2541</v>
      </c>
      <c r="C279" s="330"/>
      <c r="D279" s="332" t="s">
        <v>2444</v>
      </c>
      <c r="E279" s="332" t="s">
        <v>2445</v>
      </c>
      <c r="F279" s="332" t="s">
        <v>1572</v>
      </c>
      <c r="G279" s="330" t="s">
        <v>1573</v>
      </c>
      <c r="H279" s="331">
        <v>400</v>
      </c>
      <c r="I279" s="330"/>
      <c r="J279" s="332"/>
      <c r="K279" s="332" t="s">
        <v>2542</v>
      </c>
      <c r="L279" s="330" t="s">
        <v>284</v>
      </c>
      <c r="M279" s="332" t="s">
        <v>4111</v>
      </c>
      <c r="N279" s="330" t="s">
        <v>2543</v>
      </c>
      <c r="O279" s="339">
        <v>0.15120274914089299</v>
      </c>
      <c r="P279" s="333">
        <v>88</v>
      </c>
      <c r="Q279" s="333">
        <v>582</v>
      </c>
      <c r="R279" s="333">
        <v>60</v>
      </c>
      <c r="S279" s="333">
        <v>60</v>
      </c>
      <c r="T279" s="333">
        <v>8</v>
      </c>
      <c r="U279" s="333">
        <v>406</v>
      </c>
      <c r="V279" s="333">
        <v>95</v>
      </c>
      <c r="W279" s="330" t="s">
        <v>4112</v>
      </c>
      <c r="X279" s="330" t="s">
        <v>4113</v>
      </c>
      <c r="Y279" s="332" t="s">
        <v>2544</v>
      </c>
      <c r="Z279" s="330" t="s">
        <v>215</v>
      </c>
      <c r="AA279" s="330" t="s">
        <v>2545</v>
      </c>
      <c r="AB279" s="330" t="s">
        <v>189</v>
      </c>
      <c r="AC279" s="330"/>
      <c r="AD279" s="330"/>
      <c r="AE279" s="330">
        <v>7</v>
      </c>
      <c r="AF279" s="330">
        <v>40</v>
      </c>
      <c r="AG279" s="332" t="s">
        <v>626</v>
      </c>
      <c r="AH279" s="332" t="s">
        <v>191</v>
      </c>
      <c r="AI279" s="330" t="s">
        <v>353</v>
      </c>
      <c r="AJ279" s="330" t="s">
        <v>353</v>
      </c>
      <c r="AK279" s="330" t="s">
        <v>191</v>
      </c>
      <c r="AL279" s="330" t="s">
        <v>353</v>
      </c>
      <c r="AM279" s="330" t="s">
        <v>191</v>
      </c>
      <c r="AN279" s="330" t="s">
        <v>353</v>
      </c>
      <c r="AO279" s="330"/>
      <c r="AP279" s="332" t="s">
        <v>259</v>
      </c>
      <c r="AQ279" s="330"/>
      <c r="AR279" s="330"/>
      <c r="AS279" s="330" t="b">
        <v>1</v>
      </c>
      <c r="AT279" s="330"/>
      <c r="AU279" s="332" t="s">
        <v>353</v>
      </c>
      <c r="AV279" s="334">
        <v>46119.388374479167</v>
      </c>
      <c r="AW279" s="330"/>
      <c r="AX279" s="335">
        <v>46164</v>
      </c>
      <c r="AY279" s="336">
        <v>46127</v>
      </c>
      <c r="AZ279" s="330"/>
      <c r="BA279" s="336">
        <v>46183</v>
      </c>
      <c r="BB279" s="330"/>
      <c r="BC279" s="336">
        <v>46185</v>
      </c>
      <c r="BD279" s="330"/>
      <c r="BE279" s="330"/>
      <c r="BF279" s="330"/>
      <c r="BG279" s="330"/>
      <c r="BH279" s="330" t="s">
        <v>193</v>
      </c>
      <c r="BI279" s="330">
        <v>341</v>
      </c>
      <c r="BJ279" s="330"/>
      <c r="BK279" s="330"/>
      <c r="BL279" s="330"/>
      <c r="BM279" s="332"/>
      <c r="BN279" s="330"/>
      <c r="BO279" s="330" t="s">
        <v>2546</v>
      </c>
      <c r="BP279" s="330" t="s">
        <v>193</v>
      </c>
      <c r="BQ279" s="330" t="s">
        <v>218</v>
      </c>
      <c r="BR279" s="330" t="s">
        <v>220</v>
      </c>
      <c r="BS279" s="330"/>
      <c r="BT279" s="330" t="s">
        <v>193</v>
      </c>
      <c r="BU279" s="330" t="s">
        <v>2547</v>
      </c>
      <c r="BV279" s="330" t="s">
        <v>220</v>
      </c>
      <c r="BW279" s="330"/>
      <c r="BX279" s="332"/>
      <c r="BY279" s="330"/>
      <c r="BZ279" s="330"/>
      <c r="CA279" s="330"/>
      <c r="CB279" s="330"/>
      <c r="CC279" s="337" t="s">
        <v>820</v>
      </c>
      <c r="CD279" s="330" t="b">
        <v>1</v>
      </c>
      <c r="CE279" s="330" t="b">
        <v>1</v>
      </c>
      <c r="CF279" s="330" t="b">
        <v>1</v>
      </c>
      <c r="CG279" s="330" t="s">
        <v>242</v>
      </c>
      <c r="CH279" s="330"/>
      <c r="CI279" s="330"/>
      <c r="CJ279" s="330"/>
      <c r="CK279" s="330"/>
      <c r="CL279" s="330"/>
      <c r="CM279" s="330"/>
      <c r="CN279" s="330"/>
      <c r="CO279" s="330"/>
      <c r="CP279" s="330"/>
      <c r="CQ279" s="330"/>
      <c r="CR279" s="330"/>
      <c r="CS279" s="330"/>
      <c r="CT279" s="330"/>
      <c r="CU279" s="330"/>
      <c r="CV279" s="330"/>
      <c r="CW279" s="330"/>
      <c r="CX279" s="330"/>
      <c r="CY279" s="330"/>
      <c r="CZ279" s="330"/>
      <c r="DA279" s="330"/>
      <c r="DB279" s="330" t="b">
        <v>1</v>
      </c>
      <c r="DC279" s="330" t="b">
        <v>1</v>
      </c>
      <c r="DD279" s="330"/>
      <c r="DE279" s="330"/>
      <c r="DF279" s="338">
        <v>25012</v>
      </c>
      <c r="DG279" s="330" t="s">
        <v>221</v>
      </c>
      <c r="DH279" s="330"/>
      <c r="DI279" s="338" t="s">
        <v>638</v>
      </c>
      <c r="DJ279" s="330"/>
      <c r="DK279" s="330">
        <v>2</v>
      </c>
      <c r="DL279" s="330" t="s">
        <v>2541</v>
      </c>
      <c r="DM279" s="330"/>
      <c r="DN279" s="330"/>
      <c r="DO279" s="330"/>
      <c r="DP279" s="330"/>
      <c r="DQ279" s="338" t="s">
        <v>197</v>
      </c>
      <c r="DR279" s="330"/>
      <c r="DS279" s="330"/>
      <c r="DT279" s="330"/>
      <c r="DU279" s="338" t="s">
        <v>197</v>
      </c>
      <c r="DV279" s="330"/>
      <c r="DW279" s="330"/>
      <c r="DX279" s="330"/>
      <c r="DY279" s="338" t="s">
        <v>197</v>
      </c>
      <c r="DZ279" s="330"/>
      <c r="EA279" s="330"/>
      <c r="EB279" s="330"/>
      <c r="EC279" s="330" t="s">
        <v>197</v>
      </c>
      <c r="ED279" s="338" t="s">
        <v>197</v>
      </c>
      <c r="EE279" s="330">
        <v>12</v>
      </c>
      <c r="EF279" s="330">
        <v>120</v>
      </c>
      <c r="EG279" s="330"/>
      <c r="EH279" s="330"/>
      <c r="EI279" s="330"/>
      <c r="EJ279" s="330"/>
      <c r="EK279" s="330"/>
      <c r="EL279" s="330"/>
      <c r="EM279" s="330"/>
      <c r="EN279" s="330"/>
      <c r="EO279" s="330"/>
      <c r="EP279" s="330"/>
      <c r="EQ279" s="332" t="s">
        <v>321</v>
      </c>
      <c r="ER279" s="330"/>
      <c r="ES279" s="330"/>
      <c r="ET279" s="332" t="s">
        <v>245</v>
      </c>
      <c r="EU279" s="332" t="s">
        <v>246</v>
      </c>
      <c r="EV279" s="336">
        <v>46127</v>
      </c>
      <c r="EW279" s="336">
        <v>46127</v>
      </c>
      <c r="EX279" s="330">
        <v>1</v>
      </c>
      <c r="EY279" s="330"/>
      <c r="EZ279" s="330" t="s">
        <v>247</v>
      </c>
      <c r="FA279" s="330"/>
      <c r="FB279" s="330" t="s">
        <v>247</v>
      </c>
      <c r="FC279" s="330" t="s">
        <v>202</v>
      </c>
      <c r="FD279" s="332" t="s">
        <v>190</v>
      </c>
      <c r="FE279" s="330"/>
      <c r="FF279" s="330"/>
      <c r="FG279" s="330" t="s">
        <v>203</v>
      </c>
      <c r="FH279" s="330" t="s">
        <v>4114</v>
      </c>
      <c r="FI279" s="330" t="s">
        <v>204</v>
      </c>
      <c r="FJ279" s="330"/>
      <c r="FK279" s="330" t="s">
        <v>1572</v>
      </c>
      <c r="FL279" s="330" t="s">
        <v>353</v>
      </c>
      <c r="FM279" s="330" t="s">
        <v>191</v>
      </c>
      <c r="FN279" s="330" t="s">
        <v>2548</v>
      </c>
      <c r="FO279" s="330"/>
      <c r="FP279" s="330" t="s">
        <v>2253</v>
      </c>
      <c r="FQ279" s="330"/>
      <c r="FR279" s="330"/>
      <c r="FS279" s="330"/>
      <c r="FT279" s="330"/>
      <c r="FU279" s="330"/>
    </row>
    <row r="280" spans="1:177" ht="25.5" x14ac:dyDescent="0.25">
      <c r="A280" s="330">
        <v>279</v>
      </c>
      <c r="B280" s="331" t="s">
        <v>2549</v>
      </c>
      <c r="C280" s="330"/>
      <c r="D280" s="332" t="s">
        <v>1612</v>
      </c>
      <c r="E280" s="332" t="s">
        <v>1613</v>
      </c>
      <c r="F280" s="332" t="s">
        <v>306</v>
      </c>
      <c r="G280" s="330" t="s">
        <v>307</v>
      </c>
      <c r="H280" s="331"/>
      <c r="I280" s="330"/>
      <c r="J280" s="332"/>
      <c r="K280" s="332" t="s">
        <v>2550</v>
      </c>
      <c r="L280" s="330" t="s">
        <v>637</v>
      </c>
      <c r="M280" s="332"/>
      <c r="N280" s="330" t="s">
        <v>2551</v>
      </c>
      <c r="O280" s="333" t="s">
        <v>184</v>
      </c>
      <c r="P280" s="333" t="s">
        <v>184</v>
      </c>
      <c r="Q280" s="333" t="s">
        <v>184</v>
      </c>
      <c r="R280" s="333">
        <v>0</v>
      </c>
      <c r="S280" s="333">
        <v>62</v>
      </c>
      <c r="T280" s="333">
        <v>6</v>
      </c>
      <c r="U280" s="333">
        <v>0</v>
      </c>
      <c r="V280" s="333">
        <v>0</v>
      </c>
      <c r="W280" s="330" t="s">
        <v>2552</v>
      </c>
      <c r="X280" s="330" t="s">
        <v>1035</v>
      </c>
      <c r="Y280" s="332" t="s">
        <v>2553</v>
      </c>
      <c r="Z280" s="330" t="s">
        <v>739</v>
      </c>
      <c r="AA280" s="330" t="s">
        <v>2554</v>
      </c>
      <c r="AB280" s="330" t="s">
        <v>217</v>
      </c>
      <c r="AC280" s="330"/>
      <c r="AD280" s="330"/>
      <c r="AE280" s="330">
        <v>45</v>
      </c>
      <c r="AF280" s="330">
        <v>2</v>
      </c>
      <c r="AG280" s="332" t="s">
        <v>190</v>
      </c>
      <c r="AH280" s="332" t="s">
        <v>191</v>
      </c>
      <c r="AI280" s="330"/>
      <c r="AJ280" s="330"/>
      <c r="AK280" s="330"/>
      <c r="AL280" s="330" t="s">
        <v>191</v>
      </c>
      <c r="AM280" s="330"/>
      <c r="AN280" s="330"/>
      <c r="AO280" s="330"/>
      <c r="AP280" s="332"/>
      <c r="AQ280" s="330"/>
      <c r="AR280" s="330"/>
      <c r="AS280" s="330"/>
      <c r="AT280" s="330"/>
      <c r="AU280" s="332" t="s">
        <v>191</v>
      </c>
      <c r="AV280" s="334">
        <v>46119.564917812502</v>
      </c>
      <c r="AW280" s="330" t="b">
        <v>1</v>
      </c>
      <c r="AX280" s="335">
        <v>46127</v>
      </c>
      <c r="AY280" s="336">
        <v>46122</v>
      </c>
      <c r="AZ280" s="330"/>
      <c r="BA280" s="336">
        <v>46129</v>
      </c>
      <c r="BB280" s="330"/>
      <c r="BC280" s="336">
        <v>46133</v>
      </c>
      <c r="BD280" s="330"/>
      <c r="BE280" s="330"/>
      <c r="BF280" s="330"/>
      <c r="BG280" s="330"/>
      <c r="BH280" s="330" t="s">
        <v>193</v>
      </c>
      <c r="BI280" s="330" t="s">
        <v>318</v>
      </c>
      <c r="BJ280" s="330"/>
      <c r="BK280" s="330"/>
      <c r="BL280" s="330"/>
      <c r="BM280" s="332"/>
      <c r="BN280" s="330"/>
      <c r="BO280" s="330"/>
      <c r="BP280" s="330"/>
      <c r="BQ280" s="330"/>
      <c r="BR280" s="330"/>
      <c r="BS280" s="330"/>
      <c r="BT280" s="330"/>
      <c r="BU280" s="330"/>
      <c r="BV280" s="330"/>
      <c r="BW280" s="330"/>
      <c r="BX280" s="332"/>
      <c r="BY280" s="330"/>
      <c r="BZ280" s="330"/>
      <c r="CA280" s="330"/>
      <c r="CB280" s="330"/>
      <c r="CC280" s="337" t="s">
        <v>194</v>
      </c>
      <c r="CD280" s="330"/>
      <c r="CE280" s="330" t="b">
        <v>1</v>
      </c>
      <c r="CF280" s="330"/>
      <c r="CG280" s="330"/>
      <c r="CH280" s="330"/>
      <c r="CI280" s="330"/>
      <c r="CJ280" s="330"/>
      <c r="CK280" s="330"/>
      <c r="CL280" s="330"/>
      <c r="CM280" s="330"/>
      <c r="CN280" s="330"/>
      <c r="CO280" s="330" t="b">
        <v>1</v>
      </c>
      <c r="CP280" s="330" t="b">
        <v>1</v>
      </c>
      <c r="CQ280" s="330"/>
      <c r="CR280" s="330"/>
      <c r="CS280" s="330"/>
      <c r="CT280" s="330"/>
      <c r="CU280" s="330"/>
      <c r="CV280" s="330"/>
      <c r="CW280" s="330"/>
      <c r="CX280" s="330"/>
      <c r="CY280" s="330"/>
      <c r="CZ280" s="330"/>
      <c r="DA280" s="330"/>
      <c r="DB280" s="330"/>
      <c r="DC280" s="330"/>
      <c r="DD280" s="330"/>
      <c r="DE280" s="330"/>
      <c r="DF280" s="338">
        <v>24039</v>
      </c>
      <c r="DG280" s="330" t="s">
        <v>764</v>
      </c>
      <c r="DH280" s="330"/>
      <c r="DI280" s="338">
        <v>35</v>
      </c>
      <c r="DJ280" s="330"/>
      <c r="DK280" s="330">
        <v>35</v>
      </c>
      <c r="DL280" s="330" t="s">
        <v>2555</v>
      </c>
      <c r="DM280" s="330"/>
      <c r="DN280" s="330"/>
      <c r="DO280" s="330"/>
      <c r="DP280" s="330"/>
      <c r="DQ280" s="338" t="s">
        <v>197</v>
      </c>
      <c r="DR280" s="330"/>
      <c r="DS280" s="330"/>
      <c r="DT280" s="330"/>
      <c r="DU280" s="338" t="s">
        <v>197</v>
      </c>
      <c r="DV280" s="330"/>
      <c r="DW280" s="330"/>
      <c r="DX280" s="330"/>
      <c r="DY280" s="338" t="s">
        <v>197</v>
      </c>
      <c r="DZ280" s="330"/>
      <c r="EA280" s="330"/>
      <c r="EB280" s="330"/>
      <c r="EC280" s="330" t="s">
        <v>197</v>
      </c>
      <c r="ED280" s="338" t="s">
        <v>197</v>
      </c>
      <c r="EE280" s="330">
        <v>2</v>
      </c>
      <c r="EF280" s="330">
        <v>10</v>
      </c>
      <c r="EG280" s="330"/>
      <c r="EH280" s="330"/>
      <c r="EI280" s="330"/>
      <c r="EJ280" s="330"/>
      <c r="EK280" s="330"/>
      <c r="EL280" s="330"/>
      <c r="EM280" s="330"/>
      <c r="EN280" s="330"/>
      <c r="EO280" s="330"/>
      <c r="EP280" s="330"/>
      <c r="EQ280" s="332" t="s">
        <v>321</v>
      </c>
      <c r="ER280" s="330"/>
      <c r="ES280" s="330"/>
      <c r="ET280" s="332"/>
      <c r="EU280" s="332" t="s">
        <v>199</v>
      </c>
      <c r="EV280" s="330"/>
      <c r="EW280" s="330"/>
      <c r="EX280" s="330" t="s">
        <v>200</v>
      </c>
      <c r="EY280" s="330"/>
      <c r="EZ280" s="330" t="s">
        <v>201</v>
      </c>
      <c r="FA280" s="336">
        <v>46127</v>
      </c>
      <c r="FB280" s="330">
        <v>2</v>
      </c>
      <c r="FC280" s="330" t="s">
        <v>202</v>
      </c>
      <c r="FD280" s="332" t="s">
        <v>190</v>
      </c>
      <c r="FE280" s="336">
        <v>46128</v>
      </c>
      <c r="FF280" s="330"/>
      <c r="FG280" s="330" t="s">
        <v>203</v>
      </c>
      <c r="FH280" s="330"/>
      <c r="FI280" s="330" t="s">
        <v>204</v>
      </c>
      <c r="FJ280" s="330"/>
      <c r="FK280" s="330" t="s">
        <v>306</v>
      </c>
      <c r="FL280" s="330" t="s">
        <v>191</v>
      </c>
      <c r="FM280" s="330"/>
      <c r="FN280" s="330" t="s">
        <v>2556</v>
      </c>
      <c r="FO280" s="330"/>
      <c r="FP280" s="330" t="s">
        <v>1330</v>
      </c>
      <c r="FQ280" s="330"/>
      <c r="FR280" s="330"/>
      <c r="FS280" s="330"/>
      <c r="FT280" s="330"/>
      <c r="FU280" s="330"/>
    </row>
    <row r="281" spans="1:177" ht="25.5" x14ac:dyDescent="0.25">
      <c r="A281" s="330">
        <v>280</v>
      </c>
      <c r="B281" s="331" t="s">
        <v>2557</v>
      </c>
      <c r="C281" s="330"/>
      <c r="D281" s="332" t="s">
        <v>1612</v>
      </c>
      <c r="E281" s="332" t="s">
        <v>1613</v>
      </c>
      <c r="F281" s="332" t="s">
        <v>306</v>
      </c>
      <c r="G281" s="330" t="s">
        <v>307</v>
      </c>
      <c r="H281" s="331"/>
      <c r="I281" s="330"/>
      <c r="J281" s="332" t="s">
        <v>2558</v>
      </c>
      <c r="K281" s="332" t="s">
        <v>2558</v>
      </c>
      <c r="L281" s="330" t="s">
        <v>1045</v>
      </c>
      <c r="M281" s="332"/>
      <c r="N281" s="330" t="s">
        <v>2559</v>
      </c>
      <c r="O281" s="333" t="s">
        <v>184</v>
      </c>
      <c r="P281" s="333" t="s">
        <v>184</v>
      </c>
      <c r="Q281" s="333" t="s">
        <v>184</v>
      </c>
      <c r="R281" s="333">
        <v>0</v>
      </c>
      <c r="S281" s="333">
        <v>36</v>
      </c>
      <c r="T281" s="333">
        <v>1</v>
      </c>
      <c r="U281" s="333">
        <v>0</v>
      </c>
      <c r="V281" s="333">
        <v>0</v>
      </c>
      <c r="W281" s="330" t="s">
        <v>1034</v>
      </c>
      <c r="X281" s="330"/>
      <c r="Y281" s="332" t="s">
        <v>2560</v>
      </c>
      <c r="Z281" s="330" t="s">
        <v>614</v>
      </c>
      <c r="AA281" s="330" t="s">
        <v>2561</v>
      </c>
      <c r="AB281" s="330" t="s">
        <v>189</v>
      </c>
      <c r="AC281" s="330"/>
      <c r="AD281" s="330"/>
      <c r="AE281" s="330">
        <v>45</v>
      </c>
      <c r="AF281" s="330">
        <v>2</v>
      </c>
      <c r="AG281" s="332" t="s">
        <v>190</v>
      </c>
      <c r="AH281" s="332" t="s">
        <v>191</v>
      </c>
      <c r="AI281" s="330"/>
      <c r="AJ281" s="330"/>
      <c r="AK281" s="330"/>
      <c r="AL281" s="330" t="s">
        <v>191</v>
      </c>
      <c r="AM281" s="330"/>
      <c r="AN281" s="330"/>
      <c r="AO281" s="330"/>
      <c r="AP281" s="332"/>
      <c r="AQ281" s="330"/>
      <c r="AR281" s="330"/>
      <c r="AS281" s="330"/>
      <c r="AT281" s="330"/>
      <c r="AU281" s="332" t="s">
        <v>191</v>
      </c>
      <c r="AV281" s="334">
        <v>46119.568240659719</v>
      </c>
      <c r="AW281" s="330" t="b">
        <v>1</v>
      </c>
      <c r="AX281" s="335">
        <v>46127</v>
      </c>
      <c r="AY281" s="336">
        <v>46122</v>
      </c>
      <c r="AZ281" s="330"/>
      <c r="BA281" s="336">
        <v>46129</v>
      </c>
      <c r="BB281" s="330"/>
      <c r="BC281" s="336">
        <v>46133</v>
      </c>
      <c r="BD281" s="330"/>
      <c r="BE281" s="330"/>
      <c r="BF281" s="330"/>
      <c r="BG281" s="330"/>
      <c r="BH281" s="330" t="s">
        <v>193</v>
      </c>
      <c r="BI281" s="330" t="s">
        <v>318</v>
      </c>
      <c r="BJ281" s="330"/>
      <c r="BK281" s="330"/>
      <c r="BL281" s="330"/>
      <c r="BM281" s="332"/>
      <c r="BN281" s="330"/>
      <c r="BO281" s="330"/>
      <c r="BP281" s="330"/>
      <c r="BQ281" s="330"/>
      <c r="BR281" s="330"/>
      <c r="BS281" s="330"/>
      <c r="BT281" s="330"/>
      <c r="BU281" s="330"/>
      <c r="BV281" s="330"/>
      <c r="BW281" s="330"/>
      <c r="BX281" s="332"/>
      <c r="BY281" s="330"/>
      <c r="BZ281" s="330"/>
      <c r="CA281" s="330"/>
      <c r="CB281" s="330"/>
      <c r="CC281" s="337" t="s">
        <v>194</v>
      </c>
      <c r="CD281" s="330"/>
      <c r="CE281" s="330" t="b">
        <v>1</v>
      </c>
      <c r="CF281" s="330"/>
      <c r="CG281" s="330"/>
      <c r="CH281" s="330"/>
      <c r="CI281" s="330"/>
      <c r="CJ281" s="330"/>
      <c r="CK281" s="330"/>
      <c r="CL281" s="330"/>
      <c r="CM281" s="330"/>
      <c r="CN281" s="330"/>
      <c r="CO281" s="330" t="b">
        <v>1</v>
      </c>
      <c r="CP281" s="330" t="b">
        <v>1</v>
      </c>
      <c r="CQ281" s="330"/>
      <c r="CR281" s="330"/>
      <c r="CS281" s="330"/>
      <c r="CT281" s="330"/>
      <c r="CU281" s="330"/>
      <c r="CV281" s="330"/>
      <c r="CW281" s="330"/>
      <c r="CX281" s="330"/>
      <c r="CY281" s="330"/>
      <c r="CZ281" s="330"/>
      <c r="DA281" s="330"/>
      <c r="DB281" s="330"/>
      <c r="DC281" s="330"/>
      <c r="DD281" s="330"/>
      <c r="DE281" s="330"/>
      <c r="DF281" s="338">
        <v>24039</v>
      </c>
      <c r="DG281" s="330" t="s">
        <v>195</v>
      </c>
      <c r="DH281" s="330"/>
      <c r="DI281" s="338">
        <v>18</v>
      </c>
      <c r="DJ281" s="330"/>
      <c r="DK281" s="330">
        <v>18</v>
      </c>
      <c r="DL281" s="330" t="s">
        <v>2562</v>
      </c>
      <c r="DM281" s="330"/>
      <c r="DN281" s="330"/>
      <c r="DO281" s="330"/>
      <c r="DP281" s="330"/>
      <c r="DQ281" s="338" t="s">
        <v>197</v>
      </c>
      <c r="DR281" s="330"/>
      <c r="DS281" s="330"/>
      <c r="DT281" s="330"/>
      <c r="DU281" s="338" t="s">
        <v>197</v>
      </c>
      <c r="DV281" s="330"/>
      <c r="DW281" s="330"/>
      <c r="DX281" s="330"/>
      <c r="DY281" s="338" t="s">
        <v>197</v>
      </c>
      <c r="DZ281" s="330"/>
      <c r="EA281" s="330"/>
      <c r="EB281" s="330"/>
      <c r="EC281" s="330" t="s">
        <v>197</v>
      </c>
      <c r="ED281" s="338" t="s">
        <v>197</v>
      </c>
      <c r="EE281" s="330">
        <v>0.5</v>
      </c>
      <c r="EF281" s="330">
        <v>4</v>
      </c>
      <c r="EG281" s="330"/>
      <c r="EH281" s="330"/>
      <c r="EI281" s="330"/>
      <c r="EJ281" s="330"/>
      <c r="EK281" s="330"/>
      <c r="EL281" s="330"/>
      <c r="EM281" s="330"/>
      <c r="EN281" s="330"/>
      <c r="EO281" s="330"/>
      <c r="EP281" s="330"/>
      <c r="EQ281" s="332" t="s">
        <v>321</v>
      </c>
      <c r="ER281" s="330"/>
      <c r="ES281" s="330"/>
      <c r="ET281" s="332"/>
      <c r="EU281" s="332" t="s">
        <v>199</v>
      </c>
      <c r="EV281" s="330"/>
      <c r="EW281" s="330"/>
      <c r="EX281" s="330" t="s">
        <v>200</v>
      </c>
      <c r="EY281" s="330"/>
      <c r="EZ281" s="330" t="s">
        <v>201</v>
      </c>
      <c r="FA281" s="336">
        <v>46127</v>
      </c>
      <c r="FB281" s="330">
        <v>2</v>
      </c>
      <c r="FC281" s="330" t="s">
        <v>202</v>
      </c>
      <c r="FD281" s="332" t="s">
        <v>190</v>
      </c>
      <c r="FE281" s="336">
        <v>46128</v>
      </c>
      <c r="FF281" s="330"/>
      <c r="FG281" s="330" t="s">
        <v>203</v>
      </c>
      <c r="FH281" s="330"/>
      <c r="FI281" s="330" t="s">
        <v>204</v>
      </c>
      <c r="FJ281" s="330"/>
      <c r="FK281" s="330" t="s">
        <v>306</v>
      </c>
      <c r="FL281" s="330" t="s">
        <v>191</v>
      </c>
      <c r="FM281" s="330"/>
      <c r="FN281" s="330" t="s">
        <v>2563</v>
      </c>
      <c r="FO281" s="330"/>
      <c r="FP281" s="330" t="s">
        <v>1330</v>
      </c>
      <c r="FQ281" s="330"/>
      <c r="FR281" s="330"/>
      <c r="FS281" s="330"/>
      <c r="FT281" s="330"/>
      <c r="FU281" s="330"/>
    </row>
    <row r="282" spans="1:177" ht="25.5" x14ac:dyDescent="0.25">
      <c r="A282" s="330">
        <v>281</v>
      </c>
      <c r="B282" s="331" t="s">
        <v>2564</v>
      </c>
      <c r="C282" s="330"/>
      <c r="D282" s="332" t="s">
        <v>1612</v>
      </c>
      <c r="E282" s="332" t="s">
        <v>1613</v>
      </c>
      <c r="F282" s="332" t="s">
        <v>306</v>
      </c>
      <c r="G282" s="330" t="s">
        <v>307</v>
      </c>
      <c r="H282" s="331"/>
      <c r="I282" s="330"/>
      <c r="J282" s="332"/>
      <c r="K282" s="332" t="s">
        <v>2565</v>
      </c>
      <c r="L282" s="330" t="s">
        <v>1045</v>
      </c>
      <c r="M282" s="332"/>
      <c r="N282" s="330" t="s">
        <v>2566</v>
      </c>
      <c r="O282" s="333" t="s">
        <v>184</v>
      </c>
      <c r="P282" s="333" t="s">
        <v>184</v>
      </c>
      <c r="Q282" s="333" t="s">
        <v>184</v>
      </c>
      <c r="R282" s="333">
        <v>0</v>
      </c>
      <c r="S282" s="333">
        <v>60</v>
      </c>
      <c r="T282" s="333">
        <v>5</v>
      </c>
      <c r="U282" s="333">
        <v>0</v>
      </c>
      <c r="V282" s="333">
        <v>0</v>
      </c>
      <c r="W282" s="330" t="s">
        <v>2567</v>
      </c>
      <c r="X282" s="330"/>
      <c r="Y282" s="332" t="s">
        <v>2568</v>
      </c>
      <c r="Z282" s="330" t="s">
        <v>739</v>
      </c>
      <c r="AA282" s="330" t="s">
        <v>2569</v>
      </c>
      <c r="AB282" s="330" t="s">
        <v>217</v>
      </c>
      <c r="AC282" s="330"/>
      <c r="AD282" s="330"/>
      <c r="AE282" s="330">
        <v>4</v>
      </c>
      <c r="AF282" s="330">
        <v>2</v>
      </c>
      <c r="AG282" s="332" t="s">
        <v>1050</v>
      </c>
      <c r="AH282" s="332" t="s">
        <v>191</v>
      </c>
      <c r="AI282" s="330"/>
      <c r="AJ282" s="330"/>
      <c r="AK282" s="330"/>
      <c r="AL282" s="330" t="s">
        <v>191</v>
      </c>
      <c r="AM282" s="330"/>
      <c r="AN282" s="330"/>
      <c r="AO282" s="330"/>
      <c r="AP282" s="332"/>
      <c r="AQ282" s="330"/>
      <c r="AR282" s="330"/>
      <c r="AS282" s="330"/>
      <c r="AT282" s="330"/>
      <c r="AU282" s="332" t="s">
        <v>191</v>
      </c>
      <c r="AV282" s="334">
        <v>46119.635939525462</v>
      </c>
      <c r="AW282" s="330" t="b">
        <v>1</v>
      </c>
      <c r="AX282" s="335">
        <v>46127</v>
      </c>
      <c r="AY282" s="336">
        <v>46125</v>
      </c>
      <c r="AZ282" s="330" t="b">
        <v>1</v>
      </c>
      <c r="BA282" s="336">
        <v>46129</v>
      </c>
      <c r="BB282" s="330"/>
      <c r="BC282" s="336">
        <v>46133</v>
      </c>
      <c r="BD282" s="330"/>
      <c r="BE282" s="330"/>
      <c r="BF282" s="330"/>
      <c r="BG282" s="330"/>
      <c r="BH282" s="330" t="s">
        <v>193</v>
      </c>
      <c r="BI282" s="330" t="s">
        <v>2570</v>
      </c>
      <c r="BJ282" s="330"/>
      <c r="BK282" s="330"/>
      <c r="BL282" s="330"/>
      <c r="BM282" s="332"/>
      <c r="BN282" s="330"/>
      <c r="BO282" s="330"/>
      <c r="BP282" s="330"/>
      <c r="BQ282" s="330"/>
      <c r="BR282" s="330"/>
      <c r="BS282" s="330"/>
      <c r="BT282" s="330"/>
      <c r="BU282" s="330"/>
      <c r="BV282" s="330"/>
      <c r="BW282" s="330"/>
      <c r="BX282" s="332"/>
      <c r="BY282" s="330"/>
      <c r="BZ282" s="330"/>
      <c r="CA282" s="330"/>
      <c r="CB282" s="330"/>
      <c r="CC282" s="337" t="s">
        <v>92</v>
      </c>
      <c r="CD282" s="330"/>
      <c r="CE282" s="330" t="b">
        <v>1</v>
      </c>
      <c r="CF282" s="330"/>
      <c r="CG282" s="330"/>
      <c r="CH282" s="330"/>
      <c r="CI282" s="330"/>
      <c r="CJ282" s="330"/>
      <c r="CK282" s="330"/>
      <c r="CL282" s="330"/>
      <c r="CM282" s="330"/>
      <c r="CN282" s="330"/>
      <c r="CO282" s="330" t="b">
        <v>1</v>
      </c>
      <c r="CP282" s="330" t="b">
        <v>1</v>
      </c>
      <c r="CQ282" s="330"/>
      <c r="CR282" s="330"/>
      <c r="CS282" s="330"/>
      <c r="CT282" s="330"/>
      <c r="CU282" s="330"/>
      <c r="CV282" s="330"/>
      <c r="CW282" s="330"/>
      <c r="CX282" s="330"/>
      <c r="CY282" s="330"/>
      <c r="CZ282" s="330"/>
      <c r="DA282" s="330"/>
      <c r="DB282" s="330"/>
      <c r="DC282" s="330"/>
      <c r="DD282" s="330"/>
      <c r="DE282" s="330"/>
      <c r="DF282" s="338">
        <v>24039</v>
      </c>
      <c r="DG282" s="330" t="s">
        <v>764</v>
      </c>
      <c r="DH282" s="330"/>
      <c r="DI282" s="338">
        <v>36</v>
      </c>
      <c r="DJ282" s="330"/>
      <c r="DK282" s="330">
        <v>36</v>
      </c>
      <c r="DL282" s="330" t="s">
        <v>2555</v>
      </c>
      <c r="DM282" s="330"/>
      <c r="DN282" s="330"/>
      <c r="DO282" s="336">
        <v>46125</v>
      </c>
      <c r="DP282" s="336">
        <v>46125</v>
      </c>
      <c r="DQ282" s="338">
        <v>1</v>
      </c>
      <c r="DR282" s="330"/>
      <c r="DS282" s="330"/>
      <c r="DT282" s="330"/>
      <c r="DU282" s="338" t="s">
        <v>197</v>
      </c>
      <c r="DV282" s="330"/>
      <c r="DW282" s="330"/>
      <c r="DX282" s="330"/>
      <c r="DY282" s="338" t="s">
        <v>197</v>
      </c>
      <c r="DZ282" s="330"/>
      <c r="EA282" s="330"/>
      <c r="EB282" s="330"/>
      <c r="EC282" s="330" t="s">
        <v>197</v>
      </c>
      <c r="ED282" s="338">
        <v>1</v>
      </c>
      <c r="EE282" s="330">
        <v>2</v>
      </c>
      <c r="EF282" s="330">
        <v>8</v>
      </c>
      <c r="EG282" s="330"/>
      <c r="EH282" s="330"/>
      <c r="EI282" s="330"/>
      <c r="EJ282" s="330"/>
      <c r="EK282" s="330"/>
      <c r="EL282" s="330"/>
      <c r="EM282" s="330"/>
      <c r="EN282" s="330"/>
      <c r="EO282" s="330"/>
      <c r="EP282" s="330"/>
      <c r="EQ282" s="332" t="s">
        <v>321</v>
      </c>
      <c r="ER282" s="330"/>
      <c r="ES282" s="330"/>
      <c r="ET282" s="332"/>
      <c r="EU282" s="332" t="s">
        <v>199</v>
      </c>
      <c r="EV282" s="330"/>
      <c r="EW282" s="330"/>
      <c r="EX282" s="330" t="s">
        <v>200</v>
      </c>
      <c r="EY282" s="330"/>
      <c r="EZ282" s="330" t="s">
        <v>247</v>
      </c>
      <c r="FA282" s="330"/>
      <c r="FB282" s="330" t="s">
        <v>247</v>
      </c>
      <c r="FC282" s="330" t="s">
        <v>202</v>
      </c>
      <c r="FD282" s="332" t="s">
        <v>190</v>
      </c>
      <c r="FE282" s="330"/>
      <c r="FF282" s="330"/>
      <c r="FG282" s="330" t="s">
        <v>203</v>
      </c>
      <c r="FH282" s="330"/>
      <c r="FI282" s="330" t="s">
        <v>204</v>
      </c>
      <c r="FJ282" s="330"/>
      <c r="FK282" s="330" t="s">
        <v>306</v>
      </c>
      <c r="FL282" s="330" t="s">
        <v>191</v>
      </c>
      <c r="FM282" s="330"/>
      <c r="FN282" s="330" t="s">
        <v>2571</v>
      </c>
      <c r="FO282" s="330"/>
      <c r="FP282" s="330" t="s">
        <v>1330</v>
      </c>
      <c r="FQ282" s="330"/>
      <c r="FR282" s="330"/>
      <c r="FS282" s="330"/>
      <c r="FT282" s="330"/>
      <c r="FU282" s="330"/>
    </row>
    <row r="283" spans="1:177" ht="25.5" x14ac:dyDescent="0.25">
      <c r="A283" s="330">
        <v>282</v>
      </c>
      <c r="B283" s="331" t="s">
        <v>2555</v>
      </c>
      <c r="C283" s="330"/>
      <c r="D283" s="332" t="s">
        <v>1612</v>
      </c>
      <c r="E283" s="332" t="s">
        <v>1613</v>
      </c>
      <c r="F283" s="332" t="s">
        <v>306</v>
      </c>
      <c r="G283" s="330" t="s">
        <v>307</v>
      </c>
      <c r="H283" s="331"/>
      <c r="I283" s="330"/>
      <c r="J283" s="332"/>
      <c r="K283" s="332" t="s">
        <v>2572</v>
      </c>
      <c r="L283" s="330" t="s">
        <v>1045</v>
      </c>
      <c r="M283" s="332"/>
      <c r="N283" s="330" t="s">
        <v>2573</v>
      </c>
      <c r="O283" s="333" t="s">
        <v>184</v>
      </c>
      <c r="P283" s="333" t="s">
        <v>184</v>
      </c>
      <c r="Q283" s="333" t="s">
        <v>184</v>
      </c>
      <c r="R283" s="333">
        <v>0</v>
      </c>
      <c r="S283" s="333">
        <v>16</v>
      </c>
      <c r="T283" s="333">
        <v>1</v>
      </c>
      <c r="U283" s="333">
        <v>0</v>
      </c>
      <c r="V283" s="333">
        <v>0</v>
      </c>
      <c r="W283" s="330" t="s">
        <v>2574</v>
      </c>
      <c r="X283" s="330" t="s">
        <v>213</v>
      </c>
      <c r="Y283" s="332" t="s">
        <v>2575</v>
      </c>
      <c r="Z283" s="330" t="s">
        <v>739</v>
      </c>
      <c r="AA283" s="330" t="s">
        <v>2576</v>
      </c>
      <c r="AB283" s="330" t="s">
        <v>217</v>
      </c>
      <c r="AC283" s="330"/>
      <c r="AD283" s="330"/>
      <c r="AE283" s="330">
        <v>4</v>
      </c>
      <c r="AF283" s="330">
        <v>2</v>
      </c>
      <c r="AG283" s="332" t="s">
        <v>1050</v>
      </c>
      <c r="AH283" s="332" t="s">
        <v>191</v>
      </c>
      <c r="AI283" s="330"/>
      <c r="AJ283" s="330"/>
      <c r="AK283" s="330"/>
      <c r="AL283" s="330" t="s">
        <v>191</v>
      </c>
      <c r="AM283" s="330"/>
      <c r="AN283" s="330"/>
      <c r="AO283" s="330"/>
      <c r="AP283" s="332"/>
      <c r="AQ283" s="330"/>
      <c r="AR283" s="330"/>
      <c r="AS283" s="330"/>
      <c r="AT283" s="330"/>
      <c r="AU283" s="332" t="s">
        <v>191</v>
      </c>
      <c r="AV283" s="334">
        <v>46119.641795393516</v>
      </c>
      <c r="AW283" s="330" t="b">
        <v>1</v>
      </c>
      <c r="AX283" s="335">
        <v>46127</v>
      </c>
      <c r="AY283" s="336">
        <v>46125</v>
      </c>
      <c r="AZ283" s="330" t="b">
        <v>1</v>
      </c>
      <c r="BA283" s="336">
        <v>46129</v>
      </c>
      <c r="BB283" s="330"/>
      <c r="BC283" s="336">
        <v>46133</v>
      </c>
      <c r="BD283" s="330"/>
      <c r="BE283" s="330"/>
      <c r="BF283" s="330"/>
      <c r="BG283" s="330"/>
      <c r="BH283" s="330" t="s">
        <v>193</v>
      </c>
      <c r="BI283" s="330" t="s">
        <v>318</v>
      </c>
      <c r="BJ283" s="330"/>
      <c r="BK283" s="330"/>
      <c r="BL283" s="330"/>
      <c r="BM283" s="332"/>
      <c r="BN283" s="330"/>
      <c r="BO283" s="330"/>
      <c r="BP283" s="330"/>
      <c r="BQ283" s="330"/>
      <c r="BR283" s="330"/>
      <c r="BS283" s="330"/>
      <c r="BT283" s="330"/>
      <c r="BU283" s="330"/>
      <c r="BV283" s="330"/>
      <c r="BW283" s="330"/>
      <c r="BX283" s="332"/>
      <c r="BY283" s="330"/>
      <c r="BZ283" s="330"/>
      <c r="CA283" s="330"/>
      <c r="CB283" s="330"/>
      <c r="CC283" s="337" t="s">
        <v>92</v>
      </c>
      <c r="CD283" s="330"/>
      <c r="CE283" s="330" t="b">
        <v>1</v>
      </c>
      <c r="CF283" s="330"/>
      <c r="CG283" s="330"/>
      <c r="CH283" s="330"/>
      <c r="CI283" s="330"/>
      <c r="CJ283" s="330"/>
      <c r="CK283" s="330"/>
      <c r="CL283" s="330"/>
      <c r="CM283" s="330"/>
      <c r="CN283" s="330"/>
      <c r="CO283" s="330" t="b">
        <v>1</v>
      </c>
      <c r="CP283" s="330" t="b">
        <v>1</v>
      </c>
      <c r="CQ283" s="330"/>
      <c r="CR283" s="330"/>
      <c r="CS283" s="330"/>
      <c r="CT283" s="330"/>
      <c r="CU283" s="330"/>
      <c r="CV283" s="330"/>
      <c r="CW283" s="330"/>
      <c r="CX283" s="330"/>
      <c r="CY283" s="330"/>
      <c r="CZ283" s="330"/>
      <c r="DA283" s="330"/>
      <c r="DB283" s="330"/>
      <c r="DC283" s="330"/>
      <c r="DD283" s="330"/>
      <c r="DE283" s="330"/>
      <c r="DF283" s="338">
        <v>24039</v>
      </c>
      <c r="DG283" s="330" t="s">
        <v>764</v>
      </c>
      <c r="DH283" s="330"/>
      <c r="DI283" s="338">
        <v>37</v>
      </c>
      <c r="DJ283" s="330"/>
      <c r="DK283" s="330">
        <v>37</v>
      </c>
      <c r="DL283" s="330" t="s">
        <v>2555</v>
      </c>
      <c r="DM283" s="330"/>
      <c r="DN283" s="330"/>
      <c r="DO283" s="336">
        <v>46125</v>
      </c>
      <c r="DP283" s="336">
        <v>46125</v>
      </c>
      <c r="DQ283" s="338">
        <v>1</v>
      </c>
      <c r="DR283" s="330"/>
      <c r="DS283" s="330"/>
      <c r="DT283" s="330"/>
      <c r="DU283" s="338" t="s">
        <v>197</v>
      </c>
      <c r="DV283" s="330"/>
      <c r="DW283" s="330"/>
      <c r="DX283" s="330"/>
      <c r="DY283" s="338" t="s">
        <v>197</v>
      </c>
      <c r="DZ283" s="330"/>
      <c r="EA283" s="330"/>
      <c r="EB283" s="330"/>
      <c r="EC283" s="330" t="s">
        <v>197</v>
      </c>
      <c r="ED283" s="338">
        <v>1</v>
      </c>
      <c r="EE283" s="330">
        <v>1</v>
      </c>
      <c r="EF283" s="330">
        <v>6</v>
      </c>
      <c r="EG283" s="330"/>
      <c r="EH283" s="330"/>
      <c r="EI283" s="330"/>
      <c r="EJ283" s="330"/>
      <c r="EK283" s="330"/>
      <c r="EL283" s="330"/>
      <c r="EM283" s="330"/>
      <c r="EN283" s="330"/>
      <c r="EO283" s="330"/>
      <c r="EP283" s="330"/>
      <c r="EQ283" s="332" t="s">
        <v>321</v>
      </c>
      <c r="ER283" s="330"/>
      <c r="ES283" s="330"/>
      <c r="ET283" s="332"/>
      <c r="EU283" s="332" t="s">
        <v>199</v>
      </c>
      <c r="EV283" s="330"/>
      <c r="EW283" s="330"/>
      <c r="EX283" s="330" t="s">
        <v>200</v>
      </c>
      <c r="EY283" s="330"/>
      <c r="EZ283" s="330" t="s">
        <v>247</v>
      </c>
      <c r="FA283" s="330"/>
      <c r="FB283" s="330" t="s">
        <v>247</v>
      </c>
      <c r="FC283" s="330" t="s">
        <v>202</v>
      </c>
      <c r="FD283" s="332" t="s">
        <v>190</v>
      </c>
      <c r="FE283" s="330"/>
      <c r="FF283" s="330"/>
      <c r="FG283" s="330" t="s">
        <v>203</v>
      </c>
      <c r="FH283" s="330"/>
      <c r="FI283" s="330" t="s">
        <v>204</v>
      </c>
      <c r="FJ283" s="330"/>
      <c r="FK283" s="330" t="s">
        <v>306</v>
      </c>
      <c r="FL283" s="330" t="s">
        <v>191</v>
      </c>
      <c r="FM283" s="330"/>
      <c r="FN283" s="330" t="s">
        <v>2577</v>
      </c>
      <c r="FO283" s="330"/>
      <c r="FP283" s="330" t="s">
        <v>1330</v>
      </c>
      <c r="FQ283" s="330"/>
      <c r="FR283" s="330"/>
      <c r="FS283" s="330"/>
      <c r="FT283" s="330"/>
      <c r="FU283" s="330"/>
    </row>
    <row r="284" spans="1:177" ht="25.5" x14ac:dyDescent="0.25">
      <c r="A284" s="330">
        <v>283</v>
      </c>
      <c r="B284" s="331" t="s">
        <v>2562</v>
      </c>
      <c r="C284" s="330"/>
      <c r="D284" s="332" t="s">
        <v>1612</v>
      </c>
      <c r="E284" s="332" t="s">
        <v>1613</v>
      </c>
      <c r="F284" s="332" t="s">
        <v>306</v>
      </c>
      <c r="G284" s="330" t="s">
        <v>307</v>
      </c>
      <c r="H284" s="331"/>
      <c r="I284" s="330"/>
      <c r="J284" s="332" t="s">
        <v>2578</v>
      </c>
      <c r="K284" s="332" t="s">
        <v>2578</v>
      </c>
      <c r="L284" s="330" t="s">
        <v>1045</v>
      </c>
      <c r="M284" s="332"/>
      <c r="N284" s="330" t="s">
        <v>2579</v>
      </c>
      <c r="O284" s="333" t="s">
        <v>184</v>
      </c>
      <c r="P284" s="333" t="s">
        <v>184</v>
      </c>
      <c r="Q284" s="333" t="s">
        <v>184</v>
      </c>
      <c r="R284" s="333">
        <v>0</v>
      </c>
      <c r="S284" s="333">
        <v>340</v>
      </c>
      <c r="T284" s="333">
        <v>5</v>
      </c>
      <c r="U284" s="333">
        <v>0</v>
      </c>
      <c r="V284" s="333">
        <v>0</v>
      </c>
      <c r="W284" s="330" t="s">
        <v>2580</v>
      </c>
      <c r="X284" s="330" t="s">
        <v>1035</v>
      </c>
      <c r="Y284" s="332" t="s">
        <v>2581</v>
      </c>
      <c r="Z284" s="330" t="s">
        <v>614</v>
      </c>
      <c r="AA284" s="330" t="s">
        <v>2582</v>
      </c>
      <c r="AB284" s="330" t="s">
        <v>189</v>
      </c>
      <c r="AC284" s="330"/>
      <c r="AD284" s="330"/>
      <c r="AE284" s="330">
        <v>4</v>
      </c>
      <c r="AF284" s="330">
        <v>2</v>
      </c>
      <c r="AG284" s="332" t="s">
        <v>1050</v>
      </c>
      <c r="AH284" s="332" t="s">
        <v>191</v>
      </c>
      <c r="AI284" s="330"/>
      <c r="AJ284" s="330"/>
      <c r="AK284" s="330"/>
      <c r="AL284" s="330" t="s">
        <v>191</v>
      </c>
      <c r="AM284" s="330"/>
      <c r="AN284" s="330"/>
      <c r="AO284" s="330"/>
      <c r="AP284" s="332"/>
      <c r="AQ284" s="330"/>
      <c r="AR284" s="330"/>
      <c r="AS284" s="330"/>
      <c r="AT284" s="330"/>
      <c r="AU284" s="332" t="s">
        <v>191</v>
      </c>
      <c r="AV284" s="334">
        <v>46119.651727418983</v>
      </c>
      <c r="AW284" s="330" t="b">
        <v>1</v>
      </c>
      <c r="AX284" s="335">
        <v>46127</v>
      </c>
      <c r="AY284" s="336">
        <v>46125</v>
      </c>
      <c r="AZ284" s="330" t="b">
        <v>1</v>
      </c>
      <c r="BA284" s="336">
        <v>46129</v>
      </c>
      <c r="BB284" s="330"/>
      <c r="BC284" s="336">
        <v>46133</v>
      </c>
      <c r="BD284" s="330"/>
      <c r="BE284" s="330"/>
      <c r="BF284" s="330"/>
      <c r="BG284" s="330"/>
      <c r="BH284" s="330" t="s">
        <v>193</v>
      </c>
      <c r="BI284" s="330" t="s">
        <v>318</v>
      </c>
      <c r="BJ284" s="330"/>
      <c r="BK284" s="330"/>
      <c r="BL284" s="330"/>
      <c r="BM284" s="332"/>
      <c r="BN284" s="330"/>
      <c r="BO284" s="330"/>
      <c r="BP284" s="330"/>
      <c r="BQ284" s="330"/>
      <c r="BR284" s="330"/>
      <c r="BS284" s="330"/>
      <c r="BT284" s="330"/>
      <c r="BU284" s="330"/>
      <c r="BV284" s="330"/>
      <c r="BW284" s="330"/>
      <c r="BX284" s="332"/>
      <c r="BY284" s="330"/>
      <c r="BZ284" s="330"/>
      <c r="CA284" s="330"/>
      <c r="CB284" s="330"/>
      <c r="CC284" s="337" t="s">
        <v>92</v>
      </c>
      <c r="CD284" s="330"/>
      <c r="CE284" s="330" t="b">
        <v>1</v>
      </c>
      <c r="CF284" s="330"/>
      <c r="CG284" s="330"/>
      <c r="CH284" s="330"/>
      <c r="CI284" s="330"/>
      <c r="CJ284" s="330"/>
      <c r="CK284" s="330"/>
      <c r="CL284" s="330"/>
      <c r="CM284" s="330"/>
      <c r="CN284" s="330"/>
      <c r="CO284" s="330" t="b">
        <v>1</v>
      </c>
      <c r="CP284" s="330" t="b">
        <v>1</v>
      </c>
      <c r="CQ284" s="330"/>
      <c r="CR284" s="330"/>
      <c r="CS284" s="330"/>
      <c r="CT284" s="330"/>
      <c r="CU284" s="330"/>
      <c r="CV284" s="330"/>
      <c r="CW284" s="330"/>
      <c r="CX284" s="330"/>
      <c r="CY284" s="330"/>
      <c r="CZ284" s="330"/>
      <c r="DA284" s="330"/>
      <c r="DB284" s="330"/>
      <c r="DC284" s="330"/>
      <c r="DD284" s="330"/>
      <c r="DE284" s="330"/>
      <c r="DF284" s="338">
        <v>24039</v>
      </c>
      <c r="DG284" s="330" t="s">
        <v>195</v>
      </c>
      <c r="DH284" s="330"/>
      <c r="DI284" s="338">
        <v>19</v>
      </c>
      <c r="DJ284" s="330"/>
      <c r="DK284" s="330">
        <v>19</v>
      </c>
      <c r="DL284" s="330" t="s">
        <v>2562</v>
      </c>
      <c r="DM284" s="330"/>
      <c r="DN284" s="330"/>
      <c r="DO284" s="336">
        <v>46125</v>
      </c>
      <c r="DP284" s="336">
        <v>46125</v>
      </c>
      <c r="DQ284" s="338">
        <v>1</v>
      </c>
      <c r="DR284" s="330"/>
      <c r="DS284" s="330"/>
      <c r="DT284" s="330"/>
      <c r="DU284" s="338" t="s">
        <v>197</v>
      </c>
      <c r="DV284" s="330"/>
      <c r="DW284" s="330"/>
      <c r="DX284" s="330"/>
      <c r="DY284" s="338" t="s">
        <v>197</v>
      </c>
      <c r="DZ284" s="330"/>
      <c r="EA284" s="330"/>
      <c r="EB284" s="330"/>
      <c r="EC284" s="330" t="s">
        <v>197</v>
      </c>
      <c r="ED284" s="338">
        <v>1</v>
      </c>
      <c r="EE284" s="330">
        <v>1</v>
      </c>
      <c r="EF284" s="330">
        <v>6</v>
      </c>
      <c r="EG284" s="330"/>
      <c r="EH284" s="330"/>
      <c r="EI284" s="330"/>
      <c r="EJ284" s="330"/>
      <c r="EK284" s="330"/>
      <c r="EL284" s="330"/>
      <c r="EM284" s="330"/>
      <c r="EN284" s="330"/>
      <c r="EO284" s="330"/>
      <c r="EP284" s="330"/>
      <c r="EQ284" s="332" t="s">
        <v>321</v>
      </c>
      <c r="ER284" s="330"/>
      <c r="ES284" s="330"/>
      <c r="ET284" s="332"/>
      <c r="EU284" s="332" t="s">
        <v>199</v>
      </c>
      <c r="EV284" s="330"/>
      <c r="EW284" s="330"/>
      <c r="EX284" s="330" t="s">
        <v>200</v>
      </c>
      <c r="EY284" s="330"/>
      <c r="EZ284" s="330" t="s">
        <v>247</v>
      </c>
      <c r="FA284" s="330"/>
      <c r="FB284" s="330" t="s">
        <v>247</v>
      </c>
      <c r="FC284" s="330" t="s">
        <v>202</v>
      </c>
      <c r="FD284" s="332" t="s">
        <v>190</v>
      </c>
      <c r="FE284" s="330"/>
      <c r="FF284" s="330"/>
      <c r="FG284" s="330" t="s">
        <v>203</v>
      </c>
      <c r="FH284" s="330"/>
      <c r="FI284" s="330" t="s">
        <v>204</v>
      </c>
      <c r="FJ284" s="330"/>
      <c r="FK284" s="330" t="s">
        <v>306</v>
      </c>
      <c r="FL284" s="330" t="s">
        <v>191</v>
      </c>
      <c r="FM284" s="330"/>
      <c r="FN284" s="330" t="s">
        <v>2583</v>
      </c>
      <c r="FO284" s="330"/>
      <c r="FP284" s="330" t="s">
        <v>1330</v>
      </c>
      <c r="FQ284" s="330"/>
      <c r="FR284" s="330"/>
      <c r="FS284" s="330"/>
      <c r="FT284" s="330"/>
      <c r="FU284" s="330"/>
    </row>
    <row r="285" spans="1:177" ht="76.5" x14ac:dyDescent="0.25">
      <c r="A285" s="330">
        <v>284</v>
      </c>
      <c r="B285" s="331" t="s">
        <v>2584</v>
      </c>
      <c r="C285" s="330"/>
      <c r="D285" s="332" t="s">
        <v>2135</v>
      </c>
      <c r="E285" s="332" t="s">
        <v>2136</v>
      </c>
      <c r="F285" s="332" t="s">
        <v>180</v>
      </c>
      <c r="G285" s="330" t="s">
        <v>181</v>
      </c>
      <c r="H285" s="331">
        <v>400</v>
      </c>
      <c r="I285" s="330"/>
      <c r="J285" s="332"/>
      <c r="K285" s="332" t="s">
        <v>2585</v>
      </c>
      <c r="L285" s="330" t="s">
        <v>284</v>
      </c>
      <c r="M285" s="332" t="s">
        <v>751</v>
      </c>
      <c r="N285" s="330"/>
      <c r="O285" s="333"/>
      <c r="P285" s="333"/>
      <c r="Q285" s="333">
        <v>819</v>
      </c>
      <c r="R285" s="333">
        <v>6</v>
      </c>
      <c r="S285" s="333">
        <v>0</v>
      </c>
      <c r="T285" s="333"/>
      <c r="U285" s="333"/>
      <c r="V285" s="333"/>
      <c r="W285" s="330"/>
      <c r="X285" s="330"/>
      <c r="Y285" s="332" t="s">
        <v>2586</v>
      </c>
      <c r="Z285" s="330" t="s">
        <v>215</v>
      </c>
      <c r="AA285" s="330" t="s">
        <v>2587</v>
      </c>
      <c r="AB285" s="330" t="s">
        <v>217</v>
      </c>
      <c r="AC285" s="330"/>
      <c r="AD285" s="330"/>
      <c r="AE285" s="330">
        <v>3</v>
      </c>
      <c r="AF285" s="330">
        <v>11</v>
      </c>
      <c r="AG285" s="332" t="s">
        <v>1258</v>
      </c>
      <c r="AH285" s="332" t="s">
        <v>191</v>
      </c>
      <c r="AI285" s="330" t="s">
        <v>1258</v>
      </c>
      <c r="AJ285" s="330" t="s">
        <v>1258</v>
      </c>
      <c r="AK285" s="330"/>
      <c r="AL285" s="330" t="s">
        <v>1258</v>
      </c>
      <c r="AM285" s="330" t="s">
        <v>191</v>
      </c>
      <c r="AN285" s="330" t="s">
        <v>1258</v>
      </c>
      <c r="AO285" s="330"/>
      <c r="AP285" s="332" t="s">
        <v>259</v>
      </c>
      <c r="AQ285" s="330"/>
      <c r="AR285" s="330"/>
      <c r="AS285" s="330"/>
      <c r="AT285" s="330"/>
      <c r="AU285" s="332" t="s">
        <v>1258</v>
      </c>
      <c r="AV285" s="334">
        <v>46121.376097905093</v>
      </c>
      <c r="AW285" s="330" t="b">
        <v>1</v>
      </c>
      <c r="AX285" s="335">
        <v>46142</v>
      </c>
      <c r="AY285" s="330"/>
      <c r="AZ285" s="330"/>
      <c r="BA285" s="330"/>
      <c r="BB285" s="330"/>
      <c r="BC285" s="336">
        <v>46127</v>
      </c>
      <c r="BD285" s="330"/>
      <c r="BE285" s="330"/>
      <c r="BF285" s="330"/>
      <c r="BG285" s="330"/>
      <c r="BH285" s="330" t="s">
        <v>193</v>
      </c>
      <c r="BI285" s="330">
        <v>17</v>
      </c>
      <c r="BJ285" s="330"/>
      <c r="BK285" s="330"/>
      <c r="BL285" s="330"/>
      <c r="BM285" s="332"/>
      <c r="BN285" s="330"/>
      <c r="BO285" s="330" t="s">
        <v>240</v>
      </c>
      <c r="BP285" s="330" t="s">
        <v>193</v>
      </c>
      <c r="BQ285" s="330" t="s">
        <v>218</v>
      </c>
      <c r="BR285" s="330" t="s">
        <v>193</v>
      </c>
      <c r="BS285" s="330" t="s">
        <v>2588</v>
      </c>
      <c r="BT285" s="330" t="s">
        <v>193</v>
      </c>
      <c r="BU285" s="330" t="s">
        <v>2588</v>
      </c>
      <c r="BV285" s="330" t="s">
        <v>193</v>
      </c>
      <c r="BW285" s="330" t="s">
        <v>2588</v>
      </c>
      <c r="BX285" s="332" t="s">
        <v>2589</v>
      </c>
      <c r="BY285" s="330" t="s">
        <v>1833</v>
      </c>
      <c r="BZ285" s="330"/>
      <c r="CA285" s="330"/>
      <c r="CB285" s="330"/>
      <c r="CC285" s="337" t="s">
        <v>81</v>
      </c>
      <c r="CD285" s="330" t="b">
        <v>1</v>
      </c>
      <c r="CE285" s="330" t="b">
        <v>1</v>
      </c>
      <c r="CF285" s="330" t="b">
        <v>1</v>
      </c>
      <c r="CG285" s="330"/>
      <c r="CH285" s="330"/>
      <c r="CI285" s="330"/>
      <c r="CJ285" s="330"/>
      <c r="CK285" s="330"/>
      <c r="CL285" s="330"/>
      <c r="CM285" s="330"/>
      <c r="CN285" s="330"/>
      <c r="CO285" s="330"/>
      <c r="CP285" s="330"/>
      <c r="CQ285" s="330"/>
      <c r="CR285" s="330"/>
      <c r="CS285" s="330"/>
      <c r="CT285" s="330"/>
      <c r="CU285" s="330"/>
      <c r="CV285" s="330"/>
      <c r="CW285" s="330"/>
      <c r="CX285" s="330"/>
      <c r="CY285" s="330"/>
      <c r="CZ285" s="330"/>
      <c r="DA285" s="330"/>
      <c r="DB285" s="330" t="b">
        <v>1</v>
      </c>
      <c r="DC285" s="330" t="b">
        <v>1</v>
      </c>
      <c r="DD285" s="330"/>
      <c r="DE285" s="330"/>
      <c r="DF285" s="338">
        <v>25010</v>
      </c>
      <c r="DG285" s="330" t="s">
        <v>1541</v>
      </c>
      <c r="DH285" s="330"/>
      <c r="DI285" s="338" t="s">
        <v>959</v>
      </c>
      <c r="DJ285" s="330"/>
      <c r="DK285" s="330">
        <v>6</v>
      </c>
      <c r="DL285" s="330" t="s">
        <v>2590</v>
      </c>
      <c r="DM285" s="330"/>
      <c r="DN285" s="330" t="b">
        <v>1</v>
      </c>
      <c r="DO285" s="336">
        <v>46122</v>
      </c>
      <c r="DP285" s="330"/>
      <c r="DQ285" s="338" t="s">
        <v>2430</v>
      </c>
      <c r="DR285" s="330"/>
      <c r="DS285" s="330"/>
      <c r="DT285" s="330"/>
      <c r="DU285" s="338" t="s">
        <v>197</v>
      </c>
      <c r="DV285" s="330"/>
      <c r="DW285" s="330"/>
      <c r="DX285" s="330"/>
      <c r="DY285" s="338" t="s">
        <v>197</v>
      </c>
      <c r="DZ285" s="330"/>
      <c r="EA285" s="330"/>
      <c r="EB285" s="330"/>
      <c r="EC285" s="330" t="s">
        <v>197</v>
      </c>
      <c r="ED285" s="338">
        <v>5</v>
      </c>
      <c r="EE285" s="330">
        <v>1</v>
      </c>
      <c r="EF285" s="330">
        <v>8</v>
      </c>
      <c r="EG285" s="330"/>
      <c r="EH285" s="330"/>
      <c r="EI285" s="330"/>
      <c r="EJ285" s="330"/>
      <c r="EK285" s="330"/>
      <c r="EL285" s="330"/>
      <c r="EM285" s="330"/>
      <c r="EN285" s="330"/>
      <c r="EO285" s="330"/>
      <c r="EP285" s="330"/>
      <c r="EQ285" s="332" t="s">
        <v>224</v>
      </c>
      <c r="ER285" s="330"/>
      <c r="ES285" s="330"/>
      <c r="ET285" s="332" t="s">
        <v>245</v>
      </c>
      <c r="EU285" s="332" t="s">
        <v>354</v>
      </c>
      <c r="EV285" s="330"/>
      <c r="EW285" s="330"/>
      <c r="EX285" s="330" t="s">
        <v>200</v>
      </c>
      <c r="EY285" s="330"/>
      <c r="EZ285" s="330" t="s">
        <v>247</v>
      </c>
      <c r="FA285" s="330"/>
      <c r="FB285" s="330" t="s">
        <v>247</v>
      </c>
      <c r="FC285" s="330" t="s">
        <v>202</v>
      </c>
      <c r="FD285" s="332" t="s">
        <v>190</v>
      </c>
      <c r="FE285" s="330"/>
      <c r="FF285" s="330"/>
      <c r="FG285" s="330" t="s">
        <v>203</v>
      </c>
      <c r="FH285" s="330" t="s">
        <v>2591</v>
      </c>
      <c r="FI285" s="330" t="s">
        <v>204</v>
      </c>
      <c r="FJ285" s="330"/>
      <c r="FK285" s="330" t="s">
        <v>180</v>
      </c>
      <c r="FL285" s="330" t="s">
        <v>1258</v>
      </c>
      <c r="FM285" s="330" t="s">
        <v>191</v>
      </c>
      <c r="FN285" s="330" t="s">
        <v>2592</v>
      </c>
      <c r="FO285" s="330"/>
      <c r="FP285" s="330" t="s">
        <v>639</v>
      </c>
      <c r="FQ285" s="330"/>
      <c r="FR285" s="330"/>
      <c r="FS285" s="330"/>
      <c r="FT285" s="330"/>
      <c r="FU285" s="330"/>
    </row>
    <row r="286" spans="1:177" ht="76.5" x14ac:dyDescent="0.25">
      <c r="A286" s="330">
        <v>285</v>
      </c>
      <c r="B286" s="331" t="s">
        <v>2590</v>
      </c>
      <c r="C286" s="330"/>
      <c r="D286" s="332" t="s">
        <v>2135</v>
      </c>
      <c r="E286" s="332" t="s">
        <v>2136</v>
      </c>
      <c r="F286" s="332" t="s">
        <v>180</v>
      </c>
      <c r="G286" s="330" t="s">
        <v>181</v>
      </c>
      <c r="H286" s="331">
        <v>400</v>
      </c>
      <c r="I286" s="330"/>
      <c r="J286" s="332"/>
      <c r="K286" s="332" t="s">
        <v>2593</v>
      </c>
      <c r="L286" s="330" t="s">
        <v>284</v>
      </c>
      <c r="M286" s="332" t="s">
        <v>751</v>
      </c>
      <c r="N286" s="330"/>
      <c r="O286" s="333"/>
      <c r="P286" s="333"/>
      <c r="Q286" s="333">
        <v>819</v>
      </c>
      <c r="R286" s="333">
        <v>3</v>
      </c>
      <c r="S286" s="333">
        <v>0</v>
      </c>
      <c r="T286" s="333"/>
      <c r="U286" s="333"/>
      <c r="V286" s="333"/>
      <c r="W286" s="330"/>
      <c r="X286" s="330"/>
      <c r="Y286" s="332" t="s">
        <v>2594</v>
      </c>
      <c r="Z286" s="330" t="s">
        <v>215</v>
      </c>
      <c r="AA286" s="330" t="s">
        <v>2595</v>
      </c>
      <c r="AB286" s="330" t="s">
        <v>189</v>
      </c>
      <c r="AC286" s="330"/>
      <c r="AD286" s="330"/>
      <c r="AE286" s="330">
        <v>3</v>
      </c>
      <c r="AF286" s="330">
        <v>11</v>
      </c>
      <c r="AG286" s="332" t="s">
        <v>1258</v>
      </c>
      <c r="AH286" s="332" t="s">
        <v>191</v>
      </c>
      <c r="AI286" s="330" t="s">
        <v>1258</v>
      </c>
      <c r="AJ286" s="330" t="s">
        <v>1258</v>
      </c>
      <c r="AK286" s="330"/>
      <c r="AL286" s="330" t="s">
        <v>1258</v>
      </c>
      <c r="AM286" s="330" t="s">
        <v>191</v>
      </c>
      <c r="AN286" s="330" t="s">
        <v>1258</v>
      </c>
      <c r="AO286" s="330"/>
      <c r="AP286" s="332" t="s">
        <v>259</v>
      </c>
      <c r="AQ286" s="330"/>
      <c r="AR286" s="330"/>
      <c r="AS286" s="330"/>
      <c r="AT286" s="330"/>
      <c r="AU286" s="332" t="s">
        <v>1258</v>
      </c>
      <c r="AV286" s="334">
        <v>46121.379088252317</v>
      </c>
      <c r="AW286" s="330" t="b">
        <v>1</v>
      </c>
      <c r="AX286" s="335">
        <v>46142</v>
      </c>
      <c r="AY286" s="330"/>
      <c r="AZ286" s="330"/>
      <c r="BA286" s="330"/>
      <c r="BB286" s="330"/>
      <c r="BC286" s="336">
        <v>46127</v>
      </c>
      <c r="BD286" s="330"/>
      <c r="BE286" s="330"/>
      <c r="BF286" s="330"/>
      <c r="BG286" s="330"/>
      <c r="BH286" s="330" t="s">
        <v>193</v>
      </c>
      <c r="BI286" s="330">
        <v>61</v>
      </c>
      <c r="BJ286" s="330"/>
      <c r="BK286" s="330"/>
      <c r="BL286" s="330"/>
      <c r="BM286" s="332"/>
      <c r="BN286" s="330"/>
      <c r="BO286" s="330" t="s">
        <v>240</v>
      </c>
      <c r="BP286" s="330" t="s">
        <v>193</v>
      </c>
      <c r="BQ286" s="330" t="s">
        <v>218</v>
      </c>
      <c r="BR286" s="330" t="s">
        <v>220</v>
      </c>
      <c r="BS286" s="330"/>
      <c r="BT286" s="330" t="s">
        <v>193</v>
      </c>
      <c r="BU286" s="330" t="s">
        <v>2596</v>
      </c>
      <c r="BV286" s="330" t="s">
        <v>220</v>
      </c>
      <c r="BW286" s="330"/>
      <c r="BX286" s="332" t="s">
        <v>2597</v>
      </c>
      <c r="BY286" s="330" t="s">
        <v>2598</v>
      </c>
      <c r="BZ286" s="330"/>
      <c r="CA286" s="330"/>
      <c r="CB286" s="330"/>
      <c r="CC286" s="337" t="s">
        <v>81</v>
      </c>
      <c r="CD286" s="330" t="b">
        <v>1</v>
      </c>
      <c r="CE286" s="330" t="b">
        <v>1</v>
      </c>
      <c r="CF286" s="330" t="b">
        <v>1</v>
      </c>
      <c r="CG286" s="330"/>
      <c r="CH286" s="330"/>
      <c r="CI286" s="330"/>
      <c r="CJ286" s="330"/>
      <c r="CK286" s="330"/>
      <c r="CL286" s="330"/>
      <c r="CM286" s="330"/>
      <c r="CN286" s="330"/>
      <c r="CO286" s="330"/>
      <c r="CP286" s="330"/>
      <c r="CQ286" s="330"/>
      <c r="CR286" s="330"/>
      <c r="CS286" s="330"/>
      <c r="CT286" s="330"/>
      <c r="CU286" s="330"/>
      <c r="CV286" s="330"/>
      <c r="CW286" s="330"/>
      <c r="CX286" s="330"/>
      <c r="CY286" s="330"/>
      <c r="CZ286" s="330"/>
      <c r="DA286" s="330"/>
      <c r="DB286" s="330" t="b">
        <v>1</v>
      </c>
      <c r="DC286" s="330" t="b">
        <v>1</v>
      </c>
      <c r="DD286" s="330"/>
      <c r="DE286" s="330"/>
      <c r="DF286" s="338">
        <v>25010</v>
      </c>
      <c r="DG286" s="330" t="s">
        <v>1541</v>
      </c>
      <c r="DH286" s="330"/>
      <c r="DI286" s="338" t="s">
        <v>1326</v>
      </c>
      <c r="DJ286" s="330"/>
      <c r="DK286" s="330">
        <v>7</v>
      </c>
      <c r="DL286" s="330" t="s">
        <v>2590</v>
      </c>
      <c r="DM286" s="330"/>
      <c r="DN286" s="330" t="b">
        <v>1</v>
      </c>
      <c r="DO286" s="336">
        <v>46122</v>
      </c>
      <c r="DP286" s="330"/>
      <c r="DQ286" s="338" t="s">
        <v>2430</v>
      </c>
      <c r="DR286" s="330"/>
      <c r="DS286" s="330"/>
      <c r="DT286" s="330"/>
      <c r="DU286" s="338" t="s">
        <v>197</v>
      </c>
      <c r="DV286" s="330"/>
      <c r="DW286" s="330"/>
      <c r="DX286" s="330"/>
      <c r="DY286" s="338" t="s">
        <v>197</v>
      </c>
      <c r="DZ286" s="330"/>
      <c r="EA286" s="330"/>
      <c r="EB286" s="330"/>
      <c r="EC286" s="330" t="s">
        <v>197</v>
      </c>
      <c r="ED286" s="338">
        <v>5</v>
      </c>
      <c r="EE286" s="330">
        <v>1</v>
      </c>
      <c r="EF286" s="330">
        <v>5</v>
      </c>
      <c r="EG286" s="330"/>
      <c r="EH286" s="330"/>
      <c r="EI286" s="330"/>
      <c r="EJ286" s="330"/>
      <c r="EK286" s="330"/>
      <c r="EL286" s="330"/>
      <c r="EM286" s="330"/>
      <c r="EN286" s="330"/>
      <c r="EO286" s="330"/>
      <c r="EP286" s="330"/>
      <c r="EQ286" s="332" t="s">
        <v>224</v>
      </c>
      <c r="ER286" s="330"/>
      <c r="ES286" s="330"/>
      <c r="ET286" s="332" t="s">
        <v>245</v>
      </c>
      <c r="EU286" s="332" t="s">
        <v>354</v>
      </c>
      <c r="EV286" s="330"/>
      <c r="EW286" s="330"/>
      <c r="EX286" s="330" t="s">
        <v>200</v>
      </c>
      <c r="EY286" s="330"/>
      <c r="EZ286" s="330" t="s">
        <v>247</v>
      </c>
      <c r="FA286" s="330"/>
      <c r="FB286" s="330" t="s">
        <v>247</v>
      </c>
      <c r="FC286" s="330" t="s">
        <v>202</v>
      </c>
      <c r="FD286" s="332" t="s">
        <v>190</v>
      </c>
      <c r="FE286" s="330"/>
      <c r="FF286" s="330"/>
      <c r="FG286" s="330" t="s">
        <v>203</v>
      </c>
      <c r="FH286" s="330" t="s">
        <v>2591</v>
      </c>
      <c r="FI286" s="330" t="s">
        <v>204</v>
      </c>
      <c r="FJ286" s="330"/>
      <c r="FK286" s="330" t="s">
        <v>180</v>
      </c>
      <c r="FL286" s="330" t="s">
        <v>1258</v>
      </c>
      <c r="FM286" s="330" t="s">
        <v>191</v>
      </c>
      <c r="FN286" s="330" t="s">
        <v>2599</v>
      </c>
      <c r="FO286" s="330"/>
      <c r="FP286" s="330" t="s">
        <v>639</v>
      </c>
      <c r="FQ286" s="330"/>
      <c r="FR286" s="330"/>
      <c r="FS286" s="330"/>
      <c r="FT286" s="330"/>
      <c r="FU286" s="330"/>
    </row>
    <row r="287" spans="1:177" ht="25.5" x14ac:dyDescent="0.25">
      <c r="A287" s="330">
        <v>286</v>
      </c>
      <c r="B287" s="331" t="s">
        <v>2600</v>
      </c>
      <c r="C287" s="330"/>
      <c r="D287" s="332" t="s">
        <v>2110</v>
      </c>
      <c r="E287" s="332" t="s">
        <v>2111</v>
      </c>
      <c r="F287" s="332" t="s">
        <v>1189</v>
      </c>
      <c r="G287" s="330" t="s">
        <v>1190</v>
      </c>
      <c r="H287" s="331"/>
      <c r="I287" s="330"/>
      <c r="J287" s="332" t="s">
        <v>2601</v>
      </c>
      <c r="K287" s="332"/>
      <c r="L287" s="330" t="s">
        <v>857</v>
      </c>
      <c r="M287" s="332" t="s">
        <v>1035</v>
      </c>
      <c r="N287" s="330" t="s">
        <v>2602</v>
      </c>
      <c r="O287" s="333" t="s">
        <v>184</v>
      </c>
      <c r="P287" s="333" t="s">
        <v>184</v>
      </c>
      <c r="Q287" s="333" t="s">
        <v>184</v>
      </c>
      <c r="R287" s="333">
        <v>0</v>
      </c>
      <c r="S287" s="333">
        <v>21</v>
      </c>
      <c r="T287" s="333">
        <v>4</v>
      </c>
      <c r="U287" s="333">
        <v>0</v>
      </c>
      <c r="V287" s="333">
        <v>0</v>
      </c>
      <c r="W287" s="330">
        <v>4</v>
      </c>
      <c r="X287" s="330" t="s">
        <v>213</v>
      </c>
      <c r="Y287" s="332" t="s">
        <v>1129</v>
      </c>
      <c r="Z287" s="330" t="s">
        <v>614</v>
      </c>
      <c r="AA287" s="330" t="s">
        <v>1130</v>
      </c>
      <c r="AB287" s="330" t="s">
        <v>189</v>
      </c>
      <c r="AC287" s="330"/>
      <c r="AD287" s="330"/>
      <c r="AE287" s="330">
        <v>42</v>
      </c>
      <c r="AF287" s="330">
        <v>1</v>
      </c>
      <c r="AG287" s="332" t="s">
        <v>190</v>
      </c>
      <c r="AH287" s="332" t="s">
        <v>191</v>
      </c>
      <c r="AI287" s="330"/>
      <c r="AJ287" s="330"/>
      <c r="AK287" s="330"/>
      <c r="AL287" s="330" t="s">
        <v>471</v>
      </c>
      <c r="AM287" s="330"/>
      <c r="AN287" s="330"/>
      <c r="AO287" s="330"/>
      <c r="AP287" s="332"/>
      <c r="AQ287" s="330"/>
      <c r="AR287" s="330"/>
      <c r="AS287" s="330" t="b">
        <v>1</v>
      </c>
      <c r="AT287" s="330"/>
      <c r="AU287" s="332" t="s">
        <v>471</v>
      </c>
      <c r="AV287" s="334">
        <v>46121.668191990742</v>
      </c>
      <c r="AW287" s="330" t="b">
        <v>1</v>
      </c>
      <c r="AX287" s="335">
        <v>46129</v>
      </c>
      <c r="AY287" s="336">
        <v>46122</v>
      </c>
      <c r="AZ287" s="330" t="b">
        <v>1</v>
      </c>
      <c r="BA287" s="336">
        <v>46128</v>
      </c>
      <c r="BB287" s="330"/>
      <c r="BC287" s="336">
        <v>46129</v>
      </c>
      <c r="BD287" s="330"/>
      <c r="BE287" s="330"/>
      <c r="BF287" s="330"/>
      <c r="BG287" s="330"/>
      <c r="BH287" s="330" t="s">
        <v>193</v>
      </c>
      <c r="BI287" s="330">
        <v>50</v>
      </c>
      <c r="BJ287" s="330"/>
      <c r="BK287" s="330"/>
      <c r="BL287" s="330"/>
      <c r="BM287" s="332"/>
      <c r="BN287" s="330"/>
      <c r="BO287" s="330"/>
      <c r="BP287" s="330"/>
      <c r="BQ287" s="330"/>
      <c r="BR287" s="330"/>
      <c r="BS287" s="330"/>
      <c r="BT287" s="330"/>
      <c r="BU287" s="330"/>
      <c r="BV287" s="330"/>
      <c r="BW287" s="330"/>
      <c r="BX287" s="332"/>
      <c r="BY287" s="330"/>
      <c r="BZ287" s="330"/>
      <c r="CA287" s="330"/>
      <c r="CB287" s="330"/>
      <c r="CC287" s="337" t="s">
        <v>194</v>
      </c>
      <c r="CD287" s="330"/>
      <c r="CE287" s="330" t="b">
        <v>1</v>
      </c>
      <c r="CF287" s="330"/>
      <c r="CG287" s="330"/>
      <c r="CH287" s="330"/>
      <c r="CI287" s="330"/>
      <c r="CJ287" s="330"/>
      <c r="CK287" s="330"/>
      <c r="CL287" s="330"/>
      <c r="CM287" s="330"/>
      <c r="CN287" s="330"/>
      <c r="CO287" s="330" t="b">
        <v>1</v>
      </c>
      <c r="CP287" s="330" t="b">
        <v>1</v>
      </c>
      <c r="CQ287" s="330"/>
      <c r="CR287" s="330"/>
      <c r="CS287" s="330"/>
      <c r="CT287" s="330"/>
      <c r="CU287" s="330"/>
      <c r="CV287" s="330"/>
      <c r="CW287" s="330"/>
      <c r="CX287" s="330"/>
      <c r="CY287" s="330"/>
      <c r="CZ287" s="330"/>
      <c r="DA287" s="330"/>
      <c r="DB287" s="330"/>
      <c r="DC287" s="330"/>
      <c r="DD287" s="330"/>
      <c r="DE287" s="330"/>
      <c r="DF287" s="338">
        <v>25061</v>
      </c>
      <c r="DG287" s="330" t="s">
        <v>195</v>
      </c>
      <c r="DH287" s="330"/>
      <c r="DI287" s="338" t="s">
        <v>196</v>
      </c>
      <c r="DJ287" s="330"/>
      <c r="DK287" s="330">
        <v>1</v>
      </c>
      <c r="DL287" s="330" t="s">
        <v>2600</v>
      </c>
      <c r="DM287" s="330"/>
      <c r="DN287" s="330"/>
      <c r="DO287" s="330"/>
      <c r="DP287" s="330"/>
      <c r="DQ287" s="338" t="s">
        <v>197</v>
      </c>
      <c r="DR287" s="330"/>
      <c r="DS287" s="330"/>
      <c r="DT287" s="330"/>
      <c r="DU287" s="338" t="s">
        <v>197</v>
      </c>
      <c r="DV287" s="330"/>
      <c r="DW287" s="330"/>
      <c r="DX287" s="330"/>
      <c r="DY287" s="338" t="s">
        <v>197</v>
      </c>
      <c r="DZ287" s="330"/>
      <c r="EA287" s="330"/>
      <c r="EB287" s="330"/>
      <c r="EC287" s="330" t="s">
        <v>197</v>
      </c>
      <c r="ED287" s="338" t="s">
        <v>197</v>
      </c>
      <c r="EE287" s="330">
        <v>1</v>
      </c>
      <c r="EF287" s="330">
        <v>8</v>
      </c>
      <c r="EG287" s="330"/>
      <c r="EH287" s="330"/>
      <c r="EI287" s="330"/>
      <c r="EJ287" s="330"/>
      <c r="EK287" s="330"/>
      <c r="EL287" s="330"/>
      <c r="EM287" s="330"/>
      <c r="EN287" s="330"/>
      <c r="EO287" s="330"/>
      <c r="EP287" s="330"/>
      <c r="EQ287" s="332" t="s">
        <v>244</v>
      </c>
      <c r="ER287" s="330"/>
      <c r="ES287" s="330"/>
      <c r="ET287" s="332"/>
      <c r="EU287" s="332" t="s">
        <v>199</v>
      </c>
      <c r="EV287" s="330"/>
      <c r="EW287" s="336">
        <v>46122</v>
      </c>
      <c r="EX287" s="330" t="s">
        <v>1991</v>
      </c>
      <c r="EY287" s="330"/>
      <c r="EZ287" s="330" t="s">
        <v>201</v>
      </c>
      <c r="FA287" s="336">
        <v>46125</v>
      </c>
      <c r="FB287" s="330">
        <v>4</v>
      </c>
      <c r="FC287" s="330" t="s">
        <v>202</v>
      </c>
      <c r="FD287" s="332" t="s">
        <v>190</v>
      </c>
      <c r="FE287" s="336">
        <v>46128</v>
      </c>
      <c r="FF287" s="330"/>
      <c r="FG287" s="330" t="s">
        <v>203</v>
      </c>
      <c r="FH287" s="330"/>
      <c r="FI287" s="330" t="s">
        <v>204</v>
      </c>
      <c r="FJ287" s="330"/>
      <c r="FK287" s="330" t="s">
        <v>1189</v>
      </c>
      <c r="FL287" s="330" t="s">
        <v>471</v>
      </c>
      <c r="FM287" s="330"/>
      <c r="FN287" s="330" t="s">
        <v>2603</v>
      </c>
      <c r="FO287" s="330"/>
      <c r="FP287" s="330" t="s">
        <v>639</v>
      </c>
      <c r="FQ287" s="330"/>
      <c r="FR287" s="330"/>
      <c r="FS287" s="330"/>
      <c r="FT287" s="330"/>
      <c r="FU287" s="330"/>
    </row>
    <row r="288" spans="1:177" ht="25.5" x14ac:dyDescent="0.25">
      <c r="A288" s="330">
        <v>287</v>
      </c>
      <c r="B288" s="331" t="s">
        <v>2604</v>
      </c>
      <c r="C288" s="330"/>
      <c r="D288" s="332" t="s">
        <v>2110</v>
      </c>
      <c r="E288" s="332" t="s">
        <v>2111</v>
      </c>
      <c r="F288" s="332" t="s">
        <v>1189</v>
      </c>
      <c r="G288" s="330" t="s">
        <v>1190</v>
      </c>
      <c r="H288" s="331"/>
      <c r="I288" s="330"/>
      <c r="J288" s="332" t="s">
        <v>2601</v>
      </c>
      <c r="K288" s="332"/>
      <c r="L288" s="330" t="s">
        <v>637</v>
      </c>
      <c r="M288" s="332" t="s">
        <v>1035</v>
      </c>
      <c r="N288" s="330" t="s">
        <v>2605</v>
      </c>
      <c r="O288" s="333" t="s">
        <v>184</v>
      </c>
      <c r="P288" s="333" t="s">
        <v>184</v>
      </c>
      <c r="Q288" s="333" t="s">
        <v>184</v>
      </c>
      <c r="R288" s="333">
        <v>0</v>
      </c>
      <c r="S288" s="333">
        <v>48</v>
      </c>
      <c r="T288" s="333">
        <v>15</v>
      </c>
      <c r="U288" s="333">
        <v>0</v>
      </c>
      <c r="V288" s="333">
        <v>0</v>
      </c>
      <c r="W288" s="330">
        <v>30</v>
      </c>
      <c r="X288" s="330" t="s">
        <v>213</v>
      </c>
      <c r="Y288" s="332" t="s">
        <v>2606</v>
      </c>
      <c r="Z288" s="330" t="s">
        <v>614</v>
      </c>
      <c r="AA288" s="330" t="s">
        <v>2607</v>
      </c>
      <c r="AB288" s="330" t="s">
        <v>217</v>
      </c>
      <c r="AC288" s="330"/>
      <c r="AD288" s="330"/>
      <c r="AE288" s="330">
        <v>1</v>
      </c>
      <c r="AF288" s="330">
        <v>1</v>
      </c>
      <c r="AG288" s="332" t="s">
        <v>1050</v>
      </c>
      <c r="AH288" s="332" t="s">
        <v>191</v>
      </c>
      <c r="AI288" s="330"/>
      <c r="AJ288" s="330"/>
      <c r="AK288" s="330"/>
      <c r="AL288" s="330" t="s">
        <v>471</v>
      </c>
      <c r="AM288" s="330"/>
      <c r="AN288" s="330"/>
      <c r="AO288" s="330"/>
      <c r="AP288" s="332"/>
      <c r="AQ288" s="330"/>
      <c r="AR288" s="330"/>
      <c r="AS288" s="330" t="b">
        <v>1</v>
      </c>
      <c r="AT288" s="330"/>
      <c r="AU288" s="332" t="s">
        <v>471</v>
      </c>
      <c r="AV288" s="334">
        <v>46121.677300347219</v>
      </c>
      <c r="AW288" s="330" t="b">
        <v>1</v>
      </c>
      <c r="AX288" s="335">
        <v>46129</v>
      </c>
      <c r="AY288" s="336">
        <v>46122</v>
      </c>
      <c r="AZ288" s="330" t="b">
        <v>1</v>
      </c>
      <c r="BA288" s="336">
        <v>46128</v>
      </c>
      <c r="BB288" s="330"/>
      <c r="BC288" s="336">
        <v>46129</v>
      </c>
      <c r="BD288" s="330"/>
      <c r="BE288" s="330"/>
      <c r="BF288" s="330"/>
      <c r="BG288" s="330"/>
      <c r="BH288" s="330" t="s">
        <v>193</v>
      </c>
      <c r="BI288" s="330">
        <v>30</v>
      </c>
      <c r="BJ288" s="330"/>
      <c r="BK288" s="330"/>
      <c r="BL288" s="330"/>
      <c r="BM288" s="332"/>
      <c r="BN288" s="330"/>
      <c r="BO288" s="330"/>
      <c r="BP288" s="330"/>
      <c r="BQ288" s="330"/>
      <c r="BR288" s="330"/>
      <c r="BS288" s="330"/>
      <c r="BT288" s="330"/>
      <c r="BU288" s="330"/>
      <c r="BV288" s="330"/>
      <c r="BW288" s="330"/>
      <c r="BX288" s="332"/>
      <c r="BY288" s="330"/>
      <c r="BZ288" s="330"/>
      <c r="CA288" s="330"/>
      <c r="CB288" s="330"/>
      <c r="CC288" s="337" t="s">
        <v>93</v>
      </c>
      <c r="CD288" s="330"/>
      <c r="CE288" s="330" t="b">
        <v>1</v>
      </c>
      <c r="CF288" s="330"/>
      <c r="CG288" s="330"/>
      <c r="CH288" s="330"/>
      <c r="CI288" s="330"/>
      <c r="CJ288" s="330"/>
      <c r="CK288" s="330"/>
      <c r="CL288" s="330"/>
      <c r="CM288" s="330"/>
      <c r="CN288" s="330"/>
      <c r="CO288" s="330" t="b">
        <v>1</v>
      </c>
      <c r="CP288" s="330" t="b">
        <v>1</v>
      </c>
      <c r="CQ288" s="330"/>
      <c r="CR288" s="330"/>
      <c r="CS288" s="330"/>
      <c r="CT288" s="330"/>
      <c r="CU288" s="330"/>
      <c r="CV288" s="330"/>
      <c r="CW288" s="330"/>
      <c r="CX288" s="330"/>
      <c r="CY288" s="330"/>
      <c r="CZ288" s="330"/>
      <c r="DA288" s="330"/>
      <c r="DB288" s="330"/>
      <c r="DC288" s="330"/>
      <c r="DD288" s="330"/>
      <c r="DE288" s="330"/>
      <c r="DF288" s="338">
        <v>25061</v>
      </c>
      <c r="DG288" s="330" t="s">
        <v>764</v>
      </c>
      <c r="DH288" s="330"/>
      <c r="DI288" s="338" t="s">
        <v>196</v>
      </c>
      <c r="DJ288" s="330"/>
      <c r="DK288" s="330">
        <v>1</v>
      </c>
      <c r="DL288" s="330" t="s">
        <v>2604</v>
      </c>
      <c r="DM288" s="330"/>
      <c r="DN288" s="330"/>
      <c r="DO288" s="330"/>
      <c r="DP288" s="330"/>
      <c r="DQ288" s="338" t="s">
        <v>197</v>
      </c>
      <c r="DR288" s="330"/>
      <c r="DS288" s="330"/>
      <c r="DT288" s="330"/>
      <c r="DU288" s="338" t="s">
        <v>197</v>
      </c>
      <c r="DV288" s="330"/>
      <c r="DW288" s="330"/>
      <c r="DX288" s="330"/>
      <c r="DY288" s="338" t="s">
        <v>197</v>
      </c>
      <c r="DZ288" s="330"/>
      <c r="EA288" s="330"/>
      <c r="EB288" s="330"/>
      <c r="EC288" s="330" t="s">
        <v>197</v>
      </c>
      <c r="ED288" s="338" t="s">
        <v>197</v>
      </c>
      <c r="EE288" s="330">
        <v>1</v>
      </c>
      <c r="EF288" s="330">
        <v>16</v>
      </c>
      <c r="EG288" s="330"/>
      <c r="EH288" s="330"/>
      <c r="EI288" s="330"/>
      <c r="EJ288" s="330"/>
      <c r="EK288" s="330"/>
      <c r="EL288" s="330"/>
      <c r="EM288" s="330"/>
      <c r="EN288" s="330"/>
      <c r="EO288" s="330"/>
      <c r="EP288" s="330"/>
      <c r="EQ288" s="332" t="s">
        <v>244</v>
      </c>
      <c r="ER288" s="330"/>
      <c r="ES288" s="330"/>
      <c r="ET288" s="332"/>
      <c r="EU288" s="332" t="s">
        <v>199</v>
      </c>
      <c r="EV288" s="330"/>
      <c r="EW288" s="336">
        <v>46122</v>
      </c>
      <c r="EX288" s="330" t="s">
        <v>1991</v>
      </c>
      <c r="EY288" s="330"/>
      <c r="EZ288" s="330" t="s">
        <v>247</v>
      </c>
      <c r="FA288" s="330"/>
      <c r="FB288" s="330" t="s">
        <v>247</v>
      </c>
      <c r="FC288" s="330" t="s">
        <v>202</v>
      </c>
      <c r="FD288" s="332" t="s">
        <v>190</v>
      </c>
      <c r="FE288" s="330"/>
      <c r="FF288" s="330"/>
      <c r="FG288" s="330" t="s">
        <v>203</v>
      </c>
      <c r="FH288" s="330"/>
      <c r="FI288" s="330" t="s">
        <v>204</v>
      </c>
      <c r="FJ288" s="330"/>
      <c r="FK288" s="330" t="s">
        <v>1189</v>
      </c>
      <c r="FL288" s="330" t="s">
        <v>471</v>
      </c>
      <c r="FM288" s="330"/>
      <c r="FN288" s="330" t="s">
        <v>2608</v>
      </c>
      <c r="FO288" s="330"/>
      <c r="FP288" s="330" t="s">
        <v>639</v>
      </c>
      <c r="FQ288" s="330"/>
      <c r="FR288" s="330"/>
      <c r="FS288" s="330"/>
      <c r="FT288" s="330"/>
      <c r="FU288" s="330"/>
    </row>
    <row r="289" spans="1:177" ht="51" x14ac:dyDescent="0.25">
      <c r="A289" s="330">
        <v>288</v>
      </c>
      <c r="B289" s="331" t="s">
        <v>2609</v>
      </c>
      <c r="C289" s="330"/>
      <c r="D289" s="332" t="s">
        <v>228</v>
      </c>
      <c r="E289" s="332" t="s">
        <v>229</v>
      </c>
      <c r="F289" s="332" t="s">
        <v>230</v>
      </c>
      <c r="G289" s="330" t="s">
        <v>231</v>
      </c>
      <c r="H289" s="331"/>
      <c r="I289" s="330"/>
      <c r="J289" s="332" t="s">
        <v>2610</v>
      </c>
      <c r="K289" s="332"/>
      <c r="L289" s="330" t="s">
        <v>1647</v>
      </c>
      <c r="M289" s="332"/>
      <c r="N289" s="330" t="s">
        <v>4115</v>
      </c>
      <c r="O289" s="333" t="s">
        <v>184</v>
      </c>
      <c r="P289" s="333" t="s">
        <v>184</v>
      </c>
      <c r="Q289" s="333" t="s">
        <v>184</v>
      </c>
      <c r="R289" s="333">
        <v>0</v>
      </c>
      <c r="S289" s="333">
        <v>25</v>
      </c>
      <c r="T289" s="333">
        <v>1</v>
      </c>
      <c r="U289" s="333">
        <v>0</v>
      </c>
      <c r="V289" s="333">
        <v>0</v>
      </c>
      <c r="W289" s="330">
        <v>4</v>
      </c>
      <c r="X289" s="330" t="s">
        <v>4166</v>
      </c>
      <c r="Y289" s="332" t="s">
        <v>2611</v>
      </c>
      <c r="Z289" s="330" t="s">
        <v>739</v>
      </c>
      <c r="AA289" s="330" t="s">
        <v>2612</v>
      </c>
      <c r="AB289" s="330" t="s">
        <v>189</v>
      </c>
      <c r="AC289" s="330"/>
      <c r="AD289" s="330"/>
      <c r="AE289" s="330">
        <v>1</v>
      </c>
      <c r="AF289" s="330">
        <v>5</v>
      </c>
      <c r="AG289" s="332" t="s">
        <v>4167</v>
      </c>
      <c r="AH289" s="332" t="s">
        <v>191</v>
      </c>
      <c r="AI289" s="330" t="s">
        <v>202</v>
      </c>
      <c r="AJ289" s="330"/>
      <c r="AK289" s="330"/>
      <c r="AL289" s="330" t="s">
        <v>741</v>
      </c>
      <c r="AM289" s="330" t="s">
        <v>202</v>
      </c>
      <c r="AN289" s="330" t="s">
        <v>741</v>
      </c>
      <c r="AO289" s="330"/>
      <c r="AP289" s="332"/>
      <c r="AQ289" s="330"/>
      <c r="AR289" s="330" t="s">
        <v>334</v>
      </c>
      <c r="AS289" s="330" t="b">
        <v>1</v>
      </c>
      <c r="AT289" s="330"/>
      <c r="AU289" s="332" t="s">
        <v>741</v>
      </c>
      <c r="AV289" s="334">
        <v>46122.395785810186</v>
      </c>
      <c r="AW289" s="330" t="b">
        <v>1</v>
      </c>
      <c r="AX289" s="335">
        <v>46132</v>
      </c>
      <c r="AY289" s="336">
        <v>46128</v>
      </c>
      <c r="AZ289" s="330" t="b">
        <v>1</v>
      </c>
      <c r="BA289" s="336">
        <v>46134</v>
      </c>
      <c r="BB289" s="330"/>
      <c r="BC289" s="336">
        <v>46136</v>
      </c>
      <c r="BD289" s="330"/>
      <c r="BE289" s="330"/>
      <c r="BF289" s="330"/>
      <c r="BG289" s="330"/>
      <c r="BH289" s="330" t="s">
        <v>193</v>
      </c>
      <c r="BI289" s="330">
        <v>100</v>
      </c>
      <c r="BJ289" s="330"/>
      <c r="BK289" s="330"/>
      <c r="BL289" s="330"/>
      <c r="BM289" s="332"/>
      <c r="BN289" s="330"/>
      <c r="BO289" s="330"/>
      <c r="BP289" s="330"/>
      <c r="BQ289" s="330"/>
      <c r="BR289" s="330"/>
      <c r="BS289" s="330"/>
      <c r="BT289" s="330"/>
      <c r="BU289" s="330"/>
      <c r="BV289" s="330"/>
      <c r="BW289" s="330"/>
      <c r="BX289" s="332"/>
      <c r="BY289" s="330"/>
      <c r="BZ289" s="330"/>
      <c r="CA289" s="330"/>
      <c r="CB289" s="330"/>
      <c r="CC289" s="337" t="s">
        <v>4168</v>
      </c>
      <c r="CD289" s="330"/>
      <c r="CE289" s="330" t="b">
        <v>1</v>
      </c>
      <c r="CF289" s="330"/>
      <c r="CG289" s="330"/>
      <c r="CH289" s="330"/>
      <c r="CI289" s="330"/>
      <c r="CJ289" s="330"/>
      <c r="CK289" s="330"/>
      <c r="CL289" s="330" t="b">
        <v>1</v>
      </c>
      <c r="CM289" s="330" t="s">
        <v>745</v>
      </c>
      <c r="CN289" s="330"/>
      <c r="CO289" s="330"/>
      <c r="CP289" s="330"/>
      <c r="CQ289" s="330"/>
      <c r="CR289" s="330"/>
      <c r="CS289" s="330"/>
      <c r="CT289" s="330"/>
      <c r="CU289" s="330" t="b">
        <v>1</v>
      </c>
      <c r="CV289" s="330"/>
      <c r="CW289" s="330"/>
      <c r="CX289" s="330"/>
      <c r="CY289" s="330"/>
      <c r="CZ289" s="330"/>
      <c r="DA289" s="330"/>
      <c r="DB289" s="330"/>
      <c r="DC289" s="330"/>
      <c r="DD289" s="330"/>
      <c r="DE289" s="330"/>
      <c r="DF289" s="338">
        <v>24051</v>
      </c>
      <c r="DG289" s="330" t="s">
        <v>764</v>
      </c>
      <c r="DH289" s="330"/>
      <c r="DI289" s="338" t="s">
        <v>196</v>
      </c>
      <c r="DJ289" s="330"/>
      <c r="DK289" s="330">
        <v>1</v>
      </c>
      <c r="DL289" s="330" t="s">
        <v>2609</v>
      </c>
      <c r="DM289" s="330"/>
      <c r="DN289" s="330"/>
      <c r="DO289" s="330"/>
      <c r="DP289" s="330"/>
      <c r="DQ289" s="338" t="s">
        <v>197</v>
      </c>
      <c r="DR289" s="330"/>
      <c r="DS289" s="330"/>
      <c r="DT289" s="330"/>
      <c r="DU289" s="338" t="s">
        <v>197</v>
      </c>
      <c r="DV289" s="330"/>
      <c r="DW289" s="330"/>
      <c r="DX289" s="330"/>
      <c r="DY289" s="338" t="s">
        <v>197</v>
      </c>
      <c r="DZ289" s="330"/>
      <c r="EA289" s="330"/>
      <c r="EB289" s="330"/>
      <c r="EC289" s="330" t="s">
        <v>197</v>
      </c>
      <c r="ED289" s="338" t="s">
        <v>197</v>
      </c>
      <c r="EE289" s="330">
        <v>4</v>
      </c>
      <c r="EF289" s="330">
        <v>16</v>
      </c>
      <c r="EG289" s="330"/>
      <c r="EH289" s="330"/>
      <c r="EI289" s="330"/>
      <c r="EJ289" s="330"/>
      <c r="EK289" s="330"/>
      <c r="EL289" s="330"/>
      <c r="EM289" s="330"/>
      <c r="EN289" s="330"/>
      <c r="EO289" s="330"/>
      <c r="EP289" s="330"/>
      <c r="EQ289" s="332" t="s">
        <v>244</v>
      </c>
      <c r="ER289" s="330"/>
      <c r="ES289" s="330"/>
      <c r="ET289" s="332" t="s">
        <v>89</v>
      </c>
      <c r="EU289" s="332" t="s">
        <v>2340</v>
      </c>
      <c r="EV289" s="336">
        <v>46127</v>
      </c>
      <c r="EW289" s="336">
        <v>46128</v>
      </c>
      <c r="EX289" s="330">
        <v>2</v>
      </c>
      <c r="EY289" s="330"/>
      <c r="EZ289" s="330" t="s">
        <v>247</v>
      </c>
      <c r="FA289" s="330"/>
      <c r="FB289" s="330" t="s">
        <v>247</v>
      </c>
      <c r="FC289" s="330" t="s">
        <v>202</v>
      </c>
      <c r="FD289" s="332" t="s">
        <v>190</v>
      </c>
      <c r="FE289" s="330"/>
      <c r="FF289" s="330"/>
      <c r="FG289" s="330" t="s">
        <v>203</v>
      </c>
      <c r="FH289" s="330" t="s">
        <v>2153</v>
      </c>
      <c r="FI289" s="330" t="s">
        <v>204</v>
      </c>
      <c r="FJ289" s="330"/>
      <c r="FK289" s="330" t="s">
        <v>230</v>
      </c>
      <c r="FL289" s="330" t="s">
        <v>741</v>
      </c>
      <c r="FM289" s="330" t="s">
        <v>202</v>
      </c>
      <c r="FN289" s="330" t="s">
        <v>2613</v>
      </c>
      <c r="FO289" s="330"/>
      <c r="FP289" s="330" t="s">
        <v>1330</v>
      </c>
      <c r="FQ289" s="330"/>
      <c r="FR289" s="330"/>
      <c r="FS289" s="330"/>
      <c r="FT289" s="330"/>
      <c r="FU289" s="330"/>
    </row>
    <row r="290" spans="1:177" ht="76.5" x14ac:dyDescent="0.25">
      <c r="A290" s="330">
        <v>289</v>
      </c>
      <c r="B290" s="331" t="s">
        <v>2614</v>
      </c>
      <c r="C290" s="330"/>
      <c r="D290" s="332" t="s">
        <v>1778</v>
      </c>
      <c r="E290" s="332" t="s">
        <v>1779</v>
      </c>
      <c r="F290" s="332" t="s">
        <v>1780</v>
      </c>
      <c r="G290" s="330"/>
      <c r="H290" s="331">
        <v>400</v>
      </c>
      <c r="I290" s="330"/>
      <c r="J290" s="332"/>
      <c r="K290" s="332" t="s">
        <v>2615</v>
      </c>
      <c r="L290" s="330" t="s">
        <v>4116</v>
      </c>
      <c r="M290" s="332" t="s">
        <v>4117</v>
      </c>
      <c r="N290" s="330" t="s">
        <v>2616</v>
      </c>
      <c r="O290" s="339">
        <v>1.5196721311475401</v>
      </c>
      <c r="P290" s="333">
        <v>927</v>
      </c>
      <c r="Q290" s="333">
        <v>610</v>
      </c>
      <c r="R290" s="333">
        <v>4</v>
      </c>
      <c r="S290" s="333">
        <v>4</v>
      </c>
      <c r="T290" s="333">
        <v>4</v>
      </c>
      <c r="U290" s="333">
        <v>43</v>
      </c>
      <c r="V290" s="333" t="s">
        <v>185</v>
      </c>
      <c r="W290" s="330" t="s">
        <v>4118</v>
      </c>
      <c r="X290" s="330" t="s">
        <v>4119</v>
      </c>
      <c r="Y290" s="332" t="s">
        <v>4120</v>
      </c>
      <c r="Z290" s="330" t="s">
        <v>215</v>
      </c>
      <c r="AA290" s="330" t="s">
        <v>4121</v>
      </c>
      <c r="AB290" s="330" t="s">
        <v>217</v>
      </c>
      <c r="AC290" s="330"/>
      <c r="AD290" s="330"/>
      <c r="AE290" s="330">
        <v>5</v>
      </c>
      <c r="AF290" s="330">
        <v>12</v>
      </c>
      <c r="AG290" s="332" t="s">
        <v>626</v>
      </c>
      <c r="AH290" s="332" t="s">
        <v>191</v>
      </c>
      <c r="AI290" s="330"/>
      <c r="AJ290" s="330" t="s">
        <v>471</v>
      </c>
      <c r="AK290" s="330"/>
      <c r="AL290" s="330" t="s">
        <v>471</v>
      </c>
      <c r="AM290" s="330" t="s">
        <v>191</v>
      </c>
      <c r="AN290" s="330" t="s">
        <v>471</v>
      </c>
      <c r="AO290" s="330"/>
      <c r="AP290" s="332" t="s">
        <v>259</v>
      </c>
      <c r="AQ290" s="330"/>
      <c r="AR290" s="330"/>
      <c r="AS290" s="330" t="b">
        <v>1</v>
      </c>
      <c r="AT290" s="330"/>
      <c r="AU290" s="332" t="s">
        <v>471</v>
      </c>
      <c r="AV290" s="334">
        <v>46122.577820046296</v>
      </c>
      <c r="AW290" s="330" t="b">
        <v>1</v>
      </c>
      <c r="AX290" s="335">
        <v>46126</v>
      </c>
      <c r="AY290" s="336">
        <v>46127</v>
      </c>
      <c r="AZ290" s="330" t="b">
        <v>1</v>
      </c>
      <c r="BA290" s="336">
        <v>46143</v>
      </c>
      <c r="BB290" s="330"/>
      <c r="BC290" s="336">
        <v>46135</v>
      </c>
      <c r="BD290" s="330"/>
      <c r="BE290" s="330"/>
      <c r="BF290" s="330"/>
      <c r="BG290" s="330"/>
      <c r="BH290" s="330" t="s">
        <v>193</v>
      </c>
      <c r="BI290" s="330">
        <v>4</v>
      </c>
      <c r="BJ290" s="330"/>
      <c r="BK290" s="330"/>
      <c r="BL290" s="330"/>
      <c r="BM290" s="332"/>
      <c r="BN290" s="330"/>
      <c r="BO290" s="330" t="s">
        <v>2195</v>
      </c>
      <c r="BP290" s="330" t="s">
        <v>193</v>
      </c>
      <c r="BQ290" s="330" t="s">
        <v>218</v>
      </c>
      <c r="BR290" s="330" t="s">
        <v>220</v>
      </c>
      <c r="BS290" s="330"/>
      <c r="BT290" s="330" t="s">
        <v>193</v>
      </c>
      <c r="BU290" s="330" t="s">
        <v>2196</v>
      </c>
      <c r="BV290" s="330" t="s">
        <v>193</v>
      </c>
      <c r="BW290" s="330" t="s">
        <v>1817</v>
      </c>
      <c r="BX290" s="332" t="s">
        <v>2619</v>
      </c>
      <c r="BY290" s="330" t="s">
        <v>2620</v>
      </c>
      <c r="BZ290" s="330"/>
      <c r="CA290" s="330" t="s">
        <v>1553</v>
      </c>
      <c r="CB290" s="330"/>
      <c r="CC290" s="337" t="s">
        <v>820</v>
      </c>
      <c r="CD290" s="330"/>
      <c r="CE290" s="330" t="b">
        <v>1</v>
      </c>
      <c r="CF290" s="330" t="b">
        <v>1</v>
      </c>
      <c r="CG290" s="330"/>
      <c r="CH290" s="330"/>
      <c r="CI290" s="330"/>
      <c r="CJ290" s="330"/>
      <c r="CK290" s="330"/>
      <c r="CL290" s="330"/>
      <c r="CM290" s="330"/>
      <c r="CN290" s="330"/>
      <c r="CO290" s="330"/>
      <c r="CP290" s="330"/>
      <c r="CQ290" s="330"/>
      <c r="CR290" s="330"/>
      <c r="CS290" s="330"/>
      <c r="CT290" s="330"/>
      <c r="CU290" s="330"/>
      <c r="CV290" s="330"/>
      <c r="CW290" s="330"/>
      <c r="CX290" s="330"/>
      <c r="CY290" s="330"/>
      <c r="CZ290" s="330"/>
      <c r="DA290" s="330"/>
      <c r="DB290" s="330" t="b">
        <v>1</v>
      </c>
      <c r="DC290" s="330" t="b">
        <v>1</v>
      </c>
      <c r="DD290" s="330"/>
      <c r="DE290" s="330"/>
      <c r="DF290" s="338">
        <v>25022</v>
      </c>
      <c r="DG290" s="330" t="s">
        <v>1019</v>
      </c>
      <c r="DH290" s="330"/>
      <c r="DI290" s="338" t="s">
        <v>196</v>
      </c>
      <c r="DJ290" s="330"/>
      <c r="DK290" s="330">
        <v>1</v>
      </c>
      <c r="DL290" s="330" t="s">
        <v>2621</v>
      </c>
      <c r="DM290" s="330"/>
      <c r="DN290" s="330"/>
      <c r="DO290" s="330"/>
      <c r="DP290" s="330"/>
      <c r="DQ290" s="338" t="s">
        <v>197</v>
      </c>
      <c r="DR290" s="330"/>
      <c r="DS290" s="330"/>
      <c r="DT290" s="330"/>
      <c r="DU290" s="338" t="s">
        <v>197</v>
      </c>
      <c r="DV290" s="330"/>
      <c r="DW290" s="330"/>
      <c r="DX290" s="330"/>
      <c r="DY290" s="338" t="s">
        <v>197</v>
      </c>
      <c r="DZ290" s="330"/>
      <c r="EA290" s="330"/>
      <c r="EB290" s="330"/>
      <c r="EC290" s="330" t="s">
        <v>197</v>
      </c>
      <c r="ED290" s="338" t="s">
        <v>197</v>
      </c>
      <c r="EE290" s="330">
        <v>4</v>
      </c>
      <c r="EF290" s="330">
        <v>8</v>
      </c>
      <c r="EG290" s="330"/>
      <c r="EH290" s="330"/>
      <c r="EI290" s="330"/>
      <c r="EJ290" s="330"/>
      <c r="EK290" s="330"/>
      <c r="EL290" s="330"/>
      <c r="EM290" s="330"/>
      <c r="EN290" s="330"/>
      <c r="EO290" s="330"/>
      <c r="EP290" s="330"/>
      <c r="EQ290" s="332" t="s">
        <v>198</v>
      </c>
      <c r="ER290" s="330"/>
      <c r="ES290" s="330"/>
      <c r="ET290" s="332" t="s">
        <v>245</v>
      </c>
      <c r="EU290" s="332" t="s">
        <v>354</v>
      </c>
      <c r="EV290" s="336">
        <v>46125</v>
      </c>
      <c r="EW290" s="336">
        <v>46127</v>
      </c>
      <c r="EX290" s="330">
        <v>3</v>
      </c>
      <c r="EY290" s="330"/>
      <c r="EZ290" s="330" t="s">
        <v>247</v>
      </c>
      <c r="FA290" s="330"/>
      <c r="FB290" s="330" t="s">
        <v>247</v>
      </c>
      <c r="FC290" s="330" t="s">
        <v>202</v>
      </c>
      <c r="FD290" s="332" t="s">
        <v>190</v>
      </c>
      <c r="FE290" s="330"/>
      <c r="FF290" s="330"/>
      <c r="FG290" s="330" t="s">
        <v>203</v>
      </c>
      <c r="FH290" s="330" t="s">
        <v>631</v>
      </c>
      <c r="FI290" s="330" t="s">
        <v>204</v>
      </c>
      <c r="FJ290" s="330"/>
      <c r="FK290" s="330" t="s">
        <v>1780</v>
      </c>
      <c r="FL290" s="330" t="s">
        <v>471</v>
      </c>
      <c r="FM290" s="330" t="s">
        <v>191</v>
      </c>
      <c r="FN290" s="330" t="s">
        <v>2622</v>
      </c>
      <c r="FO290" s="330"/>
      <c r="FP290" s="330" t="s">
        <v>1330</v>
      </c>
      <c r="FQ290" s="330"/>
      <c r="FR290" s="330"/>
      <c r="FS290" s="330"/>
      <c r="FT290" s="330"/>
      <c r="FU290" s="330"/>
    </row>
    <row r="291" spans="1:177" ht="38.25" x14ac:dyDescent="0.25">
      <c r="A291" s="330">
        <v>290</v>
      </c>
      <c r="B291" s="331" t="s">
        <v>2621</v>
      </c>
      <c r="C291" s="330"/>
      <c r="D291" s="332" t="s">
        <v>1778</v>
      </c>
      <c r="E291" s="332" t="s">
        <v>1779</v>
      </c>
      <c r="F291" s="332" t="s">
        <v>1780</v>
      </c>
      <c r="G291" s="330"/>
      <c r="H291" s="331">
        <v>400</v>
      </c>
      <c r="I291" s="330"/>
      <c r="J291" s="332"/>
      <c r="K291" s="332"/>
      <c r="L291" s="330" t="s">
        <v>284</v>
      </c>
      <c r="M291" s="332"/>
      <c r="N291" s="330" t="s">
        <v>2623</v>
      </c>
      <c r="O291" s="339">
        <v>1.50819672131148</v>
      </c>
      <c r="P291" s="333">
        <v>920</v>
      </c>
      <c r="Q291" s="333">
        <v>610</v>
      </c>
      <c r="R291" s="333">
        <v>1</v>
      </c>
      <c r="S291" s="333">
        <v>1</v>
      </c>
      <c r="T291" s="333">
        <v>1</v>
      </c>
      <c r="U291" s="333">
        <v>4</v>
      </c>
      <c r="V291" s="333">
        <v>27</v>
      </c>
      <c r="W291" s="330" t="s">
        <v>722</v>
      </c>
      <c r="X291" s="330" t="s">
        <v>2624</v>
      </c>
      <c r="Y291" s="332" t="s">
        <v>2617</v>
      </c>
      <c r="Z291" s="330" t="s">
        <v>215</v>
      </c>
      <c r="AA291" s="330" t="s">
        <v>2618</v>
      </c>
      <c r="AB291" s="330" t="s">
        <v>217</v>
      </c>
      <c r="AC291" s="330"/>
      <c r="AD291" s="330"/>
      <c r="AE291" s="330">
        <v>3</v>
      </c>
      <c r="AF291" s="330">
        <v>10</v>
      </c>
      <c r="AG291" s="332" t="s">
        <v>626</v>
      </c>
      <c r="AH291" s="332" t="s">
        <v>191</v>
      </c>
      <c r="AI291" s="330" t="s">
        <v>471</v>
      </c>
      <c r="AJ291" s="330"/>
      <c r="AK291" s="330"/>
      <c r="AL291" s="330" t="s">
        <v>471</v>
      </c>
      <c r="AM291" s="330"/>
      <c r="AN291" s="330"/>
      <c r="AO291" s="330"/>
      <c r="AP291" s="332" t="s">
        <v>259</v>
      </c>
      <c r="AQ291" s="330"/>
      <c r="AR291" s="330"/>
      <c r="AS291" s="330" t="b">
        <v>1</v>
      </c>
      <c r="AT291" s="330"/>
      <c r="AU291" s="332" t="s">
        <v>471</v>
      </c>
      <c r="AV291" s="334">
        <v>46122.601353124999</v>
      </c>
      <c r="AW291" s="330" t="b">
        <v>1</v>
      </c>
      <c r="AX291" s="335">
        <v>46126</v>
      </c>
      <c r="AY291" s="336">
        <v>46125</v>
      </c>
      <c r="AZ291" s="330" t="b">
        <v>1</v>
      </c>
      <c r="BA291" s="336">
        <v>46141</v>
      </c>
      <c r="BB291" s="330"/>
      <c r="BC291" s="336">
        <v>46135</v>
      </c>
      <c r="BD291" s="330"/>
      <c r="BE291" s="330"/>
      <c r="BF291" s="330"/>
      <c r="BG291" s="330"/>
      <c r="BH291" s="330" t="s">
        <v>193</v>
      </c>
      <c r="BI291" s="330">
        <v>20</v>
      </c>
      <c r="BJ291" s="330"/>
      <c r="BK291" s="330"/>
      <c r="BL291" s="330"/>
      <c r="BM291" s="332"/>
      <c r="BN291" s="330"/>
      <c r="BO291" s="330" t="s">
        <v>2195</v>
      </c>
      <c r="BP291" s="330" t="s">
        <v>193</v>
      </c>
      <c r="BQ291" s="330" t="s">
        <v>218</v>
      </c>
      <c r="BR291" s="330" t="s">
        <v>193</v>
      </c>
      <c r="BS291" s="330" t="s">
        <v>2625</v>
      </c>
      <c r="BT291" s="330" t="s">
        <v>220</v>
      </c>
      <c r="BU291" s="330"/>
      <c r="BV291" s="330" t="s">
        <v>193</v>
      </c>
      <c r="BW291" s="330" t="s">
        <v>1817</v>
      </c>
      <c r="BX291" s="332" t="s">
        <v>2626</v>
      </c>
      <c r="BY291" s="330" t="s">
        <v>2627</v>
      </c>
      <c r="BZ291" s="330"/>
      <c r="CA291" s="330" t="s">
        <v>1834</v>
      </c>
      <c r="CB291" s="330"/>
      <c r="CC291" s="337" t="s">
        <v>820</v>
      </c>
      <c r="CD291" s="330"/>
      <c r="CE291" s="330" t="b">
        <v>1</v>
      </c>
      <c r="CF291" s="330" t="b">
        <v>1</v>
      </c>
      <c r="CG291" s="330"/>
      <c r="CH291" s="330"/>
      <c r="CI291" s="330"/>
      <c r="CJ291" s="330"/>
      <c r="CK291" s="330"/>
      <c r="CL291" s="330"/>
      <c r="CM291" s="330"/>
      <c r="CN291" s="330"/>
      <c r="CO291" s="330"/>
      <c r="CP291" s="330"/>
      <c r="CQ291" s="330"/>
      <c r="CR291" s="330"/>
      <c r="CS291" s="330"/>
      <c r="CT291" s="330"/>
      <c r="CU291" s="330"/>
      <c r="CV291" s="330"/>
      <c r="CW291" s="330"/>
      <c r="CX291" s="330"/>
      <c r="CY291" s="330"/>
      <c r="CZ291" s="330"/>
      <c r="DA291" s="330"/>
      <c r="DB291" s="330" t="b">
        <v>1</v>
      </c>
      <c r="DC291" s="330" t="b">
        <v>1</v>
      </c>
      <c r="DD291" s="330"/>
      <c r="DE291" s="330"/>
      <c r="DF291" s="338">
        <v>25022</v>
      </c>
      <c r="DG291" s="330" t="s">
        <v>1019</v>
      </c>
      <c r="DH291" s="330"/>
      <c r="DI291" s="338" t="s">
        <v>638</v>
      </c>
      <c r="DJ291" s="330"/>
      <c r="DK291" s="330">
        <v>2</v>
      </c>
      <c r="DL291" s="330" t="s">
        <v>2621</v>
      </c>
      <c r="DM291" s="330"/>
      <c r="DN291" s="330"/>
      <c r="DO291" s="330"/>
      <c r="DP291" s="330"/>
      <c r="DQ291" s="338" t="s">
        <v>197</v>
      </c>
      <c r="DR291" s="330"/>
      <c r="DS291" s="330"/>
      <c r="DT291" s="330"/>
      <c r="DU291" s="338" t="s">
        <v>197</v>
      </c>
      <c r="DV291" s="330"/>
      <c r="DW291" s="330"/>
      <c r="DX291" s="330"/>
      <c r="DY291" s="338" t="s">
        <v>197</v>
      </c>
      <c r="DZ291" s="330"/>
      <c r="EA291" s="330"/>
      <c r="EB291" s="330"/>
      <c r="EC291" s="330" t="s">
        <v>197</v>
      </c>
      <c r="ED291" s="338" t="s">
        <v>197</v>
      </c>
      <c r="EE291" s="330">
        <v>1</v>
      </c>
      <c r="EF291" s="330">
        <v>1</v>
      </c>
      <c r="EG291" s="330"/>
      <c r="EH291" s="330"/>
      <c r="EI291" s="330"/>
      <c r="EJ291" s="330"/>
      <c r="EK291" s="330"/>
      <c r="EL291" s="330"/>
      <c r="EM291" s="330"/>
      <c r="EN291" s="330"/>
      <c r="EO291" s="330"/>
      <c r="EP291" s="330"/>
      <c r="EQ291" s="332" t="s">
        <v>198</v>
      </c>
      <c r="ER291" s="330"/>
      <c r="ES291" s="330"/>
      <c r="ET291" s="332" t="s">
        <v>245</v>
      </c>
      <c r="EU291" s="332" t="s">
        <v>354</v>
      </c>
      <c r="EV291" s="336">
        <v>46125</v>
      </c>
      <c r="EW291" s="336">
        <v>46126</v>
      </c>
      <c r="EX291" s="330">
        <v>2</v>
      </c>
      <c r="EY291" s="330"/>
      <c r="EZ291" s="330" t="s">
        <v>247</v>
      </c>
      <c r="FA291" s="330"/>
      <c r="FB291" s="330" t="s">
        <v>247</v>
      </c>
      <c r="FC291" s="330" t="s">
        <v>202</v>
      </c>
      <c r="FD291" s="332" t="s">
        <v>190</v>
      </c>
      <c r="FE291" s="330"/>
      <c r="FF291" s="330"/>
      <c r="FG291" s="330" t="s">
        <v>203</v>
      </c>
      <c r="FH291" s="330" t="s">
        <v>2628</v>
      </c>
      <c r="FI291" s="330" t="s">
        <v>204</v>
      </c>
      <c r="FJ291" s="330"/>
      <c r="FK291" s="330" t="s">
        <v>1780</v>
      </c>
      <c r="FL291" s="330" t="s">
        <v>471</v>
      </c>
      <c r="FM291" s="330"/>
      <c r="FN291" s="330" t="s">
        <v>2629</v>
      </c>
      <c r="FO291" s="330"/>
      <c r="FP291" s="330" t="s">
        <v>1330</v>
      </c>
      <c r="FQ291" s="330"/>
      <c r="FR291" s="330"/>
      <c r="FS291" s="330"/>
      <c r="FT291" s="330"/>
      <c r="FU291" s="330"/>
    </row>
    <row r="292" spans="1:177" ht="38.25" x14ac:dyDescent="0.25">
      <c r="A292" s="330">
        <v>291</v>
      </c>
      <c r="B292" s="331" t="s">
        <v>2630</v>
      </c>
      <c r="C292" s="330"/>
      <c r="D292" s="332" t="s">
        <v>900</v>
      </c>
      <c r="E292" s="332" t="s">
        <v>901</v>
      </c>
      <c r="F292" s="332" t="s">
        <v>902</v>
      </c>
      <c r="G292" s="330" t="s">
        <v>903</v>
      </c>
      <c r="H292" s="331"/>
      <c r="I292" s="330"/>
      <c r="J292" s="332"/>
      <c r="K292" s="332" t="s">
        <v>2631</v>
      </c>
      <c r="L292" s="330"/>
      <c r="M292" s="332"/>
      <c r="N292" s="330"/>
      <c r="O292" s="333" t="s">
        <v>736</v>
      </c>
      <c r="P292" s="333">
        <v>551</v>
      </c>
      <c r="Q292" s="333"/>
      <c r="R292" s="333">
        <v>2</v>
      </c>
      <c r="S292" s="333">
        <v>4</v>
      </c>
      <c r="T292" s="333">
        <v>0</v>
      </c>
      <c r="U292" s="333">
        <v>0</v>
      </c>
      <c r="V292" s="333">
        <v>0</v>
      </c>
      <c r="W292" s="330" t="s">
        <v>722</v>
      </c>
      <c r="X292" s="330" t="s">
        <v>2632</v>
      </c>
      <c r="Y292" s="332" t="s">
        <v>922</v>
      </c>
      <c r="Z292" s="330"/>
      <c r="AA292" s="330"/>
      <c r="AB292" s="330"/>
      <c r="AC292" s="330"/>
      <c r="AD292" s="330"/>
      <c r="AE292" s="330" t="s">
        <v>1293</v>
      </c>
      <c r="AF292" s="330" t="s">
        <v>1293</v>
      </c>
      <c r="AG292" s="332" t="s">
        <v>1294</v>
      </c>
      <c r="AH292" s="332" t="s">
        <v>191</v>
      </c>
      <c r="AI292" s="330"/>
      <c r="AJ292" s="330"/>
      <c r="AK292" s="330"/>
      <c r="AL292" s="330"/>
      <c r="AM292" s="330"/>
      <c r="AN292" s="330" t="s">
        <v>674</v>
      </c>
      <c r="AO292" s="330"/>
      <c r="AP292" s="332" t="s">
        <v>259</v>
      </c>
      <c r="AQ292" s="330"/>
      <c r="AR292" s="330"/>
      <c r="AS292" s="330"/>
      <c r="AT292" s="330"/>
      <c r="AU292" s="332" t="s">
        <v>471</v>
      </c>
      <c r="AV292" s="334">
        <v>46123.405299421298</v>
      </c>
      <c r="AW292" s="330"/>
      <c r="AX292" s="335">
        <v>46123</v>
      </c>
      <c r="AY292" s="336">
        <v>46125</v>
      </c>
      <c r="AZ292" s="330"/>
      <c r="BA292" s="336">
        <v>46125</v>
      </c>
      <c r="BB292" s="330"/>
      <c r="BC292" s="330"/>
      <c r="BD292" s="330"/>
      <c r="BE292" s="330"/>
      <c r="BF292" s="336">
        <v>46128</v>
      </c>
      <c r="BG292" s="330"/>
      <c r="BH292" s="330"/>
      <c r="BI292" s="330"/>
      <c r="BJ292" s="330"/>
      <c r="BK292" s="330"/>
      <c r="BL292" s="330"/>
      <c r="BM292" s="332"/>
      <c r="BN292" s="330"/>
      <c r="BO292" s="330"/>
      <c r="BP292" s="330"/>
      <c r="BQ292" s="330"/>
      <c r="BR292" s="330"/>
      <c r="BS292" s="330"/>
      <c r="BT292" s="330"/>
      <c r="BU292" s="330"/>
      <c r="BV292" s="330"/>
      <c r="BW292" s="330"/>
      <c r="BX292" s="332" t="s">
        <v>2633</v>
      </c>
      <c r="BY292" s="330" t="s">
        <v>2634</v>
      </c>
      <c r="BZ292" s="330" t="s">
        <v>691</v>
      </c>
      <c r="CA292" s="330"/>
      <c r="CB292" s="330" t="s">
        <v>677</v>
      </c>
      <c r="CC292" s="337" t="s">
        <v>1293</v>
      </c>
      <c r="CD292" s="330"/>
      <c r="CE292" s="330"/>
      <c r="CF292" s="330" t="b">
        <v>1</v>
      </c>
      <c r="CG292" s="330" t="s">
        <v>820</v>
      </c>
      <c r="CH292" s="330"/>
      <c r="CI292" s="330"/>
      <c r="CJ292" s="330"/>
      <c r="CK292" s="330"/>
      <c r="CL292" s="330"/>
      <c r="CM292" s="330"/>
      <c r="CN292" s="330"/>
      <c r="CO292" s="330"/>
      <c r="CP292" s="330"/>
      <c r="CQ292" s="330"/>
      <c r="CR292" s="330"/>
      <c r="CS292" s="330"/>
      <c r="CT292" s="330"/>
      <c r="CU292" s="330"/>
      <c r="CV292" s="330"/>
      <c r="CW292" s="330"/>
      <c r="CX292" s="330"/>
      <c r="CY292" s="330"/>
      <c r="CZ292" s="330"/>
      <c r="DA292" s="330"/>
      <c r="DB292" s="330" t="b">
        <v>1</v>
      </c>
      <c r="DC292" s="330" t="b">
        <v>1</v>
      </c>
      <c r="DD292" s="330"/>
      <c r="DE292" s="330"/>
      <c r="DF292" s="338">
        <v>24079</v>
      </c>
      <c r="DG292" s="330"/>
      <c r="DH292" s="330" t="s">
        <v>678</v>
      </c>
      <c r="DI292" s="338" t="s">
        <v>746</v>
      </c>
      <c r="DJ292" s="330" t="s">
        <v>679</v>
      </c>
      <c r="DK292" s="330">
        <v>3</v>
      </c>
      <c r="DL292" s="330" t="s">
        <v>2630</v>
      </c>
      <c r="DM292" s="330"/>
      <c r="DN292" s="330"/>
      <c r="DO292" s="330"/>
      <c r="DP292" s="330"/>
      <c r="DQ292" s="338" t="s">
        <v>197</v>
      </c>
      <c r="DR292" s="330"/>
      <c r="DS292" s="330"/>
      <c r="DT292" s="330"/>
      <c r="DU292" s="338" t="s">
        <v>197</v>
      </c>
      <c r="DV292" s="330"/>
      <c r="DW292" s="330"/>
      <c r="DX292" s="330"/>
      <c r="DY292" s="338" t="s">
        <v>197</v>
      </c>
      <c r="DZ292" s="330"/>
      <c r="EA292" s="330"/>
      <c r="EB292" s="330"/>
      <c r="EC292" s="330" t="s">
        <v>197</v>
      </c>
      <c r="ED292" s="338" t="s">
        <v>197</v>
      </c>
      <c r="EE292" s="330"/>
      <c r="EF292" s="330"/>
      <c r="EG292" s="330"/>
      <c r="EH292" s="330"/>
      <c r="EI292" s="330"/>
      <c r="EJ292" s="330"/>
      <c r="EK292" s="330"/>
      <c r="EL292" s="330"/>
      <c r="EM292" s="330"/>
      <c r="EN292" s="330"/>
      <c r="EO292" s="330"/>
      <c r="EP292" s="330"/>
      <c r="EQ292" s="332"/>
      <c r="ER292" s="330"/>
      <c r="ES292" s="330"/>
      <c r="ET292" s="332" t="s">
        <v>245</v>
      </c>
      <c r="EU292" s="332" t="s">
        <v>823</v>
      </c>
      <c r="EV292" s="336">
        <v>46123</v>
      </c>
      <c r="EW292" s="330"/>
      <c r="EX292" s="330" t="s">
        <v>4106</v>
      </c>
      <c r="EY292" s="330"/>
      <c r="EZ292" s="330" t="s">
        <v>201</v>
      </c>
      <c r="FA292" s="336">
        <v>46127</v>
      </c>
      <c r="FB292" s="330">
        <v>2</v>
      </c>
      <c r="FC292" s="330" t="s">
        <v>202</v>
      </c>
      <c r="FD292" s="332" t="s">
        <v>190</v>
      </c>
      <c r="FE292" s="336">
        <v>46128</v>
      </c>
      <c r="FF292" s="330" t="b">
        <v>1</v>
      </c>
      <c r="FG292" s="330">
        <v>0</v>
      </c>
      <c r="FH292" s="330" t="s">
        <v>2635</v>
      </c>
      <c r="FI292" s="330" t="s">
        <v>204</v>
      </c>
      <c r="FJ292" s="330"/>
      <c r="FK292" s="330" t="s">
        <v>902</v>
      </c>
      <c r="FL292" s="330"/>
      <c r="FM292" s="330"/>
      <c r="FN292" s="330" t="s">
        <v>2636</v>
      </c>
      <c r="FO292" s="330"/>
      <c r="FP292" s="330" t="s">
        <v>694</v>
      </c>
      <c r="FQ292" s="330"/>
      <c r="FR292" s="330"/>
      <c r="FS292" s="330"/>
      <c r="FT292" s="330"/>
      <c r="FU292" s="330"/>
    </row>
    <row r="293" spans="1:177" ht="38.25" x14ac:dyDescent="0.25">
      <c r="A293" s="330">
        <v>292</v>
      </c>
      <c r="B293" s="331" t="s">
        <v>2637</v>
      </c>
      <c r="C293" s="330"/>
      <c r="D293" s="332" t="s">
        <v>208</v>
      </c>
      <c r="E293" s="332" t="s">
        <v>209</v>
      </c>
      <c r="F293" s="332" t="s">
        <v>180</v>
      </c>
      <c r="G293" s="330" t="s">
        <v>181</v>
      </c>
      <c r="H293" s="331"/>
      <c r="I293" s="330"/>
      <c r="J293" s="332"/>
      <c r="K293" s="332" t="s">
        <v>2638</v>
      </c>
      <c r="L293" s="330"/>
      <c r="M293" s="332"/>
      <c r="N293" s="330"/>
      <c r="O293" s="339">
        <v>0.93521657250470802</v>
      </c>
      <c r="P293" s="333">
        <v>2483</v>
      </c>
      <c r="Q293" s="333">
        <v>2655</v>
      </c>
      <c r="R293" s="333">
        <v>1</v>
      </c>
      <c r="S293" s="333">
        <v>0</v>
      </c>
      <c r="T293" s="333">
        <v>0</v>
      </c>
      <c r="U293" s="333">
        <v>0</v>
      </c>
      <c r="V293" s="333">
        <v>0</v>
      </c>
      <c r="W293" s="330" t="s">
        <v>722</v>
      </c>
      <c r="X293" s="330" t="s">
        <v>2639</v>
      </c>
      <c r="Y293" s="332" t="s">
        <v>1758</v>
      </c>
      <c r="Z293" s="330"/>
      <c r="AA293" s="330"/>
      <c r="AB293" s="330"/>
      <c r="AC293" s="330"/>
      <c r="AD293" s="330"/>
      <c r="AE293" s="330" t="s">
        <v>1293</v>
      </c>
      <c r="AF293" s="330" t="s">
        <v>1293</v>
      </c>
      <c r="AG293" s="332" t="s">
        <v>1294</v>
      </c>
      <c r="AH293" s="332" t="s">
        <v>191</v>
      </c>
      <c r="AI293" s="330"/>
      <c r="AJ293" s="330"/>
      <c r="AK293" s="330"/>
      <c r="AL293" s="330"/>
      <c r="AM293" s="330"/>
      <c r="AN293" s="330" t="s">
        <v>674</v>
      </c>
      <c r="AO293" s="330"/>
      <c r="AP293" s="332" t="s">
        <v>259</v>
      </c>
      <c r="AQ293" s="330"/>
      <c r="AR293" s="330"/>
      <c r="AS293" s="330"/>
      <c r="AT293" s="330"/>
      <c r="AU293" s="332" t="s">
        <v>471</v>
      </c>
      <c r="AV293" s="334">
        <v>46123.406629687503</v>
      </c>
      <c r="AW293" s="330"/>
      <c r="AX293" s="335">
        <v>46123</v>
      </c>
      <c r="AY293" s="336">
        <v>46125</v>
      </c>
      <c r="AZ293" s="330"/>
      <c r="BA293" s="336">
        <v>46125</v>
      </c>
      <c r="BB293" s="330"/>
      <c r="BC293" s="330"/>
      <c r="BD293" s="330"/>
      <c r="BE293" s="330"/>
      <c r="BF293" s="336">
        <v>46128</v>
      </c>
      <c r="BG293" s="330"/>
      <c r="BH293" s="330"/>
      <c r="BI293" s="330"/>
      <c r="BJ293" s="330"/>
      <c r="BK293" s="330"/>
      <c r="BL293" s="330"/>
      <c r="BM293" s="332"/>
      <c r="BN293" s="330"/>
      <c r="BO293" s="330"/>
      <c r="BP293" s="330"/>
      <c r="BQ293" s="330"/>
      <c r="BR293" s="330"/>
      <c r="BS293" s="330"/>
      <c r="BT293" s="330"/>
      <c r="BU293" s="330"/>
      <c r="BV293" s="330"/>
      <c r="BW293" s="330"/>
      <c r="BX293" s="332" t="s">
        <v>2640</v>
      </c>
      <c r="BY293" s="330" t="s">
        <v>2641</v>
      </c>
      <c r="BZ293" s="330" t="s">
        <v>691</v>
      </c>
      <c r="CA293" s="330"/>
      <c r="CB293" s="330" t="s">
        <v>677</v>
      </c>
      <c r="CC293" s="337" t="s">
        <v>1293</v>
      </c>
      <c r="CD293" s="330"/>
      <c r="CE293" s="330"/>
      <c r="CF293" s="330" t="b">
        <v>1</v>
      </c>
      <c r="CG293" s="330" t="s">
        <v>820</v>
      </c>
      <c r="CH293" s="330"/>
      <c r="CI293" s="330"/>
      <c r="CJ293" s="330"/>
      <c r="CK293" s="330"/>
      <c r="CL293" s="330"/>
      <c r="CM293" s="330"/>
      <c r="CN293" s="330"/>
      <c r="CO293" s="330"/>
      <c r="CP293" s="330"/>
      <c r="CQ293" s="330"/>
      <c r="CR293" s="330"/>
      <c r="CS293" s="330"/>
      <c r="CT293" s="330"/>
      <c r="CU293" s="330"/>
      <c r="CV293" s="330"/>
      <c r="CW293" s="330"/>
      <c r="CX293" s="330"/>
      <c r="CY293" s="330"/>
      <c r="CZ293" s="330"/>
      <c r="DA293" s="330"/>
      <c r="DB293" s="330" t="b">
        <v>1</v>
      </c>
      <c r="DC293" s="330" t="b">
        <v>1</v>
      </c>
      <c r="DD293" s="330"/>
      <c r="DE293" s="330"/>
      <c r="DF293" s="338">
        <v>24071</v>
      </c>
      <c r="DG293" s="330"/>
      <c r="DH293" s="330" t="s">
        <v>678</v>
      </c>
      <c r="DI293" s="338">
        <v>14</v>
      </c>
      <c r="DJ293" s="330" t="s">
        <v>679</v>
      </c>
      <c r="DK293" s="330">
        <v>14</v>
      </c>
      <c r="DL293" s="330" t="s">
        <v>4185</v>
      </c>
      <c r="DM293" s="330"/>
      <c r="DN293" s="330"/>
      <c r="DO293" s="330"/>
      <c r="DP293" s="330"/>
      <c r="DQ293" s="338" t="s">
        <v>197</v>
      </c>
      <c r="DR293" s="330"/>
      <c r="DS293" s="330"/>
      <c r="DT293" s="330"/>
      <c r="DU293" s="338" t="s">
        <v>197</v>
      </c>
      <c r="DV293" s="330"/>
      <c r="DW293" s="330"/>
      <c r="DX293" s="330"/>
      <c r="DY293" s="338" t="s">
        <v>197</v>
      </c>
      <c r="DZ293" s="330"/>
      <c r="EA293" s="330"/>
      <c r="EB293" s="330"/>
      <c r="EC293" s="330" t="s">
        <v>197</v>
      </c>
      <c r="ED293" s="338" t="s">
        <v>197</v>
      </c>
      <c r="EE293" s="330"/>
      <c r="EF293" s="330"/>
      <c r="EG293" s="330"/>
      <c r="EH293" s="330"/>
      <c r="EI293" s="330"/>
      <c r="EJ293" s="330"/>
      <c r="EK293" s="330"/>
      <c r="EL293" s="330"/>
      <c r="EM293" s="330"/>
      <c r="EN293" s="330"/>
      <c r="EO293" s="330"/>
      <c r="EP293" s="330"/>
      <c r="EQ293" s="332"/>
      <c r="ER293" s="330"/>
      <c r="ES293" s="330"/>
      <c r="ET293" s="332" t="s">
        <v>245</v>
      </c>
      <c r="EU293" s="332" t="s">
        <v>823</v>
      </c>
      <c r="EV293" s="336">
        <v>46123</v>
      </c>
      <c r="EW293" s="330"/>
      <c r="EX293" s="330" t="s">
        <v>4106</v>
      </c>
      <c r="EY293" s="330"/>
      <c r="EZ293" s="330" t="s">
        <v>201</v>
      </c>
      <c r="FA293" s="336">
        <v>46127</v>
      </c>
      <c r="FB293" s="330">
        <v>2</v>
      </c>
      <c r="FC293" s="330" t="s">
        <v>202</v>
      </c>
      <c r="FD293" s="332" t="s">
        <v>190</v>
      </c>
      <c r="FE293" s="336">
        <v>46128</v>
      </c>
      <c r="FF293" s="330" t="b">
        <v>1</v>
      </c>
      <c r="FG293" s="330">
        <v>0</v>
      </c>
      <c r="FH293" s="330" t="s">
        <v>2635</v>
      </c>
      <c r="FI293" s="330" t="s">
        <v>204</v>
      </c>
      <c r="FJ293" s="330"/>
      <c r="FK293" s="330" t="s">
        <v>180</v>
      </c>
      <c r="FL293" s="330"/>
      <c r="FM293" s="330"/>
      <c r="FN293" s="330" t="s">
        <v>2642</v>
      </c>
      <c r="FO293" s="330"/>
      <c r="FP293" s="330" t="s">
        <v>694</v>
      </c>
      <c r="FQ293" s="330"/>
      <c r="FR293" s="330"/>
      <c r="FS293" s="330"/>
      <c r="FT293" s="330"/>
      <c r="FU293" s="330"/>
    </row>
    <row r="294" spans="1:177" ht="165.75" x14ac:dyDescent="0.25">
      <c r="A294" s="330">
        <v>293</v>
      </c>
      <c r="B294" s="331" t="s">
        <v>2644</v>
      </c>
      <c r="C294" s="330"/>
      <c r="D294" s="332" t="s">
        <v>900</v>
      </c>
      <c r="E294" s="332" t="s">
        <v>901</v>
      </c>
      <c r="F294" s="332" t="s">
        <v>902</v>
      </c>
      <c r="G294" s="330" t="s">
        <v>903</v>
      </c>
      <c r="H294" s="331">
        <v>400</v>
      </c>
      <c r="I294" s="330"/>
      <c r="J294" s="332" t="s">
        <v>2645</v>
      </c>
      <c r="K294" s="332" t="s">
        <v>2646</v>
      </c>
      <c r="L294" s="330"/>
      <c r="M294" s="332" t="s">
        <v>908</v>
      </c>
      <c r="N294" s="330"/>
      <c r="O294" s="333"/>
      <c r="P294" s="333"/>
      <c r="Q294" s="333"/>
      <c r="R294" s="333">
        <v>143</v>
      </c>
      <c r="S294" s="333"/>
      <c r="T294" s="333"/>
      <c r="U294" s="333"/>
      <c r="V294" s="333"/>
      <c r="W294" s="330"/>
      <c r="X294" s="330"/>
      <c r="Y294" s="332" t="s">
        <v>932</v>
      </c>
      <c r="Z294" s="330" t="s">
        <v>215</v>
      </c>
      <c r="AA294" s="330" t="s">
        <v>933</v>
      </c>
      <c r="AB294" s="330" t="s">
        <v>217</v>
      </c>
      <c r="AC294" s="330" t="b">
        <v>1</v>
      </c>
      <c r="AD294" s="330" t="s">
        <v>924</v>
      </c>
      <c r="AE294" s="330">
        <v>2</v>
      </c>
      <c r="AF294" s="330">
        <v>13</v>
      </c>
      <c r="AG294" s="332" t="s">
        <v>2246</v>
      </c>
      <c r="AH294" s="332" t="s">
        <v>191</v>
      </c>
      <c r="AI294" s="330"/>
      <c r="AJ294" s="330" t="s">
        <v>191</v>
      </c>
      <c r="AK294" s="330" t="s">
        <v>627</v>
      </c>
      <c r="AL294" s="330"/>
      <c r="AM294" s="330" t="s">
        <v>191</v>
      </c>
      <c r="AN294" s="330"/>
      <c r="AO294" s="330"/>
      <c r="AP294" s="332" t="s">
        <v>259</v>
      </c>
      <c r="AQ294" s="330"/>
      <c r="AR294" s="330"/>
      <c r="AS294" s="330"/>
      <c r="AT294" s="330"/>
      <c r="AU294" s="332"/>
      <c r="AV294" s="334">
        <v>46124.818365601852</v>
      </c>
      <c r="AW294" s="330"/>
      <c r="AX294" s="335">
        <v>46146</v>
      </c>
      <c r="AY294" s="330"/>
      <c r="AZ294" s="330"/>
      <c r="BA294" s="330"/>
      <c r="BB294" s="330"/>
      <c r="BC294" s="336">
        <v>46167</v>
      </c>
      <c r="BD294" s="330"/>
      <c r="BE294" s="330"/>
      <c r="BF294" s="330"/>
      <c r="BG294" s="330"/>
      <c r="BH294" s="330" t="s">
        <v>193</v>
      </c>
      <c r="BI294" s="330">
        <v>635</v>
      </c>
      <c r="BJ294" s="330"/>
      <c r="BK294" s="330"/>
      <c r="BL294" s="330"/>
      <c r="BM294" s="332"/>
      <c r="BN294" s="330"/>
      <c r="BO294" s="330" t="s">
        <v>240</v>
      </c>
      <c r="BP294" s="330" t="s">
        <v>193</v>
      </c>
      <c r="BQ294" s="330" t="s">
        <v>909</v>
      </c>
      <c r="BR294" s="330" t="s">
        <v>193</v>
      </c>
      <c r="BS294" s="330" t="s">
        <v>2647</v>
      </c>
      <c r="BT294" s="330" t="s">
        <v>220</v>
      </c>
      <c r="BU294" s="330"/>
      <c r="BV294" s="330" t="s">
        <v>193</v>
      </c>
      <c r="BW294" s="330" t="s">
        <v>2049</v>
      </c>
      <c r="BX294" s="332"/>
      <c r="BY294" s="330"/>
      <c r="BZ294" s="330"/>
      <c r="CA294" s="330"/>
      <c r="CB294" s="330"/>
      <c r="CC294" s="337" t="s">
        <v>81</v>
      </c>
      <c r="CD294" s="330" t="b">
        <v>1</v>
      </c>
      <c r="CE294" s="330" t="b">
        <v>1</v>
      </c>
      <c r="CF294" s="330" t="b">
        <v>1</v>
      </c>
      <c r="CG294" s="330"/>
      <c r="CH294" s="330"/>
      <c r="CI294" s="330"/>
      <c r="CJ294" s="330"/>
      <c r="CK294" s="330"/>
      <c r="CL294" s="330"/>
      <c r="CM294" s="330"/>
      <c r="CN294" s="330"/>
      <c r="CO294" s="330"/>
      <c r="CP294" s="330"/>
      <c r="CQ294" s="330"/>
      <c r="CR294" s="330"/>
      <c r="CS294" s="330"/>
      <c r="CT294" s="330"/>
      <c r="CU294" s="330"/>
      <c r="CV294" s="330"/>
      <c r="CW294" s="330"/>
      <c r="CX294" s="330"/>
      <c r="CY294" s="330"/>
      <c r="CZ294" s="330"/>
      <c r="DA294" s="330"/>
      <c r="DB294" s="330" t="b">
        <v>1</v>
      </c>
      <c r="DC294" s="330" t="b">
        <v>1</v>
      </c>
      <c r="DD294" s="330"/>
      <c r="DE294" s="330"/>
      <c r="DF294" s="338">
        <v>24079</v>
      </c>
      <c r="DG294" s="330" t="s">
        <v>221</v>
      </c>
      <c r="DH294" s="330"/>
      <c r="DI294" s="338">
        <v>301</v>
      </c>
      <c r="DJ294" s="330"/>
      <c r="DK294" s="330">
        <v>301</v>
      </c>
      <c r="DL294" s="330" t="s">
        <v>912</v>
      </c>
      <c r="DM294" s="330"/>
      <c r="DN294" s="330"/>
      <c r="DO294" s="330"/>
      <c r="DP294" s="330"/>
      <c r="DQ294" s="338" t="s">
        <v>197</v>
      </c>
      <c r="DR294" s="330"/>
      <c r="DS294" s="330"/>
      <c r="DT294" s="330"/>
      <c r="DU294" s="338" t="s">
        <v>197</v>
      </c>
      <c r="DV294" s="330"/>
      <c r="DW294" s="330"/>
      <c r="DX294" s="330"/>
      <c r="DY294" s="338" t="s">
        <v>197</v>
      </c>
      <c r="DZ294" s="330"/>
      <c r="EA294" s="330"/>
      <c r="EB294" s="330"/>
      <c r="EC294" s="330" t="s">
        <v>197</v>
      </c>
      <c r="ED294" s="338" t="s">
        <v>197</v>
      </c>
      <c r="EE294" s="330">
        <v>60</v>
      </c>
      <c r="EF294" s="330">
        <v>180</v>
      </c>
      <c r="EG294" s="330"/>
      <c r="EH294" s="330"/>
      <c r="EI294" s="330"/>
      <c r="EJ294" s="330"/>
      <c r="EK294" s="330"/>
      <c r="EL294" s="330"/>
      <c r="EM294" s="330"/>
      <c r="EN294" s="330"/>
      <c r="EO294" s="330"/>
      <c r="EP294" s="330"/>
      <c r="EQ294" s="332" t="s">
        <v>244</v>
      </c>
      <c r="ER294" s="330"/>
      <c r="ES294" s="330"/>
      <c r="ET294" s="332" t="s">
        <v>245</v>
      </c>
      <c r="EU294" s="332" t="s">
        <v>354</v>
      </c>
      <c r="EV294" s="330"/>
      <c r="EW294" s="330"/>
      <c r="EX294" s="330" t="s">
        <v>200</v>
      </c>
      <c r="EY294" s="330"/>
      <c r="EZ294" s="330" t="s">
        <v>247</v>
      </c>
      <c r="FA294" s="330"/>
      <c r="FB294" s="330" t="s">
        <v>247</v>
      </c>
      <c r="FC294" s="330" t="s">
        <v>202</v>
      </c>
      <c r="FD294" s="332" t="s">
        <v>190</v>
      </c>
      <c r="FE294" s="330"/>
      <c r="FF294" s="330"/>
      <c r="FG294" s="330" t="s">
        <v>203</v>
      </c>
      <c r="FH294" s="330"/>
      <c r="FI294" s="330" t="s">
        <v>204</v>
      </c>
      <c r="FJ294" s="330"/>
      <c r="FK294" s="330" t="s">
        <v>902</v>
      </c>
      <c r="FL294" s="330"/>
      <c r="FM294" s="330" t="s">
        <v>191</v>
      </c>
      <c r="FN294" s="330" t="s">
        <v>2648</v>
      </c>
      <c r="FO294" s="330"/>
      <c r="FP294" s="330" t="s">
        <v>1983</v>
      </c>
      <c r="FQ294" s="330"/>
      <c r="FR294" s="330"/>
      <c r="FS294" s="330"/>
      <c r="FT294" s="330"/>
      <c r="FU294" s="330"/>
    </row>
    <row r="295" spans="1:177" ht="153" x14ac:dyDescent="0.25">
      <c r="A295" s="330">
        <v>294</v>
      </c>
      <c r="B295" s="331" t="s">
        <v>2649</v>
      </c>
      <c r="C295" s="330"/>
      <c r="D295" s="332" t="s">
        <v>900</v>
      </c>
      <c r="E295" s="332" t="s">
        <v>901</v>
      </c>
      <c r="F295" s="332" t="s">
        <v>902</v>
      </c>
      <c r="G295" s="330" t="s">
        <v>903</v>
      </c>
      <c r="H295" s="331">
        <v>400</v>
      </c>
      <c r="I295" s="330"/>
      <c r="J295" s="332" t="s">
        <v>2650</v>
      </c>
      <c r="K295" s="332" t="s">
        <v>2651</v>
      </c>
      <c r="L295" s="330"/>
      <c r="M295" s="332" t="s">
        <v>908</v>
      </c>
      <c r="N295" s="330"/>
      <c r="O295" s="333"/>
      <c r="P295" s="333"/>
      <c r="Q295" s="333"/>
      <c r="R295" s="333">
        <v>188</v>
      </c>
      <c r="S295" s="333"/>
      <c r="T295" s="333"/>
      <c r="U295" s="333"/>
      <c r="V295" s="333"/>
      <c r="W295" s="330"/>
      <c r="X295" s="330"/>
      <c r="Y295" s="332" t="s">
        <v>932</v>
      </c>
      <c r="Z295" s="330" t="s">
        <v>215</v>
      </c>
      <c r="AA295" s="330" t="s">
        <v>933</v>
      </c>
      <c r="AB295" s="330" t="s">
        <v>217</v>
      </c>
      <c r="AC295" s="330" t="b">
        <v>1</v>
      </c>
      <c r="AD295" s="330" t="s">
        <v>924</v>
      </c>
      <c r="AE295" s="330">
        <v>2</v>
      </c>
      <c r="AF295" s="330">
        <v>13</v>
      </c>
      <c r="AG295" s="332" t="s">
        <v>2246</v>
      </c>
      <c r="AH295" s="332" t="s">
        <v>191</v>
      </c>
      <c r="AI295" s="330"/>
      <c r="AJ295" s="330" t="s">
        <v>191</v>
      </c>
      <c r="AK295" s="330" t="s">
        <v>627</v>
      </c>
      <c r="AL295" s="330"/>
      <c r="AM295" s="330" t="s">
        <v>191</v>
      </c>
      <c r="AN295" s="330"/>
      <c r="AO295" s="330"/>
      <c r="AP295" s="332" t="s">
        <v>259</v>
      </c>
      <c r="AQ295" s="330"/>
      <c r="AR295" s="330"/>
      <c r="AS295" s="330"/>
      <c r="AT295" s="330"/>
      <c r="AU295" s="332"/>
      <c r="AV295" s="334">
        <v>46124.824432743058</v>
      </c>
      <c r="AW295" s="330" t="b">
        <v>1</v>
      </c>
      <c r="AX295" s="335">
        <v>46146</v>
      </c>
      <c r="AY295" s="330"/>
      <c r="AZ295" s="330"/>
      <c r="BA295" s="330"/>
      <c r="BB295" s="330"/>
      <c r="BC295" s="336">
        <v>46160</v>
      </c>
      <c r="BD295" s="330"/>
      <c r="BE295" s="330"/>
      <c r="BF295" s="330"/>
      <c r="BG295" s="330"/>
      <c r="BH295" s="330" t="s">
        <v>193</v>
      </c>
      <c r="BI295" s="330">
        <v>635</v>
      </c>
      <c r="BJ295" s="330"/>
      <c r="BK295" s="330"/>
      <c r="BL295" s="330"/>
      <c r="BM295" s="332"/>
      <c r="BN295" s="330"/>
      <c r="BO295" s="330" t="s">
        <v>240</v>
      </c>
      <c r="BP295" s="330" t="s">
        <v>193</v>
      </c>
      <c r="BQ295" s="330" t="s">
        <v>909</v>
      </c>
      <c r="BR295" s="330" t="s">
        <v>193</v>
      </c>
      <c r="BS295" s="330" t="s">
        <v>2647</v>
      </c>
      <c r="BT295" s="330" t="s">
        <v>220</v>
      </c>
      <c r="BU295" s="330"/>
      <c r="BV295" s="330" t="s">
        <v>193</v>
      </c>
      <c r="BW295" s="330" t="s">
        <v>2652</v>
      </c>
      <c r="BX295" s="332"/>
      <c r="BY295" s="330"/>
      <c r="BZ295" s="330"/>
      <c r="CA295" s="330"/>
      <c r="CB295" s="330"/>
      <c r="CC295" s="337" t="s">
        <v>81</v>
      </c>
      <c r="CD295" s="330" t="b">
        <v>1</v>
      </c>
      <c r="CE295" s="330" t="b">
        <v>1</v>
      </c>
      <c r="CF295" s="330" t="b">
        <v>1</v>
      </c>
      <c r="CG295" s="330"/>
      <c r="CH295" s="330"/>
      <c r="CI295" s="330"/>
      <c r="CJ295" s="330"/>
      <c r="CK295" s="330"/>
      <c r="CL295" s="330"/>
      <c r="CM295" s="330"/>
      <c r="CN295" s="330"/>
      <c r="CO295" s="330"/>
      <c r="CP295" s="330"/>
      <c r="CQ295" s="330"/>
      <c r="CR295" s="330"/>
      <c r="CS295" s="330"/>
      <c r="CT295" s="330"/>
      <c r="CU295" s="330"/>
      <c r="CV295" s="330"/>
      <c r="CW295" s="330"/>
      <c r="CX295" s="330"/>
      <c r="CY295" s="330"/>
      <c r="CZ295" s="330"/>
      <c r="DA295" s="330"/>
      <c r="DB295" s="330" t="b">
        <v>1</v>
      </c>
      <c r="DC295" s="330" t="b">
        <v>1</v>
      </c>
      <c r="DD295" s="330"/>
      <c r="DE295" s="330"/>
      <c r="DF295" s="338">
        <v>24079</v>
      </c>
      <c r="DG295" s="330" t="s">
        <v>221</v>
      </c>
      <c r="DH295" s="330"/>
      <c r="DI295" s="338">
        <v>302</v>
      </c>
      <c r="DJ295" s="330"/>
      <c r="DK295" s="330">
        <v>302</v>
      </c>
      <c r="DL295" s="330" t="s">
        <v>912</v>
      </c>
      <c r="DM295" s="330"/>
      <c r="DN295" s="330"/>
      <c r="DO295" s="330"/>
      <c r="DP295" s="330"/>
      <c r="DQ295" s="338" t="s">
        <v>197</v>
      </c>
      <c r="DR295" s="330"/>
      <c r="DS295" s="330"/>
      <c r="DT295" s="330"/>
      <c r="DU295" s="338" t="s">
        <v>197</v>
      </c>
      <c r="DV295" s="330"/>
      <c r="DW295" s="330"/>
      <c r="DX295" s="330"/>
      <c r="DY295" s="338" t="s">
        <v>197</v>
      </c>
      <c r="DZ295" s="330"/>
      <c r="EA295" s="330"/>
      <c r="EB295" s="330"/>
      <c r="EC295" s="330" t="s">
        <v>197</v>
      </c>
      <c r="ED295" s="338" t="s">
        <v>197</v>
      </c>
      <c r="EE295" s="330">
        <v>80</v>
      </c>
      <c r="EF295" s="330">
        <v>220</v>
      </c>
      <c r="EG295" s="330"/>
      <c r="EH295" s="330"/>
      <c r="EI295" s="330"/>
      <c r="EJ295" s="330"/>
      <c r="EK295" s="330"/>
      <c r="EL295" s="330"/>
      <c r="EM295" s="330"/>
      <c r="EN295" s="330"/>
      <c r="EO295" s="330"/>
      <c r="EP295" s="330"/>
      <c r="EQ295" s="332" t="s">
        <v>224</v>
      </c>
      <c r="ER295" s="330"/>
      <c r="ES295" s="330"/>
      <c r="ET295" s="332" t="s">
        <v>245</v>
      </c>
      <c r="EU295" s="332" t="s">
        <v>354</v>
      </c>
      <c r="EV295" s="330"/>
      <c r="EW295" s="330"/>
      <c r="EX295" s="330" t="s">
        <v>200</v>
      </c>
      <c r="EY295" s="330"/>
      <c r="EZ295" s="330" t="s">
        <v>247</v>
      </c>
      <c r="FA295" s="330"/>
      <c r="FB295" s="330" t="s">
        <v>247</v>
      </c>
      <c r="FC295" s="330" t="s">
        <v>202</v>
      </c>
      <c r="FD295" s="332" t="s">
        <v>190</v>
      </c>
      <c r="FE295" s="330"/>
      <c r="FF295" s="330"/>
      <c r="FG295" s="330" t="s">
        <v>203</v>
      </c>
      <c r="FH295" s="330"/>
      <c r="FI295" s="330" t="s">
        <v>204</v>
      </c>
      <c r="FJ295" s="330"/>
      <c r="FK295" s="330" t="s">
        <v>902</v>
      </c>
      <c r="FL295" s="330"/>
      <c r="FM295" s="330" t="s">
        <v>191</v>
      </c>
      <c r="FN295" s="330" t="s">
        <v>2653</v>
      </c>
      <c r="FO295" s="330"/>
      <c r="FP295" s="330" t="s">
        <v>2108</v>
      </c>
      <c r="FQ295" s="330"/>
      <c r="FR295" s="330"/>
      <c r="FS295" s="330"/>
      <c r="FT295" s="330"/>
      <c r="FU295" s="330"/>
    </row>
    <row r="296" spans="1:177" ht="165.75" x14ac:dyDescent="0.25">
      <c r="A296" s="330">
        <v>295</v>
      </c>
      <c r="B296" s="331" t="s">
        <v>912</v>
      </c>
      <c r="C296" s="330"/>
      <c r="D296" s="332" t="s">
        <v>900</v>
      </c>
      <c r="E296" s="332" t="s">
        <v>901</v>
      </c>
      <c r="F296" s="332" t="s">
        <v>902</v>
      </c>
      <c r="G296" s="330" t="s">
        <v>903</v>
      </c>
      <c r="H296" s="331">
        <v>400</v>
      </c>
      <c r="I296" s="330"/>
      <c r="J296" s="332" t="s">
        <v>2654</v>
      </c>
      <c r="K296" s="332" t="s">
        <v>2655</v>
      </c>
      <c r="L296" s="330"/>
      <c r="M296" s="332" t="s">
        <v>908</v>
      </c>
      <c r="N296" s="330"/>
      <c r="O296" s="333"/>
      <c r="P296" s="333"/>
      <c r="Q296" s="333"/>
      <c r="R296" s="333">
        <v>165</v>
      </c>
      <c r="S296" s="333"/>
      <c r="T296" s="333"/>
      <c r="U296" s="333"/>
      <c r="V296" s="333"/>
      <c r="W296" s="330"/>
      <c r="X296" s="330"/>
      <c r="Y296" s="332" t="s">
        <v>932</v>
      </c>
      <c r="Z296" s="330" t="s">
        <v>215</v>
      </c>
      <c r="AA296" s="330" t="s">
        <v>933</v>
      </c>
      <c r="AB296" s="330" t="s">
        <v>217</v>
      </c>
      <c r="AC296" s="330" t="b">
        <v>1</v>
      </c>
      <c r="AD296" s="330" t="s">
        <v>924</v>
      </c>
      <c r="AE296" s="330">
        <v>2</v>
      </c>
      <c r="AF296" s="330">
        <v>13</v>
      </c>
      <c r="AG296" s="332" t="s">
        <v>2246</v>
      </c>
      <c r="AH296" s="332" t="s">
        <v>191</v>
      </c>
      <c r="AI296" s="330"/>
      <c r="AJ296" s="330" t="s">
        <v>191</v>
      </c>
      <c r="AK296" s="330" t="s">
        <v>627</v>
      </c>
      <c r="AL296" s="330"/>
      <c r="AM296" s="330" t="s">
        <v>191</v>
      </c>
      <c r="AN296" s="330"/>
      <c r="AO296" s="330"/>
      <c r="AP296" s="332" t="s">
        <v>259</v>
      </c>
      <c r="AQ296" s="330"/>
      <c r="AR296" s="330"/>
      <c r="AS296" s="330"/>
      <c r="AT296" s="330"/>
      <c r="AU296" s="332"/>
      <c r="AV296" s="334">
        <v>46124.829200462962</v>
      </c>
      <c r="AW296" s="330"/>
      <c r="AX296" s="335">
        <v>46146</v>
      </c>
      <c r="AY296" s="330"/>
      <c r="AZ296" s="330"/>
      <c r="BA296" s="330"/>
      <c r="BB296" s="330"/>
      <c r="BC296" s="336">
        <v>46167</v>
      </c>
      <c r="BD296" s="330"/>
      <c r="BE296" s="330"/>
      <c r="BF296" s="330"/>
      <c r="BG296" s="330"/>
      <c r="BH296" s="330" t="s">
        <v>193</v>
      </c>
      <c r="BI296" s="330">
        <v>635</v>
      </c>
      <c r="BJ296" s="330"/>
      <c r="BK296" s="330"/>
      <c r="BL296" s="330"/>
      <c r="BM296" s="332"/>
      <c r="BN296" s="330"/>
      <c r="BO296" s="330" t="s">
        <v>240</v>
      </c>
      <c r="BP296" s="330" t="s">
        <v>193</v>
      </c>
      <c r="BQ296" s="330" t="s">
        <v>909</v>
      </c>
      <c r="BR296" s="330" t="s">
        <v>193</v>
      </c>
      <c r="BS296" s="330" t="s">
        <v>2647</v>
      </c>
      <c r="BT296" s="330" t="s">
        <v>220</v>
      </c>
      <c r="BU296" s="330"/>
      <c r="BV296" s="330" t="s">
        <v>193</v>
      </c>
      <c r="BW296" s="330" t="s">
        <v>2656</v>
      </c>
      <c r="BX296" s="332"/>
      <c r="BY296" s="330"/>
      <c r="BZ296" s="330"/>
      <c r="CA296" s="330"/>
      <c r="CB296" s="330"/>
      <c r="CC296" s="337" t="s">
        <v>81</v>
      </c>
      <c r="CD296" s="330" t="b">
        <v>1</v>
      </c>
      <c r="CE296" s="330" t="b">
        <v>1</v>
      </c>
      <c r="CF296" s="330" t="b">
        <v>1</v>
      </c>
      <c r="CG296" s="330"/>
      <c r="CH296" s="330"/>
      <c r="CI296" s="330"/>
      <c r="CJ296" s="330"/>
      <c r="CK296" s="330"/>
      <c r="CL296" s="330"/>
      <c r="CM296" s="330"/>
      <c r="CN296" s="330"/>
      <c r="CO296" s="330"/>
      <c r="CP296" s="330"/>
      <c r="CQ296" s="330"/>
      <c r="CR296" s="330"/>
      <c r="CS296" s="330"/>
      <c r="CT296" s="330"/>
      <c r="CU296" s="330"/>
      <c r="CV296" s="330"/>
      <c r="CW296" s="330"/>
      <c r="CX296" s="330"/>
      <c r="CY296" s="330"/>
      <c r="CZ296" s="330"/>
      <c r="DA296" s="330"/>
      <c r="DB296" s="330" t="b">
        <v>1</v>
      </c>
      <c r="DC296" s="330" t="b">
        <v>1</v>
      </c>
      <c r="DD296" s="330"/>
      <c r="DE296" s="330"/>
      <c r="DF296" s="338">
        <v>24079</v>
      </c>
      <c r="DG296" s="330" t="s">
        <v>221</v>
      </c>
      <c r="DH296" s="330"/>
      <c r="DI296" s="338">
        <v>303</v>
      </c>
      <c r="DJ296" s="330"/>
      <c r="DK296" s="330">
        <v>303</v>
      </c>
      <c r="DL296" s="330" t="s">
        <v>912</v>
      </c>
      <c r="DM296" s="330"/>
      <c r="DN296" s="330"/>
      <c r="DO296" s="330"/>
      <c r="DP296" s="330"/>
      <c r="DQ296" s="338" t="s">
        <v>197</v>
      </c>
      <c r="DR296" s="330"/>
      <c r="DS296" s="330"/>
      <c r="DT296" s="330"/>
      <c r="DU296" s="338" t="s">
        <v>197</v>
      </c>
      <c r="DV296" s="330"/>
      <c r="DW296" s="330"/>
      <c r="DX296" s="330"/>
      <c r="DY296" s="338" t="s">
        <v>197</v>
      </c>
      <c r="DZ296" s="330"/>
      <c r="EA296" s="330"/>
      <c r="EB296" s="330"/>
      <c r="EC296" s="330" t="s">
        <v>197</v>
      </c>
      <c r="ED296" s="338" t="s">
        <v>197</v>
      </c>
      <c r="EE296" s="330">
        <v>80</v>
      </c>
      <c r="EF296" s="330">
        <v>180</v>
      </c>
      <c r="EG296" s="330"/>
      <c r="EH296" s="330"/>
      <c r="EI296" s="330"/>
      <c r="EJ296" s="330"/>
      <c r="EK296" s="330"/>
      <c r="EL296" s="330"/>
      <c r="EM296" s="330"/>
      <c r="EN296" s="330"/>
      <c r="EO296" s="330"/>
      <c r="EP296" s="330"/>
      <c r="EQ296" s="332" t="s">
        <v>224</v>
      </c>
      <c r="ER296" s="330"/>
      <c r="ES296" s="330"/>
      <c r="ET296" s="332" t="s">
        <v>245</v>
      </c>
      <c r="EU296" s="332" t="s">
        <v>354</v>
      </c>
      <c r="EV296" s="330"/>
      <c r="EW296" s="330"/>
      <c r="EX296" s="330" t="s">
        <v>200</v>
      </c>
      <c r="EY296" s="330"/>
      <c r="EZ296" s="330" t="s">
        <v>247</v>
      </c>
      <c r="FA296" s="330"/>
      <c r="FB296" s="330" t="s">
        <v>247</v>
      </c>
      <c r="FC296" s="330" t="s">
        <v>202</v>
      </c>
      <c r="FD296" s="332" t="s">
        <v>190</v>
      </c>
      <c r="FE296" s="330"/>
      <c r="FF296" s="330"/>
      <c r="FG296" s="330" t="s">
        <v>203</v>
      </c>
      <c r="FH296" s="330"/>
      <c r="FI296" s="330" t="s">
        <v>204</v>
      </c>
      <c r="FJ296" s="330"/>
      <c r="FK296" s="330" t="s">
        <v>902</v>
      </c>
      <c r="FL296" s="330"/>
      <c r="FM296" s="330" t="s">
        <v>191</v>
      </c>
      <c r="FN296" s="330" t="s">
        <v>2657</v>
      </c>
      <c r="FO296" s="330"/>
      <c r="FP296" s="330" t="s">
        <v>1983</v>
      </c>
      <c r="FQ296" s="330"/>
      <c r="FR296" s="330"/>
      <c r="FS296" s="330"/>
      <c r="FT296" s="330"/>
      <c r="FU296" s="330"/>
    </row>
    <row r="297" spans="1:177" ht="38.25" x14ac:dyDescent="0.25">
      <c r="A297" s="330">
        <v>296</v>
      </c>
      <c r="B297" s="331" t="s">
        <v>2658</v>
      </c>
      <c r="C297" s="330"/>
      <c r="D297" s="332" t="s">
        <v>1778</v>
      </c>
      <c r="E297" s="332" t="s">
        <v>1779</v>
      </c>
      <c r="F297" s="332" t="s">
        <v>1780</v>
      </c>
      <c r="G297" s="330"/>
      <c r="H297" s="331">
        <v>400</v>
      </c>
      <c r="I297" s="330"/>
      <c r="J297" s="332"/>
      <c r="K297" s="332" t="s">
        <v>2659</v>
      </c>
      <c r="L297" s="330" t="s">
        <v>2660</v>
      </c>
      <c r="M297" s="332"/>
      <c r="N297" s="330" t="s">
        <v>2661</v>
      </c>
      <c r="O297" s="339">
        <v>1.51311475409836</v>
      </c>
      <c r="P297" s="333">
        <v>923</v>
      </c>
      <c r="Q297" s="333">
        <v>610</v>
      </c>
      <c r="R297" s="333">
        <v>3</v>
      </c>
      <c r="S297" s="333">
        <v>3</v>
      </c>
      <c r="T297" s="333">
        <v>1</v>
      </c>
      <c r="U297" s="333">
        <v>12</v>
      </c>
      <c r="V297" s="333" t="s">
        <v>185</v>
      </c>
      <c r="W297" s="330" t="s">
        <v>363</v>
      </c>
      <c r="X297" s="330" t="s">
        <v>2662</v>
      </c>
      <c r="Y297" s="332" t="s">
        <v>2617</v>
      </c>
      <c r="Z297" s="330" t="s">
        <v>215</v>
      </c>
      <c r="AA297" s="330" t="s">
        <v>2618</v>
      </c>
      <c r="AB297" s="330" t="s">
        <v>217</v>
      </c>
      <c r="AC297" s="330"/>
      <c r="AD297" s="330"/>
      <c r="AE297" s="330">
        <v>4</v>
      </c>
      <c r="AF297" s="330">
        <v>11</v>
      </c>
      <c r="AG297" s="332" t="s">
        <v>626</v>
      </c>
      <c r="AH297" s="332" t="s">
        <v>191</v>
      </c>
      <c r="AI297" s="330"/>
      <c r="AJ297" s="330"/>
      <c r="AK297" s="330"/>
      <c r="AL297" s="330" t="s">
        <v>471</v>
      </c>
      <c r="AM297" s="330"/>
      <c r="AN297" s="330"/>
      <c r="AO297" s="330"/>
      <c r="AP297" s="332" t="s">
        <v>259</v>
      </c>
      <c r="AQ297" s="330"/>
      <c r="AR297" s="330"/>
      <c r="AS297" s="330" t="b">
        <v>1</v>
      </c>
      <c r="AT297" s="330"/>
      <c r="AU297" s="332" t="s">
        <v>471</v>
      </c>
      <c r="AV297" s="334">
        <v>46125.355487777779</v>
      </c>
      <c r="AW297" s="330" t="b">
        <v>1</v>
      </c>
      <c r="AX297" s="335">
        <v>46146</v>
      </c>
      <c r="AY297" s="336">
        <v>46126</v>
      </c>
      <c r="AZ297" s="330" t="b">
        <v>1</v>
      </c>
      <c r="BA297" s="336">
        <v>46142</v>
      </c>
      <c r="BB297" s="330"/>
      <c r="BC297" s="336">
        <v>46139</v>
      </c>
      <c r="BD297" s="330"/>
      <c r="BE297" s="330"/>
      <c r="BF297" s="330"/>
      <c r="BG297" s="330"/>
      <c r="BH297" s="330" t="s">
        <v>193</v>
      </c>
      <c r="BI297" s="330">
        <v>20</v>
      </c>
      <c r="BJ297" s="336">
        <v>46139</v>
      </c>
      <c r="BK297" s="330"/>
      <c r="BL297" s="330"/>
      <c r="BM297" s="332"/>
      <c r="BN297" s="330"/>
      <c r="BO297" s="330" t="s">
        <v>2195</v>
      </c>
      <c r="BP297" s="330" t="s">
        <v>193</v>
      </c>
      <c r="BQ297" s="330" t="s">
        <v>218</v>
      </c>
      <c r="BR297" s="330" t="s">
        <v>193</v>
      </c>
      <c r="BS297" s="330" t="s">
        <v>2663</v>
      </c>
      <c r="BT297" s="330" t="s">
        <v>220</v>
      </c>
      <c r="BU297" s="330"/>
      <c r="BV297" s="330" t="s">
        <v>193</v>
      </c>
      <c r="BW297" s="330" t="s">
        <v>1817</v>
      </c>
      <c r="BX297" s="332" t="s">
        <v>2664</v>
      </c>
      <c r="BY297" s="330" t="s">
        <v>2627</v>
      </c>
      <c r="BZ297" s="330"/>
      <c r="CA297" s="330"/>
      <c r="CB297" s="330"/>
      <c r="CC297" s="337" t="s">
        <v>820</v>
      </c>
      <c r="CD297" s="330"/>
      <c r="CE297" s="330" t="b">
        <v>1</v>
      </c>
      <c r="CF297" s="330" t="b">
        <v>1</v>
      </c>
      <c r="CG297" s="330"/>
      <c r="CH297" s="330"/>
      <c r="CI297" s="330"/>
      <c r="CJ297" s="330"/>
      <c r="CK297" s="330"/>
      <c r="CL297" s="330"/>
      <c r="CM297" s="330"/>
      <c r="CN297" s="330"/>
      <c r="CO297" s="330"/>
      <c r="CP297" s="330"/>
      <c r="CQ297" s="330"/>
      <c r="CR297" s="330"/>
      <c r="CS297" s="330"/>
      <c r="CT297" s="330"/>
      <c r="CU297" s="330"/>
      <c r="CV297" s="330"/>
      <c r="CW297" s="330"/>
      <c r="CX297" s="330"/>
      <c r="CY297" s="330"/>
      <c r="CZ297" s="330"/>
      <c r="DA297" s="330"/>
      <c r="DB297" s="330" t="b">
        <v>1</v>
      </c>
      <c r="DC297" s="330" t="b">
        <v>1</v>
      </c>
      <c r="DD297" s="330"/>
      <c r="DE297" s="330"/>
      <c r="DF297" s="338">
        <v>25022</v>
      </c>
      <c r="DG297" s="330" t="s">
        <v>1541</v>
      </c>
      <c r="DH297" s="330"/>
      <c r="DI297" s="338" t="s">
        <v>746</v>
      </c>
      <c r="DJ297" s="330"/>
      <c r="DK297" s="330">
        <v>3</v>
      </c>
      <c r="DL297" s="330" t="s">
        <v>2658</v>
      </c>
      <c r="DM297" s="330"/>
      <c r="DN297" s="330"/>
      <c r="DO297" s="330"/>
      <c r="DP297" s="330"/>
      <c r="DQ297" s="338" t="s">
        <v>197</v>
      </c>
      <c r="DR297" s="330"/>
      <c r="DS297" s="330"/>
      <c r="DT297" s="330"/>
      <c r="DU297" s="338" t="s">
        <v>197</v>
      </c>
      <c r="DV297" s="330"/>
      <c r="DW297" s="330"/>
      <c r="DX297" s="330"/>
      <c r="DY297" s="338" t="s">
        <v>197</v>
      </c>
      <c r="DZ297" s="330"/>
      <c r="EA297" s="330"/>
      <c r="EB297" s="330"/>
      <c r="EC297" s="330" t="s">
        <v>197</v>
      </c>
      <c r="ED297" s="338" t="s">
        <v>197</v>
      </c>
      <c r="EE297" s="330">
        <v>1</v>
      </c>
      <c r="EF297" s="330">
        <v>3</v>
      </c>
      <c r="EG297" s="330"/>
      <c r="EH297" s="330"/>
      <c r="EI297" s="330"/>
      <c r="EJ297" s="330"/>
      <c r="EK297" s="330"/>
      <c r="EL297" s="330"/>
      <c r="EM297" s="330"/>
      <c r="EN297" s="330"/>
      <c r="EO297" s="330"/>
      <c r="EP297" s="330"/>
      <c r="EQ297" s="332" t="s">
        <v>198</v>
      </c>
      <c r="ER297" s="330"/>
      <c r="ES297" s="330"/>
      <c r="ET297" s="332" t="s">
        <v>245</v>
      </c>
      <c r="EU297" s="332" t="s">
        <v>354</v>
      </c>
      <c r="EV297" s="336">
        <v>46125</v>
      </c>
      <c r="EW297" s="336">
        <v>46126</v>
      </c>
      <c r="EX297" s="330">
        <v>2</v>
      </c>
      <c r="EY297" s="330"/>
      <c r="EZ297" s="330" t="s">
        <v>247</v>
      </c>
      <c r="FA297" s="330"/>
      <c r="FB297" s="330" t="s">
        <v>247</v>
      </c>
      <c r="FC297" s="330" t="s">
        <v>202</v>
      </c>
      <c r="FD297" s="332" t="s">
        <v>190</v>
      </c>
      <c r="FE297" s="330"/>
      <c r="FF297" s="330"/>
      <c r="FG297" s="330" t="s">
        <v>203</v>
      </c>
      <c r="FH297" s="330" t="s">
        <v>631</v>
      </c>
      <c r="FI297" s="330" t="s">
        <v>204</v>
      </c>
      <c r="FJ297" s="330"/>
      <c r="FK297" s="330" t="s">
        <v>1780</v>
      </c>
      <c r="FL297" s="330" t="s">
        <v>471</v>
      </c>
      <c r="FM297" s="330"/>
      <c r="FN297" s="330" t="s">
        <v>2665</v>
      </c>
      <c r="FO297" s="330"/>
      <c r="FP297" s="330" t="s">
        <v>1807</v>
      </c>
      <c r="FQ297" s="330"/>
      <c r="FR297" s="330"/>
      <c r="FS297" s="330"/>
      <c r="FT297" s="330"/>
      <c r="FU297" s="330"/>
    </row>
    <row r="298" spans="1:177" ht="25.5" x14ac:dyDescent="0.25">
      <c r="A298" s="330">
        <v>297</v>
      </c>
      <c r="B298" s="331" t="s">
        <v>2666</v>
      </c>
      <c r="C298" s="330"/>
      <c r="D298" s="332" t="s">
        <v>1285</v>
      </c>
      <c r="E298" s="332" t="s">
        <v>1286</v>
      </c>
      <c r="F298" s="332" t="s">
        <v>795</v>
      </c>
      <c r="G298" s="330" t="s">
        <v>796</v>
      </c>
      <c r="H298" s="331"/>
      <c r="I298" s="330"/>
      <c r="J298" s="332" t="s">
        <v>2667</v>
      </c>
      <c r="K298" s="332" t="s">
        <v>2668</v>
      </c>
      <c r="L298" s="330" t="s">
        <v>857</v>
      </c>
      <c r="M298" s="332"/>
      <c r="N298" s="330" t="s">
        <v>2669</v>
      </c>
      <c r="O298" s="333" t="s">
        <v>184</v>
      </c>
      <c r="P298" s="333" t="s">
        <v>184</v>
      </c>
      <c r="Q298" s="333" t="s">
        <v>184</v>
      </c>
      <c r="R298" s="333">
        <v>0</v>
      </c>
      <c r="S298" s="333">
        <v>10</v>
      </c>
      <c r="T298" s="333">
        <v>1</v>
      </c>
      <c r="U298" s="333">
        <v>0</v>
      </c>
      <c r="V298" s="333">
        <v>0</v>
      </c>
      <c r="W298" s="330" t="s">
        <v>2670</v>
      </c>
      <c r="X298" s="330" t="s">
        <v>213</v>
      </c>
      <c r="Y298" s="332" t="s">
        <v>2671</v>
      </c>
      <c r="Z298" s="330" t="s">
        <v>739</v>
      </c>
      <c r="AA298" s="330" t="s">
        <v>2672</v>
      </c>
      <c r="AB298" s="330" t="s">
        <v>189</v>
      </c>
      <c r="AC298" s="330"/>
      <c r="AD298" s="330"/>
      <c r="AE298" s="330">
        <v>45</v>
      </c>
      <c r="AF298" s="330">
        <v>2</v>
      </c>
      <c r="AG298" s="332" t="s">
        <v>190</v>
      </c>
      <c r="AH298" s="332" t="s">
        <v>191</v>
      </c>
      <c r="AI298" s="330"/>
      <c r="AJ298" s="330"/>
      <c r="AK298" s="330"/>
      <c r="AL298" s="330" t="s">
        <v>191</v>
      </c>
      <c r="AM298" s="330"/>
      <c r="AN298" s="330"/>
      <c r="AO298" s="330"/>
      <c r="AP298" s="332"/>
      <c r="AQ298" s="330"/>
      <c r="AR298" s="330"/>
      <c r="AS298" s="330"/>
      <c r="AT298" s="330"/>
      <c r="AU298" s="332" t="s">
        <v>191</v>
      </c>
      <c r="AV298" s="334">
        <v>46125.422099641204</v>
      </c>
      <c r="AW298" s="330" t="b">
        <v>1</v>
      </c>
      <c r="AX298" s="335">
        <v>46133</v>
      </c>
      <c r="AY298" s="336">
        <v>46125</v>
      </c>
      <c r="AZ298" s="330" t="b">
        <v>1</v>
      </c>
      <c r="BA298" s="336">
        <v>46129</v>
      </c>
      <c r="BB298" s="330"/>
      <c r="BC298" s="336">
        <v>46129</v>
      </c>
      <c r="BD298" s="330"/>
      <c r="BE298" s="330"/>
      <c r="BF298" s="330"/>
      <c r="BG298" s="330"/>
      <c r="BH298" s="330" t="s">
        <v>193</v>
      </c>
      <c r="BI298" s="330">
        <v>15</v>
      </c>
      <c r="BJ298" s="330"/>
      <c r="BK298" s="330"/>
      <c r="BL298" s="330"/>
      <c r="BM298" s="332"/>
      <c r="BN298" s="330"/>
      <c r="BO298" s="330"/>
      <c r="BP298" s="330"/>
      <c r="BQ298" s="330"/>
      <c r="BR298" s="330"/>
      <c r="BS298" s="330"/>
      <c r="BT298" s="330"/>
      <c r="BU298" s="330"/>
      <c r="BV298" s="330"/>
      <c r="BW298" s="330"/>
      <c r="BX298" s="332"/>
      <c r="BY298" s="330"/>
      <c r="BZ298" s="330"/>
      <c r="CA298" s="330"/>
      <c r="CB298" s="330"/>
      <c r="CC298" s="337" t="s">
        <v>194</v>
      </c>
      <c r="CD298" s="330"/>
      <c r="CE298" s="330" t="b">
        <v>1</v>
      </c>
      <c r="CF298" s="330"/>
      <c r="CG298" s="330"/>
      <c r="CH298" s="330"/>
      <c r="CI298" s="330"/>
      <c r="CJ298" s="330"/>
      <c r="CK298" s="330"/>
      <c r="CL298" s="330"/>
      <c r="CM298" s="330"/>
      <c r="CN298" s="330"/>
      <c r="CO298" s="330" t="b">
        <v>1</v>
      </c>
      <c r="CP298" s="330" t="b">
        <v>1</v>
      </c>
      <c r="CQ298" s="330"/>
      <c r="CR298" s="330"/>
      <c r="CS298" s="330"/>
      <c r="CT298" s="330"/>
      <c r="CU298" s="330"/>
      <c r="CV298" s="330"/>
      <c r="CW298" s="330"/>
      <c r="CX298" s="330"/>
      <c r="CY298" s="330"/>
      <c r="CZ298" s="330"/>
      <c r="DA298" s="330"/>
      <c r="DB298" s="330"/>
      <c r="DC298" s="330"/>
      <c r="DD298" s="330"/>
      <c r="DE298" s="330"/>
      <c r="DF298" s="338">
        <v>25025</v>
      </c>
      <c r="DG298" s="330" t="s">
        <v>764</v>
      </c>
      <c r="DH298" s="330"/>
      <c r="DI298" s="338">
        <v>11</v>
      </c>
      <c r="DJ298" s="330"/>
      <c r="DK298" s="330">
        <v>11</v>
      </c>
      <c r="DL298" s="330" t="s">
        <v>2666</v>
      </c>
      <c r="DM298" s="330"/>
      <c r="DN298" s="330"/>
      <c r="DO298" s="330"/>
      <c r="DP298" s="330"/>
      <c r="DQ298" s="338" t="s">
        <v>197</v>
      </c>
      <c r="DR298" s="330"/>
      <c r="DS298" s="330"/>
      <c r="DT298" s="330"/>
      <c r="DU298" s="338" t="s">
        <v>197</v>
      </c>
      <c r="DV298" s="330"/>
      <c r="DW298" s="330"/>
      <c r="DX298" s="330"/>
      <c r="DY298" s="338" t="s">
        <v>197</v>
      </c>
      <c r="DZ298" s="330"/>
      <c r="EA298" s="330"/>
      <c r="EB298" s="330"/>
      <c r="EC298" s="330" t="s">
        <v>197</v>
      </c>
      <c r="ED298" s="338" t="s">
        <v>197</v>
      </c>
      <c r="EE298" s="330">
        <v>0.5</v>
      </c>
      <c r="EF298" s="330">
        <v>2</v>
      </c>
      <c r="EG298" s="330"/>
      <c r="EH298" s="330"/>
      <c r="EI298" s="330"/>
      <c r="EJ298" s="330"/>
      <c r="EK298" s="330"/>
      <c r="EL298" s="330"/>
      <c r="EM298" s="330"/>
      <c r="EN298" s="330"/>
      <c r="EO298" s="330"/>
      <c r="EP298" s="330"/>
      <c r="EQ298" s="332" t="s">
        <v>2538</v>
      </c>
      <c r="ER298" s="330"/>
      <c r="ES298" s="330"/>
      <c r="ET298" s="332"/>
      <c r="EU298" s="332" t="s">
        <v>199</v>
      </c>
      <c r="EV298" s="330"/>
      <c r="EW298" s="330"/>
      <c r="EX298" s="330" t="s">
        <v>200</v>
      </c>
      <c r="EY298" s="330"/>
      <c r="EZ298" s="330" t="s">
        <v>201</v>
      </c>
      <c r="FA298" s="336">
        <v>46127</v>
      </c>
      <c r="FB298" s="330">
        <v>2</v>
      </c>
      <c r="FC298" s="330" t="s">
        <v>202</v>
      </c>
      <c r="FD298" s="332" t="s">
        <v>190</v>
      </c>
      <c r="FE298" s="336">
        <v>46128</v>
      </c>
      <c r="FF298" s="330"/>
      <c r="FG298" s="330" t="s">
        <v>203</v>
      </c>
      <c r="FH298" s="330" t="s">
        <v>4169</v>
      </c>
      <c r="FI298" s="330" t="s">
        <v>204</v>
      </c>
      <c r="FJ298" s="330"/>
      <c r="FK298" s="330" t="s">
        <v>795</v>
      </c>
      <c r="FL298" s="330" t="s">
        <v>191</v>
      </c>
      <c r="FM298" s="330"/>
      <c r="FN298" s="330" t="s">
        <v>2673</v>
      </c>
      <c r="FO298" s="330"/>
      <c r="FP298" s="330" t="s">
        <v>639</v>
      </c>
      <c r="FQ298" s="330"/>
      <c r="FR298" s="330"/>
      <c r="FS298" s="330"/>
      <c r="FT298" s="330"/>
      <c r="FU298" s="330"/>
    </row>
    <row r="299" spans="1:177" ht="38.25" x14ac:dyDescent="0.25">
      <c r="A299" s="330">
        <v>298</v>
      </c>
      <c r="B299" s="331" t="s">
        <v>2674</v>
      </c>
      <c r="C299" s="330"/>
      <c r="D299" s="332" t="s">
        <v>1285</v>
      </c>
      <c r="E299" s="332" t="s">
        <v>1286</v>
      </c>
      <c r="F299" s="332" t="s">
        <v>795</v>
      </c>
      <c r="G299" s="330" t="s">
        <v>796</v>
      </c>
      <c r="H299" s="331">
        <v>400</v>
      </c>
      <c r="I299" s="330"/>
      <c r="J299" s="332" t="s">
        <v>2675</v>
      </c>
      <c r="K299" s="332" t="s">
        <v>2675</v>
      </c>
      <c r="L299" s="330" t="s">
        <v>2676</v>
      </c>
      <c r="M299" s="332" t="s">
        <v>2677</v>
      </c>
      <c r="N299" s="330" t="s">
        <v>2678</v>
      </c>
      <c r="O299" s="339">
        <v>1.8716814159291999</v>
      </c>
      <c r="P299" s="333">
        <v>1269</v>
      </c>
      <c r="Q299" s="333">
        <v>678</v>
      </c>
      <c r="R299" s="333">
        <v>1</v>
      </c>
      <c r="S299" s="333">
        <v>1</v>
      </c>
      <c r="T299" s="333">
        <v>1</v>
      </c>
      <c r="U299" s="333">
        <v>6</v>
      </c>
      <c r="V299" s="333" t="s">
        <v>185</v>
      </c>
      <c r="W299" s="330" t="s">
        <v>722</v>
      </c>
      <c r="X299" s="330" t="s">
        <v>2679</v>
      </c>
      <c r="Y299" s="332" t="s">
        <v>2680</v>
      </c>
      <c r="Z299" s="330" t="s">
        <v>215</v>
      </c>
      <c r="AA299" s="330" t="s">
        <v>2681</v>
      </c>
      <c r="AB299" s="330" t="s">
        <v>189</v>
      </c>
      <c r="AC299" s="330"/>
      <c r="AD299" s="330"/>
      <c r="AE299" s="330">
        <v>51</v>
      </c>
      <c r="AF299" s="330">
        <v>10</v>
      </c>
      <c r="AG299" s="332" t="s">
        <v>190</v>
      </c>
      <c r="AH299" s="332" t="s">
        <v>191</v>
      </c>
      <c r="AI299" s="330"/>
      <c r="AJ299" s="330"/>
      <c r="AK299" s="330"/>
      <c r="AL299" s="330" t="s">
        <v>471</v>
      </c>
      <c r="AM299" s="330"/>
      <c r="AN299" s="330"/>
      <c r="AO299" s="330"/>
      <c r="AP299" s="332" t="s">
        <v>259</v>
      </c>
      <c r="AQ299" s="330"/>
      <c r="AR299" s="330"/>
      <c r="AS299" s="330" t="b">
        <v>1</v>
      </c>
      <c r="AT299" s="330"/>
      <c r="AU299" s="332" t="s">
        <v>471</v>
      </c>
      <c r="AV299" s="334">
        <v>46125.42477395833</v>
      </c>
      <c r="AW299" s="330" t="b">
        <v>1</v>
      </c>
      <c r="AX299" s="335">
        <v>46146</v>
      </c>
      <c r="AY299" s="336">
        <v>46125</v>
      </c>
      <c r="AZ299" s="330" t="b">
        <v>1</v>
      </c>
      <c r="BA299" s="336">
        <v>46141</v>
      </c>
      <c r="BB299" s="330"/>
      <c r="BC299" s="336">
        <v>46129</v>
      </c>
      <c r="BD299" s="330"/>
      <c r="BE299" s="330"/>
      <c r="BF299" s="330"/>
      <c r="BG299" s="330"/>
      <c r="BH299" s="330" t="s">
        <v>193</v>
      </c>
      <c r="BI299" s="330">
        <v>22</v>
      </c>
      <c r="BJ299" s="330"/>
      <c r="BK299" s="330"/>
      <c r="BL299" s="330"/>
      <c r="BM299" s="332"/>
      <c r="BN299" s="330"/>
      <c r="BO299" s="330" t="s">
        <v>240</v>
      </c>
      <c r="BP299" s="330" t="s">
        <v>193</v>
      </c>
      <c r="BQ299" s="330" t="s">
        <v>909</v>
      </c>
      <c r="BR299" s="330" t="s">
        <v>220</v>
      </c>
      <c r="BS299" s="330"/>
      <c r="BT299" s="330" t="s">
        <v>220</v>
      </c>
      <c r="BU299" s="330"/>
      <c r="BV299" s="330" t="s">
        <v>220</v>
      </c>
      <c r="BW299" s="330"/>
      <c r="BX299" s="332" t="s">
        <v>2682</v>
      </c>
      <c r="BY299" s="330" t="s">
        <v>2683</v>
      </c>
      <c r="BZ299" s="330"/>
      <c r="CA299" s="330"/>
      <c r="CB299" s="330"/>
      <c r="CC299" s="337" t="s">
        <v>194</v>
      </c>
      <c r="CD299" s="330"/>
      <c r="CE299" s="330" t="b">
        <v>1</v>
      </c>
      <c r="CF299" s="330" t="b">
        <v>1</v>
      </c>
      <c r="CG299" s="330"/>
      <c r="CH299" s="330"/>
      <c r="CI299" s="330"/>
      <c r="CJ299" s="330"/>
      <c r="CK299" s="330"/>
      <c r="CL299" s="330"/>
      <c r="CM299" s="330"/>
      <c r="CN299" s="330"/>
      <c r="CO299" s="330"/>
      <c r="CP299" s="330"/>
      <c r="CQ299" s="330"/>
      <c r="CR299" s="330"/>
      <c r="CS299" s="330"/>
      <c r="CT299" s="330"/>
      <c r="CU299" s="330"/>
      <c r="CV299" s="330"/>
      <c r="CW299" s="330"/>
      <c r="CX299" s="330"/>
      <c r="CY299" s="330"/>
      <c r="CZ299" s="330"/>
      <c r="DA299" s="330"/>
      <c r="DB299" s="330" t="b">
        <v>1</v>
      </c>
      <c r="DC299" s="330" t="b">
        <v>1</v>
      </c>
      <c r="DD299" s="330"/>
      <c r="DE299" s="330"/>
      <c r="DF299" s="338">
        <v>25025</v>
      </c>
      <c r="DG299" s="330" t="s">
        <v>1541</v>
      </c>
      <c r="DH299" s="330"/>
      <c r="DI299" s="338" t="s">
        <v>638</v>
      </c>
      <c r="DJ299" s="330"/>
      <c r="DK299" s="330">
        <v>2</v>
      </c>
      <c r="DL299" s="330" t="s">
        <v>2674</v>
      </c>
      <c r="DM299" s="330"/>
      <c r="DN299" s="330"/>
      <c r="DO299" s="330"/>
      <c r="DP299" s="330"/>
      <c r="DQ299" s="338" t="s">
        <v>197</v>
      </c>
      <c r="DR299" s="330"/>
      <c r="DS299" s="330"/>
      <c r="DT299" s="330"/>
      <c r="DU299" s="338" t="s">
        <v>197</v>
      </c>
      <c r="DV299" s="330"/>
      <c r="DW299" s="330"/>
      <c r="DX299" s="330"/>
      <c r="DY299" s="338" t="s">
        <v>197</v>
      </c>
      <c r="DZ299" s="330"/>
      <c r="EA299" s="330"/>
      <c r="EB299" s="330"/>
      <c r="EC299" s="330" t="s">
        <v>197</v>
      </c>
      <c r="ED299" s="338" t="s">
        <v>197</v>
      </c>
      <c r="EE299" s="330">
        <v>0.25</v>
      </c>
      <c r="EF299" s="330">
        <v>3</v>
      </c>
      <c r="EG299" s="330"/>
      <c r="EH299" s="330"/>
      <c r="EI299" s="330"/>
      <c r="EJ299" s="330"/>
      <c r="EK299" s="330"/>
      <c r="EL299" s="330"/>
      <c r="EM299" s="330"/>
      <c r="EN299" s="330"/>
      <c r="EO299" s="330"/>
      <c r="EP299" s="330"/>
      <c r="EQ299" s="332" t="s">
        <v>2538</v>
      </c>
      <c r="ER299" s="330"/>
      <c r="ES299" s="330"/>
      <c r="ET299" s="332" t="s">
        <v>245</v>
      </c>
      <c r="EU299" s="332" t="s">
        <v>354</v>
      </c>
      <c r="EV299" s="336">
        <v>46125</v>
      </c>
      <c r="EW299" s="336">
        <v>46126</v>
      </c>
      <c r="EX299" s="330">
        <v>2</v>
      </c>
      <c r="EY299" s="330"/>
      <c r="EZ299" s="330" t="s">
        <v>201</v>
      </c>
      <c r="FA299" s="336">
        <v>46128</v>
      </c>
      <c r="FB299" s="330">
        <v>1</v>
      </c>
      <c r="FC299" s="330" t="s">
        <v>202</v>
      </c>
      <c r="FD299" s="332" t="s">
        <v>190</v>
      </c>
      <c r="FE299" s="336">
        <v>46128</v>
      </c>
      <c r="FF299" s="330"/>
      <c r="FG299" s="330" t="s">
        <v>203</v>
      </c>
      <c r="FH299" s="330" t="s">
        <v>631</v>
      </c>
      <c r="FI299" s="330" t="s">
        <v>204</v>
      </c>
      <c r="FJ299" s="330"/>
      <c r="FK299" s="330" t="s">
        <v>795</v>
      </c>
      <c r="FL299" s="330" t="s">
        <v>471</v>
      </c>
      <c r="FM299" s="330"/>
      <c r="FN299" s="330" t="s">
        <v>2684</v>
      </c>
      <c r="FO299" s="330"/>
      <c r="FP299" s="330" t="s">
        <v>639</v>
      </c>
      <c r="FQ299" s="330"/>
      <c r="FR299" s="330"/>
      <c r="FS299" s="330"/>
      <c r="FT299" s="330"/>
      <c r="FU299" s="330"/>
    </row>
    <row r="300" spans="1:177" ht="38.25" x14ac:dyDescent="0.25">
      <c r="A300" s="330">
        <v>299</v>
      </c>
      <c r="B300" s="331" t="s">
        <v>2685</v>
      </c>
      <c r="C300" s="330"/>
      <c r="D300" s="332" t="s">
        <v>1943</v>
      </c>
      <c r="E300" s="332" t="s">
        <v>1944</v>
      </c>
      <c r="F300" s="332" t="s">
        <v>180</v>
      </c>
      <c r="G300" s="330" t="s">
        <v>181</v>
      </c>
      <c r="H300" s="331">
        <v>400</v>
      </c>
      <c r="I300" s="330"/>
      <c r="J300" s="332"/>
      <c r="K300" s="332" t="s">
        <v>2686</v>
      </c>
      <c r="L300" s="330"/>
      <c r="M300" s="332"/>
      <c r="N300" s="330"/>
      <c r="O300" s="333"/>
      <c r="P300" s="333"/>
      <c r="Q300" s="333">
        <v>2058</v>
      </c>
      <c r="R300" s="333">
        <v>152</v>
      </c>
      <c r="S300" s="333"/>
      <c r="T300" s="333"/>
      <c r="U300" s="333"/>
      <c r="V300" s="333"/>
      <c r="W300" s="330"/>
      <c r="X300" s="330"/>
      <c r="Y300" s="332" t="s">
        <v>2257</v>
      </c>
      <c r="Z300" s="330" t="s">
        <v>215</v>
      </c>
      <c r="AA300" s="330" t="s">
        <v>2258</v>
      </c>
      <c r="AB300" s="330" t="s">
        <v>217</v>
      </c>
      <c r="AC300" s="330" t="b">
        <v>1</v>
      </c>
      <c r="AD300" s="330" t="s">
        <v>924</v>
      </c>
      <c r="AE300" s="330">
        <v>6</v>
      </c>
      <c r="AF300" s="330">
        <v>32</v>
      </c>
      <c r="AG300" s="332" t="s">
        <v>2246</v>
      </c>
      <c r="AH300" s="332" t="s">
        <v>191</v>
      </c>
      <c r="AI300" s="330" t="s">
        <v>191</v>
      </c>
      <c r="AJ300" s="330" t="s">
        <v>191</v>
      </c>
      <c r="AK300" s="330" t="s">
        <v>627</v>
      </c>
      <c r="AL300" s="330"/>
      <c r="AM300" s="330" t="s">
        <v>191</v>
      </c>
      <c r="AN300" s="330"/>
      <c r="AO300" s="330"/>
      <c r="AP300" s="332" t="s">
        <v>259</v>
      </c>
      <c r="AQ300" s="330"/>
      <c r="AR300" s="330"/>
      <c r="AS300" s="330"/>
      <c r="AT300" s="330"/>
      <c r="AU300" s="332"/>
      <c r="AV300" s="334">
        <v>46125.430021215281</v>
      </c>
      <c r="AW300" s="330"/>
      <c r="AX300" s="335">
        <v>46171</v>
      </c>
      <c r="AY300" s="330"/>
      <c r="AZ300" s="330"/>
      <c r="BA300" s="330"/>
      <c r="BB300" s="330"/>
      <c r="BC300" s="336">
        <v>46192</v>
      </c>
      <c r="BD300" s="330"/>
      <c r="BE300" s="330"/>
      <c r="BF300" s="330"/>
      <c r="BG300" s="330"/>
      <c r="BH300" s="330" t="s">
        <v>193</v>
      </c>
      <c r="BI300" s="330">
        <v>531</v>
      </c>
      <c r="BJ300" s="330"/>
      <c r="BK300" s="330"/>
      <c r="BL300" s="330"/>
      <c r="BM300" s="332"/>
      <c r="BN300" s="330"/>
      <c r="BO300" s="330" t="s">
        <v>240</v>
      </c>
      <c r="BP300" s="330" t="s">
        <v>193</v>
      </c>
      <c r="BQ300" s="330" t="s">
        <v>909</v>
      </c>
      <c r="BR300" s="330" t="s">
        <v>193</v>
      </c>
      <c r="BS300" s="330" t="s">
        <v>2687</v>
      </c>
      <c r="BT300" s="330" t="s">
        <v>193</v>
      </c>
      <c r="BU300" s="330" t="s">
        <v>2687</v>
      </c>
      <c r="BV300" s="330" t="s">
        <v>220</v>
      </c>
      <c r="BW300" s="330"/>
      <c r="BX300" s="332"/>
      <c r="BY300" s="330"/>
      <c r="BZ300" s="330"/>
      <c r="CA300" s="330"/>
      <c r="CB300" s="330"/>
      <c r="CC300" s="337" t="s">
        <v>81</v>
      </c>
      <c r="CD300" s="330" t="b">
        <v>1</v>
      </c>
      <c r="CE300" s="330" t="b">
        <v>1</v>
      </c>
      <c r="CF300" s="330" t="b">
        <v>1</v>
      </c>
      <c r="CG300" s="330"/>
      <c r="CH300" s="330"/>
      <c r="CI300" s="330"/>
      <c r="CJ300" s="330"/>
      <c r="CK300" s="330"/>
      <c r="CL300" s="330"/>
      <c r="CM300" s="330"/>
      <c r="CN300" s="330"/>
      <c r="CO300" s="330"/>
      <c r="CP300" s="330"/>
      <c r="CQ300" s="330"/>
      <c r="CR300" s="330"/>
      <c r="CS300" s="330"/>
      <c r="CT300" s="330"/>
      <c r="CU300" s="330"/>
      <c r="CV300" s="330"/>
      <c r="CW300" s="330"/>
      <c r="CX300" s="330"/>
      <c r="CY300" s="330"/>
      <c r="CZ300" s="330"/>
      <c r="DA300" s="330"/>
      <c r="DB300" s="330" t="b">
        <v>1</v>
      </c>
      <c r="DC300" s="330" t="b">
        <v>1</v>
      </c>
      <c r="DD300" s="330"/>
      <c r="DE300" s="330"/>
      <c r="DF300" s="338">
        <v>25006</v>
      </c>
      <c r="DG300" s="330" t="s">
        <v>221</v>
      </c>
      <c r="DH300" s="330"/>
      <c r="DI300" s="338" t="s">
        <v>1375</v>
      </c>
      <c r="DJ300" s="330"/>
      <c r="DK300" s="330">
        <v>9</v>
      </c>
      <c r="DL300" s="330" t="s">
        <v>1950</v>
      </c>
      <c r="DM300" s="330"/>
      <c r="DN300" s="330"/>
      <c r="DO300" s="330"/>
      <c r="DP300" s="330"/>
      <c r="DQ300" s="338" t="s">
        <v>197</v>
      </c>
      <c r="DR300" s="330"/>
      <c r="DS300" s="330"/>
      <c r="DT300" s="330"/>
      <c r="DU300" s="338" t="s">
        <v>197</v>
      </c>
      <c r="DV300" s="330"/>
      <c r="DW300" s="330"/>
      <c r="DX300" s="330"/>
      <c r="DY300" s="338" t="s">
        <v>197</v>
      </c>
      <c r="DZ300" s="330"/>
      <c r="EA300" s="330"/>
      <c r="EB300" s="330"/>
      <c r="EC300" s="330" t="s">
        <v>197</v>
      </c>
      <c r="ED300" s="338" t="s">
        <v>197</v>
      </c>
      <c r="EE300" s="330">
        <v>70</v>
      </c>
      <c r="EF300" s="330">
        <v>250</v>
      </c>
      <c r="EG300" s="330"/>
      <c r="EH300" s="330"/>
      <c r="EI300" s="330"/>
      <c r="EJ300" s="330"/>
      <c r="EK300" s="330"/>
      <c r="EL300" s="330"/>
      <c r="EM300" s="330"/>
      <c r="EN300" s="330"/>
      <c r="EO300" s="330"/>
      <c r="EP300" s="330"/>
      <c r="EQ300" s="332" t="s">
        <v>224</v>
      </c>
      <c r="ER300" s="330"/>
      <c r="ES300" s="330"/>
      <c r="ET300" s="332" t="s">
        <v>245</v>
      </c>
      <c r="EU300" s="332" t="s">
        <v>354</v>
      </c>
      <c r="EV300" s="330"/>
      <c r="EW300" s="330"/>
      <c r="EX300" s="330" t="s">
        <v>200</v>
      </c>
      <c r="EY300" s="330"/>
      <c r="EZ300" s="330" t="s">
        <v>247</v>
      </c>
      <c r="FA300" s="330"/>
      <c r="FB300" s="330" t="s">
        <v>247</v>
      </c>
      <c r="FC300" s="330" t="s">
        <v>202</v>
      </c>
      <c r="FD300" s="332" t="s">
        <v>190</v>
      </c>
      <c r="FE300" s="330"/>
      <c r="FF300" s="330"/>
      <c r="FG300" s="330" t="s">
        <v>203</v>
      </c>
      <c r="FH300" s="330"/>
      <c r="FI300" s="330" t="s">
        <v>204</v>
      </c>
      <c r="FJ300" s="330"/>
      <c r="FK300" s="330" t="s">
        <v>180</v>
      </c>
      <c r="FL300" s="330"/>
      <c r="FM300" s="330" t="s">
        <v>191</v>
      </c>
      <c r="FN300" s="330" t="s">
        <v>2688</v>
      </c>
      <c r="FO300" s="330"/>
      <c r="FP300" s="330" t="s">
        <v>2275</v>
      </c>
      <c r="FQ300" s="330"/>
      <c r="FR300" s="330"/>
      <c r="FS300" s="330"/>
      <c r="FT300" s="330"/>
      <c r="FU300" s="330"/>
    </row>
    <row r="301" spans="1:177" ht="76.5" x14ac:dyDescent="0.25">
      <c r="A301" s="330">
        <v>300</v>
      </c>
      <c r="B301" s="331" t="s">
        <v>2689</v>
      </c>
      <c r="C301" s="330"/>
      <c r="D301" s="332" t="s">
        <v>1943</v>
      </c>
      <c r="E301" s="332" t="s">
        <v>1944</v>
      </c>
      <c r="F301" s="332" t="s">
        <v>180</v>
      </c>
      <c r="G301" s="330" t="s">
        <v>181</v>
      </c>
      <c r="H301" s="331">
        <v>400</v>
      </c>
      <c r="I301" s="330"/>
      <c r="J301" s="332"/>
      <c r="K301" s="332" t="s">
        <v>2690</v>
      </c>
      <c r="L301" s="330"/>
      <c r="M301" s="332"/>
      <c r="N301" s="330"/>
      <c r="O301" s="333"/>
      <c r="P301" s="333"/>
      <c r="Q301" s="333">
        <v>2058</v>
      </c>
      <c r="R301" s="333">
        <v>140</v>
      </c>
      <c r="S301" s="333"/>
      <c r="T301" s="333"/>
      <c r="U301" s="333"/>
      <c r="V301" s="333"/>
      <c r="W301" s="330"/>
      <c r="X301" s="330"/>
      <c r="Y301" s="332" t="s">
        <v>2257</v>
      </c>
      <c r="Z301" s="330" t="s">
        <v>215</v>
      </c>
      <c r="AA301" s="330" t="s">
        <v>2258</v>
      </c>
      <c r="AB301" s="330" t="s">
        <v>217</v>
      </c>
      <c r="AC301" s="330" t="b">
        <v>1</v>
      </c>
      <c r="AD301" s="330" t="s">
        <v>924</v>
      </c>
      <c r="AE301" s="330">
        <v>7</v>
      </c>
      <c r="AF301" s="330">
        <v>41</v>
      </c>
      <c r="AG301" s="332" t="s">
        <v>2246</v>
      </c>
      <c r="AH301" s="332" t="s">
        <v>191</v>
      </c>
      <c r="AI301" s="330" t="s">
        <v>191</v>
      </c>
      <c r="AJ301" s="330" t="s">
        <v>191</v>
      </c>
      <c r="AK301" s="330" t="s">
        <v>627</v>
      </c>
      <c r="AL301" s="330"/>
      <c r="AM301" s="330" t="s">
        <v>191</v>
      </c>
      <c r="AN301" s="330"/>
      <c r="AO301" s="330"/>
      <c r="AP301" s="332" t="s">
        <v>259</v>
      </c>
      <c r="AQ301" s="330"/>
      <c r="AR301" s="330"/>
      <c r="AS301" s="330"/>
      <c r="AT301" s="330"/>
      <c r="AU301" s="332"/>
      <c r="AV301" s="334">
        <v>46125.436739560188</v>
      </c>
      <c r="AW301" s="330"/>
      <c r="AX301" s="335">
        <v>46184</v>
      </c>
      <c r="AY301" s="330"/>
      <c r="AZ301" s="330"/>
      <c r="BA301" s="330"/>
      <c r="BB301" s="330"/>
      <c r="BC301" s="336">
        <v>46205</v>
      </c>
      <c r="BD301" s="330"/>
      <c r="BE301" s="330"/>
      <c r="BF301" s="330"/>
      <c r="BG301" s="330"/>
      <c r="BH301" s="330" t="s">
        <v>193</v>
      </c>
      <c r="BI301" s="330">
        <v>531</v>
      </c>
      <c r="BJ301" s="330"/>
      <c r="BK301" s="330"/>
      <c r="BL301" s="330"/>
      <c r="BM301" s="332"/>
      <c r="BN301" s="330"/>
      <c r="BO301" s="330" t="s">
        <v>240</v>
      </c>
      <c r="BP301" s="330" t="s">
        <v>193</v>
      </c>
      <c r="BQ301" s="330" t="s">
        <v>218</v>
      </c>
      <c r="BR301" s="330" t="s">
        <v>193</v>
      </c>
      <c r="BS301" s="330" t="s">
        <v>2691</v>
      </c>
      <c r="BT301" s="330" t="s">
        <v>193</v>
      </c>
      <c r="BU301" s="330" t="s">
        <v>2691</v>
      </c>
      <c r="BV301" s="330" t="s">
        <v>220</v>
      </c>
      <c r="BW301" s="330"/>
      <c r="BX301" s="332"/>
      <c r="BY301" s="330"/>
      <c r="BZ301" s="330"/>
      <c r="CA301" s="330"/>
      <c r="CB301" s="330"/>
      <c r="CC301" s="337" t="s">
        <v>81</v>
      </c>
      <c r="CD301" s="330" t="b">
        <v>1</v>
      </c>
      <c r="CE301" s="330" t="b">
        <v>1</v>
      </c>
      <c r="CF301" s="330" t="b">
        <v>1</v>
      </c>
      <c r="CG301" s="330"/>
      <c r="CH301" s="330"/>
      <c r="CI301" s="330"/>
      <c r="CJ301" s="330"/>
      <c r="CK301" s="330"/>
      <c r="CL301" s="330"/>
      <c r="CM301" s="330"/>
      <c r="CN301" s="330"/>
      <c r="CO301" s="330"/>
      <c r="CP301" s="330"/>
      <c r="CQ301" s="330"/>
      <c r="CR301" s="330"/>
      <c r="CS301" s="330"/>
      <c r="CT301" s="330"/>
      <c r="CU301" s="330"/>
      <c r="CV301" s="330"/>
      <c r="CW301" s="330"/>
      <c r="CX301" s="330"/>
      <c r="CY301" s="330"/>
      <c r="CZ301" s="330"/>
      <c r="DA301" s="330"/>
      <c r="DB301" s="330"/>
      <c r="DC301" s="330" t="b">
        <v>1</v>
      </c>
      <c r="DD301" s="330"/>
      <c r="DE301" s="330"/>
      <c r="DF301" s="338">
        <v>25006</v>
      </c>
      <c r="DG301" s="330" t="s">
        <v>221</v>
      </c>
      <c r="DH301" s="330"/>
      <c r="DI301" s="338">
        <v>10</v>
      </c>
      <c r="DJ301" s="330"/>
      <c r="DK301" s="330">
        <v>10</v>
      </c>
      <c r="DL301" s="330" t="s">
        <v>1950</v>
      </c>
      <c r="DM301" s="330"/>
      <c r="DN301" s="330"/>
      <c r="DO301" s="330"/>
      <c r="DP301" s="330"/>
      <c r="DQ301" s="338" t="s">
        <v>197</v>
      </c>
      <c r="DR301" s="330"/>
      <c r="DS301" s="330"/>
      <c r="DT301" s="330"/>
      <c r="DU301" s="338" t="s">
        <v>197</v>
      </c>
      <c r="DV301" s="330"/>
      <c r="DW301" s="330"/>
      <c r="DX301" s="330"/>
      <c r="DY301" s="338" t="s">
        <v>197</v>
      </c>
      <c r="DZ301" s="330"/>
      <c r="EA301" s="330"/>
      <c r="EB301" s="330"/>
      <c r="EC301" s="330" t="s">
        <v>197</v>
      </c>
      <c r="ED301" s="338" t="s">
        <v>197</v>
      </c>
      <c r="EE301" s="330">
        <v>40</v>
      </c>
      <c r="EF301" s="330">
        <v>235</v>
      </c>
      <c r="EG301" s="330"/>
      <c r="EH301" s="330"/>
      <c r="EI301" s="330"/>
      <c r="EJ301" s="330"/>
      <c r="EK301" s="330"/>
      <c r="EL301" s="330"/>
      <c r="EM301" s="330"/>
      <c r="EN301" s="330"/>
      <c r="EO301" s="330"/>
      <c r="EP301" s="330"/>
      <c r="EQ301" s="332" t="s">
        <v>224</v>
      </c>
      <c r="ER301" s="330"/>
      <c r="ES301" s="330"/>
      <c r="ET301" s="332" t="s">
        <v>245</v>
      </c>
      <c r="EU301" s="332" t="s">
        <v>4158</v>
      </c>
      <c r="EV301" s="330"/>
      <c r="EW301" s="330"/>
      <c r="EX301" s="330" t="s">
        <v>200</v>
      </c>
      <c r="EY301" s="330"/>
      <c r="EZ301" s="330" t="s">
        <v>247</v>
      </c>
      <c r="FA301" s="330"/>
      <c r="FB301" s="330" t="s">
        <v>247</v>
      </c>
      <c r="FC301" s="330" t="s">
        <v>202</v>
      </c>
      <c r="FD301" s="332" t="s">
        <v>190</v>
      </c>
      <c r="FE301" s="330"/>
      <c r="FF301" s="330"/>
      <c r="FG301" s="330" t="s">
        <v>203</v>
      </c>
      <c r="FH301" s="330"/>
      <c r="FI301" s="330" t="s">
        <v>204</v>
      </c>
      <c r="FJ301" s="330"/>
      <c r="FK301" s="330" t="s">
        <v>180</v>
      </c>
      <c r="FL301" s="330"/>
      <c r="FM301" s="330" t="s">
        <v>191</v>
      </c>
      <c r="FN301" s="330" t="s">
        <v>2692</v>
      </c>
      <c r="FO301" s="330"/>
      <c r="FP301" s="330" t="s">
        <v>2693</v>
      </c>
      <c r="FQ301" s="330"/>
      <c r="FR301" s="330"/>
      <c r="FS301" s="330"/>
      <c r="FT301" s="330"/>
      <c r="FU301" s="330"/>
    </row>
    <row r="302" spans="1:177" ht="76.5" x14ac:dyDescent="0.25">
      <c r="A302" s="330">
        <v>301</v>
      </c>
      <c r="B302" s="331" t="s">
        <v>2694</v>
      </c>
      <c r="C302" s="330"/>
      <c r="D302" s="332" t="s">
        <v>1943</v>
      </c>
      <c r="E302" s="332" t="s">
        <v>1944</v>
      </c>
      <c r="F302" s="332" t="s">
        <v>180</v>
      </c>
      <c r="G302" s="330" t="s">
        <v>181</v>
      </c>
      <c r="H302" s="331">
        <v>400</v>
      </c>
      <c r="I302" s="330"/>
      <c r="J302" s="332"/>
      <c r="K302" s="332" t="s">
        <v>2695</v>
      </c>
      <c r="L302" s="330"/>
      <c r="M302" s="332"/>
      <c r="N302" s="330"/>
      <c r="O302" s="333"/>
      <c r="P302" s="333"/>
      <c r="Q302" s="333">
        <v>2058</v>
      </c>
      <c r="R302" s="333">
        <v>201</v>
      </c>
      <c r="S302" s="333"/>
      <c r="T302" s="333"/>
      <c r="U302" s="333"/>
      <c r="V302" s="333"/>
      <c r="W302" s="330"/>
      <c r="X302" s="330"/>
      <c r="Y302" s="332" t="s">
        <v>2257</v>
      </c>
      <c r="Z302" s="330" t="s">
        <v>215</v>
      </c>
      <c r="AA302" s="330" t="s">
        <v>2258</v>
      </c>
      <c r="AB302" s="330" t="s">
        <v>217</v>
      </c>
      <c r="AC302" s="330" t="b">
        <v>1</v>
      </c>
      <c r="AD302" s="330" t="s">
        <v>924</v>
      </c>
      <c r="AE302" s="330">
        <v>8</v>
      </c>
      <c r="AF302" s="330">
        <v>50</v>
      </c>
      <c r="AG302" s="332" t="s">
        <v>2246</v>
      </c>
      <c r="AH302" s="332" t="s">
        <v>191</v>
      </c>
      <c r="AI302" s="330" t="s">
        <v>191</v>
      </c>
      <c r="AJ302" s="330" t="s">
        <v>191</v>
      </c>
      <c r="AK302" s="330" t="s">
        <v>627</v>
      </c>
      <c r="AL302" s="330"/>
      <c r="AM302" s="330" t="s">
        <v>191</v>
      </c>
      <c r="AN302" s="330"/>
      <c r="AO302" s="330"/>
      <c r="AP302" s="332" t="s">
        <v>259</v>
      </c>
      <c r="AQ302" s="330"/>
      <c r="AR302" s="330"/>
      <c r="AS302" s="330"/>
      <c r="AT302" s="330"/>
      <c r="AU302" s="332"/>
      <c r="AV302" s="334">
        <v>46125.436917928244</v>
      </c>
      <c r="AW302" s="330"/>
      <c r="AX302" s="335">
        <v>46197</v>
      </c>
      <c r="AY302" s="330"/>
      <c r="AZ302" s="330"/>
      <c r="BA302" s="330"/>
      <c r="BB302" s="330"/>
      <c r="BC302" s="336">
        <v>46218</v>
      </c>
      <c r="BD302" s="330"/>
      <c r="BE302" s="330"/>
      <c r="BF302" s="330"/>
      <c r="BG302" s="330"/>
      <c r="BH302" s="330" t="s">
        <v>193</v>
      </c>
      <c r="BI302" s="330">
        <v>531</v>
      </c>
      <c r="BJ302" s="330"/>
      <c r="BK302" s="330"/>
      <c r="BL302" s="330"/>
      <c r="BM302" s="332"/>
      <c r="BN302" s="330"/>
      <c r="BO302" s="330" t="s">
        <v>240</v>
      </c>
      <c r="BP302" s="330" t="s">
        <v>193</v>
      </c>
      <c r="BQ302" s="330" t="s">
        <v>218</v>
      </c>
      <c r="BR302" s="330" t="s">
        <v>193</v>
      </c>
      <c r="BS302" s="330" t="s">
        <v>2696</v>
      </c>
      <c r="BT302" s="330" t="s">
        <v>193</v>
      </c>
      <c r="BU302" s="330" t="s">
        <v>2696</v>
      </c>
      <c r="BV302" s="330" t="s">
        <v>220</v>
      </c>
      <c r="BW302" s="330"/>
      <c r="BX302" s="332"/>
      <c r="BY302" s="330"/>
      <c r="BZ302" s="330"/>
      <c r="CA302" s="330"/>
      <c r="CB302" s="330"/>
      <c r="CC302" s="337" t="s">
        <v>81</v>
      </c>
      <c r="CD302" s="330" t="b">
        <v>1</v>
      </c>
      <c r="CE302" s="330" t="b">
        <v>1</v>
      </c>
      <c r="CF302" s="330" t="b">
        <v>1</v>
      </c>
      <c r="CG302" s="330"/>
      <c r="CH302" s="330"/>
      <c r="CI302" s="330"/>
      <c r="CJ302" s="330"/>
      <c r="CK302" s="330"/>
      <c r="CL302" s="330"/>
      <c r="CM302" s="330"/>
      <c r="CN302" s="330"/>
      <c r="CO302" s="330"/>
      <c r="CP302" s="330"/>
      <c r="CQ302" s="330"/>
      <c r="CR302" s="330"/>
      <c r="CS302" s="330"/>
      <c r="CT302" s="330"/>
      <c r="CU302" s="330"/>
      <c r="CV302" s="330"/>
      <c r="CW302" s="330"/>
      <c r="CX302" s="330"/>
      <c r="CY302" s="330"/>
      <c r="CZ302" s="330"/>
      <c r="DA302" s="330"/>
      <c r="DB302" s="330" t="b">
        <v>1</v>
      </c>
      <c r="DC302" s="330" t="b">
        <v>1</v>
      </c>
      <c r="DD302" s="330"/>
      <c r="DE302" s="330"/>
      <c r="DF302" s="338">
        <v>25006</v>
      </c>
      <c r="DG302" s="330" t="s">
        <v>221</v>
      </c>
      <c r="DH302" s="330"/>
      <c r="DI302" s="338">
        <v>11</v>
      </c>
      <c r="DJ302" s="330"/>
      <c r="DK302" s="330">
        <v>11</v>
      </c>
      <c r="DL302" s="330" t="s">
        <v>1950</v>
      </c>
      <c r="DM302" s="330"/>
      <c r="DN302" s="330"/>
      <c r="DO302" s="330"/>
      <c r="DP302" s="330"/>
      <c r="DQ302" s="338" t="s">
        <v>197</v>
      </c>
      <c r="DR302" s="330"/>
      <c r="DS302" s="330"/>
      <c r="DT302" s="330"/>
      <c r="DU302" s="338" t="s">
        <v>197</v>
      </c>
      <c r="DV302" s="330"/>
      <c r="DW302" s="330"/>
      <c r="DX302" s="330"/>
      <c r="DY302" s="338" t="s">
        <v>197</v>
      </c>
      <c r="DZ302" s="330"/>
      <c r="EA302" s="330"/>
      <c r="EB302" s="330"/>
      <c r="EC302" s="330" t="s">
        <v>197</v>
      </c>
      <c r="ED302" s="338" t="s">
        <v>197</v>
      </c>
      <c r="EE302" s="330">
        <v>100</v>
      </c>
      <c r="EF302" s="330">
        <v>340</v>
      </c>
      <c r="EG302" s="330"/>
      <c r="EH302" s="330"/>
      <c r="EI302" s="330"/>
      <c r="EJ302" s="330"/>
      <c r="EK302" s="330"/>
      <c r="EL302" s="330"/>
      <c r="EM302" s="330"/>
      <c r="EN302" s="330"/>
      <c r="EO302" s="330"/>
      <c r="EP302" s="330"/>
      <c r="EQ302" s="332" t="s">
        <v>224</v>
      </c>
      <c r="ER302" s="330"/>
      <c r="ES302" s="330"/>
      <c r="ET302" s="332" t="s">
        <v>245</v>
      </c>
      <c r="EU302" s="332" t="s">
        <v>354</v>
      </c>
      <c r="EV302" s="330"/>
      <c r="EW302" s="330"/>
      <c r="EX302" s="330" t="s">
        <v>200</v>
      </c>
      <c r="EY302" s="330"/>
      <c r="EZ302" s="330" t="s">
        <v>247</v>
      </c>
      <c r="FA302" s="330"/>
      <c r="FB302" s="330" t="s">
        <v>247</v>
      </c>
      <c r="FC302" s="330" t="s">
        <v>202</v>
      </c>
      <c r="FD302" s="332" t="s">
        <v>190</v>
      </c>
      <c r="FE302" s="330"/>
      <c r="FF302" s="330"/>
      <c r="FG302" s="330" t="s">
        <v>203</v>
      </c>
      <c r="FH302" s="330"/>
      <c r="FI302" s="330" t="s">
        <v>204</v>
      </c>
      <c r="FJ302" s="330"/>
      <c r="FK302" s="330" t="s">
        <v>180</v>
      </c>
      <c r="FL302" s="330"/>
      <c r="FM302" s="330" t="s">
        <v>191</v>
      </c>
      <c r="FN302" s="330" t="s">
        <v>2697</v>
      </c>
      <c r="FO302" s="330"/>
      <c r="FP302" s="330" t="s">
        <v>2289</v>
      </c>
      <c r="FQ302" s="330"/>
      <c r="FR302" s="330"/>
      <c r="FS302" s="330"/>
      <c r="FT302" s="330"/>
      <c r="FU302" s="330"/>
    </row>
    <row r="303" spans="1:177" ht="76.5" x14ac:dyDescent="0.25">
      <c r="A303" s="330">
        <v>302</v>
      </c>
      <c r="B303" s="331" t="s">
        <v>2698</v>
      </c>
      <c r="C303" s="330"/>
      <c r="D303" s="332" t="s">
        <v>1943</v>
      </c>
      <c r="E303" s="332" t="s">
        <v>1944</v>
      </c>
      <c r="F303" s="332" t="s">
        <v>180</v>
      </c>
      <c r="G303" s="330" t="s">
        <v>181</v>
      </c>
      <c r="H303" s="331">
        <v>400</v>
      </c>
      <c r="I303" s="330"/>
      <c r="J303" s="332"/>
      <c r="K303" s="332" t="s">
        <v>2699</v>
      </c>
      <c r="L303" s="330"/>
      <c r="M303" s="332"/>
      <c r="N303" s="330"/>
      <c r="O303" s="333"/>
      <c r="P303" s="333"/>
      <c r="Q303" s="333">
        <v>2058</v>
      </c>
      <c r="R303" s="333">
        <v>192</v>
      </c>
      <c r="S303" s="333"/>
      <c r="T303" s="333"/>
      <c r="U303" s="333"/>
      <c r="V303" s="333"/>
      <c r="W303" s="330"/>
      <c r="X303" s="330"/>
      <c r="Y303" s="332" t="s">
        <v>2257</v>
      </c>
      <c r="Z303" s="330" t="s">
        <v>215</v>
      </c>
      <c r="AA303" s="330" t="s">
        <v>2258</v>
      </c>
      <c r="AB303" s="330" t="s">
        <v>217</v>
      </c>
      <c r="AC303" s="330" t="b">
        <v>1</v>
      </c>
      <c r="AD303" s="330" t="s">
        <v>924</v>
      </c>
      <c r="AE303" s="330">
        <v>9</v>
      </c>
      <c r="AF303" s="330">
        <v>58</v>
      </c>
      <c r="AG303" s="332" t="s">
        <v>2246</v>
      </c>
      <c r="AH303" s="332" t="s">
        <v>191</v>
      </c>
      <c r="AI303" s="330" t="s">
        <v>191</v>
      </c>
      <c r="AJ303" s="330" t="s">
        <v>191</v>
      </c>
      <c r="AK303" s="330" t="s">
        <v>627</v>
      </c>
      <c r="AL303" s="330"/>
      <c r="AM303" s="330" t="s">
        <v>191</v>
      </c>
      <c r="AN303" s="330"/>
      <c r="AO303" s="330"/>
      <c r="AP303" s="332" t="s">
        <v>259</v>
      </c>
      <c r="AQ303" s="330"/>
      <c r="AR303" s="330"/>
      <c r="AS303" s="330"/>
      <c r="AT303" s="330"/>
      <c r="AU303" s="332"/>
      <c r="AV303" s="334">
        <v>46125.437119525464</v>
      </c>
      <c r="AW303" s="330"/>
      <c r="AX303" s="335">
        <v>46209</v>
      </c>
      <c r="AY303" s="330"/>
      <c r="AZ303" s="330"/>
      <c r="BA303" s="330"/>
      <c r="BB303" s="330"/>
      <c r="BC303" s="336">
        <v>46230</v>
      </c>
      <c r="BD303" s="330"/>
      <c r="BE303" s="330"/>
      <c r="BF303" s="330"/>
      <c r="BG303" s="330"/>
      <c r="BH303" s="330" t="s">
        <v>193</v>
      </c>
      <c r="BI303" s="330">
        <v>531</v>
      </c>
      <c r="BJ303" s="330"/>
      <c r="BK303" s="330"/>
      <c r="BL303" s="330"/>
      <c r="BM303" s="332"/>
      <c r="BN303" s="330"/>
      <c r="BO303" s="330" t="s">
        <v>240</v>
      </c>
      <c r="BP303" s="330" t="s">
        <v>193</v>
      </c>
      <c r="BQ303" s="330" t="s">
        <v>218</v>
      </c>
      <c r="BR303" s="330" t="s">
        <v>193</v>
      </c>
      <c r="BS303" s="330" t="s">
        <v>2700</v>
      </c>
      <c r="BT303" s="330" t="s">
        <v>193</v>
      </c>
      <c r="BU303" s="330" t="s">
        <v>2700</v>
      </c>
      <c r="BV303" s="330" t="s">
        <v>220</v>
      </c>
      <c r="BW303" s="330"/>
      <c r="BX303" s="332"/>
      <c r="BY303" s="330"/>
      <c r="BZ303" s="330"/>
      <c r="CA303" s="330"/>
      <c r="CB303" s="330"/>
      <c r="CC303" s="337" t="s">
        <v>81</v>
      </c>
      <c r="CD303" s="330" t="b">
        <v>1</v>
      </c>
      <c r="CE303" s="330" t="b">
        <v>1</v>
      </c>
      <c r="CF303" s="330" t="b">
        <v>1</v>
      </c>
      <c r="CG303" s="330"/>
      <c r="CH303" s="330"/>
      <c r="CI303" s="330"/>
      <c r="CJ303" s="330"/>
      <c r="CK303" s="330"/>
      <c r="CL303" s="330"/>
      <c r="CM303" s="330"/>
      <c r="CN303" s="330"/>
      <c r="CO303" s="330"/>
      <c r="CP303" s="330"/>
      <c r="CQ303" s="330"/>
      <c r="CR303" s="330"/>
      <c r="CS303" s="330"/>
      <c r="CT303" s="330"/>
      <c r="CU303" s="330"/>
      <c r="CV303" s="330"/>
      <c r="CW303" s="330"/>
      <c r="CX303" s="330"/>
      <c r="CY303" s="330"/>
      <c r="CZ303" s="330"/>
      <c r="DA303" s="330"/>
      <c r="DB303" s="330" t="b">
        <v>1</v>
      </c>
      <c r="DC303" s="330" t="b">
        <v>1</v>
      </c>
      <c r="DD303" s="330"/>
      <c r="DE303" s="330"/>
      <c r="DF303" s="338">
        <v>25006</v>
      </c>
      <c r="DG303" s="330" t="s">
        <v>221</v>
      </c>
      <c r="DH303" s="330"/>
      <c r="DI303" s="338">
        <v>12</v>
      </c>
      <c r="DJ303" s="330"/>
      <c r="DK303" s="330">
        <v>12</v>
      </c>
      <c r="DL303" s="330" t="s">
        <v>1950</v>
      </c>
      <c r="DM303" s="330"/>
      <c r="DN303" s="330"/>
      <c r="DO303" s="330"/>
      <c r="DP303" s="330"/>
      <c r="DQ303" s="338" t="s">
        <v>197</v>
      </c>
      <c r="DR303" s="330"/>
      <c r="DS303" s="330"/>
      <c r="DT303" s="330"/>
      <c r="DU303" s="338" t="s">
        <v>197</v>
      </c>
      <c r="DV303" s="330"/>
      <c r="DW303" s="330"/>
      <c r="DX303" s="330"/>
      <c r="DY303" s="338" t="s">
        <v>197</v>
      </c>
      <c r="DZ303" s="330"/>
      <c r="EA303" s="330"/>
      <c r="EB303" s="330"/>
      <c r="EC303" s="330" t="s">
        <v>197</v>
      </c>
      <c r="ED303" s="338" t="s">
        <v>197</v>
      </c>
      <c r="EE303" s="330">
        <v>93</v>
      </c>
      <c r="EF303" s="330">
        <v>323</v>
      </c>
      <c r="EG303" s="330"/>
      <c r="EH303" s="330"/>
      <c r="EI303" s="330"/>
      <c r="EJ303" s="330"/>
      <c r="EK303" s="330"/>
      <c r="EL303" s="330"/>
      <c r="EM303" s="330"/>
      <c r="EN303" s="330"/>
      <c r="EO303" s="330"/>
      <c r="EP303" s="330"/>
      <c r="EQ303" s="332" t="s">
        <v>224</v>
      </c>
      <c r="ER303" s="330"/>
      <c r="ES303" s="330"/>
      <c r="ET303" s="332" t="s">
        <v>245</v>
      </c>
      <c r="EU303" s="332" t="s">
        <v>354</v>
      </c>
      <c r="EV303" s="330"/>
      <c r="EW303" s="330"/>
      <c r="EX303" s="330" t="s">
        <v>200</v>
      </c>
      <c r="EY303" s="330"/>
      <c r="EZ303" s="330" t="s">
        <v>247</v>
      </c>
      <c r="FA303" s="330"/>
      <c r="FB303" s="330" t="s">
        <v>247</v>
      </c>
      <c r="FC303" s="330" t="s">
        <v>202</v>
      </c>
      <c r="FD303" s="332" t="s">
        <v>190</v>
      </c>
      <c r="FE303" s="330"/>
      <c r="FF303" s="330"/>
      <c r="FG303" s="330" t="s">
        <v>203</v>
      </c>
      <c r="FH303" s="330"/>
      <c r="FI303" s="330" t="s">
        <v>204</v>
      </c>
      <c r="FJ303" s="330"/>
      <c r="FK303" s="330" t="s">
        <v>180</v>
      </c>
      <c r="FL303" s="330"/>
      <c r="FM303" s="330" t="s">
        <v>191</v>
      </c>
      <c r="FN303" s="330" t="s">
        <v>2701</v>
      </c>
      <c r="FO303" s="330"/>
      <c r="FP303" s="330" t="s">
        <v>2297</v>
      </c>
      <c r="FQ303" s="330"/>
      <c r="FR303" s="330"/>
      <c r="FS303" s="330"/>
      <c r="FT303" s="330"/>
      <c r="FU303" s="330"/>
    </row>
    <row r="304" spans="1:177" ht="76.5" x14ac:dyDescent="0.25">
      <c r="A304" s="330">
        <v>303</v>
      </c>
      <c r="B304" s="331" t="s">
        <v>1950</v>
      </c>
      <c r="C304" s="330"/>
      <c r="D304" s="332" t="s">
        <v>1943</v>
      </c>
      <c r="E304" s="332" t="s">
        <v>1944</v>
      </c>
      <c r="F304" s="332" t="s">
        <v>180</v>
      </c>
      <c r="G304" s="330" t="s">
        <v>181</v>
      </c>
      <c r="H304" s="331">
        <v>400</v>
      </c>
      <c r="I304" s="330"/>
      <c r="J304" s="332"/>
      <c r="K304" s="332" t="s">
        <v>2702</v>
      </c>
      <c r="L304" s="330"/>
      <c r="M304" s="332"/>
      <c r="N304" s="330"/>
      <c r="O304" s="333"/>
      <c r="P304" s="333"/>
      <c r="Q304" s="333">
        <v>2058</v>
      </c>
      <c r="R304" s="333">
        <v>28</v>
      </c>
      <c r="S304" s="333"/>
      <c r="T304" s="333"/>
      <c r="U304" s="333"/>
      <c r="V304" s="333"/>
      <c r="W304" s="330"/>
      <c r="X304" s="330"/>
      <c r="Y304" s="332" t="s">
        <v>1961</v>
      </c>
      <c r="Z304" s="330" t="s">
        <v>215</v>
      </c>
      <c r="AA304" s="330" t="s">
        <v>1962</v>
      </c>
      <c r="AB304" s="330" t="s">
        <v>189</v>
      </c>
      <c r="AC304" s="330" t="b">
        <v>1</v>
      </c>
      <c r="AD304" s="330" t="s">
        <v>924</v>
      </c>
      <c r="AE304" s="330">
        <v>10</v>
      </c>
      <c r="AF304" s="330">
        <v>63</v>
      </c>
      <c r="AG304" s="332" t="s">
        <v>2246</v>
      </c>
      <c r="AH304" s="332" t="s">
        <v>191</v>
      </c>
      <c r="AI304" s="330" t="s">
        <v>191</v>
      </c>
      <c r="AJ304" s="330" t="s">
        <v>191</v>
      </c>
      <c r="AK304" s="330" t="s">
        <v>627</v>
      </c>
      <c r="AL304" s="330"/>
      <c r="AM304" s="330" t="s">
        <v>191</v>
      </c>
      <c r="AN304" s="330"/>
      <c r="AO304" s="330"/>
      <c r="AP304" s="332" t="s">
        <v>259</v>
      </c>
      <c r="AQ304" s="330"/>
      <c r="AR304" s="330"/>
      <c r="AS304" s="330"/>
      <c r="AT304" s="330"/>
      <c r="AU304" s="332"/>
      <c r="AV304" s="334">
        <v>46125.437300659723</v>
      </c>
      <c r="AW304" s="330"/>
      <c r="AX304" s="335">
        <v>46216</v>
      </c>
      <c r="AY304" s="330"/>
      <c r="AZ304" s="330"/>
      <c r="BA304" s="330"/>
      <c r="BB304" s="330"/>
      <c r="BC304" s="336">
        <v>46237</v>
      </c>
      <c r="BD304" s="330"/>
      <c r="BE304" s="330"/>
      <c r="BF304" s="330"/>
      <c r="BG304" s="330"/>
      <c r="BH304" s="330" t="s">
        <v>193</v>
      </c>
      <c r="BI304" s="330">
        <v>27</v>
      </c>
      <c r="BJ304" s="330"/>
      <c r="BK304" s="330"/>
      <c r="BL304" s="330"/>
      <c r="BM304" s="332"/>
      <c r="BN304" s="330"/>
      <c r="BO304" s="330" t="s">
        <v>240</v>
      </c>
      <c r="BP304" s="330" t="s">
        <v>193</v>
      </c>
      <c r="BQ304" s="330" t="s">
        <v>218</v>
      </c>
      <c r="BR304" s="330" t="s">
        <v>193</v>
      </c>
      <c r="BS304" s="330" t="s">
        <v>2703</v>
      </c>
      <c r="BT304" s="330" t="s">
        <v>193</v>
      </c>
      <c r="BU304" s="330" t="s">
        <v>2703</v>
      </c>
      <c r="BV304" s="330" t="s">
        <v>220</v>
      </c>
      <c r="BW304" s="330"/>
      <c r="BX304" s="332"/>
      <c r="BY304" s="330"/>
      <c r="BZ304" s="330"/>
      <c r="CA304" s="330"/>
      <c r="CB304" s="330"/>
      <c r="CC304" s="337" t="s">
        <v>81</v>
      </c>
      <c r="CD304" s="330" t="b">
        <v>1</v>
      </c>
      <c r="CE304" s="330" t="b">
        <v>1</v>
      </c>
      <c r="CF304" s="330" t="b">
        <v>1</v>
      </c>
      <c r="CG304" s="330"/>
      <c r="CH304" s="330"/>
      <c r="CI304" s="330"/>
      <c r="CJ304" s="330"/>
      <c r="CK304" s="330"/>
      <c r="CL304" s="330"/>
      <c r="CM304" s="330"/>
      <c r="CN304" s="330"/>
      <c r="CO304" s="330"/>
      <c r="CP304" s="330"/>
      <c r="CQ304" s="330"/>
      <c r="CR304" s="330"/>
      <c r="CS304" s="330"/>
      <c r="CT304" s="330"/>
      <c r="CU304" s="330"/>
      <c r="CV304" s="330"/>
      <c r="CW304" s="330"/>
      <c r="CX304" s="330"/>
      <c r="CY304" s="330"/>
      <c r="CZ304" s="330"/>
      <c r="DA304" s="330"/>
      <c r="DB304" s="330" t="b">
        <v>1</v>
      </c>
      <c r="DC304" s="330" t="b">
        <v>1</v>
      </c>
      <c r="DD304" s="330"/>
      <c r="DE304" s="330"/>
      <c r="DF304" s="338">
        <v>25006</v>
      </c>
      <c r="DG304" s="330" t="s">
        <v>221</v>
      </c>
      <c r="DH304" s="330"/>
      <c r="DI304" s="338">
        <v>13</v>
      </c>
      <c r="DJ304" s="330"/>
      <c r="DK304" s="330">
        <v>13</v>
      </c>
      <c r="DL304" s="330" t="s">
        <v>1950</v>
      </c>
      <c r="DM304" s="330"/>
      <c r="DN304" s="330"/>
      <c r="DO304" s="330"/>
      <c r="DP304" s="330"/>
      <c r="DQ304" s="338" t="s">
        <v>197</v>
      </c>
      <c r="DR304" s="330"/>
      <c r="DS304" s="330"/>
      <c r="DT304" s="330"/>
      <c r="DU304" s="338" t="s">
        <v>197</v>
      </c>
      <c r="DV304" s="330"/>
      <c r="DW304" s="330"/>
      <c r="DX304" s="330"/>
      <c r="DY304" s="338" t="s">
        <v>197</v>
      </c>
      <c r="DZ304" s="330"/>
      <c r="EA304" s="330"/>
      <c r="EB304" s="330"/>
      <c r="EC304" s="330" t="s">
        <v>197</v>
      </c>
      <c r="ED304" s="338" t="s">
        <v>197</v>
      </c>
      <c r="EE304" s="330">
        <v>12</v>
      </c>
      <c r="EF304" s="330">
        <v>45</v>
      </c>
      <c r="EG304" s="330"/>
      <c r="EH304" s="330"/>
      <c r="EI304" s="330"/>
      <c r="EJ304" s="330"/>
      <c r="EK304" s="330"/>
      <c r="EL304" s="330"/>
      <c r="EM304" s="330"/>
      <c r="EN304" s="330"/>
      <c r="EO304" s="330"/>
      <c r="EP304" s="330"/>
      <c r="EQ304" s="332" t="s">
        <v>224</v>
      </c>
      <c r="ER304" s="330"/>
      <c r="ES304" s="330"/>
      <c r="ET304" s="332" t="s">
        <v>245</v>
      </c>
      <c r="EU304" s="332" t="s">
        <v>354</v>
      </c>
      <c r="EV304" s="330"/>
      <c r="EW304" s="330"/>
      <c r="EX304" s="330" t="s">
        <v>200</v>
      </c>
      <c r="EY304" s="330"/>
      <c r="EZ304" s="330" t="s">
        <v>247</v>
      </c>
      <c r="FA304" s="330"/>
      <c r="FB304" s="330" t="s">
        <v>247</v>
      </c>
      <c r="FC304" s="330" t="s">
        <v>202</v>
      </c>
      <c r="FD304" s="332" t="s">
        <v>190</v>
      </c>
      <c r="FE304" s="330"/>
      <c r="FF304" s="330"/>
      <c r="FG304" s="330" t="s">
        <v>203</v>
      </c>
      <c r="FH304" s="330"/>
      <c r="FI304" s="330" t="s">
        <v>204</v>
      </c>
      <c r="FJ304" s="330"/>
      <c r="FK304" s="330" t="s">
        <v>180</v>
      </c>
      <c r="FL304" s="330"/>
      <c r="FM304" s="330" t="s">
        <v>191</v>
      </c>
      <c r="FN304" s="330" t="s">
        <v>2704</v>
      </c>
      <c r="FO304" s="330"/>
      <c r="FP304" s="330" t="s">
        <v>2303</v>
      </c>
      <c r="FQ304" s="330"/>
      <c r="FR304" s="330"/>
      <c r="FS304" s="330"/>
      <c r="FT304" s="330"/>
      <c r="FU304" s="330"/>
    </row>
    <row r="305" spans="1:177" ht="25.5" x14ac:dyDescent="0.25">
      <c r="A305" s="330">
        <v>304</v>
      </c>
      <c r="B305" s="331" t="s">
        <v>2223</v>
      </c>
      <c r="C305" s="330"/>
      <c r="D305" s="332" t="s">
        <v>1264</v>
      </c>
      <c r="E305" s="332" t="s">
        <v>1265</v>
      </c>
      <c r="F305" s="332" t="s">
        <v>795</v>
      </c>
      <c r="G305" s="330" t="s">
        <v>796</v>
      </c>
      <c r="H305" s="331" t="s">
        <v>731</v>
      </c>
      <c r="I305" s="330"/>
      <c r="J305" s="332" t="s">
        <v>2705</v>
      </c>
      <c r="K305" s="332" t="s">
        <v>2706</v>
      </c>
      <c r="L305" s="330"/>
      <c r="M305" s="332"/>
      <c r="N305" s="330"/>
      <c r="O305" s="333"/>
      <c r="P305" s="333"/>
      <c r="Q305" s="333" t="s">
        <v>184</v>
      </c>
      <c r="R305" s="333"/>
      <c r="S305" s="333">
        <v>6</v>
      </c>
      <c r="T305" s="333"/>
      <c r="U305" s="333"/>
      <c r="V305" s="333"/>
      <c r="W305" s="330"/>
      <c r="X305" s="330"/>
      <c r="Y305" s="332" t="s">
        <v>2707</v>
      </c>
      <c r="Z305" s="330" t="s">
        <v>2708</v>
      </c>
      <c r="AA305" s="330" t="s">
        <v>2709</v>
      </c>
      <c r="AB305" s="330" t="s">
        <v>189</v>
      </c>
      <c r="AC305" s="330"/>
      <c r="AD305" s="330"/>
      <c r="AE305" s="330">
        <v>5</v>
      </c>
      <c r="AF305" s="330">
        <v>13</v>
      </c>
      <c r="AG305" s="332" t="s">
        <v>742</v>
      </c>
      <c r="AH305" s="332" t="s">
        <v>202</v>
      </c>
      <c r="AI305" s="330"/>
      <c r="AJ305" s="330"/>
      <c r="AK305" s="330"/>
      <c r="AL305" s="330" t="s">
        <v>742</v>
      </c>
      <c r="AM305" s="330" t="s">
        <v>202</v>
      </c>
      <c r="AN305" s="330" t="s">
        <v>742</v>
      </c>
      <c r="AO305" s="330"/>
      <c r="AP305" s="332"/>
      <c r="AQ305" s="330"/>
      <c r="AR305" s="330"/>
      <c r="AS305" s="330"/>
      <c r="AT305" s="330"/>
      <c r="AU305" s="332" t="s">
        <v>742</v>
      </c>
      <c r="AV305" s="334">
        <v>46125.439194270832</v>
      </c>
      <c r="AW305" s="330" t="b">
        <v>1</v>
      </c>
      <c r="AX305" s="335">
        <v>46146</v>
      </c>
      <c r="AY305" s="330"/>
      <c r="AZ305" s="330"/>
      <c r="BA305" s="330"/>
      <c r="BB305" s="330"/>
      <c r="BC305" s="336">
        <v>46127</v>
      </c>
      <c r="BD305" s="330"/>
      <c r="BE305" s="330"/>
      <c r="BF305" s="330"/>
      <c r="BG305" s="330"/>
      <c r="BH305" s="330" t="s">
        <v>193</v>
      </c>
      <c r="BI305" s="330"/>
      <c r="BJ305" s="330"/>
      <c r="BK305" s="330"/>
      <c r="BL305" s="330"/>
      <c r="BM305" s="332"/>
      <c r="BN305" s="330"/>
      <c r="BO305" s="330"/>
      <c r="BP305" s="330"/>
      <c r="BQ305" s="330" t="s">
        <v>338</v>
      </c>
      <c r="BR305" s="330" t="s">
        <v>220</v>
      </c>
      <c r="BS305" s="330"/>
      <c r="BT305" s="330" t="s">
        <v>220</v>
      </c>
      <c r="BU305" s="330"/>
      <c r="BV305" s="330" t="s">
        <v>220</v>
      </c>
      <c r="BW305" s="330"/>
      <c r="BX305" s="332"/>
      <c r="BY305" s="330"/>
      <c r="BZ305" s="330"/>
      <c r="CA305" s="330"/>
      <c r="CB305" s="330"/>
      <c r="CC305" s="337" t="s">
        <v>82</v>
      </c>
      <c r="CD305" s="330"/>
      <c r="CE305" s="330"/>
      <c r="CF305" s="330"/>
      <c r="CG305" s="330"/>
      <c r="CH305" s="330"/>
      <c r="CI305" s="330"/>
      <c r="CJ305" s="330"/>
      <c r="CK305" s="330"/>
      <c r="CL305" s="330"/>
      <c r="CM305" s="330"/>
      <c r="CN305" s="330"/>
      <c r="CO305" s="330"/>
      <c r="CP305" s="330"/>
      <c r="CQ305" s="330"/>
      <c r="CR305" s="330"/>
      <c r="CS305" s="330"/>
      <c r="CT305" s="330"/>
      <c r="CU305" s="330"/>
      <c r="CV305" s="330"/>
      <c r="CW305" s="330"/>
      <c r="CX305" s="330"/>
      <c r="CY305" s="330"/>
      <c r="CZ305" s="330"/>
      <c r="DA305" s="330"/>
      <c r="DB305" s="330"/>
      <c r="DC305" s="330"/>
      <c r="DD305" s="330"/>
      <c r="DE305" s="330"/>
      <c r="DF305" s="338">
        <v>25029</v>
      </c>
      <c r="DG305" s="330" t="s">
        <v>341</v>
      </c>
      <c r="DH305" s="330"/>
      <c r="DI305" s="338">
        <v>73</v>
      </c>
      <c r="DJ305" s="330"/>
      <c r="DK305" s="330">
        <v>73</v>
      </c>
      <c r="DL305" s="330" t="s">
        <v>2223</v>
      </c>
      <c r="DM305" s="330"/>
      <c r="DN305" s="330"/>
      <c r="DO305" s="330"/>
      <c r="DP305" s="330"/>
      <c r="DQ305" s="338" t="s">
        <v>197</v>
      </c>
      <c r="DR305" s="330"/>
      <c r="DS305" s="330"/>
      <c r="DT305" s="330"/>
      <c r="DU305" s="338" t="s">
        <v>197</v>
      </c>
      <c r="DV305" s="330"/>
      <c r="DW305" s="330"/>
      <c r="DX305" s="330"/>
      <c r="DY305" s="338" t="s">
        <v>197</v>
      </c>
      <c r="DZ305" s="330"/>
      <c r="EA305" s="330"/>
      <c r="EB305" s="330"/>
      <c r="EC305" s="330" t="s">
        <v>197</v>
      </c>
      <c r="ED305" s="338" t="s">
        <v>197</v>
      </c>
      <c r="EE305" s="330">
        <v>0.5</v>
      </c>
      <c r="EF305" s="330">
        <v>2</v>
      </c>
      <c r="EG305" s="330"/>
      <c r="EH305" s="330"/>
      <c r="EI305" s="330"/>
      <c r="EJ305" s="330"/>
      <c r="EK305" s="330"/>
      <c r="EL305" s="330"/>
      <c r="EM305" s="330"/>
      <c r="EN305" s="330"/>
      <c r="EO305" s="330"/>
      <c r="EP305" s="330"/>
      <c r="EQ305" s="332" t="s">
        <v>244</v>
      </c>
      <c r="ER305" s="330"/>
      <c r="ES305" s="330"/>
      <c r="ET305" s="332"/>
      <c r="EU305" s="332"/>
      <c r="EV305" s="330"/>
      <c r="EW305" s="330"/>
      <c r="EX305" s="330" t="s">
        <v>200</v>
      </c>
      <c r="EY305" s="330"/>
      <c r="EZ305" s="330" t="s">
        <v>247</v>
      </c>
      <c r="FA305" s="330"/>
      <c r="FB305" s="330" t="s">
        <v>247</v>
      </c>
      <c r="FC305" s="330" t="s">
        <v>202</v>
      </c>
      <c r="FD305" s="332" t="s">
        <v>190</v>
      </c>
      <c r="FE305" s="330"/>
      <c r="FF305" s="330"/>
      <c r="FG305" s="330" t="s">
        <v>203</v>
      </c>
      <c r="FH305" s="330"/>
      <c r="FI305" s="330" t="s">
        <v>204</v>
      </c>
      <c r="FJ305" s="330"/>
      <c r="FK305" s="330" t="s">
        <v>795</v>
      </c>
      <c r="FL305" s="330" t="s">
        <v>742</v>
      </c>
      <c r="FM305" s="330" t="s">
        <v>202</v>
      </c>
      <c r="FN305" s="330" t="s">
        <v>2710</v>
      </c>
      <c r="FO305" s="330"/>
      <c r="FP305" s="330" t="s">
        <v>639</v>
      </c>
      <c r="FQ305" s="330"/>
      <c r="FR305" s="330"/>
      <c r="FS305" s="330"/>
      <c r="FT305" s="330"/>
      <c r="FU305" s="330"/>
    </row>
    <row r="306" spans="1:177" ht="204" x14ac:dyDescent="0.25">
      <c r="A306" s="330">
        <v>305</v>
      </c>
      <c r="B306" s="331" t="s">
        <v>320</v>
      </c>
      <c r="C306" s="330"/>
      <c r="D306" s="332" t="s">
        <v>304</v>
      </c>
      <c r="E306" s="332" t="s">
        <v>305</v>
      </c>
      <c r="F306" s="332" t="s">
        <v>306</v>
      </c>
      <c r="G306" s="330" t="s">
        <v>307</v>
      </c>
      <c r="H306" s="331">
        <v>600</v>
      </c>
      <c r="I306" s="330"/>
      <c r="J306" s="332"/>
      <c r="K306" s="332" t="s">
        <v>4122</v>
      </c>
      <c r="L306" s="330"/>
      <c r="M306" s="332"/>
      <c r="N306" s="330"/>
      <c r="O306" s="333"/>
      <c r="P306" s="333"/>
      <c r="Q306" s="333">
        <v>2014</v>
      </c>
      <c r="R306" s="333">
        <v>12</v>
      </c>
      <c r="S306" s="333"/>
      <c r="T306" s="333"/>
      <c r="U306" s="333"/>
      <c r="V306" s="333"/>
      <c r="W306" s="330"/>
      <c r="X306" s="330"/>
      <c r="Y306" s="332" t="s">
        <v>2711</v>
      </c>
      <c r="Z306" s="330" t="s">
        <v>215</v>
      </c>
      <c r="AA306" s="330" t="s">
        <v>2712</v>
      </c>
      <c r="AB306" s="330" t="s">
        <v>217</v>
      </c>
      <c r="AC306" s="330"/>
      <c r="AD306" s="330"/>
      <c r="AE306" s="330">
        <v>7</v>
      </c>
      <c r="AF306" s="330">
        <v>13</v>
      </c>
      <c r="AG306" s="332" t="s">
        <v>191</v>
      </c>
      <c r="AH306" s="332" t="s">
        <v>191</v>
      </c>
      <c r="AI306" s="330" t="s">
        <v>191</v>
      </c>
      <c r="AJ306" s="330" t="s">
        <v>191</v>
      </c>
      <c r="AK306" s="330"/>
      <c r="AL306" s="330"/>
      <c r="AM306" s="330"/>
      <c r="AN306" s="330"/>
      <c r="AO306" s="330"/>
      <c r="AP306" s="332" t="s">
        <v>259</v>
      </c>
      <c r="AQ306" s="330"/>
      <c r="AR306" s="330"/>
      <c r="AS306" s="330"/>
      <c r="AT306" s="330"/>
      <c r="AU306" s="332"/>
      <c r="AV306" s="334">
        <v>46125.460017442128</v>
      </c>
      <c r="AW306" s="330" t="b">
        <v>1</v>
      </c>
      <c r="AX306" s="335">
        <v>46146</v>
      </c>
      <c r="AY306" s="330"/>
      <c r="AZ306" s="330"/>
      <c r="BA306" s="330"/>
      <c r="BB306" s="330"/>
      <c r="BC306" s="336">
        <v>46153</v>
      </c>
      <c r="BD306" s="330"/>
      <c r="BE306" s="330"/>
      <c r="BF306" s="330"/>
      <c r="BG306" s="330"/>
      <c r="BH306" s="330" t="s">
        <v>193</v>
      </c>
      <c r="BI306" s="330">
        <v>14</v>
      </c>
      <c r="BJ306" s="330"/>
      <c r="BK306" s="330"/>
      <c r="BL306" s="330"/>
      <c r="BM306" s="332"/>
      <c r="BN306" s="330"/>
      <c r="BO306" s="330" t="s">
        <v>184</v>
      </c>
      <c r="BP306" s="330" t="s">
        <v>184</v>
      </c>
      <c r="BQ306" s="330" t="s">
        <v>218</v>
      </c>
      <c r="BR306" s="330" t="s">
        <v>220</v>
      </c>
      <c r="BS306" s="330"/>
      <c r="BT306" s="330" t="s">
        <v>193</v>
      </c>
      <c r="BU306" s="330" t="s">
        <v>2713</v>
      </c>
      <c r="BV306" s="330" t="s">
        <v>220</v>
      </c>
      <c r="BW306" s="330"/>
      <c r="BX306" s="332"/>
      <c r="BY306" s="330"/>
      <c r="BZ306" s="330"/>
      <c r="CA306" s="330"/>
      <c r="CB306" s="330"/>
      <c r="CC306" s="337" t="s">
        <v>911</v>
      </c>
      <c r="CD306" s="330" t="b">
        <v>1</v>
      </c>
      <c r="CE306" s="330" t="b">
        <v>1</v>
      </c>
      <c r="CF306" s="330" t="b">
        <v>1</v>
      </c>
      <c r="CG306" s="330"/>
      <c r="CH306" s="330"/>
      <c r="CI306" s="330"/>
      <c r="CJ306" s="330"/>
      <c r="CK306" s="330"/>
      <c r="CL306" s="330"/>
      <c r="CM306" s="330"/>
      <c r="CN306" s="330"/>
      <c r="CO306" s="330"/>
      <c r="CP306" s="330"/>
      <c r="CQ306" s="330"/>
      <c r="CR306" s="330"/>
      <c r="CS306" s="330"/>
      <c r="CT306" s="330"/>
      <c r="CU306" s="330"/>
      <c r="CV306" s="330"/>
      <c r="CW306" s="330"/>
      <c r="CX306" s="330"/>
      <c r="CY306" s="330"/>
      <c r="CZ306" s="330"/>
      <c r="DA306" s="330"/>
      <c r="DB306" s="330" t="b">
        <v>1</v>
      </c>
      <c r="DC306" s="330" t="b">
        <v>1</v>
      </c>
      <c r="DD306" s="330"/>
      <c r="DE306" s="330"/>
      <c r="DF306" s="338">
        <v>25002</v>
      </c>
      <c r="DG306" s="330" t="s">
        <v>221</v>
      </c>
      <c r="DH306" s="330"/>
      <c r="DI306" s="338">
        <v>15</v>
      </c>
      <c r="DJ306" s="330"/>
      <c r="DK306" s="330">
        <v>15</v>
      </c>
      <c r="DL306" s="330" t="s">
        <v>4090</v>
      </c>
      <c r="DM306" s="330"/>
      <c r="DN306" s="330"/>
      <c r="DO306" s="330"/>
      <c r="DP306" s="330"/>
      <c r="DQ306" s="338" t="s">
        <v>197</v>
      </c>
      <c r="DR306" s="330"/>
      <c r="DS306" s="330"/>
      <c r="DT306" s="330"/>
      <c r="DU306" s="338" t="s">
        <v>197</v>
      </c>
      <c r="DV306" s="330"/>
      <c r="DW306" s="330"/>
      <c r="DX306" s="330"/>
      <c r="DY306" s="338" t="s">
        <v>197</v>
      </c>
      <c r="DZ306" s="330"/>
      <c r="EA306" s="330"/>
      <c r="EB306" s="330"/>
      <c r="EC306" s="330" t="s">
        <v>197</v>
      </c>
      <c r="ED306" s="338" t="s">
        <v>197</v>
      </c>
      <c r="EE306" s="330">
        <v>3</v>
      </c>
      <c r="EF306" s="330">
        <v>8</v>
      </c>
      <c r="EG306" s="330"/>
      <c r="EH306" s="330"/>
      <c r="EI306" s="330"/>
      <c r="EJ306" s="330"/>
      <c r="EK306" s="330"/>
      <c r="EL306" s="330"/>
      <c r="EM306" s="330"/>
      <c r="EN306" s="330"/>
      <c r="EO306" s="330"/>
      <c r="EP306" s="330"/>
      <c r="EQ306" s="332" t="s">
        <v>244</v>
      </c>
      <c r="ER306" s="330"/>
      <c r="ES306" s="330"/>
      <c r="ET306" s="332" t="s">
        <v>245</v>
      </c>
      <c r="EU306" s="332" t="s">
        <v>354</v>
      </c>
      <c r="EV306" s="330"/>
      <c r="EW306" s="330"/>
      <c r="EX306" s="330" t="s">
        <v>200</v>
      </c>
      <c r="EY306" s="330"/>
      <c r="EZ306" s="330" t="s">
        <v>247</v>
      </c>
      <c r="FA306" s="330"/>
      <c r="FB306" s="330" t="s">
        <v>247</v>
      </c>
      <c r="FC306" s="330" t="s">
        <v>202</v>
      </c>
      <c r="FD306" s="332" t="s">
        <v>190</v>
      </c>
      <c r="FE306" s="330"/>
      <c r="FF306" s="330"/>
      <c r="FG306" s="330" t="s">
        <v>203</v>
      </c>
      <c r="FH306" s="330"/>
      <c r="FI306" s="330" t="s">
        <v>204</v>
      </c>
      <c r="FJ306" s="330"/>
      <c r="FK306" s="330" t="s">
        <v>306</v>
      </c>
      <c r="FL306" s="330"/>
      <c r="FM306" s="330"/>
      <c r="FN306" s="330" t="s">
        <v>2714</v>
      </c>
      <c r="FO306" s="330"/>
      <c r="FP306" s="330" t="s">
        <v>1958</v>
      </c>
      <c r="FQ306" s="330"/>
      <c r="FR306" s="330"/>
      <c r="FS306" s="330"/>
      <c r="FT306" s="330"/>
      <c r="FU306" s="330"/>
    </row>
    <row r="307" spans="1:177" ht="293.25" x14ac:dyDescent="0.25">
      <c r="A307" s="330">
        <v>306</v>
      </c>
      <c r="B307" s="331" t="s">
        <v>1749</v>
      </c>
      <c r="C307" s="330"/>
      <c r="D307" s="332" t="s">
        <v>1739</v>
      </c>
      <c r="E307" s="332" t="s">
        <v>1740</v>
      </c>
      <c r="F307" s="332" t="s">
        <v>1741</v>
      </c>
      <c r="G307" s="330"/>
      <c r="H307" s="331" t="s">
        <v>328</v>
      </c>
      <c r="I307" s="330" t="b">
        <v>1</v>
      </c>
      <c r="J307" s="332" t="s">
        <v>2455</v>
      </c>
      <c r="K307" s="332"/>
      <c r="L307" s="330" t="s">
        <v>1743</v>
      </c>
      <c r="M307" s="332" t="s">
        <v>1744</v>
      </c>
      <c r="N307" s="330" t="s">
        <v>1745</v>
      </c>
      <c r="O307" s="333" t="s">
        <v>184</v>
      </c>
      <c r="P307" s="333" t="s">
        <v>184</v>
      </c>
      <c r="Q307" s="333" t="s">
        <v>184</v>
      </c>
      <c r="R307" s="333">
        <v>0</v>
      </c>
      <c r="S307" s="333">
        <v>185</v>
      </c>
      <c r="T307" s="333">
        <v>0</v>
      </c>
      <c r="U307" s="333">
        <v>6095</v>
      </c>
      <c r="V307" s="333">
        <v>0</v>
      </c>
      <c r="W307" s="330" t="s">
        <v>184</v>
      </c>
      <c r="X307" s="330" t="s">
        <v>184</v>
      </c>
      <c r="Y307" s="332" t="s">
        <v>1746</v>
      </c>
      <c r="Z307" s="330" t="s">
        <v>787</v>
      </c>
      <c r="AA307" s="330" t="s">
        <v>1747</v>
      </c>
      <c r="AB307" s="330"/>
      <c r="AC307" s="330"/>
      <c r="AD307" s="330"/>
      <c r="AE307" s="330">
        <v>1</v>
      </c>
      <c r="AF307" s="330">
        <v>5</v>
      </c>
      <c r="AG307" s="332" t="s">
        <v>238</v>
      </c>
      <c r="AH307" s="332" t="s">
        <v>202</v>
      </c>
      <c r="AI307" s="330"/>
      <c r="AJ307" s="330"/>
      <c r="AK307" s="330"/>
      <c r="AL307" s="330"/>
      <c r="AM307" s="330"/>
      <c r="AN307" s="330" t="s">
        <v>202</v>
      </c>
      <c r="AO307" s="330"/>
      <c r="AP307" s="332"/>
      <c r="AQ307" s="330"/>
      <c r="AR307" s="330"/>
      <c r="AS307" s="330"/>
      <c r="AT307" s="330"/>
      <c r="AU307" s="332" t="s">
        <v>741</v>
      </c>
      <c r="AV307" s="334">
        <v>46126.547300381942</v>
      </c>
      <c r="AW307" s="330" t="b">
        <v>1</v>
      </c>
      <c r="AX307" s="335">
        <v>46127</v>
      </c>
      <c r="AY307" s="336">
        <v>46126</v>
      </c>
      <c r="AZ307" s="330" t="b">
        <v>1</v>
      </c>
      <c r="BA307" s="336">
        <v>46134</v>
      </c>
      <c r="BB307" s="330"/>
      <c r="BC307" s="336">
        <v>46136</v>
      </c>
      <c r="BD307" s="330"/>
      <c r="BE307" s="330"/>
      <c r="BF307" s="330"/>
      <c r="BG307" s="330"/>
      <c r="BH307" s="330" t="s">
        <v>193</v>
      </c>
      <c r="BI307" s="330"/>
      <c r="BJ307" s="330"/>
      <c r="BK307" s="330"/>
      <c r="BL307" s="330"/>
      <c r="BM307" s="332"/>
      <c r="BN307" s="330"/>
      <c r="BO307" s="330"/>
      <c r="BP307" s="330"/>
      <c r="BQ307" s="330"/>
      <c r="BR307" s="330"/>
      <c r="BS307" s="330"/>
      <c r="BT307" s="330"/>
      <c r="BU307" s="330"/>
      <c r="BV307" s="330"/>
      <c r="BW307" s="330"/>
      <c r="BX307" s="332"/>
      <c r="BY307" s="330"/>
      <c r="BZ307" s="330"/>
      <c r="CA307" s="330"/>
      <c r="CB307" s="330"/>
      <c r="CC307" s="337" t="s">
        <v>96</v>
      </c>
      <c r="CD307" s="330"/>
      <c r="CE307" s="330"/>
      <c r="CF307" s="330"/>
      <c r="CG307" s="330"/>
      <c r="CH307" s="330"/>
      <c r="CI307" s="330"/>
      <c r="CJ307" s="330"/>
      <c r="CK307" s="330"/>
      <c r="CL307" s="330"/>
      <c r="CM307" s="330"/>
      <c r="CN307" s="330"/>
      <c r="CO307" s="330"/>
      <c r="CP307" s="330"/>
      <c r="CQ307" s="330"/>
      <c r="CR307" s="330"/>
      <c r="CS307" s="330" t="b">
        <v>1</v>
      </c>
      <c r="CT307" s="330"/>
      <c r="CU307" s="330"/>
      <c r="CV307" s="330"/>
      <c r="CW307" s="330"/>
      <c r="CX307" s="330"/>
      <c r="CY307" s="330"/>
      <c r="CZ307" s="330"/>
      <c r="DA307" s="330"/>
      <c r="DB307" s="330"/>
      <c r="DC307" s="330"/>
      <c r="DD307" s="330" t="b">
        <v>1</v>
      </c>
      <c r="DE307" s="330">
        <v>15000</v>
      </c>
      <c r="DF307" s="338" t="s">
        <v>1748</v>
      </c>
      <c r="DG307" s="330" t="s">
        <v>341</v>
      </c>
      <c r="DH307" s="330"/>
      <c r="DI307" s="338">
        <v>10</v>
      </c>
      <c r="DJ307" s="330"/>
      <c r="DK307" s="330">
        <v>10</v>
      </c>
      <c r="DL307" s="330" t="s">
        <v>1749</v>
      </c>
      <c r="DM307" s="336">
        <v>46127</v>
      </c>
      <c r="DN307" s="330"/>
      <c r="DO307" s="330"/>
      <c r="DP307" s="330"/>
      <c r="DQ307" s="338" t="s">
        <v>197</v>
      </c>
      <c r="DR307" s="330"/>
      <c r="DS307" s="330"/>
      <c r="DT307" s="330"/>
      <c r="DU307" s="338" t="s">
        <v>197</v>
      </c>
      <c r="DV307" s="330"/>
      <c r="DW307" s="330"/>
      <c r="DX307" s="330"/>
      <c r="DY307" s="338" t="s">
        <v>197</v>
      </c>
      <c r="DZ307" s="330"/>
      <c r="EA307" s="330"/>
      <c r="EB307" s="330"/>
      <c r="EC307" s="330" t="s">
        <v>197</v>
      </c>
      <c r="ED307" s="338" t="s">
        <v>197</v>
      </c>
      <c r="EE307" s="330"/>
      <c r="EF307" s="330"/>
      <c r="EG307" s="330"/>
      <c r="EH307" s="330"/>
      <c r="EI307" s="330"/>
      <c r="EJ307" s="330"/>
      <c r="EK307" s="330"/>
      <c r="EL307" s="330"/>
      <c r="EM307" s="330"/>
      <c r="EN307" s="330"/>
      <c r="EO307" s="330"/>
      <c r="EP307" s="330"/>
      <c r="EQ307" s="332" t="s">
        <v>224</v>
      </c>
      <c r="ER307" s="330"/>
      <c r="ES307" s="330"/>
      <c r="ET307" s="332"/>
      <c r="EU307" s="332" t="s">
        <v>1750</v>
      </c>
      <c r="EV307" s="330"/>
      <c r="EW307" s="330"/>
      <c r="EX307" s="330" t="s">
        <v>200</v>
      </c>
      <c r="EY307" s="330"/>
      <c r="EZ307" s="330" t="s">
        <v>247</v>
      </c>
      <c r="FA307" s="330"/>
      <c r="FB307" s="330" t="s">
        <v>247</v>
      </c>
      <c r="FC307" s="330" t="s">
        <v>202</v>
      </c>
      <c r="FD307" s="332" t="s">
        <v>190</v>
      </c>
      <c r="FE307" s="330"/>
      <c r="FF307" s="330"/>
      <c r="FG307" s="330" t="s">
        <v>203</v>
      </c>
      <c r="FH307" s="330"/>
      <c r="FI307" s="330" t="s">
        <v>1752</v>
      </c>
      <c r="FJ307" s="330"/>
      <c r="FK307" s="330" t="s">
        <v>1741</v>
      </c>
      <c r="FL307" s="330"/>
      <c r="FM307" s="330"/>
      <c r="FN307" s="330" t="s">
        <v>2715</v>
      </c>
      <c r="FO307" s="330"/>
      <c r="FP307" s="330" t="s">
        <v>1330</v>
      </c>
      <c r="FQ307" s="330"/>
      <c r="FR307" s="330"/>
      <c r="FS307" s="330"/>
      <c r="FT307" s="330"/>
      <c r="FU307" s="330"/>
    </row>
    <row r="308" spans="1:177" ht="409.5" x14ac:dyDescent="0.25">
      <c r="A308" s="330">
        <v>307</v>
      </c>
      <c r="B308" s="331" t="s">
        <v>2716</v>
      </c>
      <c r="C308" s="330"/>
      <c r="D308" s="332" t="s">
        <v>900</v>
      </c>
      <c r="E308" s="332" t="s">
        <v>901</v>
      </c>
      <c r="F308" s="332" t="s">
        <v>902</v>
      </c>
      <c r="G308" s="330" t="s">
        <v>903</v>
      </c>
      <c r="H308" s="331">
        <v>400</v>
      </c>
      <c r="I308" s="330"/>
      <c r="J308" s="332" t="s">
        <v>2717</v>
      </c>
      <c r="K308" s="332" t="s">
        <v>2718</v>
      </c>
      <c r="L308" s="330" t="s">
        <v>284</v>
      </c>
      <c r="M308" s="332" t="s">
        <v>2234</v>
      </c>
      <c r="N308" s="330"/>
      <c r="O308" s="333"/>
      <c r="P308" s="333"/>
      <c r="Q308" s="333"/>
      <c r="R308" s="333">
        <v>37</v>
      </c>
      <c r="S308" s="333">
        <v>39</v>
      </c>
      <c r="T308" s="333"/>
      <c r="U308" s="333"/>
      <c r="V308" s="333"/>
      <c r="W308" s="330"/>
      <c r="X308" s="330"/>
      <c r="Y308" s="332"/>
      <c r="Z308" s="330" t="s">
        <v>215</v>
      </c>
      <c r="AA308" s="330" t="s">
        <v>933</v>
      </c>
      <c r="AB308" s="330" t="s">
        <v>217</v>
      </c>
      <c r="AC308" s="330"/>
      <c r="AD308" s="330"/>
      <c r="AE308" s="330">
        <v>13</v>
      </c>
      <c r="AF308" s="330">
        <v>1</v>
      </c>
      <c r="AG308" s="332" t="s">
        <v>192</v>
      </c>
      <c r="AH308" s="332" t="s">
        <v>202</v>
      </c>
      <c r="AI308" s="330"/>
      <c r="AJ308" s="330"/>
      <c r="AK308" s="330"/>
      <c r="AL308" s="330" t="s">
        <v>192</v>
      </c>
      <c r="AM308" s="330" t="s">
        <v>191</v>
      </c>
      <c r="AN308" s="330" t="s">
        <v>192</v>
      </c>
      <c r="AO308" s="330"/>
      <c r="AP308" s="332" t="s">
        <v>259</v>
      </c>
      <c r="AQ308" s="330"/>
      <c r="AR308" s="330"/>
      <c r="AS308" s="330"/>
      <c r="AT308" s="330"/>
      <c r="AU308" s="332" t="s">
        <v>192</v>
      </c>
      <c r="AV308" s="334">
        <v>46126.632157071763</v>
      </c>
      <c r="AW308" s="330" t="b">
        <v>1</v>
      </c>
      <c r="AX308" s="335">
        <v>46128</v>
      </c>
      <c r="AY308" s="330"/>
      <c r="AZ308" s="330"/>
      <c r="BA308" s="330"/>
      <c r="BB308" s="330"/>
      <c r="BC308" s="336">
        <v>46136</v>
      </c>
      <c r="BD308" s="330"/>
      <c r="BE308" s="330"/>
      <c r="BF308" s="330"/>
      <c r="BG308" s="330"/>
      <c r="BH308" s="330" t="s">
        <v>193</v>
      </c>
      <c r="BI308" s="330">
        <v>635</v>
      </c>
      <c r="BJ308" s="330"/>
      <c r="BK308" s="330"/>
      <c r="BL308" s="330"/>
      <c r="BM308" s="332"/>
      <c r="BN308" s="330"/>
      <c r="BO308" s="330" t="s">
        <v>240</v>
      </c>
      <c r="BP308" s="330" t="s">
        <v>193</v>
      </c>
      <c r="BQ308" s="330" t="s">
        <v>909</v>
      </c>
      <c r="BR308" s="330" t="s">
        <v>193</v>
      </c>
      <c r="BS308" s="330" t="s">
        <v>2719</v>
      </c>
      <c r="BT308" s="330" t="s">
        <v>193</v>
      </c>
      <c r="BU308" s="330" t="s">
        <v>2720</v>
      </c>
      <c r="BV308" s="330" t="s">
        <v>193</v>
      </c>
      <c r="BW308" s="330" t="s">
        <v>2049</v>
      </c>
      <c r="BX308" s="332" t="s">
        <v>2721</v>
      </c>
      <c r="BY308" s="330" t="s">
        <v>2722</v>
      </c>
      <c r="BZ308" s="330"/>
      <c r="CA308" s="330" t="s">
        <v>2537</v>
      </c>
      <c r="CB308" s="330"/>
      <c r="CC308" s="337" t="s">
        <v>82</v>
      </c>
      <c r="CD308" s="330"/>
      <c r="CE308" s="330" t="b">
        <v>1</v>
      </c>
      <c r="CF308" s="330" t="b">
        <v>1</v>
      </c>
      <c r="CG308" s="330"/>
      <c r="CH308" s="330"/>
      <c r="CI308" s="330"/>
      <c r="CJ308" s="330"/>
      <c r="CK308" s="330"/>
      <c r="CL308" s="330"/>
      <c r="CM308" s="330"/>
      <c r="CN308" s="330"/>
      <c r="CO308" s="330"/>
      <c r="CP308" s="330"/>
      <c r="CQ308" s="330"/>
      <c r="CR308" s="330"/>
      <c r="CS308" s="330"/>
      <c r="CT308" s="330"/>
      <c r="CU308" s="330"/>
      <c r="CV308" s="330"/>
      <c r="CW308" s="330"/>
      <c r="CX308" s="330"/>
      <c r="CY308" s="330"/>
      <c r="CZ308" s="330"/>
      <c r="DA308" s="330"/>
      <c r="DB308" s="330" t="b">
        <v>1</v>
      </c>
      <c r="DC308" s="330" t="b">
        <v>1</v>
      </c>
      <c r="DD308" s="330"/>
      <c r="DE308" s="330"/>
      <c r="DF308" s="338">
        <v>24079</v>
      </c>
      <c r="DG308" s="330" t="s">
        <v>1019</v>
      </c>
      <c r="DH308" s="330"/>
      <c r="DI308" s="338" t="s">
        <v>196</v>
      </c>
      <c r="DJ308" s="330"/>
      <c r="DK308" s="330">
        <v>1</v>
      </c>
      <c r="DL308" s="330" t="s">
        <v>2716</v>
      </c>
      <c r="DM308" s="330"/>
      <c r="DN308" s="330"/>
      <c r="DO308" s="330"/>
      <c r="DP308" s="330"/>
      <c r="DQ308" s="338" t="s">
        <v>197</v>
      </c>
      <c r="DR308" s="330"/>
      <c r="DS308" s="330"/>
      <c r="DT308" s="330"/>
      <c r="DU308" s="338" t="s">
        <v>197</v>
      </c>
      <c r="DV308" s="330"/>
      <c r="DW308" s="330"/>
      <c r="DX308" s="330"/>
      <c r="DY308" s="338" t="s">
        <v>197</v>
      </c>
      <c r="DZ308" s="330"/>
      <c r="EA308" s="330"/>
      <c r="EB308" s="330"/>
      <c r="EC308" s="330" t="s">
        <v>197</v>
      </c>
      <c r="ED308" s="338" t="s">
        <v>197</v>
      </c>
      <c r="EE308" s="330">
        <v>2</v>
      </c>
      <c r="EF308" s="330">
        <v>40</v>
      </c>
      <c r="EG308" s="330"/>
      <c r="EH308" s="330"/>
      <c r="EI308" s="330"/>
      <c r="EJ308" s="330"/>
      <c r="EK308" s="330"/>
      <c r="EL308" s="330"/>
      <c r="EM308" s="330"/>
      <c r="EN308" s="330"/>
      <c r="EO308" s="330"/>
      <c r="EP308" s="330"/>
      <c r="EQ308" s="332" t="s">
        <v>224</v>
      </c>
      <c r="ER308" s="330"/>
      <c r="ES308" s="330"/>
      <c r="ET308" s="332" t="s">
        <v>245</v>
      </c>
      <c r="EU308" s="332" t="s">
        <v>354</v>
      </c>
      <c r="EV308" s="330"/>
      <c r="EW308" s="330"/>
      <c r="EX308" s="330" t="s">
        <v>200</v>
      </c>
      <c r="EY308" s="330"/>
      <c r="EZ308" s="330" t="s">
        <v>247</v>
      </c>
      <c r="FA308" s="330"/>
      <c r="FB308" s="330" t="s">
        <v>247</v>
      </c>
      <c r="FC308" s="330" t="s">
        <v>202</v>
      </c>
      <c r="FD308" s="332" t="s">
        <v>190</v>
      </c>
      <c r="FE308" s="330"/>
      <c r="FF308" s="330"/>
      <c r="FG308" s="330" t="s">
        <v>203</v>
      </c>
      <c r="FH308" s="330"/>
      <c r="FI308" s="330" t="s">
        <v>204</v>
      </c>
      <c r="FJ308" s="330"/>
      <c r="FK308" s="330" t="s">
        <v>902</v>
      </c>
      <c r="FL308" s="330" t="s">
        <v>192</v>
      </c>
      <c r="FM308" s="330" t="s">
        <v>191</v>
      </c>
      <c r="FN308" s="330" t="s">
        <v>2723</v>
      </c>
      <c r="FO308" s="330"/>
      <c r="FP308" s="330" t="s">
        <v>1330</v>
      </c>
      <c r="FQ308" s="330"/>
      <c r="FR308" s="330"/>
      <c r="FS308" s="330"/>
      <c r="FT308" s="330"/>
      <c r="FU308" s="330"/>
    </row>
    <row r="309" spans="1:177" ht="25.5" x14ac:dyDescent="0.25">
      <c r="A309" s="330">
        <v>308</v>
      </c>
      <c r="B309" s="331" t="s">
        <v>2724</v>
      </c>
      <c r="C309" s="330"/>
      <c r="D309" s="332" t="s">
        <v>1796</v>
      </c>
      <c r="E309" s="332" t="s">
        <v>1797</v>
      </c>
      <c r="F309" s="332" t="s">
        <v>1189</v>
      </c>
      <c r="G309" s="330" t="s">
        <v>1190</v>
      </c>
      <c r="H309" s="331"/>
      <c r="I309" s="330"/>
      <c r="J309" s="332"/>
      <c r="K309" s="332" t="s">
        <v>2725</v>
      </c>
      <c r="L309" s="330" t="s">
        <v>857</v>
      </c>
      <c r="M309" s="332"/>
      <c r="N309" s="330" t="s">
        <v>2726</v>
      </c>
      <c r="O309" s="333" t="s">
        <v>184</v>
      </c>
      <c r="P309" s="333" t="s">
        <v>184</v>
      </c>
      <c r="Q309" s="333" t="s">
        <v>184</v>
      </c>
      <c r="R309" s="333">
        <v>0</v>
      </c>
      <c r="S309" s="333">
        <v>8</v>
      </c>
      <c r="T309" s="333">
        <v>1</v>
      </c>
      <c r="U309" s="333">
        <v>0</v>
      </c>
      <c r="V309" s="333">
        <v>0</v>
      </c>
      <c r="W309" s="330" t="s">
        <v>2670</v>
      </c>
      <c r="X309" s="330" t="s">
        <v>213</v>
      </c>
      <c r="Y309" s="332" t="s">
        <v>2727</v>
      </c>
      <c r="Z309" s="330" t="s">
        <v>739</v>
      </c>
      <c r="AA309" s="330" t="s">
        <v>2728</v>
      </c>
      <c r="AB309" s="330" t="s">
        <v>217</v>
      </c>
      <c r="AC309" s="330"/>
      <c r="AD309" s="330"/>
      <c r="AE309" s="330">
        <v>7</v>
      </c>
      <c r="AF309" s="330">
        <v>4</v>
      </c>
      <c r="AG309" s="332" t="s">
        <v>1050</v>
      </c>
      <c r="AH309" s="332" t="s">
        <v>191</v>
      </c>
      <c r="AI309" s="330"/>
      <c r="AJ309" s="330"/>
      <c r="AK309" s="330"/>
      <c r="AL309" s="330" t="s">
        <v>191</v>
      </c>
      <c r="AM309" s="330"/>
      <c r="AN309" s="330"/>
      <c r="AO309" s="330"/>
      <c r="AP309" s="332"/>
      <c r="AQ309" s="330"/>
      <c r="AR309" s="330"/>
      <c r="AS309" s="330"/>
      <c r="AT309" s="330"/>
      <c r="AU309" s="332" t="s">
        <v>191</v>
      </c>
      <c r="AV309" s="334">
        <v>46127.331920150464</v>
      </c>
      <c r="AW309" s="330" t="b">
        <v>1</v>
      </c>
      <c r="AX309" s="335">
        <v>46135</v>
      </c>
      <c r="AY309" s="336">
        <v>46127</v>
      </c>
      <c r="AZ309" s="330" t="b">
        <v>1</v>
      </c>
      <c r="BA309" s="336">
        <v>46133</v>
      </c>
      <c r="BB309" s="330"/>
      <c r="BC309" s="336">
        <v>46135</v>
      </c>
      <c r="BD309" s="330"/>
      <c r="BE309" s="330"/>
      <c r="BF309" s="330"/>
      <c r="BG309" s="330"/>
      <c r="BH309" s="330" t="s">
        <v>193</v>
      </c>
      <c r="BI309" s="330">
        <v>3</v>
      </c>
      <c r="BJ309" s="330"/>
      <c r="BK309" s="330"/>
      <c r="BL309" s="330"/>
      <c r="BM309" s="332"/>
      <c r="BN309" s="330"/>
      <c r="BO309" s="330"/>
      <c r="BP309" s="330"/>
      <c r="BQ309" s="330"/>
      <c r="BR309" s="330"/>
      <c r="BS309" s="330"/>
      <c r="BT309" s="330"/>
      <c r="BU309" s="330"/>
      <c r="BV309" s="330"/>
      <c r="BW309" s="330"/>
      <c r="BX309" s="332"/>
      <c r="BY309" s="330"/>
      <c r="BZ309" s="330"/>
      <c r="CA309" s="330"/>
      <c r="CB309" s="330"/>
      <c r="CC309" s="337" t="s">
        <v>92</v>
      </c>
      <c r="CD309" s="330"/>
      <c r="CE309" s="330" t="b">
        <v>1</v>
      </c>
      <c r="CF309" s="330"/>
      <c r="CG309" s="330"/>
      <c r="CH309" s="330"/>
      <c r="CI309" s="330"/>
      <c r="CJ309" s="330"/>
      <c r="CK309" s="330"/>
      <c r="CL309" s="330"/>
      <c r="CM309" s="330"/>
      <c r="CN309" s="330"/>
      <c r="CO309" s="330" t="b">
        <v>1</v>
      </c>
      <c r="CP309" s="330" t="b">
        <v>1</v>
      </c>
      <c r="CQ309" s="330"/>
      <c r="CR309" s="330"/>
      <c r="CS309" s="330"/>
      <c r="CT309" s="330"/>
      <c r="CU309" s="330"/>
      <c r="CV309" s="330"/>
      <c r="CW309" s="330"/>
      <c r="CX309" s="330"/>
      <c r="CY309" s="330"/>
      <c r="CZ309" s="330"/>
      <c r="DA309" s="330"/>
      <c r="DB309" s="330"/>
      <c r="DC309" s="330"/>
      <c r="DD309" s="330"/>
      <c r="DE309" s="330"/>
      <c r="DF309" s="338">
        <v>25067</v>
      </c>
      <c r="DG309" s="330" t="s">
        <v>764</v>
      </c>
      <c r="DH309" s="330"/>
      <c r="DI309" s="338" t="s">
        <v>638</v>
      </c>
      <c r="DJ309" s="330"/>
      <c r="DK309" s="330">
        <v>2</v>
      </c>
      <c r="DL309" s="330" t="s">
        <v>2724</v>
      </c>
      <c r="DM309" s="330"/>
      <c r="DN309" s="330"/>
      <c r="DO309" s="330"/>
      <c r="DP309" s="330"/>
      <c r="DQ309" s="338" t="s">
        <v>197</v>
      </c>
      <c r="DR309" s="330"/>
      <c r="DS309" s="330"/>
      <c r="DT309" s="330"/>
      <c r="DU309" s="338" t="s">
        <v>197</v>
      </c>
      <c r="DV309" s="330"/>
      <c r="DW309" s="330"/>
      <c r="DX309" s="330"/>
      <c r="DY309" s="338" t="s">
        <v>197</v>
      </c>
      <c r="DZ309" s="330"/>
      <c r="EA309" s="330"/>
      <c r="EB309" s="330"/>
      <c r="EC309" s="330" t="s">
        <v>197</v>
      </c>
      <c r="ED309" s="338" t="s">
        <v>197</v>
      </c>
      <c r="EE309" s="330">
        <v>2</v>
      </c>
      <c r="EF309" s="330">
        <v>4</v>
      </c>
      <c r="EG309" s="330"/>
      <c r="EH309" s="330"/>
      <c r="EI309" s="330"/>
      <c r="EJ309" s="330"/>
      <c r="EK309" s="330"/>
      <c r="EL309" s="330"/>
      <c r="EM309" s="330"/>
      <c r="EN309" s="330"/>
      <c r="EO309" s="330"/>
      <c r="EP309" s="330"/>
      <c r="EQ309" s="332" t="s">
        <v>198</v>
      </c>
      <c r="ER309" s="330"/>
      <c r="ES309" s="330"/>
      <c r="ET309" s="332"/>
      <c r="EU309" s="332" t="s">
        <v>199</v>
      </c>
      <c r="EV309" s="330"/>
      <c r="EW309" s="330"/>
      <c r="EX309" s="330" t="s">
        <v>200</v>
      </c>
      <c r="EY309" s="330"/>
      <c r="EZ309" s="330" t="s">
        <v>247</v>
      </c>
      <c r="FA309" s="330"/>
      <c r="FB309" s="330" t="s">
        <v>247</v>
      </c>
      <c r="FC309" s="330" t="s">
        <v>202</v>
      </c>
      <c r="FD309" s="332" t="s">
        <v>190</v>
      </c>
      <c r="FE309" s="330"/>
      <c r="FF309" s="330"/>
      <c r="FG309" s="330" t="s">
        <v>203</v>
      </c>
      <c r="FH309" s="330"/>
      <c r="FI309" s="330" t="s">
        <v>204</v>
      </c>
      <c r="FJ309" s="330"/>
      <c r="FK309" s="330" t="s">
        <v>1189</v>
      </c>
      <c r="FL309" s="330" t="s">
        <v>191</v>
      </c>
      <c r="FM309" s="330"/>
      <c r="FN309" s="330" t="s">
        <v>2729</v>
      </c>
      <c r="FO309" s="330"/>
      <c r="FP309" s="330" t="s">
        <v>1330</v>
      </c>
      <c r="FQ309" s="330"/>
      <c r="FR309" s="330"/>
      <c r="FS309" s="330"/>
      <c r="FT309" s="330"/>
      <c r="FU309" s="330"/>
    </row>
    <row r="310" spans="1:177" ht="25.5" x14ac:dyDescent="0.25">
      <c r="A310" s="330">
        <v>309</v>
      </c>
      <c r="B310" s="331" t="s">
        <v>2730</v>
      </c>
      <c r="C310" s="330"/>
      <c r="D310" s="332" t="s">
        <v>1778</v>
      </c>
      <c r="E310" s="332" t="s">
        <v>1779</v>
      </c>
      <c r="F310" s="332" t="s">
        <v>1780</v>
      </c>
      <c r="G310" s="330"/>
      <c r="H310" s="331"/>
      <c r="I310" s="330"/>
      <c r="J310" s="332"/>
      <c r="K310" s="332"/>
      <c r="L310" s="330" t="s">
        <v>857</v>
      </c>
      <c r="M310" s="332"/>
      <c r="N310" s="330" t="s">
        <v>2731</v>
      </c>
      <c r="O310" s="333" t="s">
        <v>184</v>
      </c>
      <c r="P310" s="333" t="s">
        <v>184</v>
      </c>
      <c r="Q310" s="333" t="s">
        <v>184</v>
      </c>
      <c r="R310" s="333">
        <v>0</v>
      </c>
      <c r="S310" s="333">
        <v>500</v>
      </c>
      <c r="T310" s="333">
        <v>1</v>
      </c>
      <c r="U310" s="333">
        <v>0</v>
      </c>
      <c r="V310" s="333">
        <v>0</v>
      </c>
      <c r="W310" s="330" t="s">
        <v>2732</v>
      </c>
      <c r="X310" s="330" t="s">
        <v>213</v>
      </c>
      <c r="Y310" s="332" t="s">
        <v>1129</v>
      </c>
      <c r="Z310" s="330" t="s">
        <v>614</v>
      </c>
      <c r="AA310" s="330" t="s">
        <v>1130</v>
      </c>
      <c r="AB310" s="330" t="s">
        <v>189</v>
      </c>
      <c r="AC310" s="330"/>
      <c r="AD310" s="330"/>
      <c r="AE310" s="330">
        <v>7</v>
      </c>
      <c r="AF310" s="330">
        <v>4</v>
      </c>
      <c r="AG310" s="332" t="s">
        <v>1050</v>
      </c>
      <c r="AH310" s="332" t="s">
        <v>191</v>
      </c>
      <c r="AI310" s="330"/>
      <c r="AJ310" s="330"/>
      <c r="AK310" s="330"/>
      <c r="AL310" s="330" t="s">
        <v>191</v>
      </c>
      <c r="AM310" s="330"/>
      <c r="AN310" s="330"/>
      <c r="AO310" s="330"/>
      <c r="AP310" s="332"/>
      <c r="AQ310" s="330"/>
      <c r="AR310" s="330"/>
      <c r="AS310" s="330"/>
      <c r="AT310" s="330"/>
      <c r="AU310" s="332" t="s">
        <v>191</v>
      </c>
      <c r="AV310" s="334">
        <v>46127.375304398149</v>
      </c>
      <c r="AW310" s="330" t="b">
        <v>1</v>
      </c>
      <c r="AX310" s="335">
        <v>46135</v>
      </c>
      <c r="AY310" s="336">
        <v>46127</v>
      </c>
      <c r="AZ310" s="330" t="b">
        <v>1</v>
      </c>
      <c r="BA310" s="336">
        <v>46133</v>
      </c>
      <c r="BB310" s="330"/>
      <c r="BC310" s="336">
        <v>46134</v>
      </c>
      <c r="BD310" s="330"/>
      <c r="BE310" s="330"/>
      <c r="BF310" s="330"/>
      <c r="BG310" s="330"/>
      <c r="BH310" s="330" t="s">
        <v>193</v>
      </c>
      <c r="BI310" s="330">
        <v>63</v>
      </c>
      <c r="BJ310" s="330"/>
      <c r="BK310" s="330"/>
      <c r="BL310" s="330"/>
      <c r="BM310" s="332"/>
      <c r="BN310" s="330"/>
      <c r="BO310" s="330"/>
      <c r="BP310" s="330"/>
      <c r="BQ310" s="330"/>
      <c r="BR310" s="330"/>
      <c r="BS310" s="330"/>
      <c r="BT310" s="330"/>
      <c r="BU310" s="330"/>
      <c r="BV310" s="330"/>
      <c r="BW310" s="330"/>
      <c r="BX310" s="332"/>
      <c r="BY310" s="330"/>
      <c r="BZ310" s="330"/>
      <c r="CA310" s="330"/>
      <c r="CB310" s="330"/>
      <c r="CC310" s="337" t="s">
        <v>92</v>
      </c>
      <c r="CD310" s="330"/>
      <c r="CE310" s="330" t="b">
        <v>1</v>
      </c>
      <c r="CF310" s="330"/>
      <c r="CG310" s="330"/>
      <c r="CH310" s="330"/>
      <c r="CI310" s="330"/>
      <c r="CJ310" s="330"/>
      <c r="CK310" s="330"/>
      <c r="CL310" s="330"/>
      <c r="CM310" s="330"/>
      <c r="CN310" s="330"/>
      <c r="CO310" s="330" t="b">
        <v>1</v>
      </c>
      <c r="CP310" s="330" t="b">
        <v>1</v>
      </c>
      <c r="CQ310" s="330"/>
      <c r="CR310" s="330"/>
      <c r="CS310" s="330"/>
      <c r="CT310" s="330"/>
      <c r="CU310" s="330"/>
      <c r="CV310" s="330"/>
      <c r="CW310" s="330"/>
      <c r="CX310" s="330"/>
      <c r="CY310" s="330"/>
      <c r="CZ310" s="330"/>
      <c r="DA310" s="330"/>
      <c r="DB310" s="330"/>
      <c r="DC310" s="330"/>
      <c r="DD310" s="330"/>
      <c r="DE310" s="330"/>
      <c r="DF310" s="338">
        <v>25022</v>
      </c>
      <c r="DG310" s="330" t="s">
        <v>195</v>
      </c>
      <c r="DH310" s="330"/>
      <c r="DI310" s="338" t="s">
        <v>959</v>
      </c>
      <c r="DJ310" s="330"/>
      <c r="DK310" s="330">
        <v>6</v>
      </c>
      <c r="DL310" s="330" t="s">
        <v>2730</v>
      </c>
      <c r="DM310" s="330"/>
      <c r="DN310" s="330"/>
      <c r="DO310" s="330"/>
      <c r="DP310" s="330"/>
      <c r="DQ310" s="338" t="s">
        <v>197</v>
      </c>
      <c r="DR310" s="330"/>
      <c r="DS310" s="330"/>
      <c r="DT310" s="330"/>
      <c r="DU310" s="338" t="s">
        <v>197</v>
      </c>
      <c r="DV310" s="330"/>
      <c r="DW310" s="330"/>
      <c r="DX310" s="330"/>
      <c r="DY310" s="338" t="s">
        <v>197</v>
      </c>
      <c r="DZ310" s="330"/>
      <c r="EA310" s="330"/>
      <c r="EB310" s="330"/>
      <c r="EC310" s="330" t="s">
        <v>197</v>
      </c>
      <c r="ED310" s="338" t="s">
        <v>197</v>
      </c>
      <c r="EE310" s="330">
        <v>0</v>
      </c>
      <c r="EF310" s="330">
        <v>10</v>
      </c>
      <c r="EG310" s="330"/>
      <c r="EH310" s="330"/>
      <c r="EI310" s="330"/>
      <c r="EJ310" s="330"/>
      <c r="EK310" s="330"/>
      <c r="EL310" s="330"/>
      <c r="EM310" s="330"/>
      <c r="EN310" s="330"/>
      <c r="EO310" s="330"/>
      <c r="EP310" s="330"/>
      <c r="EQ310" s="332" t="s">
        <v>198</v>
      </c>
      <c r="ER310" s="330"/>
      <c r="ES310" s="330"/>
      <c r="ET310" s="332"/>
      <c r="EU310" s="332" t="s">
        <v>199</v>
      </c>
      <c r="EV310" s="330"/>
      <c r="EW310" s="330"/>
      <c r="EX310" s="330" t="s">
        <v>200</v>
      </c>
      <c r="EY310" s="330"/>
      <c r="EZ310" s="330" t="s">
        <v>247</v>
      </c>
      <c r="FA310" s="330"/>
      <c r="FB310" s="330" t="s">
        <v>247</v>
      </c>
      <c r="FC310" s="330" t="s">
        <v>202</v>
      </c>
      <c r="FD310" s="332" t="s">
        <v>190</v>
      </c>
      <c r="FE310" s="330"/>
      <c r="FF310" s="330"/>
      <c r="FG310" s="330" t="s">
        <v>203</v>
      </c>
      <c r="FH310" s="330" t="s">
        <v>2733</v>
      </c>
      <c r="FI310" s="330" t="s">
        <v>204</v>
      </c>
      <c r="FJ310" s="330"/>
      <c r="FK310" s="330" t="s">
        <v>1780</v>
      </c>
      <c r="FL310" s="330" t="s">
        <v>191</v>
      </c>
      <c r="FM310" s="330"/>
      <c r="FN310" s="330" t="s">
        <v>2734</v>
      </c>
      <c r="FO310" s="330"/>
      <c r="FP310" s="330" t="s">
        <v>1330</v>
      </c>
      <c r="FQ310" s="330"/>
      <c r="FR310" s="330"/>
      <c r="FS310" s="330"/>
      <c r="FT310" s="330"/>
      <c r="FU310" s="330"/>
    </row>
    <row r="311" spans="1:177" ht="76.5" x14ac:dyDescent="0.25">
      <c r="A311" s="330">
        <v>310</v>
      </c>
      <c r="B311" s="331" t="s">
        <v>4123</v>
      </c>
      <c r="C311" s="330"/>
      <c r="D311" s="332" t="s">
        <v>2499</v>
      </c>
      <c r="E311" s="332" t="s">
        <v>2500</v>
      </c>
      <c r="F311" s="332" t="s">
        <v>1146</v>
      </c>
      <c r="G311" s="330" t="s">
        <v>1147</v>
      </c>
      <c r="H311" s="331">
        <v>400</v>
      </c>
      <c r="I311" s="330"/>
      <c r="J311" s="332" t="s">
        <v>4124</v>
      </c>
      <c r="K311" s="332" t="s">
        <v>4125</v>
      </c>
      <c r="L311" s="330" t="s">
        <v>284</v>
      </c>
      <c r="M311" s="332" t="s">
        <v>4186</v>
      </c>
      <c r="N311" s="330" t="s">
        <v>4187</v>
      </c>
      <c r="O311" s="333"/>
      <c r="P311" s="333"/>
      <c r="Q311" s="333">
        <v>504</v>
      </c>
      <c r="R311" s="333">
        <v>3</v>
      </c>
      <c r="S311" s="333">
        <v>3</v>
      </c>
      <c r="T311" s="333">
        <v>3</v>
      </c>
      <c r="U311" s="333">
        <v>38</v>
      </c>
      <c r="V311" s="333">
        <v>35</v>
      </c>
      <c r="W311" s="330"/>
      <c r="X311" s="330"/>
      <c r="Y311" s="332" t="s">
        <v>4126</v>
      </c>
      <c r="Z311" s="330" t="s">
        <v>215</v>
      </c>
      <c r="AA311" s="330" t="s">
        <v>4127</v>
      </c>
      <c r="AB311" s="330" t="s">
        <v>189</v>
      </c>
      <c r="AC311" s="330"/>
      <c r="AD311" s="330"/>
      <c r="AE311" s="330">
        <v>6</v>
      </c>
      <c r="AF311" s="330">
        <v>15</v>
      </c>
      <c r="AG311" s="332" t="s">
        <v>259</v>
      </c>
      <c r="AH311" s="332" t="s">
        <v>191</v>
      </c>
      <c r="AI311" s="330"/>
      <c r="AJ311" s="330"/>
      <c r="AK311" s="330"/>
      <c r="AL311" s="330" t="s">
        <v>471</v>
      </c>
      <c r="AM311" s="330"/>
      <c r="AN311" s="330"/>
      <c r="AO311" s="330"/>
      <c r="AP311" s="332" t="s">
        <v>259</v>
      </c>
      <c r="AQ311" s="330"/>
      <c r="AR311" s="330"/>
      <c r="AS311" s="330"/>
      <c r="AT311" s="330"/>
      <c r="AU311" s="332" t="s">
        <v>471</v>
      </c>
      <c r="AV311" s="334">
        <v>46127.465510752314</v>
      </c>
      <c r="AW311" s="330" t="b">
        <v>1</v>
      </c>
      <c r="AX311" s="335">
        <v>46148</v>
      </c>
      <c r="AY311" s="330"/>
      <c r="AZ311" s="330"/>
      <c r="BA311" s="330"/>
      <c r="BB311" s="330"/>
      <c r="BC311" s="336">
        <v>46134</v>
      </c>
      <c r="BD311" s="330"/>
      <c r="BE311" s="330"/>
      <c r="BF311" s="330"/>
      <c r="BG311" s="330"/>
      <c r="BH311" s="330" t="s">
        <v>193</v>
      </c>
      <c r="BI311" s="330">
        <v>1</v>
      </c>
      <c r="BJ311" s="330"/>
      <c r="BK311" s="330"/>
      <c r="BL311" s="330"/>
      <c r="BM311" s="332"/>
      <c r="BN311" s="330"/>
      <c r="BO311" s="330" t="s">
        <v>240</v>
      </c>
      <c r="BP311" s="330" t="s">
        <v>193</v>
      </c>
      <c r="BQ311" s="330" t="s">
        <v>909</v>
      </c>
      <c r="BR311" s="330" t="s">
        <v>220</v>
      </c>
      <c r="BS311" s="330"/>
      <c r="BT311" s="330" t="s">
        <v>193</v>
      </c>
      <c r="BU311" s="330" t="s">
        <v>4128</v>
      </c>
      <c r="BV311" s="330" t="s">
        <v>220</v>
      </c>
      <c r="BW311" s="330"/>
      <c r="BX311" s="332" t="s">
        <v>4129</v>
      </c>
      <c r="BY311" s="330" t="s">
        <v>1855</v>
      </c>
      <c r="BZ311" s="330"/>
      <c r="CA311" s="330"/>
      <c r="CB311" s="330"/>
      <c r="CC311" s="337" t="s">
        <v>1890</v>
      </c>
      <c r="CD311" s="330"/>
      <c r="CE311" s="330" t="b">
        <v>1</v>
      </c>
      <c r="CF311" s="330"/>
      <c r="CG311" s="330" t="s">
        <v>242</v>
      </c>
      <c r="CH311" s="330"/>
      <c r="CI311" s="330"/>
      <c r="CJ311" s="330"/>
      <c r="CK311" s="330"/>
      <c r="CL311" s="330"/>
      <c r="CM311" s="330"/>
      <c r="CN311" s="330"/>
      <c r="CO311" s="330"/>
      <c r="CP311" s="330"/>
      <c r="CQ311" s="330"/>
      <c r="CR311" s="330"/>
      <c r="CS311" s="330"/>
      <c r="CT311" s="330"/>
      <c r="CU311" s="330"/>
      <c r="CV311" s="330"/>
      <c r="CW311" s="330"/>
      <c r="CX311" s="330"/>
      <c r="CY311" s="330"/>
      <c r="CZ311" s="330"/>
      <c r="DA311" s="330"/>
      <c r="DB311" s="330" t="b">
        <v>1</v>
      </c>
      <c r="DC311" s="330" t="b">
        <v>1</v>
      </c>
      <c r="DD311" s="330"/>
      <c r="DE311" s="330"/>
      <c r="DF311" s="338">
        <v>25031</v>
      </c>
      <c r="DG311" s="330" t="s">
        <v>1541</v>
      </c>
      <c r="DH311" s="330"/>
      <c r="DI311" s="338" t="s">
        <v>196</v>
      </c>
      <c r="DJ311" s="330"/>
      <c r="DK311" s="330">
        <v>1</v>
      </c>
      <c r="DL311" s="330" t="s">
        <v>4123</v>
      </c>
      <c r="DM311" s="330"/>
      <c r="DN311" s="330"/>
      <c r="DO311" s="330"/>
      <c r="DP311" s="330"/>
      <c r="DQ311" s="338" t="s">
        <v>197</v>
      </c>
      <c r="DR311" s="330"/>
      <c r="DS311" s="330"/>
      <c r="DT311" s="330"/>
      <c r="DU311" s="338" t="s">
        <v>197</v>
      </c>
      <c r="DV311" s="330"/>
      <c r="DW311" s="330"/>
      <c r="DX311" s="330"/>
      <c r="DY311" s="338" t="s">
        <v>197</v>
      </c>
      <c r="DZ311" s="330"/>
      <c r="EA311" s="330"/>
      <c r="EB311" s="330"/>
      <c r="EC311" s="330" t="s">
        <v>197</v>
      </c>
      <c r="ED311" s="338" t="s">
        <v>197</v>
      </c>
      <c r="EE311" s="343">
        <v>0.25</v>
      </c>
      <c r="EF311" s="330">
        <v>5</v>
      </c>
      <c r="EG311" s="330"/>
      <c r="EH311" s="330"/>
      <c r="EI311" s="330"/>
      <c r="EJ311" s="330"/>
      <c r="EK311" s="330"/>
      <c r="EL311" s="330"/>
      <c r="EM311" s="330"/>
      <c r="EN311" s="330"/>
      <c r="EO311" s="330"/>
      <c r="EP311" s="330"/>
      <c r="EQ311" s="332" t="s">
        <v>4130</v>
      </c>
      <c r="ER311" s="330"/>
      <c r="ES311" s="330"/>
      <c r="ET311" s="332"/>
      <c r="EU311" s="332" t="s">
        <v>4131</v>
      </c>
      <c r="EV311" s="336">
        <v>46128</v>
      </c>
      <c r="EW311" s="330"/>
      <c r="EX311" s="330" t="s">
        <v>1891</v>
      </c>
      <c r="EY311" s="330"/>
      <c r="EZ311" s="330" t="s">
        <v>247</v>
      </c>
      <c r="FA311" s="330"/>
      <c r="FB311" s="330" t="s">
        <v>247</v>
      </c>
      <c r="FC311" s="330" t="s">
        <v>202</v>
      </c>
      <c r="FD311" s="332" t="s">
        <v>190</v>
      </c>
      <c r="FE311" s="330"/>
      <c r="FF311" s="330"/>
      <c r="FG311" s="330" t="s">
        <v>203</v>
      </c>
      <c r="FH311" s="330" t="s">
        <v>4170</v>
      </c>
      <c r="FI311" s="330" t="s">
        <v>204</v>
      </c>
      <c r="FJ311" s="330"/>
      <c r="FK311" s="330" t="s">
        <v>1146</v>
      </c>
      <c r="FL311" s="330" t="s">
        <v>471</v>
      </c>
      <c r="FM311" s="330"/>
      <c r="FN311" s="330" t="s">
        <v>4132</v>
      </c>
      <c r="FO311" s="330"/>
      <c r="FP311" s="330" t="s">
        <v>1330</v>
      </c>
      <c r="FQ311" s="330"/>
      <c r="FR311" s="330"/>
      <c r="FS311" s="330"/>
      <c r="FT311" s="330"/>
      <c r="FU311" s="330"/>
    </row>
    <row r="312" spans="1:177" ht="38.25" x14ac:dyDescent="0.25">
      <c r="A312" s="330">
        <v>311</v>
      </c>
      <c r="B312" s="331" t="s">
        <v>4110</v>
      </c>
      <c r="C312" s="330"/>
      <c r="D312" s="332" t="s">
        <v>2499</v>
      </c>
      <c r="E312" s="332" t="s">
        <v>2500</v>
      </c>
      <c r="F312" s="332" t="s">
        <v>1146</v>
      </c>
      <c r="G312" s="330" t="s">
        <v>1147</v>
      </c>
      <c r="H312" s="331"/>
      <c r="I312" s="330"/>
      <c r="J312" s="332" t="s">
        <v>4133</v>
      </c>
      <c r="K312" s="332" t="s">
        <v>4134</v>
      </c>
      <c r="L312" s="330" t="s">
        <v>857</v>
      </c>
      <c r="M312" s="332"/>
      <c r="N312" s="330" t="s">
        <v>4135</v>
      </c>
      <c r="O312" s="333" t="s">
        <v>184</v>
      </c>
      <c r="P312" s="333" t="s">
        <v>184</v>
      </c>
      <c r="Q312" s="333" t="s">
        <v>184</v>
      </c>
      <c r="R312" s="333">
        <v>0</v>
      </c>
      <c r="S312" s="333">
        <v>6</v>
      </c>
      <c r="T312" s="333">
        <v>1</v>
      </c>
      <c r="U312" s="333">
        <v>0</v>
      </c>
      <c r="V312" s="333">
        <v>0</v>
      </c>
      <c r="W312" s="330" t="s">
        <v>2670</v>
      </c>
      <c r="X312" s="330" t="s">
        <v>213</v>
      </c>
      <c r="Y312" s="332" t="s">
        <v>4136</v>
      </c>
      <c r="Z312" s="330" t="s">
        <v>739</v>
      </c>
      <c r="AA312" s="330" t="s">
        <v>4137</v>
      </c>
      <c r="AB312" s="330" t="s">
        <v>189</v>
      </c>
      <c r="AC312" s="330"/>
      <c r="AD312" s="330"/>
      <c r="AE312" s="330">
        <v>7</v>
      </c>
      <c r="AF312" s="330">
        <v>4</v>
      </c>
      <c r="AG312" s="332" t="s">
        <v>1050</v>
      </c>
      <c r="AH312" s="332" t="s">
        <v>191</v>
      </c>
      <c r="AI312" s="330"/>
      <c r="AJ312" s="330"/>
      <c r="AK312" s="330"/>
      <c r="AL312" s="330" t="s">
        <v>191</v>
      </c>
      <c r="AM312" s="330"/>
      <c r="AN312" s="330"/>
      <c r="AO312" s="330"/>
      <c r="AP312" s="332"/>
      <c r="AQ312" s="330"/>
      <c r="AR312" s="330"/>
      <c r="AS312" s="330"/>
      <c r="AT312" s="330"/>
      <c r="AU312" s="332" t="s">
        <v>191</v>
      </c>
      <c r="AV312" s="334">
        <v>46127.467151770834</v>
      </c>
      <c r="AW312" s="330" t="b">
        <v>1</v>
      </c>
      <c r="AX312" s="335">
        <v>46135</v>
      </c>
      <c r="AY312" s="336">
        <v>46127</v>
      </c>
      <c r="AZ312" s="330" t="b">
        <v>1</v>
      </c>
      <c r="BA312" s="336">
        <v>46133</v>
      </c>
      <c r="BB312" s="330"/>
      <c r="BC312" s="336">
        <v>46134</v>
      </c>
      <c r="BD312" s="330"/>
      <c r="BE312" s="330"/>
      <c r="BF312" s="330"/>
      <c r="BG312" s="330"/>
      <c r="BH312" s="330" t="s">
        <v>193</v>
      </c>
      <c r="BI312" s="330">
        <v>2</v>
      </c>
      <c r="BJ312" s="330"/>
      <c r="BK312" s="330"/>
      <c r="BL312" s="330"/>
      <c r="BM312" s="332"/>
      <c r="BN312" s="330"/>
      <c r="BO312" s="330"/>
      <c r="BP312" s="330"/>
      <c r="BQ312" s="330"/>
      <c r="BR312" s="330"/>
      <c r="BS312" s="330"/>
      <c r="BT312" s="330"/>
      <c r="BU312" s="330"/>
      <c r="BV312" s="330"/>
      <c r="BW312" s="330"/>
      <c r="BX312" s="332"/>
      <c r="BY312" s="330"/>
      <c r="BZ312" s="330"/>
      <c r="CA312" s="330"/>
      <c r="CB312" s="330"/>
      <c r="CC312" s="337" t="s">
        <v>92</v>
      </c>
      <c r="CD312" s="330"/>
      <c r="CE312" s="330" t="b">
        <v>1</v>
      </c>
      <c r="CF312" s="330"/>
      <c r="CG312" s="330"/>
      <c r="CH312" s="330"/>
      <c r="CI312" s="330"/>
      <c r="CJ312" s="330"/>
      <c r="CK312" s="330"/>
      <c r="CL312" s="330"/>
      <c r="CM312" s="330"/>
      <c r="CN312" s="330"/>
      <c r="CO312" s="330" t="b">
        <v>1</v>
      </c>
      <c r="CP312" s="330" t="b">
        <v>1</v>
      </c>
      <c r="CQ312" s="330"/>
      <c r="CR312" s="330"/>
      <c r="CS312" s="330"/>
      <c r="CT312" s="330"/>
      <c r="CU312" s="330"/>
      <c r="CV312" s="330"/>
      <c r="CW312" s="330"/>
      <c r="CX312" s="330"/>
      <c r="CY312" s="330"/>
      <c r="CZ312" s="330"/>
      <c r="DA312" s="330"/>
      <c r="DB312" s="330"/>
      <c r="DC312" s="330"/>
      <c r="DD312" s="330"/>
      <c r="DE312" s="330"/>
      <c r="DF312" s="338">
        <v>25031</v>
      </c>
      <c r="DG312" s="330" t="s">
        <v>764</v>
      </c>
      <c r="DH312" s="330"/>
      <c r="DI312" s="338" t="s">
        <v>1366</v>
      </c>
      <c r="DJ312" s="330"/>
      <c r="DK312" s="330">
        <v>8</v>
      </c>
      <c r="DL312" s="330" t="s">
        <v>4110</v>
      </c>
      <c r="DM312" s="330"/>
      <c r="DN312" s="330"/>
      <c r="DO312" s="330"/>
      <c r="DP312" s="330"/>
      <c r="DQ312" s="338" t="s">
        <v>197</v>
      </c>
      <c r="DR312" s="330"/>
      <c r="DS312" s="330"/>
      <c r="DT312" s="330"/>
      <c r="DU312" s="338" t="s">
        <v>197</v>
      </c>
      <c r="DV312" s="330"/>
      <c r="DW312" s="330"/>
      <c r="DX312" s="330"/>
      <c r="DY312" s="338" t="s">
        <v>197</v>
      </c>
      <c r="DZ312" s="330"/>
      <c r="EA312" s="330"/>
      <c r="EB312" s="330"/>
      <c r="EC312" s="330" t="s">
        <v>197</v>
      </c>
      <c r="ED312" s="338" t="s">
        <v>197</v>
      </c>
      <c r="EE312" s="343">
        <v>0.25</v>
      </c>
      <c r="EF312" s="330">
        <v>2</v>
      </c>
      <c r="EG312" s="330"/>
      <c r="EH312" s="330"/>
      <c r="EI312" s="330"/>
      <c r="EJ312" s="330"/>
      <c r="EK312" s="330"/>
      <c r="EL312" s="330"/>
      <c r="EM312" s="330"/>
      <c r="EN312" s="330"/>
      <c r="EO312" s="330"/>
      <c r="EP312" s="330"/>
      <c r="EQ312" s="332" t="s">
        <v>2538</v>
      </c>
      <c r="ER312" s="330"/>
      <c r="ES312" s="330"/>
      <c r="ET312" s="332"/>
      <c r="EU312" s="332" t="s">
        <v>199</v>
      </c>
      <c r="EV312" s="330"/>
      <c r="EW312" s="330"/>
      <c r="EX312" s="330" t="s">
        <v>200</v>
      </c>
      <c r="EY312" s="330"/>
      <c r="EZ312" s="330" t="s">
        <v>247</v>
      </c>
      <c r="FA312" s="330"/>
      <c r="FB312" s="330" t="s">
        <v>247</v>
      </c>
      <c r="FC312" s="330" t="s">
        <v>202</v>
      </c>
      <c r="FD312" s="332" t="s">
        <v>190</v>
      </c>
      <c r="FE312" s="330"/>
      <c r="FF312" s="330"/>
      <c r="FG312" s="330" t="s">
        <v>203</v>
      </c>
      <c r="FH312" s="330"/>
      <c r="FI312" s="330" t="s">
        <v>204</v>
      </c>
      <c r="FJ312" s="330"/>
      <c r="FK312" s="330" t="s">
        <v>1146</v>
      </c>
      <c r="FL312" s="330" t="s">
        <v>191</v>
      </c>
      <c r="FM312" s="330"/>
      <c r="FN312" s="330" t="s">
        <v>4138</v>
      </c>
      <c r="FO312" s="330"/>
      <c r="FP312" s="330" t="s">
        <v>1330</v>
      </c>
      <c r="FQ312" s="330"/>
      <c r="FR312" s="330"/>
      <c r="FS312" s="330"/>
      <c r="FT312" s="330"/>
      <c r="FU312" s="330"/>
    </row>
    <row r="313" spans="1:177" ht="153" x14ac:dyDescent="0.25">
      <c r="A313" s="330">
        <v>312</v>
      </c>
      <c r="B313" s="331" t="s">
        <v>4090</v>
      </c>
      <c r="C313" s="330"/>
      <c r="D313" s="332" t="s">
        <v>304</v>
      </c>
      <c r="E313" s="332" t="s">
        <v>305</v>
      </c>
      <c r="F313" s="332" t="s">
        <v>306</v>
      </c>
      <c r="G313" s="330" t="s">
        <v>307</v>
      </c>
      <c r="H313" s="331">
        <v>600</v>
      </c>
      <c r="I313" s="330"/>
      <c r="J313" s="332"/>
      <c r="K313" s="332" t="s">
        <v>4139</v>
      </c>
      <c r="L313" s="330"/>
      <c r="M313" s="332"/>
      <c r="N313" s="330"/>
      <c r="O313" s="333"/>
      <c r="P313" s="333"/>
      <c r="Q313" s="333">
        <v>2014</v>
      </c>
      <c r="R313" s="333" t="s">
        <v>318</v>
      </c>
      <c r="S313" s="333"/>
      <c r="T313" s="333"/>
      <c r="U313" s="333"/>
      <c r="V313" s="333"/>
      <c r="W313" s="330"/>
      <c r="X313" s="330"/>
      <c r="Y313" s="332" t="s">
        <v>313</v>
      </c>
      <c r="Z313" s="330" t="s">
        <v>215</v>
      </c>
      <c r="AA313" s="330" t="s">
        <v>314</v>
      </c>
      <c r="AB313" s="330" t="s">
        <v>217</v>
      </c>
      <c r="AC313" s="330"/>
      <c r="AD313" s="330"/>
      <c r="AE313" s="330">
        <v>8</v>
      </c>
      <c r="AF313" s="330">
        <v>15</v>
      </c>
      <c r="AG313" s="332" t="s">
        <v>191</v>
      </c>
      <c r="AH313" s="332" t="s">
        <v>191</v>
      </c>
      <c r="AI313" s="330"/>
      <c r="AJ313" s="330"/>
      <c r="AK313" s="330"/>
      <c r="AL313" s="330"/>
      <c r="AM313" s="330"/>
      <c r="AN313" s="330"/>
      <c r="AO313" s="330"/>
      <c r="AP313" s="332"/>
      <c r="AQ313" s="330"/>
      <c r="AR313" s="330"/>
      <c r="AS313" s="330"/>
      <c r="AT313" s="330"/>
      <c r="AU313" s="332"/>
      <c r="AV313" s="334">
        <v>46127.492728043981</v>
      </c>
      <c r="AW313" s="330" t="b">
        <v>1</v>
      </c>
      <c r="AX313" s="335">
        <v>46148</v>
      </c>
      <c r="AY313" s="330"/>
      <c r="AZ313" s="330"/>
      <c r="BA313" s="330"/>
      <c r="BB313" s="330"/>
      <c r="BC313" s="336">
        <v>46148</v>
      </c>
      <c r="BD313" s="330"/>
      <c r="BE313" s="330"/>
      <c r="BF313" s="330"/>
      <c r="BG313" s="330"/>
      <c r="BH313" s="330" t="s">
        <v>193</v>
      </c>
      <c r="BI313" s="330" t="s">
        <v>318</v>
      </c>
      <c r="BJ313" s="330"/>
      <c r="BK313" s="330"/>
      <c r="BL313" s="330"/>
      <c r="BM313" s="332"/>
      <c r="BN313" s="330"/>
      <c r="BO313" s="330" t="s">
        <v>629</v>
      </c>
      <c r="BP313" s="330" t="s">
        <v>193</v>
      </c>
      <c r="BQ313" s="330" t="s">
        <v>218</v>
      </c>
      <c r="BR313" s="330" t="s">
        <v>220</v>
      </c>
      <c r="BS313" s="330"/>
      <c r="BT313" s="330" t="s">
        <v>193</v>
      </c>
      <c r="BU313" s="330" t="s">
        <v>4140</v>
      </c>
      <c r="BV313" s="330" t="s">
        <v>220</v>
      </c>
      <c r="BW313" s="330"/>
      <c r="BX313" s="332"/>
      <c r="BY313" s="330"/>
      <c r="BZ313" s="330"/>
      <c r="CA313" s="330"/>
      <c r="CB313" s="330"/>
      <c r="CC313" s="337"/>
      <c r="CD313" s="330"/>
      <c r="CE313" s="330"/>
      <c r="CF313" s="330"/>
      <c r="CG313" s="330"/>
      <c r="CH313" s="330"/>
      <c r="CI313" s="330"/>
      <c r="CJ313" s="330"/>
      <c r="CK313" s="330"/>
      <c r="CL313" s="330"/>
      <c r="CM313" s="330"/>
      <c r="CN313" s="330"/>
      <c r="CO313" s="330"/>
      <c r="CP313" s="330"/>
      <c r="CQ313" s="330"/>
      <c r="CR313" s="330"/>
      <c r="CS313" s="330"/>
      <c r="CT313" s="330"/>
      <c r="CU313" s="330"/>
      <c r="CV313" s="330"/>
      <c r="CW313" s="330"/>
      <c r="CX313" s="330"/>
      <c r="CY313" s="330"/>
      <c r="CZ313" s="330"/>
      <c r="DA313" s="330"/>
      <c r="DB313" s="330"/>
      <c r="DC313" s="330"/>
      <c r="DD313" s="330"/>
      <c r="DE313" s="330"/>
      <c r="DF313" s="338">
        <v>25002</v>
      </c>
      <c r="DG313" s="330" t="s">
        <v>221</v>
      </c>
      <c r="DH313" s="330"/>
      <c r="DI313" s="338">
        <v>16</v>
      </c>
      <c r="DJ313" s="330"/>
      <c r="DK313" s="330">
        <v>16</v>
      </c>
      <c r="DL313" s="330" t="s">
        <v>4090</v>
      </c>
      <c r="DM313" s="330"/>
      <c r="DN313" s="330"/>
      <c r="DO313" s="330"/>
      <c r="DP313" s="330"/>
      <c r="DQ313" s="338" t="s">
        <v>197</v>
      </c>
      <c r="DR313" s="330"/>
      <c r="DS313" s="330"/>
      <c r="DT313" s="330"/>
      <c r="DU313" s="338" t="s">
        <v>197</v>
      </c>
      <c r="DV313" s="330"/>
      <c r="DW313" s="330"/>
      <c r="DX313" s="330"/>
      <c r="DY313" s="338" t="s">
        <v>197</v>
      </c>
      <c r="DZ313" s="330"/>
      <c r="EA313" s="330"/>
      <c r="EB313" s="330"/>
      <c r="EC313" s="330" t="s">
        <v>197</v>
      </c>
      <c r="ED313" s="338" t="s">
        <v>197</v>
      </c>
      <c r="EE313" s="343">
        <v>7</v>
      </c>
      <c r="EF313" s="330">
        <v>20</v>
      </c>
      <c r="EG313" s="330"/>
      <c r="EH313" s="330"/>
      <c r="EI313" s="330"/>
      <c r="EJ313" s="330"/>
      <c r="EK313" s="330"/>
      <c r="EL313" s="330"/>
      <c r="EM313" s="330"/>
      <c r="EN313" s="330"/>
      <c r="EO313" s="330"/>
      <c r="EP313" s="330"/>
      <c r="EQ313" s="332" t="s">
        <v>244</v>
      </c>
      <c r="ER313" s="330"/>
      <c r="ES313" s="330"/>
      <c r="ET313" s="332"/>
      <c r="EU313" s="332"/>
      <c r="EV313" s="330"/>
      <c r="EW313" s="330"/>
      <c r="EX313" s="330" t="s">
        <v>200</v>
      </c>
      <c r="EY313" s="330"/>
      <c r="EZ313" s="330" t="s">
        <v>247</v>
      </c>
      <c r="FA313" s="330"/>
      <c r="FB313" s="330" t="s">
        <v>247</v>
      </c>
      <c r="FC313" s="330" t="s">
        <v>202</v>
      </c>
      <c r="FD313" s="332" t="s">
        <v>190</v>
      </c>
      <c r="FE313" s="330"/>
      <c r="FF313" s="330"/>
      <c r="FG313" s="330" t="s">
        <v>203</v>
      </c>
      <c r="FH313" s="330"/>
      <c r="FI313" s="330" t="s">
        <v>204</v>
      </c>
      <c r="FJ313" s="330"/>
      <c r="FK313" s="330" t="s">
        <v>306</v>
      </c>
      <c r="FL313" s="330"/>
      <c r="FM313" s="330"/>
      <c r="FN313" s="330" t="s">
        <v>4141</v>
      </c>
      <c r="FO313" s="330"/>
      <c r="FP313" s="330" t="s">
        <v>1952</v>
      </c>
      <c r="FQ313" s="330"/>
      <c r="FR313" s="330"/>
      <c r="FS313" s="330"/>
      <c r="FT313" s="330"/>
      <c r="FU313" s="330"/>
    </row>
    <row r="314" spans="1:177" ht="38.25" x14ac:dyDescent="0.25">
      <c r="A314" s="330">
        <v>313</v>
      </c>
      <c r="B314" s="331" t="s">
        <v>4142</v>
      </c>
      <c r="C314" s="330"/>
      <c r="D314" s="332" t="s">
        <v>4143</v>
      </c>
      <c r="E314" s="332" t="s">
        <v>4144</v>
      </c>
      <c r="F314" s="332" t="s">
        <v>1189</v>
      </c>
      <c r="G314" s="330" t="s">
        <v>1190</v>
      </c>
      <c r="H314" s="331">
        <v>408</v>
      </c>
      <c r="I314" s="330"/>
      <c r="J314" s="332"/>
      <c r="K314" s="332"/>
      <c r="L314" s="330" t="s">
        <v>284</v>
      </c>
      <c r="M314" s="332" t="s">
        <v>4145</v>
      </c>
      <c r="N314" s="330" t="s">
        <v>4188</v>
      </c>
      <c r="O314" s="333"/>
      <c r="P314" s="333"/>
      <c r="Q314" s="333">
        <v>358</v>
      </c>
      <c r="R314" s="333">
        <v>1</v>
      </c>
      <c r="S314" s="333">
        <v>1</v>
      </c>
      <c r="T314" s="333">
        <v>1</v>
      </c>
      <c r="U314" s="333" t="s">
        <v>185</v>
      </c>
      <c r="V314" s="333" t="s">
        <v>185</v>
      </c>
      <c r="W314" s="330"/>
      <c r="X314" s="330"/>
      <c r="Y314" s="332" t="s">
        <v>4146</v>
      </c>
      <c r="Z314" s="330" t="s">
        <v>215</v>
      </c>
      <c r="AA314" s="330" t="s">
        <v>4147</v>
      </c>
      <c r="AB314" s="330" t="s">
        <v>217</v>
      </c>
      <c r="AC314" s="330"/>
      <c r="AD314" s="330"/>
      <c r="AE314" s="330">
        <v>5</v>
      </c>
      <c r="AF314" s="330">
        <v>2</v>
      </c>
      <c r="AG314" s="332" t="s">
        <v>259</v>
      </c>
      <c r="AH314" s="332" t="s">
        <v>191</v>
      </c>
      <c r="AI314" s="330"/>
      <c r="AJ314" s="330"/>
      <c r="AK314" s="330"/>
      <c r="AL314" s="330" t="s">
        <v>471</v>
      </c>
      <c r="AM314" s="330"/>
      <c r="AN314" s="330"/>
      <c r="AO314" s="330"/>
      <c r="AP314" s="332" t="s">
        <v>259</v>
      </c>
      <c r="AQ314" s="330"/>
      <c r="AR314" s="330"/>
      <c r="AS314" s="330"/>
      <c r="AT314" s="330"/>
      <c r="AU314" s="332" t="s">
        <v>471</v>
      </c>
      <c r="AV314" s="334">
        <v>46127.67659221065</v>
      </c>
      <c r="AW314" s="330" t="b">
        <v>1</v>
      </c>
      <c r="AX314" s="335">
        <v>46129</v>
      </c>
      <c r="AY314" s="330"/>
      <c r="AZ314" s="330"/>
      <c r="BA314" s="330"/>
      <c r="BB314" s="330"/>
      <c r="BC314" s="336">
        <v>46135</v>
      </c>
      <c r="BD314" s="330"/>
      <c r="BE314" s="330"/>
      <c r="BF314" s="330"/>
      <c r="BG314" s="330"/>
      <c r="BH314" s="330" t="s">
        <v>193</v>
      </c>
      <c r="BI314" s="330">
        <v>2</v>
      </c>
      <c r="BJ314" s="330"/>
      <c r="BK314" s="330"/>
      <c r="BL314" s="330"/>
      <c r="BM314" s="332"/>
      <c r="BN314" s="330"/>
      <c r="BO314" s="330" t="s">
        <v>4148</v>
      </c>
      <c r="BP314" s="330" t="s">
        <v>193</v>
      </c>
      <c r="BQ314" s="330" t="s">
        <v>218</v>
      </c>
      <c r="BR314" s="330" t="s">
        <v>220</v>
      </c>
      <c r="BS314" s="330"/>
      <c r="BT314" s="330" t="s">
        <v>220</v>
      </c>
      <c r="BU314" s="330"/>
      <c r="BV314" s="330" t="s">
        <v>220</v>
      </c>
      <c r="BW314" s="330"/>
      <c r="BX314" s="332" t="s">
        <v>4149</v>
      </c>
      <c r="BY314" s="330" t="s">
        <v>2130</v>
      </c>
      <c r="BZ314" s="330"/>
      <c r="CA314" s="330" t="s">
        <v>2537</v>
      </c>
      <c r="CB314" s="330"/>
      <c r="CC314" s="337" t="s">
        <v>1890</v>
      </c>
      <c r="CD314" s="330"/>
      <c r="CE314" s="330" t="b">
        <v>1</v>
      </c>
      <c r="CF314" s="330" t="b">
        <v>1</v>
      </c>
      <c r="CG314" s="330"/>
      <c r="CH314" s="330"/>
      <c r="CI314" s="330"/>
      <c r="CJ314" s="330"/>
      <c r="CK314" s="330"/>
      <c r="CL314" s="330"/>
      <c r="CM314" s="330"/>
      <c r="CN314" s="330"/>
      <c r="CO314" s="330"/>
      <c r="CP314" s="330"/>
      <c r="CQ314" s="330"/>
      <c r="CR314" s="330"/>
      <c r="CS314" s="330"/>
      <c r="CT314" s="330"/>
      <c r="CU314" s="330"/>
      <c r="CV314" s="330"/>
      <c r="CW314" s="330"/>
      <c r="CX314" s="330"/>
      <c r="CY314" s="330"/>
      <c r="CZ314" s="330"/>
      <c r="DA314" s="330"/>
      <c r="DB314" s="330" t="b">
        <v>1</v>
      </c>
      <c r="DC314" s="330" t="b">
        <v>1</v>
      </c>
      <c r="DD314" s="330"/>
      <c r="DE314" s="330"/>
      <c r="DF314" s="338">
        <v>25059</v>
      </c>
      <c r="DG314" s="330" t="s">
        <v>1019</v>
      </c>
      <c r="DH314" s="330"/>
      <c r="DI314" s="338" t="s">
        <v>952</v>
      </c>
      <c r="DJ314" s="330"/>
      <c r="DK314" s="330">
        <v>5</v>
      </c>
      <c r="DL314" s="330" t="s">
        <v>4142</v>
      </c>
      <c r="DM314" s="330"/>
      <c r="DN314" s="330"/>
      <c r="DO314" s="330"/>
      <c r="DP314" s="330"/>
      <c r="DQ314" s="338" t="s">
        <v>197</v>
      </c>
      <c r="DR314" s="330"/>
      <c r="DS314" s="330"/>
      <c r="DT314" s="330"/>
      <c r="DU314" s="338" t="s">
        <v>197</v>
      </c>
      <c r="DV314" s="330"/>
      <c r="DW314" s="330"/>
      <c r="DX314" s="330"/>
      <c r="DY314" s="338" t="s">
        <v>197</v>
      </c>
      <c r="DZ314" s="330"/>
      <c r="EA314" s="330"/>
      <c r="EB314" s="330"/>
      <c r="EC314" s="330" t="s">
        <v>197</v>
      </c>
      <c r="ED314" s="338" t="s">
        <v>197</v>
      </c>
      <c r="EE314" s="343">
        <v>1</v>
      </c>
      <c r="EF314" s="330">
        <v>4</v>
      </c>
      <c r="EG314" s="330"/>
      <c r="EH314" s="330"/>
      <c r="EI314" s="330"/>
      <c r="EJ314" s="330"/>
      <c r="EK314" s="330"/>
      <c r="EL314" s="330"/>
      <c r="EM314" s="330"/>
      <c r="EN314" s="330"/>
      <c r="EO314" s="330"/>
      <c r="EP314" s="330"/>
      <c r="EQ314" s="332" t="s">
        <v>198</v>
      </c>
      <c r="ER314" s="330"/>
      <c r="ES314" s="330"/>
      <c r="ET314" s="332" t="s">
        <v>245</v>
      </c>
      <c r="EU314" s="332" t="s">
        <v>354</v>
      </c>
      <c r="EV314" s="336">
        <v>46128</v>
      </c>
      <c r="EW314" s="330"/>
      <c r="EX314" s="330" t="s">
        <v>1891</v>
      </c>
      <c r="EY314" s="330"/>
      <c r="EZ314" s="330" t="s">
        <v>247</v>
      </c>
      <c r="FA314" s="330"/>
      <c r="FB314" s="330" t="s">
        <v>247</v>
      </c>
      <c r="FC314" s="330" t="s">
        <v>202</v>
      </c>
      <c r="FD314" s="332" t="s">
        <v>190</v>
      </c>
      <c r="FE314" s="330"/>
      <c r="FF314" s="330"/>
      <c r="FG314" s="330" t="s">
        <v>203</v>
      </c>
      <c r="FH314" s="330" t="s">
        <v>4170</v>
      </c>
      <c r="FI314" s="330" t="s">
        <v>204</v>
      </c>
      <c r="FJ314" s="330"/>
      <c r="FK314" s="330" t="s">
        <v>1189</v>
      </c>
      <c r="FL314" s="330" t="s">
        <v>471</v>
      </c>
      <c r="FM314" s="330"/>
      <c r="FN314" s="330" t="s">
        <v>4150</v>
      </c>
      <c r="FO314" s="330"/>
      <c r="FP314" s="330" t="s">
        <v>1330</v>
      </c>
      <c r="FQ314" s="330"/>
      <c r="FR314" s="330"/>
      <c r="FS314" s="330"/>
      <c r="FT314" s="330"/>
      <c r="FU314" s="330"/>
    </row>
    <row r="315" spans="1:177" ht="127.5" x14ac:dyDescent="0.25">
      <c r="A315" s="330">
        <v>314</v>
      </c>
      <c r="B315" s="331" t="s">
        <v>4100</v>
      </c>
      <c r="C315" s="330"/>
      <c r="D315" s="332" t="s">
        <v>304</v>
      </c>
      <c r="E315" s="332" t="s">
        <v>305</v>
      </c>
      <c r="F315" s="332" t="s">
        <v>306</v>
      </c>
      <c r="G315" s="330" t="s">
        <v>307</v>
      </c>
      <c r="H315" s="331"/>
      <c r="I315" s="330"/>
      <c r="J315" s="332"/>
      <c r="K315" s="332" t="s">
        <v>4151</v>
      </c>
      <c r="L315" s="330"/>
      <c r="M315" s="332"/>
      <c r="N315" s="330"/>
      <c r="O315" s="333"/>
      <c r="P315" s="333"/>
      <c r="Q315" s="333" t="s">
        <v>184</v>
      </c>
      <c r="R315" s="333"/>
      <c r="S315" s="333">
        <v>24</v>
      </c>
      <c r="T315" s="333"/>
      <c r="U315" s="333"/>
      <c r="V315" s="333"/>
      <c r="W315" s="330"/>
      <c r="X315" s="330"/>
      <c r="Y315" s="332" t="s">
        <v>4152</v>
      </c>
      <c r="Z315" s="330" t="s">
        <v>614</v>
      </c>
      <c r="AA315" s="330" t="s">
        <v>4153</v>
      </c>
      <c r="AB315" s="330" t="s">
        <v>189</v>
      </c>
      <c r="AC315" s="330"/>
      <c r="AD315" s="330"/>
      <c r="AE315" s="330">
        <v>4</v>
      </c>
      <c r="AF315" s="330">
        <v>6</v>
      </c>
      <c r="AG315" s="332" t="s">
        <v>191</v>
      </c>
      <c r="AH315" s="332" t="s">
        <v>191</v>
      </c>
      <c r="AI315" s="330"/>
      <c r="AJ315" s="330"/>
      <c r="AK315" s="330"/>
      <c r="AL315" s="330"/>
      <c r="AM315" s="330"/>
      <c r="AN315" s="330"/>
      <c r="AO315" s="330"/>
      <c r="AP315" s="332"/>
      <c r="AQ315" s="330"/>
      <c r="AR315" s="330"/>
      <c r="AS315" s="330"/>
      <c r="AT315" s="330"/>
      <c r="AU315" s="332"/>
      <c r="AV315" s="334">
        <v>46127.695032129632</v>
      </c>
      <c r="AW315" s="330" t="b">
        <v>1</v>
      </c>
      <c r="AX315" s="335">
        <v>46135</v>
      </c>
      <c r="AY315" s="330"/>
      <c r="AZ315" s="330"/>
      <c r="BA315" s="330"/>
      <c r="BB315" s="330"/>
      <c r="BC315" s="336">
        <v>46141</v>
      </c>
      <c r="BD315" s="330"/>
      <c r="BE315" s="330"/>
      <c r="BF315" s="330"/>
      <c r="BG315" s="330"/>
      <c r="BH315" s="330" t="s">
        <v>193</v>
      </c>
      <c r="BI315" s="330" t="s">
        <v>318</v>
      </c>
      <c r="BJ315" s="330"/>
      <c r="BK315" s="330"/>
      <c r="BL315" s="330"/>
      <c r="BM315" s="332"/>
      <c r="BN315" s="330"/>
      <c r="BO315" s="330"/>
      <c r="BP315" s="330"/>
      <c r="BQ315" s="330"/>
      <c r="BR315" s="330"/>
      <c r="BS315" s="330"/>
      <c r="BT315" s="330"/>
      <c r="BU315" s="330"/>
      <c r="BV315" s="330"/>
      <c r="BW315" s="330"/>
      <c r="BX315" s="332"/>
      <c r="BY315" s="330"/>
      <c r="BZ315" s="330"/>
      <c r="CA315" s="330"/>
      <c r="CB315" s="330"/>
      <c r="CC315" s="337"/>
      <c r="CD315" s="330"/>
      <c r="CE315" s="330"/>
      <c r="CF315" s="330"/>
      <c r="CG315" s="330"/>
      <c r="CH315" s="330"/>
      <c r="CI315" s="330"/>
      <c r="CJ315" s="330"/>
      <c r="CK315" s="330"/>
      <c r="CL315" s="330"/>
      <c r="CM315" s="330"/>
      <c r="CN315" s="330"/>
      <c r="CO315" s="330"/>
      <c r="CP315" s="330"/>
      <c r="CQ315" s="330"/>
      <c r="CR315" s="330"/>
      <c r="CS315" s="330"/>
      <c r="CT315" s="330"/>
      <c r="CU315" s="330"/>
      <c r="CV315" s="330"/>
      <c r="CW315" s="330"/>
      <c r="CX315" s="330"/>
      <c r="CY315" s="330"/>
      <c r="CZ315" s="330"/>
      <c r="DA315" s="330"/>
      <c r="DB315" s="330"/>
      <c r="DC315" s="330"/>
      <c r="DD315" s="330"/>
      <c r="DE315" s="330"/>
      <c r="DF315" s="338">
        <v>25002</v>
      </c>
      <c r="DG315" s="330" t="s">
        <v>195</v>
      </c>
      <c r="DH315" s="330"/>
      <c r="DI315" s="338" t="s">
        <v>1326</v>
      </c>
      <c r="DJ315" s="330"/>
      <c r="DK315" s="330">
        <v>7</v>
      </c>
      <c r="DL315" s="330" t="s">
        <v>4100</v>
      </c>
      <c r="DM315" s="330"/>
      <c r="DN315" s="330"/>
      <c r="DO315" s="330"/>
      <c r="DP315" s="330"/>
      <c r="DQ315" s="338" t="s">
        <v>197</v>
      </c>
      <c r="DR315" s="330"/>
      <c r="DS315" s="330"/>
      <c r="DT315" s="330"/>
      <c r="DU315" s="338" t="s">
        <v>197</v>
      </c>
      <c r="DV315" s="330"/>
      <c r="DW315" s="330"/>
      <c r="DX315" s="330"/>
      <c r="DY315" s="338" t="s">
        <v>197</v>
      </c>
      <c r="DZ315" s="330"/>
      <c r="EA315" s="330"/>
      <c r="EB315" s="330"/>
      <c r="EC315" s="330" t="s">
        <v>197</v>
      </c>
      <c r="ED315" s="338" t="s">
        <v>197</v>
      </c>
      <c r="EE315" s="343">
        <v>2</v>
      </c>
      <c r="EF315" s="330">
        <v>6</v>
      </c>
      <c r="EG315" s="330"/>
      <c r="EH315" s="330"/>
      <c r="EI315" s="330"/>
      <c r="EJ315" s="330"/>
      <c r="EK315" s="330"/>
      <c r="EL315" s="330"/>
      <c r="EM315" s="330"/>
      <c r="EN315" s="330"/>
      <c r="EO315" s="330"/>
      <c r="EP315" s="330"/>
      <c r="EQ315" s="332" t="s">
        <v>244</v>
      </c>
      <c r="ER315" s="330"/>
      <c r="ES315" s="330"/>
      <c r="ET315" s="332"/>
      <c r="EU315" s="332"/>
      <c r="EV315" s="330"/>
      <c r="EW315" s="330"/>
      <c r="EX315" s="330" t="s">
        <v>200</v>
      </c>
      <c r="EY315" s="330"/>
      <c r="EZ315" s="330" t="s">
        <v>247</v>
      </c>
      <c r="FA315" s="330"/>
      <c r="FB315" s="330" t="s">
        <v>247</v>
      </c>
      <c r="FC315" s="330" t="s">
        <v>202</v>
      </c>
      <c r="FD315" s="332" t="s">
        <v>190</v>
      </c>
      <c r="FE315" s="330"/>
      <c r="FF315" s="330"/>
      <c r="FG315" s="330" t="s">
        <v>203</v>
      </c>
      <c r="FH315" s="330"/>
      <c r="FI315" s="330" t="s">
        <v>204</v>
      </c>
      <c r="FJ315" s="330"/>
      <c r="FK315" s="330" t="s">
        <v>306</v>
      </c>
      <c r="FL315" s="330"/>
      <c r="FM315" s="330"/>
      <c r="FN315" s="330" t="s">
        <v>4154</v>
      </c>
      <c r="FO315" s="330"/>
      <c r="FP315" s="330" t="s">
        <v>1807</v>
      </c>
      <c r="FQ315" s="330"/>
      <c r="FR315" s="330"/>
      <c r="FS315" s="330"/>
      <c r="FT315" s="330"/>
      <c r="FU315" s="330"/>
    </row>
    <row r="316" spans="1:177" ht="216.75" x14ac:dyDescent="0.25">
      <c r="A316" s="330">
        <v>315</v>
      </c>
      <c r="B316" s="331" t="s">
        <v>4161</v>
      </c>
      <c r="C316" s="330"/>
      <c r="D316" s="332" t="s">
        <v>900</v>
      </c>
      <c r="E316" s="332" t="s">
        <v>901</v>
      </c>
      <c r="F316" s="332" t="s">
        <v>902</v>
      </c>
      <c r="G316" s="330" t="s">
        <v>903</v>
      </c>
      <c r="H316" s="331"/>
      <c r="I316" s="330"/>
      <c r="J316" s="332" t="s">
        <v>4171</v>
      </c>
      <c r="K316" s="332" t="s">
        <v>4172</v>
      </c>
      <c r="L316" s="330"/>
      <c r="M316" s="332" t="s">
        <v>908</v>
      </c>
      <c r="N316" s="330"/>
      <c r="O316" s="333"/>
      <c r="P316" s="333"/>
      <c r="Q316" s="333" t="s">
        <v>184</v>
      </c>
      <c r="R316" s="333"/>
      <c r="S316" s="333">
        <v>520</v>
      </c>
      <c r="T316" s="333"/>
      <c r="U316" s="333"/>
      <c r="V316" s="333"/>
      <c r="W316" s="330"/>
      <c r="X316" s="330"/>
      <c r="Y316" s="332" t="s">
        <v>4173</v>
      </c>
      <c r="Z316" s="330" t="s">
        <v>739</v>
      </c>
      <c r="AA316" s="330" t="s">
        <v>4174</v>
      </c>
      <c r="AB316" s="330" t="s">
        <v>189</v>
      </c>
      <c r="AC316" s="330"/>
      <c r="AD316" s="330"/>
      <c r="AE316" s="330">
        <v>4</v>
      </c>
      <c r="AF316" s="330">
        <v>14</v>
      </c>
      <c r="AG316" s="332" t="s">
        <v>202</v>
      </c>
      <c r="AH316" s="332" t="s">
        <v>191</v>
      </c>
      <c r="AI316" s="330" t="s">
        <v>202</v>
      </c>
      <c r="AJ316" s="330"/>
      <c r="AK316" s="330"/>
      <c r="AL316" s="330"/>
      <c r="AM316" s="330"/>
      <c r="AN316" s="330"/>
      <c r="AO316" s="330"/>
      <c r="AP316" s="332"/>
      <c r="AQ316" s="330"/>
      <c r="AR316" s="330"/>
      <c r="AS316" s="330"/>
      <c r="AT316" s="330"/>
      <c r="AU316" s="332"/>
      <c r="AV316" s="334">
        <v>46128.44106582176</v>
      </c>
      <c r="AW316" s="330"/>
      <c r="AX316" s="335">
        <v>46147</v>
      </c>
      <c r="AY316" s="330"/>
      <c r="AZ316" s="330"/>
      <c r="BA316" s="330"/>
      <c r="BB316" s="330"/>
      <c r="BC316" s="336">
        <v>46156</v>
      </c>
      <c r="BD316" s="330"/>
      <c r="BE316" s="330"/>
      <c r="BF316" s="330"/>
      <c r="BG316" s="330"/>
      <c r="BH316" s="330" t="s">
        <v>220</v>
      </c>
      <c r="BI316" s="330">
        <v>130</v>
      </c>
      <c r="BJ316" s="336">
        <v>46142</v>
      </c>
      <c r="BK316" s="330"/>
      <c r="BL316" s="330"/>
      <c r="BM316" s="332"/>
      <c r="BN316" s="330"/>
      <c r="BO316" s="330"/>
      <c r="BP316" s="330"/>
      <c r="BQ316" s="330"/>
      <c r="BR316" s="330"/>
      <c r="BS316" s="330"/>
      <c r="BT316" s="330"/>
      <c r="BU316" s="330"/>
      <c r="BV316" s="330"/>
      <c r="BW316" s="330"/>
      <c r="BX316" s="332"/>
      <c r="BY316" s="330"/>
      <c r="BZ316" s="330"/>
      <c r="CA316" s="330"/>
      <c r="CB316" s="330"/>
      <c r="CC316" s="337" t="s">
        <v>911</v>
      </c>
      <c r="CD316" s="330"/>
      <c r="CE316" s="330"/>
      <c r="CF316" s="330"/>
      <c r="CG316" s="330"/>
      <c r="CH316" s="330"/>
      <c r="CI316" s="330"/>
      <c r="CJ316" s="330"/>
      <c r="CK316" s="330"/>
      <c r="CL316" s="330"/>
      <c r="CM316" s="330"/>
      <c r="CN316" s="330"/>
      <c r="CO316" s="330"/>
      <c r="CP316" s="330"/>
      <c r="CQ316" s="330"/>
      <c r="CR316" s="330"/>
      <c r="CS316" s="330"/>
      <c r="CT316" s="330"/>
      <c r="CU316" s="330"/>
      <c r="CV316" s="330"/>
      <c r="CW316" s="330"/>
      <c r="CX316" s="330"/>
      <c r="CY316" s="330"/>
      <c r="CZ316" s="330"/>
      <c r="DA316" s="330"/>
      <c r="DB316" s="330"/>
      <c r="DC316" s="330"/>
      <c r="DD316" s="330"/>
      <c r="DE316" s="330"/>
      <c r="DF316" s="338">
        <v>24079</v>
      </c>
      <c r="DG316" s="330" t="s">
        <v>764</v>
      </c>
      <c r="DH316" s="330"/>
      <c r="DI316" s="338">
        <v>14</v>
      </c>
      <c r="DJ316" s="330"/>
      <c r="DK316" s="330">
        <v>14</v>
      </c>
      <c r="DL316" s="330" t="s">
        <v>4161</v>
      </c>
      <c r="DM316" s="330"/>
      <c r="DN316" s="330"/>
      <c r="DO316" s="330"/>
      <c r="DP316" s="330"/>
      <c r="DQ316" s="338" t="s">
        <v>197</v>
      </c>
      <c r="DR316" s="330"/>
      <c r="DS316" s="330"/>
      <c r="DT316" s="330"/>
      <c r="DU316" s="338" t="s">
        <v>197</v>
      </c>
      <c r="DV316" s="330"/>
      <c r="DW316" s="330"/>
      <c r="DX316" s="330"/>
      <c r="DY316" s="338" t="s">
        <v>197</v>
      </c>
      <c r="DZ316" s="330"/>
      <c r="EA316" s="330"/>
      <c r="EB316" s="330"/>
      <c r="EC316" s="330" t="s">
        <v>197</v>
      </c>
      <c r="ED316" s="338" t="s">
        <v>197</v>
      </c>
      <c r="EE316" s="343">
        <v>2</v>
      </c>
      <c r="EF316" s="330">
        <v>40</v>
      </c>
      <c r="EG316" s="330"/>
      <c r="EH316" s="330"/>
      <c r="EI316" s="330"/>
      <c r="EJ316" s="330"/>
      <c r="EK316" s="330"/>
      <c r="EL316" s="330"/>
      <c r="EM316" s="330"/>
      <c r="EN316" s="330"/>
      <c r="EO316" s="330"/>
      <c r="EP316" s="330"/>
      <c r="EQ316" s="332" t="s">
        <v>224</v>
      </c>
      <c r="ER316" s="330"/>
      <c r="ES316" s="330"/>
      <c r="ET316" s="332"/>
      <c r="EU316" s="332"/>
      <c r="EV316" s="330"/>
      <c r="EW316" s="330"/>
      <c r="EX316" s="330" t="s">
        <v>200</v>
      </c>
      <c r="EY316" s="330"/>
      <c r="EZ316" s="330" t="s">
        <v>247</v>
      </c>
      <c r="FA316" s="330"/>
      <c r="FB316" s="330" t="s">
        <v>247</v>
      </c>
      <c r="FC316" s="330" t="s">
        <v>202</v>
      </c>
      <c r="FD316" s="332" t="s">
        <v>190</v>
      </c>
      <c r="FE316" s="330"/>
      <c r="FF316" s="330"/>
      <c r="FG316" s="330" t="s">
        <v>203</v>
      </c>
      <c r="FH316" s="330"/>
      <c r="FI316" s="330" t="s">
        <v>204</v>
      </c>
      <c r="FJ316" s="330"/>
      <c r="FK316" s="330" t="s">
        <v>902</v>
      </c>
      <c r="FL316" s="330"/>
      <c r="FM316" s="330"/>
      <c r="FN316" s="330" t="s">
        <v>4175</v>
      </c>
      <c r="FO316" s="330"/>
      <c r="FP316" s="330" t="s">
        <v>1958</v>
      </c>
      <c r="FQ316" s="330"/>
      <c r="FR316" s="330"/>
      <c r="FS316" s="330"/>
      <c r="FT316" s="330"/>
      <c r="FU316" s="330"/>
    </row>
    <row r="317" spans="1:177" ht="38.25" x14ac:dyDescent="0.25">
      <c r="A317" s="330">
        <v>316</v>
      </c>
      <c r="B317" s="331" t="s">
        <v>4176</v>
      </c>
      <c r="C317" s="330"/>
      <c r="D317" s="332" t="s">
        <v>4177</v>
      </c>
      <c r="E317" s="332" t="s">
        <v>4178</v>
      </c>
      <c r="F317" s="332" t="s">
        <v>1125</v>
      </c>
      <c r="G317" s="330" t="s">
        <v>1126</v>
      </c>
      <c r="H317" s="331"/>
      <c r="I317" s="330"/>
      <c r="J317" s="332" t="s">
        <v>4179</v>
      </c>
      <c r="K317" s="332" t="s">
        <v>4180</v>
      </c>
      <c r="L317" s="330" t="s">
        <v>4189</v>
      </c>
      <c r="M317" s="332"/>
      <c r="N317" s="330" t="s">
        <v>4190</v>
      </c>
      <c r="O317" s="333"/>
      <c r="P317" s="333"/>
      <c r="Q317" s="333" t="s">
        <v>184</v>
      </c>
      <c r="R317" s="333">
        <v>0</v>
      </c>
      <c r="S317" s="333">
        <v>10</v>
      </c>
      <c r="T317" s="333">
        <v>1</v>
      </c>
      <c r="U317" s="333">
        <v>0</v>
      </c>
      <c r="V317" s="333">
        <v>0</v>
      </c>
      <c r="W317" s="330"/>
      <c r="X317" s="330"/>
      <c r="Y317" s="332" t="s">
        <v>4181</v>
      </c>
      <c r="Z317" s="330" t="s">
        <v>187</v>
      </c>
      <c r="AA317" s="330" t="s">
        <v>4182</v>
      </c>
      <c r="AB317" s="330" t="s">
        <v>189</v>
      </c>
      <c r="AC317" s="330"/>
      <c r="AD317" s="330"/>
      <c r="AE317" s="330">
        <v>1</v>
      </c>
      <c r="AF317" s="330">
        <v>7</v>
      </c>
      <c r="AG317" s="332" t="s">
        <v>202</v>
      </c>
      <c r="AH317" s="332" t="s">
        <v>191</v>
      </c>
      <c r="AI317" s="330"/>
      <c r="AJ317" s="330"/>
      <c r="AK317" s="330"/>
      <c r="AL317" s="330" t="s">
        <v>741</v>
      </c>
      <c r="AM317" s="330" t="s">
        <v>202</v>
      </c>
      <c r="AN317" s="330" t="s">
        <v>741</v>
      </c>
      <c r="AO317" s="330"/>
      <c r="AP317" s="332"/>
      <c r="AQ317" s="330"/>
      <c r="AR317" s="330"/>
      <c r="AS317" s="330"/>
      <c r="AT317" s="330"/>
      <c r="AU317" s="332"/>
      <c r="AV317" s="334">
        <v>46128.523623518522</v>
      </c>
      <c r="AW317" s="330" t="b">
        <v>1</v>
      </c>
      <c r="AX317" s="335">
        <v>46136</v>
      </c>
      <c r="AY317" s="330"/>
      <c r="AZ317" s="330"/>
      <c r="BA317" s="330"/>
      <c r="BB317" s="330"/>
      <c r="BC317" s="336">
        <v>46129</v>
      </c>
      <c r="BD317" s="330"/>
      <c r="BE317" s="330"/>
      <c r="BF317" s="330"/>
      <c r="BG317" s="330"/>
      <c r="BH317" s="330" t="s">
        <v>220</v>
      </c>
      <c r="BI317" s="330">
        <v>2</v>
      </c>
      <c r="BJ317" s="336">
        <v>46129</v>
      </c>
      <c r="BK317" s="330"/>
      <c r="BL317" s="330"/>
      <c r="BM317" s="332"/>
      <c r="BN317" s="330"/>
      <c r="BO317" s="330"/>
      <c r="BP317" s="330"/>
      <c r="BQ317" s="330"/>
      <c r="BR317" s="330"/>
      <c r="BS317" s="330"/>
      <c r="BT317" s="330"/>
      <c r="BU317" s="330"/>
      <c r="BV317" s="330"/>
      <c r="BW317" s="330"/>
      <c r="BX317" s="332"/>
      <c r="BY317" s="330"/>
      <c r="BZ317" s="330"/>
      <c r="CA317" s="330"/>
      <c r="CB317" s="330"/>
      <c r="CC317" s="337" t="s">
        <v>935</v>
      </c>
      <c r="CD317" s="330"/>
      <c r="CE317" s="330"/>
      <c r="CF317" s="330"/>
      <c r="CG317" s="330"/>
      <c r="CH317" s="330"/>
      <c r="CI317" s="330"/>
      <c r="CJ317" s="330"/>
      <c r="CK317" s="330"/>
      <c r="CL317" s="330"/>
      <c r="CM317" s="330"/>
      <c r="CN317" s="330"/>
      <c r="CO317" s="330" t="b">
        <v>1</v>
      </c>
      <c r="CP317" s="330" t="b">
        <v>1</v>
      </c>
      <c r="CQ317" s="330"/>
      <c r="CR317" s="330"/>
      <c r="CS317" s="330"/>
      <c r="CT317" s="330"/>
      <c r="CU317" s="330"/>
      <c r="CV317" s="330"/>
      <c r="CW317" s="330"/>
      <c r="CX317" s="330"/>
      <c r="CY317" s="330"/>
      <c r="CZ317" s="330"/>
      <c r="DA317" s="330"/>
      <c r="DB317" s="330"/>
      <c r="DC317" s="330"/>
      <c r="DD317" s="330"/>
      <c r="DE317" s="330"/>
      <c r="DF317" s="338">
        <v>25036</v>
      </c>
      <c r="DG317" s="330" t="s">
        <v>764</v>
      </c>
      <c r="DH317" s="330"/>
      <c r="DI317" s="338">
        <v>22</v>
      </c>
      <c r="DJ317" s="330"/>
      <c r="DK317" s="330">
        <v>22</v>
      </c>
      <c r="DL317" s="330" t="s">
        <v>4176</v>
      </c>
      <c r="DM317" s="330"/>
      <c r="DN317" s="330"/>
      <c r="DO317" s="330"/>
      <c r="DP317" s="330"/>
      <c r="DQ317" s="338" t="s">
        <v>197</v>
      </c>
      <c r="DR317" s="330"/>
      <c r="DS317" s="330"/>
      <c r="DT317" s="330"/>
      <c r="DU317" s="338" t="s">
        <v>197</v>
      </c>
      <c r="DV317" s="330"/>
      <c r="DW317" s="330"/>
      <c r="DX317" s="330"/>
      <c r="DY317" s="338" t="s">
        <v>197</v>
      </c>
      <c r="DZ317" s="330"/>
      <c r="EA317" s="330"/>
      <c r="EB317" s="330"/>
      <c r="EC317" s="330" t="s">
        <v>197</v>
      </c>
      <c r="ED317" s="338" t="s">
        <v>197</v>
      </c>
      <c r="EE317" s="343">
        <v>1</v>
      </c>
      <c r="EF317" s="330">
        <v>10</v>
      </c>
      <c r="EG317" s="330"/>
      <c r="EH317" s="330"/>
      <c r="EI317" s="330"/>
      <c r="EJ317" s="330"/>
      <c r="EK317" s="330"/>
      <c r="EL317" s="330"/>
      <c r="EM317" s="330"/>
      <c r="EN317" s="330"/>
      <c r="EO317" s="330"/>
      <c r="EP317" s="330"/>
      <c r="EQ317" s="332" t="s">
        <v>244</v>
      </c>
      <c r="ER317" s="330"/>
      <c r="ES317" s="330"/>
      <c r="ET317" s="332"/>
      <c r="EU317" s="332" t="s">
        <v>199</v>
      </c>
      <c r="EV317" s="330"/>
      <c r="EW317" s="330"/>
      <c r="EX317" s="330" t="s">
        <v>200</v>
      </c>
      <c r="EY317" s="330"/>
      <c r="EZ317" s="330" t="s">
        <v>247</v>
      </c>
      <c r="FA317" s="330"/>
      <c r="FB317" s="330" t="s">
        <v>247</v>
      </c>
      <c r="FC317" s="330" t="s">
        <v>202</v>
      </c>
      <c r="FD317" s="332" t="s">
        <v>190</v>
      </c>
      <c r="FE317" s="330"/>
      <c r="FF317" s="330"/>
      <c r="FG317" s="330" t="s">
        <v>203</v>
      </c>
      <c r="FH317" s="330" t="s">
        <v>4191</v>
      </c>
      <c r="FI317" s="330" t="s">
        <v>204</v>
      </c>
      <c r="FJ317" s="330"/>
      <c r="FK317" s="330" t="s">
        <v>1125</v>
      </c>
      <c r="FL317" s="330" t="s">
        <v>741</v>
      </c>
      <c r="FM317" s="330" t="s">
        <v>202</v>
      </c>
      <c r="FN317" s="330" t="s">
        <v>4183</v>
      </c>
      <c r="FO317" s="330"/>
      <c r="FP317" s="330" t="s">
        <v>639</v>
      </c>
      <c r="FQ317" s="330"/>
      <c r="FR317" s="330"/>
      <c r="FS317" s="330"/>
      <c r="FT317" s="330"/>
      <c r="FU317" s="330"/>
    </row>
    <row r="318" spans="1:177" ht="102" x14ac:dyDescent="0.25">
      <c r="A318" s="330">
        <v>317</v>
      </c>
      <c r="B318" s="331" t="s">
        <v>4192</v>
      </c>
      <c r="C318" s="330"/>
      <c r="D318" s="332" t="s">
        <v>1570</v>
      </c>
      <c r="E318" s="332" t="s">
        <v>1571</v>
      </c>
      <c r="F318" s="332" t="s">
        <v>1572</v>
      </c>
      <c r="G318" s="330" t="s">
        <v>1573</v>
      </c>
      <c r="H318" s="331">
        <v>400</v>
      </c>
      <c r="I318" s="330"/>
      <c r="J318" s="332" t="s">
        <v>4193</v>
      </c>
      <c r="K318" s="332"/>
      <c r="L318" s="330"/>
      <c r="M318" s="332"/>
      <c r="N318" s="330"/>
      <c r="O318" s="333"/>
      <c r="P318" s="333"/>
      <c r="Q318" s="333">
        <v>3446</v>
      </c>
      <c r="R318" s="333">
        <v>17</v>
      </c>
      <c r="S318" s="333">
        <v>18</v>
      </c>
      <c r="T318" s="333"/>
      <c r="U318" s="333"/>
      <c r="V318" s="333"/>
      <c r="W318" s="330"/>
      <c r="X318" s="330"/>
      <c r="Y318" s="332" t="s">
        <v>4194</v>
      </c>
      <c r="Z318" s="330" t="s">
        <v>215</v>
      </c>
      <c r="AA318" s="330" t="s">
        <v>4195</v>
      </c>
      <c r="AB318" s="330" t="s">
        <v>217</v>
      </c>
      <c r="AC318" s="330"/>
      <c r="AD318" s="330"/>
      <c r="AE318" s="330">
        <v>9</v>
      </c>
      <c r="AF318" s="330">
        <v>16</v>
      </c>
      <c r="AG318" s="332" t="s">
        <v>191</v>
      </c>
      <c r="AH318" s="332" t="s">
        <v>191</v>
      </c>
      <c r="AI318" s="330"/>
      <c r="AJ318" s="330"/>
      <c r="AK318" s="330"/>
      <c r="AL318" s="330"/>
      <c r="AM318" s="330"/>
      <c r="AN318" s="330"/>
      <c r="AO318" s="330"/>
      <c r="AP318" s="332"/>
      <c r="AQ318" s="330"/>
      <c r="AR318" s="330"/>
      <c r="AS318" s="330"/>
      <c r="AT318" s="330"/>
      <c r="AU318" s="332"/>
      <c r="AV318" s="334">
        <v>46128.550303773147</v>
      </c>
      <c r="AW318" s="330" t="b">
        <v>1</v>
      </c>
      <c r="AX318" s="335">
        <v>46149</v>
      </c>
      <c r="AY318" s="330"/>
      <c r="AZ318" s="330"/>
      <c r="BA318" s="330"/>
      <c r="BB318" s="330"/>
      <c r="BC318" s="336">
        <v>46132</v>
      </c>
      <c r="BD318" s="330"/>
      <c r="BE318" s="330"/>
      <c r="BF318" s="330"/>
      <c r="BG318" s="330"/>
      <c r="BH318" s="330" t="s">
        <v>193</v>
      </c>
      <c r="BI318" s="330">
        <v>20</v>
      </c>
      <c r="BJ318" s="330"/>
      <c r="BK318" s="330"/>
      <c r="BL318" s="330"/>
      <c r="BM318" s="332"/>
      <c r="BN318" s="330"/>
      <c r="BO318" s="330" t="s">
        <v>4148</v>
      </c>
      <c r="BP318" s="330" t="s">
        <v>193</v>
      </c>
      <c r="BQ318" s="330" t="s">
        <v>218</v>
      </c>
      <c r="BR318" s="330" t="s">
        <v>220</v>
      </c>
      <c r="BS318" s="330"/>
      <c r="BT318" s="330" t="s">
        <v>193</v>
      </c>
      <c r="BU318" s="330" t="s">
        <v>4196</v>
      </c>
      <c r="BV318" s="330" t="s">
        <v>220</v>
      </c>
      <c r="BW318" s="330"/>
      <c r="BX318" s="332" t="s">
        <v>4197</v>
      </c>
      <c r="BY318" s="330" t="s">
        <v>4198</v>
      </c>
      <c r="BZ318" s="330"/>
      <c r="CA318" s="330"/>
      <c r="CB318" s="330"/>
      <c r="CC318" s="337"/>
      <c r="CD318" s="330"/>
      <c r="CE318" s="330"/>
      <c r="CF318" s="330"/>
      <c r="CG318" s="330"/>
      <c r="CH318" s="330"/>
      <c r="CI318" s="330"/>
      <c r="CJ318" s="330"/>
      <c r="CK318" s="330"/>
      <c r="CL318" s="330"/>
      <c r="CM318" s="330"/>
      <c r="CN318" s="330"/>
      <c r="CO318" s="330"/>
      <c r="CP318" s="330"/>
      <c r="CQ318" s="330"/>
      <c r="CR318" s="330"/>
      <c r="CS318" s="330"/>
      <c r="CT318" s="330"/>
      <c r="CU318" s="330"/>
      <c r="CV318" s="330"/>
      <c r="CW318" s="330"/>
      <c r="CX318" s="330"/>
      <c r="CY318" s="330"/>
      <c r="CZ318" s="330"/>
      <c r="DA318" s="330"/>
      <c r="DB318" s="330"/>
      <c r="DC318" s="330"/>
      <c r="DD318" s="330"/>
      <c r="DE318" s="330"/>
      <c r="DF318" s="338">
        <v>24046</v>
      </c>
      <c r="DG318" s="330" t="s">
        <v>1541</v>
      </c>
      <c r="DH318" s="330"/>
      <c r="DI318" s="338" t="s">
        <v>959</v>
      </c>
      <c r="DJ318" s="330"/>
      <c r="DK318" s="330">
        <v>6</v>
      </c>
      <c r="DL318" s="330" t="s">
        <v>4192</v>
      </c>
      <c r="DM318" s="330"/>
      <c r="DN318" s="330"/>
      <c r="DO318" s="330"/>
      <c r="DP318" s="330"/>
      <c r="DQ318" s="338" t="s">
        <v>197</v>
      </c>
      <c r="DR318" s="330"/>
      <c r="DS318" s="330"/>
      <c r="DT318" s="330"/>
      <c r="DU318" s="338" t="s">
        <v>197</v>
      </c>
      <c r="DV318" s="330"/>
      <c r="DW318" s="330"/>
      <c r="DX318" s="330"/>
      <c r="DY318" s="338" t="s">
        <v>197</v>
      </c>
      <c r="DZ318" s="330"/>
      <c r="EA318" s="330"/>
      <c r="EB318" s="330"/>
      <c r="EC318" s="330" t="s">
        <v>197</v>
      </c>
      <c r="ED318" s="338" t="s">
        <v>197</v>
      </c>
      <c r="EE318" s="343">
        <v>1</v>
      </c>
      <c r="EF318" s="330">
        <v>4</v>
      </c>
      <c r="EG318" s="330"/>
      <c r="EH318" s="330"/>
      <c r="EI318" s="330"/>
      <c r="EJ318" s="330"/>
      <c r="EK318" s="330"/>
      <c r="EL318" s="330"/>
      <c r="EM318" s="330"/>
      <c r="EN318" s="330"/>
      <c r="EO318" s="330"/>
      <c r="EP318" s="330"/>
      <c r="EQ318" s="332" t="s">
        <v>198</v>
      </c>
      <c r="ER318" s="330"/>
      <c r="ES318" s="330"/>
      <c r="ET318" s="332"/>
      <c r="EU318" s="332"/>
      <c r="EV318" s="330"/>
      <c r="EW318" s="330"/>
      <c r="EX318" s="330" t="s">
        <v>200</v>
      </c>
      <c r="EY318" s="330"/>
      <c r="EZ318" s="330" t="s">
        <v>247</v>
      </c>
      <c r="FA318" s="330"/>
      <c r="FB318" s="330" t="s">
        <v>247</v>
      </c>
      <c r="FC318" s="330" t="s">
        <v>202</v>
      </c>
      <c r="FD318" s="332" t="s">
        <v>190</v>
      </c>
      <c r="FE318" s="330"/>
      <c r="FF318" s="330"/>
      <c r="FG318" s="330" t="s">
        <v>203</v>
      </c>
      <c r="FH318" s="330"/>
      <c r="FI318" s="330" t="s">
        <v>204</v>
      </c>
      <c r="FJ318" s="330"/>
      <c r="FK318" s="330" t="s">
        <v>1572</v>
      </c>
      <c r="FL318" s="330"/>
      <c r="FM318" s="330"/>
      <c r="FN318" s="330" t="s">
        <v>4199</v>
      </c>
      <c r="FO318" s="330"/>
      <c r="FP318" s="330" t="s">
        <v>1330</v>
      </c>
      <c r="FQ318" s="330"/>
      <c r="FR318" s="330"/>
      <c r="FS318" s="330"/>
      <c r="FT318" s="330"/>
      <c r="FU318" s="330"/>
    </row>
    <row r="319" spans="1:177" ht="38.25" x14ac:dyDescent="0.25">
      <c r="A319" s="330">
        <v>318</v>
      </c>
      <c r="B319" s="331" t="s">
        <v>4200</v>
      </c>
      <c r="C319" s="330"/>
      <c r="D319" s="332" t="s">
        <v>1766</v>
      </c>
      <c r="E319" s="332" t="s">
        <v>1767</v>
      </c>
      <c r="F319" s="332" t="s">
        <v>610</v>
      </c>
      <c r="G319" s="330" t="s">
        <v>611</v>
      </c>
      <c r="H319" s="331"/>
      <c r="I319" s="330"/>
      <c r="J319" s="332"/>
      <c r="K319" s="332" t="s">
        <v>4201</v>
      </c>
      <c r="L319" s="330"/>
      <c r="M319" s="332"/>
      <c r="N319" s="330"/>
      <c r="O319" s="333"/>
      <c r="P319" s="333"/>
      <c r="Q319" s="333"/>
      <c r="R319" s="333">
        <v>2</v>
      </c>
      <c r="S319" s="333">
        <v>6</v>
      </c>
      <c r="T319" s="333">
        <v>0</v>
      </c>
      <c r="U319" s="333">
        <v>0</v>
      </c>
      <c r="V319" s="333">
        <v>0</v>
      </c>
      <c r="W319" s="330"/>
      <c r="X319" s="330"/>
      <c r="Y319" s="332" t="s">
        <v>1773</v>
      </c>
      <c r="Z319" s="330"/>
      <c r="AA319" s="330"/>
      <c r="AB319" s="330"/>
      <c r="AC319" s="330"/>
      <c r="AD319" s="330"/>
      <c r="AE319" s="330">
        <v>2</v>
      </c>
      <c r="AF319" s="330">
        <v>1</v>
      </c>
      <c r="AG319" s="332" t="s">
        <v>259</v>
      </c>
      <c r="AH319" s="332" t="s">
        <v>191</v>
      </c>
      <c r="AI319" s="330"/>
      <c r="AJ319" s="330"/>
      <c r="AK319" s="330"/>
      <c r="AL319" s="330"/>
      <c r="AM319" s="330"/>
      <c r="AN319" s="330" t="s">
        <v>674</v>
      </c>
      <c r="AO319" s="330"/>
      <c r="AP319" s="332" t="s">
        <v>259</v>
      </c>
      <c r="AQ319" s="330"/>
      <c r="AR319" s="330"/>
      <c r="AS319" s="330"/>
      <c r="AT319" s="330"/>
      <c r="AU319" s="332" t="s">
        <v>471</v>
      </c>
      <c r="AV319" s="334">
        <v>46128.552160023151</v>
      </c>
      <c r="AW319" s="330"/>
      <c r="AX319" s="335">
        <v>46128</v>
      </c>
      <c r="AY319" s="330"/>
      <c r="AZ319" s="330"/>
      <c r="BA319" s="330"/>
      <c r="BB319" s="330"/>
      <c r="BC319" s="330"/>
      <c r="BD319" s="330"/>
      <c r="BE319" s="330"/>
      <c r="BF319" s="330"/>
      <c r="BG319" s="330"/>
      <c r="BH319" s="330"/>
      <c r="BI319" s="330"/>
      <c r="BJ319" s="330"/>
      <c r="BK319" s="330"/>
      <c r="BL319" s="330"/>
      <c r="BM319" s="332"/>
      <c r="BN319" s="330"/>
      <c r="BO319" s="330"/>
      <c r="BP319" s="330"/>
      <c r="BQ319" s="330"/>
      <c r="BR319" s="330"/>
      <c r="BS319" s="330"/>
      <c r="BT319" s="330"/>
      <c r="BU319" s="330"/>
      <c r="BV319" s="330"/>
      <c r="BW319" s="330"/>
      <c r="BX319" s="332" t="s">
        <v>4202</v>
      </c>
      <c r="BY319" s="330" t="s">
        <v>1855</v>
      </c>
      <c r="BZ319" s="330" t="s">
        <v>676</v>
      </c>
      <c r="CA319" s="330"/>
      <c r="CB319" s="330" t="s">
        <v>677</v>
      </c>
      <c r="CC319" s="337" t="s">
        <v>1890</v>
      </c>
      <c r="CD319" s="330"/>
      <c r="CE319" s="330"/>
      <c r="CF319" s="330" t="b">
        <v>1</v>
      </c>
      <c r="CG319" s="330" t="s">
        <v>820</v>
      </c>
      <c r="CH319" s="330"/>
      <c r="CI319" s="330"/>
      <c r="CJ319" s="330"/>
      <c r="CK319" s="330"/>
      <c r="CL319" s="330"/>
      <c r="CM319" s="330"/>
      <c r="CN319" s="330"/>
      <c r="CO319" s="330"/>
      <c r="CP319" s="330"/>
      <c r="CQ319" s="330"/>
      <c r="CR319" s="330"/>
      <c r="CS319" s="330"/>
      <c r="CT319" s="330"/>
      <c r="CU319" s="330"/>
      <c r="CV319" s="330"/>
      <c r="CW319" s="330"/>
      <c r="CX319" s="330"/>
      <c r="CY319" s="330"/>
      <c r="CZ319" s="330"/>
      <c r="DA319" s="330"/>
      <c r="DB319" s="330" t="b">
        <v>1</v>
      </c>
      <c r="DC319" s="330" t="b">
        <v>1</v>
      </c>
      <c r="DD319" s="330"/>
      <c r="DE319" s="330"/>
      <c r="DF319" s="338">
        <v>25075</v>
      </c>
      <c r="DG319" s="330"/>
      <c r="DH319" s="330" t="s">
        <v>678</v>
      </c>
      <c r="DI319" s="338" t="s">
        <v>196</v>
      </c>
      <c r="DJ319" s="330" t="s">
        <v>679</v>
      </c>
      <c r="DK319" s="330">
        <v>1</v>
      </c>
      <c r="DL319" s="330" t="s">
        <v>4200</v>
      </c>
      <c r="DM319" s="330"/>
      <c r="DN319" s="330"/>
      <c r="DO319" s="330"/>
      <c r="DP319" s="330"/>
      <c r="DQ319" s="338" t="s">
        <v>197</v>
      </c>
      <c r="DR319" s="330"/>
      <c r="DS319" s="330"/>
      <c r="DT319" s="330"/>
      <c r="DU319" s="338" t="s">
        <v>197</v>
      </c>
      <c r="DV319" s="330"/>
      <c r="DW319" s="330"/>
      <c r="DX319" s="330"/>
      <c r="DY319" s="338" t="s">
        <v>197</v>
      </c>
      <c r="DZ319" s="330"/>
      <c r="EA319" s="330"/>
      <c r="EB319" s="330"/>
      <c r="EC319" s="330" t="s">
        <v>197</v>
      </c>
      <c r="ED319" s="338" t="s">
        <v>197</v>
      </c>
      <c r="EE319" s="330"/>
      <c r="EF319" s="330"/>
      <c r="EG319" s="330"/>
      <c r="EH319" s="330"/>
      <c r="EI319" s="330"/>
      <c r="EJ319" s="330"/>
      <c r="EK319" s="330"/>
      <c r="EL319" s="330"/>
      <c r="EM319" s="330"/>
      <c r="EN319" s="330"/>
      <c r="EO319" s="330"/>
      <c r="EP319" s="330"/>
      <c r="EQ319" s="332"/>
      <c r="ER319" s="330"/>
      <c r="ES319" s="330"/>
      <c r="ET319" s="332" t="s">
        <v>245</v>
      </c>
      <c r="EU319" s="332" t="s">
        <v>823</v>
      </c>
      <c r="EV319" s="336">
        <v>46128</v>
      </c>
      <c r="EW319" s="330"/>
      <c r="EX319" s="330" t="s">
        <v>1891</v>
      </c>
      <c r="EY319" s="330"/>
      <c r="EZ319" s="330" t="s">
        <v>247</v>
      </c>
      <c r="FA319" s="330"/>
      <c r="FB319" s="330" t="s">
        <v>247</v>
      </c>
      <c r="FC319" s="330" t="s">
        <v>202</v>
      </c>
      <c r="FD319" s="332" t="s">
        <v>190</v>
      </c>
      <c r="FE319" s="330"/>
      <c r="FF319" s="330"/>
      <c r="FG319" s="330" t="s">
        <v>681</v>
      </c>
      <c r="FH319" s="330"/>
      <c r="FI319" s="330" t="s">
        <v>204</v>
      </c>
      <c r="FJ319" s="330"/>
      <c r="FK319" s="330" t="s">
        <v>610</v>
      </c>
      <c r="FL319" s="330"/>
      <c r="FM319" s="330"/>
      <c r="FN319" s="330" t="s">
        <v>4203</v>
      </c>
      <c r="FO319" s="330"/>
      <c r="FP319" s="330" t="s">
        <v>694</v>
      </c>
      <c r="FQ319" s="330"/>
      <c r="FR319" s="330"/>
      <c r="FS319" s="330"/>
      <c r="FT319" s="330"/>
      <c r="FU319" s="330"/>
    </row>
    <row r="320" spans="1:177" ht="38.25" x14ac:dyDescent="0.25">
      <c r="A320" s="330">
        <v>319</v>
      </c>
      <c r="B320" s="331" t="s">
        <v>4184</v>
      </c>
      <c r="C320" s="330"/>
      <c r="D320" s="332" t="s">
        <v>228</v>
      </c>
      <c r="E320" s="332" t="s">
        <v>229</v>
      </c>
      <c r="F320" s="332" t="s">
        <v>230</v>
      </c>
      <c r="G320" s="330" t="s">
        <v>231</v>
      </c>
      <c r="H320" s="331"/>
      <c r="I320" s="330"/>
      <c r="J320" s="332"/>
      <c r="K320" s="332" t="s">
        <v>4204</v>
      </c>
      <c r="L320" s="330"/>
      <c r="M320" s="332"/>
      <c r="N320" s="330"/>
      <c r="O320" s="333"/>
      <c r="P320" s="333"/>
      <c r="Q320" s="333">
        <v>19268</v>
      </c>
      <c r="R320" s="333">
        <v>1</v>
      </c>
      <c r="S320" s="333">
        <v>0</v>
      </c>
      <c r="T320" s="333">
        <v>0</v>
      </c>
      <c r="U320" s="333">
        <v>0</v>
      </c>
      <c r="V320" s="333">
        <v>0</v>
      </c>
      <c r="W320" s="330"/>
      <c r="X320" s="330"/>
      <c r="Y320" s="332" t="s">
        <v>351</v>
      </c>
      <c r="Z320" s="330"/>
      <c r="AA320" s="330"/>
      <c r="AB320" s="330"/>
      <c r="AC320" s="330"/>
      <c r="AD320" s="330"/>
      <c r="AE320" s="330">
        <v>2</v>
      </c>
      <c r="AF320" s="330">
        <v>1</v>
      </c>
      <c r="AG320" s="332" t="s">
        <v>259</v>
      </c>
      <c r="AH320" s="332" t="s">
        <v>191</v>
      </c>
      <c r="AI320" s="330"/>
      <c r="AJ320" s="330"/>
      <c r="AK320" s="330"/>
      <c r="AL320" s="330"/>
      <c r="AM320" s="330"/>
      <c r="AN320" s="330" t="s">
        <v>674</v>
      </c>
      <c r="AO320" s="330"/>
      <c r="AP320" s="332" t="s">
        <v>259</v>
      </c>
      <c r="AQ320" s="330"/>
      <c r="AR320" s="330"/>
      <c r="AS320" s="330"/>
      <c r="AT320" s="330"/>
      <c r="AU320" s="332" t="s">
        <v>471</v>
      </c>
      <c r="AV320" s="334">
        <v>46128.554150289354</v>
      </c>
      <c r="AW320" s="330"/>
      <c r="AX320" s="335">
        <v>46128</v>
      </c>
      <c r="AY320" s="330"/>
      <c r="AZ320" s="330"/>
      <c r="BA320" s="330"/>
      <c r="BB320" s="330"/>
      <c r="BC320" s="330"/>
      <c r="BD320" s="330"/>
      <c r="BE320" s="330"/>
      <c r="BF320" s="330"/>
      <c r="BG320" s="330"/>
      <c r="BH320" s="330"/>
      <c r="BI320" s="330"/>
      <c r="BJ320" s="330"/>
      <c r="BK320" s="330"/>
      <c r="BL320" s="330"/>
      <c r="BM320" s="332"/>
      <c r="BN320" s="330"/>
      <c r="BO320" s="330"/>
      <c r="BP320" s="330"/>
      <c r="BQ320" s="330"/>
      <c r="BR320" s="330"/>
      <c r="BS320" s="330"/>
      <c r="BT320" s="330"/>
      <c r="BU320" s="330"/>
      <c r="BV320" s="330"/>
      <c r="BW320" s="330"/>
      <c r="BX320" s="332" t="s">
        <v>4205</v>
      </c>
      <c r="BY320" s="330" t="s">
        <v>4206</v>
      </c>
      <c r="BZ320" s="330" t="s">
        <v>714</v>
      </c>
      <c r="CA320" s="330"/>
      <c r="CB320" s="330" t="s">
        <v>677</v>
      </c>
      <c r="CC320" s="337" t="s">
        <v>1890</v>
      </c>
      <c r="CD320" s="330"/>
      <c r="CE320" s="330"/>
      <c r="CF320" s="330" t="b">
        <v>1</v>
      </c>
      <c r="CG320" s="330" t="s">
        <v>820</v>
      </c>
      <c r="CH320" s="330"/>
      <c r="CI320" s="330"/>
      <c r="CJ320" s="330"/>
      <c r="CK320" s="330"/>
      <c r="CL320" s="330"/>
      <c r="CM320" s="330"/>
      <c r="CN320" s="330"/>
      <c r="CO320" s="330"/>
      <c r="CP320" s="330"/>
      <c r="CQ320" s="330"/>
      <c r="CR320" s="330"/>
      <c r="CS320" s="330"/>
      <c r="CT320" s="330"/>
      <c r="CU320" s="330"/>
      <c r="CV320" s="330"/>
      <c r="CW320" s="330"/>
      <c r="CX320" s="330"/>
      <c r="CY320" s="330"/>
      <c r="CZ320" s="330"/>
      <c r="DA320" s="330"/>
      <c r="DB320" s="330" t="b">
        <v>1</v>
      </c>
      <c r="DC320" s="330" t="b">
        <v>1</v>
      </c>
      <c r="DD320" s="330"/>
      <c r="DE320" s="330"/>
      <c r="DF320" s="338">
        <v>24051</v>
      </c>
      <c r="DG320" s="330"/>
      <c r="DH320" s="330" t="s">
        <v>678</v>
      </c>
      <c r="DI320" s="338">
        <v>58</v>
      </c>
      <c r="DJ320" s="330" t="s">
        <v>679</v>
      </c>
      <c r="DK320" s="330">
        <v>58</v>
      </c>
      <c r="DL320" s="330" t="s">
        <v>4184</v>
      </c>
      <c r="DM320" s="330"/>
      <c r="DN320" s="330"/>
      <c r="DO320" s="330"/>
      <c r="DP320" s="330"/>
      <c r="DQ320" s="338" t="s">
        <v>197</v>
      </c>
      <c r="DR320" s="330"/>
      <c r="DS320" s="330"/>
      <c r="DT320" s="330"/>
      <c r="DU320" s="338" t="s">
        <v>197</v>
      </c>
      <c r="DV320" s="330"/>
      <c r="DW320" s="330"/>
      <c r="DX320" s="330"/>
      <c r="DY320" s="338" t="s">
        <v>197</v>
      </c>
      <c r="DZ320" s="330"/>
      <c r="EA320" s="330"/>
      <c r="EB320" s="330"/>
      <c r="EC320" s="330" t="s">
        <v>197</v>
      </c>
      <c r="ED320" s="338" t="s">
        <v>197</v>
      </c>
      <c r="EE320" s="330"/>
      <c r="EF320" s="330"/>
      <c r="EG320" s="330"/>
      <c r="EH320" s="330"/>
      <c r="EI320" s="330"/>
      <c r="EJ320" s="330"/>
      <c r="EK320" s="330"/>
      <c r="EL320" s="330"/>
      <c r="EM320" s="330"/>
      <c r="EN320" s="330"/>
      <c r="EO320" s="330"/>
      <c r="EP320" s="330"/>
      <c r="EQ320" s="332"/>
      <c r="ER320" s="330"/>
      <c r="ES320" s="330"/>
      <c r="ET320" s="332" t="s">
        <v>245</v>
      </c>
      <c r="EU320" s="332" t="s">
        <v>823</v>
      </c>
      <c r="EV320" s="336">
        <v>46128</v>
      </c>
      <c r="EW320" s="330"/>
      <c r="EX320" s="330" t="s">
        <v>1891</v>
      </c>
      <c r="EY320" s="330"/>
      <c r="EZ320" s="330" t="s">
        <v>247</v>
      </c>
      <c r="FA320" s="330"/>
      <c r="FB320" s="330" t="s">
        <v>247</v>
      </c>
      <c r="FC320" s="330" t="s">
        <v>202</v>
      </c>
      <c r="FD320" s="332" t="s">
        <v>190</v>
      </c>
      <c r="FE320" s="330"/>
      <c r="FF320" s="330"/>
      <c r="FG320" s="330" t="s">
        <v>681</v>
      </c>
      <c r="FH320" s="330"/>
      <c r="FI320" s="330" t="s">
        <v>204</v>
      </c>
      <c r="FJ320" s="330"/>
      <c r="FK320" s="330" t="s">
        <v>230</v>
      </c>
      <c r="FL320" s="330"/>
      <c r="FM320" s="330"/>
      <c r="FN320" s="330" t="s">
        <v>4207</v>
      </c>
      <c r="FO320" s="330"/>
      <c r="FP320" s="330" t="s">
        <v>694</v>
      </c>
      <c r="FQ320" s="330"/>
      <c r="FR320" s="330"/>
      <c r="FS320" s="330"/>
      <c r="FT320" s="330"/>
      <c r="FU320" s="330"/>
    </row>
    <row r="321" spans="1:177" ht="38.25" x14ac:dyDescent="0.25">
      <c r="A321" s="330">
        <v>320</v>
      </c>
      <c r="B321" s="331" t="s">
        <v>4185</v>
      </c>
      <c r="C321" s="330"/>
      <c r="D321" s="332" t="s">
        <v>208</v>
      </c>
      <c r="E321" s="332" t="s">
        <v>209</v>
      </c>
      <c r="F321" s="332" t="s">
        <v>180</v>
      </c>
      <c r="G321" s="330" t="s">
        <v>181</v>
      </c>
      <c r="H321" s="331"/>
      <c r="I321" s="330"/>
      <c r="J321" s="332"/>
      <c r="K321" s="332" t="s">
        <v>4208</v>
      </c>
      <c r="L321" s="330"/>
      <c r="M321" s="332"/>
      <c r="N321" s="330"/>
      <c r="O321" s="333"/>
      <c r="P321" s="333"/>
      <c r="Q321" s="333" t="s">
        <v>184</v>
      </c>
      <c r="R321" s="333">
        <v>0</v>
      </c>
      <c r="S321" s="333">
        <v>3</v>
      </c>
      <c r="T321" s="333">
        <v>0</v>
      </c>
      <c r="U321" s="333">
        <v>0</v>
      </c>
      <c r="V321" s="333">
        <v>0</v>
      </c>
      <c r="W321" s="330"/>
      <c r="X321" s="330"/>
      <c r="Y321" s="332" t="s">
        <v>1758</v>
      </c>
      <c r="Z321" s="330"/>
      <c r="AA321" s="330"/>
      <c r="AB321" s="330"/>
      <c r="AC321" s="330"/>
      <c r="AD321" s="330"/>
      <c r="AE321" s="330">
        <v>2</v>
      </c>
      <c r="AF321" s="330">
        <v>1</v>
      </c>
      <c r="AG321" s="332" t="s">
        <v>259</v>
      </c>
      <c r="AH321" s="332" t="s">
        <v>191</v>
      </c>
      <c r="AI321" s="330"/>
      <c r="AJ321" s="330"/>
      <c r="AK321" s="330"/>
      <c r="AL321" s="330"/>
      <c r="AM321" s="330"/>
      <c r="AN321" s="330" t="s">
        <v>674</v>
      </c>
      <c r="AO321" s="330"/>
      <c r="AP321" s="332" t="s">
        <v>259</v>
      </c>
      <c r="AQ321" s="330"/>
      <c r="AR321" s="330"/>
      <c r="AS321" s="330"/>
      <c r="AT321" s="330"/>
      <c r="AU321" s="332" t="s">
        <v>471</v>
      </c>
      <c r="AV321" s="334">
        <v>46128.556154571757</v>
      </c>
      <c r="AW321" s="330"/>
      <c r="AX321" s="335">
        <v>46128</v>
      </c>
      <c r="AY321" s="330"/>
      <c r="AZ321" s="330"/>
      <c r="BA321" s="330"/>
      <c r="BB321" s="330"/>
      <c r="BC321" s="330"/>
      <c r="BD321" s="330"/>
      <c r="BE321" s="330"/>
      <c r="BF321" s="330"/>
      <c r="BG321" s="330"/>
      <c r="BH321" s="330"/>
      <c r="BI321" s="330"/>
      <c r="BJ321" s="330"/>
      <c r="BK321" s="330"/>
      <c r="BL321" s="330"/>
      <c r="BM321" s="332"/>
      <c r="BN321" s="330"/>
      <c r="BO321" s="330"/>
      <c r="BP321" s="330"/>
      <c r="BQ321" s="330"/>
      <c r="BR321" s="330"/>
      <c r="BS321" s="330"/>
      <c r="BT321" s="330"/>
      <c r="BU321" s="330"/>
      <c r="BV321" s="330"/>
      <c r="BW321" s="330"/>
      <c r="BX321" s="332" t="s">
        <v>4209</v>
      </c>
      <c r="BY321" s="330" t="s">
        <v>2641</v>
      </c>
      <c r="BZ321" s="330" t="s">
        <v>4210</v>
      </c>
      <c r="CA321" s="330"/>
      <c r="CB321" s="330" t="s">
        <v>677</v>
      </c>
      <c r="CC321" s="337" t="s">
        <v>1890</v>
      </c>
      <c r="CD321" s="330"/>
      <c r="CE321" s="330"/>
      <c r="CF321" s="330" t="b">
        <v>1</v>
      </c>
      <c r="CG321" s="330" t="s">
        <v>820</v>
      </c>
      <c r="CH321" s="330"/>
      <c r="CI321" s="330"/>
      <c r="CJ321" s="330"/>
      <c r="CK321" s="330"/>
      <c r="CL321" s="330"/>
      <c r="CM321" s="330"/>
      <c r="CN321" s="330"/>
      <c r="CO321" s="330"/>
      <c r="CP321" s="330"/>
      <c r="CQ321" s="330"/>
      <c r="CR321" s="330"/>
      <c r="CS321" s="330"/>
      <c r="CT321" s="330"/>
      <c r="CU321" s="330"/>
      <c r="CV321" s="330"/>
      <c r="CW321" s="330"/>
      <c r="CX321" s="330"/>
      <c r="CY321" s="330"/>
      <c r="CZ321" s="330"/>
      <c r="DA321" s="330"/>
      <c r="DB321" s="330" t="b">
        <v>1</v>
      </c>
      <c r="DC321" s="330" t="b">
        <v>1</v>
      </c>
      <c r="DD321" s="330"/>
      <c r="DE321" s="330"/>
      <c r="DF321" s="338">
        <v>24071</v>
      </c>
      <c r="DG321" s="330"/>
      <c r="DH321" s="330" t="s">
        <v>678</v>
      </c>
      <c r="DI321" s="338">
        <v>15</v>
      </c>
      <c r="DJ321" s="330" t="s">
        <v>679</v>
      </c>
      <c r="DK321" s="330">
        <v>15</v>
      </c>
      <c r="DL321" s="330" t="s">
        <v>4185</v>
      </c>
      <c r="DM321" s="330"/>
      <c r="DN321" s="330"/>
      <c r="DO321" s="330"/>
      <c r="DP321" s="330"/>
      <c r="DQ321" s="338" t="s">
        <v>197</v>
      </c>
      <c r="DR321" s="330"/>
      <c r="DS321" s="330"/>
      <c r="DT321" s="330"/>
      <c r="DU321" s="338" t="s">
        <v>197</v>
      </c>
      <c r="DV321" s="330"/>
      <c r="DW321" s="330"/>
      <c r="DX321" s="330"/>
      <c r="DY321" s="338" t="s">
        <v>197</v>
      </c>
      <c r="DZ321" s="330"/>
      <c r="EA321" s="330"/>
      <c r="EB321" s="330"/>
      <c r="EC321" s="330" t="s">
        <v>197</v>
      </c>
      <c r="ED321" s="338" t="s">
        <v>197</v>
      </c>
      <c r="EE321" s="330"/>
      <c r="EF321" s="330"/>
      <c r="EG321" s="330"/>
      <c r="EH321" s="330"/>
      <c r="EI321" s="330"/>
      <c r="EJ321" s="330"/>
      <c r="EK321" s="330"/>
      <c r="EL321" s="330"/>
      <c r="EM321" s="330"/>
      <c r="EN321" s="330"/>
      <c r="EO321" s="330"/>
      <c r="EP321" s="330"/>
      <c r="EQ321" s="332"/>
      <c r="ER321" s="330"/>
      <c r="ES321" s="330"/>
      <c r="ET321" s="332" t="s">
        <v>245</v>
      </c>
      <c r="EU321" s="332" t="s">
        <v>823</v>
      </c>
      <c r="EV321" s="336">
        <v>46128</v>
      </c>
      <c r="EW321" s="330"/>
      <c r="EX321" s="330" t="s">
        <v>1891</v>
      </c>
      <c r="EY321" s="330"/>
      <c r="EZ321" s="330" t="s">
        <v>247</v>
      </c>
      <c r="FA321" s="330"/>
      <c r="FB321" s="330" t="s">
        <v>247</v>
      </c>
      <c r="FC321" s="330" t="s">
        <v>202</v>
      </c>
      <c r="FD321" s="332" t="s">
        <v>190</v>
      </c>
      <c r="FE321" s="330"/>
      <c r="FF321" s="330"/>
      <c r="FG321" s="330" t="s">
        <v>681</v>
      </c>
      <c r="FH321" s="330"/>
      <c r="FI321" s="330" t="s">
        <v>204</v>
      </c>
      <c r="FJ321" s="330"/>
      <c r="FK321" s="330" t="s">
        <v>180</v>
      </c>
      <c r="FL321" s="330"/>
      <c r="FM321" s="330"/>
      <c r="FN321" s="330" t="s">
        <v>4211</v>
      </c>
      <c r="FO321" s="330"/>
      <c r="FP321" s="330" t="s">
        <v>694</v>
      </c>
      <c r="FQ321" s="330"/>
      <c r="FR321" s="330"/>
      <c r="FS321" s="330"/>
      <c r="FT321" s="330"/>
      <c r="FU321" s="33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D8BFC-0685-4203-97C1-0B16F1EA4818}">
  <sheetPr>
    <tabColor rgb="FF4A6FA5"/>
  </sheetPr>
  <dimension ref="A1:N100"/>
  <sheetViews>
    <sheetView topLeftCell="C1" workbookViewId="0">
      <pane ySplit="6" topLeftCell="A7" activePane="bottomLeft" state="frozen"/>
      <selection pane="bottomLeft" activeCell="C8" sqref="C8"/>
    </sheetView>
  </sheetViews>
  <sheetFormatPr defaultRowHeight="15" x14ac:dyDescent="0.25"/>
  <cols>
    <col min="1" max="1" width="16" customWidth="1"/>
    <col min="2" max="2" width="33.28515625" customWidth="1"/>
    <col min="3" max="3" width="18.7109375" customWidth="1"/>
    <col min="4" max="5" width="13.28515625" customWidth="1"/>
    <col min="6" max="6" width="18.7109375" customWidth="1"/>
    <col min="7" max="7" width="16" customWidth="1"/>
    <col min="8" max="9" width="18.7109375" customWidth="1"/>
    <col min="10" max="11" width="16" customWidth="1"/>
    <col min="12" max="12" width="18.7109375" style="61" customWidth="1"/>
    <col min="13" max="13" width="18.7109375" customWidth="1"/>
    <col min="14" max="14" width="33.28515625" customWidth="1"/>
  </cols>
  <sheetData>
    <row r="1" spans="1:14" ht="39.950000000000003" customHeight="1" x14ac:dyDescent="0.25">
      <c r="A1" s="159"/>
      <c r="B1" s="79"/>
      <c r="C1" s="83" t="s">
        <v>2735</v>
      </c>
      <c r="D1" s="84"/>
      <c r="E1" s="77" t="str">
        <f ca="1">IF(D1="","",IF(IFERROR(VLOOKUP(D1,'Job Operations'!A:Y,25,FALSE),"")="","❌ NOT FOUND",IF(VLOOKUP(D1,'Job Operations'!A:Y,25,FALSE)&lt;TODAY(),"🔴 LATE","🟢 ON TIME")))</f>
        <v/>
      </c>
      <c r="F1" s="77" t="str">
        <f>IF(D1="","",IFERROR(VLOOKUP(D1,'Job Operations'!A:B,2,FALSE),""))</f>
        <v/>
      </c>
      <c r="G1" s="77" t="str">
        <f>IF(D1="","",IFERROR("Ship: "&amp;TEXT(VLOOKUP(D1,'Job Operations'!A:I,9,FALSE),"mm/dd/yyyy"),""))</f>
        <v/>
      </c>
      <c r="H1" s="77" t="str">
        <f>IF(D1="","",IFERROR("Station: "&amp;VLOOKUP(D1,'Job Operations'!A:L,12,FALSE),""))</f>
        <v/>
      </c>
      <c r="I1" s="77"/>
      <c r="J1" s="77"/>
      <c r="K1" s="77"/>
      <c r="L1" s="82"/>
      <c r="M1" s="77"/>
      <c r="N1" s="77"/>
    </row>
    <row r="2" spans="1:14" ht="5.0999999999999996" customHeight="1" x14ac:dyDescent="0.25">
      <c r="A2" s="160"/>
      <c r="B2" s="8"/>
      <c r="C2" s="8"/>
      <c r="D2" s="8"/>
      <c r="E2" s="8"/>
      <c r="F2" s="8"/>
      <c r="G2" s="8"/>
      <c r="H2" s="8"/>
      <c r="I2" s="8"/>
      <c r="J2" s="8"/>
      <c r="K2" s="8"/>
      <c r="L2" s="60"/>
      <c r="M2" s="77"/>
      <c r="N2" s="77"/>
    </row>
    <row r="3" spans="1:14" ht="5.0999999999999996" customHeight="1" x14ac:dyDescent="0.25">
      <c r="A3" s="160"/>
      <c r="B3" s="8"/>
      <c r="C3" s="8"/>
      <c r="D3" s="8"/>
      <c r="E3" s="8"/>
      <c r="F3" s="8"/>
      <c r="G3" s="8"/>
      <c r="H3" s="8"/>
      <c r="I3" s="8"/>
      <c r="J3" s="8"/>
      <c r="K3" s="8"/>
      <c r="L3" s="60"/>
      <c r="M3" s="77"/>
      <c r="N3" s="77"/>
    </row>
    <row r="4" spans="1:14" ht="24.95" customHeight="1" x14ac:dyDescent="0.3">
      <c r="A4" s="294" t="s">
        <v>2736</v>
      </c>
      <c r="B4" s="295"/>
      <c r="C4" s="295"/>
      <c r="D4" s="295"/>
      <c r="E4" s="295"/>
      <c r="F4" s="295"/>
      <c r="G4" s="295"/>
      <c r="H4" s="295"/>
      <c r="I4" s="295"/>
      <c r="J4" s="295"/>
      <c r="K4" s="15"/>
      <c r="L4" s="134"/>
      <c r="M4" s="46"/>
      <c r="N4" s="46"/>
    </row>
    <row r="5" spans="1:14" ht="24.95" customHeight="1" x14ac:dyDescent="0.25">
      <c r="A5" s="296" t="s">
        <v>2737</v>
      </c>
      <c r="B5" s="295"/>
      <c r="C5" s="295"/>
      <c r="D5" s="295"/>
      <c r="E5" s="295"/>
      <c r="F5" s="295"/>
      <c r="G5" s="295"/>
      <c r="H5" s="295"/>
      <c r="I5" s="295"/>
      <c r="J5" s="295"/>
      <c r="K5" s="15"/>
      <c r="L5" s="134"/>
      <c r="M5" s="46"/>
      <c r="N5" s="46"/>
    </row>
    <row r="6" spans="1:14" ht="21.95" customHeight="1" thickBot="1" x14ac:dyDescent="0.3">
      <c r="A6" s="116" t="s">
        <v>1</v>
      </c>
      <c r="B6" s="117" t="s">
        <v>3</v>
      </c>
      <c r="C6" s="117" t="s">
        <v>5</v>
      </c>
      <c r="D6" s="117" t="s">
        <v>17</v>
      </c>
      <c r="E6" s="117" t="s">
        <v>18</v>
      </c>
      <c r="F6" s="117" t="s">
        <v>25</v>
      </c>
      <c r="G6" s="117" t="s">
        <v>54</v>
      </c>
      <c r="H6" s="117" t="s">
        <v>2738</v>
      </c>
      <c r="I6" s="117" t="s">
        <v>2739</v>
      </c>
      <c r="J6" s="117" t="s">
        <v>2740</v>
      </c>
      <c r="K6" s="117" t="s">
        <v>2741</v>
      </c>
      <c r="L6" s="135" t="s">
        <v>2742</v>
      </c>
      <c r="M6" s="65"/>
      <c r="N6" s="65"/>
    </row>
    <row r="7" spans="1:14" ht="15" customHeight="1" x14ac:dyDescent="0.25">
      <c r="A7" s="111" t="str" cm="1">
        <f t="array" ref="A7:A98">_xlfn.LET(
  _xlpm.ids,'Job Operations'!A5:A304,
  _xlpm.stations,'Job Operations'!L5:L304,
  _xlpm.ships,'Job Operations'!I5:I304,
  _xlpm.mask,(_xlpm.ids&lt;&gt;"")*(ISNUMBER(MATCH(_xlpm.stations,{"LO","LO Check","Sketch","Sketch Check","Evaluation","Float","Correction","CNC Programming","Program Complete","Release to Shop"},0))),
  _xlpm.result,IFERROR(_xlfn.SORTBY(_xlfn._xlws.FILTER(_xlpm.ids,_xlpm.mask,""),_xlfn._xlws.FILTER(_xlpm.ships,_xlpm.mask,0),1),""),
  _xlpm.result
)</f>
        <v>25075-RP01</v>
      </c>
      <c r="B7" s="112" t="str">
        <f>IF(A7="","",IFERROR(VLOOKUP(A7,'Job Operations'!$A$4:$AA$304,2,FALSE),""))</f>
        <v>St Thomas West Canopy Replace</v>
      </c>
      <c r="C7" s="113" t="str">
        <f>IF(A7="","",IFERROR(VLOOKUP(A7,'Job Operations'!$A$4:$AA$304,3,FALSE),""))</f>
        <v>Chris Buttrey</v>
      </c>
      <c r="D7" s="113">
        <f>IF(A7="","",IFERROR(VLOOKUP(A7,'Job Operations'!$A$4:$AA$304,5,FALSE),""))</f>
        <v>2</v>
      </c>
      <c r="E7" s="113">
        <f>IF(A7="","",IFERROR(VLOOKUP(A7,'Job Operations'!$A$4:$AA$304,6,FALSE),""))</f>
        <v>6</v>
      </c>
      <c r="F7" s="113">
        <f>IF(A7="","",IFERROR(VLOOKUP(A7,'Job Operations'!$A$4:$AA$304,7,FALSE),""))</f>
        <v>0</v>
      </c>
      <c r="G7" s="114">
        <f>IF(A7="","",IFERROR(VLOOKUP(A7,'Job Operations'!$A$4:$AA$304,9,FALSE),""))</f>
        <v>0</v>
      </c>
      <c r="H7" s="113" t="str">
        <f>IF(A7="","",IFERROR(VLOOKUP(A7,'Job Operations'!$A$4:$AA$304,12,FALSE),""))</f>
        <v>CNC Programming</v>
      </c>
      <c r="I7" s="113" t="str">
        <f>IF(A7="","",IFERROR(VLOOKUP(A7,'Job Operations'!$A$4:$AA$304,13,FALSE),""))</f>
        <v>AXYZ 34</v>
      </c>
      <c r="J7" s="113" t="str">
        <f>IF(A7="","",IFERROR(VLOOKUP(A7,'Job Operations'!$A$4:$AA$304,15,FALSE),""))</f>
        <v>Clean and Brake</v>
      </c>
      <c r="K7" s="113" t="str">
        <f>IF(A7="","",IFERROR(VLOOKUP(A7,'Job Operations'!$A$4:$AA$304,17,FALSE),""))</f>
        <v>Fab</v>
      </c>
      <c r="L7" s="136" t="str">
        <f>IF(A7="","",IF(IFERROR(VLOOKUP(A7,Notes!A:B,2,FALSE),"")=0,"",VLOOKUP(A7,Notes!A:B,2,FALSE)))</f>
        <v>04/16/2026…</v>
      </c>
      <c r="M7" s="66"/>
      <c r="N7" s="66"/>
    </row>
    <row r="8" spans="1:14" x14ac:dyDescent="0.25">
      <c r="A8" s="103" t="str">
        <v>24051-RP58</v>
      </c>
      <c r="B8" s="104" t="str">
        <f>IF(A8="","",IFERROR(VLOOKUP(A8,'Job Operations'!$A$4:$AA$304,2,FALSE),""))</f>
        <v>TN Titans Stadium</v>
      </c>
      <c r="C8" s="105" t="str">
        <f>IF(A8="","",IFERROR(VLOOKUP(A8,'Job Operations'!$A$4:$AA$304,3,FALSE),""))</f>
        <v>Marc Ribar</v>
      </c>
      <c r="D8" s="105">
        <f>IF(A8="","",IFERROR(VLOOKUP(A8,'Job Operations'!$A$4:$AA$304,5,FALSE),""))</f>
        <v>1</v>
      </c>
      <c r="E8" s="105">
        <f>IF(A8="","",IFERROR(VLOOKUP(A8,'Job Operations'!$A$4:$AA$304,6,FALSE),""))</f>
        <v>0</v>
      </c>
      <c r="F8" s="105">
        <f>IF(A8="","",IFERROR(VLOOKUP(A8,'Job Operations'!$A$4:$AA$304,7,FALSE),""))</f>
        <v>0</v>
      </c>
      <c r="G8" s="106">
        <f>IF(A8="","",IFERROR(VLOOKUP(A8,'Job Operations'!$A$4:$AA$304,9,FALSE),""))</f>
        <v>0</v>
      </c>
      <c r="H8" s="105" t="str">
        <f>IF(A8="","",IFERROR(VLOOKUP(A8,'Job Operations'!$A$4:$AA$304,12,FALSE),""))</f>
        <v>CNC Programming</v>
      </c>
      <c r="I8" s="105" t="str">
        <f>IF(A8="","",IFERROR(VLOOKUP(A8,'Job Operations'!$A$4:$AA$304,13,FALSE),""))</f>
        <v>AXYZ 34</v>
      </c>
      <c r="J8" s="105" t="str">
        <f>IF(A8="","",IFERROR(VLOOKUP(A8,'Job Operations'!$A$4:$AA$304,15,FALSE),""))</f>
        <v>Clean and Brake</v>
      </c>
      <c r="K8" s="105" t="str">
        <f>IF(A8="","",IFERROR(VLOOKUP(A8,'Job Operations'!$A$4:$AA$304,17,FALSE),""))</f>
        <v>Fab</v>
      </c>
      <c r="L8" s="137" t="str">
        <f>IF(A8="","",IF(IFERROR(VLOOKUP(A8,Notes!A:B,2,FALSE),"")=0,"",VLOOKUP(A8,Notes!A:B,2,FALSE)))</f>
        <v>04/16/2026…</v>
      </c>
      <c r="M8" s="68"/>
      <c r="N8" s="68"/>
    </row>
    <row r="9" spans="1:14" x14ac:dyDescent="0.25">
      <c r="A9" s="98" t="str">
        <v>24071-RP15</v>
      </c>
      <c r="B9" s="99" t="str">
        <f>IF(A9="","",IFERROR(VLOOKUP(A9,'Job Operations'!$A$4:$AA$304,2,FALSE),""))</f>
        <v>RS Gass State Lab</v>
      </c>
      <c r="C9" s="100" t="str">
        <f>IF(A9="","",IFERROR(VLOOKUP(A9,'Job Operations'!$A$4:$AA$304,3,FALSE),""))</f>
        <v>Cole Norona</v>
      </c>
      <c r="D9" s="100">
        <f>IF(A9="","",IFERROR(VLOOKUP(A9,'Job Operations'!$A$4:$AA$304,5,FALSE),""))</f>
        <v>0</v>
      </c>
      <c r="E9" s="100">
        <f>IF(A9="","",IFERROR(VLOOKUP(A9,'Job Operations'!$A$4:$AA$304,6,FALSE),""))</f>
        <v>3</v>
      </c>
      <c r="F9" s="100">
        <f>IF(A9="","",IFERROR(VLOOKUP(A9,'Job Operations'!$A$4:$AA$304,7,FALSE),""))</f>
        <v>0</v>
      </c>
      <c r="G9" s="101">
        <f>IF(A9="","",IFERROR(VLOOKUP(A9,'Job Operations'!$A$4:$AA$304,9,FALSE),""))</f>
        <v>0</v>
      </c>
      <c r="H9" s="100" t="str">
        <f>IF(A9="","",IFERROR(VLOOKUP(A9,'Job Operations'!$A$4:$AA$304,12,FALSE),""))</f>
        <v>CNC Programming</v>
      </c>
      <c r="I9" s="100" t="str">
        <f>IF(A9="","",IFERROR(VLOOKUP(A9,'Job Operations'!$A$4:$AA$304,13,FALSE),""))</f>
        <v>AXYZ 34</v>
      </c>
      <c r="J9" s="100" t="str">
        <f>IF(A9="","",IFERROR(VLOOKUP(A9,'Job Operations'!$A$4:$AA$304,15,FALSE),""))</f>
        <v>Clean and Brake</v>
      </c>
      <c r="K9" s="100" t="str">
        <f>IF(A9="","",IFERROR(VLOOKUP(A9,'Job Operations'!$A$4:$AA$304,17,FALSE),""))</f>
        <v>Fab</v>
      </c>
      <c r="L9" s="138" t="str">
        <f>IF(A9="","",IF(IFERROR(VLOOKUP(A9,Notes!A:B,2,FALSE),"")=0,"",VLOOKUP(A9,Notes!A:B,2,FALSE)))</f>
        <v>04/16/2026…</v>
      </c>
      <c r="M9" s="66"/>
      <c r="N9" s="66"/>
    </row>
    <row r="10" spans="1:14" x14ac:dyDescent="0.25">
      <c r="A10" s="103" t="str">
        <v>24079-FS03</v>
      </c>
      <c r="B10" s="104" t="str">
        <f>IF(A10="","",IFERROR(VLOOKUP(A10,'Job Operations'!$A$4:$AA$304,2,FALSE),""))</f>
        <v>Nashville Youth Campus</v>
      </c>
      <c r="C10" s="105" t="str">
        <f>IF(A10="","",IFERROR(VLOOKUP(A10,'Job Operations'!$A$4:$AA$304,3,FALSE),""))</f>
        <v>Joe Hoyle</v>
      </c>
      <c r="D10" s="105">
        <f>IF(A10="","",IFERROR(VLOOKUP(A10,'Job Operations'!$A$4:$AA$304,5,FALSE),""))</f>
        <v>33</v>
      </c>
      <c r="E10" s="105">
        <f>IF(A10="","",IFERROR(VLOOKUP(A10,'Job Operations'!$A$4:$AA$304,6,FALSE),""))</f>
        <v>0</v>
      </c>
      <c r="F10" s="105" t="str">
        <f>IF(A10="","",IFERROR(VLOOKUP(A10,'Job Operations'!$A$4:$AA$304,7,FALSE),""))</f>
        <v>LAYOUT ONLY</v>
      </c>
      <c r="G10" s="106">
        <f>IF(A10="","",IFERROR(VLOOKUP(A10,'Job Operations'!$A$4:$AA$304,9,FALSE),""))</f>
        <v>46097</v>
      </c>
      <c r="H10" s="105" t="str">
        <f>IF(A10="","",IFERROR(VLOOKUP(A10,'Job Operations'!$A$4:$AA$304,12,FALSE),""))</f>
        <v>Evaluation</v>
      </c>
      <c r="I10" s="105" t="str">
        <f>IF(A10="","",IFERROR(VLOOKUP(A10,'Job Operations'!$A$4:$AA$304,13,FALSE),""))</f>
        <v/>
      </c>
      <c r="J10" s="105" t="str">
        <f>IF(A10="","",IFERROR(VLOOKUP(A10,'Job Operations'!$A$4:$AA$304,15,FALSE),""))</f>
        <v/>
      </c>
      <c r="K10" s="105" t="str">
        <f>IF(A10="","",IFERROR(VLOOKUP(A10,'Job Operations'!$A$4:$AA$304,17,FALSE),""))</f>
        <v/>
      </c>
      <c r="L10" s="137" t="str">
        <f>IF(A10="","",IF(IFERROR(VLOOKUP(A10,Notes!A:B,2,FALSE),"")=0,"",VLOOKUP(A10,Notes!A:B,2,FALSE)))</f>
        <v>04/16/2026…Evaluation</v>
      </c>
      <c r="M10" s="68"/>
      <c r="N10" s="68"/>
    </row>
    <row r="11" spans="1:14" x14ac:dyDescent="0.25">
      <c r="A11" s="98" t="str">
        <v>24079-FS102</v>
      </c>
      <c r="B11" s="99" t="str">
        <f>IF(A11="","",IFERROR(VLOOKUP(A11,'Job Operations'!$A$4:$AA$304,2,FALSE),""))</f>
        <v>Nashville Youth Campus</v>
      </c>
      <c r="C11" s="100" t="str">
        <f>IF(A11="","",IFERROR(VLOOKUP(A11,'Job Operations'!$A$4:$AA$304,3,FALSE),""))</f>
        <v>Joe Hoyle</v>
      </c>
      <c r="D11" s="100">
        <f>IF(A11="","",IFERROR(VLOOKUP(A11,'Job Operations'!$A$4:$AA$304,5,FALSE),""))</f>
        <v>192</v>
      </c>
      <c r="E11" s="100">
        <f>IF(A11="","",IFERROR(VLOOKUP(A11,'Job Operations'!$A$4:$AA$304,6,FALSE),""))</f>
        <v>198</v>
      </c>
      <c r="F11" s="100" t="str">
        <f>IF(A11="","",IFERROR(VLOOKUP(A11,'Job Operations'!$A$4:$AA$304,7,FALSE),""))</f>
        <v>FR ACM</v>
      </c>
      <c r="G11" s="101">
        <f>IF(A11="","",IFERROR(VLOOKUP(A11,'Job Operations'!$A$4:$AA$304,9,FALSE),""))</f>
        <v>46097</v>
      </c>
      <c r="H11" s="100" t="str">
        <f>IF(A11="","",IFERROR(VLOOKUP(A11,'Job Operations'!$A$4:$AA$304,12,FALSE),""))</f>
        <v>Sketch Check</v>
      </c>
      <c r="I11" s="100" t="str">
        <f>IF(A11="","",IFERROR(VLOOKUP(A11,'Job Operations'!$A$4:$AA$304,13,FALSE),""))</f>
        <v>AXYZ Titans Line</v>
      </c>
      <c r="J11" s="100" t="str">
        <f>IF(A11="","",IFERROR(VLOOKUP(A11,'Job Operations'!$A$4:$AA$304,15,FALSE),""))</f>
        <v>Clean and Brake</v>
      </c>
      <c r="K11" s="100" t="str">
        <f>IF(A11="","",IFERROR(VLOOKUP(A11,'Job Operations'!$A$4:$AA$304,17,FALSE),""))</f>
        <v>Fab</v>
      </c>
      <c r="L11" s="138" t="str">
        <f>IF(A11="","",IF(IFERROR(VLOOKUP(A11,Notes!A:B,2,FALSE),"")=0,"",VLOOKUP(A11,Notes!A:B,2,FALSE)))</f>
        <v>04/16/2026…Sketch Check</v>
      </c>
      <c r="M11" s="66"/>
      <c r="N11" s="66"/>
    </row>
    <row r="12" spans="1:14" x14ac:dyDescent="0.25">
      <c r="A12" s="103" t="str">
        <v>24051-FS225</v>
      </c>
      <c r="B12" s="104" t="str">
        <f>IF(A12="","",IFERROR(VLOOKUP(A12,'Job Operations'!$A$4:$AA$304,2,FALSE),""))</f>
        <v>TN Titans Stadium</v>
      </c>
      <c r="C12" s="105" t="str">
        <f>IF(A12="","",IFERROR(VLOOKUP(A12,'Job Operations'!$A$4:$AA$304,3,FALSE),""))</f>
        <v>Marc Ribar</v>
      </c>
      <c r="D12" s="105">
        <f>IF(A12="","",IFERROR(VLOOKUP(A12,'Job Operations'!$A$4:$AA$304,5,FALSE),""))</f>
        <v>26</v>
      </c>
      <c r="E12" s="105">
        <f>IF(A12="","",IFERROR(VLOOKUP(A12,'Job Operations'!$A$4:$AA$304,6,FALSE),""))</f>
        <v>0</v>
      </c>
      <c r="F12" s="105" t="str">
        <f>IF(A12="","",IFERROR(VLOOKUP(A12,'Job Operations'!$A$4:$AA$304,7,FALSE),""))</f>
        <v>FR ACM</v>
      </c>
      <c r="G12" s="106">
        <f>IF(A12="","",IFERROR(VLOOKUP(A12,'Job Operations'!$A$4:$AA$304,9,FALSE),""))</f>
        <v>46097</v>
      </c>
      <c r="H12" s="105" t="str">
        <f>IF(A12="","",IFERROR(VLOOKUP(A12,'Job Operations'!$A$4:$AA$304,12,FALSE),""))</f>
        <v>LO</v>
      </c>
      <c r="I12" s="105" t="str">
        <f>IF(A12="","",IFERROR(VLOOKUP(A12,'Job Operations'!$A$4:$AA$304,13,FALSE),""))</f>
        <v/>
      </c>
      <c r="J12" s="105" t="str">
        <f>IF(A12="","",IFERROR(VLOOKUP(A12,'Job Operations'!$A$4:$AA$304,15,FALSE),""))</f>
        <v/>
      </c>
      <c r="K12" s="105" t="str">
        <f>IF(A12="","",IFERROR(VLOOKUP(A12,'Job Operations'!$A$4:$AA$304,17,FALSE),""))</f>
        <v/>
      </c>
      <c r="L12" s="137" t="str">
        <f>IF(A12="","",IF(IFERROR(VLOOKUP(A12,Notes!A:B,2,FALSE),"")=0,"",VLOOKUP(A12,Notes!A:B,2,FALSE)))</f>
        <v>03/23...Next for Titans--1 of 3 still late*03/24 Lay Out*03/26…LO*03/30…LO*03/31…LO*04/02…LO*04/09…LO*04/16/2026…LO</v>
      </c>
      <c r="M12" s="68"/>
      <c r="N12" s="68"/>
    </row>
    <row r="13" spans="1:14" x14ac:dyDescent="0.25">
      <c r="A13" s="98" t="str">
        <v>24079-FS102.1</v>
      </c>
      <c r="B13" s="99" t="str">
        <f>IF(A13="","",IFERROR(VLOOKUP(A13,'Job Operations'!$A$4:$AA$304,2,FALSE),""))</f>
        <v>Nashville Youth Campus</v>
      </c>
      <c r="C13" s="100" t="str">
        <f>IF(A13="","",IFERROR(VLOOKUP(A13,'Job Operations'!$A$4:$AA$304,3,FALSE),""))</f>
        <v>Joe Hoyle</v>
      </c>
      <c r="D13" s="100">
        <f>IF(A13="","",IFERROR(VLOOKUP(A13,'Job Operations'!$A$4:$AA$304,5,FALSE),""))</f>
        <v>308</v>
      </c>
      <c r="E13" s="100">
        <f>IF(A13="","",IFERROR(VLOOKUP(A13,'Job Operations'!$A$4:$AA$304,6,FALSE),""))</f>
        <v>0</v>
      </c>
      <c r="F13" s="100" t="str">
        <f>IF(A13="","",IFERROR(VLOOKUP(A13,'Job Operations'!$A$4:$AA$304,7,FALSE),""))</f>
        <v>FR ACM</v>
      </c>
      <c r="G13" s="101">
        <f>IF(A13="","",IFERROR(VLOOKUP(A13,'Job Operations'!$A$4:$AA$304,9,FALSE),""))</f>
        <v>46097</v>
      </c>
      <c r="H13" s="100" t="str">
        <f>IF(A13="","",IFERROR(VLOOKUP(A13,'Job Operations'!$A$4:$AA$304,12,FALSE),""))</f>
        <v>Sketch</v>
      </c>
      <c r="I13" s="100" t="str">
        <f>IF(A13="","",IFERROR(VLOOKUP(A13,'Job Operations'!$A$4:$AA$304,13,FALSE),""))</f>
        <v>AXYZ Titans Line</v>
      </c>
      <c r="J13" s="100" t="str">
        <f>IF(A13="","",IFERROR(VLOOKUP(A13,'Job Operations'!$A$4:$AA$304,15,FALSE),""))</f>
        <v>Clean and Brake</v>
      </c>
      <c r="K13" s="100" t="str">
        <f>IF(A13="","",IFERROR(VLOOKUP(A13,'Job Operations'!$A$4:$AA$304,17,FALSE),""))</f>
        <v>Fab</v>
      </c>
      <c r="L13" s="138" t="str">
        <f>IF(A13="","",IF(IFERROR(VLOOKUP(A13,Notes!A:B,2,FALSE),"")=0,"",VLOOKUP(A13,Notes!A:B,2,FALSE)))</f>
        <v>04/16/2026…Sketch</v>
      </c>
      <c r="M13" s="66"/>
      <c r="N13" s="66"/>
    </row>
    <row r="14" spans="1:14" x14ac:dyDescent="0.25">
      <c r="A14" s="103" t="str">
        <v>25035-FS04</v>
      </c>
      <c r="B14" s="104" t="str">
        <f>IF(A14="","",IFERROR(VLOOKUP(A14,'Job Operations'!$A$4:$AA$304,2,FALSE),""))</f>
        <v>Titans Jabez</v>
      </c>
      <c r="C14" s="105" t="str">
        <f>IF(A14="","",IFERROR(VLOOKUP(A14,'Job Operations'!$A$4:$AA$304,3,FALSE),""))</f>
        <v>Marc Ribar</v>
      </c>
      <c r="D14" s="105">
        <f>IF(A14="","",IFERROR(VLOOKUP(A14,'Job Operations'!$A$4:$AA$304,5,FALSE),""))</f>
        <v>218</v>
      </c>
      <c r="E14" s="105">
        <f>IF(A14="","",IFERROR(VLOOKUP(A14,'Job Operations'!$A$4:$AA$304,6,FALSE),""))</f>
        <v>0</v>
      </c>
      <c r="F14" s="105" t="str">
        <f>IF(A14="","",IFERROR(VLOOKUP(A14,'Job Operations'!$A$4:$AA$304,7,FALSE),""))</f>
        <v>FR ACM</v>
      </c>
      <c r="G14" s="106">
        <f>IF(A14="","",IFERROR(VLOOKUP(A14,'Job Operations'!$A$4:$AA$304,9,FALSE),""))</f>
        <v>46104</v>
      </c>
      <c r="H14" s="105" t="str">
        <f>IF(A14="","",IFERROR(VLOOKUP(A14,'Job Operations'!$A$4:$AA$304,12,FALSE),""))</f>
        <v>Sketch</v>
      </c>
      <c r="I14" s="105" t="str">
        <f>IF(A14="","",IFERROR(VLOOKUP(A14,'Job Operations'!$A$4:$AA$304,13,FALSE),""))</f>
        <v>AXYZ Titans Line</v>
      </c>
      <c r="J14" s="105" t="str">
        <f>IF(A14="","",IFERROR(VLOOKUP(A14,'Job Operations'!$A$4:$AA$304,15,FALSE),""))</f>
        <v>Clean and Brake</v>
      </c>
      <c r="K14" s="105" t="str">
        <f>IF(A14="","",IFERROR(VLOOKUP(A14,'Job Operations'!$A$4:$AA$304,17,FALSE),""))</f>
        <v>Fab</v>
      </c>
      <c r="L14" s="137" t="str">
        <f>IF(A14="","",IF(IFERROR(VLOOKUP(A14,Notes!A:B,2,FALSE),"")=0,"",VLOOKUP(A14,Notes!A:B,2,FALSE)))</f>
        <v>04/16/2026…Sketch</v>
      </c>
      <c r="M14" s="68"/>
      <c r="N14" s="68"/>
    </row>
    <row r="15" spans="1:14" x14ac:dyDescent="0.25">
      <c r="A15" s="98" t="str">
        <v>24079-FS04</v>
      </c>
      <c r="B15" s="99" t="str">
        <f>IF(A15="","",IFERROR(VLOOKUP(A15,'Job Operations'!$A$4:$AA$304,2,FALSE),""))</f>
        <v>Nashville Youth Campus</v>
      </c>
      <c r="C15" s="100" t="str">
        <f>IF(A15="","",IFERROR(VLOOKUP(A15,'Job Operations'!$A$4:$AA$304,3,FALSE),""))</f>
        <v>Joe Hoyle</v>
      </c>
      <c r="D15" s="100">
        <f>IF(A15="","",IFERROR(VLOOKUP(A15,'Job Operations'!$A$4:$AA$304,5,FALSE),""))</f>
        <v>173</v>
      </c>
      <c r="E15" s="100">
        <f>IF(A15="","",IFERROR(VLOOKUP(A15,'Job Operations'!$A$4:$AA$304,6,FALSE),""))</f>
        <v>0</v>
      </c>
      <c r="F15" s="100" t="str">
        <f>IF(A15="","",IFERROR(VLOOKUP(A15,'Job Operations'!$A$4:$AA$304,7,FALSE),""))</f>
        <v>LAYOUT ONLY</v>
      </c>
      <c r="G15" s="101">
        <f>IF(A15="","",IFERROR(VLOOKUP(A15,'Job Operations'!$A$4:$AA$304,9,FALSE),""))</f>
        <v>46111</v>
      </c>
      <c r="H15" s="100" t="str">
        <f>IF(A15="","",IFERROR(VLOOKUP(A15,'Job Operations'!$A$4:$AA$304,12,FALSE),""))</f>
        <v>Evaluation</v>
      </c>
      <c r="I15" s="100" t="str">
        <f>IF(A15="","",IFERROR(VLOOKUP(A15,'Job Operations'!$A$4:$AA$304,13,FALSE),""))</f>
        <v/>
      </c>
      <c r="J15" s="100" t="str">
        <f>IF(A15="","",IFERROR(VLOOKUP(A15,'Job Operations'!$A$4:$AA$304,15,FALSE),""))</f>
        <v/>
      </c>
      <c r="K15" s="100" t="str">
        <f>IF(A15="","",IFERROR(VLOOKUP(A15,'Job Operations'!$A$4:$AA$304,17,FALSE),""))</f>
        <v/>
      </c>
      <c r="L15" s="138" t="str">
        <f>IF(A15="","",IF(IFERROR(VLOOKUP(A15,Notes!A:B,2,FALSE),"")=0,"",VLOOKUP(A15,Notes!A:B,2,FALSE)))</f>
        <v>04/16/2026…Evaluation</v>
      </c>
      <c r="M15" s="66"/>
      <c r="N15" s="66"/>
    </row>
    <row r="16" spans="1:14" x14ac:dyDescent="0.25">
      <c r="A16" s="103" t="str">
        <v>25010-RO06</v>
      </c>
      <c r="B16" s="104" t="str">
        <f>IF(A16="","",IFERROR(VLOOKUP(A16,'Job Operations'!$A$4:$AA$304,2,FALSE),""))</f>
        <v>TOA Spring Hill MOB</v>
      </c>
      <c r="C16" s="105" t="str">
        <f>IF(A16="","",IFERROR(VLOOKUP(A16,'Job Operations'!$A$4:$AA$304,3,FALSE),""))</f>
        <v>Cole Norona</v>
      </c>
      <c r="D16" s="105">
        <f>IF(A16="","",IFERROR(VLOOKUP(A16,'Job Operations'!$A$4:$AA$304,5,FALSE),""))</f>
        <v>6</v>
      </c>
      <c r="E16" s="105">
        <f>IF(A16="","",IFERROR(VLOOKUP(A16,'Job Operations'!$A$4:$AA$304,6,FALSE),""))</f>
        <v>0</v>
      </c>
      <c r="F16" s="105" t="str">
        <f>IF(A16="","",IFERROR(VLOOKUP(A16,'Job Operations'!$A$4:$AA$304,7,FALSE),""))</f>
        <v>FR ACM</v>
      </c>
      <c r="G16" s="106">
        <f>IF(A16="","",IFERROR(VLOOKUP(A16,'Job Operations'!$A$4:$AA$304,9,FALSE),""))</f>
        <v>46127</v>
      </c>
      <c r="H16" s="105" t="str">
        <f>IF(A16="","",IFERROR(VLOOKUP(A16,'Job Operations'!$A$4:$AA$304,12,FALSE),""))</f>
        <v>LO</v>
      </c>
      <c r="I16" s="105" t="str">
        <f>IF(A16="","",IFERROR(VLOOKUP(A16,'Job Operations'!$A$4:$AA$304,13,FALSE),""))</f>
        <v>AXYZ</v>
      </c>
      <c r="J16" s="105" t="str">
        <f>IF(A16="","",IFERROR(VLOOKUP(A16,'Job Operations'!$A$4:$AA$304,15,FALSE),""))</f>
        <v>Clean and Brake</v>
      </c>
      <c r="K16" s="105" t="str">
        <f>IF(A16="","",IFERROR(VLOOKUP(A16,'Job Operations'!$A$4:$AA$304,17,FALSE),""))</f>
        <v>Fab</v>
      </c>
      <c r="L16" s="137" t="str">
        <f>IF(A16="","",IF(IFERROR(VLOOKUP(A16,Notes!A:B,2,FALSE),"")=0,"",VLOOKUP(A16,Notes!A:B,2,FALSE)))</f>
        <v>04/16/2026…LO</v>
      </c>
      <c r="M16" s="68"/>
      <c r="N16" s="68"/>
    </row>
    <row r="17" spans="1:14" x14ac:dyDescent="0.25">
      <c r="A17" s="98" t="str">
        <v>25010-RO07</v>
      </c>
      <c r="B17" s="99" t="str">
        <f>IF(A17="","",IFERROR(VLOOKUP(A17,'Job Operations'!$A$4:$AA$304,2,FALSE),""))</f>
        <v>TOA Spring Hill MOB</v>
      </c>
      <c r="C17" s="100" t="str">
        <f>IF(A17="","",IFERROR(VLOOKUP(A17,'Job Operations'!$A$4:$AA$304,3,FALSE),""))</f>
        <v>Cole Norona</v>
      </c>
      <c r="D17" s="100">
        <f>IF(A17="","",IFERROR(VLOOKUP(A17,'Job Operations'!$A$4:$AA$304,5,FALSE),""))</f>
        <v>3</v>
      </c>
      <c r="E17" s="100">
        <f>IF(A17="","",IFERROR(VLOOKUP(A17,'Job Operations'!$A$4:$AA$304,6,FALSE),""))</f>
        <v>0</v>
      </c>
      <c r="F17" s="100" t="str">
        <f>IF(A17="","",IFERROR(VLOOKUP(A17,'Job Operations'!$A$4:$AA$304,7,FALSE),""))</f>
        <v>FR ACM</v>
      </c>
      <c r="G17" s="101">
        <f>IF(A17="","",IFERROR(VLOOKUP(A17,'Job Operations'!$A$4:$AA$304,9,FALSE),""))</f>
        <v>46127</v>
      </c>
      <c r="H17" s="100" t="str">
        <f>IF(A17="","",IFERROR(VLOOKUP(A17,'Job Operations'!$A$4:$AA$304,12,FALSE),""))</f>
        <v>LO</v>
      </c>
      <c r="I17" s="100" t="str">
        <f>IF(A17="","",IFERROR(VLOOKUP(A17,'Job Operations'!$A$4:$AA$304,13,FALSE),""))</f>
        <v>AXYZ</v>
      </c>
      <c r="J17" s="100" t="str">
        <f>IF(A17="","",IFERROR(VLOOKUP(A17,'Job Operations'!$A$4:$AA$304,15,FALSE),""))</f>
        <v>Clean and Brake</v>
      </c>
      <c r="K17" s="100" t="str">
        <f>IF(A17="","",IFERROR(VLOOKUP(A17,'Job Operations'!$A$4:$AA$304,17,FALSE),""))</f>
        <v>Fab</v>
      </c>
      <c r="L17" s="138" t="str">
        <f>IF(A17="","",IF(IFERROR(VLOOKUP(A17,Notes!A:B,2,FALSE),"")=0,"",VLOOKUP(A17,Notes!A:B,2,FALSE)))</f>
        <v>04/16/2026…LO</v>
      </c>
      <c r="M17" s="66"/>
      <c r="N17" s="66"/>
    </row>
    <row r="18" spans="1:14" x14ac:dyDescent="0.25">
      <c r="A18" s="103" t="str">
        <v>25029-ST73</v>
      </c>
      <c r="B18" s="104" t="str">
        <f>IF(A18="","",IFERROR(VLOOKUP(A18,'Job Operations'!$A$4:$AA$304,2,FALSE),""))</f>
        <v>Lourdes CC Phase 2</v>
      </c>
      <c r="C18" s="105" t="str">
        <f>IF(A18="","",IFERROR(VLOOKUP(A18,'Job Operations'!$A$4:$AA$304,3,FALSE),""))</f>
        <v>Dillon Bowman</v>
      </c>
      <c r="D18" s="105">
        <f>IF(A18="","",IFERROR(VLOOKUP(A18,'Job Operations'!$A$4:$AA$304,5,FALSE),""))</f>
        <v>0</v>
      </c>
      <c r="E18" s="105">
        <f>IF(A18="","",IFERROR(VLOOKUP(A18,'Job Operations'!$A$4:$AA$304,6,FALSE),""))</f>
        <v>6</v>
      </c>
      <c r="F18" s="105" t="str">
        <f>IF(A18="","",IFERROR(VLOOKUP(A18,'Job Operations'!$A$4:$AA$304,7,FALSE),""))</f>
        <v>Steel Custom Shape</v>
      </c>
      <c r="G18" s="106">
        <f>IF(A18="","",IFERROR(VLOOKUP(A18,'Job Operations'!$A$4:$AA$304,9,FALSE),""))</f>
        <v>46127</v>
      </c>
      <c r="H18" s="105" t="str">
        <f>IF(A18="","",IFERROR(VLOOKUP(A18,'Job Operations'!$A$4:$AA$304,12,FALSE),""))</f>
        <v>Sketch</v>
      </c>
      <c r="I18" s="105" t="str">
        <f>IF(A18="","",IFERROR(VLOOKUP(A18,'Job Operations'!$A$4:$AA$304,13,FALSE),""))</f>
        <v/>
      </c>
      <c r="J18" s="105" t="str">
        <f>IF(A18="","",IFERROR(VLOOKUP(A18,'Job Operations'!$A$4:$AA$304,15,FALSE),""))</f>
        <v/>
      </c>
      <c r="K18" s="105" t="str">
        <f>IF(A18="","",IFERROR(VLOOKUP(A18,'Job Operations'!$A$4:$AA$304,17,FALSE),""))</f>
        <v/>
      </c>
      <c r="L18" s="137" t="str">
        <f>IF(A18="","",IF(IFERROR(VLOOKUP(A18,Notes!A:B,2,FALSE),"")=0,"",VLOOKUP(A18,Notes!A:B,2,FALSE)))</f>
        <v>04/16/2026…Sketch</v>
      </c>
      <c r="M18" s="68"/>
      <c r="N18" s="68"/>
    </row>
    <row r="19" spans="1:14" x14ac:dyDescent="0.25">
      <c r="A19" s="98" t="str">
        <v>25002-FS13</v>
      </c>
      <c r="B19" s="99" t="str">
        <f>IF(A19="","",IFERROR(VLOOKUP(A19,'Job Operations'!$A$4:$AA$304,2,FALSE),""))</f>
        <v>Med Center Health</v>
      </c>
      <c r="C19" s="100" t="str">
        <f>IF(A19="","",IFERROR(VLOOKUP(A19,'Job Operations'!$A$4:$AA$304,3,FALSE),""))</f>
        <v>Carlos Silva</v>
      </c>
      <c r="D19" s="100">
        <f>IF(A19="","",IFERROR(VLOOKUP(A19,'Job Operations'!$A$4:$AA$304,5,FALSE),""))</f>
        <v>30</v>
      </c>
      <c r="E19" s="100">
        <f>IF(A19="","",IFERROR(VLOOKUP(A19,'Job Operations'!$A$4:$AA$304,6,FALSE),""))</f>
        <v>0</v>
      </c>
      <c r="F19" s="100" t="str">
        <f>IF(A19="","",IFERROR(VLOOKUP(A19,'Job Operations'!$A$4:$AA$304,7,FALSE),""))</f>
        <v>FR ACM</v>
      </c>
      <c r="G19" s="101">
        <f>IF(A19="","",IFERROR(VLOOKUP(A19,'Job Operations'!$A$4:$AA$304,9,FALSE),""))</f>
        <v>46129</v>
      </c>
      <c r="H19" s="100" t="str">
        <f>IF(A19="","",IFERROR(VLOOKUP(A19,'Job Operations'!$A$4:$AA$304,12,FALSE),""))</f>
        <v>LO</v>
      </c>
      <c r="I19" s="100" t="str">
        <f>IF(A19="","",IFERROR(VLOOKUP(A19,'Job Operations'!$A$4:$AA$304,13,FALSE),""))</f>
        <v>AXYZ</v>
      </c>
      <c r="J19" s="100" t="str">
        <f>IF(A19="","",IFERROR(VLOOKUP(A19,'Job Operations'!$A$4:$AA$304,15,FALSE),""))</f>
        <v>Clean and Brake</v>
      </c>
      <c r="K19" s="100" t="str">
        <f>IF(A19="","",IFERROR(VLOOKUP(A19,'Job Operations'!$A$4:$AA$304,17,FALSE),""))</f>
        <v>Fab</v>
      </c>
      <c r="L19" s="138" t="str">
        <f>IF(A19="","",IF(IFERROR(VLOOKUP(A19,Notes!A:B,2,FALSE),"")=0,"",VLOOKUP(A19,Notes!A:B,2,FALSE)))</f>
        <v>04/16/2026…LO</v>
      </c>
      <c r="M19" s="66"/>
      <c r="N19" s="66"/>
    </row>
    <row r="20" spans="1:14" x14ac:dyDescent="0.25">
      <c r="A20" s="103" t="str">
        <v>25036-FL22</v>
      </c>
      <c r="B20" s="104" t="str">
        <f>IF(A20="","",IFERROR(VLOOKUP(A20,'Job Operations'!$A$4:$AA$304,2,FALSE),""))</f>
        <v>TCAT Chattanooga</v>
      </c>
      <c r="C20" s="105" t="str">
        <f>IF(A20="","",IFERROR(VLOOKUP(A20,'Job Operations'!$A$4:$AA$304,3,FALSE),""))</f>
        <v>Josh McPherson</v>
      </c>
      <c r="D20" s="105">
        <f>IF(A20="","",IFERROR(VLOOKUP(A20,'Job Operations'!$A$4:$AA$304,5,FALSE),""))</f>
        <v>0</v>
      </c>
      <c r="E20" s="105">
        <f>IF(A20="","",IFERROR(VLOOKUP(A20,'Job Operations'!$A$4:$AA$304,6,FALSE),""))</f>
        <v>10</v>
      </c>
      <c r="F20" s="105" t="str">
        <f>IF(A20="","",IFERROR(VLOOKUP(A20,'Job Operations'!$A$4:$AA$304,7,FALSE),""))</f>
        <v>Steel Sheet</v>
      </c>
      <c r="G20" s="106">
        <f>IF(A20="","",IFERROR(VLOOKUP(A20,'Job Operations'!$A$4:$AA$304,9,FALSE),""))</f>
        <v>46129</v>
      </c>
      <c r="H20" s="105" t="str">
        <f>IF(A20="","",IFERROR(VLOOKUP(A20,'Job Operations'!$A$4:$AA$304,12,FALSE),""))</f>
        <v>Sketch Check</v>
      </c>
      <c r="I20" s="105" t="str">
        <f>IF(A20="","",IFERROR(VLOOKUP(A20,'Job Operations'!$A$4:$AA$304,13,FALSE),""))</f>
        <v>Cidan</v>
      </c>
      <c r="J20" s="105" t="str">
        <f>IF(A20="","",IFERROR(VLOOKUP(A20,'Job Operations'!$A$4:$AA$304,15,FALSE),""))</f>
        <v>Shear</v>
      </c>
      <c r="K20" s="105" t="str">
        <f>IF(A20="","",IFERROR(VLOOKUP(A20,'Job Operations'!$A$4:$AA$304,17,FALSE),""))</f>
        <v/>
      </c>
      <c r="L20" s="137" t="str">
        <f>IF(A20="","",IF(IFERROR(VLOOKUP(A20,Notes!A:B,2,FALSE),"")=0,"",VLOOKUP(A20,Notes!A:B,2,FALSE)))</f>
        <v xml:space="preserve">04/16/2026…MUST RUN FRIDAY AND FINISH BY EOS.  REFER TO EMAIL. </v>
      </c>
      <c r="M20" s="68"/>
      <c r="N20" s="68"/>
    </row>
    <row r="21" spans="1:14" x14ac:dyDescent="0.25">
      <c r="A21" s="98" t="str">
        <v>24074-FS07</v>
      </c>
      <c r="B21" s="99" t="str">
        <f>IF(A21="","",IFERROR(VLOOKUP(A21,'Job Operations'!$A$4:$AA$304,2,FALSE),""))</f>
        <v>DIDD ACM</v>
      </c>
      <c r="C21" s="100" t="str">
        <f>IF(A21="","",IFERROR(VLOOKUP(A21,'Job Operations'!$A$4:$AA$304,3,FALSE),""))</f>
        <v>Dillon Bowman</v>
      </c>
      <c r="D21" s="100">
        <f>IF(A21="","",IFERROR(VLOOKUP(A21,'Job Operations'!$A$4:$AA$304,5,FALSE),""))</f>
        <v>155</v>
      </c>
      <c r="E21" s="100">
        <f>IF(A21="","",IFERROR(VLOOKUP(A21,'Job Operations'!$A$4:$AA$304,6,FALSE),""))</f>
        <v>218</v>
      </c>
      <c r="F21" s="100" t="str">
        <f>IF(A21="","",IFERROR(VLOOKUP(A21,'Job Operations'!$A$4:$AA$304,7,FALSE),""))</f>
        <v>FR ACM</v>
      </c>
      <c r="G21" s="101">
        <f>IF(A21="","",IFERROR(VLOOKUP(A21,'Job Operations'!$A$4:$AA$304,9,FALSE),""))</f>
        <v>46132</v>
      </c>
      <c r="H21" s="100" t="str">
        <f>IF(A21="","",IFERROR(VLOOKUP(A21,'Job Operations'!$A$4:$AA$304,12,FALSE),""))</f>
        <v>CNC Programming</v>
      </c>
      <c r="I21" s="100" t="str">
        <f>IF(A21="","",IFERROR(VLOOKUP(A21,'Job Operations'!$A$4:$AA$304,13,FALSE),""))</f>
        <v>AXYZ Titans Line</v>
      </c>
      <c r="J21" s="100" t="str">
        <f>IF(A21="","",IFERROR(VLOOKUP(A21,'Job Operations'!$A$4:$AA$304,15,FALSE),""))</f>
        <v>Clean and Brake</v>
      </c>
      <c r="K21" s="100" t="str">
        <f>IF(A21="","",IFERROR(VLOOKUP(A21,'Job Operations'!$A$4:$AA$304,17,FALSE),""))</f>
        <v>Fab</v>
      </c>
      <c r="L21" s="138" t="str">
        <f>IF(A21="","",IF(IFERROR(VLOOKUP(A21,Notes!A:B,2,FALSE),"")=0,"",VLOOKUP(A21,Notes!A:B,2,FALSE)))</f>
        <v>*03/30...4' Panals Rolled*04/02…Sketch*04/09…CNC*04/16/2026…CNC Programming</v>
      </c>
      <c r="M21" s="66"/>
      <c r="N21" s="66"/>
    </row>
    <row r="22" spans="1:14" x14ac:dyDescent="0.25">
      <c r="A22" s="103" t="str">
        <v>26009-FS01</v>
      </c>
      <c r="B22" s="104" t="str">
        <f>IF(A22="","",IFERROR(VLOOKUP(A22,'Job Operations'!$A$4:$AA$304,2,FALSE),""))</f>
        <v>5th &amp; Summer Leasing Office</v>
      </c>
      <c r="C22" s="105" t="str">
        <f>IF(A22="","",IFERROR(VLOOKUP(A22,'Job Operations'!$A$4:$AA$304,3,FALSE),""))</f>
        <v>Cole Norona</v>
      </c>
      <c r="D22" s="105">
        <f>IF(A22="","",IFERROR(VLOOKUP(A22,'Job Operations'!$A$4:$AA$304,5,FALSE),""))</f>
        <v>9</v>
      </c>
      <c r="E22" s="105">
        <f>IF(A22="","",IFERROR(VLOOKUP(A22,'Job Operations'!$A$4:$AA$304,6,FALSE),""))</f>
        <v>0</v>
      </c>
      <c r="F22" s="105" t="str">
        <f>IF(A22="","",IFERROR(VLOOKUP(A22,'Job Operations'!$A$4:$AA$304,7,FALSE),""))</f>
        <v>FR ACM</v>
      </c>
      <c r="G22" s="106">
        <f>IF(A22="","",IFERROR(VLOOKUP(A22,'Job Operations'!$A$4:$AA$304,9,FALSE),""))</f>
        <v>46132</v>
      </c>
      <c r="H22" s="105" t="str">
        <f>IF(A22="","",IFERROR(VLOOKUP(A22,'Job Operations'!$A$4:$AA$304,12,FALSE),""))</f>
        <v>LO Check</v>
      </c>
      <c r="I22" s="105" t="str">
        <f>IF(A22="","",IFERROR(VLOOKUP(A22,'Job Operations'!$A$4:$AA$304,13,FALSE),""))</f>
        <v>AXYZ</v>
      </c>
      <c r="J22" s="105" t="str">
        <f>IF(A22="","",IFERROR(VLOOKUP(A22,'Job Operations'!$A$4:$AA$304,15,FALSE),""))</f>
        <v>Clean and Brake</v>
      </c>
      <c r="K22" s="105" t="str">
        <f>IF(A22="","",IFERROR(VLOOKUP(A22,'Job Operations'!$A$4:$AA$304,17,FALSE),""))</f>
        <v>Fab</v>
      </c>
      <c r="L22" s="137" t="str">
        <f>IF(A22="","",IF(IFERROR(VLOOKUP(A22,Notes!A:B,2,FALSE),"")=0,"",VLOOKUP(A22,Notes!A:B,2,FALSE)))</f>
        <v>04/16/2026…LO Check</v>
      </c>
      <c r="M22" s="68"/>
      <c r="N22" s="68"/>
    </row>
    <row r="23" spans="1:14" x14ac:dyDescent="0.25">
      <c r="A23" s="98" t="str">
        <v>25031-RO01</v>
      </c>
      <c r="B23" s="99" t="str">
        <f>IF(A23="","",IFERROR(VLOOKUP(A23,'Job Operations'!$A$4:$AA$304,2,FALSE),""))</f>
        <v>LLU Mars US Warehouse</v>
      </c>
      <c r="C23" s="100" t="str">
        <f>IF(A23="","",IFERROR(VLOOKUP(A23,'Job Operations'!$A$4:$AA$304,3,FALSE),""))</f>
        <v>Laura Forero</v>
      </c>
      <c r="D23" s="100">
        <f>IF(A23="","",IFERROR(VLOOKUP(A23,'Job Operations'!$A$4:$AA$304,5,FALSE),""))</f>
        <v>3</v>
      </c>
      <c r="E23" s="100">
        <f>IF(A23="","",IFERROR(VLOOKUP(A23,'Job Operations'!$A$4:$AA$304,6,FALSE),""))</f>
        <v>3</v>
      </c>
      <c r="F23" s="100" t="str">
        <f>IF(A23="","",IFERROR(VLOOKUP(A23,'Job Operations'!$A$4:$AA$304,7,FALSE),""))</f>
        <v>FR ACM</v>
      </c>
      <c r="G23" s="101">
        <f>IF(A23="","",IFERROR(VLOOKUP(A23,'Job Operations'!$A$4:$AA$304,9,FALSE),""))</f>
        <v>46134</v>
      </c>
      <c r="H23" s="100" t="str">
        <f>IF(A23="","",IFERROR(VLOOKUP(A23,'Job Operations'!$A$4:$AA$304,12,FALSE),""))</f>
        <v>CNC Programming</v>
      </c>
      <c r="I23" s="100" t="str">
        <f>IF(A23="","",IFERROR(VLOOKUP(A23,'Job Operations'!$A$4:$AA$304,13,FALSE),""))</f>
        <v>Clean and Brake</v>
      </c>
      <c r="J23" s="100" t="str">
        <f>IF(A23="","",IFERROR(VLOOKUP(A23,'Job Operations'!$A$4:$AA$304,15,FALSE),""))</f>
        <v>Fab</v>
      </c>
      <c r="K23" s="100" t="str">
        <f>IF(A23="","",IFERROR(VLOOKUP(A23,'Job Operations'!$A$4:$AA$304,17,FALSE),""))</f>
        <v/>
      </c>
      <c r="L23" s="138" t="str">
        <f>IF(A23="","",IF(IFERROR(VLOOKUP(A23,Notes!A:B,2,FALSE),"")=0,"",VLOOKUP(A23,Notes!A:B,2,FALSE)))</f>
        <v>04/16/2026…CNC Programming</v>
      </c>
      <c r="M23" s="66"/>
      <c r="N23" s="66"/>
    </row>
    <row r="24" spans="1:14" x14ac:dyDescent="0.25">
      <c r="A24" s="103" t="str">
        <v>25059-RM05</v>
      </c>
      <c r="B24" s="104" t="str">
        <f>IF(A24="","",IFERROR(VLOOKUP(A24,'Job Operations'!$A$4:$AA$304,2,FALSE),""))</f>
        <v>Allen Samuels CDJR and LC</v>
      </c>
      <c r="C24" s="105" t="str">
        <f>IF(A24="","",IFERROR(VLOOKUP(A24,'Job Operations'!$A$4:$AA$304,3,FALSE),""))</f>
        <v>Andre Van Der Merwe</v>
      </c>
      <c r="D24" s="105">
        <f>IF(A24="","",IFERROR(VLOOKUP(A24,'Job Operations'!$A$4:$AA$304,5,FALSE),""))</f>
        <v>1</v>
      </c>
      <c r="E24" s="105">
        <f>IF(A24="","",IFERROR(VLOOKUP(A24,'Job Operations'!$A$4:$AA$304,6,FALSE),""))</f>
        <v>1</v>
      </c>
      <c r="F24" s="105" t="str">
        <f>IF(A24="","",IFERROR(VLOOKUP(A24,'Job Operations'!$A$4:$AA$304,7,FALSE),""))</f>
        <v>FR ACM</v>
      </c>
      <c r="G24" s="106">
        <f>IF(A24="","",IFERROR(VLOOKUP(A24,'Job Operations'!$A$4:$AA$304,9,FALSE),""))</f>
        <v>46135</v>
      </c>
      <c r="H24" s="105" t="str">
        <f>IF(A24="","",IFERROR(VLOOKUP(A24,'Job Operations'!$A$4:$AA$304,12,FALSE),""))</f>
        <v>CNC Programming</v>
      </c>
      <c r="I24" s="105" t="str">
        <f>IF(A24="","",IFERROR(VLOOKUP(A24,'Job Operations'!$A$4:$AA$304,13,FALSE),""))</f>
        <v>AXYZ</v>
      </c>
      <c r="J24" s="105" t="str">
        <f>IF(A24="","",IFERROR(VLOOKUP(A24,'Job Operations'!$A$4:$AA$304,15,FALSE),""))</f>
        <v>Clean and Brake</v>
      </c>
      <c r="K24" s="105" t="str">
        <f>IF(A24="","",IFERROR(VLOOKUP(A24,'Job Operations'!$A$4:$AA$304,17,FALSE),""))</f>
        <v>Fab</v>
      </c>
      <c r="L24" s="137" t="str">
        <f>IF(A24="","",IF(IFERROR(VLOOKUP(A24,Notes!A:B,2,FALSE),"")=0,"",VLOOKUP(A24,Notes!A:B,2,FALSE)))</f>
        <v>04/16/2026…CNC Programming</v>
      </c>
      <c r="M24" s="68"/>
      <c r="N24" s="68"/>
    </row>
    <row r="25" spans="1:14" x14ac:dyDescent="0.25">
      <c r="A25" s="98" t="str">
        <v>25030-FS01</v>
      </c>
      <c r="B25" s="99" t="str">
        <f>IF(A25="","",IFERROR(VLOOKUP(A25,'Job Operations'!$A$4:$AA$304,2,FALSE),""))</f>
        <v>510 W Tremont</v>
      </c>
      <c r="C25" s="100" t="str">
        <f>IF(A25="","",IFERROR(VLOOKUP(A25,'Job Operations'!$A$4:$AA$304,3,FALSE),""))</f>
        <v>Laura Forero</v>
      </c>
      <c r="D25" s="100">
        <f>IF(A25="","",IFERROR(VLOOKUP(A25,'Job Operations'!$A$4:$AA$304,5,FALSE),""))</f>
        <v>88</v>
      </c>
      <c r="E25" s="100">
        <f>IF(A25="","",IFERROR(VLOOKUP(A25,'Job Operations'!$A$4:$AA$304,6,FALSE),""))</f>
        <v>0</v>
      </c>
      <c r="F25" s="100" t="str">
        <f>IF(A25="","",IFERROR(VLOOKUP(A25,'Job Operations'!$A$4:$AA$304,7,FALSE),""))</f>
        <v>FR ACM</v>
      </c>
      <c r="G25" s="101">
        <f>IF(A25="","",IFERROR(VLOOKUP(A25,'Job Operations'!$A$4:$AA$304,9,FALSE),""))</f>
        <v>46136</v>
      </c>
      <c r="H25" s="100" t="str">
        <f>IF(A25="","",IFERROR(VLOOKUP(A25,'Job Operations'!$A$4:$AA$304,12,FALSE),""))</f>
        <v>Correction</v>
      </c>
      <c r="I25" s="100" t="str">
        <f>IF(A25="","",IFERROR(VLOOKUP(A25,'Job Operations'!$A$4:$AA$304,13,FALSE),""))</f>
        <v>AXYZ</v>
      </c>
      <c r="J25" s="100" t="str">
        <f>IF(A25="","",IFERROR(VLOOKUP(A25,'Job Operations'!$A$4:$AA$304,15,FALSE),""))</f>
        <v>Clean and Brake</v>
      </c>
      <c r="K25" s="100" t="str">
        <f>IF(A25="","",IFERROR(VLOOKUP(A25,'Job Operations'!$A$4:$AA$304,17,FALSE),""))</f>
        <v>Fab</v>
      </c>
      <c r="L25" s="138" t="str">
        <f>IF(A25="","",IF(IFERROR(VLOOKUP(A25,Notes!A:B,2,FALSE),"")=0,"",VLOOKUP(A25,Notes!A:B,2,FALSE)))</f>
        <v>04/16/2026…Correction</v>
      </c>
      <c r="M25" s="66"/>
      <c r="N25" s="66"/>
    </row>
    <row r="26" spans="1:14" x14ac:dyDescent="0.25">
      <c r="A26" s="103" t="str">
        <v>25030-FS02</v>
      </c>
      <c r="B26" s="104" t="str">
        <f>IF(A26="","",IFERROR(VLOOKUP(A26,'Job Operations'!$A$4:$AA$304,2,FALSE),""))</f>
        <v>510 W Tremont</v>
      </c>
      <c r="C26" s="105" t="str">
        <f>IF(A26="","",IFERROR(VLOOKUP(A26,'Job Operations'!$A$4:$AA$304,3,FALSE),""))</f>
        <v>Laura Forero</v>
      </c>
      <c r="D26" s="105">
        <f>IF(A26="","",IFERROR(VLOOKUP(A26,'Job Operations'!$A$4:$AA$304,5,FALSE),""))</f>
        <v>84</v>
      </c>
      <c r="E26" s="105">
        <f>IF(A26="","",IFERROR(VLOOKUP(A26,'Job Operations'!$A$4:$AA$304,6,FALSE),""))</f>
        <v>0</v>
      </c>
      <c r="F26" s="105" t="str">
        <f>IF(A26="","",IFERROR(VLOOKUP(A26,'Job Operations'!$A$4:$AA$304,7,FALSE),""))</f>
        <v>FR ACM</v>
      </c>
      <c r="G26" s="106">
        <f>IF(A26="","",IFERROR(VLOOKUP(A26,'Job Operations'!$A$4:$AA$304,9,FALSE),""))</f>
        <v>46136</v>
      </c>
      <c r="H26" s="105" t="str">
        <f>IF(A26="","",IFERROR(VLOOKUP(A26,'Job Operations'!$A$4:$AA$304,12,FALSE),""))</f>
        <v>Sketch</v>
      </c>
      <c r="I26" s="105" t="str">
        <f>IF(A26="","",IFERROR(VLOOKUP(A26,'Job Operations'!$A$4:$AA$304,13,FALSE),""))</f>
        <v>AXYZ</v>
      </c>
      <c r="J26" s="105" t="str">
        <f>IF(A26="","",IFERROR(VLOOKUP(A26,'Job Operations'!$A$4:$AA$304,15,FALSE),""))</f>
        <v>Clean and Brake</v>
      </c>
      <c r="K26" s="105" t="str">
        <f>IF(A26="","",IFERROR(VLOOKUP(A26,'Job Operations'!$A$4:$AA$304,17,FALSE),""))</f>
        <v>Fab</v>
      </c>
      <c r="L26" s="137" t="str">
        <f>IF(A26="","",IF(IFERROR(VLOOKUP(A26,Notes!A:B,2,FALSE),"")=0,"",VLOOKUP(A26,Notes!A:B,2,FALSE)))</f>
        <v>04/16/2026…Sketch</v>
      </c>
      <c r="M26" s="68"/>
      <c r="N26" s="68"/>
    </row>
    <row r="27" spans="1:14" x14ac:dyDescent="0.25">
      <c r="A27" s="98" t="str">
        <v>24051-FS90</v>
      </c>
      <c r="B27" s="99" t="str">
        <f>IF(A27="","",IFERROR(VLOOKUP(A27,'Job Operations'!$A$4:$AA$304,2,FALSE),""))</f>
        <v>TN Titans Stadium</v>
      </c>
      <c r="C27" s="100" t="str">
        <f>IF(A27="","",IFERROR(VLOOKUP(A27,'Job Operations'!$A$4:$AA$304,3,FALSE),""))</f>
        <v>Marc Ribar</v>
      </c>
      <c r="D27" s="100">
        <f>IF(A27="","",IFERROR(VLOOKUP(A27,'Job Operations'!$A$4:$AA$304,5,FALSE),""))</f>
        <v>117</v>
      </c>
      <c r="E27" s="100">
        <f>IF(A27="","",IFERROR(VLOOKUP(A27,'Job Operations'!$A$4:$AA$304,6,FALSE),""))</f>
        <v>0</v>
      </c>
      <c r="F27" s="100" t="str">
        <f>IF(A27="","",IFERROR(VLOOKUP(A27,'Job Operations'!$A$4:$AA$304,7,FALSE),""))</f>
        <v>FR ACM</v>
      </c>
      <c r="G27" s="101">
        <f>IF(A27="","",IFERROR(VLOOKUP(A27,'Job Operations'!$A$4:$AA$304,9,FALSE),""))</f>
        <v>46136</v>
      </c>
      <c r="H27" s="100" t="str">
        <f>IF(A27="","",IFERROR(VLOOKUP(A27,'Job Operations'!$A$4:$AA$304,12,FALSE),""))</f>
        <v>Float</v>
      </c>
      <c r="I27" s="100" t="str">
        <f>IF(A27="","",IFERROR(VLOOKUP(A27,'Job Operations'!$A$4:$AA$304,13,FALSE),""))</f>
        <v>AXYZ</v>
      </c>
      <c r="J27" s="100" t="str">
        <f>IF(A27="","",IFERROR(VLOOKUP(A27,'Job Operations'!$A$4:$AA$304,15,FALSE),""))</f>
        <v>Clean and Brake</v>
      </c>
      <c r="K27" s="100" t="str">
        <f>IF(A27="","",IFERROR(VLOOKUP(A27,'Job Operations'!$A$4:$AA$304,17,FALSE),""))</f>
        <v>Fab</v>
      </c>
      <c r="L27" s="138" t="str">
        <f>IF(A27="","",IF(IFERROR(VLOOKUP(A27,Notes!A:B,2,FALSE),"")=0,"",VLOOKUP(A27,Notes!A:B,2,FALSE)))</f>
        <v>04/16/2026…Float</v>
      </c>
      <c r="M27" s="66"/>
      <c r="N27" s="66"/>
    </row>
    <row r="28" spans="1:14" x14ac:dyDescent="0.25">
      <c r="A28" s="103" t="str">
        <v>24051-FS91</v>
      </c>
      <c r="B28" s="104" t="str">
        <f>IF(A28="","",IFERROR(VLOOKUP(A28,'Job Operations'!$A$4:$AA$304,2,FALSE),""))</f>
        <v>TN Titans Stadium</v>
      </c>
      <c r="C28" s="105" t="str">
        <f>IF(A28="","",IFERROR(VLOOKUP(A28,'Job Operations'!$A$4:$AA$304,3,FALSE),""))</f>
        <v>Marc Ribar</v>
      </c>
      <c r="D28" s="105">
        <f>IF(A28="","",IFERROR(VLOOKUP(A28,'Job Operations'!$A$4:$AA$304,5,FALSE),""))</f>
        <v>36</v>
      </c>
      <c r="E28" s="105">
        <f>IF(A28="","",IFERROR(VLOOKUP(A28,'Job Operations'!$A$4:$AA$304,6,FALSE),""))</f>
        <v>0</v>
      </c>
      <c r="F28" s="105" t="str">
        <f>IF(A28="","",IFERROR(VLOOKUP(A28,'Job Operations'!$A$4:$AA$304,7,FALSE),""))</f>
        <v>FR ACM</v>
      </c>
      <c r="G28" s="106">
        <f>IF(A28="","",IFERROR(VLOOKUP(A28,'Job Operations'!$A$4:$AA$304,9,FALSE),""))</f>
        <v>46136</v>
      </c>
      <c r="H28" s="105" t="str">
        <f>IF(A28="","",IFERROR(VLOOKUP(A28,'Job Operations'!$A$4:$AA$304,12,FALSE),""))</f>
        <v>Float</v>
      </c>
      <c r="I28" s="105" t="str">
        <f>IF(A28="","",IFERROR(VLOOKUP(A28,'Job Operations'!$A$4:$AA$304,13,FALSE),""))</f>
        <v>AXYZ</v>
      </c>
      <c r="J28" s="105" t="str">
        <f>IF(A28="","",IFERROR(VLOOKUP(A28,'Job Operations'!$A$4:$AA$304,15,FALSE),""))</f>
        <v>Clean and Brake</v>
      </c>
      <c r="K28" s="105" t="str">
        <f>IF(A28="","",IFERROR(VLOOKUP(A28,'Job Operations'!$A$4:$AA$304,17,FALSE),""))</f>
        <v>Fab</v>
      </c>
      <c r="L28" s="137" t="str">
        <f>IF(A28="","",IF(IFERROR(VLOOKUP(A28,Notes!A:B,2,FALSE),"")=0,"",VLOOKUP(A28,Notes!A:B,2,FALSE)))</f>
        <v>04/16/2026…Float</v>
      </c>
      <c r="M28" s="68"/>
      <c r="N28" s="68"/>
    </row>
    <row r="29" spans="1:14" x14ac:dyDescent="0.25">
      <c r="A29" s="98" t="str">
        <v>24051-FS227</v>
      </c>
      <c r="B29" s="99" t="str">
        <f>IF(A29="","",IFERROR(VLOOKUP(A29,'Job Operations'!$A$4:$AA$304,2,FALSE),""))</f>
        <v>TN Titans Stadium</v>
      </c>
      <c r="C29" s="100" t="str">
        <f>IF(A29="","",IFERROR(VLOOKUP(A29,'Job Operations'!$A$4:$AA$304,3,FALSE),""))</f>
        <v>Marc Ribar</v>
      </c>
      <c r="D29" s="100">
        <f>IF(A29="","",IFERROR(VLOOKUP(A29,'Job Operations'!$A$4:$AA$304,5,FALSE),""))</f>
        <v>119</v>
      </c>
      <c r="E29" s="100">
        <f>IF(A29="","",IFERROR(VLOOKUP(A29,'Job Operations'!$A$4:$AA$304,6,FALSE),""))</f>
        <v>0</v>
      </c>
      <c r="F29" s="100" t="str">
        <f>IF(A29="","",IFERROR(VLOOKUP(A29,'Job Operations'!$A$4:$AA$304,7,FALSE),""))</f>
        <v>FR ACM</v>
      </c>
      <c r="G29" s="101">
        <f>IF(A29="","",IFERROR(VLOOKUP(A29,'Job Operations'!$A$4:$AA$304,9,FALSE),""))</f>
        <v>46136</v>
      </c>
      <c r="H29" s="100" t="str">
        <f>IF(A29="","",IFERROR(VLOOKUP(A29,'Job Operations'!$A$4:$AA$304,12,FALSE),""))</f>
        <v>Float</v>
      </c>
      <c r="I29" s="100" t="str">
        <f>IF(A29="","",IFERROR(VLOOKUP(A29,'Job Operations'!$A$4:$AA$304,13,FALSE),""))</f>
        <v>AXYZ</v>
      </c>
      <c r="J29" s="100" t="str">
        <f>IF(A29="","",IFERROR(VLOOKUP(A29,'Job Operations'!$A$4:$AA$304,15,FALSE),""))</f>
        <v>Clean and Brake</v>
      </c>
      <c r="K29" s="100" t="str">
        <f>IF(A29="","",IFERROR(VLOOKUP(A29,'Job Operations'!$A$4:$AA$304,17,FALSE),""))</f>
        <v>Fab</v>
      </c>
      <c r="L29" s="138" t="str">
        <f>IF(A29="","",IF(IFERROR(VLOOKUP(A29,Notes!A:B,2,FALSE),"")=0,"",VLOOKUP(A29,Notes!A:B,2,FALSE)))</f>
        <v>04/16/2026…Float</v>
      </c>
      <c r="M29" s="66"/>
      <c r="N29" s="66"/>
    </row>
    <row r="30" spans="1:14" x14ac:dyDescent="0.25">
      <c r="A30" s="103" t="str">
        <v>24051-FL01</v>
      </c>
      <c r="B30" s="104" t="str">
        <f>IF(A30="","",IFERROR(VLOOKUP(A30,'Job Operations'!$A$4:$AA$304,2,FALSE),""))</f>
        <v>TN Titans Stadium</v>
      </c>
      <c r="C30" s="105" t="str">
        <f>IF(A30="","",IFERROR(VLOOKUP(A30,'Job Operations'!$A$4:$AA$304,3,FALSE),""))</f>
        <v>Marc Ribar</v>
      </c>
      <c r="D30" s="105">
        <f>IF(A30="","",IFERROR(VLOOKUP(A30,'Job Operations'!$A$4:$AA$304,5,FALSE),""))</f>
        <v>0</v>
      </c>
      <c r="E30" s="105">
        <f>IF(A30="","",IFERROR(VLOOKUP(A30,'Job Operations'!$A$4:$AA$304,6,FALSE),""))</f>
        <v>25</v>
      </c>
      <c r="F30" s="105" t="str">
        <f>IF(A30="","",IFERROR(VLOOKUP(A30,'Job Operations'!$A$4:$AA$304,7,FALSE),""))</f>
        <v>Alum Sheet</v>
      </c>
      <c r="G30" s="106">
        <f>IF(A30="","",IFERROR(VLOOKUP(A30,'Job Operations'!$A$4:$AA$304,9,FALSE),""))</f>
        <v>46136</v>
      </c>
      <c r="H30" s="105" t="str">
        <f>IF(A30="","",IFERROR(VLOOKUP(A30,'Job Operations'!$A$4:$AA$304,12,FALSE),""))</f>
        <v>Release to Shop</v>
      </c>
      <c r="I30" s="105" t="str">
        <f>IF(A30="","",IFERROR(VLOOKUP(A30,'Job Operations'!$A$4:$AA$304,13,FALSE),""))</f>
        <v>7000 TruMatic</v>
      </c>
      <c r="J30" s="105" t="str">
        <f>IF(A30="","",IFERROR(VLOOKUP(A30,'Job Operations'!$A$4:$AA$304,15,FALSE),""))</f>
        <v>Brake</v>
      </c>
      <c r="K30" s="105" t="str">
        <f>IF(A30="","",IFERROR(VLOOKUP(A30,'Job Operations'!$A$4:$AA$304,17,FALSE),""))</f>
        <v/>
      </c>
      <c r="L30" s="137" t="str">
        <f>IF(A30="","",IF(IFERROR(VLOOKUP(A30,Notes!A:B,2,FALSE),"")=0,"",VLOOKUP(A30,Notes!A:B,2,FALSE)))</f>
        <v>04/16/2026…Release to Shop</v>
      </c>
      <c r="M30" s="68"/>
      <c r="N30" s="68"/>
    </row>
    <row r="31" spans="1:14" x14ac:dyDescent="0.25">
      <c r="A31" s="98" t="str">
        <v>24079-RM01</v>
      </c>
      <c r="B31" s="99" t="str">
        <f>IF(A31="","",IFERROR(VLOOKUP(A31,'Job Operations'!$A$4:$AA$304,2,FALSE),""))</f>
        <v>Nashville Youth Campus</v>
      </c>
      <c r="C31" s="100" t="str">
        <f>IF(A31="","",IFERROR(VLOOKUP(A31,'Job Operations'!$A$4:$AA$304,3,FALSE),""))</f>
        <v>Joe Hoyle</v>
      </c>
      <c r="D31" s="100">
        <f>IF(A31="","",IFERROR(VLOOKUP(A31,'Job Operations'!$A$4:$AA$304,5,FALSE),""))</f>
        <v>37</v>
      </c>
      <c r="E31" s="100">
        <f>IF(A31="","",IFERROR(VLOOKUP(A31,'Job Operations'!$A$4:$AA$304,6,FALSE),""))</f>
        <v>39</v>
      </c>
      <c r="F31" s="100" t="str">
        <f>IF(A31="","",IFERROR(VLOOKUP(A31,'Job Operations'!$A$4:$AA$304,7,FALSE),""))</f>
        <v>FR ACM</v>
      </c>
      <c r="G31" s="101">
        <f>IF(A31="","",IFERROR(VLOOKUP(A31,'Job Operations'!$A$4:$AA$304,9,FALSE),""))</f>
        <v>46136</v>
      </c>
      <c r="H31" s="100" t="str">
        <f>IF(A31="","",IFERROR(VLOOKUP(A31,'Job Operations'!$A$4:$AA$304,12,FALSE),""))</f>
        <v>Sketch</v>
      </c>
      <c r="I31" s="100" t="str">
        <f>IF(A31="","",IFERROR(VLOOKUP(A31,'Job Operations'!$A$4:$AA$304,13,FALSE),""))</f>
        <v>AXYZ</v>
      </c>
      <c r="J31" s="100" t="str">
        <f>IF(A31="","",IFERROR(VLOOKUP(A31,'Job Operations'!$A$4:$AA$304,15,FALSE),""))</f>
        <v>Clean and Brake</v>
      </c>
      <c r="K31" s="100" t="str">
        <f>IF(A31="","",IFERROR(VLOOKUP(A31,'Job Operations'!$A$4:$AA$304,17,FALSE),""))</f>
        <v>Fab</v>
      </c>
      <c r="L31" s="138" t="str">
        <f>IF(A31="","",IF(IFERROR(VLOOKUP(A31,Notes!A:B,2,FALSE),"")=0,"",VLOOKUP(A31,Notes!A:B,2,FALSE)))</f>
        <v>04/16/2026…Sketch</v>
      </c>
      <c r="M31" s="66"/>
      <c r="N31" s="66"/>
    </row>
    <row r="32" spans="1:14" x14ac:dyDescent="0.25">
      <c r="A32" s="103" t="str">
        <v>24051-FS93</v>
      </c>
      <c r="B32" s="104" t="str">
        <f>IF(A32="","",IFERROR(VLOOKUP(A32,'Job Operations'!$A$4:$AA$304,2,FALSE),""))</f>
        <v>TN Titans Stadium</v>
      </c>
      <c r="C32" s="105" t="str">
        <f>IF(A32="","",IFERROR(VLOOKUP(A32,'Job Operations'!$A$4:$AA$304,3,FALSE),""))</f>
        <v>Marc Ribar</v>
      </c>
      <c r="D32" s="105">
        <f>IF(A32="","",IFERROR(VLOOKUP(A32,'Job Operations'!$A$4:$AA$304,5,FALSE),""))</f>
        <v>131</v>
      </c>
      <c r="E32" s="105">
        <f>IF(A32="","",IFERROR(VLOOKUP(A32,'Job Operations'!$A$4:$AA$304,6,FALSE),""))</f>
        <v>133</v>
      </c>
      <c r="F32" s="105" t="str">
        <f>IF(A32="","",IFERROR(VLOOKUP(A32,'Job Operations'!$A$4:$AA$304,7,FALSE),""))</f>
        <v>FR ACM</v>
      </c>
      <c r="G32" s="106">
        <f>IF(A32="","",IFERROR(VLOOKUP(A32,'Job Operations'!$A$4:$AA$304,9,FALSE),""))</f>
        <v>46140</v>
      </c>
      <c r="H32" s="105" t="str">
        <f>IF(A32="","",IFERROR(VLOOKUP(A32,'Job Operations'!$A$4:$AA$304,12,FALSE),""))</f>
        <v>Correction</v>
      </c>
      <c r="I32" s="105" t="str">
        <f>IF(A32="","",IFERROR(VLOOKUP(A32,'Job Operations'!$A$4:$AA$304,13,FALSE),""))</f>
        <v>AXYZ</v>
      </c>
      <c r="J32" s="105" t="str">
        <f>IF(A32="","",IFERROR(VLOOKUP(A32,'Job Operations'!$A$4:$AA$304,15,FALSE),""))</f>
        <v>Clean and Brake</v>
      </c>
      <c r="K32" s="105" t="str">
        <f>IF(A32="","",IFERROR(VLOOKUP(A32,'Job Operations'!$A$4:$AA$304,17,FALSE),""))</f>
        <v>Fab</v>
      </c>
      <c r="L32" s="137" t="str">
        <f>IF(A32="","",IF(IFERROR(VLOOKUP(A32,Notes!A:B,2,FALSE),"")=0,"",VLOOKUP(A32,Notes!A:B,2,FALSE)))</f>
        <v>04/14...Next Titans Requesting//Scheduled to be released to the shop 04/20.*04/16/2026…Correction</v>
      </c>
      <c r="M32" s="68"/>
      <c r="N32" s="68"/>
    </row>
    <row r="33" spans="1:14" x14ac:dyDescent="0.25">
      <c r="A33" s="98" t="str">
        <v>24051-FS94</v>
      </c>
      <c r="B33" s="99" t="str">
        <f>IF(A33="","",IFERROR(VLOOKUP(A33,'Job Operations'!$A$4:$AA$304,2,FALSE),""))</f>
        <v>TN Titans Stadium</v>
      </c>
      <c r="C33" s="100" t="str">
        <f>IF(A33="","",IFERROR(VLOOKUP(A33,'Job Operations'!$A$4:$AA$304,3,FALSE),""))</f>
        <v>Marc Ribar</v>
      </c>
      <c r="D33" s="100">
        <f>IF(A33="","",IFERROR(VLOOKUP(A33,'Job Operations'!$A$4:$AA$304,5,FALSE),""))</f>
        <v>79</v>
      </c>
      <c r="E33" s="100">
        <f>IF(A33="","",IFERROR(VLOOKUP(A33,'Job Operations'!$A$4:$AA$304,6,FALSE),""))</f>
        <v>0</v>
      </c>
      <c r="F33" s="100" t="str">
        <f>IF(A33="","",IFERROR(VLOOKUP(A33,'Job Operations'!$A$4:$AA$304,7,FALSE),""))</f>
        <v>FR ACM</v>
      </c>
      <c r="G33" s="101">
        <f>IF(A33="","",IFERROR(VLOOKUP(A33,'Job Operations'!$A$4:$AA$304,9,FALSE),""))</f>
        <v>46140</v>
      </c>
      <c r="H33" s="100" t="str">
        <f>IF(A33="","",IFERROR(VLOOKUP(A33,'Job Operations'!$A$4:$AA$304,12,FALSE),""))</f>
        <v>Float</v>
      </c>
      <c r="I33" s="100" t="str">
        <f>IF(A33="","",IFERROR(VLOOKUP(A33,'Job Operations'!$A$4:$AA$304,13,FALSE),""))</f>
        <v>AXYZ</v>
      </c>
      <c r="J33" s="100" t="str">
        <f>IF(A33="","",IFERROR(VLOOKUP(A33,'Job Operations'!$A$4:$AA$304,15,FALSE),""))</f>
        <v>Clean and Brake</v>
      </c>
      <c r="K33" s="100" t="str">
        <f>IF(A33="","",IFERROR(VLOOKUP(A33,'Job Operations'!$A$4:$AA$304,17,FALSE),""))</f>
        <v>Fab</v>
      </c>
      <c r="L33" s="138" t="str">
        <f>IF(A33="","",IF(IFERROR(VLOOKUP(A33,Notes!A:B,2,FALSE),"")=0,"",VLOOKUP(A33,Notes!A:B,2,FALSE)))</f>
        <v>04/16/2026…Float</v>
      </c>
      <c r="M33" s="66"/>
      <c r="N33" s="66"/>
    </row>
    <row r="34" spans="1:14" x14ac:dyDescent="0.25">
      <c r="A34" s="103" t="str">
        <v>24051-FS95</v>
      </c>
      <c r="B34" s="104" t="str">
        <f>IF(A34="","",IFERROR(VLOOKUP(A34,'Job Operations'!$A$4:$AA$304,2,FALSE),""))</f>
        <v>TN Titans Stadium</v>
      </c>
      <c r="C34" s="105" t="str">
        <f>IF(A34="","",IFERROR(VLOOKUP(A34,'Job Operations'!$A$4:$AA$304,3,FALSE),""))</f>
        <v>Marc Ribar</v>
      </c>
      <c r="D34" s="105">
        <f>IF(A34="","",IFERROR(VLOOKUP(A34,'Job Operations'!$A$4:$AA$304,5,FALSE),""))</f>
        <v>96</v>
      </c>
      <c r="E34" s="105">
        <f>IF(A34="","",IFERROR(VLOOKUP(A34,'Job Operations'!$A$4:$AA$304,6,FALSE),""))</f>
        <v>0</v>
      </c>
      <c r="F34" s="105" t="str">
        <f>IF(A34="","",IFERROR(VLOOKUP(A34,'Job Operations'!$A$4:$AA$304,7,FALSE),""))</f>
        <v>FR ACM</v>
      </c>
      <c r="G34" s="106">
        <f>IF(A34="","",IFERROR(VLOOKUP(A34,'Job Operations'!$A$4:$AA$304,9,FALSE),""))</f>
        <v>46140</v>
      </c>
      <c r="H34" s="105" t="str">
        <f>IF(A34="","",IFERROR(VLOOKUP(A34,'Job Operations'!$A$4:$AA$304,12,FALSE),""))</f>
        <v>Float</v>
      </c>
      <c r="I34" s="105" t="str">
        <f>IF(A34="","",IFERROR(VLOOKUP(A34,'Job Operations'!$A$4:$AA$304,13,FALSE),""))</f>
        <v>AXYZ</v>
      </c>
      <c r="J34" s="105" t="str">
        <f>IF(A34="","",IFERROR(VLOOKUP(A34,'Job Operations'!$A$4:$AA$304,15,FALSE),""))</f>
        <v>Clean and Brake</v>
      </c>
      <c r="K34" s="105" t="str">
        <f>IF(A34="","",IFERROR(VLOOKUP(A34,'Job Operations'!$A$4:$AA$304,17,FALSE),""))</f>
        <v>Fab</v>
      </c>
      <c r="L34" s="137" t="str">
        <f>IF(A34="","",IF(IFERROR(VLOOKUP(A34,Notes!A:B,2,FALSE),"")=0,"",VLOOKUP(A34,Notes!A:B,2,FALSE)))</f>
        <v>04/16/2026…Float</v>
      </c>
      <c r="M34" s="68"/>
      <c r="N34" s="68"/>
    </row>
    <row r="35" spans="1:14" x14ac:dyDescent="0.25">
      <c r="A35" s="98" t="str">
        <v>24051-FS228</v>
      </c>
      <c r="B35" s="99" t="str">
        <f>IF(A35="","",IFERROR(VLOOKUP(A35,'Job Operations'!$A$4:$AA$304,2,FALSE),""))</f>
        <v>TN Titans Stadium</v>
      </c>
      <c r="C35" s="100" t="str">
        <f>IF(A35="","",IFERROR(VLOOKUP(A35,'Job Operations'!$A$4:$AA$304,3,FALSE),""))</f>
        <v>Marc Ribar</v>
      </c>
      <c r="D35" s="100">
        <f>IF(A35="","",IFERROR(VLOOKUP(A35,'Job Operations'!$A$4:$AA$304,5,FALSE),""))</f>
        <v>95</v>
      </c>
      <c r="E35" s="100">
        <f>IF(A35="","",IFERROR(VLOOKUP(A35,'Job Operations'!$A$4:$AA$304,6,FALSE),""))</f>
        <v>0</v>
      </c>
      <c r="F35" s="100" t="str">
        <f>IF(A35="","",IFERROR(VLOOKUP(A35,'Job Operations'!$A$4:$AA$304,7,FALSE),""))</f>
        <v>FR ACM</v>
      </c>
      <c r="G35" s="101">
        <f>IF(A35="","",IFERROR(VLOOKUP(A35,'Job Operations'!$A$4:$AA$304,9,FALSE),""))</f>
        <v>46140</v>
      </c>
      <c r="H35" s="100" t="str">
        <f>IF(A35="","",IFERROR(VLOOKUP(A35,'Job Operations'!$A$4:$AA$304,12,FALSE),""))</f>
        <v>Float</v>
      </c>
      <c r="I35" s="100" t="str">
        <f>IF(A35="","",IFERROR(VLOOKUP(A35,'Job Operations'!$A$4:$AA$304,13,FALSE),""))</f>
        <v>AXYZ</v>
      </c>
      <c r="J35" s="100" t="str">
        <f>IF(A35="","",IFERROR(VLOOKUP(A35,'Job Operations'!$A$4:$AA$304,15,FALSE),""))</f>
        <v>Clean and Brake</v>
      </c>
      <c r="K35" s="100" t="str">
        <f>IF(A35="","",IFERROR(VLOOKUP(A35,'Job Operations'!$A$4:$AA$304,17,FALSE),""))</f>
        <v>Fab</v>
      </c>
      <c r="L35" s="138" t="str">
        <f>IF(A35="","",IF(IFERROR(VLOOKUP(A35,Notes!A:B,2,FALSE),"")=0,"",VLOOKUP(A35,Notes!A:B,2,FALSE)))</f>
        <v>04/16/2026…Float</v>
      </c>
      <c r="M35" s="66"/>
      <c r="N35" s="66"/>
    </row>
    <row r="36" spans="1:14" x14ac:dyDescent="0.25">
      <c r="A36" s="103" t="str">
        <v>24051-FS92</v>
      </c>
      <c r="B36" s="104" t="str">
        <f>IF(A36="","",IFERROR(VLOOKUP(A36,'Job Operations'!$A$4:$AA$304,2,FALSE),""))</f>
        <v>TN Titans Stadium</v>
      </c>
      <c r="C36" s="105" t="str">
        <f>IF(A36="","",IFERROR(VLOOKUP(A36,'Job Operations'!$A$4:$AA$304,3,FALSE),""))</f>
        <v>Marc Ribar</v>
      </c>
      <c r="D36" s="105">
        <f>IF(A36="","",IFERROR(VLOOKUP(A36,'Job Operations'!$A$4:$AA$304,5,FALSE),""))</f>
        <v>104</v>
      </c>
      <c r="E36" s="105">
        <f>IF(A36="","",IFERROR(VLOOKUP(A36,'Job Operations'!$A$4:$AA$304,6,FALSE),""))</f>
        <v>0</v>
      </c>
      <c r="F36" s="105" t="str">
        <f>IF(A36="","",IFERROR(VLOOKUP(A36,'Job Operations'!$A$4:$AA$304,7,FALSE),""))</f>
        <v>FR ACM</v>
      </c>
      <c r="G36" s="106">
        <f>IF(A36="","",IFERROR(VLOOKUP(A36,'Job Operations'!$A$4:$AA$304,9,FALSE),""))</f>
        <v>46143</v>
      </c>
      <c r="H36" s="105" t="str">
        <f>IF(A36="","",IFERROR(VLOOKUP(A36,'Job Operations'!$A$4:$AA$304,12,FALSE),""))</f>
        <v>Float</v>
      </c>
      <c r="I36" s="105" t="str">
        <f>IF(A36="","",IFERROR(VLOOKUP(A36,'Job Operations'!$A$4:$AA$304,13,FALSE),""))</f>
        <v>AXYZ</v>
      </c>
      <c r="J36" s="105" t="str">
        <f>IF(A36="","",IFERROR(VLOOKUP(A36,'Job Operations'!$A$4:$AA$304,15,FALSE),""))</f>
        <v>Clean and Brake</v>
      </c>
      <c r="K36" s="105" t="str">
        <f>IF(A36="","",IFERROR(VLOOKUP(A36,'Job Operations'!$A$4:$AA$304,17,FALSE),""))</f>
        <v>Fab</v>
      </c>
      <c r="L36" s="137" t="str">
        <f>IF(A36="","",IF(IFERROR(VLOOKUP(A36,Notes!A:B,2,FALSE),"")=0,"",VLOOKUP(A36,Notes!A:B,2,FALSE)))</f>
        <v>04/16/2026…Float</v>
      </c>
      <c r="M36" s="68"/>
      <c r="N36" s="68"/>
    </row>
    <row r="37" spans="1:14" x14ac:dyDescent="0.25">
      <c r="A37" s="98" t="str">
        <v>24051-FS96</v>
      </c>
      <c r="B37" s="99" t="str">
        <f>IF(A37="","",IFERROR(VLOOKUP(A37,'Job Operations'!$A$4:$AA$304,2,FALSE),""))</f>
        <v>TN Titans Stadium</v>
      </c>
      <c r="C37" s="100" t="str">
        <f>IF(A37="","",IFERROR(VLOOKUP(A37,'Job Operations'!$A$4:$AA$304,3,FALSE),""))</f>
        <v>Marc Ribar</v>
      </c>
      <c r="D37" s="100">
        <f>IF(A37="","",IFERROR(VLOOKUP(A37,'Job Operations'!$A$4:$AA$304,5,FALSE),""))</f>
        <v>52</v>
      </c>
      <c r="E37" s="100">
        <f>IF(A37="","",IFERROR(VLOOKUP(A37,'Job Operations'!$A$4:$AA$304,6,FALSE),""))</f>
        <v>0</v>
      </c>
      <c r="F37" s="100" t="str">
        <f>IF(A37="","",IFERROR(VLOOKUP(A37,'Job Operations'!$A$4:$AA$304,7,FALSE),""))</f>
        <v>FR ACM</v>
      </c>
      <c r="G37" s="101">
        <f>IF(A37="","",IFERROR(VLOOKUP(A37,'Job Operations'!$A$4:$AA$304,9,FALSE),""))</f>
        <v>46143</v>
      </c>
      <c r="H37" s="100" t="str">
        <f>IF(A37="","",IFERROR(VLOOKUP(A37,'Job Operations'!$A$4:$AA$304,12,FALSE),""))</f>
        <v>Float</v>
      </c>
      <c r="I37" s="100" t="str">
        <f>IF(A37="","",IFERROR(VLOOKUP(A37,'Job Operations'!$A$4:$AA$304,13,FALSE),""))</f>
        <v>AXYZ</v>
      </c>
      <c r="J37" s="100" t="str">
        <f>IF(A37="","",IFERROR(VLOOKUP(A37,'Job Operations'!$A$4:$AA$304,15,FALSE),""))</f>
        <v>Clean and Brake</v>
      </c>
      <c r="K37" s="100" t="str">
        <f>IF(A37="","",IFERROR(VLOOKUP(A37,'Job Operations'!$A$4:$AA$304,17,FALSE),""))</f>
        <v>Fab</v>
      </c>
      <c r="L37" s="138" t="str">
        <f>IF(A37="","",IF(IFERROR(VLOOKUP(A37,Notes!A:B,2,FALSE),"")=0,"",VLOOKUP(A37,Notes!A:B,2,FALSE)))</f>
        <v>04/16/2026…Float</v>
      </c>
      <c r="M37" s="66"/>
      <c r="N37" s="66"/>
    </row>
    <row r="38" spans="1:14" x14ac:dyDescent="0.25">
      <c r="A38" s="103" t="str">
        <v>24051-FS229</v>
      </c>
      <c r="B38" s="104" t="str">
        <f>IF(A38="","",IFERROR(VLOOKUP(A38,'Job Operations'!$A$4:$AA$304,2,FALSE),""))</f>
        <v>TN Titans Stadium</v>
      </c>
      <c r="C38" s="105" t="str">
        <f>IF(A38="","",IFERROR(VLOOKUP(A38,'Job Operations'!$A$4:$AA$304,3,FALSE),""))</f>
        <v>Marc Ribar</v>
      </c>
      <c r="D38" s="105">
        <f>IF(A38="","",IFERROR(VLOOKUP(A38,'Job Operations'!$A$4:$AA$304,5,FALSE),""))</f>
        <v>109</v>
      </c>
      <c r="E38" s="105">
        <f>IF(A38="","",IFERROR(VLOOKUP(A38,'Job Operations'!$A$4:$AA$304,6,FALSE),""))</f>
        <v>0</v>
      </c>
      <c r="F38" s="105" t="str">
        <f>IF(A38="","",IFERROR(VLOOKUP(A38,'Job Operations'!$A$4:$AA$304,7,FALSE),""))</f>
        <v>FR ACM</v>
      </c>
      <c r="G38" s="106">
        <f>IF(A38="","",IFERROR(VLOOKUP(A38,'Job Operations'!$A$4:$AA$304,9,FALSE),""))</f>
        <v>46143</v>
      </c>
      <c r="H38" s="105" t="str">
        <f>IF(A38="","",IFERROR(VLOOKUP(A38,'Job Operations'!$A$4:$AA$304,12,FALSE),""))</f>
        <v>Float</v>
      </c>
      <c r="I38" s="105" t="str">
        <f>IF(A38="","",IFERROR(VLOOKUP(A38,'Job Operations'!$A$4:$AA$304,13,FALSE),""))</f>
        <v>AXYZ</v>
      </c>
      <c r="J38" s="105" t="str">
        <f>IF(A38="","",IFERROR(VLOOKUP(A38,'Job Operations'!$A$4:$AA$304,15,FALSE),""))</f>
        <v>Clean and Brake</v>
      </c>
      <c r="K38" s="105" t="str">
        <f>IF(A38="","",IFERROR(VLOOKUP(A38,'Job Operations'!$A$4:$AA$304,17,FALSE),""))</f>
        <v>Fab</v>
      </c>
      <c r="L38" s="137" t="str">
        <f>IF(A38="","",IF(IFERROR(VLOOKUP(A38,Notes!A:B,2,FALSE),"")=0,"",VLOOKUP(A38,Notes!A:B,2,FALSE)))</f>
        <v>04/16/2026…Float</v>
      </c>
      <c r="M38" s="68"/>
      <c r="N38" s="68"/>
    </row>
    <row r="39" spans="1:14" x14ac:dyDescent="0.25">
      <c r="A39" s="98" t="str">
        <v>24051-FS230</v>
      </c>
      <c r="B39" s="99" t="str">
        <f>IF(A39="","",IFERROR(VLOOKUP(A39,'Job Operations'!$A$4:$AA$304,2,FALSE),""))</f>
        <v>TN Titans Stadium</v>
      </c>
      <c r="C39" s="100" t="str">
        <f>IF(A39="","",IFERROR(VLOOKUP(A39,'Job Operations'!$A$4:$AA$304,3,FALSE),""))</f>
        <v>Marc Ribar</v>
      </c>
      <c r="D39" s="100">
        <f>IF(A39="","",IFERROR(VLOOKUP(A39,'Job Operations'!$A$4:$AA$304,5,FALSE),""))</f>
        <v>67</v>
      </c>
      <c r="E39" s="100">
        <f>IF(A39="","",IFERROR(VLOOKUP(A39,'Job Operations'!$A$4:$AA$304,6,FALSE),""))</f>
        <v>0</v>
      </c>
      <c r="F39" s="100" t="str">
        <f>IF(A39="","",IFERROR(VLOOKUP(A39,'Job Operations'!$A$4:$AA$304,7,FALSE),""))</f>
        <v>FR ACM</v>
      </c>
      <c r="G39" s="101">
        <f>IF(A39="","",IFERROR(VLOOKUP(A39,'Job Operations'!$A$4:$AA$304,9,FALSE),""))</f>
        <v>46143</v>
      </c>
      <c r="H39" s="100" t="str">
        <f>IF(A39="","",IFERROR(VLOOKUP(A39,'Job Operations'!$A$4:$AA$304,12,FALSE),""))</f>
        <v>Float</v>
      </c>
      <c r="I39" s="100" t="str">
        <f>IF(A39="","",IFERROR(VLOOKUP(A39,'Job Operations'!$A$4:$AA$304,13,FALSE),""))</f>
        <v>AXYZ</v>
      </c>
      <c r="J39" s="100" t="str">
        <f>IF(A39="","",IFERROR(VLOOKUP(A39,'Job Operations'!$A$4:$AA$304,15,FALSE),""))</f>
        <v>Clean and Brake</v>
      </c>
      <c r="K39" s="100" t="str">
        <f>IF(A39="","",IFERROR(VLOOKUP(A39,'Job Operations'!$A$4:$AA$304,17,FALSE),""))</f>
        <v>Fab</v>
      </c>
      <c r="L39" s="138" t="str">
        <f>IF(A39="","",IF(IFERROR(VLOOKUP(A39,Notes!A:B,2,FALSE),"")=0,"",VLOOKUP(A39,Notes!A:B,2,FALSE)))</f>
        <v>04/16/2026…Float</v>
      </c>
      <c r="M39" s="66"/>
      <c r="N39" s="66"/>
    </row>
    <row r="40" spans="1:14" x14ac:dyDescent="0.25">
      <c r="A40" s="103" t="str">
        <v>24051-FS231</v>
      </c>
      <c r="B40" s="104" t="str">
        <f>IF(A40="","",IFERROR(VLOOKUP(A40,'Job Operations'!$A$4:$AA$304,2,FALSE),""))</f>
        <v>TN Titans Stadium</v>
      </c>
      <c r="C40" s="105" t="str">
        <f>IF(A40="","",IFERROR(VLOOKUP(A40,'Job Operations'!$A$4:$AA$304,3,FALSE),""))</f>
        <v>Marc Ribar</v>
      </c>
      <c r="D40" s="105">
        <f>IF(A40="","",IFERROR(VLOOKUP(A40,'Job Operations'!$A$4:$AA$304,5,FALSE),""))</f>
        <v>1</v>
      </c>
      <c r="E40" s="105">
        <f>IF(A40="","",IFERROR(VLOOKUP(A40,'Job Operations'!$A$4:$AA$304,6,FALSE),""))</f>
        <v>0</v>
      </c>
      <c r="F40" s="105" t="str">
        <f>IF(A40="","",IFERROR(VLOOKUP(A40,'Job Operations'!$A$4:$AA$304,7,FALSE),""))</f>
        <v>FR ACM</v>
      </c>
      <c r="G40" s="106">
        <f>IF(A40="","",IFERROR(VLOOKUP(A40,'Job Operations'!$A$4:$AA$304,9,FALSE),""))</f>
        <v>46146</v>
      </c>
      <c r="H40" s="105" t="str">
        <f>IF(A40="","",IFERROR(VLOOKUP(A40,'Job Operations'!$A$4:$AA$304,12,FALSE),""))</f>
        <v>Float</v>
      </c>
      <c r="I40" s="105" t="str">
        <f>IF(A40="","",IFERROR(VLOOKUP(A40,'Job Operations'!$A$4:$AA$304,13,FALSE),""))</f>
        <v>AXYZ</v>
      </c>
      <c r="J40" s="105" t="str">
        <f>IF(A40="","",IFERROR(VLOOKUP(A40,'Job Operations'!$A$4:$AA$304,15,FALSE),""))</f>
        <v>Clean and Brake</v>
      </c>
      <c r="K40" s="105" t="str">
        <f>IF(A40="","",IFERROR(VLOOKUP(A40,'Job Operations'!$A$4:$AA$304,17,FALSE),""))</f>
        <v>Fab</v>
      </c>
      <c r="L40" s="137" t="str">
        <f>IF(A40="","",IF(IFERROR(VLOOKUP(A40,Notes!A:B,2,FALSE),"")=0,"",VLOOKUP(A40,Notes!A:B,2,FALSE)))</f>
        <v>04/16/2026…Float</v>
      </c>
      <c r="M40" s="68"/>
      <c r="N40" s="68"/>
    </row>
    <row r="41" spans="1:14" x14ac:dyDescent="0.25">
      <c r="A41" s="98" t="str">
        <v>25002-FS14</v>
      </c>
      <c r="B41" s="99" t="str">
        <f>IF(A41="","",IFERROR(VLOOKUP(A41,'Job Operations'!$A$4:$AA$304,2,FALSE),""))</f>
        <v>Med Center Health</v>
      </c>
      <c r="C41" s="100" t="str">
        <f>IF(A41="","",IFERROR(VLOOKUP(A41,'Job Operations'!$A$4:$AA$304,3,FALSE),""))</f>
        <v>Carlos Silva</v>
      </c>
      <c r="D41" s="100" t="str">
        <f>IF(A41="","",IFERROR(VLOOKUP(A41,'Job Operations'!$A$4:$AA$304,5,FALSE),""))</f>
        <v>00</v>
      </c>
      <c r="E41" s="100">
        <f>IF(A41="","",IFERROR(VLOOKUP(A41,'Job Operations'!$A$4:$AA$304,6,FALSE),""))</f>
        <v>0</v>
      </c>
      <c r="F41" s="100" t="str">
        <f>IF(A41="","",IFERROR(VLOOKUP(A41,'Job Operations'!$A$4:$AA$304,7,FALSE),""))</f>
        <v>FR ACM</v>
      </c>
      <c r="G41" s="101">
        <f>IF(A41="","",IFERROR(VLOOKUP(A41,'Job Operations'!$A$4:$AA$304,9,FALSE),""))</f>
        <v>46146</v>
      </c>
      <c r="H41" s="100" t="str">
        <f>IF(A41="","",IFERROR(VLOOKUP(A41,'Job Operations'!$A$4:$AA$304,12,FALSE),""))</f>
        <v>Evaluation</v>
      </c>
      <c r="I41" s="100" t="str">
        <f>IF(A41="","",IFERROR(VLOOKUP(A41,'Job Operations'!$A$4:$AA$304,13,FALSE),""))</f>
        <v>AXYZ</v>
      </c>
      <c r="J41" s="100" t="str">
        <f>IF(A41="","",IFERROR(VLOOKUP(A41,'Job Operations'!$A$4:$AA$304,15,FALSE),""))</f>
        <v>Clean and Brake</v>
      </c>
      <c r="K41" s="100" t="str">
        <f>IF(A41="","",IFERROR(VLOOKUP(A41,'Job Operations'!$A$4:$AA$304,17,FALSE),""))</f>
        <v>Fab</v>
      </c>
      <c r="L41" s="138" t="str">
        <f>IF(A41="","",IF(IFERROR(VLOOKUP(A41,Notes!A:B,2,FALSE),"")=0,"",VLOOKUP(A41,Notes!A:B,2,FALSE)))</f>
        <v>04/16/2026…Evaluation</v>
      </c>
      <c r="M41" s="66"/>
      <c r="N41" s="66"/>
    </row>
    <row r="42" spans="1:14" x14ac:dyDescent="0.25">
      <c r="A42" s="103" t="str">
        <v>25006-FS03</v>
      </c>
      <c r="B42" s="104" t="str">
        <f>IF(A42="","",IFERROR(VLOOKUP(A42,'Job Operations'!$A$4:$AA$304,2,FALSE),""))</f>
        <v>MALETA Housing and Dining</v>
      </c>
      <c r="C42" s="105" t="str">
        <f>IF(A42="","",IFERROR(VLOOKUP(A42,'Job Operations'!$A$4:$AA$304,3,FALSE),""))</f>
        <v>Cole Norona</v>
      </c>
      <c r="D42" s="105">
        <f>IF(A42="","",IFERROR(VLOOKUP(A42,'Job Operations'!$A$4:$AA$304,5,FALSE),""))</f>
        <v>216</v>
      </c>
      <c r="E42" s="105">
        <f>IF(A42="","",IFERROR(VLOOKUP(A42,'Job Operations'!$A$4:$AA$304,6,FALSE),""))</f>
        <v>0</v>
      </c>
      <c r="F42" s="105" t="str">
        <f>IF(A42="","",IFERROR(VLOOKUP(A42,'Job Operations'!$A$4:$AA$304,7,FALSE),""))</f>
        <v>FR ACM</v>
      </c>
      <c r="G42" s="106">
        <f>IF(A42="","",IFERROR(VLOOKUP(A42,'Job Operations'!$A$4:$AA$304,9,FALSE),""))</f>
        <v>46147</v>
      </c>
      <c r="H42" s="105" t="str">
        <f>IF(A42="","",IFERROR(VLOOKUP(A42,'Job Operations'!$A$4:$AA$304,12,FALSE),""))</f>
        <v>Correction</v>
      </c>
      <c r="I42" s="105" t="str">
        <f>IF(A42="","",IFERROR(VLOOKUP(A42,'Job Operations'!$A$4:$AA$304,13,FALSE),""))</f>
        <v>AXYZ</v>
      </c>
      <c r="J42" s="105" t="str">
        <f>IF(A42="","",IFERROR(VLOOKUP(A42,'Job Operations'!$A$4:$AA$304,15,FALSE),""))</f>
        <v>Clean and Brake</v>
      </c>
      <c r="K42" s="105" t="str">
        <f>IF(A42="","",IFERROR(VLOOKUP(A42,'Job Operations'!$A$4:$AA$304,17,FALSE),""))</f>
        <v>Fab</v>
      </c>
      <c r="L42" s="137" t="str">
        <f>IF(A42="","",IF(IFERROR(VLOOKUP(A42,Notes!A:B,2,FALSE),"")=0,"",VLOOKUP(A42,Notes!A:B,2,FALSE)))</f>
        <v>Not expected out of engineering before 04/15…Needs to ship 05/12*HOAR*04/16/2026…Correction</v>
      </c>
      <c r="M42" s="68"/>
      <c r="N42" s="68"/>
    </row>
    <row r="43" spans="1:14" x14ac:dyDescent="0.25">
      <c r="A43" s="98" t="str">
        <v>24074-FS08</v>
      </c>
      <c r="B43" s="99" t="str">
        <f>IF(A43="","",IFERROR(VLOOKUP(A43,'Job Operations'!$A$4:$AA$304,2,FALSE),""))</f>
        <v>DIDD ACM</v>
      </c>
      <c r="C43" s="100" t="str">
        <f>IF(A43="","",IFERROR(VLOOKUP(A43,'Job Operations'!$A$4:$AA$304,3,FALSE),""))</f>
        <v>Dillon Bowman</v>
      </c>
      <c r="D43" s="100">
        <f>IF(A43="","",IFERROR(VLOOKUP(A43,'Job Operations'!$A$4:$AA$304,5,FALSE),""))</f>
        <v>186</v>
      </c>
      <c r="E43" s="100">
        <f>IF(A43="","",IFERROR(VLOOKUP(A43,'Job Operations'!$A$4:$AA$304,6,FALSE),""))</f>
        <v>0</v>
      </c>
      <c r="F43" s="100" t="str">
        <f>IF(A43="","",IFERROR(VLOOKUP(A43,'Job Operations'!$A$4:$AA$304,7,FALSE),""))</f>
        <v>FR ACM</v>
      </c>
      <c r="G43" s="101">
        <f>IF(A43="","",IFERROR(VLOOKUP(A43,'Job Operations'!$A$4:$AA$304,9,FALSE),""))</f>
        <v>46149</v>
      </c>
      <c r="H43" s="100" t="str">
        <f>IF(A43="","",IFERROR(VLOOKUP(A43,'Job Operations'!$A$4:$AA$304,12,FALSE),""))</f>
        <v>LO Check</v>
      </c>
      <c r="I43" s="100" t="str">
        <f>IF(A43="","",IFERROR(VLOOKUP(A43,'Job Operations'!$A$4:$AA$304,13,FALSE),""))</f>
        <v>AXYZ</v>
      </c>
      <c r="J43" s="100" t="str">
        <f>IF(A43="","",IFERROR(VLOOKUP(A43,'Job Operations'!$A$4:$AA$304,15,FALSE),""))</f>
        <v>Clean and Brake</v>
      </c>
      <c r="K43" s="100" t="str">
        <f>IF(A43="","",IFERROR(VLOOKUP(A43,'Job Operations'!$A$4:$AA$304,17,FALSE),""))</f>
        <v>Fab</v>
      </c>
      <c r="L43" s="138" t="str">
        <f>IF(A43="","",IF(IFERROR(VLOOKUP(A43,Notes!A:B,2,FALSE),"")=0,"",VLOOKUP(A43,Notes!A:B,2,FALSE)))</f>
        <v>04/16/2026…LO Check</v>
      </c>
      <c r="M43" s="66"/>
      <c r="N43" s="66"/>
    </row>
    <row r="44" spans="1:14" x14ac:dyDescent="0.25">
      <c r="A44" s="103" t="str">
        <v>25006-FS05</v>
      </c>
      <c r="B44" s="104" t="str">
        <f>IF(A44="","",IFERROR(VLOOKUP(A44,'Job Operations'!$A$4:$AA$304,2,FALSE),""))</f>
        <v>MALETA Housing and Dining</v>
      </c>
      <c r="C44" s="105" t="str">
        <f>IF(A44="","",IFERROR(VLOOKUP(A44,'Job Operations'!$A$4:$AA$304,3,FALSE),""))</f>
        <v>Cole Norona</v>
      </c>
      <c r="D44" s="105">
        <f>IF(A44="","",IFERROR(VLOOKUP(A44,'Job Operations'!$A$4:$AA$304,5,FALSE),""))</f>
        <v>18</v>
      </c>
      <c r="E44" s="105">
        <f>IF(A44="","",IFERROR(VLOOKUP(A44,'Job Operations'!$A$4:$AA$304,6,FALSE),""))</f>
        <v>0</v>
      </c>
      <c r="F44" s="105" t="str">
        <f>IF(A44="","",IFERROR(VLOOKUP(A44,'Job Operations'!$A$4:$AA$304,7,FALSE),""))</f>
        <v>FR ACM</v>
      </c>
      <c r="G44" s="106">
        <f>IF(A44="","",IFERROR(VLOOKUP(A44,'Job Operations'!$A$4:$AA$304,9,FALSE),""))</f>
        <v>46153</v>
      </c>
      <c r="H44" s="105" t="str">
        <f>IF(A44="","",IFERROR(VLOOKUP(A44,'Job Operations'!$A$4:$AA$304,12,FALSE),""))</f>
        <v>LO Check</v>
      </c>
      <c r="I44" s="105" t="str">
        <f>IF(A44="","",IFERROR(VLOOKUP(A44,'Job Operations'!$A$4:$AA$304,13,FALSE),""))</f>
        <v>AXYZ</v>
      </c>
      <c r="J44" s="105" t="str">
        <f>IF(A44="","",IFERROR(VLOOKUP(A44,'Job Operations'!$A$4:$AA$304,15,FALSE),""))</f>
        <v>Clean and Brake</v>
      </c>
      <c r="K44" s="105" t="str">
        <f>IF(A44="","",IFERROR(VLOOKUP(A44,'Job Operations'!$A$4:$AA$304,17,FALSE),""))</f>
        <v>Fab</v>
      </c>
      <c r="L44" s="137" t="str">
        <f>IF(A44="","",IF(IFERROR(VLOOKUP(A44,Notes!A:B,2,FALSE),"")=0,"",VLOOKUP(A44,Notes!A:B,2,FALSE)))</f>
        <v>Not expected out of engineering before 04/17…Needs to ship 05/12*HOAR*04/16/2026…LO Check</v>
      </c>
      <c r="M44" s="68"/>
      <c r="N44" s="68"/>
    </row>
    <row r="45" spans="1:14" x14ac:dyDescent="0.25">
      <c r="A45" s="98" t="str">
        <v>24079-FS103</v>
      </c>
      <c r="B45" s="99" t="str">
        <f>IF(A45="","",IFERROR(VLOOKUP(A45,'Job Operations'!$A$4:$AA$304,2,FALSE),""))</f>
        <v>Nashville Youth Campus</v>
      </c>
      <c r="C45" s="100" t="str">
        <f>IF(A45="","",IFERROR(VLOOKUP(A45,'Job Operations'!$A$4:$AA$304,3,FALSE),""))</f>
        <v>Joe Hoyle</v>
      </c>
      <c r="D45" s="100">
        <f>IF(A45="","",IFERROR(VLOOKUP(A45,'Job Operations'!$A$4:$AA$304,5,FALSE),""))</f>
        <v>111</v>
      </c>
      <c r="E45" s="100">
        <f>IF(A45="","",IFERROR(VLOOKUP(A45,'Job Operations'!$A$4:$AA$304,6,FALSE),""))</f>
        <v>0</v>
      </c>
      <c r="F45" s="100" t="str">
        <f>IF(A45="","",IFERROR(VLOOKUP(A45,'Job Operations'!$A$4:$AA$304,7,FALSE),""))</f>
        <v>FR ACM</v>
      </c>
      <c r="G45" s="101">
        <f>IF(A45="","",IFERROR(VLOOKUP(A45,'Job Operations'!$A$4:$AA$304,9,FALSE),""))</f>
        <v>46153</v>
      </c>
      <c r="H45" s="100" t="str">
        <f>IF(A45="","",IFERROR(VLOOKUP(A45,'Job Operations'!$A$4:$AA$304,12,FALSE),""))</f>
        <v>LO Check</v>
      </c>
      <c r="I45" s="100" t="str">
        <f>IF(A45="","",IFERROR(VLOOKUP(A45,'Job Operations'!$A$4:$AA$304,13,FALSE),""))</f>
        <v>AXYZ</v>
      </c>
      <c r="J45" s="100" t="str">
        <f>IF(A45="","",IFERROR(VLOOKUP(A45,'Job Operations'!$A$4:$AA$304,15,FALSE),""))</f>
        <v>Clean and Brake</v>
      </c>
      <c r="K45" s="100" t="str">
        <f>IF(A45="","",IFERROR(VLOOKUP(A45,'Job Operations'!$A$4:$AA$304,17,FALSE),""))</f>
        <v>Fab</v>
      </c>
      <c r="L45" s="138" t="str">
        <f>IF(A45="","",IF(IFERROR(VLOOKUP(A45,Notes!A:B,2,FALSE),"")=0,"",VLOOKUP(A45,Notes!A:B,2,FALSE)))</f>
        <v>04/16/2026…LO Check</v>
      </c>
      <c r="M45" s="66"/>
      <c r="N45" s="66"/>
    </row>
    <row r="46" spans="1:14" x14ac:dyDescent="0.25">
      <c r="A46" s="103" t="str">
        <v>25010-FS09</v>
      </c>
      <c r="B46" s="104" t="str">
        <f>IF(A46="","",IFERROR(VLOOKUP(A46,'Job Operations'!$A$4:$AA$304,2,FALSE),""))</f>
        <v>TOA Spring Hill MOB</v>
      </c>
      <c r="C46" s="105" t="str">
        <f>IF(A46="","",IFERROR(VLOOKUP(A46,'Job Operations'!$A$4:$AA$304,3,FALSE),""))</f>
        <v>Cole Norona</v>
      </c>
      <c r="D46" s="105">
        <f>IF(A46="","",IFERROR(VLOOKUP(A46,'Job Operations'!$A$4:$AA$304,5,FALSE),""))</f>
        <v>111</v>
      </c>
      <c r="E46" s="105">
        <f>IF(A46="","",IFERROR(VLOOKUP(A46,'Job Operations'!$A$4:$AA$304,6,FALSE),""))</f>
        <v>0</v>
      </c>
      <c r="F46" s="105" t="str">
        <f>IF(A46="","",IFERROR(VLOOKUP(A46,'Job Operations'!$A$4:$AA$304,7,FALSE),""))</f>
        <v>FR ACM</v>
      </c>
      <c r="G46" s="106">
        <f>IF(A46="","",IFERROR(VLOOKUP(A46,'Job Operations'!$A$4:$AA$304,9,FALSE),""))</f>
        <v>46153</v>
      </c>
      <c r="H46" s="105" t="str">
        <f>IF(A46="","",IFERROR(VLOOKUP(A46,'Job Operations'!$A$4:$AA$304,12,FALSE),""))</f>
        <v>Correction</v>
      </c>
      <c r="I46" s="105" t="str">
        <f>IF(A46="","",IFERROR(VLOOKUP(A46,'Job Operations'!$A$4:$AA$304,13,FALSE),""))</f>
        <v>AXYZ</v>
      </c>
      <c r="J46" s="105" t="str">
        <f>IF(A46="","",IFERROR(VLOOKUP(A46,'Job Operations'!$A$4:$AA$304,15,FALSE),""))</f>
        <v>Clean and Brake</v>
      </c>
      <c r="K46" s="105" t="str">
        <f>IF(A46="","",IFERROR(VLOOKUP(A46,'Job Operations'!$A$4:$AA$304,17,FALSE),""))</f>
        <v>Fab</v>
      </c>
      <c r="L46" s="137" t="str">
        <f>IF(A46="","",IF(IFERROR(VLOOKUP(A46,Notes!A:B,2,FALSE),"")=0,"",VLOOKUP(A46,Notes!A:B,2,FALSE)))</f>
        <v>04/16/2026…Correction</v>
      </c>
      <c r="M46" s="68"/>
      <c r="N46" s="68"/>
    </row>
    <row r="47" spans="1:14" x14ac:dyDescent="0.25">
      <c r="A47" s="107" t="str">
        <v>25029-FS50</v>
      </c>
      <c r="B47" s="108" t="str">
        <f>IF(A47="","",IFERROR(VLOOKUP(A47,'Job Operations'!$A$4:$AA$304,2,FALSE),""))</f>
        <v>Lourdes CC Phase 2</v>
      </c>
      <c r="C47" s="109" t="str">
        <f>IF(A47="","",IFERROR(VLOOKUP(A47,'Job Operations'!$A$4:$AA$304,3,FALSE),""))</f>
        <v>Dillon Bowman</v>
      </c>
      <c r="D47" s="109">
        <f>IF(A47="","",IFERROR(VLOOKUP(A47,'Job Operations'!$A$4:$AA$304,5,FALSE),""))</f>
        <v>8</v>
      </c>
      <c r="E47" s="109">
        <f>IF(A47="","",IFERROR(VLOOKUP(A47,'Job Operations'!$A$4:$AA$304,6,FALSE),""))</f>
        <v>4</v>
      </c>
      <c r="F47" s="109" t="str">
        <f>IF(A47="","",IFERROR(VLOOKUP(A47,'Job Operations'!$A$4:$AA$304,7,FALSE),""))</f>
        <v>Alum Sheet</v>
      </c>
      <c r="G47" s="110">
        <f>IF(A47="","",IFERROR(VLOOKUP(A47,'Job Operations'!$A$4:$AA$304,9,FALSE),""))</f>
        <v>46153</v>
      </c>
      <c r="H47" s="109" t="str">
        <f>IF(A47="","",IFERROR(VLOOKUP(A47,'Job Operations'!$A$4:$AA$304,12,FALSE),""))</f>
        <v>Correction</v>
      </c>
      <c r="I47" s="109" t="str">
        <f>IF(A47="","",IFERROR(VLOOKUP(A47,'Job Operations'!$A$4:$AA$304,13,FALSE),""))</f>
        <v>Brake</v>
      </c>
      <c r="J47" s="109" t="str">
        <f>IF(A47="","",IFERROR(VLOOKUP(A47,'Job Operations'!$A$4:$AA$304,15,FALSE),""))</f>
        <v>Punch</v>
      </c>
      <c r="K47" s="109" t="str">
        <f>IF(A47="","",IFERROR(VLOOKUP(A47,'Job Operations'!$A$4:$AA$304,17,FALSE),""))</f>
        <v/>
      </c>
      <c r="L47" s="139" t="str">
        <f>IF(A47="","",IF(IFERROR(VLOOKUP(A47,Notes!A:B,2,FALSE),"")=0,"",VLOOKUP(A47,Notes!A:B,2,FALSE)))</f>
        <v>04/16/2026…Correction</v>
      </c>
      <c r="M47" s="69"/>
      <c r="N47" s="69"/>
    </row>
    <row r="48" spans="1:14" x14ac:dyDescent="0.25">
      <c r="A48" s="107" t="str">
        <v>25002-FS15</v>
      </c>
      <c r="B48" s="108" t="str">
        <f>IF(A48="","",IFERROR(VLOOKUP(A48,'Job Operations'!$A$4:$AA$304,2,FALSE),""))</f>
        <v>Med Center Health</v>
      </c>
      <c r="C48" s="109" t="str">
        <f>IF(A48="","",IFERROR(VLOOKUP(A48,'Job Operations'!$A$4:$AA$304,3,FALSE),""))</f>
        <v>Carlos Silva</v>
      </c>
      <c r="D48" s="109">
        <f>IF(A48="","",IFERROR(VLOOKUP(A48,'Job Operations'!$A$4:$AA$304,5,FALSE),""))</f>
        <v>12</v>
      </c>
      <c r="E48" s="109">
        <f>IF(A48="","",IFERROR(VLOOKUP(A48,'Job Operations'!$A$4:$AA$304,6,FALSE),""))</f>
        <v>0</v>
      </c>
      <c r="F48" s="109" t="str">
        <f>IF(A48="","",IFERROR(VLOOKUP(A48,'Job Operations'!$A$4:$AA$304,7,FALSE),""))</f>
        <v>FR ACM</v>
      </c>
      <c r="G48" s="110">
        <f>IF(A48="","",IFERROR(VLOOKUP(A48,'Job Operations'!$A$4:$AA$304,9,FALSE),""))</f>
        <v>46153</v>
      </c>
      <c r="H48" s="109" t="str">
        <f>IF(A48="","",IFERROR(VLOOKUP(A48,'Job Operations'!$A$4:$AA$304,12,FALSE),""))</f>
        <v>Evaluation</v>
      </c>
      <c r="I48" s="109" t="str">
        <f>IF(A48="","",IFERROR(VLOOKUP(A48,'Job Operations'!$A$4:$AA$304,13,FALSE),""))</f>
        <v>AXYZ</v>
      </c>
      <c r="J48" s="109" t="str">
        <f>IF(A48="","",IFERROR(VLOOKUP(A48,'Job Operations'!$A$4:$AA$304,15,FALSE),""))</f>
        <v>Clean and Brake</v>
      </c>
      <c r="K48" s="109" t="str">
        <f>IF(A48="","",IFERROR(VLOOKUP(A48,'Job Operations'!$A$4:$AA$304,17,FALSE),""))</f>
        <v>Fab</v>
      </c>
      <c r="L48" s="139" t="str">
        <f>IF(A48="","",IF(IFERROR(VLOOKUP(A48,Notes!A:B,2,FALSE),"")=0,"",VLOOKUP(A48,Notes!A:B,2,FALSE)))</f>
        <v>04/16/2026…Evaluation</v>
      </c>
      <c r="M48" s="69"/>
      <c r="N48" s="69"/>
    </row>
    <row r="49" spans="1:14" x14ac:dyDescent="0.25">
      <c r="A49" s="107" t="str">
        <v>24074-FS09</v>
      </c>
      <c r="B49" s="108" t="str">
        <f>IF(A49="","",IFERROR(VLOOKUP(A49,'Job Operations'!$A$4:$AA$304,2,FALSE),""))</f>
        <v>DIDD ACM</v>
      </c>
      <c r="C49" s="109" t="str">
        <f>IF(A49="","",IFERROR(VLOOKUP(A49,'Job Operations'!$A$4:$AA$304,3,FALSE),""))</f>
        <v>Dillon Bowman</v>
      </c>
      <c r="D49" s="109">
        <f>IF(A49="","",IFERROR(VLOOKUP(A49,'Job Operations'!$A$4:$AA$304,5,FALSE),""))</f>
        <v>120</v>
      </c>
      <c r="E49" s="109">
        <f>IF(A49="","",IFERROR(VLOOKUP(A49,'Job Operations'!$A$4:$AA$304,6,FALSE),""))</f>
        <v>0</v>
      </c>
      <c r="F49" s="109" t="str">
        <f>IF(A49="","",IFERROR(VLOOKUP(A49,'Job Operations'!$A$4:$AA$304,7,FALSE),""))</f>
        <v>FR ACM</v>
      </c>
      <c r="G49" s="110">
        <f>IF(A49="","",IFERROR(VLOOKUP(A49,'Job Operations'!$A$4:$AA$304,9,FALSE),""))</f>
        <v>46156</v>
      </c>
      <c r="H49" s="109" t="str">
        <f>IF(A49="","",IFERROR(VLOOKUP(A49,'Job Operations'!$A$4:$AA$304,12,FALSE),""))</f>
        <v>LO Check</v>
      </c>
      <c r="I49" s="109" t="str">
        <f>IF(A49="","",IFERROR(VLOOKUP(A49,'Job Operations'!$A$4:$AA$304,13,FALSE),""))</f>
        <v>AXYZ</v>
      </c>
      <c r="J49" s="109" t="str">
        <f>IF(A49="","",IFERROR(VLOOKUP(A49,'Job Operations'!$A$4:$AA$304,15,FALSE),""))</f>
        <v>Clean and Brake</v>
      </c>
      <c r="K49" s="109" t="str">
        <f>IF(A49="","",IFERROR(VLOOKUP(A49,'Job Operations'!$A$4:$AA$304,17,FALSE),""))</f>
        <v>Fab</v>
      </c>
      <c r="L49" s="139" t="str">
        <f>IF(A49="","",IF(IFERROR(VLOOKUP(A49,Notes!A:B,2,FALSE),"")=0,"",VLOOKUP(A49,Notes!A:B,2,FALSE)))</f>
        <v>04/16/2026…LO Check</v>
      </c>
      <c r="M49" s="69"/>
      <c r="N49" s="69"/>
    </row>
    <row r="50" spans="1:14" x14ac:dyDescent="0.25">
      <c r="A50" s="107" t="str">
        <v>24079-FL14</v>
      </c>
      <c r="B50" s="108" t="str">
        <f>IF(A50="","",IFERROR(VLOOKUP(A50,'Job Operations'!$A$4:$AA$304,2,FALSE),""))</f>
        <v>Nashville Youth Campus</v>
      </c>
      <c r="C50" s="109" t="str">
        <f>IF(A50="","",IFERROR(VLOOKUP(A50,'Job Operations'!$A$4:$AA$304,3,FALSE),""))</f>
        <v>Joe Hoyle</v>
      </c>
      <c r="D50" s="109">
        <f>IF(A50="","",IFERROR(VLOOKUP(A50,'Job Operations'!$A$4:$AA$304,5,FALSE),""))</f>
        <v>0</v>
      </c>
      <c r="E50" s="109">
        <f>IF(A50="","",IFERROR(VLOOKUP(A50,'Job Operations'!$A$4:$AA$304,6,FALSE),""))</f>
        <v>520</v>
      </c>
      <c r="F50" s="109" t="str">
        <f>IF(A50="","",IFERROR(VLOOKUP(A50,'Job Operations'!$A$4:$AA$304,7,FALSE),""))</f>
        <v>Alum Sheet</v>
      </c>
      <c r="G50" s="110">
        <f>IF(A50="","",IFERROR(VLOOKUP(A50,'Job Operations'!$A$4:$AA$304,9,FALSE),""))</f>
        <v>46156</v>
      </c>
      <c r="H50" s="109" t="str">
        <f>IF(A50="","",IFERROR(VLOOKUP(A50,'Job Operations'!$A$4:$AA$304,12,FALSE),""))</f>
        <v>Evaluation</v>
      </c>
      <c r="I50" s="109" t="str">
        <f>IF(A50="","",IFERROR(VLOOKUP(A50,'Job Operations'!$A$4:$AA$304,13,FALSE),""))</f>
        <v/>
      </c>
      <c r="J50" s="109" t="str">
        <f>IF(A50="","",IFERROR(VLOOKUP(A50,'Job Operations'!$A$4:$AA$304,15,FALSE),""))</f>
        <v/>
      </c>
      <c r="K50" s="109" t="str">
        <f>IF(A50="","",IFERROR(VLOOKUP(A50,'Job Operations'!$A$4:$AA$304,17,FALSE),""))</f>
        <v/>
      </c>
      <c r="L50" s="139" t="str">
        <f>IF(A50="","",IF(IFERROR(VLOOKUP(A50,Notes!A:B,2,FALSE),"")=0,"",VLOOKUP(A50,Notes!A:B,2,FALSE)))</f>
        <v>04/16/2026…</v>
      </c>
      <c r="M50" s="69"/>
      <c r="N50" s="69"/>
    </row>
    <row r="51" spans="1:14" x14ac:dyDescent="0.25">
      <c r="A51" s="107" t="str">
        <v>25006-FS04</v>
      </c>
      <c r="B51" s="108" t="str">
        <f>IF(A51="","",IFERROR(VLOOKUP(A51,'Job Operations'!$A$4:$AA$304,2,FALSE),""))</f>
        <v>MALETA Housing and Dining</v>
      </c>
      <c r="C51" s="109" t="str">
        <f>IF(A51="","",IFERROR(VLOOKUP(A51,'Job Operations'!$A$4:$AA$304,3,FALSE),""))</f>
        <v>Cole Norona</v>
      </c>
      <c r="D51" s="109">
        <f>IF(A51="","",IFERROR(VLOOKUP(A51,'Job Operations'!$A$4:$AA$304,5,FALSE),""))</f>
        <v>232</v>
      </c>
      <c r="E51" s="109">
        <f>IF(A51="","",IFERROR(VLOOKUP(A51,'Job Operations'!$A$4:$AA$304,6,FALSE),""))</f>
        <v>0</v>
      </c>
      <c r="F51" s="109" t="str">
        <f>IF(A51="","",IFERROR(VLOOKUP(A51,'Job Operations'!$A$4:$AA$304,7,FALSE),""))</f>
        <v>FR ACM</v>
      </c>
      <c r="G51" s="110">
        <f>IF(A51="","",IFERROR(VLOOKUP(A51,'Job Operations'!$A$4:$AA$304,9,FALSE),""))</f>
        <v>46157</v>
      </c>
      <c r="H51" s="109" t="str">
        <f>IF(A51="","",IFERROR(VLOOKUP(A51,'Job Operations'!$A$4:$AA$304,12,FALSE),""))</f>
        <v>LO Check</v>
      </c>
      <c r="I51" s="109" t="str">
        <f>IF(A51="","",IFERROR(VLOOKUP(A51,'Job Operations'!$A$4:$AA$304,13,FALSE),""))</f>
        <v>AXYZ</v>
      </c>
      <c r="J51" s="109" t="str">
        <f>IF(A51="","",IFERROR(VLOOKUP(A51,'Job Operations'!$A$4:$AA$304,15,FALSE),""))</f>
        <v>Clean and Brake</v>
      </c>
      <c r="K51" s="109" t="str">
        <f>IF(A51="","",IFERROR(VLOOKUP(A51,'Job Operations'!$A$4:$AA$304,17,FALSE),""))</f>
        <v>Fab</v>
      </c>
      <c r="L51" s="139" t="str">
        <f>IF(A51="","",IF(IFERROR(VLOOKUP(A51,Notes!A:B,2,FALSE),"")=0,"",VLOOKUP(A51,Notes!A:B,2,FALSE)))</f>
        <v>HOAR*04/16/2026…LO Check</v>
      </c>
      <c r="M51" s="69"/>
      <c r="N51" s="69"/>
    </row>
    <row r="52" spans="1:14" x14ac:dyDescent="0.25">
      <c r="A52" s="107" t="str">
        <v>25029-ST52</v>
      </c>
      <c r="B52" s="108" t="str">
        <f>IF(A52="","",IFERROR(VLOOKUP(A52,'Job Operations'!$A$4:$AA$304,2,FALSE),""))</f>
        <v>Lourdes CC Phase 2</v>
      </c>
      <c r="C52" s="109" t="str">
        <f>IF(A52="","",IFERROR(VLOOKUP(A52,'Job Operations'!$A$4:$AA$304,3,FALSE),""))</f>
        <v>Dillon Bowman</v>
      </c>
      <c r="D52" s="109">
        <f>IF(A52="","",IFERROR(VLOOKUP(A52,'Job Operations'!$A$4:$AA$304,5,FALSE),""))</f>
        <v>0</v>
      </c>
      <c r="E52" s="109">
        <f>IF(A52="","",IFERROR(VLOOKUP(A52,'Job Operations'!$A$4:$AA$304,6,FALSE),""))</f>
        <v>10</v>
      </c>
      <c r="F52" s="109" t="str">
        <f>IF(A52="","",IFERROR(VLOOKUP(A52,'Job Operations'!$A$4:$AA$304,7,FALSE),""))</f>
        <v>Alum Sheet</v>
      </c>
      <c r="G52" s="110">
        <f>IF(A52="","",IFERROR(VLOOKUP(A52,'Job Operations'!$A$4:$AA$304,9,FALSE),""))</f>
        <v>46157</v>
      </c>
      <c r="H52" s="109" t="str">
        <f>IF(A52="","",IFERROR(VLOOKUP(A52,'Job Operations'!$A$4:$AA$304,12,FALSE),""))</f>
        <v>Correction</v>
      </c>
      <c r="I52" s="109" t="str">
        <f>IF(A52="","",IFERROR(VLOOKUP(A52,'Job Operations'!$A$4:$AA$304,13,FALSE),""))</f>
        <v>Flat Laser</v>
      </c>
      <c r="J52" s="109" t="str">
        <f>IF(A52="","",IFERROR(VLOOKUP(A52,'Job Operations'!$A$4:$AA$304,15,FALSE),""))</f>
        <v>Powder Coat</v>
      </c>
      <c r="K52" s="109" t="str">
        <f>IF(A52="","",IFERROR(VLOOKUP(A52,'Job Operations'!$A$4:$AA$304,17,FALSE),""))</f>
        <v/>
      </c>
      <c r="L52" s="139" t="str">
        <f>IF(A52="","",IF(IFERROR(VLOOKUP(A52,Notes!A:B,2,FALSE),"")=0,"",VLOOKUP(A52,Notes!A:B,2,FALSE)))</f>
        <v>04/16/2026…Correction</v>
      </c>
      <c r="M52" s="69"/>
      <c r="N52" s="69"/>
    </row>
    <row r="53" spans="1:14" x14ac:dyDescent="0.25">
      <c r="A53" s="107" t="str">
        <v>25029-ST70</v>
      </c>
      <c r="B53" s="108" t="str">
        <f>IF(A53="","",IFERROR(VLOOKUP(A53,'Job Operations'!$A$4:$AA$304,2,FALSE),""))</f>
        <v>Lourdes CC Phase 2</v>
      </c>
      <c r="C53" s="109" t="str">
        <f>IF(A53="","",IFERROR(VLOOKUP(A53,'Job Operations'!$A$4:$AA$304,3,FALSE),""))</f>
        <v>Dillon Bowman</v>
      </c>
      <c r="D53" s="109">
        <f>IF(A53="","",IFERROR(VLOOKUP(A53,'Job Operations'!$A$4:$AA$304,5,FALSE),""))</f>
        <v>0</v>
      </c>
      <c r="E53" s="109">
        <f>IF(A53="","",IFERROR(VLOOKUP(A53,'Job Operations'!$A$4:$AA$304,6,FALSE),""))</f>
        <v>6</v>
      </c>
      <c r="F53" s="109" t="str">
        <f>IF(A53="","",IFERROR(VLOOKUP(A53,'Job Operations'!$A$4:$AA$304,7,FALSE),""))</f>
        <v>Steel Sheet</v>
      </c>
      <c r="G53" s="110">
        <f>IF(A53="","",IFERROR(VLOOKUP(A53,'Job Operations'!$A$4:$AA$304,9,FALSE),""))</f>
        <v>46157</v>
      </c>
      <c r="H53" s="109" t="str">
        <f>IF(A53="","",IFERROR(VLOOKUP(A53,'Job Operations'!$A$4:$AA$304,12,FALSE),""))</f>
        <v>Sketch Check</v>
      </c>
      <c r="I53" s="109" t="str">
        <f>IF(A53="","",IFERROR(VLOOKUP(A53,'Job Operations'!$A$4:$AA$304,13,FALSE),""))</f>
        <v>Flat Laser</v>
      </c>
      <c r="J53" s="109" t="str">
        <f>IF(A53="","",IFERROR(VLOOKUP(A53,'Job Operations'!$A$4:$AA$304,15,FALSE),""))</f>
        <v/>
      </c>
      <c r="K53" s="109" t="str">
        <f>IF(A53="","",IFERROR(VLOOKUP(A53,'Job Operations'!$A$4:$AA$304,17,FALSE),""))</f>
        <v/>
      </c>
      <c r="L53" s="139" t="str">
        <f>IF(A53="","",IF(IFERROR(VLOOKUP(A53,Notes!A:B,2,FALSE),"")=0,"",VLOOKUP(A53,Notes!A:B,2,FALSE)))</f>
        <v>04/16/2026…Sketch Check</v>
      </c>
      <c r="M53" s="69"/>
      <c r="N53" s="69"/>
    </row>
    <row r="54" spans="1:14" x14ac:dyDescent="0.25">
      <c r="A54" s="107" t="str">
        <v>25029-ST71</v>
      </c>
      <c r="B54" s="108" t="str">
        <f>IF(A54="","",IFERROR(VLOOKUP(A54,'Job Operations'!$A$4:$AA$304,2,FALSE),""))</f>
        <v>Lourdes CC Phase 2</v>
      </c>
      <c r="C54" s="109" t="str">
        <f>IF(A54="","",IFERROR(VLOOKUP(A54,'Job Operations'!$A$4:$AA$304,3,FALSE),""))</f>
        <v>Dillon Bowman</v>
      </c>
      <c r="D54" s="109">
        <f>IF(A54="","",IFERROR(VLOOKUP(A54,'Job Operations'!$A$4:$AA$304,5,FALSE),""))</f>
        <v>0</v>
      </c>
      <c r="E54" s="109">
        <f>IF(A54="","",IFERROR(VLOOKUP(A54,'Job Operations'!$A$4:$AA$304,6,FALSE),""))</f>
        <v>1</v>
      </c>
      <c r="F54" s="109" t="str">
        <f>IF(A54="","",IFERROR(VLOOKUP(A54,'Job Operations'!$A$4:$AA$304,7,FALSE),""))</f>
        <v>Steel Tube</v>
      </c>
      <c r="G54" s="110">
        <f>IF(A54="","",IFERROR(VLOOKUP(A54,'Job Operations'!$A$4:$AA$304,9,FALSE),""))</f>
        <v>46157</v>
      </c>
      <c r="H54" s="109" t="str">
        <f>IF(A54="","",IFERROR(VLOOKUP(A54,'Job Operations'!$A$4:$AA$304,12,FALSE),""))</f>
        <v>Sketch</v>
      </c>
      <c r="I54" s="109" t="str">
        <f>IF(A54="","",IFERROR(VLOOKUP(A54,'Job Operations'!$A$4:$AA$304,13,FALSE),""))</f>
        <v>Tube Laser</v>
      </c>
      <c r="J54" s="109" t="str">
        <f>IF(A54="","",IFERROR(VLOOKUP(A54,'Job Operations'!$A$4:$AA$304,15,FALSE),""))</f>
        <v/>
      </c>
      <c r="K54" s="109" t="str">
        <f>IF(A54="","",IFERROR(VLOOKUP(A54,'Job Operations'!$A$4:$AA$304,17,FALSE),""))</f>
        <v/>
      </c>
      <c r="L54" s="139" t="str">
        <f>IF(A54="","",IF(IFERROR(VLOOKUP(A54,Notes!A:B,2,FALSE),"")=0,"",VLOOKUP(A54,Notes!A:B,2,FALSE)))</f>
        <v>04/16/2026…Sketch</v>
      </c>
      <c r="M54" s="69"/>
      <c r="N54" s="69"/>
    </row>
    <row r="55" spans="1:14" x14ac:dyDescent="0.25">
      <c r="A55" s="107" t="str">
        <v>25029-ST72</v>
      </c>
      <c r="B55" s="108" t="str">
        <f>IF(A55="","",IFERROR(VLOOKUP(A55,'Job Operations'!$A$4:$AA$304,2,FALSE),""))</f>
        <v>Lourdes CC Phase 2</v>
      </c>
      <c r="C55" s="109" t="str">
        <f>IF(A55="","",IFERROR(VLOOKUP(A55,'Job Operations'!$A$4:$AA$304,3,FALSE),""))</f>
        <v>Dillon Bowman</v>
      </c>
      <c r="D55" s="109">
        <f>IF(A55="","",IFERROR(VLOOKUP(A55,'Job Operations'!$A$4:$AA$304,5,FALSE),""))</f>
        <v>0</v>
      </c>
      <c r="E55" s="109">
        <f>IF(A55="","",IFERROR(VLOOKUP(A55,'Job Operations'!$A$4:$AA$304,6,FALSE),""))</f>
        <v>1</v>
      </c>
      <c r="F55" s="109" t="str">
        <f>IF(A55="","",IFERROR(VLOOKUP(A55,'Job Operations'!$A$4:$AA$304,7,FALSE),""))</f>
        <v>Steel Sheet</v>
      </c>
      <c r="G55" s="110">
        <f>IF(A55="","",IFERROR(VLOOKUP(A55,'Job Operations'!$A$4:$AA$304,9,FALSE),""))</f>
        <v>46157</v>
      </c>
      <c r="H55" s="109" t="str">
        <f>IF(A55="","",IFERROR(VLOOKUP(A55,'Job Operations'!$A$4:$AA$304,12,FALSE),""))</f>
        <v>Sketch Check</v>
      </c>
      <c r="I55" s="109" t="str">
        <f>IF(A55="","",IFERROR(VLOOKUP(A55,'Job Operations'!$A$4:$AA$304,13,FALSE),""))</f>
        <v>Flat Laser</v>
      </c>
      <c r="J55" s="109" t="str">
        <f>IF(A55="","",IFERROR(VLOOKUP(A55,'Job Operations'!$A$4:$AA$304,15,FALSE),""))</f>
        <v/>
      </c>
      <c r="K55" s="109" t="str">
        <f>IF(A55="","",IFERROR(VLOOKUP(A55,'Job Operations'!$A$4:$AA$304,17,FALSE),""))</f>
        <v/>
      </c>
      <c r="L55" s="139" t="str">
        <f>IF(A55="","",IF(IFERROR(VLOOKUP(A55,Notes!A:B,2,FALSE),"")=0,"",VLOOKUP(A55,Notes!A:B,2,FALSE)))</f>
        <v>04/16/2026…Sketch Check</v>
      </c>
      <c r="M55" s="69"/>
      <c r="N55" s="69"/>
    </row>
    <row r="56" spans="1:14" x14ac:dyDescent="0.25">
      <c r="A56" s="95" t="str">
        <v>25029-ST51</v>
      </c>
      <c r="B56" s="96" t="str">
        <f>IF(A56="","",IFERROR(VLOOKUP(A56,'Job Operations'!$A$4:$AA$304,2,FALSE),""))</f>
        <v>Lourdes CC Phase 2</v>
      </c>
      <c r="C56" s="95" t="str">
        <f>IF(A56="","",IFERROR(VLOOKUP(A56,'Job Operations'!$A$4:$AA$304,3,FALSE),""))</f>
        <v>Dillon Bowman</v>
      </c>
      <c r="D56" s="95">
        <f>IF(A56="","",IFERROR(VLOOKUP(A56,'Job Operations'!$A$4:$AA$304,5,FALSE),""))</f>
        <v>0</v>
      </c>
      <c r="E56" s="95">
        <f>IF(A56="","",IFERROR(VLOOKUP(A56,'Job Operations'!$A$4:$AA$304,6,FALSE),""))</f>
        <v>10</v>
      </c>
      <c r="F56" s="95" t="str">
        <f>IF(A56="","",IFERROR(VLOOKUP(A56,'Job Operations'!$A$4:$AA$304,7,FALSE),""))</f>
        <v>Alum Tube</v>
      </c>
      <c r="G56" s="97">
        <f>IF(A56="","",IFERROR(VLOOKUP(A56,'Job Operations'!$A$4:$AA$304,9,FALSE),""))</f>
        <v>46160</v>
      </c>
      <c r="H56" s="95" t="str">
        <f>IF(A56="","",IFERROR(VLOOKUP(A56,'Job Operations'!$A$4:$AA$304,12,FALSE),""))</f>
        <v>Correction</v>
      </c>
      <c r="I56" s="95" t="str">
        <f>IF(A56="","",IFERROR(VLOOKUP(A56,'Job Operations'!$A$4:$AA$304,13,FALSE),""))</f>
        <v>Powder Coat</v>
      </c>
      <c r="J56" s="95" t="str">
        <f>IF(A56="","",IFERROR(VLOOKUP(A56,'Job Operations'!$A$4:$AA$304,15,FALSE),""))</f>
        <v/>
      </c>
      <c r="K56" s="95" t="str">
        <f>IF(A56="","",IFERROR(VLOOKUP(A56,'Job Operations'!$A$4:$AA$304,17,FALSE),""))</f>
        <v/>
      </c>
      <c r="L56" s="96" t="str">
        <f>IF(A56="","",IF(IFERROR(VLOOKUP(A56,Notes!A:B,2,FALSE),"")=0,"",VLOOKUP(A56,Notes!A:B,2,FALSE)))</f>
        <v>04/16/2026…Correction</v>
      </c>
      <c r="M56" s="69"/>
      <c r="N56" s="69"/>
    </row>
    <row r="57" spans="1:14" x14ac:dyDescent="0.25">
      <c r="A57" s="69" t="str">
        <v>24079-FS201</v>
      </c>
      <c r="B57" s="73" t="str">
        <f>IF(A57="","",IFERROR(VLOOKUP(A57,'Job Operations'!$A$4:$AA$304,2,FALSE),""))</f>
        <v>Nashville Youth Campus</v>
      </c>
      <c r="C57" s="69" t="str">
        <f>IF(A57="","",IFERROR(VLOOKUP(A57,'Job Operations'!$A$4:$AA$304,3,FALSE),""))</f>
        <v>Joe Hoyle</v>
      </c>
      <c r="D57" s="69">
        <f>IF(A57="","",IFERROR(VLOOKUP(A57,'Job Operations'!$A$4:$AA$304,5,FALSE),""))</f>
        <v>41</v>
      </c>
      <c r="E57" s="69">
        <f>IF(A57="","",IFERROR(VLOOKUP(A57,'Job Operations'!$A$4:$AA$304,6,FALSE),""))</f>
        <v>0</v>
      </c>
      <c r="F57" s="69" t="str">
        <f>IF(A57="","",IFERROR(VLOOKUP(A57,'Job Operations'!$A$4:$AA$304,7,FALSE),""))</f>
        <v>FR ACM</v>
      </c>
      <c r="G57" s="70">
        <f>IF(A57="","",IFERROR(VLOOKUP(A57,'Job Operations'!$A$4:$AA$304,9,FALSE),""))</f>
        <v>46160</v>
      </c>
      <c r="H57" s="69" t="str">
        <f>IF(A57="","",IFERROR(VLOOKUP(A57,'Job Operations'!$A$4:$AA$304,12,FALSE),""))</f>
        <v>LO</v>
      </c>
      <c r="I57" s="69" t="str">
        <f>IF(A57="","",IFERROR(VLOOKUP(A57,'Job Operations'!$A$4:$AA$304,13,FALSE),""))</f>
        <v>AXYZ</v>
      </c>
      <c r="J57" s="69" t="str">
        <f>IF(A57="","",IFERROR(VLOOKUP(A57,'Job Operations'!$A$4:$AA$304,15,FALSE),""))</f>
        <v>Clean and Brake</v>
      </c>
      <c r="K57" s="69" t="str">
        <f>IF(A57="","",IFERROR(VLOOKUP(A57,'Job Operations'!$A$4:$AA$304,17,FALSE),""))</f>
        <v>Fab</v>
      </c>
      <c r="L57" s="73" t="str">
        <f>IF(A57="","",IF(IFERROR(VLOOKUP(A57,Notes!A:B,2,FALSE),"")=0,"",VLOOKUP(A57,Notes!A:B,2,FALSE)))</f>
        <v>04/16/2026…LO</v>
      </c>
      <c r="M57" s="69"/>
      <c r="N57" s="69"/>
    </row>
    <row r="58" spans="1:14" x14ac:dyDescent="0.25">
      <c r="A58" s="69" t="str">
        <v>24079-FS302</v>
      </c>
      <c r="B58" s="73" t="str">
        <f>IF(A58="","",IFERROR(VLOOKUP(A58,'Job Operations'!$A$4:$AA$304,2,FALSE),""))</f>
        <v>Nashville Youth Campus</v>
      </c>
      <c r="C58" s="69" t="str">
        <f>IF(A58="","",IFERROR(VLOOKUP(A58,'Job Operations'!$A$4:$AA$304,3,FALSE),""))</f>
        <v>Joe Hoyle</v>
      </c>
      <c r="D58" s="69">
        <f>IF(A58="","",IFERROR(VLOOKUP(A58,'Job Operations'!$A$4:$AA$304,5,FALSE),""))</f>
        <v>188</v>
      </c>
      <c r="E58" s="69">
        <f>IF(A58="","",IFERROR(VLOOKUP(A58,'Job Operations'!$A$4:$AA$304,6,FALSE),""))</f>
        <v>0</v>
      </c>
      <c r="F58" s="69" t="str">
        <f>IF(A58="","",IFERROR(VLOOKUP(A58,'Job Operations'!$A$4:$AA$304,7,FALSE),""))</f>
        <v>FR ACM</v>
      </c>
      <c r="G58" s="70">
        <f>IF(A58="","",IFERROR(VLOOKUP(A58,'Job Operations'!$A$4:$AA$304,9,FALSE),""))</f>
        <v>46160</v>
      </c>
      <c r="H58" s="69" t="str">
        <f>IF(A58="","",IFERROR(VLOOKUP(A58,'Job Operations'!$A$4:$AA$304,12,FALSE),""))</f>
        <v>LO</v>
      </c>
      <c r="I58" s="69" t="str">
        <f>IF(A58="","",IFERROR(VLOOKUP(A58,'Job Operations'!$A$4:$AA$304,13,FALSE),""))</f>
        <v>AXYZ</v>
      </c>
      <c r="J58" s="69" t="str">
        <f>IF(A58="","",IFERROR(VLOOKUP(A58,'Job Operations'!$A$4:$AA$304,15,FALSE),""))</f>
        <v>Clean and Brake</v>
      </c>
      <c r="K58" s="69" t="str">
        <f>IF(A58="","",IFERROR(VLOOKUP(A58,'Job Operations'!$A$4:$AA$304,17,FALSE),""))</f>
        <v>Fab</v>
      </c>
      <c r="L58" s="73" t="str">
        <f>IF(A58="","",IF(IFERROR(VLOOKUP(A58,Notes!A:B,2,FALSE),"")=0,"",VLOOKUP(A58,Notes!A:B,2,FALSE)))</f>
        <v>04/16/2026…LO</v>
      </c>
      <c r="M58" s="69"/>
      <c r="N58" s="69"/>
    </row>
    <row r="59" spans="1:14" x14ac:dyDescent="0.25">
      <c r="A59" s="69" t="str">
        <v>25008-FS07</v>
      </c>
      <c r="B59" s="73" t="str">
        <f>IF(A59="","",IFERROR(VLOOKUP(A59,'Job Operations'!$A$4:$AA$304,2,FALSE),""))</f>
        <v>Columbia State Tech Center</v>
      </c>
      <c r="C59" s="69" t="str">
        <f>IF(A59="","",IFERROR(VLOOKUP(A59,'Job Operations'!$A$4:$AA$304,3,FALSE),""))</f>
        <v>Laura Forero</v>
      </c>
      <c r="D59" s="69">
        <f>IF(A59="","",IFERROR(VLOOKUP(A59,'Job Operations'!$A$4:$AA$304,5,FALSE),""))</f>
        <v>58</v>
      </c>
      <c r="E59" s="69">
        <f>IF(A59="","",IFERROR(VLOOKUP(A59,'Job Operations'!$A$4:$AA$304,6,FALSE),""))</f>
        <v>0</v>
      </c>
      <c r="F59" s="69" t="str">
        <f>IF(A59="","",IFERROR(VLOOKUP(A59,'Job Operations'!$A$4:$AA$304,7,FALSE),""))</f>
        <v>FR ACM</v>
      </c>
      <c r="G59" s="70">
        <f>IF(A59="","",IFERROR(VLOOKUP(A59,'Job Operations'!$A$4:$AA$304,9,FALSE),""))</f>
        <v>46162</v>
      </c>
      <c r="H59" s="69" t="str">
        <f>IF(A59="","",IFERROR(VLOOKUP(A59,'Job Operations'!$A$4:$AA$304,12,FALSE),""))</f>
        <v>Evaluation</v>
      </c>
      <c r="I59" s="69" t="str">
        <f>IF(A59="","",IFERROR(VLOOKUP(A59,'Job Operations'!$A$4:$AA$304,13,FALSE),""))</f>
        <v>AXYZ</v>
      </c>
      <c r="J59" s="69" t="str">
        <f>IF(A59="","",IFERROR(VLOOKUP(A59,'Job Operations'!$A$4:$AA$304,15,FALSE),""))</f>
        <v>Clean and Brake</v>
      </c>
      <c r="K59" s="69" t="str">
        <f>IF(A59="","",IFERROR(VLOOKUP(A59,'Job Operations'!$A$4:$AA$304,17,FALSE),""))</f>
        <v>Fab</v>
      </c>
      <c r="L59" s="73" t="str">
        <f>IF(A59="","",IF(IFERROR(VLOOKUP(A59,Notes!A:B,2,FALSE),"")=0,"",VLOOKUP(A59,Notes!A:B,2,FALSE)))</f>
        <v>04/16/2026…Evaluation</v>
      </c>
      <c r="M59" s="69"/>
      <c r="N59" s="69"/>
    </row>
    <row r="60" spans="1:14" x14ac:dyDescent="0.25">
      <c r="A60" s="69" t="str">
        <v>24074-FS10</v>
      </c>
      <c r="B60" s="73" t="str">
        <f>IF(A60="","",IFERROR(VLOOKUP(A60,'Job Operations'!$A$4:$AA$304,2,FALSE),""))</f>
        <v>DIDD ACM</v>
      </c>
      <c r="C60" s="69" t="str">
        <f>IF(A60="","",IFERROR(VLOOKUP(A60,'Job Operations'!$A$4:$AA$304,3,FALSE),""))</f>
        <v>Dillon Bowman</v>
      </c>
      <c r="D60" s="69">
        <f>IF(A60="","",IFERROR(VLOOKUP(A60,'Job Operations'!$A$4:$AA$304,5,FALSE),""))</f>
        <v>130</v>
      </c>
      <c r="E60" s="69">
        <f>IF(A60="","",IFERROR(VLOOKUP(A60,'Job Operations'!$A$4:$AA$304,6,FALSE),""))</f>
        <v>0</v>
      </c>
      <c r="F60" s="69" t="str">
        <f>IF(A60="","",IFERROR(VLOOKUP(A60,'Job Operations'!$A$4:$AA$304,7,FALSE),""))</f>
        <v>FR ACM</v>
      </c>
      <c r="G60" s="70">
        <f>IF(A60="","",IFERROR(VLOOKUP(A60,'Job Operations'!$A$4:$AA$304,9,FALSE),""))</f>
        <v>46163</v>
      </c>
      <c r="H60" s="69" t="str">
        <f>IF(A60="","",IFERROR(VLOOKUP(A60,'Job Operations'!$A$4:$AA$304,12,FALSE),""))</f>
        <v>LO Check</v>
      </c>
      <c r="I60" s="69" t="str">
        <f>IF(A60="","",IFERROR(VLOOKUP(A60,'Job Operations'!$A$4:$AA$304,13,FALSE),""))</f>
        <v>AXYZ</v>
      </c>
      <c r="J60" s="69" t="str">
        <f>IF(A60="","",IFERROR(VLOOKUP(A60,'Job Operations'!$A$4:$AA$304,15,FALSE),""))</f>
        <v>Clean and Brake</v>
      </c>
      <c r="K60" s="69" t="str">
        <f>IF(A60="","",IFERROR(VLOOKUP(A60,'Job Operations'!$A$4:$AA$304,17,FALSE),""))</f>
        <v>Fab</v>
      </c>
      <c r="L60" s="73" t="str">
        <f>IF(A60="","",IF(IFERROR(VLOOKUP(A60,Notes!A:B,2,FALSE),"")=0,"",VLOOKUP(A60,Notes!A:B,2,FALSE)))</f>
        <v>04/16/2026…LO Check</v>
      </c>
      <c r="M60" s="69"/>
      <c r="N60" s="69"/>
    </row>
    <row r="61" spans="1:14" x14ac:dyDescent="0.25">
      <c r="A61" s="69" t="str">
        <v>24073-FS01</v>
      </c>
      <c r="B61" s="73" t="str">
        <f>IF(A61="","",IFERROR(VLOOKUP(A61,'Job Operations'!$A$4:$AA$304,2,FALSE),""))</f>
        <v>DIDD Perf</v>
      </c>
      <c r="C61" s="69" t="str">
        <f>IF(A61="","",IFERROR(VLOOKUP(A61,'Job Operations'!$A$4:$AA$304,3,FALSE),""))</f>
        <v>Dillon Bowman</v>
      </c>
      <c r="D61" s="69">
        <f>IF(A61="","",IFERROR(VLOOKUP(A61,'Job Operations'!$A$4:$AA$304,5,FALSE),""))</f>
        <v>53</v>
      </c>
      <c r="E61" s="69">
        <f>IF(A61="","",IFERROR(VLOOKUP(A61,'Job Operations'!$A$4:$AA$304,6,FALSE),""))</f>
        <v>0</v>
      </c>
      <c r="F61" s="69" t="str">
        <f>IF(A61="","",IFERROR(VLOOKUP(A61,'Job Operations'!$A$4:$AA$304,7,FALSE),""))</f>
        <v>Alum Sheet</v>
      </c>
      <c r="G61" s="70">
        <f>IF(A61="","",IFERROR(VLOOKUP(A61,'Job Operations'!$A$4:$AA$304,9,FALSE),""))</f>
        <v>46164</v>
      </c>
      <c r="H61" s="69" t="str">
        <f>IF(A61="","",IFERROR(VLOOKUP(A61,'Job Operations'!$A$4:$AA$304,12,FALSE),""))</f>
        <v>Sketch</v>
      </c>
      <c r="I61" s="69" t="str">
        <f>IF(A61="","",IFERROR(VLOOKUP(A61,'Job Operations'!$A$4:$AA$304,13,FALSE),""))</f>
        <v>Brake</v>
      </c>
      <c r="J61" s="69" t="str">
        <f>IF(A61="","",IFERROR(VLOOKUP(A61,'Job Operations'!$A$4:$AA$304,15,FALSE),""))</f>
        <v>Post Paint</v>
      </c>
      <c r="K61" s="69" t="str">
        <f>IF(A61="","",IFERROR(VLOOKUP(A61,'Job Operations'!$A$4:$AA$304,17,FALSE),""))</f>
        <v>Punch</v>
      </c>
      <c r="L61" s="73" t="str">
        <f>IF(A61="","",IF(IFERROR(VLOOKUP(A61,Notes!A:B,2,FALSE),"")=0,"",VLOOKUP(A61,Notes!A:B,2,FALSE)))</f>
        <v>04/16/2026…Sketch</v>
      </c>
      <c r="M61" s="69"/>
      <c r="N61" s="69"/>
    </row>
    <row r="62" spans="1:14" x14ac:dyDescent="0.25">
      <c r="A62" s="69" t="str">
        <v>25044-FS01</v>
      </c>
      <c r="B62" s="73" t="str">
        <f>IF(A62="","",IFERROR(VLOOKUP(A62,'Job Operations'!$A$4:$AA$304,2,FALSE),""))</f>
        <v>MALETA Firing Range</v>
      </c>
      <c r="C62" s="69" t="str">
        <f>IF(A62="","",IFERROR(VLOOKUP(A62,'Job Operations'!$A$4:$AA$304,3,FALSE),""))</f>
        <v>Cole Norona</v>
      </c>
      <c r="D62" s="69">
        <f>IF(A62="","",IFERROR(VLOOKUP(A62,'Job Operations'!$A$4:$AA$304,5,FALSE),""))</f>
        <v>125</v>
      </c>
      <c r="E62" s="69">
        <f>IF(A62="","",IFERROR(VLOOKUP(A62,'Job Operations'!$A$4:$AA$304,6,FALSE),""))</f>
        <v>0</v>
      </c>
      <c r="F62" s="69" t="str">
        <f>IF(A62="","",IFERROR(VLOOKUP(A62,'Job Operations'!$A$4:$AA$304,7,FALSE),""))</f>
        <v>FR ACM</v>
      </c>
      <c r="G62" s="70">
        <f>IF(A62="","",IFERROR(VLOOKUP(A62,'Job Operations'!$A$4:$AA$304,9,FALSE),""))</f>
        <v>46164</v>
      </c>
      <c r="H62" s="69" t="str">
        <f>IF(A62="","",IFERROR(VLOOKUP(A62,'Job Operations'!$A$4:$AA$304,12,FALSE),""))</f>
        <v>LO</v>
      </c>
      <c r="I62" s="69" t="str">
        <f>IF(A62="","",IFERROR(VLOOKUP(A62,'Job Operations'!$A$4:$AA$304,13,FALSE),""))</f>
        <v>AXYZ</v>
      </c>
      <c r="J62" s="69" t="str">
        <f>IF(A62="","",IFERROR(VLOOKUP(A62,'Job Operations'!$A$4:$AA$304,15,FALSE),""))</f>
        <v>Clean and Brake</v>
      </c>
      <c r="K62" s="69" t="str">
        <f>IF(A62="","",IFERROR(VLOOKUP(A62,'Job Operations'!$A$4:$AA$304,17,FALSE),""))</f>
        <v>Fab</v>
      </c>
      <c r="L62" s="73" t="str">
        <f>IF(A62="","",IF(IFERROR(VLOOKUP(A62,Notes!A:B,2,FALSE),"")=0,"",VLOOKUP(A62,Notes!A:B,2,FALSE)))</f>
        <v>04/16/2026…LO</v>
      </c>
      <c r="M62" s="69"/>
      <c r="N62" s="69"/>
    </row>
    <row r="63" spans="1:14" x14ac:dyDescent="0.25">
      <c r="A63" s="69" t="str">
        <v>25044-FS01.1</v>
      </c>
      <c r="B63" s="73" t="str">
        <f>IF(A63="","",IFERROR(VLOOKUP(A63,'Job Operations'!$A$4:$AA$304,2,FALSE),""))</f>
        <v>MALETA Firing Range</v>
      </c>
      <c r="C63" s="69" t="str">
        <f>IF(A63="","",IFERROR(VLOOKUP(A63,'Job Operations'!$A$4:$AA$304,3,FALSE),""))</f>
        <v>Cole Norona</v>
      </c>
      <c r="D63" s="69">
        <f>IF(A63="","",IFERROR(VLOOKUP(A63,'Job Operations'!$A$4:$AA$304,5,FALSE),""))</f>
        <v>34</v>
      </c>
      <c r="E63" s="69">
        <f>IF(A63="","",IFERROR(VLOOKUP(A63,'Job Operations'!$A$4:$AA$304,6,FALSE),""))</f>
        <v>0</v>
      </c>
      <c r="F63" s="69" t="str">
        <f>IF(A63="","",IFERROR(VLOOKUP(A63,'Job Operations'!$A$4:$AA$304,7,FALSE),""))</f>
        <v>FR ACM</v>
      </c>
      <c r="G63" s="70">
        <f>IF(A63="","",IFERROR(VLOOKUP(A63,'Job Operations'!$A$4:$AA$304,9,FALSE),""))</f>
        <v>46164</v>
      </c>
      <c r="H63" s="69" t="str">
        <f>IF(A63="","",IFERROR(VLOOKUP(A63,'Job Operations'!$A$4:$AA$304,12,FALSE),""))</f>
        <v>LO</v>
      </c>
      <c r="I63" s="69" t="str">
        <f>IF(A63="","",IFERROR(VLOOKUP(A63,'Job Operations'!$A$4:$AA$304,13,FALSE),""))</f>
        <v>AXYZ</v>
      </c>
      <c r="J63" s="69" t="str">
        <f>IF(A63="","",IFERROR(VLOOKUP(A63,'Job Operations'!$A$4:$AA$304,15,FALSE),""))</f>
        <v>Clean and Brake</v>
      </c>
      <c r="K63" s="69" t="str">
        <f>IF(A63="","",IFERROR(VLOOKUP(A63,'Job Operations'!$A$4:$AA$304,17,FALSE),""))</f>
        <v>Fab</v>
      </c>
      <c r="L63" s="73" t="str">
        <f>IF(A63="","",IF(IFERROR(VLOOKUP(A63,Notes!A:B,2,FALSE),"")=0,"",VLOOKUP(A63,Notes!A:B,2,FALSE)))</f>
        <v>04/16/2026…LO</v>
      </c>
      <c r="M63" s="69"/>
      <c r="N63" s="69"/>
    </row>
    <row r="64" spans="1:14" x14ac:dyDescent="0.25">
      <c r="A64" s="69" t="str">
        <v>25065-MU01</v>
      </c>
      <c r="B64" s="73" t="str">
        <f>IF(A64="","",IFERROR(VLOOKUP(A64,'Job Operations'!$A$4:$AA$304,2,FALSE),""))</f>
        <v>Crosswinds Casino Resort</v>
      </c>
      <c r="C64" s="69" t="str">
        <f>IF(A64="","",IFERROR(VLOOKUP(A64,'Job Operations'!$A$4:$AA$304,3,FALSE),""))</f>
        <v>Matt Rassmussen</v>
      </c>
      <c r="D64" s="69">
        <f>IF(A64="","",IFERROR(VLOOKUP(A64,'Job Operations'!$A$4:$AA$304,5,FALSE),""))</f>
        <v>18</v>
      </c>
      <c r="E64" s="69">
        <f>IF(A64="","",IFERROR(VLOOKUP(A64,'Job Operations'!$A$4:$AA$304,6,FALSE),""))</f>
        <v>14</v>
      </c>
      <c r="F64" s="69" t="str">
        <f>IF(A64="","",IFERROR(VLOOKUP(A64,'Job Operations'!$A$4:$AA$304,7,FALSE),""))</f>
        <v>FR ACM</v>
      </c>
      <c r="G64" s="70">
        <f>IF(A64="","",IFERROR(VLOOKUP(A64,'Job Operations'!$A$4:$AA$304,9,FALSE),""))</f>
        <v>46164</v>
      </c>
      <c r="H64" s="69" t="str">
        <f>IF(A64="","",IFERROR(VLOOKUP(A64,'Job Operations'!$A$4:$AA$304,12,FALSE),""))</f>
        <v>Sketch Check</v>
      </c>
      <c r="I64" s="69" t="str">
        <f>IF(A64="","",IFERROR(VLOOKUP(A64,'Job Operations'!$A$4:$AA$304,13,FALSE),""))</f>
        <v>AXYZ</v>
      </c>
      <c r="J64" s="69" t="str">
        <f>IF(A64="","",IFERROR(VLOOKUP(A64,'Job Operations'!$A$4:$AA$304,15,FALSE),""))</f>
        <v>Clean and Brake</v>
      </c>
      <c r="K64" s="69" t="str">
        <f>IF(A64="","",IFERROR(VLOOKUP(A64,'Job Operations'!$A$4:$AA$304,17,FALSE),""))</f>
        <v>Fab</v>
      </c>
      <c r="L64" s="73" t="str">
        <f>IF(A64="","",IF(IFERROR(VLOOKUP(A64,Notes!A:B,2,FALSE),"")=0,"",VLOOKUP(A64,Notes!A:B,2,FALSE)))</f>
        <v>04/16/2026…Sketch Check</v>
      </c>
      <c r="M64" s="69"/>
      <c r="N64" s="69"/>
    </row>
    <row r="65" spans="1:14" x14ac:dyDescent="0.25">
      <c r="A65" s="69" t="str">
        <v>25006-FS06</v>
      </c>
      <c r="B65" s="73" t="str">
        <f>IF(A65="","",IFERROR(VLOOKUP(A65,'Job Operations'!$A$4:$AA$304,2,FALSE),""))</f>
        <v>MALETA Housing and Dining</v>
      </c>
      <c r="C65" s="69" t="str">
        <f>IF(A65="","",IFERROR(VLOOKUP(A65,'Job Operations'!$A$4:$AA$304,3,FALSE),""))</f>
        <v>Cole Norona</v>
      </c>
      <c r="D65" s="69">
        <f>IF(A65="","",IFERROR(VLOOKUP(A65,'Job Operations'!$A$4:$AA$304,5,FALSE),""))</f>
        <v>246</v>
      </c>
      <c r="E65" s="69">
        <f>IF(A65="","",IFERROR(VLOOKUP(A65,'Job Operations'!$A$4:$AA$304,6,FALSE),""))</f>
        <v>0</v>
      </c>
      <c r="F65" s="69" t="str">
        <f>IF(A65="","",IFERROR(VLOOKUP(A65,'Job Operations'!$A$4:$AA$304,7,FALSE),""))</f>
        <v>FR ACM</v>
      </c>
      <c r="G65" s="70">
        <f>IF(A65="","",IFERROR(VLOOKUP(A65,'Job Operations'!$A$4:$AA$304,9,FALSE),""))</f>
        <v>46167</v>
      </c>
      <c r="H65" s="69" t="str">
        <f>IF(A65="","",IFERROR(VLOOKUP(A65,'Job Operations'!$A$4:$AA$304,12,FALSE),""))</f>
        <v>LO Check</v>
      </c>
      <c r="I65" s="69" t="str">
        <f>IF(A65="","",IFERROR(VLOOKUP(A65,'Job Operations'!$A$4:$AA$304,13,FALSE),""))</f>
        <v>AXYZ</v>
      </c>
      <c r="J65" s="69" t="str">
        <f>IF(A65="","",IFERROR(VLOOKUP(A65,'Job Operations'!$A$4:$AA$304,15,FALSE),""))</f>
        <v>Clean and Brake</v>
      </c>
      <c r="K65" s="69" t="str">
        <f>IF(A65="","",IFERROR(VLOOKUP(A65,'Job Operations'!$A$4:$AA$304,17,FALSE),""))</f>
        <v>Fab</v>
      </c>
      <c r="L65" s="73" t="str">
        <f>IF(A65="","",IF(IFERROR(VLOOKUP(A65,Notes!A:B,2,FALSE),"")=0,"",VLOOKUP(A65,Notes!A:B,2,FALSE)))</f>
        <v>HOAR*04/16/2026…LO Check</v>
      </c>
      <c r="M65" s="69"/>
      <c r="N65" s="69"/>
    </row>
    <row r="66" spans="1:14" x14ac:dyDescent="0.25">
      <c r="A66" s="69" t="str">
        <v>25037-FS01</v>
      </c>
      <c r="B66" s="73" t="str">
        <f>IF(A66="","",IFERROR(VLOOKUP(A66,'Job Operations'!$A$4:$AA$304,2,FALSE),""))</f>
        <v>Chestnut Street Office</v>
      </c>
      <c r="C66" s="69" t="str">
        <f>IF(A66="","",IFERROR(VLOOKUP(A66,'Job Operations'!$A$4:$AA$304,3,FALSE),""))</f>
        <v>Laura Forero</v>
      </c>
      <c r="D66" s="69">
        <f>IF(A66="","",IFERROR(VLOOKUP(A66,'Job Operations'!$A$4:$AA$304,5,FALSE),""))</f>
        <v>218</v>
      </c>
      <c r="E66" s="69">
        <f>IF(A66="","",IFERROR(VLOOKUP(A66,'Job Operations'!$A$4:$AA$304,6,FALSE),""))</f>
        <v>0</v>
      </c>
      <c r="F66" s="69" t="str">
        <f>IF(A66="","",IFERROR(VLOOKUP(A66,'Job Operations'!$A$4:$AA$304,7,FALSE),""))</f>
        <v>FR ACM</v>
      </c>
      <c r="G66" s="70">
        <f>IF(A66="","",IFERROR(VLOOKUP(A66,'Job Operations'!$A$4:$AA$304,9,FALSE),""))</f>
        <v>46167</v>
      </c>
      <c r="H66" s="69" t="str">
        <f>IF(A66="","",IFERROR(VLOOKUP(A66,'Job Operations'!$A$4:$AA$304,12,FALSE),""))</f>
        <v>LO Check</v>
      </c>
      <c r="I66" s="69" t="str">
        <f>IF(A66="","",IFERROR(VLOOKUP(A66,'Job Operations'!$A$4:$AA$304,13,FALSE),""))</f>
        <v>AXYZ</v>
      </c>
      <c r="J66" s="69" t="str">
        <f>IF(A66="","",IFERROR(VLOOKUP(A66,'Job Operations'!$A$4:$AA$304,15,FALSE),""))</f>
        <v>Clean and Brake</v>
      </c>
      <c r="K66" s="69" t="str">
        <f>IF(A66="","",IFERROR(VLOOKUP(A66,'Job Operations'!$A$4:$AA$304,17,FALSE),""))</f>
        <v>Fab</v>
      </c>
      <c r="L66" s="73" t="str">
        <f>IF(A66="","",IF(IFERROR(VLOOKUP(A66,Notes!A:B,2,FALSE),"")=0,"",VLOOKUP(A66,Notes!A:B,2,FALSE)))</f>
        <v>04/16/2026…LO Check</v>
      </c>
      <c r="M66" s="69"/>
      <c r="N66" s="69"/>
    </row>
    <row r="67" spans="1:14" x14ac:dyDescent="0.25">
      <c r="A67" s="69" t="str">
        <v>24079-FS301</v>
      </c>
      <c r="B67" s="73" t="str">
        <f>IF(A67="","",IFERROR(VLOOKUP(A67,'Job Operations'!$A$4:$AA$304,2,FALSE),""))</f>
        <v>Nashville Youth Campus</v>
      </c>
      <c r="C67" s="69" t="str">
        <f>IF(A67="","",IFERROR(VLOOKUP(A67,'Job Operations'!$A$4:$AA$304,3,FALSE),""))</f>
        <v>Joe Hoyle</v>
      </c>
      <c r="D67" s="69">
        <f>IF(A67="","",IFERROR(VLOOKUP(A67,'Job Operations'!$A$4:$AA$304,5,FALSE),""))</f>
        <v>143</v>
      </c>
      <c r="E67" s="69">
        <f>IF(A67="","",IFERROR(VLOOKUP(A67,'Job Operations'!$A$4:$AA$304,6,FALSE),""))</f>
        <v>0</v>
      </c>
      <c r="F67" s="69" t="str">
        <f>IF(A67="","",IFERROR(VLOOKUP(A67,'Job Operations'!$A$4:$AA$304,7,FALSE),""))</f>
        <v>FR ACM</v>
      </c>
      <c r="G67" s="70">
        <f>IF(A67="","",IFERROR(VLOOKUP(A67,'Job Operations'!$A$4:$AA$304,9,FALSE),""))</f>
        <v>46167</v>
      </c>
      <c r="H67" s="69" t="str">
        <f>IF(A67="","",IFERROR(VLOOKUP(A67,'Job Operations'!$A$4:$AA$304,12,FALSE),""))</f>
        <v>LO</v>
      </c>
      <c r="I67" s="69" t="str">
        <f>IF(A67="","",IFERROR(VLOOKUP(A67,'Job Operations'!$A$4:$AA$304,13,FALSE),""))</f>
        <v>AXYZ</v>
      </c>
      <c r="J67" s="69" t="str">
        <f>IF(A67="","",IFERROR(VLOOKUP(A67,'Job Operations'!$A$4:$AA$304,15,FALSE),""))</f>
        <v>Clean and Brake</v>
      </c>
      <c r="K67" s="69" t="str">
        <f>IF(A67="","",IFERROR(VLOOKUP(A67,'Job Operations'!$A$4:$AA$304,17,FALSE),""))</f>
        <v>Fab</v>
      </c>
      <c r="L67" s="73" t="str">
        <f>IF(A67="","",IF(IFERROR(VLOOKUP(A67,Notes!A:B,2,FALSE),"")=0,"",VLOOKUP(A67,Notes!A:B,2,FALSE)))</f>
        <v>04/16/2026…LO</v>
      </c>
      <c r="M67" s="69"/>
      <c r="N67" s="69"/>
    </row>
    <row r="68" spans="1:14" x14ac:dyDescent="0.25">
      <c r="A68" s="69" t="str">
        <v>24079-FS303</v>
      </c>
      <c r="B68" s="73" t="str">
        <f>IF(A68="","",IFERROR(VLOOKUP(A68,'Job Operations'!$A$4:$AA$304,2,FALSE),""))</f>
        <v>Nashville Youth Campus</v>
      </c>
      <c r="C68" s="69" t="str">
        <f>IF(A68="","",IFERROR(VLOOKUP(A68,'Job Operations'!$A$4:$AA$304,3,FALSE),""))</f>
        <v>Joe Hoyle</v>
      </c>
      <c r="D68" s="69">
        <f>IF(A68="","",IFERROR(VLOOKUP(A68,'Job Operations'!$A$4:$AA$304,5,FALSE),""))</f>
        <v>165</v>
      </c>
      <c r="E68" s="69">
        <f>IF(A68="","",IFERROR(VLOOKUP(A68,'Job Operations'!$A$4:$AA$304,6,FALSE),""))</f>
        <v>0</v>
      </c>
      <c r="F68" s="69" t="str">
        <f>IF(A68="","",IFERROR(VLOOKUP(A68,'Job Operations'!$A$4:$AA$304,7,FALSE),""))</f>
        <v>FR ACM</v>
      </c>
      <c r="G68" s="70">
        <f>IF(A68="","",IFERROR(VLOOKUP(A68,'Job Operations'!$A$4:$AA$304,9,FALSE),""))</f>
        <v>46167</v>
      </c>
      <c r="H68" s="69" t="str">
        <f>IF(A68="","",IFERROR(VLOOKUP(A68,'Job Operations'!$A$4:$AA$304,12,FALSE),""))</f>
        <v>LO</v>
      </c>
      <c r="I68" s="69" t="str">
        <f>IF(A68="","",IFERROR(VLOOKUP(A68,'Job Operations'!$A$4:$AA$304,13,FALSE),""))</f>
        <v>AXYZ</v>
      </c>
      <c r="J68" s="69" t="str">
        <f>IF(A68="","",IFERROR(VLOOKUP(A68,'Job Operations'!$A$4:$AA$304,15,FALSE),""))</f>
        <v>Clean and Brake</v>
      </c>
      <c r="K68" s="69" t="str">
        <f>IF(A68="","",IFERROR(VLOOKUP(A68,'Job Operations'!$A$4:$AA$304,17,FALSE),""))</f>
        <v>Fab</v>
      </c>
      <c r="L68" s="73" t="str">
        <f>IF(A68="","",IF(IFERROR(VLOOKUP(A68,Notes!A:B,2,FALSE),"")=0,"",VLOOKUP(A68,Notes!A:B,2,FALSE)))</f>
        <v>04/16/2026…LO</v>
      </c>
      <c r="M68" s="69"/>
      <c r="N68" s="69"/>
    </row>
    <row r="69" spans="1:14" x14ac:dyDescent="0.25">
      <c r="A69" s="69" t="str">
        <v>25041-FS02</v>
      </c>
      <c r="B69" s="73" t="str">
        <f>IF(A69="","",IFERROR(VLOOKUP(A69,'Job Operations'!$A$4:$AA$304,2,FALSE),""))</f>
        <v>Wedgewood Bldg E</v>
      </c>
      <c r="C69" s="69" t="str">
        <f>IF(A69="","",IFERROR(VLOOKUP(A69,'Job Operations'!$A$4:$AA$304,3,FALSE),""))</f>
        <v>Wylie McDougall</v>
      </c>
      <c r="D69" s="69">
        <f>IF(A69="","",IFERROR(VLOOKUP(A69,'Job Operations'!$A$4:$AA$304,5,FALSE),""))</f>
        <v>31</v>
      </c>
      <c r="E69" s="69">
        <f>IF(A69="","",IFERROR(VLOOKUP(A69,'Job Operations'!$A$4:$AA$304,6,FALSE),""))</f>
        <v>0</v>
      </c>
      <c r="F69" s="69" t="str">
        <f>IF(A69="","",IFERROR(VLOOKUP(A69,'Job Operations'!$A$4:$AA$304,7,FALSE),""))</f>
        <v>FR ACM</v>
      </c>
      <c r="G69" s="70">
        <f>IF(A69="","",IFERROR(VLOOKUP(A69,'Job Operations'!$A$4:$AA$304,9,FALSE),""))</f>
        <v>46168</v>
      </c>
      <c r="H69" s="69" t="str">
        <f>IF(A69="","",IFERROR(VLOOKUP(A69,'Job Operations'!$A$4:$AA$304,12,FALSE),""))</f>
        <v>LO</v>
      </c>
      <c r="I69" s="69" t="str">
        <f>IF(A69="","",IFERROR(VLOOKUP(A69,'Job Operations'!$A$4:$AA$304,13,FALSE),""))</f>
        <v>AXYZ</v>
      </c>
      <c r="J69" s="69" t="str">
        <f>IF(A69="","",IFERROR(VLOOKUP(A69,'Job Operations'!$A$4:$AA$304,15,FALSE),""))</f>
        <v>Clean and Brake</v>
      </c>
      <c r="K69" s="69" t="str">
        <f>IF(A69="","",IFERROR(VLOOKUP(A69,'Job Operations'!$A$4:$AA$304,17,FALSE),""))</f>
        <v>Fab</v>
      </c>
      <c r="L69" s="73" t="str">
        <f>IF(A69="","",IF(IFERROR(VLOOKUP(A69,Notes!A:B,2,FALSE),"")=0,"",VLOOKUP(A69,Notes!A:B,2,FALSE)))</f>
        <v>04/16/2026…LO</v>
      </c>
      <c r="M69" s="69"/>
      <c r="N69" s="69"/>
    </row>
    <row r="70" spans="1:14" x14ac:dyDescent="0.25">
      <c r="A70" s="69" t="str">
        <v>25065-MU02</v>
      </c>
      <c r="B70" s="73" t="str">
        <f>IF(A70="","",IFERROR(VLOOKUP(A70,'Job Operations'!$A$4:$AA$304,2,FALSE),""))</f>
        <v>Crosswinds Casino Resort</v>
      </c>
      <c r="C70" s="69" t="str">
        <f>IF(A70="","",IFERROR(VLOOKUP(A70,'Job Operations'!$A$4:$AA$304,3,FALSE),""))</f>
        <v>Matt Rassmussen</v>
      </c>
      <c r="D70" s="69">
        <f>IF(A70="","",IFERROR(VLOOKUP(A70,'Job Operations'!$A$4:$AA$304,5,FALSE),""))</f>
        <v>15</v>
      </c>
      <c r="E70" s="69">
        <f>IF(A70="","",IFERROR(VLOOKUP(A70,'Job Operations'!$A$4:$AA$304,6,FALSE),""))</f>
        <v>13</v>
      </c>
      <c r="F70" s="69" t="str">
        <f>IF(A70="","",IFERROR(VLOOKUP(A70,'Job Operations'!$A$4:$AA$304,7,FALSE),""))</f>
        <v>FR ACM</v>
      </c>
      <c r="G70" s="70">
        <f>IF(A70="","",IFERROR(VLOOKUP(A70,'Job Operations'!$A$4:$AA$304,9,FALSE),""))</f>
        <v>46171</v>
      </c>
      <c r="H70" s="69" t="str">
        <f>IF(A70="","",IFERROR(VLOOKUP(A70,'Job Operations'!$A$4:$AA$304,12,FALSE),""))</f>
        <v>LO</v>
      </c>
      <c r="I70" s="69" t="str">
        <f>IF(A70="","",IFERROR(VLOOKUP(A70,'Job Operations'!$A$4:$AA$304,13,FALSE),""))</f>
        <v>AXYZ</v>
      </c>
      <c r="J70" s="69" t="str">
        <f>IF(A70="","",IFERROR(VLOOKUP(A70,'Job Operations'!$A$4:$AA$304,15,FALSE),""))</f>
        <v>Clean and Brake</v>
      </c>
      <c r="K70" s="69" t="str">
        <f>IF(A70="","",IFERROR(VLOOKUP(A70,'Job Operations'!$A$4:$AA$304,17,FALSE),""))</f>
        <v>Fab</v>
      </c>
      <c r="L70" s="73" t="str">
        <f>IF(A70="","",IF(IFERROR(VLOOKUP(A70,Notes!A:B,2,FALSE),"")=0,"",VLOOKUP(A70,Notes!A:B,2,FALSE)))</f>
        <v>04/16/2026…LO</v>
      </c>
      <c r="M70" s="69"/>
      <c r="N70" s="69"/>
    </row>
    <row r="71" spans="1:14" x14ac:dyDescent="0.25">
      <c r="A71" s="69" t="str">
        <v>25065-MU03</v>
      </c>
      <c r="B71" s="73" t="str">
        <f>IF(A71="","",IFERROR(VLOOKUP(A71,'Job Operations'!$A$4:$AA$304,2,FALSE),""))</f>
        <v>Crosswinds Casino Resort</v>
      </c>
      <c r="C71" s="69" t="str">
        <f>IF(A71="","",IFERROR(VLOOKUP(A71,'Job Operations'!$A$4:$AA$304,3,FALSE),""))</f>
        <v>Matt Rassmussen</v>
      </c>
      <c r="D71" s="69">
        <f>IF(A71="","",IFERROR(VLOOKUP(A71,'Job Operations'!$A$4:$AA$304,5,FALSE),""))</f>
        <v>6</v>
      </c>
      <c r="E71" s="69">
        <f>IF(A71="","",IFERROR(VLOOKUP(A71,'Job Operations'!$A$4:$AA$304,6,FALSE),""))</f>
        <v>6</v>
      </c>
      <c r="F71" s="69" t="str">
        <f>IF(A71="","",IFERROR(VLOOKUP(A71,'Job Operations'!$A$4:$AA$304,7,FALSE),""))</f>
        <v>FR ACM</v>
      </c>
      <c r="G71" s="70">
        <f>IF(A71="","",IFERROR(VLOOKUP(A71,'Job Operations'!$A$4:$AA$304,9,FALSE),""))</f>
        <v>46171</v>
      </c>
      <c r="H71" s="69" t="str">
        <f>IF(A71="","",IFERROR(VLOOKUP(A71,'Job Operations'!$A$4:$AA$304,12,FALSE),""))</f>
        <v>LO</v>
      </c>
      <c r="I71" s="69" t="str">
        <f>IF(A71="","",IFERROR(VLOOKUP(A71,'Job Operations'!$A$4:$AA$304,13,FALSE),""))</f>
        <v>AXYZ</v>
      </c>
      <c r="J71" s="69" t="str">
        <f>IF(A71="","",IFERROR(VLOOKUP(A71,'Job Operations'!$A$4:$AA$304,15,FALSE),""))</f>
        <v>Clean and Brake</v>
      </c>
      <c r="K71" s="69" t="str">
        <f>IF(A71="","",IFERROR(VLOOKUP(A71,'Job Operations'!$A$4:$AA$304,17,FALSE),""))</f>
        <v>Fab</v>
      </c>
      <c r="L71" s="73" t="str">
        <f>IF(A71="","",IF(IFERROR(VLOOKUP(A71,Notes!A:B,2,FALSE),"")=0,"",VLOOKUP(A71,Notes!A:B,2,FALSE)))</f>
        <v>04/16/2026…LO</v>
      </c>
      <c r="M71" s="69"/>
      <c r="N71" s="69"/>
    </row>
    <row r="72" spans="1:14" x14ac:dyDescent="0.25">
      <c r="A72" s="69" t="str">
        <v>25065-MU04</v>
      </c>
      <c r="B72" s="73" t="str">
        <f>IF(A72="","",IFERROR(VLOOKUP(A72,'Job Operations'!$A$4:$AA$304,2,FALSE),""))</f>
        <v>Crosswinds Casino Resort</v>
      </c>
      <c r="C72" s="69" t="str">
        <f>IF(A72="","",IFERROR(VLOOKUP(A72,'Job Operations'!$A$4:$AA$304,3,FALSE),""))</f>
        <v>Matt Rassmussen</v>
      </c>
      <c r="D72" s="69">
        <f>IF(A72="","",IFERROR(VLOOKUP(A72,'Job Operations'!$A$4:$AA$304,5,FALSE),""))</f>
        <v>15</v>
      </c>
      <c r="E72" s="69">
        <f>IF(A72="","",IFERROR(VLOOKUP(A72,'Job Operations'!$A$4:$AA$304,6,FALSE),""))</f>
        <v>13</v>
      </c>
      <c r="F72" s="69" t="str">
        <f>IF(A72="","",IFERROR(VLOOKUP(A72,'Job Operations'!$A$4:$AA$304,7,FALSE),""))</f>
        <v>FR ACM</v>
      </c>
      <c r="G72" s="70">
        <f>IF(A72="","",IFERROR(VLOOKUP(A72,'Job Operations'!$A$4:$AA$304,9,FALSE),""))</f>
        <v>46171</v>
      </c>
      <c r="H72" s="69" t="str">
        <f>IF(A72="","",IFERROR(VLOOKUP(A72,'Job Operations'!$A$4:$AA$304,12,FALSE),""))</f>
        <v>LO</v>
      </c>
      <c r="I72" s="69" t="str">
        <f>IF(A72="","",IFERROR(VLOOKUP(A72,'Job Operations'!$A$4:$AA$304,13,FALSE),""))</f>
        <v>AXYZ</v>
      </c>
      <c r="J72" s="69" t="str">
        <f>IF(A72="","",IFERROR(VLOOKUP(A72,'Job Operations'!$A$4:$AA$304,15,FALSE),""))</f>
        <v>Clean and Brake</v>
      </c>
      <c r="K72" s="69" t="str">
        <f>IF(A72="","",IFERROR(VLOOKUP(A72,'Job Operations'!$A$4:$AA$304,17,FALSE),""))</f>
        <v>Fab</v>
      </c>
      <c r="L72" s="73" t="str">
        <f>IF(A72="","",IF(IFERROR(VLOOKUP(A72,Notes!A:B,2,FALSE),"")=0,"",VLOOKUP(A72,Notes!A:B,2,FALSE)))</f>
        <v>04/16/2026…LO</v>
      </c>
      <c r="M72" s="69"/>
      <c r="N72" s="69"/>
    </row>
    <row r="73" spans="1:14" x14ac:dyDescent="0.25">
      <c r="A73" s="69" t="str">
        <v>25065-MU05</v>
      </c>
      <c r="B73" s="73" t="str">
        <f>IF(A73="","",IFERROR(VLOOKUP(A73,'Job Operations'!$A$4:$AA$304,2,FALSE),""))</f>
        <v>Crosswinds Casino Resort</v>
      </c>
      <c r="C73" s="69" t="str">
        <f>IF(A73="","",IFERROR(VLOOKUP(A73,'Job Operations'!$A$4:$AA$304,3,FALSE),""))</f>
        <v>Matt Rassmussen</v>
      </c>
      <c r="D73" s="69">
        <f>IF(A73="","",IFERROR(VLOOKUP(A73,'Job Operations'!$A$4:$AA$304,5,FALSE),""))</f>
        <v>3</v>
      </c>
      <c r="E73" s="69">
        <f>IF(A73="","",IFERROR(VLOOKUP(A73,'Job Operations'!$A$4:$AA$304,6,FALSE),""))</f>
        <v>1</v>
      </c>
      <c r="F73" s="69" t="str">
        <f>IF(A73="","",IFERROR(VLOOKUP(A73,'Job Operations'!$A$4:$AA$304,7,FALSE),""))</f>
        <v>Steel Sheet</v>
      </c>
      <c r="G73" s="70">
        <f>IF(A73="","",IFERROR(VLOOKUP(A73,'Job Operations'!$A$4:$AA$304,9,FALSE),""))</f>
        <v>46171</v>
      </c>
      <c r="H73" s="69" t="str">
        <f>IF(A73="","",IFERROR(VLOOKUP(A73,'Job Operations'!$A$4:$AA$304,12,FALSE),""))</f>
        <v>Evaluation</v>
      </c>
      <c r="I73" s="69" t="str">
        <f>IF(A73="","",IFERROR(VLOOKUP(A73,'Job Operations'!$A$4:$AA$304,13,FALSE),""))</f>
        <v>Cidan</v>
      </c>
      <c r="J73" s="69" t="str">
        <f>IF(A73="","",IFERROR(VLOOKUP(A73,'Job Operations'!$A$4:$AA$304,15,FALSE),""))</f>
        <v>Shear</v>
      </c>
      <c r="K73" s="69" t="str">
        <f>IF(A73="","",IFERROR(VLOOKUP(A73,'Job Operations'!$A$4:$AA$304,17,FALSE),""))</f>
        <v/>
      </c>
      <c r="L73" s="73" t="str">
        <f>IF(A73="","",IF(IFERROR(VLOOKUP(A73,Notes!A:B,2,FALSE),"")=0,"",VLOOKUP(A73,Notes!A:B,2,FALSE)))</f>
        <v>04/16/2026…Evaluation</v>
      </c>
      <c r="M73" s="69"/>
      <c r="N73" s="69"/>
    </row>
    <row r="74" spans="1:14" x14ac:dyDescent="0.25">
      <c r="A74" s="69" t="str">
        <v>25065-MU11</v>
      </c>
      <c r="B74" s="73" t="str">
        <f>IF(A74="","",IFERROR(VLOOKUP(A74,'Job Operations'!$A$4:$AA$304,2,FALSE),""))</f>
        <v>Crosswinds Casino Resort</v>
      </c>
      <c r="C74" s="69" t="str">
        <f>IF(A74="","",IFERROR(VLOOKUP(A74,'Job Operations'!$A$4:$AA$304,3,FALSE),""))</f>
        <v>Matt Rassmussen</v>
      </c>
      <c r="D74" s="69">
        <f>IF(A74="","",IFERROR(VLOOKUP(A74,'Job Operations'!$A$4:$AA$304,5,FALSE),""))</f>
        <v>1</v>
      </c>
      <c r="E74" s="69">
        <f>IF(A74="","",IFERROR(VLOOKUP(A74,'Job Operations'!$A$4:$AA$304,6,FALSE),""))</f>
        <v>1</v>
      </c>
      <c r="F74" s="69" t="str">
        <f>IF(A74="","",IFERROR(VLOOKUP(A74,'Job Operations'!$A$4:$AA$304,7,FALSE),""))</f>
        <v>Alum Sheet</v>
      </c>
      <c r="G74" s="70">
        <f>IF(A74="","",IFERROR(VLOOKUP(A74,'Job Operations'!$A$4:$AA$304,9,FALSE),""))</f>
        <v>46171</v>
      </c>
      <c r="H74" s="69" t="str">
        <f>IF(A74="","",IFERROR(VLOOKUP(A74,'Job Operations'!$A$4:$AA$304,12,FALSE),""))</f>
        <v>Evaluation</v>
      </c>
      <c r="I74" s="69" t="str">
        <f>IF(A74="","",IFERROR(VLOOKUP(A74,'Job Operations'!$A$4:$AA$304,13,FALSE),""))</f>
        <v>Cidan</v>
      </c>
      <c r="J74" s="69" t="str">
        <f>IF(A74="","",IFERROR(VLOOKUP(A74,'Job Operations'!$A$4:$AA$304,15,FALSE),""))</f>
        <v>Shear</v>
      </c>
      <c r="K74" s="69" t="str">
        <f>IF(A74="","",IFERROR(VLOOKUP(A74,'Job Operations'!$A$4:$AA$304,17,FALSE),""))</f>
        <v/>
      </c>
      <c r="L74" s="73" t="str">
        <f>IF(A74="","",IF(IFERROR(VLOOKUP(A74,Notes!A:B,2,FALSE),"")=0,"",VLOOKUP(A74,Notes!A:B,2,FALSE)))</f>
        <v>04/16/2026…Evaluation</v>
      </c>
      <c r="M74" s="69"/>
      <c r="N74" s="69"/>
    </row>
    <row r="75" spans="1:14" x14ac:dyDescent="0.25">
      <c r="A75" s="69" t="str">
        <v>25065-MU12</v>
      </c>
      <c r="B75" s="73" t="str">
        <f>IF(A75="","",IFERROR(VLOOKUP(A75,'Job Operations'!$A$4:$AA$304,2,FALSE),""))</f>
        <v>Crosswinds Casino Resort</v>
      </c>
      <c r="C75" s="69" t="str">
        <f>IF(A75="","",IFERROR(VLOOKUP(A75,'Job Operations'!$A$4:$AA$304,3,FALSE),""))</f>
        <v>Matt Rassmussen</v>
      </c>
      <c r="D75" s="69">
        <f>IF(A75="","",IFERROR(VLOOKUP(A75,'Job Operations'!$A$4:$AA$304,5,FALSE),""))</f>
        <v>0</v>
      </c>
      <c r="E75" s="69">
        <f>IF(A75="","",IFERROR(VLOOKUP(A75,'Job Operations'!$A$4:$AA$304,6,FALSE),""))</f>
        <v>2</v>
      </c>
      <c r="F75" s="69" t="str">
        <f>IF(A75="","",IFERROR(VLOOKUP(A75,'Job Operations'!$A$4:$AA$304,7,FALSE),""))</f>
        <v>Alum Sheet</v>
      </c>
      <c r="G75" s="70">
        <f>IF(A75="","",IFERROR(VLOOKUP(A75,'Job Operations'!$A$4:$AA$304,9,FALSE),""))</f>
        <v>46171</v>
      </c>
      <c r="H75" s="69" t="str">
        <f>IF(A75="","",IFERROR(VLOOKUP(A75,'Job Operations'!$A$4:$AA$304,12,FALSE),""))</f>
        <v>Evaluation</v>
      </c>
      <c r="I75" s="69" t="str">
        <f>IF(A75="","",IFERROR(VLOOKUP(A75,'Job Operations'!$A$4:$AA$304,13,FALSE),""))</f>
        <v>Cidan</v>
      </c>
      <c r="J75" s="69" t="str">
        <f>IF(A75="","",IFERROR(VLOOKUP(A75,'Job Operations'!$A$4:$AA$304,15,FALSE),""))</f>
        <v>Shear</v>
      </c>
      <c r="K75" s="69" t="str">
        <f>IF(A75="","",IFERROR(VLOOKUP(A75,'Job Operations'!$A$4:$AA$304,17,FALSE),""))</f>
        <v/>
      </c>
      <c r="L75" s="73" t="str">
        <f>IF(A75="","",IF(IFERROR(VLOOKUP(A75,Notes!A:B,2,FALSE),"")=0,"",VLOOKUP(A75,Notes!A:B,2,FALSE)))</f>
        <v>04/16/2026…Evaluation</v>
      </c>
      <c r="M75" s="69"/>
      <c r="N75" s="69"/>
    </row>
    <row r="76" spans="1:14" x14ac:dyDescent="0.25">
      <c r="A76" s="69" t="str">
        <v>25065-MU13</v>
      </c>
      <c r="B76" s="73" t="str">
        <f>IF(A76="","",IFERROR(VLOOKUP(A76,'Job Operations'!$A$4:$AA$304,2,FALSE),""))</f>
        <v>Crosswinds Casino Resort</v>
      </c>
      <c r="C76" s="69" t="str">
        <f>IF(A76="","",IFERROR(VLOOKUP(A76,'Job Operations'!$A$4:$AA$304,3,FALSE),""))</f>
        <v>Matt Rassmussen</v>
      </c>
      <c r="D76" s="69">
        <f>IF(A76="","",IFERROR(VLOOKUP(A76,'Job Operations'!$A$4:$AA$304,5,FALSE),""))</f>
        <v>0</v>
      </c>
      <c r="E76" s="69">
        <f>IF(A76="","",IFERROR(VLOOKUP(A76,'Job Operations'!$A$4:$AA$304,6,FALSE),""))</f>
        <v>1</v>
      </c>
      <c r="F76" s="69" t="str">
        <f>IF(A76="","",IFERROR(VLOOKUP(A76,'Job Operations'!$A$4:$AA$304,7,FALSE),""))</f>
        <v>Alum Sheet</v>
      </c>
      <c r="G76" s="70">
        <f>IF(A76="","",IFERROR(VLOOKUP(A76,'Job Operations'!$A$4:$AA$304,9,FALSE),""))</f>
        <v>46171</v>
      </c>
      <c r="H76" s="69" t="str">
        <f>IF(A76="","",IFERROR(VLOOKUP(A76,'Job Operations'!$A$4:$AA$304,12,FALSE),""))</f>
        <v>Evaluation</v>
      </c>
      <c r="I76" s="69" t="str">
        <f>IF(A76="","",IFERROR(VLOOKUP(A76,'Job Operations'!$A$4:$AA$304,13,FALSE),""))</f>
        <v>Cidan</v>
      </c>
      <c r="J76" s="69" t="str">
        <f>IF(A76="","",IFERROR(VLOOKUP(A76,'Job Operations'!$A$4:$AA$304,15,FALSE),""))</f>
        <v>Shear</v>
      </c>
      <c r="K76" s="69" t="str">
        <f>IF(A76="","",IFERROR(VLOOKUP(A76,'Job Operations'!$A$4:$AA$304,17,FALSE),""))</f>
        <v/>
      </c>
      <c r="L76" s="73" t="str">
        <f>IF(A76="","",IF(IFERROR(VLOOKUP(A76,Notes!A:B,2,FALSE),"")=0,"",VLOOKUP(A76,Notes!A:B,2,FALSE)))</f>
        <v>04/16/2026…Evaluation</v>
      </c>
      <c r="M76" s="69"/>
      <c r="N76" s="69"/>
    </row>
    <row r="77" spans="1:14" x14ac:dyDescent="0.25">
      <c r="A77" s="69" t="str">
        <v>25065-MU14</v>
      </c>
      <c r="B77" s="73" t="str">
        <f>IF(A77="","",IFERROR(VLOOKUP(A77,'Job Operations'!$A$4:$AA$304,2,FALSE),""))</f>
        <v>Crosswinds Casino Resort</v>
      </c>
      <c r="C77" s="69" t="str">
        <f>IF(A77="","",IFERROR(VLOOKUP(A77,'Job Operations'!$A$4:$AA$304,3,FALSE),""))</f>
        <v>Matt Rassmussen</v>
      </c>
      <c r="D77" s="69">
        <f>IF(A77="","",IFERROR(VLOOKUP(A77,'Job Operations'!$A$4:$AA$304,5,FALSE),""))</f>
        <v>0</v>
      </c>
      <c r="E77" s="69">
        <f>IF(A77="","",IFERROR(VLOOKUP(A77,'Job Operations'!$A$4:$AA$304,6,FALSE),""))</f>
        <v>3</v>
      </c>
      <c r="F77" s="69" t="str">
        <f>IF(A77="","",IFERROR(VLOOKUP(A77,'Job Operations'!$A$4:$AA$304,7,FALSE),""))</f>
        <v>Alum Sheet</v>
      </c>
      <c r="G77" s="70">
        <f>IF(A77="","",IFERROR(VLOOKUP(A77,'Job Operations'!$A$4:$AA$304,9,FALSE),""))</f>
        <v>46171</v>
      </c>
      <c r="H77" s="69" t="str">
        <f>IF(A77="","",IFERROR(VLOOKUP(A77,'Job Operations'!$A$4:$AA$304,12,FALSE),""))</f>
        <v>Evaluation</v>
      </c>
      <c r="I77" s="69" t="str">
        <f>IF(A77="","",IFERROR(VLOOKUP(A77,'Job Operations'!$A$4:$AA$304,13,FALSE),""))</f>
        <v>Cidan</v>
      </c>
      <c r="J77" s="69" t="str">
        <f>IF(A77="","",IFERROR(VLOOKUP(A77,'Job Operations'!$A$4:$AA$304,15,FALSE),""))</f>
        <v>Shear</v>
      </c>
      <c r="K77" s="69" t="str">
        <f>IF(A77="","",IFERROR(VLOOKUP(A77,'Job Operations'!$A$4:$AA$304,17,FALSE),""))</f>
        <v/>
      </c>
      <c r="L77" s="73" t="str">
        <f>IF(A77="","",IF(IFERROR(VLOOKUP(A77,Notes!A:B,2,FALSE),"")=0,"",VLOOKUP(A77,Notes!A:B,2,FALSE)))</f>
        <v>04/16/2026…Evaluation</v>
      </c>
      <c r="M77" s="69"/>
      <c r="N77" s="69"/>
    </row>
    <row r="78" spans="1:14" x14ac:dyDescent="0.25">
      <c r="A78" s="69" t="str">
        <v>25065-MU15</v>
      </c>
      <c r="B78" s="73" t="str">
        <f>IF(A78="","",IFERROR(VLOOKUP(A78,'Job Operations'!$A$4:$AA$304,2,FALSE),""))</f>
        <v>Crosswinds Casino Resort</v>
      </c>
      <c r="C78" s="69" t="str">
        <f>IF(A78="","",IFERROR(VLOOKUP(A78,'Job Operations'!$A$4:$AA$304,3,FALSE),""))</f>
        <v>Matt Rassmussen</v>
      </c>
      <c r="D78" s="69">
        <f>IF(A78="","",IFERROR(VLOOKUP(A78,'Job Operations'!$A$4:$AA$304,5,FALSE),""))</f>
        <v>0</v>
      </c>
      <c r="E78" s="69">
        <f>IF(A78="","",IFERROR(VLOOKUP(A78,'Job Operations'!$A$4:$AA$304,6,FALSE),""))</f>
        <v>6</v>
      </c>
      <c r="F78" s="69" t="str">
        <f>IF(A78="","",IFERROR(VLOOKUP(A78,'Job Operations'!$A$4:$AA$304,7,FALSE),""))</f>
        <v>Steel Sheet</v>
      </c>
      <c r="G78" s="70">
        <f>IF(A78="","",IFERROR(VLOOKUP(A78,'Job Operations'!$A$4:$AA$304,9,FALSE),""))</f>
        <v>46171</v>
      </c>
      <c r="H78" s="69" t="str">
        <f>IF(A78="","",IFERROR(VLOOKUP(A78,'Job Operations'!$A$4:$AA$304,12,FALSE),""))</f>
        <v>Evaluation</v>
      </c>
      <c r="I78" s="69" t="str">
        <f>IF(A78="","",IFERROR(VLOOKUP(A78,'Job Operations'!$A$4:$AA$304,13,FALSE),""))</f>
        <v>Cidan</v>
      </c>
      <c r="J78" s="69" t="str">
        <f>IF(A78="","",IFERROR(VLOOKUP(A78,'Job Operations'!$A$4:$AA$304,15,FALSE),""))</f>
        <v>Shear</v>
      </c>
      <c r="K78" s="69" t="str">
        <f>IF(A78="","",IFERROR(VLOOKUP(A78,'Job Operations'!$A$4:$AA$304,17,FALSE),""))</f>
        <v/>
      </c>
      <c r="L78" s="73" t="str">
        <f>IF(A78="","",IF(IFERROR(VLOOKUP(A78,Notes!A:B,2,FALSE),"")=0,"",VLOOKUP(A78,Notes!A:B,2,FALSE)))</f>
        <v>04/16/2026…Evaluation</v>
      </c>
      <c r="M78" s="69"/>
      <c r="N78" s="69"/>
    </row>
    <row r="79" spans="1:14" x14ac:dyDescent="0.25">
      <c r="A79" s="69" t="str">
        <v>25065-MU20</v>
      </c>
      <c r="B79" s="73" t="str">
        <f>IF(A79="","",IFERROR(VLOOKUP(A79,'Job Operations'!$A$4:$AA$304,2,FALSE),""))</f>
        <v>Crosswinds Casino Resort</v>
      </c>
      <c r="C79" s="69" t="str">
        <f>IF(A79="","",IFERROR(VLOOKUP(A79,'Job Operations'!$A$4:$AA$304,3,FALSE),""))</f>
        <v>Matt Rassmussen</v>
      </c>
      <c r="D79" s="69">
        <f>IF(A79="","",IFERROR(VLOOKUP(A79,'Job Operations'!$A$4:$AA$304,5,FALSE),""))</f>
        <v>0</v>
      </c>
      <c r="E79" s="69">
        <f>IF(A79="","",IFERROR(VLOOKUP(A79,'Job Operations'!$A$4:$AA$304,6,FALSE),""))</f>
        <v>3</v>
      </c>
      <c r="F79" s="69" t="str">
        <f>IF(A79="","",IFERROR(VLOOKUP(A79,'Job Operations'!$A$4:$AA$304,7,FALSE),""))</f>
        <v>Steel Sheet</v>
      </c>
      <c r="G79" s="70">
        <f>IF(A79="","",IFERROR(VLOOKUP(A79,'Job Operations'!$A$4:$AA$304,9,FALSE),""))</f>
        <v>46171</v>
      </c>
      <c r="H79" s="69" t="str">
        <f>IF(A79="","",IFERROR(VLOOKUP(A79,'Job Operations'!$A$4:$AA$304,12,FALSE),""))</f>
        <v>Evaluation</v>
      </c>
      <c r="I79" s="69" t="str">
        <f>IF(A79="","",IFERROR(VLOOKUP(A79,'Job Operations'!$A$4:$AA$304,13,FALSE),""))</f>
        <v>Cidan</v>
      </c>
      <c r="J79" s="69" t="str">
        <f>IF(A79="","",IFERROR(VLOOKUP(A79,'Job Operations'!$A$4:$AA$304,15,FALSE),""))</f>
        <v>Shear</v>
      </c>
      <c r="K79" s="69" t="str">
        <f>IF(A79="","",IFERROR(VLOOKUP(A79,'Job Operations'!$A$4:$AA$304,17,FALSE),""))</f>
        <v/>
      </c>
      <c r="L79" s="73" t="str">
        <f>IF(A79="","",IF(IFERROR(VLOOKUP(A79,Notes!A:B,2,FALSE),"")=0,"",VLOOKUP(A79,Notes!A:B,2,FALSE)))</f>
        <v>04/16/2026…Evaluation</v>
      </c>
      <c r="M79" s="69"/>
      <c r="N79" s="69"/>
    </row>
    <row r="80" spans="1:14" x14ac:dyDescent="0.25">
      <c r="A80" s="69" t="str">
        <v>25044-FS02</v>
      </c>
      <c r="B80" s="73" t="str">
        <f>IF(A80="","",IFERROR(VLOOKUP(A80,'Job Operations'!$A$4:$AA$304,2,FALSE),""))</f>
        <v>MALETA Firing Range</v>
      </c>
      <c r="C80" s="69" t="str">
        <f>IF(A80="","",IFERROR(VLOOKUP(A80,'Job Operations'!$A$4:$AA$304,3,FALSE),""))</f>
        <v>Cole Norona</v>
      </c>
      <c r="D80" s="69">
        <f>IF(A80="","",IFERROR(VLOOKUP(A80,'Job Operations'!$A$4:$AA$304,5,FALSE),""))</f>
        <v>135</v>
      </c>
      <c r="E80" s="69">
        <f>IF(A80="","",IFERROR(VLOOKUP(A80,'Job Operations'!$A$4:$AA$304,6,FALSE),""))</f>
        <v>0</v>
      </c>
      <c r="F80" s="69" t="str">
        <f>IF(A80="","",IFERROR(VLOOKUP(A80,'Job Operations'!$A$4:$AA$304,7,FALSE),""))</f>
        <v>FR ACM</v>
      </c>
      <c r="G80" s="70">
        <f>IF(A80="","",IFERROR(VLOOKUP(A80,'Job Operations'!$A$4:$AA$304,9,FALSE),""))</f>
        <v>46173</v>
      </c>
      <c r="H80" s="69" t="str">
        <f>IF(A80="","",IFERROR(VLOOKUP(A80,'Job Operations'!$A$4:$AA$304,12,FALSE),""))</f>
        <v>LO</v>
      </c>
      <c r="I80" s="69" t="str">
        <f>IF(A80="","",IFERROR(VLOOKUP(A80,'Job Operations'!$A$4:$AA$304,13,FALSE),""))</f>
        <v>AXYZ</v>
      </c>
      <c r="J80" s="69" t="str">
        <f>IF(A80="","",IFERROR(VLOOKUP(A80,'Job Operations'!$A$4:$AA$304,15,FALSE),""))</f>
        <v>Clean and Brake</v>
      </c>
      <c r="K80" s="69" t="str">
        <f>IF(A80="","",IFERROR(VLOOKUP(A80,'Job Operations'!$A$4:$AA$304,17,FALSE),""))</f>
        <v>Fab</v>
      </c>
      <c r="L80" s="73" t="str">
        <f>IF(A80="","",IF(IFERROR(VLOOKUP(A80,Notes!A:B,2,FALSE),"")=0,"",VLOOKUP(A80,Notes!A:B,2,FALSE)))</f>
        <v>04/16/2026…LO</v>
      </c>
      <c r="M80" s="69"/>
      <c r="N80" s="69"/>
    </row>
    <row r="81" spans="1:14" x14ac:dyDescent="0.25">
      <c r="A81" s="69" t="str">
        <v>25006-FS07</v>
      </c>
      <c r="B81" s="73" t="str">
        <f>IF(A81="","",IFERROR(VLOOKUP(A81,'Job Operations'!$A$4:$AA$304,2,FALSE),""))</f>
        <v>MALETA Housing and Dining</v>
      </c>
      <c r="C81" s="69" t="str">
        <f>IF(A81="","",IFERROR(VLOOKUP(A81,'Job Operations'!$A$4:$AA$304,3,FALSE),""))</f>
        <v>Cole Norona</v>
      </c>
      <c r="D81" s="69">
        <f>IF(A81="","",IFERROR(VLOOKUP(A81,'Job Operations'!$A$4:$AA$304,5,FALSE),""))</f>
        <v>190</v>
      </c>
      <c r="E81" s="69">
        <f>IF(A81="","",IFERROR(VLOOKUP(A81,'Job Operations'!$A$4:$AA$304,6,FALSE),""))</f>
        <v>0</v>
      </c>
      <c r="F81" s="69" t="str">
        <f>IF(A81="","",IFERROR(VLOOKUP(A81,'Job Operations'!$A$4:$AA$304,7,FALSE),""))</f>
        <v>FR ACM</v>
      </c>
      <c r="G81" s="70">
        <f>IF(A81="","",IFERROR(VLOOKUP(A81,'Job Operations'!$A$4:$AA$304,9,FALSE),""))</f>
        <v>46176</v>
      </c>
      <c r="H81" s="69" t="str">
        <f>IF(A81="","",IFERROR(VLOOKUP(A81,'Job Operations'!$A$4:$AA$304,12,FALSE),""))</f>
        <v>LO Check</v>
      </c>
      <c r="I81" s="69" t="str">
        <f>IF(A81="","",IFERROR(VLOOKUP(A81,'Job Operations'!$A$4:$AA$304,13,FALSE),""))</f>
        <v>AXYZ</v>
      </c>
      <c r="J81" s="69" t="str">
        <f>IF(A81="","",IFERROR(VLOOKUP(A81,'Job Operations'!$A$4:$AA$304,15,FALSE),""))</f>
        <v>Clean and Brake</v>
      </c>
      <c r="K81" s="69" t="str">
        <f>IF(A81="","",IFERROR(VLOOKUP(A81,'Job Operations'!$A$4:$AA$304,17,FALSE),""))</f>
        <v>Fab</v>
      </c>
      <c r="L81" s="73" t="str">
        <f>IF(A81="","",IF(IFERROR(VLOOKUP(A81,Notes!A:B,2,FALSE),"")=0,"",VLOOKUP(A81,Notes!A:B,2,FALSE)))</f>
        <v>HOAR*04/16/2026…LO Check</v>
      </c>
      <c r="M81" s="69"/>
      <c r="N81" s="69"/>
    </row>
    <row r="82" spans="1:14" x14ac:dyDescent="0.25">
      <c r="A82" s="69" t="str">
        <v>25037-FS02</v>
      </c>
      <c r="B82" s="73" t="str">
        <f>IF(A82="","",IFERROR(VLOOKUP(A82,'Job Operations'!$A$4:$AA$304,2,FALSE),""))</f>
        <v>Chestnut Street Office</v>
      </c>
      <c r="C82" s="69" t="str">
        <f>IF(A82="","",IFERROR(VLOOKUP(A82,'Job Operations'!$A$4:$AA$304,3,FALSE),""))</f>
        <v>Laura Forero</v>
      </c>
      <c r="D82" s="69">
        <f>IF(A82="","",IFERROR(VLOOKUP(A82,'Job Operations'!$A$4:$AA$304,5,FALSE),""))</f>
        <v>204</v>
      </c>
      <c r="E82" s="69">
        <f>IF(A82="","",IFERROR(VLOOKUP(A82,'Job Operations'!$A$4:$AA$304,6,FALSE),""))</f>
        <v>0</v>
      </c>
      <c r="F82" s="69" t="str">
        <f>IF(A82="","",IFERROR(VLOOKUP(A82,'Job Operations'!$A$4:$AA$304,7,FALSE),""))</f>
        <v>FR ACM</v>
      </c>
      <c r="G82" s="70">
        <f>IF(A82="","",IFERROR(VLOOKUP(A82,'Job Operations'!$A$4:$AA$304,9,FALSE),""))</f>
        <v>46181</v>
      </c>
      <c r="H82" s="69" t="str">
        <f>IF(A82="","",IFERROR(VLOOKUP(A82,'Job Operations'!$A$4:$AA$304,12,FALSE),""))</f>
        <v>LO</v>
      </c>
      <c r="I82" s="69" t="str">
        <f>IF(A82="","",IFERROR(VLOOKUP(A82,'Job Operations'!$A$4:$AA$304,13,FALSE),""))</f>
        <v>AXYZ</v>
      </c>
      <c r="J82" s="69" t="str">
        <f>IF(A82="","",IFERROR(VLOOKUP(A82,'Job Operations'!$A$4:$AA$304,15,FALSE),""))</f>
        <v>Clean and Brake</v>
      </c>
      <c r="K82" s="69" t="str">
        <f>IF(A82="","",IFERROR(VLOOKUP(A82,'Job Operations'!$A$4:$AA$304,17,FALSE),""))</f>
        <v>Fab</v>
      </c>
      <c r="L82" s="73" t="str">
        <f>IF(A82="","",IF(IFERROR(VLOOKUP(A82,Notes!A:B,2,FALSE),"")=0,"",VLOOKUP(A82,Notes!A:B,2,FALSE)))</f>
        <v>04/16/2026…LO</v>
      </c>
      <c r="M82" s="69"/>
      <c r="N82" s="69"/>
    </row>
    <row r="83" spans="1:14" x14ac:dyDescent="0.25">
      <c r="A83" s="69" t="str">
        <v>25044-FS03</v>
      </c>
      <c r="B83" s="73" t="str">
        <f>IF(A83="","",IFERROR(VLOOKUP(A83,'Job Operations'!$A$4:$AA$304,2,FALSE),""))</f>
        <v>MALETA Firing Range</v>
      </c>
      <c r="C83" s="69" t="str">
        <f>IF(A83="","",IFERROR(VLOOKUP(A83,'Job Operations'!$A$4:$AA$304,3,FALSE),""))</f>
        <v>Cole Norona</v>
      </c>
      <c r="D83" s="69">
        <f>IF(A83="","",IFERROR(VLOOKUP(A83,'Job Operations'!$A$4:$AA$304,5,FALSE),""))</f>
        <v>150</v>
      </c>
      <c r="E83" s="69">
        <f>IF(A83="","",IFERROR(VLOOKUP(A83,'Job Operations'!$A$4:$AA$304,6,FALSE),""))</f>
        <v>0</v>
      </c>
      <c r="F83" s="69" t="str">
        <f>IF(A83="","",IFERROR(VLOOKUP(A83,'Job Operations'!$A$4:$AA$304,7,FALSE),""))</f>
        <v>FR ACM</v>
      </c>
      <c r="G83" s="70">
        <f>IF(A83="","",IFERROR(VLOOKUP(A83,'Job Operations'!$A$4:$AA$304,9,FALSE),""))</f>
        <v>46183</v>
      </c>
      <c r="H83" s="69" t="str">
        <f>IF(A83="","",IFERROR(VLOOKUP(A83,'Job Operations'!$A$4:$AA$304,12,FALSE),""))</f>
        <v>LO</v>
      </c>
      <c r="I83" s="69" t="str">
        <f>IF(A83="","",IFERROR(VLOOKUP(A83,'Job Operations'!$A$4:$AA$304,13,FALSE),""))</f>
        <v>AXYZ</v>
      </c>
      <c r="J83" s="69" t="str">
        <f>IF(A83="","",IFERROR(VLOOKUP(A83,'Job Operations'!$A$4:$AA$304,15,FALSE),""))</f>
        <v>Clean and Brake</v>
      </c>
      <c r="K83" s="69" t="str">
        <f>IF(A83="","",IFERROR(VLOOKUP(A83,'Job Operations'!$A$4:$AA$304,17,FALSE),""))</f>
        <v>Fab</v>
      </c>
      <c r="L83" s="73" t="str">
        <f>IF(A83="","",IF(IFERROR(VLOOKUP(A83,Notes!A:B,2,FALSE),"")=0,"",VLOOKUP(A83,Notes!A:B,2,FALSE)))</f>
        <v>04/16/2026…LO</v>
      </c>
      <c r="M83" s="69"/>
      <c r="N83" s="69"/>
    </row>
    <row r="84" spans="1:14" x14ac:dyDescent="0.25">
      <c r="A84" s="69" t="str">
        <v>25006-FS08</v>
      </c>
      <c r="B84" s="73" t="str">
        <f>IF(A84="","",IFERROR(VLOOKUP(A84,'Job Operations'!$A$4:$AA$304,2,FALSE),""))</f>
        <v>MALETA Housing and Dining</v>
      </c>
      <c r="C84" s="69" t="str">
        <f>IF(A84="","",IFERROR(VLOOKUP(A84,'Job Operations'!$A$4:$AA$304,3,FALSE),""))</f>
        <v>Cole Norona</v>
      </c>
      <c r="D84" s="69">
        <f>IF(A84="","",IFERROR(VLOOKUP(A84,'Job Operations'!$A$4:$AA$304,5,FALSE),""))</f>
        <v>83</v>
      </c>
      <c r="E84" s="69">
        <f>IF(A84="","",IFERROR(VLOOKUP(A84,'Job Operations'!$A$4:$AA$304,6,FALSE),""))</f>
        <v>0</v>
      </c>
      <c r="F84" s="69" t="str">
        <f>IF(A84="","",IFERROR(VLOOKUP(A84,'Job Operations'!$A$4:$AA$304,7,FALSE),""))</f>
        <v>FR ACM</v>
      </c>
      <c r="G84" s="70">
        <f>IF(A84="","",IFERROR(VLOOKUP(A84,'Job Operations'!$A$4:$AA$304,9,FALSE),""))</f>
        <v>46185</v>
      </c>
      <c r="H84" s="69" t="str">
        <f>IF(A84="","",IFERROR(VLOOKUP(A84,'Job Operations'!$A$4:$AA$304,12,FALSE),""))</f>
        <v>LO Check</v>
      </c>
      <c r="I84" s="69" t="str">
        <f>IF(A84="","",IFERROR(VLOOKUP(A84,'Job Operations'!$A$4:$AA$304,13,FALSE),""))</f>
        <v>AXYZ</v>
      </c>
      <c r="J84" s="69" t="str">
        <f>IF(A84="","",IFERROR(VLOOKUP(A84,'Job Operations'!$A$4:$AA$304,15,FALSE),""))</f>
        <v>Clean and Brake</v>
      </c>
      <c r="K84" s="69" t="str">
        <f>IF(A84="","",IFERROR(VLOOKUP(A84,'Job Operations'!$A$4:$AA$304,17,FALSE),""))</f>
        <v>Fab</v>
      </c>
      <c r="L84" s="73" t="str">
        <f>IF(A84="","",IF(IFERROR(VLOOKUP(A84,Notes!A:B,2,FALSE),"")=0,"",VLOOKUP(A84,Notes!A:B,2,FALSE)))</f>
        <v>HOAR*04/16/2026…LO Check</v>
      </c>
      <c r="M84" s="69"/>
      <c r="N84" s="69"/>
    </row>
    <row r="85" spans="1:14" x14ac:dyDescent="0.25">
      <c r="A85" s="69" t="str">
        <v>25044-FS04</v>
      </c>
      <c r="B85" s="73" t="str">
        <f>IF(A85="","",IFERROR(VLOOKUP(A85,'Job Operations'!$A$4:$AA$304,2,FALSE),""))</f>
        <v>MALETA Firing Range</v>
      </c>
      <c r="C85" s="69" t="str">
        <f>IF(A85="","",IFERROR(VLOOKUP(A85,'Job Operations'!$A$4:$AA$304,3,FALSE),""))</f>
        <v>Cole Norona</v>
      </c>
      <c r="D85" s="69">
        <f>IF(A85="","",IFERROR(VLOOKUP(A85,'Job Operations'!$A$4:$AA$304,5,FALSE),""))</f>
        <v>113</v>
      </c>
      <c r="E85" s="69">
        <f>IF(A85="","",IFERROR(VLOOKUP(A85,'Job Operations'!$A$4:$AA$304,6,FALSE),""))</f>
        <v>0</v>
      </c>
      <c r="F85" s="69" t="str">
        <f>IF(A85="","",IFERROR(VLOOKUP(A85,'Job Operations'!$A$4:$AA$304,7,FALSE),""))</f>
        <v>FR ACM</v>
      </c>
      <c r="G85" s="70">
        <f>IF(A85="","",IFERROR(VLOOKUP(A85,'Job Operations'!$A$4:$AA$304,9,FALSE),""))</f>
        <v>46192</v>
      </c>
      <c r="H85" s="69" t="str">
        <f>IF(A85="","",IFERROR(VLOOKUP(A85,'Job Operations'!$A$4:$AA$304,12,FALSE),""))</f>
        <v>LO</v>
      </c>
      <c r="I85" s="69" t="str">
        <f>IF(A85="","",IFERROR(VLOOKUP(A85,'Job Operations'!$A$4:$AA$304,13,FALSE),""))</f>
        <v>AXYZ</v>
      </c>
      <c r="J85" s="69" t="str">
        <f>IF(A85="","",IFERROR(VLOOKUP(A85,'Job Operations'!$A$4:$AA$304,15,FALSE),""))</f>
        <v>Clean and Brake</v>
      </c>
      <c r="K85" s="69" t="str">
        <f>IF(A85="","",IFERROR(VLOOKUP(A85,'Job Operations'!$A$4:$AA$304,17,FALSE),""))</f>
        <v>Fab</v>
      </c>
      <c r="L85" s="73" t="str">
        <f>IF(A85="","",IF(IFERROR(VLOOKUP(A85,Notes!A:B,2,FALSE),"")=0,"",VLOOKUP(A85,Notes!A:B,2,FALSE)))</f>
        <v>04/16/2026…LO</v>
      </c>
      <c r="M85" s="69"/>
      <c r="N85" s="69"/>
    </row>
    <row r="86" spans="1:14" x14ac:dyDescent="0.25">
      <c r="A86" s="69" t="str">
        <v>25006-FS09</v>
      </c>
      <c r="B86" s="73" t="str">
        <f>IF(A86="","",IFERROR(VLOOKUP(A86,'Job Operations'!$A$4:$AA$304,2,FALSE),""))</f>
        <v>MALETA Housing and Dining</v>
      </c>
      <c r="C86" s="69" t="str">
        <f>IF(A86="","",IFERROR(VLOOKUP(A86,'Job Operations'!$A$4:$AA$304,3,FALSE),""))</f>
        <v>Cole Norona</v>
      </c>
      <c r="D86" s="69">
        <f>IF(A86="","",IFERROR(VLOOKUP(A86,'Job Operations'!$A$4:$AA$304,5,FALSE),""))</f>
        <v>152</v>
      </c>
      <c r="E86" s="69">
        <f>IF(A86="","",IFERROR(VLOOKUP(A86,'Job Operations'!$A$4:$AA$304,6,FALSE),""))</f>
        <v>0</v>
      </c>
      <c r="F86" s="69" t="str">
        <f>IF(A86="","",IFERROR(VLOOKUP(A86,'Job Operations'!$A$4:$AA$304,7,FALSE),""))</f>
        <v>FR ACM</v>
      </c>
      <c r="G86" s="70">
        <f>IF(A86="","",IFERROR(VLOOKUP(A86,'Job Operations'!$A$4:$AA$304,9,FALSE),""))</f>
        <v>46192</v>
      </c>
      <c r="H86" s="69" t="str">
        <f>IF(A86="","",IFERROR(VLOOKUP(A86,'Job Operations'!$A$4:$AA$304,12,FALSE),""))</f>
        <v>LO</v>
      </c>
      <c r="I86" s="69" t="str">
        <f>IF(A86="","",IFERROR(VLOOKUP(A86,'Job Operations'!$A$4:$AA$304,13,FALSE),""))</f>
        <v>AXYZ</v>
      </c>
      <c r="J86" s="69" t="str">
        <f>IF(A86="","",IFERROR(VLOOKUP(A86,'Job Operations'!$A$4:$AA$304,15,FALSE),""))</f>
        <v>Clean and Brake</v>
      </c>
      <c r="K86" s="69" t="str">
        <f>IF(A86="","",IFERROR(VLOOKUP(A86,'Job Operations'!$A$4:$AA$304,17,FALSE),""))</f>
        <v>Fab</v>
      </c>
      <c r="L86" s="73" t="str">
        <f>IF(A86="","",IF(IFERROR(VLOOKUP(A86,Notes!A:B,2,FALSE),"")=0,"",VLOOKUP(A86,Notes!A:B,2,FALSE)))</f>
        <v>HOAR*04/16/2026…LO</v>
      </c>
      <c r="M86" s="69"/>
      <c r="N86" s="69"/>
    </row>
    <row r="87" spans="1:14" x14ac:dyDescent="0.25">
      <c r="A87" s="69" t="str">
        <v>25044-FS05</v>
      </c>
      <c r="B87" s="73" t="str">
        <f>IF(A87="","",IFERROR(VLOOKUP(A87,'Job Operations'!$A$4:$AA$304,2,FALSE),""))</f>
        <v>MALETA Firing Range</v>
      </c>
      <c r="C87" s="69" t="str">
        <f>IF(A87="","",IFERROR(VLOOKUP(A87,'Job Operations'!$A$4:$AA$304,3,FALSE),""))</f>
        <v>Cole Norona</v>
      </c>
      <c r="D87" s="69">
        <f>IF(A87="","",IFERROR(VLOOKUP(A87,'Job Operations'!$A$4:$AA$304,5,FALSE),""))</f>
        <v>111</v>
      </c>
      <c r="E87" s="69">
        <f>IF(A87="","",IFERROR(VLOOKUP(A87,'Job Operations'!$A$4:$AA$304,6,FALSE),""))</f>
        <v>0</v>
      </c>
      <c r="F87" s="69" t="str">
        <f>IF(A87="","",IFERROR(VLOOKUP(A87,'Job Operations'!$A$4:$AA$304,7,FALSE),""))</f>
        <v>FR ACM</v>
      </c>
      <c r="G87" s="70">
        <f>IF(A87="","",IFERROR(VLOOKUP(A87,'Job Operations'!$A$4:$AA$304,9,FALSE),""))</f>
        <v>46199</v>
      </c>
      <c r="H87" s="69" t="str">
        <f>IF(A87="","",IFERROR(VLOOKUP(A87,'Job Operations'!$A$4:$AA$304,12,FALSE),""))</f>
        <v>LO</v>
      </c>
      <c r="I87" s="69" t="str">
        <f>IF(A87="","",IFERROR(VLOOKUP(A87,'Job Operations'!$A$4:$AA$304,13,FALSE),""))</f>
        <v>AXYZ</v>
      </c>
      <c r="J87" s="69" t="str">
        <f>IF(A87="","",IFERROR(VLOOKUP(A87,'Job Operations'!$A$4:$AA$304,15,FALSE),""))</f>
        <v>Clean and Brake</v>
      </c>
      <c r="K87" s="69" t="str">
        <f>IF(A87="","",IFERROR(VLOOKUP(A87,'Job Operations'!$A$4:$AA$304,17,FALSE),""))</f>
        <v>Fab</v>
      </c>
      <c r="L87" s="73" t="str">
        <f>IF(A87="","",IF(IFERROR(VLOOKUP(A87,Notes!A:B,2,FALSE),"")=0,"",VLOOKUP(A87,Notes!A:B,2,FALSE)))</f>
        <v>04/16/2026…LO</v>
      </c>
      <c r="M87" s="69"/>
      <c r="N87" s="69"/>
    </row>
    <row r="88" spans="1:14" x14ac:dyDescent="0.25">
      <c r="A88" s="69" t="str">
        <v>25006-FS10</v>
      </c>
      <c r="B88" s="73" t="str">
        <f>IF(A88="","",IFERROR(VLOOKUP(A88,'Job Operations'!$A$4:$AA$304,2,FALSE),""))</f>
        <v>MALETA Housing and Dining</v>
      </c>
      <c r="C88" s="69" t="str">
        <f>IF(A88="","",IFERROR(VLOOKUP(A88,'Job Operations'!$A$4:$AA$304,3,FALSE),""))</f>
        <v>Cole Norona</v>
      </c>
      <c r="D88" s="69">
        <f>IF(A88="","",IFERROR(VLOOKUP(A88,'Job Operations'!$A$4:$AA$304,5,FALSE),""))</f>
        <v>140</v>
      </c>
      <c r="E88" s="69">
        <f>IF(A88="","",IFERROR(VLOOKUP(A88,'Job Operations'!$A$4:$AA$304,6,FALSE),""))</f>
        <v>0</v>
      </c>
      <c r="F88" s="69" t="str">
        <f>IF(A88="","",IFERROR(VLOOKUP(A88,'Job Operations'!$A$4:$AA$304,7,FALSE),""))</f>
        <v>FR ACM</v>
      </c>
      <c r="G88" s="70">
        <f>IF(A88="","",IFERROR(VLOOKUP(A88,'Job Operations'!$A$4:$AA$304,9,FALSE),""))</f>
        <v>46205</v>
      </c>
      <c r="H88" s="69" t="str">
        <f>IF(A88="","",IFERROR(VLOOKUP(A88,'Job Operations'!$A$4:$AA$304,12,FALSE),""))</f>
        <v>LO</v>
      </c>
      <c r="I88" s="69" t="str">
        <f>IF(A88="","",IFERROR(VLOOKUP(A88,'Job Operations'!$A$4:$AA$304,13,FALSE),""))</f>
        <v>AXYZ</v>
      </c>
      <c r="J88" s="69" t="str">
        <f>IF(A88="","",IFERROR(VLOOKUP(A88,'Job Operations'!$A$4:$AA$304,15,FALSE),""))</f>
        <v>Fab</v>
      </c>
      <c r="K88" s="69" t="str">
        <f>IF(A88="","",IFERROR(VLOOKUP(A88,'Job Operations'!$A$4:$AA$304,17,FALSE),""))</f>
        <v/>
      </c>
      <c r="L88" s="73" t="str">
        <f>IF(A88="","",IF(IFERROR(VLOOKUP(A88,Notes!A:B,2,FALSE),"")=0,"",VLOOKUP(A88,Notes!A:B,2,FALSE)))</f>
        <v>HOAR*04/16/2026…LO</v>
      </c>
      <c r="M88" s="69"/>
      <c r="N88" s="69"/>
    </row>
    <row r="89" spans="1:14" x14ac:dyDescent="0.25">
      <c r="A89" s="69" t="str">
        <v>25044-FS06</v>
      </c>
      <c r="B89" s="73" t="str">
        <f>IF(A89="","",IFERROR(VLOOKUP(A89,'Job Operations'!$A$4:$AA$304,2,FALSE),""))</f>
        <v>MALETA Firing Range</v>
      </c>
      <c r="C89" s="69" t="str">
        <f>IF(A89="","",IFERROR(VLOOKUP(A89,'Job Operations'!$A$4:$AA$304,3,FALSE),""))</f>
        <v>Cole Norona</v>
      </c>
      <c r="D89" s="69">
        <f>IF(A89="","",IFERROR(VLOOKUP(A89,'Job Operations'!$A$4:$AA$304,5,FALSE),""))</f>
        <v>203</v>
      </c>
      <c r="E89" s="69">
        <f>IF(A89="","",IFERROR(VLOOKUP(A89,'Job Operations'!$A$4:$AA$304,6,FALSE),""))</f>
        <v>0</v>
      </c>
      <c r="F89" s="69" t="str">
        <f>IF(A89="","",IFERROR(VLOOKUP(A89,'Job Operations'!$A$4:$AA$304,7,FALSE),""))</f>
        <v>FR ACM</v>
      </c>
      <c r="G89" s="70">
        <f>IF(A89="","",IFERROR(VLOOKUP(A89,'Job Operations'!$A$4:$AA$304,9,FALSE),""))</f>
        <v>46209</v>
      </c>
      <c r="H89" s="69" t="str">
        <f>IF(A89="","",IFERROR(VLOOKUP(A89,'Job Operations'!$A$4:$AA$304,12,FALSE),""))</f>
        <v>LO</v>
      </c>
      <c r="I89" s="69" t="str">
        <f>IF(A89="","",IFERROR(VLOOKUP(A89,'Job Operations'!$A$4:$AA$304,13,FALSE),""))</f>
        <v>AXYZ</v>
      </c>
      <c r="J89" s="69" t="str">
        <f>IF(A89="","",IFERROR(VLOOKUP(A89,'Job Operations'!$A$4:$AA$304,15,FALSE),""))</f>
        <v>Clean and Brake</v>
      </c>
      <c r="K89" s="69" t="str">
        <f>IF(A89="","",IFERROR(VLOOKUP(A89,'Job Operations'!$A$4:$AA$304,17,FALSE),""))</f>
        <v>Fab</v>
      </c>
      <c r="L89" s="73" t="str">
        <f>IF(A89="","",IF(IFERROR(VLOOKUP(A89,Notes!A:B,2,FALSE),"")=0,"",VLOOKUP(A89,Notes!A:B,2,FALSE)))</f>
        <v>04/16/2026…LO</v>
      </c>
      <c r="M89" s="69"/>
      <c r="N89" s="69"/>
    </row>
    <row r="90" spans="1:14" x14ac:dyDescent="0.25">
      <c r="A90" s="69" t="str">
        <v>25044-FS07</v>
      </c>
      <c r="B90" s="73" t="str">
        <f>IF(A90="","",IFERROR(VLOOKUP(A90,'Job Operations'!$A$4:$AA$304,2,FALSE),""))</f>
        <v>MALETA Firing Range</v>
      </c>
      <c r="C90" s="69" t="str">
        <f>IF(A90="","",IFERROR(VLOOKUP(A90,'Job Operations'!$A$4:$AA$304,3,FALSE),""))</f>
        <v>Cole Norona</v>
      </c>
      <c r="D90" s="69">
        <f>IF(A90="","",IFERROR(VLOOKUP(A90,'Job Operations'!$A$4:$AA$304,5,FALSE),""))</f>
        <v>160</v>
      </c>
      <c r="E90" s="69">
        <f>IF(A90="","",IFERROR(VLOOKUP(A90,'Job Operations'!$A$4:$AA$304,6,FALSE),""))</f>
        <v>0</v>
      </c>
      <c r="F90" s="69" t="str">
        <f>IF(A90="","",IFERROR(VLOOKUP(A90,'Job Operations'!$A$4:$AA$304,7,FALSE),""))</f>
        <v>FR ACM</v>
      </c>
      <c r="G90" s="70">
        <f>IF(A90="","",IFERROR(VLOOKUP(A90,'Job Operations'!$A$4:$AA$304,9,FALSE),""))</f>
        <v>46218</v>
      </c>
      <c r="H90" s="69" t="str">
        <f>IF(A90="","",IFERROR(VLOOKUP(A90,'Job Operations'!$A$4:$AA$304,12,FALSE),""))</f>
        <v>LO</v>
      </c>
      <c r="I90" s="69" t="str">
        <f>IF(A90="","",IFERROR(VLOOKUP(A90,'Job Operations'!$A$4:$AA$304,13,FALSE),""))</f>
        <v>AXYZ</v>
      </c>
      <c r="J90" s="69" t="str">
        <f>IF(A90="","",IFERROR(VLOOKUP(A90,'Job Operations'!$A$4:$AA$304,15,FALSE),""))</f>
        <v>Clean and Brake</v>
      </c>
      <c r="K90" s="69" t="str">
        <f>IF(A90="","",IFERROR(VLOOKUP(A90,'Job Operations'!$A$4:$AA$304,17,FALSE),""))</f>
        <v>Fab</v>
      </c>
      <c r="L90" s="73" t="str">
        <f>IF(A90="","",IF(IFERROR(VLOOKUP(A90,Notes!A:B,2,FALSE),"")=0,"",VLOOKUP(A90,Notes!A:B,2,FALSE)))</f>
        <v>04/16/2026…LO</v>
      </c>
      <c r="M90" s="69"/>
      <c r="N90" s="69"/>
    </row>
    <row r="91" spans="1:14" x14ac:dyDescent="0.25">
      <c r="A91" s="69" t="str">
        <v>25006-FS11</v>
      </c>
      <c r="B91" s="73" t="str">
        <f>IF(A91="","",IFERROR(VLOOKUP(A91,'Job Operations'!$A$4:$AA$304,2,FALSE),""))</f>
        <v>MALETA Housing and Dining</v>
      </c>
      <c r="C91" s="69" t="str">
        <f>IF(A91="","",IFERROR(VLOOKUP(A91,'Job Operations'!$A$4:$AA$304,3,FALSE),""))</f>
        <v>Cole Norona</v>
      </c>
      <c r="D91" s="69">
        <f>IF(A91="","",IFERROR(VLOOKUP(A91,'Job Operations'!$A$4:$AA$304,5,FALSE),""))</f>
        <v>201</v>
      </c>
      <c r="E91" s="69">
        <f>IF(A91="","",IFERROR(VLOOKUP(A91,'Job Operations'!$A$4:$AA$304,6,FALSE),""))</f>
        <v>0</v>
      </c>
      <c r="F91" s="69" t="str">
        <f>IF(A91="","",IFERROR(VLOOKUP(A91,'Job Operations'!$A$4:$AA$304,7,FALSE),""))</f>
        <v>FR ACM</v>
      </c>
      <c r="G91" s="70">
        <f>IF(A91="","",IFERROR(VLOOKUP(A91,'Job Operations'!$A$4:$AA$304,9,FALSE),""))</f>
        <v>46218</v>
      </c>
      <c r="H91" s="69" t="str">
        <f>IF(A91="","",IFERROR(VLOOKUP(A91,'Job Operations'!$A$4:$AA$304,12,FALSE),""))</f>
        <v>LO</v>
      </c>
      <c r="I91" s="69" t="str">
        <f>IF(A91="","",IFERROR(VLOOKUP(A91,'Job Operations'!$A$4:$AA$304,13,FALSE),""))</f>
        <v>AXYZ</v>
      </c>
      <c r="J91" s="69" t="str">
        <f>IF(A91="","",IFERROR(VLOOKUP(A91,'Job Operations'!$A$4:$AA$304,15,FALSE),""))</f>
        <v>Clean and Brake</v>
      </c>
      <c r="K91" s="69" t="str">
        <f>IF(A91="","",IFERROR(VLOOKUP(A91,'Job Operations'!$A$4:$AA$304,17,FALSE),""))</f>
        <v>Fab</v>
      </c>
      <c r="L91" s="73" t="str">
        <f>IF(A91="","",IF(IFERROR(VLOOKUP(A91,Notes!A:B,2,FALSE),"")=0,"",VLOOKUP(A91,Notes!A:B,2,FALSE)))</f>
        <v>HOAR*04/16/2026…LO</v>
      </c>
      <c r="M91" s="69"/>
      <c r="N91" s="69"/>
    </row>
    <row r="92" spans="1:14" x14ac:dyDescent="0.25">
      <c r="A92" s="69" t="str">
        <v>25044-FS08</v>
      </c>
      <c r="B92" s="73" t="str">
        <f>IF(A92="","",IFERROR(VLOOKUP(A92,'Job Operations'!$A$4:$AA$304,2,FALSE),""))</f>
        <v>MALETA Firing Range</v>
      </c>
      <c r="C92" s="69" t="str">
        <f>IF(A92="","",IFERROR(VLOOKUP(A92,'Job Operations'!$A$4:$AA$304,3,FALSE),""))</f>
        <v>Cole Norona</v>
      </c>
      <c r="D92" s="69">
        <f>IF(A92="","",IFERROR(VLOOKUP(A92,'Job Operations'!$A$4:$AA$304,5,FALSE),""))</f>
        <v>163</v>
      </c>
      <c r="E92" s="69">
        <f>IF(A92="","",IFERROR(VLOOKUP(A92,'Job Operations'!$A$4:$AA$304,6,FALSE),""))</f>
        <v>0</v>
      </c>
      <c r="F92" s="69" t="str">
        <f>IF(A92="","",IFERROR(VLOOKUP(A92,'Job Operations'!$A$4:$AA$304,7,FALSE),""))</f>
        <v>FR ACM</v>
      </c>
      <c r="G92" s="70">
        <f>IF(A92="","",IFERROR(VLOOKUP(A92,'Job Operations'!$A$4:$AA$304,9,FALSE),""))</f>
        <v>46225</v>
      </c>
      <c r="H92" s="69" t="str">
        <f>IF(A92="","",IFERROR(VLOOKUP(A92,'Job Operations'!$A$4:$AA$304,12,FALSE),""))</f>
        <v>LO</v>
      </c>
      <c r="I92" s="69" t="str">
        <f>IF(A92="","",IFERROR(VLOOKUP(A92,'Job Operations'!$A$4:$AA$304,13,FALSE),""))</f>
        <v>AXYZ</v>
      </c>
      <c r="J92" s="69" t="str">
        <f>IF(A92="","",IFERROR(VLOOKUP(A92,'Job Operations'!$A$4:$AA$304,15,FALSE),""))</f>
        <v>Clean and Brake</v>
      </c>
      <c r="K92" s="69" t="str">
        <f>IF(A92="","",IFERROR(VLOOKUP(A92,'Job Operations'!$A$4:$AA$304,17,FALSE),""))</f>
        <v>Fab</v>
      </c>
      <c r="L92" s="73" t="str">
        <f>IF(A92="","",IF(IFERROR(VLOOKUP(A92,Notes!A:B,2,FALSE),"")=0,"",VLOOKUP(A92,Notes!A:B,2,FALSE)))</f>
        <v>04/16/2026…LO</v>
      </c>
      <c r="M92" s="69"/>
      <c r="N92" s="69"/>
    </row>
    <row r="93" spans="1:14" x14ac:dyDescent="0.25">
      <c r="A93" s="69" t="str">
        <v>25006-FS12</v>
      </c>
      <c r="B93" s="73" t="str">
        <f>IF(A93="","",IFERROR(VLOOKUP(A93,'Job Operations'!$A$4:$AA$304,2,FALSE),""))</f>
        <v>MALETA Housing and Dining</v>
      </c>
      <c r="C93" s="69" t="str">
        <f>IF(A93="","",IFERROR(VLOOKUP(A93,'Job Operations'!$A$4:$AA$304,3,FALSE),""))</f>
        <v>Cole Norona</v>
      </c>
      <c r="D93" s="69">
        <f>IF(A93="","",IFERROR(VLOOKUP(A93,'Job Operations'!$A$4:$AA$304,5,FALSE),""))</f>
        <v>192</v>
      </c>
      <c r="E93" s="69">
        <f>IF(A93="","",IFERROR(VLOOKUP(A93,'Job Operations'!$A$4:$AA$304,6,FALSE),""))</f>
        <v>0</v>
      </c>
      <c r="F93" s="69" t="str">
        <f>IF(A93="","",IFERROR(VLOOKUP(A93,'Job Operations'!$A$4:$AA$304,7,FALSE),""))</f>
        <v>FR ACM</v>
      </c>
      <c r="G93" s="70">
        <f>IF(A93="","",IFERROR(VLOOKUP(A93,'Job Operations'!$A$4:$AA$304,9,FALSE),""))</f>
        <v>46230</v>
      </c>
      <c r="H93" s="69" t="str">
        <f>IF(A93="","",IFERROR(VLOOKUP(A93,'Job Operations'!$A$4:$AA$304,12,FALSE),""))</f>
        <v>LO</v>
      </c>
      <c r="I93" s="69" t="str">
        <f>IF(A93="","",IFERROR(VLOOKUP(A93,'Job Operations'!$A$4:$AA$304,13,FALSE),""))</f>
        <v>AXYZ</v>
      </c>
      <c r="J93" s="69" t="str">
        <f>IF(A93="","",IFERROR(VLOOKUP(A93,'Job Operations'!$A$4:$AA$304,15,FALSE),""))</f>
        <v>Clean and Brake</v>
      </c>
      <c r="K93" s="69" t="str">
        <f>IF(A93="","",IFERROR(VLOOKUP(A93,'Job Operations'!$A$4:$AA$304,17,FALSE),""))</f>
        <v>Fab</v>
      </c>
      <c r="L93" s="73" t="str">
        <f>IF(A93="","",IF(IFERROR(VLOOKUP(A93,Notes!A:B,2,FALSE),"")=0,"",VLOOKUP(A93,Notes!A:B,2,FALSE)))</f>
        <v>HOAR*04/16/2026…LO</v>
      </c>
      <c r="M93" s="69"/>
      <c r="N93" s="69"/>
    </row>
    <row r="94" spans="1:14" x14ac:dyDescent="0.25">
      <c r="A94" s="69" t="str">
        <v>25044-FS09</v>
      </c>
      <c r="B94" s="73" t="str">
        <f>IF(A94="","",IFERROR(VLOOKUP(A94,'Job Operations'!$A$4:$AA$304,2,FALSE),""))</f>
        <v>MALETA Firing Range</v>
      </c>
      <c r="C94" s="69" t="str">
        <f>IF(A94="","",IFERROR(VLOOKUP(A94,'Job Operations'!$A$4:$AA$304,3,FALSE),""))</f>
        <v>Cole Norona</v>
      </c>
      <c r="D94" s="69">
        <f>IF(A94="","",IFERROR(VLOOKUP(A94,'Job Operations'!$A$4:$AA$304,5,FALSE),""))</f>
        <v>86</v>
      </c>
      <c r="E94" s="69">
        <f>IF(A94="","",IFERROR(VLOOKUP(A94,'Job Operations'!$A$4:$AA$304,6,FALSE),""))</f>
        <v>0</v>
      </c>
      <c r="F94" s="69" t="str">
        <f>IF(A94="","",IFERROR(VLOOKUP(A94,'Job Operations'!$A$4:$AA$304,7,FALSE),""))</f>
        <v>FR ACM</v>
      </c>
      <c r="G94" s="70">
        <f>IF(A94="","",IFERROR(VLOOKUP(A94,'Job Operations'!$A$4:$AA$304,9,FALSE),""))</f>
        <v>46232</v>
      </c>
      <c r="H94" s="69" t="str">
        <f>IF(A94="","",IFERROR(VLOOKUP(A94,'Job Operations'!$A$4:$AA$304,12,FALSE),""))</f>
        <v>LO</v>
      </c>
      <c r="I94" s="69" t="str">
        <f>IF(A94="","",IFERROR(VLOOKUP(A94,'Job Operations'!$A$4:$AA$304,13,FALSE),""))</f>
        <v>AXYZ</v>
      </c>
      <c r="J94" s="69" t="str">
        <f>IF(A94="","",IFERROR(VLOOKUP(A94,'Job Operations'!$A$4:$AA$304,15,FALSE),""))</f>
        <v>Clean and Brake</v>
      </c>
      <c r="K94" s="69" t="str">
        <f>IF(A94="","",IFERROR(VLOOKUP(A94,'Job Operations'!$A$4:$AA$304,17,FALSE),""))</f>
        <v>Fab</v>
      </c>
      <c r="L94" s="73" t="str">
        <f>IF(A94="","",IF(IFERROR(VLOOKUP(A94,Notes!A:B,2,FALSE),"")=0,"",VLOOKUP(A94,Notes!A:B,2,FALSE)))</f>
        <v>04/16/2026…LO</v>
      </c>
      <c r="M94" s="69"/>
      <c r="N94" s="69"/>
    </row>
    <row r="95" spans="1:14" x14ac:dyDescent="0.25">
      <c r="A95" s="69" t="str">
        <v>25044-FS01.2</v>
      </c>
      <c r="B95" s="73" t="str">
        <f>IF(A95="","",IFERROR(VLOOKUP(A95,'Job Operations'!$A$4:$AA$304,2,FALSE),""))</f>
        <v>MALETA Firing Range</v>
      </c>
      <c r="C95" s="69" t="str">
        <f>IF(A95="","",IFERROR(VLOOKUP(A95,'Job Operations'!$A$4:$AA$304,3,FALSE),""))</f>
        <v>Cole Norona</v>
      </c>
      <c r="D95" s="69">
        <f>IF(A95="","",IFERROR(VLOOKUP(A95,'Job Operations'!$A$4:$AA$304,5,FALSE),""))</f>
        <v>193</v>
      </c>
      <c r="E95" s="69">
        <f>IF(A95="","",IFERROR(VLOOKUP(A95,'Job Operations'!$A$4:$AA$304,6,FALSE),""))</f>
        <v>0</v>
      </c>
      <c r="F95" s="69" t="str">
        <f>IF(A95="","",IFERROR(VLOOKUP(A95,'Job Operations'!$A$4:$AA$304,7,FALSE),""))</f>
        <v>FR ACM</v>
      </c>
      <c r="G95" s="70">
        <f>IF(A95="","",IFERROR(VLOOKUP(A95,'Job Operations'!$A$4:$AA$304,9,FALSE),""))</f>
        <v>46232</v>
      </c>
      <c r="H95" s="69" t="str">
        <f>IF(A95="","",IFERROR(VLOOKUP(A95,'Job Operations'!$A$4:$AA$304,12,FALSE),""))</f>
        <v>LO</v>
      </c>
      <c r="I95" s="69" t="str">
        <f>IF(A95="","",IFERROR(VLOOKUP(A95,'Job Operations'!$A$4:$AA$304,13,FALSE),""))</f>
        <v>AXYZ</v>
      </c>
      <c r="J95" s="69" t="str">
        <f>IF(A95="","",IFERROR(VLOOKUP(A95,'Job Operations'!$A$4:$AA$304,15,FALSE),""))</f>
        <v>Clean and Brake</v>
      </c>
      <c r="K95" s="69" t="str">
        <f>IF(A95="","",IFERROR(VLOOKUP(A95,'Job Operations'!$A$4:$AA$304,17,FALSE),""))</f>
        <v>Fab</v>
      </c>
      <c r="L95" s="73" t="str">
        <f>IF(A95="","",IF(IFERROR(VLOOKUP(A95,Notes!A:B,2,FALSE),"")=0,"",VLOOKUP(A95,Notes!A:B,2,FALSE)))</f>
        <v>04/16/2026…LO</v>
      </c>
      <c r="M95" s="69"/>
      <c r="N95" s="69"/>
    </row>
    <row r="96" spans="1:14" x14ac:dyDescent="0.25">
      <c r="A96" s="69" t="str">
        <v>25006-FS13</v>
      </c>
      <c r="B96" s="73" t="str">
        <f>IF(A96="","",IFERROR(VLOOKUP(A96,'Job Operations'!$A$4:$AA$304,2,FALSE),""))</f>
        <v>MALETA Housing and Dining</v>
      </c>
      <c r="C96" s="69" t="str">
        <f>IF(A96="","",IFERROR(VLOOKUP(A96,'Job Operations'!$A$4:$AA$304,3,FALSE),""))</f>
        <v>Cole Norona</v>
      </c>
      <c r="D96" s="69">
        <f>IF(A96="","",IFERROR(VLOOKUP(A96,'Job Operations'!$A$4:$AA$304,5,FALSE),""))</f>
        <v>28</v>
      </c>
      <c r="E96" s="69">
        <f>IF(A96="","",IFERROR(VLOOKUP(A96,'Job Operations'!$A$4:$AA$304,6,FALSE),""))</f>
        <v>0</v>
      </c>
      <c r="F96" s="69" t="str">
        <f>IF(A96="","",IFERROR(VLOOKUP(A96,'Job Operations'!$A$4:$AA$304,7,FALSE),""))</f>
        <v>FR ACM</v>
      </c>
      <c r="G96" s="70">
        <f>IF(A96="","",IFERROR(VLOOKUP(A96,'Job Operations'!$A$4:$AA$304,9,FALSE),""))</f>
        <v>46237</v>
      </c>
      <c r="H96" s="69" t="str">
        <f>IF(A96="","",IFERROR(VLOOKUP(A96,'Job Operations'!$A$4:$AA$304,12,FALSE),""))</f>
        <v>LO</v>
      </c>
      <c r="I96" s="69" t="str">
        <f>IF(A96="","",IFERROR(VLOOKUP(A96,'Job Operations'!$A$4:$AA$304,13,FALSE),""))</f>
        <v>AXYZ</v>
      </c>
      <c r="J96" s="69" t="str">
        <f>IF(A96="","",IFERROR(VLOOKUP(A96,'Job Operations'!$A$4:$AA$304,15,FALSE),""))</f>
        <v>Clean and Brake</v>
      </c>
      <c r="K96" s="69" t="str">
        <f>IF(A96="","",IFERROR(VLOOKUP(A96,'Job Operations'!$A$4:$AA$304,17,FALSE),""))</f>
        <v>Fab</v>
      </c>
      <c r="L96" s="73" t="str">
        <f>IF(A96="","",IF(IFERROR(VLOOKUP(A96,Notes!A:B,2,FALSE),"")=0,"",VLOOKUP(A96,Notes!A:B,2,FALSE)))</f>
        <v>HOAR*04/16/2026…LO</v>
      </c>
      <c r="M96" s="69"/>
      <c r="N96" s="69"/>
    </row>
    <row r="97" spans="1:14" x14ac:dyDescent="0.25">
      <c r="A97" s="69" t="str">
        <v>25044-FS10</v>
      </c>
      <c r="B97" s="73" t="str">
        <f>IF(A97="","",IFERROR(VLOOKUP(A97,'Job Operations'!$A$4:$AA$304,2,FALSE),""))</f>
        <v>MALETA Firing Range</v>
      </c>
      <c r="C97" s="69" t="str">
        <f>IF(A97="","",IFERROR(VLOOKUP(A97,'Job Operations'!$A$4:$AA$304,3,FALSE),""))</f>
        <v>Cole Norona</v>
      </c>
      <c r="D97" s="69">
        <f>IF(A97="","",IFERROR(VLOOKUP(A97,'Job Operations'!$A$4:$AA$304,5,FALSE),""))</f>
        <v>185</v>
      </c>
      <c r="E97" s="69">
        <f>IF(A97="","",IFERROR(VLOOKUP(A97,'Job Operations'!$A$4:$AA$304,6,FALSE),""))</f>
        <v>0</v>
      </c>
      <c r="F97" s="69" t="str">
        <f>IF(A97="","",IFERROR(VLOOKUP(A97,'Job Operations'!$A$4:$AA$304,7,FALSE),""))</f>
        <v>FR ACM</v>
      </c>
      <c r="G97" s="70">
        <f>IF(A97="","",IFERROR(VLOOKUP(A97,'Job Operations'!$A$4:$AA$304,9,FALSE),""))</f>
        <v>46241</v>
      </c>
      <c r="H97" s="69" t="str">
        <f>IF(A97="","",IFERROR(VLOOKUP(A97,'Job Operations'!$A$4:$AA$304,12,FALSE),""))</f>
        <v>LO</v>
      </c>
      <c r="I97" s="69" t="str">
        <f>IF(A97="","",IFERROR(VLOOKUP(A97,'Job Operations'!$A$4:$AA$304,13,FALSE),""))</f>
        <v>AXYZ</v>
      </c>
      <c r="J97" s="69" t="str">
        <f>IF(A97="","",IFERROR(VLOOKUP(A97,'Job Operations'!$A$4:$AA$304,15,FALSE),""))</f>
        <v>Clean and Brake</v>
      </c>
      <c r="K97" s="69" t="str">
        <f>IF(A97="","",IFERROR(VLOOKUP(A97,'Job Operations'!$A$4:$AA$304,17,FALSE),""))</f>
        <v>Fab</v>
      </c>
      <c r="L97" s="73" t="str">
        <f>IF(A97="","",IF(IFERROR(VLOOKUP(A97,Notes!A:B,2,FALSE),"")=0,"",VLOOKUP(A97,Notes!A:B,2,FALSE)))</f>
        <v>04/16/2026…LO</v>
      </c>
      <c r="M97" s="69"/>
      <c r="N97" s="69"/>
    </row>
    <row r="98" spans="1:14" x14ac:dyDescent="0.25">
      <c r="A98" s="69" t="str">
        <v>25044-FS11</v>
      </c>
      <c r="B98" s="73" t="str">
        <f>IF(A98="","",IFERROR(VLOOKUP(A98,'Job Operations'!$A$4:$AA$304,2,FALSE),""))</f>
        <v>MALETA Firing Range</v>
      </c>
      <c r="C98" s="69" t="str">
        <f>IF(A98="","",IFERROR(VLOOKUP(A98,'Job Operations'!$A$4:$AA$304,3,FALSE),""))</f>
        <v>Cole Norona</v>
      </c>
      <c r="D98" s="69">
        <f>IF(A98="","",IFERROR(VLOOKUP(A98,'Job Operations'!$A$4:$AA$304,5,FALSE),""))</f>
        <v>185</v>
      </c>
      <c r="E98" s="69">
        <f>IF(A98="","",IFERROR(VLOOKUP(A98,'Job Operations'!$A$4:$AA$304,6,FALSE),""))</f>
        <v>0</v>
      </c>
      <c r="F98" s="69" t="str">
        <f>IF(A98="","",IFERROR(VLOOKUP(A98,'Job Operations'!$A$4:$AA$304,7,FALSE),""))</f>
        <v>FR ACM</v>
      </c>
      <c r="G98" s="70">
        <f>IF(A98="","",IFERROR(VLOOKUP(A98,'Job Operations'!$A$4:$AA$304,9,FALSE),""))</f>
        <v>46251</v>
      </c>
      <c r="H98" s="69" t="str">
        <f>IF(A98="","",IFERROR(VLOOKUP(A98,'Job Operations'!$A$4:$AA$304,12,FALSE),""))</f>
        <v>LO</v>
      </c>
      <c r="I98" s="69" t="str">
        <f>IF(A98="","",IFERROR(VLOOKUP(A98,'Job Operations'!$A$4:$AA$304,13,FALSE),""))</f>
        <v>AXYZ</v>
      </c>
      <c r="J98" s="69" t="str">
        <f>IF(A98="","",IFERROR(VLOOKUP(A98,'Job Operations'!$A$4:$AA$304,15,FALSE),""))</f>
        <v>Clean and Brake</v>
      </c>
      <c r="K98" s="69" t="str">
        <f>IF(A98="","",IFERROR(VLOOKUP(A98,'Job Operations'!$A$4:$AA$304,17,FALSE),""))</f>
        <v>Fab</v>
      </c>
      <c r="L98" s="73" t="str">
        <f>IF(A98="","",IF(IFERROR(VLOOKUP(A98,Notes!A:B,2,FALSE),"")=0,"",VLOOKUP(A98,Notes!A:B,2,FALSE)))</f>
        <v>04/16/2026…LO</v>
      </c>
      <c r="M98" s="69"/>
      <c r="N98" s="69"/>
    </row>
    <row r="99" spans="1:14" x14ac:dyDescent="0.25">
      <c r="A99" s="69"/>
      <c r="B99" s="73" t="str">
        <f>IF(A99="","",IFERROR(VLOOKUP(A99,'Job Operations'!$A$4:$AA$304,2,FALSE),""))</f>
        <v/>
      </c>
      <c r="C99" s="69" t="str">
        <f>IF(A99="","",IFERROR(VLOOKUP(A99,'Job Operations'!$A$4:$AA$304,3,FALSE),""))</f>
        <v/>
      </c>
      <c r="D99" s="69" t="str">
        <f>IF(A99="","",IFERROR(VLOOKUP(A99,'Job Operations'!$A$4:$AA$304,5,FALSE),""))</f>
        <v/>
      </c>
      <c r="E99" s="69" t="str">
        <f>IF(A99="","",IFERROR(VLOOKUP(A99,'Job Operations'!$A$4:$AA$304,6,FALSE),""))</f>
        <v/>
      </c>
      <c r="F99" s="69" t="str">
        <f>IF(A99="","",IFERROR(VLOOKUP(A99,'Job Operations'!$A$4:$AA$304,7,FALSE),""))</f>
        <v/>
      </c>
      <c r="G99" s="70" t="str">
        <f>IF(A99="","",IFERROR(VLOOKUP(A99,'Job Operations'!$A$4:$AA$304,9,FALSE),""))</f>
        <v/>
      </c>
      <c r="H99" s="69" t="str">
        <f>IF(A99="","",IFERROR(VLOOKUP(A99,'Job Operations'!$A$4:$AA$304,12,FALSE),""))</f>
        <v/>
      </c>
      <c r="I99" s="69" t="str">
        <f>IF(A99="","",IFERROR(VLOOKUP(A99,'Job Operations'!$A$4:$AA$304,13,FALSE),""))</f>
        <v/>
      </c>
      <c r="J99" s="69" t="str">
        <f>IF(A99="","",IFERROR(VLOOKUP(A99,'Job Operations'!$A$4:$AA$304,15,FALSE),""))</f>
        <v/>
      </c>
      <c r="K99" s="69" t="str">
        <f>IF(A99="","",IFERROR(VLOOKUP(A99,'Job Operations'!$A$4:$AA$304,17,FALSE),""))</f>
        <v/>
      </c>
      <c r="L99" s="73" t="str">
        <f>IF(A99="","",IF(IFERROR(VLOOKUP(A99,Notes!A:B,2,FALSE),"")=0,"",VLOOKUP(A99,Notes!A:B,2,FALSE)))</f>
        <v/>
      </c>
      <c r="M99" s="69"/>
      <c r="N99" s="69"/>
    </row>
    <row r="100" spans="1:14" x14ac:dyDescent="0.25">
      <c r="A100" s="71"/>
      <c r="B100" s="74" t="str">
        <f>IF(A100="","",IFERROR(VLOOKUP(A100,'Job Operations'!$A$4:$AA$304,2,FALSE),""))</f>
        <v/>
      </c>
      <c r="C100" s="71" t="str">
        <f>IF(A100="","",IFERROR(VLOOKUP(A100,'Job Operations'!$A$4:$AA$304,3,FALSE),""))</f>
        <v/>
      </c>
      <c r="D100" s="71" t="str">
        <f>IF(A100="","",IFERROR(VLOOKUP(A100,'Job Operations'!$A$4:$AA$304,5,FALSE),""))</f>
        <v/>
      </c>
      <c r="E100" s="71" t="str">
        <f>IF(A100="","",IFERROR(VLOOKUP(A100,'Job Operations'!$A$4:$AA$304,6,FALSE),""))</f>
        <v/>
      </c>
      <c r="F100" s="71" t="str">
        <f>IF(A100="","",IFERROR(VLOOKUP(A100,'Job Operations'!$A$4:$AA$304,7,FALSE),""))</f>
        <v/>
      </c>
      <c r="G100" s="72" t="str">
        <f>IF(A100="","",IFERROR(VLOOKUP(A100,'Job Operations'!$A$4:$AA$304,9,FALSE),""))</f>
        <v/>
      </c>
      <c r="H100" s="71" t="str">
        <f>IF(A100="","",IFERROR(VLOOKUP(A100,'Job Operations'!$A$4:$AA$304,12,FALSE),""))</f>
        <v/>
      </c>
      <c r="I100" s="71" t="str">
        <f>IF(A100="","",IFERROR(VLOOKUP(A100,'Job Operations'!$A$4:$AA$304,13,FALSE),""))</f>
        <v/>
      </c>
      <c r="J100" s="71" t="str">
        <f>IF(A100="","",IFERROR(VLOOKUP(A100,'Job Operations'!$A$4:$AA$304,15,FALSE),""))</f>
        <v/>
      </c>
      <c r="K100" s="71" t="str">
        <f>IF(A100="","",IFERROR(VLOOKUP(A100,'Job Operations'!$A$4:$AA$304,17,FALSE),""))</f>
        <v/>
      </c>
      <c r="L100" s="74" t="str">
        <f>IF(A100="","",IF(IFERROR(VLOOKUP(A100,Notes!A:B,2,FALSE),"")=0,"",VLOOKUP(A100,Notes!A:B,2,FALSE)))</f>
        <v/>
      </c>
      <c r="M100" s="71"/>
      <c r="N100" s="71"/>
    </row>
  </sheetData>
  <mergeCells count="2">
    <mergeCell ref="A4:J4"/>
    <mergeCell ref="A5:J5"/>
  </mergeCells>
  <conditionalFormatting sqref="A7:N100">
    <cfRule type="expression" dxfId="83" priority="15">
      <formula>AND($D$1&lt;&gt;"",$A7=$D$1)</formula>
    </cfRule>
    <cfRule type="expression" dxfId="82" priority="17">
      <formula>AND($A7&lt;&gt;"",$G7&lt;&gt;"",$G7&lt;TODAY())</formula>
    </cfRule>
  </conditionalFormatting>
  <conditionalFormatting sqref="D1">
    <cfRule type="expression" dxfId="81" priority="18">
      <formula>D1="🔴 LATE"</formula>
    </cfRule>
    <cfRule type="expression" dxfId="80" priority="19">
      <formula>D1="🟢 ON TIME"</formula>
    </cfRule>
  </conditionalFormatting>
  <conditionalFormatting sqref="E1">
    <cfRule type="containsText" dxfId="79" priority="20" operator="containsText" text="LATE">
      <formula>NOT(ISERROR(SEARCH("LATE",E1)))</formula>
    </cfRule>
    <cfRule type="containsText" dxfId="78" priority="21" operator="containsText" text="ON TIME">
      <formula>NOT(ISERROR(SEARCH("ON TIME",E1)))</formula>
    </cfRule>
  </conditionalFormatting>
  <dataValidations count="1">
    <dataValidation type="list" errorStyle="warning" allowBlank="1" showInputMessage="1" showErrorMessage="1" errorTitle="Job ID" error="ID not found in list. Continue anyway?" sqref="D1" xr:uid="{5BF9F845-2752-458F-B5F8-31A18C2353E2}">
      <formula1>AllJobIDs</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4DB12-0525-40A0-870E-8776E0C11FC6}">
  <sheetPr>
    <tabColor rgb="FF1B2A4A"/>
  </sheetPr>
  <dimension ref="A1:M100"/>
  <sheetViews>
    <sheetView tabSelected="1" zoomScaleNormal="100" workbookViewId="0">
      <pane ySplit="6" topLeftCell="A7" activePane="bottomLeft" state="frozen"/>
      <selection pane="bottomLeft" activeCell="A27" sqref="A27"/>
    </sheetView>
  </sheetViews>
  <sheetFormatPr defaultRowHeight="15" x14ac:dyDescent="0.25"/>
  <cols>
    <col min="1" max="1" width="16" style="59" customWidth="1"/>
    <col min="2" max="2" width="21.7109375" style="61" customWidth="1"/>
    <col min="3" max="3" width="18.7109375" style="59" customWidth="1"/>
    <col min="4" max="4" width="13.28515625" style="59" customWidth="1"/>
    <col min="5" max="5" width="12.5703125" style="59" customWidth="1"/>
    <col min="6" max="6" width="13.5703125" style="59" customWidth="1"/>
    <col min="7" max="7" width="16.140625" style="59" customWidth="1"/>
    <col min="8" max="8" width="17.28515625" style="59" bestFit="1" customWidth="1"/>
    <col min="9" max="9" width="14" style="59" bestFit="1" customWidth="1"/>
    <col min="10" max="10" width="11.85546875" style="59" bestFit="1" customWidth="1"/>
    <col min="11" max="11" width="15.28515625" style="59" bestFit="1" customWidth="1"/>
    <col min="12" max="12" width="12.7109375" style="59" bestFit="1" customWidth="1"/>
    <col min="13" max="13" width="72.140625" style="173" customWidth="1"/>
  </cols>
  <sheetData>
    <row r="1" spans="1:13" ht="39.950000000000003" customHeight="1" x14ac:dyDescent="0.25">
      <c r="A1" s="159"/>
      <c r="B1" s="80" t="s">
        <v>2743</v>
      </c>
      <c r="C1" s="76" t="s">
        <v>2735</v>
      </c>
      <c r="D1" s="81" t="s">
        <v>2743</v>
      </c>
      <c r="E1" s="76" t="str">
        <f ca="1">IF(D1="","",IF(IFERROR(VLOOKUP(D1,'Job Operations'!A:Y,25,FALSE),"")="","❌ NOT FOUND",IF(VLOOKUP(D1,'Job Operations'!A:Y,25,FALSE)&lt;TODAY(),"🔴 LATE","🟢 ON TIME")))</f>
        <v>❌ NOT FOUND</v>
      </c>
      <c r="F1" s="82" t="str">
        <f>IF(D1="","",IFERROR(VLOOKUP(D1,'Job Operations'!A:B,2,FALSE),""))</f>
        <v/>
      </c>
      <c r="G1" s="76" t="str">
        <f>IF(D1="","",IFERROR("Ship: "&amp;TEXT(VLOOKUP(D1,'Job Operations'!A:I,9,FALSE),"mm/dd/yyyy"),""))</f>
        <v/>
      </c>
      <c r="H1" s="76"/>
      <c r="I1" s="76"/>
      <c r="J1" s="78"/>
      <c r="K1" s="76"/>
      <c r="L1" s="76"/>
      <c r="M1" s="162"/>
    </row>
    <row r="2" spans="1:13" ht="5.0999999999999996" customHeight="1" x14ac:dyDescent="0.25">
      <c r="A2" s="161"/>
      <c r="B2" s="60"/>
      <c r="C2" s="12"/>
      <c r="D2" s="12"/>
      <c r="E2" s="12"/>
      <c r="F2" s="12"/>
      <c r="G2" s="12"/>
      <c r="H2" s="12"/>
      <c r="I2" s="12"/>
      <c r="J2" s="12"/>
      <c r="K2" s="12"/>
      <c r="L2" s="12"/>
      <c r="M2" s="163"/>
    </row>
    <row r="3" spans="1:13" ht="5.0999999999999996" customHeight="1" x14ac:dyDescent="0.25">
      <c r="A3" s="161"/>
      <c r="B3" s="60"/>
      <c r="C3" s="12"/>
      <c r="D3" s="12"/>
      <c r="E3" s="12"/>
      <c r="F3" s="12"/>
      <c r="G3" s="12"/>
      <c r="H3" s="12"/>
      <c r="I3" s="12"/>
      <c r="J3" s="12"/>
      <c r="K3" s="12"/>
      <c r="L3" s="12"/>
      <c r="M3" s="163"/>
    </row>
    <row r="4" spans="1:13" ht="24.95" customHeight="1" x14ac:dyDescent="0.3">
      <c r="A4" s="294" t="s">
        <v>2744</v>
      </c>
      <c r="B4" s="295"/>
      <c r="C4" s="295"/>
      <c r="D4" s="295"/>
      <c r="E4" s="295"/>
      <c r="F4" s="295"/>
      <c r="G4" s="295"/>
      <c r="H4" s="295"/>
      <c r="I4" s="295"/>
      <c r="J4" s="295"/>
      <c r="K4" s="295"/>
      <c r="L4" s="62"/>
      <c r="M4" s="164"/>
    </row>
    <row r="5" spans="1:13" ht="24.95" customHeight="1" x14ac:dyDescent="0.25">
      <c r="A5" s="296" t="s">
        <v>2745</v>
      </c>
      <c r="B5" s="295"/>
      <c r="C5" s="295"/>
      <c r="D5" s="295"/>
      <c r="E5" s="295"/>
      <c r="F5" s="295"/>
      <c r="G5" s="295"/>
      <c r="H5" s="295"/>
      <c r="I5" s="295"/>
      <c r="J5" s="295"/>
      <c r="K5" s="295"/>
      <c r="L5" s="62"/>
      <c r="M5" s="164"/>
    </row>
    <row r="6" spans="1:13" ht="30.75" customHeight="1" thickBot="1" x14ac:dyDescent="0.3">
      <c r="A6" s="116" t="s">
        <v>1</v>
      </c>
      <c r="B6" s="117" t="s">
        <v>3</v>
      </c>
      <c r="C6" s="117" t="s">
        <v>5</v>
      </c>
      <c r="D6" s="117" t="s">
        <v>17</v>
      </c>
      <c r="E6" s="117" t="s">
        <v>18</v>
      </c>
      <c r="F6" s="117" t="s">
        <v>25</v>
      </c>
      <c r="G6" s="117" t="s">
        <v>54</v>
      </c>
      <c r="H6" s="117" t="s">
        <v>2746</v>
      </c>
      <c r="I6" s="118" t="s">
        <v>2747</v>
      </c>
      <c r="J6" s="117" t="s">
        <v>2748</v>
      </c>
      <c r="K6" s="117" t="s">
        <v>2749</v>
      </c>
      <c r="L6" s="117" t="s">
        <v>2750</v>
      </c>
      <c r="M6" s="165" t="s">
        <v>2742</v>
      </c>
    </row>
    <row r="7" spans="1:13" x14ac:dyDescent="0.25">
      <c r="A7" s="111" t="str" cm="1">
        <f t="array" ref="A7:A17">IFERROR(_xlfn.SORTBY(_xlfn._xlws.FILTER('Job Operations'!A5:A304,('Job Operations'!A5:A304&lt;&gt;"")*('Job Operations'!AA5:AA304=1)*(('Job Operations'!L5:L304="AXYZ Titans Line")+('Job Operations'!L5:L304="AXYZ 34")+('Job Operations'!M5:M304="AXYZ Titans Line")+('Job Operations'!O5:O304="AXYZ Titans Line")+('Job Operations'!Q5:Q304="AXYZ Titans Line")+('Job Operations'!S5:S304="AXYZ Titans Line")+('Job Operations'!U5:U304="AXYZ Titans Line")+('Job Operations'!W5:W304="AXYZ Titans Line")&gt;0)*('Job Operations'!L5:L304&lt;&gt;"Fabrication")*('Job Operations'!L5:L304&lt;&gt;"Fab")*('Job Operations'!L5:L304&lt;&gt;"Clean and Brake")*('Job Operations'!L5:L304&lt;&gt;"Crating")*('Job Operations'!L5:L304&lt;&gt;"QC")*('Job Operations'!L5:L304&lt;&gt;"Ready to Ship")*('Job Operations'!L5:L304&lt;&gt;"RTS Titans")*('Job Operations'!L5:L304&lt;&gt;"Shipped")*('Job Operations'!L5:L304&lt;&gt;"Shipped To Painter")*('Job Operations'!L5:L304&lt;&gt;"Partially Shipped")),_xlfn._xlws.FILTER('Job Operations'!N5:N304,('Job Operations'!A5:A304&lt;&gt;"")*('Job Operations'!AA5:AA304=1)*(('Job Operations'!L5:L304="AXYZ Titans Line")+('Job Operations'!L5:L304="AXYZ 34")+('Job Operations'!M5:M304="AXYZ Titans Line")+('Job Operations'!O5:O304="AXYZ Titans Line")+('Job Operations'!Q5:Q304="AXYZ Titans Line")+('Job Operations'!S5:S304="AXYZ Titans Line")+('Job Operations'!U5:U304="AXYZ Titans Line")+('Job Operations'!W5:W304="AXYZ Titans Line")&gt;0)*('Job Operations'!L5:L304&lt;&gt;"Fabrication")*('Job Operations'!L5:L304&lt;&gt;"Fab")*('Job Operations'!L5:L304&lt;&gt;"Clean and Brake")*('Job Operations'!L5:L304&lt;&gt;"Crating")*('Job Operations'!L5:L304&lt;&gt;"QC")*('Job Operations'!L5:L304&lt;&gt;"Ready to Ship")*('Job Operations'!L5:L304&lt;&gt;"RTS Titans")*('Job Operations'!L5:L304&lt;&gt;"Shipped")*('Job Operations'!L5:L304&lt;&gt;"Shipped To Painter")*('Job Operations'!L5:L304&lt;&gt;"Partially Shipped")),1),"")</f>
        <v>24079-FS102.1</v>
      </c>
      <c r="B7" s="112" t="str">
        <f>IF(A7="","",IFERROR(VLOOKUP(A7,'Job Operations'!$A$4:$AA$304,2,FALSE),""))</f>
        <v>Nashville Youth Campus</v>
      </c>
      <c r="C7" s="113" t="str">
        <f>IF(A7="","",IFERROR(VLOOKUP(A7,'Job Operations'!$A$4:$AA$304,3,FALSE),""))</f>
        <v>Joe Hoyle</v>
      </c>
      <c r="D7" s="113">
        <f>IF(A7="","",IFERROR(VLOOKUP(A7,'Job Operations'!$A$4:$AA$304,5,FALSE),""))</f>
        <v>308</v>
      </c>
      <c r="E7" s="113">
        <f>IF(A7="","",IFERROR(VLOOKUP(A7,'Job Operations'!$A$4:$AA$304,6,FALSE),""))</f>
        <v>0</v>
      </c>
      <c r="F7" s="113" t="str">
        <f>IF(A7="","",IFERROR(VLOOKUP(A7,'Job Operations'!$A$4:$AA$304,7,FALSE),""))</f>
        <v>FR ACM</v>
      </c>
      <c r="G7" s="114">
        <f>IF(A7="","",IFERROR(VLOOKUP(A7,'Job Operations'!$A$4:$AA$304,9,FALSE),""))</f>
        <v>46097</v>
      </c>
      <c r="H7" s="113" t="str" cm="1">
        <f t="array" ref="H7">IF(A7="","",_xlfn.LET(_xlpm.stn,IFERROR(VLOOKUP(A7,'Job Operations'!$A$4:$AA$304,12,FALSE),""),IF(OR(_xlpm.stn="AXYZ Titans Line",_xlpm.stn="AXYZ 34"),_xlfn.LET(_xlpm.pos,SUMPRODUCT((A$7:A7&lt;&gt;"")*(IFERROR(VLOOKUP(A$7:A7,'Job Operations'!$A$4:$AA$304,12,FALSE),"")="AXYZ Titans Line")+(A$7:A7&lt;&gt;"")*(IFERROR(VLOOKUP(A$7:A7,'Job Operations'!$A$4:$AA$304,12,FALSE),"")="AXYZ 34")),_xlpm.sfx,IF(OR(_xlpm.pos=11,_xlpm.pos=12,_xlpm.pos=13),"th",IF(MOD(_xlpm.pos,10)=1,"st",IF(MOD(_xlpm.pos,10)=2,"nd",IF(MOD(_xlpm.pos,10)=3,"rd","th")))),_xlpm.pos&amp;_xlpm.sfx),IF(_xlpm.stn&lt;&gt;"",_xlpm.stn,""))))</f>
        <v>Sketch</v>
      </c>
      <c r="I7" s="115">
        <f t="shared" ref="I7:I38" si="0">IF(A7="","",D7/7)</f>
        <v>44</v>
      </c>
      <c r="J7" s="114">
        <f t="shared" ref="J7:J38" si="1">IF(OR(A7="",G7=""),"",WORKDAY.INTL(G7,-(5+CEILING(I7/8,1)),"0000001"))</f>
        <v>46084</v>
      </c>
      <c r="K7" s="113" t="str">
        <f>IF(A7="","",IFERROR(VLOOKUP(A7,'Job Operations'!$A$4:$AA$304,15,FALSE),""))</f>
        <v>Clean and Brake</v>
      </c>
      <c r="L7" s="113" t="str">
        <f>IF(A7="","",IFERROR(VLOOKUP(A7,'Job Operations'!$A$4:$AA$304,17,FALSE),""))</f>
        <v>Fab</v>
      </c>
      <c r="M7" s="166" t="str">
        <f>IF(A7="","",IF(IFERROR(VLOOKUP(A7,Notes!A:B,2,FALSE),"")=0,"",VLOOKUP(A7,Notes!A:B,2,FALSE)))</f>
        <v>04/16/2026…Sketch</v>
      </c>
    </row>
    <row r="8" spans="1:13" x14ac:dyDescent="0.25">
      <c r="A8" s="103" t="str">
        <v>24079-FS102</v>
      </c>
      <c r="B8" s="104" t="str">
        <f>IF(A8="","",IFERROR(VLOOKUP(A8,'Job Operations'!$A$4:$AA$304,2,FALSE),""))</f>
        <v>Nashville Youth Campus</v>
      </c>
      <c r="C8" s="105" t="str">
        <f>IF(A8="","",IFERROR(VLOOKUP(A8,'Job Operations'!$A$4:$AA$304,3,FALSE),""))</f>
        <v>Joe Hoyle</v>
      </c>
      <c r="D8" s="105">
        <f>IF(A8="","",IFERROR(VLOOKUP(A8,'Job Operations'!$A$4:$AA$304,5,FALSE),""))</f>
        <v>192</v>
      </c>
      <c r="E8" s="105">
        <f>IF(A8="","",IFERROR(VLOOKUP(A8,'Job Operations'!$A$4:$AA$304,6,FALSE),""))</f>
        <v>198</v>
      </c>
      <c r="F8" s="105" t="str">
        <f>IF(A8="","",IFERROR(VLOOKUP(A8,'Job Operations'!$A$4:$AA$304,7,FALSE),""))</f>
        <v>FR ACM</v>
      </c>
      <c r="G8" s="106">
        <f>IF(A8="","",IFERROR(VLOOKUP(A8,'Job Operations'!$A$4:$AA$304,9,FALSE),""))</f>
        <v>46097</v>
      </c>
      <c r="H8" s="105" t="str" cm="1">
        <f t="array" ref="H8">IF(A8="","",_xlfn.LET(_xlpm.stn,IFERROR(VLOOKUP(A8,'Job Operations'!$A$4:$AA$304,12,FALSE),""),IF(OR(_xlpm.stn="AXYZ Titans Line",_xlpm.stn="AXYZ 34"),_xlfn.LET(_xlpm.pos,SUMPRODUCT((A$7:A8&lt;&gt;"")*(IFERROR(VLOOKUP(A$7:A8,'Job Operations'!$A$4:$AA$304,12,FALSE),"")="AXYZ Titans Line")+(A$7:A8&lt;&gt;"")*(IFERROR(VLOOKUP(A$7:A8,'Job Operations'!$A$4:$AA$304,12,FALSE),"")="AXYZ 34")),_xlpm.sfx,IF(OR(_xlpm.pos=11,_xlpm.pos=12,_xlpm.pos=13),"th",IF(MOD(_xlpm.pos,10)=1,"st",IF(MOD(_xlpm.pos,10)=2,"nd",IF(MOD(_xlpm.pos,10)=3,"rd","th")))),_xlpm.pos&amp;_xlpm.sfx),IF(_xlpm.stn&lt;&gt;"",_xlpm.stn,""))))</f>
        <v>Sketch Check</v>
      </c>
      <c r="I8" s="102">
        <f t="shared" si="0"/>
        <v>27.428571428571427</v>
      </c>
      <c r="J8" s="106">
        <f t="shared" si="1"/>
        <v>46086</v>
      </c>
      <c r="K8" s="105" t="str">
        <f>IF(A8="","",IFERROR(VLOOKUP(A8,'Job Operations'!$A$4:$AA$304,15,FALSE),""))</f>
        <v>Clean and Brake</v>
      </c>
      <c r="L8" s="105" t="str">
        <f>IF(A8="","",IFERROR(VLOOKUP(A8,'Job Operations'!$A$4:$AA$304,17,FALSE),""))</f>
        <v>Fab</v>
      </c>
      <c r="M8" s="167" t="str">
        <f>IF(A8="","",IF(IFERROR(VLOOKUP(A8,Notes!A:B,2,FALSE),"")=0,"",VLOOKUP(A8,Notes!A:B,2,FALSE)))</f>
        <v>04/16/2026…Sketch Check</v>
      </c>
    </row>
    <row r="9" spans="1:13" x14ac:dyDescent="0.25">
      <c r="A9" s="98" t="str">
        <v>25035-FS04</v>
      </c>
      <c r="B9" s="99" t="str">
        <f>IF(A9="","",IFERROR(VLOOKUP(A9,'Job Operations'!$A$4:$AA$304,2,FALSE),""))</f>
        <v>Titans Jabez</v>
      </c>
      <c r="C9" s="100" t="str">
        <f>IF(A9="","",IFERROR(VLOOKUP(A9,'Job Operations'!$A$4:$AA$304,3,FALSE),""))</f>
        <v>Marc Ribar</v>
      </c>
      <c r="D9" s="100">
        <f>IF(A9="","",IFERROR(VLOOKUP(A9,'Job Operations'!$A$4:$AA$304,5,FALSE),""))</f>
        <v>218</v>
      </c>
      <c r="E9" s="100">
        <f>IF(A9="","",IFERROR(VLOOKUP(A9,'Job Operations'!$A$4:$AA$304,6,FALSE),""))</f>
        <v>0</v>
      </c>
      <c r="F9" s="100" t="str">
        <f>IF(A9="","",IFERROR(VLOOKUP(A9,'Job Operations'!$A$4:$AA$304,7,FALSE),""))</f>
        <v>FR ACM</v>
      </c>
      <c r="G9" s="101">
        <f>IF(A9="","",IFERROR(VLOOKUP(A9,'Job Operations'!$A$4:$AA$304,9,FALSE),""))</f>
        <v>46104</v>
      </c>
      <c r="H9" s="100" t="str" cm="1">
        <f t="array" ref="H9">IF(A9="","",_xlfn.LET(_xlpm.stn,IFERROR(VLOOKUP(A9,'Job Operations'!$A$4:$AA$304,12,FALSE),""),IF(OR(_xlpm.stn="AXYZ Titans Line",_xlpm.stn="AXYZ 34"),_xlfn.LET(_xlpm.pos,SUMPRODUCT((A$7:A9&lt;&gt;"")*(IFERROR(VLOOKUP(A$7:A9,'Job Operations'!$A$4:$AA$304,12,FALSE),"")="AXYZ Titans Line")+(A$7:A9&lt;&gt;"")*(IFERROR(VLOOKUP(A$7:A9,'Job Operations'!$A$4:$AA$304,12,FALSE),"")="AXYZ 34")),_xlpm.sfx,IF(OR(_xlpm.pos=11,_xlpm.pos=12,_xlpm.pos=13),"th",IF(MOD(_xlpm.pos,10)=1,"st",IF(MOD(_xlpm.pos,10)=2,"nd",IF(MOD(_xlpm.pos,10)=3,"rd","th")))),_xlpm.pos&amp;_xlpm.sfx),IF(_xlpm.stn&lt;&gt;"",_xlpm.stn,""))))</f>
        <v>Sketch</v>
      </c>
      <c r="I9" s="102">
        <f t="shared" si="0"/>
        <v>31.142857142857142</v>
      </c>
      <c r="J9" s="101">
        <f t="shared" si="1"/>
        <v>46093</v>
      </c>
      <c r="K9" s="100" t="str">
        <f>IF(A9="","",IFERROR(VLOOKUP(A9,'Job Operations'!$A$4:$AA$304,15,FALSE),""))</f>
        <v>Clean and Brake</v>
      </c>
      <c r="L9" s="100" t="str">
        <f>IF(A9="","",IFERROR(VLOOKUP(A9,'Job Operations'!$A$4:$AA$304,17,FALSE),""))</f>
        <v>Fab</v>
      </c>
      <c r="M9" s="168" t="str">
        <f>IF(A9="","",IF(IFERROR(VLOOKUP(A9,Notes!A:B,2,FALSE),"")=0,"",VLOOKUP(A9,Notes!A:B,2,FALSE)))</f>
        <v>04/16/2026…Sketch</v>
      </c>
    </row>
    <row r="10" spans="1:13" x14ac:dyDescent="0.25">
      <c r="A10" s="103" t="str">
        <v>24074-FS07</v>
      </c>
      <c r="B10" s="104" t="str">
        <f>IF(A10="","",IFERROR(VLOOKUP(A10,'Job Operations'!$A$4:$AA$304,2,FALSE),""))</f>
        <v>DIDD ACM</v>
      </c>
      <c r="C10" s="105" t="str">
        <f>IF(A10="","",IFERROR(VLOOKUP(A10,'Job Operations'!$A$4:$AA$304,3,FALSE),""))</f>
        <v>Dillon Bowman</v>
      </c>
      <c r="D10" s="105">
        <f>IF(A10="","",IFERROR(VLOOKUP(A10,'Job Operations'!$A$4:$AA$304,5,FALSE),""))</f>
        <v>155</v>
      </c>
      <c r="E10" s="105">
        <f>IF(A10="","",IFERROR(VLOOKUP(A10,'Job Operations'!$A$4:$AA$304,6,FALSE),""))</f>
        <v>218</v>
      </c>
      <c r="F10" s="105" t="str">
        <f>IF(A10="","",IFERROR(VLOOKUP(A10,'Job Operations'!$A$4:$AA$304,7,FALSE),""))</f>
        <v>FR ACM</v>
      </c>
      <c r="G10" s="106">
        <f>IF(A10="","",IFERROR(VLOOKUP(A10,'Job Operations'!$A$4:$AA$304,9,FALSE),""))</f>
        <v>46132</v>
      </c>
      <c r="H10" s="105" t="str" cm="1">
        <f t="array" ref="H10">IF(A10="","",_xlfn.LET(_xlpm.stn,IFERROR(VLOOKUP(A10,'Job Operations'!$A$4:$AA$304,12,FALSE),""),IF(OR(_xlpm.stn="AXYZ Titans Line",_xlpm.stn="AXYZ 34"),_xlfn.LET(_xlpm.pos,SUMPRODUCT((A$7:A10&lt;&gt;"")*(IFERROR(VLOOKUP(A$7:A10,'Job Operations'!$A$4:$AA$304,12,FALSE),"")="AXYZ Titans Line")+(A$7:A10&lt;&gt;"")*(IFERROR(VLOOKUP(A$7:A10,'Job Operations'!$A$4:$AA$304,12,FALSE),"")="AXYZ 34")),_xlpm.sfx,IF(OR(_xlpm.pos=11,_xlpm.pos=12,_xlpm.pos=13),"th",IF(MOD(_xlpm.pos,10)=1,"st",IF(MOD(_xlpm.pos,10)=2,"nd",IF(MOD(_xlpm.pos,10)=3,"rd","th")))),_xlpm.pos&amp;_xlpm.sfx),IF(_xlpm.stn&lt;&gt;"",_xlpm.stn,""))))</f>
        <v>CNC Programming</v>
      </c>
      <c r="I10" s="102">
        <f t="shared" si="0"/>
        <v>22.142857142857142</v>
      </c>
      <c r="J10" s="106">
        <f t="shared" si="1"/>
        <v>46122</v>
      </c>
      <c r="K10" s="105" t="str">
        <f>IF(A10="","",IFERROR(VLOOKUP(A10,'Job Operations'!$A$4:$AA$304,15,FALSE),""))</f>
        <v>Clean and Brake</v>
      </c>
      <c r="L10" s="105" t="str">
        <f>IF(A10="","",IFERROR(VLOOKUP(A10,'Job Operations'!$A$4:$AA$304,17,FALSE),""))</f>
        <v>Fab</v>
      </c>
      <c r="M10" s="167" t="str">
        <f>IF(A10="","",IF(IFERROR(VLOOKUP(A10,Notes!A:B,2,FALSE),"")=0,"",VLOOKUP(A10,Notes!A:B,2,FALSE)))</f>
        <v>*03/30...4' Panals Rolled*04/02…Sketch*04/09…CNC*04/16/2026…CNC Programming</v>
      </c>
    </row>
    <row r="11" spans="1:13" x14ac:dyDescent="0.25">
      <c r="A11" s="98" t="str">
        <v>24051-FS89</v>
      </c>
      <c r="B11" s="99" t="str">
        <f>IF(A11="","",IFERROR(VLOOKUP(A11,'Job Operations'!$A$4:$AA$304,2,FALSE),""))</f>
        <v>TN Titans Stadium</v>
      </c>
      <c r="C11" s="100" t="str">
        <f>IF(A11="","",IFERROR(VLOOKUP(A11,'Job Operations'!$A$4:$AA$304,3,FALSE),""))</f>
        <v>Marc Ribar</v>
      </c>
      <c r="D11" s="100">
        <f>IF(A11="","",IFERROR(VLOOKUP(A11,'Job Operations'!$A$4:$AA$304,5,FALSE),""))</f>
        <v>40</v>
      </c>
      <c r="E11" s="100">
        <f>IF(A11="","",IFERROR(VLOOKUP(A11,'Job Operations'!$A$4:$AA$304,6,FALSE),""))</f>
        <v>40</v>
      </c>
      <c r="F11" s="100" t="str">
        <f>IF(A11="","",IFERROR(VLOOKUP(A11,'Job Operations'!$A$4:$AA$304,7,FALSE),""))</f>
        <v>FR ACM</v>
      </c>
      <c r="G11" s="101">
        <f>IF(A11="","",IFERROR(VLOOKUP(A11,'Job Operations'!$A$4:$AA$304,9,FALSE),""))</f>
        <v>46127</v>
      </c>
      <c r="H11" s="100" t="str" cm="1">
        <f t="array" ref="H11">IF(A11="","",_xlfn.LET(_xlpm.stn,IFERROR(VLOOKUP(A11,'Job Operations'!$A$4:$AA$304,12,FALSE),""),IF(OR(_xlpm.stn="AXYZ Titans Line",_xlpm.stn="AXYZ 34"),_xlfn.LET(_xlpm.pos,SUMPRODUCT((A$7:A11&lt;&gt;"")*(IFERROR(VLOOKUP(A$7:A11,'Job Operations'!$A$4:$AA$304,12,FALSE),"")="AXYZ Titans Line")+(A$7:A11&lt;&gt;"")*(IFERROR(VLOOKUP(A$7:A11,'Job Operations'!$A$4:$AA$304,12,FALSE),"")="AXYZ 34")),_xlpm.sfx,IF(OR(_xlpm.pos=11,_xlpm.pos=12,_xlpm.pos=13),"th",IF(MOD(_xlpm.pos,10)=1,"st",IF(MOD(_xlpm.pos,10)=2,"nd",IF(MOD(_xlpm.pos,10)=3,"rd","th")))),_xlpm.pos&amp;_xlpm.sfx),IF(_xlpm.stn&lt;&gt;"",_xlpm.stn,""))))</f>
        <v>1st</v>
      </c>
      <c r="I11" s="102">
        <f t="shared" si="0"/>
        <v>5.7142857142857144</v>
      </c>
      <c r="J11" s="101">
        <f t="shared" si="1"/>
        <v>46120</v>
      </c>
      <c r="K11" s="100" t="str">
        <f>IF(A11="","",IFERROR(VLOOKUP(A11,'Job Operations'!$A$4:$AA$304,15,FALSE),""))</f>
        <v>Clean and Brake</v>
      </c>
      <c r="L11" s="100" t="str">
        <f>IF(A11="","",IFERROR(VLOOKUP(A11,'Job Operations'!$A$4:$AA$304,17,FALSE),""))</f>
        <v>Fab</v>
      </c>
      <c r="M11" s="168" t="str">
        <f>IF(A11="","",IF(IFERROR(VLOOKUP(A11,Notes!A:B,2,FALSE),"")=0,"",VLOOKUP(A11,Notes!A:B,2,FALSE)))</f>
        <v>04/14...Next Titans Requesting//Scheduled to be released to the shop 04/16.*04/16/2026…AXYZ 34</v>
      </c>
    </row>
    <row r="12" spans="1:13" x14ac:dyDescent="0.25">
      <c r="A12" s="103" t="str">
        <v>25022-RM01</v>
      </c>
      <c r="B12" s="104" t="str">
        <f>IF(A12="","",IFERROR(VLOOKUP(A12,'Job Operations'!$A$4:$AA$304,2,FALSE),""))</f>
        <v>Vantage VA15</v>
      </c>
      <c r="C12" s="105" t="str">
        <f>IF(A12="","",IFERROR(VLOOKUP(A12,'Job Operations'!$A$4:$AA$304,3,FALSE),""))</f>
        <v>Thomas Mooers</v>
      </c>
      <c r="D12" s="105">
        <f>IF(A12="","",IFERROR(VLOOKUP(A12,'Job Operations'!$A$4:$AA$304,5,FALSE),""))</f>
        <v>4</v>
      </c>
      <c r="E12" s="105">
        <f>IF(A12="","",IFERROR(VLOOKUP(A12,'Job Operations'!$A$4:$AA$304,6,FALSE),""))</f>
        <v>4</v>
      </c>
      <c r="F12" s="105" t="str">
        <f>IF(A12="","",IFERROR(VLOOKUP(A12,'Job Operations'!$A$4:$AA$304,7,FALSE),""))</f>
        <v>FR ACM</v>
      </c>
      <c r="G12" s="106">
        <f>IF(A12="","",IFERROR(VLOOKUP(A12,'Job Operations'!$A$4:$AA$304,9,FALSE),""))</f>
        <v>46135</v>
      </c>
      <c r="H12" s="105" t="str" cm="1">
        <f t="array" ref="H12">IF(A12="","",_xlfn.LET(_xlpm.stn,IFERROR(VLOOKUP(A12,'Job Operations'!$A$4:$AA$304,12,FALSE),""),IF(OR(_xlpm.stn="AXYZ Titans Line",_xlpm.stn="AXYZ 34"),_xlfn.LET(_xlpm.pos,SUMPRODUCT((A$7:A12&lt;&gt;"")*(IFERROR(VLOOKUP(A$7:A12,'Job Operations'!$A$4:$AA$304,12,FALSE),"")="AXYZ Titans Line")+(A$7:A12&lt;&gt;"")*(IFERROR(VLOOKUP(A$7:A12,'Job Operations'!$A$4:$AA$304,12,FALSE),"")="AXYZ 34")),_xlpm.sfx,IF(OR(_xlpm.pos=11,_xlpm.pos=12,_xlpm.pos=13),"th",IF(MOD(_xlpm.pos,10)=1,"st",IF(MOD(_xlpm.pos,10)=2,"nd",IF(MOD(_xlpm.pos,10)=3,"rd","th")))),_xlpm.pos&amp;_xlpm.sfx),IF(_xlpm.stn&lt;&gt;"",_xlpm.stn,""))))</f>
        <v>2nd</v>
      </c>
      <c r="I12" s="102">
        <f t="shared" si="0"/>
        <v>0.5714285714285714</v>
      </c>
      <c r="J12" s="106">
        <f t="shared" si="1"/>
        <v>46128</v>
      </c>
      <c r="K12" s="105" t="str">
        <f>IF(A12="","",IFERROR(VLOOKUP(A12,'Job Operations'!$A$4:$AA$304,15,FALSE),""))</f>
        <v>Clean and Brake</v>
      </c>
      <c r="L12" s="105" t="str">
        <f>IF(A12="","",IFERROR(VLOOKUP(A12,'Job Operations'!$A$4:$AA$304,17,FALSE),""))</f>
        <v>Fab</v>
      </c>
      <c r="M12" s="167" t="str">
        <f>IF(A12="","",IF(IFERROR(VLOOKUP(A12,Notes!A:B,2,FALSE),"")=0,"",VLOOKUP(A12,Notes!A:B,2,FALSE)))</f>
        <v>04/16/2026…AXYZ 34</v>
      </c>
    </row>
    <row r="13" spans="1:13" ht="33" customHeight="1" x14ac:dyDescent="0.25">
      <c r="A13" s="98" t="str">
        <v>25022-RM02</v>
      </c>
      <c r="B13" s="99" t="str">
        <f>IF(A13="","",IFERROR(VLOOKUP(A13,'Job Operations'!$A$4:$AA$304,2,FALSE),""))</f>
        <v>Vantage VA15</v>
      </c>
      <c r="C13" s="100" t="str">
        <f>IF(A13="","",IFERROR(VLOOKUP(A13,'Job Operations'!$A$4:$AA$304,3,FALSE),""))</f>
        <v>Thomas Mooers</v>
      </c>
      <c r="D13" s="100">
        <f>IF(A13="","",IFERROR(VLOOKUP(A13,'Job Operations'!$A$4:$AA$304,5,FALSE),""))</f>
        <v>1</v>
      </c>
      <c r="E13" s="100">
        <f>IF(A13="","",IFERROR(VLOOKUP(A13,'Job Operations'!$A$4:$AA$304,6,FALSE),""))</f>
        <v>1</v>
      </c>
      <c r="F13" s="100" t="str">
        <f>IF(A13="","",IFERROR(VLOOKUP(A13,'Job Operations'!$A$4:$AA$304,7,FALSE),""))</f>
        <v>FR ACM</v>
      </c>
      <c r="G13" s="101">
        <f>IF(A13="","",IFERROR(VLOOKUP(A13,'Job Operations'!$A$4:$AA$304,9,FALSE),""))</f>
        <v>46135</v>
      </c>
      <c r="H13" s="100" t="str" cm="1">
        <f t="array" ref="H13">IF(A13="","",_xlfn.LET(_xlpm.stn,IFERROR(VLOOKUP(A13,'Job Operations'!$A$4:$AA$304,12,FALSE),""),IF(OR(_xlpm.stn="AXYZ Titans Line",_xlpm.stn="AXYZ 34"),_xlfn.LET(_xlpm.pos,SUMPRODUCT((A$7:A13&lt;&gt;"")*(IFERROR(VLOOKUP(A$7:A13,'Job Operations'!$A$4:$AA$304,12,FALSE),"")="AXYZ Titans Line")+(A$7:A13&lt;&gt;"")*(IFERROR(VLOOKUP(A$7:A13,'Job Operations'!$A$4:$AA$304,12,FALSE),"")="AXYZ 34")),_xlpm.sfx,IF(OR(_xlpm.pos=11,_xlpm.pos=12,_xlpm.pos=13),"th",IF(MOD(_xlpm.pos,10)=1,"st",IF(MOD(_xlpm.pos,10)=2,"nd",IF(MOD(_xlpm.pos,10)=3,"rd","th")))),_xlpm.pos&amp;_xlpm.sfx),IF(_xlpm.stn&lt;&gt;"",_xlpm.stn,""))))</f>
        <v>3rd</v>
      </c>
      <c r="I13" s="102">
        <f t="shared" si="0"/>
        <v>0.14285714285714285</v>
      </c>
      <c r="J13" s="101">
        <f t="shared" si="1"/>
        <v>46128</v>
      </c>
      <c r="K13" s="100" t="str">
        <f>IF(A13="","",IFERROR(VLOOKUP(A13,'Job Operations'!$A$4:$AA$304,15,FALSE),""))</f>
        <v>Clean and Brake</v>
      </c>
      <c r="L13" s="100" t="str">
        <f>IF(A13="","",IFERROR(VLOOKUP(A13,'Job Operations'!$A$4:$AA$304,17,FALSE),""))</f>
        <v>Fab</v>
      </c>
      <c r="M13" s="168" t="str">
        <f>IF(A13="","",IF(IFERROR(VLOOKUP(A13,Notes!A:B,2,FALSE),"")=0,"",VLOOKUP(A13,Notes!A:B,2,FALSE)))</f>
        <v>04/16/2026…AXYZ 34</v>
      </c>
    </row>
    <row r="14" spans="1:13" x14ac:dyDescent="0.25">
      <c r="A14" s="103" t="str">
        <v>24026-FS01</v>
      </c>
      <c r="B14" s="104" t="str">
        <f>IF(A14="","",IFERROR(VLOOKUP(A14,'Job Operations'!$A$4:$AA$304,2,FALSE),""))</f>
        <v>1740 Division</v>
      </c>
      <c r="C14" s="105" t="str">
        <f>IF(A14="","",IFERROR(VLOOKUP(A14,'Job Operations'!$A$4:$AA$304,3,FALSE),""))</f>
        <v>Chris Buttrey</v>
      </c>
      <c r="D14" s="105">
        <f>IF(A14="","",IFERROR(VLOOKUP(A14,'Job Operations'!$A$4:$AA$304,5,FALSE),""))</f>
        <v>23</v>
      </c>
      <c r="E14" s="105">
        <f>IF(A14="","",IFERROR(VLOOKUP(A14,'Job Operations'!$A$4:$AA$304,6,FALSE),""))</f>
        <v>23</v>
      </c>
      <c r="F14" s="105" t="str">
        <f>IF(A14="","",IFERROR(VLOOKUP(A14,'Job Operations'!$A$4:$AA$304,7,FALSE),""))</f>
        <v>FR ACM</v>
      </c>
      <c r="G14" s="106">
        <f>IF(A14="","",IFERROR(VLOOKUP(A14,'Job Operations'!$A$4:$AA$304,9,FALSE),""))</f>
        <v>46139</v>
      </c>
      <c r="H14" s="105" t="str" cm="1">
        <f t="array" ref="H14">IF(A14="","",_xlfn.LET(_xlpm.stn,IFERROR(VLOOKUP(A14,'Job Operations'!$A$4:$AA$304,12,FALSE),""),IF(OR(_xlpm.stn="AXYZ Titans Line",_xlpm.stn="AXYZ 34"),_xlfn.LET(_xlpm.pos,SUMPRODUCT((A$7:A14&lt;&gt;"")*(IFERROR(VLOOKUP(A$7:A14,'Job Operations'!$A$4:$AA$304,12,FALSE),"")="AXYZ Titans Line")+(A$7:A14&lt;&gt;"")*(IFERROR(VLOOKUP(A$7:A14,'Job Operations'!$A$4:$AA$304,12,FALSE),"")="AXYZ 34")),_xlpm.sfx,IF(OR(_xlpm.pos=11,_xlpm.pos=12,_xlpm.pos=13),"th",IF(MOD(_xlpm.pos,10)=1,"st",IF(MOD(_xlpm.pos,10)=2,"nd",IF(MOD(_xlpm.pos,10)=3,"rd","th")))),_xlpm.pos&amp;_xlpm.sfx),IF(_xlpm.stn&lt;&gt;"",_xlpm.stn,""))))</f>
        <v>4th</v>
      </c>
      <c r="I14" s="102">
        <f t="shared" si="0"/>
        <v>3.2857142857142856</v>
      </c>
      <c r="J14" s="106">
        <f t="shared" si="1"/>
        <v>46132</v>
      </c>
      <c r="K14" s="105" t="str">
        <f>IF(A14="","",IFERROR(VLOOKUP(A14,'Job Operations'!$A$4:$AA$304,15,FALSE),""))</f>
        <v>Clean and Brake</v>
      </c>
      <c r="L14" s="105" t="str">
        <f>IF(A14="","",IFERROR(VLOOKUP(A14,'Job Operations'!$A$4:$AA$304,17,FALSE),""))</f>
        <v>Fab</v>
      </c>
      <c r="M14" s="167" t="str">
        <f>IF(A14="","",IF(IFERROR(VLOOKUP(A14,Notes!A:B,2,FALSE),"")=0,"",VLOOKUP(A14,Notes!A:B,2,FALSE)))</f>
        <v>04/15...Date adjusted to 04/27.*04/16/2026…AXYZ 34</v>
      </c>
    </row>
    <row r="15" spans="1:13" x14ac:dyDescent="0.25">
      <c r="A15" s="98" t="str">
        <v>25022-RO03</v>
      </c>
      <c r="B15" s="99" t="str">
        <f>IF(A15="","",IFERROR(VLOOKUP(A15,'Job Operations'!$A$4:$AA$304,2,FALSE),""))</f>
        <v>Vantage VA15</v>
      </c>
      <c r="C15" s="100" t="str">
        <f>IF(A15="","",IFERROR(VLOOKUP(A15,'Job Operations'!$A$4:$AA$304,3,FALSE),""))</f>
        <v>Thomas Mooers</v>
      </c>
      <c r="D15" s="100">
        <f>IF(A15="","",IFERROR(VLOOKUP(A15,'Job Operations'!$A$4:$AA$304,5,FALSE),""))</f>
        <v>3</v>
      </c>
      <c r="E15" s="100">
        <f>IF(A15="","",IFERROR(VLOOKUP(A15,'Job Operations'!$A$4:$AA$304,6,FALSE),""))</f>
        <v>3</v>
      </c>
      <c r="F15" s="100" t="str">
        <f>IF(A15="","",IFERROR(VLOOKUP(A15,'Job Operations'!$A$4:$AA$304,7,FALSE),""))</f>
        <v>FR ACM</v>
      </c>
      <c r="G15" s="101">
        <f>IF(A15="","",IFERROR(VLOOKUP(A15,'Job Operations'!$A$4:$AA$304,9,FALSE),""))</f>
        <v>46139</v>
      </c>
      <c r="H15" s="100" t="str" cm="1">
        <f t="array" ref="H15">IF(A15="","",_xlfn.LET(_xlpm.stn,IFERROR(VLOOKUP(A15,'Job Operations'!$A$4:$AA$304,12,FALSE),""),IF(OR(_xlpm.stn="AXYZ Titans Line",_xlpm.stn="AXYZ 34"),_xlfn.LET(_xlpm.pos,SUMPRODUCT((A$7:A15&lt;&gt;"")*(IFERROR(VLOOKUP(A$7:A15,'Job Operations'!$A$4:$AA$304,12,FALSE),"")="AXYZ Titans Line")+(A$7:A15&lt;&gt;"")*(IFERROR(VLOOKUP(A$7:A15,'Job Operations'!$A$4:$AA$304,12,FALSE),"")="AXYZ 34")),_xlpm.sfx,IF(OR(_xlpm.pos=11,_xlpm.pos=12,_xlpm.pos=13),"th",IF(MOD(_xlpm.pos,10)=1,"st",IF(MOD(_xlpm.pos,10)=2,"nd",IF(MOD(_xlpm.pos,10)=3,"rd","th")))),_xlpm.pos&amp;_xlpm.sfx),IF(_xlpm.stn&lt;&gt;"",_xlpm.stn,""))))</f>
        <v>5th</v>
      </c>
      <c r="I15" s="102">
        <f t="shared" si="0"/>
        <v>0.42857142857142855</v>
      </c>
      <c r="J15" s="101">
        <f t="shared" si="1"/>
        <v>46132</v>
      </c>
      <c r="K15" s="100" t="str">
        <f>IF(A15="","",IFERROR(VLOOKUP(A15,'Job Operations'!$A$4:$AA$304,15,FALSE),""))</f>
        <v>Clean and Brake</v>
      </c>
      <c r="L15" s="100" t="str">
        <f>IF(A15="","",IFERROR(VLOOKUP(A15,'Job Operations'!$A$4:$AA$304,17,FALSE),""))</f>
        <v>Fab</v>
      </c>
      <c r="M15" s="168" t="str">
        <f>IF(A15="","",IF(IFERROR(VLOOKUP(A15,Notes!A:B,2,FALSE),"")=0,"",VLOOKUP(A15,Notes!A:B,2,FALSE)))</f>
        <v>04/16/2026…AXYZ 34</v>
      </c>
    </row>
    <row r="16" spans="1:13" x14ac:dyDescent="0.25">
      <c r="A16" s="103" t="str">
        <v>25067-FS02</v>
      </c>
      <c r="B16" s="104" t="str">
        <f>IF(A16="","",IFERROR(VLOOKUP(A16,'Job Operations'!$A$4:$AA$304,2,FALSE),""))</f>
        <v>Harison Bend</v>
      </c>
      <c r="C16" s="105" t="str">
        <f>IF(A16="","",IFERROR(VLOOKUP(A16,'Job Operations'!$A$4:$AA$304,3,FALSE),""))</f>
        <v>Andre Van Der Merwe</v>
      </c>
      <c r="D16" s="105">
        <f>IF(A16="","",IFERROR(VLOOKUP(A16,'Job Operations'!$A$4:$AA$304,5,FALSE),""))</f>
        <v>29</v>
      </c>
      <c r="E16" s="105">
        <f>IF(A16="","",IFERROR(VLOOKUP(A16,'Job Operations'!$A$4:$AA$304,6,FALSE),""))</f>
        <v>29</v>
      </c>
      <c r="F16" s="105" t="str">
        <f>IF(A16="","",IFERROR(VLOOKUP(A16,'Job Operations'!$A$4:$AA$304,7,FALSE),""))</f>
        <v>FR ACM</v>
      </c>
      <c r="G16" s="106">
        <f>IF(A16="","",IFERROR(VLOOKUP(A16,'Job Operations'!$A$4:$AA$304,9,FALSE),""))</f>
        <v>46142</v>
      </c>
      <c r="H16" s="105" t="str" cm="1">
        <f t="array" ref="H16">IF(A16="","",_xlfn.LET(_xlpm.stn,IFERROR(VLOOKUP(A16,'Job Operations'!$A$4:$AA$304,12,FALSE),""),IF(OR(_xlpm.stn="AXYZ Titans Line",_xlpm.stn="AXYZ 34"),_xlfn.LET(_xlpm.pos,SUMPRODUCT((A$7:A16&lt;&gt;"")*(IFERROR(VLOOKUP(A$7:A16,'Job Operations'!$A$4:$AA$304,12,FALSE),"")="AXYZ Titans Line")+(A$7:A16&lt;&gt;"")*(IFERROR(VLOOKUP(A$7:A16,'Job Operations'!$A$4:$AA$304,12,FALSE),"")="AXYZ 34")),_xlpm.sfx,IF(OR(_xlpm.pos=11,_xlpm.pos=12,_xlpm.pos=13),"th",IF(MOD(_xlpm.pos,10)=1,"st",IF(MOD(_xlpm.pos,10)=2,"nd",IF(MOD(_xlpm.pos,10)=3,"rd","th")))),_xlpm.pos&amp;_xlpm.sfx),IF(_xlpm.stn&lt;&gt;"",_xlpm.stn,""))))</f>
        <v>6th</v>
      </c>
      <c r="I16" s="102">
        <f t="shared" si="0"/>
        <v>4.1428571428571432</v>
      </c>
      <c r="J16" s="106">
        <f t="shared" si="1"/>
        <v>46135</v>
      </c>
      <c r="K16" s="105" t="str">
        <f>IF(A16="","",IFERROR(VLOOKUP(A16,'Job Operations'!$A$4:$AA$304,15,FALSE),""))</f>
        <v>Clean and Brake</v>
      </c>
      <c r="L16" s="105" t="str">
        <f>IF(A16="","",IFERROR(VLOOKUP(A16,'Job Operations'!$A$4:$AA$304,17,FALSE),""))</f>
        <v>Fab</v>
      </c>
      <c r="M16" s="167" t="str">
        <f>IF(A16="","",IF(IFERROR(VLOOKUP(A16,Notes!A:B,2,FALSE),"")=0,"",VLOOKUP(A16,Notes!A:B,2,FALSE)))</f>
        <v>04/15…CNC...Confirmed Shipdate of 04/22 with PM.*04/16/2026…AXYZ 34</v>
      </c>
    </row>
    <row r="17" spans="1:13" x14ac:dyDescent="0.25">
      <c r="A17" s="98" t="str">
        <v>25012-FS02</v>
      </c>
      <c r="B17" s="99" t="str">
        <f>IF(A17="","",IFERROR(VLOOKUP(A17,'Job Operations'!$A$4:$AA$304,2,FALSE),""))</f>
        <v>St Jude Hospital</v>
      </c>
      <c r="C17" s="100" t="str">
        <f>IF(A17="","",IFERROR(VLOOKUP(A17,'Job Operations'!$A$4:$AA$304,3,FALSE),""))</f>
        <v>Wylie McDougall</v>
      </c>
      <c r="D17" s="100">
        <f>IF(A17="","",IFERROR(VLOOKUP(A17,'Job Operations'!$A$4:$AA$304,5,FALSE),""))</f>
        <v>60</v>
      </c>
      <c r="E17" s="100">
        <f>IF(A17="","",IFERROR(VLOOKUP(A17,'Job Operations'!$A$4:$AA$304,6,FALSE),""))</f>
        <v>60</v>
      </c>
      <c r="F17" s="100" t="str">
        <f>IF(A17="","",IFERROR(VLOOKUP(A17,'Job Operations'!$A$4:$AA$304,7,FALSE),""))</f>
        <v>FR ACM</v>
      </c>
      <c r="G17" s="101">
        <f>IF(A17="","",IFERROR(VLOOKUP(A17,'Job Operations'!$A$4:$AA$304,9,FALSE),""))</f>
        <v>46185</v>
      </c>
      <c r="H17" s="100" t="str" cm="1">
        <f t="array" ref="H17">IF(A17="","",_xlfn.LET(_xlpm.stn,IFERROR(VLOOKUP(A17,'Job Operations'!$A$4:$AA$304,12,FALSE),""),IF(OR(_xlpm.stn="AXYZ Titans Line",_xlpm.stn="AXYZ 34"),_xlfn.LET(_xlpm.pos,SUMPRODUCT((A$7:A17&lt;&gt;"")*(IFERROR(VLOOKUP(A$7:A17,'Job Operations'!$A$4:$AA$304,12,FALSE),"")="AXYZ Titans Line")+(A$7:A17&lt;&gt;"")*(IFERROR(VLOOKUP(A$7:A17,'Job Operations'!$A$4:$AA$304,12,FALSE),"")="AXYZ 34")),_xlpm.sfx,IF(OR(_xlpm.pos=11,_xlpm.pos=12,_xlpm.pos=13),"th",IF(MOD(_xlpm.pos,10)=1,"st",IF(MOD(_xlpm.pos,10)=2,"nd",IF(MOD(_xlpm.pos,10)=3,"rd","th")))),_xlpm.pos&amp;_xlpm.sfx),IF(_xlpm.stn&lt;&gt;"",_xlpm.stn,""))))</f>
        <v>7th</v>
      </c>
      <c r="I17" s="102">
        <f t="shared" si="0"/>
        <v>8.5714285714285712</v>
      </c>
      <c r="J17" s="101">
        <f t="shared" si="1"/>
        <v>46177</v>
      </c>
      <c r="K17" s="100" t="str">
        <f>IF(A17="","",IFERROR(VLOOKUP(A17,'Job Operations'!$A$4:$AA$304,15,FALSE),""))</f>
        <v>Clean and Brake</v>
      </c>
      <c r="L17" s="100" t="str">
        <f>IF(A17="","",IFERROR(VLOOKUP(A17,'Job Operations'!$A$4:$AA$304,17,FALSE),""))</f>
        <v>Fab</v>
      </c>
      <c r="M17" s="168" t="str">
        <f>IF(A17="","",IF(IFERROR(VLOOKUP(A17,Notes!A:B,2,FALSE),"")=0,"",VLOOKUP(A17,Notes!A:B,2,FALSE)))</f>
        <v>04/16/2026…AXYZ 34</v>
      </c>
    </row>
    <row r="18" spans="1:13" x14ac:dyDescent="0.25">
      <c r="A18" s="103"/>
      <c r="B18" s="104" t="str">
        <f>IF(A18="","",IFERROR(VLOOKUP(A18,'Job Operations'!$A$4:$AA$304,2,FALSE),""))</f>
        <v/>
      </c>
      <c r="C18" s="105" t="str">
        <f>IF(A18="","",IFERROR(VLOOKUP(A18,'Job Operations'!$A$4:$AA$304,3,FALSE),""))</f>
        <v/>
      </c>
      <c r="D18" s="105" t="str">
        <f>IF(A18="","",IFERROR(VLOOKUP(A18,'Job Operations'!$A$4:$AA$304,5,FALSE),""))</f>
        <v/>
      </c>
      <c r="E18" s="105" t="str">
        <f>IF(A18="","",IFERROR(VLOOKUP(A18,'Job Operations'!$A$4:$AA$304,6,FALSE),""))</f>
        <v/>
      </c>
      <c r="F18" s="105" t="str">
        <f>IF(A18="","",IFERROR(VLOOKUP(A18,'Job Operations'!$A$4:$AA$304,7,FALSE),""))</f>
        <v/>
      </c>
      <c r="G18" s="106" t="str">
        <f>IF(A18="","",IFERROR(VLOOKUP(A18,'Job Operations'!$A$4:$AA$304,9,FALSE),""))</f>
        <v/>
      </c>
      <c r="H18" s="105" t="str" cm="1">
        <f t="array" ref="H18">IF(A18="","",_xlfn.LET(_xlpm.stn,IFERROR(VLOOKUP(A18,'Job Operations'!$A$4:$AA$304,12,FALSE),""),IF(OR(_xlpm.stn="AXYZ Titans Line",_xlpm.stn="AXYZ 34"),_xlfn.LET(_xlpm.pos,SUMPRODUCT((A$7:A18&lt;&gt;"")*(IFERROR(VLOOKUP(A$7:A18,'Job Operations'!$A$4:$AA$304,12,FALSE),"")="AXYZ Titans Line")+(A$7:A18&lt;&gt;"")*(IFERROR(VLOOKUP(A$7:A18,'Job Operations'!$A$4:$AA$304,12,FALSE),"")="AXYZ 34")),_xlpm.sfx,IF(OR(_xlpm.pos=11,_xlpm.pos=12,_xlpm.pos=13),"th",IF(MOD(_xlpm.pos,10)=1,"st",IF(MOD(_xlpm.pos,10)=2,"nd",IF(MOD(_xlpm.pos,10)=3,"rd","th")))),_xlpm.pos&amp;_xlpm.sfx),IF(_xlpm.stn&lt;&gt;"",_xlpm.stn,""))))</f>
        <v/>
      </c>
      <c r="I18" s="102" t="str">
        <f t="shared" si="0"/>
        <v/>
      </c>
      <c r="J18" s="106" t="str">
        <f t="shared" si="1"/>
        <v/>
      </c>
      <c r="K18" s="105" t="str">
        <f>IF(A18="","",IFERROR(VLOOKUP(A18,'Job Operations'!$A$4:$AA$304,15,FALSE),""))</f>
        <v/>
      </c>
      <c r="L18" s="105" t="str">
        <f>IF(A18="","",IFERROR(VLOOKUP(A18,'Job Operations'!$A$4:$AA$304,17,FALSE),""))</f>
        <v/>
      </c>
      <c r="M18" s="167" t="str">
        <f>IF(A18="","",IF(IFERROR(VLOOKUP(A18,Notes!A:B,2,FALSE),"")=0,"",VLOOKUP(A18,Notes!A:B,2,FALSE)))</f>
        <v/>
      </c>
    </row>
    <row r="19" spans="1:13" x14ac:dyDescent="0.25">
      <c r="A19" s="98"/>
      <c r="B19" s="99" t="str">
        <f>IF(A19="","",IFERROR(VLOOKUP(A19,'Job Operations'!$A$4:$AA$304,2,FALSE),""))</f>
        <v/>
      </c>
      <c r="C19" s="100" t="str">
        <f>IF(A19="","",IFERROR(VLOOKUP(A19,'Job Operations'!$A$4:$AA$304,3,FALSE),""))</f>
        <v/>
      </c>
      <c r="D19" s="100" t="str">
        <f>IF(A19="","",IFERROR(VLOOKUP(A19,'Job Operations'!$A$4:$AA$304,5,FALSE),""))</f>
        <v/>
      </c>
      <c r="E19" s="100" t="str">
        <f>IF(A19="","",IFERROR(VLOOKUP(A19,'Job Operations'!$A$4:$AA$304,6,FALSE),""))</f>
        <v/>
      </c>
      <c r="F19" s="100" t="str">
        <f>IF(A19="","",IFERROR(VLOOKUP(A19,'Job Operations'!$A$4:$AA$304,7,FALSE),""))</f>
        <v/>
      </c>
      <c r="G19" s="101" t="str">
        <f>IF(A19="","",IFERROR(VLOOKUP(A19,'Job Operations'!$A$4:$AA$304,9,FALSE),""))</f>
        <v/>
      </c>
      <c r="H19" s="100" t="str" cm="1">
        <f t="array" ref="H19">IF(A19="","",_xlfn.LET(_xlpm.stn,IFERROR(VLOOKUP(A19,'Job Operations'!$A$4:$AA$304,12,FALSE),""),IF(OR(_xlpm.stn="AXYZ Titans Line",_xlpm.stn="AXYZ 34"),_xlfn.LET(_xlpm.pos,SUMPRODUCT((A$7:A19&lt;&gt;"")*(IFERROR(VLOOKUP(A$7:A19,'Job Operations'!$A$4:$AA$304,12,FALSE),"")="AXYZ Titans Line")+(A$7:A19&lt;&gt;"")*(IFERROR(VLOOKUP(A$7:A19,'Job Operations'!$A$4:$AA$304,12,FALSE),"")="AXYZ 34")),_xlpm.sfx,IF(OR(_xlpm.pos=11,_xlpm.pos=12,_xlpm.pos=13),"th",IF(MOD(_xlpm.pos,10)=1,"st",IF(MOD(_xlpm.pos,10)=2,"nd",IF(MOD(_xlpm.pos,10)=3,"rd","th")))),_xlpm.pos&amp;_xlpm.sfx),IF(_xlpm.stn&lt;&gt;"",_xlpm.stn,""))))</f>
        <v/>
      </c>
      <c r="I19" s="102" t="str">
        <f t="shared" si="0"/>
        <v/>
      </c>
      <c r="J19" s="101" t="str">
        <f t="shared" si="1"/>
        <v/>
      </c>
      <c r="K19" s="100" t="str">
        <f>IF(A19="","",IFERROR(VLOOKUP(A19,'Job Operations'!$A$4:$AA$304,15,FALSE),""))</f>
        <v/>
      </c>
      <c r="L19" s="100" t="str">
        <f>IF(A19="","",IFERROR(VLOOKUP(A19,'Job Operations'!$A$4:$AA$304,17,FALSE),""))</f>
        <v/>
      </c>
      <c r="M19" s="168" t="str">
        <f>IF(A19="","",IF(IFERROR(VLOOKUP(A19,Notes!A:B,2,FALSE),"")=0,"",VLOOKUP(A19,Notes!A:B,2,FALSE)))</f>
        <v/>
      </c>
    </row>
    <row r="20" spans="1:13" x14ac:dyDescent="0.25">
      <c r="A20" s="103"/>
      <c r="B20" s="104" t="str">
        <f>IF(A20="","",IFERROR(VLOOKUP(A20,'Job Operations'!$A$4:$AA$304,2,FALSE),""))</f>
        <v/>
      </c>
      <c r="C20" s="105" t="str">
        <f>IF(A20="","",IFERROR(VLOOKUP(A20,'Job Operations'!$A$4:$AA$304,3,FALSE),""))</f>
        <v/>
      </c>
      <c r="D20" s="105" t="str">
        <f>IF(A20="","",IFERROR(VLOOKUP(A20,'Job Operations'!$A$4:$AA$304,5,FALSE),""))</f>
        <v/>
      </c>
      <c r="E20" s="105" t="str">
        <f>IF(A20="","",IFERROR(VLOOKUP(A20,'Job Operations'!$A$4:$AA$304,6,FALSE),""))</f>
        <v/>
      </c>
      <c r="F20" s="105" t="str">
        <f>IF(A20="","",IFERROR(VLOOKUP(A20,'Job Operations'!$A$4:$AA$304,7,FALSE),""))</f>
        <v/>
      </c>
      <c r="G20" s="106" t="str">
        <f>IF(A20="","",IFERROR(VLOOKUP(A20,'Job Operations'!$A$4:$AA$304,9,FALSE),""))</f>
        <v/>
      </c>
      <c r="H20" s="105" t="str" cm="1">
        <f t="array" ref="H20">IF(A20="","",_xlfn.LET(_xlpm.stn,IFERROR(VLOOKUP(A20,'Job Operations'!$A$4:$AA$304,12,FALSE),""),IF(OR(_xlpm.stn="AXYZ Titans Line",_xlpm.stn="AXYZ 34"),_xlfn.LET(_xlpm.pos,SUMPRODUCT((A$7:A20&lt;&gt;"")*(IFERROR(VLOOKUP(A$7:A20,'Job Operations'!$A$4:$AA$304,12,FALSE),"")="AXYZ Titans Line")+(A$7:A20&lt;&gt;"")*(IFERROR(VLOOKUP(A$7:A20,'Job Operations'!$A$4:$AA$304,12,FALSE),"")="AXYZ 34")),_xlpm.sfx,IF(OR(_xlpm.pos=11,_xlpm.pos=12,_xlpm.pos=13),"th",IF(MOD(_xlpm.pos,10)=1,"st",IF(MOD(_xlpm.pos,10)=2,"nd",IF(MOD(_xlpm.pos,10)=3,"rd","th")))),_xlpm.pos&amp;_xlpm.sfx),IF(_xlpm.stn&lt;&gt;"",_xlpm.stn,""))))</f>
        <v/>
      </c>
      <c r="I20" s="102" t="str">
        <f t="shared" si="0"/>
        <v/>
      </c>
      <c r="J20" s="106" t="str">
        <f t="shared" si="1"/>
        <v/>
      </c>
      <c r="K20" s="105" t="str">
        <f>IF(A20="","",IFERROR(VLOOKUP(A20,'Job Operations'!$A$4:$AA$304,15,FALSE),""))</f>
        <v/>
      </c>
      <c r="L20" s="105" t="str">
        <f>IF(A20="","",IFERROR(VLOOKUP(A20,'Job Operations'!$A$4:$AA$304,17,FALSE),""))</f>
        <v/>
      </c>
      <c r="M20" s="167" t="str">
        <f>IF(A20="","",IF(IFERROR(VLOOKUP(A20,Notes!A:B,2,FALSE),"")=0,"",VLOOKUP(A20,Notes!A:B,2,FALSE)))</f>
        <v/>
      </c>
    </row>
    <row r="21" spans="1:13" x14ac:dyDescent="0.25">
      <c r="A21" s="98"/>
      <c r="B21" s="99" t="str">
        <f>IF(A21="","",IFERROR(VLOOKUP(A21,'Job Operations'!$A$4:$AA$304,2,FALSE),""))</f>
        <v/>
      </c>
      <c r="C21" s="100" t="str">
        <f>IF(A21="","",IFERROR(VLOOKUP(A21,'Job Operations'!$A$4:$AA$304,3,FALSE),""))</f>
        <v/>
      </c>
      <c r="D21" s="100" t="str">
        <f>IF(A21="","",IFERROR(VLOOKUP(A21,'Job Operations'!$A$4:$AA$304,5,FALSE),""))</f>
        <v/>
      </c>
      <c r="E21" s="100" t="str">
        <f>IF(A21="","",IFERROR(VLOOKUP(A21,'Job Operations'!$A$4:$AA$304,6,FALSE),""))</f>
        <v/>
      </c>
      <c r="F21" s="100" t="str">
        <f>IF(A21="","",IFERROR(VLOOKUP(A21,'Job Operations'!$A$4:$AA$304,7,FALSE),""))</f>
        <v/>
      </c>
      <c r="G21" s="101" t="str">
        <f>IF(A21="","",IFERROR(VLOOKUP(A21,'Job Operations'!$A$4:$AA$304,9,FALSE),""))</f>
        <v/>
      </c>
      <c r="H21" s="100" t="str" cm="1">
        <f t="array" ref="H21">IF(A21="","",_xlfn.LET(_xlpm.stn,IFERROR(VLOOKUP(A21,'Job Operations'!$A$4:$AA$304,12,FALSE),""),IF(OR(_xlpm.stn="AXYZ Titans Line",_xlpm.stn="AXYZ 34"),_xlfn.LET(_xlpm.pos,SUMPRODUCT((A$7:A21&lt;&gt;"")*(IFERROR(VLOOKUP(A$7:A21,'Job Operations'!$A$4:$AA$304,12,FALSE),"")="AXYZ Titans Line")+(A$7:A21&lt;&gt;"")*(IFERROR(VLOOKUP(A$7:A21,'Job Operations'!$A$4:$AA$304,12,FALSE),"")="AXYZ 34")),_xlpm.sfx,IF(OR(_xlpm.pos=11,_xlpm.pos=12,_xlpm.pos=13),"th",IF(MOD(_xlpm.pos,10)=1,"st",IF(MOD(_xlpm.pos,10)=2,"nd",IF(MOD(_xlpm.pos,10)=3,"rd","th")))),_xlpm.pos&amp;_xlpm.sfx),IF(_xlpm.stn&lt;&gt;"",_xlpm.stn,""))))</f>
        <v/>
      </c>
      <c r="I21" s="102" t="str">
        <f t="shared" si="0"/>
        <v/>
      </c>
      <c r="J21" s="101" t="str">
        <f t="shared" si="1"/>
        <v/>
      </c>
      <c r="K21" s="100" t="str">
        <f>IF(A21="","",IFERROR(VLOOKUP(A21,'Job Operations'!$A$4:$AA$304,15,FALSE),""))</f>
        <v/>
      </c>
      <c r="L21" s="100" t="str">
        <f>IF(A21="","",IFERROR(VLOOKUP(A21,'Job Operations'!$A$4:$AA$304,17,FALSE),""))</f>
        <v/>
      </c>
      <c r="M21" s="168" t="str">
        <f>IF(A21="","",IF(IFERROR(VLOOKUP(A21,Notes!A:B,2,FALSE),"")=0,"",VLOOKUP(A21,Notes!A:B,2,FALSE)))</f>
        <v/>
      </c>
    </row>
    <row r="22" spans="1:13" x14ac:dyDescent="0.25">
      <c r="A22" s="103"/>
      <c r="B22" s="104" t="str">
        <f>IF(A22="","",IFERROR(VLOOKUP(A22,'Job Operations'!$A$4:$AA$304,2,FALSE),""))</f>
        <v/>
      </c>
      <c r="C22" s="105" t="str">
        <f>IF(A22="","",IFERROR(VLOOKUP(A22,'Job Operations'!$A$4:$AA$304,3,FALSE),""))</f>
        <v/>
      </c>
      <c r="D22" s="105" t="str">
        <f>IF(A22="","",IFERROR(VLOOKUP(A22,'Job Operations'!$A$4:$AA$304,5,FALSE),""))</f>
        <v/>
      </c>
      <c r="E22" s="105" t="str">
        <f>IF(A22="","",IFERROR(VLOOKUP(A22,'Job Operations'!$A$4:$AA$304,6,FALSE),""))</f>
        <v/>
      </c>
      <c r="F22" s="105" t="str">
        <f>IF(A22="","",IFERROR(VLOOKUP(A22,'Job Operations'!$A$4:$AA$304,7,FALSE),""))</f>
        <v/>
      </c>
      <c r="G22" s="106" t="str">
        <f>IF(A22="","",IFERROR(VLOOKUP(A22,'Job Operations'!$A$4:$AA$304,9,FALSE),""))</f>
        <v/>
      </c>
      <c r="H22" s="105" t="str" cm="1">
        <f t="array" ref="H22">IF(A22="","",_xlfn.LET(_xlpm.stn,IFERROR(VLOOKUP(A22,'Job Operations'!$A$4:$AA$304,12,FALSE),""),IF(OR(_xlpm.stn="AXYZ Titans Line",_xlpm.stn="AXYZ 34"),_xlfn.LET(_xlpm.pos,SUMPRODUCT((A$7:A22&lt;&gt;"")*(IFERROR(VLOOKUP(A$7:A22,'Job Operations'!$A$4:$AA$304,12,FALSE),"")="AXYZ Titans Line")+(A$7:A22&lt;&gt;"")*(IFERROR(VLOOKUP(A$7:A22,'Job Operations'!$A$4:$AA$304,12,FALSE),"")="AXYZ 34")),_xlpm.sfx,IF(OR(_xlpm.pos=11,_xlpm.pos=12,_xlpm.pos=13),"th",IF(MOD(_xlpm.pos,10)=1,"st",IF(MOD(_xlpm.pos,10)=2,"nd",IF(MOD(_xlpm.pos,10)=3,"rd","th")))),_xlpm.pos&amp;_xlpm.sfx),IF(_xlpm.stn&lt;&gt;"",_xlpm.stn,""))))</f>
        <v/>
      </c>
      <c r="I22" s="102" t="str">
        <f t="shared" si="0"/>
        <v/>
      </c>
      <c r="J22" s="106" t="str">
        <f t="shared" si="1"/>
        <v/>
      </c>
      <c r="K22" s="105" t="str">
        <f>IF(A22="","",IFERROR(VLOOKUP(A22,'Job Operations'!$A$4:$AA$304,15,FALSE),""))</f>
        <v/>
      </c>
      <c r="L22" s="105" t="str">
        <f>IF(A22="","",IFERROR(VLOOKUP(A22,'Job Operations'!$A$4:$AA$304,17,FALSE),""))</f>
        <v/>
      </c>
      <c r="M22" s="167" t="str">
        <f>IF(A22="","",IF(IFERROR(VLOOKUP(A22,Notes!A:B,2,FALSE),"")=0,"",VLOOKUP(A22,Notes!A:B,2,FALSE)))</f>
        <v/>
      </c>
    </row>
    <row r="23" spans="1:13" x14ac:dyDescent="0.25">
      <c r="A23" s="98"/>
      <c r="B23" s="99" t="str">
        <f>IF(A23="","",IFERROR(VLOOKUP(A23,'Job Operations'!$A$4:$AA$304,2,FALSE),""))</f>
        <v/>
      </c>
      <c r="C23" s="100" t="str">
        <f>IF(A23="","",IFERROR(VLOOKUP(A23,'Job Operations'!$A$4:$AA$304,3,FALSE),""))</f>
        <v/>
      </c>
      <c r="D23" s="100" t="str">
        <f>IF(A23="","",IFERROR(VLOOKUP(A23,'Job Operations'!$A$4:$AA$304,5,FALSE),""))</f>
        <v/>
      </c>
      <c r="E23" s="100" t="str">
        <f>IF(A23="","",IFERROR(VLOOKUP(A23,'Job Operations'!$A$4:$AA$304,6,FALSE),""))</f>
        <v/>
      </c>
      <c r="F23" s="100" t="str">
        <f>IF(A23="","",IFERROR(VLOOKUP(A23,'Job Operations'!$A$4:$AA$304,7,FALSE),""))</f>
        <v/>
      </c>
      <c r="G23" s="101" t="str">
        <f>IF(A23="","",IFERROR(VLOOKUP(A23,'Job Operations'!$A$4:$AA$304,9,FALSE),""))</f>
        <v/>
      </c>
      <c r="H23" s="100" t="str" cm="1">
        <f t="array" ref="H23">IF(A23="","",_xlfn.LET(_xlpm.stn,IFERROR(VLOOKUP(A23,'Job Operations'!$A$4:$AA$304,12,FALSE),""),IF(OR(_xlpm.stn="AXYZ Titans Line",_xlpm.stn="AXYZ 34"),_xlfn.LET(_xlpm.pos,SUMPRODUCT((A$7:A23&lt;&gt;"")*(IFERROR(VLOOKUP(A$7:A23,'Job Operations'!$A$4:$AA$304,12,FALSE),"")="AXYZ Titans Line")+(A$7:A23&lt;&gt;"")*(IFERROR(VLOOKUP(A$7:A23,'Job Operations'!$A$4:$AA$304,12,FALSE),"")="AXYZ 34")),_xlpm.sfx,IF(OR(_xlpm.pos=11,_xlpm.pos=12,_xlpm.pos=13),"th",IF(MOD(_xlpm.pos,10)=1,"st",IF(MOD(_xlpm.pos,10)=2,"nd",IF(MOD(_xlpm.pos,10)=3,"rd","th")))),_xlpm.pos&amp;_xlpm.sfx),IF(_xlpm.stn&lt;&gt;"",_xlpm.stn,""))))</f>
        <v/>
      </c>
      <c r="I23" s="102" t="str">
        <f t="shared" si="0"/>
        <v/>
      </c>
      <c r="J23" s="101" t="str">
        <f t="shared" si="1"/>
        <v/>
      </c>
      <c r="K23" s="100" t="str">
        <f>IF(A23="","",IFERROR(VLOOKUP(A23,'Job Operations'!$A$4:$AA$304,15,FALSE),""))</f>
        <v/>
      </c>
      <c r="L23" s="100" t="str">
        <f>IF(A23="","",IFERROR(VLOOKUP(A23,'Job Operations'!$A$4:$AA$304,17,FALSE),""))</f>
        <v/>
      </c>
      <c r="M23" s="168" t="str">
        <f>IF(A23="","",IF(IFERROR(VLOOKUP(A23,Notes!A:B,2,FALSE),"")=0,"",VLOOKUP(A23,Notes!A:B,2,FALSE)))</f>
        <v/>
      </c>
    </row>
    <row r="24" spans="1:13" x14ac:dyDescent="0.25">
      <c r="A24" s="103"/>
      <c r="B24" s="104" t="str">
        <f>IF(A24="","",IFERROR(VLOOKUP(A24,'Job Operations'!$A$4:$AA$304,2,FALSE),""))</f>
        <v/>
      </c>
      <c r="C24" s="105" t="str">
        <f>IF(A24="","",IFERROR(VLOOKUP(A24,'Job Operations'!$A$4:$AA$304,3,FALSE),""))</f>
        <v/>
      </c>
      <c r="D24" s="105" t="str">
        <f>IF(A24="","",IFERROR(VLOOKUP(A24,'Job Operations'!$A$4:$AA$304,5,FALSE),""))</f>
        <v/>
      </c>
      <c r="E24" s="105" t="str">
        <f>IF(A24="","",IFERROR(VLOOKUP(A24,'Job Operations'!$A$4:$AA$304,6,FALSE),""))</f>
        <v/>
      </c>
      <c r="F24" s="105" t="str">
        <f>IF(A24="","",IFERROR(VLOOKUP(A24,'Job Operations'!$A$4:$AA$304,7,FALSE),""))</f>
        <v/>
      </c>
      <c r="G24" s="106" t="str">
        <f>IF(A24="","",IFERROR(VLOOKUP(A24,'Job Operations'!$A$4:$AA$304,9,FALSE),""))</f>
        <v/>
      </c>
      <c r="H24" s="105" t="str" cm="1">
        <f t="array" ref="H24">IF(A24="","",_xlfn.LET(_xlpm.stn,IFERROR(VLOOKUP(A24,'Job Operations'!$A$4:$AA$304,12,FALSE),""),IF(OR(_xlpm.stn="AXYZ Titans Line",_xlpm.stn="AXYZ 34"),_xlfn.LET(_xlpm.pos,SUMPRODUCT((A$7:A24&lt;&gt;"")*(IFERROR(VLOOKUP(A$7:A24,'Job Operations'!$A$4:$AA$304,12,FALSE),"")="AXYZ Titans Line")+(A$7:A24&lt;&gt;"")*(IFERROR(VLOOKUP(A$7:A24,'Job Operations'!$A$4:$AA$304,12,FALSE),"")="AXYZ 34")),_xlpm.sfx,IF(OR(_xlpm.pos=11,_xlpm.pos=12,_xlpm.pos=13),"th",IF(MOD(_xlpm.pos,10)=1,"st",IF(MOD(_xlpm.pos,10)=2,"nd",IF(MOD(_xlpm.pos,10)=3,"rd","th")))),_xlpm.pos&amp;_xlpm.sfx),IF(_xlpm.stn&lt;&gt;"",_xlpm.stn,""))))</f>
        <v/>
      </c>
      <c r="I24" s="102" t="str">
        <f t="shared" si="0"/>
        <v/>
      </c>
      <c r="J24" s="106" t="str">
        <f t="shared" si="1"/>
        <v/>
      </c>
      <c r="K24" s="105" t="str">
        <f>IF(A24="","",IFERROR(VLOOKUP(A24,'Job Operations'!$A$4:$AA$304,15,FALSE),""))</f>
        <v/>
      </c>
      <c r="L24" s="105" t="str">
        <f>IF(A24="","",IFERROR(VLOOKUP(A24,'Job Operations'!$A$4:$AA$304,17,FALSE),""))</f>
        <v/>
      </c>
      <c r="M24" s="167" t="str">
        <f>IF(A24="","",IF(IFERROR(VLOOKUP(A24,Notes!A:B,2,FALSE),"")=0,"",VLOOKUP(A24,Notes!A:B,2,FALSE)))</f>
        <v/>
      </c>
    </row>
    <row r="25" spans="1:13" x14ac:dyDescent="0.25">
      <c r="A25" s="98"/>
      <c r="B25" s="99" t="str">
        <f>IF(A25="","",IFERROR(VLOOKUP(A25,'Job Operations'!$A$4:$AA$304,2,FALSE),""))</f>
        <v/>
      </c>
      <c r="C25" s="100" t="str">
        <f>IF(A25="","",IFERROR(VLOOKUP(A25,'Job Operations'!$A$4:$AA$304,3,FALSE),""))</f>
        <v/>
      </c>
      <c r="D25" s="100" t="str">
        <f>IF(A25="","",IFERROR(VLOOKUP(A25,'Job Operations'!$A$4:$AA$304,5,FALSE),""))</f>
        <v/>
      </c>
      <c r="E25" s="100" t="str">
        <f>IF(A25="","",IFERROR(VLOOKUP(A25,'Job Operations'!$A$4:$AA$304,6,FALSE),""))</f>
        <v/>
      </c>
      <c r="F25" s="100" t="str">
        <f>IF(A25="","",IFERROR(VLOOKUP(A25,'Job Operations'!$A$4:$AA$304,7,FALSE),""))</f>
        <v/>
      </c>
      <c r="G25" s="101" t="str">
        <f>IF(A25="","",IFERROR(VLOOKUP(A25,'Job Operations'!$A$4:$AA$304,9,FALSE),""))</f>
        <v/>
      </c>
      <c r="H25" s="100" t="str" cm="1">
        <f t="array" ref="H25">IF(A25="","",_xlfn.LET(_xlpm.stn,IFERROR(VLOOKUP(A25,'Job Operations'!$A$4:$AA$304,12,FALSE),""),IF(OR(_xlpm.stn="AXYZ Titans Line",_xlpm.stn="AXYZ 34"),_xlfn.LET(_xlpm.pos,SUMPRODUCT((A$7:A25&lt;&gt;"")*(IFERROR(VLOOKUP(A$7:A25,'Job Operations'!$A$4:$AA$304,12,FALSE),"")="AXYZ Titans Line")+(A$7:A25&lt;&gt;"")*(IFERROR(VLOOKUP(A$7:A25,'Job Operations'!$A$4:$AA$304,12,FALSE),"")="AXYZ 34")),_xlpm.sfx,IF(OR(_xlpm.pos=11,_xlpm.pos=12,_xlpm.pos=13),"th",IF(MOD(_xlpm.pos,10)=1,"st",IF(MOD(_xlpm.pos,10)=2,"nd",IF(MOD(_xlpm.pos,10)=3,"rd","th")))),_xlpm.pos&amp;_xlpm.sfx),IF(_xlpm.stn&lt;&gt;"",_xlpm.stn,""))))</f>
        <v/>
      </c>
      <c r="I25" s="102" t="str">
        <f t="shared" si="0"/>
        <v/>
      </c>
      <c r="J25" s="101" t="str">
        <f t="shared" si="1"/>
        <v/>
      </c>
      <c r="K25" s="100" t="str">
        <f>IF(A25="","",IFERROR(VLOOKUP(A25,'Job Operations'!$A$4:$AA$304,15,FALSE),""))</f>
        <v/>
      </c>
      <c r="L25" s="100" t="str">
        <f>IF(A25="","",IFERROR(VLOOKUP(A25,'Job Operations'!$A$4:$AA$304,17,FALSE),""))</f>
        <v/>
      </c>
      <c r="M25" s="168" t="str">
        <f>IF(A25="","",IF(IFERROR(VLOOKUP(A25,Notes!A:B,2,FALSE),"")=0,"",VLOOKUP(A25,Notes!A:B,2,FALSE)))</f>
        <v/>
      </c>
    </row>
    <row r="26" spans="1:13" x14ac:dyDescent="0.25">
      <c r="A26" s="103"/>
      <c r="B26" s="104" t="str">
        <f>IF(A26="","",IFERROR(VLOOKUP(A26,'Job Operations'!$A$4:$AA$304,2,FALSE),""))</f>
        <v/>
      </c>
      <c r="C26" s="105" t="str">
        <f>IF(A26="","",IFERROR(VLOOKUP(A26,'Job Operations'!$A$4:$AA$304,3,FALSE),""))</f>
        <v/>
      </c>
      <c r="D26" s="105" t="str">
        <f>IF(A26="","",IFERROR(VLOOKUP(A26,'Job Operations'!$A$4:$AA$304,5,FALSE),""))</f>
        <v/>
      </c>
      <c r="E26" s="105" t="str">
        <f>IF(A26="","",IFERROR(VLOOKUP(A26,'Job Operations'!$A$4:$AA$304,6,FALSE),""))</f>
        <v/>
      </c>
      <c r="F26" s="105" t="str">
        <f>IF(A26="","",IFERROR(VLOOKUP(A26,'Job Operations'!$A$4:$AA$304,7,FALSE),""))</f>
        <v/>
      </c>
      <c r="G26" s="106" t="str">
        <f>IF(A26="","",IFERROR(VLOOKUP(A26,'Job Operations'!$A$4:$AA$304,9,FALSE),""))</f>
        <v/>
      </c>
      <c r="H26" s="105" t="str" cm="1">
        <f t="array" ref="H26">IF(A26="","",_xlfn.LET(_xlpm.stn,IFERROR(VLOOKUP(A26,'Job Operations'!$A$4:$AA$304,12,FALSE),""),IF(OR(_xlpm.stn="AXYZ Titans Line",_xlpm.stn="AXYZ 34"),_xlfn.LET(_xlpm.pos,SUMPRODUCT((A$7:A26&lt;&gt;"")*(IFERROR(VLOOKUP(A$7:A26,'Job Operations'!$A$4:$AA$304,12,FALSE),"")="AXYZ Titans Line")+(A$7:A26&lt;&gt;"")*(IFERROR(VLOOKUP(A$7:A26,'Job Operations'!$A$4:$AA$304,12,FALSE),"")="AXYZ 34")),_xlpm.sfx,IF(OR(_xlpm.pos=11,_xlpm.pos=12,_xlpm.pos=13),"th",IF(MOD(_xlpm.pos,10)=1,"st",IF(MOD(_xlpm.pos,10)=2,"nd",IF(MOD(_xlpm.pos,10)=3,"rd","th")))),_xlpm.pos&amp;_xlpm.sfx),IF(_xlpm.stn&lt;&gt;"",_xlpm.stn,""))))</f>
        <v/>
      </c>
      <c r="I26" s="102" t="str">
        <f t="shared" si="0"/>
        <v/>
      </c>
      <c r="J26" s="106" t="str">
        <f t="shared" si="1"/>
        <v/>
      </c>
      <c r="K26" s="105" t="str">
        <f>IF(A26="","",IFERROR(VLOOKUP(A26,'Job Operations'!$A$4:$AA$304,15,FALSE),""))</f>
        <v/>
      </c>
      <c r="L26" s="105" t="str">
        <f>IF(A26="","",IFERROR(VLOOKUP(A26,'Job Operations'!$A$4:$AA$304,17,FALSE),""))</f>
        <v/>
      </c>
      <c r="M26" s="167" t="str">
        <f>IF(A26="","",IF(IFERROR(VLOOKUP(A26,Notes!A:B,2,FALSE),"")=0,"",VLOOKUP(A26,Notes!A:B,2,FALSE)))</f>
        <v/>
      </c>
    </row>
    <row r="27" spans="1:13" x14ac:dyDescent="0.25">
      <c r="A27" s="98"/>
      <c r="B27" s="99" t="str">
        <f>IF(A27="","",IFERROR(VLOOKUP(A27,'Job Operations'!$A$4:$AA$304,2,FALSE),""))</f>
        <v/>
      </c>
      <c r="C27" s="100" t="str">
        <f>IF(A27="","",IFERROR(VLOOKUP(A27,'Job Operations'!$A$4:$AA$304,3,FALSE),""))</f>
        <v/>
      </c>
      <c r="D27" s="100" t="str">
        <f>IF(A27="","",IFERROR(VLOOKUP(A27,'Job Operations'!$A$4:$AA$304,5,FALSE),""))</f>
        <v/>
      </c>
      <c r="E27" s="100" t="str">
        <f>IF(A27="","",IFERROR(VLOOKUP(A27,'Job Operations'!$A$4:$AA$304,6,FALSE),""))</f>
        <v/>
      </c>
      <c r="F27" s="100" t="str">
        <f>IF(A27="","",IFERROR(VLOOKUP(A27,'Job Operations'!$A$4:$AA$304,7,FALSE),""))</f>
        <v/>
      </c>
      <c r="G27" s="101" t="str">
        <f>IF(A27="","",IFERROR(VLOOKUP(A27,'Job Operations'!$A$4:$AA$304,9,FALSE),""))</f>
        <v/>
      </c>
      <c r="H27" s="100" t="str" cm="1">
        <f t="array" ref="H27">IF(A27="","",_xlfn.LET(_xlpm.stn,IFERROR(VLOOKUP(A27,'Job Operations'!$A$4:$AA$304,12,FALSE),""),IF(OR(_xlpm.stn="AXYZ Titans Line",_xlpm.stn="AXYZ 34"),_xlfn.LET(_xlpm.pos,SUMPRODUCT((A$7:A27&lt;&gt;"")*(IFERROR(VLOOKUP(A$7:A27,'Job Operations'!$A$4:$AA$304,12,FALSE),"")="AXYZ Titans Line")+(A$7:A27&lt;&gt;"")*(IFERROR(VLOOKUP(A$7:A27,'Job Operations'!$A$4:$AA$304,12,FALSE),"")="AXYZ 34")),_xlpm.sfx,IF(OR(_xlpm.pos=11,_xlpm.pos=12,_xlpm.pos=13),"th",IF(MOD(_xlpm.pos,10)=1,"st",IF(MOD(_xlpm.pos,10)=2,"nd",IF(MOD(_xlpm.pos,10)=3,"rd","th")))),_xlpm.pos&amp;_xlpm.sfx),IF(_xlpm.stn&lt;&gt;"",_xlpm.stn,""))))</f>
        <v/>
      </c>
      <c r="I27" s="102" t="str">
        <f t="shared" si="0"/>
        <v/>
      </c>
      <c r="J27" s="101" t="str">
        <f t="shared" si="1"/>
        <v/>
      </c>
      <c r="K27" s="100" t="str">
        <f>IF(A27="","",IFERROR(VLOOKUP(A27,'Job Operations'!$A$4:$AA$304,15,FALSE),""))</f>
        <v/>
      </c>
      <c r="L27" s="100" t="str">
        <f>IF(A27="","",IFERROR(VLOOKUP(A27,'Job Operations'!$A$4:$AA$304,17,FALSE),""))</f>
        <v/>
      </c>
      <c r="M27" s="168" t="str">
        <f>IF(A27="","",IF(IFERROR(VLOOKUP(A27,Notes!A:B,2,FALSE),"")=0,"",VLOOKUP(A27,Notes!A:B,2,FALSE)))</f>
        <v/>
      </c>
    </row>
    <row r="28" spans="1:13" x14ac:dyDescent="0.25">
      <c r="A28" s="103"/>
      <c r="B28" s="104" t="str">
        <f>IF(A28="","",IFERROR(VLOOKUP(A28,'Job Operations'!$A$4:$AA$304,2,FALSE),""))</f>
        <v/>
      </c>
      <c r="C28" s="105" t="str">
        <f>IF(A28="","",IFERROR(VLOOKUP(A28,'Job Operations'!$A$4:$AA$304,3,FALSE),""))</f>
        <v/>
      </c>
      <c r="D28" s="105" t="str">
        <f>IF(A28="","",IFERROR(VLOOKUP(A28,'Job Operations'!$A$4:$AA$304,5,FALSE),""))</f>
        <v/>
      </c>
      <c r="E28" s="105" t="str">
        <f>IF(A28="","",IFERROR(VLOOKUP(A28,'Job Operations'!$A$4:$AA$304,6,FALSE),""))</f>
        <v/>
      </c>
      <c r="F28" s="105" t="str">
        <f>IF(A28="","",IFERROR(VLOOKUP(A28,'Job Operations'!$A$4:$AA$304,7,FALSE),""))</f>
        <v/>
      </c>
      <c r="G28" s="106" t="str">
        <f>IF(A28="","",IFERROR(VLOOKUP(A28,'Job Operations'!$A$4:$AA$304,9,FALSE),""))</f>
        <v/>
      </c>
      <c r="H28" s="105" t="str" cm="1">
        <f t="array" ref="H28">IF(A28="","",_xlfn.LET(_xlpm.stn,IFERROR(VLOOKUP(A28,'Job Operations'!$A$4:$AA$304,12,FALSE),""),IF(OR(_xlpm.stn="AXYZ Titans Line",_xlpm.stn="AXYZ 34"),_xlfn.LET(_xlpm.pos,SUMPRODUCT((A$7:A28&lt;&gt;"")*(IFERROR(VLOOKUP(A$7:A28,'Job Operations'!$A$4:$AA$304,12,FALSE),"")="AXYZ Titans Line")+(A$7:A28&lt;&gt;"")*(IFERROR(VLOOKUP(A$7:A28,'Job Operations'!$A$4:$AA$304,12,FALSE),"")="AXYZ 34")),_xlpm.sfx,IF(OR(_xlpm.pos=11,_xlpm.pos=12,_xlpm.pos=13),"th",IF(MOD(_xlpm.pos,10)=1,"st",IF(MOD(_xlpm.pos,10)=2,"nd",IF(MOD(_xlpm.pos,10)=3,"rd","th")))),_xlpm.pos&amp;_xlpm.sfx),IF(_xlpm.stn&lt;&gt;"",_xlpm.stn,""))))</f>
        <v/>
      </c>
      <c r="I28" s="102" t="str">
        <f t="shared" si="0"/>
        <v/>
      </c>
      <c r="J28" s="106" t="str">
        <f t="shared" si="1"/>
        <v/>
      </c>
      <c r="K28" s="105" t="str">
        <f>IF(A28="","",IFERROR(VLOOKUP(A28,'Job Operations'!$A$4:$AA$304,15,FALSE),""))</f>
        <v/>
      </c>
      <c r="L28" s="105" t="str">
        <f>IF(A28="","",IFERROR(VLOOKUP(A28,'Job Operations'!$A$4:$AA$304,17,FALSE),""))</f>
        <v/>
      </c>
      <c r="M28" s="167" t="str">
        <f>IF(A28="","",IF(IFERROR(VLOOKUP(A28,Notes!A:B,2,FALSE),"")=0,"",VLOOKUP(A28,Notes!A:B,2,FALSE)))</f>
        <v/>
      </c>
    </row>
    <row r="29" spans="1:13" x14ac:dyDescent="0.25">
      <c r="A29" s="98"/>
      <c r="B29" s="99" t="str">
        <f>IF(A29="","",IFERROR(VLOOKUP(A29,'Job Operations'!$A$4:$AA$304,2,FALSE),""))</f>
        <v/>
      </c>
      <c r="C29" s="100" t="str">
        <f>IF(A29="","",IFERROR(VLOOKUP(A29,'Job Operations'!$A$4:$AA$304,3,FALSE),""))</f>
        <v/>
      </c>
      <c r="D29" s="100" t="str">
        <f>IF(A29="","",IFERROR(VLOOKUP(A29,'Job Operations'!$A$4:$AA$304,5,FALSE),""))</f>
        <v/>
      </c>
      <c r="E29" s="100" t="str">
        <f>IF(A29="","",IFERROR(VLOOKUP(A29,'Job Operations'!$A$4:$AA$304,6,FALSE),""))</f>
        <v/>
      </c>
      <c r="F29" s="100" t="str">
        <f>IF(A29="","",IFERROR(VLOOKUP(A29,'Job Operations'!$A$4:$AA$304,7,FALSE),""))</f>
        <v/>
      </c>
      <c r="G29" s="101" t="str">
        <f>IF(A29="","",IFERROR(VLOOKUP(A29,'Job Operations'!$A$4:$AA$304,9,FALSE),""))</f>
        <v/>
      </c>
      <c r="H29" s="100" t="str" cm="1">
        <f t="array" ref="H29">IF(A29="","",_xlfn.LET(_xlpm.stn,IFERROR(VLOOKUP(A29,'Job Operations'!$A$4:$AA$304,12,FALSE),""),IF(OR(_xlpm.stn="AXYZ Titans Line",_xlpm.stn="AXYZ 34"),_xlfn.LET(_xlpm.pos,SUMPRODUCT((A$7:A29&lt;&gt;"")*(IFERROR(VLOOKUP(A$7:A29,'Job Operations'!$A$4:$AA$304,12,FALSE),"")="AXYZ Titans Line")+(A$7:A29&lt;&gt;"")*(IFERROR(VLOOKUP(A$7:A29,'Job Operations'!$A$4:$AA$304,12,FALSE),"")="AXYZ 34")),_xlpm.sfx,IF(OR(_xlpm.pos=11,_xlpm.pos=12,_xlpm.pos=13),"th",IF(MOD(_xlpm.pos,10)=1,"st",IF(MOD(_xlpm.pos,10)=2,"nd",IF(MOD(_xlpm.pos,10)=3,"rd","th")))),_xlpm.pos&amp;_xlpm.sfx),IF(_xlpm.stn&lt;&gt;"",_xlpm.stn,""))))</f>
        <v/>
      </c>
      <c r="I29" s="102" t="str">
        <f t="shared" si="0"/>
        <v/>
      </c>
      <c r="J29" s="101" t="str">
        <f t="shared" si="1"/>
        <v/>
      </c>
      <c r="K29" s="100" t="str">
        <f>IF(A29="","",IFERROR(VLOOKUP(A29,'Job Operations'!$A$4:$AA$304,15,FALSE),""))</f>
        <v/>
      </c>
      <c r="L29" s="100" t="str">
        <f>IF(A29="","",IFERROR(VLOOKUP(A29,'Job Operations'!$A$4:$AA$304,17,FALSE),""))</f>
        <v/>
      </c>
      <c r="M29" s="168" t="str">
        <f>IF(A29="","",IF(IFERROR(VLOOKUP(A29,Notes!A:B,2,FALSE),"")=0,"",VLOOKUP(A29,Notes!A:B,2,FALSE)))</f>
        <v/>
      </c>
    </row>
    <row r="30" spans="1:13" x14ac:dyDescent="0.25">
      <c r="A30" s="103"/>
      <c r="B30" s="104" t="str">
        <f>IF(A30="","",IFERROR(VLOOKUP(A30,'Job Operations'!$A$4:$AA$304,2,FALSE),""))</f>
        <v/>
      </c>
      <c r="C30" s="105" t="str">
        <f>IF(A30="","",IFERROR(VLOOKUP(A30,'Job Operations'!$A$4:$AA$304,3,FALSE),""))</f>
        <v/>
      </c>
      <c r="D30" s="105" t="str">
        <f>IF(A30="","",IFERROR(VLOOKUP(A30,'Job Operations'!$A$4:$AA$304,5,FALSE),""))</f>
        <v/>
      </c>
      <c r="E30" s="105" t="str">
        <f>IF(A30="","",IFERROR(VLOOKUP(A30,'Job Operations'!$A$4:$AA$304,6,FALSE),""))</f>
        <v/>
      </c>
      <c r="F30" s="105" t="str">
        <f>IF(A30="","",IFERROR(VLOOKUP(A30,'Job Operations'!$A$4:$AA$304,7,FALSE),""))</f>
        <v/>
      </c>
      <c r="G30" s="106" t="str">
        <f>IF(A30="","",IFERROR(VLOOKUP(A30,'Job Operations'!$A$4:$AA$304,9,FALSE),""))</f>
        <v/>
      </c>
      <c r="H30" s="105" t="str" cm="1">
        <f t="array" ref="H30">IF(A30="","",_xlfn.LET(_xlpm.stn,IFERROR(VLOOKUP(A30,'Job Operations'!$A$4:$AA$304,12,FALSE),""),IF(OR(_xlpm.stn="AXYZ Titans Line",_xlpm.stn="AXYZ 34"),_xlfn.LET(_xlpm.pos,SUMPRODUCT((A$7:A30&lt;&gt;"")*(IFERROR(VLOOKUP(A$7:A30,'Job Operations'!$A$4:$AA$304,12,FALSE),"")="AXYZ Titans Line")+(A$7:A30&lt;&gt;"")*(IFERROR(VLOOKUP(A$7:A30,'Job Operations'!$A$4:$AA$304,12,FALSE),"")="AXYZ 34")),_xlpm.sfx,IF(OR(_xlpm.pos=11,_xlpm.pos=12,_xlpm.pos=13),"th",IF(MOD(_xlpm.pos,10)=1,"st",IF(MOD(_xlpm.pos,10)=2,"nd",IF(MOD(_xlpm.pos,10)=3,"rd","th")))),_xlpm.pos&amp;_xlpm.sfx),IF(_xlpm.stn&lt;&gt;"",_xlpm.stn,""))))</f>
        <v/>
      </c>
      <c r="I30" s="102" t="str">
        <f t="shared" si="0"/>
        <v/>
      </c>
      <c r="J30" s="106" t="str">
        <f t="shared" si="1"/>
        <v/>
      </c>
      <c r="K30" s="105" t="str">
        <f>IF(A30="","",IFERROR(VLOOKUP(A30,'Job Operations'!$A$4:$AA$304,15,FALSE),""))</f>
        <v/>
      </c>
      <c r="L30" s="105" t="str">
        <f>IF(A30="","",IFERROR(VLOOKUP(A30,'Job Operations'!$A$4:$AA$304,17,FALSE),""))</f>
        <v/>
      </c>
      <c r="M30" s="167" t="str">
        <f>IF(A30="","",IF(IFERROR(VLOOKUP(A30,Notes!A:B,2,FALSE),"")=0,"",VLOOKUP(A30,Notes!A:B,2,FALSE)))</f>
        <v/>
      </c>
    </row>
    <row r="31" spans="1:13" x14ac:dyDescent="0.25">
      <c r="A31" s="98"/>
      <c r="B31" s="99" t="str">
        <f>IF(A31="","",IFERROR(VLOOKUP(A31,'Job Operations'!$A$4:$AA$304,2,FALSE),""))</f>
        <v/>
      </c>
      <c r="C31" s="100" t="str">
        <f>IF(A31="","",IFERROR(VLOOKUP(A31,'Job Operations'!$A$4:$AA$304,3,FALSE),""))</f>
        <v/>
      </c>
      <c r="D31" s="100" t="str">
        <f>IF(A31="","",IFERROR(VLOOKUP(A31,'Job Operations'!$A$4:$AA$304,5,FALSE),""))</f>
        <v/>
      </c>
      <c r="E31" s="100" t="str">
        <f>IF(A31="","",IFERROR(VLOOKUP(A31,'Job Operations'!$A$4:$AA$304,6,FALSE),""))</f>
        <v/>
      </c>
      <c r="F31" s="100" t="str">
        <f>IF(A31="","",IFERROR(VLOOKUP(A31,'Job Operations'!$A$4:$AA$304,7,FALSE),""))</f>
        <v/>
      </c>
      <c r="G31" s="101" t="str">
        <f>IF(A31="","",IFERROR(VLOOKUP(A31,'Job Operations'!$A$4:$AA$304,9,FALSE),""))</f>
        <v/>
      </c>
      <c r="H31" s="100" t="str" cm="1">
        <f t="array" ref="H31">IF(A31="","",_xlfn.LET(_xlpm.stn,IFERROR(VLOOKUP(A31,'Job Operations'!$A$4:$AA$304,12,FALSE),""),IF(OR(_xlpm.stn="AXYZ Titans Line",_xlpm.stn="AXYZ 34"),_xlfn.LET(_xlpm.pos,SUMPRODUCT((A$7:A31&lt;&gt;"")*(IFERROR(VLOOKUP(A$7:A31,'Job Operations'!$A$4:$AA$304,12,FALSE),"")="AXYZ Titans Line")+(A$7:A31&lt;&gt;"")*(IFERROR(VLOOKUP(A$7:A31,'Job Operations'!$A$4:$AA$304,12,FALSE),"")="AXYZ 34")),_xlpm.sfx,IF(OR(_xlpm.pos=11,_xlpm.pos=12,_xlpm.pos=13),"th",IF(MOD(_xlpm.pos,10)=1,"st",IF(MOD(_xlpm.pos,10)=2,"nd",IF(MOD(_xlpm.pos,10)=3,"rd","th")))),_xlpm.pos&amp;_xlpm.sfx),IF(_xlpm.stn&lt;&gt;"",_xlpm.stn,""))))</f>
        <v/>
      </c>
      <c r="I31" s="102" t="str">
        <f t="shared" si="0"/>
        <v/>
      </c>
      <c r="J31" s="101" t="str">
        <f t="shared" si="1"/>
        <v/>
      </c>
      <c r="K31" s="100" t="str">
        <f>IF(A31="","",IFERROR(VLOOKUP(A31,'Job Operations'!$A$4:$AA$304,15,FALSE),""))</f>
        <v/>
      </c>
      <c r="L31" s="100" t="str">
        <f>IF(A31="","",IFERROR(VLOOKUP(A31,'Job Operations'!$A$4:$AA$304,17,FALSE),""))</f>
        <v/>
      </c>
      <c r="M31" s="168" t="str">
        <f>IF(A31="","",IF(IFERROR(VLOOKUP(A31,Notes!A:B,2,FALSE),"")=0,"",VLOOKUP(A31,Notes!A:B,2,FALSE)))</f>
        <v/>
      </c>
    </row>
    <row r="32" spans="1:13" x14ac:dyDescent="0.25">
      <c r="A32" s="103"/>
      <c r="B32" s="104" t="str">
        <f>IF(A32="","",IFERROR(VLOOKUP(A32,'Job Operations'!$A$4:$AA$304,2,FALSE),""))</f>
        <v/>
      </c>
      <c r="C32" s="105" t="str">
        <f>IF(A32="","",IFERROR(VLOOKUP(A32,'Job Operations'!$A$4:$AA$304,3,FALSE),""))</f>
        <v/>
      </c>
      <c r="D32" s="105" t="str">
        <f>IF(A32="","",IFERROR(VLOOKUP(A32,'Job Operations'!$A$4:$AA$304,5,FALSE),""))</f>
        <v/>
      </c>
      <c r="E32" s="105" t="str">
        <f>IF(A32="","",IFERROR(VLOOKUP(A32,'Job Operations'!$A$4:$AA$304,6,FALSE),""))</f>
        <v/>
      </c>
      <c r="F32" s="105" t="str">
        <f>IF(A32="","",IFERROR(VLOOKUP(A32,'Job Operations'!$A$4:$AA$304,7,FALSE),""))</f>
        <v/>
      </c>
      <c r="G32" s="106" t="str">
        <f>IF(A32="","",IFERROR(VLOOKUP(A32,'Job Operations'!$A$4:$AA$304,9,FALSE),""))</f>
        <v/>
      </c>
      <c r="H32" s="105" t="str" cm="1">
        <f t="array" ref="H32">IF(A32="","",_xlfn.LET(_xlpm.stn,IFERROR(VLOOKUP(A32,'Job Operations'!$A$4:$AA$304,12,FALSE),""),IF(OR(_xlpm.stn="AXYZ Titans Line",_xlpm.stn="AXYZ 34"),_xlfn.LET(_xlpm.pos,SUMPRODUCT((A$7:A32&lt;&gt;"")*(IFERROR(VLOOKUP(A$7:A32,'Job Operations'!$A$4:$AA$304,12,FALSE),"")="AXYZ Titans Line")+(A$7:A32&lt;&gt;"")*(IFERROR(VLOOKUP(A$7:A32,'Job Operations'!$A$4:$AA$304,12,FALSE),"")="AXYZ 34")),_xlpm.sfx,IF(OR(_xlpm.pos=11,_xlpm.pos=12,_xlpm.pos=13),"th",IF(MOD(_xlpm.pos,10)=1,"st",IF(MOD(_xlpm.pos,10)=2,"nd",IF(MOD(_xlpm.pos,10)=3,"rd","th")))),_xlpm.pos&amp;_xlpm.sfx),IF(_xlpm.stn&lt;&gt;"",_xlpm.stn,""))))</f>
        <v/>
      </c>
      <c r="I32" s="102" t="str">
        <f t="shared" si="0"/>
        <v/>
      </c>
      <c r="J32" s="106" t="str">
        <f t="shared" si="1"/>
        <v/>
      </c>
      <c r="K32" s="105" t="str">
        <f>IF(A32="","",IFERROR(VLOOKUP(A32,'Job Operations'!$A$4:$AA$304,15,FALSE),""))</f>
        <v/>
      </c>
      <c r="L32" s="105" t="str">
        <f>IF(A32="","",IFERROR(VLOOKUP(A32,'Job Operations'!$A$4:$AA$304,17,FALSE),""))</f>
        <v/>
      </c>
      <c r="M32" s="167" t="str">
        <f>IF(A32="","",IF(IFERROR(VLOOKUP(A32,Notes!A:B,2,FALSE),"")=0,"",VLOOKUP(A32,Notes!A:B,2,FALSE)))</f>
        <v/>
      </c>
    </row>
    <row r="33" spans="1:13" x14ac:dyDescent="0.25">
      <c r="A33" s="98"/>
      <c r="B33" s="99" t="str">
        <f>IF(A33="","",IFERROR(VLOOKUP(A33,'Job Operations'!$A$4:$AA$304,2,FALSE),""))</f>
        <v/>
      </c>
      <c r="C33" s="100" t="str">
        <f>IF(A33="","",IFERROR(VLOOKUP(A33,'Job Operations'!$A$4:$AA$304,3,FALSE),""))</f>
        <v/>
      </c>
      <c r="D33" s="100" t="str">
        <f>IF(A33="","",IFERROR(VLOOKUP(A33,'Job Operations'!$A$4:$AA$304,5,FALSE),""))</f>
        <v/>
      </c>
      <c r="E33" s="100" t="str">
        <f>IF(A33="","",IFERROR(VLOOKUP(A33,'Job Operations'!$A$4:$AA$304,6,FALSE),""))</f>
        <v/>
      </c>
      <c r="F33" s="100" t="str">
        <f>IF(A33="","",IFERROR(VLOOKUP(A33,'Job Operations'!$A$4:$AA$304,7,FALSE),""))</f>
        <v/>
      </c>
      <c r="G33" s="101" t="str">
        <f>IF(A33="","",IFERROR(VLOOKUP(A33,'Job Operations'!$A$4:$AA$304,9,FALSE),""))</f>
        <v/>
      </c>
      <c r="H33" s="100" t="str" cm="1">
        <f t="array" ref="H33">IF(A33="","",_xlfn.LET(_xlpm.stn,IFERROR(VLOOKUP(A33,'Job Operations'!$A$4:$AA$304,12,FALSE),""),IF(OR(_xlpm.stn="AXYZ Titans Line",_xlpm.stn="AXYZ 34"),_xlfn.LET(_xlpm.pos,SUMPRODUCT((A$7:A33&lt;&gt;"")*(IFERROR(VLOOKUP(A$7:A33,'Job Operations'!$A$4:$AA$304,12,FALSE),"")="AXYZ Titans Line")+(A$7:A33&lt;&gt;"")*(IFERROR(VLOOKUP(A$7:A33,'Job Operations'!$A$4:$AA$304,12,FALSE),"")="AXYZ 34")),_xlpm.sfx,IF(OR(_xlpm.pos=11,_xlpm.pos=12,_xlpm.pos=13),"th",IF(MOD(_xlpm.pos,10)=1,"st",IF(MOD(_xlpm.pos,10)=2,"nd",IF(MOD(_xlpm.pos,10)=3,"rd","th")))),_xlpm.pos&amp;_xlpm.sfx),IF(_xlpm.stn&lt;&gt;"",_xlpm.stn,""))))</f>
        <v/>
      </c>
      <c r="I33" s="102" t="str">
        <f t="shared" si="0"/>
        <v/>
      </c>
      <c r="J33" s="101" t="str">
        <f t="shared" si="1"/>
        <v/>
      </c>
      <c r="K33" s="100" t="str">
        <f>IF(A33="","",IFERROR(VLOOKUP(A33,'Job Operations'!$A$4:$AA$304,15,FALSE),""))</f>
        <v/>
      </c>
      <c r="L33" s="100" t="str">
        <f>IF(A33="","",IFERROR(VLOOKUP(A33,'Job Operations'!$A$4:$AA$304,17,FALSE),""))</f>
        <v/>
      </c>
      <c r="M33" s="168" t="str">
        <f>IF(A33="","",IF(IFERROR(VLOOKUP(A33,Notes!A:B,2,FALSE),"")=0,"",VLOOKUP(A33,Notes!A:B,2,FALSE)))</f>
        <v/>
      </c>
    </row>
    <row r="34" spans="1:13" x14ac:dyDescent="0.25">
      <c r="A34" s="103"/>
      <c r="B34" s="104" t="str">
        <f>IF(A34="","",IFERROR(VLOOKUP(A34,'Job Operations'!$A$4:$AA$304,2,FALSE),""))</f>
        <v/>
      </c>
      <c r="C34" s="105" t="str">
        <f>IF(A34="","",IFERROR(VLOOKUP(A34,'Job Operations'!$A$4:$AA$304,3,FALSE),""))</f>
        <v/>
      </c>
      <c r="D34" s="105" t="str">
        <f>IF(A34="","",IFERROR(VLOOKUP(A34,'Job Operations'!$A$4:$AA$304,5,FALSE),""))</f>
        <v/>
      </c>
      <c r="E34" s="105" t="str">
        <f>IF(A34="","",IFERROR(VLOOKUP(A34,'Job Operations'!$A$4:$AA$304,6,FALSE),""))</f>
        <v/>
      </c>
      <c r="F34" s="105" t="str">
        <f>IF(A34="","",IFERROR(VLOOKUP(A34,'Job Operations'!$A$4:$AA$304,7,FALSE),""))</f>
        <v/>
      </c>
      <c r="G34" s="106" t="str">
        <f>IF(A34="","",IFERROR(VLOOKUP(A34,'Job Operations'!$A$4:$AA$304,9,FALSE),""))</f>
        <v/>
      </c>
      <c r="H34" s="105" t="str" cm="1">
        <f t="array" ref="H34">IF(A34="","",_xlfn.LET(_xlpm.stn,IFERROR(VLOOKUP(A34,'Job Operations'!$A$4:$AA$304,12,FALSE),""),IF(OR(_xlpm.stn="AXYZ Titans Line",_xlpm.stn="AXYZ 34"),_xlfn.LET(_xlpm.pos,SUMPRODUCT((A$7:A34&lt;&gt;"")*(IFERROR(VLOOKUP(A$7:A34,'Job Operations'!$A$4:$AA$304,12,FALSE),"")="AXYZ Titans Line")+(A$7:A34&lt;&gt;"")*(IFERROR(VLOOKUP(A$7:A34,'Job Operations'!$A$4:$AA$304,12,FALSE),"")="AXYZ 34")),_xlpm.sfx,IF(OR(_xlpm.pos=11,_xlpm.pos=12,_xlpm.pos=13),"th",IF(MOD(_xlpm.pos,10)=1,"st",IF(MOD(_xlpm.pos,10)=2,"nd",IF(MOD(_xlpm.pos,10)=3,"rd","th")))),_xlpm.pos&amp;_xlpm.sfx),IF(_xlpm.stn&lt;&gt;"",_xlpm.stn,""))))</f>
        <v/>
      </c>
      <c r="I34" s="102" t="str">
        <f t="shared" si="0"/>
        <v/>
      </c>
      <c r="J34" s="106" t="str">
        <f t="shared" si="1"/>
        <v/>
      </c>
      <c r="K34" s="105" t="str">
        <f>IF(A34="","",IFERROR(VLOOKUP(A34,'Job Operations'!$A$4:$AA$304,15,FALSE),""))</f>
        <v/>
      </c>
      <c r="L34" s="105" t="str">
        <f>IF(A34="","",IFERROR(VLOOKUP(A34,'Job Operations'!$A$4:$AA$304,17,FALSE),""))</f>
        <v/>
      </c>
      <c r="M34" s="167" t="str">
        <f>IF(A34="","",IF(IFERROR(VLOOKUP(A34,Notes!A:B,2,FALSE),"")=0,"",VLOOKUP(A34,Notes!A:B,2,FALSE)))</f>
        <v/>
      </c>
    </row>
    <row r="35" spans="1:13" x14ac:dyDescent="0.25">
      <c r="A35" s="98"/>
      <c r="B35" s="99" t="str">
        <f>IF(A35="","",IFERROR(VLOOKUP(A35,'Job Operations'!$A$4:$AA$304,2,FALSE),""))</f>
        <v/>
      </c>
      <c r="C35" s="100" t="str">
        <f>IF(A35="","",IFERROR(VLOOKUP(A35,'Job Operations'!$A$4:$AA$304,3,FALSE),""))</f>
        <v/>
      </c>
      <c r="D35" s="100" t="str">
        <f>IF(A35="","",IFERROR(VLOOKUP(A35,'Job Operations'!$A$4:$AA$304,5,FALSE),""))</f>
        <v/>
      </c>
      <c r="E35" s="100" t="str">
        <f>IF(A35="","",IFERROR(VLOOKUP(A35,'Job Operations'!$A$4:$AA$304,6,FALSE),""))</f>
        <v/>
      </c>
      <c r="F35" s="100" t="str">
        <f>IF(A35="","",IFERROR(VLOOKUP(A35,'Job Operations'!$A$4:$AA$304,7,FALSE),""))</f>
        <v/>
      </c>
      <c r="G35" s="101" t="str">
        <f>IF(A35="","",IFERROR(VLOOKUP(A35,'Job Operations'!$A$4:$AA$304,9,FALSE),""))</f>
        <v/>
      </c>
      <c r="H35" s="100" t="str" cm="1">
        <f t="array" ref="H35">IF(A35="","",_xlfn.LET(_xlpm.stn,IFERROR(VLOOKUP(A35,'Job Operations'!$A$4:$AA$304,12,FALSE),""),IF(OR(_xlpm.stn="AXYZ Titans Line",_xlpm.stn="AXYZ 34"),_xlfn.LET(_xlpm.pos,SUMPRODUCT((A$7:A35&lt;&gt;"")*(IFERROR(VLOOKUP(A$7:A35,'Job Operations'!$A$4:$AA$304,12,FALSE),"")="AXYZ Titans Line")+(A$7:A35&lt;&gt;"")*(IFERROR(VLOOKUP(A$7:A35,'Job Operations'!$A$4:$AA$304,12,FALSE),"")="AXYZ 34")),_xlpm.sfx,IF(OR(_xlpm.pos=11,_xlpm.pos=12,_xlpm.pos=13),"th",IF(MOD(_xlpm.pos,10)=1,"st",IF(MOD(_xlpm.pos,10)=2,"nd",IF(MOD(_xlpm.pos,10)=3,"rd","th")))),_xlpm.pos&amp;_xlpm.sfx),IF(_xlpm.stn&lt;&gt;"",_xlpm.stn,""))))</f>
        <v/>
      </c>
      <c r="I35" s="102" t="str">
        <f t="shared" si="0"/>
        <v/>
      </c>
      <c r="J35" s="101" t="str">
        <f t="shared" si="1"/>
        <v/>
      </c>
      <c r="K35" s="100" t="str">
        <f>IF(A35="","",IFERROR(VLOOKUP(A35,'Job Operations'!$A$4:$AA$304,15,FALSE),""))</f>
        <v/>
      </c>
      <c r="L35" s="100" t="str">
        <f>IF(A35="","",IFERROR(VLOOKUP(A35,'Job Operations'!$A$4:$AA$304,17,FALSE),""))</f>
        <v/>
      </c>
      <c r="M35" s="168" t="str">
        <f>IF(A35="","",IF(IFERROR(VLOOKUP(A35,Notes!A:B,2,FALSE),"")=0,"",VLOOKUP(A35,Notes!A:B,2,FALSE)))</f>
        <v/>
      </c>
    </row>
    <row r="36" spans="1:13" x14ac:dyDescent="0.25">
      <c r="A36" s="103"/>
      <c r="B36" s="104" t="str">
        <f>IF(A36="","",IFERROR(VLOOKUP(A36,'Job Operations'!$A$4:$AA$304,2,FALSE),""))</f>
        <v/>
      </c>
      <c r="C36" s="105" t="str">
        <f>IF(A36="","",IFERROR(VLOOKUP(A36,'Job Operations'!$A$4:$AA$304,3,FALSE),""))</f>
        <v/>
      </c>
      <c r="D36" s="105" t="str">
        <f>IF(A36="","",IFERROR(VLOOKUP(A36,'Job Operations'!$A$4:$AA$304,5,FALSE),""))</f>
        <v/>
      </c>
      <c r="E36" s="105" t="str">
        <f>IF(A36="","",IFERROR(VLOOKUP(A36,'Job Operations'!$A$4:$AA$304,6,FALSE),""))</f>
        <v/>
      </c>
      <c r="F36" s="105" t="str">
        <f>IF(A36="","",IFERROR(VLOOKUP(A36,'Job Operations'!$A$4:$AA$304,7,FALSE),""))</f>
        <v/>
      </c>
      <c r="G36" s="106" t="str">
        <f>IF(A36="","",IFERROR(VLOOKUP(A36,'Job Operations'!$A$4:$AA$304,9,FALSE),""))</f>
        <v/>
      </c>
      <c r="H36" s="105" t="str" cm="1">
        <f t="array" ref="H36">IF(A36="","",_xlfn.LET(_xlpm.stn,IFERROR(VLOOKUP(A36,'Job Operations'!$A$4:$AA$304,12,FALSE),""),IF(OR(_xlpm.stn="AXYZ Titans Line",_xlpm.stn="AXYZ 34"),_xlfn.LET(_xlpm.pos,SUMPRODUCT((A$7:A36&lt;&gt;"")*(IFERROR(VLOOKUP(A$7:A36,'Job Operations'!$A$4:$AA$304,12,FALSE),"")="AXYZ Titans Line")+(A$7:A36&lt;&gt;"")*(IFERROR(VLOOKUP(A$7:A36,'Job Operations'!$A$4:$AA$304,12,FALSE),"")="AXYZ 34")),_xlpm.sfx,IF(OR(_xlpm.pos=11,_xlpm.pos=12,_xlpm.pos=13),"th",IF(MOD(_xlpm.pos,10)=1,"st",IF(MOD(_xlpm.pos,10)=2,"nd",IF(MOD(_xlpm.pos,10)=3,"rd","th")))),_xlpm.pos&amp;_xlpm.sfx),IF(_xlpm.stn&lt;&gt;"",_xlpm.stn,""))))</f>
        <v/>
      </c>
      <c r="I36" s="102" t="str">
        <f t="shared" si="0"/>
        <v/>
      </c>
      <c r="J36" s="106" t="str">
        <f t="shared" si="1"/>
        <v/>
      </c>
      <c r="K36" s="105" t="str">
        <f>IF(A36="","",IFERROR(VLOOKUP(A36,'Job Operations'!$A$4:$AA$304,15,FALSE),""))</f>
        <v/>
      </c>
      <c r="L36" s="105" t="str">
        <f>IF(A36="","",IFERROR(VLOOKUP(A36,'Job Operations'!$A$4:$AA$304,17,FALSE),""))</f>
        <v/>
      </c>
      <c r="M36" s="167" t="str">
        <f>IF(A36="","",IF(IFERROR(VLOOKUP(A36,Notes!A:B,2,FALSE),"")=0,"",VLOOKUP(A36,Notes!A:B,2,FALSE)))</f>
        <v/>
      </c>
    </row>
    <row r="37" spans="1:13" x14ac:dyDescent="0.25">
      <c r="A37" s="98"/>
      <c r="B37" s="99" t="str">
        <f>IF(A37="","",IFERROR(VLOOKUP(A37,'Job Operations'!$A$4:$AA$304,2,FALSE),""))</f>
        <v/>
      </c>
      <c r="C37" s="100" t="str">
        <f>IF(A37="","",IFERROR(VLOOKUP(A37,'Job Operations'!$A$4:$AA$304,3,FALSE),""))</f>
        <v/>
      </c>
      <c r="D37" s="100" t="str">
        <f>IF(A37="","",IFERROR(VLOOKUP(A37,'Job Operations'!$A$4:$AA$304,5,FALSE),""))</f>
        <v/>
      </c>
      <c r="E37" s="100" t="str">
        <f>IF(A37="","",IFERROR(VLOOKUP(A37,'Job Operations'!$A$4:$AA$304,6,FALSE),""))</f>
        <v/>
      </c>
      <c r="F37" s="100" t="str">
        <f>IF(A37="","",IFERROR(VLOOKUP(A37,'Job Operations'!$A$4:$AA$304,7,FALSE),""))</f>
        <v/>
      </c>
      <c r="G37" s="101" t="str">
        <f>IF(A37="","",IFERROR(VLOOKUP(A37,'Job Operations'!$A$4:$AA$304,9,FALSE),""))</f>
        <v/>
      </c>
      <c r="H37" s="100" t="str" cm="1">
        <f t="array" ref="H37">IF(A37="","",_xlfn.LET(_xlpm.stn,IFERROR(VLOOKUP(A37,'Job Operations'!$A$4:$AA$304,12,FALSE),""),IF(OR(_xlpm.stn="AXYZ Titans Line",_xlpm.stn="AXYZ 34"),_xlfn.LET(_xlpm.pos,SUMPRODUCT((A$7:A37&lt;&gt;"")*(IFERROR(VLOOKUP(A$7:A37,'Job Operations'!$A$4:$AA$304,12,FALSE),"")="AXYZ Titans Line")+(A$7:A37&lt;&gt;"")*(IFERROR(VLOOKUP(A$7:A37,'Job Operations'!$A$4:$AA$304,12,FALSE),"")="AXYZ 34")),_xlpm.sfx,IF(OR(_xlpm.pos=11,_xlpm.pos=12,_xlpm.pos=13),"th",IF(MOD(_xlpm.pos,10)=1,"st",IF(MOD(_xlpm.pos,10)=2,"nd",IF(MOD(_xlpm.pos,10)=3,"rd","th")))),_xlpm.pos&amp;_xlpm.sfx),IF(_xlpm.stn&lt;&gt;"",_xlpm.stn,""))))</f>
        <v/>
      </c>
      <c r="I37" s="102" t="str">
        <f t="shared" si="0"/>
        <v/>
      </c>
      <c r="J37" s="101" t="str">
        <f t="shared" si="1"/>
        <v/>
      </c>
      <c r="K37" s="100" t="str">
        <f>IF(A37="","",IFERROR(VLOOKUP(A37,'Job Operations'!$A$4:$AA$304,15,FALSE),""))</f>
        <v/>
      </c>
      <c r="L37" s="100" t="str">
        <f>IF(A37="","",IFERROR(VLOOKUP(A37,'Job Operations'!$A$4:$AA$304,17,FALSE),""))</f>
        <v/>
      </c>
      <c r="M37" s="168" t="str">
        <f>IF(A37="","",IF(IFERROR(VLOOKUP(A37,Notes!A:B,2,FALSE),"")=0,"",VLOOKUP(A37,Notes!A:B,2,FALSE)))</f>
        <v/>
      </c>
    </row>
    <row r="38" spans="1:13" x14ac:dyDescent="0.25">
      <c r="A38" s="103"/>
      <c r="B38" s="104"/>
      <c r="C38" s="105"/>
      <c r="D38" s="105"/>
      <c r="E38" s="105"/>
      <c r="F38" s="105"/>
      <c r="G38" s="106"/>
      <c r="H38" s="105" t="str" cm="1">
        <f t="array" ref="H38">IF(A38="","",_xlfn.LET(_xlpm.stn,IFERROR(VLOOKUP(A38,'Job Operations'!$A$4:$AA$304,12,FALSE),""),IF(OR(_xlpm.stn="AXYZ Titans Line",_xlpm.stn="AXYZ 34"),_xlfn.LET(_xlpm.pos,SUMPRODUCT((A$7:A38&lt;&gt;"")*(IFERROR(VLOOKUP(A$7:A38,'Job Operations'!$A$4:$AA$304,12,FALSE),"")="AXYZ Titans Line")+(A$7:A38&lt;&gt;"")*(IFERROR(VLOOKUP(A$7:A38,'Job Operations'!$A$4:$AA$304,12,FALSE),"")="AXYZ 34")),_xlpm.sfx,IF(OR(_xlpm.pos=11,_xlpm.pos=12,_xlpm.pos=13),"th",IF(MOD(_xlpm.pos,10)=1,"st",IF(MOD(_xlpm.pos,10)=2,"nd",IF(MOD(_xlpm.pos,10)=3,"rd","th")))),_xlpm.pos&amp;_xlpm.sfx),IF(_xlpm.stn&lt;&gt;"",_xlpm.stn,""))))</f>
        <v/>
      </c>
      <c r="I38" s="102" t="str">
        <f t="shared" si="0"/>
        <v/>
      </c>
      <c r="J38" s="106" t="str">
        <f t="shared" si="1"/>
        <v/>
      </c>
      <c r="K38" s="105"/>
      <c r="L38" s="105"/>
      <c r="M38" s="167"/>
    </row>
    <row r="39" spans="1:13" x14ac:dyDescent="0.25">
      <c r="A39" s="98"/>
      <c r="B39" s="99"/>
      <c r="C39" s="100"/>
      <c r="D39" s="100"/>
      <c r="E39" s="100"/>
      <c r="F39" s="100"/>
      <c r="G39" s="101"/>
      <c r="H39" s="100" t="str" cm="1">
        <f t="array" ref="H39">IF(A39="","",_xlfn.LET(_xlpm.stn,IFERROR(VLOOKUP(A39,'Job Operations'!$A$4:$AA$304,12,FALSE),""),IF(OR(_xlpm.stn="AXYZ Titans Line",_xlpm.stn="AXYZ 34"),_xlfn.LET(_xlpm.pos,SUMPRODUCT((A$7:A39&lt;&gt;"")*(IFERROR(VLOOKUP(A$7:A39,'Job Operations'!$A$4:$AA$304,12,FALSE),"")="AXYZ Titans Line")+(A$7:A39&lt;&gt;"")*(IFERROR(VLOOKUP(A$7:A39,'Job Operations'!$A$4:$AA$304,12,FALSE),"")="AXYZ 34")),_xlpm.sfx,IF(OR(_xlpm.pos=11,_xlpm.pos=12,_xlpm.pos=13),"th",IF(MOD(_xlpm.pos,10)=1,"st",IF(MOD(_xlpm.pos,10)=2,"nd",IF(MOD(_xlpm.pos,10)=3,"rd","th")))),_xlpm.pos&amp;_xlpm.sfx),IF(_xlpm.stn&lt;&gt;"",_xlpm.stn,""))))</f>
        <v/>
      </c>
      <c r="I39" s="102" t="str">
        <f t="shared" ref="I39:I70" si="2">IF(A39="","",D39/7)</f>
        <v/>
      </c>
      <c r="J39" s="101" t="str">
        <f t="shared" ref="J39:J70" si="3">IF(OR(A39="",G39=""),"",WORKDAY.INTL(G39,-(5+CEILING(I39/8,1)),"0000001"))</f>
        <v/>
      </c>
      <c r="K39" s="100"/>
      <c r="L39" s="100"/>
      <c r="M39" s="168"/>
    </row>
    <row r="40" spans="1:13" x14ac:dyDescent="0.25">
      <c r="A40" s="103"/>
      <c r="B40" s="104"/>
      <c r="C40" s="105"/>
      <c r="D40" s="105"/>
      <c r="E40" s="105"/>
      <c r="F40" s="105"/>
      <c r="G40" s="106"/>
      <c r="H40" s="105" t="str" cm="1">
        <f t="array" ref="H40">IF(A40="","",_xlfn.LET(_xlpm.stn,IFERROR(VLOOKUP(A40,'Job Operations'!$A$4:$AA$304,12,FALSE),""),IF(OR(_xlpm.stn="AXYZ Titans Line",_xlpm.stn="AXYZ 34"),_xlfn.LET(_xlpm.pos,SUMPRODUCT((A$7:A40&lt;&gt;"")*(IFERROR(VLOOKUP(A$7:A40,'Job Operations'!$A$4:$AA$304,12,FALSE),"")="AXYZ Titans Line")+(A$7:A40&lt;&gt;"")*(IFERROR(VLOOKUP(A$7:A40,'Job Operations'!$A$4:$AA$304,12,FALSE),"")="AXYZ 34")),_xlpm.sfx,IF(OR(_xlpm.pos=11,_xlpm.pos=12,_xlpm.pos=13),"th",IF(MOD(_xlpm.pos,10)=1,"st",IF(MOD(_xlpm.pos,10)=2,"nd",IF(MOD(_xlpm.pos,10)=3,"rd","th")))),_xlpm.pos&amp;_xlpm.sfx),IF(_xlpm.stn&lt;&gt;"",_xlpm.stn,""))))</f>
        <v/>
      </c>
      <c r="I40" s="102" t="str">
        <f t="shared" si="2"/>
        <v/>
      </c>
      <c r="J40" s="106" t="str">
        <f t="shared" si="3"/>
        <v/>
      </c>
      <c r="K40" s="105"/>
      <c r="L40" s="105"/>
      <c r="M40" s="167"/>
    </row>
    <row r="41" spans="1:13" x14ac:dyDescent="0.25">
      <c r="A41" s="107"/>
      <c r="B41" s="108"/>
      <c r="C41" s="109"/>
      <c r="D41" s="109"/>
      <c r="E41" s="109"/>
      <c r="F41" s="109"/>
      <c r="G41" s="110"/>
      <c r="H41" s="109" t="str" cm="1">
        <f t="array" ref="H41">IF(A41="","",_xlfn.LET(_xlpm.stn,IFERROR(VLOOKUP(A41,'Job Operations'!$A$4:$AA$304,12,FALSE),""),IF(OR(_xlpm.stn="AXYZ Titans Line",_xlpm.stn="AXYZ 34"),_xlfn.LET(_xlpm.pos,SUMPRODUCT((A$7:A41&lt;&gt;"")*(IFERROR(VLOOKUP(A$7:A41,'Job Operations'!$A$4:$AA$304,12,FALSE),"")="AXYZ Titans Line")+(A$7:A41&lt;&gt;"")*(IFERROR(VLOOKUP(A$7:A41,'Job Operations'!$A$4:$AA$304,12,FALSE),"")="AXYZ 34")),_xlpm.sfx,IF(OR(_xlpm.pos=11,_xlpm.pos=12,_xlpm.pos=13),"th",IF(MOD(_xlpm.pos,10)=1,"st",IF(MOD(_xlpm.pos,10)=2,"nd",IF(MOD(_xlpm.pos,10)=3,"rd","th")))),_xlpm.pos&amp;_xlpm.sfx),IF(_xlpm.stn&lt;&gt;"",_xlpm.stn,""))))</f>
        <v/>
      </c>
      <c r="I41" s="102" t="str">
        <f t="shared" si="2"/>
        <v/>
      </c>
      <c r="J41" s="110" t="str">
        <f t="shared" si="3"/>
        <v/>
      </c>
      <c r="K41" s="109"/>
      <c r="L41" s="109"/>
      <c r="M41" s="169"/>
    </row>
    <row r="42" spans="1:13" x14ac:dyDescent="0.25">
      <c r="A42" s="107"/>
      <c r="B42" s="108"/>
      <c r="C42" s="109"/>
      <c r="D42" s="109"/>
      <c r="E42" s="109"/>
      <c r="F42" s="109"/>
      <c r="G42" s="110"/>
      <c r="H42" s="109" t="str" cm="1">
        <f t="array" ref="H42">IF(A42="","",_xlfn.LET(_xlpm.stn,IFERROR(VLOOKUP(A42,'Job Operations'!$A$4:$AA$304,12,FALSE),""),IF(OR(_xlpm.stn="AXYZ Titans Line",_xlpm.stn="AXYZ 34"),_xlfn.LET(_xlpm.pos,SUMPRODUCT((A$7:A42&lt;&gt;"")*(IFERROR(VLOOKUP(A$7:A42,'Job Operations'!$A$4:$AA$304,12,FALSE),"")="AXYZ Titans Line")+(A$7:A42&lt;&gt;"")*(IFERROR(VLOOKUP(A$7:A42,'Job Operations'!$A$4:$AA$304,12,FALSE),"")="AXYZ 34")),_xlpm.sfx,IF(OR(_xlpm.pos=11,_xlpm.pos=12,_xlpm.pos=13),"th",IF(MOD(_xlpm.pos,10)=1,"st",IF(MOD(_xlpm.pos,10)=2,"nd",IF(MOD(_xlpm.pos,10)=3,"rd","th")))),_xlpm.pos&amp;_xlpm.sfx),IF(_xlpm.stn&lt;&gt;"",_xlpm.stn,""))))</f>
        <v/>
      </c>
      <c r="I42" s="102" t="str">
        <f t="shared" si="2"/>
        <v/>
      </c>
      <c r="J42" s="110" t="str">
        <f t="shared" si="3"/>
        <v/>
      </c>
      <c r="K42" s="109"/>
      <c r="L42" s="109"/>
      <c r="M42" s="169"/>
    </row>
    <row r="43" spans="1:13" x14ac:dyDescent="0.25">
      <c r="A43" s="107"/>
      <c r="B43" s="108" t="str">
        <f>IF(A43="","",IFERROR(VLOOKUP(A43,'Job Operations'!$A$4:$AA$304,2,FALSE),""))</f>
        <v/>
      </c>
      <c r="C43" s="109" t="str">
        <f>IF(A43="","",IFERROR(VLOOKUP(A43,'Job Operations'!$A$4:$AA$304,3,FALSE),""))</f>
        <v/>
      </c>
      <c r="D43" s="109" t="str">
        <f>IF(A43="","",IFERROR(VLOOKUP(A43,'Job Operations'!$A$4:$AA$304,5,FALSE),""))</f>
        <v/>
      </c>
      <c r="E43" s="109" t="str">
        <f>IF(A43="","",IFERROR(VLOOKUP(A43,'Job Operations'!$A$4:$AA$304,6,FALSE),""))</f>
        <v/>
      </c>
      <c r="F43" s="109" t="str">
        <f>IF(A43="","",IFERROR(VLOOKUP(A43,'Job Operations'!$A$4:$AA$304,7,FALSE),""))</f>
        <v/>
      </c>
      <c r="G43" s="110" t="str">
        <f>IF(A43="","",IFERROR(VLOOKUP(A43,'Job Operations'!$A$4:$AA$304,9,FALSE),""))</f>
        <v/>
      </c>
      <c r="H43" s="109" t="str" cm="1">
        <f t="array" ref="H43">IF(A43="","",_xlfn.LET(_xlpm.stn,IFERROR(VLOOKUP(A43,'Job Operations'!$A$4:$AA$304,12,FALSE),""),IF(OR(_xlpm.stn="AXYZ Titans Line",_xlpm.stn="AXYZ 34"),_xlfn.LET(_xlpm.pos,SUMPRODUCT((A$7:A43&lt;&gt;"")*(IFERROR(VLOOKUP(A$7:A43,'Job Operations'!$A$4:$AA$304,12,FALSE),"")="AXYZ Titans Line")+(A$7:A43&lt;&gt;"")*(IFERROR(VLOOKUP(A$7:A43,'Job Operations'!$A$4:$AA$304,12,FALSE),"")="AXYZ 34")),_xlpm.sfx,IF(OR(_xlpm.pos=11,_xlpm.pos=12,_xlpm.pos=13),"th",IF(MOD(_xlpm.pos,10)=1,"st",IF(MOD(_xlpm.pos,10)=2,"nd",IF(MOD(_xlpm.pos,10)=3,"rd","th")))),_xlpm.pos&amp;_xlpm.sfx),IF(_xlpm.stn&lt;&gt;"",_xlpm.stn,""))))</f>
        <v/>
      </c>
      <c r="I43" s="102" t="str">
        <f t="shared" si="2"/>
        <v/>
      </c>
      <c r="J43" s="110" t="str">
        <f t="shared" si="3"/>
        <v/>
      </c>
      <c r="K43" s="109" t="str">
        <f>IF(A43="","",IFERROR(VLOOKUP(A43,'Job Operations'!$A$4:$AA$304,15,FALSE),""))</f>
        <v/>
      </c>
      <c r="L43" s="109" t="str">
        <f>IF(A43="","",IFERROR(VLOOKUP(A43,'Job Operations'!$A$4:$AA$304,17,FALSE),""))</f>
        <v/>
      </c>
      <c r="M43" s="169" t="str">
        <f>IF(A43="","",IF(IFERROR(VLOOKUP(A43,Notes!A:B,2,FALSE),"")=0,"",VLOOKUP(A43,Notes!A:B,2,FALSE)))</f>
        <v/>
      </c>
    </row>
    <row r="44" spans="1:13" x14ac:dyDescent="0.25">
      <c r="A44" s="107"/>
      <c r="B44" s="108" t="str">
        <f>IF(A44="","",IFERROR(VLOOKUP(A44,'Job Operations'!$A$4:$AA$304,2,FALSE),""))</f>
        <v/>
      </c>
      <c r="C44" s="109" t="str">
        <f>IF(A44="","",IFERROR(VLOOKUP(A44,'Job Operations'!$A$4:$AA$304,3,FALSE),""))</f>
        <v/>
      </c>
      <c r="D44" s="109" t="str">
        <f>IF(A44="","",IFERROR(VLOOKUP(A44,'Job Operations'!$A$4:$AA$304,5,FALSE),""))</f>
        <v/>
      </c>
      <c r="E44" s="109" t="str">
        <f>IF(A44="","",IFERROR(VLOOKUP(A44,'Job Operations'!$A$4:$AA$304,6,FALSE),""))</f>
        <v/>
      </c>
      <c r="F44" s="109" t="str">
        <f>IF(A44="","",IFERROR(VLOOKUP(A44,'Job Operations'!$A$4:$AA$304,7,FALSE),""))</f>
        <v/>
      </c>
      <c r="G44" s="110" t="str">
        <f>IF(A44="","",IFERROR(VLOOKUP(A44,'Job Operations'!$A$4:$AA$304,9,FALSE),""))</f>
        <v/>
      </c>
      <c r="H44" s="109" t="str" cm="1">
        <f t="array" ref="H44">IF(A44="","",_xlfn.LET(_xlpm.stn,IFERROR(VLOOKUP(A44,'Job Operations'!$A$4:$AA$304,12,FALSE),""),IF(OR(_xlpm.stn="AXYZ Titans Line",_xlpm.stn="AXYZ 34"),_xlfn.LET(_xlpm.pos,SUMPRODUCT((A$7:A44&lt;&gt;"")*(IFERROR(VLOOKUP(A$7:A44,'Job Operations'!$A$4:$AA$304,12,FALSE),"")="AXYZ Titans Line")+(A$7:A44&lt;&gt;"")*(IFERROR(VLOOKUP(A$7:A44,'Job Operations'!$A$4:$AA$304,12,FALSE),"")="AXYZ 34")),_xlpm.sfx,IF(OR(_xlpm.pos=11,_xlpm.pos=12,_xlpm.pos=13),"th",IF(MOD(_xlpm.pos,10)=1,"st",IF(MOD(_xlpm.pos,10)=2,"nd",IF(MOD(_xlpm.pos,10)=3,"rd","th")))),_xlpm.pos&amp;_xlpm.sfx),IF(_xlpm.stn&lt;&gt;"",_xlpm.stn,""))))</f>
        <v/>
      </c>
      <c r="I44" s="102" t="str">
        <f t="shared" si="2"/>
        <v/>
      </c>
      <c r="J44" s="110" t="str">
        <f t="shared" si="3"/>
        <v/>
      </c>
      <c r="K44" s="109" t="str">
        <f>IF(A44="","",IFERROR(VLOOKUP(A44,'Job Operations'!$A$4:$AA$304,15,FALSE),""))</f>
        <v/>
      </c>
      <c r="L44" s="109" t="str">
        <f>IF(A44="","",IFERROR(VLOOKUP(A44,'Job Operations'!$A$4:$AA$304,17,FALSE),""))</f>
        <v/>
      </c>
      <c r="M44" s="169" t="str">
        <f>IF(A44="","",IF(IFERROR(VLOOKUP(A44,Notes!A:B,2,FALSE),"")=0,"",VLOOKUP(A44,Notes!A:B,2,FALSE)))</f>
        <v/>
      </c>
    </row>
    <row r="45" spans="1:13" x14ac:dyDescent="0.25">
      <c r="A45" s="107"/>
      <c r="B45" s="108" t="str">
        <f>IF(A45="","",IFERROR(VLOOKUP(A45,'Job Operations'!$A$4:$AA$304,2,FALSE),""))</f>
        <v/>
      </c>
      <c r="C45" s="109" t="str">
        <f>IF(A45="","",IFERROR(VLOOKUP(A45,'Job Operations'!$A$4:$AA$304,3,FALSE),""))</f>
        <v/>
      </c>
      <c r="D45" s="109" t="str">
        <f>IF(A45="","",IFERROR(VLOOKUP(A45,'Job Operations'!$A$4:$AA$304,5,FALSE),""))</f>
        <v/>
      </c>
      <c r="E45" s="109" t="str">
        <f>IF(A45="","",IFERROR(VLOOKUP(A45,'Job Operations'!$A$4:$AA$304,6,FALSE),""))</f>
        <v/>
      </c>
      <c r="F45" s="109" t="str">
        <f>IF(A45="","",IFERROR(VLOOKUP(A45,'Job Operations'!$A$4:$AA$304,7,FALSE),""))</f>
        <v/>
      </c>
      <c r="G45" s="110" t="str">
        <f>IF(A45="","",IFERROR(VLOOKUP(A45,'Job Operations'!$A$4:$AA$304,9,FALSE),""))</f>
        <v/>
      </c>
      <c r="H45" s="109" t="str" cm="1">
        <f t="array" ref="H45">IF(A45="","",_xlfn.LET(_xlpm.stn,IFERROR(VLOOKUP(A45,'Job Operations'!$A$4:$AA$304,12,FALSE),""),IF(OR(_xlpm.stn="AXYZ Titans Line",_xlpm.stn="AXYZ 34"),_xlfn.LET(_xlpm.pos,SUMPRODUCT((A$7:A45&lt;&gt;"")*(IFERROR(VLOOKUP(A$7:A45,'Job Operations'!$A$4:$AA$304,12,FALSE),"")="AXYZ Titans Line")+(A$7:A45&lt;&gt;"")*(IFERROR(VLOOKUP(A$7:A45,'Job Operations'!$A$4:$AA$304,12,FALSE),"")="AXYZ 34")),_xlpm.sfx,IF(OR(_xlpm.pos=11,_xlpm.pos=12,_xlpm.pos=13),"th",IF(MOD(_xlpm.pos,10)=1,"st",IF(MOD(_xlpm.pos,10)=2,"nd",IF(MOD(_xlpm.pos,10)=3,"rd","th")))),_xlpm.pos&amp;_xlpm.sfx),IF(_xlpm.stn&lt;&gt;"",_xlpm.stn,""))))</f>
        <v/>
      </c>
      <c r="I45" s="102" t="str">
        <f t="shared" si="2"/>
        <v/>
      </c>
      <c r="J45" s="110" t="str">
        <f t="shared" si="3"/>
        <v/>
      </c>
      <c r="K45" s="109" t="str">
        <f>IF(A45="","",IFERROR(VLOOKUP(A45,'Job Operations'!$A$4:$AA$304,15,FALSE),""))</f>
        <v/>
      </c>
      <c r="L45" s="109" t="str">
        <f>IF(A45="","",IFERROR(VLOOKUP(A45,'Job Operations'!$A$4:$AA$304,17,FALSE),""))</f>
        <v/>
      </c>
      <c r="M45" s="169" t="str">
        <f>IF(A45="","",IF(IFERROR(VLOOKUP(A45,Notes!A:B,2,FALSE),"")=0,"",VLOOKUP(A45,Notes!A:B,2,FALSE)))</f>
        <v/>
      </c>
    </row>
    <row r="46" spans="1:13" x14ac:dyDescent="0.25">
      <c r="A46" s="107"/>
      <c r="B46" s="108" t="str">
        <f>IF(A46="","",IFERROR(VLOOKUP(A46,'Job Operations'!$A$4:$AA$304,2,FALSE),""))</f>
        <v/>
      </c>
      <c r="C46" s="109" t="str">
        <f>IF(A46="","",IFERROR(VLOOKUP(A46,'Job Operations'!$A$4:$AA$304,3,FALSE),""))</f>
        <v/>
      </c>
      <c r="D46" s="109" t="str">
        <f>IF(A46="","",IFERROR(VLOOKUP(A46,'Job Operations'!$A$4:$AA$304,5,FALSE),""))</f>
        <v/>
      </c>
      <c r="E46" s="109" t="str">
        <f>IF(A46="","",IFERROR(VLOOKUP(A46,'Job Operations'!$A$4:$AA$304,6,FALSE),""))</f>
        <v/>
      </c>
      <c r="F46" s="109" t="str">
        <f>IF(A46="","",IFERROR(VLOOKUP(A46,'Job Operations'!$A$4:$AA$304,7,FALSE),""))</f>
        <v/>
      </c>
      <c r="G46" s="110" t="str">
        <f>IF(A46="","",IFERROR(VLOOKUP(A46,'Job Operations'!$A$4:$AA$304,9,FALSE),""))</f>
        <v/>
      </c>
      <c r="H46" s="109" t="str" cm="1">
        <f t="array" ref="H46">IF(A46="","",_xlfn.LET(_xlpm.stn,IFERROR(VLOOKUP(A46,'Job Operations'!$A$4:$AA$304,12,FALSE),""),IF(OR(_xlpm.stn="AXYZ Titans Line",_xlpm.stn="AXYZ 34"),_xlfn.LET(_xlpm.pos,SUMPRODUCT((A$7:A46&lt;&gt;"")*(IFERROR(VLOOKUP(A$7:A46,'Job Operations'!$A$4:$AA$304,12,FALSE),"")="AXYZ Titans Line")+(A$7:A46&lt;&gt;"")*(IFERROR(VLOOKUP(A$7:A46,'Job Operations'!$A$4:$AA$304,12,FALSE),"")="AXYZ 34")),_xlpm.sfx,IF(OR(_xlpm.pos=11,_xlpm.pos=12,_xlpm.pos=13),"th",IF(MOD(_xlpm.pos,10)=1,"st",IF(MOD(_xlpm.pos,10)=2,"nd",IF(MOD(_xlpm.pos,10)=3,"rd","th")))),_xlpm.pos&amp;_xlpm.sfx),IF(_xlpm.stn&lt;&gt;"",_xlpm.stn,""))))</f>
        <v/>
      </c>
      <c r="I46" s="102" t="str">
        <f t="shared" si="2"/>
        <v/>
      </c>
      <c r="J46" s="110" t="str">
        <f t="shared" si="3"/>
        <v/>
      </c>
      <c r="K46" s="109" t="str">
        <f>IF(A46="","",IFERROR(VLOOKUP(A46,'Job Operations'!$A$4:$AA$304,15,FALSE),""))</f>
        <v/>
      </c>
      <c r="L46" s="109" t="str">
        <f>IF(A46="","",IFERROR(VLOOKUP(A46,'Job Operations'!$A$4:$AA$304,17,FALSE),""))</f>
        <v/>
      </c>
      <c r="M46" s="169" t="str">
        <f>IF(A46="","",IF(IFERROR(VLOOKUP(A46,Notes!A:B,2,FALSE),"")=0,"",VLOOKUP(A46,Notes!A:B,2,FALSE)))</f>
        <v/>
      </c>
    </row>
    <row r="47" spans="1:13" x14ac:dyDescent="0.25">
      <c r="A47" s="107"/>
      <c r="B47" s="108" t="str">
        <f>IF(A47="","",IFERROR(VLOOKUP(A47,'Job Operations'!$A$4:$AA$304,2,FALSE),""))</f>
        <v/>
      </c>
      <c r="C47" s="109" t="str">
        <f>IF(A47="","",IFERROR(VLOOKUP(A47,'Job Operations'!$A$4:$AA$304,3,FALSE),""))</f>
        <v/>
      </c>
      <c r="D47" s="109" t="str">
        <f>IF(A47="","",IFERROR(VLOOKUP(A47,'Job Operations'!$A$4:$AA$304,5,FALSE),""))</f>
        <v/>
      </c>
      <c r="E47" s="109" t="str">
        <f>IF(A47="","",IFERROR(VLOOKUP(A47,'Job Operations'!$A$4:$AA$304,6,FALSE),""))</f>
        <v/>
      </c>
      <c r="F47" s="109" t="str">
        <f>IF(A47="","",IFERROR(VLOOKUP(A47,'Job Operations'!$A$4:$AA$304,7,FALSE),""))</f>
        <v/>
      </c>
      <c r="G47" s="110" t="str">
        <f>IF(A47="","",IFERROR(VLOOKUP(A47,'Job Operations'!$A$4:$AA$304,9,FALSE),""))</f>
        <v/>
      </c>
      <c r="H47" s="109" t="str" cm="1">
        <f t="array" ref="H47">IF(A47="","",_xlfn.LET(_xlpm.stn,IFERROR(VLOOKUP(A47,'Job Operations'!$A$4:$AA$304,12,FALSE),""),IF(OR(_xlpm.stn="AXYZ Titans Line",_xlpm.stn="AXYZ 34"),_xlfn.LET(_xlpm.pos,SUMPRODUCT((A$7:A47&lt;&gt;"")*(IFERROR(VLOOKUP(A$7:A47,'Job Operations'!$A$4:$AA$304,12,FALSE),"")="AXYZ Titans Line")+(A$7:A47&lt;&gt;"")*(IFERROR(VLOOKUP(A$7:A47,'Job Operations'!$A$4:$AA$304,12,FALSE),"")="AXYZ 34")),_xlpm.sfx,IF(OR(_xlpm.pos=11,_xlpm.pos=12,_xlpm.pos=13),"th",IF(MOD(_xlpm.pos,10)=1,"st",IF(MOD(_xlpm.pos,10)=2,"nd",IF(MOD(_xlpm.pos,10)=3,"rd","th")))),_xlpm.pos&amp;_xlpm.sfx),IF(_xlpm.stn&lt;&gt;"",_xlpm.stn,""))))</f>
        <v/>
      </c>
      <c r="I47" s="102" t="str">
        <f t="shared" si="2"/>
        <v/>
      </c>
      <c r="J47" s="110" t="str">
        <f t="shared" si="3"/>
        <v/>
      </c>
      <c r="K47" s="109" t="str">
        <f>IF(A47="","",IFERROR(VLOOKUP(A47,'Job Operations'!$A$4:$AA$304,15,FALSE),""))</f>
        <v/>
      </c>
      <c r="L47" s="109" t="str">
        <f>IF(A47="","",IFERROR(VLOOKUP(A47,'Job Operations'!$A$4:$AA$304,17,FALSE),""))</f>
        <v/>
      </c>
      <c r="M47" s="169" t="str">
        <f>IF(A47="","",IF(IFERROR(VLOOKUP(A47,Notes!A:B,2,FALSE),"")=0,"",VLOOKUP(A47,Notes!A:B,2,FALSE)))</f>
        <v/>
      </c>
    </row>
    <row r="48" spans="1:13" x14ac:dyDescent="0.25">
      <c r="A48" s="107"/>
      <c r="B48" s="108" t="str">
        <f>IF(A48="","",IFERROR(VLOOKUP(A48,'Job Operations'!$A$4:$AA$304,2,FALSE),""))</f>
        <v/>
      </c>
      <c r="C48" s="109" t="str">
        <f>IF(A48="","",IFERROR(VLOOKUP(A48,'Job Operations'!$A$4:$AA$304,3,FALSE),""))</f>
        <v/>
      </c>
      <c r="D48" s="109" t="str">
        <f>IF(A48="","",IFERROR(VLOOKUP(A48,'Job Operations'!$A$4:$AA$304,5,FALSE),""))</f>
        <v/>
      </c>
      <c r="E48" s="109" t="str">
        <f>IF(A48="","",IFERROR(VLOOKUP(A48,'Job Operations'!$A$4:$AA$304,6,FALSE),""))</f>
        <v/>
      </c>
      <c r="F48" s="109" t="str">
        <f>IF(A48="","",IFERROR(VLOOKUP(A48,'Job Operations'!$A$4:$AA$304,7,FALSE),""))</f>
        <v/>
      </c>
      <c r="G48" s="110" t="str">
        <f>IF(A48="","",IFERROR(VLOOKUP(A48,'Job Operations'!$A$4:$AA$304,9,FALSE),""))</f>
        <v/>
      </c>
      <c r="H48" s="109" t="str" cm="1">
        <f t="array" ref="H48">IF(A48="","",_xlfn.LET(_xlpm.stn,IFERROR(VLOOKUP(A48,'Job Operations'!$A$4:$AA$304,12,FALSE),""),IF(OR(_xlpm.stn="AXYZ Titans Line",_xlpm.stn="AXYZ 34"),_xlfn.LET(_xlpm.pos,SUMPRODUCT((A$7:A48&lt;&gt;"")*(IFERROR(VLOOKUP(A$7:A48,'Job Operations'!$A$4:$AA$304,12,FALSE),"")="AXYZ Titans Line")+(A$7:A48&lt;&gt;"")*(IFERROR(VLOOKUP(A$7:A48,'Job Operations'!$A$4:$AA$304,12,FALSE),"")="AXYZ 34")),_xlpm.sfx,IF(OR(_xlpm.pos=11,_xlpm.pos=12,_xlpm.pos=13),"th",IF(MOD(_xlpm.pos,10)=1,"st",IF(MOD(_xlpm.pos,10)=2,"nd",IF(MOD(_xlpm.pos,10)=3,"rd","th")))),_xlpm.pos&amp;_xlpm.sfx),IF(_xlpm.stn&lt;&gt;"",_xlpm.stn,""))))</f>
        <v/>
      </c>
      <c r="I48" s="102" t="str">
        <f t="shared" si="2"/>
        <v/>
      </c>
      <c r="J48" s="110" t="str">
        <f t="shared" si="3"/>
        <v/>
      </c>
      <c r="K48" s="109" t="str">
        <f>IF(A48="","",IFERROR(VLOOKUP(A48,'Job Operations'!$A$4:$AA$304,15,FALSE),""))</f>
        <v/>
      </c>
      <c r="L48" s="109" t="str">
        <f>IF(A48="","",IFERROR(VLOOKUP(A48,'Job Operations'!$A$4:$AA$304,17,FALSE),""))</f>
        <v/>
      </c>
      <c r="M48" s="169" t="str">
        <f>IF(A48="","",IF(IFERROR(VLOOKUP(A48,Notes!A:B,2,FALSE),"")=0,"",VLOOKUP(A48,Notes!A:B,2,FALSE)))</f>
        <v/>
      </c>
    </row>
    <row r="49" spans="1:13" x14ac:dyDescent="0.25">
      <c r="A49" s="107"/>
      <c r="B49" s="108" t="str">
        <f>IF(A49="","",IFERROR(VLOOKUP(A49,'Job Operations'!$A$4:$AA$304,2,FALSE),""))</f>
        <v/>
      </c>
      <c r="C49" s="109" t="str">
        <f>IF(A49="","",IFERROR(VLOOKUP(A49,'Job Operations'!$A$4:$AA$304,3,FALSE),""))</f>
        <v/>
      </c>
      <c r="D49" s="109" t="str">
        <f>IF(A49="","",IFERROR(VLOOKUP(A49,'Job Operations'!$A$4:$AA$304,5,FALSE),""))</f>
        <v/>
      </c>
      <c r="E49" s="109" t="str">
        <f>IF(A49="","",IFERROR(VLOOKUP(A49,'Job Operations'!$A$4:$AA$304,6,FALSE),""))</f>
        <v/>
      </c>
      <c r="F49" s="109" t="str">
        <f>IF(A49="","",IFERROR(VLOOKUP(A49,'Job Operations'!$A$4:$AA$304,7,FALSE),""))</f>
        <v/>
      </c>
      <c r="G49" s="110" t="str">
        <f>IF(A49="","",IFERROR(VLOOKUP(A49,'Job Operations'!$A$4:$AA$304,9,FALSE),""))</f>
        <v/>
      </c>
      <c r="H49" s="109" t="str" cm="1">
        <f t="array" ref="H49">IF(A49="","",_xlfn.LET(_xlpm.stn,IFERROR(VLOOKUP(A49,'Job Operations'!$A$4:$AA$304,12,FALSE),""),IF(OR(_xlpm.stn="AXYZ Titans Line",_xlpm.stn="AXYZ 34"),_xlfn.LET(_xlpm.pos,SUMPRODUCT((A$7:A49&lt;&gt;"")*(IFERROR(VLOOKUP(A$7:A49,'Job Operations'!$A$4:$AA$304,12,FALSE),"")="AXYZ Titans Line")+(A$7:A49&lt;&gt;"")*(IFERROR(VLOOKUP(A$7:A49,'Job Operations'!$A$4:$AA$304,12,FALSE),"")="AXYZ 34")),_xlpm.sfx,IF(OR(_xlpm.pos=11,_xlpm.pos=12,_xlpm.pos=13),"th",IF(MOD(_xlpm.pos,10)=1,"st",IF(MOD(_xlpm.pos,10)=2,"nd",IF(MOD(_xlpm.pos,10)=3,"rd","th")))),_xlpm.pos&amp;_xlpm.sfx),IF(_xlpm.stn&lt;&gt;"",_xlpm.stn,""))))</f>
        <v/>
      </c>
      <c r="I49" s="102" t="str">
        <f t="shared" si="2"/>
        <v/>
      </c>
      <c r="J49" s="110" t="str">
        <f t="shared" si="3"/>
        <v/>
      </c>
      <c r="K49" s="109" t="str">
        <f>IF(A49="","",IFERROR(VLOOKUP(A49,'Job Operations'!$A$4:$AA$304,15,FALSE),""))</f>
        <v/>
      </c>
      <c r="L49" s="109" t="str">
        <f>IF(A49="","",IFERROR(VLOOKUP(A49,'Job Operations'!$A$4:$AA$304,17,FALSE),""))</f>
        <v/>
      </c>
      <c r="M49" s="169" t="str">
        <f>IF(A49="","",IF(IFERROR(VLOOKUP(A49,Notes!A:B,2,FALSE),"")=0,"",VLOOKUP(A49,Notes!A:B,2,FALSE)))</f>
        <v/>
      </c>
    </row>
    <row r="50" spans="1:13" x14ac:dyDescent="0.25">
      <c r="A50" s="107"/>
      <c r="B50" s="108" t="str">
        <f>IF(A50="","",IFERROR(VLOOKUP(A50,'Job Operations'!$A$4:$AA$304,2,FALSE),""))</f>
        <v/>
      </c>
      <c r="C50" s="109" t="str">
        <f>IF(A50="","",IFERROR(VLOOKUP(A50,'Job Operations'!$A$4:$AA$304,3,FALSE),""))</f>
        <v/>
      </c>
      <c r="D50" s="109" t="str">
        <f>IF(A50="","",IFERROR(VLOOKUP(A50,'Job Operations'!$A$4:$AA$304,5,FALSE),""))</f>
        <v/>
      </c>
      <c r="E50" s="109" t="str">
        <f>IF(A50="","",IFERROR(VLOOKUP(A50,'Job Operations'!$A$4:$AA$304,6,FALSE),""))</f>
        <v/>
      </c>
      <c r="F50" s="109" t="str">
        <f>IF(A50="","",IFERROR(VLOOKUP(A50,'Job Operations'!$A$4:$AA$304,7,FALSE),""))</f>
        <v/>
      </c>
      <c r="G50" s="110" t="str">
        <f>IF(A50="","",IFERROR(VLOOKUP(A50,'Job Operations'!$A$4:$AA$304,9,FALSE),""))</f>
        <v/>
      </c>
      <c r="H50" s="109" t="str" cm="1">
        <f t="array" ref="H50">IF(A50="","",_xlfn.LET(_xlpm.stn,IFERROR(VLOOKUP(A50,'Job Operations'!$A$4:$AA$304,12,FALSE),""),IF(OR(_xlpm.stn="AXYZ Titans Line",_xlpm.stn="AXYZ 34"),_xlfn.LET(_xlpm.pos,SUMPRODUCT((A$7:A50&lt;&gt;"")*(IFERROR(VLOOKUP(A$7:A50,'Job Operations'!$A$4:$AA$304,12,FALSE),"")="AXYZ Titans Line")+(A$7:A50&lt;&gt;"")*(IFERROR(VLOOKUP(A$7:A50,'Job Operations'!$A$4:$AA$304,12,FALSE),"")="AXYZ 34")),_xlpm.sfx,IF(OR(_xlpm.pos=11,_xlpm.pos=12,_xlpm.pos=13),"th",IF(MOD(_xlpm.pos,10)=1,"st",IF(MOD(_xlpm.pos,10)=2,"nd",IF(MOD(_xlpm.pos,10)=3,"rd","th")))),_xlpm.pos&amp;_xlpm.sfx),IF(_xlpm.stn&lt;&gt;"",_xlpm.stn,""))))</f>
        <v/>
      </c>
      <c r="I50" s="102" t="str">
        <f t="shared" si="2"/>
        <v/>
      </c>
      <c r="J50" s="110" t="str">
        <f t="shared" si="3"/>
        <v/>
      </c>
      <c r="K50" s="109" t="str">
        <f>IF(A50="","",IFERROR(VLOOKUP(A50,'Job Operations'!$A$4:$AA$304,15,FALSE),""))</f>
        <v/>
      </c>
      <c r="L50" s="109" t="str">
        <f>IF(A50="","",IFERROR(VLOOKUP(A50,'Job Operations'!$A$4:$AA$304,17,FALSE),""))</f>
        <v/>
      </c>
      <c r="M50" s="169" t="str">
        <f>IF(A50="","",IF(IFERROR(VLOOKUP(A50,Notes!A:B,2,FALSE),"")=0,"",VLOOKUP(A50,Notes!A:B,2,FALSE)))</f>
        <v/>
      </c>
    </row>
    <row r="51" spans="1:13" x14ac:dyDescent="0.25">
      <c r="A51" s="95"/>
      <c r="B51" s="96" t="str">
        <f>IF(A51="","",IFERROR(VLOOKUP(A51,'Job Operations'!$A$4:$AA$304,2,FALSE),""))</f>
        <v/>
      </c>
      <c r="C51" s="95" t="str">
        <f>IF(A51="","",IFERROR(VLOOKUP(A51,'Job Operations'!$A$4:$AA$304,3,FALSE),""))</f>
        <v/>
      </c>
      <c r="D51" s="95" t="str">
        <f>IF(A51="","",IFERROR(VLOOKUP(A51,'Job Operations'!$A$4:$AA$304,5,FALSE),""))</f>
        <v/>
      </c>
      <c r="E51" s="95" t="str">
        <f>IF(A51="","",IFERROR(VLOOKUP(A51,'Job Operations'!$A$4:$AA$304,6,FALSE),""))</f>
        <v/>
      </c>
      <c r="F51" s="95" t="str">
        <f>IF(A51="","",IFERROR(VLOOKUP(A51,'Job Operations'!$A$4:$AA$304,7,FALSE),""))</f>
        <v/>
      </c>
      <c r="G51" s="97" t="str">
        <f>IF(A51="","",IFERROR(VLOOKUP(A51,'Job Operations'!$A$4:$AA$304,9,FALSE),""))</f>
        <v/>
      </c>
      <c r="H51" s="95" t="str" cm="1">
        <f t="array" ref="H51">IF(A51="","",_xlfn.LET(_xlpm.stn,IFERROR(VLOOKUP(A51,'Job Operations'!$A$4:$AA$304,12,FALSE),""),IF(OR(_xlpm.stn="AXYZ Titans Line",_xlpm.stn="AXYZ 34"),_xlfn.LET(_xlpm.pos,SUMPRODUCT((A$7:A51&lt;&gt;"")*(IFERROR(VLOOKUP(A$7:A51,'Job Operations'!$A$4:$AA$304,12,FALSE),"")="AXYZ Titans Line")+(A$7:A51&lt;&gt;"")*(IFERROR(VLOOKUP(A$7:A51,'Job Operations'!$A$4:$AA$304,12,FALSE),"")="AXYZ 34")),_xlpm.sfx,IF(OR(_xlpm.pos=11,_xlpm.pos=12,_xlpm.pos=13),"th",IF(MOD(_xlpm.pos,10)=1,"st",IF(MOD(_xlpm.pos,10)=2,"nd",IF(MOD(_xlpm.pos,10)=3,"rd","th")))),_xlpm.pos&amp;_xlpm.sfx),IF(_xlpm.stn&lt;&gt;"",_xlpm.stn,""))))</f>
        <v/>
      </c>
      <c r="I51" s="75" t="str">
        <f t="shared" si="2"/>
        <v/>
      </c>
      <c r="J51" s="97" t="str">
        <f t="shared" si="3"/>
        <v/>
      </c>
      <c r="K51" s="95" t="str">
        <f>IF(A51="","",IFERROR(VLOOKUP(A51,'Job Operations'!$A$4:$AA$304,15,FALSE),""))</f>
        <v/>
      </c>
      <c r="L51" s="95" t="str">
        <f>IF(A51="","",IFERROR(VLOOKUP(A51,'Job Operations'!$A$4:$AA$304,17,FALSE),""))</f>
        <v/>
      </c>
      <c r="M51" s="170" t="str">
        <f>IF(A51="","",IF(IFERROR(VLOOKUP(A51,Notes!A:B,2,FALSE),"")=0,"",VLOOKUP(A51,Notes!A:B,2,FALSE)))</f>
        <v/>
      </c>
    </row>
    <row r="52" spans="1:13" x14ac:dyDescent="0.25">
      <c r="A52" s="69"/>
      <c r="B52" s="73" t="str">
        <f>IF(A52="","",IFERROR(VLOOKUP(A52,'Job Operations'!$A$4:$AA$304,2,FALSE),""))</f>
        <v/>
      </c>
      <c r="C52" s="69" t="str">
        <f>IF(A52="","",IFERROR(VLOOKUP(A52,'Job Operations'!$A$4:$AA$304,3,FALSE),""))</f>
        <v/>
      </c>
      <c r="D52" s="69" t="str">
        <f>IF(A52="","",IFERROR(VLOOKUP(A52,'Job Operations'!$A$4:$AA$304,5,FALSE),""))</f>
        <v/>
      </c>
      <c r="E52" s="69" t="str">
        <f>IF(A52="","",IFERROR(VLOOKUP(A52,'Job Operations'!$A$4:$AA$304,6,FALSE),""))</f>
        <v/>
      </c>
      <c r="F52" s="69" t="str">
        <f>IF(A52="","",IFERROR(VLOOKUP(A52,'Job Operations'!$A$4:$AA$304,7,FALSE),""))</f>
        <v/>
      </c>
      <c r="G52" s="70" t="str">
        <f>IF(A52="","",IFERROR(VLOOKUP(A52,'Job Operations'!$A$4:$AA$304,9,FALSE),""))</f>
        <v/>
      </c>
      <c r="H52" s="69" t="str" cm="1">
        <f t="array" ref="H52">IF(A52="","",_xlfn.LET(_xlpm.stn,IFERROR(VLOOKUP(A52,'Job Operations'!$A$4:$AA$304,12,FALSE),""),IF(OR(_xlpm.stn="AXYZ Titans Line",_xlpm.stn="AXYZ 34"),_xlfn.LET(_xlpm.pos,SUMPRODUCT((A$7:A52&lt;&gt;"")*(IFERROR(VLOOKUP(A$7:A52,'Job Operations'!$A$4:$AA$304,12,FALSE),"")="AXYZ Titans Line")+(A$7:A52&lt;&gt;"")*(IFERROR(VLOOKUP(A$7:A52,'Job Operations'!$A$4:$AA$304,12,FALSE),"")="AXYZ 34")),_xlpm.sfx,IF(OR(_xlpm.pos=11,_xlpm.pos=12,_xlpm.pos=13),"th",IF(MOD(_xlpm.pos,10)=1,"st",IF(MOD(_xlpm.pos,10)=2,"nd",IF(MOD(_xlpm.pos,10)=3,"rd","th")))),_xlpm.pos&amp;_xlpm.sfx),IF(_xlpm.stn&lt;&gt;"",_xlpm.stn,""))))</f>
        <v/>
      </c>
      <c r="I52" s="67" t="str">
        <f t="shared" si="2"/>
        <v/>
      </c>
      <c r="J52" s="70" t="str">
        <f t="shared" si="3"/>
        <v/>
      </c>
      <c r="K52" s="69" t="str">
        <f>IF(A52="","",IFERROR(VLOOKUP(A52,'Job Operations'!$A$4:$AA$304,15,FALSE),""))</f>
        <v/>
      </c>
      <c r="L52" s="69" t="str">
        <f>IF(A52="","",IFERROR(VLOOKUP(A52,'Job Operations'!$A$4:$AA$304,17,FALSE),""))</f>
        <v/>
      </c>
      <c r="M52" s="171" t="str">
        <f>IF(A52="","",IF(IFERROR(VLOOKUP(A52,Notes!A:B,2,FALSE),"")=0,"",VLOOKUP(A52,Notes!A:B,2,FALSE)))</f>
        <v/>
      </c>
    </row>
    <row r="53" spans="1:13" x14ac:dyDescent="0.25">
      <c r="A53" s="69"/>
      <c r="B53" s="73" t="str">
        <f>IF(A53="","",IFERROR(VLOOKUP(A53,'Job Operations'!$A$4:$AA$304,2,FALSE),""))</f>
        <v/>
      </c>
      <c r="C53" s="69" t="str">
        <f>IF(A53="","",IFERROR(VLOOKUP(A53,'Job Operations'!$A$4:$AA$304,3,FALSE),""))</f>
        <v/>
      </c>
      <c r="D53" s="69" t="str">
        <f>IF(A53="","",IFERROR(VLOOKUP(A53,'Job Operations'!$A$4:$AA$304,5,FALSE),""))</f>
        <v/>
      </c>
      <c r="E53" s="69" t="str">
        <f>IF(A53="","",IFERROR(VLOOKUP(A53,'Job Operations'!$A$4:$AA$304,6,FALSE),""))</f>
        <v/>
      </c>
      <c r="F53" s="69" t="str">
        <f>IF(A53="","",IFERROR(VLOOKUP(A53,'Job Operations'!$A$4:$AA$304,7,FALSE),""))</f>
        <v/>
      </c>
      <c r="G53" s="70" t="str">
        <f>IF(A53="","",IFERROR(VLOOKUP(A53,'Job Operations'!$A$4:$AA$304,9,FALSE),""))</f>
        <v/>
      </c>
      <c r="H53" s="69" t="str" cm="1">
        <f t="array" ref="H53">IF(A53="","",_xlfn.LET(_xlpm.stn,IFERROR(VLOOKUP(A53,'Job Operations'!$A$4:$AA$304,12,FALSE),""),IF(OR(_xlpm.stn="AXYZ Titans Line",_xlpm.stn="AXYZ 34"),_xlfn.LET(_xlpm.pos,SUMPRODUCT((A$7:A53&lt;&gt;"")*(IFERROR(VLOOKUP(A$7:A53,'Job Operations'!$A$4:$AA$304,12,FALSE),"")="AXYZ Titans Line")+(A$7:A53&lt;&gt;"")*(IFERROR(VLOOKUP(A$7:A53,'Job Operations'!$A$4:$AA$304,12,FALSE),"")="AXYZ 34")),_xlpm.sfx,IF(OR(_xlpm.pos=11,_xlpm.pos=12,_xlpm.pos=13),"th",IF(MOD(_xlpm.pos,10)=1,"st",IF(MOD(_xlpm.pos,10)=2,"nd",IF(MOD(_xlpm.pos,10)=3,"rd","th")))),_xlpm.pos&amp;_xlpm.sfx),IF(_xlpm.stn&lt;&gt;"",_xlpm.stn,""))))</f>
        <v/>
      </c>
      <c r="I53" s="67" t="str">
        <f t="shared" si="2"/>
        <v/>
      </c>
      <c r="J53" s="70" t="str">
        <f t="shared" si="3"/>
        <v/>
      </c>
      <c r="K53" s="69" t="str">
        <f>IF(A53="","",IFERROR(VLOOKUP(A53,'Job Operations'!$A$4:$AA$304,15,FALSE),""))</f>
        <v/>
      </c>
      <c r="L53" s="69" t="str">
        <f>IF(A53="","",IFERROR(VLOOKUP(A53,'Job Operations'!$A$4:$AA$304,17,FALSE),""))</f>
        <v/>
      </c>
      <c r="M53" s="171" t="str">
        <f>IF(A53="","",IF(IFERROR(VLOOKUP(A53,Notes!A:B,2,FALSE),"")=0,"",VLOOKUP(A53,Notes!A:B,2,FALSE)))</f>
        <v/>
      </c>
    </row>
    <row r="54" spans="1:13" x14ac:dyDescent="0.25">
      <c r="A54" s="69"/>
      <c r="B54" s="73" t="str">
        <f>IF(A54="","",IFERROR(VLOOKUP(A54,'Job Operations'!$A$4:$AA$304,2,FALSE),""))</f>
        <v/>
      </c>
      <c r="C54" s="69" t="str">
        <f>IF(A54="","",IFERROR(VLOOKUP(A54,'Job Operations'!$A$4:$AA$304,3,FALSE),""))</f>
        <v/>
      </c>
      <c r="D54" s="69" t="str">
        <f>IF(A54="","",IFERROR(VLOOKUP(A54,'Job Operations'!$A$4:$AA$304,5,FALSE),""))</f>
        <v/>
      </c>
      <c r="E54" s="69" t="str">
        <f>IF(A54="","",IFERROR(VLOOKUP(A54,'Job Operations'!$A$4:$AA$304,6,FALSE),""))</f>
        <v/>
      </c>
      <c r="F54" s="69" t="str">
        <f>IF(A54="","",IFERROR(VLOOKUP(A54,'Job Operations'!$A$4:$AA$304,7,FALSE),""))</f>
        <v/>
      </c>
      <c r="G54" s="70" t="str">
        <f>IF(A54="","",IFERROR(VLOOKUP(A54,'Job Operations'!$A$4:$AA$304,9,FALSE),""))</f>
        <v/>
      </c>
      <c r="H54" s="69" t="str" cm="1">
        <f t="array" ref="H54">IF(A54="","",_xlfn.LET(_xlpm.stn,IFERROR(VLOOKUP(A54,'Job Operations'!$A$4:$AA$304,12,FALSE),""),IF(OR(_xlpm.stn="AXYZ Titans Line",_xlpm.stn="AXYZ 34"),_xlfn.LET(_xlpm.pos,SUMPRODUCT((A$7:A54&lt;&gt;"")*(IFERROR(VLOOKUP(A$7:A54,'Job Operations'!$A$4:$AA$304,12,FALSE),"")="AXYZ Titans Line")+(A$7:A54&lt;&gt;"")*(IFERROR(VLOOKUP(A$7:A54,'Job Operations'!$A$4:$AA$304,12,FALSE),"")="AXYZ 34")),_xlpm.sfx,IF(OR(_xlpm.pos=11,_xlpm.pos=12,_xlpm.pos=13),"th",IF(MOD(_xlpm.pos,10)=1,"st",IF(MOD(_xlpm.pos,10)=2,"nd",IF(MOD(_xlpm.pos,10)=3,"rd","th")))),_xlpm.pos&amp;_xlpm.sfx),IF(_xlpm.stn&lt;&gt;"",_xlpm.stn,""))))</f>
        <v/>
      </c>
      <c r="I54" s="67" t="str">
        <f t="shared" si="2"/>
        <v/>
      </c>
      <c r="J54" s="70" t="str">
        <f t="shared" si="3"/>
        <v/>
      </c>
      <c r="K54" s="69" t="str">
        <f>IF(A54="","",IFERROR(VLOOKUP(A54,'Job Operations'!$A$4:$AA$304,15,FALSE),""))</f>
        <v/>
      </c>
      <c r="L54" s="69" t="str">
        <f>IF(A54="","",IFERROR(VLOOKUP(A54,'Job Operations'!$A$4:$AA$304,17,FALSE),""))</f>
        <v/>
      </c>
      <c r="M54" s="171" t="str">
        <f>IF(A54="","",IF(IFERROR(VLOOKUP(A54,Notes!A:B,2,FALSE),"")=0,"",VLOOKUP(A54,Notes!A:B,2,FALSE)))</f>
        <v/>
      </c>
    </row>
    <row r="55" spans="1:13" x14ac:dyDescent="0.25">
      <c r="A55" s="69"/>
      <c r="B55" s="73" t="str">
        <f>IF(A55="","",IFERROR(VLOOKUP(A55,'Job Operations'!$A$4:$AA$304,2,FALSE),""))</f>
        <v/>
      </c>
      <c r="C55" s="69" t="str">
        <f>IF(A55="","",IFERROR(VLOOKUP(A55,'Job Operations'!$A$4:$AA$304,3,FALSE),""))</f>
        <v/>
      </c>
      <c r="D55" s="69" t="str">
        <f>IF(A55="","",IFERROR(VLOOKUP(A55,'Job Operations'!$A$4:$AA$304,5,FALSE),""))</f>
        <v/>
      </c>
      <c r="E55" s="69" t="str">
        <f>IF(A55="","",IFERROR(VLOOKUP(A55,'Job Operations'!$A$4:$AA$304,6,FALSE),""))</f>
        <v/>
      </c>
      <c r="F55" s="69" t="str">
        <f>IF(A55="","",IFERROR(VLOOKUP(A55,'Job Operations'!$A$4:$AA$304,7,FALSE),""))</f>
        <v/>
      </c>
      <c r="G55" s="70" t="str">
        <f>IF(A55="","",IFERROR(VLOOKUP(A55,'Job Operations'!$A$4:$AA$304,9,FALSE),""))</f>
        <v/>
      </c>
      <c r="H55" s="69" t="str" cm="1">
        <f t="array" ref="H55">IF(A55="","",_xlfn.LET(_xlpm.stn,IFERROR(VLOOKUP(A55,'Job Operations'!$A$4:$AA$304,12,FALSE),""),IF(OR(_xlpm.stn="AXYZ Titans Line",_xlpm.stn="AXYZ 34"),_xlfn.LET(_xlpm.pos,SUMPRODUCT((A$7:A55&lt;&gt;"")*(IFERROR(VLOOKUP(A$7:A55,'Job Operations'!$A$4:$AA$304,12,FALSE),"")="AXYZ Titans Line")+(A$7:A55&lt;&gt;"")*(IFERROR(VLOOKUP(A$7:A55,'Job Operations'!$A$4:$AA$304,12,FALSE),"")="AXYZ 34")),_xlpm.sfx,IF(OR(_xlpm.pos=11,_xlpm.pos=12,_xlpm.pos=13),"th",IF(MOD(_xlpm.pos,10)=1,"st",IF(MOD(_xlpm.pos,10)=2,"nd",IF(MOD(_xlpm.pos,10)=3,"rd","th")))),_xlpm.pos&amp;_xlpm.sfx),IF(_xlpm.stn&lt;&gt;"",_xlpm.stn,""))))</f>
        <v/>
      </c>
      <c r="I55" s="67" t="str">
        <f t="shared" si="2"/>
        <v/>
      </c>
      <c r="J55" s="70" t="str">
        <f t="shared" si="3"/>
        <v/>
      </c>
      <c r="K55" s="69" t="str">
        <f>IF(A55="","",IFERROR(VLOOKUP(A55,'Job Operations'!$A$4:$AA$304,15,FALSE),""))</f>
        <v/>
      </c>
      <c r="L55" s="69" t="str">
        <f>IF(A55="","",IFERROR(VLOOKUP(A55,'Job Operations'!$A$4:$AA$304,17,FALSE),""))</f>
        <v/>
      </c>
      <c r="M55" s="171" t="str">
        <f>IF(A55="","",IF(IFERROR(VLOOKUP(A55,Notes!A:B,2,FALSE),"")=0,"",VLOOKUP(A55,Notes!A:B,2,FALSE)))</f>
        <v/>
      </c>
    </row>
    <row r="56" spans="1:13" x14ac:dyDescent="0.25">
      <c r="A56" s="69"/>
      <c r="B56" s="73" t="str">
        <f>IF(A56="","",IFERROR(VLOOKUP(A56,'Job Operations'!$A$4:$AA$304,2,FALSE),""))</f>
        <v/>
      </c>
      <c r="C56" s="69" t="str">
        <f>IF(A56="","",IFERROR(VLOOKUP(A56,'Job Operations'!$A$4:$AA$304,3,FALSE),""))</f>
        <v/>
      </c>
      <c r="D56" s="69" t="str">
        <f>IF(A56="","",IFERROR(VLOOKUP(A56,'Job Operations'!$A$4:$AA$304,5,FALSE),""))</f>
        <v/>
      </c>
      <c r="E56" s="69" t="str">
        <f>IF(A56="","",IFERROR(VLOOKUP(A56,'Job Operations'!$A$4:$AA$304,6,FALSE),""))</f>
        <v/>
      </c>
      <c r="F56" s="69" t="str">
        <f>IF(A56="","",IFERROR(VLOOKUP(A56,'Job Operations'!$A$4:$AA$304,7,FALSE),""))</f>
        <v/>
      </c>
      <c r="G56" s="70" t="str">
        <f>IF(A56="","",IFERROR(VLOOKUP(A56,'Job Operations'!$A$4:$AA$304,9,FALSE),""))</f>
        <v/>
      </c>
      <c r="H56" s="69" t="str" cm="1">
        <f t="array" ref="H56">IF(A56="","",_xlfn.LET(_xlpm.stn,IFERROR(VLOOKUP(A56,'Job Operations'!$A$4:$AA$304,12,FALSE),""),IF(OR(_xlpm.stn="AXYZ Titans Line",_xlpm.stn="AXYZ 34"),_xlfn.LET(_xlpm.pos,SUMPRODUCT((A$7:A56&lt;&gt;"")*(IFERROR(VLOOKUP(A$7:A56,'Job Operations'!$A$4:$AA$304,12,FALSE),"")="AXYZ Titans Line")+(A$7:A56&lt;&gt;"")*(IFERROR(VLOOKUP(A$7:A56,'Job Operations'!$A$4:$AA$304,12,FALSE),"")="AXYZ 34")),_xlpm.sfx,IF(OR(_xlpm.pos=11,_xlpm.pos=12,_xlpm.pos=13),"th",IF(MOD(_xlpm.pos,10)=1,"st",IF(MOD(_xlpm.pos,10)=2,"nd",IF(MOD(_xlpm.pos,10)=3,"rd","th")))),_xlpm.pos&amp;_xlpm.sfx),IF(_xlpm.stn&lt;&gt;"",_xlpm.stn,""))))</f>
        <v/>
      </c>
      <c r="I56" s="67" t="str">
        <f t="shared" si="2"/>
        <v/>
      </c>
      <c r="J56" s="70" t="str">
        <f t="shared" si="3"/>
        <v/>
      </c>
      <c r="K56" s="69" t="str">
        <f>IF(A56="","",IFERROR(VLOOKUP(A56,'Job Operations'!$A$4:$AA$304,15,FALSE),""))</f>
        <v/>
      </c>
      <c r="L56" s="69" t="str">
        <f>IF(A56="","",IFERROR(VLOOKUP(A56,'Job Operations'!$A$4:$AA$304,17,FALSE),""))</f>
        <v/>
      </c>
      <c r="M56" s="171" t="str">
        <f>IF(A56="","",IF(IFERROR(VLOOKUP(A56,Notes!A:B,2,FALSE),"")=0,"",VLOOKUP(A56,Notes!A:B,2,FALSE)))</f>
        <v/>
      </c>
    </row>
    <row r="57" spans="1:13" x14ac:dyDescent="0.25">
      <c r="A57" s="69"/>
      <c r="B57" s="73" t="str">
        <f>IF(A57="","",IFERROR(VLOOKUP(A57,'Job Operations'!$A$4:$AA$304,2,FALSE),""))</f>
        <v/>
      </c>
      <c r="C57" s="69" t="str">
        <f>IF(A57="","",IFERROR(VLOOKUP(A57,'Job Operations'!$A$4:$AA$304,3,FALSE),""))</f>
        <v/>
      </c>
      <c r="D57" s="69" t="str">
        <f>IF(A57="","",IFERROR(VLOOKUP(A57,'Job Operations'!$A$4:$AA$304,5,FALSE),""))</f>
        <v/>
      </c>
      <c r="E57" s="69" t="str">
        <f>IF(A57="","",IFERROR(VLOOKUP(A57,'Job Operations'!$A$4:$AA$304,6,FALSE),""))</f>
        <v/>
      </c>
      <c r="F57" s="69" t="str">
        <f>IF(A57="","",IFERROR(VLOOKUP(A57,'Job Operations'!$A$4:$AA$304,7,FALSE),""))</f>
        <v/>
      </c>
      <c r="G57" s="70" t="str">
        <f>IF(A57="","",IFERROR(VLOOKUP(A57,'Job Operations'!$A$4:$AA$304,9,FALSE),""))</f>
        <v/>
      </c>
      <c r="H57" s="69" t="str" cm="1">
        <f t="array" ref="H57">IF(A57="","",_xlfn.LET(_xlpm.stn,IFERROR(VLOOKUP(A57,'Job Operations'!$A$4:$AA$304,12,FALSE),""),IF(OR(_xlpm.stn="AXYZ Titans Line",_xlpm.stn="AXYZ 34"),_xlfn.LET(_xlpm.pos,SUMPRODUCT((A$7:A57&lt;&gt;"")*(IFERROR(VLOOKUP(A$7:A57,'Job Operations'!$A$4:$AA$304,12,FALSE),"")="AXYZ Titans Line")+(A$7:A57&lt;&gt;"")*(IFERROR(VLOOKUP(A$7:A57,'Job Operations'!$A$4:$AA$304,12,FALSE),"")="AXYZ 34")),_xlpm.sfx,IF(OR(_xlpm.pos=11,_xlpm.pos=12,_xlpm.pos=13),"th",IF(MOD(_xlpm.pos,10)=1,"st",IF(MOD(_xlpm.pos,10)=2,"nd",IF(MOD(_xlpm.pos,10)=3,"rd","th")))),_xlpm.pos&amp;_xlpm.sfx),IF(_xlpm.stn&lt;&gt;"",_xlpm.stn,""))))</f>
        <v/>
      </c>
      <c r="I57" s="67" t="str">
        <f t="shared" si="2"/>
        <v/>
      </c>
      <c r="J57" s="70" t="str">
        <f t="shared" si="3"/>
        <v/>
      </c>
      <c r="K57" s="69" t="str">
        <f>IF(A57="","",IFERROR(VLOOKUP(A57,'Job Operations'!$A$4:$AA$304,15,FALSE),""))</f>
        <v/>
      </c>
      <c r="L57" s="69" t="str">
        <f>IF(A57="","",IFERROR(VLOOKUP(A57,'Job Operations'!$A$4:$AA$304,17,FALSE),""))</f>
        <v/>
      </c>
      <c r="M57" s="171" t="str">
        <f>IF(A57="","",IF(IFERROR(VLOOKUP(A57,Notes!A:B,2,FALSE),"")=0,"",VLOOKUP(A57,Notes!A:B,2,FALSE)))</f>
        <v/>
      </c>
    </row>
    <row r="58" spans="1:13" x14ac:dyDescent="0.25">
      <c r="A58" s="69"/>
      <c r="B58" s="73" t="str">
        <f>IF(A58="","",IFERROR(VLOOKUP(A58,'Job Operations'!$A$4:$AA$304,2,FALSE),""))</f>
        <v/>
      </c>
      <c r="C58" s="69" t="str">
        <f>IF(A58="","",IFERROR(VLOOKUP(A58,'Job Operations'!$A$4:$AA$304,3,FALSE),""))</f>
        <v/>
      </c>
      <c r="D58" s="69" t="str">
        <f>IF(A58="","",IFERROR(VLOOKUP(A58,'Job Operations'!$A$4:$AA$304,5,FALSE),""))</f>
        <v/>
      </c>
      <c r="E58" s="69" t="str">
        <f>IF(A58="","",IFERROR(VLOOKUP(A58,'Job Operations'!$A$4:$AA$304,6,FALSE),""))</f>
        <v/>
      </c>
      <c r="F58" s="69" t="str">
        <f>IF(A58="","",IFERROR(VLOOKUP(A58,'Job Operations'!$A$4:$AA$304,7,FALSE),""))</f>
        <v/>
      </c>
      <c r="G58" s="70" t="str">
        <f>IF(A58="","",IFERROR(VLOOKUP(A58,'Job Operations'!$A$4:$AA$304,9,FALSE),""))</f>
        <v/>
      </c>
      <c r="H58" s="69" t="str" cm="1">
        <f t="array" ref="H58">IF(A58="","",_xlfn.LET(_xlpm.stn,IFERROR(VLOOKUP(A58,'Job Operations'!$A$4:$AA$304,12,FALSE),""),IF(OR(_xlpm.stn="AXYZ Titans Line",_xlpm.stn="AXYZ 34"),_xlfn.LET(_xlpm.pos,SUMPRODUCT((A$7:A58&lt;&gt;"")*(IFERROR(VLOOKUP(A$7:A58,'Job Operations'!$A$4:$AA$304,12,FALSE),"")="AXYZ Titans Line")+(A$7:A58&lt;&gt;"")*(IFERROR(VLOOKUP(A$7:A58,'Job Operations'!$A$4:$AA$304,12,FALSE),"")="AXYZ 34")),_xlpm.sfx,IF(OR(_xlpm.pos=11,_xlpm.pos=12,_xlpm.pos=13),"th",IF(MOD(_xlpm.pos,10)=1,"st",IF(MOD(_xlpm.pos,10)=2,"nd",IF(MOD(_xlpm.pos,10)=3,"rd","th")))),_xlpm.pos&amp;_xlpm.sfx),IF(_xlpm.stn&lt;&gt;"",_xlpm.stn,""))))</f>
        <v/>
      </c>
      <c r="I58" s="67" t="str">
        <f t="shared" si="2"/>
        <v/>
      </c>
      <c r="J58" s="70" t="str">
        <f t="shared" si="3"/>
        <v/>
      </c>
      <c r="K58" s="69" t="str">
        <f>IF(A58="","",IFERROR(VLOOKUP(A58,'Job Operations'!$A$4:$AA$304,15,FALSE),""))</f>
        <v/>
      </c>
      <c r="L58" s="69" t="str">
        <f>IF(A58="","",IFERROR(VLOOKUP(A58,'Job Operations'!$A$4:$AA$304,17,FALSE),""))</f>
        <v/>
      </c>
      <c r="M58" s="171" t="str">
        <f>IF(A58="","",IF(IFERROR(VLOOKUP(A58,Notes!A:B,2,FALSE),"")=0,"",VLOOKUP(A58,Notes!A:B,2,FALSE)))</f>
        <v/>
      </c>
    </row>
    <row r="59" spans="1:13" x14ac:dyDescent="0.25">
      <c r="A59" s="69"/>
      <c r="B59" s="73" t="str">
        <f>IF(A59="","",IFERROR(VLOOKUP(A59,'Job Operations'!$A$4:$AA$304,2,FALSE),""))</f>
        <v/>
      </c>
      <c r="C59" s="69" t="str">
        <f>IF(A59="","",IFERROR(VLOOKUP(A59,'Job Operations'!$A$4:$AA$304,3,FALSE),""))</f>
        <v/>
      </c>
      <c r="D59" s="69" t="str">
        <f>IF(A59="","",IFERROR(VLOOKUP(A59,'Job Operations'!$A$4:$AA$304,5,FALSE),""))</f>
        <v/>
      </c>
      <c r="E59" s="69" t="str">
        <f>IF(A59="","",IFERROR(VLOOKUP(A59,'Job Operations'!$A$4:$AA$304,6,FALSE),""))</f>
        <v/>
      </c>
      <c r="F59" s="69" t="str">
        <f>IF(A59="","",IFERROR(VLOOKUP(A59,'Job Operations'!$A$4:$AA$304,7,FALSE),""))</f>
        <v/>
      </c>
      <c r="G59" s="70" t="str">
        <f>IF(A59="","",IFERROR(VLOOKUP(A59,'Job Operations'!$A$4:$AA$304,9,FALSE),""))</f>
        <v/>
      </c>
      <c r="H59" s="69" t="str" cm="1">
        <f t="array" ref="H59">IF(A59="","",_xlfn.LET(_xlpm.stn,IFERROR(VLOOKUP(A59,'Job Operations'!$A$4:$AA$304,12,FALSE),""),IF(OR(_xlpm.stn="AXYZ Titans Line",_xlpm.stn="AXYZ 34"),_xlfn.LET(_xlpm.pos,SUMPRODUCT((A$7:A59&lt;&gt;"")*(IFERROR(VLOOKUP(A$7:A59,'Job Operations'!$A$4:$AA$304,12,FALSE),"")="AXYZ Titans Line")+(A$7:A59&lt;&gt;"")*(IFERROR(VLOOKUP(A$7:A59,'Job Operations'!$A$4:$AA$304,12,FALSE),"")="AXYZ 34")),_xlpm.sfx,IF(OR(_xlpm.pos=11,_xlpm.pos=12,_xlpm.pos=13),"th",IF(MOD(_xlpm.pos,10)=1,"st",IF(MOD(_xlpm.pos,10)=2,"nd",IF(MOD(_xlpm.pos,10)=3,"rd","th")))),_xlpm.pos&amp;_xlpm.sfx),IF(_xlpm.stn&lt;&gt;"",_xlpm.stn,""))))</f>
        <v/>
      </c>
      <c r="I59" s="67" t="str">
        <f t="shared" si="2"/>
        <v/>
      </c>
      <c r="J59" s="70" t="str">
        <f t="shared" si="3"/>
        <v/>
      </c>
      <c r="K59" s="69" t="str">
        <f>IF(A59="","",IFERROR(VLOOKUP(A59,'Job Operations'!$A$4:$AA$304,15,FALSE),""))</f>
        <v/>
      </c>
      <c r="L59" s="69" t="str">
        <f>IF(A59="","",IFERROR(VLOOKUP(A59,'Job Operations'!$A$4:$AA$304,17,FALSE),""))</f>
        <v/>
      </c>
      <c r="M59" s="171" t="str">
        <f>IF(A59="","",IF(IFERROR(VLOOKUP(A59,Notes!A:B,2,FALSE),"")=0,"",VLOOKUP(A59,Notes!A:B,2,FALSE)))</f>
        <v/>
      </c>
    </row>
    <row r="60" spans="1:13" x14ac:dyDescent="0.25">
      <c r="A60" s="69"/>
      <c r="B60" s="73" t="str">
        <f>IF(A60="","",IFERROR(VLOOKUP(A60,'Job Operations'!$A$4:$AA$304,2,FALSE),""))</f>
        <v/>
      </c>
      <c r="C60" s="69" t="str">
        <f>IF(A60="","",IFERROR(VLOOKUP(A60,'Job Operations'!$A$4:$AA$304,3,FALSE),""))</f>
        <v/>
      </c>
      <c r="D60" s="69" t="str">
        <f>IF(A60="","",IFERROR(VLOOKUP(A60,'Job Operations'!$A$4:$AA$304,5,FALSE),""))</f>
        <v/>
      </c>
      <c r="E60" s="69" t="str">
        <f>IF(A60="","",IFERROR(VLOOKUP(A60,'Job Operations'!$A$4:$AA$304,6,FALSE),""))</f>
        <v/>
      </c>
      <c r="F60" s="69" t="str">
        <f>IF(A60="","",IFERROR(VLOOKUP(A60,'Job Operations'!$A$4:$AA$304,7,FALSE),""))</f>
        <v/>
      </c>
      <c r="G60" s="70" t="str">
        <f>IF(A60="","",IFERROR(VLOOKUP(A60,'Job Operations'!$A$4:$AA$304,9,FALSE),""))</f>
        <v/>
      </c>
      <c r="H60" s="69" t="str" cm="1">
        <f t="array" ref="H60">IF(A60="","",_xlfn.LET(_xlpm.stn,IFERROR(VLOOKUP(A60,'Job Operations'!$A$4:$AA$304,12,FALSE),""),IF(OR(_xlpm.stn="AXYZ Titans Line",_xlpm.stn="AXYZ 34"),_xlfn.LET(_xlpm.pos,SUMPRODUCT((A$7:A60&lt;&gt;"")*(IFERROR(VLOOKUP(A$7:A60,'Job Operations'!$A$4:$AA$304,12,FALSE),"")="AXYZ Titans Line")+(A$7:A60&lt;&gt;"")*(IFERROR(VLOOKUP(A$7:A60,'Job Operations'!$A$4:$AA$304,12,FALSE),"")="AXYZ 34")),_xlpm.sfx,IF(OR(_xlpm.pos=11,_xlpm.pos=12,_xlpm.pos=13),"th",IF(MOD(_xlpm.pos,10)=1,"st",IF(MOD(_xlpm.pos,10)=2,"nd",IF(MOD(_xlpm.pos,10)=3,"rd","th")))),_xlpm.pos&amp;_xlpm.sfx),IF(_xlpm.stn&lt;&gt;"",_xlpm.stn,""))))</f>
        <v/>
      </c>
      <c r="I60" s="67" t="str">
        <f t="shared" si="2"/>
        <v/>
      </c>
      <c r="J60" s="70" t="str">
        <f t="shared" si="3"/>
        <v/>
      </c>
      <c r="K60" s="69" t="str">
        <f>IF(A60="","",IFERROR(VLOOKUP(A60,'Job Operations'!$A$4:$AA$304,15,FALSE),""))</f>
        <v/>
      </c>
      <c r="L60" s="69" t="str">
        <f>IF(A60="","",IFERROR(VLOOKUP(A60,'Job Operations'!$A$4:$AA$304,17,FALSE),""))</f>
        <v/>
      </c>
      <c r="M60" s="171" t="str">
        <f>IF(A60="","",IF(IFERROR(VLOOKUP(A60,Notes!A:B,2,FALSE),"")=0,"",VLOOKUP(A60,Notes!A:B,2,FALSE)))</f>
        <v/>
      </c>
    </row>
    <row r="61" spans="1:13" x14ac:dyDescent="0.25">
      <c r="A61" s="69"/>
      <c r="B61" s="73" t="str">
        <f>IF(A61="","",IFERROR(VLOOKUP(A61,'Job Operations'!$A$4:$AA$304,2,FALSE),""))</f>
        <v/>
      </c>
      <c r="C61" s="69" t="str">
        <f>IF(A61="","",IFERROR(VLOOKUP(A61,'Job Operations'!$A$4:$AA$304,3,FALSE),""))</f>
        <v/>
      </c>
      <c r="D61" s="69" t="str">
        <f>IF(A61="","",IFERROR(VLOOKUP(A61,'Job Operations'!$A$4:$AA$304,5,FALSE),""))</f>
        <v/>
      </c>
      <c r="E61" s="69" t="str">
        <f>IF(A61="","",IFERROR(VLOOKUP(A61,'Job Operations'!$A$4:$AA$304,6,FALSE),""))</f>
        <v/>
      </c>
      <c r="F61" s="69" t="str">
        <f>IF(A61="","",IFERROR(VLOOKUP(A61,'Job Operations'!$A$4:$AA$304,7,FALSE),""))</f>
        <v/>
      </c>
      <c r="G61" s="70" t="str">
        <f>IF(A61="","",IFERROR(VLOOKUP(A61,'Job Operations'!$A$4:$AA$304,9,FALSE),""))</f>
        <v/>
      </c>
      <c r="H61" s="69" t="str" cm="1">
        <f t="array" ref="H61">IF(A61="","",_xlfn.LET(_xlpm.stn,IFERROR(VLOOKUP(A61,'Job Operations'!$A$4:$AA$304,12,FALSE),""),IF(OR(_xlpm.stn="AXYZ Titans Line",_xlpm.stn="AXYZ 34"),_xlfn.LET(_xlpm.pos,SUMPRODUCT((A$7:A61&lt;&gt;"")*(IFERROR(VLOOKUP(A$7:A61,'Job Operations'!$A$4:$AA$304,12,FALSE),"")="AXYZ Titans Line")+(A$7:A61&lt;&gt;"")*(IFERROR(VLOOKUP(A$7:A61,'Job Operations'!$A$4:$AA$304,12,FALSE),"")="AXYZ 34")),_xlpm.sfx,IF(OR(_xlpm.pos=11,_xlpm.pos=12,_xlpm.pos=13),"th",IF(MOD(_xlpm.pos,10)=1,"st",IF(MOD(_xlpm.pos,10)=2,"nd",IF(MOD(_xlpm.pos,10)=3,"rd","th")))),_xlpm.pos&amp;_xlpm.sfx),IF(_xlpm.stn&lt;&gt;"",_xlpm.stn,""))))</f>
        <v/>
      </c>
      <c r="I61" s="67" t="str">
        <f t="shared" si="2"/>
        <v/>
      </c>
      <c r="J61" s="70" t="str">
        <f t="shared" si="3"/>
        <v/>
      </c>
      <c r="K61" s="69" t="str">
        <f>IF(A61="","",IFERROR(VLOOKUP(A61,'Job Operations'!$A$4:$AA$304,15,FALSE),""))</f>
        <v/>
      </c>
      <c r="L61" s="69" t="str">
        <f>IF(A61="","",IFERROR(VLOOKUP(A61,'Job Operations'!$A$4:$AA$304,17,FALSE),""))</f>
        <v/>
      </c>
      <c r="M61" s="171" t="str">
        <f>IF(A61="","",IF(IFERROR(VLOOKUP(A61,Notes!A:B,2,FALSE),"")=0,"",VLOOKUP(A61,Notes!A:B,2,FALSE)))</f>
        <v/>
      </c>
    </row>
    <row r="62" spans="1:13" x14ac:dyDescent="0.25">
      <c r="A62" s="69"/>
      <c r="B62" s="73" t="str">
        <f>IF(A62="","",IFERROR(VLOOKUP(A62,'Job Operations'!$A$4:$AA$304,2,FALSE),""))</f>
        <v/>
      </c>
      <c r="C62" s="69" t="str">
        <f>IF(A62="","",IFERROR(VLOOKUP(A62,'Job Operations'!$A$4:$AA$304,3,FALSE),""))</f>
        <v/>
      </c>
      <c r="D62" s="69" t="str">
        <f>IF(A62="","",IFERROR(VLOOKUP(A62,'Job Operations'!$A$4:$AA$304,5,FALSE),""))</f>
        <v/>
      </c>
      <c r="E62" s="69" t="str">
        <f>IF(A62="","",IFERROR(VLOOKUP(A62,'Job Operations'!$A$4:$AA$304,6,FALSE),""))</f>
        <v/>
      </c>
      <c r="F62" s="69" t="str">
        <f>IF(A62="","",IFERROR(VLOOKUP(A62,'Job Operations'!$A$4:$AA$304,7,FALSE),""))</f>
        <v/>
      </c>
      <c r="G62" s="70" t="str">
        <f>IF(A62="","",IFERROR(VLOOKUP(A62,'Job Operations'!$A$4:$AA$304,9,FALSE),""))</f>
        <v/>
      </c>
      <c r="H62" s="69" t="str" cm="1">
        <f t="array" ref="H62">IF(A62="","",_xlfn.LET(_xlpm.stn,IFERROR(VLOOKUP(A62,'Job Operations'!$A$4:$AA$304,12,FALSE),""),IF(OR(_xlpm.stn="AXYZ Titans Line",_xlpm.stn="AXYZ 34"),_xlfn.LET(_xlpm.pos,SUMPRODUCT((A$7:A62&lt;&gt;"")*(IFERROR(VLOOKUP(A$7:A62,'Job Operations'!$A$4:$AA$304,12,FALSE),"")="AXYZ Titans Line")+(A$7:A62&lt;&gt;"")*(IFERROR(VLOOKUP(A$7:A62,'Job Operations'!$A$4:$AA$304,12,FALSE),"")="AXYZ 34")),_xlpm.sfx,IF(OR(_xlpm.pos=11,_xlpm.pos=12,_xlpm.pos=13),"th",IF(MOD(_xlpm.pos,10)=1,"st",IF(MOD(_xlpm.pos,10)=2,"nd",IF(MOD(_xlpm.pos,10)=3,"rd","th")))),_xlpm.pos&amp;_xlpm.sfx),IF(_xlpm.stn&lt;&gt;"",_xlpm.stn,""))))</f>
        <v/>
      </c>
      <c r="I62" s="67" t="str">
        <f t="shared" si="2"/>
        <v/>
      </c>
      <c r="J62" s="70" t="str">
        <f t="shared" si="3"/>
        <v/>
      </c>
      <c r="K62" s="69" t="str">
        <f>IF(A62="","",IFERROR(VLOOKUP(A62,'Job Operations'!$A$4:$AA$304,15,FALSE),""))</f>
        <v/>
      </c>
      <c r="L62" s="69" t="str">
        <f>IF(A62="","",IFERROR(VLOOKUP(A62,'Job Operations'!$A$4:$AA$304,17,FALSE),""))</f>
        <v/>
      </c>
      <c r="M62" s="171" t="str">
        <f>IF(A62="","",IF(IFERROR(VLOOKUP(A62,Notes!A:B,2,FALSE),"")=0,"",VLOOKUP(A62,Notes!A:B,2,FALSE)))</f>
        <v/>
      </c>
    </row>
    <row r="63" spans="1:13" x14ac:dyDescent="0.25">
      <c r="A63" s="69"/>
      <c r="B63" s="73" t="str">
        <f>IF(A63="","",IFERROR(VLOOKUP(A63,'Job Operations'!$A$4:$AA$304,2,FALSE),""))</f>
        <v/>
      </c>
      <c r="C63" s="69" t="str">
        <f>IF(A63="","",IFERROR(VLOOKUP(A63,'Job Operations'!$A$4:$AA$304,3,FALSE),""))</f>
        <v/>
      </c>
      <c r="D63" s="69" t="str">
        <f>IF(A63="","",IFERROR(VLOOKUP(A63,'Job Operations'!$A$4:$AA$304,5,FALSE),""))</f>
        <v/>
      </c>
      <c r="E63" s="69" t="str">
        <f>IF(A63="","",IFERROR(VLOOKUP(A63,'Job Operations'!$A$4:$AA$304,6,FALSE),""))</f>
        <v/>
      </c>
      <c r="F63" s="69" t="str">
        <f>IF(A63="","",IFERROR(VLOOKUP(A63,'Job Operations'!$A$4:$AA$304,7,FALSE),""))</f>
        <v/>
      </c>
      <c r="G63" s="70" t="str">
        <f>IF(A63="","",IFERROR(VLOOKUP(A63,'Job Operations'!$A$4:$AA$304,9,FALSE),""))</f>
        <v/>
      </c>
      <c r="H63" s="69" t="str" cm="1">
        <f t="array" ref="H63">IF(A63="","",_xlfn.LET(_xlpm.stn,IFERROR(VLOOKUP(A63,'Job Operations'!$A$4:$AA$304,12,FALSE),""),IF(OR(_xlpm.stn="AXYZ Titans Line",_xlpm.stn="AXYZ 34"),_xlfn.LET(_xlpm.pos,SUMPRODUCT((A$7:A63&lt;&gt;"")*(IFERROR(VLOOKUP(A$7:A63,'Job Operations'!$A$4:$AA$304,12,FALSE),"")="AXYZ Titans Line")+(A$7:A63&lt;&gt;"")*(IFERROR(VLOOKUP(A$7:A63,'Job Operations'!$A$4:$AA$304,12,FALSE),"")="AXYZ 34")),_xlpm.sfx,IF(OR(_xlpm.pos=11,_xlpm.pos=12,_xlpm.pos=13),"th",IF(MOD(_xlpm.pos,10)=1,"st",IF(MOD(_xlpm.pos,10)=2,"nd",IF(MOD(_xlpm.pos,10)=3,"rd","th")))),_xlpm.pos&amp;_xlpm.sfx),IF(_xlpm.stn&lt;&gt;"",_xlpm.stn,""))))</f>
        <v/>
      </c>
      <c r="I63" s="67" t="str">
        <f t="shared" si="2"/>
        <v/>
      </c>
      <c r="J63" s="70" t="str">
        <f t="shared" si="3"/>
        <v/>
      </c>
      <c r="K63" s="69" t="str">
        <f>IF(A63="","",IFERROR(VLOOKUP(A63,'Job Operations'!$A$4:$AA$304,15,FALSE),""))</f>
        <v/>
      </c>
      <c r="L63" s="69" t="str">
        <f>IF(A63="","",IFERROR(VLOOKUP(A63,'Job Operations'!$A$4:$AA$304,17,FALSE),""))</f>
        <v/>
      </c>
      <c r="M63" s="171" t="str">
        <f>IF(A63="","",IF(IFERROR(VLOOKUP(A63,Notes!A:B,2,FALSE),"")=0,"",VLOOKUP(A63,Notes!A:B,2,FALSE)))</f>
        <v/>
      </c>
    </row>
    <row r="64" spans="1:13" x14ac:dyDescent="0.25">
      <c r="A64" s="69"/>
      <c r="B64" s="73" t="str">
        <f>IF(A64="","",IFERROR(VLOOKUP(A64,'Job Operations'!$A$4:$AA$304,2,FALSE),""))</f>
        <v/>
      </c>
      <c r="C64" s="69" t="str">
        <f>IF(A64="","",IFERROR(VLOOKUP(A64,'Job Operations'!$A$4:$AA$304,3,FALSE),""))</f>
        <v/>
      </c>
      <c r="D64" s="69" t="str">
        <f>IF(A64="","",IFERROR(VLOOKUP(A64,'Job Operations'!$A$4:$AA$304,5,FALSE),""))</f>
        <v/>
      </c>
      <c r="E64" s="69" t="str">
        <f>IF(A64="","",IFERROR(VLOOKUP(A64,'Job Operations'!$A$4:$AA$304,6,FALSE),""))</f>
        <v/>
      </c>
      <c r="F64" s="69" t="str">
        <f>IF(A64="","",IFERROR(VLOOKUP(A64,'Job Operations'!$A$4:$AA$304,7,FALSE),""))</f>
        <v/>
      </c>
      <c r="G64" s="70" t="str">
        <f>IF(A64="","",IFERROR(VLOOKUP(A64,'Job Operations'!$A$4:$AA$304,9,FALSE),""))</f>
        <v/>
      </c>
      <c r="H64" s="69" t="str" cm="1">
        <f t="array" ref="H64">IF(A64="","",_xlfn.LET(_xlpm.stn,IFERROR(VLOOKUP(A64,'Job Operations'!$A$4:$AA$304,12,FALSE),""),IF(OR(_xlpm.stn="AXYZ Titans Line",_xlpm.stn="AXYZ 34"),_xlfn.LET(_xlpm.pos,SUMPRODUCT((A$7:A64&lt;&gt;"")*(IFERROR(VLOOKUP(A$7:A64,'Job Operations'!$A$4:$AA$304,12,FALSE),"")="AXYZ Titans Line")+(A$7:A64&lt;&gt;"")*(IFERROR(VLOOKUP(A$7:A64,'Job Operations'!$A$4:$AA$304,12,FALSE),"")="AXYZ 34")),_xlpm.sfx,IF(OR(_xlpm.pos=11,_xlpm.pos=12,_xlpm.pos=13),"th",IF(MOD(_xlpm.pos,10)=1,"st",IF(MOD(_xlpm.pos,10)=2,"nd",IF(MOD(_xlpm.pos,10)=3,"rd","th")))),_xlpm.pos&amp;_xlpm.sfx),IF(_xlpm.stn&lt;&gt;"",_xlpm.stn,""))))</f>
        <v/>
      </c>
      <c r="I64" s="67" t="str">
        <f t="shared" si="2"/>
        <v/>
      </c>
      <c r="J64" s="70" t="str">
        <f t="shared" si="3"/>
        <v/>
      </c>
      <c r="K64" s="69" t="str">
        <f>IF(A64="","",IFERROR(VLOOKUP(A64,'Job Operations'!$A$4:$AA$304,15,FALSE),""))</f>
        <v/>
      </c>
      <c r="L64" s="69" t="str">
        <f>IF(A64="","",IFERROR(VLOOKUP(A64,'Job Operations'!$A$4:$AA$304,17,FALSE),""))</f>
        <v/>
      </c>
      <c r="M64" s="171" t="str">
        <f>IF(A64="","",IF(IFERROR(VLOOKUP(A64,Notes!A:B,2,FALSE),"")=0,"",VLOOKUP(A64,Notes!A:B,2,FALSE)))</f>
        <v/>
      </c>
    </row>
    <row r="65" spans="1:13" x14ac:dyDescent="0.25">
      <c r="A65" s="69"/>
      <c r="B65" s="73" t="str">
        <f>IF(A65="","",IFERROR(VLOOKUP(A65,'Job Operations'!$A$4:$AA$304,2,FALSE),""))</f>
        <v/>
      </c>
      <c r="C65" s="69" t="str">
        <f>IF(A65="","",IFERROR(VLOOKUP(A65,'Job Operations'!$A$4:$AA$304,3,FALSE),""))</f>
        <v/>
      </c>
      <c r="D65" s="69" t="str">
        <f>IF(A65="","",IFERROR(VLOOKUP(A65,'Job Operations'!$A$4:$AA$304,5,FALSE),""))</f>
        <v/>
      </c>
      <c r="E65" s="69" t="str">
        <f>IF(A65="","",IFERROR(VLOOKUP(A65,'Job Operations'!$A$4:$AA$304,6,FALSE),""))</f>
        <v/>
      </c>
      <c r="F65" s="69" t="str">
        <f>IF(A65="","",IFERROR(VLOOKUP(A65,'Job Operations'!$A$4:$AA$304,7,FALSE),""))</f>
        <v/>
      </c>
      <c r="G65" s="70" t="str">
        <f>IF(A65="","",IFERROR(VLOOKUP(A65,'Job Operations'!$A$4:$AA$304,9,FALSE),""))</f>
        <v/>
      </c>
      <c r="H65" s="69" t="str" cm="1">
        <f t="array" ref="H65">IF(A65="","",_xlfn.LET(_xlpm.stn,IFERROR(VLOOKUP(A65,'Job Operations'!$A$4:$AA$304,12,FALSE),""),IF(OR(_xlpm.stn="AXYZ Titans Line",_xlpm.stn="AXYZ 34"),_xlfn.LET(_xlpm.pos,SUMPRODUCT((A$7:A65&lt;&gt;"")*(IFERROR(VLOOKUP(A$7:A65,'Job Operations'!$A$4:$AA$304,12,FALSE),"")="AXYZ Titans Line")+(A$7:A65&lt;&gt;"")*(IFERROR(VLOOKUP(A$7:A65,'Job Operations'!$A$4:$AA$304,12,FALSE),"")="AXYZ 34")),_xlpm.sfx,IF(OR(_xlpm.pos=11,_xlpm.pos=12,_xlpm.pos=13),"th",IF(MOD(_xlpm.pos,10)=1,"st",IF(MOD(_xlpm.pos,10)=2,"nd",IF(MOD(_xlpm.pos,10)=3,"rd","th")))),_xlpm.pos&amp;_xlpm.sfx),IF(_xlpm.stn&lt;&gt;"",_xlpm.stn,""))))</f>
        <v/>
      </c>
      <c r="I65" s="67" t="str">
        <f t="shared" si="2"/>
        <v/>
      </c>
      <c r="J65" s="70" t="str">
        <f t="shared" si="3"/>
        <v/>
      </c>
      <c r="K65" s="69" t="str">
        <f>IF(A65="","",IFERROR(VLOOKUP(A65,'Job Operations'!$A$4:$AA$304,15,FALSE),""))</f>
        <v/>
      </c>
      <c r="L65" s="69" t="str">
        <f>IF(A65="","",IFERROR(VLOOKUP(A65,'Job Operations'!$A$4:$AA$304,17,FALSE),""))</f>
        <v/>
      </c>
      <c r="M65" s="171" t="str">
        <f>IF(A65="","",IF(IFERROR(VLOOKUP(A65,Notes!A:B,2,FALSE),"")=0,"",VLOOKUP(A65,Notes!A:B,2,FALSE)))</f>
        <v/>
      </c>
    </row>
    <row r="66" spans="1:13" x14ac:dyDescent="0.25">
      <c r="A66" s="69"/>
      <c r="B66" s="73" t="str">
        <f>IF(A66="","",IFERROR(VLOOKUP(A66,'Job Operations'!$A$4:$AA$304,2,FALSE),""))</f>
        <v/>
      </c>
      <c r="C66" s="69" t="str">
        <f>IF(A66="","",IFERROR(VLOOKUP(A66,'Job Operations'!$A$4:$AA$304,3,FALSE),""))</f>
        <v/>
      </c>
      <c r="D66" s="69" t="str">
        <f>IF(A66="","",IFERROR(VLOOKUP(A66,'Job Operations'!$A$4:$AA$304,5,FALSE),""))</f>
        <v/>
      </c>
      <c r="E66" s="69" t="str">
        <f>IF(A66="","",IFERROR(VLOOKUP(A66,'Job Operations'!$A$4:$AA$304,6,FALSE),""))</f>
        <v/>
      </c>
      <c r="F66" s="69" t="str">
        <f>IF(A66="","",IFERROR(VLOOKUP(A66,'Job Operations'!$A$4:$AA$304,7,FALSE),""))</f>
        <v/>
      </c>
      <c r="G66" s="70" t="str">
        <f>IF(A66="","",IFERROR(VLOOKUP(A66,'Job Operations'!$A$4:$AA$304,9,FALSE),""))</f>
        <v/>
      </c>
      <c r="H66" s="69" t="str" cm="1">
        <f t="array" ref="H66">IF(A66="","",_xlfn.LET(_xlpm.stn,IFERROR(VLOOKUP(A66,'Job Operations'!$A$4:$AA$304,12,FALSE),""),IF(OR(_xlpm.stn="AXYZ Titans Line",_xlpm.stn="AXYZ 34"),_xlfn.LET(_xlpm.pos,SUMPRODUCT((A$7:A66&lt;&gt;"")*(IFERROR(VLOOKUP(A$7:A66,'Job Operations'!$A$4:$AA$304,12,FALSE),"")="AXYZ Titans Line")+(A$7:A66&lt;&gt;"")*(IFERROR(VLOOKUP(A$7:A66,'Job Operations'!$A$4:$AA$304,12,FALSE),"")="AXYZ 34")),_xlpm.sfx,IF(OR(_xlpm.pos=11,_xlpm.pos=12,_xlpm.pos=13),"th",IF(MOD(_xlpm.pos,10)=1,"st",IF(MOD(_xlpm.pos,10)=2,"nd",IF(MOD(_xlpm.pos,10)=3,"rd","th")))),_xlpm.pos&amp;_xlpm.sfx),IF(_xlpm.stn&lt;&gt;"",_xlpm.stn,""))))</f>
        <v/>
      </c>
      <c r="I66" s="67" t="str">
        <f t="shared" si="2"/>
        <v/>
      </c>
      <c r="J66" s="70" t="str">
        <f t="shared" si="3"/>
        <v/>
      </c>
      <c r="K66" s="69" t="str">
        <f>IF(A66="","",IFERROR(VLOOKUP(A66,'Job Operations'!$A$4:$AA$304,15,FALSE),""))</f>
        <v/>
      </c>
      <c r="L66" s="69" t="str">
        <f>IF(A66="","",IFERROR(VLOOKUP(A66,'Job Operations'!$A$4:$AA$304,17,FALSE),""))</f>
        <v/>
      </c>
      <c r="M66" s="171" t="str">
        <f>IF(A66="","",IF(IFERROR(VLOOKUP(A66,Notes!A:B,2,FALSE),"")=0,"",VLOOKUP(A66,Notes!A:B,2,FALSE)))</f>
        <v/>
      </c>
    </row>
    <row r="67" spans="1:13" x14ac:dyDescent="0.25">
      <c r="A67" s="69"/>
      <c r="B67" s="73" t="str">
        <f>IF(A67="","",IFERROR(VLOOKUP(A67,'Job Operations'!$A$4:$AA$304,2,FALSE),""))</f>
        <v/>
      </c>
      <c r="C67" s="69" t="str">
        <f>IF(A67="","",IFERROR(VLOOKUP(A67,'Job Operations'!$A$4:$AA$304,3,FALSE),""))</f>
        <v/>
      </c>
      <c r="D67" s="69" t="str">
        <f>IF(A67="","",IFERROR(VLOOKUP(A67,'Job Operations'!$A$4:$AA$304,5,FALSE),""))</f>
        <v/>
      </c>
      <c r="E67" s="69" t="str">
        <f>IF(A67="","",IFERROR(VLOOKUP(A67,'Job Operations'!$A$4:$AA$304,6,FALSE),""))</f>
        <v/>
      </c>
      <c r="F67" s="69" t="str">
        <f>IF(A67="","",IFERROR(VLOOKUP(A67,'Job Operations'!$A$4:$AA$304,7,FALSE),""))</f>
        <v/>
      </c>
      <c r="G67" s="70" t="str">
        <f>IF(A67="","",IFERROR(VLOOKUP(A67,'Job Operations'!$A$4:$AA$304,9,FALSE),""))</f>
        <v/>
      </c>
      <c r="H67" s="69" t="str" cm="1">
        <f t="array" ref="H67">IF(A67="","",_xlfn.LET(_xlpm.stn,IFERROR(VLOOKUP(A67,'Job Operations'!$A$4:$AA$304,12,FALSE),""),IF(OR(_xlpm.stn="AXYZ Titans Line",_xlpm.stn="AXYZ 34"),_xlfn.LET(_xlpm.pos,SUMPRODUCT((A$7:A67&lt;&gt;"")*(IFERROR(VLOOKUP(A$7:A67,'Job Operations'!$A$4:$AA$304,12,FALSE),"")="AXYZ Titans Line")+(A$7:A67&lt;&gt;"")*(IFERROR(VLOOKUP(A$7:A67,'Job Operations'!$A$4:$AA$304,12,FALSE),"")="AXYZ 34")),_xlpm.sfx,IF(OR(_xlpm.pos=11,_xlpm.pos=12,_xlpm.pos=13),"th",IF(MOD(_xlpm.pos,10)=1,"st",IF(MOD(_xlpm.pos,10)=2,"nd",IF(MOD(_xlpm.pos,10)=3,"rd","th")))),_xlpm.pos&amp;_xlpm.sfx),IF(_xlpm.stn&lt;&gt;"",_xlpm.stn,""))))</f>
        <v/>
      </c>
      <c r="I67" s="67" t="str">
        <f t="shared" si="2"/>
        <v/>
      </c>
      <c r="J67" s="70" t="str">
        <f t="shared" si="3"/>
        <v/>
      </c>
      <c r="K67" s="69" t="str">
        <f>IF(A67="","",IFERROR(VLOOKUP(A67,'Job Operations'!$A$4:$AA$304,15,FALSE),""))</f>
        <v/>
      </c>
      <c r="L67" s="69" t="str">
        <f>IF(A67="","",IFERROR(VLOOKUP(A67,'Job Operations'!$A$4:$AA$304,17,FALSE),""))</f>
        <v/>
      </c>
      <c r="M67" s="171" t="str">
        <f>IF(A67="","",IF(IFERROR(VLOOKUP(A67,Notes!A:B,2,FALSE),"")=0,"",VLOOKUP(A67,Notes!A:B,2,FALSE)))</f>
        <v/>
      </c>
    </row>
    <row r="68" spans="1:13" x14ac:dyDescent="0.25">
      <c r="A68" s="69"/>
      <c r="B68" s="73" t="str">
        <f>IF(A68="","",IFERROR(VLOOKUP(A68,'Job Operations'!$A$4:$AA$304,2,FALSE),""))</f>
        <v/>
      </c>
      <c r="C68" s="69" t="str">
        <f>IF(A68="","",IFERROR(VLOOKUP(A68,'Job Operations'!$A$4:$AA$304,3,FALSE),""))</f>
        <v/>
      </c>
      <c r="D68" s="69" t="str">
        <f>IF(A68="","",IFERROR(VLOOKUP(A68,'Job Operations'!$A$4:$AA$304,5,FALSE),""))</f>
        <v/>
      </c>
      <c r="E68" s="69" t="str">
        <f>IF(A68="","",IFERROR(VLOOKUP(A68,'Job Operations'!$A$4:$AA$304,6,FALSE),""))</f>
        <v/>
      </c>
      <c r="F68" s="69" t="str">
        <f>IF(A68="","",IFERROR(VLOOKUP(A68,'Job Operations'!$A$4:$AA$304,7,FALSE),""))</f>
        <v/>
      </c>
      <c r="G68" s="70" t="str">
        <f>IF(A68="","",IFERROR(VLOOKUP(A68,'Job Operations'!$A$4:$AA$304,9,FALSE),""))</f>
        <v/>
      </c>
      <c r="H68" s="69" t="str" cm="1">
        <f t="array" ref="H68">IF(A68="","",_xlfn.LET(_xlpm.stn,IFERROR(VLOOKUP(A68,'Job Operations'!$A$4:$AA$304,12,FALSE),""),IF(OR(_xlpm.stn="AXYZ Titans Line",_xlpm.stn="AXYZ 34"),_xlfn.LET(_xlpm.pos,SUMPRODUCT((A$7:A68&lt;&gt;"")*(IFERROR(VLOOKUP(A$7:A68,'Job Operations'!$A$4:$AA$304,12,FALSE),"")="AXYZ Titans Line")+(A$7:A68&lt;&gt;"")*(IFERROR(VLOOKUP(A$7:A68,'Job Operations'!$A$4:$AA$304,12,FALSE),"")="AXYZ 34")),_xlpm.sfx,IF(OR(_xlpm.pos=11,_xlpm.pos=12,_xlpm.pos=13),"th",IF(MOD(_xlpm.pos,10)=1,"st",IF(MOD(_xlpm.pos,10)=2,"nd",IF(MOD(_xlpm.pos,10)=3,"rd","th")))),_xlpm.pos&amp;_xlpm.sfx),IF(_xlpm.stn&lt;&gt;"",_xlpm.stn,""))))</f>
        <v/>
      </c>
      <c r="I68" s="67" t="str">
        <f t="shared" si="2"/>
        <v/>
      </c>
      <c r="J68" s="70" t="str">
        <f t="shared" si="3"/>
        <v/>
      </c>
      <c r="K68" s="69" t="str">
        <f>IF(A68="","",IFERROR(VLOOKUP(A68,'Job Operations'!$A$4:$AA$304,15,FALSE),""))</f>
        <v/>
      </c>
      <c r="L68" s="69" t="str">
        <f>IF(A68="","",IFERROR(VLOOKUP(A68,'Job Operations'!$A$4:$AA$304,17,FALSE),""))</f>
        <v/>
      </c>
      <c r="M68" s="171" t="str">
        <f>IF(A68="","",IF(IFERROR(VLOOKUP(A68,Notes!A:B,2,FALSE),"")=0,"",VLOOKUP(A68,Notes!A:B,2,FALSE)))</f>
        <v/>
      </c>
    </row>
    <row r="69" spans="1:13" x14ac:dyDescent="0.25">
      <c r="A69" s="69"/>
      <c r="B69" s="73" t="str">
        <f>IF(A69="","",IFERROR(VLOOKUP(A69,'Job Operations'!$A$4:$AA$304,2,FALSE),""))</f>
        <v/>
      </c>
      <c r="C69" s="69" t="str">
        <f>IF(A69="","",IFERROR(VLOOKUP(A69,'Job Operations'!$A$4:$AA$304,3,FALSE),""))</f>
        <v/>
      </c>
      <c r="D69" s="69" t="str">
        <f>IF(A69="","",IFERROR(VLOOKUP(A69,'Job Operations'!$A$4:$AA$304,5,FALSE),""))</f>
        <v/>
      </c>
      <c r="E69" s="69" t="str">
        <f>IF(A69="","",IFERROR(VLOOKUP(A69,'Job Operations'!$A$4:$AA$304,6,FALSE),""))</f>
        <v/>
      </c>
      <c r="F69" s="69" t="str">
        <f>IF(A69="","",IFERROR(VLOOKUP(A69,'Job Operations'!$A$4:$AA$304,7,FALSE),""))</f>
        <v/>
      </c>
      <c r="G69" s="70" t="str">
        <f>IF(A69="","",IFERROR(VLOOKUP(A69,'Job Operations'!$A$4:$AA$304,9,FALSE),""))</f>
        <v/>
      </c>
      <c r="H69" s="69" t="str" cm="1">
        <f t="array" ref="H69">IF(A69="","",_xlfn.LET(_xlpm.stn,IFERROR(VLOOKUP(A69,'Job Operations'!$A$4:$AA$304,12,FALSE),""),IF(OR(_xlpm.stn="AXYZ Titans Line",_xlpm.stn="AXYZ 34"),_xlfn.LET(_xlpm.pos,SUMPRODUCT((A$7:A69&lt;&gt;"")*(IFERROR(VLOOKUP(A$7:A69,'Job Operations'!$A$4:$AA$304,12,FALSE),"")="AXYZ Titans Line")+(A$7:A69&lt;&gt;"")*(IFERROR(VLOOKUP(A$7:A69,'Job Operations'!$A$4:$AA$304,12,FALSE),"")="AXYZ 34")),_xlpm.sfx,IF(OR(_xlpm.pos=11,_xlpm.pos=12,_xlpm.pos=13),"th",IF(MOD(_xlpm.pos,10)=1,"st",IF(MOD(_xlpm.pos,10)=2,"nd",IF(MOD(_xlpm.pos,10)=3,"rd","th")))),_xlpm.pos&amp;_xlpm.sfx),IF(_xlpm.stn&lt;&gt;"",_xlpm.stn,""))))</f>
        <v/>
      </c>
      <c r="I69" s="67" t="str">
        <f t="shared" si="2"/>
        <v/>
      </c>
      <c r="J69" s="70" t="str">
        <f t="shared" si="3"/>
        <v/>
      </c>
      <c r="K69" s="69" t="str">
        <f>IF(A69="","",IFERROR(VLOOKUP(A69,'Job Operations'!$A$4:$AA$304,15,FALSE),""))</f>
        <v/>
      </c>
      <c r="L69" s="69" t="str">
        <f>IF(A69="","",IFERROR(VLOOKUP(A69,'Job Operations'!$A$4:$AA$304,17,FALSE),""))</f>
        <v/>
      </c>
      <c r="M69" s="171" t="str">
        <f>IF(A69="","",IF(IFERROR(VLOOKUP(A69,Notes!A:B,2,FALSE),"")=0,"",VLOOKUP(A69,Notes!A:B,2,FALSE)))</f>
        <v/>
      </c>
    </row>
    <row r="70" spans="1:13" x14ac:dyDescent="0.25">
      <c r="A70" s="69"/>
      <c r="B70" s="73" t="str">
        <f>IF(A70="","",IFERROR(VLOOKUP(A70,'Job Operations'!$A$4:$AA$304,2,FALSE),""))</f>
        <v/>
      </c>
      <c r="C70" s="69" t="str">
        <f>IF(A70="","",IFERROR(VLOOKUP(A70,'Job Operations'!$A$4:$AA$304,3,FALSE),""))</f>
        <v/>
      </c>
      <c r="D70" s="69" t="str">
        <f>IF(A70="","",IFERROR(VLOOKUP(A70,'Job Operations'!$A$4:$AA$304,5,FALSE),""))</f>
        <v/>
      </c>
      <c r="E70" s="69" t="str">
        <f>IF(A70="","",IFERROR(VLOOKUP(A70,'Job Operations'!$A$4:$AA$304,6,FALSE),""))</f>
        <v/>
      </c>
      <c r="F70" s="69" t="str">
        <f>IF(A70="","",IFERROR(VLOOKUP(A70,'Job Operations'!$A$4:$AA$304,7,FALSE),""))</f>
        <v/>
      </c>
      <c r="G70" s="70" t="str">
        <f>IF(A70="","",IFERROR(VLOOKUP(A70,'Job Operations'!$A$4:$AA$304,9,FALSE),""))</f>
        <v/>
      </c>
      <c r="H70" s="69" t="str" cm="1">
        <f t="array" ref="H70">IF(A70="","",_xlfn.LET(_xlpm.stn,IFERROR(VLOOKUP(A70,'Job Operations'!$A$4:$AA$304,12,FALSE),""),IF(OR(_xlpm.stn="AXYZ Titans Line",_xlpm.stn="AXYZ 34"),_xlfn.LET(_xlpm.pos,SUMPRODUCT((A$7:A70&lt;&gt;"")*(IFERROR(VLOOKUP(A$7:A70,'Job Operations'!$A$4:$AA$304,12,FALSE),"")="AXYZ Titans Line")+(A$7:A70&lt;&gt;"")*(IFERROR(VLOOKUP(A$7:A70,'Job Operations'!$A$4:$AA$304,12,FALSE),"")="AXYZ 34")),_xlpm.sfx,IF(OR(_xlpm.pos=11,_xlpm.pos=12,_xlpm.pos=13),"th",IF(MOD(_xlpm.pos,10)=1,"st",IF(MOD(_xlpm.pos,10)=2,"nd",IF(MOD(_xlpm.pos,10)=3,"rd","th")))),_xlpm.pos&amp;_xlpm.sfx),IF(_xlpm.stn&lt;&gt;"",_xlpm.stn,""))))</f>
        <v/>
      </c>
      <c r="I70" s="67" t="str">
        <f t="shared" si="2"/>
        <v/>
      </c>
      <c r="J70" s="70" t="str">
        <f t="shared" si="3"/>
        <v/>
      </c>
      <c r="K70" s="69" t="str">
        <f>IF(A70="","",IFERROR(VLOOKUP(A70,'Job Operations'!$A$4:$AA$304,15,FALSE),""))</f>
        <v/>
      </c>
      <c r="L70" s="69" t="str">
        <f>IF(A70="","",IFERROR(VLOOKUP(A70,'Job Operations'!$A$4:$AA$304,17,FALSE),""))</f>
        <v/>
      </c>
      <c r="M70" s="171" t="str">
        <f>IF(A70="","",IF(IFERROR(VLOOKUP(A70,Notes!A:B,2,FALSE),"")=0,"",VLOOKUP(A70,Notes!A:B,2,FALSE)))</f>
        <v/>
      </c>
    </row>
    <row r="71" spans="1:13" x14ac:dyDescent="0.25">
      <c r="A71" s="69"/>
      <c r="B71" s="73" t="str">
        <f>IF(A71="","",IFERROR(VLOOKUP(A71,'Job Operations'!$A$4:$AA$304,2,FALSE),""))</f>
        <v/>
      </c>
      <c r="C71" s="69" t="str">
        <f>IF(A71="","",IFERROR(VLOOKUP(A71,'Job Operations'!$A$4:$AA$304,3,FALSE),""))</f>
        <v/>
      </c>
      <c r="D71" s="69" t="str">
        <f>IF(A71="","",IFERROR(VLOOKUP(A71,'Job Operations'!$A$4:$AA$304,5,FALSE),""))</f>
        <v/>
      </c>
      <c r="E71" s="69" t="str">
        <f>IF(A71="","",IFERROR(VLOOKUP(A71,'Job Operations'!$A$4:$AA$304,6,FALSE),""))</f>
        <v/>
      </c>
      <c r="F71" s="69" t="str">
        <f>IF(A71="","",IFERROR(VLOOKUP(A71,'Job Operations'!$A$4:$AA$304,7,FALSE),""))</f>
        <v/>
      </c>
      <c r="G71" s="70" t="str">
        <f>IF(A71="","",IFERROR(VLOOKUP(A71,'Job Operations'!$A$4:$AA$304,9,FALSE),""))</f>
        <v/>
      </c>
      <c r="H71" s="69" t="str" cm="1">
        <f t="array" ref="H71">IF(A71="","",_xlfn.LET(_xlpm.stn,IFERROR(VLOOKUP(A71,'Job Operations'!$A$4:$AA$304,12,FALSE),""),IF(OR(_xlpm.stn="AXYZ Titans Line",_xlpm.stn="AXYZ 34"),_xlfn.LET(_xlpm.pos,SUMPRODUCT((A$7:A71&lt;&gt;"")*(IFERROR(VLOOKUP(A$7:A71,'Job Operations'!$A$4:$AA$304,12,FALSE),"")="AXYZ Titans Line")+(A$7:A71&lt;&gt;"")*(IFERROR(VLOOKUP(A$7:A71,'Job Operations'!$A$4:$AA$304,12,FALSE),"")="AXYZ 34")),_xlpm.sfx,IF(OR(_xlpm.pos=11,_xlpm.pos=12,_xlpm.pos=13),"th",IF(MOD(_xlpm.pos,10)=1,"st",IF(MOD(_xlpm.pos,10)=2,"nd",IF(MOD(_xlpm.pos,10)=3,"rd","th")))),_xlpm.pos&amp;_xlpm.sfx),IF(_xlpm.stn&lt;&gt;"",_xlpm.stn,""))))</f>
        <v/>
      </c>
      <c r="I71" s="67" t="str">
        <f t="shared" ref="I71:I100" si="4">IF(A71="","",D71/7)</f>
        <v/>
      </c>
      <c r="J71" s="70" t="str">
        <f t="shared" ref="J71:J100" si="5">IF(OR(A71="",G71=""),"",WORKDAY.INTL(G71,-(5+CEILING(I71/8,1)),"0000001"))</f>
        <v/>
      </c>
      <c r="K71" s="69" t="str">
        <f>IF(A71="","",IFERROR(VLOOKUP(A71,'Job Operations'!$A$4:$AA$304,15,FALSE),""))</f>
        <v/>
      </c>
      <c r="L71" s="69" t="str">
        <f>IF(A71="","",IFERROR(VLOOKUP(A71,'Job Operations'!$A$4:$AA$304,17,FALSE),""))</f>
        <v/>
      </c>
      <c r="M71" s="171" t="str">
        <f>IF(A71="","",IF(IFERROR(VLOOKUP(A71,Notes!A:B,2,FALSE),"")=0,"",VLOOKUP(A71,Notes!A:B,2,FALSE)))</f>
        <v/>
      </c>
    </row>
    <row r="72" spans="1:13" x14ac:dyDescent="0.25">
      <c r="A72" s="69"/>
      <c r="B72" s="73" t="str">
        <f>IF(A72="","",IFERROR(VLOOKUP(A72,'Job Operations'!$A$4:$AA$304,2,FALSE),""))</f>
        <v/>
      </c>
      <c r="C72" s="69" t="str">
        <f>IF(A72="","",IFERROR(VLOOKUP(A72,'Job Operations'!$A$4:$AA$304,3,FALSE),""))</f>
        <v/>
      </c>
      <c r="D72" s="69" t="str">
        <f>IF(A72="","",IFERROR(VLOOKUP(A72,'Job Operations'!$A$4:$AA$304,5,FALSE),""))</f>
        <v/>
      </c>
      <c r="E72" s="69" t="str">
        <f>IF(A72="","",IFERROR(VLOOKUP(A72,'Job Operations'!$A$4:$AA$304,6,FALSE),""))</f>
        <v/>
      </c>
      <c r="F72" s="69" t="str">
        <f>IF(A72="","",IFERROR(VLOOKUP(A72,'Job Operations'!$A$4:$AA$304,7,FALSE),""))</f>
        <v/>
      </c>
      <c r="G72" s="70" t="str">
        <f>IF(A72="","",IFERROR(VLOOKUP(A72,'Job Operations'!$A$4:$AA$304,9,FALSE),""))</f>
        <v/>
      </c>
      <c r="H72" s="69" t="str" cm="1">
        <f t="array" ref="H72">IF(A72="","",_xlfn.LET(_xlpm.stn,IFERROR(VLOOKUP(A72,'Job Operations'!$A$4:$AA$304,12,FALSE),""),IF(OR(_xlpm.stn="AXYZ Titans Line",_xlpm.stn="AXYZ 34"),_xlfn.LET(_xlpm.pos,SUMPRODUCT((A$7:A72&lt;&gt;"")*(IFERROR(VLOOKUP(A$7:A72,'Job Operations'!$A$4:$AA$304,12,FALSE),"")="AXYZ Titans Line")+(A$7:A72&lt;&gt;"")*(IFERROR(VLOOKUP(A$7:A72,'Job Operations'!$A$4:$AA$304,12,FALSE),"")="AXYZ 34")),_xlpm.sfx,IF(OR(_xlpm.pos=11,_xlpm.pos=12,_xlpm.pos=13),"th",IF(MOD(_xlpm.pos,10)=1,"st",IF(MOD(_xlpm.pos,10)=2,"nd",IF(MOD(_xlpm.pos,10)=3,"rd","th")))),_xlpm.pos&amp;_xlpm.sfx),IF(_xlpm.stn&lt;&gt;"",_xlpm.stn,""))))</f>
        <v/>
      </c>
      <c r="I72" s="67" t="str">
        <f t="shared" si="4"/>
        <v/>
      </c>
      <c r="J72" s="70" t="str">
        <f t="shared" si="5"/>
        <v/>
      </c>
      <c r="K72" s="69" t="str">
        <f>IF(A72="","",IFERROR(VLOOKUP(A72,'Job Operations'!$A$4:$AA$304,15,FALSE),""))</f>
        <v/>
      </c>
      <c r="L72" s="69" t="str">
        <f>IF(A72="","",IFERROR(VLOOKUP(A72,'Job Operations'!$A$4:$AA$304,17,FALSE),""))</f>
        <v/>
      </c>
      <c r="M72" s="171" t="str">
        <f>IF(A72="","",IF(IFERROR(VLOOKUP(A72,Notes!A:B,2,FALSE),"")=0,"",VLOOKUP(A72,Notes!A:B,2,FALSE)))</f>
        <v/>
      </c>
    </row>
    <row r="73" spans="1:13" x14ac:dyDescent="0.25">
      <c r="A73" s="69"/>
      <c r="B73" s="73" t="str">
        <f>IF(A73="","",IFERROR(VLOOKUP(A73,'Job Operations'!$A$4:$AA$304,2,FALSE),""))</f>
        <v/>
      </c>
      <c r="C73" s="69" t="str">
        <f>IF(A73="","",IFERROR(VLOOKUP(A73,'Job Operations'!$A$4:$AA$304,3,FALSE),""))</f>
        <v/>
      </c>
      <c r="D73" s="69" t="str">
        <f>IF(A73="","",IFERROR(VLOOKUP(A73,'Job Operations'!$A$4:$AA$304,5,FALSE),""))</f>
        <v/>
      </c>
      <c r="E73" s="69" t="str">
        <f>IF(A73="","",IFERROR(VLOOKUP(A73,'Job Operations'!$A$4:$AA$304,6,FALSE),""))</f>
        <v/>
      </c>
      <c r="F73" s="69" t="str">
        <f>IF(A73="","",IFERROR(VLOOKUP(A73,'Job Operations'!$A$4:$AA$304,7,FALSE),""))</f>
        <v/>
      </c>
      <c r="G73" s="70" t="str">
        <f>IF(A73="","",IFERROR(VLOOKUP(A73,'Job Operations'!$A$4:$AA$304,9,FALSE),""))</f>
        <v/>
      </c>
      <c r="H73" s="69" t="str" cm="1">
        <f t="array" ref="H73">IF(A73="","",_xlfn.LET(_xlpm.stn,IFERROR(VLOOKUP(A73,'Job Operations'!$A$4:$AA$304,12,FALSE),""),IF(OR(_xlpm.stn="AXYZ Titans Line",_xlpm.stn="AXYZ 34"),_xlfn.LET(_xlpm.pos,SUMPRODUCT((A$7:A73&lt;&gt;"")*(IFERROR(VLOOKUP(A$7:A73,'Job Operations'!$A$4:$AA$304,12,FALSE),"")="AXYZ Titans Line")+(A$7:A73&lt;&gt;"")*(IFERROR(VLOOKUP(A$7:A73,'Job Operations'!$A$4:$AA$304,12,FALSE),"")="AXYZ 34")),_xlpm.sfx,IF(OR(_xlpm.pos=11,_xlpm.pos=12,_xlpm.pos=13),"th",IF(MOD(_xlpm.pos,10)=1,"st",IF(MOD(_xlpm.pos,10)=2,"nd",IF(MOD(_xlpm.pos,10)=3,"rd","th")))),_xlpm.pos&amp;_xlpm.sfx),IF(_xlpm.stn&lt;&gt;"",_xlpm.stn,""))))</f>
        <v/>
      </c>
      <c r="I73" s="67" t="str">
        <f t="shared" si="4"/>
        <v/>
      </c>
      <c r="J73" s="70" t="str">
        <f t="shared" si="5"/>
        <v/>
      </c>
      <c r="K73" s="69" t="str">
        <f>IF(A73="","",IFERROR(VLOOKUP(A73,'Job Operations'!$A$4:$AA$304,15,FALSE),""))</f>
        <v/>
      </c>
      <c r="L73" s="69" t="str">
        <f>IF(A73="","",IFERROR(VLOOKUP(A73,'Job Operations'!$A$4:$AA$304,17,FALSE),""))</f>
        <v/>
      </c>
      <c r="M73" s="171" t="str">
        <f>IF(A73="","",IF(IFERROR(VLOOKUP(A73,Notes!A:B,2,FALSE),"")=0,"",VLOOKUP(A73,Notes!A:B,2,FALSE)))</f>
        <v/>
      </c>
    </row>
    <row r="74" spans="1:13" x14ac:dyDescent="0.25">
      <c r="A74" s="69"/>
      <c r="B74" s="73" t="str">
        <f>IF(A74="","",IFERROR(VLOOKUP(A74,'Job Operations'!$A$4:$AA$304,2,FALSE),""))</f>
        <v/>
      </c>
      <c r="C74" s="69" t="str">
        <f>IF(A74="","",IFERROR(VLOOKUP(A74,'Job Operations'!$A$4:$AA$304,3,FALSE),""))</f>
        <v/>
      </c>
      <c r="D74" s="69" t="str">
        <f>IF(A74="","",IFERROR(VLOOKUP(A74,'Job Operations'!$A$4:$AA$304,5,FALSE),""))</f>
        <v/>
      </c>
      <c r="E74" s="69" t="str">
        <f>IF(A74="","",IFERROR(VLOOKUP(A74,'Job Operations'!$A$4:$AA$304,6,FALSE),""))</f>
        <v/>
      </c>
      <c r="F74" s="69" t="str">
        <f>IF(A74="","",IFERROR(VLOOKUP(A74,'Job Operations'!$A$4:$AA$304,7,FALSE),""))</f>
        <v/>
      </c>
      <c r="G74" s="70" t="str">
        <f>IF(A74="","",IFERROR(VLOOKUP(A74,'Job Operations'!$A$4:$AA$304,9,FALSE),""))</f>
        <v/>
      </c>
      <c r="H74" s="69" t="str" cm="1">
        <f t="array" ref="H74">IF(A74="","",_xlfn.LET(_xlpm.stn,IFERROR(VLOOKUP(A74,'Job Operations'!$A$4:$AA$304,12,FALSE),""),IF(OR(_xlpm.stn="AXYZ Titans Line",_xlpm.stn="AXYZ 34"),_xlfn.LET(_xlpm.pos,SUMPRODUCT((A$7:A74&lt;&gt;"")*(IFERROR(VLOOKUP(A$7:A74,'Job Operations'!$A$4:$AA$304,12,FALSE),"")="AXYZ Titans Line")+(A$7:A74&lt;&gt;"")*(IFERROR(VLOOKUP(A$7:A74,'Job Operations'!$A$4:$AA$304,12,FALSE),"")="AXYZ 34")),_xlpm.sfx,IF(OR(_xlpm.pos=11,_xlpm.pos=12,_xlpm.pos=13),"th",IF(MOD(_xlpm.pos,10)=1,"st",IF(MOD(_xlpm.pos,10)=2,"nd",IF(MOD(_xlpm.pos,10)=3,"rd","th")))),_xlpm.pos&amp;_xlpm.sfx),IF(_xlpm.stn&lt;&gt;"",_xlpm.stn,""))))</f>
        <v/>
      </c>
      <c r="I74" s="67" t="str">
        <f t="shared" si="4"/>
        <v/>
      </c>
      <c r="J74" s="70" t="str">
        <f t="shared" si="5"/>
        <v/>
      </c>
      <c r="K74" s="69" t="str">
        <f>IF(A74="","",IFERROR(VLOOKUP(A74,'Job Operations'!$A$4:$AA$304,15,FALSE),""))</f>
        <v/>
      </c>
      <c r="L74" s="69" t="str">
        <f>IF(A74="","",IFERROR(VLOOKUP(A74,'Job Operations'!$A$4:$AA$304,17,FALSE),""))</f>
        <v/>
      </c>
      <c r="M74" s="171" t="str">
        <f>IF(A74="","",IF(IFERROR(VLOOKUP(A74,Notes!A:B,2,FALSE),"")=0,"",VLOOKUP(A74,Notes!A:B,2,FALSE)))</f>
        <v/>
      </c>
    </row>
    <row r="75" spans="1:13" x14ac:dyDescent="0.25">
      <c r="A75" s="69"/>
      <c r="B75" s="73" t="str">
        <f>IF(A75="","",IFERROR(VLOOKUP(A75,'Job Operations'!$A$4:$AA$304,2,FALSE),""))</f>
        <v/>
      </c>
      <c r="C75" s="69" t="str">
        <f>IF(A75="","",IFERROR(VLOOKUP(A75,'Job Operations'!$A$4:$AA$304,3,FALSE),""))</f>
        <v/>
      </c>
      <c r="D75" s="69" t="str">
        <f>IF(A75="","",IFERROR(VLOOKUP(A75,'Job Operations'!$A$4:$AA$304,5,FALSE),""))</f>
        <v/>
      </c>
      <c r="E75" s="69" t="str">
        <f>IF(A75="","",IFERROR(VLOOKUP(A75,'Job Operations'!$A$4:$AA$304,6,FALSE),""))</f>
        <v/>
      </c>
      <c r="F75" s="69" t="str">
        <f>IF(A75="","",IFERROR(VLOOKUP(A75,'Job Operations'!$A$4:$AA$304,7,FALSE),""))</f>
        <v/>
      </c>
      <c r="G75" s="70" t="str">
        <f>IF(A75="","",IFERROR(VLOOKUP(A75,'Job Operations'!$A$4:$AA$304,9,FALSE),""))</f>
        <v/>
      </c>
      <c r="H75" s="69" t="str" cm="1">
        <f t="array" ref="H75">IF(A75="","",_xlfn.LET(_xlpm.stn,IFERROR(VLOOKUP(A75,'Job Operations'!$A$4:$AA$304,12,FALSE),""),IF(OR(_xlpm.stn="AXYZ Titans Line",_xlpm.stn="AXYZ 34"),_xlfn.LET(_xlpm.pos,SUMPRODUCT((A$7:A75&lt;&gt;"")*(IFERROR(VLOOKUP(A$7:A75,'Job Operations'!$A$4:$AA$304,12,FALSE),"")="AXYZ Titans Line")+(A$7:A75&lt;&gt;"")*(IFERROR(VLOOKUP(A$7:A75,'Job Operations'!$A$4:$AA$304,12,FALSE),"")="AXYZ 34")),_xlpm.sfx,IF(OR(_xlpm.pos=11,_xlpm.pos=12,_xlpm.pos=13),"th",IF(MOD(_xlpm.pos,10)=1,"st",IF(MOD(_xlpm.pos,10)=2,"nd",IF(MOD(_xlpm.pos,10)=3,"rd","th")))),_xlpm.pos&amp;_xlpm.sfx),IF(_xlpm.stn&lt;&gt;"",_xlpm.stn,""))))</f>
        <v/>
      </c>
      <c r="I75" s="67" t="str">
        <f t="shared" si="4"/>
        <v/>
      </c>
      <c r="J75" s="70" t="str">
        <f t="shared" si="5"/>
        <v/>
      </c>
      <c r="K75" s="69" t="str">
        <f>IF(A75="","",IFERROR(VLOOKUP(A75,'Job Operations'!$A$4:$AA$304,15,FALSE),""))</f>
        <v/>
      </c>
      <c r="L75" s="69" t="str">
        <f>IF(A75="","",IFERROR(VLOOKUP(A75,'Job Operations'!$A$4:$AA$304,17,FALSE),""))</f>
        <v/>
      </c>
      <c r="M75" s="171" t="str">
        <f>IF(A75="","",IF(IFERROR(VLOOKUP(A75,Notes!A:B,2,FALSE),"")=0,"",VLOOKUP(A75,Notes!A:B,2,FALSE)))</f>
        <v/>
      </c>
    </row>
    <row r="76" spans="1:13" x14ac:dyDescent="0.25">
      <c r="A76" s="69"/>
      <c r="B76" s="73" t="str">
        <f>IF(A76="","",IFERROR(VLOOKUP(A76,'Job Operations'!$A$4:$AA$304,2,FALSE),""))</f>
        <v/>
      </c>
      <c r="C76" s="69" t="str">
        <f>IF(A76="","",IFERROR(VLOOKUP(A76,'Job Operations'!$A$4:$AA$304,3,FALSE),""))</f>
        <v/>
      </c>
      <c r="D76" s="69" t="str">
        <f>IF(A76="","",IFERROR(VLOOKUP(A76,'Job Operations'!$A$4:$AA$304,5,FALSE),""))</f>
        <v/>
      </c>
      <c r="E76" s="69" t="str">
        <f>IF(A76="","",IFERROR(VLOOKUP(A76,'Job Operations'!$A$4:$AA$304,6,FALSE),""))</f>
        <v/>
      </c>
      <c r="F76" s="69" t="str">
        <f>IF(A76="","",IFERROR(VLOOKUP(A76,'Job Operations'!$A$4:$AA$304,7,FALSE),""))</f>
        <v/>
      </c>
      <c r="G76" s="70" t="str">
        <f>IF(A76="","",IFERROR(VLOOKUP(A76,'Job Operations'!$A$4:$AA$304,9,FALSE),""))</f>
        <v/>
      </c>
      <c r="H76" s="69" t="str" cm="1">
        <f t="array" ref="H76">IF(A76="","",_xlfn.LET(_xlpm.stn,IFERROR(VLOOKUP(A76,'Job Operations'!$A$4:$AA$304,12,FALSE),""),IF(OR(_xlpm.stn="AXYZ Titans Line",_xlpm.stn="AXYZ 34"),_xlfn.LET(_xlpm.pos,SUMPRODUCT((A$7:A76&lt;&gt;"")*(IFERROR(VLOOKUP(A$7:A76,'Job Operations'!$A$4:$AA$304,12,FALSE),"")="AXYZ Titans Line")+(A$7:A76&lt;&gt;"")*(IFERROR(VLOOKUP(A$7:A76,'Job Operations'!$A$4:$AA$304,12,FALSE),"")="AXYZ 34")),_xlpm.sfx,IF(OR(_xlpm.pos=11,_xlpm.pos=12,_xlpm.pos=13),"th",IF(MOD(_xlpm.pos,10)=1,"st",IF(MOD(_xlpm.pos,10)=2,"nd",IF(MOD(_xlpm.pos,10)=3,"rd","th")))),_xlpm.pos&amp;_xlpm.sfx),IF(_xlpm.stn&lt;&gt;"",_xlpm.stn,""))))</f>
        <v/>
      </c>
      <c r="I76" s="67" t="str">
        <f t="shared" si="4"/>
        <v/>
      </c>
      <c r="J76" s="70" t="str">
        <f t="shared" si="5"/>
        <v/>
      </c>
      <c r="K76" s="69" t="str">
        <f>IF(A76="","",IFERROR(VLOOKUP(A76,'Job Operations'!$A$4:$AA$304,15,FALSE),""))</f>
        <v/>
      </c>
      <c r="L76" s="69" t="str">
        <f>IF(A76="","",IFERROR(VLOOKUP(A76,'Job Operations'!$A$4:$AA$304,17,FALSE),""))</f>
        <v/>
      </c>
      <c r="M76" s="171" t="str">
        <f>IF(A76="","",IF(IFERROR(VLOOKUP(A76,Notes!A:B,2,FALSE),"")=0,"",VLOOKUP(A76,Notes!A:B,2,FALSE)))</f>
        <v/>
      </c>
    </row>
    <row r="77" spans="1:13" x14ac:dyDescent="0.25">
      <c r="A77" s="69"/>
      <c r="B77" s="73" t="str">
        <f>IF(A77="","",IFERROR(VLOOKUP(A77,'Job Operations'!$A$4:$AA$304,2,FALSE),""))</f>
        <v/>
      </c>
      <c r="C77" s="69" t="str">
        <f>IF(A77="","",IFERROR(VLOOKUP(A77,'Job Operations'!$A$4:$AA$304,3,FALSE),""))</f>
        <v/>
      </c>
      <c r="D77" s="69" t="str">
        <f>IF(A77="","",IFERROR(VLOOKUP(A77,'Job Operations'!$A$4:$AA$304,5,FALSE),""))</f>
        <v/>
      </c>
      <c r="E77" s="69" t="str">
        <f>IF(A77="","",IFERROR(VLOOKUP(A77,'Job Operations'!$A$4:$AA$304,6,FALSE),""))</f>
        <v/>
      </c>
      <c r="F77" s="69" t="str">
        <f>IF(A77="","",IFERROR(VLOOKUP(A77,'Job Operations'!$A$4:$AA$304,7,FALSE),""))</f>
        <v/>
      </c>
      <c r="G77" s="70" t="str">
        <f>IF(A77="","",IFERROR(VLOOKUP(A77,'Job Operations'!$A$4:$AA$304,9,FALSE),""))</f>
        <v/>
      </c>
      <c r="H77" s="69" t="str" cm="1">
        <f t="array" ref="H77">IF(A77="","",_xlfn.LET(_xlpm.stn,IFERROR(VLOOKUP(A77,'Job Operations'!$A$4:$AA$304,12,FALSE),""),IF(OR(_xlpm.stn="AXYZ Titans Line",_xlpm.stn="AXYZ 34"),_xlfn.LET(_xlpm.pos,SUMPRODUCT((A$7:A77&lt;&gt;"")*(IFERROR(VLOOKUP(A$7:A77,'Job Operations'!$A$4:$AA$304,12,FALSE),"")="AXYZ Titans Line")+(A$7:A77&lt;&gt;"")*(IFERROR(VLOOKUP(A$7:A77,'Job Operations'!$A$4:$AA$304,12,FALSE),"")="AXYZ 34")),_xlpm.sfx,IF(OR(_xlpm.pos=11,_xlpm.pos=12,_xlpm.pos=13),"th",IF(MOD(_xlpm.pos,10)=1,"st",IF(MOD(_xlpm.pos,10)=2,"nd",IF(MOD(_xlpm.pos,10)=3,"rd","th")))),_xlpm.pos&amp;_xlpm.sfx),IF(_xlpm.stn&lt;&gt;"",_xlpm.stn,""))))</f>
        <v/>
      </c>
      <c r="I77" s="67" t="str">
        <f t="shared" si="4"/>
        <v/>
      </c>
      <c r="J77" s="70" t="str">
        <f t="shared" si="5"/>
        <v/>
      </c>
      <c r="K77" s="69" t="str">
        <f>IF(A77="","",IFERROR(VLOOKUP(A77,'Job Operations'!$A$4:$AA$304,15,FALSE),""))</f>
        <v/>
      </c>
      <c r="L77" s="69" t="str">
        <f>IF(A77="","",IFERROR(VLOOKUP(A77,'Job Operations'!$A$4:$AA$304,17,FALSE),""))</f>
        <v/>
      </c>
      <c r="M77" s="171" t="str">
        <f>IF(A77="","",IF(IFERROR(VLOOKUP(A77,Notes!A:B,2,FALSE),"")=0,"",VLOOKUP(A77,Notes!A:B,2,FALSE)))</f>
        <v/>
      </c>
    </row>
    <row r="78" spans="1:13" x14ac:dyDescent="0.25">
      <c r="A78" s="69"/>
      <c r="B78" s="73" t="str">
        <f>IF(A78="","",IFERROR(VLOOKUP(A78,'Job Operations'!$A$4:$AA$304,2,FALSE),""))</f>
        <v/>
      </c>
      <c r="C78" s="69" t="str">
        <f>IF(A78="","",IFERROR(VLOOKUP(A78,'Job Operations'!$A$4:$AA$304,3,FALSE),""))</f>
        <v/>
      </c>
      <c r="D78" s="69" t="str">
        <f>IF(A78="","",IFERROR(VLOOKUP(A78,'Job Operations'!$A$4:$AA$304,5,FALSE),""))</f>
        <v/>
      </c>
      <c r="E78" s="69" t="str">
        <f>IF(A78="","",IFERROR(VLOOKUP(A78,'Job Operations'!$A$4:$AA$304,6,FALSE),""))</f>
        <v/>
      </c>
      <c r="F78" s="69" t="str">
        <f>IF(A78="","",IFERROR(VLOOKUP(A78,'Job Operations'!$A$4:$AA$304,7,FALSE),""))</f>
        <v/>
      </c>
      <c r="G78" s="70" t="str">
        <f>IF(A78="","",IFERROR(VLOOKUP(A78,'Job Operations'!$A$4:$AA$304,9,FALSE),""))</f>
        <v/>
      </c>
      <c r="H78" s="69" t="str" cm="1">
        <f t="array" ref="H78">IF(A78="","",_xlfn.LET(_xlpm.stn,IFERROR(VLOOKUP(A78,'Job Operations'!$A$4:$AA$304,12,FALSE),""),IF(OR(_xlpm.stn="AXYZ Titans Line",_xlpm.stn="AXYZ 34"),_xlfn.LET(_xlpm.pos,SUMPRODUCT((A$7:A78&lt;&gt;"")*(IFERROR(VLOOKUP(A$7:A78,'Job Operations'!$A$4:$AA$304,12,FALSE),"")="AXYZ Titans Line")+(A$7:A78&lt;&gt;"")*(IFERROR(VLOOKUP(A$7:A78,'Job Operations'!$A$4:$AA$304,12,FALSE),"")="AXYZ 34")),_xlpm.sfx,IF(OR(_xlpm.pos=11,_xlpm.pos=12,_xlpm.pos=13),"th",IF(MOD(_xlpm.pos,10)=1,"st",IF(MOD(_xlpm.pos,10)=2,"nd",IF(MOD(_xlpm.pos,10)=3,"rd","th")))),_xlpm.pos&amp;_xlpm.sfx),IF(_xlpm.stn&lt;&gt;"",_xlpm.stn,""))))</f>
        <v/>
      </c>
      <c r="I78" s="67" t="str">
        <f t="shared" si="4"/>
        <v/>
      </c>
      <c r="J78" s="70" t="str">
        <f t="shared" si="5"/>
        <v/>
      </c>
      <c r="K78" s="69" t="str">
        <f>IF(A78="","",IFERROR(VLOOKUP(A78,'Job Operations'!$A$4:$AA$304,15,FALSE),""))</f>
        <v/>
      </c>
      <c r="L78" s="69" t="str">
        <f>IF(A78="","",IFERROR(VLOOKUP(A78,'Job Operations'!$A$4:$AA$304,17,FALSE),""))</f>
        <v/>
      </c>
      <c r="M78" s="171" t="str">
        <f>IF(A78="","",IF(IFERROR(VLOOKUP(A78,Notes!A:B,2,FALSE),"")=0,"",VLOOKUP(A78,Notes!A:B,2,FALSE)))</f>
        <v/>
      </c>
    </row>
    <row r="79" spans="1:13" x14ac:dyDescent="0.25">
      <c r="A79" s="69"/>
      <c r="B79" s="73" t="str">
        <f>IF(A79="","",IFERROR(VLOOKUP(A79,'Job Operations'!$A$4:$AA$304,2,FALSE),""))</f>
        <v/>
      </c>
      <c r="C79" s="69" t="str">
        <f>IF(A79="","",IFERROR(VLOOKUP(A79,'Job Operations'!$A$4:$AA$304,3,FALSE),""))</f>
        <v/>
      </c>
      <c r="D79" s="69" t="str">
        <f>IF(A79="","",IFERROR(VLOOKUP(A79,'Job Operations'!$A$4:$AA$304,5,FALSE),""))</f>
        <v/>
      </c>
      <c r="E79" s="69" t="str">
        <f>IF(A79="","",IFERROR(VLOOKUP(A79,'Job Operations'!$A$4:$AA$304,6,FALSE),""))</f>
        <v/>
      </c>
      <c r="F79" s="69" t="str">
        <f>IF(A79="","",IFERROR(VLOOKUP(A79,'Job Operations'!$A$4:$AA$304,7,FALSE),""))</f>
        <v/>
      </c>
      <c r="G79" s="70" t="str">
        <f>IF(A79="","",IFERROR(VLOOKUP(A79,'Job Operations'!$A$4:$AA$304,9,FALSE),""))</f>
        <v/>
      </c>
      <c r="H79" s="69" t="str" cm="1">
        <f t="array" ref="H79">IF(A79="","",_xlfn.LET(_xlpm.stn,IFERROR(VLOOKUP(A79,'Job Operations'!$A$4:$AA$304,12,FALSE),""),IF(OR(_xlpm.stn="AXYZ Titans Line",_xlpm.stn="AXYZ 34"),_xlfn.LET(_xlpm.pos,SUMPRODUCT((A$7:A79&lt;&gt;"")*(IFERROR(VLOOKUP(A$7:A79,'Job Operations'!$A$4:$AA$304,12,FALSE),"")="AXYZ Titans Line")+(A$7:A79&lt;&gt;"")*(IFERROR(VLOOKUP(A$7:A79,'Job Operations'!$A$4:$AA$304,12,FALSE),"")="AXYZ 34")),_xlpm.sfx,IF(OR(_xlpm.pos=11,_xlpm.pos=12,_xlpm.pos=13),"th",IF(MOD(_xlpm.pos,10)=1,"st",IF(MOD(_xlpm.pos,10)=2,"nd",IF(MOD(_xlpm.pos,10)=3,"rd","th")))),_xlpm.pos&amp;_xlpm.sfx),IF(_xlpm.stn&lt;&gt;"",_xlpm.stn,""))))</f>
        <v/>
      </c>
      <c r="I79" s="67" t="str">
        <f t="shared" si="4"/>
        <v/>
      </c>
      <c r="J79" s="70" t="str">
        <f t="shared" si="5"/>
        <v/>
      </c>
      <c r="K79" s="69" t="str">
        <f>IF(A79="","",IFERROR(VLOOKUP(A79,'Job Operations'!$A$4:$AA$304,15,FALSE),""))</f>
        <v/>
      </c>
      <c r="L79" s="69" t="str">
        <f>IF(A79="","",IFERROR(VLOOKUP(A79,'Job Operations'!$A$4:$AA$304,17,FALSE),""))</f>
        <v/>
      </c>
      <c r="M79" s="171" t="str">
        <f>IF(A79="","",IF(IFERROR(VLOOKUP(A79,Notes!A:B,2,FALSE),"")=0,"",VLOOKUP(A79,Notes!A:B,2,FALSE)))</f>
        <v/>
      </c>
    </row>
    <row r="80" spans="1:13" x14ac:dyDescent="0.25">
      <c r="A80" s="69"/>
      <c r="B80" s="73" t="str">
        <f>IF(A80="","",IFERROR(VLOOKUP(A80,'Job Operations'!$A$4:$AA$304,2,FALSE),""))</f>
        <v/>
      </c>
      <c r="C80" s="69" t="str">
        <f>IF(A80="","",IFERROR(VLOOKUP(A80,'Job Operations'!$A$4:$AA$304,3,FALSE),""))</f>
        <v/>
      </c>
      <c r="D80" s="69" t="str">
        <f>IF(A80="","",IFERROR(VLOOKUP(A80,'Job Operations'!$A$4:$AA$304,5,FALSE),""))</f>
        <v/>
      </c>
      <c r="E80" s="69" t="str">
        <f>IF(A80="","",IFERROR(VLOOKUP(A80,'Job Operations'!$A$4:$AA$304,6,FALSE),""))</f>
        <v/>
      </c>
      <c r="F80" s="69" t="str">
        <f>IF(A80="","",IFERROR(VLOOKUP(A80,'Job Operations'!$A$4:$AA$304,7,FALSE),""))</f>
        <v/>
      </c>
      <c r="G80" s="70" t="str">
        <f>IF(A80="","",IFERROR(VLOOKUP(A80,'Job Operations'!$A$4:$AA$304,9,FALSE),""))</f>
        <v/>
      </c>
      <c r="H80" s="69" t="str" cm="1">
        <f t="array" ref="H80">IF(A80="","",_xlfn.LET(_xlpm.stn,IFERROR(VLOOKUP(A80,'Job Operations'!$A$4:$AA$304,12,FALSE),""),IF(OR(_xlpm.stn="AXYZ Titans Line",_xlpm.stn="AXYZ 34"),_xlfn.LET(_xlpm.pos,SUMPRODUCT((A$7:A80&lt;&gt;"")*(IFERROR(VLOOKUP(A$7:A80,'Job Operations'!$A$4:$AA$304,12,FALSE),"")="AXYZ Titans Line")+(A$7:A80&lt;&gt;"")*(IFERROR(VLOOKUP(A$7:A80,'Job Operations'!$A$4:$AA$304,12,FALSE),"")="AXYZ 34")),_xlpm.sfx,IF(OR(_xlpm.pos=11,_xlpm.pos=12,_xlpm.pos=13),"th",IF(MOD(_xlpm.pos,10)=1,"st",IF(MOD(_xlpm.pos,10)=2,"nd",IF(MOD(_xlpm.pos,10)=3,"rd","th")))),_xlpm.pos&amp;_xlpm.sfx),IF(_xlpm.stn&lt;&gt;"",_xlpm.stn,""))))</f>
        <v/>
      </c>
      <c r="I80" s="67" t="str">
        <f t="shared" si="4"/>
        <v/>
      </c>
      <c r="J80" s="70" t="str">
        <f t="shared" si="5"/>
        <v/>
      </c>
      <c r="K80" s="69" t="str">
        <f>IF(A80="","",IFERROR(VLOOKUP(A80,'Job Operations'!$A$4:$AA$304,15,FALSE),""))</f>
        <v/>
      </c>
      <c r="L80" s="69" t="str">
        <f>IF(A80="","",IFERROR(VLOOKUP(A80,'Job Operations'!$A$4:$AA$304,17,FALSE),""))</f>
        <v/>
      </c>
      <c r="M80" s="171" t="str">
        <f>IF(A80="","",IF(IFERROR(VLOOKUP(A80,Notes!A:B,2,FALSE),"")=0,"",VLOOKUP(A80,Notes!A:B,2,FALSE)))</f>
        <v/>
      </c>
    </row>
    <row r="81" spans="1:13" x14ac:dyDescent="0.25">
      <c r="A81" s="69"/>
      <c r="B81" s="73" t="str">
        <f>IF(A81="","",IFERROR(VLOOKUP(A81,'Job Operations'!$A$4:$AA$304,2,FALSE),""))</f>
        <v/>
      </c>
      <c r="C81" s="69" t="str">
        <f>IF(A81="","",IFERROR(VLOOKUP(A81,'Job Operations'!$A$4:$AA$304,3,FALSE),""))</f>
        <v/>
      </c>
      <c r="D81" s="69" t="str">
        <f>IF(A81="","",IFERROR(VLOOKUP(A81,'Job Operations'!$A$4:$AA$304,5,FALSE),""))</f>
        <v/>
      </c>
      <c r="E81" s="69" t="str">
        <f>IF(A81="","",IFERROR(VLOOKUP(A81,'Job Operations'!$A$4:$AA$304,6,FALSE),""))</f>
        <v/>
      </c>
      <c r="F81" s="69" t="str">
        <f>IF(A81="","",IFERROR(VLOOKUP(A81,'Job Operations'!$A$4:$AA$304,7,FALSE),""))</f>
        <v/>
      </c>
      <c r="G81" s="70" t="str">
        <f>IF(A81="","",IFERROR(VLOOKUP(A81,'Job Operations'!$A$4:$AA$304,9,FALSE),""))</f>
        <v/>
      </c>
      <c r="H81" s="69" t="str" cm="1">
        <f t="array" ref="H81">IF(A81="","",_xlfn.LET(_xlpm.stn,IFERROR(VLOOKUP(A81,'Job Operations'!$A$4:$AA$304,12,FALSE),""),IF(OR(_xlpm.stn="AXYZ Titans Line",_xlpm.stn="AXYZ 34"),_xlfn.LET(_xlpm.pos,SUMPRODUCT((A$7:A81&lt;&gt;"")*(IFERROR(VLOOKUP(A$7:A81,'Job Operations'!$A$4:$AA$304,12,FALSE),"")="AXYZ Titans Line")+(A$7:A81&lt;&gt;"")*(IFERROR(VLOOKUP(A$7:A81,'Job Operations'!$A$4:$AA$304,12,FALSE),"")="AXYZ 34")),_xlpm.sfx,IF(OR(_xlpm.pos=11,_xlpm.pos=12,_xlpm.pos=13),"th",IF(MOD(_xlpm.pos,10)=1,"st",IF(MOD(_xlpm.pos,10)=2,"nd",IF(MOD(_xlpm.pos,10)=3,"rd","th")))),_xlpm.pos&amp;_xlpm.sfx),IF(_xlpm.stn&lt;&gt;"",_xlpm.stn,""))))</f>
        <v/>
      </c>
      <c r="I81" s="67" t="str">
        <f t="shared" si="4"/>
        <v/>
      </c>
      <c r="J81" s="70" t="str">
        <f t="shared" si="5"/>
        <v/>
      </c>
      <c r="K81" s="69" t="str">
        <f>IF(A81="","",IFERROR(VLOOKUP(A81,'Job Operations'!$A$4:$AA$304,15,FALSE),""))</f>
        <v/>
      </c>
      <c r="L81" s="69" t="str">
        <f>IF(A81="","",IFERROR(VLOOKUP(A81,'Job Operations'!$A$4:$AA$304,17,FALSE),""))</f>
        <v/>
      </c>
      <c r="M81" s="171" t="str">
        <f>IF(A81="","",IF(IFERROR(VLOOKUP(A81,Notes!A:B,2,FALSE),"")=0,"",VLOOKUP(A81,Notes!A:B,2,FALSE)))</f>
        <v/>
      </c>
    </row>
    <row r="82" spans="1:13" x14ac:dyDescent="0.25">
      <c r="A82" s="69"/>
      <c r="B82" s="73" t="str">
        <f>IF(A82="","",IFERROR(VLOOKUP(A82,'Job Operations'!$A$4:$AA$304,2,FALSE),""))</f>
        <v/>
      </c>
      <c r="C82" s="69" t="str">
        <f>IF(A82="","",IFERROR(VLOOKUP(A82,'Job Operations'!$A$4:$AA$304,3,FALSE),""))</f>
        <v/>
      </c>
      <c r="D82" s="69" t="str">
        <f>IF(A82="","",IFERROR(VLOOKUP(A82,'Job Operations'!$A$4:$AA$304,5,FALSE),""))</f>
        <v/>
      </c>
      <c r="E82" s="69" t="str">
        <f>IF(A82="","",IFERROR(VLOOKUP(A82,'Job Operations'!$A$4:$AA$304,6,FALSE),""))</f>
        <v/>
      </c>
      <c r="F82" s="69" t="str">
        <f>IF(A82="","",IFERROR(VLOOKUP(A82,'Job Operations'!$A$4:$AA$304,7,FALSE),""))</f>
        <v/>
      </c>
      <c r="G82" s="70" t="str">
        <f>IF(A82="","",IFERROR(VLOOKUP(A82,'Job Operations'!$A$4:$AA$304,9,FALSE),""))</f>
        <v/>
      </c>
      <c r="H82" s="69" t="str" cm="1">
        <f t="array" ref="H82">IF(A82="","",_xlfn.LET(_xlpm.stn,IFERROR(VLOOKUP(A82,'Job Operations'!$A$4:$AA$304,12,FALSE),""),IF(OR(_xlpm.stn="AXYZ Titans Line",_xlpm.stn="AXYZ 34"),_xlfn.LET(_xlpm.pos,SUMPRODUCT((A$7:A82&lt;&gt;"")*(IFERROR(VLOOKUP(A$7:A82,'Job Operations'!$A$4:$AA$304,12,FALSE),"")="AXYZ Titans Line")+(A$7:A82&lt;&gt;"")*(IFERROR(VLOOKUP(A$7:A82,'Job Operations'!$A$4:$AA$304,12,FALSE),"")="AXYZ 34")),_xlpm.sfx,IF(OR(_xlpm.pos=11,_xlpm.pos=12,_xlpm.pos=13),"th",IF(MOD(_xlpm.pos,10)=1,"st",IF(MOD(_xlpm.pos,10)=2,"nd",IF(MOD(_xlpm.pos,10)=3,"rd","th")))),_xlpm.pos&amp;_xlpm.sfx),IF(_xlpm.stn&lt;&gt;"",_xlpm.stn,""))))</f>
        <v/>
      </c>
      <c r="I82" s="67" t="str">
        <f t="shared" si="4"/>
        <v/>
      </c>
      <c r="J82" s="70" t="str">
        <f t="shared" si="5"/>
        <v/>
      </c>
      <c r="K82" s="69" t="str">
        <f>IF(A82="","",IFERROR(VLOOKUP(A82,'Job Operations'!$A$4:$AA$304,15,FALSE),""))</f>
        <v/>
      </c>
      <c r="L82" s="69" t="str">
        <f>IF(A82="","",IFERROR(VLOOKUP(A82,'Job Operations'!$A$4:$AA$304,17,FALSE),""))</f>
        <v/>
      </c>
      <c r="M82" s="171" t="str">
        <f>IF(A82="","",IF(IFERROR(VLOOKUP(A82,Notes!A:B,2,FALSE),"")=0,"",VLOOKUP(A82,Notes!A:B,2,FALSE)))</f>
        <v/>
      </c>
    </row>
    <row r="83" spans="1:13" x14ac:dyDescent="0.25">
      <c r="A83" s="69"/>
      <c r="B83" s="73" t="str">
        <f>IF(A83="","",IFERROR(VLOOKUP(A83,'Job Operations'!$A$4:$AA$304,2,FALSE),""))</f>
        <v/>
      </c>
      <c r="C83" s="69" t="str">
        <f>IF(A83="","",IFERROR(VLOOKUP(A83,'Job Operations'!$A$4:$AA$304,3,FALSE),""))</f>
        <v/>
      </c>
      <c r="D83" s="69" t="str">
        <f>IF(A83="","",IFERROR(VLOOKUP(A83,'Job Operations'!$A$4:$AA$304,5,FALSE),""))</f>
        <v/>
      </c>
      <c r="E83" s="69" t="str">
        <f>IF(A83="","",IFERROR(VLOOKUP(A83,'Job Operations'!$A$4:$AA$304,6,FALSE),""))</f>
        <v/>
      </c>
      <c r="F83" s="69" t="str">
        <f>IF(A83="","",IFERROR(VLOOKUP(A83,'Job Operations'!$A$4:$AA$304,7,FALSE),""))</f>
        <v/>
      </c>
      <c r="G83" s="70" t="str">
        <f>IF(A83="","",IFERROR(VLOOKUP(A83,'Job Operations'!$A$4:$AA$304,9,FALSE),""))</f>
        <v/>
      </c>
      <c r="H83" s="69" t="str" cm="1">
        <f t="array" ref="H83">IF(A83="","",_xlfn.LET(_xlpm.stn,IFERROR(VLOOKUP(A83,'Job Operations'!$A$4:$AA$304,12,FALSE),""),IF(OR(_xlpm.stn="AXYZ Titans Line",_xlpm.stn="AXYZ 34"),_xlfn.LET(_xlpm.pos,SUMPRODUCT((A$7:A83&lt;&gt;"")*(IFERROR(VLOOKUP(A$7:A83,'Job Operations'!$A$4:$AA$304,12,FALSE),"")="AXYZ Titans Line")+(A$7:A83&lt;&gt;"")*(IFERROR(VLOOKUP(A$7:A83,'Job Operations'!$A$4:$AA$304,12,FALSE),"")="AXYZ 34")),_xlpm.sfx,IF(OR(_xlpm.pos=11,_xlpm.pos=12,_xlpm.pos=13),"th",IF(MOD(_xlpm.pos,10)=1,"st",IF(MOD(_xlpm.pos,10)=2,"nd",IF(MOD(_xlpm.pos,10)=3,"rd","th")))),_xlpm.pos&amp;_xlpm.sfx),IF(_xlpm.stn&lt;&gt;"",_xlpm.stn,""))))</f>
        <v/>
      </c>
      <c r="I83" s="67" t="str">
        <f t="shared" si="4"/>
        <v/>
      </c>
      <c r="J83" s="70" t="str">
        <f t="shared" si="5"/>
        <v/>
      </c>
      <c r="K83" s="69" t="str">
        <f>IF(A83="","",IFERROR(VLOOKUP(A83,'Job Operations'!$A$4:$AA$304,15,FALSE),""))</f>
        <v/>
      </c>
      <c r="L83" s="69" t="str">
        <f>IF(A83="","",IFERROR(VLOOKUP(A83,'Job Operations'!$A$4:$AA$304,17,FALSE),""))</f>
        <v/>
      </c>
      <c r="M83" s="171" t="str">
        <f>IF(A83="","",IF(IFERROR(VLOOKUP(A83,Notes!A:B,2,FALSE),"")=0,"",VLOOKUP(A83,Notes!A:B,2,FALSE)))</f>
        <v/>
      </c>
    </row>
    <row r="84" spans="1:13" x14ac:dyDescent="0.25">
      <c r="A84" s="69"/>
      <c r="B84" s="73" t="str">
        <f>IF(A84="","",IFERROR(VLOOKUP(A84,'Job Operations'!$A$4:$AA$304,2,FALSE),""))</f>
        <v/>
      </c>
      <c r="C84" s="69" t="str">
        <f>IF(A84="","",IFERROR(VLOOKUP(A84,'Job Operations'!$A$4:$AA$304,3,FALSE),""))</f>
        <v/>
      </c>
      <c r="D84" s="69" t="str">
        <f>IF(A84="","",IFERROR(VLOOKUP(A84,'Job Operations'!$A$4:$AA$304,5,FALSE),""))</f>
        <v/>
      </c>
      <c r="E84" s="69" t="str">
        <f>IF(A84="","",IFERROR(VLOOKUP(A84,'Job Operations'!$A$4:$AA$304,6,FALSE),""))</f>
        <v/>
      </c>
      <c r="F84" s="69" t="str">
        <f>IF(A84="","",IFERROR(VLOOKUP(A84,'Job Operations'!$A$4:$AA$304,7,FALSE),""))</f>
        <v/>
      </c>
      <c r="G84" s="70" t="str">
        <f>IF(A84="","",IFERROR(VLOOKUP(A84,'Job Operations'!$A$4:$AA$304,9,FALSE),""))</f>
        <v/>
      </c>
      <c r="H84" s="69" t="str" cm="1">
        <f t="array" ref="H84">IF(A84="","",_xlfn.LET(_xlpm.stn,IFERROR(VLOOKUP(A84,'Job Operations'!$A$4:$AA$304,12,FALSE),""),IF(OR(_xlpm.stn="AXYZ Titans Line",_xlpm.stn="AXYZ 34"),_xlfn.LET(_xlpm.pos,SUMPRODUCT((A$7:A84&lt;&gt;"")*(IFERROR(VLOOKUP(A$7:A84,'Job Operations'!$A$4:$AA$304,12,FALSE),"")="AXYZ Titans Line")+(A$7:A84&lt;&gt;"")*(IFERROR(VLOOKUP(A$7:A84,'Job Operations'!$A$4:$AA$304,12,FALSE),"")="AXYZ 34")),_xlpm.sfx,IF(OR(_xlpm.pos=11,_xlpm.pos=12,_xlpm.pos=13),"th",IF(MOD(_xlpm.pos,10)=1,"st",IF(MOD(_xlpm.pos,10)=2,"nd",IF(MOD(_xlpm.pos,10)=3,"rd","th")))),_xlpm.pos&amp;_xlpm.sfx),IF(_xlpm.stn&lt;&gt;"",_xlpm.stn,""))))</f>
        <v/>
      </c>
      <c r="I84" s="67" t="str">
        <f t="shared" si="4"/>
        <v/>
      </c>
      <c r="J84" s="70" t="str">
        <f t="shared" si="5"/>
        <v/>
      </c>
      <c r="K84" s="69" t="str">
        <f>IF(A84="","",IFERROR(VLOOKUP(A84,'Job Operations'!$A$4:$AA$304,15,FALSE),""))</f>
        <v/>
      </c>
      <c r="L84" s="69" t="str">
        <f>IF(A84="","",IFERROR(VLOOKUP(A84,'Job Operations'!$A$4:$AA$304,17,FALSE),""))</f>
        <v/>
      </c>
      <c r="M84" s="171" t="str">
        <f>IF(A84="","",IF(IFERROR(VLOOKUP(A84,Notes!A:B,2,FALSE),"")=0,"",VLOOKUP(A84,Notes!A:B,2,FALSE)))</f>
        <v/>
      </c>
    </row>
    <row r="85" spans="1:13" x14ac:dyDescent="0.25">
      <c r="A85" s="69"/>
      <c r="B85" s="73" t="str">
        <f>IF(A85="","",IFERROR(VLOOKUP(A85,'Job Operations'!$A$4:$AA$304,2,FALSE),""))</f>
        <v/>
      </c>
      <c r="C85" s="69" t="str">
        <f>IF(A85="","",IFERROR(VLOOKUP(A85,'Job Operations'!$A$4:$AA$304,3,FALSE),""))</f>
        <v/>
      </c>
      <c r="D85" s="69" t="str">
        <f>IF(A85="","",IFERROR(VLOOKUP(A85,'Job Operations'!$A$4:$AA$304,5,FALSE),""))</f>
        <v/>
      </c>
      <c r="E85" s="69" t="str">
        <f>IF(A85="","",IFERROR(VLOOKUP(A85,'Job Operations'!$A$4:$AA$304,6,FALSE),""))</f>
        <v/>
      </c>
      <c r="F85" s="69" t="str">
        <f>IF(A85="","",IFERROR(VLOOKUP(A85,'Job Operations'!$A$4:$AA$304,7,FALSE),""))</f>
        <v/>
      </c>
      <c r="G85" s="70" t="str">
        <f>IF(A85="","",IFERROR(VLOOKUP(A85,'Job Operations'!$A$4:$AA$304,9,FALSE),""))</f>
        <v/>
      </c>
      <c r="H85" s="69" t="str" cm="1">
        <f t="array" ref="H85">IF(A85="","",_xlfn.LET(_xlpm.stn,IFERROR(VLOOKUP(A85,'Job Operations'!$A$4:$AA$304,12,FALSE),""),IF(OR(_xlpm.stn="AXYZ Titans Line",_xlpm.stn="AXYZ 34"),_xlfn.LET(_xlpm.pos,SUMPRODUCT((A$7:A85&lt;&gt;"")*(IFERROR(VLOOKUP(A$7:A85,'Job Operations'!$A$4:$AA$304,12,FALSE),"")="AXYZ Titans Line")+(A$7:A85&lt;&gt;"")*(IFERROR(VLOOKUP(A$7:A85,'Job Operations'!$A$4:$AA$304,12,FALSE),"")="AXYZ 34")),_xlpm.sfx,IF(OR(_xlpm.pos=11,_xlpm.pos=12,_xlpm.pos=13),"th",IF(MOD(_xlpm.pos,10)=1,"st",IF(MOD(_xlpm.pos,10)=2,"nd",IF(MOD(_xlpm.pos,10)=3,"rd","th")))),_xlpm.pos&amp;_xlpm.sfx),IF(_xlpm.stn&lt;&gt;"",_xlpm.stn,""))))</f>
        <v/>
      </c>
      <c r="I85" s="67" t="str">
        <f t="shared" si="4"/>
        <v/>
      </c>
      <c r="J85" s="70" t="str">
        <f t="shared" si="5"/>
        <v/>
      </c>
      <c r="K85" s="69" t="str">
        <f>IF(A85="","",IFERROR(VLOOKUP(A85,'Job Operations'!$A$4:$AA$304,15,FALSE),""))</f>
        <v/>
      </c>
      <c r="L85" s="69" t="str">
        <f>IF(A85="","",IFERROR(VLOOKUP(A85,'Job Operations'!$A$4:$AA$304,17,FALSE),""))</f>
        <v/>
      </c>
      <c r="M85" s="171" t="str">
        <f>IF(A85="","",IF(IFERROR(VLOOKUP(A85,Notes!A:B,2,FALSE),"")=0,"",VLOOKUP(A85,Notes!A:B,2,FALSE)))</f>
        <v/>
      </c>
    </row>
    <row r="86" spans="1:13" x14ac:dyDescent="0.25">
      <c r="A86" s="69"/>
      <c r="B86" s="73" t="str">
        <f>IF(A86="","",IFERROR(VLOOKUP(A86,'Job Operations'!$A$4:$AA$304,2,FALSE),""))</f>
        <v/>
      </c>
      <c r="C86" s="69" t="str">
        <f>IF(A86="","",IFERROR(VLOOKUP(A86,'Job Operations'!$A$4:$AA$304,3,FALSE),""))</f>
        <v/>
      </c>
      <c r="D86" s="69" t="str">
        <f>IF(A86="","",IFERROR(VLOOKUP(A86,'Job Operations'!$A$4:$AA$304,5,FALSE),""))</f>
        <v/>
      </c>
      <c r="E86" s="69" t="str">
        <f>IF(A86="","",IFERROR(VLOOKUP(A86,'Job Operations'!$A$4:$AA$304,6,FALSE),""))</f>
        <v/>
      </c>
      <c r="F86" s="69" t="str">
        <f>IF(A86="","",IFERROR(VLOOKUP(A86,'Job Operations'!$A$4:$AA$304,7,FALSE),""))</f>
        <v/>
      </c>
      <c r="G86" s="70" t="str">
        <f>IF(A86="","",IFERROR(VLOOKUP(A86,'Job Operations'!$A$4:$AA$304,9,FALSE),""))</f>
        <v/>
      </c>
      <c r="H86" s="69" t="str" cm="1">
        <f t="array" ref="H86">IF(A86="","",_xlfn.LET(_xlpm.stn,IFERROR(VLOOKUP(A86,'Job Operations'!$A$4:$AA$304,12,FALSE),""),IF(OR(_xlpm.stn="AXYZ Titans Line",_xlpm.stn="AXYZ 34"),_xlfn.LET(_xlpm.pos,SUMPRODUCT((A$7:A86&lt;&gt;"")*(IFERROR(VLOOKUP(A$7:A86,'Job Operations'!$A$4:$AA$304,12,FALSE),"")="AXYZ Titans Line")+(A$7:A86&lt;&gt;"")*(IFERROR(VLOOKUP(A$7:A86,'Job Operations'!$A$4:$AA$304,12,FALSE),"")="AXYZ 34")),_xlpm.sfx,IF(OR(_xlpm.pos=11,_xlpm.pos=12,_xlpm.pos=13),"th",IF(MOD(_xlpm.pos,10)=1,"st",IF(MOD(_xlpm.pos,10)=2,"nd",IF(MOD(_xlpm.pos,10)=3,"rd","th")))),_xlpm.pos&amp;_xlpm.sfx),IF(_xlpm.stn&lt;&gt;"",_xlpm.stn,""))))</f>
        <v/>
      </c>
      <c r="I86" s="67" t="str">
        <f t="shared" si="4"/>
        <v/>
      </c>
      <c r="J86" s="70" t="str">
        <f t="shared" si="5"/>
        <v/>
      </c>
      <c r="K86" s="69" t="str">
        <f>IF(A86="","",IFERROR(VLOOKUP(A86,'Job Operations'!$A$4:$AA$304,15,FALSE),""))</f>
        <v/>
      </c>
      <c r="L86" s="69" t="str">
        <f>IF(A86="","",IFERROR(VLOOKUP(A86,'Job Operations'!$A$4:$AA$304,17,FALSE),""))</f>
        <v/>
      </c>
      <c r="M86" s="171" t="str">
        <f>IF(A86="","",IF(IFERROR(VLOOKUP(A86,Notes!A:B,2,FALSE),"")=0,"",VLOOKUP(A86,Notes!A:B,2,FALSE)))</f>
        <v/>
      </c>
    </row>
    <row r="87" spans="1:13" x14ac:dyDescent="0.25">
      <c r="A87" s="69"/>
      <c r="B87" s="73" t="str">
        <f>IF(A87="","",IFERROR(VLOOKUP(A87,'Job Operations'!$A$4:$AA$304,2,FALSE),""))</f>
        <v/>
      </c>
      <c r="C87" s="69" t="str">
        <f>IF(A87="","",IFERROR(VLOOKUP(A87,'Job Operations'!$A$4:$AA$304,3,FALSE),""))</f>
        <v/>
      </c>
      <c r="D87" s="69" t="str">
        <f>IF(A87="","",IFERROR(VLOOKUP(A87,'Job Operations'!$A$4:$AA$304,5,FALSE),""))</f>
        <v/>
      </c>
      <c r="E87" s="69" t="str">
        <f>IF(A87="","",IFERROR(VLOOKUP(A87,'Job Operations'!$A$4:$AA$304,6,FALSE),""))</f>
        <v/>
      </c>
      <c r="F87" s="69" t="str">
        <f>IF(A87="","",IFERROR(VLOOKUP(A87,'Job Operations'!$A$4:$AA$304,7,FALSE),""))</f>
        <v/>
      </c>
      <c r="G87" s="70" t="str">
        <f>IF(A87="","",IFERROR(VLOOKUP(A87,'Job Operations'!$A$4:$AA$304,9,FALSE),""))</f>
        <v/>
      </c>
      <c r="H87" s="69" t="str" cm="1">
        <f t="array" ref="H87">IF(A87="","",_xlfn.LET(_xlpm.stn,IFERROR(VLOOKUP(A87,'Job Operations'!$A$4:$AA$304,12,FALSE),""),IF(OR(_xlpm.stn="AXYZ Titans Line",_xlpm.stn="AXYZ 34"),_xlfn.LET(_xlpm.pos,SUMPRODUCT((A$7:A87&lt;&gt;"")*(IFERROR(VLOOKUP(A$7:A87,'Job Operations'!$A$4:$AA$304,12,FALSE),"")="AXYZ Titans Line")+(A$7:A87&lt;&gt;"")*(IFERROR(VLOOKUP(A$7:A87,'Job Operations'!$A$4:$AA$304,12,FALSE),"")="AXYZ 34")),_xlpm.sfx,IF(OR(_xlpm.pos=11,_xlpm.pos=12,_xlpm.pos=13),"th",IF(MOD(_xlpm.pos,10)=1,"st",IF(MOD(_xlpm.pos,10)=2,"nd",IF(MOD(_xlpm.pos,10)=3,"rd","th")))),_xlpm.pos&amp;_xlpm.sfx),IF(_xlpm.stn&lt;&gt;"",_xlpm.stn,""))))</f>
        <v/>
      </c>
      <c r="I87" s="67" t="str">
        <f t="shared" si="4"/>
        <v/>
      </c>
      <c r="J87" s="70" t="str">
        <f t="shared" si="5"/>
        <v/>
      </c>
      <c r="K87" s="69" t="str">
        <f>IF(A87="","",IFERROR(VLOOKUP(A87,'Job Operations'!$A$4:$AA$304,15,FALSE),""))</f>
        <v/>
      </c>
      <c r="L87" s="69" t="str">
        <f>IF(A87="","",IFERROR(VLOOKUP(A87,'Job Operations'!$A$4:$AA$304,17,FALSE),""))</f>
        <v/>
      </c>
      <c r="M87" s="171" t="str">
        <f>IF(A87="","",IF(IFERROR(VLOOKUP(A87,Notes!A:B,2,FALSE),"")=0,"",VLOOKUP(A87,Notes!A:B,2,FALSE)))</f>
        <v/>
      </c>
    </row>
    <row r="88" spans="1:13" x14ac:dyDescent="0.25">
      <c r="A88" s="69"/>
      <c r="B88" s="73" t="str">
        <f>IF(A88="","",IFERROR(VLOOKUP(A88,'Job Operations'!$A$4:$AA$304,2,FALSE),""))</f>
        <v/>
      </c>
      <c r="C88" s="69" t="str">
        <f>IF(A88="","",IFERROR(VLOOKUP(A88,'Job Operations'!$A$4:$AA$304,3,FALSE),""))</f>
        <v/>
      </c>
      <c r="D88" s="69" t="str">
        <f>IF(A88="","",IFERROR(VLOOKUP(A88,'Job Operations'!$A$4:$AA$304,5,FALSE),""))</f>
        <v/>
      </c>
      <c r="E88" s="69" t="str">
        <f>IF(A88="","",IFERROR(VLOOKUP(A88,'Job Operations'!$A$4:$AA$304,6,FALSE),""))</f>
        <v/>
      </c>
      <c r="F88" s="69" t="str">
        <f>IF(A88="","",IFERROR(VLOOKUP(A88,'Job Operations'!$A$4:$AA$304,7,FALSE),""))</f>
        <v/>
      </c>
      <c r="G88" s="70" t="str">
        <f>IF(A88="","",IFERROR(VLOOKUP(A88,'Job Operations'!$A$4:$AA$304,9,FALSE),""))</f>
        <v/>
      </c>
      <c r="H88" s="69" t="str" cm="1">
        <f t="array" ref="H88">IF(A88="","",_xlfn.LET(_xlpm.stn,IFERROR(VLOOKUP(A88,'Job Operations'!$A$4:$AA$304,12,FALSE),""),IF(OR(_xlpm.stn="AXYZ Titans Line",_xlpm.stn="AXYZ 34"),_xlfn.LET(_xlpm.pos,SUMPRODUCT((A$7:A88&lt;&gt;"")*(IFERROR(VLOOKUP(A$7:A88,'Job Operations'!$A$4:$AA$304,12,FALSE),"")="AXYZ Titans Line")+(A$7:A88&lt;&gt;"")*(IFERROR(VLOOKUP(A$7:A88,'Job Operations'!$A$4:$AA$304,12,FALSE),"")="AXYZ 34")),_xlpm.sfx,IF(OR(_xlpm.pos=11,_xlpm.pos=12,_xlpm.pos=13),"th",IF(MOD(_xlpm.pos,10)=1,"st",IF(MOD(_xlpm.pos,10)=2,"nd",IF(MOD(_xlpm.pos,10)=3,"rd","th")))),_xlpm.pos&amp;_xlpm.sfx),IF(_xlpm.stn&lt;&gt;"",_xlpm.stn,""))))</f>
        <v/>
      </c>
      <c r="I88" s="67" t="str">
        <f t="shared" si="4"/>
        <v/>
      </c>
      <c r="J88" s="70" t="str">
        <f t="shared" si="5"/>
        <v/>
      </c>
      <c r="K88" s="69" t="str">
        <f>IF(A88="","",IFERROR(VLOOKUP(A88,'Job Operations'!$A$4:$AA$304,15,FALSE),""))</f>
        <v/>
      </c>
      <c r="L88" s="69" t="str">
        <f>IF(A88="","",IFERROR(VLOOKUP(A88,'Job Operations'!$A$4:$AA$304,17,FALSE),""))</f>
        <v/>
      </c>
      <c r="M88" s="171" t="str">
        <f>IF(A88="","",IF(IFERROR(VLOOKUP(A88,Notes!A:B,2,FALSE),"")=0,"",VLOOKUP(A88,Notes!A:B,2,FALSE)))</f>
        <v/>
      </c>
    </row>
    <row r="89" spans="1:13" x14ac:dyDescent="0.25">
      <c r="A89" s="69"/>
      <c r="B89" s="73" t="str">
        <f>IF(A89="","",IFERROR(VLOOKUP(A89,'Job Operations'!$A$4:$AA$304,2,FALSE),""))</f>
        <v/>
      </c>
      <c r="C89" s="69" t="str">
        <f>IF(A89="","",IFERROR(VLOOKUP(A89,'Job Operations'!$A$4:$AA$304,3,FALSE),""))</f>
        <v/>
      </c>
      <c r="D89" s="69" t="str">
        <f>IF(A89="","",IFERROR(VLOOKUP(A89,'Job Operations'!$A$4:$AA$304,5,FALSE),""))</f>
        <v/>
      </c>
      <c r="E89" s="69" t="str">
        <f>IF(A89="","",IFERROR(VLOOKUP(A89,'Job Operations'!$A$4:$AA$304,6,FALSE),""))</f>
        <v/>
      </c>
      <c r="F89" s="69" t="str">
        <f>IF(A89="","",IFERROR(VLOOKUP(A89,'Job Operations'!$A$4:$AA$304,7,FALSE),""))</f>
        <v/>
      </c>
      <c r="G89" s="70" t="str">
        <f>IF(A89="","",IFERROR(VLOOKUP(A89,'Job Operations'!$A$4:$AA$304,9,FALSE),""))</f>
        <v/>
      </c>
      <c r="H89" s="69" t="str" cm="1">
        <f t="array" ref="H89">IF(A89="","",_xlfn.LET(_xlpm.stn,IFERROR(VLOOKUP(A89,'Job Operations'!$A$4:$AA$304,12,FALSE),""),IF(OR(_xlpm.stn="AXYZ Titans Line",_xlpm.stn="AXYZ 34"),_xlfn.LET(_xlpm.pos,SUMPRODUCT((A$7:A89&lt;&gt;"")*(IFERROR(VLOOKUP(A$7:A89,'Job Operations'!$A$4:$AA$304,12,FALSE),"")="AXYZ Titans Line")+(A$7:A89&lt;&gt;"")*(IFERROR(VLOOKUP(A$7:A89,'Job Operations'!$A$4:$AA$304,12,FALSE),"")="AXYZ 34")),_xlpm.sfx,IF(OR(_xlpm.pos=11,_xlpm.pos=12,_xlpm.pos=13),"th",IF(MOD(_xlpm.pos,10)=1,"st",IF(MOD(_xlpm.pos,10)=2,"nd",IF(MOD(_xlpm.pos,10)=3,"rd","th")))),_xlpm.pos&amp;_xlpm.sfx),IF(_xlpm.stn&lt;&gt;"",_xlpm.stn,""))))</f>
        <v/>
      </c>
      <c r="I89" s="67" t="str">
        <f t="shared" si="4"/>
        <v/>
      </c>
      <c r="J89" s="70" t="str">
        <f t="shared" si="5"/>
        <v/>
      </c>
      <c r="K89" s="69" t="str">
        <f>IF(A89="","",IFERROR(VLOOKUP(A89,'Job Operations'!$A$4:$AA$304,15,FALSE),""))</f>
        <v/>
      </c>
      <c r="L89" s="69" t="str">
        <f>IF(A89="","",IFERROR(VLOOKUP(A89,'Job Operations'!$A$4:$AA$304,17,FALSE),""))</f>
        <v/>
      </c>
      <c r="M89" s="171" t="str">
        <f>IF(A89="","",IF(IFERROR(VLOOKUP(A89,Notes!A:B,2,FALSE),"")=0,"",VLOOKUP(A89,Notes!A:B,2,FALSE)))</f>
        <v/>
      </c>
    </row>
    <row r="90" spans="1:13" x14ac:dyDescent="0.25">
      <c r="A90" s="69"/>
      <c r="B90" s="73" t="str">
        <f>IF(A90="","",IFERROR(VLOOKUP(A90,'Job Operations'!$A$4:$AA$304,2,FALSE),""))</f>
        <v/>
      </c>
      <c r="C90" s="69" t="str">
        <f>IF(A90="","",IFERROR(VLOOKUP(A90,'Job Operations'!$A$4:$AA$304,3,FALSE),""))</f>
        <v/>
      </c>
      <c r="D90" s="69" t="str">
        <f>IF(A90="","",IFERROR(VLOOKUP(A90,'Job Operations'!$A$4:$AA$304,5,FALSE),""))</f>
        <v/>
      </c>
      <c r="E90" s="69" t="str">
        <f>IF(A90="","",IFERROR(VLOOKUP(A90,'Job Operations'!$A$4:$AA$304,6,FALSE),""))</f>
        <v/>
      </c>
      <c r="F90" s="69" t="str">
        <f>IF(A90="","",IFERROR(VLOOKUP(A90,'Job Operations'!$A$4:$AA$304,7,FALSE),""))</f>
        <v/>
      </c>
      <c r="G90" s="70" t="str">
        <f>IF(A90="","",IFERROR(VLOOKUP(A90,'Job Operations'!$A$4:$AA$304,9,FALSE),""))</f>
        <v/>
      </c>
      <c r="H90" s="69" t="str" cm="1">
        <f t="array" ref="H90">IF(A90="","",_xlfn.LET(_xlpm.stn,IFERROR(VLOOKUP(A90,'Job Operations'!$A$4:$AA$304,12,FALSE),""),IF(OR(_xlpm.stn="AXYZ Titans Line",_xlpm.stn="AXYZ 34"),_xlfn.LET(_xlpm.pos,SUMPRODUCT((A$7:A90&lt;&gt;"")*(IFERROR(VLOOKUP(A$7:A90,'Job Operations'!$A$4:$AA$304,12,FALSE),"")="AXYZ Titans Line")+(A$7:A90&lt;&gt;"")*(IFERROR(VLOOKUP(A$7:A90,'Job Operations'!$A$4:$AA$304,12,FALSE),"")="AXYZ 34")),_xlpm.sfx,IF(OR(_xlpm.pos=11,_xlpm.pos=12,_xlpm.pos=13),"th",IF(MOD(_xlpm.pos,10)=1,"st",IF(MOD(_xlpm.pos,10)=2,"nd",IF(MOD(_xlpm.pos,10)=3,"rd","th")))),_xlpm.pos&amp;_xlpm.sfx),IF(_xlpm.stn&lt;&gt;"",_xlpm.stn,""))))</f>
        <v/>
      </c>
      <c r="I90" s="67" t="str">
        <f t="shared" si="4"/>
        <v/>
      </c>
      <c r="J90" s="70" t="str">
        <f t="shared" si="5"/>
        <v/>
      </c>
      <c r="K90" s="69" t="str">
        <f>IF(A90="","",IFERROR(VLOOKUP(A90,'Job Operations'!$A$4:$AA$304,15,FALSE),""))</f>
        <v/>
      </c>
      <c r="L90" s="69" t="str">
        <f>IF(A90="","",IFERROR(VLOOKUP(A90,'Job Operations'!$A$4:$AA$304,17,FALSE),""))</f>
        <v/>
      </c>
      <c r="M90" s="171" t="str">
        <f>IF(A90="","",IF(IFERROR(VLOOKUP(A90,Notes!A:B,2,FALSE),"")=0,"",VLOOKUP(A90,Notes!A:B,2,FALSE)))</f>
        <v/>
      </c>
    </row>
    <row r="91" spans="1:13" x14ac:dyDescent="0.25">
      <c r="A91" s="69"/>
      <c r="B91" s="73" t="str">
        <f>IF(A91="","",IFERROR(VLOOKUP(A91,'Job Operations'!$A$4:$AA$304,2,FALSE),""))</f>
        <v/>
      </c>
      <c r="C91" s="69" t="str">
        <f>IF(A91="","",IFERROR(VLOOKUP(A91,'Job Operations'!$A$4:$AA$304,3,FALSE),""))</f>
        <v/>
      </c>
      <c r="D91" s="69" t="str">
        <f>IF(A91="","",IFERROR(VLOOKUP(A91,'Job Operations'!$A$4:$AA$304,5,FALSE),""))</f>
        <v/>
      </c>
      <c r="E91" s="69" t="str">
        <f>IF(A91="","",IFERROR(VLOOKUP(A91,'Job Operations'!$A$4:$AA$304,6,FALSE),""))</f>
        <v/>
      </c>
      <c r="F91" s="69" t="str">
        <f>IF(A91="","",IFERROR(VLOOKUP(A91,'Job Operations'!$A$4:$AA$304,7,FALSE),""))</f>
        <v/>
      </c>
      <c r="G91" s="70" t="str">
        <f>IF(A91="","",IFERROR(VLOOKUP(A91,'Job Operations'!$A$4:$AA$304,9,FALSE),""))</f>
        <v/>
      </c>
      <c r="H91" s="69" t="str" cm="1">
        <f t="array" ref="H91">IF(A91="","",_xlfn.LET(_xlpm.stn,IFERROR(VLOOKUP(A91,'Job Operations'!$A$4:$AA$304,12,FALSE),""),IF(OR(_xlpm.stn="AXYZ Titans Line",_xlpm.stn="AXYZ 34"),_xlfn.LET(_xlpm.pos,SUMPRODUCT((A$7:A91&lt;&gt;"")*(IFERROR(VLOOKUP(A$7:A91,'Job Operations'!$A$4:$AA$304,12,FALSE),"")="AXYZ Titans Line")+(A$7:A91&lt;&gt;"")*(IFERROR(VLOOKUP(A$7:A91,'Job Operations'!$A$4:$AA$304,12,FALSE),"")="AXYZ 34")),_xlpm.sfx,IF(OR(_xlpm.pos=11,_xlpm.pos=12,_xlpm.pos=13),"th",IF(MOD(_xlpm.pos,10)=1,"st",IF(MOD(_xlpm.pos,10)=2,"nd",IF(MOD(_xlpm.pos,10)=3,"rd","th")))),_xlpm.pos&amp;_xlpm.sfx),IF(_xlpm.stn&lt;&gt;"",_xlpm.stn,""))))</f>
        <v/>
      </c>
      <c r="I91" s="67" t="str">
        <f t="shared" si="4"/>
        <v/>
      </c>
      <c r="J91" s="70" t="str">
        <f t="shared" si="5"/>
        <v/>
      </c>
      <c r="K91" s="69" t="str">
        <f>IF(A91="","",IFERROR(VLOOKUP(A91,'Job Operations'!$A$4:$AA$304,15,FALSE),""))</f>
        <v/>
      </c>
      <c r="L91" s="69" t="str">
        <f>IF(A91="","",IFERROR(VLOOKUP(A91,'Job Operations'!$A$4:$AA$304,17,FALSE),""))</f>
        <v/>
      </c>
      <c r="M91" s="171" t="str">
        <f>IF(A91="","",IF(IFERROR(VLOOKUP(A91,Notes!A:B,2,FALSE),"")=0,"",VLOOKUP(A91,Notes!A:B,2,FALSE)))</f>
        <v/>
      </c>
    </row>
    <row r="92" spans="1:13" x14ac:dyDescent="0.25">
      <c r="A92" s="69"/>
      <c r="B92" s="73" t="str">
        <f>IF(A92="","",IFERROR(VLOOKUP(A92,'Job Operations'!$A$4:$AA$304,2,FALSE),""))</f>
        <v/>
      </c>
      <c r="C92" s="69" t="str">
        <f>IF(A92="","",IFERROR(VLOOKUP(A92,'Job Operations'!$A$4:$AA$304,3,FALSE),""))</f>
        <v/>
      </c>
      <c r="D92" s="69" t="str">
        <f>IF(A92="","",IFERROR(VLOOKUP(A92,'Job Operations'!$A$4:$AA$304,5,FALSE),""))</f>
        <v/>
      </c>
      <c r="E92" s="69" t="str">
        <f>IF(A92="","",IFERROR(VLOOKUP(A92,'Job Operations'!$A$4:$AA$304,6,FALSE),""))</f>
        <v/>
      </c>
      <c r="F92" s="69" t="str">
        <f>IF(A92="","",IFERROR(VLOOKUP(A92,'Job Operations'!$A$4:$AA$304,7,FALSE),""))</f>
        <v/>
      </c>
      <c r="G92" s="70" t="str">
        <f>IF(A92="","",IFERROR(VLOOKUP(A92,'Job Operations'!$A$4:$AA$304,9,FALSE),""))</f>
        <v/>
      </c>
      <c r="H92" s="69" t="str" cm="1">
        <f t="array" ref="H92">IF(A92="","",_xlfn.LET(_xlpm.stn,IFERROR(VLOOKUP(A92,'Job Operations'!$A$4:$AA$304,12,FALSE),""),IF(OR(_xlpm.stn="AXYZ Titans Line",_xlpm.stn="AXYZ 34"),_xlfn.LET(_xlpm.pos,SUMPRODUCT((A$7:A92&lt;&gt;"")*(IFERROR(VLOOKUP(A$7:A92,'Job Operations'!$A$4:$AA$304,12,FALSE),"")="AXYZ Titans Line")+(A$7:A92&lt;&gt;"")*(IFERROR(VLOOKUP(A$7:A92,'Job Operations'!$A$4:$AA$304,12,FALSE),"")="AXYZ 34")),_xlpm.sfx,IF(OR(_xlpm.pos=11,_xlpm.pos=12,_xlpm.pos=13),"th",IF(MOD(_xlpm.pos,10)=1,"st",IF(MOD(_xlpm.pos,10)=2,"nd",IF(MOD(_xlpm.pos,10)=3,"rd","th")))),_xlpm.pos&amp;_xlpm.sfx),IF(_xlpm.stn&lt;&gt;"",_xlpm.stn,""))))</f>
        <v/>
      </c>
      <c r="I92" s="67" t="str">
        <f t="shared" si="4"/>
        <v/>
      </c>
      <c r="J92" s="70" t="str">
        <f t="shared" si="5"/>
        <v/>
      </c>
      <c r="K92" s="69" t="str">
        <f>IF(A92="","",IFERROR(VLOOKUP(A92,'Job Operations'!$A$4:$AA$304,15,FALSE),""))</f>
        <v/>
      </c>
      <c r="L92" s="69" t="str">
        <f>IF(A92="","",IFERROR(VLOOKUP(A92,'Job Operations'!$A$4:$AA$304,17,FALSE),""))</f>
        <v/>
      </c>
      <c r="M92" s="171" t="str">
        <f>IF(A92="","",IF(IFERROR(VLOOKUP(A92,Notes!A:B,2,FALSE),"")=0,"",VLOOKUP(A92,Notes!A:B,2,FALSE)))</f>
        <v/>
      </c>
    </row>
    <row r="93" spans="1:13" x14ac:dyDescent="0.25">
      <c r="A93" s="69"/>
      <c r="B93" s="73" t="str">
        <f>IF(A93="","",IFERROR(VLOOKUP(A93,'Job Operations'!$A$4:$AA$304,2,FALSE),""))</f>
        <v/>
      </c>
      <c r="C93" s="69" t="str">
        <f>IF(A93="","",IFERROR(VLOOKUP(A93,'Job Operations'!$A$4:$AA$304,3,FALSE),""))</f>
        <v/>
      </c>
      <c r="D93" s="69" t="str">
        <f>IF(A93="","",IFERROR(VLOOKUP(A93,'Job Operations'!$A$4:$AA$304,5,FALSE),""))</f>
        <v/>
      </c>
      <c r="E93" s="69" t="str">
        <f>IF(A93="","",IFERROR(VLOOKUP(A93,'Job Operations'!$A$4:$AA$304,6,FALSE),""))</f>
        <v/>
      </c>
      <c r="F93" s="69" t="str">
        <f>IF(A93="","",IFERROR(VLOOKUP(A93,'Job Operations'!$A$4:$AA$304,7,FALSE),""))</f>
        <v/>
      </c>
      <c r="G93" s="70" t="str">
        <f>IF(A93="","",IFERROR(VLOOKUP(A93,'Job Operations'!$A$4:$AA$304,9,FALSE),""))</f>
        <v/>
      </c>
      <c r="H93" s="69" t="str" cm="1">
        <f t="array" ref="H93">IF(A93="","",_xlfn.LET(_xlpm.stn,IFERROR(VLOOKUP(A93,'Job Operations'!$A$4:$AA$304,12,FALSE),""),IF(OR(_xlpm.stn="AXYZ Titans Line",_xlpm.stn="AXYZ 34"),_xlfn.LET(_xlpm.pos,SUMPRODUCT((A$7:A93&lt;&gt;"")*(IFERROR(VLOOKUP(A$7:A93,'Job Operations'!$A$4:$AA$304,12,FALSE),"")="AXYZ Titans Line")+(A$7:A93&lt;&gt;"")*(IFERROR(VLOOKUP(A$7:A93,'Job Operations'!$A$4:$AA$304,12,FALSE),"")="AXYZ 34")),_xlpm.sfx,IF(OR(_xlpm.pos=11,_xlpm.pos=12,_xlpm.pos=13),"th",IF(MOD(_xlpm.pos,10)=1,"st",IF(MOD(_xlpm.pos,10)=2,"nd",IF(MOD(_xlpm.pos,10)=3,"rd","th")))),_xlpm.pos&amp;_xlpm.sfx),IF(_xlpm.stn&lt;&gt;"",_xlpm.stn,""))))</f>
        <v/>
      </c>
      <c r="I93" s="67" t="str">
        <f t="shared" si="4"/>
        <v/>
      </c>
      <c r="J93" s="70" t="str">
        <f t="shared" si="5"/>
        <v/>
      </c>
      <c r="K93" s="69" t="str">
        <f>IF(A93="","",IFERROR(VLOOKUP(A93,'Job Operations'!$A$4:$AA$304,15,FALSE),""))</f>
        <v/>
      </c>
      <c r="L93" s="69" t="str">
        <f>IF(A93="","",IFERROR(VLOOKUP(A93,'Job Operations'!$A$4:$AA$304,17,FALSE),""))</f>
        <v/>
      </c>
      <c r="M93" s="171" t="str">
        <f>IF(A93="","",IF(IFERROR(VLOOKUP(A93,Notes!A:B,2,FALSE),"")=0,"",VLOOKUP(A93,Notes!A:B,2,FALSE)))</f>
        <v/>
      </c>
    </row>
    <row r="94" spans="1:13" x14ac:dyDescent="0.25">
      <c r="A94" s="69"/>
      <c r="B94" s="73" t="str">
        <f>IF(A94="","",IFERROR(VLOOKUP(A94,'Job Operations'!$A$4:$AA$304,2,FALSE),""))</f>
        <v/>
      </c>
      <c r="C94" s="69" t="str">
        <f>IF(A94="","",IFERROR(VLOOKUP(A94,'Job Operations'!$A$4:$AA$304,3,FALSE),""))</f>
        <v/>
      </c>
      <c r="D94" s="69" t="str">
        <f>IF(A94="","",IFERROR(VLOOKUP(A94,'Job Operations'!$A$4:$AA$304,5,FALSE),""))</f>
        <v/>
      </c>
      <c r="E94" s="69" t="str">
        <f>IF(A94="","",IFERROR(VLOOKUP(A94,'Job Operations'!$A$4:$AA$304,6,FALSE),""))</f>
        <v/>
      </c>
      <c r="F94" s="69" t="str">
        <f>IF(A94="","",IFERROR(VLOOKUP(A94,'Job Operations'!$A$4:$AA$304,7,FALSE),""))</f>
        <v/>
      </c>
      <c r="G94" s="70" t="str">
        <f>IF(A94="","",IFERROR(VLOOKUP(A94,'Job Operations'!$A$4:$AA$304,9,FALSE),""))</f>
        <v/>
      </c>
      <c r="H94" s="69" t="str" cm="1">
        <f t="array" ref="H94">IF(A94="","",_xlfn.LET(_xlpm.stn,IFERROR(VLOOKUP(A94,'Job Operations'!$A$4:$AA$304,12,FALSE),""),IF(OR(_xlpm.stn="AXYZ Titans Line",_xlpm.stn="AXYZ 34"),_xlfn.LET(_xlpm.pos,SUMPRODUCT((A$7:A94&lt;&gt;"")*(IFERROR(VLOOKUP(A$7:A94,'Job Operations'!$A$4:$AA$304,12,FALSE),"")="AXYZ Titans Line")+(A$7:A94&lt;&gt;"")*(IFERROR(VLOOKUP(A$7:A94,'Job Operations'!$A$4:$AA$304,12,FALSE),"")="AXYZ 34")),_xlpm.sfx,IF(OR(_xlpm.pos=11,_xlpm.pos=12,_xlpm.pos=13),"th",IF(MOD(_xlpm.pos,10)=1,"st",IF(MOD(_xlpm.pos,10)=2,"nd",IF(MOD(_xlpm.pos,10)=3,"rd","th")))),_xlpm.pos&amp;_xlpm.sfx),IF(_xlpm.stn&lt;&gt;"",_xlpm.stn,""))))</f>
        <v/>
      </c>
      <c r="I94" s="67" t="str">
        <f t="shared" si="4"/>
        <v/>
      </c>
      <c r="J94" s="70" t="str">
        <f t="shared" si="5"/>
        <v/>
      </c>
      <c r="K94" s="69" t="str">
        <f>IF(A94="","",IFERROR(VLOOKUP(A94,'Job Operations'!$A$4:$AA$304,15,FALSE),""))</f>
        <v/>
      </c>
      <c r="L94" s="69" t="str">
        <f>IF(A94="","",IFERROR(VLOOKUP(A94,'Job Operations'!$A$4:$AA$304,17,FALSE),""))</f>
        <v/>
      </c>
      <c r="M94" s="171" t="str">
        <f>IF(A94="","",IF(IFERROR(VLOOKUP(A94,Notes!A:B,2,FALSE),"")=0,"",VLOOKUP(A94,Notes!A:B,2,FALSE)))</f>
        <v/>
      </c>
    </row>
    <row r="95" spans="1:13" x14ac:dyDescent="0.25">
      <c r="A95" s="69"/>
      <c r="B95" s="73" t="str">
        <f>IF(A95="","",IFERROR(VLOOKUP(A95,'Job Operations'!$A$4:$AA$304,2,FALSE),""))</f>
        <v/>
      </c>
      <c r="C95" s="69" t="str">
        <f>IF(A95="","",IFERROR(VLOOKUP(A95,'Job Operations'!$A$4:$AA$304,3,FALSE),""))</f>
        <v/>
      </c>
      <c r="D95" s="69" t="str">
        <f>IF(A95="","",IFERROR(VLOOKUP(A95,'Job Operations'!$A$4:$AA$304,5,FALSE),""))</f>
        <v/>
      </c>
      <c r="E95" s="69" t="str">
        <f>IF(A95="","",IFERROR(VLOOKUP(A95,'Job Operations'!$A$4:$AA$304,6,FALSE),""))</f>
        <v/>
      </c>
      <c r="F95" s="69" t="str">
        <f>IF(A95="","",IFERROR(VLOOKUP(A95,'Job Operations'!$A$4:$AA$304,7,FALSE),""))</f>
        <v/>
      </c>
      <c r="G95" s="70" t="str">
        <f>IF(A95="","",IFERROR(VLOOKUP(A95,'Job Operations'!$A$4:$AA$304,9,FALSE),""))</f>
        <v/>
      </c>
      <c r="H95" s="69" t="str" cm="1">
        <f t="array" ref="H95">IF(A95="","",_xlfn.LET(_xlpm.stn,IFERROR(VLOOKUP(A95,'Job Operations'!$A$4:$AA$304,12,FALSE),""),IF(OR(_xlpm.stn="AXYZ Titans Line",_xlpm.stn="AXYZ 34"),_xlfn.LET(_xlpm.pos,SUMPRODUCT((A$7:A95&lt;&gt;"")*(IFERROR(VLOOKUP(A$7:A95,'Job Operations'!$A$4:$AA$304,12,FALSE),"")="AXYZ Titans Line")+(A$7:A95&lt;&gt;"")*(IFERROR(VLOOKUP(A$7:A95,'Job Operations'!$A$4:$AA$304,12,FALSE),"")="AXYZ 34")),_xlpm.sfx,IF(OR(_xlpm.pos=11,_xlpm.pos=12,_xlpm.pos=13),"th",IF(MOD(_xlpm.pos,10)=1,"st",IF(MOD(_xlpm.pos,10)=2,"nd",IF(MOD(_xlpm.pos,10)=3,"rd","th")))),_xlpm.pos&amp;_xlpm.sfx),IF(_xlpm.stn&lt;&gt;"",_xlpm.stn,""))))</f>
        <v/>
      </c>
      <c r="I95" s="67" t="str">
        <f t="shared" si="4"/>
        <v/>
      </c>
      <c r="J95" s="70" t="str">
        <f t="shared" si="5"/>
        <v/>
      </c>
      <c r="K95" s="69" t="str">
        <f>IF(A95="","",IFERROR(VLOOKUP(A95,'Job Operations'!$A$4:$AA$304,15,FALSE),""))</f>
        <v/>
      </c>
      <c r="L95" s="69" t="str">
        <f>IF(A95="","",IFERROR(VLOOKUP(A95,'Job Operations'!$A$4:$AA$304,17,FALSE),""))</f>
        <v/>
      </c>
      <c r="M95" s="171" t="str">
        <f>IF(A95="","",IF(IFERROR(VLOOKUP(A95,Notes!A:B,2,FALSE),"")=0,"",VLOOKUP(A95,Notes!A:B,2,FALSE)))</f>
        <v/>
      </c>
    </row>
    <row r="96" spans="1:13" x14ac:dyDescent="0.25">
      <c r="A96" s="69"/>
      <c r="B96" s="73" t="str">
        <f>IF(A96="","",IFERROR(VLOOKUP(A96,'Job Operations'!$A$4:$AA$304,2,FALSE),""))</f>
        <v/>
      </c>
      <c r="C96" s="69" t="str">
        <f>IF(A96="","",IFERROR(VLOOKUP(A96,'Job Operations'!$A$4:$AA$304,3,FALSE),""))</f>
        <v/>
      </c>
      <c r="D96" s="69" t="str">
        <f>IF(A96="","",IFERROR(VLOOKUP(A96,'Job Operations'!$A$4:$AA$304,5,FALSE),""))</f>
        <v/>
      </c>
      <c r="E96" s="69" t="str">
        <f>IF(A96="","",IFERROR(VLOOKUP(A96,'Job Operations'!$A$4:$AA$304,6,FALSE),""))</f>
        <v/>
      </c>
      <c r="F96" s="69" t="str">
        <f>IF(A96="","",IFERROR(VLOOKUP(A96,'Job Operations'!$A$4:$AA$304,7,FALSE),""))</f>
        <v/>
      </c>
      <c r="G96" s="70" t="str">
        <f>IF(A96="","",IFERROR(VLOOKUP(A96,'Job Operations'!$A$4:$AA$304,9,FALSE),""))</f>
        <v/>
      </c>
      <c r="H96" s="69" t="str" cm="1">
        <f t="array" ref="H96">IF(A96="","",_xlfn.LET(_xlpm.stn,IFERROR(VLOOKUP(A96,'Job Operations'!$A$4:$AA$304,12,FALSE),""),IF(OR(_xlpm.stn="AXYZ Titans Line",_xlpm.stn="AXYZ 34"),_xlfn.LET(_xlpm.pos,SUMPRODUCT((A$7:A96&lt;&gt;"")*(IFERROR(VLOOKUP(A$7:A96,'Job Operations'!$A$4:$AA$304,12,FALSE),"")="AXYZ Titans Line")+(A$7:A96&lt;&gt;"")*(IFERROR(VLOOKUP(A$7:A96,'Job Operations'!$A$4:$AA$304,12,FALSE),"")="AXYZ 34")),_xlpm.sfx,IF(OR(_xlpm.pos=11,_xlpm.pos=12,_xlpm.pos=13),"th",IF(MOD(_xlpm.pos,10)=1,"st",IF(MOD(_xlpm.pos,10)=2,"nd",IF(MOD(_xlpm.pos,10)=3,"rd","th")))),_xlpm.pos&amp;_xlpm.sfx),IF(_xlpm.stn&lt;&gt;"",_xlpm.stn,""))))</f>
        <v/>
      </c>
      <c r="I96" s="67" t="str">
        <f t="shared" si="4"/>
        <v/>
      </c>
      <c r="J96" s="70" t="str">
        <f t="shared" si="5"/>
        <v/>
      </c>
      <c r="K96" s="69" t="str">
        <f>IF(A96="","",IFERROR(VLOOKUP(A96,'Job Operations'!$A$4:$AA$304,15,FALSE),""))</f>
        <v/>
      </c>
      <c r="L96" s="69" t="str">
        <f>IF(A96="","",IFERROR(VLOOKUP(A96,'Job Operations'!$A$4:$AA$304,17,FALSE),""))</f>
        <v/>
      </c>
      <c r="M96" s="171" t="str">
        <f>IF(A96="","",IF(IFERROR(VLOOKUP(A96,Notes!A:B,2,FALSE),"")=0,"",VLOOKUP(A96,Notes!A:B,2,FALSE)))</f>
        <v/>
      </c>
    </row>
    <row r="97" spans="1:13" x14ac:dyDescent="0.25">
      <c r="A97" s="69"/>
      <c r="B97" s="73" t="str">
        <f>IF(A97="","",IFERROR(VLOOKUP(A97,'Job Operations'!$A$4:$AA$304,2,FALSE),""))</f>
        <v/>
      </c>
      <c r="C97" s="69" t="str">
        <f>IF(A97="","",IFERROR(VLOOKUP(A97,'Job Operations'!$A$4:$AA$304,3,FALSE),""))</f>
        <v/>
      </c>
      <c r="D97" s="69" t="str">
        <f>IF(A97="","",IFERROR(VLOOKUP(A97,'Job Operations'!$A$4:$AA$304,5,FALSE),""))</f>
        <v/>
      </c>
      <c r="E97" s="69" t="str">
        <f>IF(A97="","",IFERROR(VLOOKUP(A97,'Job Operations'!$A$4:$AA$304,6,FALSE),""))</f>
        <v/>
      </c>
      <c r="F97" s="69" t="str">
        <f>IF(A97="","",IFERROR(VLOOKUP(A97,'Job Operations'!$A$4:$AA$304,7,FALSE),""))</f>
        <v/>
      </c>
      <c r="G97" s="70" t="str">
        <f>IF(A97="","",IFERROR(VLOOKUP(A97,'Job Operations'!$A$4:$AA$304,9,FALSE),""))</f>
        <v/>
      </c>
      <c r="H97" s="69" t="str" cm="1">
        <f t="array" ref="H97">IF(A97="","",_xlfn.LET(_xlpm.stn,IFERROR(VLOOKUP(A97,'Job Operations'!$A$4:$AA$304,12,FALSE),""),IF(OR(_xlpm.stn="AXYZ Titans Line",_xlpm.stn="AXYZ 34"),_xlfn.LET(_xlpm.pos,SUMPRODUCT((A$7:A97&lt;&gt;"")*(IFERROR(VLOOKUP(A$7:A97,'Job Operations'!$A$4:$AA$304,12,FALSE),"")="AXYZ Titans Line")+(A$7:A97&lt;&gt;"")*(IFERROR(VLOOKUP(A$7:A97,'Job Operations'!$A$4:$AA$304,12,FALSE),"")="AXYZ 34")),_xlpm.sfx,IF(OR(_xlpm.pos=11,_xlpm.pos=12,_xlpm.pos=13),"th",IF(MOD(_xlpm.pos,10)=1,"st",IF(MOD(_xlpm.pos,10)=2,"nd",IF(MOD(_xlpm.pos,10)=3,"rd","th")))),_xlpm.pos&amp;_xlpm.sfx),IF(_xlpm.stn&lt;&gt;"",_xlpm.stn,""))))</f>
        <v/>
      </c>
      <c r="I97" s="67" t="str">
        <f t="shared" si="4"/>
        <v/>
      </c>
      <c r="J97" s="70" t="str">
        <f t="shared" si="5"/>
        <v/>
      </c>
      <c r="K97" s="69" t="str">
        <f>IF(A97="","",IFERROR(VLOOKUP(A97,'Job Operations'!$A$4:$AA$304,15,FALSE),""))</f>
        <v/>
      </c>
      <c r="L97" s="69" t="str">
        <f>IF(A97="","",IFERROR(VLOOKUP(A97,'Job Operations'!$A$4:$AA$304,17,FALSE),""))</f>
        <v/>
      </c>
      <c r="M97" s="171" t="str">
        <f>IF(A97="","",IF(IFERROR(VLOOKUP(A97,Notes!A:B,2,FALSE),"")=0,"",VLOOKUP(A97,Notes!A:B,2,FALSE)))</f>
        <v/>
      </c>
    </row>
    <row r="98" spans="1:13" x14ac:dyDescent="0.25">
      <c r="A98" s="69"/>
      <c r="B98" s="73" t="str">
        <f>IF(A98="","",IFERROR(VLOOKUP(A98,'Job Operations'!$A$4:$AA$304,2,FALSE),""))</f>
        <v/>
      </c>
      <c r="C98" s="69" t="str">
        <f>IF(A98="","",IFERROR(VLOOKUP(A98,'Job Operations'!$A$4:$AA$304,3,FALSE),""))</f>
        <v/>
      </c>
      <c r="D98" s="69" t="str">
        <f>IF(A98="","",IFERROR(VLOOKUP(A98,'Job Operations'!$A$4:$AA$304,5,FALSE),""))</f>
        <v/>
      </c>
      <c r="E98" s="69" t="str">
        <f>IF(A98="","",IFERROR(VLOOKUP(A98,'Job Operations'!$A$4:$AA$304,6,FALSE),""))</f>
        <v/>
      </c>
      <c r="F98" s="69" t="str">
        <f>IF(A98="","",IFERROR(VLOOKUP(A98,'Job Operations'!$A$4:$AA$304,7,FALSE),""))</f>
        <v/>
      </c>
      <c r="G98" s="70" t="str">
        <f>IF(A98="","",IFERROR(VLOOKUP(A98,'Job Operations'!$A$4:$AA$304,9,FALSE),""))</f>
        <v/>
      </c>
      <c r="H98" s="69" t="str" cm="1">
        <f t="array" ref="H98">IF(A98="","",_xlfn.LET(_xlpm.stn,IFERROR(VLOOKUP(A98,'Job Operations'!$A$4:$AA$304,12,FALSE),""),IF(OR(_xlpm.stn="AXYZ Titans Line",_xlpm.stn="AXYZ 34"),_xlfn.LET(_xlpm.pos,SUMPRODUCT((A$7:A98&lt;&gt;"")*(IFERROR(VLOOKUP(A$7:A98,'Job Operations'!$A$4:$AA$304,12,FALSE),"")="AXYZ Titans Line")+(A$7:A98&lt;&gt;"")*(IFERROR(VLOOKUP(A$7:A98,'Job Operations'!$A$4:$AA$304,12,FALSE),"")="AXYZ 34")),_xlpm.sfx,IF(OR(_xlpm.pos=11,_xlpm.pos=12,_xlpm.pos=13),"th",IF(MOD(_xlpm.pos,10)=1,"st",IF(MOD(_xlpm.pos,10)=2,"nd",IF(MOD(_xlpm.pos,10)=3,"rd","th")))),_xlpm.pos&amp;_xlpm.sfx),IF(_xlpm.stn&lt;&gt;"",_xlpm.stn,""))))</f>
        <v/>
      </c>
      <c r="I98" s="67" t="str">
        <f t="shared" si="4"/>
        <v/>
      </c>
      <c r="J98" s="70" t="str">
        <f t="shared" si="5"/>
        <v/>
      </c>
      <c r="K98" s="69" t="str">
        <f>IF(A98="","",IFERROR(VLOOKUP(A98,'Job Operations'!$A$4:$AA$304,15,FALSE),""))</f>
        <v/>
      </c>
      <c r="L98" s="69" t="str">
        <f>IF(A98="","",IFERROR(VLOOKUP(A98,'Job Operations'!$A$4:$AA$304,17,FALSE),""))</f>
        <v/>
      </c>
      <c r="M98" s="171" t="str">
        <f>IF(A98="","",IF(IFERROR(VLOOKUP(A98,Notes!A:B,2,FALSE),"")=0,"",VLOOKUP(A98,Notes!A:B,2,FALSE)))</f>
        <v/>
      </c>
    </row>
    <row r="99" spans="1:13" x14ac:dyDescent="0.25">
      <c r="A99" s="69"/>
      <c r="B99" s="73" t="str">
        <f>IF(A99="","",IFERROR(VLOOKUP(A99,'Job Operations'!$A$4:$AA$304,2,FALSE),""))</f>
        <v/>
      </c>
      <c r="C99" s="69" t="str">
        <f>IF(A99="","",IFERROR(VLOOKUP(A99,'Job Operations'!$A$4:$AA$304,3,FALSE),""))</f>
        <v/>
      </c>
      <c r="D99" s="69" t="str">
        <f>IF(A99="","",IFERROR(VLOOKUP(A99,'Job Operations'!$A$4:$AA$304,5,FALSE),""))</f>
        <v/>
      </c>
      <c r="E99" s="69" t="str">
        <f>IF(A99="","",IFERROR(VLOOKUP(A99,'Job Operations'!$A$4:$AA$304,6,FALSE),""))</f>
        <v/>
      </c>
      <c r="F99" s="69" t="str">
        <f>IF(A99="","",IFERROR(VLOOKUP(A99,'Job Operations'!$A$4:$AA$304,7,FALSE),""))</f>
        <v/>
      </c>
      <c r="G99" s="70" t="str">
        <f>IF(A99="","",IFERROR(VLOOKUP(A99,'Job Operations'!$A$4:$AA$304,9,FALSE),""))</f>
        <v/>
      </c>
      <c r="H99" s="69" t="str" cm="1">
        <f t="array" ref="H99">IF(A99="","",_xlfn.LET(_xlpm.stn,IFERROR(VLOOKUP(A99,'Job Operations'!$A$4:$AA$304,12,FALSE),""),IF(OR(_xlpm.stn="AXYZ Titans Line",_xlpm.stn="AXYZ 34"),_xlfn.LET(_xlpm.pos,SUMPRODUCT((A$7:A99&lt;&gt;"")*(IFERROR(VLOOKUP(A$7:A99,'Job Operations'!$A$4:$AA$304,12,FALSE),"")="AXYZ Titans Line")+(A$7:A99&lt;&gt;"")*(IFERROR(VLOOKUP(A$7:A99,'Job Operations'!$A$4:$AA$304,12,FALSE),"")="AXYZ 34")),_xlpm.sfx,IF(OR(_xlpm.pos=11,_xlpm.pos=12,_xlpm.pos=13),"th",IF(MOD(_xlpm.pos,10)=1,"st",IF(MOD(_xlpm.pos,10)=2,"nd",IF(MOD(_xlpm.pos,10)=3,"rd","th")))),_xlpm.pos&amp;_xlpm.sfx),IF(_xlpm.stn&lt;&gt;"",_xlpm.stn,""))))</f>
        <v/>
      </c>
      <c r="I99" s="67" t="str">
        <f t="shared" si="4"/>
        <v/>
      </c>
      <c r="J99" s="70" t="str">
        <f t="shared" si="5"/>
        <v/>
      </c>
      <c r="K99" s="69" t="str">
        <f>IF(A99="","",IFERROR(VLOOKUP(A99,'Job Operations'!$A$4:$AA$304,15,FALSE),""))</f>
        <v/>
      </c>
      <c r="L99" s="69" t="str">
        <f>IF(A99="","",IFERROR(VLOOKUP(A99,'Job Operations'!$A$4:$AA$304,17,FALSE),""))</f>
        <v/>
      </c>
      <c r="M99" s="171" t="str">
        <f>IF(A99="","",IF(IFERROR(VLOOKUP(A99,Notes!A:B,2,FALSE),"")=0,"",VLOOKUP(A99,Notes!A:B,2,FALSE)))</f>
        <v/>
      </c>
    </row>
    <row r="100" spans="1:13" x14ac:dyDescent="0.25">
      <c r="A100" s="71"/>
      <c r="B100" s="74" t="str">
        <f>IF(A100="","",IFERROR(VLOOKUP(A100,'Job Operations'!$A$4:$AA$304,2,FALSE),""))</f>
        <v/>
      </c>
      <c r="C100" s="71" t="str">
        <f>IF(A100="","",IFERROR(VLOOKUP(A100,'Job Operations'!$A$4:$AA$304,3,FALSE),""))</f>
        <v/>
      </c>
      <c r="D100" s="71" t="str">
        <f>IF(A100="","",IFERROR(VLOOKUP(A100,'Job Operations'!$A$4:$AA$304,5,FALSE),""))</f>
        <v/>
      </c>
      <c r="E100" s="71" t="str">
        <f>IF(A100="","",IFERROR(VLOOKUP(A100,'Job Operations'!$A$4:$AA$304,6,FALSE),""))</f>
        <v/>
      </c>
      <c r="F100" s="71" t="str">
        <f>IF(A100="","",IFERROR(VLOOKUP(A100,'Job Operations'!$A$4:$AA$304,7,FALSE),""))</f>
        <v/>
      </c>
      <c r="G100" s="72" t="str">
        <f>IF(A100="","",IFERROR(VLOOKUP(A100,'Job Operations'!$A$4:$AA$304,9,FALSE),""))</f>
        <v/>
      </c>
      <c r="H100" s="71" t="str" cm="1">
        <f t="array" ref="H100">IF(A100="","",_xlfn.LET(_xlpm.stn,IFERROR(VLOOKUP(A100,'Job Operations'!$A$4:$AA$304,12,FALSE),""),IF(OR(_xlpm.stn="AXYZ Titans Line",_xlpm.stn="AXYZ 34"),_xlfn.LET(_xlpm.pos,SUMPRODUCT((A$7:A100&lt;&gt;"")*(IFERROR(VLOOKUP(A$7:A100,'Job Operations'!$A$4:$AA$304,12,FALSE),"")="AXYZ Titans Line")+(A$7:A100&lt;&gt;"")*(IFERROR(VLOOKUP(A$7:A100,'Job Operations'!$A$4:$AA$304,12,FALSE),"")="AXYZ 34")),_xlpm.sfx,IF(OR(_xlpm.pos=11,_xlpm.pos=12,_xlpm.pos=13),"th",IF(MOD(_xlpm.pos,10)=1,"st",IF(MOD(_xlpm.pos,10)=2,"nd",IF(MOD(_xlpm.pos,10)=3,"rd","th")))),_xlpm.pos&amp;_xlpm.sfx),IF(_xlpm.stn&lt;&gt;"",_xlpm.stn,""))))</f>
        <v/>
      </c>
      <c r="I100" s="67" t="str">
        <f t="shared" si="4"/>
        <v/>
      </c>
      <c r="J100" s="72" t="str">
        <f t="shared" si="5"/>
        <v/>
      </c>
      <c r="K100" s="71" t="str">
        <f>IF(A100="","",IFERROR(VLOOKUP(A100,'Job Operations'!$A$4:$AA$304,15,FALSE),""))</f>
        <v/>
      </c>
      <c r="L100" s="71" t="str">
        <f>IF(A100="","",IFERROR(VLOOKUP(A100,'Job Operations'!$A$4:$AA$304,17,FALSE),""))</f>
        <v/>
      </c>
      <c r="M100" s="172" t="str">
        <f>IF(A100="","",IF(IFERROR(VLOOKUP(A100,Notes!A:B,2,FALSE),"")=0,"",VLOOKUP(A100,Notes!A:B,2,FALSE)))</f>
        <v/>
      </c>
    </row>
  </sheetData>
  <mergeCells count="2">
    <mergeCell ref="A4:K4"/>
    <mergeCell ref="A5:K5"/>
  </mergeCells>
  <conditionalFormatting sqref="A7:M100">
    <cfRule type="expression" dxfId="77" priority="51">
      <formula>AND($D$1&lt;&gt;"", $A7=$D$1)</formula>
    </cfRule>
    <cfRule type="expression" dxfId="76" priority="52">
      <formula>AND($A7&lt;&gt;"", OR(LEFT($H7,1)="1", LEFT($H7,1)="2", LEFT($H7,1)="3", LEFT($H7,1)="4", LEFT($H7,1)="5", LEFT($H7,1)="6", LEFT($H7,1)="7", LEFT($H7,1)="8", LEFT($H7,1)="9"))</formula>
    </cfRule>
    <cfRule type="expression" dxfId="75" priority="53">
      <formula>AND($A7&lt;&gt;"", $J7&lt;TODAY(), $G7&gt;=TODAY())</formula>
    </cfRule>
    <cfRule type="expression" dxfId="74" priority="54">
      <formula>AND($A7&lt;&gt;"", $J7&lt;TODAY(), $G7&lt;TODAY())</formula>
    </cfRule>
  </conditionalFormatting>
  <conditionalFormatting sqref="D1">
    <cfRule type="expression" dxfId="73" priority="32">
      <formula>D1="🔴 LATE"</formula>
    </cfRule>
    <cfRule type="expression" dxfId="72" priority="33">
      <formula>D1="🟢 ON TIME"</formula>
    </cfRule>
  </conditionalFormatting>
  <conditionalFormatting sqref="E1">
    <cfRule type="containsText" dxfId="71" priority="39" operator="containsText" text="LATE">
      <formula>NOT(ISERROR(SEARCH("LATE",E1)))</formula>
    </cfRule>
    <cfRule type="containsText" dxfId="70" priority="40" operator="containsText" text="ON TIME">
      <formula>NOT(ISERROR(SEARCH("ON TIME",E1)))</formula>
    </cfRule>
  </conditionalFormatting>
  <dataValidations count="1">
    <dataValidation type="list" errorStyle="warning" allowBlank="1" showInputMessage="1" showErrorMessage="1" errorTitle="Job ID" error="ID not found in list. Continue anyway?" sqref="D1" xr:uid="{B4BD2960-AD97-4209-8D34-F1710A61D32E}">
      <formula1>AllJobIDs</formula1>
    </dataValidation>
  </dataValidation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6CE46-0D98-457A-9667-8151C113B501}">
  <sheetPr>
    <tabColor rgb="FF1B2A4A"/>
  </sheetPr>
  <dimension ref="A1:O100"/>
  <sheetViews>
    <sheetView zoomScale="115" zoomScaleNormal="115" workbookViewId="0">
      <pane ySplit="6" topLeftCell="A7" activePane="bottomLeft" state="frozen"/>
      <selection activeCell="F1" sqref="F1"/>
      <selection pane="bottomLeft" activeCell="D1" sqref="D1"/>
    </sheetView>
  </sheetViews>
  <sheetFormatPr defaultRowHeight="15" x14ac:dyDescent="0.25"/>
  <cols>
    <col min="1" max="1" width="16" customWidth="1"/>
    <col min="2" max="2" width="25.42578125" customWidth="1"/>
    <col min="3" max="3" width="18.7109375" customWidth="1"/>
    <col min="4" max="5" width="13.28515625" customWidth="1"/>
    <col min="6" max="6" width="15.140625" customWidth="1"/>
    <col min="7" max="7" width="16.85546875" customWidth="1"/>
    <col min="8" max="8" width="14.5703125" customWidth="1"/>
    <col min="9" max="9" width="14.28515625" customWidth="1"/>
    <col min="10" max="10" width="16" customWidth="1"/>
    <col min="11" max="12" width="18.7109375" customWidth="1"/>
    <col min="13" max="13" width="67.28515625" customWidth="1"/>
  </cols>
  <sheetData>
    <row r="1" spans="1:15" ht="39.950000000000003" customHeight="1" x14ac:dyDescent="0.25">
      <c r="A1" s="159"/>
      <c r="B1" s="80"/>
      <c r="C1" s="76" t="s">
        <v>2735</v>
      </c>
      <c r="D1" s="81" t="s">
        <v>1795</v>
      </c>
      <c r="E1" s="76" t="str">
        <f ca="1">IF(D1="","",IF(IFERROR(VLOOKUP(D1,'Job Operations'!A:Y,25,FALSE),"")="","❌ NOT FOUND",IF(VLOOKUP(D1,'Job Operations'!A:Y,25,FALSE)&lt;TODAY(),"🔴 LATE","🟢 ON TIME")))</f>
        <v>🟢 ON TIME</v>
      </c>
      <c r="F1" s="76" t="str">
        <f>IF(D1="","",IFERROR(VLOOKUP(D1,'Job Operations'!A:B,2,FALSE),""))</f>
        <v>Harison Bend</v>
      </c>
      <c r="G1" s="76" t="str">
        <f>IF(D1="","",IFERROR("Ship: "&amp;TEXT(VLOOKUP(D1,'Job Operations'!A:I,9,FALSE),"mm/dd/yyyy"),""))</f>
        <v>Ship: 04/30/2026</v>
      </c>
      <c r="H1" s="76"/>
      <c r="I1" s="76"/>
      <c r="J1" s="78"/>
      <c r="K1" s="76"/>
      <c r="L1" s="76"/>
      <c r="M1" s="82"/>
      <c r="N1" s="289"/>
      <c r="O1" s="290"/>
    </row>
    <row r="2" spans="1:15" ht="5.0999999999999996" customHeight="1" x14ac:dyDescent="0.25">
      <c r="A2" s="161"/>
      <c r="B2" s="60"/>
      <c r="C2" s="12"/>
      <c r="D2" s="12"/>
      <c r="E2" s="12"/>
      <c r="F2" s="12"/>
      <c r="G2" s="12"/>
      <c r="H2" s="12"/>
      <c r="I2" s="12"/>
      <c r="J2" s="12"/>
      <c r="K2" s="12"/>
      <c r="L2" s="12"/>
      <c r="M2" s="60"/>
      <c r="N2" s="291"/>
      <c r="O2" s="292"/>
    </row>
    <row r="3" spans="1:15" ht="5.0999999999999996" customHeight="1" x14ac:dyDescent="0.25">
      <c r="A3" s="161"/>
      <c r="B3" s="60"/>
      <c r="C3" s="12"/>
      <c r="D3" s="12"/>
      <c r="E3" s="12"/>
      <c r="F3" s="12"/>
      <c r="G3" s="12"/>
      <c r="H3" s="12"/>
      <c r="I3" s="12"/>
      <c r="J3" s="12"/>
      <c r="K3" s="12"/>
      <c r="L3" s="12"/>
      <c r="M3" s="60"/>
      <c r="N3" s="291"/>
      <c r="O3" s="292"/>
    </row>
    <row r="4" spans="1:15" ht="24.95" customHeight="1" x14ac:dyDescent="0.3">
      <c r="A4" s="294" t="s">
        <v>2751</v>
      </c>
      <c r="B4" s="294"/>
      <c r="C4" s="294"/>
      <c r="D4" s="294"/>
      <c r="E4" s="294"/>
      <c r="F4" s="294"/>
      <c r="G4" s="294"/>
      <c r="H4" s="294"/>
      <c r="I4" s="294"/>
      <c r="J4" s="294"/>
      <c r="K4" s="294"/>
      <c r="L4" s="297"/>
      <c r="M4" s="298"/>
      <c r="N4" s="299"/>
      <c r="O4" s="300"/>
    </row>
    <row r="5" spans="1:15" ht="24.95" customHeight="1" x14ac:dyDescent="0.25">
      <c r="A5" s="296" t="s">
        <v>2752</v>
      </c>
      <c r="B5" s="296"/>
      <c r="C5" s="296"/>
      <c r="D5" s="296"/>
      <c r="E5" s="296"/>
      <c r="F5" s="296"/>
      <c r="G5" s="296"/>
      <c r="H5" s="296"/>
      <c r="I5" s="296"/>
      <c r="J5" s="296"/>
      <c r="K5" s="296"/>
      <c r="L5" s="296"/>
      <c r="M5" s="295"/>
      <c r="N5" s="301"/>
      <c r="O5" s="302"/>
    </row>
    <row r="6" spans="1:15" ht="30.75" customHeight="1" x14ac:dyDescent="0.25">
      <c r="A6" s="116" t="s">
        <v>1</v>
      </c>
      <c r="B6" s="117" t="s">
        <v>3</v>
      </c>
      <c r="C6" s="117" t="s">
        <v>5</v>
      </c>
      <c r="D6" s="117" t="s">
        <v>17</v>
      </c>
      <c r="E6" s="117" t="s">
        <v>18</v>
      </c>
      <c r="F6" s="117" t="s">
        <v>25</v>
      </c>
      <c r="G6" s="117" t="s">
        <v>54</v>
      </c>
      <c r="H6" s="117" t="s">
        <v>2746</v>
      </c>
      <c r="I6" s="118" t="s">
        <v>2747</v>
      </c>
      <c r="J6" s="117" t="s">
        <v>2748</v>
      </c>
      <c r="K6" s="117" t="s">
        <v>2749</v>
      </c>
      <c r="L6" s="117" t="s">
        <v>2750</v>
      </c>
      <c r="M6" s="135" t="s">
        <v>2742</v>
      </c>
      <c r="N6" s="293"/>
      <c r="O6" s="293"/>
    </row>
    <row r="7" spans="1:15" ht="15" customHeight="1" x14ac:dyDescent="0.25">
      <c r="A7" s="111" t="str" cm="1">
        <f t="array" ref="A7:A72">IFERROR(_xlfn.SORTBY(_xlfn._xlws.FILTER('Job Operations'!A5:A304,('Job Operations'!A5:A304&lt;&gt;"")*('Job Operations'!AA5:AA304=1)*(('Job Operations'!M5:M304="AXYZ")+('Job Operations'!O5:O304="AXYZ")+('Job Operations'!Q5:Q304="AXYZ")+('Job Operations'!S5:S304="AXYZ")+('Job Operations'!U5:U304="AXYZ")+('Job Operations'!W5:W304="AXYZ")+(('Job Operations'!L5:L304="AXYZ 34")*('Job Operations'!M5:M304="AXYZ"))&gt;0)*('Job Operations'!L5:L304&lt;&gt;"Fabrication")*('Job Operations'!L5:L304&lt;&gt;"Fab")*('Job Operations'!L5:L304&lt;&gt;"Clean and Brake")*('Job Operations'!L5:L304&lt;&gt;"Crating")*('Job Operations'!L5:L304&lt;&gt;"QC")*('Job Operations'!L5:L304&lt;&gt;"Ready to Ship")*('Job Operations'!L5:L304&lt;&gt;"RTS Titans")*('Job Operations'!L5:L304&lt;&gt;"Shipped")*('Job Operations'!L5:L304&lt;&gt;"Shipped To Painter")*('Job Operations'!L5:L304&lt;&gt;"Partially Shipped")*('Job Operations'!L5:L304&lt;&gt;"AXYZ Titans Line")*(NOT(('Job Operations'!L5:L304="AXYZ 34")*('Job Operations'!M5:M304="AXYZ Titans Line")))),_xlfn._xlws.FILTER('Job Operations'!N5:N304,('Job Operations'!A5:A304&lt;&gt;"")*('Job Operations'!AA5:AA304=1)*(('Job Operations'!M5:M304="AXYZ")+('Job Operations'!O5:O304="AXYZ")+('Job Operations'!Q5:Q304="AXYZ")+('Job Operations'!S5:S304="AXYZ")+('Job Operations'!U5:U304="AXYZ")+('Job Operations'!W5:W304="AXYZ")+(('Job Operations'!L5:L304="AXYZ 34")*('Job Operations'!M5:M304="AXYZ"))&gt;0)*('Job Operations'!L5:L304&lt;&gt;"Fabrication")*('Job Operations'!L5:L304&lt;&gt;"Fab")*('Job Operations'!L5:L304&lt;&gt;"Clean and Brake")*('Job Operations'!L5:L304&lt;&gt;"Crating")*('Job Operations'!L5:L304&lt;&gt;"QC")*('Job Operations'!L5:L304&lt;&gt;"Ready to Ship")*('Job Operations'!L5:L304&lt;&gt;"RTS Titans")*('Job Operations'!L5:L304&lt;&gt;"Shipped")*('Job Operations'!L5:L304&lt;&gt;"Shipped To Painter")*('Job Operations'!L5:L304&lt;&gt;"Partially Shipped")*('Job Operations'!L5:L304&lt;&gt;"AXYZ Titans Line")*(NOT(('Job Operations'!L5:L304="AXYZ 34")*('Job Operations'!M5:M304="AXYZ Titans Line")))),1),"")</f>
        <v>25010-RO06</v>
      </c>
      <c r="B7" s="112" t="str">
        <f>IF(A7="","",IFERROR(VLOOKUP(A7,'Job Operations'!$A$4:$AA$304,2,FALSE),""))</f>
        <v>TOA Spring Hill MOB</v>
      </c>
      <c r="C7" s="113" t="str">
        <f>IF(A7="","",IFERROR(VLOOKUP(A7,'Job Operations'!$A$4:$AA$304,3,FALSE),""))</f>
        <v>Cole Norona</v>
      </c>
      <c r="D7" s="113">
        <f>IF(A7="","",IFERROR(VLOOKUP(A7,'Job Operations'!$A$4:$AA$304,5,FALSE),""))</f>
        <v>6</v>
      </c>
      <c r="E7" s="113">
        <f>IF(A7="","",IFERROR(VLOOKUP(A7,'Job Operations'!$A$4:$AA$304,6,FALSE),""))</f>
        <v>0</v>
      </c>
      <c r="F7" s="113" t="str">
        <f>IF(A7="","",IFERROR(VLOOKUP(A7,'Job Operations'!$A$4:$AA$304,7,FALSE),""))</f>
        <v>FR ACM</v>
      </c>
      <c r="G7" s="114">
        <f>IF(A7="","",IFERROR(VLOOKUP(A7,'Job Operations'!$A$4:$AA$304,9,FALSE),""))</f>
        <v>46127</v>
      </c>
      <c r="H7" s="113" t="str" cm="1">
        <f t="array" ref="H7">IF(A7="","",_xlfn.LET(_xlpm.stn,IFERROR(VLOOKUP(A7,'Job Operations'!$A$4:$AA$304,12,FALSE),""),IF(OR(_xlpm.stn="AXYZ 34",_xlpm.stn="AXYZ"),_xlfn.LET(_xlpm.pos,SUMPRODUCT((A$7:A7&lt;&gt;"")*(IFERROR(VLOOKUP(A$7:A7,'Job Operations'!$A$4:$AA$304,12,FALSE),"")="AXYZ 34")+(A$7:A7&lt;&gt;"")*(IFERROR(VLOOKUP(A$7:A7,'Job Operations'!$A$4:$AA$304,12,FALSE),"")="AXYZ")),_xlpm.sfx,IF(OR(_xlpm.pos=11,_xlpm.pos=12,_xlpm.pos=13),"th",IF(MOD(_xlpm.pos,10)=1,"st",IF(MOD(_xlpm.pos,10)=2,"nd",IF(MOD(_xlpm.pos,10)=3,"rd","th")))),_xlpm.pos&amp;_xlpm.sfx),IF(_xlpm.stn&lt;&gt;"",_xlpm.stn,""))))</f>
        <v>LO</v>
      </c>
      <c r="I7" s="115">
        <f t="shared" ref="I7:I38" si="0">IF(A7="","",D7/7)</f>
        <v>0.8571428571428571</v>
      </c>
      <c r="J7" s="114">
        <f t="shared" ref="J7:J13" si="1">IF(OR(A7="",G7=""),"",WORKDAY.INTL(G7,-(5+CEILING(I7/8,1)),"0000001"))</f>
        <v>46120</v>
      </c>
      <c r="K7" s="113" t="str">
        <f>IF(A7="","",IFERROR(VLOOKUP(A7,'Job Operations'!$A$4:$AA$304,15,FALSE),""))</f>
        <v>Clean and Brake</v>
      </c>
      <c r="L7" s="113" t="str">
        <f>IF(A7="","",IFERROR(VLOOKUP(A7,'Job Operations'!$A$4:$AA$304,17,FALSE),""))</f>
        <v>Fab</v>
      </c>
      <c r="M7" s="136" t="str">
        <f>IF(A7="","",IF(IFERROR(VLOOKUP(A7,Notes!A:B,2,FALSE),"")=0,"",VLOOKUP(A7,Notes!A:B,2,FALSE)))</f>
        <v>04/16/2026…LO</v>
      </c>
    </row>
    <row r="8" spans="1:15" ht="15" customHeight="1" x14ac:dyDescent="0.25">
      <c r="A8" s="111" t="str">
        <v>25010-RO07</v>
      </c>
      <c r="B8" s="112" t="str">
        <f>IF(A8="","",IFERROR(VLOOKUP(A8,'Job Operations'!$A$4:$AA$304,2,FALSE),""))</f>
        <v>TOA Spring Hill MOB</v>
      </c>
      <c r="C8" s="113" t="str">
        <f>IF(A8="","",IFERROR(VLOOKUP(A8,'Job Operations'!$A$4:$AA$304,3,FALSE),""))</f>
        <v>Cole Norona</v>
      </c>
      <c r="D8" s="113">
        <f>IF(A8="","",IFERROR(VLOOKUP(A8,'Job Operations'!$A$4:$AA$304,5,FALSE),""))</f>
        <v>3</v>
      </c>
      <c r="E8" s="113">
        <f>IF(A8="","",IFERROR(VLOOKUP(A8,'Job Operations'!$A$4:$AA$304,6,FALSE),""))</f>
        <v>0</v>
      </c>
      <c r="F8" s="113" t="str">
        <f>IF(A8="","",IFERROR(VLOOKUP(A8,'Job Operations'!$A$4:$AA$304,7,FALSE),""))</f>
        <v>FR ACM</v>
      </c>
      <c r="G8" s="114">
        <f>IF(A8="","",IFERROR(VLOOKUP(A8,'Job Operations'!$A$4:$AA$304,9,FALSE),""))</f>
        <v>46127</v>
      </c>
      <c r="H8" s="113" t="str" cm="1">
        <f t="array" ref="H8">IF(A8="","",_xlfn.LET(_xlpm.stn,IFERROR(VLOOKUP(A8,'Job Operations'!$A$4:$AA$304,12,FALSE),""),IF(OR(_xlpm.stn="AXYZ 34",_xlpm.stn="AXYZ"),_xlfn.LET(_xlpm.pos,SUMPRODUCT((A$7:A8&lt;&gt;"")*(IFERROR(VLOOKUP(A$7:A8,'Job Operations'!$A$4:$AA$304,12,FALSE),"")="AXYZ 34")+(A$7:A8&lt;&gt;"")*(IFERROR(VLOOKUP(A$7:A8,'Job Operations'!$A$4:$AA$304,12,FALSE),"")="AXYZ")),_xlpm.sfx,IF(OR(_xlpm.pos=11,_xlpm.pos=12,_xlpm.pos=13),"th",IF(MOD(_xlpm.pos,10)=1,"st",IF(MOD(_xlpm.pos,10)=2,"nd",IF(MOD(_xlpm.pos,10)=3,"rd","th")))),_xlpm.pos&amp;_xlpm.sfx),IF(_xlpm.stn&lt;&gt;"",_xlpm.stn,""))))</f>
        <v>LO</v>
      </c>
      <c r="I8" s="115">
        <f t="shared" si="0"/>
        <v>0.42857142857142855</v>
      </c>
      <c r="J8" s="114">
        <f t="shared" si="1"/>
        <v>46120</v>
      </c>
      <c r="K8" s="113" t="str">
        <f>IF(A8="","",IFERROR(VLOOKUP(A8,'Job Operations'!$A$4:$AA$304,15,FALSE),""))</f>
        <v>Clean and Brake</v>
      </c>
      <c r="L8" s="113" t="str">
        <f>IF(A8="","",IFERROR(VLOOKUP(A8,'Job Operations'!$A$4:$AA$304,17,FALSE),""))</f>
        <v>Fab</v>
      </c>
      <c r="M8" s="136" t="str">
        <f>IF(A8="","",IF(IFERROR(VLOOKUP(A8,Notes!A:B,2,FALSE),"")=0,"",VLOOKUP(A8,Notes!A:B,2,FALSE)))</f>
        <v>04/16/2026…LO</v>
      </c>
    </row>
    <row r="9" spans="1:15" ht="15" customHeight="1" x14ac:dyDescent="0.25">
      <c r="A9" s="111" t="str">
        <v>25002-FS13</v>
      </c>
      <c r="B9" s="112" t="str">
        <f>IF(A9="","",IFERROR(VLOOKUP(A9,'Job Operations'!$A$4:$AA$304,2,FALSE),""))</f>
        <v>Med Center Health</v>
      </c>
      <c r="C9" s="113" t="str">
        <f>IF(A9="","",IFERROR(VLOOKUP(A9,'Job Operations'!$A$4:$AA$304,3,FALSE),""))</f>
        <v>Carlos Silva</v>
      </c>
      <c r="D9" s="113">
        <f>IF(A9="","",IFERROR(VLOOKUP(A9,'Job Operations'!$A$4:$AA$304,5,FALSE),""))</f>
        <v>30</v>
      </c>
      <c r="E9" s="113">
        <f>IF(A9="","",IFERROR(VLOOKUP(A9,'Job Operations'!$A$4:$AA$304,6,FALSE),""))</f>
        <v>0</v>
      </c>
      <c r="F9" s="113" t="str">
        <f>IF(A9="","",IFERROR(VLOOKUP(A9,'Job Operations'!$A$4:$AA$304,7,FALSE),""))</f>
        <v>FR ACM</v>
      </c>
      <c r="G9" s="114">
        <f>IF(A9="","",IFERROR(VLOOKUP(A9,'Job Operations'!$A$4:$AA$304,9,FALSE),""))</f>
        <v>46129</v>
      </c>
      <c r="H9" s="113" t="str" cm="1">
        <f t="array" ref="H9">IF(A9="","",_xlfn.LET(_xlpm.stn,IFERROR(VLOOKUP(A9,'Job Operations'!$A$4:$AA$304,12,FALSE),""),IF(OR(_xlpm.stn="AXYZ 34",_xlpm.stn="AXYZ"),_xlfn.LET(_xlpm.pos,SUMPRODUCT((A$7:A9&lt;&gt;"")*(IFERROR(VLOOKUP(A$7:A9,'Job Operations'!$A$4:$AA$304,12,FALSE),"")="AXYZ 34")+(A$7:A9&lt;&gt;"")*(IFERROR(VLOOKUP(A$7:A9,'Job Operations'!$A$4:$AA$304,12,FALSE),"")="AXYZ")),_xlpm.sfx,IF(OR(_xlpm.pos=11,_xlpm.pos=12,_xlpm.pos=13),"th",IF(MOD(_xlpm.pos,10)=1,"st",IF(MOD(_xlpm.pos,10)=2,"nd",IF(MOD(_xlpm.pos,10)=3,"rd","th")))),_xlpm.pos&amp;_xlpm.sfx),IF(_xlpm.stn&lt;&gt;"",_xlpm.stn,""))))</f>
        <v>LO</v>
      </c>
      <c r="I9" s="115">
        <f t="shared" si="0"/>
        <v>4.2857142857142856</v>
      </c>
      <c r="J9" s="114">
        <f t="shared" si="1"/>
        <v>46122</v>
      </c>
      <c r="K9" s="113" t="str">
        <f>IF(A9="","",IFERROR(VLOOKUP(A9,'Job Operations'!$A$4:$AA$304,15,FALSE),""))</f>
        <v>Clean and Brake</v>
      </c>
      <c r="L9" s="113" t="str">
        <f>IF(A9="","",IFERROR(VLOOKUP(A9,'Job Operations'!$A$4:$AA$304,17,FALSE),""))</f>
        <v>Fab</v>
      </c>
      <c r="M9" s="136" t="str">
        <f>IF(A9="","",IF(IFERROR(VLOOKUP(A9,Notes!A:B,2,FALSE),"")=0,"",VLOOKUP(A9,Notes!A:B,2,FALSE)))</f>
        <v>04/16/2026…LO</v>
      </c>
    </row>
    <row r="10" spans="1:15" ht="15" customHeight="1" x14ac:dyDescent="0.25">
      <c r="A10" s="111" t="str">
        <v>26009-FS01</v>
      </c>
      <c r="B10" s="112" t="str">
        <f>IF(A10="","",IFERROR(VLOOKUP(A10,'Job Operations'!$A$4:$AA$304,2,FALSE),""))</f>
        <v>5th &amp; Summer Leasing Office</v>
      </c>
      <c r="C10" s="113" t="str">
        <f>IF(A10="","",IFERROR(VLOOKUP(A10,'Job Operations'!$A$4:$AA$304,3,FALSE),""))</f>
        <v>Cole Norona</v>
      </c>
      <c r="D10" s="113">
        <f>IF(A10="","",IFERROR(VLOOKUP(A10,'Job Operations'!$A$4:$AA$304,5,FALSE),""))</f>
        <v>9</v>
      </c>
      <c r="E10" s="113">
        <f>IF(A10="","",IFERROR(VLOOKUP(A10,'Job Operations'!$A$4:$AA$304,6,FALSE),""))</f>
        <v>0</v>
      </c>
      <c r="F10" s="113" t="str">
        <f>IF(A10="","",IFERROR(VLOOKUP(A10,'Job Operations'!$A$4:$AA$304,7,FALSE),""))</f>
        <v>FR ACM</v>
      </c>
      <c r="G10" s="114">
        <f>IF(A10="","",IFERROR(VLOOKUP(A10,'Job Operations'!$A$4:$AA$304,9,FALSE),""))</f>
        <v>46132</v>
      </c>
      <c r="H10" s="113" t="str" cm="1">
        <f t="array" ref="H10">IF(A10="","",_xlfn.LET(_xlpm.stn,IFERROR(VLOOKUP(A10,'Job Operations'!$A$4:$AA$304,12,FALSE),""),IF(OR(_xlpm.stn="AXYZ 34",_xlpm.stn="AXYZ"),_xlfn.LET(_xlpm.pos,SUMPRODUCT((A$7:A10&lt;&gt;"")*(IFERROR(VLOOKUP(A$7:A10,'Job Operations'!$A$4:$AA$304,12,FALSE),"")="AXYZ 34")+(A$7:A10&lt;&gt;"")*(IFERROR(VLOOKUP(A$7:A10,'Job Operations'!$A$4:$AA$304,12,FALSE),"")="AXYZ")),_xlpm.sfx,IF(OR(_xlpm.pos=11,_xlpm.pos=12,_xlpm.pos=13),"th",IF(MOD(_xlpm.pos,10)=1,"st",IF(MOD(_xlpm.pos,10)=2,"nd",IF(MOD(_xlpm.pos,10)=3,"rd","th")))),_xlpm.pos&amp;_xlpm.sfx),IF(_xlpm.stn&lt;&gt;"",_xlpm.stn,""))))</f>
        <v>LO Check</v>
      </c>
      <c r="I10" s="115">
        <f t="shared" si="0"/>
        <v>1.2857142857142858</v>
      </c>
      <c r="J10" s="114">
        <f t="shared" si="1"/>
        <v>46125</v>
      </c>
      <c r="K10" s="113" t="str">
        <f>IF(A10="","",IFERROR(VLOOKUP(A10,'Job Operations'!$A$4:$AA$304,15,FALSE),""))</f>
        <v>Clean and Brake</v>
      </c>
      <c r="L10" s="113" t="str">
        <f>IF(A10="","",IFERROR(VLOOKUP(A10,'Job Operations'!$A$4:$AA$304,17,FALSE),""))</f>
        <v>Fab</v>
      </c>
      <c r="M10" s="136" t="str">
        <f>IF(A10="","",IF(IFERROR(VLOOKUP(A10,Notes!A:B,2,FALSE),"")=0,"",VLOOKUP(A10,Notes!A:B,2,FALSE)))</f>
        <v>04/16/2026…LO Check</v>
      </c>
    </row>
    <row r="11" spans="1:15" ht="15" customHeight="1" x14ac:dyDescent="0.25">
      <c r="A11" s="111" t="str">
        <v>24051-FS90</v>
      </c>
      <c r="B11" s="112" t="str">
        <f>IF(A11="","",IFERROR(VLOOKUP(A11,'Job Operations'!$A$4:$AA$304,2,FALSE),""))</f>
        <v>TN Titans Stadium</v>
      </c>
      <c r="C11" s="113" t="str">
        <f>IF(A11="","",IFERROR(VLOOKUP(A11,'Job Operations'!$A$4:$AA$304,3,FALSE),""))</f>
        <v>Marc Ribar</v>
      </c>
      <c r="D11" s="113">
        <f>IF(A11="","",IFERROR(VLOOKUP(A11,'Job Operations'!$A$4:$AA$304,5,FALSE),""))</f>
        <v>117</v>
      </c>
      <c r="E11" s="113">
        <f>IF(A11="","",IFERROR(VLOOKUP(A11,'Job Operations'!$A$4:$AA$304,6,FALSE),""))</f>
        <v>0</v>
      </c>
      <c r="F11" s="113" t="str">
        <f>IF(A11="","",IFERROR(VLOOKUP(A11,'Job Operations'!$A$4:$AA$304,7,FALSE),""))</f>
        <v>FR ACM</v>
      </c>
      <c r="G11" s="114">
        <f>IF(A11="","",IFERROR(VLOOKUP(A11,'Job Operations'!$A$4:$AA$304,9,FALSE),""))</f>
        <v>46136</v>
      </c>
      <c r="H11" s="113" t="str" cm="1">
        <f t="array" ref="H11">IF(A11="","",_xlfn.LET(_xlpm.stn,IFERROR(VLOOKUP(A11,'Job Operations'!$A$4:$AA$304,12,FALSE),""),IF(OR(_xlpm.stn="AXYZ 34",_xlpm.stn="AXYZ"),_xlfn.LET(_xlpm.pos,SUMPRODUCT((A$7:A11&lt;&gt;"")*(IFERROR(VLOOKUP(A$7:A11,'Job Operations'!$A$4:$AA$304,12,FALSE),"")="AXYZ 34")+(A$7:A11&lt;&gt;"")*(IFERROR(VLOOKUP(A$7:A11,'Job Operations'!$A$4:$AA$304,12,FALSE),"")="AXYZ")),_xlpm.sfx,IF(OR(_xlpm.pos=11,_xlpm.pos=12,_xlpm.pos=13),"th",IF(MOD(_xlpm.pos,10)=1,"st",IF(MOD(_xlpm.pos,10)=2,"nd",IF(MOD(_xlpm.pos,10)=3,"rd","th")))),_xlpm.pos&amp;_xlpm.sfx),IF(_xlpm.stn&lt;&gt;"",_xlpm.stn,""))))</f>
        <v>Float</v>
      </c>
      <c r="I11" s="115">
        <f t="shared" si="0"/>
        <v>16.714285714285715</v>
      </c>
      <c r="J11" s="114">
        <f t="shared" si="1"/>
        <v>46127</v>
      </c>
      <c r="K11" s="113" t="str">
        <f>IF(A11="","",IFERROR(VLOOKUP(A11,'Job Operations'!$A$4:$AA$304,15,FALSE),""))</f>
        <v>Clean and Brake</v>
      </c>
      <c r="L11" s="113" t="str">
        <f>IF(A11="","",IFERROR(VLOOKUP(A11,'Job Operations'!$A$4:$AA$304,17,FALSE),""))</f>
        <v>Fab</v>
      </c>
      <c r="M11" s="136" t="str">
        <f>IF(A11="","",IF(IFERROR(VLOOKUP(A11,Notes!A:B,2,FALSE),"")=0,"",VLOOKUP(A11,Notes!A:B,2,FALSE)))</f>
        <v>04/16/2026…Float</v>
      </c>
    </row>
    <row r="12" spans="1:15" ht="15" customHeight="1" x14ac:dyDescent="0.25">
      <c r="A12" s="111" t="str">
        <v>24051-FS227</v>
      </c>
      <c r="B12" s="112" t="str">
        <f>IF(A12="","",IFERROR(VLOOKUP(A12,'Job Operations'!$A$4:$AA$304,2,FALSE),""))</f>
        <v>TN Titans Stadium</v>
      </c>
      <c r="C12" s="113" t="str">
        <f>IF(A12="","",IFERROR(VLOOKUP(A12,'Job Operations'!$A$4:$AA$304,3,FALSE),""))</f>
        <v>Marc Ribar</v>
      </c>
      <c r="D12" s="113">
        <f>IF(A12="","",IFERROR(VLOOKUP(A12,'Job Operations'!$A$4:$AA$304,5,FALSE),""))</f>
        <v>119</v>
      </c>
      <c r="E12" s="113">
        <f>IF(A12="","",IFERROR(VLOOKUP(A12,'Job Operations'!$A$4:$AA$304,6,FALSE),""))</f>
        <v>0</v>
      </c>
      <c r="F12" s="113" t="str">
        <f>IF(A12="","",IFERROR(VLOOKUP(A12,'Job Operations'!$A$4:$AA$304,7,FALSE),""))</f>
        <v>FR ACM</v>
      </c>
      <c r="G12" s="114">
        <f>IF(A12="","",IFERROR(VLOOKUP(A12,'Job Operations'!$A$4:$AA$304,9,FALSE),""))</f>
        <v>46136</v>
      </c>
      <c r="H12" s="113" t="str" cm="1">
        <f t="array" ref="H12">IF(A12="","",_xlfn.LET(_xlpm.stn,IFERROR(VLOOKUP(A12,'Job Operations'!$A$4:$AA$304,12,FALSE),""),IF(OR(_xlpm.stn="AXYZ 34",_xlpm.stn="AXYZ"),_xlfn.LET(_xlpm.pos,SUMPRODUCT((A$7:A12&lt;&gt;"")*(IFERROR(VLOOKUP(A$7:A12,'Job Operations'!$A$4:$AA$304,12,FALSE),"")="AXYZ 34")+(A$7:A12&lt;&gt;"")*(IFERROR(VLOOKUP(A$7:A12,'Job Operations'!$A$4:$AA$304,12,FALSE),"")="AXYZ")),_xlpm.sfx,IF(OR(_xlpm.pos=11,_xlpm.pos=12,_xlpm.pos=13),"th",IF(MOD(_xlpm.pos,10)=1,"st",IF(MOD(_xlpm.pos,10)=2,"nd",IF(MOD(_xlpm.pos,10)=3,"rd","th")))),_xlpm.pos&amp;_xlpm.sfx),IF(_xlpm.stn&lt;&gt;"",_xlpm.stn,""))))</f>
        <v>Float</v>
      </c>
      <c r="I12" s="115">
        <f t="shared" si="0"/>
        <v>17</v>
      </c>
      <c r="J12" s="114">
        <f t="shared" si="1"/>
        <v>46127</v>
      </c>
      <c r="K12" s="113" t="str">
        <f>IF(A12="","",IFERROR(VLOOKUP(A12,'Job Operations'!$A$4:$AA$304,15,FALSE),""))</f>
        <v>Clean and Brake</v>
      </c>
      <c r="L12" s="113" t="str">
        <f>IF(A12="","",IFERROR(VLOOKUP(A12,'Job Operations'!$A$4:$AA$304,17,FALSE),""))</f>
        <v>Fab</v>
      </c>
      <c r="M12" s="136" t="str">
        <f>IF(A12="","",IF(IFERROR(VLOOKUP(A12,Notes!A:B,2,FALSE),"")=0,"",VLOOKUP(A12,Notes!A:B,2,FALSE)))</f>
        <v>04/16/2026…Float</v>
      </c>
    </row>
    <row r="13" spans="1:15" ht="15" customHeight="1" x14ac:dyDescent="0.25">
      <c r="A13" s="111" t="str">
        <v>25022-RM01</v>
      </c>
      <c r="B13" s="112" t="str">
        <f>IF(A13="","",IFERROR(VLOOKUP(A13,'Job Operations'!$A$4:$AA$304,2,FALSE),""))</f>
        <v>Vantage VA15</v>
      </c>
      <c r="C13" s="113" t="str">
        <f>IF(A13="","",IFERROR(VLOOKUP(A13,'Job Operations'!$A$4:$AA$304,3,FALSE),""))</f>
        <v>Thomas Mooers</v>
      </c>
      <c r="D13" s="113">
        <f>IF(A13="","",IFERROR(VLOOKUP(A13,'Job Operations'!$A$4:$AA$304,5,FALSE),""))</f>
        <v>4</v>
      </c>
      <c r="E13" s="113">
        <f>IF(A13="","",IFERROR(VLOOKUP(A13,'Job Operations'!$A$4:$AA$304,6,FALSE),""))</f>
        <v>4</v>
      </c>
      <c r="F13" s="113" t="str">
        <f>IF(A13="","",IFERROR(VLOOKUP(A13,'Job Operations'!$A$4:$AA$304,7,FALSE),""))</f>
        <v>FR ACM</v>
      </c>
      <c r="G13" s="114">
        <f>IF(A13="","",IFERROR(VLOOKUP(A13,'Job Operations'!$A$4:$AA$304,9,FALSE),""))</f>
        <v>46135</v>
      </c>
      <c r="H13" s="113" t="str" cm="1">
        <f t="array" ref="H13">IF(A13="","",_xlfn.LET(_xlpm.stn,IFERROR(VLOOKUP(A13,'Job Operations'!$A$4:$AA$304,12,FALSE),""),IF(OR(_xlpm.stn="AXYZ 34",_xlpm.stn="AXYZ"),_xlfn.LET(_xlpm.pos,SUMPRODUCT((A$7:A13&lt;&gt;"")*(IFERROR(VLOOKUP(A$7:A13,'Job Operations'!$A$4:$AA$304,12,FALSE),"")="AXYZ 34")+(A$7:A13&lt;&gt;"")*(IFERROR(VLOOKUP(A$7:A13,'Job Operations'!$A$4:$AA$304,12,FALSE),"")="AXYZ")),_xlpm.sfx,IF(OR(_xlpm.pos=11,_xlpm.pos=12,_xlpm.pos=13),"th",IF(MOD(_xlpm.pos,10)=1,"st",IF(MOD(_xlpm.pos,10)=2,"nd",IF(MOD(_xlpm.pos,10)=3,"rd","th")))),_xlpm.pos&amp;_xlpm.sfx),IF(_xlpm.stn&lt;&gt;"",_xlpm.stn,""))))</f>
        <v>1st</v>
      </c>
      <c r="I13" s="115">
        <f t="shared" si="0"/>
        <v>0.5714285714285714</v>
      </c>
      <c r="J13" s="114">
        <f t="shared" si="1"/>
        <v>46128</v>
      </c>
      <c r="K13" s="113" t="str">
        <f>IF(A13="","",IFERROR(VLOOKUP(A13,'Job Operations'!$A$4:$AA$304,15,FALSE),""))</f>
        <v>Clean and Brake</v>
      </c>
      <c r="L13" s="113" t="str">
        <f>IF(A13="","",IFERROR(VLOOKUP(A13,'Job Operations'!$A$4:$AA$304,17,FALSE),""))</f>
        <v>Fab</v>
      </c>
      <c r="M13" s="136" t="str">
        <f>IF(A13="","",IF(IFERROR(VLOOKUP(A13,Notes!A:B,2,FALSE),"")=0,"",VLOOKUP(A13,Notes!A:B,2,FALSE)))</f>
        <v>04/16/2026…AXYZ 34</v>
      </c>
    </row>
    <row r="14" spans="1:15" ht="15" customHeight="1" x14ac:dyDescent="0.25">
      <c r="A14" s="111" t="str">
        <v>25022-RM02</v>
      </c>
      <c r="B14" s="112" t="str">
        <f>IFERROR(VLOOKUP($A14,'Job Operations'!$A:$B,2,FALSE),"")</f>
        <v>Vantage VA15</v>
      </c>
      <c r="C14" s="113" t="str">
        <f>IFERROR(VLOOKUP($A14,'Job Operations'!$A:$C,3,FALSE),"")</f>
        <v>Thomas Mooers</v>
      </c>
      <c r="D14" s="113">
        <f>IFERROR(VLOOKUP($A14,'Job Operations'!$A:$E,5,FALSE),"")</f>
        <v>1</v>
      </c>
      <c r="E14" s="113">
        <f>IFERROR(VLOOKUP($A14,'Job Operations'!$A:$F,6,FALSE),"")</f>
        <v>1</v>
      </c>
      <c r="F14" s="113" t="str">
        <f>IFERROR(VLOOKUP($A14,'Job Operations'!$A:$G,7,FALSE),"")</f>
        <v>FR ACM</v>
      </c>
      <c r="G14" s="114">
        <f>IFERROR(VLOOKUP($A14,'Job Operations'!$A:$I,9,FALSE),"")</f>
        <v>46135</v>
      </c>
      <c r="H14" s="113" t="str" cm="1">
        <f t="array" ref="H14">IF(A14="","",_xlfn.LET(_xlpm.stn,IFERROR(VLOOKUP(A14,'Job Operations'!$A$4:$AA$304,12,FALSE),""),IF(OR(_xlpm.stn="AXYZ 34",_xlpm.stn="AXYZ"),_xlfn.LET(_xlpm.pos,SUMPRODUCT((A$7:A14&lt;&gt;"")*(IFERROR(VLOOKUP(A$7:A14,'Job Operations'!$A$4:$AA$304,12,FALSE),"")="AXYZ 34")+(A$7:A14&lt;&gt;"")*(IFERROR(VLOOKUP(A$7:A14,'Job Operations'!$A$4:$AA$304,12,FALSE),"")="AXYZ")),_xlpm.sfx,IF(OR(_xlpm.pos=11,_xlpm.pos=12,_xlpm.pos=13),"th",IF(MOD(_xlpm.pos,10)=1,"st",IF(MOD(_xlpm.pos,10)=2,"nd",IF(MOD(_xlpm.pos,10)=3,"rd","th")))),_xlpm.pos&amp;_xlpm.sfx),IF(_xlpm.stn&lt;&gt;"",_xlpm.stn,""))))</f>
        <v>2nd</v>
      </c>
      <c r="I14" s="115">
        <f t="shared" si="0"/>
        <v>0.14285714285714285</v>
      </c>
      <c r="J14" s="114">
        <f>IFERROR(VLOOKUP($A14,'Job Operations'!$A:$N,14,FALSE),"")</f>
        <v>46111</v>
      </c>
      <c r="K14" s="113" t="str">
        <f>IFERROR(VLOOKUP($A14,'Job Operations'!$A:$O,15,FALSE),"")</f>
        <v>Clean and Brake</v>
      </c>
      <c r="L14" s="113" t="str">
        <f>IFERROR(VLOOKUP($A14,'Job Operations'!$A:$Q,17,FALSE),"")</f>
        <v>Fab</v>
      </c>
      <c r="M14" s="136" t="str">
        <f>IFERROR(VLOOKUP($A14,Notes!$A:$B,2,FALSE),"")</f>
        <v>04/16/2026…AXYZ 34</v>
      </c>
    </row>
    <row r="15" spans="1:15" ht="15" customHeight="1" x14ac:dyDescent="0.25">
      <c r="A15" s="111" t="str">
        <v>25059-RM05</v>
      </c>
      <c r="B15" s="112" t="str">
        <f>IFERROR(VLOOKUP($A15,'Job Operations'!$A:$B,2,FALSE),"")</f>
        <v>Allen Samuels CDJR and LC</v>
      </c>
      <c r="C15" s="113" t="str">
        <f>IFERROR(VLOOKUP($A15,'Job Operations'!$A:$C,3,FALSE),"")</f>
        <v>Andre Van Der Merwe</v>
      </c>
      <c r="D15" s="113">
        <f>IFERROR(VLOOKUP($A15,'Job Operations'!$A:$E,5,FALSE),"")</f>
        <v>1</v>
      </c>
      <c r="E15" s="113">
        <f>IFERROR(VLOOKUP($A15,'Job Operations'!$A:$F,6,FALSE),"")</f>
        <v>1</v>
      </c>
      <c r="F15" s="113" t="str">
        <f>IFERROR(VLOOKUP($A15,'Job Operations'!$A:$G,7,FALSE),"")</f>
        <v>FR ACM</v>
      </c>
      <c r="G15" s="114">
        <f>IFERROR(VLOOKUP($A15,'Job Operations'!$A:$I,9,FALSE),"")</f>
        <v>46135</v>
      </c>
      <c r="H15" s="113" t="str" cm="1">
        <f t="array" ref="H15">IF(A15="","",_xlfn.LET(_xlpm.stn,IFERROR(VLOOKUP(A15,'Job Operations'!$A$4:$AA$304,12,FALSE),""),IF(OR(_xlpm.stn="AXYZ 34",_xlpm.stn="AXYZ"),_xlfn.LET(_xlpm.pos,SUMPRODUCT((A$7:A15&lt;&gt;"")*(IFERROR(VLOOKUP(A$7:A15,'Job Operations'!$A$4:$AA$304,12,FALSE),"")="AXYZ 34")+(A$7:A15&lt;&gt;"")*(IFERROR(VLOOKUP(A$7:A15,'Job Operations'!$A$4:$AA$304,12,FALSE),"")="AXYZ")),_xlpm.sfx,IF(OR(_xlpm.pos=11,_xlpm.pos=12,_xlpm.pos=13),"th",IF(MOD(_xlpm.pos,10)=1,"st",IF(MOD(_xlpm.pos,10)=2,"nd",IF(MOD(_xlpm.pos,10)=3,"rd","th")))),_xlpm.pos&amp;_xlpm.sfx),IF(_xlpm.stn&lt;&gt;"",_xlpm.stn,""))))</f>
        <v>CNC Programming</v>
      </c>
      <c r="I15" s="115">
        <f t="shared" si="0"/>
        <v>0.14285714285714285</v>
      </c>
      <c r="J15" s="114">
        <f>IFERROR(VLOOKUP($A15,'Job Operations'!$A:$N,14,FALSE),"")</f>
        <v>46111</v>
      </c>
      <c r="K15" s="113" t="str">
        <f>IFERROR(VLOOKUP($A15,'Job Operations'!$A:$O,15,FALSE),"")</f>
        <v>Clean and Brake</v>
      </c>
      <c r="L15" s="113" t="str">
        <f>IFERROR(VLOOKUP($A15,'Job Operations'!$A:$Q,17,FALSE),"")</f>
        <v>Fab</v>
      </c>
      <c r="M15" s="136" t="str">
        <f>IFERROR(VLOOKUP($A15,Notes!$A:$B,2,FALSE),"")</f>
        <v>04/16/2026…CNC Programming</v>
      </c>
    </row>
    <row r="16" spans="1:15" ht="15" customHeight="1" x14ac:dyDescent="0.25">
      <c r="A16" s="111" t="str">
        <v>25030-FS01</v>
      </c>
      <c r="B16" s="112" t="str">
        <f>IFERROR(VLOOKUP($A16,'Job Operations'!$A:$B,2,FALSE),"")</f>
        <v>510 W Tremont</v>
      </c>
      <c r="C16" s="113" t="str">
        <f>IFERROR(VLOOKUP($A16,'Job Operations'!$A:$C,3,FALSE),"")</f>
        <v>Laura Forero</v>
      </c>
      <c r="D16" s="113">
        <f>IFERROR(VLOOKUP($A16,'Job Operations'!$A:$E,5,FALSE),"")</f>
        <v>88</v>
      </c>
      <c r="E16" s="113">
        <f>IFERROR(VLOOKUP($A16,'Job Operations'!$A:$F,6,FALSE),"")</f>
        <v>0</v>
      </c>
      <c r="F16" s="113" t="str">
        <f>IFERROR(VLOOKUP($A16,'Job Operations'!$A:$G,7,FALSE),"")</f>
        <v>FR ACM</v>
      </c>
      <c r="G16" s="114">
        <f>IFERROR(VLOOKUP($A16,'Job Operations'!$A:$I,9,FALSE),"")</f>
        <v>46136</v>
      </c>
      <c r="H16" s="113" t="str" cm="1">
        <f t="array" ref="H16">IF(A16="","",_xlfn.LET(_xlpm.stn,IFERROR(VLOOKUP(A16,'Job Operations'!$A$4:$AA$304,12,FALSE),""),IF(OR(_xlpm.stn="AXYZ 34",_xlpm.stn="AXYZ"),_xlfn.LET(_xlpm.pos,SUMPRODUCT((A$7:A16&lt;&gt;"")*(IFERROR(VLOOKUP(A$7:A16,'Job Operations'!$A$4:$AA$304,12,FALSE),"")="AXYZ 34")+(A$7:A16&lt;&gt;"")*(IFERROR(VLOOKUP(A$7:A16,'Job Operations'!$A$4:$AA$304,12,FALSE),"")="AXYZ")),_xlpm.sfx,IF(OR(_xlpm.pos=11,_xlpm.pos=12,_xlpm.pos=13),"th",IF(MOD(_xlpm.pos,10)=1,"st",IF(MOD(_xlpm.pos,10)=2,"nd",IF(MOD(_xlpm.pos,10)=3,"rd","th")))),_xlpm.pos&amp;_xlpm.sfx),IF(_xlpm.stn&lt;&gt;"",_xlpm.stn,""))))</f>
        <v>Correction</v>
      </c>
      <c r="I16" s="115">
        <f t="shared" si="0"/>
        <v>12.571428571428571</v>
      </c>
      <c r="J16" s="114">
        <f>IFERROR(VLOOKUP($A16,'Job Operations'!$A:$N,14,FALSE),"")</f>
        <v>46111</v>
      </c>
      <c r="K16" s="113" t="str">
        <f>IFERROR(VLOOKUP($A16,'Job Operations'!$A:$O,15,FALSE),"")</f>
        <v>Clean and Brake</v>
      </c>
      <c r="L16" s="113" t="str">
        <f>IFERROR(VLOOKUP($A16,'Job Operations'!$A:$Q,17,FALSE),"")</f>
        <v>Fab</v>
      </c>
      <c r="M16" s="136" t="str">
        <f>IFERROR(VLOOKUP($A16,Notes!$A:$B,2,FALSE),"")</f>
        <v>04/16/2026…Correction</v>
      </c>
    </row>
    <row r="17" spans="1:13" ht="15" customHeight="1" x14ac:dyDescent="0.25">
      <c r="A17" s="111" t="str">
        <v>25030-FS02</v>
      </c>
      <c r="B17" s="112" t="str">
        <f>IF(A17="","",IFERROR(VLOOKUP(A17,'Job Operations'!$A$4:$AA$304,2,FALSE),""))</f>
        <v>510 W Tremont</v>
      </c>
      <c r="C17" s="113" t="str">
        <f>IF(A17="","",IFERROR(VLOOKUP(A17,'Job Operations'!$A$4:$AA$304,3,FALSE),""))</f>
        <v>Laura Forero</v>
      </c>
      <c r="D17" s="113">
        <f>IF(A17="","",IFERROR(VLOOKUP(A17,'Job Operations'!$A$4:$AA$304,5,FALSE),""))</f>
        <v>84</v>
      </c>
      <c r="E17" s="113">
        <f>IF(A17="","",IFERROR(VLOOKUP(A17,'Job Operations'!$A$4:$AA$304,6,FALSE),""))</f>
        <v>0</v>
      </c>
      <c r="F17" s="113" t="str">
        <f>IF(A17="","",IFERROR(VLOOKUP(A17,'Job Operations'!$A$4:$AA$304,7,FALSE),""))</f>
        <v>FR ACM</v>
      </c>
      <c r="G17" s="114">
        <f>IF(A17="","",IFERROR(VLOOKUP(A17,'Job Operations'!$A$4:$AA$304,9,FALSE),""))</f>
        <v>46136</v>
      </c>
      <c r="H17" s="113" t="str" cm="1">
        <f t="array" ref="H17">IF(A17="","",_xlfn.LET(_xlpm.stn,IFERROR(VLOOKUP(A17,'Job Operations'!$A$4:$AA$304,12,FALSE),""),IF(OR(_xlpm.stn="AXYZ 34",_xlpm.stn="AXYZ"),_xlfn.LET(_xlpm.pos,SUMPRODUCT((A$7:A17&lt;&gt;"")*(IFERROR(VLOOKUP(A$7:A17,'Job Operations'!$A$4:$AA$304,12,FALSE),"")="AXYZ 34")+(A$7:A17&lt;&gt;"")*(IFERROR(VLOOKUP(A$7:A17,'Job Operations'!$A$4:$AA$304,12,FALSE),"")="AXYZ")),_xlpm.sfx,IF(OR(_xlpm.pos=11,_xlpm.pos=12,_xlpm.pos=13),"th",IF(MOD(_xlpm.pos,10)=1,"st",IF(MOD(_xlpm.pos,10)=2,"nd",IF(MOD(_xlpm.pos,10)=3,"rd","th")))),_xlpm.pos&amp;_xlpm.sfx),IF(_xlpm.stn&lt;&gt;"",_xlpm.stn,""))))</f>
        <v>Sketch</v>
      </c>
      <c r="I17" s="115">
        <f t="shared" si="0"/>
        <v>12</v>
      </c>
      <c r="J17" s="114">
        <f t="shared" ref="J17:J48" si="2">IF(OR(A17="",G17=""),"",WORKDAY.INTL(G17,-(5+CEILING(I17/8,1)),"0000001"))</f>
        <v>46128</v>
      </c>
      <c r="K17" s="113" t="str">
        <f>IF(A17="","",IFERROR(VLOOKUP(A17,'Job Operations'!$A$4:$AA$304,15,FALSE),""))</f>
        <v>Clean and Brake</v>
      </c>
      <c r="L17" s="113" t="str">
        <f>IF(A17="","",IFERROR(VLOOKUP(A17,'Job Operations'!$A$4:$AA$304,17,FALSE),""))</f>
        <v>Fab</v>
      </c>
      <c r="M17" s="136" t="str">
        <f>IF(A17="","",IF(IFERROR(VLOOKUP(A17,Notes!A:B,2,FALSE),"")=0,"",VLOOKUP(A17,Notes!A:B,2,FALSE)))</f>
        <v>04/16/2026…Sketch</v>
      </c>
    </row>
    <row r="18" spans="1:13" ht="15" customHeight="1" x14ac:dyDescent="0.25">
      <c r="A18" s="111" t="str">
        <v>24051-FS91</v>
      </c>
      <c r="B18" s="112" t="str">
        <f>IF(A18="","",IFERROR(VLOOKUP(A18,'Job Operations'!$A$4:$AA$304,2,FALSE),""))</f>
        <v>TN Titans Stadium</v>
      </c>
      <c r="C18" s="113" t="str">
        <f>IF(A18="","",IFERROR(VLOOKUP(A18,'Job Operations'!$A$4:$AA$304,3,FALSE),""))</f>
        <v>Marc Ribar</v>
      </c>
      <c r="D18" s="113">
        <f>IF(A18="","",IFERROR(VLOOKUP(A18,'Job Operations'!$A$4:$AA$304,5,FALSE),""))</f>
        <v>36</v>
      </c>
      <c r="E18" s="113">
        <f>IF(A18="","",IFERROR(VLOOKUP(A18,'Job Operations'!$A$4:$AA$304,6,FALSE),""))</f>
        <v>0</v>
      </c>
      <c r="F18" s="113" t="str">
        <f>IF(A18="","",IFERROR(VLOOKUP(A18,'Job Operations'!$A$4:$AA$304,7,FALSE),""))</f>
        <v>FR ACM</v>
      </c>
      <c r="G18" s="114">
        <f>IF(A18="","",IFERROR(VLOOKUP(A18,'Job Operations'!$A$4:$AA$304,9,FALSE),""))</f>
        <v>46136</v>
      </c>
      <c r="H18" s="113" t="str" cm="1">
        <f t="array" ref="H18">IF(A18="","",_xlfn.LET(_xlpm.stn,IFERROR(VLOOKUP(A18,'Job Operations'!$A$4:$AA$304,12,FALSE),""),IF(OR(_xlpm.stn="AXYZ 34",_xlpm.stn="AXYZ"),_xlfn.LET(_xlpm.pos,SUMPRODUCT((A$7:A18&lt;&gt;"")*(IFERROR(VLOOKUP(A$7:A18,'Job Operations'!$A$4:$AA$304,12,FALSE),"")="AXYZ 34")+(A$7:A18&lt;&gt;"")*(IFERROR(VLOOKUP(A$7:A18,'Job Operations'!$A$4:$AA$304,12,FALSE),"")="AXYZ")),_xlpm.sfx,IF(OR(_xlpm.pos=11,_xlpm.pos=12,_xlpm.pos=13),"th",IF(MOD(_xlpm.pos,10)=1,"st",IF(MOD(_xlpm.pos,10)=2,"nd",IF(MOD(_xlpm.pos,10)=3,"rd","th")))),_xlpm.pos&amp;_xlpm.sfx),IF(_xlpm.stn&lt;&gt;"",_xlpm.stn,""))))</f>
        <v>Float</v>
      </c>
      <c r="I18" s="115">
        <f t="shared" si="0"/>
        <v>5.1428571428571432</v>
      </c>
      <c r="J18" s="114">
        <f t="shared" si="2"/>
        <v>46129</v>
      </c>
      <c r="K18" s="113" t="str">
        <f>IF(A18="","",IFERROR(VLOOKUP(A18,'Job Operations'!$A$4:$AA$304,15,FALSE),""))</f>
        <v>Clean and Brake</v>
      </c>
      <c r="L18" s="113" t="str">
        <f>IF(A18="","",IFERROR(VLOOKUP(A18,'Job Operations'!$A$4:$AA$304,17,FALSE),""))</f>
        <v>Fab</v>
      </c>
      <c r="M18" s="136" t="str">
        <f>IF(A18="","",IF(IFERROR(VLOOKUP(A18,Notes!A:B,2,FALSE),"")=0,"",VLOOKUP(A18,Notes!A:B,2,FALSE)))</f>
        <v>04/16/2026…Float</v>
      </c>
    </row>
    <row r="19" spans="1:13" ht="15" customHeight="1" x14ac:dyDescent="0.25">
      <c r="A19" s="111" t="str">
        <v>24079-RM01</v>
      </c>
      <c r="B19" s="112" t="str">
        <f>IF(A19="","",IFERROR(VLOOKUP(A19,'Job Operations'!$A$4:$AA$304,2,FALSE),""))</f>
        <v>Nashville Youth Campus</v>
      </c>
      <c r="C19" s="113" t="str">
        <f>IF(A19="","",IFERROR(VLOOKUP(A19,'Job Operations'!$A$4:$AA$304,3,FALSE),""))</f>
        <v>Joe Hoyle</v>
      </c>
      <c r="D19" s="113">
        <f>IF(A19="","",IFERROR(VLOOKUP(A19,'Job Operations'!$A$4:$AA$304,5,FALSE),""))</f>
        <v>37</v>
      </c>
      <c r="E19" s="113">
        <f>IF(A19="","",IFERROR(VLOOKUP(A19,'Job Operations'!$A$4:$AA$304,6,FALSE),""))</f>
        <v>39</v>
      </c>
      <c r="F19" s="113" t="str">
        <f>IF(A19="","",IFERROR(VLOOKUP(A19,'Job Operations'!$A$4:$AA$304,7,FALSE),""))</f>
        <v>FR ACM</v>
      </c>
      <c r="G19" s="114">
        <f>IF(A19="","",IFERROR(VLOOKUP(A19,'Job Operations'!$A$4:$AA$304,9,FALSE),""))</f>
        <v>46136</v>
      </c>
      <c r="H19" s="113" t="str" cm="1">
        <f t="array" ref="H19">IF(A19="","",_xlfn.LET(_xlpm.stn,IFERROR(VLOOKUP(A19,'Job Operations'!$A$4:$AA$304,12,FALSE),""),IF(OR(_xlpm.stn="AXYZ 34",_xlpm.stn="AXYZ"),_xlfn.LET(_xlpm.pos,SUMPRODUCT((A$7:A19&lt;&gt;"")*(IFERROR(VLOOKUP(A$7:A19,'Job Operations'!$A$4:$AA$304,12,FALSE),"")="AXYZ 34")+(A$7:A19&lt;&gt;"")*(IFERROR(VLOOKUP(A$7:A19,'Job Operations'!$A$4:$AA$304,12,FALSE),"")="AXYZ")),_xlpm.sfx,IF(OR(_xlpm.pos=11,_xlpm.pos=12,_xlpm.pos=13),"th",IF(MOD(_xlpm.pos,10)=1,"st",IF(MOD(_xlpm.pos,10)=2,"nd",IF(MOD(_xlpm.pos,10)=3,"rd","th")))),_xlpm.pos&amp;_xlpm.sfx),IF(_xlpm.stn&lt;&gt;"",_xlpm.stn,""))))</f>
        <v>Sketch</v>
      </c>
      <c r="I19" s="115">
        <f t="shared" si="0"/>
        <v>5.2857142857142856</v>
      </c>
      <c r="J19" s="114">
        <f t="shared" si="2"/>
        <v>46129</v>
      </c>
      <c r="K19" s="113" t="str">
        <f>IF(A19="","",IFERROR(VLOOKUP(A19,'Job Operations'!$A$4:$AA$304,15,FALSE),""))</f>
        <v>Clean and Brake</v>
      </c>
      <c r="L19" s="113" t="str">
        <f>IF(A19="","",IFERROR(VLOOKUP(A19,'Job Operations'!$A$4:$AA$304,17,FALSE),""))</f>
        <v>Fab</v>
      </c>
      <c r="M19" s="136" t="str">
        <f>IF(A19="","",IF(IFERROR(VLOOKUP(A19,Notes!A:B,2,FALSE),"")=0,"",VLOOKUP(A19,Notes!A:B,2,FALSE)))</f>
        <v>04/16/2026…Sketch</v>
      </c>
    </row>
    <row r="20" spans="1:13" ht="15" customHeight="1" x14ac:dyDescent="0.25">
      <c r="A20" s="111" t="str">
        <v>24051-FS93</v>
      </c>
      <c r="B20" s="112" t="str">
        <f>IF(A20="","",IFERROR(VLOOKUP(A20,'Job Operations'!$A$4:$AA$304,2,FALSE),""))</f>
        <v>TN Titans Stadium</v>
      </c>
      <c r="C20" s="113" t="str">
        <f>IF(A20="","",IFERROR(VLOOKUP(A20,'Job Operations'!$A$4:$AA$304,3,FALSE),""))</f>
        <v>Marc Ribar</v>
      </c>
      <c r="D20" s="113">
        <f>IF(A20="","",IFERROR(VLOOKUP(A20,'Job Operations'!$A$4:$AA$304,5,FALSE),""))</f>
        <v>131</v>
      </c>
      <c r="E20" s="113">
        <f>IF(A20="","",IFERROR(VLOOKUP(A20,'Job Operations'!$A$4:$AA$304,6,FALSE),""))</f>
        <v>133</v>
      </c>
      <c r="F20" s="113" t="str">
        <f>IF(A20="","",IFERROR(VLOOKUP(A20,'Job Operations'!$A$4:$AA$304,7,FALSE),""))</f>
        <v>FR ACM</v>
      </c>
      <c r="G20" s="114">
        <f>IF(A20="","",IFERROR(VLOOKUP(A20,'Job Operations'!$A$4:$AA$304,9,FALSE),""))</f>
        <v>46140</v>
      </c>
      <c r="H20" s="113" t="str" cm="1">
        <f t="array" ref="H20">IF(A20="","",_xlfn.LET(_xlpm.stn,IFERROR(VLOOKUP(A20,'Job Operations'!$A$4:$AA$304,12,FALSE),""),IF(OR(_xlpm.stn="AXYZ 34",_xlpm.stn="AXYZ"),_xlfn.LET(_xlpm.pos,SUMPRODUCT((A$7:A20&lt;&gt;"")*(IFERROR(VLOOKUP(A$7:A20,'Job Operations'!$A$4:$AA$304,12,FALSE),"")="AXYZ 34")+(A$7:A20&lt;&gt;"")*(IFERROR(VLOOKUP(A$7:A20,'Job Operations'!$A$4:$AA$304,12,FALSE),"")="AXYZ")),_xlpm.sfx,IF(OR(_xlpm.pos=11,_xlpm.pos=12,_xlpm.pos=13),"th",IF(MOD(_xlpm.pos,10)=1,"st",IF(MOD(_xlpm.pos,10)=2,"nd",IF(MOD(_xlpm.pos,10)=3,"rd","th")))),_xlpm.pos&amp;_xlpm.sfx),IF(_xlpm.stn&lt;&gt;"",_xlpm.stn,""))))</f>
        <v>Correction</v>
      </c>
      <c r="I20" s="115">
        <f t="shared" si="0"/>
        <v>18.714285714285715</v>
      </c>
      <c r="J20" s="114">
        <f t="shared" si="2"/>
        <v>46130</v>
      </c>
      <c r="K20" s="113" t="str">
        <f>IF(A20="","",IFERROR(VLOOKUP(A20,'Job Operations'!$A$4:$AA$304,15,FALSE),""))</f>
        <v>Clean and Brake</v>
      </c>
      <c r="L20" s="113" t="str">
        <f>IF(A20="","",IFERROR(VLOOKUP(A20,'Job Operations'!$A$4:$AA$304,17,FALSE),""))</f>
        <v>Fab</v>
      </c>
      <c r="M20" s="136" t="str">
        <f>IF(A20="","",IF(IFERROR(VLOOKUP(A20,Notes!A:B,2,FALSE),"")=0,"",VLOOKUP(A20,Notes!A:B,2,FALSE)))</f>
        <v>04/14...Next Titans Requesting//Scheduled to be released to the shop 04/20.*04/16/2026…Correction</v>
      </c>
    </row>
    <row r="21" spans="1:13" ht="15" customHeight="1" x14ac:dyDescent="0.25">
      <c r="A21" s="111" t="str">
        <v>25022-RO03</v>
      </c>
      <c r="B21" s="112" t="str">
        <f>IF(A21="","",IFERROR(VLOOKUP(A21,'Job Operations'!$A$4:$AA$304,2,FALSE),""))</f>
        <v>Vantage VA15</v>
      </c>
      <c r="C21" s="113" t="str">
        <f>IF(A21="","",IFERROR(VLOOKUP(A21,'Job Operations'!$A$4:$AA$304,3,FALSE),""))</f>
        <v>Thomas Mooers</v>
      </c>
      <c r="D21" s="113">
        <f>IF(A21="","",IFERROR(VLOOKUP(A21,'Job Operations'!$A$4:$AA$304,5,FALSE),""))</f>
        <v>3</v>
      </c>
      <c r="E21" s="113">
        <f>IF(A21="","",IFERROR(VLOOKUP(A21,'Job Operations'!$A$4:$AA$304,6,FALSE),""))</f>
        <v>3</v>
      </c>
      <c r="F21" s="113" t="str">
        <f>IF(A21="","",IFERROR(VLOOKUP(A21,'Job Operations'!$A$4:$AA$304,7,FALSE),""))</f>
        <v>FR ACM</v>
      </c>
      <c r="G21" s="114">
        <f>IF(A21="","",IFERROR(VLOOKUP(A21,'Job Operations'!$A$4:$AA$304,9,FALSE),""))</f>
        <v>46139</v>
      </c>
      <c r="H21" s="113" t="str" cm="1">
        <f t="array" ref="H21">IF(A21="","",_xlfn.LET(_xlpm.stn,IFERROR(VLOOKUP(A21,'Job Operations'!$A$4:$AA$304,12,FALSE),""),IF(OR(_xlpm.stn="AXYZ 34",_xlpm.stn="AXYZ"),_xlfn.LET(_xlpm.pos,SUMPRODUCT((A$7:A21&lt;&gt;"")*(IFERROR(VLOOKUP(A$7:A21,'Job Operations'!$A$4:$AA$304,12,FALSE),"")="AXYZ 34")+(A$7:A21&lt;&gt;"")*(IFERROR(VLOOKUP(A$7:A21,'Job Operations'!$A$4:$AA$304,12,FALSE),"")="AXYZ")),_xlpm.sfx,IF(OR(_xlpm.pos=11,_xlpm.pos=12,_xlpm.pos=13),"th",IF(MOD(_xlpm.pos,10)=1,"st",IF(MOD(_xlpm.pos,10)=2,"nd",IF(MOD(_xlpm.pos,10)=3,"rd","th")))),_xlpm.pos&amp;_xlpm.sfx),IF(_xlpm.stn&lt;&gt;"",_xlpm.stn,""))))</f>
        <v>3rd</v>
      </c>
      <c r="I21" s="115">
        <f t="shared" si="0"/>
        <v>0.42857142857142855</v>
      </c>
      <c r="J21" s="114">
        <f t="shared" si="2"/>
        <v>46132</v>
      </c>
      <c r="K21" s="113" t="str">
        <f>IF(A21="","",IFERROR(VLOOKUP(A21,'Job Operations'!$A$4:$AA$304,15,FALSE),""))</f>
        <v>Clean and Brake</v>
      </c>
      <c r="L21" s="113" t="str">
        <f>IF(A21="","",IFERROR(VLOOKUP(A21,'Job Operations'!$A$4:$AA$304,17,FALSE),""))</f>
        <v>Fab</v>
      </c>
      <c r="M21" s="136" t="str">
        <f>IF(A21="","",IF(IFERROR(VLOOKUP(A21,Notes!A:B,2,FALSE),"")=0,"",VLOOKUP(A21,Notes!A:B,2,FALSE)))</f>
        <v>04/16/2026…AXYZ 34</v>
      </c>
    </row>
    <row r="22" spans="1:13" ht="15" customHeight="1" x14ac:dyDescent="0.25">
      <c r="A22" s="111" t="str">
        <v>24051-FS94</v>
      </c>
      <c r="B22" s="112" t="str">
        <f>IF(A22="","",IFERROR(VLOOKUP(A22,'Job Operations'!$A$4:$AA$304,2,FALSE),""))</f>
        <v>TN Titans Stadium</v>
      </c>
      <c r="C22" s="113" t="str">
        <f>IF(A22="","",IFERROR(VLOOKUP(A22,'Job Operations'!$A$4:$AA$304,3,FALSE),""))</f>
        <v>Marc Ribar</v>
      </c>
      <c r="D22" s="113">
        <f>IF(A22="","",IFERROR(VLOOKUP(A22,'Job Operations'!$A$4:$AA$304,5,FALSE),""))</f>
        <v>79</v>
      </c>
      <c r="E22" s="113">
        <f>IF(A22="","",IFERROR(VLOOKUP(A22,'Job Operations'!$A$4:$AA$304,6,FALSE),""))</f>
        <v>0</v>
      </c>
      <c r="F22" s="113" t="str">
        <f>IF(A22="","",IFERROR(VLOOKUP(A22,'Job Operations'!$A$4:$AA$304,7,FALSE),""))</f>
        <v>FR ACM</v>
      </c>
      <c r="G22" s="114">
        <f>IF(A22="","",IFERROR(VLOOKUP(A22,'Job Operations'!$A$4:$AA$304,9,FALSE),""))</f>
        <v>46140</v>
      </c>
      <c r="H22" s="113" t="str" cm="1">
        <f t="array" ref="H22">IF(A22="","",_xlfn.LET(_xlpm.stn,IFERROR(VLOOKUP(A22,'Job Operations'!$A$4:$AA$304,12,FALSE),""),IF(OR(_xlpm.stn="AXYZ 34",_xlpm.stn="AXYZ"),_xlfn.LET(_xlpm.pos,SUMPRODUCT((A$7:A22&lt;&gt;"")*(IFERROR(VLOOKUP(A$7:A22,'Job Operations'!$A$4:$AA$304,12,FALSE),"")="AXYZ 34")+(A$7:A22&lt;&gt;"")*(IFERROR(VLOOKUP(A$7:A22,'Job Operations'!$A$4:$AA$304,12,FALSE),"")="AXYZ")),_xlpm.sfx,IF(OR(_xlpm.pos=11,_xlpm.pos=12,_xlpm.pos=13),"th",IF(MOD(_xlpm.pos,10)=1,"st",IF(MOD(_xlpm.pos,10)=2,"nd",IF(MOD(_xlpm.pos,10)=3,"rd","th")))),_xlpm.pos&amp;_xlpm.sfx),IF(_xlpm.stn&lt;&gt;"",_xlpm.stn,""))))</f>
        <v>Float</v>
      </c>
      <c r="I22" s="115">
        <f t="shared" si="0"/>
        <v>11.285714285714286</v>
      </c>
      <c r="J22" s="114">
        <f t="shared" si="2"/>
        <v>46132</v>
      </c>
      <c r="K22" s="113" t="str">
        <f>IF(A22="","",IFERROR(VLOOKUP(A22,'Job Operations'!$A$4:$AA$304,15,FALSE),""))</f>
        <v>Clean and Brake</v>
      </c>
      <c r="L22" s="113" t="str">
        <f>IF(A22="","",IFERROR(VLOOKUP(A22,'Job Operations'!$A$4:$AA$304,17,FALSE),""))</f>
        <v>Fab</v>
      </c>
      <c r="M22" s="136" t="str">
        <f>IF(A22="","",IF(IFERROR(VLOOKUP(A22,Notes!A:B,2,FALSE),"")=0,"",VLOOKUP(A22,Notes!A:B,2,FALSE)))</f>
        <v>04/16/2026…Float</v>
      </c>
    </row>
    <row r="23" spans="1:13" ht="15" customHeight="1" x14ac:dyDescent="0.25">
      <c r="A23" s="111" t="str">
        <v>24051-FS95</v>
      </c>
      <c r="B23" s="112" t="str">
        <f>IF(A23="","",IFERROR(VLOOKUP(A23,'Job Operations'!$A$4:$AA$304,2,FALSE),""))</f>
        <v>TN Titans Stadium</v>
      </c>
      <c r="C23" s="113" t="str">
        <f>IF(A23="","",IFERROR(VLOOKUP(A23,'Job Operations'!$A$4:$AA$304,3,FALSE),""))</f>
        <v>Marc Ribar</v>
      </c>
      <c r="D23" s="113">
        <f>IF(A23="","",IFERROR(VLOOKUP(A23,'Job Operations'!$A$4:$AA$304,5,FALSE),""))</f>
        <v>96</v>
      </c>
      <c r="E23" s="113">
        <f>IF(A23="","",IFERROR(VLOOKUP(A23,'Job Operations'!$A$4:$AA$304,6,FALSE),""))</f>
        <v>0</v>
      </c>
      <c r="F23" s="113" t="str">
        <f>IF(A23="","",IFERROR(VLOOKUP(A23,'Job Operations'!$A$4:$AA$304,7,FALSE),""))</f>
        <v>FR ACM</v>
      </c>
      <c r="G23" s="114">
        <f>IF(A23="","",IFERROR(VLOOKUP(A23,'Job Operations'!$A$4:$AA$304,9,FALSE),""))</f>
        <v>46140</v>
      </c>
      <c r="H23" s="113" t="str" cm="1">
        <f t="array" ref="H23">IF(A23="","",_xlfn.LET(_xlpm.stn,IFERROR(VLOOKUP(A23,'Job Operations'!$A$4:$AA$304,12,FALSE),""),IF(OR(_xlpm.stn="AXYZ 34",_xlpm.stn="AXYZ"),_xlfn.LET(_xlpm.pos,SUMPRODUCT((A$7:A23&lt;&gt;"")*(IFERROR(VLOOKUP(A$7:A23,'Job Operations'!$A$4:$AA$304,12,FALSE),"")="AXYZ 34")+(A$7:A23&lt;&gt;"")*(IFERROR(VLOOKUP(A$7:A23,'Job Operations'!$A$4:$AA$304,12,FALSE),"")="AXYZ")),_xlpm.sfx,IF(OR(_xlpm.pos=11,_xlpm.pos=12,_xlpm.pos=13),"th",IF(MOD(_xlpm.pos,10)=1,"st",IF(MOD(_xlpm.pos,10)=2,"nd",IF(MOD(_xlpm.pos,10)=3,"rd","th")))),_xlpm.pos&amp;_xlpm.sfx),IF(_xlpm.stn&lt;&gt;"",_xlpm.stn,""))))</f>
        <v>Float</v>
      </c>
      <c r="I23" s="115">
        <f t="shared" si="0"/>
        <v>13.714285714285714</v>
      </c>
      <c r="J23" s="114">
        <f t="shared" si="2"/>
        <v>46132</v>
      </c>
      <c r="K23" s="113" t="str">
        <f>IF(A23="","",IFERROR(VLOOKUP(A23,'Job Operations'!$A$4:$AA$304,15,FALSE),""))</f>
        <v>Clean and Brake</v>
      </c>
      <c r="L23" s="113" t="str">
        <f>IF(A23="","",IFERROR(VLOOKUP(A23,'Job Operations'!$A$4:$AA$304,17,FALSE),""))</f>
        <v>Fab</v>
      </c>
      <c r="M23" s="136" t="str">
        <f>IF(A23="","",IF(IFERROR(VLOOKUP(A23,Notes!A:B,2,FALSE),"")=0,"",VLOOKUP(A23,Notes!A:B,2,FALSE)))</f>
        <v>04/16/2026…Float</v>
      </c>
    </row>
    <row r="24" spans="1:13" ht="15" customHeight="1" x14ac:dyDescent="0.25">
      <c r="A24" s="111" t="str">
        <v>24051-FS228</v>
      </c>
      <c r="B24" s="112" t="str">
        <f>IF(A24="","",IFERROR(VLOOKUP(A24,'Job Operations'!$A$4:$AA$304,2,FALSE),""))</f>
        <v>TN Titans Stadium</v>
      </c>
      <c r="C24" s="113" t="str">
        <f>IF(A24="","",IFERROR(VLOOKUP(A24,'Job Operations'!$A$4:$AA$304,3,FALSE),""))</f>
        <v>Marc Ribar</v>
      </c>
      <c r="D24" s="113">
        <f>IF(A24="","",IFERROR(VLOOKUP(A24,'Job Operations'!$A$4:$AA$304,5,FALSE),""))</f>
        <v>95</v>
      </c>
      <c r="E24" s="113">
        <f>IF(A24="","",IFERROR(VLOOKUP(A24,'Job Operations'!$A$4:$AA$304,6,FALSE),""))</f>
        <v>0</v>
      </c>
      <c r="F24" s="113" t="str">
        <f>IF(A24="","",IFERROR(VLOOKUP(A24,'Job Operations'!$A$4:$AA$304,7,FALSE),""))</f>
        <v>FR ACM</v>
      </c>
      <c r="G24" s="114">
        <f>IF(A24="","",IFERROR(VLOOKUP(A24,'Job Operations'!$A$4:$AA$304,9,FALSE),""))</f>
        <v>46140</v>
      </c>
      <c r="H24" s="113" t="str" cm="1">
        <f t="array" ref="H24">IF(A24="","",_xlfn.LET(_xlpm.stn,IFERROR(VLOOKUP(A24,'Job Operations'!$A$4:$AA$304,12,FALSE),""),IF(OR(_xlpm.stn="AXYZ 34",_xlpm.stn="AXYZ"),_xlfn.LET(_xlpm.pos,SUMPRODUCT((A$7:A24&lt;&gt;"")*(IFERROR(VLOOKUP(A$7:A24,'Job Operations'!$A$4:$AA$304,12,FALSE),"")="AXYZ 34")+(A$7:A24&lt;&gt;"")*(IFERROR(VLOOKUP(A$7:A24,'Job Operations'!$A$4:$AA$304,12,FALSE),"")="AXYZ")),_xlpm.sfx,IF(OR(_xlpm.pos=11,_xlpm.pos=12,_xlpm.pos=13),"th",IF(MOD(_xlpm.pos,10)=1,"st",IF(MOD(_xlpm.pos,10)=2,"nd",IF(MOD(_xlpm.pos,10)=3,"rd","th")))),_xlpm.pos&amp;_xlpm.sfx),IF(_xlpm.stn&lt;&gt;"",_xlpm.stn,""))))</f>
        <v>Float</v>
      </c>
      <c r="I24" s="115">
        <f t="shared" si="0"/>
        <v>13.571428571428571</v>
      </c>
      <c r="J24" s="114">
        <f t="shared" si="2"/>
        <v>46132</v>
      </c>
      <c r="K24" s="113" t="str">
        <f>IF(A24="","",IFERROR(VLOOKUP(A24,'Job Operations'!$A$4:$AA$304,15,FALSE),""))</f>
        <v>Clean and Brake</v>
      </c>
      <c r="L24" s="113" t="str">
        <f>IF(A24="","",IFERROR(VLOOKUP(A24,'Job Operations'!$A$4:$AA$304,17,FALSE),""))</f>
        <v>Fab</v>
      </c>
      <c r="M24" s="136" t="str">
        <f>IF(A24="","",IF(IFERROR(VLOOKUP(A24,Notes!A:B,2,FALSE),"")=0,"",VLOOKUP(A24,Notes!A:B,2,FALSE)))</f>
        <v>04/16/2026…Float</v>
      </c>
    </row>
    <row r="25" spans="1:13" ht="15" customHeight="1" x14ac:dyDescent="0.25">
      <c r="A25" s="111" t="str">
        <v>24051-FS92</v>
      </c>
      <c r="B25" s="112" t="str">
        <f>IF(A25="","",IFERROR(VLOOKUP(A25,'Job Operations'!$A$4:$AA$304,2,FALSE),""))</f>
        <v>TN Titans Stadium</v>
      </c>
      <c r="C25" s="113" t="str">
        <f>IF(A25="","",IFERROR(VLOOKUP(A25,'Job Operations'!$A$4:$AA$304,3,FALSE),""))</f>
        <v>Marc Ribar</v>
      </c>
      <c r="D25" s="113">
        <f>IF(A25="","",IFERROR(VLOOKUP(A25,'Job Operations'!$A$4:$AA$304,5,FALSE),""))</f>
        <v>104</v>
      </c>
      <c r="E25" s="113">
        <f>IF(A25="","",IFERROR(VLOOKUP(A25,'Job Operations'!$A$4:$AA$304,6,FALSE),""))</f>
        <v>0</v>
      </c>
      <c r="F25" s="113" t="str">
        <f>IF(A25="","",IFERROR(VLOOKUP(A25,'Job Operations'!$A$4:$AA$304,7,FALSE),""))</f>
        <v>FR ACM</v>
      </c>
      <c r="G25" s="114">
        <f>IF(A25="","",IFERROR(VLOOKUP(A25,'Job Operations'!$A$4:$AA$304,9,FALSE),""))</f>
        <v>46143</v>
      </c>
      <c r="H25" s="113" t="str" cm="1">
        <f t="array" ref="H25">IF(A25="","",_xlfn.LET(_xlpm.stn,IFERROR(VLOOKUP(A25,'Job Operations'!$A$4:$AA$304,12,FALSE),""),IF(OR(_xlpm.stn="AXYZ 34",_xlpm.stn="AXYZ"),_xlfn.LET(_xlpm.pos,SUMPRODUCT((A$7:A25&lt;&gt;"")*(IFERROR(VLOOKUP(A$7:A25,'Job Operations'!$A$4:$AA$304,12,FALSE),"")="AXYZ 34")+(A$7:A25&lt;&gt;"")*(IFERROR(VLOOKUP(A$7:A25,'Job Operations'!$A$4:$AA$304,12,FALSE),"")="AXYZ")),_xlpm.sfx,IF(OR(_xlpm.pos=11,_xlpm.pos=12,_xlpm.pos=13),"th",IF(MOD(_xlpm.pos,10)=1,"st",IF(MOD(_xlpm.pos,10)=2,"nd",IF(MOD(_xlpm.pos,10)=3,"rd","th")))),_xlpm.pos&amp;_xlpm.sfx),IF(_xlpm.stn&lt;&gt;"",_xlpm.stn,""))))</f>
        <v>Float</v>
      </c>
      <c r="I25" s="115">
        <f t="shared" si="0"/>
        <v>14.857142857142858</v>
      </c>
      <c r="J25" s="114">
        <f t="shared" si="2"/>
        <v>46135</v>
      </c>
      <c r="K25" s="113" t="str">
        <f>IF(A25="","",IFERROR(VLOOKUP(A25,'Job Operations'!$A$4:$AA$304,15,FALSE),""))</f>
        <v>Clean and Brake</v>
      </c>
      <c r="L25" s="113" t="str">
        <f>IF(A25="","",IFERROR(VLOOKUP(A25,'Job Operations'!$A$4:$AA$304,17,FALSE),""))</f>
        <v>Fab</v>
      </c>
      <c r="M25" s="136" t="str">
        <f>IF(A25="","",IF(IFERROR(VLOOKUP(A25,Notes!A:B,2,FALSE),"")=0,"",VLOOKUP(A25,Notes!A:B,2,FALSE)))</f>
        <v>04/16/2026…Float</v>
      </c>
    </row>
    <row r="26" spans="1:13" ht="15" customHeight="1" x14ac:dyDescent="0.25">
      <c r="A26" s="111" t="str">
        <v>24051-FS229</v>
      </c>
      <c r="B26" s="112" t="str">
        <f>IF(A26="","",IFERROR(VLOOKUP(A26,'Job Operations'!$A$4:$AA$304,2,FALSE),""))</f>
        <v>TN Titans Stadium</v>
      </c>
      <c r="C26" s="113" t="str">
        <f>IF(A26="","",IFERROR(VLOOKUP(A26,'Job Operations'!$A$4:$AA$304,3,FALSE),""))</f>
        <v>Marc Ribar</v>
      </c>
      <c r="D26" s="113">
        <f>IF(A26="","",IFERROR(VLOOKUP(A26,'Job Operations'!$A$4:$AA$304,5,FALSE),""))</f>
        <v>109</v>
      </c>
      <c r="E26" s="113">
        <f>IF(A26="","",IFERROR(VLOOKUP(A26,'Job Operations'!$A$4:$AA$304,6,FALSE),""))</f>
        <v>0</v>
      </c>
      <c r="F26" s="113" t="str">
        <f>IF(A26="","",IFERROR(VLOOKUP(A26,'Job Operations'!$A$4:$AA$304,7,FALSE),""))</f>
        <v>FR ACM</v>
      </c>
      <c r="G26" s="114">
        <f>IF(A26="","",IFERROR(VLOOKUP(A26,'Job Operations'!$A$4:$AA$304,9,FALSE),""))</f>
        <v>46143</v>
      </c>
      <c r="H26" s="113" t="str" cm="1">
        <f t="array" ref="H26">IF(A26="","",_xlfn.LET(_xlpm.stn,IFERROR(VLOOKUP(A26,'Job Operations'!$A$4:$AA$304,12,FALSE),""),IF(OR(_xlpm.stn="AXYZ 34",_xlpm.stn="AXYZ"),_xlfn.LET(_xlpm.pos,SUMPRODUCT((A$7:A26&lt;&gt;"")*(IFERROR(VLOOKUP(A$7:A26,'Job Operations'!$A$4:$AA$304,12,FALSE),"")="AXYZ 34")+(A$7:A26&lt;&gt;"")*(IFERROR(VLOOKUP(A$7:A26,'Job Operations'!$A$4:$AA$304,12,FALSE),"")="AXYZ")),_xlpm.sfx,IF(OR(_xlpm.pos=11,_xlpm.pos=12,_xlpm.pos=13),"th",IF(MOD(_xlpm.pos,10)=1,"st",IF(MOD(_xlpm.pos,10)=2,"nd",IF(MOD(_xlpm.pos,10)=3,"rd","th")))),_xlpm.pos&amp;_xlpm.sfx),IF(_xlpm.stn&lt;&gt;"",_xlpm.stn,""))))</f>
        <v>Float</v>
      </c>
      <c r="I26" s="115">
        <f t="shared" si="0"/>
        <v>15.571428571428571</v>
      </c>
      <c r="J26" s="114">
        <f t="shared" si="2"/>
        <v>46135</v>
      </c>
      <c r="K26" s="113" t="str">
        <f>IF(A26="","",IFERROR(VLOOKUP(A26,'Job Operations'!$A$4:$AA$304,15,FALSE),""))</f>
        <v>Clean and Brake</v>
      </c>
      <c r="L26" s="113" t="str">
        <f>IF(A26="","",IFERROR(VLOOKUP(A26,'Job Operations'!$A$4:$AA$304,17,FALSE),""))</f>
        <v>Fab</v>
      </c>
      <c r="M26" s="136" t="str">
        <f>IF(A26="","",IF(IFERROR(VLOOKUP(A26,Notes!A:B,2,FALSE),"")=0,"",VLOOKUP(A26,Notes!A:B,2,FALSE)))</f>
        <v>04/16/2026…Float</v>
      </c>
    </row>
    <row r="27" spans="1:13" ht="15" customHeight="1" x14ac:dyDescent="0.25">
      <c r="A27" s="111" t="str">
        <v>24051-FS230</v>
      </c>
      <c r="B27" s="112" t="str">
        <f>IF(A27="","",IFERROR(VLOOKUP(A27,'Job Operations'!$A$4:$AA$304,2,FALSE),""))</f>
        <v>TN Titans Stadium</v>
      </c>
      <c r="C27" s="113" t="str">
        <f>IF(A27="","",IFERROR(VLOOKUP(A27,'Job Operations'!$A$4:$AA$304,3,FALSE),""))</f>
        <v>Marc Ribar</v>
      </c>
      <c r="D27" s="113">
        <f>IF(A27="","",IFERROR(VLOOKUP(A27,'Job Operations'!$A$4:$AA$304,5,FALSE),""))</f>
        <v>67</v>
      </c>
      <c r="E27" s="113">
        <f>IF(A27="","",IFERROR(VLOOKUP(A27,'Job Operations'!$A$4:$AA$304,6,FALSE),""))</f>
        <v>0</v>
      </c>
      <c r="F27" s="113" t="str">
        <f>IF(A27="","",IFERROR(VLOOKUP(A27,'Job Operations'!$A$4:$AA$304,7,FALSE),""))</f>
        <v>FR ACM</v>
      </c>
      <c r="G27" s="114">
        <f>IF(A27="","",IFERROR(VLOOKUP(A27,'Job Operations'!$A$4:$AA$304,9,FALSE),""))</f>
        <v>46143</v>
      </c>
      <c r="H27" s="113" t="str" cm="1">
        <f t="array" ref="H27">IF(A27="","",_xlfn.LET(_xlpm.stn,IFERROR(VLOOKUP(A27,'Job Operations'!$A$4:$AA$304,12,FALSE),""),IF(OR(_xlpm.stn="AXYZ 34",_xlpm.stn="AXYZ"),_xlfn.LET(_xlpm.pos,SUMPRODUCT((A$7:A27&lt;&gt;"")*(IFERROR(VLOOKUP(A$7:A27,'Job Operations'!$A$4:$AA$304,12,FALSE),"")="AXYZ 34")+(A$7:A27&lt;&gt;"")*(IFERROR(VLOOKUP(A$7:A27,'Job Operations'!$A$4:$AA$304,12,FALSE),"")="AXYZ")),_xlpm.sfx,IF(OR(_xlpm.pos=11,_xlpm.pos=12,_xlpm.pos=13),"th",IF(MOD(_xlpm.pos,10)=1,"st",IF(MOD(_xlpm.pos,10)=2,"nd",IF(MOD(_xlpm.pos,10)=3,"rd","th")))),_xlpm.pos&amp;_xlpm.sfx),IF(_xlpm.stn&lt;&gt;"",_xlpm.stn,""))))</f>
        <v>Float</v>
      </c>
      <c r="I27" s="115">
        <f t="shared" si="0"/>
        <v>9.5714285714285712</v>
      </c>
      <c r="J27" s="114">
        <f t="shared" si="2"/>
        <v>46135</v>
      </c>
      <c r="K27" s="113" t="str">
        <f>IF(A27="","",IFERROR(VLOOKUP(A27,'Job Operations'!$A$4:$AA$304,15,FALSE),""))</f>
        <v>Clean and Brake</v>
      </c>
      <c r="L27" s="113" t="str">
        <f>IF(A27="","",IFERROR(VLOOKUP(A27,'Job Operations'!$A$4:$AA$304,17,FALSE),""))</f>
        <v>Fab</v>
      </c>
      <c r="M27" s="136" t="str">
        <f>IF(A27="","",IF(IFERROR(VLOOKUP(A27,Notes!A:B,2,FALSE),"")=0,"",VLOOKUP(A27,Notes!A:B,2,FALSE)))</f>
        <v>04/16/2026…Float</v>
      </c>
    </row>
    <row r="28" spans="1:13" ht="15" customHeight="1" x14ac:dyDescent="0.25">
      <c r="A28" s="111" t="str">
        <v>24051-FS96</v>
      </c>
      <c r="B28" s="112" t="str">
        <f>IF(A28="","",IFERROR(VLOOKUP(A28,'Job Operations'!$A$4:$AA$304,2,FALSE),""))</f>
        <v>TN Titans Stadium</v>
      </c>
      <c r="C28" s="113" t="str">
        <f>IF(A28="","",IFERROR(VLOOKUP(A28,'Job Operations'!$A$4:$AA$304,3,FALSE),""))</f>
        <v>Marc Ribar</v>
      </c>
      <c r="D28" s="113">
        <f>IF(A28="","",IFERROR(VLOOKUP(A28,'Job Operations'!$A$4:$AA$304,5,FALSE),""))</f>
        <v>52</v>
      </c>
      <c r="E28" s="113">
        <f>IF(A28="","",IFERROR(VLOOKUP(A28,'Job Operations'!$A$4:$AA$304,6,FALSE),""))</f>
        <v>0</v>
      </c>
      <c r="F28" s="113" t="str">
        <f>IF(A28="","",IFERROR(VLOOKUP(A28,'Job Operations'!$A$4:$AA$304,7,FALSE),""))</f>
        <v>FR ACM</v>
      </c>
      <c r="G28" s="114">
        <f>IF(A28="","",IFERROR(VLOOKUP(A28,'Job Operations'!$A$4:$AA$304,9,FALSE),""))</f>
        <v>46143</v>
      </c>
      <c r="H28" s="113" t="str" cm="1">
        <f t="array" ref="H28">IF(A28="","",_xlfn.LET(_xlpm.stn,IFERROR(VLOOKUP(A28,'Job Operations'!$A$4:$AA$304,12,FALSE),""),IF(OR(_xlpm.stn="AXYZ 34",_xlpm.stn="AXYZ"),_xlfn.LET(_xlpm.pos,SUMPRODUCT((A$7:A28&lt;&gt;"")*(IFERROR(VLOOKUP(A$7:A28,'Job Operations'!$A$4:$AA$304,12,FALSE),"")="AXYZ 34")+(A$7:A28&lt;&gt;"")*(IFERROR(VLOOKUP(A$7:A28,'Job Operations'!$A$4:$AA$304,12,FALSE),"")="AXYZ")),_xlpm.sfx,IF(OR(_xlpm.pos=11,_xlpm.pos=12,_xlpm.pos=13),"th",IF(MOD(_xlpm.pos,10)=1,"st",IF(MOD(_xlpm.pos,10)=2,"nd",IF(MOD(_xlpm.pos,10)=3,"rd","th")))),_xlpm.pos&amp;_xlpm.sfx),IF(_xlpm.stn&lt;&gt;"",_xlpm.stn,""))))</f>
        <v>Float</v>
      </c>
      <c r="I28" s="115">
        <f t="shared" si="0"/>
        <v>7.4285714285714288</v>
      </c>
      <c r="J28" s="114">
        <f t="shared" si="2"/>
        <v>46136</v>
      </c>
      <c r="K28" s="113" t="str">
        <f>IF(A28="","",IFERROR(VLOOKUP(A28,'Job Operations'!$A$4:$AA$304,15,FALSE),""))</f>
        <v>Clean and Brake</v>
      </c>
      <c r="L28" s="113" t="str">
        <f>IF(A28="","",IFERROR(VLOOKUP(A28,'Job Operations'!$A$4:$AA$304,17,FALSE),""))</f>
        <v>Fab</v>
      </c>
      <c r="M28" s="136" t="str">
        <f>IF(A28="","",IF(IFERROR(VLOOKUP(A28,Notes!A:B,2,FALSE),"")=0,"",VLOOKUP(A28,Notes!A:B,2,FALSE)))</f>
        <v>04/16/2026…Float</v>
      </c>
    </row>
    <row r="29" spans="1:13" ht="15" customHeight="1" x14ac:dyDescent="0.25">
      <c r="A29" s="111" t="str">
        <v>25006-FS03</v>
      </c>
      <c r="B29" s="112" t="str">
        <f>IF(A29="","",IFERROR(VLOOKUP(A29,'Job Operations'!$A$4:$AA$304,2,FALSE),""))</f>
        <v>MALETA Housing and Dining</v>
      </c>
      <c r="C29" s="113" t="str">
        <f>IF(A29="","",IFERROR(VLOOKUP(A29,'Job Operations'!$A$4:$AA$304,3,FALSE),""))</f>
        <v>Cole Norona</v>
      </c>
      <c r="D29" s="113">
        <f>IF(A29="","",IFERROR(VLOOKUP(A29,'Job Operations'!$A$4:$AA$304,5,FALSE),""))</f>
        <v>216</v>
      </c>
      <c r="E29" s="113">
        <f>IF(A29="","",IFERROR(VLOOKUP(A29,'Job Operations'!$A$4:$AA$304,6,FALSE),""))</f>
        <v>0</v>
      </c>
      <c r="F29" s="113" t="str">
        <f>IF(A29="","",IFERROR(VLOOKUP(A29,'Job Operations'!$A$4:$AA$304,7,FALSE),""))</f>
        <v>FR ACM</v>
      </c>
      <c r="G29" s="114">
        <f>IF(A29="","",IFERROR(VLOOKUP(A29,'Job Operations'!$A$4:$AA$304,9,FALSE),""))</f>
        <v>46147</v>
      </c>
      <c r="H29" s="113" t="str" cm="1">
        <f t="array" ref="H29">IF(A29="","",_xlfn.LET(_xlpm.stn,IFERROR(VLOOKUP(A29,'Job Operations'!$A$4:$AA$304,12,FALSE),""),IF(OR(_xlpm.stn="AXYZ 34",_xlpm.stn="AXYZ"),_xlfn.LET(_xlpm.pos,SUMPRODUCT((A$7:A29&lt;&gt;"")*(IFERROR(VLOOKUP(A$7:A29,'Job Operations'!$A$4:$AA$304,12,FALSE),"")="AXYZ 34")+(A$7:A29&lt;&gt;"")*(IFERROR(VLOOKUP(A$7:A29,'Job Operations'!$A$4:$AA$304,12,FALSE),"")="AXYZ")),_xlpm.sfx,IF(OR(_xlpm.pos=11,_xlpm.pos=12,_xlpm.pos=13),"th",IF(MOD(_xlpm.pos,10)=1,"st",IF(MOD(_xlpm.pos,10)=2,"nd",IF(MOD(_xlpm.pos,10)=3,"rd","th")))),_xlpm.pos&amp;_xlpm.sfx),IF(_xlpm.stn&lt;&gt;"",_xlpm.stn,""))))</f>
        <v>Correction</v>
      </c>
      <c r="I29" s="115">
        <f t="shared" si="0"/>
        <v>30.857142857142858</v>
      </c>
      <c r="J29" s="114">
        <f t="shared" si="2"/>
        <v>46136</v>
      </c>
      <c r="K29" s="113" t="str">
        <f>IF(A29="","",IFERROR(VLOOKUP(A29,'Job Operations'!$A$4:$AA$304,15,FALSE),""))</f>
        <v>Clean and Brake</v>
      </c>
      <c r="L29" s="113" t="str">
        <f>IF(A29="","",IFERROR(VLOOKUP(A29,'Job Operations'!$A$4:$AA$304,17,FALSE),""))</f>
        <v>Fab</v>
      </c>
      <c r="M29" s="136" t="str">
        <f>IF(A29="","",IF(IFERROR(VLOOKUP(A29,Notes!A:B,2,FALSE),"")=0,"",VLOOKUP(A29,Notes!A:B,2,FALSE)))</f>
        <v>Not expected out of engineering before 04/15…Needs to ship 05/12*HOAR*04/16/2026…Correction</v>
      </c>
    </row>
    <row r="30" spans="1:13" ht="15" customHeight="1" x14ac:dyDescent="0.25">
      <c r="A30" s="111" t="str">
        <v>24051-FS231</v>
      </c>
      <c r="B30" s="112" t="str">
        <f>IF(A30="","",IFERROR(VLOOKUP(A30,'Job Operations'!$A$4:$AA$304,2,FALSE),""))</f>
        <v>TN Titans Stadium</v>
      </c>
      <c r="C30" s="113" t="str">
        <f>IF(A30="","",IFERROR(VLOOKUP(A30,'Job Operations'!$A$4:$AA$304,3,FALSE),""))</f>
        <v>Marc Ribar</v>
      </c>
      <c r="D30" s="113">
        <f>IF(A30="","",IFERROR(VLOOKUP(A30,'Job Operations'!$A$4:$AA$304,5,FALSE),""))</f>
        <v>1</v>
      </c>
      <c r="E30" s="113">
        <f>IF(A30="","",IFERROR(VLOOKUP(A30,'Job Operations'!$A$4:$AA$304,6,FALSE),""))</f>
        <v>0</v>
      </c>
      <c r="F30" s="113" t="str">
        <f>IF(A30="","",IFERROR(VLOOKUP(A30,'Job Operations'!$A$4:$AA$304,7,FALSE),""))</f>
        <v>FR ACM</v>
      </c>
      <c r="G30" s="114">
        <f>IF(A30="","",IFERROR(VLOOKUP(A30,'Job Operations'!$A$4:$AA$304,9,FALSE),""))</f>
        <v>46146</v>
      </c>
      <c r="H30" s="113" t="str" cm="1">
        <f t="array" ref="H30">IF(A30="","",_xlfn.LET(_xlpm.stn,IFERROR(VLOOKUP(A30,'Job Operations'!$A$4:$AA$304,12,FALSE),""),IF(OR(_xlpm.stn="AXYZ 34",_xlpm.stn="AXYZ"),_xlfn.LET(_xlpm.pos,SUMPRODUCT((A$7:A30&lt;&gt;"")*(IFERROR(VLOOKUP(A$7:A30,'Job Operations'!$A$4:$AA$304,12,FALSE),"")="AXYZ 34")+(A$7:A30&lt;&gt;"")*(IFERROR(VLOOKUP(A$7:A30,'Job Operations'!$A$4:$AA$304,12,FALSE),"")="AXYZ")),_xlpm.sfx,IF(OR(_xlpm.pos=11,_xlpm.pos=12,_xlpm.pos=13),"th",IF(MOD(_xlpm.pos,10)=1,"st",IF(MOD(_xlpm.pos,10)=2,"nd",IF(MOD(_xlpm.pos,10)=3,"rd","th")))),_xlpm.pos&amp;_xlpm.sfx),IF(_xlpm.stn&lt;&gt;"",_xlpm.stn,""))))</f>
        <v>Float</v>
      </c>
      <c r="I30" s="115">
        <f t="shared" si="0"/>
        <v>0.14285714285714285</v>
      </c>
      <c r="J30" s="114">
        <f t="shared" si="2"/>
        <v>46139</v>
      </c>
      <c r="K30" s="113" t="str">
        <f>IF(A30="","",IFERROR(VLOOKUP(A30,'Job Operations'!$A$4:$AA$304,15,FALSE),""))</f>
        <v>Clean and Brake</v>
      </c>
      <c r="L30" s="113" t="str">
        <f>IF(A30="","",IFERROR(VLOOKUP(A30,'Job Operations'!$A$4:$AA$304,17,FALSE),""))</f>
        <v>Fab</v>
      </c>
      <c r="M30" s="136" t="str">
        <f>IF(A30="","",IF(IFERROR(VLOOKUP(A30,Notes!A:B,2,FALSE),"")=0,"",VLOOKUP(A30,Notes!A:B,2,FALSE)))</f>
        <v>04/16/2026…Float</v>
      </c>
    </row>
    <row r="31" spans="1:13" ht="15" customHeight="1" x14ac:dyDescent="0.25">
      <c r="A31" s="111" t="str">
        <v>24074-FS08</v>
      </c>
      <c r="B31" s="112" t="str">
        <f>IF(A31="","",IFERROR(VLOOKUP(A31,'Job Operations'!$A$4:$AA$304,2,FALSE),""))</f>
        <v>DIDD ACM</v>
      </c>
      <c r="C31" s="113" t="str">
        <f>IF(A31="","",IFERROR(VLOOKUP(A31,'Job Operations'!$A$4:$AA$304,3,FALSE),""))</f>
        <v>Dillon Bowman</v>
      </c>
      <c r="D31" s="113">
        <f>IF(A31="","",IFERROR(VLOOKUP(A31,'Job Operations'!$A$4:$AA$304,5,FALSE),""))</f>
        <v>186</v>
      </c>
      <c r="E31" s="113">
        <f>IF(A31="","",IFERROR(VLOOKUP(A31,'Job Operations'!$A$4:$AA$304,6,FALSE),""))</f>
        <v>0</v>
      </c>
      <c r="F31" s="113" t="str">
        <f>IF(A31="","",IFERROR(VLOOKUP(A31,'Job Operations'!$A$4:$AA$304,7,FALSE),""))</f>
        <v>FR ACM</v>
      </c>
      <c r="G31" s="114">
        <f>IF(A31="","",IFERROR(VLOOKUP(A31,'Job Operations'!$A$4:$AA$304,9,FALSE),""))</f>
        <v>46149</v>
      </c>
      <c r="H31" s="113" t="str" cm="1">
        <f t="array" ref="H31">IF(A31="","",_xlfn.LET(_xlpm.stn,IFERROR(VLOOKUP(A31,'Job Operations'!$A$4:$AA$304,12,FALSE),""),IF(OR(_xlpm.stn="AXYZ 34",_xlpm.stn="AXYZ"),_xlfn.LET(_xlpm.pos,SUMPRODUCT((A$7:A31&lt;&gt;"")*(IFERROR(VLOOKUP(A$7:A31,'Job Operations'!$A$4:$AA$304,12,FALSE),"")="AXYZ 34")+(A$7:A31&lt;&gt;"")*(IFERROR(VLOOKUP(A$7:A31,'Job Operations'!$A$4:$AA$304,12,FALSE),"")="AXYZ")),_xlpm.sfx,IF(OR(_xlpm.pos=11,_xlpm.pos=12,_xlpm.pos=13),"th",IF(MOD(_xlpm.pos,10)=1,"st",IF(MOD(_xlpm.pos,10)=2,"nd",IF(MOD(_xlpm.pos,10)=3,"rd","th")))),_xlpm.pos&amp;_xlpm.sfx),IF(_xlpm.stn&lt;&gt;"",_xlpm.stn,""))))</f>
        <v>LO Check</v>
      </c>
      <c r="I31" s="115">
        <f t="shared" si="0"/>
        <v>26.571428571428573</v>
      </c>
      <c r="J31" s="114">
        <f t="shared" si="2"/>
        <v>46139</v>
      </c>
      <c r="K31" s="113" t="str">
        <f>IF(A31="","",IFERROR(VLOOKUP(A31,'Job Operations'!$A$4:$AA$304,15,FALSE),""))</f>
        <v>Clean and Brake</v>
      </c>
      <c r="L31" s="113" t="str">
        <f>IF(A31="","",IFERROR(VLOOKUP(A31,'Job Operations'!$A$4:$AA$304,17,FALSE),""))</f>
        <v>Fab</v>
      </c>
      <c r="M31" s="136" t="str">
        <f>IF(A31="","",IF(IFERROR(VLOOKUP(A31,Notes!A:B,2,FALSE),"")=0,"",VLOOKUP(A31,Notes!A:B,2,FALSE)))</f>
        <v>04/16/2026…LO Check</v>
      </c>
    </row>
    <row r="32" spans="1:13" ht="15" customHeight="1" x14ac:dyDescent="0.25">
      <c r="A32" s="111" t="str">
        <v>25002-FS14</v>
      </c>
      <c r="B32" s="112" t="str">
        <f>IF(A32="","",IFERROR(VLOOKUP(A32,'Job Operations'!$A$4:$AA$304,2,FALSE),""))</f>
        <v>Med Center Health</v>
      </c>
      <c r="C32" s="113" t="str">
        <f>IF(A32="","",IFERROR(VLOOKUP(A32,'Job Operations'!$A$4:$AA$304,3,FALSE),""))</f>
        <v>Carlos Silva</v>
      </c>
      <c r="D32" s="113" t="str">
        <f>IF(A32="","",IFERROR(VLOOKUP(A32,'Job Operations'!$A$4:$AA$304,5,FALSE),""))</f>
        <v>00</v>
      </c>
      <c r="E32" s="113">
        <f>IF(A32="","",IFERROR(VLOOKUP(A32,'Job Operations'!$A$4:$AA$304,6,FALSE),""))</f>
        <v>0</v>
      </c>
      <c r="F32" s="113" t="str">
        <f>IF(A32="","",IFERROR(VLOOKUP(A32,'Job Operations'!$A$4:$AA$304,7,FALSE),""))</f>
        <v>FR ACM</v>
      </c>
      <c r="G32" s="114">
        <f>IF(A32="","",IFERROR(VLOOKUP(A32,'Job Operations'!$A$4:$AA$304,9,FALSE),""))</f>
        <v>46146</v>
      </c>
      <c r="H32" s="113" t="str" cm="1">
        <f t="array" ref="H32">IF(A32="","",_xlfn.LET(_xlpm.stn,IFERROR(VLOOKUP(A32,'Job Operations'!$A$4:$AA$304,12,FALSE),""),IF(OR(_xlpm.stn="AXYZ 34",_xlpm.stn="AXYZ"),_xlfn.LET(_xlpm.pos,SUMPRODUCT((A$7:A32&lt;&gt;"")*(IFERROR(VLOOKUP(A$7:A32,'Job Operations'!$A$4:$AA$304,12,FALSE),"")="AXYZ 34")+(A$7:A32&lt;&gt;"")*(IFERROR(VLOOKUP(A$7:A32,'Job Operations'!$A$4:$AA$304,12,FALSE),"")="AXYZ")),_xlpm.sfx,IF(OR(_xlpm.pos=11,_xlpm.pos=12,_xlpm.pos=13),"th",IF(MOD(_xlpm.pos,10)=1,"st",IF(MOD(_xlpm.pos,10)=2,"nd",IF(MOD(_xlpm.pos,10)=3,"rd","th")))),_xlpm.pos&amp;_xlpm.sfx),IF(_xlpm.stn&lt;&gt;"",_xlpm.stn,""))))</f>
        <v>Evaluation</v>
      </c>
      <c r="I32" s="115">
        <f t="shared" si="0"/>
        <v>0</v>
      </c>
      <c r="J32" s="114">
        <f t="shared" si="2"/>
        <v>46140</v>
      </c>
      <c r="K32" s="113" t="str">
        <f>IF(A32="","",IFERROR(VLOOKUP(A32,'Job Operations'!$A$4:$AA$304,15,FALSE),""))</f>
        <v>Clean and Brake</v>
      </c>
      <c r="L32" s="113" t="str">
        <f>IF(A32="","",IFERROR(VLOOKUP(A32,'Job Operations'!$A$4:$AA$304,17,FALSE),""))</f>
        <v>Fab</v>
      </c>
      <c r="M32" s="136" t="str">
        <f>IF(A32="","",IF(IFERROR(VLOOKUP(A32,Notes!A:B,2,FALSE),"")=0,"",VLOOKUP(A32,Notes!A:B,2,FALSE)))</f>
        <v>04/16/2026…Evaluation</v>
      </c>
    </row>
    <row r="33" spans="1:13" ht="15" customHeight="1" x14ac:dyDescent="0.25">
      <c r="A33" s="111" t="str">
        <v>24079-FS103</v>
      </c>
      <c r="B33" s="112" t="str">
        <f>IF(A33="","",IFERROR(VLOOKUP(A33,'Job Operations'!$A$4:$AA$304,2,FALSE),""))</f>
        <v>Nashville Youth Campus</v>
      </c>
      <c r="C33" s="113" t="str">
        <f>IF(A33="","",IFERROR(VLOOKUP(A33,'Job Operations'!$A$4:$AA$304,3,FALSE),""))</f>
        <v>Joe Hoyle</v>
      </c>
      <c r="D33" s="113">
        <f>IF(A33="","",IFERROR(VLOOKUP(A33,'Job Operations'!$A$4:$AA$304,5,FALSE),""))</f>
        <v>111</v>
      </c>
      <c r="E33" s="113">
        <f>IF(A33="","",IFERROR(VLOOKUP(A33,'Job Operations'!$A$4:$AA$304,6,FALSE),""))</f>
        <v>0</v>
      </c>
      <c r="F33" s="113" t="str">
        <f>IF(A33="","",IFERROR(VLOOKUP(A33,'Job Operations'!$A$4:$AA$304,7,FALSE),""))</f>
        <v>FR ACM</v>
      </c>
      <c r="G33" s="114">
        <f>IF(A33="","",IFERROR(VLOOKUP(A33,'Job Operations'!$A$4:$AA$304,9,FALSE),""))</f>
        <v>46153</v>
      </c>
      <c r="H33" s="113" t="str" cm="1">
        <f t="array" ref="H33">IF(A33="","",_xlfn.LET(_xlpm.stn,IFERROR(VLOOKUP(A33,'Job Operations'!$A$4:$AA$304,12,FALSE),""),IF(OR(_xlpm.stn="AXYZ 34",_xlpm.stn="AXYZ"),_xlfn.LET(_xlpm.pos,SUMPRODUCT((A$7:A33&lt;&gt;"")*(IFERROR(VLOOKUP(A$7:A33,'Job Operations'!$A$4:$AA$304,12,FALSE),"")="AXYZ 34")+(A$7:A33&lt;&gt;"")*(IFERROR(VLOOKUP(A$7:A33,'Job Operations'!$A$4:$AA$304,12,FALSE),"")="AXYZ")),_xlpm.sfx,IF(OR(_xlpm.pos=11,_xlpm.pos=12,_xlpm.pos=13),"th",IF(MOD(_xlpm.pos,10)=1,"st",IF(MOD(_xlpm.pos,10)=2,"nd",IF(MOD(_xlpm.pos,10)=3,"rd","th")))),_xlpm.pos&amp;_xlpm.sfx),IF(_xlpm.stn&lt;&gt;"",_xlpm.stn,""))))</f>
        <v>LO Check</v>
      </c>
      <c r="I33" s="115">
        <f t="shared" si="0"/>
        <v>15.857142857142858</v>
      </c>
      <c r="J33" s="114">
        <f t="shared" si="2"/>
        <v>46144</v>
      </c>
      <c r="K33" s="113" t="str">
        <f>IF(A33="","",IFERROR(VLOOKUP(A33,'Job Operations'!$A$4:$AA$304,15,FALSE),""))</f>
        <v>Clean and Brake</v>
      </c>
      <c r="L33" s="113" t="str">
        <f>IF(A33="","",IFERROR(VLOOKUP(A33,'Job Operations'!$A$4:$AA$304,17,FALSE),""))</f>
        <v>Fab</v>
      </c>
      <c r="M33" s="136" t="str">
        <f>IF(A33="","",IF(IFERROR(VLOOKUP(A33,Notes!A:B,2,FALSE),"")=0,"",VLOOKUP(A33,Notes!A:B,2,FALSE)))</f>
        <v>04/16/2026…LO Check</v>
      </c>
    </row>
    <row r="34" spans="1:13" ht="15" customHeight="1" x14ac:dyDescent="0.25">
      <c r="A34" s="111" t="str">
        <v>25010-FS09</v>
      </c>
      <c r="B34" s="112" t="str">
        <f>IF(A34="","",IFERROR(VLOOKUP(A34,'Job Operations'!$A$4:$AA$304,2,FALSE),""))</f>
        <v>TOA Spring Hill MOB</v>
      </c>
      <c r="C34" s="113" t="str">
        <f>IF(A34="","",IFERROR(VLOOKUP(A34,'Job Operations'!$A$4:$AA$304,3,FALSE),""))</f>
        <v>Cole Norona</v>
      </c>
      <c r="D34" s="113">
        <f>IF(A34="","",IFERROR(VLOOKUP(A34,'Job Operations'!$A$4:$AA$304,5,FALSE),""))</f>
        <v>111</v>
      </c>
      <c r="E34" s="113">
        <f>IF(A34="","",IFERROR(VLOOKUP(A34,'Job Operations'!$A$4:$AA$304,6,FALSE),""))</f>
        <v>0</v>
      </c>
      <c r="F34" s="113" t="str">
        <f>IF(A34="","",IFERROR(VLOOKUP(A34,'Job Operations'!$A$4:$AA$304,7,FALSE),""))</f>
        <v>FR ACM</v>
      </c>
      <c r="G34" s="114">
        <f>IF(A34="","",IFERROR(VLOOKUP(A34,'Job Operations'!$A$4:$AA$304,9,FALSE),""))</f>
        <v>46153</v>
      </c>
      <c r="H34" s="113" t="str" cm="1">
        <f t="array" ref="H34">IF(A34="","",_xlfn.LET(_xlpm.stn,IFERROR(VLOOKUP(A34,'Job Operations'!$A$4:$AA$304,12,FALSE),""),IF(OR(_xlpm.stn="AXYZ 34",_xlpm.stn="AXYZ"),_xlfn.LET(_xlpm.pos,SUMPRODUCT((A$7:A34&lt;&gt;"")*(IFERROR(VLOOKUP(A$7:A34,'Job Operations'!$A$4:$AA$304,12,FALSE),"")="AXYZ 34")+(A$7:A34&lt;&gt;"")*(IFERROR(VLOOKUP(A$7:A34,'Job Operations'!$A$4:$AA$304,12,FALSE),"")="AXYZ")),_xlpm.sfx,IF(OR(_xlpm.pos=11,_xlpm.pos=12,_xlpm.pos=13),"th",IF(MOD(_xlpm.pos,10)=1,"st",IF(MOD(_xlpm.pos,10)=2,"nd",IF(MOD(_xlpm.pos,10)=3,"rd","th")))),_xlpm.pos&amp;_xlpm.sfx),IF(_xlpm.stn&lt;&gt;"",_xlpm.stn,""))))</f>
        <v>Correction</v>
      </c>
      <c r="I34" s="115">
        <f t="shared" si="0"/>
        <v>15.857142857142858</v>
      </c>
      <c r="J34" s="114">
        <f t="shared" si="2"/>
        <v>46144</v>
      </c>
      <c r="K34" s="113" t="str">
        <f>IF(A34="","",IFERROR(VLOOKUP(A34,'Job Operations'!$A$4:$AA$304,15,FALSE),""))</f>
        <v>Clean and Brake</v>
      </c>
      <c r="L34" s="113" t="str">
        <f>IF(A34="","",IFERROR(VLOOKUP(A34,'Job Operations'!$A$4:$AA$304,17,FALSE),""))</f>
        <v>Fab</v>
      </c>
      <c r="M34" s="136" t="str">
        <f>IF(A34="","",IF(IFERROR(VLOOKUP(A34,Notes!A:B,2,FALSE),"")=0,"",VLOOKUP(A34,Notes!A:B,2,FALSE)))</f>
        <v>04/16/2026…Correction</v>
      </c>
    </row>
    <row r="35" spans="1:13" ht="15" customHeight="1" x14ac:dyDescent="0.25">
      <c r="A35" s="111" t="str">
        <v>25006-FS05</v>
      </c>
      <c r="B35" s="112" t="str">
        <f>IF(A35="","",IFERROR(VLOOKUP(A35,'Job Operations'!$A$4:$AA$304,2,FALSE),""))</f>
        <v>MALETA Housing and Dining</v>
      </c>
      <c r="C35" s="113" t="str">
        <f>IF(A35="","",IFERROR(VLOOKUP(A35,'Job Operations'!$A$4:$AA$304,3,FALSE),""))</f>
        <v>Cole Norona</v>
      </c>
      <c r="D35" s="113">
        <f>IF(A35="","",IFERROR(VLOOKUP(A35,'Job Operations'!$A$4:$AA$304,5,FALSE),""))</f>
        <v>18</v>
      </c>
      <c r="E35" s="113">
        <f>IF(A35="","",IFERROR(VLOOKUP(A35,'Job Operations'!$A$4:$AA$304,6,FALSE),""))</f>
        <v>0</v>
      </c>
      <c r="F35" s="113" t="str">
        <f>IF(A35="","",IFERROR(VLOOKUP(A35,'Job Operations'!$A$4:$AA$304,7,FALSE),""))</f>
        <v>FR ACM</v>
      </c>
      <c r="G35" s="114">
        <f>IF(A35="","",IFERROR(VLOOKUP(A35,'Job Operations'!$A$4:$AA$304,9,FALSE),""))</f>
        <v>46153</v>
      </c>
      <c r="H35" s="113" t="str" cm="1">
        <f t="array" ref="H35">IF(A35="","",_xlfn.LET(_xlpm.stn,IFERROR(VLOOKUP(A35,'Job Operations'!$A$4:$AA$304,12,FALSE),""),IF(OR(_xlpm.stn="AXYZ 34",_xlpm.stn="AXYZ"),_xlfn.LET(_xlpm.pos,SUMPRODUCT((A$7:A35&lt;&gt;"")*(IFERROR(VLOOKUP(A$7:A35,'Job Operations'!$A$4:$AA$304,12,FALSE),"")="AXYZ 34")+(A$7:A35&lt;&gt;"")*(IFERROR(VLOOKUP(A$7:A35,'Job Operations'!$A$4:$AA$304,12,FALSE),"")="AXYZ")),_xlpm.sfx,IF(OR(_xlpm.pos=11,_xlpm.pos=12,_xlpm.pos=13),"th",IF(MOD(_xlpm.pos,10)=1,"st",IF(MOD(_xlpm.pos,10)=2,"nd",IF(MOD(_xlpm.pos,10)=3,"rd","th")))),_xlpm.pos&amp;_xlpm.sfx),IF(_xlpm.stn&lt;&gt;"",_xlpm.stn,""))))</f>
        <v>LO Check</v>
      </c>
      <c r="I35" s="115">
        <f t="shared" si="0"/>
        <v>2.5714285714285716</v>
      </c>
      <c r="J35" s="114">
        <f t="shared" si="2"/>
        <v>46146</v>
      </c>
      <c r="K35" s="113" t="str">
        <f>IF(A35="","",IFERROR(VLOOKUP(A35,'Job Operations'!$A$4:$AA$304,15,FALSE),""))</f>
        <v>Clean and Brake</v>
      </c>
      <c r="L35" s="113" t="str">
        <f>IF(A35="","",IFERROR(VLOOKUP(A35,'Job Operations'!$A$4:$AA$304,17,FALSE),""))</f>
        <v>Fab</v>
      </c>
      <c r="M35" s="136" t="str">
        <f>IF(A35="","",IF(IFERROR(VLOOKUP(A35,Notes!A:B,2,FALSE),"")=0,"",VLOOKUP(A35,Notes!A:B,2,FALSE)))</f>
        <v>Not expected out of engineering before 04/17…Needs to ship 05/12*HOAR*04/16/2026…LO Check</v>
      </c>
    </row>
    <row r="36" spans="1:13" ht="15" customHeight="1" x14ac:dyDescent="0.25">
      <c r="A36" s="111" t="str">
        <v>25002-FS15</v>
      </c>
      <c r="B36" s="112" t="str">
        <f>IF(A36="","",IFERROR(VLOOKUP(A36,'Job Operations'!$A$4:$AA$304,2,FALSE),""))</f>
        <v>Med Center Health</v>
      </c>
      <c r="C36" s="113" t="str">
        <f>IF(A36="","",IFERROR(VLOOKUP(A36,'Job Operations'!$A$4:$AA$304,3,FALSE),""))</f>
        <v>Carlos Silva</v>
      </c>
      <c r="D36" s="113">
        <f>IF(A36="","",IFERROR(VLOOKUP(A36,'Job Operations'!$A$4:$AA$304,5,FALSE),""))</f>
        <v>12</v>
      </c>
      <c r="E36" s="113">
        <f>IF(A36="","",IFERROR(VLOOKUP(A36,'Job Operations'!$A$4:$AA$304,6,FALSE),""))</f>
        <v>0</v>
      </c>
      <c r="F36" s="113" t="str">
        <f>IF(A36="","",IFERROR(VLOOKUP(A36,'Job Operations'!$A$4:$AA$304,7,FALSE),""))</f>
        <v>FR ACM</v>
      </c>
      <c r="G36" s="114">
        <f>IF(A36="","",IFERROR(VLOOKUP(A36,'Job Operations'!$A$4:$AA$304,9,FALSE),""))</f>
        <v>46153</v>
      </c>
      <c r="H36" s="113" t="str" cm="1">
        <f t="array" ref="H36">IF(A36="","",_xlfn.LET(_xlpm.stn,IFERROR(VLOOKUP(A36,'Job Operations'!$A$4:$AA$304,12,FALSE),""),IF(OR(_xlpm.stn="AXYZ 34",_xlpm.stn="AXYZ"),_xlfn.LET(_xlpm.pos,SUMPRODUCT((A$7:A36&lt;&gt;"")*(IFERROR(VLOOKUP(A$7:A36,'Job Operations'!$A$4:$AA$304,12,FALSE),"")="AXYZ 34")+(A$7:A36&lt;&gt;"")*(IFERROR(VLOOKUP(A$7:A36,'Job Operations'!$A$4:$AA$304,12,FALSE),"")="AXYZ")),_xlpm.sfx,IF(OR(_xlpm.pos=11,_xlpm.pos=12,_xlpm.pos=13),"th",IF(MOD(_xlpm.pos,10)=1,"st",IF(MOD(_xlpm.pos,10)=2,"nd",IF(MOD(_xlpm.pos,10)=3,"rd","th")))),_xlpm.pos&amp;_xlpm.sfx),IF(_xlpm.stn&lt;&gt;"",_xlpm.stn,""))))</f>
        <v>Evaluation</v>
      </c>
      <c r="I36" s="115">
        <f t="shared" si="0"/>
        <v>1.7142857142857142</v>
      </c>
      <c r="J36" s="114">
        <f t="shared" si="2"/>
        <v>46146</v>
      </c>
      <c r="K36" s="113" t="str">
        <f>IF(A36="","",IFERROR(VLOOKUP(A36,'Job Operations'!$A$4:$AA$304,15,FALSE),""))</f>
        <v>Clean and Brake</v>
      </c>
      <c r="L36" s="113" t="str">
        <f>IF(A36="","",IFERROR(VLOOKUP(A36,'Job Operations'!$A$4:$AA$304,17,FALSE),""))</f>
        <v>Fab</v>
      </c>
      <c r="M36" s="136" t="str">
        <f>IF(A36="","",IF(IFERROR(VLOOKUP(A36,Notes!A:B,2,FALSE),"")=0,"",VLOOKUP(A36,Notes!A:B,2,FALSE)))</f>
        <v>04/16/2026…Evaluation</v>
      </c>
    </row>
    <row r="37" spans="1:13" ht="15" customHeight="1" x14ac:dyDescent="0.25">
      <c r="A37" s="111" t="str">
        <v>25006-FS04</v>
      </c>
      <c r="B37" s="112" t="str">
        <f>IF(A37="","",IFERROR(VLOOKUP(A37,'Job Operations'!$A$4:$AA$304,2,FALSE),""))</f>
        <v>MALETA Housing and Dining</v>
      </c>
      <c r="C37" s="113" t="str">
        <f>IF(A37="","",IFERROR(VLOOKUP(A37,'Job Operations'!$A$4:$AA$304,3,FALSE),""))</f>
        <v>Cole Norona</v>
      </c>
      <c r="D37" s="113">
        <f>IF(A37="","",IFERROR(VLOOKUP(A37,'Job Operations'!$A$4:$AA$304,5,FALSE),""))</f>
        <v>232</v>
      </c>
      <c r="E37" s="113">
        <f>IF(A37="","",IFERROR(VLOOKUP(A37,'Job Operations'!$A$4:$AA$304,6,FALSE),""))</f>
        <v>0</v>
      </c>
      <c r="F37" s="113" t="str">
        <f>IF(A37="","",IFERROR(VLOOKUP(A37,'Job Operations'!$A$4:$AA$304,7,FALSE),""))</f>
        <v>FR ACM</v>
      </c>
      <c r="G37" s="114">
        <f>IF(A37="","",IFERROR(VLOOKUP(A37,'Job Operations'!$A$4:$AA$304,9,FALSE),""))</f>
        <v>46157</v>
      </c>
      <c r="H37" s="113" t="str" cm="1">
        <f t="array" ref="H37">IF(A37="","",_xlfn.LET(_xlpm.stn,IFERROR(VLOOKUP(A37,'Job Operations'!$A$4:$AA$304,12,FALSE),""),IF(OR(_xlpm.stn="AXYZ 34",_xlpm.stn="AXYZ"),_xlfn.LET(_xlpm.pos,SUMPRODUCT((A$7:A37&lt;&gt;"")*(IFERROR(VLOOKUP(A$7:A37,'Job Operations'!$A$4:$AA$304,12,FALSE),"")="AXYZ 34")+(A$7:A37&lt;&gt;"")*(IFERROR(VLOOKUP(A$7:A37,'Job Operations'!$A$4:$AA$304,12,FALSE),"")="AXYZ")),_xlpm.sfx,IF(OR(_xlpm.pos=11,_xlpm.pos=12,_xlpm.pos=13),"th",IF(MOD(_xlpm.pos,10)=1,"st",IF(MOD(_xlpm.pos,10)=2,"nd",IF(MOD(_xlpm.pos,10)=3,"rd","th")))),_xlpm.pos&amp;_xlpm.sfx),IF(_xlpm.stn&lt;&gt;"",_xlpm.stn,""))))</f>
        <v>LO Check</v>
      </c>
      <c r="I37" s="115">
        <f t="shared" si="0"/>
        <v>33.142857142857146</v>
      </c>
      <c r="J37" s="114">
        <f t="shared" si="2"/>
        <v>46146</v>
      </c>
      <c r="K37" s="113" t="str">
        <f>IF(A37="","",IFERROR(VLOOKUP(A37,'Job Operations'!$A$4:$AA$304,15,FALSE),""))</f>
        <v>Clean and Brake</v>
      </c>
      <c r="L37" s="113" t="str">
        <f>IF(A37="","",IFERROR(VLOOKUP(A37,'Job Operations'!$A$4:$AA$304,17,FALSE),""))</f>
        <v>Fab</v>
      </c>
      <c r="M37" s="136" t="str">
        <f>IF(A37="","",IF(IFERROR(VLOOKUP(A37,Notes!A:B,2,FALSE),"")=0,"",VLOOKUP(A37,Notes!A:B,2,FALSE)))</f>
        <v>HOAR*04/16/2026…LO Check</v>
      </c>
    </row>
    <row r="38" spans="1:13" ht="15" customHeight="1" x14ac:dyDescent="0.25">
      <c r="A38" s="111" t="str">
        <v>24074-FS09</v>
      </c>
      <c r="B38" s="112" t="str">
        <f>IF(A38="","",IFERROR(VLOOKUP(A38,'Job Operations'!$A$4:$AA$304,2,FALSE),""))</f>
        <v>DIDD ACM</v>
      </c>
      <c r="C38" s="113" t="str">
        <f>IF(A38="","",IFERROR(VLOOKUP(A38,'Job Operations'!$A$4:$AA$304,3,FALSE),""))</f>
        <v>Dillon Bowman</v>
      </c>
      <c r="D38" s="113">
        <f>IF(A38="","",IFERROR(VLOOKUP(A38,'Job Operations'!$A$4:$AA$304,5,FALSE),""))</f>
        <v>120</v>
      </c>
      <c r="E38" s="113">
        <f>IF(A38="","",IFERROR(VLOOKUP(A38,'Job Operations'!$A$4:$AA$304,6,FALSE),""))</f>
        <v>0</v>
      </c>
      <c r="F38" s="113" t="str">
        <f>IF(A38="","",IFERROR(VLOOKUP(A38,'Job Operations'!$A$4:$AA$304,7,FALSE),""))</f>
        <v>FR ACM</v>
      </c>
      <c r="G38" s="114">
        <f>IF(A38="","",IFERROR(VLOOKUP(A38,'Job Operations'!$A$4:$AA$304,9,FALSE),""))</f>
        <v>46156</v>
      </c>
      <c r="H38" s="113" t="str" cm="1">
        <f t="array" ref="H38">IF(A38="","",_xlfn.LET(_xlpm.stn,IFERROR(VLOOKUP(A38,'Job Operations'!$A$4:$AA$304,12,FALSE),""),IF(OR(_xlpm.stn="AXYZ 34",_xlpm.stn="AXYZ"),_xlfn.LET(_xlpm.pos,SUMPRODUCT((A$7:A38&lt;&gt;"")*(IFERROR(VLOOKUP(A$7:A38,'Job Operations'!$A$4:$AA$304,12,FALSE),"")="AXYZ 34")+(A$7:A38&lt;&gt;"")*(IFERROR(VLOOKUP(A$7:A38,'Job Operations'!$A$4:$AA$304,12,FALSE),"")="AXYZ")),_xlpm.sfx,IF(OR(_xlpm.pos=11,_xlpm.pos=12,_xlpm.pos=13),"th",IF(MOD(_xlpm.pos,10)=1,"st",IF(MOD(_xlpm.pos,10)=2,"nd",IF(MOD(_xlpm.pos,10)=3,"rd","th")))),_xlpm.pos&amp;_xlpm.sfx),IF(_xlpm.stn&lt;&gt;"",_xlpm.stn,""))))</f>
        <v>LO Check</v>
      </c>
      <c r="I38" s="115">
        <f t="shared" si="0"/>
        <v>17.142857142857142</v>
      </c>
      <c r="J38" s="114">
        <f t="shared" si="2"/>
        <v>46147</v>
      </c>
      <c r="K38" s="113" t="str">
        <f>IF(A38="","",IFERROR(VLOOKUP(A38,'Job Operations'!$A$4:$AA$304,15,FALSE),""))</f>
        <v>Clean and Brake</v>
      </c>
      <c r="L38" s="113" t="str">
        <f>IF(A38="","",IFERROR(VLOOKUP(A38,'Job Operations'!$A$4:$AA$304,17,FALSE),""))</f>
        <v>Fab</v>
      </c>
      <c r="M38" s="136" t="str">
        <f>IF(A38="","",IF(IFERROR(VLOOKUP(A38,Notes!A:B,2,FALSE),"")=0,"",VLOOKUP(A38,Notes!A:B,2,FALSE)))</f>
        <v>04/16/2026…LO Check</v>
      </c>
    </row>
    <row r="39" spans="1:13" ht="15" customHeight="1" x14ac:dyDescent="0.25">
      <c r="A39" s="111" t="str">
        <v>24079-FS302</v>
      </c>
      <c r="B39" s="112" t="str">
        <f>IF(A39="","",IFERROR(VLOOKUP(A39,'Job Operations'!$A$4:$AA$304,2,FALSE),""))</f>
        <v>Nashville Youth Campus</v>
      </c>
      <c r="C39" s="113" t="str">
        <f>IF(A39="","",IFERROR(VLOOKUP(A39,'Job Operations'!$A$4:$AA$304,3,FALSE),""))</f>
        <v>Joe Hoyle</v>
      </c>
      <c r="D39" s="113">
        <f>IF(A39="","",IFERROR(VLOOKUP(A39,'Job Operations'!$A$4:$AA$304,5,FALSE),""))</f>
        <v>188</v>
      </c>
      <c r="E39" s="113">
        <f>IF(A39="","",IFERROR(VLOOKUP(A39,'Job Operations'!$A$4:$AA$304,6,FALSE),""))</f>
        <v>0</v>
      </c>
      <c r="F39" s="113" t="str">
        <f>IF(A39="","",IFERROR(VLOOKUP(A39,'Job Operations'!$A$4:$AA$304,7,FALSE),""))</f>
        <v>FR ACM</v>
      </c>
      <c r="G39" s="114">
        <f>IF(A39="","",IFERROR(VLOOKUP(A39,'Job Operations'!$A$4:$AA$304,9,FALSE),""))</f>
        <v>46160</v>
      </c>
      <c r="H39" s="113" t="str" cm="1">
        <f t="array" ref="H39">IF(A39="","",_xlfn.LET(_xlpm.stn,IFERROR(VLOOKUP(A39,'Job Operations'!$A$4:$AA$304,12,FALSE),""),IF(OR(_xlpm.stn="AXYZ 34",_xlpm.stn="AXYZ"),_xlfn.LET(_xlpm.pos,SUMPRODUCT((A$7:A39&lt;&gt;"")*(IFERROR(VLOOKUP(A$7:A39,'Job Operations'!$A$4:$AA$304,12,FALSE),"")="AXYZ 34")+(A$7:A39&lt;&gt;"")*(IFERROR(VLOOKUP(A$7:A39,'Job Operations'!$A$4:$AA$304,12,FALSE),"")="AXYZ")),_xlpm.sfx,IF(OR(_xlpm.pos=11,_xlpm.pos=12,_xlpm.pos=13),"th",IF(MOD(_xlpm.pos,10)=1,"st",IF(MOD(_xlpm.pos,10)=2,"nd",IF(MOD(_xlpm.pos,10)=3,"rd","th")))),_xlpm.pos&amp;_xlpm.sfx),IF(_xlpm.stn&lt;&gt;"",_xlpm.stn,""))))</f>
        <v>LO</v>
      </c>
      <c r="I39" s="115">
        <f t="shared" ref="I39:I70" si="3">IF(A39="","",D39/7)</f>
        <v>26.857142857142858</v>
      </c>
      <c r="J39" s="114">
        <f t="shared" si="2"/>
        <v>46149</v>
      </c>
      <c r="K39" s="113" t="str">
        <f>IF(A39="","",IFERROR(VLOOKUP(A39,'Job Operations'!$A$4:$AA$304,15,FALSE),""))</f>
        <v>Clean and Brake</v>
      </c>
      <c r="L39" s="113" t="str">
        <f>IF(A39="","",IFERROR(VLOOKUP(A39,'Job Operations'!$A$4:$AA$304,17,FALSE),""))</f>
        <v>Fab</v>
      </c>
      <c r="M39" s="136" t="str">
        <f>IF(A39="","",IF(IFERROR(VLOOKUP(A39,Notes!A:B,2,FALSE),"")=0,"",VLOOKUP(A39,Notes!A:B,2,FALSE)))</f>
        <v>04/16/2026…LO</v>
      </c>
    </row>
    <row r="40" spans="1:13" ht="15" customHeight="1" x14ac:dyDescent="0.25">
      <c r="A40" s="111" t="str">
        <v>25041-FS02</v>
      </c>
      <c r="B40" s="112" t="str">
        <f>IF(A40="","",IFERROR(VLOOKUP(A40,'Job Operations'!$A$4:$AA$304,2,FALSE),""))</f>
        <v>Wedgewood Bldg E</v>
      </c>
      <c r="C40" s="113" t="str">
        <f>IF(A40="","",IFERROR(VLOOKUP(A40,'Job Operations'!$A$4:$AA$304,3,FALSE),""))</f>
        <v>Wylie McDougall</v>
      </c>
      <c r="D40" s="113">
        <f>IF(A40="","",IFERROR(VLOOKUP(A40,'Job Operations'!$A$4:$AA$304,5,FALSE),""))</f>
        <v>31</v>
      </c>
      <c r="E40" s="113">
        <f>IF(A40="","",IFERROR(VLOOKUP(A40,'Job Operations'!$A$4:$AA$304,6,FALSE),""))</f>
        <v>0</v>
      </c>
      <c r="F40" s="113" t="str">
        <f>IF(A40="","",IFERROR(VLOOKUP(A40,'Job Operations'!$A$4:$AA$304,7,FALSE),""))</f>
        <v>FR ACM</v>
      </c>
      <c r="G40" s="114">
        <f>IF(A40="","",IFERROR(VLOOKUP(A40,'Job Operations'!$A$4:$AA$304,9,FALSE),""))</f>
        <v>46168</v>
      </c>
      <c r="H40" s="113" t="str" cm="1">
        <f t="array" ref="H40">IF(A40="","",_xlfn.LET(_xlpm.stn,IFERROR(VLOOKUP(A40,'Job Operations'!$A$4:$AA$304,12,FALSE),""),IF(OR(_xlpm.stn="AXYZ 34",_xlpm.stn="AXYZ"),_xlfn.LET(_xlpm.pos,SUMPRODUCT((A$7:A40&lt;&gt;"")*(IFERROR(VLOOKUP(A$7:A40,'Job Operations'!$A$4:$AA$304,12,FALSE),"")="AXYZ 34")+(A$7:A40&lt;&gt;"")*(IFERROR(VLOOKUP(A$7:A40,'Job Operations'!$A$4:$AA$304,12,FALSE),"")="AXYZ")),_xlpm.sfx,IF(OR(_xlpm.pos=11,_xlpm.pos=12,_xlpm.pos=13),"th",IF(MOD(_xlpm.pos,10)=1,"st",IF(MOD(_xlpm.pos,10)=2,"nd",IF(MOD(_xlpm.pos,10)=3,"rd","th")))),_xlpm.pos&amp;_xlpm.sfx),IF(_xlpm.stn&lt;&gt;"",_xlpm.stn,""))))</f>
        <v>LO</v>
      </c>
      <c r="I40" s="115">
        <f t="shared" si="3"/>
        <v>4.4285714285714288</v>
      </c>
      <c r="J40" s="114">
        <f t="shared" si="2"/>
        <v>46161</v>
      </c>
      <c r="K40" s="113" t="str">
        <f>IF(A40="","",IFERROR(VLOOKUP(A40,'Job Operations'!$A$4:$AA$304,15,FALSE),""))</f>
        <v>Clean and Brake</v>
      </c>
      <c r="L40" s="113" t="str">
        <f>IF(A40="","",IFERROR(VLOOKUP(A40,'Job Operations'!$A$4:$AA$304,17,FALSE),""))</f>
        <v>Fab</v>
      </c>
      <c r="M40" s="136" t="str">
        <f>IF(A40="","",IF(IFERROR(VLOOKUP(A40,Notes!A:B,2,FALSE),"")=0,"",VLOOKUP(A40,Notes!A:B,2,FALSE)))</f>
        <v>04/16/2026…LO</v>
      </c>
    </row>
    <row r="41" spans="1:13" ht="15" customHeight="1" x14ac:dyDescent="0.25">
      <c r="A41" s="111" t="str">
        <v>24079-FS201</v>
      </c>
      <c r="B41" s="112" t="str">
        <f>IF(A41="","",IFERROR(VLOOKUP(A41,'Job Operations'!$A$4:$AA$304,2,FALSE),""))</f>
        <v>Nashville Youth Campus</v>
      </c>
      <c r="C41" s="113" t="str">
        <f>IF(A41="","",IFERROR(VLOOKUP(A41,'Job Operations'!$A$4:$AA$304,3,FALSE),""))</f>
        <v>Joe Hoyle</v>
      </c>
      <c r="D41" s="113">
        <f>IF(A41="","",IFERROR(VLOOKUP(A41,'Job Operations'!$A$4:$AA$304,5,FALSE),""))</f>
        <v>41</v>
      </c>
      <c r="E41" s="113">
        <f>IF(A41="","",IFERROR(VLOOKUP(A41,'Job Operations'!$A$4:$AA$304,6,FALSE),""))</f>
        <v>0</v>
      </c>
      <c r="F41" s="113" t="str">
        <f>IF(A41="","",IFERROR(VLOOKUP(A41,'Job Operations'!$A$4:$AA$304,7,FALSE),""))</f>
        <v>FR ACM</v>
      </c>
      <c r="G41" s="114">
        <f>IF(A41="","",IFERROR(VLOOKUP(A41,'Job Operations'!$A$4:$AA$304,9,FALSE),""))</f>
        <v>46160</v>
      </c>
      <c r="H41" s="113" t="str" cm="1">
        <f t="array" ref="H41">IF(A41="","",_xlfn.LET(_xlpm.stn,IFERROR(VLOOKUP(A41,'Job Operations'!$A$4:$AA$304,12,FALSE),""),IF(OR(_xlpm.stn="AXYZ 34",_xlpm.stn="AXYZ"),_xlfn.LET(_xlpm.pos,SUMPRODUCT((A$7:A41&lt;&gt;"")*(IFERROR(VLOOKUP(A$7:A41,'Job Operations'!$A$4:$AA$304,12,FALSE),"")="AXYZ 34")+(A$7:A41&lt;&gt;"")*(IFERROR(VLOOKUP(A$7:A41,'Job Operations'!$A$4:$AA$304,12,FALSE),"")="AXYZ")),_xlpm.sfx,IF(OR(_xlpm.pos=11,_xlpm.pos=12,_xlpm.pos=13),"th",IF(MOD(_xlpm.pos,10)=1,"st",IF(MOD(_xlpm.pos,10)=2,"nd",IF(MOD(_xlpm.pos,10)=3,"rd","th")))),_xlpm.pos&amp;_xlpm.sfx),IF(_xlpm.stn&lt;&gt;"",_xlpm.stn,""))))</f>
        <v>LO</v>
      </c>
      <c r="I41" s="115">
        <f t="shared" si="3"/>
        <v>5.8571428571428568</v>
      </c>
      <c r="J41" s="114">
        <f t="shared" si="2"/>
        <v>46153</v>
      </c>
      <c r="K41" s="113" t="str">
        <f>IF(A41="","",IFERROR(VLOOKUP(A41,'Job Operations'!$A$4:$AA$304,15,FALSE),""))</f>
        <v>Clean and Brake</v>
      </c>
      <c r="L41" s="113" t="str">
        <f>IF(A41="","",IFERROR(VLOOKUP(A41,'Job Operations'!$A$4:$AA$304,17,FALSE),""))</f>
        <v>Fab</v>
      </c>
      <c r="M41" s="136" t="str">
        <f>IF(A41="","",IF(IFERROR(VLOOKUP(A41,Notes!A:B,2,FALSE),"")=0,"",VLOOKUP(A41,Notes!A:B,2,FALSE)))</f>
        <v>04/16/2026…LO</v>
      </c>
    </row>
    <row r="42" spans="1:13" ht="15" customHeight="1" x14ac:dyDescent="0.25">
      <c r="A42" s="111" t="str">
        <v>25008-FS07</v>
      </c>
      <c r="B42" s="112" t="str">
        <f>IF(A42="","",IFERROR(VLOOKUP(A42,'Job Operations'!$A$4:$AA$304,2,FALSE),""))</f>
        <v>Columbia State Tech Center</v>
      </c>
      <c r="C42" s="113" t="str">
        <f>IF(A42="","",IFERROR(VLOOKUP(A42,'Job Operations'!$A$4:$AA$304,3,FALSE),""))</f>
        <v>Laura Forero</v>
      </c>
      <c r="D42" s="113">
        <f>IF(A42="","",IFERROR(VLOOKUP(A42,'Job Operations'!$A$4:$AA$304,5,FALSE),""))</f>
        <v>58</v>
      </c>
      <c r="E42" s="113">
        <f>IF(A42="","",IFERROR(VLOOKUP(A42,'Job Operations'!$A$4:$AA$304,6,FALSE),""))</f>
        <v>0</v>
      </c>
      <c r="F42" s="113" t="str">
        <f>IF(A42="","",IFERROR(VLOOKUP(A42,'Job Operations'!$A$4:$AA$304,7,FALSE),""))</f>
        <v>FR ACM</v>
      </c>
      <c r="G42" s="114">
        <f>IF(A42="","",IFERROR(VLOOKUP(A42,'Job Operations'!$A$4:$AA$304,9,FALSE),""))</f>
        <v>46162</v>
      </c>
      <c r="H42" s="113" t="str" cm="1">
        <f t="array" ref="H42">IF(A42="","",_xlfn.LET(_xlpm.stn,IFERROR(VLOOKUP(A42,'Job Operations'!$A$4:$AA$304,12,FALSE),""),IF(OR(_xlpm.stn="AXYZ 34",_xlpm.stn="AXYZ"),_xlfn.LET(_xlpm.pos,SUMPRODUCT((A$7:A42&lt;&gt;"")*(IFERROR(VLOOKUP(A$7:A42,'Job Operations'!$A$4:$AA$304,12,FALSE),"")="AXYZ 34")+(A$7:A42&lt;&gt;"")*(IFERROR(VLOOKUP(A$7:A42,'Job Operations'!$A$4:$AA$304,12,FALSE),"")="AXYZ")),_xlpm.sfx,IF(OR(_xlpm.pos=11,_xlpm.pos=12,_xlpm.pos=13),"th",IF(MOD(_xlpm.pos,10)=1,"st",IF(MOD(_xlpm.pos,10)=2,"nd",IF(MOD(_xlpm.pos,10)=3,"rd","th")))),_xlpm.pos&amp;_xlpm.sfx),IF(_xlpm.stn&lt;&gt;"",_xlpm.stn,""))))</f>
        <v>Evaluation</v>
      </c>
      <c r="I42" s="115">
        <f t="shared" si="3"/>
        <v>8.2857142857142865</v>
      </c>
      <c r="J42" s="114">
        <f t="shared" si="2"/>
        <v>46154</v>
      </c>
      <c r="K42" s="113" t="str">
        <f>IF(A42="","",IFERROR(VLOOKUP(A42,'Job Operations'!$A$4:$AA$304,15,FALSE),""))</f>
        <v>Clean and Brake</v>
      </c>
      <c r="L42" s="113" t="str">
        <f>IF(A42="","",IFERROR(VLOOKUP(A42,'Job Operations'!$A$4:$AA$304,17,FALSE),""))</f>
        <v>Fab</v>
      </c>
      <c r="M42" s="136" t="str">
        <f>IF(A42="","",IF(IFERROR(VLOOKUP(A42,Notes!A:B,2,FALSE),"")=0,"",VLOOKUP(A42,Notes!A:B,2,FALSE)))</f>
        <v>04/16/2026…Evaluation</v>
      </c>
    </row>
    <row r="43" spans="1:13" ht="15" customHeight="1" x14ac:dyDescent="0.25">
      <c r="A43" s="111" t="str">
        <v>24074-FS10</v>
      </c>
      <c r="B43" s="112" t="str">
        <f>IF(A43="","",IFERROR(VLOOKUP(A43,'Job Operations'!$A$4:$AA$304,2,FALSE),""))</f>
        <v>DIDD ACM</v>
      </c>
      <c r="C43" s="113" t="str">
        <f>IF(A43="","",IFERROR(VLOOKUP(A43,'Job Operations'!$A$4:$AA$304,3,FALSE),""))</f>
        <v>Dillon Bowman</v>
      </c>
      <c r="D43" s="113">
        <f>IF(A43="","",IFERROR(VLOOKUP(A43,'Job Operations'!$A$4:$AA$304,5,FALSE),""))</f>
        <v>130</v>
      </c>
      <c r="E43" s="113">
        <f>IF(A43="","",IFERROR(VLOOKUP(A43,'Job Operations'!$A$4:$AA$304,6,FALSE),""))</f>
        <v>0</v>
      </c>
      <c r="F43" s="113" t="str">
        <f>IF(A43="","",IFERROR(VLOOKUP(A43,'Job Operations'!$A$4:$AA$304,7,FALSE),""))</f>
        <v>FR ACM</v>
      </c>
      <c r="G43" s="114">
        <f>IF(A43="","",IFERROR(VLOOKUP(A43,'Job Operations'!$A$4:$AA$304,9,FALSE),""))</f>
        <v>46163</v>
      </c>
      <c r="H43" s="113" t="str" cm="1">
        <f t="array" ref="H43">IF(A43="","",_xlfn.LET(_xlpm.stn,IFERROR(VLOOKUP(A43,'Job Operations'!$A$4:$AA$304,12,FALSE),""),IF(OR(_xlpm.stn="AXYZ 34",_xlpm.stn="AXYZ"),_xlfn.LET(_xlpm.pos,SUMPRODUCT((A$7:A43&lt;&gt;"")*(IFERROR(VLOOKUP(A$7:A43,'Job Operations'!$A$4:$AA$304,12,FALSE),"")="AXYZ 34")+(A$7:A43&lt;&gt;"")*(IFERROR(VLOOKUP(A$7:A43,'Job Operations'!$A$4:$AA$304,12,FALSE),"")="AXYZ")),_xlpm.sfx,IF(OR(_xlpm.pos=11,_xlpm.pos=12,_xlpm.pos=13),"th",IF(MOD(_xlpm.pos,10)=1,"st",IF(MOD(_xlpm.pos,10)=2,"nd",IF(MOD(_xlpm.pos,10)=3,"rd","th")))),_xlpm.pos&amp;_xlpm.sfx),IF(_xlpm.stn&lt;&gt;"",_xlpm.stn,""))))</f>
        <v>LO Check</v>
      </c>
      <c r="I43" s="115">
        <f t="shared" si="3"/>
        <v>18.571428571428573</v>
      </c>
      <c r="J43" s="114">
        <f t="shared" si="2"/>
        <v>46154</v>
      </c>
      <c r="K43" s="113" t="str">
        <f>IF(A43="","",IFERROR(VLOOKUP(A43,'Job Operations'!$A$4:$AA$304,15,FALSE),""))</f>
        <v>Clean and Brake</v>
      </c>
      <c r="L43" s="113" t="str">
        <f>IF(A43="","",IFERROR(VLOOKUP(A43,'Job Operations'!$A$4:$AA$304,17,FALSE),""))</f>
        <v>Fab</v>
      </c>
      <c r="M43" s="136" t="str">
        <f>IF(A43="","",IF(IFERROR(VLOOKUP(A43,Notes!A:B,2,FALSE),"")=0,"",VLOOKUP(A43,Notes!A:B,2,FALSE)))</f>
        <v>04/16/2026…LO Check</v>
      </c>
    </row>
    <row r="44" spans="1:13" ht="15" customHeight="1" x14ac:dyDescent="0.25">
      <c r="A44" s="111" t="str">
        <v>25044-FS01</v>
      </c>
      <c r="B44" s="112" t="str">
        <f>IF(A44="","",IFERROR(VLOOKUP(A44,'Job Operations'!$A$4:$AA$304,2,FALSE),""))</f>
        <v>MALETA Firing Range</v>
      </c>
      <c r="C44" s="113" t="str">
        <f>IF(A44="","",IFERROR(VLOOKUP(A44,'Job Operations'!$A$4:$AA$304,3,FALSE),""))</f>
        <v>Cole Norona</v>
      </c>
      <c r="D44" s="113">
        <f>IF(A44="","",IFERROR(VLOOKUP(A44,'Job Operations'!$A$4:$AA$304,5,FALSE),""))</f>
        <v>125</v>
      </c>
      <c r="E44" s="113">
        <f>IF(A44="","",IFERROR(VLOOKUP(A44,'Job Operations'!$A$4:$AA$304,6,FALSE),""))</f>
        <v>0</v>
      </c>
      <c r="F44" s="113" t="str">
        <f>IF(A44="","",IFERROR(VLOOKUP(A44,'Job Operations'!$A$4:$AA$304,7,FALSE),""))</f>
        <v>FR ACM</v>
      </c>
      <c r="G44" s="114">
        <f>IF(A44="","",IFERROR(VLOOKUP(A44,'Job Operations'!$A$4:$AA$304,9,FALSE),""))</f>
        <v>46164</v>
      </c>
      <c r="H44" s="113" t="str" cm="1">
        <f t="array" ref="H44">IF(A44="","",_xlfn.LET(_xlpm.stn,IFERROR(VLOOKUP(A44,'Job Operations'!$A$4:$AA$304,12,FALSE),""),IF(OR(_xlpm.stn="AXYZ 34",_xlpm.stn="AXYZ"),_xlfn.LET(_xlpm.pos,SUMPRODUCT((A$7:A44&lt;&gt;"")*(IFERROR(VLOOKUP(A$7:A44,'Job Operations'!$A$4:$AA$304,12,FALSE),"")="AXYZ 34")+(A$7:A44&lt;&gt;"")*(IFERROR(VLOOKUP(A$7:A44,'Job Operations'!$A$4:$AA$304,12,FALSE),"")="AXYZ")),_xlpm.sfx,IF(OR(_xlpm.pos=11,_xlpm.pos=12,_xlpm.pos=13),"th",IF(MOD(_xlpm.pos,10)=1,"st",IF(MOD(_xlpm.pos,10)=2,"nd",IF(MOD(_xlpm.pos,10)=3,"rd","th")))),_xlpm.pos&amp;_xlpm.sfx),IF(_xlpm.stn&lt;&gt;"",_xlpm.stn,""))))</f>
        <v>LO</v>
      </c>
      <c r="I44" s="115">
        <f t="shared" si="3"/>
        <v>17.857142857142858</v>
      </c>
      <c r="J44" s="114">
        <f t="shared" si="2"/>
        <v>46155</v>
      </c>
      <c r="K44" s="113" t="str">
        <f>IF(A44="","",IFERROR(VLOOKUP(A44,'Job Operations'!$A$4:$AA$304,15,FALSE),""))</f>
        <v>Clean and Brake</v>
      </c>
      <c r="L44" s="113" t="str">
        <f>IF(A44="","",IFERROR(VLOOKUP(A44,'Job Operations'!$A$4:$AA$304,17,FALSE),""))</f>
        <v>Fab</v>
      </c>
      <c r="M44" s="136" t="str">
        <f>IF(A44="","",IF(IFERROR(VLOOKUP(A44,Notes!A:B,2,FALSE),"")=0,"",VLOOKUP(A44,Notes!A:B,2,FALSE)))</f>
        <v>04/16/2026…LO</v>
      </c>
    </row>
    <row r="45" spans="1:13" ht="15" customHeight="1" x14ac:dyDescent="0.25">
      <c r="A45" s="111" t="str">
        <v>25006-FS06</v>
      </c>
      <c r="B45" s="112" t="str">
        <f>IF(A45="","",IFERROR(VLOOKUP(A45,'Job Operations'!$A$4:$AA$304,2,FALSE),""))</f>
        <v>MALETA Housing and Dining</v>
      </c>
      <c r="C45" s="113" t="str">
        <f>IF(A45="","",IFERROR(VLOOKUP(A45,'Job Operations'!$A$4:$AA$304,3,FALSE),""))</f>
        <v>Cole Norona</v>
      </c>
      <c r="D45" s="113">
        <f>IF(A45="","",IFERROR(VLOOKUP(A45,'Job Operations'!$A$4:$AA$304,5,FALSE),""))</f>
        <v>246</v>
      </c>
      <c r="E45" s="113">
        <f>IF(A45="","",IFERROR(VLOOKUP(A45,'Job Operations'!$A$4:$AA$304,6,FALSE),""))</f>
        <v>0</v>
      </c>
      <c r="F45" s="113" t="str">
        <f>IF(A45="","",IFERROR(VLOOKUP(A45,'Job Operations'!$A$4:$AA$304,7,FALSE),""))</f>
        <v>FR ACM</v>
      </c>
      <c r="G45" s="114">
        <f>IF(A45="","",IFERROR(VLOOKUP(A45,'Job Operations'!$A$4:$AA$304,9,FALSE),""))</f>
        <v>46167</v>
      </c>
      <c r="H45" s="113" t="str" cm="1">
        <f t="array" ref="H45">IF(A45="","",_xlfn.LET(_xlpm.stn,IFERROR(VLOOKUP(A45,'Job Operations'!$A$4:$AA$304,12,FALSE),""),IF(OR(_xlpm.stn="AXYZ 34",_xlpm.stn="AXYZ"),_xlfn.LET(_xlpm.pos,SUMPRODUCT((A$7:A45&lt;&gt;"")*(IFERROR(VLOOKUP(A$7:A45,'Job Operations'!$A$4:$AA$304,12,FALSE),"")="AXYZ 34")+(A$7:A45&lt;&gt;"")*(IFERROR(VLOOKUP(A$7:A45,'Job Operations'!$A$4:$AA$304,12,FALSE),"")="AXYZ")),_xlpm.sfx,IF(OR(_xlpm.pos=11,_xlpm.pos=12,_xlpm.pos=13),"th",IF(MOD(_xlpm.pos,10)=1,"st",IF(MOD(_xlpm.pos,10)=2,"nd",IF(MOD(_xlpm.pos,10)=3,"rd","th")))),_xlpm.pos&amp;_xlpm.sfx),IF(_xlpm.stn&lt;&gt;"",_xlpm.stn,""))))</f>
        <v>LO Check</v>
      </c>
      <c r="I45" s="115">
        <f t="shared" si="3"/>
        <v>35.142857142857146</v>
      </c>
      <c r="J45" s="114">
        <f t="shared" si="2"/>
        <v>46155</v>
      </c>
      <c r="K45" s="113" t="str">
        <f>IF(A45="","",IFERROR(VLOOKUP(A45,'Job Operations'!$A$4:$AA$304,15,FALSE),""))</f>
        <v>Clean and Brake</v>
      </c>
      <c r="L45" s="113" t="str">
        <f>IF(A45="","",IFERROR(VLOOKUP(A45,'Job Operations'!$A$4:$AA$304,17,FALSE),""))</f>
        <v>Fab</v>
      </c>
      <c r="M45" s="136" t="str">
        <f>IF(A45="","",IF(IFERROR(VLOOKUP(A45,Notes!A:B,2,FALSE),"")=0,"",VLOOKUP(A45,Notes!A:B,2,FALSE)))</f>
        <v>HOAR*04/16/2026…LO Check</v>
      </c>
    </row>
    <row r="46" spans="1:13" ht="15" customHeight="1" x14ac:dyDescent="0.25">
      <c r="A46" s="111" t="str">
        <v>25037-FS01</v>
      </c>
      <c r="B46" s="112" t="str">
        <f>IF(A46="","",IFERROR(VLOOKUP(A46,'Job Operations'!$A$4:$AA$304,2,FALSE),""))</f>
        <v>Chestnut Street Office</v>
      </c>
      <c r="C46" s="113" t="str">
        <f>IF(A46="","",IFERROR(VLOOKUP(A46,'Job Operations'!$A$4:$AA$304,3,FALSE),""))</f>
        <v>Laura Forero</v>
      </c>
      <c r="D46" s="113">
        <f>IF(A46="","",IFERROR(VLOOKUP(A46,'Job Operations'!$A$4:$AA$304,5,FALSE),""))</f>
        <v>218</v>
      </c>
      <c r="E46" s="113">
        <f>IF(A46="","",IFERROR(VLOOKUP(A46,'Job Operations'!$A$4:$AA$304,6,FALSE),""))</f>
        <v>0</v>
      </c>
      <c r="F46" s="113" t="str">
        <f>IF(A46="","",IFERROR(VLOOKUP(A46,'Job Operations'!$A$4:$AA$304,7,FALSE),""))</f>
        <v>FR ACM</v>
      </c>
      <c r="G46" s="114">
        <f>IF(A46="","",IFERROR(VLOOKUP(A46,'Job Operations'!$A$4:$AA$304,9,FALSE),""))</f>
        <v>46167</v>
      </c>
      <c r="H46" s="113" t="str" cm="1">
        <f t="array" ref="H46">IF(A46="","",_xlfn.LET(_xlpm.stn,IFERROR(VLOOKUP(A46,'Job Operations'!$A$4:$AA$304,12,FALSE),""),IF(OR(_xlpm.stn="AXYZ 34",_xlpm.stn="AXYZ"),_xlfn.LET(_xlpm.pos,SUMPRODUCT((A$7:A46&lt;&gt;"")*(IFERROR(VLOOKUP(A$7:A46,'Job Operations'!$A$4:$AA$304,12,FALSE),"")="AXYZ 34")+(A$7:A46&lt;&gt;"")*(IFERROR(VLOOKUP(A$7:A46,'Job Operations'!$A$4:$AA$304,12,FALSE),"")="AXYZ")),_xlpm.sfx,IF(OR(_xlpm.pos=11,_xlpm.pos=12,_xlpm.pos=13),"th",IF(MOD(_xlpm.pos,10)=1,"st",IF(MOD(_xlpm.pos,10)=2,"nd",IF(MOD(_xlpm.pos,10)=3,"rd","th")))),_xlpm.pos&amp;_xlpm.sfx),IF(_xlpm.stn&lt;&gt;"",_xlpm.stn,""))))</f>
        <v>LO Check</v>
      </c>
      <c r="I46" s="115">
        <f t="shared" si="3"/>
        <v>31.142857142857142</v>
      </c>
      <c r="J46" s="114">
        <f t="shared" si="2"/>
        <v>46156</v>
      </c>
      <c r="K46" s="113" t="str">
        <f>IF(A46="","",IFERROR(VLOOKUP(A46,'Job Operations'!$A$4:$AA$304,15,FALSE),""))</f>
        <v>Clean and Brake</v>
      </c>
      <c r="L46" s="113" t="str">
        <f>IF(A46="","",IFERROR(VLOOKUP(A46,'Job Operations'!$A$4:$AA$304,17,FALSE),""))</f>
        <v>Fab</v>
      </c>
      <c r="M46" s="136" t="str">
        <f>IF(A46="","",IF(IFERROR(VLOOKUP(A46,Notes!A:B,2,FALSE),"")=0,"",VLOOKUP(A46,Notes!A:B,2,FALSE)))</f>
        <v>04/16/2026…LO Check</v>
      </c>
    </row>
    <row r="47" spans="1:13" ht="15" customHeight="1" x14ac:dyDescent="0.25">
      <c r="A47" s="111" t="str">
        <v>25044-FS01.1</v>
      </c>
      <c r="B47" s="112" t="str">
        <f>IF(A47="","",IFERROR(VLOOKUP(A47,'Job Operations'!$A$4:$AA$304,2,FALSE),""))</f>
        <v>MALETA Firing Range</v>
      </c>
      <c r="C47" s="113" t="str">
        <f>IF(A47="","",IFERROR(VLOOKUP(A47,'Job Operations'!$A$4:$AA$304,3,FALSE),""))</f>
        <v>Cole Norona</v>
      </c>
      <c r="D47" s="113">
        <f>IF(A47="","",IFERROR(VLOOKUP(A47,'Job Operations'!$A$4:$AA$304,5,FALSE),""))</f>
        <v>34</v>
      </c>
      <c r="E47" s="113">
        <f>IF(A47="","",IFERROR(VLOOKUP(A47,'Job Operations'!$A$4:$AA$304,6,FALSE),""))</f>
        <v>0</v>
      </c>
      <c r="F47" s="113" t="str">
        <f>IF(A47="","",IFERROR(VLOOKUP(A47,'Job Operations'!$A$4:$AA$304,7,FALSE),""))</f>
        <v>FR ACM</v>
      </c>
      <c r="G47" s="114">
        <f>IF(A47="","",IFERROR(VLOOKUP(A47,'Job Operations'!$A$4:$AA$304,9,FALSE),""))</f>
        <v>46164</v>
      </c>
      <c r="H47" s="113" t="str" cm="1">
        <f t="array" ref="H47">IF(A47="","",_xlfn.LET(_xlpm.stn,IFERROR(VLOOKUP(A47,'Job Operations'!$A$4:$AA$304,12,FALSE),""),IF(OR(_xlpm.stn="AXYZ 34",_xlpm.stn="AXYZ"),_xlfn.LET(_xlpm.pos,SUMPRODUCT((A$7:A47&lt;&gt;"")*(IFERROR(VLOOKUP(A$7:A47,'Job Operations'!$A$4:$AA$304,12,FALSE),"")="AXYZ 34")+(A$7:A47&lt;&gt;"")*(IFERROR(VLOOKUP(A$7:A47,'Job Operations'!$A$4:$AA$304,12,FALSE),"")="AXYZ")),_xlpm.sfx,IF(OR(_xlpm.pos=11,_xlpm.pos=12,_xlpm.pos=13),"th",IF(MOD(_xlpm.pos,10)=1,"st",IF(MOD(_xlpm.pos,10)=2,"nd",IF(MOD(_xlpm.pos,10)=3,"rd","th")))),_xlpm.pos&amp;_xlpm.sfx),IF(_xlpm.stn&lt;&gt;"",_xlpm.stn,""))))</f>
        <v>LO</v>
      </c>
      <c r="I47" s="115">
        <f t="shared" si="3"/>
        <v>4.8571428571428568</v>
      </c>
      <c r="J47" s="114">
        <f t="shared" si="2"/>
        <v>46157</v>
      </c>
      <c r="K47" s="113" t="str">
        <f>IF(A47="","",IFERROR(VLOOKUP(A47,'Job Operations'!$A$4:$AA$304,15,FALSE),""))</f>
        <v>Clean and Brake</v>
      </c>
      <c r="L47" s="113" t="str">
        <f>IF(A47="","",IFERROR(VLOOKUP(A47,'Job Operations'!$A$4:$AA$304,17,FALSE),""))</f>
        <v>Fab</v>
      </c>
      <c r="M47" s="136" t="str">
        <f>IF(A47="","",IF(IFERROR(VLOOKUP(A47,Notes!A:B,2,FALSE),"")=0,"",VLOOKUP(A47,Notes!A:B,2,FALSE)))</f>
        <v>04/16/2026…LO</v>
      </c>
    </row>
    <row r="48" spans="1:13" ht="15" customHeight="1" x14ac:dyDescent="0.25">
      <c r="A48" s="111" t="str">
        <v>25065-MU01</v>
      </c>
      <c r="B48" s="112" t="str">
        <f>IF(A48="","",IFERROR(VLOOKUP(A48,'Job Operations'!$A$4:$AA$304,2,FALSE),""))</f>
        <v>Crosswinds Casino Resort</v>
      </c>
      <c r="C48" s="113" t="str">
        <f>IF(A48="","",IFERROR(VLOOKUP(A48,'Job Operations'!$A$4:$AA$304,3,FALSE),""))</f>
        <v>Matt Rassmussen</v>
      </c>
      <c r="D48" s="113">
        <f>IF(A48="","",IFERROR(VLOOKUP(A48,'Job Operations'!$A$4:$AA$304,5,FALSE),""))</f>
        <v>18</v>
      </c>
      <c r="E48" s="113">
        <f>IF(A48="","",IFERROR(VLOOKUP(A48,'Job Operations'!$A$4:$AA$304,6,FALSE),""))</f>
        <v>14</v>
      </c>
      <c r="F48" s="113" t="str">
        <f>IF(A48="","",IFERROR(VLOOKUP(A48,'Job Operations'!$A$4:$AA$304,7,FALSE),""))</f>
        <v>FR ACM</v>
      </c>
      <c r="G48" s="114">
        <f>IF(A48="","",IFERROR(VLOOKUP(A48,'Job Operations'!$A$4:$AA$304,9,FALSE),""))</f>
        <v>46164</v>
      </c>
      <c r="H48" s="113" t="str" cm="1">
        <f t="array" ref="H48">IF(A48="","",_xlfn.LET(_xlpm.stn,IFERROR(VLOOKUP(A48,'Job Operations'!$A$4:$AA$304,12,FALSE),""),IF(OR(_xlpm.stn="AXYZ 34",_xlpm.stn="AXYZ"),_xlfn.LET(_xlpm.pos,SUMPRODUCT((A$7:A48&lt;&gt;"")*(IFERROR(VLOOKUP(A$7:A48,'Job Operations'!$A$4:$AA$304,12,FALSE),"")="AXYZ 34")+(A$7:A48&lt;&gt;"")*(IFERROR(VLOOKUP(A$7:A48,'Job Operations'!$A$4:$AA$304,12,FALSE),"")="AXYZ")),_xlpm.sfx,IF(OR(_xlpm.pos=11,_xlpm.pos=12,_xlpm.pos=13),"th",IF(MOD(_xlpm.pos,10)=1,"st",IF(MOD(_xlpm.pos,10)=2,"nd",IF(MOD(_xlpm.pos,10)=3,"rd","th")))),_xlpm.pos&amp;_xlpm.sfx),IF(_xlpm.stn&lt;&gt;"",_xlpm.stn,""))))</f>
        <v>Sketch Check</v>
      </c>
      <c r="I48" s="115">
        <f t="shared" si="3"/>
        <v>2.5714285714285716</v>
      </c>
      <c r="J48" s="114">
        <f t="shared" si="2"/>
        <v>46157</v>
      </c>
      <c r="K48" s="113" t="str">
        <f>IF(A48="","",IFERROR(VLOOKUP(A48,'Job Operations'!$A$4:$AA$304,15,FALSE),""))</f>
        <v>Clean and Brake</v>
      </c>
      <c r="L48" s="113" t="str">
        <f>IF(A48="","",IFERROR(VLOOKUP(A48,'Job Operations'!$A$4:$AA$304,17,FALSE),""))</f>
        <v>Fab</v>
      </c>
      <c r="M48" s="136" t="str">
        <f>IF(A48="","",IF(IFERROR(VLOOKUP(A48,Notes!A:B,2,FALSE),"")=0,"",VLOOKUP(A48,Notes!A:B,2,FALSE)))</f>
        <v>04/16/2026…Sketch Check</v>
      </c>
    </row>
    <row r="49" spans="1:13" ht="15" customHeight="1" x14ac:dyDescent="0.25">
      <c r="A49" s="111" t="str">
        <v>24079-FS301</v>
      </c>
      <c r="B49" s="112" t="str">
        <f>IF(A49="","",IFERROR(VLOOKUP(A49,'Job Operations'!$A$4:$AA$304,2,FALSE),""))</f>
        <v>Nashville Youth Campus</v>
      </c>
      <c r="C49" s="113" t="str">
        <f>IF(A49="","",IFERROR(VLOOKUP(A49,'Job Operations'!$A$4:$AA$304,3,FALSE),""))</f>
        <v>Joe Hoyle</v>
      </c>
      <c r="D49" s="113">
        <f>IF(A49="","",IFERROR(VLOOKUP(A49,'Job Operations'!$A$4:$AA$304,5,FALSE),""))</f>
        <v>143</v>
      </c>
      <c r="E49" s="113">
        <f>IF(A49="","",IFERROR(VLOOKUP(A49,'Job Operations'!$A$4:$AA$304,6,FALSE),""))</f>
        <v>0</v>
      </c>
      <c r="F49" s="113" t="str">
        <f>IF(A49="","",IFERROR(VLOOKUP(A49,'Job Operations'!$A$4:$AA$304,7,FALSE),""))</f>
        <v>FR ACM</v>
      </c>
      <c r="G49" s="114">
        <f>IF(A49="","",IFERROR(VLOOKUP(A49,'Job Operations'!$A$4:$AA$304,9,FALSE),""))</f>
        <v>46167</v>
      </c>
      <c r="H49" s="113" t="str" cm="1">
        <f t="array" ref="H49">IF(A49="","",_xlfn.LET(_xlpm.stn,IFERROR(VLOOKUP(A49,'Job Operations'!$A$4:$AA$304,12,FALSE),""),IF(OR(_xlpm.stn="AXYZ 34",_xlpm.stn="AXYZ"),_xlfn.LET(_xlpm.pos,SUMPRODUCT((A$7:A49&lt;&gt;"")*(IFERROR(VLOOKUP(A$7:A49,'Job Operations'!$A$4:$AA$304,12,FALSE),"")="AXYZ 34")+(A$7:A49&lt;&gt;"")*(IFERROR(VLOOKUP(A$7:A49,'Job Operations'!$A$4:$AA$304,12,FALSE),"")="AXYZ")),_xlpm.sfx,IF(OR(_xlpm.pos=11,_xlpm.pos=12,_xlpm.pos=13),"th",IF(MOD(_xlpm.pos,10)=1,"st",IF(MOD(_xlpm.pos,10)=2,"nd",IF(MOD(_xlpm.pos,10)=3,"rd","th")))),_xlpm.pos&amp;_xlpm.sfx),IF(_xlpm.stn&lt;&gt;"",_xlpm.stn,""))))</f>
        <v>LO</v>
      </c>
      <c r="I49" s="115">
        <f t="shared" si="3"/>
        <v>20.428571428571427</v>
      </c>
      <c r="J49" s="114">
        <f t="shared" ref="J49:J80" si="4">IF(OR(A49="",G49=""),"",WORKDAY.INTL(G49,-(5+CEILING(I49/8,1)),"0000001"))</f>
        <v>46157</v>
      </c>
      <c r="K49" s="113" t="str">
        <f>IF(A49="","",IFERROR(VLOOKUP(A49,'Job Operations'!$A$4:$AA$304,15,FALSE),""))</f>
        <v>Clean and Brake</v>
      </c>
      <c r="L49" s="113" t="str">
        <f>IF(A49="","",IFERROR(VLOOKUP(A49,'Job Operations'!$A$4:$AA$304,17,FALSE),""))</f>
        <v>Fab</v>
      </c>
      <c r="M49" s="136" t="str">
        <f>IF(A49="","",IF(IFERROR(VLOOKUP(A49,Notes!A:B,2,FALSE),"")=0,"",VLOOKUP(A49,Notes!A:B,2,FALSE)))</f>
        <v>04/16/2026…LO</v>
      </c>
    </row>
    <row r="50" spans="1:13" ht="15" customHeight="1" x14ac:dyDescent="0.25">
      <c r="A50" s="111" t="str">
        <v>24079-FS303</v>
      </c>
      <c r="B50" s="112" t="str">
        <f>IF(A50="","",IFERROR(VLOOKUP(A50,'Job Operations'!$A$4:$AA$304,2,FALSE),""))</f>
        <v>Nashville Youth Campus</v>
      </c>
      <c r="C50" s="113" t="str">
        <f>IF(A50="","",IFERROR(VLOOKUP(A50,'Job Operations'!$A$4:$AA$304,3,FALSE),""))</f>
        <v>Joe Hoyle</v>
      </c>
      <c r="D50" s="113">
        <f>IF(A50="","",IFERROR(VLOOKUP(A50,'Job Operations'!$A$4:$AA$304,5,FALSE),""))</f>
        <v>165</v>
      </c>
      <c r="E50" s="113">
        <f>IF(A50="","",IFERROR(VLOOKUP(A50,'Job Operations'!$A$4:$AA$304,6,FALSE),""))</f>
        <v>0</v>
      </c>
      <c r="F50" s="113" t="str">
        <f>IF(A50="","",IFERROR(VLOOKUP(A50,'Job Operations'!$A$4:$AA$304,7,FALSE),""))</f>
        <v>FR ACM</v>
      </c>
      <c r="G50" s="114">
        <f>IF(A50="","",IFERROR(VLOOKUP(A50,'Job Operations'!$A$4:$AA$304,9,FALSE),""))</f>
        <v>46167</v>
      </c>
      <c r="H50" s="113" t="str" cm="1">
        <f t="array" ref="H50">IF(A50="","",_xlfn.LET(_xlpm.stn,IFERROR(VLOOKUP(A50,'Job Operations'!$A$4:$AA$304,12,FALSE),""),IF(OR(_xlpm.stn="AXYZ 34",_xlpm.stn="AXYZ"),_xlfn.LET(_xlpm.pos,SUMPRODUCT((A$7:A50&lt;&gt;"")*(IFERROR(VLOOKUP(A$7:A50,'Job Operations'!$A$4:$AA$304,12,FALSE),"")="AXYZ 34")+(A$7:A50&lt;&gt;"")*(IFERROR(VLOOKUP(A$7:A50,'Job Operations'!$A$4:$AA$304,12,FALSE),"")="AXYZ")),_xlpm.sfx,IF(OR(_xlpm.pos=11,_xlpm.pos=12,_xlpm.pos=13),"th",IF(MOD(_xlpm.pos,10)=1,"st",IF(MOD(_xlpm.pos,10)=2,"nd",IF(MOD(_xlpm.pos,10)=3,"rd","th")))),_xlpm.pos&amp;_xlpm.sfx),IF(_xlpm.stn&lt;&gt;"",_xlpm.stn,""))))</f>
        <v>LO</v>
      </c>
      <c r="I50" s="115">
        <f t="shared" si="3"/>
        <v>23.571428571428573</v>
      </c>
      <c r="J50" s="114">
        <f t="shared" si="4"/>
        <v>46157</v>
      </c>
      <c r="K50" s="113" t="str">
        <f>IF(A50="","",IFERROR(VLOOKUP(A50,'Job Operations'!$A$4:$AA$304,15,FALSE),""))</f>
        <v>Clean and Brake</v>
      </c>
      <c r="L50" s="113" t="str">
        <f>IF(A50="","",IFERROR(VLOOKUP(A50,'Job Operations'!$A$4:$AA$304,17,FALSE),""))</f>
        <v>Fab</v>
      </c>
      <c r="M50" s="136" t="str">
        <f>IF(A50="","",IF(IFERROR(VLOOKUP(A50,Notes!A:B,2,FALSE),"")=0,"",VLOOKUP(A50,Notes!A:B,2,FALSE)))</f>
        <v>04/16/2026…LO</v>
      </c>
    </row>
    <row r="51" spans="1:13" ht="15" customHeight="1" x14ac:dyDescent="0.25">
      <c r="A51" s="111" t="str">
        <v>25065-MU02</v>
      </c>
      <c r="B51" s="112" t="str">
        <f>IF(A51="","",IFERROR(VLOOKUP(A51,'Job Operations'!$A$4:$AA$304,2,FALSE),""))</f>
        <v>Crosswinds Casino Resort</v>
      </c>
      <c r="C51" s="113" t="str">
        <f>IF(A51="","",IFERROR(VLOOKUP(A51,'Job Operations'!$A$4:$AA$304,3,FALSE),""))</f>
        <v>Matt Rassmussen</v>
      </c>
      <c r="D51" s="113">
        <f>IF(A51="","",IFERROR(VLOOKUP(A51,'Job Operations'!$A$4:$AA$304,5,FALSE),""))</f>
        <v>15</v>
      </c>
      <c r="E51" s="113">
        <f>IF(A51="","",IFERROR(VLOOKUP(A51,'Job Operations'!$A$4:$AA$304,6,FALSE),""))</f>
        <v>13</v>
      </c>
      <c r="F51" s="113" t="str">
        <f>IF(A51="","",IFERROR(VLOOKUP(A51,'Job Operations'!$A$4:$AA$304,7,FALSE),""))</f>
        <v>FR ACM</v>
      </c>
      <c r="G51" s="114">
        <f>IF(A51="","",IFERROR(VLOOKUP(A51,'Job Operations'!$A$4:$AA$304,9,FALSE),""))</f>
        <v>46171</v>
      </c>
      <c r="H51" s="113" t="str" cm="1">
        <f t="array" ref="H51">IF(A51="","",_xlfn.LET(_xlpm.stn,IFERROR(VLOOKUP(A51,'Job Operations'!$A$4:$AA$304,12,FALSE),""),IF(OR(_xlpm.stn="AXYZ 34",_xlpm.stn="AXYZ"),_xlfn.LET(_xlpm.pos,SUMPRODUCT((A$7:A51&lt;&gt;"")*(IFERROR(VLOOKUP(A$7:A51,'Job Operations'!$A$4:$AA$304,12,FALSE),"")="AXYZ 34")+(A$7:A51&lt;&gt;"")*(IFERROR(VLOOKUP(A$7:A51,'Job Operations'!$A$4:$AA$304,12,FALSE),"")="AXYZ")),_xlpm.sfx,IF(OR(_xlpm.pos=11,_xlpm.pos=12,_xlpm.pos=13),"th",IF(MOD(_xlpm.pos,10)=1,"st",IF(MOD(_xlpm.pos,10)=2,"nd",IF(MOD(_xlpm.pos,10)=3,"rd","th")))),_xlpm.pos&amp;_xlpm.sfx),IF(_xlpm.stn&lt;&gt;"",_xlpm.stn,""))))</f>
        <v>LO</v>
      </c>
      <c r="I51" s="115">
        <f t="shared" si="3"/>
        <v>2.1428571428571428</v>
      </c>
      <c r="J51" s="114">
        <f t="shared" si="4"/>
        <v>46164</v>
      </c>
      <c r="K51" s="113" t="str">
        <f>IF(A51="","",IFERROR(VLOOKUP(A51,'Job Operations'!$A$4:$AA$304,15,FALSE),""))</f>
        <v>Clean and Brake</v>
      </c>
      <c r="L51" s="113" t="str">
        <f>IF(A51="","",IFERROR(VLOOKUP(A51,'Job Operations'!$A$4:$AA$304,17,FALSE),""))</f>
        <v>Fab</v>
      </c>
      <c r="M51" s="136" t="str">
        <f>IF(A51="","",IF(IFERROR(VLOOKUP(A51,Notes!A:B,2,FALSE),"")=0,"",VLOOKUP(A51,Notes!A:B,2,FALSE)))</f>
        <v>04/16/2026…LO</v>
      </c>
    </row>
    <row r="52" spans="1:13" ht="15" customHeight="1" x14ac:dyDescent="0.25">
      <c r="A52" s="111" t="str">
        <v>25065-MU03</v>
      </c>
      <c r="B52" s="112" t="str">
        <f>IF(A52="","",IFERROR(VLOOKUP(A52,'Job Operations'!$A$4:$AA$304,2,FALSE),""))</f>
        <v>Crosswinds Casino Resort</v>
      </c>
      <c r="C52" s="113" t="str">
        <f>IF(A52="","",IFERROR(VLOOKUP(A52,'Job Operations'!$A$4:$AA$304,3,FALSE),""))</f>
        <v>Matt Rassmussen</v>
      </c>
      <c r="D52" s="113">
        <f>IF(A52="","",IFERROR(VLOOKUP(A52,'Job Operations'!$A$4:$AA$304,5,FALSE),""))</f>
        <v>6</v>
      </c>
      <c r="E52" s="113">
        <f>IF(A52="","",IFERROR(VLOOKUP(A52,'Job Operations'!$A$4:$AA$304,6,FALSE),""))</f>
        <v>6</v>
      </c>
      <c r="F52" s="113" t="str">
        <f>IF(A52="","",IFERROR(VLOOKUP(A52,'Job Operations'!$A$4:$AA$304,7,FALSE),""))</f>
        <v>FR ACM</v>
      </c>
      <c r="G52" s="114">
        <f>IF(A52="","",IFERROR(VLOOKUP(A52,'Job Operations'!$A$4:$AA$304,9,FALSE),""))</f>
        <v>46171</v>
      </c>
      <c r="H52" s="113" t="str" cm="1">
        <f t="array" ref="H52">IF(A52="","",_xlfn.LET(_xlpm.stn,IFERROR(VLOOKUP(A52,'Job Operations'!$A$4:$AA$304,12,FALSE),""),IF(OR(_xlpm.stn="AXYZ 34",_xlpm.stn="AXYZ"),_xlfn.LET(_xlpm.pos,SUMPRODUCT((A$7:A52&lt;&gt;"")*(IFERROR(VLOOKUP(A$7:A52,'Job Operations'!$A$4:$AA$304,12,FALSE),"")="AXYZ 34")+(A$7:A52&lt;&gt;"")*(IFERROR(VLOOKUP(A$7:A52,'Job Operations'!$A$4:$AA$304,12,FALSE),"")="AXYZ")),_xlpm.sfx,IF(OR(_xlpm.pos=11,_xlpm.pos=12,_xlpm.pos=13),"th",IF(MOD(_xlpm.pos,10)=1,"st",IF(MOD(_xlpm.pos,10)=2,"nd",IF(MOD(_xlpm.pos,10)=3,"rd","th")))),_xlpm.pos&amp;_xlpm.sfx),IF(_xlpm.stn&lt;&gt;"",_xlpm.stn,""))))</f>
        <v>LO</v>
      </c>
      <c r="I52" s="115">
        <f t="shared" si="3"/>
        <v>0.8571428571428571</v>
      </c>
      <c r="J52" s="114">
        <f t="shared" si="4"/>
        <v>46164</v>
      </c>
      <c r="K52" s="113" t="str">
        <f>IF(A52="","",IFERROR(VLOOKUP(A52,'Job Operations'!$A$4:$AA$304,15,FALSE),""))</f>
        <v>Clean and Brake</v>
      </c>
      <c r="L52" s="113" t="str">
        <f>IF(A52="","",IFERROR(VLOOKUP(A52,'Job Operations'!$A$4:$AA$304,17,FALSE),""))</f>
        <v>Fab</v>
      </c>
      <c r="M52" s="136" t="str">
        <f>IF(A52="","",IF(IFERROR(VLOOKUP(A52,Notes!A:B,2,FALSE),"")=0,"",VLOOKUP(A52,Notes!A:B,2,FALSE)))</f>
        <v>04/16/2026…LO</v>
      </c>
    </row>
    <row r="53" spans="1:13" ht="15" customHeight="1" x14ac:dyDescent="0.25">
      <c r="A53" s="111" t="str">
        <v>25065-MU04</v>
      </c>
      <c r="B53" s="112" t="str">
        <f>IF(A53="","",IFERROR(VLOOKUP(A53,'Job Operations'!$A$4:$AA$304,2,FALSE),""))</f>
        <v>Crosswinds Casino Resort</v>
      </c>
      <c r="C53" s="113" t="str">
        <f>IF(A53="","",IFERROR(VLOOKUP(A53,'Job Operations'!$A$4:$AA$304,3,FALSE),""))</f>
        <v>Matt Rassmussen</v>
      </c>
      <c r="D53" s="113">
        <f>IF(A53="","",IFERROR(VLOOKUP(A53,'Job Operations'!$A$4:$AA$304,5,FALSE),""))</f>
        <v>15</v>
      </c>
      <c r="E53" s="113">
        <f>IF(A53="","",IFERROR(VLOOKUP(A53,'Job Operations'!$A$4:$AA$304,6,FALSE),""))</f>
        <v>13</v>
      </c>
      <c r="F53" s="113" t="str">
        <f>IF(A53="","",IFERROR(VLOOKUP(A53,'Job Operations'!$A$4:$AA$304,7,FALSE),""))</f>
        <v>FR ACM</v>
      </c>
      <c r="G53" s="114">
        <f>IF(A53="","",IFERROR(VLOOKUP(A53,'Job Operations'!$A$4:$AA$304,9,FALSE),""))</f>
        <v>46171</v>
      </c>
      <c r="H53" s="113" t="str" cm="1">
        <f t="array" ref="H53">IF(A53="","",_xlfn.LET(_xlpm.stn,IFERROR(VLOOKUP(A53,'Job Operations'!$A$4:$AA$304,12,FALSE),""),IF(OR(_xlpm.stn="AXYZ 34",_xlpm.stn="AXYZ"),_xlfn.LET(_xlpm.pos,SUMPRODUCT((A$7:A53&lt;&gt;"")*(IFERROR(VLOOKUP(A$7:A53,'Job Operations'!$A$4:$AA$304,12,FALSE),"")="AXYZ 34")+(A$7:A53&lt;&gt;"")*(IFERROR(VLOOKUP(A$7:A53,'Job Operations'!$A$4:$AA$304,12,FALSE),"")="AXYZ")),_xlpm.sfx,IF(OR(_xlpm.pos=11,_xlpm.pos=12,_xlpm.pos=13),"th",IF(MOD(_xlpm.pos,10)=1,"st",IF(MOD(_xlpm.pos,10)=2,"nd",IF(MOD(_xlpm.pos,10)=3,"rd","th")))),_xlpm.pos&amp;_xlpm.sfx),IF(_xlpm.stn&lt;&gt;"",_xlpm.stn,""))))</f>
        <v>LO</v>
      </c>
      <c r="I53" s="115">
        <f t="shared" si="3"/>
        <v>2.1428571428571428</v>
      </c>
      <c r="J53" s="114">
        <f t="shared" si="4"/>
        <v>46164</v>
      </c>
      <c r="K53" s="113" t="str">
        <f>IF(A53="","",IFERROR(VLOOKUP(A53,'Job Operations'!$A$4:$AA$304,15,FALSE),""))</f>
        <v>Clean and Brake</v>
      </c>
      <c r="L53" s="113" t="str">
        <f>IF(A53="","",IFERROR(VLOOKUP(A53,'Job Operations'!$A$4:$AA$304,17,FALSE),""))</f>
        <v>Fab</v>
      </c>
      <c r="M53" s="136" t="str">
        <f>IF(A53="","",IF(IFERROR(VLOOKUP(A53,Notes!A:B,2,FALSE),"")=0,"",VLOOKUP(A53,Notes!A:B,2,FALSE)))</f>
        <v>04/16/2026…LO</v>
      </c>
    </row>
    <row r="54" spans="1:13" ht="15" customHeight="1" x14ac:dyDescent="0.25">
      <c r="A54" s="111" t="str">
        <v>25044-FS02</v>
      </c>
      <c r="B54" s="112" t="str">
        <f>IF(A54="","",IFERROR(VLOOKUP(A54,'Job Operations'!$A$4:$AA$304,2,FALSE),""))</f>
        <v>MALETA Firing Range</v>
      </c>
      <c r="C54" s="113" t="str">
        <f>IF(A54="","",IFERROR(VLOOKUP(A54,'Job Operations'!$A$4:$AA$304,3,FALSE),""))</f>
        <v>Cole Norona</v>
      </c>
      <c r="D54" s="113">
        <f>IF(A54="","",IFERROR(VLOOKUP(A54,'Job Operations'!$A$4:$AA$304,5,FALSE),""))</f>
        <v>135</v>
      </c>
      <c r="E54" s="113">
        <f>IF(A54="","",IFERROR(VLOOKUP(A54,'Job Operations'!$A$4:$AA$304,6,FALSE),""))</f>
        <v>0</v>
      </c>
      <c r="F54" s="113" t="str">
        <f>IF(A54="","",IFERROR(VLOOKUP(A54,'Job Operations'!$A$4:$AA$304,7,FALSE),""))</f>
        <v>FR ACM</v>
      </c>
      <c r="G54" s="114">
        <f>IF(A54="","",IFERROR(VLOOKUP(A54,'Job Operations'!$A$4:$AA$304,9,FALSE),""))</f>
        <v>46173</v>
      </c>
      <c r="H54" s="113" t="str" cm="1">
        <f t="array" ref="H54">IF(A54="","",_xlfn.LET(_xlpm.stn,IFERROR(VLOOKUP(A54,'Job Operations'!$A$4:$AA$304,12,FALSE),""),IF(OR(_xlpm.stn="AXYZ 34",_xlpm.stn="AXYZ"),_xlfn.LET(_xlpm.pos,SUMPRODUCT((A$7:A54&lt;&gt;"")*(IFERROR(VLOOKUP(A$7:A54,'Job Operations'!$A$4:$AA$304,12,FALSE),"")="AXYZ 34")+(A$7:A54&lt;&gt;"")*(IFERROR(VLOOKUP(A$7:A54,'Job Operations'!$A$4:$AA$304,12,FALSE),"")="AXYZ")),_xlpm.sfx,IF(OR(_xlpm.pos=11,_xlpm.pos=12,_xlpm.pos=13),"th",IF(MOD(_xlpm.pos,10)=1,"st",IF(MOD(_xlpm.pos,10)=2,"nd",IF(MOD(_xlpm.pos,10)=3,"rd","th")))),_xlpm.pos&amp;_xlpm.sfx),IF(_xlpm.stn&lt;&gt;"",_xlpm.stn,""))))</f>
        <v>LO</v>
      </c>
      <c r="I54" s="115">
        <f t="shared" si="3"/>
        <v>19.285714285714285</v>
      </c>
      <c r="J54" s="114">
        <f t="shared" si="4"/>
        <v>46164</v>
      </c>
      <c r="K54" s="113" t="str">
        <f>IF(A54="","",IFERROR(VLOOKUP(A54,'Job Operations'!$A$4:$AA$304,15,FALSE),""))</f>
        <v>Clean and Brake</v>
      </c>
      <c r="L54" s="113" t="str">
        <f>IF(A54="","",IFERROR(VLOOKUP(A54,'Job Operations'!$A$4:$AA$304,17,FALSE),""))</f>
        <v>Fab</v>
      </c>
      <c r="M54" s="136" t="str">
        <f>IF(A54="","",IF(IFERROR(VLOOKUP(A54,Notes!A:B,2,FALSE),"")=0,"",VLOOKUP(A54,Notes!A:B,2,FALSE)))</f>
        <v>04/16/2026…LO</v>
      </c>
    </row>
    <row r="55" spans="1:13" ht="15" customHeight="1" x14ac:dyDescent="0.25">
      <c r="A55" s="111" t="str">
        <v>25006-FS07</v>
      </c>
      <c r="B55" s="112" t="str">
        <f>IF(A55="","",IFERROR(VLOOKUP(A55,'Job Operations'!$A$4:$AA$304,2,FALSE),""))</f>
        <v>MALETA Housing and Dining</v>
      </c>
      <c r="C55" s="113" t="str">
        <f>IF(A55="","",IFERROR(VLOOKUP(A55,'Job Operations'!$A$4:$AA$304,3,FALSE),""))</f>
        <v>Cole Norona</v>
      </c>
      <c r="D55" s="113">
        <f>IF(A55="","",IFERROR(VLOOKUP(A55,'Job Operations'!$A$4:$AA$304,5,FALSE),""))</f>
        <v>190</v>
      </c>
      <c r="E55" s="113">
        <f>IF(A55="","",IFERROR(VLOOKUP(A55,'Job Operations'!$A$4:$AA$304,6,FALSE),""))</f>
        <v>0</v>
      </c>
      <c r="F55" s="113" t="str">
        <f>IF(A55="","",IFERROR(VLOOKUP(A55,'Job Operations'!$A$4:$AA$304,7,FALSE),""))</f>
        <v>FR ACM</v>
      </c>
      <c r="G55" s="114">
        <f>IF(A55="","",IFERROR(VLOOKUP(A55,'Job Operations'!$A$4:$AA$304,9,FALSE),""))</f>
        <v>46176</v>
      </c>
      <c r="H55" s="113" t="str" cm="1">
        <f t="array" ref="H55">IF(A55="","",_xlfn.LET(_xlpm.stn,IFERROR(VLOOKUP(A55,'Job Operations'!$A$4:$AA$304,12,FALSE),""),IF(OR(_xlpm.stn="AXYZ 34",_xlpm.stn="AXYZ"),_xlfn.LET(_xlpm.pos,SUMPRODUCT((A$7:A55&lt;&gt;"")*(IFERROR(VLOOKUP(A$7:A55,'Job Operations'!$A$4:$AA$304,12,FALSE),"")="AXYZ 34")+(A$7:A55&lt;&gt;"")*(IFERROR(VLOOKUP(A$7:A55,'Job Operations'!$A$4:$AA$304,12,FALSE),"")="AXYZ")),_xlpm.sfx,IF(OR(_xlpm.pos=11,_xlpm.pos=12,_xlpm.pos=13),"th",IF(MOD(_xlpm.pos,10)=1,"st",IF(MOD(_xlpm.pos,10)=2,"nd",IF(MOD(_xlpm.pos,10)=3,"rd","th")))),_xlpm.pos&amp;_xlpm.sfx),IF(_xlpm.stn&lt;&gt;"",_xlpm.stn,""))))</f>
        <v>LO Check</v>
      </c>
      <c r="I55" s="115">
        <f t="shared" si="3"/>
        <v>27.142857142857142</v>
      </c>
      <c r="J55" s="114">
        <f t="shared" si="4"/>
        <v>46165</v>
      </c>
      <c r="K55" s="113" t="str">
        <f>IF(A55="","",IFERROR(VLOOKUP(A55,'Job Operations'!$A$4:$AA$304,15,FALSE),""))</f>
        <v>Clean and Brake</v>
      </c>
      <c r="L55" s="113" t="str">
        <f>IF(A55="","",IFERROR(VLOOKUP(A55,'Job Operations'!$A$4:$AA$304,17,FALSE),""))</f>
        <v>Fab</v>
      </c>
      <c r="M55" s="136" t="str">
        <f>IF(A55="","",IF(IFERROR(VLOOKUP(A55,Notes!A:B,2,FALSE),"")=0,"",VLOOKUP(A55,Notes!A:B,2,FALSE)))</f>
        <v>HOAR*04/16/2026…LO Check</v>
      </c>
    </row>
    <row r="56" spans="1:13" ht="15" customHeight="1" x14ac:dyDescent="0.25">
      <c r="A56" s="111" t="str">
        <v>25037-FS02</v>
      </c>
      <c r="B56" s="112" t="str">
        <f>IF(A56="","",IFERROR(VLOOKUP(A56,'Job Operations'!$A$4:$AA$304,2,FALSE),""))</f>
        <v>Chestnut Street Office</v>
      </c>
      <c r="C56" s="113" t="str">
        <f>IF(A56="","",IFERROR(VLOOKUP(A56,'Job Operations'!$A$4:$AA$304,3,FALSE),""))</f>
        <v>Laura Forero</v>
      </c>
      <c r="D56" s="113">
        <f>IF(A56="","",IFERROR(VLOOKUP(A56,'Job Operations'!$A$4:$AA$304,5,FALSE),""))</f>
        <v>204</v>
      </c>
      <c r="E56" s="113">
        <f>IF(A56="","",IFERROR(VLOOKUP(A56,'Job Operations'!$A$4:$AA$304,6,FALSE),""))</f>
        <v>0</v>
      </c>
      <c r="F56" s="113" t="str">
        <f>IF(A56="","",IFERROR(VLOOKUP(A56,'Job Operations'!$A$4:$AA$304,7,FALSE),""))</f>
        <v>FR ACM</v>
      </c>
      <c r="G56" s="114">
        <f>IF(A56="","",IFERROR(VLOOKUP(A56,'Job Operations'!$A$4:$AA$304,9,FALSE),""))</f>
        <v>46181</v>
      </c>
      <c r="H56" s="113" t="str" cm="1">
        <f t="array" ref="H56">IF(A56="","",_xlfn.LET(_xlpm.stn,IFERROR(VLOOKUP(A56,'Job Operations'!$A$4:$AA$304,12,FALSE),""),IF(OR(_xlpm.stn="AXYZ 34",_xlpm.stn="AXYZ"),_xlfn.LET(_xlpm.pos,SUMPRODUCT((A$7:A56&lt;&gt;"")*(IFERROR(VLOOKUP(A$7:A56,'Job Operations'!$A$4:$AA$304,12,FALSE),"")="AXYZ 34")+(A$7:A56&lt;&gt;"")*(IFERROR(VLOOKUP(A$7:A56,'Job Operations'!$A$4:$AA$304,12,FALSE),"")="AXYZ")),_xlpm.sfx,IF(OR(_xlpm.pos=11,_xlpm.pos=12,_xlpm.pos=13),"th",IF(MOD(_xlpm.pos,10)=1,"st",IF(MOD(_xlpm.pos,10)=2,"nd",IF(MOD(_xlpm.pos,10)=3,"rd","th")))),_xlpm.pos&amp;_xlpm.sfx),IF(_xlpm.stn&lt;&gt;"",_xlpm.stn,""))))</f>
        <v>LO</v>
      </c>
      <c r="I56" s="115">
        <f t="shared" si="3"/>
        <v>29.142857142857142</v>
      </c>
      <c r="J56" s="114">
        <f t="shared" si="4"/>
        <v>46170</v>
      </c>
      <c r="K56" s="113" t="str">
        <f>IF(A56="","",IFERROR(VLOOKUP(A56,'Job Operations'!$A$4:$AA$304,15,FALSE),""))</f>
        <v>Clean and Brake</v>
      </c>
      <c r="L56" s="113" t="str">
        <f>IF(A56="","",IFERROR(VLOOKUP(A56,'Job Operations'!$A$4:$AA$304,17,FALSE),""))</f>
        <v>Fab</v>
      </c>
      <c r="M56" s="136" t="str">
        <f>IF(A56="","",IF(IFERROR(VLOOKUP(A56,Notes!A:B,2,FALSE),"")=0,"",VLOOKUP(A56,Notes!A:B,2,FALSE)))</f>
        <v>04/16/2026…LO</v>
      </c>
    </row>
    <row r="57" spans="1:13" ht="15" customHeight="1" x14ac:dyDescent="0.25">
      <c r="A57" s="111" t="str">
        <v>25044-FS03</v>
      </c>
      <c r="B57" s="112" t="str">
        <f>IF(A57="","",IFERROR(VLOOKUP(A57,'Job Operations'!$A$4:$AA$304,2,FALSE),""))</f>
        <v>MALETA Firing Range</v>
      </c>
      <c r="C57" s="113" t="str">
        <f>IF(A57="","",IFERROR(VLOOKUP(A57,'Job Operations'!$A$4:$AA$304,3,FALSE),""))</f>
        <v>Cole Norona</v>
      </c>
      <c r="D57" s="113">
        <f>IF(A57="","",IFERROR(VLOOKUP(A57,'Job Operations'!$A$4:$AA$304,5,FALSE),""))</f>
        <v>150</v>
      </c>
      <c r="E57" s="113">
        <f>IF(A57="","",IFERROR(VLOOKUP(A57,'Job Operations'!$A$4:$AA$304,6,FALSE),""))</f>
        <v>0</v>
      </c>
      <c r="F57" s="113" t="str">
        <f>IF(A57="","",IFERROR(VLOOKUP(A57,'Job Operations'!$A$4:$AA$304,7,FALSE),""))</f>
        <v>FR ACM</v>
      </c>
      <c r="G57" s="114">
        <f>IF(A57="","",IFERROR(VLOOKUP(A57,'Job Operations'!$A$4:$AA$304,9,FALSE),""))</f>
        <v>46183</v>
      </c>
      <c r="H57" s="113" t="str" cm="1">
        <f t="array" ref="H57">IF(A57="","",_xlfn.LET(_xlpm.stn,IFERROR(VLOOKUP(A57,'Job Operations'!$A$4:$AA$304,12,FALSE),""),IF(OR(_xlpm.stn="AXYZ 34",_xlpm.stn="AXYZ"),_xlfn.LET(_xlpm.pos,SUMPRODUCT((A$7:A57&lt;&gt;"")*(IFERROR(VLOOKUP(A$7:A57,'Job Operations'!$A$4:$AA$304,12,FALSE),"")="AXYZ 34")+(A$7:A57&lt;&gt;"")*(IFERROR(VLOOKUP(A$7:A57,'Job Operations'!$A$4:$AA$304,12,FALSE),"")="AXYZ")),_xlpm.sfx,IF(OR(_xlpm.pos=11,_xlpm.pos=12,_xlpm.pos=13),"th",IF(MOD(_xlpm.pos,10)=1,"st",IF(MOD(_xlpm.pos,10)=2,"nd",IF(MOD(_xlpm.pos,10)=3,"rd","th")))),_xlpm.pos&amp;_xlpm.sfx),IF(_xlpm.stn&lt;&gt;"",_xlpm.stn,""))))</f>
        <v>LO</v>
      </c>
      <c r="I57" s="115">
        <f t="shared" si="3"/>
        <v>21.428571428571427</v>
      </c>
      <c r="J57" s="114">
        <f t="shared" si="4"/>
        <v>46174</v>
      </c>
      <c r="K57" s="113" t="str">
        <f>IF(A57="","",IFERROR(VLOOKUP(A57,'Job Operations'!$A$4:$AA$304,15,FALSE),""))</f>
        <v>Clean and Brake</v>
      </c>
      <c r="L57" s="113" t="str">
        <f>IF(A57="","",IFERROR(VLOOKUP(A57,'Job Operations'!$A$4:$AA$304,17,FALSE),""))</f>
        <v>Fab</v>
      </c>
      <c r="M57" s="136" t="str">
        <f>IF(A57="","",IF(IFERROR(VLOOKUP(A57,Notes!A:B,2,FALSE),"")=0,"",VLOOKUP(A57,Notes!A:B,2,FALSE)))</f>
        <v>04/16/2026…LO</v>
      </c>
    </row>
    <row r="58" spans="1:13" ht="15" customHeight="1" x14ac:dyDescent="0.25">
      <c r="A58" s="111" t="str">
        <v>25006-FS08</v>
      </c>
      <c r="B58" s="112" t="str">
        <f>IF(A58="","",IFERROR(VLOOKUP(A58,'Job Operations'!$A$4:$AA$304,2,FALSE),""))</f>
        <v>MALETA Housing and Dining</v>
      </c>
      <c r="C58" s="113" t="str">
        <f>IF(A58="","",IFERROR(VLOOKUP(A58,'Job Operations'!$A$4:$AA$304,3,FALSE),""))</f>
        <v>Cole Norona</v>
      </c>
      <c r="D58" s="113">
        <f>IF(A58="","",IFERROR(VLOOKUP(A58,'Job Operations'!$A$4:$AA$304,5,FALSE),""))</f>
        <v>83</v>
      </c>
      <c r="E58" s="113">
        <f>IF(A58="","",IFERROR(VLOOKUP(A58,'Job Operations'!$A$4:$AA$304,6,FALSE),""))</f>
        <v>0</v>
      </c>
      <c r="F58" s="113" t="str">
        <f>IF(A58="","",IFERROR(VLOOKUP(A58,'Job Operations'!$A$4:$AA$304,7,FALSE),""))</f>
        <v>FR ACM</v>
      </c>
      <c r="G58" s="114">
        <f>IF(A58="","",IFERROR(VLOOKUP(A58,'Job Operations'!$A$4:$AA$304,9,FALSE),""))</f>
        <v>46185</v>
      </c>
      <c r="H58" s="113" t="str" cm="1">
        <f t="array" ref="H58">IF(A58="","",_xlfn.LET(_xlpm.stn,IFERROR(VLOOKUP(A58,'Job Operations'!$A$4:$AA$304,12,FALSE),""),IF(OR(_xlpm.stn="AXYZ 34",_xlpm.stn="AXYZ"),_xlfn.LET(_xlpm.pos,SUMPRODUCT((A$7:A58&lt;&gt;"")*(IFERROR(VLOOKUP(A$7:A58,'Job Operations'!$A$4:$AA$304,12,FALSE),"")="AXYZ 34")+(A$7:A58&lt;&gt;"")*(IFERROR(VLOOKUP(A$7:A58,'Job Operations'!$A$4:$AA$304,12,FALSE),"")="AXYZ")),_xlpm.sfx,IF(OR(_xlpm.pos=11,_xlpm.pos=12,_xlpm.pos=13),"th",IF(MOD(_xlpm.pos,10)=1,"st",IF(MOD(_xlpm.pos,10)=2,"nd",IF(MOD(_xlpm.pos,10)=3,"rd","th")))),_xlpm.pos&amp;_xlpm.sfx),IF(_xlpm.stn&lt;&gt;"",_xlpm.stn,""))))</f>
        <v>LO Check</v>
      </c>
      <c r="I58" s="115">
        <f t="shared" si="3"/>
        <v>11.857142857142858</v>
      </c>
      <c r="J58" s="114">
        <f t="shared" si="4"/>
        <v>46177</v>
      </c>
      <c r="K58" s="113" t="str">
        <f>IF(A58="","",IFERROR(VLOOKUP(A58,'Job Operations'!$A$4:$AA$304,15,FALSE),""))</f>
        <v>Clean and Brake</v>
      </c>
      <c r="L58" s="113" t="str">
        <f>IF(A58="","",IFERROR(VLOOKUP(A58,'Job Operations'!$A$4:$AA$304,17,FALSE),""))</f>
        <v>Fab</v>
      </c>
      <c r="M58" s="136" t="str">
        <f>IF(A58="","",IF(IFERROR(VLOOKUP(A58,Notes!A:B,2,FALSE),"")=0,"",VLOOKUP(A58,Notes!A:B,2,FALSE)))</f>
        <v>HOAR*04/16/2026…LO Check</v>
      </c>
    </row>
    <row r="59" spans="1:13" ht="15" customHeight="1" x14ac:dyDescent="0.25">
      <c r="A59" s="111" t="str">
        <v>25044-FS04</v>
      </c>
      <c r="B59" s="112" t="str">
        <f>IF(A59="","",IFERROR(VLOOKUP(A59,'Job Operations'!$A$4:$AA$304,2,FALSE),""))</f>
        <v>MALETA Firing Range</v>
      </c>
      <c r="C59" s="113" t="str">
        <f>IF(A59="","",IFERROR(VLOOKUP(A59,'Job Operations'!$A$4:$AA$304,3,FALSE),""))</f>
        <v>Cole Norona</v>
      </c>
      <c r="D59" s="113">
        <f>IF(A59="","",IFERROR(VLOOKUP(A59,'Job Operations'!$A$4:$AA$304,5,FALSE),""))</f>
        <v>113</v>
      </c>
      <c r="E59" s="113">
        <f>IF(A59="","",IFERROR(VLOOKUP(A59,'Job Operations'!$A$4:$AA$304,6,FALSE),""))</f>
        <v>0</v>
      </c>
      <c r="F59" s="113" t="str">
        <f>IF(A59="","",IFERROR(VLOOKUP(A59,'Job Operations'!$A$4:$AA$304,7,FALSE),""))</f>
        <v>FR ACM</v>
      </c>
      <c r="G59" s="114">
        <f>IF(A59="","",IFERROR(VLOOKUP(A59,'Job Operations'!$A$4:$AA$304,9,FALSE),""))</f>
        <v>46192</v>
      </c>
      <c r="H59" s="113" t="str" cm="1">
        <f t="array" ref="H59">IF(A59="","",_xlfn.LET(_xlpm.stn,IFERROR(VLOOKUP(A59,'Job Operations'!$A$4:$AA$304,12,FALSE),""),IF(OR(_xlpm.stn="AXYZ 34",_xlpm.stn="AXYZ"),_xlfn.LET(_xlpm.pos,SUMPRODUCT((A$7:A59&lt;&gt;"")*(IFERROR(VLOOKUP(A$7:A59,'Job Operations'!$A$4:$AA$304,12,FALSE),"")="AXYZ 34")+(A$7:A59&lt;&gt;"")*(IFERROR(VLOOKUP(A$7:A59,'Job Operations'!$A$4:$AA$304,12,FALSE),"")="AXYZ")),_xlpm.sfx,IF(OR(_xlpm.pos=11,_xlpm.pos=12,_xlpm.pos=13),"th",IF(MOD(_xlpm.pos,10)=1,"st",IF(MOD(_xlpm.pos,10)=2,"nd",IF(MOD(_xlpm.pos,10)=3,"rd","th")))),_xlpm.pos&amp;_xlpm.sfx),IF(_xlpm.stn&lt;&gt;"",_xlpm.stn,""))))</f>
        <v>LO</v>
      </c>
      <c r="I59" s="115">
        <f t="shared" si="3"/>
        <v>16.142857142857142</v>
      </c>
      <c r="J59" s="114">
        <f t="shared" si="4"/>
        <v>46183</v>
      </c>
      <c r="K59" s="113" t="str">
        <f>IF(A59="","",IFERROR(VLOOKUP(A59,'Job Operations'!$A$4:$AA$304,15,FALSE),""))</f>
        <v>Clean and Brake</v>
      </c>
      <c r="L59" s="113" t="str">
        <f>IF(A59="","",IFERROR(VLOOKUP(A59,'Job Operations'!$A$4:$AA$304,17,FALSE),""))</f>
        <v>Fab</v>
      </c>
      <c r="M59" s="136" t="str">
        <f>IF(A59="","",IF(IFERROR(VLOOKUP(A59,Notes!A:B,2,FALSE),"")=0,"",VLOOKUP(A59,Notes!A:B,2,FALSE)))</f>
        <v>04/16/2026…LO</v>
      </c>
    </row>
    <row r="60" spans="1:13" ht="15" customHeight="1" x14ac:dyDescent="0.25">
      <c r="A60" s="111" t="str">
        <v>25006-FS09</v>
      </c>
      <c r="B60" s="112" t="str">
        <f>IF(A60="","",IFERROR(VLOOKUP(A60,'Job Operations'!$A$4:$AA$304,2,FALSE),""))</f>
        <v>MALETA Housing and Dining</v>
      </c>
      <c r="C60" s="113" t="str">
        <f>IF(A60="","",IFERROR(VLOOKUP(A60,'Job Operations'!$A$4:$AA$304,3,FALSE),""))</f>
        <v>Cole Norona</v>
      </c>
      <c r="D60" s="113">
        <f>IF(A60="","",IFERROR(VLOOKUP(A60,'Job Operations'!$A$4:$AA$304,5,FALSE),""))</f>
        <v>152</v>
      </c>
      <c r="E60" s="113">
        <f>IF(A60="","",IFERROR(VLOOKUP(A60,'Job Operations'!$A$4:$AA$304,6,FALSE),""))</f>
        <v>0</v>
      </c>
      <c r="F60" s="113" t="str">
        <f>IF(A60="","",IFERROR(VLOOKUP(A60,'Job Operations'!$A$4:$AA$304,7,FALSE),""))</f>
        <v>FR ACM</v>
      </c>
      <c r="G60" s="114">
        <f>IF(A60="","",IFERROR(VLOOKUP(A60,'Job Operations'!$A$4:$AA$304,9,FALSE),""))</f>
        <v>46192</v>
      </c>
      <c r="H60" s="113" t="str" cm="1">
        <f t="array" ref="H60">IF(A60="","",_xlfn.LET(_xlpm.stn,IFERROR(VLOOKUP(A60,'Job Operations'!$A$4:$AA$304,12,FALSE),""),IF(OR(_xlpm.stn="AXYZ 34",_xlpm.stn="AXYZ"),_xlfn.LET(_xlpm.pos,SUMPRODUCT((A$7:A60&lt;&gt;"")*(IFERROR(VLOOKUP(A$7:A60,'Job Operations'!$A$4:$AA$304,12,FALSE),"")="AXYZ 34")+(A$7:A60&lt;&gt;"")*(IFERROR(VLOOKUP(A$7:A60,'Job Operations'!$A$4:$AA$304,12,FALSE),"")="AXYZ")),_xlpm.sfx,IF(OR(_xlpm.pos=11,_xlpm.pos=12,_xlpm.pos=13),"th",IF(MOD(_xlpm.pos,10)=1,"st",IF(MOD(_xlpm.pos,10)=2,"nd",IF(MOD(_xlpm.pos,10)=3,"rd","th")))),_xlpm.pos&amp;_xlpm.sfx),IF(_xlpm.stn&lt;&gt;"",_xlpm.stn,""))))</f>
        <v>LO</v>
      </c>
      <c r="I60" s="115">
        <f t="shared" si="3"/>
        <v>21.714285714285715</v>
      </c>
      <c r="J60" s="114">
        <f t="shared" si="4"/>
        <v>46183</v>
      </c>
      <c r="K60" s="113" t="str">
        <f>IF(A60="","",IFERROR(VLOOKUP(A60,'Job Operations'!$A$4:$AA$304,15,FALSE),""))</f>
        <v>Clean and Brake</v>
      </c>
      <c r="L60" s="113" t="str">
        <f>IF(A60="","",IFERROR(VLOOKUP(A60,'Job Operations'!$A$4:$AA$304,17,FALSE),""))</f>
        <v>Fab</v>
      </c>
      <c r="M60" s="136" t="str">
        <f>IF(A60="","",IF(IFERROR(VLOOKUP(A60,Notes!A:B,2,FALSE),"")=0,"",VLOOKUP(A60,Notes!A:B,2,FALSE)))</f>
        <v>HOAR*04/16/2026…LO</v>
      </c>
    </row>
    <row r="61" spans="1:13" ht="15" customHeight="1" x14ac:dyDescent="0.25">
      <c r="A61" s="111" t="str">
        <v>25044-FS05</v>
      </c>
      <c r="B61" s="112" t="str">
        <f>IF(A61="","",IFERROR(VLOOKUP(A61,'Job Operations'!$A$4:$AA$304,2,FALSE),""))</f>
        <v>MALETA Firing Range</v>
      </c>
      <c r="C61" s="113" t="str">
        <f>IF(A61="","",IFERROR(VLOOKUP(A61,'Job Operations'!$A$4:$AA$304,3,FALSE),""))</f>
        <v>Cole Norona</v>
      </c>
      <c r="D61" s="113">
        <f>IF(A61="","",IFERROR(VLOOKUP(A61,'Job Operations'!$A$4:$AA$304,5,FALSE),""))</f>
        <v>111</v>
      </c>
      <c r="E61" s="113">
        <f>IF(A61="","",IFERROR(VLOOKUP(A61,'Job Operations'!$A$4:$AA$304,6,FALSE),""))</f>
        <v>0</v>
      </c>
      <c r="F61" s="113" t="str">
        <f>IF(A61="","",IFERROR(VLOOKUP(A61,'Job Operations'!$A$4:$AA$304,7,FALSE),""))</f>
        <v>FR ACM</v>
      </c>
      <c r="G61" s="114">
        <f>IF(A61="","",IFERROR(VLOOKUP(A61,'Job Operations'!$A$4:$AA$304,9,FALSE),""))</f>
        <v>46199</v>
      </c>
      <c r="H61" s="113" t="str" cm="1">
        <f t="array" ref="H61">IF(A61="","",_xlfn.LET(_xlpm.stn,IFERROR(VLOOKUP(A61,'Job Operations'!$A$4:$AA$304,12,FALSE),""),IF(OR(_xlpm.stn="AXYZ 34",_xlpm.stn="AXYZ"),_xlfn.LET(_xlpm.pos,SUMPRODUCT((A$7:A61&lt;&gt;"")*(IFERROR(VLOOKUP(A$7:A61,'Job Operations'!$A$4:$AA$304,12,FALSE),"")="AXYZ 34")+(A$7:A61&lt;&gt;"")*(IFERROR(VLOOKUP(A$7:A61,'Job Operations'!$A$4:$AA$304,12,FALSE),"")="AXYZ")),_xlpm.sfx,IF(OR(_xlpm.pos=11,_xlpm.pos=12,_xlpm.pos=13),"th",IF(MOD(_xlpm.pos,10)=1,"st",IF(MOD(_xlpm.pos,10)=2,"nd",IF(MOD(_xlpm.pos,10)=3,"rd","th")))),_xlpm.pos&amp;_xlpm.sfx),IF(_xlpm.stn&lt;&gt;"",_xlpm.stn,""))))</f>
        <v>LO</v>
      </c>
      <c r="I61" s="115">
        <f t="shared" si="3"/>
        <v>15.857142857142858</v>
      </c>
      <c r="J61" s="114">
        <f t="shared" si="4"/>
        <v>46191</v>
      </c>
      <c r="K61" s="113" t="str">
        <f>IF(A61="","",IFERROR(VLOOKUP(A61,'Job Operations'!$A$4:$AA$304,15,FALSE),""))</f>
        <v>Clean and Brake</v>
      </c>
      <c r="L61" s="113" t="str">
        <f>IF(A61="","",IFERROR(VLOOKUP(A61,'Job Operations'!$A$4:$AA$304,17,FALSE),""))</f>
        <v>Fab</v>
      </c>
      <c r="M61" s="136" t="str">
        <f>IF(A61="","",IF(IFERROR(VLOOKUP(A61,Notes!A:B,2,FALSE),"")=0,"",VLOOKUP(A61,Notes!A:B,2,FALSE)))</f>
        <v>04/16/2026…LO</v>
      </c>
    </row>
    <row r="62" spans="1:13" ht="15" customHeight="1" x14ac:dyDescent="0.25">
      <c r="A62" s="111" t="str">
        <v>25044-FS06</v>
      </c>
      <c r="B62" s="112" t="str">
        <f>IF(A62="","",IFERROR(VLOOKUP(A62,'Job Operations'!$A$4:$AA$304,2,FALSE),""))</f>
        <v>MALETA Firing Range</v>
      </c>
      <c r="C62" s="113" t="str">
        <f>IF(A62="","",IFERROR(VLOOKUP(A62,'Job Operations'!$A$4:$AA$304,3,FALSE),""))</f>
        <v>Cole Norona</v>
      </c>
      <c r="D62" s="113">
        <f>IF(A62="","",IFERROR(VLOOKUP(A62,'Job Operations'!$A$4:$AA$304,5,FALSE),""))</f>
        <v>203</v>
      </c>
      <c r="E62" s="113">
        <f>IF(A62="","",IFERROR(VLOOKUP(A62,'Job Operations'!$A$4:$AA$304,6,FALSE),""))</f>
        <v>0</v>
      </c>
      <c r="F62" s="113" t="str">
        <f>IF(A62="","",IFERROR(VLOOKUP(A62,'Job Operations'!$A$4:$AA$304,7,FALSE),""))</f>
        <v>FR ACM</v>
      </c>
      <c r="G62" s="114">
        <f>IF(A62="","",IFERROR(VLOOKUP(A62,'Job Operations'!$A$4:$AA$304,9,FALSE),""))</f>
        <v>46209</v>
      </c>
      <c r="H62" s="113" t="str" cm="1">
        <f t="array" ref="H62">IF(A62="","",_xlfn.LET(_xlpm.stn,IFERROR(VLOOKUP(A62,'Job Operations'!$A$4:$AA$304,12,FALSE),""),IF(OR(_xlpm.stn="AXYZ 34",_xlpm.stn="AXYZ"),_xlfn.LET(_xlpm.pos,SUMPRODUCT((A$7:A62&lt;&gt;"")*(IFERROR(VLOOKUP(A$7:A62,'Job Operations'!$A$4:$AA$304,12,FALSE),"")="AXYZ 34")+(A$7:A62&lt;&gt;"")*(IFERROR(VLOOKUP(A$7:A62,'Job Operations'!$A$4:$AA$304,12,FALSE),"")="AXYZ")),_xlpm.sfx,IF(OR(_xlpm.pos=11,_xlpm.pos=12,_xlpm.pos=13),"th",IF(MOD(_xlpm.pos,10)=1,"st",IF(MOD(_xlpm.pos,10)=2,"nd",IF(MOD(_xlpm.pos,10)=3,"rd","th")))),_xlpm.pos&amp;_xlpm.sfx),IF(_xlpm.stn&lt;&gt;"",_xlpm.stn,""))))</f>
        <v>LO</v>
      </c>
      <c r="I62" s="115">
        <f t="shared" si="3"/>
        <v>29</v>
      </c>
      <c r="J62" s="114">
        <f t="shared" si="4"/>
        <v>46198</v>
      </c>
      <c r="K62" s="113" t="str">
        <f>IF(A62="","",IFERROR(VLOOKUP(A62,'Job Operations'!$A$4:$AA$304,15,FALSE),""))</f>
        <v>Clean and Brake</v>
      </c>
      <c r="L62" s="113" t="str">
        <f>IF(A62="","",IFERROR(VLOOKUP(A62,'Job Operations'!$A$4:$AA$304,17,FALSE),""))</f>
        <v>Fab</v>
      </c>
      <c r="M62" s="136" t="str">
        <f>IF(A62="","",IF(IFERROR(VLOOKUP(A62,Notes!A:B,2,FALSE),"")=0,"",VLOOKUP(A62,Notes!A:B,2,FALSE)))</f>
        <v>04/16/2026…LO</v>
      </c>
    </row>
    <row r="63" spans="1:13" ht="15" customHeight="1" x14ac:dyDescent="0.25">
      <c r="A63" s="111" t="str">
        <v>25006-FS10</v>
      </c>
      <c r="B63" s="112" t="str">
        <f>IF(A63="","",IFERROR(VLOOKUP(A63,'Job Operations'!$A$4:$AA$304,2,FALSE),""))</f>
        <v>MALETA Housing and Dining</v>
      </c>
      <c r="C63" s="113" t="str">
        <f>IF(A63="","",IFERROR(VLOOKUP(A63,'Job Operations'!$A$4:$AA$304,3,FALSE),""))</f>
        <v>Cole Norona</v>
      </c>
      <c r="D63" s="113">
        <f>IF(A63="","",IFERROR(VLOOKUP(A63,'Job Operations'!$A$4:$AA$304,5,FALSE),""))</f>
        <v>140</v>
      </c>
      <c r="E63" s="113">
        <f>IF(A63="","",IFERROR(VLOOKUP(A63,'Job Operations'!$A$4:$AA$304,6,FALSE),""))</f>
        <v>0</v>
      </c>
      <c r="F63" s="113" t="str">
        <f>IF(A63="","",IFERROR(VLOOKUP(A63,'Job Operations'!$A$4:$AA$304,7,FALSE),""))</f>
        <v>FR ACM</v>
      </c>
      <c r="G63" s="114">
        <f>IF(A63="","",IFERROR(VLOOKUP(A63,'Job Operations'!$A$4:$AA$304,9,FALSE),""))</f>
        <v>46205</v>
      </c>
      <c r="H63" s="113" t="str" cm="1">
        <f t="array" ref="H63">IF(A63="","",_xlfn.LET(_xlpm.stn,IFERROR(VLOOKUP(A63,'Job Operations'!$A$4:$AA$304,12,FALSE),""),IF(OR(_xlpm.stn="AXYZ 34",_xlpm.stn="AXYZ"),_xlfn.LET(_xlpm.pos,SUMPRODUCT((A$7:A63&lt;&gt;"")*(IFERROR(VLOOKUP(A$7:A63,'Job Operations'!$A$4:$AA$304,12,FALSE),"")="AXYZ 34")+(A$7:A63&lt;&gt;"")*(IFERROR(VLOOKUP(A$7:A63,'Job Operations'!$A$4:$AA$304,12,FALSE),"")="AXYZ")),_xlpm.sfx,IF(OR(_xlpm.pos=11,_xlpm.pos=12,_xlpm.pos=13),"th",IF(MOD(_xlpm.pos,10)=1,"st",IF(MOD(_xlpm.pos,10)=2,"nd",IF(MOD(_xlpm.pos,10)=3,"rd","th")))),_xlpm.pos&amp;_xlpm.sfx),IF(_xlpm.stn&lt;&gt;"",_xlpm.stn,""))))</f>
        <v>LO</v>
      </c>
      <c r="I63" s="115">
        <f t="shared" si="3"/>
        <v>20</v>
      </c>
      <c r="J63" s="114">
        <f t="shared" si="4"/>
        <v>46196</v>
      </c>
      <c r="K63" s="113" t="str">
        <f>IF(A63="","",IFERROR(VLOOKUP(A63,'Job Operations'!$A$4:$AA$304,15,FALSE),""))</f>
        <v>Fab</v>
      </c>
      <c r="L63" s="113" t="str">
        <f>IF(A63="","",IFERROR(VLOOKUP(A63,'Job Operations'!$A$4:$AA$304,17,FALSE),""))</f>
        <v/>
      </c>
      <c r="M63" s="136" t="str">
        <f>IF(A63="","",IF(IFERROR(VLOOKUP(A63,Notes!A:B,2,FALSE),"")=0,"",VLOOKUP(A63,Notes!A:B,2,FALSE)))</f>
        <v>HOAR*04/16/2026…LO</v>
      </c>
    </row>
    <row r="64" spans="1:13" ht="15" customHeight="1" x14ac:dyDescent="0.25">
      <c r="A64" s="111" t="str">
        <v>25006-FS11</v>
      </c>
      <c r="B64" s="112" t="str">
        <f>IF(A64="","",IFERROR(VLOOKUP(A64,'Job Operations'!$A$4:$AA$304,2,FALSE),""))</f>
        <v>MALETA Housing and Dining</v>
      </c>
      <c r="C64" s="113" t="str">
        <f>IF(A64="","",IFERROR(VLOOKUP(A64,'Job Operations'!$A$4:$AA$304,3,FALSE),""))</f>
        <v>Cole Norona</v>
      </c>
      <c r="D64" s="113">
        <f>IF(A64="","",IFERROR(VLOOKUP(A64,'Job Operations'!$A$4:$AA$304,5,FALSE),""))</f>
        <v>201</v>
      </c>
      <c r="E64" s="113">
        <f>IF(A64="","",IFERROR(VLOOKUP(A64,'Job Operations'!$A$4:$AA$304,6,FALSE),""))</f>
        <v>0</v>
      </c>
      <c r="F64" s="113" t="str">
        <f>IF(A64="","",IFERROR(VLOOKUP(A64,'Job Operations'!$A$4:$AA$304,7,FALSE),""))</f>
        <v>FR ACM</v>
      </c>
      <c r="G64" s="114">
        <f>IF(A64="","",IFERROR(VLOOKUP(A64,'Job Operations'!$A$4:$AA$304,9,FALSE),""))</f>
        <v>46218</v>
      </c>
      <c r="H64" s="113" t="str" cm="1">
        <f t="array" ref="H64">IF(A64="","",_xlfn.LET(_xlpm.stn,IFERROR(VLOOKUP(A64,'Job Operations'!$A$4:$AA$304,12,FALSE),""),IF(OR(_xlpm.stn="AXYZ 34",_xlpm.stn="AXYZ"),_xlfn.LET(_xlpm.pos,SUMPRODUCT((A$7:A64&lt;&gt;"")*(IFERROR(VLOOKUP(A$7:A64,'Job Operations'!$A$4:$AA$304,12,FALSE),"")="AXYZ 34")+(A$7:A64&lt;&gt;"")*(IFERROR(VLOOKUP(A$7:A64,'Job Operations'!$A$4:$AA$304,12,FALSE),"")="AXYZ")),_xlpm.sfx,IF(OR(_xlpm.pos=11,_xlpm.pos=12,_xlpm.pos=13),"th",IF(MOD(_xlpm.pos,10)=1,"st",IF(MOD(_xlpm.pos,10)=2,"nd",IF(MOD(_xlpm.pos,10)=3,"rd","th")))),_xlpm.pos&amp;_xlpm.sfx),IF(_xlpm.stn&lt;&gt;"",_xlpm.stn,""))))</f>
        <v>LO</v>
      </c>
      <c r="I64" s="115">
        <f t="shared" si="3"/>
        <v>28.714285714285715</v>
      </c>
      <c r="J64" s="114">
        <f t="shared" si="4"/>
        <v>46207</v>
      </c>
      <c r="K64" s="113" t="str">
        <f>IF(A64="","",IFERROR(VLOOKUP(A64,'Job Operations'!$A$4:$AA$304,15,FALSE),""))</f>
        <v>Clean and Brake</v>
      </c>
      <c r="L64" s="113" t="str">
        <f>IF(A64="","",IFERROR(VLOOKUP(A64,'Job Operations'!$A$4:$AA$304,17,FALSE),""))</f>
        <v>Fab</v>
      </c>
      <c r="M64" s="136" t="str">
        <f>IF(A64="","",IF(IFERROR(VLOOKUP(A64,Notes!A:B,2,FALSE),"")=0,"",VLOOKUP(A64,Notes!A:B,2,FALSE)))</f>
        <v>HOAR*04/16/2026…LO</v>
      </c>
    </row>
    <row r="65" spans="1:13" ht="15" customHeight="1" x14ac:dyDescent="0.25">
      <c r="A65" s="111" t="str">
        <v>25044-FS07</v>
      </c>
      <c r="B65" s="112" t="str">
        <f>IF(A65="","",IFERROR(VLOOKUP(A65,'Job Operations'!$A$4:$AA$304,2,FALSE),""))</f>
        <v>MALETA Firing Range</v>
      </c>
      <c r="C65" s="113" t="str">
        <f>IF(A65="","",IFERROR(VLOOKUP(A65,'Job Operations'!$A$4:$AA$304,3,FALSE),""))</f>
        <v>Cole Norona</v>
      </c>
      <c r="D65" s="113">
        <f>IF(A65="","",IFERROR(VLOOKUP(A65,'Job Operations'!$A$4:$AA$304,5,FALSE),""))</f>
        <v>160</v>
      </c>
      <c r="E65" s="113">
        <f>IF(A65="","",IFERROR(VLOOKUP(A65,'Job Operations'!$A$4:$AA$304,6,FALSE),""))</f>
        <v>0</v>
      </c>
      <c r="F65" s="113" t="str">
        <f>IF(A65="","",IFERROR(VLOOKUP(A65,'Job Operations'!$A$4:$AA$304,7,FALSE),""))</f>
        <v>FR ACM</v>
      </c>
      <c r="G65" s="114">
        <f>IF(A65="","",IFERROR(VLOOKUP(A65,'Job Operations'!$A$4:$AA$304,9,FALSE),""))</f>
        <v>46218</v>
      </c>
      <c r="H65" s="113" t="str" cm="1">
        <f t="array" ref="H65">IF(A65="","",_xlfn.LET(_xlpm.stn,IFERROR(VLOOKUP(A65,'Job Operations'!$A$4:$AA$304,12,FALSE),""),IF(OR(_xlpm.stn="AXYZ 34",_xlpm.stn="AXYZ"),_xlfn.LET(_xlpm.pos,SUMPRODUCT((A$7:A65&lt;&gt;"")*(IFERROR(VLOOKUP(A$7:A65,'Job Operations'!$A$4:$AA$304,12,FALSE),"")="AXYZ 34")+(A$7:A65&lt;&gt;"")*(IFERROR(VLOOKUP(A$7:A65,'Job Operations'!$A$4:$AA$304,12,FALSE),"")="AXYZ")),_xlpm.sfx,IF(OR(_xlpm.pos=11,_xlpm.pos=12,_xlpm.pos=13),"th",IF(MOD(_xlpm.pos,10)=1,"st",IF(MOD(_xlpm.pos,10)=2,"nd",IF(MOD(_xlpm.pos,10)=3,"rd","th")))),_xlpm.pos&amp;_xlpm.sfx),IF(_xlpm.stn&lt;&gt;"",_xlpm.stn,""))))</f>
        <v>LO</v>
      </c>
      <c r="I65" s="115">
        <f t="shared" si="3"/>
        <v>22.857142857142858</v>
      </c>
      <c r="J65" s="114">
        <f t="shared" si="4"/>
        <v>46209</v>
      </c>
      <c r="K65" s="113" t="str">
        <f>IF(A65="","",IFERROR(VLOOKUP(A65,'Job Operations'!$A$4:$AA$304,15,FALSE),""))</f>
        <v>Clean and Brake</v>
      </c>
      <c r="L65" s="113" t="str">
        <f>IF(A65="","",IFERROR(VLOOKUP(A65,'Job Operations'!$A$4:$AA$304,17,FALSE),""))</f>
        <v>Fab</v>
      </c>
      <c r="M65" s="136" t="str">
        <f>IF(A65="","",IF(IFERROR(VLOOKUP(A65,Notes!A:B,2,FALSE),"")=0,"",VLOOKUP(A65,Notes!A:B,2,FALSE)))</f>
        <v>04/16/2026…LO</v>
      </c>
    </row>
    <row r="66" spans="1:13" ht="15" customHeight="1" x14ac:dyDescent="0.25">
      <c r="A66" s="111" t="str">
        <v>25044-FS08</v>
      </c>
      <c r="B66" s="112" t="str">
        <f>IF(A66="","",IFERROR(VLOOKUP(A66,'Job Operations'!$A$4:$AA$304,2,FALSE),""))</f>
        <v>MALETA Firing Range</v>
      </c>
      <c r="C66" s="113" t="str">
        <f>IF(A66="","",IFERROR(VLOOKUP(A66,'Job Operations'!$A$4:$AA$304,3,FALSE),""))</f>
        <v>Cole Norona</v>
      </c>
      <c r="D66" s="113">
        <f>IF(A66="","",IFERROR(VLOOKUP(A66,'Job Operations'!$A$4:$AA$304,5,FALSE),""))</f>
        <v>163</v>
      </c>
      <c r="E66" s="113">
        <f>IF(A66="","",IFERROR(VLOOKUP(A66,'Job Operations'!$A$4:$AA$304,6,FALSE),""))</f>
        <v>0</v>
      </c>
      <c r="F66" s="113" t="str">
        <f>IF(A66="","",IFERROR(VLOOKUP(A66,'Job Operations'!$A$4:$AA$304,7,FALSE),""))</f>
        <v>FR ACM</v>
      </c>
      <c r="G66" s="114">
        <f>IF(A66="","",IFERROR(VLOOKUP(A66,'Job Operations'!$A$4:$AA$304,9,FALSE),""))</f>
        <v>46225</v>
      </c>
      <c r="H66" s="113" t="str" cm="1">
        <f t="array" ref="H66">IF(A66="","",_xlfn.LET(_xlpm.stn,IFERROR(VLOOKUP(A66,'Job Operations'!$A$4:$AA$304,12,FALSE),""),IF(OR(_xlpm.stn="AXYZ 34",_xlpm.stn="AXYZ"),_xlfn.LET(_xlpm.pos,SUMPRODUCT((A$7:A66&lt;&gt;"")*(IFERROR(VLOOKUP(A$7:A66,'Job Operations'!$A$4:$AA$304,12,FALSE),"")="AXYZ 34")+(A$7:A66&lt;&gt;"")*(IFERROR(VLOOKUP(A$7:A66,'Job Operations'!$A$4:$AA$304,12,FALSE),"")="AXYZ")),_xlpm.sfx,IF(OR(_xlpm.pos=11,_xlpm.pos=12,_xlpm.pos=13),"th",IF(MOD(_xlpm.pos,10)=1,"st",IF(MOD(_xlpm.pos,10)=2,"nd",IF(MOD(_xlpm.pos,10)=3,"rd","th")))),_xlpm.pos&amp;_xlpm.sfx),IF(_xlpm.stn&lt;&gt;"",_xlpm.stn,""))))</f>
        <v>LO</v>
      </c>
      <c r="I66" s="115">
        <f t="shared" si="3"/>
        <v>23.285714285714285</v>
      </c>
      <c r="J66" s="114">
        <f t="shared" si="4"/>
        <v>46216</v>
      </c>
      <c r="K66" s="113" t="str">
        <f>IF(A66="","",IFERROR(VLOOKUP(A66,'Job Operations'!$A$4:$AA$304,15,FALSE),""))</f>
        <v>Clean and Brake</v>
      </c>
      <c r="L66" s="113" t="str">
        <f>IF(A66="","",IFERROR(VLOOKUP(A66,'Job Operations'!$A$4:$AA$304,17,FALSE),""))</f>
        <v>Fab</v>
      </c>
      <c r="M66" s="136" t="str">
        <f>IF(A66="","",IF(IFERROR(VLOOKUP(A66,Notes!A:B,2,FALSE),"")=0,"",VLOOKUP(A66,Notes!A:B,2,FALSE)))</f>
        <v>04/16/2026…LO</v>
      </c>
    </row>
    <row r="67" spans="1:13" ht="15" customHeight="1" x14ac:dyDescent="0.25">
      <c r="A67" s="111" t="str">
        <v>25006-FS12</v>
      </c>
      <c r="B67" s="112" t="str">
        <f>IF(A67="","",IFERROR(VLOOKUP(A67,'Job Operations'!$A$4:$AA$304,2,FALSE),""))</f>
        <v>MALETA Housing and Dining</v>
      </c>
      <c r="C67" s="113" t="str">
        <f>IF(A67="","",IFERROR(VLOOKUP(A67,'Job Operations'!$A$4:$AA$304,3,FALSE),""))</f>
        <v>Cole Norona</v>
      </c>
      <c r="D67" s="113">
        <f>IF(A67="","",IFERROR(VLOOKUP(A67,'Job Operations'!$A$4:$AA$304,5,FALSE),""))</f>
        <v>192</v>
      </c>
      <c r="E67" s="113">
        <f>IF(A67="","",IFERROR(VLOOKUP(A67,'Job Operations'!$A$4:$AA$304,6,FALSE),""))</f>
        <v>0</v>
      </c>
      <c r="F67" s="113" t="str">
        <f>IF(A67="","",IFERROR(VLOOKUP(A67,'Job Operations'!$A$4:$AA$304,7,FALSE),""))</f>
        <v>FR ACM</v>
      </c>
      <c r="G67" s="114">
        <f>IF(A67="","",IFERROR(VLOOKUP(A67,'Job Operations'!$A$4:$AA$304,9,FALSE),""))</f>
        <v>46230</v>
      </c>
      <c r="H67" s="113" t="str" cm="1">
        <f t="array" ref="H67">IF(A67="","",_xlfn.LET(_xlpm.stn,IFERROR(VLOOKUP(A67,'Job Operations'!$A$4:$AA$304,12,FALSE),""),IF(OR(_xlpm.stn="AXYZ 34",_xlpm.stn="AXYZ"),_xlfn.LET(_xlpm.pos,SUMPRODUCT((A$7:A67&lt;&gt;"")*(IFERROR(VLOOKUP(A$7:A67,'Job Operations'!$A$4:$AA$304,12,FALSE),"")="AXYZ 34")+(A$7:A67&lt;&gt;"")*(IFERROR(VLOOKUP(A$7:A67,'Job Operations'!$A$4:$AA$304,12,FALSE),"")="AXYZ")),_xlpm.sfx,IF(OR(_xlpm.pos=11,_xlpm.pos=12,_xlpm.pos=13),"th",IF(MOD(_xlpm.pos,10)=1,"st",IF(MOD(_xlpm.pos,10)=2,"nd",IF(MOD(_xlpm.pos,10)=3,"rd","th")))),_xlpm.pos&amp;_xlpm.sfx),IF(_xlpm.stn&lt;&gt;"",_xlpm.stn,""))))</f>
        <v>LO</v>
      </c>
      <c r="I67" s="115">
        <f t="shared" si="3"/>
        <v>27.428571428571427</v>
      </c>
      <c r="J67" s="114">
        <f t="shared" si="4"/>
        <v>46219</v>
      </c>
      <c r="K67" s="113" t="str">
        <f>IF(A67="","",IFERROR(VLOOKUP(A67,'Job Operations'!$A$4:$AA$304,15,FALSE),""))</f>
        <v>Clean and Brake</v>
      </c>
      <c r="L67" s="113" t="str">
        <f>IF(A67="","",IFERROR(VLOOKUP(A67,'Job Operations'!$A$4:$AA$304,17,FALSE),""))</f>
        <v>Fab</v>
      </c>
      <c r="M67" s="136" t="str">
        <f>IF(A67="","",IF(IFERROR(VLOOKUP(A67,Notes!A:B,2,FALSE),"")=0,"",VLOOKUP(A67,Notes!A:B,2,FALSE)))</f>
        <v>HOAR*04/16/2026…LO</v>
      </c>
    </row>
    <row r="68" spans="1:13" ht="15" customHeight="1" x14ac:dyDescent="0.25">
      <c r="A68" s="111" t="str">
        <v>25044-FS01.2</v>
      </c>
      <c r="B68" s="112" t="str">
        <f>IF(A68="","",IFERROR(VLOOKUP(A68,'Job Operations'!$A$4:$AA$304,2,FALSE),""))</f>
        <v>MALETA Firing Range</v>
      </c>
      <c r="C68" s="113" t="str">
        <f>IF(A68="","",IFERROR(VLOOKUP(A68,'Job Operations'!$A$4:$AA$304,3,FALSE),""))</f>
        <v>Cole Norona</v>
      </c>
      <c r="D68" s="113">
        <f>IF(A68="","",IFERROR(VLOOKUP(A68,'Job Operations'!$A$4:$AA$304,5,FALSE),""))</f>
        <v>193</v>
      </c>
      <c r="E68" s="113">
        <f>IF(A68="","",IFERROR(VLOOKUP(A68,'Job Operations'!$A$4:$AA$304,6,FALSE),""))</f>
        <v>0</v>
      </c>
      <c r="F68" s="113" t="str">
        <f>IF(A68="","",IFERROR(VLOOKUP(A68,'Job Operations'!$A$4:$AA$304,7,FALSE),""))</f>
        <v>FR ACM</v>
      </c>
      <c r="G68" s="114">
        <f>IF(A68="","",IFERROR(VLOOKUP(A68,'Job Operations'!$A$4:$AA$304,9,FALSE),""))</f>
        <v>46232</v>
      </c>
      <c r="H68" s="113" t="str" cm="1">
        <f t="array" ref="H68">IF(A68="","",_xlfn.LET(_xlpm.stn,IFERROR(VLOOKUP(A68,'Job Operations'!$A$4:$AA$304,12,FALSE),""),IF(OR(_xlpm.stn="AXYZ 34",_xlpm.stn="AXYZ"),_xlfn.LET(_xlpm.pos,SUMPRODUCT((A$7:A68&lt;&gt;"")*(IFERROR(VLOOKUP(A$7:A68,'Job Operations'!$A$4:$AA$304,12,FALSE),"")="AXYZ 34")+(A$7:A68&lt;&gt;"")*(IFERROR(VLOOKUP(A$7:A68,'Job Operations'!$A$4:$AA$304,12,FALSE),"")="AXYZ")),_xlpm.sfx,IF(OR(_xlpm.pos=11,_xlpm.pos=12,_xlpm.pos=13),"th",IF(MOD(_xlpm.pos,10)=1,"st",IF(MOD(_xlpm.pos,10)=2,"nd",IF(MOD(_xlpm.pos,10)=3,"rd","th")))),_xlpm.pos&amp;_xlpm.sfx),IF(_xlpm.stn&lt;&gt;"",_xlpm.stn,""))))</f>
        <v>LO</v>
      </c>
      <c r="I68" s="115">
        <f t="shared" si="3"/>
        <v>27.571428571428573</v>
      </c>
      <c r="J68" s="114">
        <f t="shared" si="4"/>
        <v>46221</v>
      </c>
      <c r="K68" s="113" t="str">
        <f>IF(A68="","",IFERROR(VLOOKUP(A68,'Job Operations'!$A$4:$AA$304,15,FALSE),""))</f>
        <v>Clean and Brake</v>
      </c>
      <c r="L68" s="113" t="str">
        <f>IF(A68="","",IFERROR(VLOOKUP(A68,'Job Operations'!$A$4:$AA$304,17,FALSE),""))</f>
        <v>Fab</v>
      </c>
      <c r="M68" s="136" t="str">
        <f>IF(A68="","",IF(IFERROR(VLOOKUP(A68,Notes!A:B,2,FALSE),"")=0,"",VLOOKUP(A68,Notes!A:B,2,FALSE)))</f>
        <v>04/16/2026…LO</v>
      </c>
    </row>
    <row r="69" spans="1:13" ht="15" customHeight="1" x14ac:dyDescent="0.25">
      <c r="A69" s="111" t="str">
        <v>25044-FS09</v>
      </c>
      <c r="B69" s="112" t="str">
        <f>IF(A69="","",IFERROR(VLOOKUP(A69,'Job Operations'!$A$4:$AA$304,2,FALSE),""))</f>
        <v>MALETA Firing Range</v>
      </c>
      <c r="C69" s="113" t="str">
        <f>IF(A69="","",IFERROR(VLOOKUP(A69,'Job Operations'!$A$4:$AA$304,3,FALSE),""))</f>
        <v>Cole Norona</v>
      </c>
      <c r="D69" s="113">
        <f>IF(A69="","",IFERROR(VLOOKUP(A69,'Job Operations'!$A$4:$AA$304,5,FALSE),""))</f>
        <v>86</v>
      </c>
      <c r="E69" s="113">
        <f>IF(A69="","",IFERROR(VLOOKUP(A69,'Job Operations'!$A$4:$AA$304,6,FALSE),""))</f>
        <v>0</v>
      </c>
      <c r="F69" s="113" t="str">
        <f>IF(A69="","",IFERROR(VLOOKUP(A69,'Job Operations'!$A$4:$AA$304,7,FALSE),""))</f>
        <v>FR ACM</v>
      </c>
      <c r="G69" s="114">
        <f>IF(A69="","",IFERROR(VLOOKUP(A69,'Job Operations'!$A$4:$AA$304,9,FALSE),""))</f>
        <v>46232</v>
      </c>
      <c r="H69" s="113" t="str" cm="1">
        <f t="array" ref="H69">IF(A69="","",_xlfn.LET(_xlpm.stn,IFERROR(VLOOKUP(A69,'Job Operations'!$A$4:$AA$304,12,FALSE),""),IF(OR(_xlpm.stn="AXYZ 34",_xlpm.stn="AXYZ"),_xlfn.LET(_xlpm.pos,SUMPRODUCT((A$7:A69&lt;&gt;"")*(IFERROR(VLOOKUP(A$7:A69,'Job Operations'!$A$4:$AA$304,12,FALSE),"")="AXYZ 34")+(A$7:A69&lt;&gt;"")*(IFERROR(VLOOKUP(A$7:A69,'Job Operations'!$A$4:$AA$304,12,FALSE),"")="AXYZ")),_xlpm.sfx,IF(OR(_xlpm.pos=11,_xlpm.pos=12,_xlpm.pos=13),"th",IF(MOD(_xlpm.pos,10)=1,"st",IF(MOD(_xlpm.pos,10)=2,"nd",IF(MOD(_xlpm.pos,10)=3,"rd","th")))),_xlpm.pos&amp;_xlpm.sfx),IF(_xlpm.stn&lt;&gt;"",_xlpm.stn,""))))</f>
        <v>LO</v>
      </c>
      <c r="I69" s="115">
        <f t="shared" si="3"/>
        <v>12.285714285714286</v>
      </c>
      <c r="J69" s="114">
        <f t="shared" si="4"/>
        <v>46224</v>
      </c>
      <c r="K69" s="113" t="str">
        <f>IF(A69="","",IFERROR(VLOOKUP(A69,'Job Operations'!$A$4:$AA$304,15,FALSE),""))</f>
        <v>Clean and Brake</v>
      </c>
      <c r="L69" s="113" t="str">
        <f>IF(A69="","",IFERROR(VLOOKUP(A69,'Job Operations'!$A$4:$AA$304,17,FALSE),""))</f>
        <v>Fab</v>
      </c>
      <c r="M69" s="136" t="str">
        <f>IF(A69="","",IF(IFERROR(VLOOKUP(A69,Notes!A:B,2,FALSE),"")=0,"",VLOOKUP(A69,Notes!A:B,2,FALSE)))</f>
        <v>04/16/2026…LO</v>
      </c>
    </row>
    <row r="70" spans="1:13" ht="15" customHeight="1" x14ac:dyDescent="0.25">
      <c r="A70" s="111" t="str">
        <v>25006-FS13</v>
      </c>
      <c r="B70" s="112" t="str">
        <f>IF(A70="","",IFERROR(VLOOKUP(A70,'Job Operations'!$A$4:$AA$304,2,FALSE),""))</f>
        <v>MALETA Housing and Dining</v>
      </c>
      <c r="C70" s="113" t="str">
        <f>IF(A70="","",IFERROR(VLOOKUP(A70,'Job Operations'!$A$4:$AA$304,3,FALSE),""))</f>
        <v>Cole Norona</v>
      </c>
      <c r="D70" s="113">
        <f>IF(A70="","",IFERROR(VLOOKUP(A70,'Job Operations'!$A$4:$AA$304,5,FALSE),""))</f>
        <v>28</v>
      </c>
      <c r="E70" s="113">
        <f>IF(A70="","",IFERROR(VLOOKUP(A70,'Job Operations'!$A$4:$AA$304,6,FALSE),""))</f>
        <v>0</v>
      </c>
      <c r="F70" s="113" t="str">
        <f>IF(A70="","",IFERROR(VLOOKUP(A70,'Job Operations'!$A$4:$AA$304,7,FALSE),""))</f>
        <v>FR ACM</v>
      </c>
      <c r="G70" s="114">
        <f>IF(A70="","",IFERROR(VLOOKUP(A70,'Job Operations'!$A$4:$AA$304,9,FALSE),""))</f>
        <v>46237</v>
      </c>
      <c r="H70" s="113" t="str" cm="1">
        <f t="array" ref="H70">IF(A70="","",_xlfn.LET(_xlpm.stn,IFERROR(VLOOKUP(A70,'Job Operations'!$A$4:$AA$304,12,FALSE),""),IF(OR(_xlpm.stn="AXYZ 34",_xlpm.stn="AXYZ"),_xlfn.LET(_xlpm.pos,SUMPRODUCT((A$7:A70&lt;&gt;"")*(IFERROR(VLOOKUP(A$7:A70,'Job Operations'!$A$4:$AA$304,12,FALSE),"")="AXYZ 34")+(A$7:A70&lt;&gt;"")*(IFERROR(VLOOKUP(A$7:A70,'Job Operations'!$A$4:$AA$304,12,FALSE),"")="AXYZ")),_xlpm.sfx,IF(OR(_xlpm.pos=11,_xlpm.pos=12,_xlpm.pos=13),"th",IF(MOD(_xlpm.pos,10)=1,"st",IF(MOD(_xlpm.pos,10)=2,"nd",IF(MOD(_xlpm.pos,10)=3,"rd","th")))),_xlpm.pos&amp;_xlpm.sfx),IF(_xlpm.stn&lt;&gt;"",_xlpm.stn,""))))</f>
        <v>LO</v>
      </c>
      <c r="I70" s="115">
        <f t="shared" si="3"/>
        <v>4</v>
      </c>
      <c r="J70" s="114">
        <f t="shared" si="4"/>
        <v>46230</v>
      </c>
      <c r="K70" s="113" t="str">
        <f>IF(A70="","",IFERROR(VLOOKUP(A70,'Job Operations'!$A$4:$AA$304,15,FALSE),""))</f>
        <v>Clean and Brake</v>
      </c>
      <c r="L70" s="113" t="str">
        <f>IF(A70="","",IFERROR(VLOOKUP(A70,'Job Operations'!$A$4:$AA$304,17,FALSE),""))</f>
        <v>Fab</v>
      </c>
      <c r="M70" s="136" t="str">
        <f>IF(A70="","",IF(IFERROR(VLOOKUP(A70,Notes!A:B,2,FALSE),"")=0,"",VLOOKUP(A70,Notes!A:B,2,FALSE)))</f>
        <v>HOAR*04/16/2026…LO</v>
      </c>
    </row>
    <row r="71" spans="1:13" ht="15" customHeight="1" x14ac:dyDescent="0.25">
      <c r="A71" s="111" t="str">
        <v>25044-FS10</v>
      </c>
      <c r="B71" s="112" t="str">
        <f>IF(A71="","",IFERROR(VLOOKUP(A71,'Job Operations'!$A$4:$AA$304,2,FALSE),""))</f>
        <v>MALETA Firing Range</v>
      </c>
      <c r="C71" s="113" t="str">
        <f>IF(A71="","",IFERROR(VLOOKUP(A71,'Job Operations'!$A$4:$AA$304,3,FALSE),""))</f>
        <v>Cole Norona</v>
      </c>
      <c r="D71" s="113">
        <f>IF(A71="","",IFERROR(VLOOKUP(A71,'Job Operations'!$A$4:$AA$304,5,FALSE),""))</f>
        <v>185</v>
      </c>
      <c r="E71" s="113">
        <f>IF(A71="","",IFERROR(VLOOKUP(A71,'Job Operations'!$A$4:$AA$304,6,FALSE),""))</f>
        <v>0</v>
      </c>
      <c r="F71" s="113" t="str">
        <f>IF(A71="","",IFERROR(VLOOKUP(A71,'Job Operations'!$A$4:$AA$304,7,FALSE),""))</f>
        <v>FR ACM</v>
      </c>
      <c r="G71" s="114">
        <f>IF(A71="","",IFERROR(VLOOKUP(A71,'Job Operations'!$A$4:$AA$304,9,FALSE),""))</f>
        <v>46241</v>
      </c>
      <c r="H71" s="113" t="str" cm="1">
        <f t="array" ref="H71">IF(A71="","",_xlfn.LET(_xlpm.stn,IFERROR(VLOOKUP(A71,'Job Operations'!$A$4:$AA$304,12,FALSE),""),IF(OR(_xlpm.stn="AXYZ 34",_xlpm.stn="AXYZ"),_xlfn.LET(_xlpm.pos,SUMPRODUCT((A$7:A71&lt;&gt;"")*(IFERROR(VLOOKUP(A$7:A71,'Job Operations'!$A$4:$AA$304,12,FALSE),"")="AXYZ 34")+(A$7:A71&lt;&gt;"")*(IFERROR(VLOOKUP(A$7:A71,'Job Operations'!$A$4:$AA$304,12,FALSE),"")="AXYZ")),_xlpm.sfx,IF(OR(_xlpm.pos=11,_xlpm.pos=12,_xlpm.pos=13),"th",IF(MOD(_xlpm.pos,10)=1,"st",IF(MOD(_xlpm.pos,10)=2,"nd",IF(MOD(_xlpm.pos,10)=3,"rd","th")))),_xlpm.pos&amp;_xlpm.sfx),IF(_xlpm.stn&lt;&gt;"",_xlpm.stn,""))))</f>
        <v>LO</v>
      </c>
      <c r="I71" s="115">
        <f t="shared" ref="I71:I100" si="5">IF(A71="","",D71/7)</f>
        <v>26.428571428571427</v>
      </c>
      <c r="J71" s="114">
        <f t="shared" si="4"/>
        <v>46231</v>
      </c>
      <c r="K71" s="113" t="str">
        <f>IF(A71="","",IFERROR(VLOOKUP(A71,'Job Operations'!$A$4:$AA$304,15,FALSE),""))</f>
        <v>Clean and Brake</v>
      </c>
      <c r="L71" s="113" t="str">
        <f>IF(A71="","",IFERROR(VLOOKUP(A71,'Job Operations'!$A$4:$AA$304,17,FALSE),""))</f>
        <v>Fab</v>
      </c>
      <c r="M71" s="136" t="str">
        <f>IF(A71="","",IF(IFERROR(VLOOKUP(A71,Notes!A:B,2,FALSE),"")=0,"",VLOOKUP(A71,Notes!A:B,2,FALSE)))</f>
        <v>04/16/2026…LO</v>
      </c>
    </row>
    <row r="72" spans="1:13" ht="15" customHeight="1" x14ac:dyDescent="0.25">
      <c r="A72" s="111" t="str">
        <v>25044-FS11</v>
      </c>
      <c r="B72" s="112" t="str">
        <f>IF(A72="","",IFERROR(VLOOKUP(A72,'Job Operations'!$A$4:$AA$304,2,FALSE),""))</f>
        <v>MALETA Firing Range</v>
      </c>
      <c r="C72" s="113" t="str">
        <f>IF(A72="","",IFERROR(VLOOKUP(A72,'Job Operations'!$A$4:$AA$304,3,FALSE),""))</f>
        <v>Cole Norona</v>
      </c>
      <c r="D72" s="113">
        <f>IF(A72="","",IFERROR(VLOOKUP(A72,'Job Operations'!$A$4:$AA$304,5,FALSE),""))</f>
        <v>185</v>
      </c>
      <c r="E72" s="113">
        <f>IF(A72="","",IFERROR(VLOOKUP(A72,'Job Operations'!$A$4:$AA$304,6,FALSE),""))</f>
        <v>0</v>
      </c>
      <c r="F72" s="113" t="str">
        <f>IF(A72="","",IFERROR(VLOOKUP(A72,'Job Operations'!$A$4:$AA$304,7,FALSE),""))</f>
        <v>FR ACM</v>
      </c>
      <c r="G72" s="114">
        <f>IF(A72="","",IFERROR(VLOOKUP(A72,'Job Operations'!$A$4:$AA$304,9,FALSE),""))</f>
        <v>46251</v>
      </c>
      <c r="H72" s="113" t="str" cm="1">
        <f t="array" ref="H72">IF(A72="","",_xlfn.LET(_xlpm.stn,IFERROR(VLOOKUP(A72,'Job Operations'!$A$4:$AA$304,12,FALSE),""),IF(OR(_xlpm.stn="AXYZ 34",_xlpm.stn="AXYZ"),_xlfn.LET(_xlpm.pos,SUMPRODUCT((A$7:A72&lt;&gt;"")*(IFERROR(VLOOKUP(A$7:A72,'Job Operations'!$A$4:$AA$304,12,FALSE),"")="AXYZ 34")+(A$7:A72&lt;&gt;"")*(IFERROR(VLOOKUP(A$7:A72,'Job Operations'!$A$4:$AA$304,12,FALSE),"")="AXYZ")),_xlpm.sfx,IF(OR(_xlpm.pos=11,_xlpm.pos=12,_xlpm.pos=13),"th",IF(MOD(_xlpm.pos,10)=1,"st",IF(MOD(_xlpm.pos,10)=2,"nd",IF(MOD(_xlpm.pos,10)=3,"rd","th")))),_xlpm.pos&amp;_xlpm.sfx),IF(_xlpm.stn&lt;&gt;"",_xlpm.stn,""))))</f>
        <v>LO</v>
      </c>
      <c r="I72" s="115">
        <f t="shared" si="5"/>
        <v>26.428571428571427</v>
      </c>
      <c r="J72" s="114">
        <f t="shared" si="4"/>
        <v>46240</v>
      </c>
      <c r="K72" s="113" t="str">
        <f>IF(A72="","",IFERROR(VLOOKUP(A72,'Job Operations'!$A$4:$AA$304,15,FALSE),""))</f>
        <v>Clean and Brake</v>
      </c>
      <c r="L72" s="113" t="str">
        <f>IF(A72="","",IFERROR(VLOOKUP(A72,'Job Operations'!$A$4:$AA$304,17,FALSE),""))</f>
        <v>Fab</v>
      </c>
      <c r="M72" s="136" t="str">
        <f>IF(A72="","",IF(IFERROR(VLOOKUP(A72,Notes!A:B,2,FALSE),"")=0,"",VLOOKUP(A72,Notes!A:B,2,FALSE)))</f>
        <v>04/16/2026…LO</v>
      </c>
    </row>
    <row r="73" spans="1:13" ht="15" customHeight="1" x14ac:dyDescent="0.25">
      <c r="A73" s="111"/>
      <c r="B73" s="112" t="str">
        <f>IF(A73="","",IFERROR(VLOOKUP(A73,'Job Operations'!$A$4:$AA$304,2,FALSE),""))</f>
        <v/>
      </c>
      <c r="C73" s="113" t="str">
        <f>IF(A73="","",IFERROR(VLOOKUP(A73,'Job Operations'!$A$4:$AA$304,3,FALSE),""))</f>
        <v/>
      </c>
      <c r="D73" s="113" t="str">
        <f>IF(A73="","",IFERROR(VLOOKUP(A73,'Job Operations'!$A$4:$AA$304,5,FALSE),""))</f>
        <v/>
      </c>
      <c r="E73" s="113" t="str">
        <f>IF(A73="","",IFERROR(VLOOKUP(A73,'Job Operations'!$A$4:$AA$304,6,FALSE),""))</f>
        <v/>
      </c>
      <c r="F73" s="113" t="str">
        <f>IF(A73="","",IFERROR(VLOOKUP(A73,'Job Operations'!$A$4:$AA$304,7,FALSE),""))</f>
        <v/>
      </c>
      <c r="G73" s="114" t="str">
        <f>IF(A73="","",IFERROR(VLOOKUP(A73,'Job Operations'!$A$4:$AA$304,9,FALSE),""))</f>
        <v/>
      </c>
      <c r="H73" s="113" t="str" cm="1">
        <f t="array" ref="H73">IF(A73="","",_xlfn.LET(_xlpm.stn,IFERROR(VLOOKUP(A73,'Job Operations'!$A$4:$AA$304,12,FALSE),""),IF(OR(_xlpm.stn="AXYZ 34",_xlpm.stn="AXYZ"),_xlfn.LET(_xlpm.pos,SUMPRODUCT((A$7:A73&lt;&gt;"")*(IFERROR(VLOOKUP(A$7:A73,'Job Operations'!$A$4:$AA$304,12,FALSE),"")="AXYZ 34")+(A$7:A73&lt;&gt;"")*(IFERROR(VLOOKUP(A$7:A73,'Job Operations'!$A$4:$AA$304,12,FALSE),"")="AXYZ")),_xlpm.sfx,IF(OR(_xlpm.pos=11,_xlpm.pos=12,_xlpm.pos=13),"th",IF(MOD(_xlpm.pos,10)=1,"st",IF(MOD(_xlpm.pos,10)=2,"nd",IF(MOD(_xlpm.pos,10)=3,"rd","th")))),_xlpm.pos&amp;_xlpm.sfx),IF(_xlpm.stn&lt;&gt;"",_xlpm.stn,""))))</f>
        <v/>
      </c>
      <c r="I73" s="115" t="str">
        <f t="shared" si="5"/>
        <v/>
      </c>
      <c r="J73" s="114" t="str">
        <f t="shared" si="4"/>
        <v/>
      </c>
      <c r="K73" s="113" t="str">
        <f>IF(A73="","",IFERROR(VLOOKUP(A73,'Job Operations'!$A$4:$AA$304,15,FALSE),""))</f>
        <v/>
      </c>
      <c r="L73" s="113" t="str">
        <f>IF(A73="","",IFERROR(VLOOKUP(A73,'Job Operations'!$A$4:$AA$304,17,FALSE),""))</f>
        <v/>
      </c>
      <c r="M73" s="136" t="str">
        <f>IF(A73="","",IF(IFERROR(VLOOKUP(A73,Notes!A:B,2,FALSE),"")=0,"",VLOOKUP(A73,Notes!A:B,2,FALSE)))</f>
        <v/>
      </c>
    </row>
    <row r="74" spans="1:13" ht="15" customHeight="1" x14ac:dyDescent="0.25">
      <c r="A74" s="111"/>
      <c r="B74" s="112" t="str">
        <f>IF(A74="","",IFERROR(VLOOKUP(A74,'Job Operations'!$A$4:$AA$304,2,FALSE),""))</f>
        <v/>
      </c>
      <c r="C74" s="113" t="str">
        <f>IF(A74="","",IFERROR(VLOOKUP(A74,'Job Operations'!$A$4:$AA$304,3,FALSE),""))</f>
        <v/>
      </c>
      <c r="D74" s="113" t="str">
        <f>IF(A74="","",IFERROR(VLOOKUP(A74,'Job Operations'!$A$4:$AA$304,5,FALSE),""))</f>
        <v/>
      </c>
      <c r="E74" s="113" t="str">
        <f>IF(A74="","",IFERROR(VLOOKUP(A74,'Job Operations'!$A$4:$AA$304,6,FALSE),""))</f>
        <v/>
      </c>
      <c r="F74" s="113" t="str">
        <f>IF(A74="","",IFERROR(VLOOKUP(A74,'Job Operations'!$A$4:$AA$304,7,FALSE),""))</f>
        <v/>
      </c>
      <c r="G74" s="114" t="str">
        <f>IF(A74="","",IFERROR(VLOOKUP(A74,'Job Operations'!$A$4:$AA$304,9,FALSE),""))</f>
        <v/>
      </c>
      <c r="H74" s="113" t="str" cm="1">
        <f t="array" ref="H74">IF(A74="","",_xlfn.LET(_xlpm.stn,IFERROR(VLOOKUP(A74,'Job Operations'!$A$4:$AA$304,12,FALSE),""),IF(OR(_xlpm.stn="AXYZ 34",_xlpm.stn="AXYZ"),_xlfn.LET(_xlpm.pos,SUMPRODUCT((A$7:A74&lt;&gt;"")*(IFERROR(VLOOKUP(A$7:A74,'Job Operations'!$A$4:$AA$304,12,FALSE),"")="AXYZ 34")+(A$7:A74&lt;&gt;"")*(IFERROR(VLOOKUP(A$7:A74,'Job Operations'!$A$4:$AA$304,12,FALSE),"")="AXYZ")),_xlpm.sfx,IF(OR(_xlpm.pos=11,_xlpm.pos=12,_xlpm.pos=13),"th",IF(MOD(_xlpm.pos,10)=1,"st",IF(MOD(_xlpm.pos,10)=2,"nd",IF(MOD(_xlpm.pos,10)=3,"rd","th")))),_xlpm.pos&amp;_xlpm.sfx),IF(_xlpm.stn&lt;&gt;"",_xlpm.stn,""))))</f>
        <v/>
      </c>
      <c r="I74" s="115" t="str">
        <f t="shared" si="5"/>
        <v/>
      </c>
      <c r="J74" s="114" t="str">
        <f t="shared" si="4"/>
        <v/>
      </c>
      <c r="K74" s="113" t="str">
        <f>IF(A74="","",IFERROR(VLOOKUP(A74,'Job Operations'!$A$4:$AA$304,15,FALSE),""))</f>
        <v/>
      </c>
      <c r="L74" s="113" t="str">
        <f>IF(A74="","",IFERROR(VLOOKUP(A74,'Job Operations'!$A$4:$AA$304,17,FALSE),""))</f>
        <v/>
      </c>
      <c r="M74" s="136" t="str">
        <f>IF(A74="","",IF(IFERROR(VLOOKUP(A74,Notes!A:B,2,FALSE),"")=0,"",VLOOKUP(A74,Notes!A:B,2,FALSE)))</f>
        <v/>
      </c>
    </row>
    <row r="75" spans="1:13" ht="15" customHeight="1" x14ac:dyDescent="0.25">
      <c r="A75" s="111"/>
      <c r="B75" s="112" t="str">
        <f>IF(A75="","",IFERROR(VLOOKUP(A75,'Job Operations'!$A$4:$AA$304,2,FALSE),""))</f>
        <v/>
      </c>
      <c r="C75" s="113" t="str">
        <f>IF(A75="","",IFERROR(VLOOKUP(A75,'Job Operations'!$A$4:$AA$304,3,FALSE),""))</f>
        <v/>
      </c>
      <c r="D75" s="113" t="str">
        <f>IF(A75="","",IFERROR(VLOOKUP(A75,'Job Operations'!$A$4:$AA$304,5,FALSE),""))</f>
        <v/>
      </c>
      <c r="E75" s="113" t="str">
        <f>IF(A75="","",IFERROR(VLOOKUP(A75,'Job Operations'!$A$4:$AA$304,6,FALSE),""))</f>
        <v/>
      </c>
      <c r="F75" s="113" t="str">
        <f>IF(A75="","",IFERROR(VLOOKUP(A75,'Job Operations'!$A$4:$AA$304,7,FALSE),""))</f>
        <v/>
      </c>
      <c r="G75" s="114" t="str">
        <f>IF(A75="","",IFERROR(VLOOKUP(A75,'Job Operations'!$A$4:$AA$304,9,FALSE),""))</f>
        <v/>
      </c>
      <c r="H75" s="113" t="str" cm="1">
        <f t="array" ref="H75">IF(A75="","",_xlfn.LET(_xlpm.stn,IFERROR(VLOOKUP(A75,'Job Operations'!$A$4:$AA$304,12,FALSE),""),IF(OR(_xlpm.stn="AXYZ 34",_xlpm.stn="AXYZ"),_xlfn.LET(_xlpm.pos,SUMPRODUCT((A$7:A75&lt;&gt;"")*(IFERROR(VLOOKUP(A$7:A75,'Job Operations'!$A$4:$AA$304,12,FALSE),"")="AXYZ 34")+(A$7:A75&lt;&gt;"")*(IFERROR(VLOOKUP(A$7:A75,'Job Operations'!$A$4:$AA$304,12,FALSE),"")="AXYZ")),_xlpm.sfx,IF(OR(_xlpm.pos=11,_xlpm.pos=12,_xlpm.pos=13),"th",IF(MOD(_xlpm.pos,10)=1,"st",IF(MOD(_xlpm.pos,10)=2,"nd",IF(MOD(_xlpm.pos,10)=3,"rd","th")))),_xlpm.pos&amp;_xlpm.sfx),IF(_xlpm.stn&lt;&gt;"",_xlpm.stn,""))))</f>
        <v/>
      </c>
      <c r="I75" s="115" t="str">
        <f t="shared" si="5"/>
        <v/>
      </c>
      <c r="J75" s="114" t="str">
        <f t="shared" si="4"/>
        <v/>
      </c>
      <c r="K75" s="113" t="str">
        <f>IF(A75="","",IFERROR(VLOOKUP(A75,'Job Operations'!$A$4:$AA$304,15,FALSE),""))</f>
        <v/>
      </c>
      <c r="L75" s="113" t="str">
        <f>IF(A75="","",IFERROR(VLOOKUP(A75,'Job Operations'!$A$4:$AA$304,17,FALSE),""))</f>
        <v/>
      </c>
      <c r="M75" s="136" t="str">
        <f>IF(A75="","",IF(IFERROR(VLOOKUP(A75,Notes!A:B,2,FALSE),"")=0,"",VLOOKUP(A75,Notes!A:B,2,FALSE)))</f>
        <v/>
      </c>
    </row>
    <row r="76" spans="1:13" ht="15" customHeight="1" x14ac:dyDescent="0.25">
      <c r="A76" s="111"/>
      <c r="B76" s="112" t="str">
        <f>IF(A76="","",IFERROR(VLOOKUP(A76,'Job Operations'!$A$4:$AA$304,2,FALSE),""))</f>
        <v/>
      </c>
      <c r="C76" s="113" t="str">
        <f>IF(A76="","",IFERROR(VLOOKUP(A76,'Job Operations'!$A$4:$AA$304,3,FALSE),""))</f>
        <v/>
      </c>
      <c r="D76" s="113" t="str">
        <f>IF(A76="","",IFERROR(VLOOKUP(A76,'Job Operations'!$A$4:$AA$304,5,FALSE),""))</f>
        <v/>
      </c>
      <c r="E76" s="113" t="str">
        <f>IF(A76="","",IFERROR(VLOOKUP(A76,'Job Operations'!$A$4:$AA$304,6,FALSE),""))</f>
        <v/>
      </c>
      <c r="F76" s="113" t="str">
        <f>IF(A76="","",IFERROR(VLOOKUP(A76,'Job Operations'!$A$4:$AA$304,7,FALSE),""))</f>
        <v/>
      </c>
      <c r="G76" s="114" t="str">
        <f>IF(A76="","",IFERROR(VLOOKUP(A76,'Job Operations'!$A$4:$AA$304,9,FALSE),""))</f>
        <v/>
      </c>
      <c r="H76" s="113" t="str" cm="1">
        <f t="array" ref="H76">IF(A76="","",_xlfn.LET(_xlpm.stn,IFERROR(VLOOKUP(A76,'Job Operations'!$A$4:$AA$304,12,FALSE),""),IF(OR(_xlpm.stn="AXYZ 34",_xlpm.stn="AXYZ"),_xlfn.LET(_xlpm.pos,SUMPRODUCT((A$7:A76&lt;&gt;"")*(IFERROR(VLOOKUP(A$7:A76,'Job Operations'!$A$4:$AA$304,12,FALSE),"")="AXYZ 34")+(A$7:A76&lt;&gt;"")*(IFERROR(VLOOKUP(A$7:A76,'Job Operations'!$A$4:$AA$304,12,FALSE),"")="AXYZ")),_xlpm.sfx,IF(OR(_xlpm.pos=11,_xlpm.pos=12,_xlpm.pos=13),"th",IF(MOD(_xlpm.pos,10)=1,"st",IF(MOD(_xlpm.pos,10)=2,"nd",IF(MOD(_xlpm.pos,10)=3,"rd","th")))),_xlpm.pos&amp;_xlpm.sfx),IF(_xlpm.stn&lt;&gt;"",_xlpm.stn,""))))</f>
        <v/>
      </c>
      <c r="I76" s="115" t="str">
        <f t="shared" si="5"/>
        <v/>
      </c>
      <c r="J76" s="114" t="str">
        <f t="shared" si="4"/>
        <v/>
      </c>
      <c r="K76" s="113" t="str">
        <f>IF(A76="","",IFERROR(VLOOKUP(A76,'Job Operations'!$A$4:$AA$304,15,FALSE),""))</f>
        <v/>
      </c>
      <c r="L76" s="113" t="str">
        <f>IF(A76="","",IFERROR(VLOOKUP(A76,'Job Operations'!$A$4:$AA$304,17,FALSE),""))</f>
        <v/>
      </c>
      <c r="M76" s="136" t="str">
        <f>IF(A76="","",IF(IFERROR(VLOOKUP(A76,Notes!A:B,2,FALSE),"")=0,"",VLOOKUP(A76,Notes!A:B,2,FALSE)))</f>
        <v/>
      </c>
    </row>
    <row r="77" spans="1:13" ht="15" customHeight="1" x14ac:dyDescent="0.25">
      <c r="A77" s="111"/>
      <c r="B77" s="112" t="str">
        <f>IF(A77="","",IFERROR(VLOOKUP(A77,'Job Operations'!$A$4:$AA$304,2,FALSE),""))</f>
        <v/>
      </c>
      <c r="C77" s="113" t="str">
        <f>IF(A77="","",IFERROR(VLOOKUP(A77,'Job Operations'!$A$4:$AA$304,3,FALSE),""))</f>
        <v/>
      </c>
      <c r="D77" s="113" t="str">
        <f>IF(A77="","",IFERROR(VLOOKUP(A77,'Job Operations'!$A$4:$AA$304,5,FALSE),""))</f>
        <v/>
      </c>
      <c r="E77" s="113" t="str">
        <f>IF(A77="","",IFERROR(VLOOKUP(A77,'Job Operations'!$A$4:$AA$304,6,FALSE),""))</f>
        <v/>
      </c>
      <c r="F77" s="113" t="str">
        <f>IF(A77="","",IFERROR(VLOOKUP(A77,'Job Operations'!$A$4:$AA$304,7,FALSE),""))</f>
        <v/>
      </c>
      <c r="G77" s="114" t="str">
        <f>IF(A77="","",IFERROR(VLOOKUP(A77,'Job Operations'!$A$4:$AA$304,9,FALSE),""))</f>
        <v/>
      </c>
      <c r="H77" s="113" t="str" cm="1">
        <f t="array" ref="H77">IF(A77="","",_xlfn.LET(_xlpm.stn,IFERROR(VLOOKUP(A77,'Job Operations'!$A$4:$AA$304,12,FALSE),""),IF(OR(_xlpm.stn="AXYZ 34",_xlpm.stn="AXYZ"),_xlfn.LET(_xlpm.pos,SUMPRODUCT((A$7:A77&lt;&gt;"")*(IFERROR(VLOOKUP(A$7:A77,'Job Operations'!$A$4:$AA$304,12,FALSE),"")="AXYZ 34")+(A$7:A77&lt;&gt;"")*(IFERROR(VLOOKUP(A$7:A77,'Job Operations'!$A$4:$AA$304,12,FALSE),"")="AXYZ")),_xlpm.sfx,IF(OR(_xlpm.pos=11,_xlpm.pos=12,_xlpm.pos=13),"th",IF(MOD(_xlpm.pos,10)=1,"st",IF(MOD(_xlpm.pos,10)=2,"nd",IF(MOD(_xlpm.pos,10)=3,"rd","th")))),_xlpm.pos&amp;_xlpm.sfx),IF(_xlpm.stn&lt;&gt;"",_xlpm.stn,""))))</f>
        <v/>
      </c>
      <c r="I77" s="115" t="str">
        <f t="shared" si="5"/>
        <v/>
      </c>
      <c r="J77" s="114" t="str">
        <f t="shared" si="4"/>
        <v/>
      </c>
      <c r="K77" s="113" t="str">
        <f>IF(A77="","",IFERROR(VLOOKUP(A77,'Job Operations'!$A$4:$AA$304,15,FALSE),""))</f>
        <v/>
      </c>
      <c r="L77" s="113" t="str">
        <f>IF(A77="","",IFERROR(VLOOKUP(A77,'Job Operations'!$A$4:$AA$304,17,FALSE),""))</f>
        <v/>
      </c>
      <c r="M77" s="136" t="str">
        <f>IF(A77="","",IF(IFERROR(VLOOKUP(A77,Notes!A:B,2,FALSE),"")=0,"",VLOOKUP(A77,Notes!A:B,2,FALSE)))</f>
        <v/>
      </c>
    </row>
    <row r="78" spans="1:13" ht="15" customHeight="1" x14ac:dyDescent="0.25">
      <c r="A78" s="111"/>
      <c r="B78" s="112" t="str">
        <f>IF(A78="","",IFERROR(VLOOKUP(A78,'Job Operations'!$A$4:$AA$304,2,FALSE),""))</f>
        <v/>
      </c>
      <c r="C78" s="113" t="str">
        <f>IF(A78="","",IFERROR(VLOOKUP(A78,'Job Operations'!$A$4:$AA$304,3,FALSE),""))</f>
        <v/>
      </c>
      <c r="D78" s="113" t="str">
        <f>IF(A78="","",IFERROR(VLOOKUP(A78,'Job Operations'!$A$4:$AA$304,5,FALSE),""))</f>
        <v/>
      </c>
      <c r="E78" s="113" t="str">
        <f>IF(A78="","",IFERROR(VLOOKUP(A78,'Job Operations'!$A$4:$AA$304,6,FALSE),""))</f>
        <v/>
      </c>
      <c r="F78" s="113" t="str">
        <f>IF(A78="","",IFERROR(VLOOKUP(A78,'Job Operations'!$A$4:$AA$304,7,FALSE),""))</f>
        <v/>
      </c>
      <c r="G78" s="114" t="str">
        <f>IF(A78="","",IFERROR(VLOOKUP(A78,'Job Operations'!$A$4:$AA$304,9,FALSE),""))</f>
        <v/>
      </c>
      <c r="H78" s="113" t="str" cm="1">
        <f t="array" ref="H78">IF(A78="","",_xlfn.LET(_xlpm.stn,IFERROR(VLOOKUP(A78,'Job Operations'!$A$4:$AA$304,12,FALSE),""),IF(OR(_xlpm.stn="AXYZ 34",_xlpm.stn="AXYZ"),_xlfn.LET(_xlpm.pos,SUMPRODUCT((A$7:A78&lt;&gt;"")*(IFERROR(VLOOKUP(A$7:A78,'Job Operations'!$A$4:$AA$304,12,FALSE),"")="AXYZ 34")+(A$7:A78&lt;&gt;"")*(IFERROR(VLOOKUP(A$7:A78,'Job Operations'!$A$4:$AA$304,12,FALSE),"")="AXYZ")),_xlpm.sfx,IF(OR(_xlpm.pos=11,_xlpm.pos=12,_xlpm.pos=13),"th",IF(MOD(_xlpm.pos,10)=1,"st",IF(MOD(_xlpm.pos,10)=2,"nd",IF(MOD(_xlpm.pos,10)=3,"rd","th")))),_xlpm.pos&amp;_xlpm.sfx),IF(_xlpm.stn&lt;&gt;"",_xlpm.stn,""))))</f>
        <v/>
      </c>
      <c r="I78" s="115" t="str">
        <f t="shared" si="5"/>
        <v/>
      </c>
      <c r="J78" s="114" t="str">
        <f t="shared" si="4"/>
        <v/>
      </c>
      <c r="K78" s="113" t="str">
        <f>IF(A78="","",IFERROR(VLOOKUP(A78,'Job Operations'!$A$4:$AA$304,15,FALSE),""))</f>
        <v/>
      </c>
      <c r="L78" s="113" t="str">
        <f>IF(A78="","",IFERROR(VLOOKUP(A78,'Job Operations'!$A$4:$AA$304,17,FALSE),""))</f>
        <v/>
      </c>
      <c r="M78" s="136" t="str">
        <f>IF(A78="","",IF(IFERROR(VLOOKUP(A78,Notes!A:B,2,FALSE),"")=0,"",VLOOKUP(A78,Notes!A:B,2,FALSE)))</f>
        <v/>
      </c>
    </row>
    <row r="79" spans="1:13" ht="15" customHeight="1" x14ac:dyDescent="0.25">
      <c r="A79" s="111"/>
      <c r="B79" s="112" t="str">
        <f>IF(A79="","",IFERROR(VLOOKUP(A79,'Job Operations'!$A$4:$AA$304,2,FALSE),""))</f>
        <v/>
      </c>
      <c r="C79" s="113" t="str">
        <f>IF(A79="","",IFERROR(VLOOKUP(A79,'Job Operations'!$A$4:$AA$304,3,FALSE),""))</f>
        <v/>
      </c>
      <c r="D79" s="113" t="str">
        <f>IF(A79="","",IFERROR(VLOOKUP(A79,'Job Operations'!$A$4:$AA$304,5,FALSE),""))</f>
        <v/>
      </c>
      <c r="E79" s="113" t="str">
        <f>IF(A79="","",IFERROR(VLOOKUP(A79,'Job Operations'!$A$4:$AA$304,6,FALSE),""))</f>
        <v/>
      </c>
      <c r="F79" s="113" t="str">
        <f>IF(A79="","",IFERROR(VLOOKUP(A79,'Job Operations'!$A$4:$AA$304,7,FALSE),""))</f>
        <v/>
      </c>
      <c r="G79" s="114" t="str">
        <f>IF(A79="","",IFERROR(VLOOKUP(A79,'Job Operations'!$A$4:$AA$304,9,FALSE),""))</f>
        <v/>
      </c>
      <c r="H79" s="113" t="str" cm="1">
        <f t="array" ref="H79">IF(A79="","",_xlfn.LET(_xlpm.stn,IFERROR(VLOOKUP(A79,'Job Operations'!$A$4:$AA$304,12,FALSE),""),IF(OR(_xlpm.stn="AXYZ 34",_xlpm.stn="AXYZ"),_xlfn.LET(_xlpm.pos,SUMPRODUCT((A$7:A79&lt;&gt;"")*(IFERROR(VLOOKUP(A$7:A79,'Job Operations'!$A$4:$AA$304,12,FALSE),"")="AXYZ 34")+(A$7:A79&lt;&gt;"")*(IFERROR(VLOOKUP(A$7:A79,'Job Operations'!$A$4:$AA$304,12,FALSE),"")="AXYZ")),_xlpm.sfx,IF(OR(_xlpm.pos=11,_xlpm.pos=12,_xlpm.pos=13),"th",IF(MOD(_xlpm.pos,10)=1,"st",IF(MOD(_xlpm.pos,10)=2,"nd",IF(MOD(_xlpm.pos,10)=3,"rd","th")))),_xlpm.pos&amp;_xlpm.sfx),IF(_xlpm.stn&lt;&gt;"",_xlpm.stn,""))))</f>
        <v/>
      </c>
      <c r="I79" s="115" t="str">
        <f t="shared" si="5"/>
        <v/>
      </c>
      <c r="J79" s="114" t="str">
        <f t="shared" si="4"/>
        <v/>
      </c>
      <c r="K79" s="113" t="str">
        <f>IF(A79="","",IFERROR(VLOOKUP(A79,'Job Operations'!$A$4:$AA$304,15,FALSE),""))</f>
        <v/>
      </c>
      <c r="L79" s="113" t="str">
        <f>IF(A79="","",IFERROR(VLOOKUP(A79,'Job Operations'!$A$4:$AA$304,17,FALSE),""))</f>
        <v/>
      </c>
      <c r="M79" s="136" t="str">
        <f>IF(A79="","",IF(IFERROR(VLOOKUP(A79,Notes!A:B,2,FALSE),"")=0,"",VLOOKUP(A79,Notes!A:B,2,FALSE)))</f>
        <v/>
      </c>
    </row>
    <row r="80" spans="1:13" ht="15" customHeight="1" x14ac:dyDescent="0.25">
      <c r="A80" s="111"/>
      <c r="B80" s="112" t="str">
        <f>IF(A80="","",IFERROR(VLOOKUP(A80,'Job Operations'!$A$4:$AA$304,2,FALSE),""))</f>
        <v/>
      </c>
      <c r="C80" s="113" t="str">
        <f>IF(A80="","",IFERROR(VLOOKUP(A80,'Job Operations'!$A$4:$AA$304,3,FALSE),""))</f>
        <v/>
      </c>
      <c r="D80" s="113" t="str">
        <f>IF(A80="","",IFERROR(VLOOKUP(A80,'Job Operations'!$A$4:$AA$304,5,FALSE),""))</f>
        <v/>
      </c>
      <c r="E80" s="113" t="str">
        <f>IF(A80="","",IFERROR(VLOOKUP(A80,'Job Operations'!$A$4:$AA$304,6,FALSE),""))</f>
        <v/>
      </c>
      <c r="F80" s="113" t="str">
        <f>IF(A80="","",IFERROR(VLOOKUP(A80,'Job Operations'!$A$4:$AA$304,7,FALSE),""))</f>
        <v/>
      </c>
      <c r="G80" s="114" t="str">
        <f>IF(A80="","",IFERROR(VLOOKUP(A80,'Job Operations'!$A$4:$AA$304,9,FALSE),""))</f>
        <v/>
      </c>
      <c r="H80" s="113" t="str" cm="1">
        <f t="array" ref="H80">IF(A80="","",_xlfn.LET(_xlpm.stn,IFERROR(VLOOKUP(A80,'Job Operations'!$A$4:$AA$304,12,FALSE),""),IF(OR(_xlpm.stn="AXYZ 34",_xlpm.stn="AXYZ"),_xlfn.LET(_xlpm.pos,SUMPRODUCT((A$7:A80&lt;&gt;"")*(IFERROR(VLOOKUP(A$7:A80,'Job Operations'!$A$4:$AA$304,12,FALSE),"")="AXYZ 34")+(A$7:A80&lt;&gt;"")*(IFERROR(VLOOKUP(A$7:A80,'Job Operations'!$A$4:$AA$304,12,FALSE),"")="AXYZ")),_xlpm.sfx,IF(OR(_xlpm.pos=11,_xlpm.pos=12,_xlpm.pos=13),"th",IF(MOD(_xlpm.pos,10)=1,"st",IF(MOD(_xlpm.pos,10)=2,"nd",IF(MOD(_xlpm.pos,10)=3,"rd","th")))),_xlpm.pos&amp;_xlpm.sfx),IF(_xlpm.stn&lt;&gt;"",_xlpm.stn,""))))</f>
        <v/>
      </c>
      <c r="I80" s="115" t="str">
        <f t="shared" si="5"/>
        <v/>
      </c>
      <c r="J80" s="114" t="str">
        <f t="shared" si="4"/>
        <v/>
      </c>
      <c r="K80" s="113" t="str">
        <f>IF(A80="","",IFERROR(VLOOKUP(A80,'Job Operations'!$A$4:$AA$304,15,FALSE),""))</f>
        <v/>
      </c>
      <c r="L80" s="113" t="str">
        <f>IF(A80="","",IFERROR(VLOOKUP(A80,'Job Operations'!$A$4:$AA$304,17,FALSE),""))</f>
        <v/>
      </c>
      <c r="M80" s="136" t="str">
        <f>IF(A80="","",IF(IFERROR(VLOOKUP(A80,Notes!A:B,2,FALSE),"")=0,"",VLOOKUP(A80,Notes!A:B,2,FALSE)))</f>
        <v/>
      </c>
    </row>
    <row r="81" spans="1:13" ht="15" customHeight="1" x14ac:dyDescent="0.25">
      <c r="A81" s="111"/>
      <c r="B81" s="112" t="str">
        <f>IF(A81="","",IFERROR(VLOOKUP(A81,'Job Operations'!$A$4:$AA$304,2,FALSE),""))</f>
        <v/>
      </c>
      <c r="C81" s="113" t="str">
        <f>IF(A81="","",IFERROR(VLOOKUP(A81,'Job Operations'!$A$4:$AA$304,3,FALSE),""))</f>
        <v/>
      </c>
      <c r="D81" s="113" t="str">
        <f>IF(A81="","",IFERROR(VLOOKUP(A81,'Job Operations'!$A$4:$AA$304,5,FALSE),""))</f>
        <v/>
      </c>
      <c r="E81" s="113" t="str">
        <f>IF(A81="","",IFERROR(VLOOKUP(A81,'Job Operations'!$A$4:$AA$304,6,FALSE),""))</f>
        <v/>
      </c>
      <c r="F81" s="113" t="str">
        <f>IF(A81="","",IFERROR(VLOOKUP(A81,'Job Operations'!$A$4:$AA$304,7,FALSE),""))</f>
        <v/>
      </c>
      <c r="G81" s="114" t="str">
        <f>IF(A81="","",IFERROR(VLOOKUP(A81,'Job Operations'!$A$4:$AA$304,9,FALSE),""))</f>
        <v/>
      </c>
      <c r="H81" s="113" t="str" cm="1">
        <f t="array" ref="H81">IF(A81="","",_xlfn.LET(_xlpm.stn,IFERROR(VLOOKUP(A81,'Job Operations'!$A$4:$AA$304,12,FALSE),""),IF(OR(_xlpm.stn="AXYZ 34",_xlpm.stn="AXYZ"),_xlfn.LET(_xlpm.pos,SUMPRODUCT((A$7:A81&lt;&gt;"")*(IFERROR(VLOOKUP(A$7:A81,'Job Operations'!$A$4:$AA$304,12,FALSE),"")="AXYZ 34")+(A$7:A81&lt;&gt;"")*(IFERROR(VLOOKUP(A$7:A81,'Job Operations'!$A$4:$AA$304,12,FALSE),"")="AXYZ")),_xlpm.sfx,IF(OR(_xlpm.pos=11,_xlpm.pos=12,_xlpm.pos=13),"th",IF(MOD(_xlpm.pos,10)=1,"st",IF(MOD(_xlpm.pos,10)=2,"nd",IF(MOD(_xlpm.pos,10)=3,"rd","th")))),_xlpm.pos&amp;_xlpm.sfx),IF(_xlpm.stn&lt;&gt;"",_xlpm.stn,""))))</f>
        <v/>
      </c>
      <c r="I81" s="115" t="str">
        <f t="shared" si="5"/>
        <v/>
      </c>
      <c r="J81" s="114" t="str">
        <f t="shared" ref="J81:J100" si="6">IF(OR(A81="",G81=""),"",WORKDAY.INTL(G81,-(5+CEILING(I81/8,1)),"0000001"))</f>
        <v/>
      </c>
      <c r="K81" s="113" t="str">
        <f>IF(A81="","",IFERROR(VLOOKUP(A81,'Job Operations'!$A$4:$AA$304,15,FALSE),""))</f>
        <v/>
      </c>
      <c r="L81" s="113" t="str">
        <f>IF(A81="","",IFERROR(VLOOKUP(A81,'Job Operations'!$A$4:$AA$304,17,FALSE),""))</f>
        <v/>
      </c>
      <c r="M81" s="136" t="str">
        <f>IF(A81="","",IF(IFERROR(VLOOKUP(A81,Notes!A:B,2,FALSE),"")=0,"",VLOOKUP(A81,Notes!A:B,2,FALSE)))</f>
        <v/>
      </c>
    </row>
    <row r="82" spans="1:13" ht="15" customHeight="1" x14ac:dyDescent="0.25">
      <c r="A82" s="111"/>
      <c r="B82" s="112" t="str">
        <f>IF(A82="","",IFERROR(VLOOKUP(A82,'Job Operations'!$A$4:$AA$304,2,FALSE),""))</f>
        <v/>
      </c>
      <c r="C82" s="113" t="str">
        <f>IF(A82="","",IFERROR(VLOOKUP(A82,'Job Operations'!$A$4:$AA$304,3,FALSE),""))</f>
        <v/>
      </c>
      <c r="D82" s="113" t="str">
        <f>IF(A82="","",IFERROR(VLOOKUP(A82,'Job Operations'!$A$4:$AA$304,5,FALSE),""))</f>
        <v/>
      </c>
      <c r="E82" s="113" t="str">
        <f>IF(A82="","",IFERROR(VLOOKUP(A82,'Job Operations'!$A$4:$AA$304,6,FALSE),""))</f>
        <v/>
      </c>
      <c r="F82" s="113" t="str">
        <f>IF(A82="","",IFERROR(VLOOKUP(A82,'Job Operations'!$A$4:$AA$304,7,FALSE),""))</f>
        <v/>
      </c>
      <c r="G82" s="114" t="str">
        <f>IF(A82="","",IFERROR(VLOOKUP(A82,'Job Operations'!$A$4:$AA$304,9,FALSE),""))</f>
        <v/>
      </c>
      <c r="H82" s="113" t="str" cm="1">
        <f t="array" ref="H82">IF(A82="","",_xlfn.LET(_xlpm.stn,IFERROR(VLOOKUP(A82,'Job Operations'!$A$4:$AA$304,12,FALSE),""),IF(OR(_xlpm.stn="AXYZ 34",_xlpm.stn="AXYZ"),_xlfn.LET(_xlpm.pos,SUMPRODUCT((A$7:A82&lt;&gt;"")*(IFERROR(VLOOKUP(A$7:A82,'Job Operations'!$A$4:$AA$304,12,FALSE),"")="AXYZ 34")+(A$7:A82&lt;&gt;"")*(IFERROR(VLOOKUP(A$7:A82,'Job Operations'!$A$4:$AA$304,12,FALSE),"")="AXYZ")),_xlpm.sfx,IF(OR(_xlpm.pos=11,_xlpm.pos=12,_xlpm.pos=13),"th",IF(MOD(_xlpm.pos,10)=1,"st",IF(MOD(_xlpm.pos,10)=2,"nd",IF(MOD(_xlpm.pos,10)=3,"rd","th")))),_xlpm.pos&amp;_xlpm.sfx),IF(_xlpm.stn&lt;&gt;"",_xlpm.stn,""))))</f>
        <v/>
      </c>
      <c r="I82" s="115" t="str">
        <f t="shared" si="5"/>
        <v/>
      </c>
      <c r="J82" s="114" t="str">
        <f t="shared" si="6"/>
        <v/>
      </c>
      <c r="K82" s="113" t="str">
        <f>IF(A82="","",IFERROR(VLOOKUP(A82,'Job Operations'!$A$4:$AA$304,15,FALSE),""))</f>
        <v/>
      </c>
      <c r="L82" s="113" t="str">
        <f>IF(A82="","",IFERROR(VLOOKUP(A82,'Job Operations'!$A$4:$AA$304,17,FALSE),""))</f>
        <v/>
      </c>
      <c r="M82" s="136" t="str">
        <f>IF(A82="","",IF(IFERROR(VLOOKUP(A82,Notes!A:B,2,FALSE),"")=0,"",VLOOKUP(A82,Notes!A:B,2,FALSE)))</f>
        <v/>
      </c>
    </row>
    <row r="83" spans="1:13" ht="15" customHeight="1" x14ac:dyDescent="0.25">
      <c r="A83" s="111"/>
      <c r="B83" s="112" t="str">
        <f>IF(A83="","",IFERROR(VLOOKUP(A83,'Job Operations'!$A$4:$AA$304,2,FALSE),""))</f>
        <v/>
      </c>
      <c r="C83" s="113" t="str">
        <f>IF(A83="","",IFERROR(VLOOKUP(A83,'Job Operations'!$A$4:$AA$304,3,FALSE),""))</f>
        <v/>
      </c>
      <c r="D83" s="113" t="str">
        <f>IF(A83="","",IFERROR(VLOOKUP(A83,'Job Operations'!$A$4:$AA$304,5,FALSE),""))</f>
        <v/>
      </c>
      <c r="E83" s="113" t="str">
        <f>IF(A83="","",IFERROR(VLOOKUP(A83,'Job Operations'!$A$4:$AA$304,6,FALSE),""))</f>
        <v/>
      </c>
      <c r="F83" s="113" t="str">
        <f>IF(A83="","",IFERROR(VLOOKUP(A83,'Job Operations'!$A$4:$AA$304,7,FALSE),""))</f>
        <v/>
      </c>
      <c r="G83" s="114" t="str">
        <f>IF(A83="","",IFERROR(VLOOKUP(A83,'Job Operations'!$A$4:$AA$304,9,FALSE),""))</f>
        <v/>
      </c>
      <c r="H83" s="113" t="str" cm="1">
        <f t="array" ref="H83">IF(A83="","",_xlfn.LET(_xlpm.stn,IFERROR(VLOOKUP(A83,'Job Operations'!$A$4:$AA$304,12,FALSE),""),IF(OR(_xlpm.stn="AXYZ 34",_xlpm.stn="AXYZ"),_xlfn.LET(_xlpm.pos,SUMPRODUCT((A$7:A83&lt;&gt;"")*(IFERROR(VLOOKUP(A$7:A83,'Job Operations'!$A$4:$AA$304,12,FALSE),"")="AXYZ 34")+(A$7:A83&lt;&gt;"")*(IFERROR(VLOOKUP(A$7:A83,'Job Operations'!$A$4:$AA$304,12,FALSE),"")="AXYZ")),_xlpm.sfx,IF(OR(_xlpm.pos=11,_xlpm.pos=12,_xlpm.pos=13),"th",IF(MOD(_xlpm.pos,10)=1,"st",IF(MOD(_xlpm.pos,10)=2,"nd",IF(MOD(_xlpm.pos,10)=3,"rd","th")))),_xlpm.pos&amp;_xlpm.sfx),IF(_xlpm.stn&lt;&gt;"",_xlpm.stn,""))))</f>
        <v/>
      </c>
      <c r="I83" s="115" t="str">
        <f t="shared" si="5"/>
        <v/>
      </c>
      <c r="J83" s="114" t="str">
        <f t="shared" si="6"/>
        <v/>
      </c>
      <c r="K83" s="113" t="str">
        <f>IF(A83="","",IFERROR(VLOOKUP(A83,'Job Operations'!$A$4:$AA$304,15,FALSE),""))</f>
        <v/>
      </c>
      <c r="L83" s="113" t="str">
        <f>IF(A83="","",IFERROR(VLOOKUP(A83,'Job Operations'!$A$4:$AA$304,17,FALSE),""))</f>
        <v/>
      </c>
      <c r="M83" s="136" t="str">
        <f>IF(A83="","",IF(IFERROR(VLOOKUP(A83,Notes!A:B,2,FALSE),"")=0,"",VLOOKUP(A83,Notes!A:B,2,FALSE)))</f>
        <v/>
      </c>
    </row>
    <row r="84" spans="1:13" ht="15" customHeight="1" x14ac:dyDescent="0.25">
      <c r="A84" s="111"/>
      <c r="B84" s="112" t="str">
        <f>IF(A84="","",IFERROR(VLOOKUP(A84,'Job Operations'!$A$4:$AA$304,2,FALSE),""))</f>
        <v/>
      </c>
      <c r="C84" s="113" t="str">
        <f>IF(A84="","",IFERROR(VLOOKUP(A84,'Job Operations'!$A$4:$AA$304,3,FALSE),""))</f>
        <v/>
      </c>
      <c r="D84" s="113" t="str">
        <f>IF(A84="","",IFERROR(VLOOKUP(A84,'Job Operations'!$A$4:$AA$304,5,FALSE),""))</f>
        <v/>
      </c>
      <c r="E84" s="113" t="str">
        <f>IF(A84="","",IFERROR(VLOOKUP(A84,'Job Operations'!$A$4:$AA$304,6,FALSE),""))</f>
        <v/>
      </c>
      <c r="F84" s="113" t="str">
        <f>IF(A84="","",IFERROR(VLOOKUP(A84,'Job Operations'!$A$4:$AA$304,7,FALSE),""))</f>
        <v/>
      </c>
      <c r="G84" s="114" t="str">
        <f>IF(A84="","",IFERROR(VLOOKUP(A84,'Job Operations'!$A$4:$AA$304,9,FALSE),""))</f>
        <v/>
      </c>
      <c r="H84" s="113" t="str" cm="1">
        <f t="array" ref="H84">IF(A84="","",_xlfn.LET(_xlpm.stn,IFERROR(VLOOKUP(A84,'Job Operations'!$A$4:$AA$304,12,FALSE),""),IF(OR(_xlpm.stn="AXYZ 34",_xlpm.stn="AXYZ"),_xlfn.LET(_xlpm.pos,SUMPRODUCT((A$7:A84&lt;&gt;"")*(IFERROR(VLOOKUP(A$7:A84,'Job Operations'!$A$4:$AA$304,12,FALSE),"")="AXYZ 34")+(A$7:A84&lt;&gt;"")*(IFERROR(VLOOKUP(A$7:A84,'Job Operations'!$A$4:$AA$304,12,FALSE),"")="AXYZ")),_xlpm.sfx,IF(OR(_xlpm.pos=11,_xlpm.pos=12,_xlpm.pos=13),"th",IF(MOD(_xlpm.pos,10)=1,"st",IF(MOD(_xlpm.pos,10)=2,"nd",IF(MOD(_xlpm.pos,10)=3,"rd","th")))),_xlpm.pos&amp;_xlpm.sfx),IF(_xlpm.stn&lt;&gt;"",_xlpm.stn,""))))</f>
        <v/>
      </c>
      <c r="I84" s="115" t="str">
        <f t="shared" si="5"/>
        <v/>
      </c>
      <c r="J84" s="114" t="str">
        <f t="shared" si="6"/>
        <v/>
      </c>
      <c r="K84" s="113" t="str">
        <f>IF(A84="","",IFERROR(VLOOKUP(A84,'Job Operations'!$A$4:$AA$304,15,FALSE),""))</f>
        <v/>
      </c>
      <c r="L84" s="113" t="str">
        <f>IF(A84="","",IFERROR(VLOOKUP(A84,'Job Operations'!$A$4:$AA$304,17,FALSE),""))</f>
        <v/>
      </c>
      <c r="M84" s="136" t="str">
        <f>IF(A84="","",IF(IFERROR(VLOOKUP(A84,Notes!A:B,2,FALSE),"")=0,"",VLOOKUP(A84,Notes!A:B,2,FALSE)))</f>
        <v/>
      </c>
    </row>
    <row r="85" spans="1:13" ht="15" customHeight="1" x14ac:dyDescent="0.25">
      <c r="A85" s="111"/>
      <c r="B85" s="112" t="str">
        <f>IF(A85="","",IFERROR(VLOOKUP(A85,'Job Operations'!$A$4:$AA$304,2,FALSE),""))</f>
        <v/>
      </c>
      <c r="C85" s="113" t="str">
        <f>IF(A85="","",IFERROR(VLOOKUP(A85,'Job Operations'!$A$4:$AA$304,3,FALSE),""))</f>
        <v/>
      </c>
      <c r="D85" s="113" t="str">
        <f>IF(A85="","",IFERROR(VLOOKUP(A85,'Job Operations'!$A$4:$AA$304,5,FALSE),""))</f>
        <v/>
      </c>
      <c r="E85" s="113" t="str">
        <f>IF(A85="","",IFERROR(VLOOKUP(A85,'Job Operations'!$A$4:$AA$304,6,FALSE),""))</f>
        <v/>
      </c>
      <c r="F85" s="113" t="str">
        <f>IF(A85="","",IFERROR(VLOOKUP(A85,'Job Operations'!$A$4:$AA$304,7,FALSE),""))</f>
        <v/>
      </c>
      <c r="G85" s="114" t="str">
        <f>IF(A85="","",IFERROR(VLOOKUP(A85,'Job Operations'!$A$4:$AA$304,9,FALSE),""))</f>
        <v/>
      </c>
      <c r="H85" s="113" t="str" cm="1">
        <f t="array" ref="H85">IF(A85="","",_xlfn.LET(_xlpm.stn,IFERROR(VLOOKUP(A85,'Job Operations'!$A$4:$AA$304,12,FALSE),""),IF(OR(_xlpm.stn="AXYZ 34",_xlpm.stn="AXYZ"),_xlfn.LET(_xlpm.pos,SUMPRODUCT((A$7:A85&lt;&gt;"")*(IFERROR(VLOOKUP(A$7:A85,'Job Operations'!$A$4:$AA$304,12,FALSE),"")="AXYZ 34")+(A$7:A85&lt;&gt;"")*(IFERROR(VLOOKUP(A$7:A85,'Job Operations'!$A$4:$AA$304,12,FALSE),"")="AXYZ")),_xlpm.sfx,IF(OR(_xlpm.pos=11,_xlpm.pos=12,_xlpm.pos=13),"th",IF(MOD(_xlpm.pos,10)=1,"st",IF(MOD(_xlpm.pos,10)=2,"nd",IF(MOD(_xlpm.pos,10)=3,"rd","th")))),_xlpm.pos&amp;_xlpm.sfx),IF(_xlpm.stn&lt;&gt;"",_xlpm.stn,""))))</f>
        <v/>
      </c>
      <c r="I85" s="115" t="str">
        <f t="shared" si="5"/>
        <v/>
      </c>
      <c r="J85" s="114" t="str">
        <f t="shared" si="6"/>
        <v/>
      </c>
      <c r="K85" s="113" t="str">
        <f>IF(A85="","",IFERROR(VLOOKUP(A85,'Job Operations'!$A$4:$AA$304,15,FALSE),""))</f>
        <v/>
      </c>
      <c r="L85" s="113" t="str">
        <f>IF(A85="","",IFERROR(VLOOKUP(A85,'Job Operations'!$A$4:$AA$304,17,FALSE),""))</f>
        <v/>
      </c>
      <c r="M85" s="136" t="str">
        <f>IF(A85="","",IF(IFERROR(VLOOKUP(A85,Notes!A:B,2,FALSE),"")=0,"",VLOOKUP(A85,Notes!A:B,2,FALSE)))</f>
        <v/>
      </c>
    </row>
    <row r="86" spans="1:13" ht="15" customHeight="1" x14ac:dyDescent="0.25">
      <c r="A86" s="111"/>
      <c r="B86" s="112" t="str">
        <f>IF(A86="","",IFERROR(VLOOKUP(A86,'Job Operations'!$A$4:$AA$304,2,FALSE),""))</f>
        <v/>
      </c>
      <c r="C86" s="113" t="str">
        <f>IF(A86="","",IFERROR(VLOOKUP(A86,'Job Operations'!$A$4:$AA$304,3,FALSE),""))</f>
        <v/>
      </c>
      <c r="D86" s="113" t="str">
        <f>IF(A86="","",IFERROR(VLOOKUP(A86,'Job Operations'!$A$4:$AA$304,5,FALSE),""))</f>
        <v/>
      </c>
      <c r="E86" s="113" t="str">
        <f>IF(A86="","",IFERROR(VLOOKUP(A86,'Job Operations'!$A$4:$AA$304,6,FALSE),""))</f>
        <v/>
      </c>
      <c r="F86" s="113" t="str">
        <f>IF(A86="","",IFERROR(VLOOKUP(A86,'Job Operations'!$A$4:$AA$304,7,FALSE),""))</f>
        <v/>
      </c>
      <c r="G86" s="114" t="str">
        <f>IF(A86="","",IFERROR(VLOOKUP(A86,'Job Operations'!$A$4:$AA$304,9,FALSE),""))</f>
        <v/>
      </c>
      <c r="H86" s="113" t="str" cm="1">
        <f t="array" ref="H86">IF(A86="","",_xlfn.LET(_xlpm.stn,IFERROR(VLOOKUP(A86,'Job Operations'!$A$4:$AA$304,12,FALSE),""),IF(OR(_xlpm.stn="AXYZ 34",_xlpm.stn="AXYZ"),_xlfn.LET(_xlpm.pos,SUMPRODUCT((A$7:A86&lt;&gt;"")*(IFERROR(VLOOKUP(A$7:A86,'Job Operations'!$A$4:$AA$304,12,FALSE),"")="AXYZ 34")+(A$7:A86&lt;&gt;"")*(IFERROR(VLOOKUP(A$7:A86,'Job Operations'!$A$4:$AA$304,12,FALSE),"")="AXYZ")),_xlpm.sfx,IF(OR(_xlpm.pos=11,_xlpm.pos=12,_xlpm.pos=13),"th",IF(MOD(_xlpm.pos,10)=1,"st",IF(MOD(_xlpm.pos,10)=2,"nd",IF(MOD(_xlpm.pos,10)=3,"rd","th")))),_xlpm.pos&amp;_xlpm.sfx),IF(_xlpm.stn&lt;&gt;"",_xlpm.stn,""))))</f>
        <v/>
      </c>
      <c r="I86" s="115" t="str">
        <f t="shared" si="5"/>
        <v/>
      </c>
      <c r="J86" s="114" t="str">
        <f t="shared" si="6"/>
        <v/>
      </c>
      <c r="K86" s="113" t="str">
        <f>IF(A86="","",IFERROR(VLOOKUP(A86,'Job Operations'!$A$4:$AA$304,15,FALSE),""))</f>
        <v/>
      </c>
      <c r="L86" s="113" t="str">
        <f>IF(A86="","",IFERROR(VLOOKUP(A86,'Job Operations'!$A$4:$AA$304,17,FALSE),""))</f>
        <v/>
      </c>
      <c r="M86" s="136" t="str">
        <f>IF(A86="","",IF(IFERROR(VLOOKUP(A86,Notes!A:B,2,FALSE),"")=0,"",VLOOKUP(A86,Notes!A:B,2,FALSE)))</f>
        <v/>
      </c>
    </row>
    <row r="87" spans="1:13" ht="15" customHeight="1" x14ac:dyDescent="0.25">
      <c r="A87" s="111"/>
      <c r="B87" s="112" t="str">
        <f>IF(A87="","",IFERROR(VLOOKUP(A87,'Job Operations'!$A$4:$AA$304,2,FALSE),""))</f>
        <v/>
      </c>
      <c r="C87" s="113" t="str">
        <f>IF(A87="","",IFERROR(VLOOKUP(A87,'Job Operations'!$A$4:$AA$304,3,FALSE),""))</f>
        <v/>
      </c>
      <c r="D87" s="113" t="str">
        <f>IF(A87="","",IFERROR(VLOOKUP(A87,'Job Operations'!$A$4:$AA$304,5,FALSE),""))</f>
        <v/>
      </c>
      <c r="E87" s="113" t="str">
        <f>IF(A87="","",IFERROR(VLOOKUP(A87,'Job Operations'!$A$4:$AA$304,6,FALSE),""))</f>
        <v/>
      </c>
      <c r="F87" s="113" t="str">
        <f>IF(A87="","",IFERROR(VLOOKUP(A87,'Job Operations'!$A$4:$AA$304,7,FALSE),""))</f>
        <v/>
      </c>
      <c r="G87" s="114" t="str">
        <f>IF(A87="","",IFERROR(VLOOKUP(A87,'Job Operations'!$A$4:$AA$304,9,FALSE),""))</f>
        <v/>
      </c>
      <c r="H87" s="113" t="str" cm="1">
        <f t="array" ref="H87">IF(A87="","",_xlfn.LET(_xlpm.stn,IFERROR(VLOOKUP(A87,'Job Operations'!$A$4:$AA$304,12,FALSE),""),IF(OR(_xlpm.stn="AXYZ 34",_xlpm.stn="AXYZ"),_xlfn.LET(_xlpm.pos,SUMPRODUCT((A$7:A87&lt;&gt;"")*(IFERROR(VLOOKUP(A$7:A87,'Job Operations'!$A$4:$AA$304,12,FALSE),"")="AXYZ 34")+(A$7:A87&lt;&gt;"")*(IFERROR(VLOOKUP(A$7:A87,'Job Operations'!$A$4:$AA$304,12,FALSE),"")="AXYZ")),_xlpm.sfx,IF(OR(_xlpm.pos=11,_xlpm.pos=12,_xlpm.pos=13),"th",IF(MOD(_xlpm.pos,10)=1,"st",IF(MOD(_xlpm.pos,10)=2,"nd",IF(MOD(_xlpm.pos,10)=3,"rd","th")))),_xlpm.pos&amp;_xlpm.sfx),IF(_xlpm.stn&lt;&gt;"",_xlpm.stn,""))))</f>
        <v/>
      </c>
      <c r="I87" s="115" t="str">
        <f t="shared" si="5"/>
        <v/>
      </c>
      <c r="J87" s="114" t="str">
        <f t="shared" si="6"/>
        <v/>
      </c>
      <c r="K87" s="113" t="str">
        <f>IF(A87="","",IFERROR(VLOOKUP(A87,'Job Operations'!$A$4:$AA$304,15,FALSE),""))</f>
        <v/>
      </c>
      <c r="L87" s="113" t="str">
        <f>IF(A87="","",IFERROR(VLOOKUP(A87,'Job Operations'!$A$4:$AA$304,17,FALSE),""))</f>
        <v/>
      </c>
      <c r="M87" s="136" t="str">
        <f>IF(A87="","",IF(IFERROR(VLOOKUP(A87,Notes!A:B,2,FALSE),"")=0,"",VLOOKUP(A87,Notes!A:B,2,FALSE)))</f>
        <v/>
      </c>
    </row>
    <row r="88" spans="1:13" ht="15" customHeight="1" x14ac:dyDescent="0.25">
      <c r="A88" s="111"/>
      <c r="B88" s="112" t="str">
        <f>IF(A88="","",IFERROR(VLOOKUP(A88,'Job Operations'!$A$4:$AA$304,2,FALSE),""))</f>
        <v/>
      </c>
      <c r="C88" s="113" t="str">
        <f>IF(A88="","",IFERROR(VLOOKUP(A88,'Job Operations'!$A$4:$AA$304,3,FALSE),""))</f>
        <v/>
      </c>
      <c r="D88" s="113" t="str">
        <f>IF(A88="","",IFERROR(VLOOKUP(A88,'Job Operations'!$A$4:$AA$304,5,FALSE),""))</f>
        <v/>
      </c>
      <c r="E88" s="113" t="str">
        <f>IF(A88="","",IFERROR(VLOOKUP(A88,'Job Operations'!$A$4:$AA$304,6,FALSE),""))</f>
        <v/>
      </c>
      <c r="F88" s="113" t="str">
        <f>IF(A88="","",IFERROR(VLOOKUP(A88,'Job Operations'!$A$4:$AA$304,7,FALSE),""))</f>
        <v/>
      </c>
      <c r="G88" s="114" t="str">
        <f>IF(A88="","",IFERROR(VLOOKUP(A88,'Job Operations'!$A$4:$AA$304,9,FALSE),""))</f>
        <v/>
      </c>
      <c r="H88" s="113" t="str" cm="1">
        <f t="array" ref="H88">IF(A88="","",_xlfn.LET(_xlpm.stn,IFERROR(VLOOKUP(A88,'Job Operations'!$A$4:$AA$304,12,FALSE),""),IF(OR(_xlpm.stn="AXYZ 34",_xlpm.stn="AXYZ"),_xlfn.LET(_xlpm.pos,SUMPRODUCT((A$7:A88&lt;&gt;"")*(IFERROR(VLOOKUP(A$7:A88,'Job Operations'!$A$4:$AA$304,12,FALSE),"")="AXYZ 34")+(A$7:A88&lt;&gt;"")*(IFERROR(VLOOKUP(A$7:A88,'Job Operations'!$A$4:$AA$304,12,FALSE),"")="AXYZ")),_xlpm.sfx,IF(OR(_xlpm.pos=11,_xlpm.pos=12,_xlpm.pos=13),"th",IF(MOD(_xlpm.pos,10)=1,"st",IF(MOD(_xlpm.pos,10)=2,"nd",IF(MOD(_xlpm.pos,10)=3,"rd","th")))),_xlpm.pos&amp;_xlpm.sfx),IF(_xlpm.stn&lt;&gt;"",_xlpm.stn,""))))</f>
        <v/>
      </c>
      <c r="I88" s="115" t="str">
        <f t="shared" si="5"/>
        <v/>
      </c>
      <c r="J88" s="114" t="str">
        <f t="shared" si="6"/>
        <v/>
      </c>
      <c r="K88" s="113" t="str">
        <f>IF(A88="","",IFERROR(VLOOKUP(A88,'Job Operations'!$A$4:$AA$304,15,FALSE),""))</f>
        <v/>
      </c>
      <c r="L88" s="113" t="str">
        <f>IF(A88="","",IFERROR(VLOOKUP(A88,'Job Operations'!$A$4:$AA$304,17,FALSE),""))</f>
        <v/>
      </c>
      <c r="M88" s="136" t="str">
        <f>IF(A88="","",IF(IFERROR(VLOOKUP(A88,Notes!A:B,2,FALSE),"")=0,"",VLOOKUP(A88,Notes!A:B,2,FALSE)))</f>
        <v/>
      </c>
    </row>
    <row r="89" spans="1:13" ht="15" customHeight="1" x14ac:dyDescent="0.25">
      <c r="A89" s="111"/>
      <c r="B89" s="112" t="str">
        <f>IF(A89="","",IFERROR(VLOOKUP(A89,'Job Operations'!$A$4:$AA$304,2,FALSE),""))</f>
        <v/>
      </c>
      <c r="C89" s="113" t="str">
        <f>IF(A89="","",IFERROR(VLOOKUP(A89,'Job Operations'!$A$4:$AA$304,3,FALSE),""))</f>
        <v/>
      </c>
      <c r="D89" s="113" t="str">
        <f>IF(A89="","",IFERROR(VLOOKUP(A89,'Job Operations'!$A$4:$AA$304,5,FALSE),""))</f>
        <v/>
      </c>
      <c r="E89" s="113" t="str">
        <f>IF(A89="","",IFERROR(VLOOKUP(A89,'Job Operations'!$A$4:$AA$304,6,FALSE),""))</f>
        <v/>
      </c>
      <c r="F89" s="113" t="str">
        <f>IF(A89="","",IFERROR(VLOOKUP(A89,'Job Operations'!$A$4:$AA$304,7,FALSE),""))</f>
        <v/>
      </c>
      <c r="G89" s="114" t="str">
        <f>IF(A89="","",IFERROR(VLOOKUP(A89,'Job Operations'!$A$4:$AA$304,9,FALSE),""))</f>
        <v/>
      </c>
      <c r="H89" s="113" t="str" cm="1">
        <f t="array" ref="H89">IF(A89="","",_xlfn.LET(_xlpm.stn,IFERROR(VLOOKUP(A89,'Job Operations'!$A$4:$AA$304,12,FALSE),""),IF(OR(_xlpm.stn="AXYZ 34",_xlpm.stn="AXYZ"),_xlfn.LET(_xlpm.pos,SUMPRODUCT((A$7:A89&lt;&gt;"")*(IFERROR(VLOOKUP(A$7:A89,'Job Operations'!$A$4:$AA$304,12,FALSE),"")="AXYZ 34")+(A$7:A89&lt;&gt;"")*(IFERROR(VLOOKUP(A$7:A89,'Job Operations'!$A$4:$AA$304,12,FALSE),"")="AXYZ")),_xlpm.sfx,IF(OR(_xlpm.pos=11,_xlpm.pos=12,_xlpm.pos=13),"th",IF(MOD(_xlpm.pos,10)=1,"st",IF(MOD(_xlpm.pos,10)=2,"nd",IF(MOD(_xlpm.pos,10)=3,"rd","th")))),_xlpm.pos&amp;_xlpm.sfx),IF(_xlpm.stn&lt;&gt;"",_xlpm.stn,""))))</f>
        <v/>
      </c>
      <c r="I89" s="115" t="str">
        <f t="shared" si="5"/>
        <v/>
      </c>
      <c r="J89" s="114" t="str">
        <f t="shared" si="6"/>
        <v/>
      </c>
      <c r="K89" s="113" t="str">
        <f>IF(A89="","",IFERROR(VLOOKUP(A89,'Job Operations'!$A$4:$AA$304,15,FALSE),""))</f>
        <v/>
      </c>
      <c r="L89" s="113" t="str">
        <f>IF(A89="","",IFERROR(VLOOKUP(A89,'Job Operations'!$A$4:$AA$304,17,FALSE),""))</f>
        <v/>
      </c>
      <c r="M89" s="136" t="str">
        <f>IF(A89="","",IF(IFERROR(VLOOKUP(A89,Notes!A:B,2,FALSE),"")=0,"",VLOOKUP(A89,Notes!A:B,2,FALSE)))</f>
        <v/>
      </c>
    </row>
    <row r="90" spans="1:13" ht="15" customHeight="1" x14ac:dyDescent="0.25">
      <c r="A90" s="111"/>
      <c r="B90" s="112" t="str">
        <f>IF(A90="","",IFERROR(VLOOKUP(A90,'Job Operations'!$A$4:$AA$304,2,FALSE),""))</f>
        <v/>
      </c>
      <c r="C90" s="113" t="str">
        <f>IF(A90="","",IFERROR(VLOOKUP(A90,'Job Operations'!$A$4:$AA$304,3,FALSE),""))</f>
        <v/>
      </c>
      <c r="D90" s="113" t="str">
        <f>IF(A90="","",IFERROR(VLOOKUP(A90,'Job Operations'!$A$4:$AA$304,5,FALSE),""))</f>
        <v/>
      </c>
      <c r="E90" s="113" t="str">
        <f>IF(A90="","",IFERROR(VLOOKUP(A90,'Job Operations'!$A$4:$AA$304,6,FALSE),""))</f>
        <v/>
      </c>
      <c r="F90" s="113" t="str">
        <f>IF(A90="","",IFERROR(VLOOKUP(A90,'Job Operations'!$A$4:$AA$304,7,FALSE),""))</f>
        <v/>
      </c>
      <c r="G90" s="114" t="str">
        <f>IF(A90="","",IFERROR(VLOOKUP(A90,'Job Operations'!$A$4:$AA$304,9,FALSE),""))</f>
        <v/>
      </c>
      <c r="H90" s="113" t="str" cm="1">
        <f t="array" ref="H90">IF(A90="","",_xlfn.LET(_xlpm.stn,IFERROR(VLOOKUP(A90,'Job Operations'!$A$4:$AA$304,12,FALSE),""),IF(OR(_xlpm.stn="AXYZ 34",_xlpm.stn="AXYZ"),_xlfn.LET(_xlpm.pos,SUMPRODUCT((A$7:A90&lt;&gt;"")*(IFERROR(VLOOKUP(A$7:A90,'Job Operations'!$A$4:$AA$304,12,FALSE),"")="AXYZ 34")+(A$7:A90&lt;&gt;"")*(IFERROR(VLOOKUP(A$7:A90,'Job Operations'!$A$4:$AA$304,12,FALSE),"")="AXYZ")),_xlpm.sfx,IF(OR(_xlpm.pos=11,_xlpm.pos=12,_xlpm.pos=13),"th",IF(MOD(_xlpm.pos,10)=1,"st",IF(MOD(_xlpm.pos,10)=2,"nd",IF(MOD(_xlpm.pos,10)=3,"rd","th")))),_xlpm.pos&amp;_xlpm.sfx),IF(_xlpm.stn&lt;&gt;"",_xlpm.stn,""))))</f>
        <v/>
      </c>
      <c r="I90" s="115" t="str">
        <f t="shared" si="5"/>
        <v/>
      </c>
      <c r="J90" s="114" t="str">
        <f t="shared" si="6"/>
        <v/>
      </c>
      <c r="K90" s="113" t="str">
        <f>IF(A90="","",IFERROR(VLOOKUP(A90,'Job Operations'!$A$4:$AA$304,15,FALSE),""))</f>
        <v/>
      </c>
      <c r="L90" s="113" t="str">
        <f>IF(A90="","",IFERROR(VLOOKUP(A90,'Job Operations'!$A$4:$AA$304,17,FALSE),""))</f>
        <v/>
      </c>
      <c r="M90" s="136" t="str">
        <f>IF(A90="","",IF(IFERROR(VLOOKUP(A90,Notes!A:B,2,FALSE),"")=0,"",VLOOKUP(A90,Notes!A:B,2,FALSE)))</f>
        <v/>
      </c>
    </row>
    <row r="91" spans="1:13" ht="15" customHeight="1" x14ac:dyDescent="0.25">
      <c r="A91" s="111"/>
      <c r="B91" s="112" t="str">
        <f>IF(A91="","",IFERROR(VLOOKUP(A91,'Job Operations'!$A$4:$AA$304,2,FALSE),""))</f>
        <v/>
      </c>
      <c r="C91" s="113" t="str">
        <f>IF(A91="","",IFERROR(VLOOKUP(A91,'Job Operations'!$A$4:$AA$304,3,FALSE),""))</f>
        <v/>
      </c>
      <c r="D91" s="113" t="str">
        <f>IF(A91="","",IFERROR(VLOOKUP(A91,'Job Operations'!$A$4:$AA$304,5,FALSE),""))</f>
        <v/>
      </c>
      <c r="E91" s="113" t="str">
        <f>IF(A91="","",IFERROR(VLOOKUP(A91,'Job Operations'!$A$4:$AA$304,6,FALSE),""))</f>
        <v/>
      </c>
      <c r="F91" s="113" t="str">
        <f>IF(A91="","",IFERROR(VLOOKUP(A91,'Job Operations'!$A$4:$AA$304,7,FALSE),""))</f>
        <v/>
      </c>
      <c r="G91" s="114" t="str">
        <f>IF(A91="","",IFERROR(VLOOKUP(A91,'Job Operations'!$A$4:$AA$304,9,FALSE),""))</f>
        <v/>
      </c>
      <c r="H91" s="113" t="str" cm="1">
        <f t="array" ref="H91">IF(A91="","",_xlfn.LET(_xlpm.stn,IFERROR(VLOOKUP(A91,'Job Operations'!$A$4:$AA$304,12,FALSE),""),IF(OR(_xlpm.stn="AXYZ 34",_xlpm.stn="AXYZ"),_xlfn.LET(_xlpm.pos,SUMPRODUCT((A$7:A91&lt;&gt;"")*(IFERROR(VLOOKUP(A$7:A91,'Job Operations'!$A$4:$AA$304,12,FALSE),"")="AXYZ 34")+(A$7:A91&lt;&gt;"")*(IFERROR(VLOOKUP(A$7:A91,'Job Operations'!$A$4:$AA$304,12,FALSE),"")="AXYZ")),_xlpm.sfx,IF(OR(_xlpm.pos=11,_xlpm.pos=12,_xlpm.pos=13),"th",IF(MOD(_xlpm.pos,10)=1,"st",IF(MOD(_xlpm.pos,10)=2,"nd",IF(MOD(_xlpm.pos,10)=3,"rd","th")))),_xlpm.pos&amp;_xlpm.sfx),IF(_xlpm.stn&lt;&gt;"",_xlpm.stn,""))))</f>
        <v/>
      </c>
      <c r="I91" s="115" t="str">
        <f t="shared" si="5"/>
        <v/>
      </c>
      <c r="J91" s="114" t="str">
        <f t="shared" si="6"/>
        <v/>
      </c>
      <c r="K91" s="113" t="str">
        <f>IF(A91="","",IFERROR(VLOOKUP(A91,'Job Operations'!$A$4:$AA$304,15,FALSE),""))</f>
        <v/>
      </c>
      <c r="L91" s="113" t="str">
        <f>IF(A91="","",IFERROR(VLOOKUP(A91,'Job Operations'!$A$4:$AA$304,17,FALSE),""))</f>
        <v/>
      </c>
      <c r="M91" s="136" t="str">
        <f>IF(A91="","",IF(IFERROR(VLOOKUP(A91,Notes!A:B,2,FALSE),"")=0,"",VLOOKUP(A91,Notes!A:B,2,FALSE)))</f>
        <v/>
      </c>
    </row>
    <row r="92" spans="1:13" ht="15" customHeight="1" x14ac:dyDescent="0.25">
      <c r="A92" s="111"/>
      <c r="B92" s="112" t="str">
        <f>IF(A92="","",IFERROR(VLOOKUP(A92,'Job Operations'!$A$4:$AA$304,2,FALSE),""))</f>
        <v/>
      </c>
      <c r="C92" s="113" t="str">
        <f>IF(A92="","",IFERROR(VLOOKUP(A92,'Job Operations'!$A$4:$AA$304,3,FALSE),""))</f>
        <v/>
      </c>
      <c r="D92" s="113" t="str">
        <f>IF(A92="","",IFERROR(VLOOKUP(A92,'Job Operations'!$A$4:$AA$304,5,FALSE),""))</f>
        <v/>
      </c>
      <c r="E92" s="113" t="str">
        <f>IF(A92="","",IFERROR(VLOOKUP(A92,'Job Operations'!$A$4:$AA$304,6,FALSE),""))</f>
        <v/>
      </c>
      <c r="F92" s="113" t="str">
        <f>IF(A92="","",IFERROR(VLOOKUP(A92,'Job Operations'!$A$4:$AA$304,7,FALSE),""))</f>
        <v/>
      </c>
      <c r="G92" s="114" t="str">
        <f>IF(A92="","",IFERROR(VLOOKUP(A92,'Job Operations'!$A$4:$AA$304,9,FALSE),""))</f>
        <v/>
      </c>
      <c r="H92" s="113" t="str" cm="1">
        <f t="array" ref="H92">IF(A92="","",_xlfn.LET(_xlpm.stn,IFERROR(VLOOKUP(A92,'Job Operations'!$A$4:$AA$304,12,FALSE),""),IF(OR(_xlpm.stn="AXYZ 34",_xlpm.stn="AXYZ"),_xlfn.LET(_xlpm.pos,SUMPRODUCT((A$7:A92&lt;&gt;"")*(IFERROR(VLOOKUP(A$7:A92,'Job Operations'!$A$4:$AA$304,12,FALSE),"")="AXYZ 34")+(A$7:A92&lt;&gt;"")*(IFERROR(VLOOKUP(A$7:A92,'Job Operations'!$A$4:$AA$304,12,FALSE),"")="AXYZ")),_xlpm.sfx,IF(OR(_xlpm.pos=11,_xlpm.pos=12,_xlpm.pos=13),"th",IF(MOD(_xlpm.pos,10)=1,"st",IF(MOD(_xlpm.pos,10)=2,"nd",IF(MOD(_xlpm.pos,10)=3,"rd","th")))),_xlpm.pos&amp;_xlpm.sfx),IF(_xlpm.stn&lt;&gt;"",_xlpm.stn,""))))</f>
        <v/>
      </c>
      <c r="I92" s="115" t="str">
        <f t="shared" si="5"/>
        <v/>
      </c>
      <c r="J92" s="114" t="str">
        <f t="shared" si="6"/>
        <v/>
      </c>
      <c r="K92" s="113" t="str">
        <f>IF(A92="","",IFERROR(VLOOKUP(A92,'Job Operations'!$A$4:$AA$304,15,FALSE),""))</f>
        <v/>
      </c>
      <c r="L92" s="113" t="str">
        <f>IF(A92="","",IFERROR(VLOOKUP(A92,'Job Operations'!$A$4:$AA$304,17,FALSE),""))</f>
        <v/>
      </c>
      <c r="M92" s="136" t="str">
        <f>IF(A92="","",IF(IFERROR(VLOOKUP(A92,Notes!A:B,2,FALSE),"")=0,"",VLOOKUP(A92,Notes!A:B,2,FALSE)))</f>
        <v/>
      </c>
    </row>
    <row r="93" spans="1:13" ht="15" customHeight="1" x14ac:dyDescent="0.25">
      <c r="A93" s="111"/>
      <c r="B93" s="112" t="str">
        <f>IF(A93="","",IFERROR(VLOOKUP(A93,'Job Operations'!$A$4:$AA$304,2,FALSE),""))</f>
        <v/>
      </c>
      <c r="C93" s="113" t="str">
        <f>IF(A93="","",IFERROR(VLOOKUP(A93,'Job Operations'!$A$4:$AA$304,3,FALSE),""))</f>
        <v/>
      </c>
      <c r="D93" s="113" t="str">
        <f>IF(A93="","",IFERROR(VLOOKUP(A93,'Job Operations'!$A$4:$AA$304,5,FALSE),""))</f>
        <v/>
      </c>
      <c r="E93" s="113" t="str">
        <f>IF(A93="","",IFERROR(VLOOKUP(A93,'Job Operations'!$A$4:$AA$304,6,FALSE),""))</f>
        <v/>
      </c>
      <c r="F93" s="113" t="str">
        <f>IF(A93="","",IFERROR(VLOOKUP(A93,'Job Operations'!$A$4:$AA$304,7,FALSE),""))</f>
        <v/>
      </c>
      <c r="G93" s="114" t="str">
        <f>IF(A93="","",IFERROR(VLOOKUP(A93,'Job Operations'!$A$4:$AA$304,9,FALSE),""))</f>
        <v/>
      </c>
      <c r="H93" s="113" t="str" cm="1">
        <f t="array" ref="H93">IF(A93="","",_xlfn.LET(_xlpm.stn,IFERROR(VLOOKUP(A93,'Job Operations'!$A$4:$AA$304,12,FALSE),""),IF(OR(_xlpm.stn="AXYZ 34",_xlpm.stn="AXYZ"),_xlfn.LET(_xlpm.pos,SUMPRODUCT((A$7:A93&lt;&gt;"")*(IFERROR(VLOOKUP(A$7:A93,'Job Operations'!$A$4:$AA$304,12,FALSE),"")="AXYZ 34")+(A$7:A93&lt;&gt;"")*(IFERROR(VLOOKUP(A$7:A93,'Job Operations'!$A$4:$AA$304,12,FALSE),"")="AXYZ")),_xlpm.sfx,IF(OR(_xlpm.pos=11,_xlpm.pos=12,_xlpm.pos=13),"th",IF(MOD(_xlpm.pos,10)=1,"st",IF(MOD(_xlpm.pos,10)=2,"nd",IF(MOD(_xlpm.pos,10)=3,"rd","th")))),_xlpm.pos&amp;_xlpm.sfx),IF(_xlpm.stn&lt;&gt;"",_xlpm.stn,""))))</f>
        <v/>
      </c>
      <c r="I93" s="115" t="str">
        <f t="shared" si="5"/>
        <v/>
      </c>
      <c r="J93" s="114" t="str">
        <f t="shared" si="6"/>
        <v/>
      </c>
      <c r="K93" s="113" t="str">
        <f>IF(A93="","",IFERROR(VLOOKUP(A93,'Job Operations'!$A$4:$AA$304,15,FALSE),""))</f>
        <v/>
      </c>
      <c r="L93" s="113" t="str">
        <f>IF(A93="","",IFERROR(VLOOKUP(A93,'Job Operations'!$A$4:$AA$304,17,FALSE),""))</f>
        <v/>
      </c>
      <c r="M93" s="136" t="str">
        <f>IF(A93="","",IF(IFERROR(VLOOKUP(A93,Notes!A:B,2,FALSE),"")=0,"",VLOOKUP(A93,Notes!A:B,2,FALSE)))</f>
        <v/>
      </c>
    </row>
    <row r="94" spans="1:13" ht="15" customHeight="1" x14ac:dyDescent="0.25">
      <c r="A94" s="111"/>
      <c r="B94" s="112" t="str">
        <f>IF(A94="","",IFERROR(VLOOKUP(A94,'Job Operations'!$A$4:$AA$304,2,FALSE),""))</f>
        <v/>
      </c>
      <c r="C94" s="113" t="str">
        <f>IF(A94="","",IFERROR(VLOOKUP(A94,'Job Operations'!$A$4:$AA$304,3,FALSE),""))</f>
        <v/>
      </c>
      <c r="D94" s="113" t="str">
        <f>IF(A94="","",IFERROR(VLOOKUP(A94,'Job Operations'!$A$4:$AA$304,5,FALSE),""))</f>
        <v/>
      </c>
      <c r="E94" s="113" t="str">
        <f>IF(A94="","",IFERROR(VLOOKUP(A94,'Job Operations'!$A$4:$AA$304,6,FALSE),""))</f>
        <v/>
      </c>
      <c r="F94" s="113" t="str">
        <f>IF(A94="","",IFERROR(VLOOKUP(A94,'Job Operations'!$A$4:$AA$304,7,FALSE),""))</f>
        <v/>
      </c>
      <c r="G94" s="114" t="str">
        <f>IF(A94="","",IFERROR(VLOOKUP(A94,'Job Operations'!$A$4:$AA$304,9,FALSE),""))</f>
        <v/>
      </c>
      <c r="H94" s="113" t="str" cm="1">
        <f t="array" ref="H94">IF(A94="","",_xlfn.LET(_xlpm.stn,IFERROR(VLOOKUP(A94,'Job Operations'!$A$4:$AA$304,12,FALSE),""),IF(OR(_xlpm.stn="AXYZ 34",_xlpm.stn="AXYZ"),_xlfn.LET(_xlpm.pos,SUMPRODUCT((A$7:A94&lt;&gt;"")*(IFERROR(VLOOKUP(A$7:A94,'Job Operations'!$A$4:$AA$304,12,FALSE),"")="AXYZ 34")+(A$7:A94&lt;&gt;"")*(IFERROR(VLOOKUP(A$7:A94,'Job Operations'!$A$4:$AA$304,12,FALSE),"")="AXYZ")),_xlpm.sfx,IF(OR(_xlpm.pos=11,_xlpm.pos=12,_xlpm.pos=13),"th",IF(MOD(_xlpm.pos,10)=1,"st",IF(MOD(_xlpm.pos,10)=2,"nd",IF(MOD(_xlpm.pos,10)=3,"rd","th")))),_xlpm.pos&amp;_xlpm.sfx),IF(_xlpm.stn&lt;&gt;"",_xlpm.stn,""))))</f>
        <v/>
      </c>
      <c r="I94" s="115" t="str">
        <f t="shared" si="5"/>
        <v/>
      </c>
      <c r="J94" s="114" t="str">
        <f t="shared" si="6"/>
        <v/>
      </c>
      <c r="K94" s="113" t="str">
        <f>IF(A94="","",IFERROR(VLOOKUP(A94,'Job Operations'!$A$4:$AA$304,15,FALSE),""))</f>
        <v/>
      </c>
      <c r="L94" s="113" t="str">
        <f>IF(A94="","",IFERROR(VLOOKUP(A94,'Job Operations'!$A$4:$AA$304,17,FALSE),""))</f>
        <v/>
      </c>
      <c r="M94" s="136" t="str">
        <f>IF(A94="","",IF(IFERROR(VLOOKUP(A94,Notes!A:B,2,FALSE),"")=0,"",VLOOKUP(A94,Notes!A:B,2,FALSE)))</f>
        <v/>
      </c>
    </row>
    <row r="95" spans="1:13" ht="15" customHeight="1" x14ac:dyDescent="0.25">
      <c r="A95" s="111"/>
      <c r="B95" s="112" t="str">
        <f>IF(A95="","",IFERROR(VLOOKUP(A95,'Job Operations'!$A$4:$AA$304,2,FALSE),""))</f>
        <v/>
      </c>
      <c r="C95" s="113" t="str">
        <f>IF(A95="","",IFERROR(VLOOKUP(A95,'Job Operations'!$A$4:$AA$304,3,FALSE),""))</f>
        <v/>
      </c>
      <c r="D95" s="113" t="str">
        <f>IF(A95="","",IFERROR(VLOOKUP(A95,'Job Operations'!$A$4:$AA$304,5,FALSE),""))</f>
        <v/>
      </c>
      <c r="E95" s="113" t="str">
        <f>IF(A95="","",IFERROR(VLOOKUP(A95,'Job Operations'!$A$4:$AA$304,6,FALSE),""))</f>
        <v/>
      </c>
      <c r="F95" s="113" t="str">
        <f>IF(A95="","",IFERROR(VLOOKUP(A95,'Job Operations'!$A$4:$AA$304,7,FALSE),""))</f>
        <v/>
      </c>
      <c r="G95" s="114" t="str">
        <f>IF(A95="","",IFERROR(VLOOKUP(A95,'Job Operations'!$A$4:$AA$304,9,FALSE),""))</f>
        <v/>
      </c>
      <c r="H95" s="113" t="str" cm="1">
        <f t="array" ref="H95">IF(A95="","",_xlfn.LET(_xlpm.stn,IFERROR(VLOOKUP(A95,'Job Operations'!$A$4:$AA$304,12,FALSE),""),IF(OR(_xlpm.stn="AXYZ 34",_xlpm.stn="AXYZ"),_xlfn.LET(_xlpm.pos,SUMPRODUCT((A$7:A95&lt;&gt;"")*(IFERROR(VLOOKUP(A$7:A95,'Job Operations'!$A$4:$AA$304,12,FALSE),"")="AXYZ 34")+(A$7:A95&lt;&gt;"")*(IFERROR(VLOOKUP(A$7:A95,'Job Operations'!$A$4:$AA$304,12,FALSE),"")="AXYZ")),_xlpm.sfx,IF(OR(_xlpm.pos=11,_xlpm.pos=12,_xlpm.pos=13),"th",IF(MOD(_xlpm.pos,10)=1,"st",IF(MOD(_xlpm.pos,10)=2,"nd",IF(MOD(_xlpm.pos,10)=3,"rd","th")))),_xlpm.pos&amp;_xlpm.sfx),IF(_xlpm.stn&lt;&gt;"",_xlpm.stn,""))))</f>
        <v/>
      </c>
      <c r="I95" s="115" t="str">
        <f t="shared" si="5"/>
        <v/>
      </c>
      <c r="J95" s="114" t="str">
        <f t="shared" si="6"/>
        <v/>
      </c>
      <c r="K95" s="113" t="str">
        <f>IF(A95="","",IFERROR(VLOOKUP(A95,'Job Operations'!$A$4:$AA$304,15,FALSE),""))</f>
        <v/>
      </c>
      <c r="L95" s="113" t="str">
        <f>IF(A95="","",IFERROR(VLOOKUP(A95,'Job Operations'!$A$4:$AA$304,17,FALSE),""))</f>
        <v/>
      </c>
      <c r="M95" s="136" t="str">
        <f>IF(A95="","",IF(IFERROR(VLOOKUP(A95,Notes!A:B,2,FALSE),"")=0,"",VLOOKUP(A95,Notes!A:B,2,FALSE)))</f>
        <v/>
      </c>
    </row>
    <row r="96" spans="1:13" ht="15" customHeight="1" x14ac:dyDescent="0.25">
      <c r="A96" s="111"/>
      <c r="B96" s="112" t="str">
        <f>IF(A96="","",IFERROR(VLOOKUP(A96,'Job Operations'!$A$4:$AA$304,2,FALSE),""))</f>
        <v/>
      </c>
      <c r="C96" s="113" t="str">
        <f>IF(A96="","",IFERROR(VLOOKUP(A96,'Job Operations'!$A$4:$AA$304,3,FALSE),""))</f>
        <v/>
      </c>
      <c r="D96" s="113" t="str">
        <f>IF(A96="","",IFERROR(VLOOKUP(A96,'Job Operations'!$A$4:$AA$304,5,FALSE),""))</f>
        <v/>
      </c>
      <c r="E96" s="113" t="str">
        <f>IF(A96="","",IFERROR(VLOOKUP(A96,'Job Operations'!$A$4:$AA$304,6,FALSE),""))</f>
        <v/>
      </c>
      <c r="F96" s="113" t="str">
        <f>IF(A96="","",IFERROR(VLOOKUP(A96,'Job Operations'!$A$4:$AA$304,7,FALSE),""))</f>
        <v/>
      </c>
      <c r="G96" s="114" t="str">
        <f>IF(A96="","",IFERROR(VLOOKUP(A96,'Job Operations'!$A$4:$AA$304,9,FALSE),""))</f>
        <v/>
      </c>
      <c r="H96" s="113" t="str" cm="1">
        <f t="array" ref="H96">IF(A96="","",_xlfn.LET(_xlpm.stn,IFERROR(VLOOKUP(A96,'Job Operations'!$A$4:$AA$304,12,FALSE),""),IF(OR(_xlpm.stn="AXYZ 34",_xlpm.stn="AXYZ"),_xlfn.LET(_xlpm.pos,SUMPRODUCT((A$7:A96&lt;&gt;"")*(IFERROR(VLOOKUP(A$7:A96,'Job Operations'!$A$4:$AA$304,12,FALSE),"")="AXYZ 34")+(A$7:A96&lt;&gt;"")*(IFERROR(VLOOKUP(A$7:A96,'Job Operations'!$A$4:$AA$304,12,FALSE),"")="AXYZ")),_xlpm.sfx,IF(OR(_xlpm.pos=11,_xlpm.pos=12,_xlpm.pos=13),"th",IF(MOD(_xlpm.pos,10)=1,"st",IF(MOD(_xlpm.pos,10)=2,"nd",IF(MOD(_xlpm.pos,10)=3,"rd","th")))),_xlpm.pos&amp;_xlpm.sfx),IF(_xlpm.stn&lt;&gt;"",_xlpm.stn,""))))</f>
        <v/>
      </c>
      <c r="I96" s="115" t="str">
        <f t="shared" si="5"/>
        <v/>
      </c>
      <c r="J96" s="114" t="str">
        <f t="shared" si="6"/>
        <v/>
      </c>
      <c r="K96" s="113" t="str">
        <f>IF(A96="","",IFERROR(VLOOKUP(A96,'Job Operations'!$A$4:$AA$304,15,FALSE),""))</f>
        <v/>
      </c>
      <c r="L96" s="113" t="str">
        <f>IF(A96="","",IFERROR(VLOOKUP(A96,'Job Operations'!$A$4:$AA$304,17,FALSE),""))</f>
        <v/>
      </c>
      <c r="M96" s="136" t="str">
        <f>IF(A96="","",IF(IFERROR(VLOOKUP(A96,Notes!A:B,2,FALSE),"")=0,"",VLOOKUP(A96,Notes!A:B,2,FALSE)))</f>
        <v/>
      </c>
    </row>
    <row r="97" spans="1:13" ht="15" customHeight="1" x14ac:dyDescent="0.25">
      <c r="A97" s="111"/>
      <c r="B97" s="112" t="str">
        <f>IF(A97="","",IFERROR(VLOOKUP(A97,'Job Operations'!$A$4:$AA$304,2,FALSE),""))</f>
        <v/>
      </c>
      <c r="C97" s="113" t="str">
        <f>IF(A97="","",IFERROR(VLOOKUP(A97,'Job Operations'!$A$4:$AA$304,3,FALSE),""))</f>
        <v/>
      </c>
      <c r="D97" s="113" t="str">
        <f>IF(A97="","",IFERROR(VLOOKUP(A97,'Job Operations'!$A$4:$AA$304,5,FALSE),""))</f>
        <v/>
      </c>
      <c r="E97" s="113" t="str">
        <f>IF(A97="","",IFERROR(VLOOKUP(A97,'Job Operations'!$A$4:$AA$304,6,FALSE),""))</f>
        <v/>
      </c>
      <c r="F97" s="113" t="str">
        <f>IF(A97="","",IFERROR(VLOOKUP(A97,'Job Operations'!$A$4:$AA$304,7,FALSE),""))</f>
        <v/>
      </c>
      <c r="G97" s="114" t="str">
        <f>IF(A97="","",IFERROR(VLOOKUP(A97,'Job Operations'!$A$4:$AA$304,9,FALSE),""))</f>
        <v/>
      </c>
      <c r="H97" s="113" t="str" cm="1">
        <f t="array" ref="H97">IF(A97="","",_xlfn.LET(_xlpm.stn,IFERROR(VLOOKUP(A97,'Job Operations'!$A$4:$AA$304,12,FALSE),""),IF(OR(_xlpm.stn="AXYZ 34",_xlpm.stn="AXYZ"),_xlfn.LET(_xlpm.pos,SUMPRODUCT((A$7:A97&lt;&gt;"")*(IFERROR(VLOOKUP(A$7:A97,'Job Operations'!$A$4:$AA$304,12,FALSE),"")="AXYZ 34")+(A$7:A97&lt;&gt;"")*(IFERROR(VLOOKUP(A$7:A97,'Job Operations'!$A$4:$AA$304,12,FALSE),"")="AXYZ")),_xlpm.sfx,IF(OR(_xlpm.pos=11,_xlpm.pos=12,_xlpm.pos=13),"th",IF(MOD(_xlpm.pos,10)=1,"st",IF(MOD(_xlpm.pos,10)=2,"nd",IF(MOD(_xlpm.pos,10)=3,"rd","th")))),_xlpm.pos&amp;_xlpm.sfx),IF(_xlpm.stn&lt;&gt;"",_xlpm.stn,""))))</f>
        <v/>
      </c>
      <c r="I97" s="115" t="str">
        <f t="shared" si="5"/>
        <v/>
      </c>
      <c r="J97" s="114" t="str">
        <f t="shared" si="6"/>
        <v/>
      </c>
      <c r="K97" s="113" t="str">
        <f>IF(A97="","",IFERROR(VLOOKUP(A97,'Job Operations'!$A$4:$AA$304,15,FALSE),""))</f>
        <v/>
      </c>
      <c r="L97" s="113" t="str">
        <f>IF(A97="","",IFERROR(VLOOKUP(A97,'Job Operations'!$A$4:$AA$304,17,FALSE),""))</f>
        <v/>
      </c>
      <c r="M97" s="136" t="str">
        <f>IF(A97="","",IF(IFERROR(VLOOKUP(A97,Notes!A:B,2,FALSE),"")=0,"",VLOOKUP(A97,Notes!A:B,2,FALSE)))</f>
        <v/>
      </c>
    </row>
    <row r="98" spans="1:13" ht="15" customHeight="1" x14ac:dyDescent="0.25">
      <c r="A98" s="111"/>
      <c r="B98" s="112" t="str">
        <f>IF(A98="","",IFERROR(VLOOKUP(A98,'Job Operations'!$A$4:$AA$304,2,FALSE),""))</f>
        <v/>
      </c>
      <c r="C98" s="113" t="str">
        <f>IF(A98="","",IFERROR(VLOOKUP(A98,'Job Operations'!$A$4:$AA$304,3,FALSE),""))</f>
        <v/>
      </c>
      <c r="D98" s="113" t="str">
        <f>IF(A98="","",IFERROR(VLOOKUP(A98,'Job Operations'!$A$4:$AA$304,5,FALSE),""))</f>
        <v/>
      </c>
      <c r="E98" s="113" t="str">
        <f>IF(A98="","",IFERROR(VLOOKUP(A98,'Job Operations'!$A$4:$AA$304,6,FALSE),""))</f>
        <v/>
      </c>
      <c r="F98" s="113" t="str">
        <f>IF(A98="","",IFERROR(VLOOKUP(A98,'Job Operations'!$A$4:$AA$304,7,FALSE),""))</f>
        <v/>
      </c>
      <c r="G98" s="114" t="str">
        <f>IF(A98="","",IFERROR(VLOOKUP(A98,'Job Operations'!$A$4:$AA$304,9,FALSE),""))</f>
        <v/>
      </c>
      <c r="H98" s="113" t="str" cm="1">
        <f t="array" ref="H98">IF(A98="","",_xlfn.LET(_xlpm.stn,IFERROR(VLOOKUP(A98,'Job Operations'!$A$4:$AA$304,12,FALSE),""),IF(OR(_xlpm.stn="AXYZ 34",_xlpm.stn="AXYZ"),_xlfn.LET(_xlpm.pos,SUMPRODUCT((A$7:A98&lt;&gt;"")*(IFERROR(VLOOKUP(A$7:A98,'Job Operations'!$A$4:$AA$304,12,FALSE),"")="AXYZ 34")+(A$7:A98&lt;&gt;"")*(IFERROR(VLOOKUP(A$7:A98,'Job Operations'!$A$4:$AA$304,12,FALSE),"")="AXYZ")),_xlpm.sfx,IF(OR(_xlpm.pos=11,_xlpm.pos=12,_xlpm.pos=13),"th",IF(MOD(_xlpm.pos,10)=1,"st",IF(MOD(_xlpm.pos,10)=2,"nd",IF(MOD(_xlpm.pos,10)=3,"rd","th")))),_xlpm.pos&amp;_xlpm.sfx),IF(_xlpm.stn&lt;&gt;"",_xlpm.stn,""))))</f>
        <v/>
      </c>
      <c r="I98" s="115" t="str">
        <f t="shared" si="5"/>
        <v/>
      </c>
      <c r="J98" s="114" t="str">
        <f t="shared" si="6"/>
        <v/>
      </c>
      <c r="K98" s="113" t="str">
        <f>IF(A98="","",IFERROR(VLOOKUP(A98,'Job Operations'!$A$4:$AA$304,15,FALSE),""))</f>
        <v/>
      </c>
      <c r="L98" s="113" t="str">
        <f>IF(A98="","",IFERROR(VLOOKUP(A98,'Job Operations'!$A$4:$AA$304,17,FALSE),""))</f>
        <v/>
      </c>
      <c r="M98" s="136" t="str">
        <f>IF(A98="","",IF(IFERROR(VLOOKUP(A98,Notes!A:B,2,FALSE),"")=0,"",VLOOKUP(A98,Notes!A:B,2,FALSE)))</f>
        <v/>
      </c>
    </row>
    <row r="99" spans="1:13" ht="15" customHeight="1" x14ac:dyDescent="0.25">
      <c r="A99" s="111"/>
      <c r="B99" s="112" t="str">
        <f>IF(A99="","",IFERROR(VLOOKUP(A99,'Job Operations'!$A$4:$AA$304,2,FALSE),""))</f>
        <v/>
      </c>
      <c r="C99" s="113" t="str">
        <f>IF(A99="","",IFERROR(VLOOKUP(A99,'Job Operations'!$A$4:$AA$304,3,FALSE),""))</f>
        <v/>
      </c>
      <c r="D99" s="113" t="str">
        <f>IF(A99="","",IFERROR(VLOOKUP(A99,'Job Operations'!$A$4:$AA$304,5,FALSE),""))</f>
        <v/>
      </c>
      <c r="E99" s="113" t="str">
        <f>IF(A99="","",IFERROR(VLOOKUP(A99,'Job Operations'!$A$4:$AA$304,6,FALSE),""))</f>
        <v/>
      </c>
      <c r="F99" s="113" t="str">
        <f>IF(A99="","",IFERROR(VLOOKUP(A99,'Job Operations'!$A$4:$AA$304,7,FALSE),""))</f>
        <v/>
      </c>
      <c r="G99" s="114" t="str">
        <f>IF(A99="","",IFERROR(VLOOKUP(A99,'Job Operations'!$A$4:$AA$304,9,FALSE),""))</f>
        <v/>
      </c>
      <c r="H99" s="113" t="str" cm="1">
        <f t="array" ref="H99">IF(A99="","",_xlfn.LET(_xlpm.stn,IFERROR(VLOOKUP(A99,'Job Operations'!$A$4:$AA$304,12,FALSE),""),IF(OR(_xlpm.stn="AXYZ 34",_xlpm.stn="AXYZ"),_xlfn.LET(_xlpm.pos,SUMPRODUCT((A$7:A99&lt;&gt;"")*(IFERROR(VLOOKUP(A$7:A99,'Job Operations'!$A$4:$AA$304,12,FALSE),"")="AXYZ 34")+(A$7:A99&lt;&gt;"")*(IFERROR(VLOOKUP(A$7:A99,'Job Operations'!$A$4:$AA$304,12,FALSE),"")="AXYZ")),_xlpm.sfx,IF(OR(_xlpm.pos=11,_xlpm.pos=12,_xlpm.pos=13),"th",IF(MOD(_xlpm.pos,10)=1,"st",IF(MOD(_xlpm.pos,10)=2,"nd",IF(MOD(_xlpm.pos,10)=3,"rd","th")))),_xlpm.pos&amp;_xlpm.sfx),IF(_xlpm.stn&lt;&gt;"",_xlpm.stn,""))))</f>
        <v/>
      </c>
      <c r="I99" s="115" t="str">
        <f t="shared" si="5"/>
        <v/>
      </c>
      <c r="J99" s="114" t="str">
        <f t="shared" si="6"/>
        <v/>
      </c>
      <c r="K99" s="113" t="str">
        <f>IF(A99="","",IFERROR(VLOOKUP(A99,'Job Operations'!$A$4:$AA$304,15,FALSE),""))</f>
        <v/>
      </c>
      <c r="L99" s="113" t="str">
        <f>IF(A99="","",IFERROR(VLOOKUP(A99,'Job Operations'!$A$4:$AA$304,17,FALSE),""))</f>
        <v/>
      </c>
      <c r="M99" s="136" t="str">
        <f>IF(A99="","",IF(IFERROR(VLOOKUP(A99,Notes!A:B,2,FALSE),"")=0,"",VLOOKUP(A99,Notes!A:B,2,FALSE)))</f>
        <v/>
      </c>
    </row>
    <row r="100" spans="1:13" ht="15" customHeight="1" x14ac:dyDescent="0.25">
      <c r="A100" s="111"/>
      <c r="B100" s="112" t="str">
        <f>IF(A100="","",IFERROR(VLOOKUP(A100,'Job Operations'!$A$4:$AA$304,2,FALSE),""))</f>
        <v/>
      </c>
      <c r="C100" s="113" t="str">
        <f>IF(A100="","",IFERROR(VLOOKUP(A100,'Job Operations'!$A$4:$AA$304,3,FALSE),""))</f>
        <v/>
      </c>
      <c r="D100" s="113" t="str">
        <f>IF(A100="","",IFERROR(VLOOKUP(A100,'Job Operations'!$A$4:$AA$304,5,FALSE),""))</f>
        <v/>
      </c>
      <c r="E100" s="113" t="str">
        <f>IF(A100="","",IFERROR(VLOOKUP(A100,'Job Operations'!$A$4:$AA$304,6,FALSE),""))</f>
        <v/>
      </c>
      <c r="F100" s="113" t="str">
        <f>IF(A100="","",IFERROR(VLOOKUP(A100,'Job Operations'!$A$4:$AA$304,7,FALSE),""))</f>
        <v/>
      </c>
      <c r="G100" s="114" t="str">
        <f>IF(A100="","",IFERROR(VLOOKUP(A100,'Job Operations'!$A$4:$AA$304,9,FALSE),""))</f>
        <v/>
      </c>
      <c r="H100" s="113" t="str" cm="1">
        <f t="array" ref="H100">IF(A100="","",_xlfn.LET(_xlpm.stn,IFERROR(VLOOKUP(A100,'Job Operations'!$A$4:$AA$304,12,FALSE),""),IF(OR(_xlpm.stn="AXYZ 34",_xlpm.stn="AXYZ"),_xlfn.LET(_xlpm.pos,SUMPRODUCT((A$7:A100&lt;&gt;"")*(IFERROR(VLOOKUP(A$7:A100,'Job Operations'!$A$4:$AA$304,12,FALSE),"")="AXYZ 34")+(A$7:A100&lt;&gt;"")*(IFERROR(VLOOKUP(A$7:A100,'Job Operations'!$A$4:$AA$304,12,FALSE),"")="AXYZ")),_xlpm.sfx,IF(OR(_xlpm.pos=11,_xlpm.pos=12,_xlpm.pos=13),"th",IF(MOD(_xlpm.pos,10)=1,"st",IF(MOD(_xlpm.pos,10)=2,"nd",IF(MOD(_xlpm.pos,10)=3,"rd","th")))),_xlpm.pos&amp;_xlpm.sfx),IF(_xlpm.stn&lt;&gt;"",_xlpm.stn,""))))</f>
        <v/>
      </c>
      <c r="I100" s="115" t="str">
        <f t="shared" si="5"/>
        <v/>
      </c>
      <c r="J100" s="114" t="str">
        <f t="shared" si="6"/>
        <v/>
      </c>
      <c r="K100" s="113" t="str">
        <f>IF(A100="","",IFERROR(VLOOKUP(A100,'Job Operations'!$A$4:$AA$304,15,FALSE),""))</f>
        <v/>
      </c>
      <c r="L100" s="113" t="str">
        <f>IF(A100="","",IFERROR(VLOOKUP(A100,'Job Operations'!$A$4:$AA$304,17,FALSE),""))</f>
        <v/>
      </c>
      <c r="M100" s="136" t="str">
        <f>IF(A100="","",IF(IFERROR(VLOOKUP(A100,Notes!A:B,2,FALSE),"")=0,"",VLOOKUP(A100,Notes!A:B,2,FALSE)))</f>
        <v/>
      </c>
    </row>
  </sheetData>
  <mergeCells count="6">
    <mergeCell ref="A4:K4"/>
    <mergeCell ref="L4:M4"/>
    <mergeCell ref="L5:M5"/>
    <mergeCell ref="A5:K5"/>
    <mergeCell ref="N4:O4"/>
    <mergeCell ref="N5:O5"/>
  </mergeCells>
  <conditionalFormatting sqref="A7:M100">
    <cfRule type="expression" dxfId="69" priority="55">
      <formula>AND($D$1&lt;&gt;"", $A7=$D$1)</formula>
    </cfRule>
    <cfRule type="expression" dxfId="68" priority="56">
      <formula>AND($A7&lt;&gt;"", OR(LEFT($H7,1)="1", LEFT($H7,1)="2", LEFT($H7,1)="3", LEFT($H7,1)="4", LEFT($H7,1)="5", LEFT($H7,1)="6", LEFT($H7,1)="7", LEFT($H7,1)="8", LEFT($H7,1)="9"))</formula>
    </cfRule>
    <cfRule type="expression" dxfId="67" priority="57">
      <formula>AND($A7&lt;&gt;"", $J7&lt;TODAY(), $G7&gt;=TODAY())</formula>
    </cfRule>
    <cfRule type="expression" dxfId="66" priority="58">
      <formula>AND($A7&lt;&gt;"", $J7&lt;TODAY(), $G7&lt;TODAY())</formula>
    </cfRule>
  </conditionalFormatting>
  <conditionalFormatting sqref="D1">
    <cfRule type="expression" dxfId="65" priority="1">
      <formula>D1="🔴 LATE"</formula>
    </cfRule>
    <cfRule type="expression" dxfId="64" priority="2">
      <formula>D1="🟢 ON TIME"</formula>
    </cfRule>
  </conditionalFormatting>
  <conditionalFormatting sqref="E1">
    <cfRule type="containsText" dxfId="63" priority="3" operator="containsText" text="LATE">
      <formula>NOT(ISERROR(SEARCH("LATE",E1)))</formula>
    </cfRule>
    <cfRule type="containsText" dxfId="62" priority="4" operator="containsText" text="ON TIME">
      <formula>NOT(ISERROR(SEARCH("ON TIME",E1)))</formula>
    </cfRule>
  </conditionalFormatting>
  <dataValidations count="1">
    <dataValidation type="list" errorStyle="warning" allowBlank="1" showInputMessage="1" showErrorMessage="1" errorTitle="Job ID" error="ID not found in list. Continue anyway?" sqref="D1" xr:uid="{CDD33A02-3909-4126-885E-C7230CA18150}">
      <formula1>AllJobIDs</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80AF9-56BC-4104-AE45-9BE7A0521F4B}">
  <sheetPr>
    <tabColor rgb="FFC8A855"/>
  </sheetPr>
  <dimension ref="A1:L100"/>
  <sheetViews>
    <sheetView zoomScaleNormal="100" workbookViewId="0">
      <pane ySplit="6" topLeftCell="A26" activePane="bottomLeft" state="frozen"/>
      <selection pane="bottomLeft" activeCell="E18" sqref="E18"/>
    </sheetView>
  </sheetViews>
  <sheetFormatPr defaultRowHeight="15" x14ac:dyDescent="0.25"/>
  <cols>
    <col min="1" max="1" width="16" customWidth="1"/>
    <col min="2" max="2" width="27.7109375" style="61" customWidth="1"/>
    <col min="3" max="3" width="18.7109375" customWidth="1"/>
    <col min="4" max="4" width="13.28515625" customWidth="1"/>
    <col min="5" max="5" width="13.28515625" style="59" customWidth="1"/>
    <col min="6" max="6" width="18.7109375" customWidth="1"/>
    <col min="7" max="7" width="16" customWidth="1"/>
    <col min="8" max="9" width="18.7109375" customWidth="1"/>
    <col min="10" max="11" width="16" customWidth="1"/>
    <col min="12" max="12" width="72.140625" style="131" customWidth="1"/>
  </cols>
  <sheetData>
    <row r="1" spans="1:12" ht="39.950000000000003" customHeight="1" x14ac:dyDescent="0.25">
      <c r="A1" s="159"/>
      <c r="B1" s="82"/>
      <c r="C1" s="83" t="s">
        <v>2735</v>
      </c>
      <c r="D1" s="84" t="s">
        <v>1795</v>
      </c>
      <c r="E1" s="76" t="str">
        <f ca="1">IF(D1="","",IF(IFERROR(VLOOKUP(D1,'Job Operations'!A:Y,25,FALSE),"")="","❌ NOT FOUND",IF(VLOOKUP(D1,'Job Operations'!A:Y,25,FALSE)&lt;TODAY(),"🔴 LATE","🟢 ON TIME")))</f>
        <v>🟢 ON TIME</v>
      </c>
      <c r="F1" s="77" t="str">
        <f>IF(D1="","",IFERROR(VLOOKUP(D1,'Job Operations'!A:B,2,FALSE),""))</f>
        <v>Harison Bend</v>
      </c>
      <c r="G1" s="77" t="str">
        <f>IF(D1="","",IFERROR("Ship: "&amp;TEXT(VLOOKUP(D1,'Job Operations'!A:I,9,FALSE),"mm/dd/yyyy"),""))</f>
        <v>Ship: 04/30/2026</v>
      </c>
      <c r="H1" s="77" t="str">
        <f>IF(D1="","",IFERROR("Station: "&amp;VLOOKUP(D1,'Job Operations'!A:L,12,FALSE),""))</f>
        <v>Station: AXYZ 34</v>
      </c>
      <c r="I1" s="77"/>
      <c r="J1" s="77"/>
      <c r="K1" s="77"/>
      <c r="L1" s="121"/>
    </row>
    <row r="2" spans="1:12" ht="5.0999999999999996" customHeight="1" x14ac:dyDescent="0.25">
      <c r="A2" s="160"/>
      <c r="B2" s="60"/>
      <c r="C2" s="8"/>
      <c r="D2" s="8"/>
      <c r="E2" s="12"/>
      <c r="F2" s="8"/>
      <c r="G2" s="8"/>
      <c r="H2" s="8"/>
      <c r="I2" s="8"/>
      <c r="J2" s="8"/>
      <c r="K2" s="8"/>
      <c r="L2" s="122"/>
    </row>
    <row r="3" spans="1:12" ht="5.0999999999999996" customHeight="1" x14ac:dyDescent="0.25">
      <c r="A3" s="160"/>
      <c r="B3" s="60"/>
      <c r="C3" s="8"/>
      <c r="D3" s="8"/>
      <c r="E3" s="12"/>
      <c r="F3" s="8"/>
      <c r="G3" s="8"/>
      <c r="H3" s="8"/>
      <c r="I3" s="8"/>
      <c r="J3" s="8"/>
      <c r="K3" s="8"/>
      <c r="L3" s="122"/>
    </row>
    <row r="4" spans="1:12" ht="24.95" customHeight="1" x14ac:dyDescent="0.3">
      <c r="A4" s="294" t="s">
        <v>2753</v>
      </c>
      <c r="B4" s="295"/>
      <c r="C4" s="295"/>
      <c r="D4" s="295"/>
      <c r="E4" s="295"/>
      <c r="F4" s="295"/>
      <c r="G4" s="295"/>
      <c r="H4" s="295"/>
      <c r="I4" s="295"/>
      <c r="J4" s="295"/>
      <c r="K4" s="15"/>
      <c r="L4" s="123"/>
    </row>
    <row r="5" spans="1:12" ht="24.95" customHeight="1" x14ac:dyDescent="0.25">
      <c r="A5" s="296" t="s">
        <v>2754</v>
      </c>
      <c r="B5" s="295"/>
      <c r="C5" s="295"/>
      <c r="D5" s="295"/>
      <c r="E5" s="295"/>
      <c r="F5" s="295"/>
      <c r="G5" s="295"/>
      <c r="H5" s="295"/>
      <c r="I5" s="295"/>
      <c r="J5" s="295"/>
      <c r="K5" s="15"/>
      <c r="L5" s="123"/>
    </row>
    <row r="6" spans="1:12" ht="21.95" customHeight="1" thickBot="1" x14ac:dyDescent="0.3">
      <c r="A6" s="116" t="s">
        <v>1</v>
      </c>
      <c r="B6" s="117" t="s">
        <v>3</v>
      </c>
      <c r="C6" s="117" t="s">
        <v>5</v>
      </c>
      <c r="D6" s="117" t="s">
        <v>17</v>
      </c>
      <c r="E6" s="117" t="s">
        <v>18</v>
      </c>
      <c r="F6" s="117" t="s">
        <v>25</v>
      </c>
      <c r="G6" s="117" t="s">
        <v>54</v>
      </c>
      <c r="H6" s="117" t="s">
        <v>2738</v>
      </c>
      <c r="I6" s="117" t="s">
        <v>2746</v>
      </c>
      <c r="J6" s="117" t="s">
        <v>2755</v>
      </c>
      <c r="K6" s="117" t="s">
        <v>2749</v>
      </c>
      <c r="L6" s="120" t="s">
        <v>2742</v>
      </c>
    </row>
    <row r="7" spans="1:12" ht="15" customHeight="1" x14ac:dyDescent="0.25">
      <c r="A7" s="111" t="str" cm="1">
        <f t="array" ref="A7:A88">IFERROR(_xlfn.SORTBY(_xlfn._xlws.FILTER('Job Operations'!A5:A304,('Job Operations'!A5:A304&lt;&gt;"")*('Job Operations'!AA5:AA304=1)*(('Job Operations'!L5:L304="Clean and Brake")+('Job Operations'!M5:M304="Clean and Brake")+('Job Operations'!O5:O304="Clean and Brake")+('Job Operations'!Q5:Q304="Clean and Brake")+('Job Operations'!S5:S304="Clean and Brake")+('Job Operations'!U5:U304="Clean and Brake")+('Job Operations'!W5:W304="Clean and Brake")&gt;0)*('Job Operations'!L5:L304&lt;&gt;"Fabrication")*('Job Operations'!L5:L304&lt;&gt;"Fab")*('Job Operations'!L5:L304&lt;&gt;"Crating")*('Job Operations'!L5:L304&lt;&gt;"QC")*('Job Operations'!L5:L304&lt;&gt;"Ready to Ship")*('Job Operations'!L5:L304&lt;&gt;"RTS Titans")*('Job Operations'!L5:L304&lt;&gt;"Shipped")*('Job Operations'!L5:L304&lt;&gt;"Shipped To Painter")*('Job Operations'!L5:L304&lt;&gt;"Partially Shipped")),_xlfn._xlws.FILTER('Job Operations'!P5:P304,('Job Operations'!A5:A304&lt;&gt;"")*('Job Operations'!AA5:AA304=1)*(('Job Operations'!L5:L304="Clean and Brake")+('Job Operations'!M5:M304="Clean and Brake")+('Job Operations'!O5:O304="Clean and Brake")+('Job Operations'!Q5:Q304="Clean and Brake")+('Job Operations'!S5:S304="Clean and Brake")+('Job Operations'!U5:U304="Clean and Brake")+('Job Operations'!W5:W304="Clean and Brake")&gt;0)*('Job Operations'!L5:L304&lt;&gt;"Fabrication")*('Job Operations'!L5:L304&lt;&gt;"Fab")*('Job Operations'!L5:L304&lt;&gt;"Crating")*('Job Operations'!L5:L304&lt;&gt;"QC")*('Job Operations'!L5:L304&lt;&gt;"Ready to Ship")*('Job Operations'!L5:L304&lt;&gt;"RTS Titans")*('Job Operations'!L5:L304&lt;&gt;"Shipped")*('Job Operations'!L5:L304&lt;&gt;"Shipped To Painter")*('Job Operations'!L5:L304&lt;&gt;"Partially Shipped")),1),"")</f>
        <v>25002-FS11.1</v>
      </c>
      <c r="B7" s="112" t="str">
        <f>IF(A7="","",IFERROR(VLOOKUP(A7,'Job Operations'!$A$4:$AA$304,2,FALSE),""))</f>
        <v>Med Center Health</v>
      </c>
      <c r="C7" s="113" t="str">
        <f>IF(A7="","",IFERROR(VLOOKUP(A7,'Job Operations'!$A$4:$AA$304,3,FALSE),""))</f>
        <v>Carlos Silva</v>
      </c>
      <c r="D7" s="113">
        <f>IF(A7="","",IFERROR(VLOOKUP(A7,'Job Operations'!$A$4:$AA$304,5,FALSE),""))</f>
        <v>18</v>
      </c>
      <c r="E7" s="113">
        <f>IF(A7="","",IFERROR(VLOOKUP(A7,'Job Operations'!$A$4:$AA$304,6,FALSE),""))</f>
        <v>18</v>
      </c>
      <c r="F7" s="113" t="str">
        <f>IF(A7="","",IFERROR(VLOOKUP(A7,'Job Operations'!$A$4:$AA$304,7,FALSE),""))</f>
        <v>FR ACM</v>
      </c>
      <c r="G7" s="114">
        <f>IF(A7="","",IFERROR(VLOOKUP(A7,'Job Operations'!$A$4:$AA$304,9,FALSE),""))</f>
        <v>46083</v>
      </c>
      <c r="H7" s="113" t="str" cm="1">
        <f t="array" ref="H7">IF(A7="","",_xlfn.LET(_xlpm.stn,IFERROR(VLOOKUP(A7,'Job Operations'!$A$4:$AA$304,12,FALSE),""),IF(_xlpm.stn="Clean and Brake",_xlfn.LET(_xlpm.pos,SUMPRODUCT((A$7:A7&lt;&gt;"")*(IFERROR(VLOOKUP(A$7:A7,'Job Operations'!$A$4:$AA$304,12,FALSE),"")="Clean and Brake")),_xlpm.sfx,IF(OR(_xlpm.pos=11,_xlpm.pos=12,_xlpm.pos=13),"th",IF(MOD(_xlpm.pos,10)=1,"st",IF(MOD(_xlpm.pos,10)=2,"nd",IF(MOD(_xlpm.pos,10)=3,"rd","th")))),_xlpm.pos&amp;_xlpm.sfx),IF(_xlpm.stn&lt;&gt;"",_xlpm.stn,""))))</f>
        <v>1st</v>
      </c>
      <c r="I7" s="113" t="str" cm="1">
        <f t="array" ref="I7">IF(A7="","",_xlfn.LET(_xlpm.stn,IFERROR(VLOOKUP(A7,'Job Operations'!$A$4:$AA$304,12,FALSE),""),IF(_xlpm.stn="Clean and Brake",_xlfn.LET(_xlpm.pos,SUMPRODUCT((A$7:A7&lt;&gt;"")*(IFERROR(VLOOKUP(A$7:A7,'Job Operations'!$A$4:$AA$304,12,FALSE),"")="Clean and Brake")),_xlpm.sfx,IF(OR(_xlpm.pos=11,_xlpm.pos=12,_xlpm.pos=13),"th",IF(MOD(_xlpm.pos,10)=1,"st",IF(MOD(_xlpm.pos,10)=2,"nd",IF(MOD(_xlpm.pos,10)=3,"rd","th")))),_xlpm.pos&amp;_xlpm.sfx),IF(ISNUMBER(MATCH(A7,'AXYZ Titans CNC Schedule'!A$7:A$100,0)),"#"&amp;MATCH(A7,'AXYZ Titans CNC Schedule'!A$7:A$100,0)&amp;" on Titans",IF(ISNUMBER(MATCH(A7,'AXYZ CNC Schedule'!A$7:A$100,0)),"#"&amp;MATCH(A7,'AXYZ CNC Schedule'!A$7:A$100,0)&amp;" on AXYZ",IF(_xlpm.stn&lt;&gt;"",_xlpm.stn,""))))))</f>
        <v>1st</v>
      </c>
      <c r="J7" s="114">
        <f>IF(A7="","",IFERROR(VLOOKUP(A7,'Job Operations'!$A$4:$AA$304,16,FALSE),""))</f>
        <v>46059</v>
      </c>
      <c r="K7" s="113" t="str">
        <f>IF(A7="","",IFERROR(VLOOKUP(A7,'Job Operations'!$A$4:$AA$304,17,FALSE),""))</f>
        <v>Fab</v>
      </c>
      <c r="L7" s="124" t="str">
        <f>IF(A7="","",IF(IFERROR(VLOOKUP(A7,Notes!A:B,2,FALSE),"")=0,"",VLOOKUP(A7,Notes!A:B,2,FALSE)))</f>
        <v>Received Radius Templete, waiting for Roller Maint.**03/23 Roller should be back up this morning*03/24 Roller still down AM*03/26…C&amp;B*03/27…Still at C&amp;B needs to roll then back to C&amp;B*03/31…No Update*04/02…Roller still down.*04/09…Roller still down.*04/16/2026…Clean and Brake</v>
      </c>
    </row>
    <row r="8" spans="1:12" x14ac:dyDescent="0.25">
      <c r="A8" s="103" t="str">
        <v>24051-FS223</v>
      </c>
      <c r="B8" s="104" t="str">
        <f>IF(A8="","",IFERROR(VLOOKUP(A8,'Job Operations'!$A$4:$AA$304,2,FALSE),""))</f>
        <v>TN Titans Stadium</v>
      </c>
      <c r="C8" s="105" t="str">
        <f>IF(A8="","",IFERROR(VLOOKUP(A8,'Job Operations'!$A$4:$AA$304,3,FALSE),""))</f>
        <v>Marc Ribar</v>
      </c>
      <c r="D8" s="105">
        <f>IF(A8="","",IFERROR(VLOOKUP(A8,'Job Operations'!$A$4:$AA$304,5,FALSE),""))</f>
        <v>44</v>
      </c>
      <c r="E8" s="105">
        <f>IF(A8="","",IFERROR(VLOOKUP(A8,'Job Operations'!$A$4:$AA$304,6,FALSE),""))</f>
        <v>90</v>
      </c>
      <c r="F8" s="105" t="str">
        <f>IF(A8="","",IFERROR(VLOOKUP(A8,'Job Operations'!$A$4:$AA$304,7,FALSE),""))</f>
        <v>FR ACM</v>
      </c>
      <c r="G8" s="106">
        <f>IF(A8="","",IFERROR(VLOOKUP(A8,'Job Operations'!$A$4:$AA$304,9,FALSE),""))</f>
        <v>46097</v>
      </c>
      <c r="H8" s="105" t="str" cm="1">
        <f t="array" ref="H8">IF(A8="","",_xlfn.LET(_xlpm.stn,IFERROR(VLOOKUP(A8,'Job Operations'!$A$4:$AA$304,12,FALSE),""),IF(_xlpm.stn="Clean and Brake",_xlfn.LET(_xlpm.pos,SUMPRODUCT((A$7:A8&lt;&gt;"")*(IFERROR(VLOOKUP(A$7:A8,'Job Operations'!$A$4:$AA$304,12,FALSE),"")="Clean and Brake")),_xlpm.sfx,IF(OR(_xlpm.pos=11,_xlpm.pos=12,_xlpm.pos=13),"th",IF(MOD(_xlpm.pos,10)=1,"st",IF(MOD(_xlpm.pos,10)=2,"nd",IF(MOD(_xlpm.pos,10)=3,"rd","th")))),_xlpm.pos&amp;_xlpm.sfx),IF(_xlpm.stn&lt;&gt;"",_xlpm.stn,""))))</f>
        <v>2nd</v>
      </c>
      <c r="I8" s="105" t="str" cm="1">
        <f t="array" ref="I8">IF(A8="","",_xlfn.LET(_xlpm.stn,IFERROR(VLOOKUP(A8,'Job Operations'!$A$4:$AA$304,12,FALSE),""),IF(_xlpm.stn="Clean and Brake",_xlfn.LET(_xlpm.pos,SUMPRODUCT((A$7:A8&lt;&gt;"")*(IFERROR(VLOOKUP(A$7:A8,'Job Operations'!$A$4:$AA$304,12,FALSE),"")="Clean and Brake")),_xlpm.sfx,IF(OR(_xlpm.pos=11,_xlpm.pos=12,_xlpm.pos=13),"th",IF(MOD(_xlpm.pos,10)=1,"st",IF(MOD(_xlpm.pos,10)=2,"nd",IF(MOD(_xlpm.pos,10)=3,"rd","th")))),_xlpm.pos&amp;_xlpm.sfx),IF(ISNUMBER(MATCH(A8,'AXYZ Titans CNC Schedule'!A$7:A$100,0)),"#"&amp;MATCH(A8,'AXYZ Titans CNC Schedule'!A$7:A$100,0)&amp;" on Titans",IF(ISNUMBER(MATCH(A8,'AXYZ CNC Schedule'!A$7:A$100,0)),"#"&amp;MATCH(A8,'AXYZ CNC Schedule'!A$7:A$100,0)&amp;" on AXYZ",IF(_xlpm.stn&lt;&gt;"",_xlpm.stn,""))))))</f>
        <v>2nd</v>
      </c>
      <c r="J8" s="106">
        <f>IF(A8="","",IFERROR(VLOOKUP(A8,'Job Operations'!$A$4:$AA$304,16,FALSE),""))</f>
        <v>46073</v>
      </c>
      <c r="K8" s="105" t="str">
        <f>IF(A8="","",IFERROR(VLOOKUP(A8,'Job Operations'!$A$4:$AA$304,17,FALSE),""))</f>
        <v>Fab</v>
      </c>
      <c r="L8" s="125" t="str">
        <f>IF(A8="","",IF(IFERROR(VLOOKUP(A8,Notes!A:B,2,FALSE),"")=0,"",VLOOKUP(A8,Notes!A:B,2,FALSE)))</f>
        <v>03/23...Next for Titans--1 of 3 still late*03/24 Corrections*03/26…Titans line*03/30…Affected by Roller being down.  Panals too large to run in small roller.*03/31…No update*04/02…Roller still down.*04/09…Roller still down.*04/16/2026…Clean and Brake</v>
      </c>
    </row>
    <row r="9" spans="1:12" ht="45" x14ac:dyDescent="0.25">
      <c r="A9" s="98" t="str">
        <v>24079-FS102</v>
      </c>
      <c r="B9" s="99" t="str">
        <f>IF(A9="","",IFERROR(VLOOKUP(A9,'Job Operations'!$A$4:$AA$304,2,FALSE),""))</f>
        <v>Nashville Youth Campus</v>
      </c>
      <c r="C9" s="100" t="str">
        <f>IF(A9="","",IFERROR(VLOOKUP(A9,'Job Operations'!$A$4:$AA$304,3,FALSE),""))</f>
        <v>Joe Hoyle</v>
      </c>
      <c r="D9" s="100">
        <f>IF(A9="","",IFERROR(VLOOKUP(A9,'Job Operations'!$A$4:$AA$304,5,FALSE),""))</f>
        <v>192</v>
      </c>
      <c r="E9" s="100">
        <f>IF(A9="","",IFERROR(VLOOKUP(A9,'Job Operations'!$A$4:$AA$304,6,FALSE),""))</f>
        <v>198</v>
      </c>
      <c r="F9" s="100" t="str">
        <f>IF(A9="","",IFERROR(VLOOKUP(A9,'Job Operations'!$A$4:$AA$304,7,FALSE),""))</f>
        <v>FR ACM</v>
      </c>
      <c r="G9" s="101">
        <f>IF(A9="","",IFERROR(VLOOKUP(A9,'Job Operations'!$A$4:$AA$304,9,FALSE),""))</f>
        <v>46097</v>
      </c>
      <c r="H9" s="100" t="str" cm="1">
        <f t="array" ref="H9">IF(A9="","",_xlfn.LET(_xlpm.stn,IFERROR(VLOOKUP(A9,'Job Operations'!$A$4:$AA$304,12,FALSE),""),IF(_xlpm.stn="Clean and Brake",_xlfn.LET(_xlpm.pos,SUMPRODUCT((A$7:A9&lt;&gt;"")*(IFERROR(VLOOKUP(A$7:A9,'Job Operations'!$A$4:$AA$304,12,FALSE),"")="Clean and Brake")),_xlpm.sfx,IF(OR(_xlpm.pos=11,_xlpm.pos=12,_xlpm.pos=13),"th",IF(MOD(_xlpm.pos,10)=1,"st",IF(MOD(_xlpm.pos,10)=2,"nd",IF(MOD(_xlpm.pos,10)=3,"rd","th")))),_xlpm.pos&amp;_xlpm.sfx),IF(_xlpm.stn&lt;&gt;"",_xlpm.stn,""))))</f>
        <v>Sketch Check</v>
      </c>
      <c r="I9" s="100" t="str" cm="1">
        <f t="array" ref="I9">IF(A9="","",_xlfn.LET(_xlpm.stn,IFERROR(VLOOKUP(A9,'Job Operations'!$A$4:$AA$304,12,FALSE),""),IF(_xlpm.stn="Clean and Brake",_xlfn.LET(_xlpm.pos,SUMPRODUCT((A$7:A9&lt;&gt;"")*(IFERROR(VLOOKUP(A$7:A9,'Job Operations'!$A$4:$AA$304,12,FALSE),"")="Clean and Brake")),_xlpm.sfx,IF(OR(_xlpm.pos=11,_xlpm.pos=12,_xlpm.pos=13),"th",IF(MOD(_xlpm.pos,10)=1,"st",IF(MOD(_xlpm.pos,10)=2,"nd",IF(MOD(_xlpm.pos,10)=3,"rd","th")))),_xlpm.pos&amp;_xlpm.sfx),IF(ISNUMBER(MATCH(A9,'AXYZ Titans CNC Schedule'!A$7:A$100,0)),"#"&amp;MATCH(A9,'AXYZ Titans CNC Schedule'!A$7:A$100,0)&amp;" on Titans",IF(ISNUMBER(MATCH(A9,'AXYZ CNC Schedule'!A$7:A$100,0)),"#"&amp;MATCH(A9,'AXYZ CNC Schedule'!A$7:A$100,0)&amp;" on AXYZ",IF(_xlpm.stn&lt;&gt;"",_xlpm.stn,""))))))</f>
        <v>#2 on Titans</v>
      </c>
      <c r="J9" s="101">
        <f>IF(A9="","",IFERROR(VLOOKUP(A9,'Job Operations'!$A$4:$AA$304,16,FALSE),""))</f>
        <v>46073</v>
      </c>
      <c r="K9" s="100" t="str">
        <f>IF(A9="","",IFERROR(VLOOKUP(A9,'Job Operations'!$A$4:$AA$304,17,FALSE),""))</f>
        <v>Fab</v>
      </c>
      <c r="L9" s="126" t="str">
        <f>IF(A9="","",IF(IFERROR(VLOOKUP(A9,Notes!A:B,2,FALSE),"")=0,"",VLOOKUP(A9,Notes!A:B,2,FALSE)))</f>
        <v>04/16/2026…Sketch Check</v>
      </c>
    </row>
    <row r="10" spans="1:12" x14ac:dyDescent="0.25">
      <c r="A10" s="103" t="str">
        <v>24079-FS102.1</v>
      </c>
      <c r="B10" s="104" t="str">
        <f>IF(A10="","",IFERROR(VLOOKUP(A10,'Job Operations'!$A$4:$AA$304,2,FALSE),""))</f>
        <v>Nashville Youth Campus</v>
      </c>
      <c r="C10" s="105" t="str">
        <f>IF(A10="","",IFERROR(VLOOKUP(A10,'Job Operations'!$A$4:$AA$304,3,FALSE),""))</f>
        <v>Joe Hoyle</v>
      </c>
      <c r="D10" s="105">
        <f>IF(A10="","",IFERROR(VLOOKUP(A10,'Job Operations'!$A$4:$AA$304,5,FALSE),""))</f>
        <v>308</v>
      </c>
      <c r="E10" s="105">
        <f>IF(A10="","",IFERROR(VLOOKUP(A10,'Job Operations'!$A$4:$AA$304,6,FALSE),""))</f>
        <v>0</v>
      </c>
      <c r="F10" s="105" t="str">
        <f>IF(A10="","",IFERROR(VLOOKUP(A10,'Job Operations'!$A$4:$AA$304,7,FALSE),""))</f>
        <v>FR ACM</v>
      </c>
      <c r="G10" s="106">
        <f>IF(A10="","",IFERROR(VLOOKUP(A10,'Job Operations'!$A$4:$AA$304,9,FALSE),""))</f>
        <v>46097</v>
      </c>
      <c r="H10" s="105" t="str" cm="1">
        <f t="array" ref="H10">IF(A10="","",_xlfn.LET(_xlpm.stn,IFERROR(VLOOKUP(A10,'Job Operations'!$A$4:$AA$304,12,FALSE),""),IF(_xlpm.stn="Clean and Brake",_xlfn.LET(_xlpm.pos,SUMPRODUCT((A$7:A10&lt;&gt;"")*(IFERROR(VLOOKUP(A$7:A10,'Job Operations'!$A$4:$AA$304,12,FALSE),"")="Clean and Brake")),_xlpm.sfx,IF(OR(_xlpm.pos=11,_xlpm.pos=12,_xlpm.pos=13),"th",IF(MOD(_xlpm.pos,10)=1,"st",IF(MOD(_xlpm.pos,10)=2,"nd",IF(MOD(_xlpm.pos,10)=3,"rd","th")))),_xlpm.pos&amp;_xlpm.sfx),IF(_xlpm.stn&lt;&gt;"",_xlpm.stn,""))))</f>
        <v>Sketch</v>
      </c>
      <c r="I10" s="105" t="str" cm="1">
        <f t="array" ref="I10">IF(A10="","",_xlfn.LET(_xlpm.stn,IFERROR(VLOOKUP(A10,'Job Operations'!$A$4:$AA$304,12,FALSE),""),IF(_xlpm.stn="Clean and Brake",_xlfn.LET(_xlpm.pos,SUMPRODUCT((A$7:A10&lt;&gt;"")*(IFERROR(VLOOKUP(A$7:A10,'Job Operations'!$A$4:$AA$304,12,FALSE),"")="Clean and Brake")),_xlpm.sfx,IF(OR(_xlpm.pos=11,_xlpm.pos=12,_xlpm.pos=13),"th",IF(MOD(_xlpm.pos,10)=1,"st",IF(MOD(_xlpm.pos,10)=2,"nd",IF(MOD(_xlpm.pos,10)=3,"rd","th")))),_xlpm.pos&amp;_xlpm.sfx),IF(ISNUMBER(MATCH(A10,'AXYZ Titans CNC Schedule'!A$7:A$100,0)),"#"&amp;MATCH(A10,'AXYZ Titans CNC Schedule'!A$7:A$100,0)&amp;" on Titans",IF(ISNUMBER(MATCH(A10,'AXYZ CNC Schedule'!A$7:A$100,0)),"#"&amp;MATCH(A10,'AXYZ CNC Schedule'!A$7:A$100,0)&amp;" on AXYZ",IF(_xlpm.stn&lt;&gt;"",_xlpm.stn,""))))))</f>
        <v>#1 on Titans</v>
      </c>
      <c r="J10" s="106">
        <f>IF(A10="","",IFERROR(VLOOKUP(A10,'Job Operations'!$A$4:$AA$304,16,FALSE),""))</f>
        <v>46073</v>
      </c>
      <c r="K10" s="105" t="str">
        <f>IF(A10="","",IFERROR(VLOOKUP(A10,'Job Operations'!$A$4:$AA$304,17,FALSE),""))</f>
        <v>Fab</v>
      </c>
      <c r="L10" s="125" t="str">
        <f>IF(A10="","",IF(IFERROR(VLOOKUP(A10,Notes!A:B,2,FALSE),"")=0,"",VLOOKUP(A10,Notes!A:B,2,FALSE)))</f>
        <v>04/16/2026…Sketch</v>
      </c>
    </row>
    <row r="11" spans="1:12" x14ac:dyDescent="0.25">
      <c r="A11" s="98" t="str">
        <v>25035-FS04</v>
      </c>
      <c r="B11" s="99" t="str">
        <f>IF(A11="","",IFERROR(VLOOKUP(A11,'Job Operations'!$A$4:$AA$304,2,FALSE),""))</f>
        <v>Titans Jabez</v>
      </c>
      <c r="C11" s="100" t="str">
        <f>IF(A11="","",IFERROR(VLOOKUP(A11,'Job Operations'!$A$4:$AA$304,3,FALSE),""))</f>
        <v>Marc Ribar</v>
      </c>
      <c r="D11" s="100">
        <f>IF(A11="","",IFERROR(VLOOKUP(A11,'Job Operations'!$A$4:$AA$304,5,FALSE),""))</f>
        <v>218</v>
      </c>
      <c r="E11" s="100">
        <f>IF(A11="","",IFERROR(VLOOKUP(A11,'Job Operations'!$A$4:$AA$304,6,FALSE),""))</f>
        <v>0</v>
      </c>
      <c r="F11" s="100" t="str">
        <f>IF(A11="","",IFERROR(VLOOKUP(A11,'Job Operations'!$A$4:$AA$304,7,FALSE),""))</f>
        <v>FR ACM</v>
      </c>
      <c r="G11" s="101">
        <f>IF(A11="","",IFERROR(VLOOKUP(A11,'Job Operations'!$A$4:$AA$304,9,FALSE),""))</f>
        <v>46104</v>
      </c>
      <c r="H11" s="100" t="str" cm="1">
        <f t="array" ref="H11">IF(A11="","",_xlfn.LET(_xlpm.stn,IFERROR(VLOOKUP(A11,'Job Operations'!$A$4:$AA$304,12,FALSE),""),IF(_xlpm.stn="Clean and Brake",_xlfn.LET(_xlpm.pos,SUMPRODUCT((A$7:A11&lt;&gt;"")*(IFERROR(VLOOKUP(A$7:A11,'Job Operations'!$A$4:$AA$304,12,FALSE),"")="Clean and Brake")),_xlpm.sfx,IF(OR(_xlpm.pos=11,_xlpm.pos=12,_xlpm.pos=13),"th",IF(MOD(_xlpm.pos,10)=1,"st",IF(MOD(_xlpm.pos,10)=2,"nd",IF(MOD(_xlpm.pos,10)=3,"rd","th")))),_xlpm.pos&amp;_xlpm.sfx),IF(_xlpm.stn&lt;&gt;"",_xlpm.stn,""))))</f>
        <v>Sketch</v>
      </c>
      <c r="I11" s="100" t="str" cm="1">
        <f t="array" ref="I11">IF(A11="","",_xlfn.LET(_xlpm.stn,IFERROR(VLOOKUP(A11,'Job Operations'!$A$4:$AA$304,12,FALSE),""),IF(_xlpm.stn="Clean and Brake",_xlfn.LET(_xlpm.pos,SUMPRODUCT((A$7:A11&lt;&gt;"")*(IFERROR(VLOOKUP(A$7:A11,'Job Operations'!$A$4:$AA$304,12,FALSE),"")="Clean and Brake")),_xlpm.sfx,IF(OR(_xlpm.pos=11,_xlpm.pos=12,_xlpm.pos=13),"th",IF(MOD(_xlpm.pos,10)=1,"st",IF(MOD(_xlpm.pos,10)=2,"nd",IF(MOD(_xlpm.pos,10)=3,"rd","th")))),_xlpm.pos&amp;_xlpm.sfx),IF(ISNUMBER(MATCH(A11,'AXYZ Titans CNC Schedule'!A$7:A$100,0)),"#"&amp;MATCH(A11,'AXYZ Titans CNC Schedule'!A$7:A$100,0)&amp;" on Titans",IF(ISNUMBER(MATCH(A11,'AXYZ CNC Schedule'!A$7:A$100,0)),"#"&amp;MATCH(A11,'AXYZ CNC Schedule'!A$7:A$100,0)&amp;" on AXYZ",IF(_xlpm.stn&lt;&gt;"",_xlpm.stn,""))))))</f>
        <v>#3 on Titans</v>
      </c>
      <c r="J11" s="101">
        <f>IF(A11="","",IFERROR(VLOOKUP(A11,'Job Operations'!$A$4:$AA$304,16,FALSE),""))</f>
        <v>46080</v>
      </c>
      <c r="K11" s="100" t="str">
        <f>IF(A11="","",IFERROR(VLOOKUP(A11,'Job Operations'!$A$4:$AA$304,17,FALSE),""))</f>
        <v>Fab</v>
      </c>
      <c r="L11" s="126" t="str">
        <f>IF(A11="","",IF(IFERROR(VLOOKUP(A11,Notes!A:B,2,FALSE),"")=0,"",VLOOKUP(A11,Notes!A:B,2,FALSE)))</f>
        <v>04/16/2026…Sketch</v>
      </c>
    </row>
    <row r="12" spans="1:12" x14ac:dyDescent="0.25">
      <c r="A12" s="103" t="str">
        <v>25017-RO02</v>
      </c>
      <c r="B12" s="104" t="str">
        <f>IF(A12="","",IFERROR(VLOOKUP(A12,'Job Operations'!$A$4:$AA$304,2,FALSE),""))</f>
        <v>Nashville Yards Park</v>
      </c>
      <c r="C12" s="105" t="str">
        <f>IF(A12="","",IFERROR(VLOOKUP(A12,'Job Operations'!$A$4:$AA$304,3,FALSE),""))</f>
        <v>Dillon Bowman</v>
      </c>
      <c r="D12" s="105">
        <f>IF(A12="","",IFERROR(VLOOKUP(A12,'Job Operations'!$A$4:$AA$304,5,FALSE),""))</f>
        <v>1</v>
      </c>
      <c r="E12" s="105">
        <f>IF(A12="","",IFERROR(VLOOKUP(A12,'Job Operations'!$A$4:$AA$304,6,FALSE),""))</f>
        <v>3</v>
      </c>
      <c r="F12" s="105" t="str">
        <f>IF(A12="","",IFERROR(VLOOKUP(A12,'Job Operations'!$A$4:$AA$304,7,FALSE),""))</f>
        <v>FR ACM</v>
      </c>
      <c r="G12" s="106">
        <f>IF(A12="","",IFERROR(VLOOKUP(A12,'Job Operations'!$A$4:$AA$304,9,FALSE),""))</f>
        <v>46127</v>
      </c>
      <c r="H12" s="105" t="str" cm="1">
        <f t="array" ref="H12">IF(A12="","",_xlfn.LET(_xlpm.stn,IFERROR(VLOOKUP(A12,'Job Operations'!$A$4:$AA$304,12,FALSE),""),IF(_xlpm.stn="Clean and Brake",_xlfn.LET(_xlpm.pos,SUMPRODUCT((A$7:A12&lt;&gt;"")*(IFERROR(VLOOKUP(A$7:A12,'Job Operations'!$A$4:$AA$304,12,FALSE),"")="Clean and Brake")),_xlpm.sfx,IF(OR(_xlpm.pos=11,_xlpm.pos=12,_xlpm.pos=13),"th",IF(MOD(_xlpm.pos,10)=1,"st",IF(MOD(_xlpm.pos,10)=2,"nd",IF(MOD(_xlpm.pos,10)=3,"rd","th")))),_xlpm.pos&amp;_xlpm.sfx),IF(_xlpm.stn&lt;&gt;"",_xlpm.stn,""))))</f>
        <v>3rd</v>
      </c>
      <c r="I12" s="105" t="str" cm="1">
        <f t="array" ref="I12">IF(A12="","",_xlfn.LET(_xlpm.stn,IFERROR(VLOOKUP(A12,'Job Operations'!$A$4:$AA$304,12,FALSE),""),IF(_xlpm.stn="Clean and Brake",_xlfn.LET(_xlpm.pos,SUMPRODUCT((A$7:A12&lt;&gt;"")*(IFERROR(VLOOKUP(A$7:A12,'Job Operations'!$A$4:$AA$304,12,FALSE),"")="Clean and Brake")),_xlpm.sfx,IF(OR(_xlpm.pos=11,_xlpm.pos=12,_xlpm.pos=13),"th",IF(MOD(_xlpm.pos,10)=1,"st",IF(MOD(_xlpm.pos,10)=2,"nd",IF(MOD(_xlpm.pos,10)=3,"rd","th")))),_xlpm.pos&amp;_xlpm.sfx),IF(ISNUMBER(MATCH(A12,'AXYZ Titans CNC Schedule'!A$7:A$100,0)),"#"&amp;MATCH(A12,'AXYZ Titans CNC Schedule'!A$7:A$100,0)&amp;" on Titans",IF(ISNUMBER(MATCH(A12,'AXYZ CNC Schedule'!A$7:A$100,0)),"#"&amp;MATCH(A12,'AXYZ CNC Schedule'!A$7:A$100,0)&amp;" on AXYZ",IF(_xlpm.stn&lt;&gt;"",_xlpm.stn,""))))))</f>
        <v>3rd</v>
      </c>
      <c r="J12" s="106">
        <f>IF(A12="","",IFERROR(VLOOKUP(A12,'Job Operations'!$A$4:$AA$304,16,FALSE),""))</f>
        <v>46093</v>
      </c>
      <c r="K12" s="105" t="str">
        <f>IF(A12="","",IFERROR(VLOOKUP(A12,'Job Operations'!$A$4:$AA$304,17,FALSE),""))</f>
        <v>Fab</v>
      </c>
      <c r="L12" s="125" t="str">
        <f>IF(A12="","",IF(IFERROR(VLOOKUP(A12,Notes!A:B,2,FALSE),"")=0,"",VLOOKUP(A12,Notes!A:B,2,FALSE)))</f>
        <v>03/27…C&amp;B, needs to roll then back to C&amp;B*03/30…Affected by Roller being down.*03/31…No Update*04/02…Roller still down.*04/09…Roller still down.*04/16/2026…Clean and Brake</v>
      </c>
    </row>
    <row r="13" spans="1:12" ht="30" x14ac:dyDescent="0.25">
      <c r="A13" s="98" t="str">
        <v>24074-FS07</v>
      </c>
      <c r="B13" s="99" t="str">
        <f>IF(A13="","",IFERROR(VLOOKUP(A13,'Job Operations'!$A$4:$AA$304,2,FALSE),""))</f>
        <v>DIDD ACM</v>
      </c>
      <c r="C13" s="100" t="str">
        <f>IF(A13="","",IFERROR(VLOOKUP(A13,'Job Operations'!$A$4:$AA$304,3,FALSE),""))</f>
        <v>Dillon Bowman</v>
      </c>
      <c r="D13" s="100">
        <f>IF(A13="","",IFERROR(VLOOKUP(A13,'Job Operations'!$A$4:$AA$304,5,FALSE),""))</f>
        <v>155</v>
      </c>
      <c r="E13" s="100">
        <f>IF(A13="","",IFERROR(VLOOKUP(A13,'Job Operations'!$A$4:$AA$304,6,FALSE),""))</f>
        <v>218</v>
      </c>
      <c r="F13" s="100" t="str">
        <f>IF(A13="","",IFERROR(VLOOKUP(A13,'Job Operations'!$A$4:$AA$304,7,FALSE),""))</f>
        <v>FR ACM</v>
      </c>
      <c r="G13" s="101">
        <f>IF(A13="","",IFERROR(VLOOKUP(A13,'Job Operations'!$A$4:$AA$304,9,FALSE),""))</f>
        <v>46132</v>
      </c>
      <c r="H13" s="100" t="str" cm="1">
        <f t="array" ref="H13">IF(A13="","",_xlfn.LET(_xlpm.stn,IFERROR(VLOOKUP(A13,'Job Operations'!$A$4:$AA$304,12,FALSE),""),IF(_xlpm.stn="Clean and Brake",_xlfn.LET(_xlpm.pos,SUMPRODUCT((A$7:A13&lt;&gt;"")*(IFERROR(VLOOKUP(A$7:A13,'Job Operations'!$A$4:$AA$304,12,FALSE),"")="Clean and Brake")),_xlpm.sfx,IF(OR(_xlpm.pos=11,_xlpm.pos=12,_xlpm.pos=13),"th",IF(MOD(_xlpm.pos,10)=1,"st",IF(MOD(_xlpm.pos,10)=2,"nd",IF(MOD(_xlpm.pos,10)=3,"rd","th")))),_xlpm.pos&amp;_xlpm.sfx),IF(_xlpm.stn&lt;&gt;"",_xlpm.stn,""))))</f>
        <v>CNC Programming</v>
      </c>
      <c r="I13" s="100" t="str" cm="1">
        <f t="array" ref="I13">IF(A13="","",_xlfn.LET(_xlpm.stn,IFERROR(VLOOKUP(A13,'Job Operations'!$A$4:$AA$304,12,FALSE),""),IF(_xlpm.stn="Clean and Brake",_xlfn.LET(_xlpm.pos,SUMPRODUCT((A$7:A13&lt;&gt;"")*(IFERROR(VLOOKUP(A$7:A13,'Job Operations'!$A$4:$AA$304,12,FALSE),"")="Clean and Brake")),_xlpm.sfx,IF(OR(_xlpm.pos=11,_xlpm.pos=12,_xlpm.pos=13),"th",IF(MOD(_xlpm.pos,10)=1,"st",IF(MOD(_xlpm.pos,10)=2,"nd",IF(MOD(_xlpm.pos,10)=3,"rd","th")))),_xlpm.pos&amp;_xlpm.sfx),IF(ISNUMBER(MATCH(A13,'AXYZ Titans CNC Schedule'!A$7:A$100,0)),"#"&amp;MATCH(A13,'AXYZ Titans CNC Schedule'!A$7:A$100,0)&amp;" on Titans",IF(ISNUMBER(MATCH(A13,'AXYZ CNC Schedule'!A$7:A$100,0)),"#"&amp;MATCH(A13,'AXYZ CNC Schedule'!A$7:A$100,0)&amp;" on AXYZ",IF(_xlpm.stn&lt;&gt;"",_xlpm.stn,""))))))</f>
        <v>#4 on Titans</v>
      </c>
      <c r="J13" s="101">
        <f>IF(A13="","",IFERROR(VLOOKUP(A13,'Job Operations'!$A$4:$AA$304,16,FALSE),""))</f>
        <v>46098</v>
      </c>
      <c r="K13" s="100" t="str">
        <f>IF(A13="","",IFERROR(VLOOKUP(A13,'Job Operations'!$A$4:$AA$304,17,FALSE),""))</f>
        <v>Fab</v>
      </c>
      <c r="L13" s="126" t="str">
        <f>IF(A13="","",IF(IFERROR(VLOOKUP(A13,Notes!A:B,2,FALSE),"")=0,"",VLOOKUP(A13,Notes!A:B,2,FALSE)))</f>
        <v>*03/30...4' Panals Rolled*04/02…Sketch*04/09…CNC*04/16/2026…CNC Programming</v>
      </c>
    </row>
    <row r="14" spans="1:12" x14ac:dyDescent="0.25">
      <c r="A14" s="103" t="str">
        <v>24051-FS87</v>
      </c>
      <c r="B14" s="104" t="str">
        <f>IF(A14="","",IFERROR(VLOOKUP(A14,'Job Operations'!$A$4:$AA$304,2,FALSE),""))</f>
        <v>TN Titans Stadium</v>
      </c>
      <c r="C14" s="105" t="str">
        <f>IF(A14="","",IFERROR(VLOOKUP(A14,'Job Operations'!$A$4:$AA$304,3,FALSE),""))</f>
        <v>Marc Ribar</v>
      </c>
      <c r="D14" s="105">
        <f>IF(A14="","",IFERROR(VLOOKUP(A14,'Job Operations'!$A$4:$AA$304,5,FALSE),""))</f>
        <v>54</v>
      </c>
      <c r="E14" s="105">
        <f>IF(A14="","",IFERROR(VLOOKUP(A14,'Job Operations'!$A$4:$AA$304,6,FALSE),""))</f>
        <v>54</v>
      </c>
      <c r="F14" s="105" t="str">
        <f>IF(A14="","",IFERROR(VLOOKUP(A14,'Job Operations'!$A$4:$AA$304,7,FALSE),""))</f>
        <v>FR ACM</v>
      </c>
      <c r="G14" s="106">
        <f>IF(A14="","",IFERROR(VLOOKUP(A14,'Job Operations'!$A$4:$AA$304,9,FALSE),""))</f>
        <v>46127</v>
      </c>
      <c r="H14" s="105" t="str" cm="1">
        <f t="array" ref="H14">IF(A14="","",_xlfn.LET(_xlpm.stn,IFERROR(VLOOKUP(A14,'Job Operations'!$A$4:$AA$304,12,FALSE),""),IF(_xlpm.stn="Clean and Brake",_xlfn.LET(_xlpm.pos,SUMPRODUCT((A$7:A14&lt;&gt;"")*(IFERROR(VLOOKUP(A$7:A14,'Job Operations'!$A$4:$AA$304,12,FALSE),"")="Clean and Brake")),_xlpm.sfx,IF(OR(_xlpm.pos=11,_xlpm.pos=12,_xlpm.pos=13),"th",IF(MOD(_xlpm.pos,10)=1,"st",IF(MOD(_xlpm.pos,10)=2,"nd",IF(MOD(_xlpm.pos,10)=3,"rd","th")))),_xlpm.pos&amp;_xlpm.sfx),IF(_xlpm.stn&lt;&gt;"",_xlpm.stn,""))))</f>
        <v>4th</v>
      </c>
      <c r="I14" s="105" t="str" cm="1">
        <f t="array" ref="I14">IF(A14="","",_xlfn.LET(_xlpm.stn,IFERROR(VLOOKUP(A14,'Job Operations'!$A$4:$AA$304,12,FALSE),""),IF(_xlpm.stn="Clean and Brake",_xlfn.LET(_xlpm.pos,SUMPRODUCT((A$7:A14&lt;&gt;"")*(IFERROR(VLOOKUP(A$7:A14,'Job Operations'!$A$4:$AA$304,12,FALSE),"")="Clean and Brake")),_xlpm.sfx,IF(OR(_xlpm.pos=11,_xlpm.pos=12,_xlpm.pos=13),"th",IF(MOD(_xlpm.pos,10)=1,"st",IF(MOD(_xlpm.pos,10)=2,"nd",IF(MOD(_xlpm.pos,10)=3,"rd","th")))),_xlpm.pos&amp;_xlpm.sfx),IF(ISNUMBER(MATCH(A14,'AXYZ Titans CNC Schedule'!A$7:A$100,0)),"#"&amp;MATCH(A14,'AXYZ Titans CNC Schedule'!A$7:A$100,0)&amp;" on Titans",IF(ISNUMBER(MATCH(A14,'AXYZ CNC Schedule'!A$7:A$100,0)),"#"&amp;MATCH(A14,'AXYZ CNC Schedule'!A$7:A$100,0)&amp;" on AXYZ",IF(_xlpm.stn&lt;&gt;"",_xlpm.stn,""))))))</f>
        <v>4th</v>
      </c>
      <c r="J14" s="106">
        <f>IF(A14="","",IFERROR(VLOOKUP(A14,'Job Operations'!$A$4:$AA$304,16,FALSE),""))</f>
        <v>46104</v>
      </c>
      <c r="K14" s="105" t="str">
        <f>IF(A14="","",IFERROR(VLOOKUP(A14,'Job Operations'!$A$4:$AA$304,17,FALSE),""))</f>
        <v>Fab</v>
      </c>
      <c r="L14" s="125" t="str">
        <f>IF(A14="","",IF(IFERROR(VLOOKUP(A14,Notes!A:B,2,FALSE),"")=0,"",VLOOKUP(A14,Notes!A:B,2,FALSE)))</f>
        <v>Must be RTS on Friday 04/17*04/16/2026…Clean and Brake</v>
      </c>
    </row>
    <row r="15" spans="1:12" ht="45" customHeight="1" x14ac:dyDescent="0.25">
      <c r="A15" s="98" t="str">
        <v>24051-FS89</v>
      </c>
      <c r="B15" s="99" t="str">
        <f>IF(A15="","",IFERROR(VLOOKUP(A15,'Job Operations'!$A$4:$AA$304,2,FALSE),""))</f>
        <v>TN Titans Stadium</v>
      </c>
      <c r="C15" s="100" t="str">
        <f>IF(A15="","",IFERROR(VLOOKUP(A15,'Job Operations'!$A$4:$AA$304,3,FALSE),""))</f>
        <v>Marc Ribar</v>
      </c>
      <c r="D15" s="100">
        <f>IF(A15="","",IFERROR(VLOOKUP(A15,'Job Operations'!$A$4:$AA$304,5,FALSE),""))</f>
        <v>40</v>
      </c>
      <c r="E15" s="100">
        <f>IF(A15="","",IFERROR(VLOOKUP(A15,'Job Operations'!$A$4:$AA$304,6,FALSE),""))</f>
        <v>40</v>
      </c>
      <c r="F15" s="100" t="str">
        <f>IF(A15="","",IFERROR(VLOOKUP(A15,'Job Operations'!$A$4:$AA$304,7,FALSE),""))</f>
        <v>FR ACM</v>
      </c>
      <c r="G15" s="101">
        <f>IF(A15="","",IFERROR(VLOOKUP(A15,'Job Operations'!$A$4:$AA$304,9,FALSE),""))</f>
        <v>46127</v>
      </c>
      <c r="H15" s="100" t="str" cm="1">
        <f t="array" ref="H15">IF(A15="","",_xlfn.LET(_xlpm.stn,IFERROR(VLOOKUP(A15,'Job Operations'!$A$4:$AA$304,12,FALSE),""),IF(_xlpm.stn="Clean and Brake",_xlfn.LET(_xlpm.pos,SUMPRODUCT((A$7:A15&lt;&gt;"")*(IFERROR(VLOOKUP(A$7:A15,'Job Operations'!$A$4:$AA$304,12,FALSE),"")="Clean and Brake")),_xlpm.sfx,IF(OR(_xlpm.pos=11,_xlpm.pos=12,_xlpm.pos=13),"th",IF(MOD(_xlpm.pos,10)=1,"st",IF(MOD(_xlpm.pos,10)=2,"nd",IF(MOD(_xlpm.pos,10)=3,"rd","th")))),_xlpm.pos&amp;_xlpm.sfx),IF(_xlpm.stn&lt;&gt;"",_xlpm.stn,""))))</f>
        <v>AXYZ 34</v>
      </c>
      <c r="I15" s="100" t="str" cm="1">
        <f t="array" ref="I15">IF(A15="","",_xlfn.LET(_xlpm.stn,IFERROR(VLOOKUP(A15,'Job Operations'!$A$4:$AA$304,12,FALSE),""),IF(_xlpm.stn="Clean and Brake",_xlfn.LET(_xlpm.pos,SUMPRODUCT((A$7:A15&lt;&gt;"")*(IFERROR(VLOOKUP(A$7:A15,'Job Operations'!$A$4:$AA$304,12,FALSE),"")="Clean and Brake")),_xlpm.sfx,IF(OR(_xlpm.pos=11,_xlpm.pos=12,_xlpm.pos=13),"th",IF(MOD(_xlpm.pos,10)=1,"st",IF(MOD(_xlpm.pos,10)=2,"nd",IF(MOD(_xlpm.pos,10)=3,"rd","th")))),_xlpm.pos&amp;_xlpm.sfx),IF(ISNUMBER(MATCH(A15,'AXYZ Titans CNC Schedule'!A$7:A$100,0)),"#"&amp;MATCH(A15,'AXYZ Titans CNC Schedule'!A$7:A$100,0)&amp;" on Titans",IF(ISNUMBER(MATCH(A15,'AXYZ CNC Schedule'!A$7:A$100,0)),"#"&amp;MATCH(A15,'AXYZ CNC Schedule'!A$7:A$100,0)&amp;" on AXYZ",IF(_xlpm.stn&lt;&gt;"",_xlpm.stn,""))))))</f>
        <v>#5 on Titans</v>
      </c>
      <c r="J15" s="101">
        <f>IF(A15="","",IFERROR(VLOOKUP(A15,'Job Operations'!$A$4:$AA$304,16,FALSE),""))</f>
        <v>46104</v>
      </c>
      <c r="K15" s="100" t="str">
        <f>IF(A15="","",IFERROR(VLOOKUP(A15,'Job Operations'!$A$4:$AA$304,17,FALSE),""))</f>
        <v>Fab</v>
      </c>
      <c r="L15" s="126" t="str">
        <f>IF(A15="","",IF(IFERROR(VLOOKUP(A15,Notes!A:B,2,FALSE),"")=0,"",VLOOKUP(A15,Notes!A:B,2,FALSE)))</f>
        <v>04/14...Next Titans Requesting//Scheduled to be released to the shop 04/16.*04/16/2026…AXYZ 34</v>
      </c>
    </row>
    <row r="16" spans="1:12" x14ac:dyDescent="0.25">
      <c r="A16" s="103" t="str">
        <v>25010-RO06</v>
      </c>
      <c r="B16" s="104" t="str">
        <f>IF(A16="","",IFERROR(VLOOKUP(A16,'Job Operations'!$A$4:$AA$304,2,FALSE),""))</f>
        <v>TOA Spring Hill MOB</v>
      </c>
      <c r="C16" s="105" t="str">
        <f>IF(A16="","",IFERROR(VLOOKUP(A16,'Job Operations'!$A$4:$AA$304,3,FALSE),""))</f>
        <v>Cole Norona</v>
      </c>
      <c r="D16" s="105">
        <f>IF(A16="","",IFERROR(VLOOKUP(A16,'Job Operations'!$A$4:$AA$304,5,FALSE),""))</f>
        <v>6</v>
      </c>
      <c r="E16" s="105">
        <f>IF(A16="","",IFERROR(VLOOKUP(A16,'Job Operations'!$A$4:$AA$304,6,FALSE),""))</f>
        <v>0</v>
      </c>
      <c r="F16" s="105" t="str">
        <f>IF(A16="","",IFERROR(VLOOKUP(A16,'Job Operations'!$A$4:$AA$304,7,FALSE),""))</f>
        <v>FR ACM</v>
      </c>
      <c r="G16" s="106">
        <f>IF(A16="","",IFERROR(VLOOKUP(A16,'Job Operations'!$A$4:$AA$304,9,FALSE),""))</f>
        <v>46127</v>
      </c>
      <c r="H16" s="105" t="str" cm="1">
        <f t="array" ref="H16">IF(A16="","",_xlfn.LET(_xlpm.stn,IFERROR(VLOOKUP(A16,'Job Operations'!$A$4:$AA$304,12,FALSE),""),IF(_xlpm.stn="Clean and Brake",_xlfn.LET(_xlpm.pos,SUMPRODUCT((A$7:A16&lt;&gt;"")*(IFERROR(VLOOKUP(A$7:A16,'Job Operations'!$A$4:$AA$304,12,FALSE),"")="Clean and Brake")),_xlpm.sfx,IF(OR(_xlpm.pos=11,_xlpm.pos=12,_xlpm.pos=13),"th",IF(MOD(_xlpm.pos,10)=1,"st",IF(MOD(_xlpm.pos,10)=2,"nd",IF(MOD(_xlpm.pos,10)=3,"rd","th")))),_xlpm.pos&amp;_xlpm.sfx),IF(_xlpm.stn&lt;&gt;"",_xlpm.stn,""))))</f>
        <v>LO</v>
      </c>
      <c r="I16" s="105" t="str" cm="1">
        <f t="array" ref="I16">IF(A16="","",_xlfn.LET(_xlpm.stn,IFERROR(VLOOKUP(A16,'Job Operations'!$A$4:$AA$304,12,FALSE),""),IF(_xlpm.stn="Clean and Brake",_xlfn.LET(_xlpm.pos,SUMPRODUCT((A$7:A16&lt;&gt;"")*(IFERROR(VLOOKUP(A$7:A16,'Job Operations'!$A$4:$AA$304,12,FALSE),"")="Clean and Brake")),_xlpm.sfx,IF(OR(_xlpm.pos=11,_xlpm.pos=12,_xlpm.pos=13),"th",IF(MOD(_xlpm.pos,10)=1,"st",IF(MOD(_xlpm.pos,10)=2,"nd",IF(MOD(_xlpm.pos,10)=3,"rd","th")))),_xlpm.pos&amp;_xlpm.sfx),IF(ISNUMBER(MATCH(A16,'AXYZ Titans CNC Schedule'!A$7:A$100,0)),"#"&amp;MATCH(A16,'AXYZ Titans CNC Schedule'!A$7:A$100,0)&amp;" on Titans",IF(ISNUMBER(MATCH(A16,'AXYZ CNC Schedule'!A$7:A$100,0)),"#"&amp;MATCH(A16,'AXYZ CNC Schedule'!A$7:A$100,0)&amp;" on AXYZ",IF(_xlpm.stn&lt;&gt;"",_xlpm.stn,""))))))</f>
        <v>#1 on AXYZ</v>
      </c>
      <c r="J16" s="106">
        <f>IF(A16="","",IFERROR(VLOOKUP(A16,'Job Operations'!$A$4:$AA$304,16,FALSE),""))</f>
        <v>46104</v>
      </c>
      <c r="K16" s="105" t="str">
        <f>IF(A16="","",IFERROR(VLOOKUP(A16,'Job Operations'!$A$4:$AA$304,17,FALSE),""))</f>
        <v>Fab</v>
      </c>
      <c r="L16" s="125" t="str">
        <f>IF(A16="","",IF(IFERROR(VLOOKUP(A16,Notes!A:B,2,FALSE),"")=0,"",VLOOKUP(A16,Notes!A:B,2,FALSE)))</f>
        <v>04/16/2026…LO</v>
      </c>
    </row>
    <row r="17" spans="1:12" x14ac:dyDescent="0.25">
      <c r="A17" s="98" t="str">
        <v>25010-RO07</v>
      </c>
      <c r="B17" s="99" t="str">
        <f>IF(A17="","",IFERROR(VLOOKUP(A17,'Job Operations'!$A$4:$AA$304,2,FALSE),""))</f>
        <v>TOA Spring Hill MOB</v>
      </c>
      <c r="C17" s="100" t="str">
        <f>IF(A17="","",IFERROR(VLOOKUP(A17,'Job Operations'!$A$4:$AA$304,3,FALSE),""))</f>
        <v>Cole Norona</v>
      </c>
      <c r="D17" s="100">
        <f>IF(A17="","",IFERROR(VLOOKUP(A17,'Job Operations'!$A$4:$AA$304,5,FALSE),""))</f>
        <v>3</v>
      </c>
      <c r="E17" s="100">
        <f>IF(A17="","",IFERROR(VLOOKUP(A17,'Job Operations'!$A$4:$AA$304,6,FALSE),""))</f>
        <v>0</v>
      </c>
      <c r="F17" s="100" t="str">
        <f>IF(A17="","",IFERROR(VLOOKUP(A17,'Job Operations'!$A$4:$AA$304,7,FALSE),""))</f>
        <v>FR ACM</v>
      </c>
      <c r="G17" s="101">
        <f>IF(A17="","",IFERROR(VLOOKUP(A17,'Job Operations'!$A$4:$AA$304,9,FALSE),""))</f>
        <v>46127</v>
      </c>
      <c r="H17" s="100" t="str" cm="1">
        <f t="array" ref="H17">IF(A17="","",_xlfn.LET(_xlpm.stn,IFERROR(VLOOKUP(A17,'Job Operations'!$A$4:$AA$304,12,FALSE),""),IF(_xlpm.stn="Clean and Brake",_xlfn.LET(_xlpm.pos,SUMPRODUCT((A$7:A17&lt;&gt;"")*(IFERROR(VLOOKUP(A$7:A17,'Job Operations'!$A$4:$AA$304,12,FALSE),"")="Clean and Brake")),_xlpm.sfx,IF(OR(_xlpm.pos=11,_xlpm.pos=12,_xlpm.pos=13),"th",IF(MOD(_xlpm.pos,10)=1,"st",IF(MOD(_xlpm.pos,10)=2,"nd",IF(MOD(_xlpm.pos,10)=3,"rd","th")))),_xlpm.pos&amp;_xlpm.sfx),IF(_xlpm.stn&lt;&gt;"",_xlpm.stn,""))))</f>
        <v>LO</v>
      </c>
      <c r="I17" s="100" t="str" cm="1">
        <f t="array" ref="I17">IF(A17="","",_xlfn.LET(_xlpm.stn,IFERROR(VLOOKUP(A17,'Job Operations'!$A$4:$AA$304,12,FALSE),""),IF(_xlpm.stn="Clean and Brake",_xlfn.LET(_xlpm.pos,SUMPRODUCT((A$7:A17&lt;&gt;"")*(IFERROR(VLOOKUP(A$7:A17,'Job Operations'!$A$4:$AA$304,12,FALSE),"")="Clean and Brake")),_xlpm.sfx,IF(OR(_xlpm.pos=11,_xlpm.pos=12,_xlpm.pos=13),"th",IF(MOD(_xlpm.pos,10)=1,"st",IF(MOD(_xlpm.pos,10)=2,"nd",IF(MOD(_xlpm.pos,10)=3,"rd","th")))),_xlpm.pos&amp;_xlpm.sfx),IF(ISNUMBER(MATCH(A17,'AXYZ Titans CNC Schedule'!A$7:A$100,0)),"#"&amp;MATCH(A17,'AXYZ Titans CNC Schedule'!A$7:A$100,0)&amp;" on Titans",IF(ISNUMBER(MATCH(A17,'AXYZ CNC Schedule'!A$7:A$100,0)),"#"&amp;MATCH(A17,'AXYZ CNC Schedule'!A$7:A$100,0)&amp;" on AXYZ",IF(_xlpm.stn&lt;&gt;"",_xlpm.stn,""))))))</f>
        <v>#2 on AXYZ</v>
      </c>
      <c r="J17" s="101">
        <f>IF(A17="","",IFERROR(VLOOKUP(A17,'Job Operations'!$A$4:$AA$304,16,FALSE),""))</f>
        <v>46104</v>
      </c>
      <c r="K17" s="100" t="str">
        <f>IF(A17="","",IFERROR(VLOOKUP(A17,'Job Operations'!$A$4:$AA$304,17,FALSE),""))</f>
        <v>Fab</v>
      </c>
      <c r="L17" s="126" t="str">
        <f>IF(A17="","",IF(IFERROR(VLOOKUP(A17,Notes!A:B,2,FALSE),"")=0,"",VLOOKUP(A17,Notes!A:B,2,FALSE)))</f>
        <v>04/16/2026…LO</v>
      </c>
    </row>
    <row r="18" spans="1:12" x14ac:dyDescent="0.25">
      <c r="A18" s="103" t="str">
        <v>25002-FS13</v>
      </c>
      <c r="B18" s="104" t="str">
        <f>IF(A18="","",IFERROR(VLOOKUP(A18,'Job Operations'!$A$4:$AA$304,2,FALSE),""))</f>
        <v>Med Center Health</v>
      </c>
      <c r="C18" s="105" t="str">
        <f>IF(A18="","",IFERROR(VLOOKUP(A18,'Job Operations'!$A$4:$AA$304,3,FALSE),""))</f>
        <v>Carlos Silva</v>
      </c>
      <c r="D18" s="105">
        <f>IF(A18="","",IFERROR(VLOOKUP(A18,'Job Operations'!$A$4:$AA$304,5,FALSE),""))</f>
        <v>30</v>
      </c>
      <c r="E18" s="105">
        <f>IF(A18="","",IFERROR(VLOOKUP(A18,'Job Operations'!$A$4:$AA$304,6,FALSE),""))</f>
        <v>0</v>
      </c>
      <c r="F18" s="105" t="str">
        <f>IF(A18="","",IFERROR(VLOOKUP(A18,'Job Operations'!$A$4:$AA$304,7,FALSE),""))</f>
        <v>FR ACM</v>
      </c>
      <c r="G18" s="106">
        <f>IF(A18="","",IFERROR(VLOOKUP(A18,'Job Operations'!$A$4:$AA$304,9,FALSE),""))</f>
        <v>46129</v>
      </c>
      <c r="H18" s="105" t="str" cm="1">
        <f t="array" ref="H18">IF(A18="","",_xlfn.LET(_xlpm.stn,IFERROR(VLOOKUP(A18,'Job Operations'!$A$4:$AA$304,12,FALSE),""),IF(_xlpm.stn="Clean and Brake",_xlfn.LET(_xlpm.pos,SUMPRODUCT((A$7:A18&lt;&gt;"")*(IFERROR(VLOOKUP(A$7:A18,'Job Operations'!$A$4:$AA$304,12,FALSE),"")="Clean and Brake")),_xlpm.sfx,IF(OR(_xlpm.pos=11,_xlpm.pos=12,_xlpm.pos=13),"th",IF(MOD(_xlpm.pos,10)=1,"st",IF(MOD(_xlpm.pos,10)=2,"nd",IF(MOD(_xlpm.pos,10)=3,"rd","th")))),_xlpm.pos&amp;_xlpm.sfx),IF(_xlpm.stn&lt;&gt;"",_xlpm.stn,""))))</f>
        <v>LO</v>
      </c>
      <c r="I18" s="105" t="str" cm="1">
        <f t="array" ref="I18">IF(A18="","",_xlfn.LET(_xlpm.stn,IFERROR(VLOOKUP(A18,'Job Operations'!$A$4:$AA$304,12,FALSE),""),IF(_xlpm.stn="Clean and Brake",_xlfn.LET(_xlpm.pos,SUMPRODUCT((A$7:A18&lt;&gt;"")*(IFERROR(VLOOKUP(A$7:A18,'Job Operations'!$A$4:$AA$304,12,FALSE),"")="Clean and Brake")),_xlpm.sfx,IF(OR(_xlpm.pos=11,_xlpm.pos=12,_xlpm.pos=13),"th",IF(MOD(_xlpm.pos,10)=1,"st",IF(MOD(_xlpm.pos,10)=2,"nd",IF(MOD(_xlpm.pos,10)=3,"rd","th")))),_xlpm.pos&amp;_xlpm.sfx),IF(ISNUMBER(MATCH(A18,'AXYZ Titans CNC Schedule'!A$7:A$100,0)),"#"&amp;MATCH(A18,'AXYZ Titans CNC Schedule'!A$7:A$100,0)&amp;" on Titans",IF(ISNUMBER(MATCH(A18,'AXYZ CNC Schedule'!A$7:A$100,0)),"#"&amp;MATCH(A18,'AXYZ CNC Schedule'!A$7:A$100,0)&amp;" on AXYZ",IF(_xlpm.stn&lt;&gt;"",_xlpm.stn,""))))))</f>
        <v>#3 on AXYZ</v>
      </c>
      <c r="J18" s="106">
        <f>IF(A18="","",IFERROR(VLOOKUP(A18,'Job Operations'!$A$4:$AA$304,16,FALSE),""))</f>
        <v>46106</v>
      </c>
      <c r="K18" s="105" t="str">
        <f>IF(A18="","",IFERROR(VLOOKUP(A18,'Job Operations'!$A$4:$AA$304,17,FALSE),""))</f>
        <v>Fab</v>
      </c>
      <c r="L18" s="125" t="str">
        <f>IF(A18="","",IF(IFERROR(VLOOKUP(A18,Notes!A:B,2,FALSE),"")=0,"",VLOOKUP(A18,Notes!A:B,2,FALSE)))</f>
        <v>04/16/2026…LO</v>
      </c>
    </row>
    <row r="19" spans="1:12" x14ac:dyDescent="0.25">
      <c r="A19" s="98" t="str">
        <v>26009-FS01</v>
      </c>
      <c r="B19" s="99" t="str">
        <f>IF(A19="","",IFERROR(VLOOKUP(A19,'Job Operations'!$A$4:$AA$304,2,FALSE),""))</f>
        <v>5th &amp; Summer Leasing Office</v>
      </c>
      <c r="C19" s="100" t="str">
        <f>IF(A19="","",IFERROR(VLOOKUP(A19,'Job Operations'!$A$4:$AA$304,3,FALSE),""))</f>
        <v>Cole Norona</v>
      </c>
      <c r="D19" s="100">
        <f>IF(A19="","",IFERROR(VLOOKUP(A19,'Job Operations'!$A$4:$AA$304,5,FALSE),""))</f>
        <v>9</v>
      </c>
      <c r="E19" s="100">
        <f>IF(A19="","",IFERROR(VLOOKUP(A19,'Job Operations'!$A$4:$AA$304,6,FALSE),""))</f>
        <v>0</v>
      </c>
      <c r="F19" s="100" t="str">
        <f>IF(A19="","",IFERROR(VLOOKUP(A19,'Job Operations'!$A$4:$AA$304,7,FALSE),""))</f>
        <v>FR ACM</v>
      </c>
      <c r="G19" s="101">
        <f>IF(A19="","",IFERROR(VLOOKUP(A19,'Job Operations'!$A$4:$AA$304,9,FALSE),""))</f>
        <v>46132</v>
      </c>
      <c r="H19" s="100" t="str" cm="1">
        <f t="array" ref="H19">IF(A19="","",_xlfn.LET(_xlpm.stn,IFERROR(VLOOKUP(A19,'Job Operations'!$A$4:$AA$304,12,FALSE),""),IF(_xlpm.stn="Clean and Brake",_xlfn.LET(_xlpm.pos,SUMPRODUCT((A$7:A19&lt;&gt;"")*(IFERROR(VLOOKUP(A$7:A19,'Job Operations'!$A$4:$AA$304,12,FALSE),"")="Clean and Brake")),_xlpm.sfx,IF(OR(_xlpm.pos=11,_xlpm.pos=12,_xlpm.pos=13),"th",IF(MOD(_xlpm.pos,10)=1,"st",IF(MOD(_xlpm.pos,10)=2,"nd",IF(MOD(_xlpm.pos,10)=3,"rd","th")))),_xlpm.pos&amp;_xlpm.sfx),IF(_xlpm.stn&lt;&gt;"",_xlpm.stn,""))))</f>
        <v>LO Check</v>
      </c>
      <c r="I19" s="100" t="str" cm="1">
        <f t="array" ref="I19">IF(A19="","",_xlfn.LET(_xlpm.stn,IFERROR(VLOOKUP(A19,'Job Operations'!$A$4:$AA$304,12,FALSE),""),IF(_xlpm.stn="Clean and Brake",_xlfn.LET(_xlpm.pos,SUMPRODUCT((A$7:A19&lt;&gt;"")*(IFERROR(VLOOKUP(A$7:A19,'Job Operations'!$A$4:$AA$304,12,FALSE),"")="Clean and Brake")),_xlpm.sfx,IF(OR(_xlpm.pos=11,_xlpm.pos=12,_xlpm.pos=13),"th",IF(MOD(_xlpm.pos,10)=1,"st",IF(MOD(_xlpm.pos,10)=2,"nd",IF(MOD(_xlpm.pos,10)=3,"rd","th")))),_xlpm.pos&amp;_xlpm.sfx),IF(ISNUMBER(MATCH(A19,'AXYZ Titans CNC Schedule'!A$7:A$100,0)),"#"&amp;MATCH(A19,'AXYZ Titans CNC Schedule'!A$7:A$100,0)&amp;" on Titans",IF(ISNUMBER(MATCH(A19,'AXYZ CNC Schedule'!A$7:A$100,0)),"#"&amp;MATCH(A19,'AXYZ CNC Schedule'!A$7:A$100,0)&amp;" on AXYZ",IF(_xlpm.stn&lt;&gt;"",_xlpm.stn,""))))))</f>
        <v>#4 on AXYZ</v>
      </c>
      <c r="J19" s="101">
        <f>IF(A19="","",IFERROR(VLOOKUP(A19,'Job Operations'!$A$4:$AA$304,16,FALSE),""))</f>
        <v>46108</v>
      </c>
      <c r="K19" s="100" t="str">
        <f>IF(A19="","",IFERROR(VLOOKUP(A19,'Job Operations'!$A$4:$AA$304,17,FALSE),""))</f>
        <v>Fab</v>
      </c>
      <c r="L19" s="126" t="str">
        <f>IF(A19="","",IF(IFERROR(VLOOKUP(A19,Notes!A:B,2,FALSE),"")=0,"",VLOOKUP(A19,Notes!A:B,2,FALSE)))</f>
        <v>04/16/2026…LO Check</v>
      </c>
    </row>
    <row r="20" spans="1:12" x14ac:dyDescent="0.25">
      <c r="A20" s="103" t="str">
        <v>25022-RM01</v>
      </c>
      <c r="B20" s="104" t="str">
        <f>IF(A20="","",IFERROR(VLOOKUP(A20,'Job Operations'!$A$4:$AA$304,2,FALSE),""))</f>
        <v>Vantage VA15</v>
      </c>
      <c r="C20" s="105" t="str">
        <f>IF(A20="","",IFERROR(VLOOKUP(A20,'Job Operations'!$A$4:$AA$304,3,FALSE),""))</f>
        <v>Thomas Mooers</v>
      </c>
      <c r="D20" s="105">
        <f>IF(A20="","",IFERROR(VLOOKUP(A20,'Job Operations'!$A$4:$AA$304,5,FALSE),""))</f>
        <v>4</v>
      </c>
      <c r="E20" s="105">
        <f>IF(A20="","",IFERROR(VLOOKUP(A20,'Job Operations'!$A$4:$AA$304,6,FALSE),""))</f>
        <v>4</v>
      </c>
      <c r="F20" s="105" t="str">
        <f>IF(A20="","",IFERROR(VLOOKUP(A20,'Job Operations'!$A$4:$AA$304,7,FALSE),""))</f>
        <v>FR ACM</v>
      </c>
      <c r="G20" s="106">
        <f>IF(A20="","",IFERROR(VLOOKUP(A20,'Job Operations'!$A$4:$AA$304,9,FALSE),""))</f>
        <v>46135</v>
      </c>
      <c r="H20" s="105" t="str" cm="1">
        <f t="array" ref="H20">IF(A20="","",_xlfn.LET(_xlpm.stn,IFERROR(VLOOKUP(A20,'Job Operations'!$A$4:$AA$304,12,FALSE),""),IF(_xlpm.stn="Clean and Brake",_xlfn.LET(_xlpm.pos,SUMPRODUCT((A$7:A20&lt;&gt;"")*(IFERROR(VLOOKUP(A$7:A20,'Job Operations'!$A$4:$AA$304,12,FALSE),"")="Clean and Brake")),_xlpm.sfx,IF(OR(_xlpm.pos=11,_xlpm.pos=12,_xlpm.pos=13),"th",IF(MOD(_xlpm.pos,10)=1,"st",IF(MOD(_xlpm.pos,10)=2,"nd",IF(MOD(_xlpm.pos,10)=3,"rd","th")))),_xlpm.pos&amp;_xlpm.sfx),IF(_xlpm.stn&lt;&gt;"",_xlpm.stn,""))))</f>
        <v>AXYZ 34</v>
      </c>
      <c r="I20" s="105" t="str" cm="1">
        <f t="array" ref="I20">IF(A20="","",_xlfn.LET(_xlpm.stn,IFERROR(VLOOKUP(A20,'Job Operations'!$A$4:$AA$304,12,FALSE),""),IF(_xlpm.stn="Clean and Brake",_xlfn.LET(_xlpm.pos,SUMPRODUCT((A$7:A20&lt;&gt;"")*(IFERROR(VLOOKUP(A$7:A20,'Job Operations'!$A$4:$AA$304,12,FALSE),"")="Clean and Brake")),_xlpm.sfx,IF(OR(_xlpm.pos=11,_xlpm.pos=12,_xlpm.pos=13),"th",IF(MOD(_xlpm.pos,10)=1,"st",IF(MOD(_xlpm.pos,10)=2,"nd",IF(MOD(_xlpm.pos,10)=3,"rd","th")))),_xlpm.pos&amp;_xlpm.sfx),IF(ISNUMBER(MATCH(A20,'AXYZ Titans CNC Schedule'!A$7:A$100,0)),"#"&amp;MATCH(A20,'AXYZ Titans CNC Schedule'!A$7:A$100,0)&amp;" on Titans",IF(ISNUMBER(MATCH(A20,'AXYZ CNC Schedule'!A$7:A$100,0)),"#"&amp;MATCH(A20,'AXYZ CNC Schedule'!A$7:A$100,0)&amp;" on AXYZ",IF(_xlpm.stn&lt;&gt;"",_xlpm.stn,""))))))</f>
        <v>#6 on Titans</v>
      </c>
      <c r="J20" s="106">
        <f>IF(A20="","",IFERROR(VLOOKUP(A20,'Job Operations'!$A$4:$AA$304,16,FALSE),""))</f>
        <v>46112</v>
      </c>
      <c r="K20" s="105" t="str">
        <f>IF(A20="","",IFERROR(VLOOKUP(A20,'Job Operations'!$A$4:$AA$304,17,FALSE),""))</f>
        <v>Fab</v>
      </c>
      <c r="L20" s="125" t="str">
        <f>IF(A20="","",IF(IFERROR(VLOOKUP(A20,Notes!A:B,2,FALSE),"")=0,"",VLOOKUP(A20,Notes!A:B,2,FALSE)))</f>
        <v>04/16/2026…AXYZ 34</v>
      </c>
    </row>
    <row r="21" spans="1:12" x14ac:dyDescent="0.25">
      <c r="A21" s="98" t="str">
        <v>25022-RM02</v>
      </c>
      <c r="B21" s="99" t="str">
        <f>IF(A21="","",IFERROR(VLOOKUP(A21,'Job Operations'!$A$4:$AA$304,2,FALSE),""))</f>
        <v>Vantage VA15</v>
      </c>
      <c r="C21" s="100" t="str">
        <f>IF(A21="","",IFERROR(VLOOKUP(A21,'Job Operations'!$A$4:$AA$304,3,FALSE),""))</f>
        <v>Thomas Mooers</v>
      </c>
      <c r="D21" s="100">
        <f>IF(A21="","",IFERROR(VLOOKUP(A21,'Job Operations'!$A$4:$AA$304,5,FALSE),""))</f>
        <v>1</v>
      </c>
      <c r="E21" s="100">
        <f>IF(A21="","",IFERROR(VLOOKUP(A21,'Job Operations'!$A$4:$AA$304,6,FALSE),""))</f>
        <v>1</v>
      </c>
      <c r="F21" s="100" t="str">
        <f>IF(A21="","",IFERROR(VLOOKUP(A21,'Job Operations'!$A$4:$AA$304,7,FALSE),""))</f>
        <v>FR ACM</v>
      </c>
      <c r="G21" s="101">
        <f>IF(A21="","",IFERROR(VLOOKUP(A21,'Job Operations'!$A$4:$AA$304,9,FALSE),""))</f>
        <v>46135</v>
      </c>
      <c r="H21" s="100" t="str" cm="1">
        <f t="array" ref="H21">IF(A21="","",_xlfn.LET(_xlpm.stn,IFERROR(VLOOKUP(A21,'Job Operations'!$A$4:$AA$304,12,FALSE),""),IF(_xlpm.stn="Clean and Brake",_xlfn.LET(_xlpm.pos,SUMPRODUCT((A$7:A21&lt;&gt;"")*(IFERROR(VLOOKUP(A$7:A21,'Job Operations'!$A$4:$AA$304,12,FALSE),"")="Clean and Brake")),_xlpm.sfx,IF(OR(_xlpm.pos=11,_xlpm.pos=12,_xlpm.pos=13),"th",IF(MOD(_xlpm.pos,10)=1,"st",IF(MOD(_xlpm.pos,10)=2,"nd",IF(MOD(_xlpm.pos,10)=3,"rd","th")))),_xlpm.pos&amp;_xlpm.sfx),IF(_xlpm.stn&lt;&gt;"",_xlpm.stn,""))))</f>
        <v>AXYZ 34</v>
      </c>
      <c r="I21" s="100" t="str" cm="1">
        <f t="array" ref="I21">IF(A21="","",_xlfn.LET(_xlpm.stn,IFERROR(VLOOKUP(A21,'Job Operations'!$A$4:$AA$304,12,FALSE),""),IF(_xlpm.stn="Clean and Brake",_xlfn.LET(_xlpm.pos,SUMPRODUCT((A$7:A21&lt;&gt;"")*(IFERROR(VLOOKUP(A$7:A21,'Job Operations'!$A$4:$AA$304,12,FALSE),"")="Clean and Brake")),_xlpm.sfx,IF(OR(_xlpm.pos=11,_xlpm.pos=12,_xlpm.pos=13),"th",IF(MOD(_xlpm.pos,10)=1,"st",IF(MOD(_xlpm.pos,10)=2,"nd",IF(MOD(_xlpm.pos,10)=3,"rd","th")))),_xlpm.pos&amp;_xlpm.sfx),IF(ISNUMBER(MATCH(A21,'AXYZ Titans CNC Schedule'!A$7:A$100,0)),"#"&amp;MATCH(A21,'AXYZ Titans CNC Schedule'!A$7:A$100,0)&amp;" on Titans",IF(ISNUMBER(MATCH(A21,'AXYZ CNC Schedule'!A$7:A$100,0)),"#"&amp;MATCH(A21,'AXYZ CNC Schedule'!A$7:A$100,0)&amp;" on AXYZ",IF(_xlpm.stn&lt;&gt;"",_xlpm.stn,""))))))</f>
        <v>#7 on Titans</v>
      </c>
      <c r="J21" s="101">
        <f>IF(A21="","",IFERROR(VLOOKUP(A21,'Job Operations'!$A$4:$AA$304,16,FALSE),""))</f>
        <v>46112</v>
      </c>
      <c r="K21" s="100" t="str">
        <f>IF(A21="","",IFERROR(VLOOKUP(A21,'Job Operations'!$A$4:$AA$304,17,FALSE),""))</f>
        <v>Fab</v>
      </c>
      <c r="L21" s="126" t="str">
        <f>IF(A21="","",IF(IFERROR(VLOOKUP(A21,Notes!A:B,2,FALSE),"")=0,"",VLOOKUP(A21,Notes!A:B,2,FALSE)))</f>
        <v>04/16/2026…AXYZ 34</v>
      </c>
    </row>
    <row r="22" spans="1:12" x14ac:dyDescent="0.25">
      <c r="A22" s="103" t="str">
        <v>25059-RM05</v>
      </c>
      <c r="B22" s="104" t="str">
        <f>IF(A22="","",IFERROR(VLOOKUP(A22,'Job Operations'!$A$4:$AA$304,2,FALSE),""))</f>
        <v>Allen Samuels CDJR and LC</v>
      </c>
      <c r="C22" s="105" t="str">
        <f>IF(A22="","",IFERROR(VLOOKUP(A22,'Job Operations'!$A$4:$AA$304,3,FALSE),""))</f>
        <v>Andre Van Der Merwe</v>
      </c>
      <c r="D22" s="105">
        <f>IF(A22="","",IFERROR(VLOOKUP(A22,'Job Operations'!$A$4:$AA$304,5,FALSE),""))</f>
        <v>1</v>
      </c>
      <c r="E22" s="105">
        <f>IF(A22="","",IFERROR(VLOOKUP(A22,'Job Operations'!$A$4:$AA$304,6,FALSE),""))</f>
        <v>1</v>
      </c>
      <c r="F22" s="105" t="str">
        <f>IF(A22="","",IFERROR(VLOOKUP(A22,'Job Operations'!$A$4:$AA$304,7,FALSE),""))</f>
        <v>FR ACM</v>
      </c>
      <c r="G22" s="106">
        <f>IF(A22="","",IFERROR(VLOOKUP(A22,'Job Operations'!$A$4:$AA$304,9,FALSE),""))</f>
        <v>46135</v>
      </c>
      <c r="H22" s="105" t="str" cm="1">
        <f t="array" ref="H22">IF(A22="","",_xlfn.LET(_xlpm.stn,IFERROR(VLOOKUP(A22,'Job Operations'!$A$4:$AA$304,12,FALSE),""),IF(_xlpm.stn="Clean and Brake",_xlfn.LET(_xlpm.pos,SUMPRODUCT((A$7:A22&lt;&gt;"")*(IFERROR(VLOOKUP(A$7:A22,'Job Operations'!$A$4:$AA$304,12,FALSE),"")="Clean and Brake")),_xlpm.sfx,IF(OR(_xlpm.pos=11,_xlpm.pos=12,_xlpm.pos=13),"th",IF(MOD(_xlpm.pos,10)=1,"st",IF(MOD(_xlpm.pos,10)=2,"nd",IF(MOD(_xlpm.pos,10)=3,"rd","th")))),_xlpm.pos&amp;_xlpm.sfx),IF(_xlpm.stn&lt;&gt;"",_xlpm.stn,""))))</f>
        <v>CNC Programming</v>
      </c>
      <c r="I22" s="105" t="str" cm="1">
        <f t="array" ref="I22">IF(A22="","",_xlfn.LET(_xlpm.stn,IFERROR(VLOOKUP(A22,'Job Operations'!$A$4:$AA$304,12,FALSE),""),IF(_xlpm.stn="Clean and Brake",_xlfn.LET(_xlpm.pos,SUMPRODUCT((A$7:A22&lt;&gt;"")*(IFERROR(VLOOKUP(A$7:A22,'Job Operations'!$A$4:$AA$304,12,FALSE),"")="Clean and Brake")),_xlpm.sfx,IF(OR(_xlpm.pos=11,_xlpm.pos=12,_xlpm.pos=13),"th",IF(MOD(_xlpm.pos,10)=1,"st",IF(MOD(_xlpm.pos,10)=2,"nd",IF(MOD(_xlpm.pos,10)=3,"rd","th")))),_xlpm.pos&amp;_xlpm.sfx),IF(ISNUMBER(MATCH(A22,'AXYZ Titans CNC Schedule'!A$7:A$100,0)),"#"&amp;MATCH(A22,'AXYZ Titans CNC Schedule'!A$7:A$100,0)&amp;" on Titans",IF(ISNUMBER(MATCH(A22,'AXYZ CNC Schedule'!A$7:A$100,0)),"#"&amp;MATCH(A22,'AXYZ CNC Schedule'!A$7:A$100,0)&amp;" on AXYZ",IF(_xlpm.stn&lt;&gt;"",_xlpm.stn,""))))))</f>
        <v>#9 on AXYZ</v>
      </c>
      <c r="J22" s="106">
        <f>IF(A22="","",IFERROR(VLOOKUP(A22,'Job Operations'!$A$4:$AA$304,16,FALSE),""))</f>
        <v>46112</v>
      </c>
      <c r="K22" s="105" t="str">
        <f>IF(A22="","",IFERROR(VLOOKUP(A22,'Job Operations'!$A$4:$AA$304,17,FALSE),""))</f>
        <v>Fab</v>
      </c>
      <c r="L22" s="125" t="str">
        <f>IF(A22="","",IF(IFERROR(VLOOKUP(A22,Notes!A:B,2,FALSE),"")=0,"",VLOOKUP(A22,Notes!A:B,2,FALSE)))</f>
        <v>04/16/2026…CNC Programming</v>
      </c>
    </row>
    <row r="23" spans="1:12" x14ac:dyDescent="0.25">
      <c r="A23" s="98" t="str">
        <v>25012-MU07</v>
      </c>
      <c r="B23" s="99" t="str">
        <f>IF(A23="","",IFERROR(VLOOKUP(A23,'Job Operations'!$A$4:$AA$304,2,FALSE),""))</f>
        <v>St Jude Hospital</v>
      </c>
      <c r="C23" s="100" t="str">
        <f>IF(A23="","",IFERROR(VLOOKUP(A23,'Job Operations'!$A$4:$AA$304,3,FALSE),""))</f>
        <v>Wylie McDougall</v>
      </c>
      <c r="D23" s="100">
        <f>IF(A23="","",IFERROR(VLOOKUP(A23,'Job Operations'!$A$4:$AA$304,5,FALSE),""))</f>
        <v>8</v>
      </c>
      <c r="E23" s="100">
        <f>IF(A23="","",IFERROR(VLOOKUP(A23,'Job Operations'!$A$4:$AA$304,6,FALSE),""))</f>
        <v>8</v>
      </c>
      <c r="F23" s="100" t="str">
        <f>IF(A23="","",IFERROR(VLOOKUP(A23,'Job Operations'!$A$4:$AA$304,7,FALSE),""))</f>
        <v>FR ACM</v>
      </c>
      <c r="G23" s="101">
        <f>IF(A23="","",IFERROR(VLOOKUP(A23,'Job Operations'!$A$4:$AA$304,9,FALSE),""))</f>
        <v>46126</v>
      </c>
      <c r="H23" s="100" t="str" cm="1">
        <f t="array" ref="H23">IF(A23="","",_xlfn.LET(_xlpm.stn,IFERROR(VLOOKUP(A23,'Job Operations'!$A$4:$AA$304,12,FALSE),""),IF(_xlpm.stn="Clean and Brake",_xlfn.LET(_xlpm.pos,SUMPRODUCT((A$7:A23&lt;&gt;"")*(IFERROR(VLOOKUP(A$7:A23,'Job Operations'!$A$4:$AA$304,12,FALSE),"")="Clean and Brake")),_xlpm.sfx,IF(OR(_xlpm.pos=11,_xlpm.pos=12,_xlpm.pos=13),"th",IF(MOD(_xlpm.pos,10)=1,"st",IF(MOD(_xlpm.pos,10)=2,"nd",IF(MOD(_xlpm.pos,10)=3,"rd","th")))),_xlpm.pos&amp;_xlpm.sfx),IF(_xlpm.stn&lt;&gt;"",_xlpm.stn,""))))</f>
        <v>5th</v>
      </c>
      <c r="I23" s="100" t="str" cm="1">
        <f t="array" ref="I23">IF(A23="","",_xlfn.LET(_xlpm.stn,IFERROR(VLOOKUP(A23,'Job Operations'!$A$4:$AA$304,12,FALSE),""),IF(_xlpm.stn="Clean and Brake",_xlfn.LET(_xlpm.pos,SUMPRODUCT((A$7:A23&lt;&gt;"")*(IFERROR(VLOOKUP(A$7:A23,'Job Operations'!$A$4:$AA$304,12,FALSE),"")="Clean and Brake")),_xlpm.sfx,IF(OR(_xlpm.pos=11,_xlpm.pos=12,_xlpm.pos=13),"th",IF(MOD(_xlpm.pos,10)=1,"st",IF(MOD(_xlpm.pos,10)=2,"nd",IF(MOD(_xlpm.pos,10)=3,"rd","th")))),_xlpm.pos&amp;_xlpm.sfx),IF(ISNUMBER(MATCH(A23,'AXYZ Titans CNC Schedule'!A$7:A$100,0)),"#"&amp;MATCH(A23,'AXYZ Titans CNC Schedule'!A$7:A$100,0)&amp;" on Titans",IF(ISNUMBER(MATCH(A23,'AXYZ CNC Schedule'!A$7:A$100,0)),"#"&amp;MATCH(A23,'AXYZ CNC Schedule'!A$7:A$100,0)&amp;" on AXYZ",IF(_xlpm.stn&lt;&gt;"",_xlpm.stn,""))))))</f>
        <v>5th</v>
      </c>
      <c r="J23" s="101">
        <f>IF(A23="","",IFERROR(VLOOKUP(A23,'Job Operations'!$A$4:$AA$304,16,FALSE),""))</f>
        <v>46113</v>
      </c>
      <c r="K23" s="100" t="str">
        <f>IF(A23="","",IFERROR(VLOOKUP(A23,'Job Operations'!$A$4:$AA$304,17,FALSE),""))</f>
        <v/>
      </c>
      <c r="L23" s="126" t="str">
        <f>IF(A23="","",IF(IFERROR(VLOOKUP(A23,Notes!A:B,2,FALSE),"")=0,"",VLOOKUP(A23,Notes!A:B,2,FALSE)))</f>
        <v>04/16/2026…Clean and Brake</v>
      </c>
    </row>
    <row r="24" spans="1:12" x14ac:dyDescent="0.25">
      <c r="A24" s="103" t="str">
        <v>25030-FS01</v>
      </c>
      <c r="B24" s="104" t="str">
        <f>IF(A24="","",IFERROR(VLOOKUP(A24,'Job Operations'!$A$4:$AA$304,2,FALSE),""))</f>
        <v>510 W Tremont</v>
      </c>
      <c r="C24" s="105" t="str">
        <f>IF(A24="","",IFERROR(VLOOKUP(A24,'Job Operations'!$A$4:$AA$304,3,FALSE),""))</f>
        <v>Laura Forero</v>
      </c>
      <c r="D24" s="105">
        <f>IF(A24="","",IFERROR(VLOOKUP(A24,'Job Operations'!$A$4:$AA$304,5,FALSE),""))</f>
        <v>88</v>
      </c>
      <c r="E24" s="105">
        <f>IF(A24="","",IFERROR(VLOOKUP(A24,'Job Operations'!$A$4:$AA$304,6,FALSE),""))</f>
        <v>0</v>
      </c>
      <c r="F24" s="105" t="str">
        <f>IF(A24="","",IFERROR(VLOOKUP(A24,'Job Operations'!$A$4:$AA$304,7,FALSE),""))</f>
        <v>FR ACM</v>
      </c>
      <c r="G24" s="106">
        <f>IF(A24="","",IFERROR(VLOOKUP(A24,'Job Operations'!$A$4:$AA$304,9,FALSE),""))</f>
        <v>46136</v>
      </c>
      <c r="H24" s="105" t="str" cm="1">
        <f t="array" ref="H24">IF(A24="","",_xlfn.LET(_xlpm.stn,IFERROR(VLOOKUP(A24,'Job Operations'!$A$4:$AA$304,12,FALSE),""),IF(_xlpm.stn="Clean and Brake",_xlfn.LET(_xlpm.pos,SUMPRODUCT((A$7:A24&lt;&gt;"")*(IFERROR(VLOOKUP(A$7:A24,'Job Operations'!$A$4:$AA$304,12,FALSE),"")="Clean and Brake")),_xlpm.sfx,IF(OR(_xlpm.pos=11,_xlpm.pos=12,_xlpm.pos=13),"th",IF(MOD(_xlpm.pos,10)=1,"st",IF(MOD(_xlpm.pos,10)=2,"nd",IF(MOD(_xlpm.pos,10)=3,"rd","th")))),_xlpm.pos&amp;_xlpm.sfx),IF(_xlpm.stn&lt;&gt;"",_xlpm.stn,""))))</f>
        <v>Correction</v>
      </c>
      <c r="I24" s="105" t="str" cm="1">
        <f t="array" ref="I24">IF(A24="","",_xlfn.LET(_xlpm.stn,IFERROR(VLOOKUP(A24,'Job Operations'!$A$4:$AA$304,12,FALSE),""),IF(_xlpm.stn="Clean and Brake",_xlfn.LET(_xlpm.pos,SUMPRODUCT((A$7:A24&lt;&gt;"")*(IFERROR(VLOOKUP(A$7:A24,'Job Operations'!$A$4:$AA$304,12,FALSE),"")="Clean and Brake")),_xlpm.sfx,IF(OR(_xlpm.pos=11,_xlpm.pos=12,_xlpm.pos=13),"th",IF(MOD(_xlpm.pos,10)=1,"st",IF(MOD(_xlpm.pos,10)=2,"nd",IF(MOD(_xlpm.pos,10)=3,"rd","th")))),_xlpm.pos&amp;_xlpm.sfx),IF(ISNUMBER(MATCH(A24,'AXYZ Titans CNC Schedule'!A$7:A$100,0)),"#"&amp;MATCH(A24,'AXYZ Titans CNC Schedule'!A$7:A$100,0)&amp;" on Titans",IF(ISNUMBER(MATCH(A24,'AXYZ CNC Schedule'!A$7:A$100,0)),"#"&amp;MATCH(A24,'AXYZ CNC Schedule'!A$7:A$100,0)&amp;" on AXYZ",IF(_xlpm.stn&lt;&gt;"",_xlpm.stn,""))))))</f>
        <v>#10 on AXYZ</v>
      </c>
      <c r="J24" s="106">
        <f>IF(A24="","",IFERROR(VLOOKUP(A24,'Job Operations'!$A$4:$AA$304,16,FALSE),""))</f>
        <v>46113</v>
      </c>
      <c r="K24" s="105" t="str">
        <f>IF(A24="","",IFERROR(VLOOKUP(A24,'Job Operations'!$A$4:$AA$304,17,FALSE),""))</f>
        <v>Fab</v>
      </c>
      <c r="L24" s="125" t="str">
        <f>IF(A24="","",IF(IFERROR(VLOOKUP(A24,Notes!A:B,2,FALSE),"")=0,"",VLOOKUP(A24,Notes!A:B,2,FALSE)))</f>
        <v>04/16/2026…Correction</v>
      </c>
    </row>
    <row r="25" spans="1:12" x14ac:dyDescent="0.25">
      <c r="A25" s="98" t="str">
        <v>25030-FS02</v>
      </c>
      <c r="B25" s="99" t="str">
        <f>IF(A25="","",IFERROR(VLOOKUP(A25,'Job Operations'!$A$4:$AA$304,2,FALSE),""))</f>
        <v>510 W Tremont</v>
      </c>
      <c r="C25" s="100" t="str">
        <f>IF(A25="","",IFERROR(VLOOKUP(A25,'Job Operations'!$A$4:$AA$304,3,FALSE),""))</f>
        <v>Laura Forero</v>
      </c>
      <c r="D25" s="100">
        <f>IF(A25="","",IFERROR(VLOOKUP(A25,'Job Operations'!$A$4:$AA$304,5,FALSE),""))</f>
        <v>84</v>
      </c>
      <c r="E25" s="100">
        <f>IF(A25="","",IFERROR(VLOOKUP(A25,'Job Operations'!$A$4:$AA$304,6,FALSE),""))</f>
        <v>0</v>
      </c>
      <c r="F25" s="100" t="str">
        <f>IF(A25="","",IFERROR(VLOOKUP(A25,'Job Operations'!$A$4:$AA$304,7,FALSE),""))</f>
        <v>FR ACM</v>
      </c>
      <c r="G25" s="101">
        <f>IF(A25="","",IFERROR(VLOOKUP(A25,'Job Operations'!$A$4:$AA$304,9,FALSE),""))</f>
        <v>46136</v>
      </c>
      <c r="H25" s="100" t="str" cm="1">
        <f t="array" ref="H25">IF(A25="","",_xlfn.LET(_xlpm.stn,IFERROR(VLOOKUP(A25,'Job Operations'!$A$4:$AA$304,12,FALSE),""),IF(_xlpm.stn="Clean and Brake",_xlfn.LET(_xlpm.pos,SUMPRODUCT((A$7:A25&lt;&gt;"")*(IFERROR(VLOOKUP(A$7:A25,'Job Operations'!$A$4:$AA$304,12,FALSE),"")="Clean and Brake")),_xlpm.sfx,IF(OR(_xlpm.pos=11,_xlpm.pos=12,_xlpm.pos=13),"th",IF(MOD(_xlpm.pos,10)=1,"st",IF(MOD(_xlpm.pos,10)=2,"nd",IF(MOD(_xlpm.pos,10)=3,"rd","th")))),_xlpm.pos&amp;_xlpm.sfx),IF(_xlpm.stn&lt;&gt;"",_xlpm.stn,""))))</f>
        <v>Sketch</v>
      </c>
      <c r="I25" s="100" t="str" cm="1">
        <f t="array" ref="I25">IF(A25="","",_xlfn.LET(_xlpm.stn,IFERROR(VLOOKUP(A25,'Job Operations'!$A$4:$AA$304,12,FALSE),""),IF(_xlpm.stn="Clean and Brake",_xlfn.LET(_xlpm.pos,SUMPRODUCT((A$7:A25&lt;&gt;"")*(IFERROR(VLOOKUP(A$7:A25,'Job Operations'!$A$4:$AA$304,12,FALSE),"")="Clean and Brake")),_xlpm.sfx,IF(OR(_xlpm.pos=11,_xlpm.pos=12,_xlpm.pos=13),"th",IF(MOD(_xlpm.pos,10)=1,"st",IF(MOD(_xlpm.pos,10)=2,"nd",IF(MOD(_xlpm.pos,10)=3,"rd","th")))),_xlpm.pos&amp;_xlpm.sfx),IF(ISNUMBER(MATCH(A25,'AXYZ Titans CNC Schedule'!A$7:A$100,0)),"#"&amp;MATCH(A25,'AXYZ Titans CNC Schedule'!A$7:A$100,0)&amp;" on Titans",IF(ISNUMBER(MATCH(A25,'AXYZ CNC Schedule'!A$7:A$100,0)),"#"&amp;MATCH(A25,'AXYZ CNC Schedule'!A$7:A$100,0)&amp;" on AXYZ",IF(_xlpm.stn&lt;&gt;"",_xlpm.stn,""))))))</f>
        <v>#11 on AXYZ</v>
      </c>
      <c r="J25" s="101">
        <f>IF(A25="","",IFERROR(VLOOKUP(A25,'Job Operations'!$A$4:$AA$304,16,FALSE),""))</f>
        <v>46113</v>
      </c>
      <c r="K25" s="100" t="str">
        <f>IF(A25="","",IFERROR(VLOOKUP(A25,'Job Operations'!$A$4:$AA$304,17,FALSE),""))</f>
        <v>Fab</v>
      </c>
      <c r="L25" s="126" t="str">
        <f>IF(A25="","",IF(IFERROR(VLOOKUP(A25,Notes!A:B,2,FALSE),"")=0,"",VLOOKUP(A25,Notes!A:B,2,FALSE)))</f>
        <v>04/16/2026…Sketch</v>
      </c>
    </row>
    <row r="26" spans="1:12" x14ac:dyDescent="0.25">
      <c r="A26" s="103" t="str">
        <v>24051-FS90</v>
      </c>
      <c r="B26" s="104" t="str">
        <f>IF(A26="","",IFERROR(VLOOKUP(A26,'Job Operations'!$A$4:$AA$304,2,FALSE),""))</f>
        <v>TN Titans Stadium</v>
      </c>
      <c r="C26" s="105" t="str">
        <f>IF(A26="","",IFERROR(VLOOKUP(A26,'Job Operations'!$A$4:$AA$304,3,FALSE),""))</f>
        <v>Marc Ribar</v>
      </c>
      <c r="D26" s="105">
        <f>IF(A26="","",IFERROR(VLOOKUP(A26,'Job Operations'!$A$4:$AA$304,5,FALSE),""))</f>
        <v>117</v>
      </c>
      <c r="E26" s="105">
        <f>IF(A26="","",IFERROR(VLOOKUP(A26,'Job Operations'!$A$4:$AA$304,6,FALSE),""))</f>
        <v>0</v>
      </c>
      <c r="F26" s="105" t="str">
        <f>IF(A26="","",IFERROR(VLOOKUP(A26,'Job Operations'!$A$4:$AA$304,7,FALSE),""))</f>
        <v>FR ACM</v>
      </c>
      <c r="G26" s="106">
        <f>IF(A26="","",IFERROR(VLOOKUP(A26,'Job Operations'!$A$4:$AA$304,9,FALSE),""))</f>
        <v>46136</v>
      </c>
      <c r="H26" s="105" t="str" cm="1">
        <f t="array" ref="H26">IF(A26="","",_xlfn.LET(_xlpm.stn,IFERROR(VLOOKUP(A26,'Job Operations'!$A$4:$AA$304,12,FALSE),""),IF(_xlpm.stn="Clean and Brake",_xlfn.LET(_xlpm.pos,SUMPRODUCT((A$7:A26&lt;&gt;"")*(IFERROR(VLOOKUP(A$7:A26,'Job Operations'!$A$4:$AA$304,12,FALSE),"")="Clean and Brake")),_xlpm.sfx,IF(OR(_xlpm.pos=11,_xlpm.pos=12,_xlpm.pos=13),"th",IF(MOD(_xlpm.pos,10)=1,"st",IF(MOD(_xlpm.pos,10)=2,"nd",IF(MOD(_xlpm.pos,10)=3,"rd","th")))),_xlpm.pos&amp;_xlpm.sfx),IF(_xlpm.stn&lt;&gt;"",_xlpm.stn,""))))</f>
        <v>Float</v>
      </c>
      <c r="I26" s="105" t="str" cm="1">
        <f t="array" ref="I26">IF(A26="","",_xlfn.LET(_xlpm.stn,IFERROR(VLOOKUP(A26,'Job Operations'!$A$4:$AA$304,12,FALSE),""),IF(_xlpm.stn="Clean and Brake",_xlfn.LET(_xlpm.pos,SUMPRODUCT((A$7:A26&lt;&gt;"")*(IFERROR(VLOOKUP(A$7:A26,'Job Operations'!$A$4:$AA$304,12,FALSE),"")="Clean and Brake")),_xlpm.sfx,IF(OR(_xlpm.pos=11,_xlpm.pos=12,_xlpm.pos=13),"th",IF(MOD(_xlpm.pos,10)=1,"st",IF(MOD(_xlpm.pos,10)=2,"nd",IF(MOD(_xlpm.pos,10)=3,"rd","th")))),_xlpm.pos&amp;_xlpm.sfx),IF(ISNUMBER(MATCH(A26,'AXYZ Titans CNC Schedule'!A$7:A$100,0)),"#"&amp;MATCH(A26,'AXYZ Titans CNC Schedule'!A$7:A$100,0)&amp;" on Titans",IF(ISNUMBER(MATCH(A26,'AXYZ CNC Schedule'!A$7:A$100,0)),"#"&amp;MATCH(A26,'AXYZ CNC Schedule'!A$7:A$100,0)&amp;" on AXYZ",IF(_xlpm.stn&lt;&gt;"",_xlpm.stn,""))))))</f>
        <v>#5 on AXYZ</v>
      </c>
      <c r="J26" s="106">
        <f>IF(A26="","",IFERROR(VLOOKUP(A26,'Job Operations'!$A$4:$AA$304,16,FALSE),""))</f>
        <v>46113</v>
      </c>
      <c r="K26" s="105" t="str">
        <f>IF(A26="","",IFERROR(VLOOKUP(A26,'Job Operations'!$A$4:$AA$304,17,FALSE),""))</f>
        <v>Fab</v>
      </c>
      <c r="L26" s="125" t="str">
        <f>IF(A26="","",IF(IFERROR(VLOOKUP(A26,Notes!A:B,2,FALSE),"")=0,"",VLOOKUP(A26,Notes!A:B,2,FALSE)))</f>
        <v>04/16/2026…Float</v>
      </c>
    </row>
    <row r="27" spans="1:12" x14ac:dyDescent="0.25">
      <c r="A27" s="98" t="str">
        <v>24051-FS91</v>
      </c>
      <c r="B27" s="99" t="str">
        <f>IF(A27="","",IFERROR(VLOOKUP(A27,'Job Operations'!$A$4:$AA$304,2,FALSE),""))</f>
        <v>TN Titans Stadium</v>
      </c>
      <c r="C27" s="100" t="str">
        <f>IF(A27="","",IFERROR(VLOOKUP(A27,'Job Operations'!$A$4:$AA$304,3,FALSE),""))</f>
        <v>Marc Ribar</v>
      </c>
      <c r="D27" s="100">
        <f>IF(A27="","",IFERROR(VLOOKUP(A27,'Job Operations'!$A$4:$AA$304,5,FALSE),""))</f>
        <v>36</v>
      </c>
      <c r="E27" s="100">
        <f>IF(A27="","",IFERROR(VLOOKUP(A27,'Job Operations'!$A$4:$AA$304,6,FALSE),""))</f>
        <v>0</v>
      </c>
      <c r="F27" s="100" t="str">
        <f>IF(A27="","",IFERROR(VLOOKUP(A27,'Job Operations'!$A$4:$AA$304,7,FALSE),""))</f>
        <v>FR ACM</v>
      </c>
      <c r="G27" s="101">
        <f>IF(A27="","",IFERROR(VLOOKUP(A27,'Job Operations'!$A$4:$AA$304,9,FALSE),""))</f>
        <v>46136</v>
      </c>
      <c r="H27" s="100" t="str" cm="1">
        <f t="array" ref="H27">IF(A27="","",_xlfn.LET(_xlpm.stn,IFERROR(VLOOKUP(A27,'Job Operations'!$A$4:$AA$304,12,FALSE),""),IF(_xlpm.stn="Clean and Brake",_xlfn.LET(_xlpm.pos,SUMPRODUCT((A$7:A27&lt;&gt;"")*(IFERROR(VLOOKUP(A$7:A27,'Job Operations'!$A$4:$AA$304,12,FALSE),"")="Clean and Brake")),_xlpm.sfx,IF(OR(_xlpm.pos=11,_xlpm.pos=12,_xlpm.pos=13),"th",IF(MOD(_xlpm.pos,10)=1,"st",IF(MOD(_xlpm.pos,10)=2,"nd",IF(MOD(_xlpm.pos,10)=3,"rd","th")))),_xlpm.pos&amp;_xlpm.sfx),IF(_xlpm.stn&lt;&gt;"",_xlpm.stn,""))))</f>
        <v>Float</v>
      </c>
      <c r="I27" s="100" t="str" cm="1">
        <f t="array" ref="I27">IF(A27="","",_xlfn.LET(_xlpm.stn,IFERROR(VLOOKUP(A27,'Job Operations'!$A$4:$AA$304,12,FALSE),""),IF(_xlpm.stn="Clean and Brake",_xlfn.LET(_xlpm.pos,SUMPRODUCT((A$7:A27&lt;&gt;"")*(IFERROR(VLOOKUP(A$7:A27,'Job Operations'!$A$4:$AA$304,12,FALSE),"")="Clean and Brake")),_xlpm.sfx,IF(OR(_xlpm.pos=11,_xlpm.pos=12,_xlpm.pos=13),"th",IF(MOD(_xlpm.pos,10)=1,"st",IF(MOD(_xlpm.pos,10)=2,"nd",IF(MOD(_xlpm.pos,10)=3,"rd","th")))),_xlpm.pos&amp;_xlpm.sfx),IF(ISNUMBER(MATCH(A27,'AXYZ Titans CNC Schedule'!A$7:A$100,0)),"#"&amp;MATCH(A27,'AXYZ Titans CNC Schedule'!A$7:A$100,0)&amp;" on Titans",IF(ISNUMBER(MATCH(A27,'AXYZ CNC Schedule'!A$7:A$100,0)),"#"&amp;MATCH(A27,'AXYZ CNC Schedule'!A$7:A$100,0)&amp;" on AXYZ",IF(_xlpm.stn&lt;&gt;"",_xlpm.stn,""))))))</f>
        <v>#12 on AXYZ</v>
      </c>
      <c r="J27" s="101">
        <f>IF(A27="","",IFERROR(VLOOKUP(A27,'Job Operations'!$A$4:$AA$304,16,FALSE),""))</f>
        <v>46113</v>
      </c>
      <c r="K27" s="100" t="str">
        <f>IF(A27="","",IFERROR(VLOOKUP(A27,'Job Operations'!$A$4:$AA$304,17,FALSE),""))</f>
        <v>Fab</v>
      </c>
      <c r="L27" s="126" t="str">
        <f>IF(A27="","",IF(IFERROR(VLOOKUP(A27,Notes!A:B,2,FALSE),"")=0,"",VLOOKUP(A27,Notes!A:B,2,FALSE)))</f>
        <v>04/16/2026…Float</v>
      </c>
    </row>
    <row r="28" spans="1:12" x14ac:dyDescent="0.25">
      <c r="A28" s="103" t="str">
        <v>24051-FS227</v>
      </c>
      <c r="B28" s="104" t="str">
        <f>IF(A28="","",IFERROR(VLOOKUP(A28,'Job Operations'!$A$4:$AA$304,2,FALSE),""))</f>
        <v>TN Titans Stadium</v>
      </c>
      <c r="C28" s="105" t="str">
        <f>IF(A28="","",IFERROR(VLOOKUP(A28,'Job Operations'!$A$4:$AA$304,3,FALSE),""))</f>
        <v>Marc Ribar</v>
      </c>
      <c r="D28" s="105">
        <f>IF(A28="","",IFERROR(VLOOKUP(A28,'Job Operations'!$A$4:$AA$304,5,FALSE),""))</f>
        <v>119</v>
      </c>
      <c r="E28" s="105">
        <f>IF(A28="","",IFERROR(VLOOKUP(A28,'Job Operations'!$A$4:$AA$304,6,FALSE),""))</f>
        <v>0</v>
      </c>
      <c r="F28" s="105" t="str">
        <f>IF(A28="","",IFERROR(VLOOKUP(A28,'Job Operations'!$A$4:$AA$304,7,FALSE),""))</f>
        <v>FR ACM</v>
      </c>
      <c r="G28" s="106">
        <f>IF(A28="","",IFERROR(VLOOKUP(A28,'Job Operations'!$A$4:$AA$304,9,FALSE),""))</f>
        <v>46136</v>
      </c>
      <c r="H28" s="105" t="str" cm="1">
        <f t="array" ref="H28">IF(A28="","",_xlfn.LET(_xlpm.stn,IFERROR(VLOOKUP(A28,'Job Operations'!$A$4:$AA$304,12,FALSE),""),IF(_xlpm.stn="Clean and Brake",_xlfn.LET(_xlpm.pos,SUMPRODUCT((A$7:A28&lt;&gt;"")*(IFERROR(VLOOKUP(A$7:A28,'Job Operations'!$A$4:$AA$304,12,FALSE),"")="Clean and Brake")),_xlpm.sfx,IF(OR(_xlpm.pos=11,_xlpm.pos=12,_xlpm.pos=13),"th",IF(MOD(_xlpm.pos,10)=1,"st",IF(MOD(_xlpm.pos,10)=2,"nd",IF(MOD(_xlpm.pos,10)=3,"rd","th")))),_xlpm.pos&amp;_xlpm.sfx),IF(_xlpm.stn&lt;&gt;"",_xlpm.stn,""))))</f>
        <v>Float</v>
      </c>
      <c r="I28" s="105" t="str" cm="1">
        <f t="array" ref="I28">IF(A28="","",_xlfn.LET(_xlpm.stn,IFERROR(VLOOKUP(A28,'Job Operations'!$A$4:$AA$304,12,FALSE),""),IF(_xlpm.stn="Clean and Brake",_xlfn.LET(_xlpm.pos,SUMPRODUCT((A$7:A28&lt;&gt;"")*(IFERROR(VLOOKUP(A$7:A28,'Job Operations'!$A$4:$AA$304,12,FALSE),"")="Clean and Brake")),_xlpm.sfx,IF(OR(_xlpm.pos=11,_xlpm.pos=12,_xlpm.pos=13),"th",IF(MOD(_xlpm.pos,10)=1,"st",IF(MOD(_xlpm.pos,10)=2,"nd",IF(MOD(_xlpm.pos,10)=3,"rd","th")))),_xlpm.pos&amp;_xlpm.sfx),IF(ISNUMBER(MATCH(A28,'AXYZ Titans CNC Schedule'!A$7:A$100,0)),"#"&amp;MATCH(A28,'AXYZ Titans CNC Schedule'!A$7:A$100,0)&amp;" on Titans",IF(ISNUMBER(MATCH(A28,'AXYZ CNC Schedule'!A$7:A$100,0)),"#"&amp;MATCH(A28,'AXYZ CNC Schedule'!A$7:A$100,0)&amp;" on AXYZ",IF(_xlpm.stn&lt;&gt;"",_xlpm.stn,""))))))</f>
        <v>#6 on AXYZ</v>
      </c>
      <c r="J28" s="106">
        <f>IF(A28="","",IFERROR(VLOOKUP(A28,'Job Operations'!$A$4:$AA$304,16,FALSE),""))</f>
        <v>46113</v>
      </c>
      <c r="K28" s="105" t="str">
        <f>IF(A28="","",IFERROR(VLOOKUP(A28,'Job Operations'!$A$4:$AA$304,17,FALSE),""))</f>
        <v>Fab</v>
      </c>
      <c r="L28" s="125" t="str">
        <f>IF(A28="","",IF(IFERROR(VLOOKUP(A28,Notes!A:B,2,FALSE),"")=0,"",VLOOKUP(A28,Notes!A:B,2,FALSE)))</f>
        <v>04/16/2026…Float</v>
      </c>
    </row>
    <row r="29" spans="1:12" x14ac:dyDescent="0.25">
      <c r="A29" s="98" t="str">
        <v>24079-RM01</v>
      </c>
      <c r="B29" s="99" t="str">
        <f>IF(A29="","",IFERROR(VLOOKUP(A29,'Job Operations'!$A$4:$AA$304,2,FALSE),""))</f>
        <v>Nashville Youth Campus</v>
      </c>
      <c r="C29" s="100" t="str">
        <f>IF(A29="","",IFERROR(VLOOKUP(A29,'Job Operations'!$A$4:$AA$304,3,FALSE),""))</f>
        <v>Joe Hoyle</v>
      </c>
      <c r="D29" s="100">
        <f>IF(A29="","",IFERROR(VLOOKUP(A29,'Job Operations'!$A$4:$AA$304,5,FALSE),""))</f>
        <v>37</v>
      </c>
      <c r="E29" s="100">
        <f>IF(A29="","",IFERROR(VLOOKUP(A29,'Job Operations'!$A$4:$AA$304,6,FALSE),""))</f>
        <v>39</v>
      </c>
      <c r="F29" s="100" t="str">
        <f>IF(A29="","",IFERROR(VLOOKUP(A29,'Job Operations'!$A$4:$AA$304,7,FALSE),""))</f>
        <v>FR ACM</v>
      </c>
      <c r="G29" s="101">
        <f>IF(A29="","",IFERROR(VLOOKUP(A29,'Job Operations'!$A$4:$AA$304,9,FALSE),""))</f>
        <v>46136</v>
      </c>
      <c r="H29" s="100" t="str" cm="1">
        <f t="array" ref="H29">IF(A29="","",_xlfn.LET(_xlpm.stn,IFERROR(VLOOKUP(A29,'Job Operations'!$A$4:$AA$304,12,FALSE),""),IF(_xlpm.stn="Clean and Brake",_xlfn.LET(_xlpm.pos,SUMPRODUCT((A$7:A29&lt;&gt;"")*(IFERROR(VLOOKUP(A$7:A29,'Job Operations'!$A$4:$AA$304,12,FALSE),"")="Clean and Brake")),_xlpm.sfx,IF(OR(_xlpm.pos=11,_xlpm.pos=12,_xlpm.pos=13),"th",IF(MOD(_xlpm.pos,10)=1,"st",IF(MOD(_xlpm.pos,10)=2,"nd",IF(MOD(_xlpm.pos,10)=3,"rd","th")))),_xlpm.pos&amp;_xlpm.sfx),IF(_xlpm.stn&lt;&gt;"",_xlpm.stn,""))))</f>
        <v>Sketch</v>
      </c>
      <c r="I29" s="100" t="str" cm="1">
        <f t="array" ref="I29">IF(A29="","",_xlfn.LET(_xlpm.stn,IFERROR(VLOOKUP(A29,'Job Operations'!$A$4:$AA$304,12,FALSE),""),IF(_xlpm.stn="Clean and Brake",_xlfn.LET(_xlpm.pos,SUMPRODUCT((A$7:A29&lt;&gt;"")*(IFERROR(VLOOKUP(A$7:A29,'Job Operations'!$A$4:$AA$304,12,FALSE),"")="Clean and Brake")),_xlpm.sfx,IF(OR(_xlpm.pos=11,_xlpm.pos=12,_xlpm.pos=13),"th",IF(MOD(_xlpm.pos,10)=1,"st",IF(MOD(_xlpm.pos,10)=2,"nd",IF(MOD(_xlpm.pos,10)=3,"rd","th")))),_xlpm.pos&amp;_xlpm.sfx),IF(ISNUMBER(MATCH(A29,'AXYZ Titans CNC Schedule'!A$7:A$100,0)),"#"&amp;MATCH(A29,'AXYZ Titans CNC Schedule'!A$7:A$100,0)&amp;" on Titans",IF(ISNUMBER(MATCH(A29,'AXYZ CNC Schedule'!A$7:A$100,0)),"#"&amp;MATCH(A29,'AXYZ CNC Schedule'!A$7:A$100,0)&amp;" on AXYZ",IF(_xlpm.stn&lt;&gt;"",_xlpm.stn,""))))))</f>
        <v>#13 on AXYZ</v>
      </c>
      <c r="J29" s="101">
        <f>IF(A29="","",IFERROR(VLOOKUP(A29,'Job Operations'!$A$4:$AA$304,16,FALSE),""))</f>
        <v>46113</v>
      </c>
      <c r="K29" s="100" t="str">
        <f>IF(A29="","",IFERROR(VLOOKUP(A29,'Job Operations'!$A$4:$AA$304,17,FALSE),""))</f>
        <v>Fab</v>
      </c>
      <c r="L29" s="126" t="str">
        <f>IF(A29="","",IF(IFERROR(VLOOKUP(A29,Notes!A:B,2,FALSE),"")=0,"",VLOOKUP(A29,Notes!A:B,2,FALSE)))</f>
        <v>04/16/2026…Sketch</v>
      </c>
    </row>
    <row r="30" spans="1:12" x14ac:dyDescent="0.25">
      <c r="A30" s="103" t="str">
        <v>24026-FS01</v>
      </c>
      <c r="B30" s="104" t="str">
        <f>IF(A30="","",IFERROR(VLOOKUP(A30,'Job Operations'!$A$4:$AA$304,2,FALSE),""))</f>
        <v>1740 Division</v>
      </c>
      <c r="C30" s="105" t="str">
        <f>IF(A30="","",IFERROR(VLOOKUP(A30,'Job Operations'!$A$4:$AA$304,3,FALSE),""))</f>
        <v>Chris Buttrey</v>
      </c>
      <c r="D30" s="105">
        <f>IF(A30="","",IFERROR(VLOOKUP(A30,'Job Operations'!$A$4:$AA$304,5,FALSE),""))</f>
        <v>23</v>
      </c>
      <c r="E30" s="105">
        <f>IF(A30="","",IFERROR(VLOOKUP(A30,'Job Operations'!$A$4:$AA$304,6,FALSE),""))</f>
        <v>23</v>
      </c>
      <c r="F30" s="105" t="str">
        <f>IF(A30="","",IFERROR(VLOOKUP(A30,'Job Operations'!$A$4:$AA$304,7,FALSE),""))</f>
        <v>FR ACM</v>
      </c>
      <c r="G30" s="106">
        <f>IF(A30="","",IFERROR(VLOOKUP(A30,'Job Operations'!$A$4:$AA$304,9,FALSE),""))</f>
        <v>46139</v>
      </c>
      <c r="H30" s="105" t="str" cm="1">
        <f t="array" ref="H30">IF(A30="","",_xlfn.LET(_xlpm.stn,IFERROR(VLOOKUP(A30,'Job Operations'!$A$4:$AA$304,12,FALSE),""),IF(_xlpm.stn="Clean and Brake",_xlfn.LET(_xlpm.pos,SUMPRODUCT((A$7:A30&lt;&gt;"")*(IFERROR(VLOOKUP(A$7:A30,'Job Operations'!$A$4:$AA$304,12,FALSE),"")="Clean and Brake")),_xlpm.sfx,IF(OR(_xlpm.pos=11,_xlpm.pos=12,_xlpm.pos=13),"th",IF(MOD(_xlpm.pos,10)=1,"st",IF(MOD(_xlpm.pos,10)=2,"nd",IF(MOD(_xlpm.pos,10)=3,"rd","th")))),_xlpm.pos&amp;_xlpm.sfx),IF(_xlpm.stn&lt;&gt;"",_xlpm.stn,""))))</f>
        <v>AXYZ 34</v>
      </c>
      <c r="I30" s="105" t="str" cm="1">
        <f t="array" ref="I30">IF(A30="","",_xlfn.LET(_xlpm.stn,IFERROR(VLOOKUP(A30,'Job Operations'!$A$4:$AA$304,12,FALSE),""),IF(_xlpm.stn="Clean and Brake",_xlfn.LET(_xlpm.pos,SUMPRODUCT((A$7:A30&lt;&gt;"")*(IFERROR(VLOOKUP(A$7:A30,'Job Operations'!$A$4:$AA$304,12,FALSE),"")="Clean and Brake")),_xlpm.sfx,IF(OR(_xlpm.pos=11,_xlpm.pos=12,_xlpm.pos=13),"th",IF(MOD(_xlpm.pos,10)=1,"st",IF(MOD(_xlpm.pos,10)=2,"nd",IF(MOD(_xlpm.pos,10)=3,"rd","th")))),_xlpm.pos&amp;_xlpm.sfx),IF(ISNUMBER(MATCH(A30,'AXYZ Titans CNC Schedule'!A$7:A$100,0)),"#"&amp;MATCH(A30,'AXYZ Titans CNC Schedule'!A$7:A$100,0)&amp;" on Titans",IF(ISNUMBER(MATCH(A30,'AXYZ CNC Schedule'!A$7:A$100,0)),"#"&amp;MATCH(A30,'AXYZ CNC Schedule'!A$7:A$100,0)&amp;" on AXYZ",IF(_xlpm.stn&lt;&gt;"",_xlpm.stn,""))))))</f>
        <v>#8 on Titans</v>
      </c>
      <c r="J30" s="106">
        <f>IF(A30="","",IFERROR(VLOOKUP(A30,'Job Operations'!$A$4:$AA$304,16,FALSE),""))</f>
        <v>46115</v>
      </c>
      <c r="K30" s="105" t="str">
        <f>IF(A30="","",IFERROR(VLOOKUP(A30,'Job Operations'!$A$4:$AA$304,17,FALSE),""))</f>
        <v>Fab</v>
      </c>
      <c r="L30" s="125" t="str">
        <f>IF(A30="","",IF(IFERROR(VLOOKUP(A30,Notes!A:B,2,FALSE),"")=0,"",VLOOKUP(A30,Notes!A:B,2,FALSE)))</f>
        <v>04/15...Date adjusted to 04/27.*04/16/2026…AXYZ 34</v>
      </c>
    </row>
    <row r="31" spans="1:12" x14ac:dyDescent="0.25">
      <c r="A31" s="98" t="str">
        <v>25022-RO03</v>
      </c>
      <c r="B31" s="99" t="str">
        <f>IF(A31="","",IFERROR(VLOOKUP(A31,'Job Operations'!$A$4:$AA$304,2,FALSE),""))</f>
        <v>Vantage VA15</v>
      </c>
      <c r="C31" s="100" t="str">
        <f>IF(A31="","",IFERROR(VLOOKUP(A31,'Job Operations'!$A$4:$AA$304,3,FALSE),""))</f>
        <v>Thomas Mooers</v>
      </c>
      <c r="D31" s="100">
        <f>IF(A31="","",IFERROR(VLOOKUP(A31,'Job Operations'!$A$4:$AA$304,5,FALSE),""))</f>
        <v>3</v>
      </c>
      <c r="E31" s="100">
        <f>IF(A31="","",IFERROR(VLOOKUP(A31,'Job Operations'!$A$4:$AA$304,6,FALSE),""))</f>
        <v>3</v>
      </c>
      <c r="F31" s="100" t="str">
        <f>IF(A31="","",IFERROR(VLOOKUP(A31,'Job Operations'!$A$4:$AA$304,7,FALSE),""))</f>
        <v>FR ACM</v>
      </c>
      <c r="G31" s="101">
        <f>IF(A31="","",IFERROR(VLOOKUP(A31,'Job Operations'!$A$4:$AA$304,9,FALSE),""))</f>
        <v>46139</v>
      </c>
      <c r="H31" s="100" t="str" cm="1">
        <f t="array" ref="H31">IF(A31="","",_xlfn.LET(_xlpm.stn,IFERROR(VLOOKUP(A31,'Job Operations'!$A$4:$AA$304,12,FALSE),""),IF(_xlpm.stn="Clean and Brake",_xlfn.LET(_xlpm.pos,SUMPRODUCT((A$7:A31&lt;&gt;"")*(IFERROR(VLOOKUP(A$7:A31,'Job Operations'!$A$4:$AA$304,12,FALSE),"")="Clean and Brake")),_xlpm.sfx,IF(OR(_xlpm.pos=11,_xlpm.pos=12,_xlpm.pos=13),"th",IF(MOD(_xlpm.pos,10)=1,"st",IF(MOD(_xlpm.pos,10)=2,"nd",IF(MOD(_xlpm.pos,10)=3,"rd","th")))),_xlpm.pos&amp;_xlpm.sfx),IF(_xlpm.stn&lt;&gt;"",_xlpm.stn,""))))</f>
        <v>AXYZ 34</v>
      </c>
      <c r="I31" s="100" t="str" cm="1">
        <f t="array" ref="I31">IF(A31="","",_xlfn.LET(_xlpm.stn,IFERROR(VLOOKUP(A31,'Job Operations'!$A$4:$AA$304,12,FALSE),""),IF(_xlpm.stn="Clean and Brake",_xlfn.LET(_xlpm.pos,SUMPRODUCT((A$7:A31&lt;&gt;"")*(IFERROR(VLOOKUP(A$7:A31,'Job Operations'!$A$4:$AA$304,12,FALSE),"")="Clean and Brake")),_xlpm.sfx,IF(OR(_xlpm.pos=11,_xlpm.pos=12,_xlpm.pos=13),"th",IF(MOD(_xlpm.pos,10)=1,"st",IF(MOD(_xlpm.pos,10)=2,"nd",IF(MOD(_xlpm.pos,10)=3,"rd","th")))),_xlpm.pos&amp;_xlpm.sfx),IF(ISNUMBER(MATCH(A31,'AXYZ Titans CNC Schedule'!A$7:A$100,0)),"#"&amp;MATCH(A31,'AXYZ Titans CNC Schedule'!A$7:A$100,0)&amp;" on Titans",IF(ISNUMBER(MATCH(A31,'AXYZ CNC Schedule'!A$7:A$100,0)),"#"&amp;MATCH(A31,'AXYZ CNC Schedule'!A$7:A$100,0)&amp;" on AXYZ",IF(_xlpm.stn&lt;&gt;"",_xlpm.stn,""))))))</f>
        <v>#9 on Titans</v>
      </c>
      <c r="J31" s="101">
        <f>IF(A31="","",IFERROR(VLOOKUP(A31,'Job Operations'!$A$4:$AA$304,16,FALSE),""))</f>
        <v>46115</v>
      </c>
      <c r="K31" s="100" t="str">
        <f>IF(A31="","",IFERROR(VLOOKUP(A31,'Job Operations'!$A$4:$AA$304,17,FALSE),""))</f>
        <v>Fab</v>
      </c>
      <c r="L31" s="126" t="str">
        <f>IF(A31="","",IF(IFERROR(VLOOKUP(A31,Notes!A:B,2,FALSE),"")=0,"",VLOOKUP(A31,Notes!A:B,2,FALSE)))</f>
        <v>04/16/2026…AXYZ 34</v>
      </c>
    </row>
    <row r="32" spans="1:12" x14ac:dyDescent="0.25">
      <c r="A32" s="103" t="str">
        <v>24051-FS93</v>
      </c>
      <c r="B32" s="104" t="str">
        <f>IF(A32="","",IFERROR(VLOOKUP(A32,'Job Operations'!$A$4:$AA$304,2,FALSE),""))</f>
        <v>TN Titans Stadium</v>
      </c>
      <c r="C32" s="105" t="str">
        <f>IF(A32="","",IFERROR(VLOOKUP(A32,'Job Operations'!$A$4:$AA$304,3,FALSE),""))</f>
        <v>Marc Ribar</v>
      </c>
      <c r="D32" s="105">
        <f>IF(A32="","",IFERROR(VLOOKUP(A32,'Job Operations'!$A$4:$AA$304,5,FALSE),""))</f>
        <v>131</v>
      </c>
      <c r="E32" s="105">
        <f>IF(A32="","",IFERROR(VLOOKUP(A32,'Job Operations'!$A$4:$AA$304,6,FALSE),""))</f>
        <v>133</v>
      </c>
      <c r="F32" s="105" t="str">
        <f>IF(A32="","",IFERROR(VLOOKUP(A32,'Job Operations'!$A$4:$AA$304,7,FALSE),""))</f>
        <v>FR ACM</v>
      </c>
      <c r="G32" s="106">
        <f>IF(A32="","",IFERROR(VLOOKUP(A32,'Job Operations'!$A$4:$AA$304,9,FALSE),""))</f>
        <v>46140</v>
      </c>
      <c r="H32" s="105" t="str" cm="1">
        <f t="array" ref="H32">IF(A32="","",_xlfn.LET(_xlpm.stn,IFERROR(VLOOKUP(A32,'Job Operations'!$A$4:$AA$304,12,FALSE),""),IF(_xlpm.stn="Clean and Brake",_xlfn.LET(_xlpm.pos,SUMPRODUCT((A$7:A32&lt;&gt;"")*(IFERROR(VLOOKUP(A$7:A32,'Job Operations'!$A$4:$AA$304,12,FALSE),"")="Clean and Brake")),_xlpm.sfx,IF(OR(_xlpm.pos=11,_xlpm.pos=12,_xlpm.pos=13),"th",IF(MOD(_xlpm.pos,10)=1,"st",IF(MOD(_xlpm.pos,10)=2,"nd",IF(MOD(_xlpm.pos,10)=3,"rd","th")))),_xlpm.pos&amp;_xlpm.sfx),IF(_xlpm.stn&lt;&gt;"",_xlpm.stn,""))))</f>
        <v>Correction</v>
      </c>
      <c r="I32" s="105" t="str" cm="1">
        <f t="array" ref="I32">IF(A32="","",_xlfn.LET(_xlpm.stn,IFERROR(VLOOKUP(A32,'Job Operations'!$A$4:$AA$304,12,FALSE),""),IF(_xlpm.stn="Clean and Brake",_xlfn.LET(_xlpm.pos,SUMPRODUCT((A$7:A32&lt;&gt;"")*(IFERROR(VLOOKUP(A$7:A32,'Job Operations'!$A$4:$AA$304,12,FALSE),"")="Clean and Brake")),_xlpm.sfx,IF(OR(_xlpm.pos=11,_xlpm.pos=12,_xlpm.pos=13),"th",IF(MOD(_xlpm.pos,10)=1,"st",IF(MOD(_xlpm.pos,10)=2,"nd",IF(MOD(_xlpm.pos,10)=3,"rd","th")))),_xlpm.pos&amp;_xlpm.sfx),IF(ISNUMBER(MATCH(A32,'AXYZ Titans CNC Schedule'!A$7:A$100,0)),"#"&amp;MATCH(A32,'AXYZ Titans CNC Schedule'!A$7:A$100,0)&amp;" on Titans",IF(ISNUMBER(MATCH(A32,'AXYZ CNC Schedule'!A$7:A$100,0)),"#"&amp;MATCH(A32,'AXYZ CNC Schedule'!A$7:A$100,0)&amp;" on AXYZ",IF(_xlpm.stn&lt;&gt;"",_xlpm.stn,""))))))</f>
        <v>#14 on AXYZ</v>
      </c>
      <c r="J32" s="106">
        <f>IF(A32="","",IFERROR(VLOOKUP(A32,'Job Operations'!$A$4:$AA$304,16,FALSE),""))</f>
        <v>46116</v>
      </c>
      <c r="K32" s="105" t="str">
        <f>IF(A32="","",IFERROR(VLOOKUP(A32,'Job Operations'!$A$4:$AA$304,17,FALSE),""))</f>
        <v>Fab</v>
      </c>
      <c r="L32" s="125" t="str">
        <f>IF(A32="","",IF(IFERROR(VLOOKUP(A32,Notes!A:B,2,FALSE),"")=0,"",VLOOKUP(A32,Notes!A:B,2,FALSE)))</f>
        <v>04/14...Next Titans Requesting//Scheduled to be released to the shop 04/20.*04/16/2026…Correction</v>
      </c>
    </row>
    <row r="33" spans="1:12" x14ac:dyDescent="0.25">
      <c r="A33" s="98" t="str">
        <v>24051-FS94</v>
      </c>
      <c r="B33" s="99" t="str">
        <f>IF(A33="","",IFERROR(VLOOKUP(A33,'Job Operations'!$A$4:$AA$304,2,FALSE),""))</f>
        <v>TN Titans Stadium</v>
      </c>
      <c r="C33" s="100" t="str">
        <f>IF(A33="","",IFERROR(VLOOKUP(A33,'Job Operations'!$A$4:$AA$304,3,FALSE),""))</f>
        <v>Marc Ribar</v>
      </c>
      <c r="D33" s="100">
        <f>IF(A33="","",IFERROR(VLOOKUP(A33,'Job Operations'!$A$4:$AA$304,5,FALSE),""))</f>
        <v>79</v>
      </c>
      <c r="E33" s="100">
        <f>IF(A33="","",IFERROR(VLOOKUP(A33,'Job Operations'!$A$4:$AA$304,6,FALSE),""))</f>
        <v>0</v>
      </c>
      <c r="F33" s="100" t="str">
        <f>IF(A33="","",IFERROR(VLOOKUP(A33,'Job Operations'!$A$4:$AA$304,7,FALSE),""))</f>
        <v>FR ACM</v>
      </c>
      <c r="G33" s="101">
        <f>IF(A33="","",IFERROR(VLOOKUP(A33,'Job Operations'!$A$4:$AA$304,9,FALSE),""))</f>
        <v>46140</v>
      </c>
      <c r="H33" s="100" t="str" cm="1">
        <f t="array" ref="H33">IF(A33="","",_xlfn.LET(_xlpm.stn,IFERROR(VLOOKUP(A33,'Job Operations'!$A$4:$AA$304,12,FALSE),""),IF(_xlpm.stn="Clean and Brake",_xlfn.LET(_xlpm.pos,SUMPRODUCT((A$7:A33&lt;&gt;"")*(IFERROR(VLOOKUP(A$7:A33,'Job Operations'!$A$4:$AA$304,12,FALSE),"")="Clean and Brake")),_xlpm.sfx,IF(OR(_xlpm.pos=11,_xlpm.pos=12,_xlpm.pos=13),"th",IF(MOD(_xlpm.pos,10)=1,"st",IF(MOD(_xlpm.pos,10)=2,"nd",IF(MOD(_xlpm.pos,10)=3,"rd","th")))),_xlpm.pos&amp;_xlpm.sfx),IF(_xlpm.stn&lt;&gt;"",_xlpm.stn,""))))</f>
        <v>Float</v>
      </c>
      <c r="I33" s="100" t="str" cm="1">
        <f t="array" ref="I33">IF(A33="","",_xlfn.LET(_xlpm.stn,IFERROR(VLOOKUP(A33,'Job Operations'!$A$4:$AA$304,12,FALSE),""),IF(_xlpm.stn="Clean and Brake",_xlfn.LET(_xlpm.pos,SUMPRODUCT((A$7:A33&lt;&gt;"")*(IFERROR(VLOOKUP(A$7:A33,'Job Operations'!$A$4:$AA$304,12,FALSE),"")="Clean and Brake")),_xlpm.sfx,IF(OR(_xlpm.pos=11,_xlpm.pos=12,_xlpm.pos=13),"th",IF(MOD(_xlpm.pos,10)=1,"st",IF(MOD(_xlpm.pos,10)=2,"nd",IF(MOD(_xlpm.pos,10)=3,"rd","th")))),_xlpm.pos&amp;_xlpm.sfx),IF(ISNUMBER(MATCH(A33,'AXYZ Titans CNC Schedule'!A$7:A$100,0)),"#"&amp;MATCH(A33,'AXYZ Titans CNC Schedule'!A$7:A$100,0)&amp;" on Titans",IF(ISNUMBER(MATCH(A33,'AXYZ CNC Schedule'!A$7:A$100,0)),"#"&amp;MATCH(A33,'AXYZ CNC Schedule'!A$7:A$100,0)&amp;" on AXYZ",IF(_xlpm.stn&lt;&gt;"",_xlpm.stn,""))))))</f>
        <v>#16 on AXYZ</v>
      </c>
      <c r="J33" s="101">
        <f>IF(A33="","",IFERROR(VLOOKUP(A33,'Job Operations'!$A$4:$AA$304,16,FALSE),""))</f>
        <v>46116</v>
      </c>
      <c r="K33" s="100" t="str">
        <f>IF(A33="","",IFERROR(VLOOKUP(A33,'Job Operations'!$A$4:$AA$304,17,FALSE),""))</f>
        <v>Fab</v>
      </c>
      <c r="L33" s="126" t="str">
        <f>IF(A33="","",IF(IFERROR(VLOOKUP(A33,Notes!A:B,2,FALSE),"")=0,"",VLOOKUP(A33,Notes!A:B,2,FALSE)))</f>
        <v>04/16/2026…Float</v>
      </c>
    </row>
    <row r="34" spans="1:12" x14ac:dyDescent="0.25">
      <c r="A34" s="103" t="str">
        <v>24051-FS95</v>
      </c>
      <c r="B34" s="104" t="str">
        <f>IF(A34="","",IFERROR(VLOOKUP(A34,'Job Operations'!$A$4:$AA$304,2,FALSE),""))</f>
        <v>TN Titans Stadium</v>
      </c>
      <c r="C34" s="105" t="str">
        <f>IF(A34="","",IFERROR(VLOOKUP(A34,'Job Operations'!$A$4:$AA$304,3,FALSE),""))</f>
        <v>Marc Ribar</v>
      </c>
      <c r="D34" s="105">
        <f>IF(A34="","",IFERROR(VLOOKUP(A34,'Job Operations'!$A$4:$AA$304,5,FALSE),""))</f>
        <v>96</v>
      </c>
      <c r="E34" s="105">
        <f>IF(A34="","",IFERROR(VLOOKUP(A34,'Job Operations'!$A$4:$AA$304,6,FALSE),""))</f>
        <v>0</v>
      </c>
      <c r="F34" s="105" t="str">
        <f>IF(A34="","",IFERROR(VLOOKUP(A34,'Job Operations'!$A$4:$AA$304,7,FALSE),""))</f>
        <v>FR ACM</v>
      </c>
      <c r="G34" s="106">
        <f>IF(A34="","",IFERROR(VLOOKUP(A34,'Job Operations'!$A$4:$AA$304,9,FALSE),""))</f>
        <v>46140</v>
      </c>
      <c r="H34" s="105" t="str" cm="1">
        <f t="array" ref="H34">IF(A34="","",_xlfn.LET(_xlpm.stn,IFERROR(VLOOKUP(A34,'Job Operations'!$A$4:$AA$304,12,FALSE),""),IF(_xlpm.stn="Clean and Brake",_xlfn.LET(_xlpm.pos,SUMPRODUCT((A$7:A34&lt;&gt;"")*(IFERROR(VLOOKUP(A$7:A34,'Job Operations'!$A$4:$AA$304,12,FALSE),"")="Clean and Brake")),_xlpm.sfx,IF(OR(_xlpm.pos=11,_xlpm.pos=12,_xlpm.pos=13),"th",IF(MOD(_xlpm.pos,10)=1,"st",IF(MOD(_xlpm.pos,10)=2,"nd",IF(MOD(_xlpm.pos,10)=3,"rd","th")))),_xlpm.pos&amp;_xlpm.sfx),IF(_xlpm.stn&lt;&gt;"",_xlpm.stn,""))))</f>
        <v>Float</v>
      </c>
      <c r="I34" s="105" t="str" cm="1">
        <f t="array" ref="I34">IF(A34="","",_xlfn.LET(_xlpm.stn,IFERROR(VLOOKUP(A34,'Job Operations'!$A$4:$AA$304,12,FALSE),""),IF(_xlpm.stn="Clean and Brake",_xlfn.LET(_xlpm.pos,SUMPRODUCT((A$7:A34&lt;&gt;"")*(IFERROR(VLOOKUP(A$7:A34,'Job Operations'!$A$4:$AA$304,12,FALSE),"")="Clean and Brake")),_xlpm.sfx,IF(OR(_xlpm.pos=11,_xlpm.pos=12,_xlpm.pos=13),"th",IF(MOD(_xlpm.pos,10)=1,"st",IF(MOD(_xlpm.pos,10)=2,"nd",IF(MOD(_xlpm.pos,10)=3,"rd","th")))),_xlpm.pos&amp;_xlpm.sfx),IF(ISNUMBER(MATCH(A34,'AXYZ Titans CNC Schedule'!A$7:A$100,0)),"#"&amp;MATCH(A34,'AXYZ Titans CNC Schedule'!A$7:A$100,0)&amp;" on Titans",IF(ISNUMBER(MATCH(A34,'AXYZ CNC Schedule'!A$7:A$100,0)),"#"&amp;MATCH(A34,'AXYZ CNC Schedule'!A$7:A$100,0)&amp;" on AXYZ",IF(_xlpm.stn&lt;&gt;"",_xlpm.stn,""))))))</f>
        <v>#17 on AXYZ</v>
      </c>
      <c r="J34" s="106">
        <f>IF(A34="","",IFERROR(VLOOKUP(A34,'Job Operations'!$A$4:$AA$304,16,FALSE),""))</f>
        <v>46116</v>
      </c>
      <c r="K34" s="105" t="str">
        <f>IF(A34="","",IFERROR(VLOOKUP(A34,'Job Operations'!$A$4:$AA$304,17,FALSE),""))</f>
        <v>Fab</v>
      </c>
      <c r="L34" s="125" t="str">
        <f>IF(A34="","",IF(IFERROR(VLOOKUP(A34,Notes!A:B,2,FALSE),"")=0,"",VLOOKUP(A34,Notes!A:B,2,FALSE)))</f>
        <v>04/16/2026…Float</v>
      </c>
    </row>
    <row r="35" spans="1:12" x14ac:dyDescent="0.25">
      <c r="A35" s="98" t="str">
        <v>24051-FS228</v>
      </c>
      <c r="B35" s="99" t="str">
        <f>IF(A35="","",IFERROR(VLOOKUP(A35,'Job Operations'!$A$4:$AA$304,2,FALSE),""))</f>
        <v>TN Titans Stadium</v>
      </c>
      <c r="C35" s="100" t="str">
        <f>IF(A35="","",IFERROR(VLOOKUP(A35,'Job Operations'!$A$4:$AA$304,3,FALSE),""))</f>
        <v>Marc Ribar</v>
      </c>
      <c r="D35" s="100">
        <f>IF(A35="","",IFERROR(VLOOKUP(A35,'Job Operations'!$A$4:$AA$304,5,FALSE),""))</f>
        <v>95</v>
      </c>
      <c r="E35" s="100">
        <f>IF(A35="","",IFERROR(VLOOKUP(A35,'Job Operations'!$A$4:$AA$304,6,FALSE),""))</f>
        <v>0</v>
      </c>
      <c r="F35" s="100" t="str">
        <f>IF(A35="","",IFERROR(VLOOKUP(A35,'Job Operations'!$A$4:$AA$304,7,FALSE),""))</f>
        <v>FR ACM</v>
      </c>
      <c r="G35" s="101">
        <f>IF(A35="","",IFERROR(VLOOKUP(A35,'Job Operations'!$A$4:$AA$304,9,FALSE),""))</f>
        <v>46140</v>
      </c>
      <c r="H35" s="100" t="str" cm="1">
        <f t="array" ref="H35">IF(A35="","",_xlfn.LET(_xlpm.stn,IFERROR(VLOOKUP(A35,'Job Operations'!$A$4:$AA$304,12,FALSE),""),IF(_xlpm.stn="Clean and Brake",_xlfn.LET(_xlpm.pos,SUMPRODUCT((A$7:A35&lt;&gt;"")*(IFERROR(VLOOKUP(A$7:A35,'Job Operations'!$A$4:$AA$304,12,FALSE),"")="Clean and Brake")),_xlpm.sfx,IF(OR(_xlpm.pos=11,_xlpm.pos=12,_xlpm.pos=13),"th",IF(MOD(_xlpm.pos,10)=1,"st",IF(MOD(_xlpm.pos,10)=2,"nd",IF(MOD(_xlpm.pos,10)=3,"rd","th")))),_xlpm.pos&amp;_xlpm.sfx),IF(_xlpm.stn&lt;&gt;"",_xlpm.stn,""))))</f>
        <v>Float</v>
      </c>
      <c r="I35" s="100" t="str" cm="1">
        <f t="array" ref="I35">IF(A35="","",_xlfn.LET(_xlpm.stn,IFERROR(VLOOKUP(A35,'Job Operations'!$A$4:$AA$304,12,FALSE),""),IF(_xlpm.stn="Clean and Brake",_xlfn.LET(_xlpm.pos,SUMPRODUCT((A$7:A35&lt;&gt;"")*(IFERROR(VLOOKUP(A$7:A35,'Job Operations'!$A$4:$AA$304,12,FALSE),"")="Clean and Brake")),_xlpm.sfx,IF(OR(_xlpm.pos=11,_xlpm.pos=12,_xlpm.pos=13),"th",IF(MOD(_xlpm.pos,10)=1,"st",IF(MOD(_xlpm.pos,10)=2,"nd",IF(MOD(_xlpm.pos,10)=3,"rd","th")))),_xlpm.pos&amp;_xlpm.sfx),IF(ISNUMBER(MATCH(A35,'AXYZ Titans CNC Schedule'!A$7:A$100,0)),"#"&amp;MATCH(A35,'AXYZ Titans CNC Schedule'!A$7:A$100,0)&amp;" on Titans",IF(ISNUMBER(MATCH(A35,'AXYZ CNC Schedule'!A$7:A$100,0)),"#"&amp;MATCH(A35,'AXYZ CNC Schedule'!A$7:A$100,0)&amp;" on AXYZ",IF(_xlpm.stn&lt;&gt;"",_xlpm.stn,""))))))</f>
        <v>#18 on AXYZ</v>
      </c>
      <c r="J35" s="101">
        <f>IF(A35="","",IFERROR(VLOOKUP(A35,'Job Operations'!$A$4:$AA$304,16,FALSE),""))</f>
        <v>46116</v>
      </c>
      <c r="K35" s="100" t="str">
        <f>IF(A35="","",IFERROR(VLOOKUP(A35,'Job Operations'!$A$4:$AA$304,17,FALSE),""))</f>
        <v>Fab</v>
      </c>
      <c r="L35" s="126" t="str">
        <f>IF(A35="","",IF(IFERROR(VLOOKUP(A35,Notes!A:B,2,FALSE),"")=0,"",VLOOKUP(A35,Notes!A:B,2,FALSE)))</f>
        <v>04/16/2026…Float</v>
      </c>
    </row>
    <row r="36" spans="1:12" x14ac:dyDescent="0.25">
      <c r="A36" s="103" t="str">
        <v>25067-FS02</v>
      </c>
      <c r="B36" s="104" t="str">
        <f>IF(A36="","",IFERROR(VLOOKUP(A36,'Job Operations'!$A$4:$AA$304,2,FALSE),""))</f>
        <v>Harison Bend</v>
      </c>
      <c r="C36" s="105" t="str">
        <f>IF(A36="","",IFERROR(VLOOKUP(A36,'Job Operations'!$A$4:$AA$304,3,FALSE),""))</f>
        <v>Andre Van Der Merwe</v>
      </c>
      <c r="D36" s="105">
        <f>IF(A36="","",IFERROR(VLOOKUP(A36,'Job Operations'!$A$4:$AA$304,5,FALSE),""))</f>
        <v>29</v>
      </c>
      <c r="E36" s="105">
        <f>IF(A36="","",IFERROR(VLOOKUP(A36,'Job Operations'!$A$4:$AA$304,6,FALSE),""))</f>
        <v>29</v>
      </c>
      <c r="F36" s="105" t="str">
        <f>IF(A36="","",IFERROR(VLOOKUP(A36,'Job Operations'!$A$4:$AA$304,7,FALSE),""))</f>
        <v>FR ACM</v>
      </c>
      <c r="G36" s="106">
        <f>IF(A36="","",IFERROR(VLOOKUP(A36,'Job Operations'!$A$4:$AA$304,9,FALSE),""))</f>
        <v>46142</v>
      </c>
      <c r="H36" s="105" t="str" cm="1">
        <f t="array" ref="H36">IF(A36="","",_xlfn.LET(_xlpm.stn,IFERROR(VLOOKUP(A36,'Job Operations'!$A$4:$AA$304,12,FALSE),""),IF(_xlpm.stn="Clean and Brake",_xlfn.LET(_xlpm.pos,SUMPRODUCT((A$7:A36&lt;&gt;"")*(IFERROR(VLOOKUP(A$7:A36,'Job Operations'!$A$4:$AA$304,12,FALSE),"")="Clean and Brake")),_xlpm.sfx,IF(OR(_xlpm.pos=11,_xlpm.pos=12,_xlpm.pos=13),"th",IF(MOD(_xlpm.pos,10)=1,"st",IF(MOD(_xlpm.pos,10)=2,"nd",IF(MOD(_xlpm.pos,10)=3,"rd","th")))),_xlpm.pos&amp;_xlpm.sfx),IF(_xlpm.stn&lt;&gt;"",_xlpm.stn,""))))</f>
        <v>AXYZ 34</v>
      </c>
      <c r="I36" s="105" t="str" cm="1">
        <f t="array" ref="I36">IF(A36="","",_xlfn.LET(_xlpm.stn,IFERROR(VLOOKUP(A36,'Job Operations'!$A$4:$AA$304,12,FALSE),""),IF(_xlpm.stn="Clean and Brake",_xlfn.LET(_xlpm.pos,SUMPRODUCT((A$7:A36&lt;&gt;"")*(IFERROR(VLOOKUP(A$7:A36,'Job Operations'!$A$4:$AA$304,12,FALSE),"")="Clean and Brake")),_xlpm.sfx,IF(OR(_xlpm.pos=11,_xlpm.pos=12,_xlpm.pos=13),"th",IF(MOD(_xlpm.pos,10)=1,"st",IF(MOD(_xlpm.pos,10)=2,"nd",IF(MOD(_xlpm.pos,10)=3,"rd","th")))),_xlpm.pos&amp;_xlpm.sfx),IF(ISNUMBER(MATCH(A36,'AXYZ Titans CNC Schedule'!A$7:A$100,0)),"#"&amp;MATCH(A36,'AXYZ Titans CNC Schedule'!A$7:A$100,0)&amp;" on Titans",IF(ISNUMBER(MATCH(A36,'AXYZ CNC Schedule'!A$7:A$100,0)),"#"&amp;MATCH(A36,'AXYZ CNC Schedule'!A$7:A$100,0)&amp;" on AXYZ",IF(_xlpm.stn&lt;&gt;"",_xlpm.stn,""))))))</f>
        <v>#10 on Titans</v>
      </c>
      <c r="J36" s="106">
        <f>IF(A36="","",IFERROR(VLOOKUP(A36,'Job Operations'!$A$4:$AA$304,16,FALSE),""))</f>
        <v>46119</v>
      </c>
      <c r="K36" s="105" t="str">
        <f>IF(A36="","",IFERROR(VLOOKUP(A36,'Job Operations'!$A$4:$AA$304,17,FALSE),""))</f>
        <v>Fab</v>
      </c>
      <c r="L36" s="125" t="str">
        <f>IF(A36="","",IF(IFERROR(VLOOKUP(A36,Notes!A:B,2,FALSE),"")=0,"",VLOOKUP(A36,Notes!A:B,2,FALSE)))</f>
        <v>04/15…CNC...Confirmed Shipdate of 04/22 with PM.*04/16/2026…AXYZ 34</v>
      </c>
    </row>
    <row r="37" spans="1:12" x14ac:dyDescent="0.25">
      <c r="A37" s="98" t="str">
        <v>24051-FS92</v>
      </c>
      <c r="B37" s="99" t="str">
        <f>IF(A37="","",IFERROR(VLOOKUP(A37,'Job Operations'!$A$4:$AA$304,2,FALSE),""))</f>
        <v>TN Titans Stadium</v>
      </c>
      <c r="C37" s="100" t="str">
        <f>IF(A37="","",IFERROR(VLOOKUP(A37,'Job Operations'!$A$4:$AA$304,3,FALSE),""))</f>
        <v>Marc Ribar</v>
      </c>
      <c r="D37" s="100">
        <f>IF(A37="","",IFERROR(VLOOKUP(A37,'Job Operations'!$A$4:$AA$304,5,FALSE),""))</f>
        <v>104</v>
      </c>
      <c r="E37" s="100">
        <f>IF(A37="","",IFERROR(VLOOKUP(A37,'Job Operations'!$A$4:$AA$304,6,FALSE),""))</f>
        <v>0</v>
      </c>
      <c r="F37" s="100" t="str">
        <f>IF(A37="","",IFERROR(VLOOKUP(A37,'Job Operations'!$A$4:$AA$304,7,FALSE),""))</f>
        <v>FR ACM</v>
      </c>
      <c r="G37" s="101">
        <f>IF(A37="","",IFERROR(VLOOKUP(A37,'Job Operations'!$A$4:$AA$304,9,FALSE),""))</f>
        <v>46143</v>
      </c>
      <c r="H37" s="100" t="str" cm="1">
        <f t="array" ref="H37">IF(A37="","",_xlfn.LET(_xlpm.stn,IFERROR(VLOOKUP(A37,'Job Operations'!$A$4:$AA$304,12,FALSE),""),IF(_xlpm.stn="Clean and Brake",_xlfn.LET(_xlpm.pos,SUMPRODUCT((A$7:A37&lt;&gt;"")*(IFERROR(VLOOKUP(A$7:A37,'Job Operations'!$A$4:$AA$304,12,FALSE),"")="Clean and Brake")),_xlpm.sfx,IF(OR(_xlpm.pos=11,_xlpm.pos=12,_xlpm.pos=13),"th",IF(MOD(_xlpm.pos,10)=1,"st",IF(MOD(_xlpm.pos,10)=2,"nd",IF(MOD(_xlpm.pos,10)=3,"rd","th")))),_xlpm.pos&amp;_xlpm.sfx),IF(_xlpm.stn&lt;&gt;"",_xlpm.stn,""))))</f>
        <v>Float</v>
      </c>
      <c r="I37" s="100" t="str" cm="1">
        <f t="array" ref="I37">IF(A37="","",_xlfn.LET(_xlpm.stn,IFERROR(VLOOKUP(A37,'Job Operations'!$A$4:$AA$304,12,FALSE),""),IF(_xlpm.stn="Clean and Brake",_xlfn.LET(_xlpm.pos,SUMPRODUCT((A$7:A37&lt;&gt;"")*(IFERROR(VLOOKUP(A$7:A37,'Job Operations'!$A$4:$AA$304,12,FALSE),"")="Clean and Brake")),_xlpm.sfx,IF(OR(_xlpm.pos=11,_xlpm.pos=12,_xlpm.pos=13),"th",IF(MOD(_xlpm.pos,10)=1,"st",IF(MOD(_xlpm.pos,10)=2,"nd",IF(MOD(_xlpm.pos,10)=3,"rd","th")))),_xlpm.pos&amp;_xlpm.sfx),IF(ISNUMBER(MATCH(A37,'AXYZ Titans CNC Schedule'!A$7:A$100,0)),"#"&amp;MATCH(A37,'AXYZ Titans CNC Schedule'!A$7:A$100,0)&amp;" on Titans",IF(ISNUMBER(MATCH(A37,'AXYZ CNC Schedule'!A$7:A$100,0)),"#"&amp;MATCH(A37,'AXYZ CNC Schedule'!A$7:A$100,0)&amp;" on AXYZ",IF(_xlpm.stn&lt;&gt;"",_xlpm.stn,""))))))</f>
        <v>#19 on AXYZ</v>
      </c>
      <c r="J37" s="101">
        <f>IF(A37="","",IFERROR(VLOOKUP(A37,'Job Operations'!$A$4:$AA$304,16,FALSE),""))</f>
        <v>46120</v>
      </c>
      <c r="K37" s="100" t="str">
        <f>IF(A37="","",IFERROR(VLOOKUP(A37,'Job Operations'!$A$4:$AA$304,17,FALSE),""))</f>
        <v>Fab</v>
      </c>
      <c r="L37" s="126" t="str">
        <f>IF(A37="","",IF(IFERROR(VLOOKUP(A37,Notes!A:B,2,FALSE),"")=0,"",VLOOKUP(A37,Notes!A:B,2,FALSE)))</f>
        <v>04/16/2026…Float</v>
      </c>
    </row>
    <row r="38" spans="1:12" x14ac:dyDescent="0.25">
      <c r="A38" s="103" t="str">
        <v>24051-FS96</v>
      </c>
      <c r="B38" s="104" t="str">
        <f>IF(A38="","",IFERROR(VLOOKUP(A38,'Job Operations'!$A$4:$AA$304,2,FALSE),""))</f>
        <v>TN Titans Stadium</v>
      </c>
      <c r="C38" s="105" t="str">
        <f>IF(A38="","",IFERROR(VLOOKUP(A38,'Job Operations'!$A$4:$AA$304,3,FALSE),""))</f>
        <v>Marc Ribar</v>
      </c>
      <c r="D38" s="105">
        <f>IF(A38="","",IFERROR(VLOOKUP(A38,'Job Operations'!$A$4:$AA$304,5,FALSE),""))</f>
        <v>52</v>
      </c>
      <c r="E38" s="105">
        <f>IF(A38="","",IFERROR(VLOOKUP(A38,'Job Operations'!$A$4:$AA$304,6,FALSE),""))</f>
        <v>0</v>
      </c>
      <c r="F38" s="105" t="str">
        <f>IF(A38="","",IFERROR(VLOOKUP(A38,'Job Operations'!$A$4:$AA$304,7,FALSE),""))</f>
        <v>FR ACM</v>
      </c>
      <c r="G38" s="106">
        <f>IF(A38="","",IFERROR(VLOOKUP(A38,'Job Operations'!$A$4:$AA$304,9,FALSE),""))</f>
        <v>46143</v>
      </c>
      <c r="H38" s="105" t="str" cm="1">
        <f t="array" ref="H38">IF(A38="","",_xlfn.LET(_xlpm.stn,IFERROR(VLOOKUP(A38,'Job Operations'!$A$4:$AA$304,12,FALSE),""),IF(_xlpm.stn="Clean and Brake",_xlfn.LET(_xlpm.pos,SUMPRODUCT((A$7:A38&lt;&gt;"")*(IFERROR(VLOOKUP(A$7:A38,'Job Operations'!$A$4:$AA$304,12,FALSE),"")="Clean and Brake")),_xlpm.sfx,IF(OR(_xlpm.pos=11,_xlpm.pos=12,_xlpm.pos=13),"th",IF(MOD(_xlpm.pos,10)=1,"st",IF(MOD(_xlpm.pos,10)=2,"nd",IF(MOD(_xlpm.pos,10)=3,"rd","th")))),_xlpm.pos&amp;_xlpm.sfx),IF(_xlpm.stn&lt;&gt;"",_xlpm.stn,""))))</f>
        <v>Float</v>
      </c>
      <c r="I38" s="105" t="str" cm="1">
        <f t="array" ref="I38">IF(A38="","",_xlfn.LET(_xlpm.stn,IFERROR(VLOOKUP(A38,'Job Operations'!$A$4:$AA$304,12,FALSE),""),IF(_xlpm.stn="Clean and Brake",_xlfn.LET(_xlpm.pos,SUMPRODUCT((A$7:A38&lt;&gt;"")*(IFERROR(VLOOKUP(A$7:A38,'Job Operations'!$A$4:$AA$304,12,FALSE),"")="Clean and Brake")),_xlpm.sfx,IF(OR(_xlpm.pos=11,_xlpm.pos=12,_xlpm.pos=13),"th",IF(MOD(_xlpm.pos,10)=1,"st",IF(MOD(_xlpm.pos,10)=2,"nd",IF(MOD(_xlpm.pos,10)=3,"rd","th")))),_xlpm.pos&amp;_xlpm.sfx),IF(ISNUMBER(MATCH(A38,'AXYZ Titans CNC Schedule'!A$7:A$100,0)),"#"&amp;MATCH(A38,'AXYZ Titans CNC Schedule'!A$7:A$100,0)&amp;" on Titans",IF(ISNUMBER(MATCH(A38,'AXYZ CNC Schedule'!A$7:A$100,0)),"#"&amp;MATCH(A38,'AXYZ CNC Schedule'!A$7:A$100,0)&amp;" on AXYZ",IF(_xlpm.stn&lt;&gt;"",_xlpm.stn,""))))))</f>
        <v>#22 on AXYZ</v>
      </c>
      <c r="J38" s="106">
        <f>IF(A38="","",IFERROR(VLOOKUP(A38,'Job Operations'!$A$4:$AA$304,16,FALSE),""))</f>
        <v>46120</v>
      </c>
      <c r="K38" s="105" t="str">
        <f>IF(A38="","",IFERROR(VLOOKUP(A38,'Job Operations'!$A$4:$AA$304,17,FALSE),""))</f>
        <v>Fab</v>
      </c>
      <c r="L38" s="125" t="str">
        <f>IF(A38="","",IF(IFERROR(VLOOKUP(A38,Notes!A:B,2,FALSE),"")=0,"",VLOOKUP(A38,Notes!A:B,2,FALSE)))</f>
        <v>04/16/2026…Float</v>
      </c>
    </row>
    <row r="39" spans="1:12" x14ac:dyDescent="0.25">
      <c r="A39" s="98" t="str">
        <v>24051-FS229</v>
      </c>
      <c r="B39" s="99" t="str">
        <f>IF(A39="","",IFERROR(VLOOKUP(A39,'Job Operations'!$A$4:$AA$304,2,FALSE),""))</f>
        <v>TN Titans Stadium</v>
      </c>
      <c r="C39" s="100" t="str">
        <f>IF(A39="","",IFERROR(VLOOKUP(A39,'Job Operations'!$A$4:$AA$304,3,FALSE),""))</f>
        <v>Marc Ribar</v>
      </c>
      <c r="D39" s="100">
        <f>IF(A39="","",IFERROR(VLOOKUP(A39,'Job Operations'!$A$4:$AA$304,5,FALSE),""))</f>
        <v>109</v>
      </c>
      <c r="E39" s="100">
        <f>IF(A39="","",IFERROR(VLOOKUP(A39,'Job Operations'!$A$4:$AA$304,6,FALSE),""))</f>
        <v>0</v>
      </c>
      <c r="F39" s="100" t="str">
        <f>IF(A39="","",IFERROR(VLOOKUP(A39,'Job Operations'!$A$4:$AA$304,7,FALSE),""))</f>
        <v>FR ACM</v>
      </c>
      <c r="G39" s="101">
        <f>IF(A39="","",IFERROR(VLOOKUP(A39,'Job Operations'!$A$4:$AA$304,9,FALSE),""))</f>
        <v>46143</v>
      </c>
      <c r="H39" s="100" t="str" cm="1">
        <f t="array" ref="H39">IF(A39="","",_xlfn.LET(_xlpm.stn,IFERROR(VLOOKUP(A39,'Job Operations'!$A$4:$AA$304,12,FALSE),""),IF(_xlpm.stn="Clean and Brake",_xlfn.LET(_xlpm.pos,SUMPRODUCT((A$7:A39&lt;&gt;"")*(IFERROR(VLOOKUP(A$7:A39,'Job Operations'!$A$4:$AA$304,12,FALSE),"")="Clean and Brake")),_xlpm.sfx,IF(OR(_xlpm.pos=11,_xlpm.pos=12,_xlpm.pos=13),"th",IF(MOD(_xlpm.pos,10)=1,"st",IF(MOD(_xlpm.pos,10)=2,"nd",IF(MOD(_xlpm.pos,10)=3,"rd","th")))),_xlpm.pos&amp;_xlpm.sfx),IF(_xlpm.stn&lt;&gt;"",_xlpm.stn,""))))</f>
        <v>Float</v>
      </c>
      <c r="I39" s="100" t="str" cm="1">
        <f t="array" ref="I39">IF(A39="","",_xlfn.LET(_xlpm.stn,IFERROR(VLOOKUP(A39,'Job Operations'!$A$4:$AA$304,12,FALSE),""),IF(_xlpm.stn="Clean and Brake",_xlfn.LET(_xlpm.pos,SUMPRODUCT((A$7:A39&lt;&gt;"")*(IFERROR(VLOOKUP(A$7:A39,'Job Operations'!$A$4:$AA$304,12,FALSE),"")="Clean and Brake")),_xlpm.sfx,IF(OR(_xlpm.pos=11,_xlpm.pos=12,_xlpm.pos=13),"th",IF(MOD(_xlpm.pos,10)=1,"st",IF(MOD(_xlpm.pos,10)=2,"nd",IF(MOD(_xlpm.pos,10)=3,"rd","th")))),_xlpm.pos&amp;_xlpm.sfx),IF(ISNUMBER(MATCH(A39,'AXYZ Titans CNC Schedule'!A$7:A$100,0)),"#"&amp;MATCH(A39,'AXYZ Titans CNC Schedule'!A$7:A$100,0)&amp;" on Titans",IF(ISNUMBER(MATCH(A39,'AXYZ CNC Schedule'!A$7:A$100,0)),"#"&amp;MATCH(A39,'AXYZ CNC Schedule'!A$7:A$100,0)&amp;" on AXYZ",IF(_xlpm.stn&lt;&gt;"",_xlpm.stn,""))))))</f>
        <v>#20 on AXYZ</v>
      </c>
      <c r="J39" s="101">
        <f>IF(A39="","",IFERROR(VLOOKUP(A39,'Job Operations'!$A$4:$AA$304,16,FALSE),""))</f>
        <v>46120</v>
      </c>
      <c r="K39" s="100" t="str">
        <f>IF(A39="","",IFERROR(VLOOKUP(A39,'Job Operations'!$A$4:$AA$304,17,FALSE),""))</f>
        <v>Fab</v>
      </c>
      <c r="L39" s="126" t="str">
        <f>IF(A39="","",IF(IFERROR(VLOOKUP(A39,Notes!A:B,2,FALSE),"")=0,"",VLOOKUP(A39,Notes!A:B,2,FALSE)))</f>
        <v>04/16/2026…Float</v>
      </c>
    </row>
    <row r="40" spans="1:12" x14ac:dyDescent="0.25">
      <c r="A40" s="103" t="str">
        <v>24051-FS230</v>
      </c>
      <c r="B40" s="104" t="str">
        <f>IF(A40="","",IFERROR(VLOOKUP(A40,'Job Operations'!$A$4:$AA$304,2,FALSE),""))</f>
        <v>TN Titans Stadium</v>
      </c>
      <c r="C40" s="105" t="str">
        <f>IF(A40="","",IFERROR(VLOOKUP(A40,'Job Operations'!$A$4:$AA$304,3,FALSE),""))</f>
        <v>Marc Ribar</v>
      </c>
      <c r="D40" s="105">
        <f>IF(A40="","",IFERROR(VLOOKUP(A40,'Job Operations'!$A$4:$AA$304,5,FALSE),""))</f>
        <v>67</v>
      </c>
      <c r="E40" s="105">
        <f>IF(A40="","",IFERROR(VLOOKUP(A40,'Job Operations'!$A$4:$AA$304,6,FALSE),""))</f>
        <v>0</v>
      </c>
      <c r="F40" s="105" t="str">
        <f>IF(A40="","",IFERROR(VLOOKUP(A40,'Job Operations'!$A$4:$AA$304,7,FALSE),""))</f>
        <v>FR ACM</v>
      </c>
      <c r="G40" s="106">
        <f>IF(A40="","",IFERROR(VLOOKUP(A40,'Job Operations'!$A$4:$AA$304,9,FALSE),""))</f>
        <v>46143</v>
      </c>
      <c r="H40" s="105" t="str" cm="1">
        <f t="array" ref="H40">IF(A40="","",_xlfn.LET(_xlpm.stn,IFERROR(VLOOKUP(A40,'Job Operations'!$A$4:$AA$304,12,FALSE),""),IF(_xlpm.stn="Clean and Brake",_xlfn.LET(_xlpm.pos,SUMPRODUCT((A$7:A40&lt;&gt;"")*(IFERROR(VLOOKUP(A$7:A40,'Job Operations'!$A$4:$AA$304,12,FALSE),"")="Clean and Brake")),_xlpm.sfx,IF(OR(_xlpm.pos=11,_xlpm.pos=12,_xlpm.pos=13),"th",IF(MOD(_xlpm.pos,10)=1,"st",IF(MOD(_xlpm.pos,10)=2,"nd",IF(MOD(_xlpm.pos,10)=3,"rd","th")))),_xlpm.pos&amp;_xlpm.sfx),IF(_xlpm.stn&lt;&gt;"",_xlpm.stn,""))))</f>
        <v>Float</v>
      </c>
      <c r="I40" s="105" t="str" cm="1">
        <f t="array" ref="I40">IF(A40="","",_xlfn.LET(_xlpm.stn,IFERROR(VLOOKUP(A40,'Job Operations'!$A$4:$AA$304,12,FALSE),""),IF(_xlpm.stn="Clean and Brake",_xlfn.LET(_xlpm.pos,SUMPRODUCT((A$7:A40&lt;&gt;"")*(IFERROR(VLOOKUP(A$7:A40,'Job Operations'!$A$4:$AA$304,12,FALSE),"")="Clean and Brake")),_xlpm.sfx,IF(OR(_xlpm.pos=11,_xlpm.pos=12,_xlpm.pos=13),"th",IF(MOD(_xlpm.pos,10)=1,"st",IF(MOD(_xlpm.pos,10)=2,"nd",IF(MOD(_xlpm.pos,10)=3,"rd","th")))),_xlpm.pos&amp;_xlpm.sfx),IF(ISNUMBER(MATCH(A40,'AXYZ Titans CNC Schedule'!A$7:A$100,0)),"#"&amp;MATCH(A40,'AXYZ Titans CNC Schedule'!A$7:A$100,0)&amp;" on Titans",IF(ISNUMBER(MATCH(A40,'AXYZ CNC Schedule'!A$7:A$100,0)),"#"&amp;MATCH(A40,'AXYZ CNC Schedule'!A$7:A$100,0)&amp;" on AXYZ",IF(_xlpm.stn&lt;&gt;"",_xlpm.stn,""))))))</f>
        <v>#21 on AXYZ</v>
      </c>
      <c r="J40" s="106">
        <f>IF(A40="","",IFERROR(VLOOKUP(A40,'Job Operations'!$A$4:$AA$304,16,FALSE),""))</f>
        <v>46120</v>
      </c>
      <c r="K40" s="105" t="str">
        <f>IF(A40="","",IFERROR(VLOOKUP(A40,'Job Operations'!$A$4:$AA$304,17,FALSE),""))</f>
        <v>Fab</v>
      </c>
      <c r="L40" s="125" t="str">
        <f>IF(A40="","",IF(IFERROR(VLOOKUP(A40,Notes!A:B,2,FALSE),"")=0,"",VLOOKUP(A40,Notes!A:B,2,FALSE)))</f>
        <v>04/16/2026…Float</v>
      </c>
    </row>
    <row r="41" spans="1:12" x14ac:dyDescent="0.25">
      <c r="A41" s="98" t="str">
        <v>25031-RO01</v>
      </c>
      <c r="B41" s="99" t="str">
        <f>IF(A41="","",IFERROR(VLOOKUP(A41,'Job Operations'!$A$4:$AA$304,2,FALSE),""))</f>
        <v>LLU Mars US Warehouse</v>
      </c>
      <c r="C41" s="100" t="str">
        <f>IF(A41="","",IFERROR(VLOOKUP(A41,'Job Operations'!$A$4:$AA$304,3,FALSE),""))</f>
        <v>Laura Forero</v>
      </c>
      <c r="D41" s="100">
        <f>IF(A41="","",IFERROR(VLOOKUP(A41,'Job Operations'!$A$4:$AA$304,5,FALSE),""))</f>
        <v>3</v>
      </c>
      <c r="E41" s="100">
        <f>IF(A41="","",IFERROR(VLOOKUP(A41,'Job Operations'!$A$4:$AA$304,6,FALSE),""))</f>
        <v>3</v>
      </c>
      <c r="F41" s="100" t="str">
        <f>IF(A41="","",IFERROR(VLOOKUP(A41,'Job Operations'!$A$4:$AA$304,7,FALSE),""))</f>
        <v>FR ACM</v>
      </c>
      <c r="G41" s="101">
        <f>IF(A41="","",IFERROR(VLOOKUP(A41,'Job Operations'!$A$4:$AA$304,9,FALSE),""))</f>
        <v>46134</v>
      </c>
      <c r="H41" s="100" t="str" cm="1">
        <f t="array" ref="H41">IF(A41="","",_xlfn.LET(_xlpm.stn,IFERROR(VLOOKUP(A41,'Job Operations'!$A$4:$AA$304,12,FALSE),""),IF(_xlpm.stn="Clean and Brake",_xlfn.LET(_xlpm.pos,SUMPRODUCT((A$7:A41&lt;&gt;"")*(IFERROR(VLOOKUP(A$7:A41,'Job Operations'!$A$4:$AA$304,12,FALSE),"")="Clean and Brake")),_xlpm.sfx,IF(OR(_xlpm.pos=11,_xlpm.pos=12,_xlpm.pos=13),"th",IF(MOD(_xlpm.pos,10)=1,"st",IF(MOD(_xlpm.pos,10)=2,"nd",IF(MOD(_xlpm.pos,10)=3,"rd","th")))),_xlpm.pos&amp;_xlpm.sfx),IF(_xlpm.stn&lt;&gt;"",_xlpm.stn,""))))</f>
        <v>CNC Programming</v>
      </c>
      <c r="I41" s="100" t="str" cm="1">
        <f t="array" ref="I41">IF(A41="","",_xlfn.LET(_xlpm.stn,IFERROR(VLOOKUP(A41,'Job Operations'!$A$4:$AA$304,12,FALSE),""),IF(_xlpm.stn="Clean and Brake",_xlfn.LET(_xlpm.pos,SUMPRODUCT((A$7:A41&lt;&gt;"")*(IFERROR(VLOOKUP(A$7:A41,'Job Operations'!$A$4:$AA$304,12,FALSE),"")="Clean and Brake")),_xlpm.sfx,IF(OR(_xlpm.pos=11,_xlpm.pos=12,_xlpm.pos=13),"th",IF(MOD(_xlpm.pos,10)=1,"st",IF(MOD(_xlpm.pos,10)=2,"nd",IF(MOD(_xlpm.pos,10)=3,"rd","th")))),_xlpm.pos&amp;_xlpm.sfx),IF(ISNUMBER(MATCH(A41,'AXYZ Titans CNC Schedule'!A$7:A$100,0)),"#"&amp;MATCH(A41,'AXYZ Titans CNC Schedule'!A$7:A$100,0)&amp;" on Titans",IF(ISNUMBER(MATCH(A41,'AXYZ CNC Schedule'!A$7:A$100,0)),"#"&amp;MATCH(A41,'AXYZ CNC Schedule'!A$7:A$100,0)&amp;" on AXYZ",IF(_xlpm.stn&lt;&gt;"",_xlpm.stn,""))))))</f>
        <v>CNC Programming</v>
      </c>
      <c r="J41" s="101">
        <f>IF(A41="","",IFERROR(VLOOKUP(A41,'Job Operations'!$A$4:$AA$304,16,FALSE),""))</f>
        <v>46121</v>
      </c>
      <c r="K41" s="100" t="str">
        <f>IF(A41="","",IFERROR(VLOOKUP(A41,'Job Operations'!$A$4:$AA$304,17,FALSE),""))</f>
        <v/>
      </c>
      <c r="L41" s="126" t="str">
        <f>IF(A41="","",IF(IFERROR(VLOOKUP(A41,Notes!A:B,2,FALSE),"")=0,"",VLOOKUP(A41,Notes!A:B,2,FALSE)))</f>
        <v>04/16/2026…CNC Programming</v>
      </c>
    </row>
    <row r="42" spans="1:12" x14ac:dyDescent="0.25">
      <c r="A42" s="103" t="str">
        <v>24051-FS231</v>
      </c>
      <c r="B42" s="104" t="str">
        <f>IF(A42="","",IFERROR(VLOOKUP(A42,'Job Operations'!$A$4:$AA$304,2,FALSE),""))</f>
        <v>TN Titans Stadium</v>
      </c>
      <c r="C42" s="105" t="str">
        <f>IF(A42="","",IFERROR(VLOOKUP(A42,'Job Operations'!$A$4:$AA$304,3,FALSE),""))</f>
        <v>Marc Ribar</v>
      </c>
      <c r="D42" s="105">
        <f>IF(A42="","",IFERROR(VLOOKUP(A42,'Job Operations'!$A$4:$AA$304,5,FALSE),""))</f>
        <v>1</v>
      </c>
      <c r="E42" s="105">
        <f>IF(A42="","",IFERROR(VLOOKUP(A42,'Job Operations'!$A$4:$AA$304,6,FALSE),""))</f>
        <v>0</v>
      </c>
      <c r="F42" s="105" t="str">
        <f>IF(A42="","",IFERROR(VLOOKUP(A42,'Job Operations'!$A$4:$AA$304,7,FALSE),""))</f>
        <v>FR ACM</v>
      </c>
      <c r="G42" s="106">
        <f>IF(A42="","",IFERROR(VLOOKUP(A42,'Job Operations'!$A$4:$AA$304,9,FALSE),""))</f>
        <v>46146</v>
      </c>
      <c r="H42" s="105" t="str" cm="1">
        <f t="array" ref="H42">IF(A42="","",_xlfn.LET(_xlpm.stn,IFERROR(VLOOKUP(A42,'Job Operations'!$A$4:$AA$304,12,FALSE),""),IF(_xlpm.stn="Clean and Brake",_xlfn.LET(_xlpm.pos,SUMPRODUCT((A$7:A42&lt;&gt;"")*(IFERROR(VLOOKUP(A$7:A42,'Job Operations'!$A$4:$AA$304,12,FALSE),"")="Clean and Brake")),_xlpm.sfx,IF(OR(_xlpm.pos=11,_xlpm.pos=12,_xlpm.pos=13),"th",IF(MOD(_xlpm.pos,10)=1,"st",IF(MOD(_xlpm.pos,10)=2,"nd",IF(MOD(_xlpm.pos,10)=3,"rd","th")))),_xlpm.pos&amp;_xlpm.sfx),IF(_xlpm.stn&lt;&gt;"",_xlpm.stn,""))))</f>
        <v>Float</v>
      </c>
      <c r="I42" s="105" t="str" cm="1">
        <f t="array" ref="I42">IF(A42="","",_xlfn.LET(_xlpm.stn,IFERROR(VLOOKUP(A42,'Job Operations'!$A$4:$AA$304,12,FALSE),""),IF(_xlpm.stn="Clean and Brake",_xlfn.LET(_xlpm.pos,SUMPRODUCT((A$7:A42&lt;&gt;"")*(IFERROR(VLOOKUP(A$7:A42,'Job Operations'!$A$4:$AA$304,12,FALSE),"")="Clean and Brake")),_xlpm.sfx,IF(OR(_xlpm.pos=11,_xlpm.pos=12,_xlpm.pos=13),"th",IF(MOD(_xlpm.pos,10)=1,"st",IF(MOD(_xlpm.pos,10)=2,"nd",IF(MOD(_xlpm.pos,10)=3,"rd","th")))),_xlpm.pos&amp;_xlpm.sfx),IF(ISNUMBER(MATCH(A42,'AXYZ Titans CNC Schedule'!A$7:A$100,0)),"#"&amp;MATCH(A42,'AXYZ Titans CNC Schedule'!A$7:A$100,0)&amp;" on Titans",IF(ISNUMBER(MATCH(A42,'AXYZ CNC Schedule'!A$7:A$100,0)),"#"&amp;MATCH(A42,'AXYZ CNC Schedule'!A$7:A$100,0)&amp;" on AXYZ",IF(_xlpm.stn&lt;&gt;"",_xlpm.stn,""))))))</f>
        <v>#24 on AXYZ</v>
      </c>
      <c r="J42" s="106">
        <f>IF(A42="","",IFERROR(VLOOKUP(A42,'Job Operations'!$A$4:$AA$304,16,FALSE),""))</f>
        <v>46122</v>
      </c>
      <c r="K42" s="105" t="str">
        <f>IF(A42="","",IFERROR(VLOOKUP(A42,'Job Operations'!$A$4:$AA$304,17,FALSE),""))</f>
        <v>Fab</v>
      </c>
      <c r="L42" s="125" t="str">
        <f>IF(A42="","",IF(IFERROR(VLOOKUP(A42,Notes!A:B,2,FALSE),"")=0,"",VLOOKUP(A42,Notes!A:B,2,FALSE)))</f>
        <v>04/16/2026…Float</v>
      </c>
    </row>
    <row r="43" spans="1:12" x14ac:dyDescent="0.25">
      <c r="A43" s="98" t="str">
        <v>25002-FS14</v>
      </c>
      <c r="B43" s="99" t="str">
        <f>IF(A43="","",IFERROR(VLOOKUP(A43,'Job Operations'!$A$4:$AA$304,2,FALSE),""))</f>
        <v>Med Center Health</v>
      </c>
      <c r="C43" s="100" t="str">
        <f>IF(A43="","",IFERROR(VLOOKUP(A43,'Job Operations'!$A$4:$AA$304,3,FALSE),""))</f>
        <v>Carlos Silva</v>
      </c>
      <c r="D43" s="100" t="str">
        <f>IF(A43="","",IFERROR(VLOOKUP(A43,'Job Operations'!$A$4:$AA$304,5,FALSE),""))</f>
        <v>00</v>
      </c>
      <c r="E43" s="100">
        <f>IF(A43="","",IFERROR(VLOOKUP(A43,'Job Operations'!$A$4:$AA$304,6,FALSE),""))</f>
        <v>0</v>
      </c>
      <c r="F43" s="100" t="str">
        <f>IF(A43="","",IFERROR(VLOOKUP(A43,'Job Operations'!$A$4:$AA$304,7,FALSE),""))</f>
        <v>FR ACM</v>
      </c>
      <c r="G43" s="101">
        <f>IF(A43="","",IFERROR(VLOOKUP(A43,'Job Operations'!$A$4:$AA$304,9,FALSE),""))</f>
        <v>46146</v>
      </c>
      <c r="H43" s="100" t="str" cm="1">
        <f t="array" ref="H43">IF(A43="","",_xlfn.LET(_xlpm.stn,IFERROR(VLOOKUP(A43,'Job Operations'!$A$4:$AA$304,12,FALSE),""),IF(_xlpm.stn="Clean and Brake",_xlfn.LET(_xlpm.pos,SUMPRODUCT((A$7:A43&lt;&gt;"")*(IFERROR(VLOOKUP(A$7:A43,'Job Operations'!$A$4:$AA$304,12,FALSE),"")="Clean and Brake")),_xlpm.sfx,IF(OR(_xlpm.pos=11,_xlpm.pos=12,_xlpm.pos=13),"th",IF(MOD(_xlpm.pos,10)=1,"st",IF(MOD(_xlpm.pos,10)=2,"nd",IF(MOD(_xlpm.pos,10)=3,"rd","th")))),_xlpm.pos&amp;_xlpm.sfx),IF(_xlpm.stn&lt;&gt;"",_xlpm.stn,""))))</f>
        <v>Evaluation</v>
      </c>
      <c r="I43" s="100" t="str" cm="1">
        <f t="array" ref="I43">IF(A43="","",_xlfn.LET(_xlpm.stn,IFERROR(VLOOKUP(A43,'Job Operations'!$A$4:$AA$304,12,FALSE),""),IF(_xlpm.stn="Clean and Brake",_xlfn.LET(_xlpm.pos,SUMPRODUCT((A$7:A43&lt;&gt;"")*(IFERROR(VLOOKUP(A$7:A43,'Job Operations'!$A$4:$AA$304,12,FALSE),"")="Clean and Brake")),_xlpm.sfx,IF(OR(_xlpm.pos=11,_xlpm.pos=12,_xlpm.pos=13),"th",IF(MOD(_xlpm.pos,10)=1,"st",IF(MOD(_xlpm.pos,10)=2,"nd",IF(MOD(_xlpm.pos,10)=3,"rd","th")))),_xlpm.pos&amp;_xlpm.sfx),IF(ISNUMBER(MATCH(A43,'AXYZ Titans CNC Schedule'!A$7:A$100,0)),"#"&amp;MATCH(A43,'AXYZ Titans CNC Schedule'!A$7:A$100,0)&amp;" on Titans",IF(ISNUMBER(MATCH(A43,'AXYZ CNC Schedule'!A$7:A$100,0)),"#"&amp;MATCH(A43,'AXYZ CNC Schedule'!A$7:A$100,0)&amp;" on AXYZ",IF(_xlpm.stn&lt;&gt;"",_xlpm.stn,""))))))</f>
        <v>#26 on AXYZ</v>
      </c>
      <c r="J43" s="101">
        <f>IF(A43="","",IFERROR(VLOOKUP(A43,'Job Operations'!$A$4:$AA$304,16,FALSE),""))</f>
        <v>46122</v>
      </c>
      <c r="K43" s="100" t="str">
        <f>IF(A43="","",IFERROR(VLOOKUP(A43,'Job Operations'!$A$4:$AA$304,17,FALSE),""))</f>
        <v>Fab</v>
      </c>
      <c r="L43" s="126" t="str">
        <f>IF(A43="","",IF(IFERROR(VLOOKUP(A43,Notes!A:B,2,FALSE),"")=0,"",VLOOKUP(A43,Notes!A:B,2,FALSE)))</f>
        <v>04/16/2026…Evaluation</v>
      </c>
    </row>
    <row r="44" spans="1:12" x14ac:dyDescent="0.25">
      <c r="A44" s="103" t="str">
        <v>25006-FS03</v>
      </c>
      <c r="B44" s="104" t="str">
        <f>IF(A44="","",IFERROR(VLOOKUP(A44,'Job Operations'!$A$4:$AA$304,2,FALSE),""))</f>
        <v>MALETA Housing and Dining</v>
      </c>
      <c r="C44" s="105" t="str">
        <f>IF(A44="","",IFERROR(VLOOKUP(A44,'Job Operations'!$A$4:$AA$304,3,FALSE),""))</f>
        <v>Cole Norona</v>
      </c>
      <c r="D44" s="105">
        <f>IF(A44="","",IFERROR(VLOOKUP(A44,'Job Operations'!$A$4:$AA$304,5,FALSE),""))</f>
        <v>216</v>
      </c>
      <c r="E44" s="105">
        <f>IF(A44="","",IFERROR(VLOOKUP(A44,'Job Operations'!$A$4:$AA$304,6,FALSE),""))</f>
        <v>0</v>
      </c>
      <c r="F44" s="105" t="str">
        <f>IF(A44="","",IFERROR(VLOOKUP(A44,'Job Operations'!$A$4:$AA$304,7,FALSE),""))</f>
        <v>FR ACM</v>
      </c>
      <c r="G44" s="106">
        <f>IF(A44="","",IFERROR(VLOOKUP(A44,'Job Operations'!$A$4:$AA$304,9,FALSE),""))</f>
        <v>46147</v>
      </c>
      <c r="H44" s="105" t="str" cm="1">
        <f t="array" ref="H44">IF(A44="","",_xlfn.LET(_xlpm.stn,IFERROR(VLOOKUP(A44,'Job Operations'!$A$4:$AA$304,12,FALSE),""),IF(_xlpm.stn="Clean and Brake",_xlfn.LET(_xlpm.pos,SUMPRODUCT((A$7:A44&lt;&gt;"")*(IFERROR(VLOOKUP(A$7:A44,'Job Operations'!$A$4:$AA$304,12,FALSE),"")="Clean and Brake")),_xlpm.sfx,IF(OR(_xlpm.pos=11,_xlpm.pos=12,_xlpm.pos=13),"th",IF(MOD(_xlpm.pos,10)=1,"st",IF(MOD(_xlpm.pos,10)=2,"nd",IF(MOD(_xlpm.pos,10)=3,"rd","th")))),_xlpm.pos&amp;_xlpm.sfx),IF(_xlpm.stn&lt;&gt;"",_xlpm.stn,""))))</f>
        <v>Correction</v>
      </c>
      <c r="I44" s="105" t="str" cm="1">
        <f t="array" ref="I44">IF(A44="","",_xlfn.LET(_xlpm.stn,IFERROR(VLOOKUP(A44,'Job Operations'!$A$4:$AA$304,12,FALSE),""),IF(_xlpm.stn="Clean and Brake",_xlfn.LET(_xlpm.pos,SUMPRODUCT((A$7:A44&lt;&gt;"")*(IFERROR(VLOOKUP(A$7:A44,'Job Operations'!$A$4:$AA$304,12,FALSE),"")="Clean and Brake")),_xlpm.sfx,IF(OR(_xlpm.pos=11,_xlpm.pos=12,_xlpm.pos=13),"th",IF(MOD(_xlpm.pos,10)=1,"st",IF(MOD(_xlpm.pos,10)=2,"nd",IF(MOD(_xlpm.pos,10)=3,"rd","th")))),_xlpm.pos&amp;_xlpm.sfx),IF(ISNUMBER(MATCH(A44,'AXYZ Titans CNC Schedule'!A$7:A$100,0)),"#"&amp;MATCH(A44,'AXYZ Titans CNC Schedule'!A$7:A$100,0)&amp;" on Titans",IF(ISNUMBER(MATCH(A44,'AXYZ CNC Schedule'!A$7:A$100,0)),"#"&amp;MATCH(A44,'AXYZ CNC Schedule'!A$7:A$100,0)&amp;" on AXYZ",IF(_xlpm.stn&lt;&gt;"",_xlpm.stn,""))))))</f>
        <v>#23 on AXYZ</v>
      </c>
      <c r="J44" s="106">
        <f>IF(A44="","",IFERROR(VLOOKUP(A44,'Job Operations'!$A$4:$AA$304,16,FALSE),""))</f>
        <v>46123</v>
      </c>
      <c r="K44" s="105" t="str">
        <f>IF(A44="","",IFERROR(VLOOKUP(A44,'Job Operations'!$A$4:$AA$304,17,FALSE),""))</f>
        <v>Fab</v>
      </c>
      <c r="L44" s="125" t="str">
        <f>IF(A44="","",IF(IFERROR(VLOOKUP(A44,Notes!A:B,2,FALSE),"")=0,"",VLOOKUP(A44,Notes!A:B,2,FALSE)))</f>
        <v>Not expected out of engineering before 04/15…Needs to ship 05/12*HOAR*04/16/2026…Correction</v>
      </c>
    </row>
    <row r="45" spans="1:12" x14ac:dyDescent="0.25">
      <c r="A45" s="98" t="str">
        <v>24074-FS08</v>
      </c>
      <c r="B45" s="99" t="str">
        <f>IF(A45="","",IFERROR(VLOOKUP(A45,'Job Operations'!$A$4:$AA$304,2,FALSE),""))</f>
        <v>DIDD ACM</v>
      </c>
      <c r="C45" s="100" t="str">
        <f>IF(A45="","",IFERROR(VLOOKUP(A45,'Job Operations'!$A$4:$AA$304,3,FALSE),""))</f>
        <v>Dillon Bowman</v>
      </c>
      <c r="D45" s="100">
        <f>IF(A45="","",IFERROR(VLOOKUP(A45,'Job Operations'!$A$4:$AA$304,5,FALSE),""))</f>
        <v>186</v>
      </c>
      <c r="E45" s="100">
        <f>IF(A45="","",IFERROR(VLOOKUP(A45,'Job Operations'!$A$4:$AA$304,6,FALSE),""))</f>
        <v>0</v>
      </c>
      <c r="F45" s="100" t="str">
        <f>IF(A45="","",IFERROR(VLOOKUP(A45,'Job Operations'!$A$4:$AA$304,7,FALSE),""))</f>
        <v>FR ACM</v>
      </c>
      <c r="G45" s="101">
        <f>IF(A45="","",IFERROR(VLOOKUP(A45,'Job Operations'!$A$4:$AA$304,9,FALSE),""))</f>
        <v>46149</v>
      </c>
      <c r="H45" s="100" t="str" cm="1">
        <f t="array" ref="H45">IF(A45="","",_xlfn.LET(_xlpm.stn,IFERROR(VLOOKUP(A45,'Job Operations'!$A$4:$AA$304,12,FALSE),""),IF(_xlpm.stn="Clean and Brake",_xlfn.LET(_xlpm.pos,SUMPRODUCT((A$7:A45&lt;&gt;"")*(IFERROR(VLOOKUP(A$7:A45,'Job Operations'!$A$4:$AA$304,12,FALSE),"")="Clean and Brake")),_xlpm.sfx,IF(OR(_xlpm.pos=11,_xlpm.pos=12,_xlpm.pos=13),"th",IF(MOD(_xlpm.pos,10)=1,"st",IF(MOD(_xlpm.pos,10)=2,"nd",IF(MOD(_xlpm.pos,10)=3,"rd","th")))),_xlpm.pos&amp;_xlpm.sfx),IF(_xlpm.stn&lt;&gt;"",_xlpm.stn,""))))</f>
        <v>LO Check</v>
      </c>
      <c r="I45" s="100" t="str" cm="1">
        <f t="array" ref="I45">IF(A45="","",_xlfn.LET(_xlpm.stn,IFERROR(VLOOKUP(A45,'Job Operations'!$A$4:$AA$304,12,FALSE),""),IF(_xlpm.stn="Clean and Brake",_xlfn.LET(_xlpm.pos,SUMPRODUCT((A$7:A45&lt;&gt;"")*(IFERROR(VLOOKUP(A$7:A45,'Job Operations'!$A$4:$AA$304,12,FALSE),"")="Clean and Brake")),_xlpm.sfx,IF(OR(_xlpm.pos=11,_xlpm.pos=12,_xlpm.pos=13),"th",IF(MOD(_xlpm.pos,10)=1,"st",IF(MOD(_xlpm.pos,10)=2,"nd",IF(MOD(_xlpm.pos,10)=3,"rd","th")))),_xlpm.pos&amp;_xlpm.sfx),IF(ISNUMBER(MATCH(A45,'AXYZ Titans CNC Schedule'!A$7:A$100,0)),"#"&amp;MATCH(A45,'AXYZ Titans CNC Schedule'!A$7:A$100,0)&amp;" on Titans",IF(ISNUMBER(MATCH(A45,'AXYZ CNC Schedule'!A$7:A$100,0)),"#"&amp;MATCH(A45,'AXYZ CNC Schedule'!A$7:A$100,0)&amp;" on AXYZ",IF(_xlpm.stn&lt;&gt;"",_xlpm.stn,""))))))</f>
        <v>#25 on AXYZ</v>
      </c>
      <c r="J45" s="101">
        <f>IF(A45="","",IFERROR(VLOOKUP(A45,'Job Operations'!$A$4:$AA$304,16,FALSE),""))</f>
        <v>46126</v>
      </c>
      <c r="K45" s="100" t="str">
        <f>IF(A45="","",IFERROR(VLOOKUP(A45,'Job Operations'!$A$4:$AA$304,17,FALSE),""))</f>
        <v>Fab</v>
      </c>
      <c r="L45" s="126" t="str">
        <f>IF(A45="","",IF(IFERROR(VLOOKUP(A45,Notes!A:B,2,FALSE),"")=0,"",VLOOKUP(A45,Notes!A:B,2,FALSE)))</f>
        <v>04/16/2026…LO Check</v>
      </c>
    </row>
    <row r="46" spans="1:12" x14ac:dyDescent="0.25">
      <c r="A46" s="103" t="str">
        <v>25006-FS05</v>
      </c>
      <c r="B46" s="104" t="str">
        <f>IF(A46="","",IFERROR(VLOOKUP(A46,'Job Operations'!$A$4:$AA$304,2,FALSE),""))</f>
        <v>MALETA Housing and Dining</v>
      </c>
      <c r="C46" s="105" t="str">
        <f>IF(A46="","",IFERROR(VLOOKUP(A46,'Job Operations'!$A$4:$AA$304,3,FALSE),""))</f>
        <v>Cole Norona</v>
      </c>
      <c r="D46" s="105">
        <f>IF(A46="","",IFERROR(VLOOKUP(A46,'Job Operations'!$A$4:$AA$304,5,FALSE),""))</f>
        <v>18</v>
      </c>
      <c r="E46" s="105">
        <f>IF(A46="","",IFERROR(VLOOKUP(A46,'Job Operations'!$A$4:$AA$304,6,FALSE),""))</f>
        <v>0</v>
      </c>
      <c r="F46" s="105" t="str">
        <f>IF(A46="","",IFERROR(VLOOKUP(A46,'Job Operations'!$A$4:$AA$304,7,FALSE),""))</f>
        <v>FR ACM</v>
      </c>
      <c r="G46" s="106">
        <f>IF(A46="","",IFERROR(VLOOKUP(A46,'Job Operations'!$A$4:$AA$304,9,FALSE),""))</f>
        <v>46153</v>
      </c>
      <c r="H46" s="105" t="str" cm="1">
        <f t="array" ref="H46">IF(A46="","",_xlfn.LET(_xlpm.stn,IFERROR(VLOOKUP(A46,'Job Operations'!$A$4:$AA$304,12,FALSE),""),IF(_xlpm.stn="Clean and Brake",_xlfn.LET(_xlpm.pos,SUMPRODUCT((A$7:A46&lt;&gt;"")*(IFERROR(VLOOKUP(A$7:A46,'Job Operations'!$A$4:$AA$304,12,FALSE),"")="Clean and Brake")),_xlpm.sfx,IF(OR(_xlpm.pos=11,_xlpm.pos=12,_xlpm.pos=13),"th",IF(MOD(_xlpm.pos,10)=1,"st",IF(MOD(_xlpm.pos,10)=2,"nd",IF(MOD(_xlpm.pos,10)=3,"rd","th")))),_xlpm.pos&amp;_xlpm.sfx),IF(_xlpm.stn&lt;&gt;"",_xlpm.stn,""))))</f>
        <v>LO Check</v>
      </c>
      <c r="I46" s="105" t="str" cm="1">
        <f t="array" ref="I46">IF(A46="","",_xlfn.LET(_xlpm.stn,IFERROR(VLOOKUP(A46,'Job Operations'!$A$4:$AA$304,12,FALSE),""),IF(_xlpm.stn="Clean and Brake",_xlfn.LET(_xlpm.pos,SUMPRODUCT((A$7:A46&lt;&gt;"")*(IFERROR(VLOOKUP(A$7:A46,'Job Operations'!$A$4:$AA$304,12,FALSE),"")="Clean and Brake")),_xlpm.sfx,IF(OR(_xlpm.pos=11,_xlpm.pos=12,_xlpm.pos=13),"th",IF(MOD(_xlpm.pos,10)=1,"st",IF(MOD(_xlpm.pos,10)=2,"nd",IF(MOD(_xlpm.pos,10)=3,"rd","th")))),_xlpm.pos&amp;_xlpm.sfx),IF(ISNUMBER(MATCH(A46,'AXYZ Titans CNC Schedule'!A$7:A$100,0)),"#"&amp;MATCH(A46,'AXYZ Titans CNC Schedule'!A$7:A$100,0)&amp;" on Titans",IF(ISNUMBER(MATCH(A46,'AXYZ CNC Schedule'!A$7:A$100,0)),"#"&amp;MATCH(A46,'AXYZ CNC Schedule'!A$7:A$100,0)&amp;" on AXYZ",IF(_xlpm.stn&lt;&gt;"",_xlpm.stn,""))))))</f>
        <v>#29 on AXYZ</v>
      </c>
      <c r="J46" s="106">
        <f>IF(A46="","",IFERROR(VLOOKUP(A46,'Job Operations'!$A$4:$AA$304,16,FALSE),""))</f>
        <v>46129</v>
      </c>
      <c r="K46" s="105" t="str">
        <f>IF(A46="","",IFERROR(VLOOKUP(A46,'Job Operations'!$A$4:$AA$304,17,FALSE),""))</f>
        <v>Fab</v>
      </c>
      <c r="L46" s="125" t="str">
        <f>IF(A46="","",IF(IFERROR(VLOOKUP(A46,Notes!A:B,2,FALSE),"")=0,"",VLOOKUP(A46,Notes!A:B,2,FALSE)))</f>
        <v>Not expected out of engineering before 04/17…Needs to ship 05/12*HOAR*04/16/2026…LO Check</v>
      </c>
    </row>
    <row r="47" spans="1:12" x14ac:dyDescent="0.25">
      <c r="A47" s="98" t="str">
        <v>24079-FS103</v>
      </c>
      <c r="B47" s="99" t="str">
        <f>IF(A47="","",IFERROR(VLOOKUP(A47,'Job Operations'!$A$4:$AA$304,2,FALSE),""))</f>
        <v>Nashville Youth Campus</v>
      </c>
      <c r="C47" s="100" t="str">
        <f>IF(A47="","",IFERROR(VLOOKUP(A47,'Job Operations'!$A$4:$AA$304,3,FALSE),""))</f>
        <v>Joe Hoyle</v>
      </c>
      <c r="D47" s="100">
        <f>IF(A47="","",IFERROR(VLOOKUP(A47,'Job Operations'!$A$4:$AA$304,5,FALSE),""))</f>
        <v>111</v>
      </c>
      <c r="E47" s="100">
        <f>IF(A47="","",IFERROR(VLOOKUP(A47,'Job Operations'!$A$4:$AA$304,6,FALSE),""))</f>
        <v>0</v>
      </c>
      <c r="F47" s="100" t="str">
        <f>IF(A47="","",IFERROR(VLOOKUP(A47,'Job Operations'!$A$4:$AA$304,7,FALSE),""))</f>
        <v>FR ACM</v>
      </c>
      <c r="G47" s="101">
        <f>IF(A47="","",IFERROR(VLOOKUP(A47,'Job Operations'!$A$4:$AA$304,9,FALSE),""))</f>
        <v>46153</v>
      </c>
      <c r="H47" s="100" t="str" cm="1">
        <f t="array" ref="H47">IF(A47="","",_xlfn.LET(_xlpm.stn,IFERROR(VLOOKUP(A47,'Job Operations'!$A$4:$AA$304,12,FALSE),""),IF(_xlpm.stn="Clean and Brake",_xlfn.LET(_xlpm.pos,SUMPRODUCT((A$7:A47&lt;&gt;"")*(IFERROR(VLOOKUP(A$7:A47,'Job Operations'!$A$4:$AA$304,12,FALSE),"")="Clean and Brake")),_xlpm.sfx,IF(OR(_xlpm.pos=11,_xlpm.pos=12,_xlpm.pos=13),"th",IF(MOD(_xlpm.pos,10)=1,"st",IF(MOD(_xlpm.pos,10)=2,"nd",IF(MOD(_xlpm.pos,10)=3,"rd","th")))),_xlpm.pos&amp;_xlpm.sfx),IF(_xlpm.stn&lt;&gt;"",_xlpm.stn,""))))</f>
        <v>LO Check</v>
      </c>
      <c r="I47" s="100" t="str" cm="1">
        <f t="array" ref="I47">IF(A47="","",_xlfn.LET(_xlpm.stn,IFERROR(VLOOKUP(A47,'Job Operations'!$A$4:$AA$304,12,FALSE),""),IF(_xlpm.stn="Clean and Brake",_xlfn.LET(_xlpm.pos,SUMPRODUCT((A$7:A47&lt;&gt;"")*(IFERROR(VLOOKUP(A$7:A47,'Job Operations'!$A$4:$AA$304,12,FALSE),"")="Clean and Brake")),_xlpm.sfx,IF(OR(_xlpm.pos=11,_xlpm.pos=12,_xlpm.pos=13),"th",IF(MOD(_xlpm.pos,10)=1,"st",IF(MOD(_xlpm.pos,10)=2,"nd",IF(MOD(_xlpm.pos,10)=3,"rd","th")))),_xlpm.pos&amp;_xlpm.sfx),IF(ISNUMBER(MATCH(A47,'AXYZ Titans CNC Schedule'!A$7:A$100,0)),"#"&amp;MATCH(A47,'AXYZ Titans CNC Schedule'!A$7:A$100,0)&amp;" on Titans",IF(ISNUMBER(MATCH(A47,'AXYZ CNC Schedule'!A$7:A$100,0)),"#"&amp;MATCH(A47,'AXYZ CNC Schedule'!A$7:A$100,0)&amp;" on AXYZ",IF(_xlpm.stn&lt;&gt;"",_xlpm.stn,""))))))</f>
        <v>#27 on AXYZ</v>
      </c>
      <c r="J47" s="101">
        <f>IF(A47="","",IFERROR(VLOOKUP(A47,'Job Operations'!$A$4:$AA$304,16,FALSE),""))</f>
        <v>46129</v>
      </c>
      <c r="K47" s="100" t="str">
        <f>IF(A47="","",IFERROR(VLOOKUP(A47,'Job Operations'!$A$4:$AA$304,17,FALSE),""))</f>
        <v>Fab</v>
      </c>
      <c r="L47" s="126" t="str">
        <f>IF(A47="","",IF(IFERROR(VLOOKUP(A47,Notes!A:B,2,FALSE),"")=0,"",VLOOKUP(A47,Notes!A:B,2,FALSE)))</f>
        <v>04/16/2026…LO Check</v>
      </c>
    </row>
    <row r="48" spans="1:12" x14ac:dyDescent="0.25">
      <c r="A48" s="103" t="str">
        <v>25010-FS09</v>
      </c>
      <c r="B48" s="104" t="str">
        <f>IF(A48="","",IFERROR(VLOOKUP(A48,'Job Operations'!$A$4:$AA$304,2,FALSE),""))</f>
        <v>TOA Spring Hill MOB</v>
      </c>
      <c r="C48" s="105" t="str">
        <f>IF(A48="","",IFERROR(VLOOKUP(A48,'Job Operations'!$A$4:$AA$304,3,FALSE),""))</f>
        <v>Cole Norona</v>
      </c>
      <c r="D48" s="105">
        <f>IF(A48="","",IFERROR(VLOOKUP(A48,'Job Operations'!$A$4:$AA$304,5,FALSE),""))</f>
        <v>111</v>
      </c>
      <c r="E48" s="105">
        <f>IF(A48="","",IFERROR(VLOOKUP(A48,'Job Operations'!$A$4:$AA$304,6,FALSE),""))</f>
        <v>0</v>
      </c>
      <c r="F48" s="105" t="str">
        <f>IF(A48="","",IFERROR(VLOOKUP(A48,'Job Operations'!$A$4:$AA$304,7,FALSE),""))</f>
        <v>FR ACM</v>
      </c>
      <c r="G48" s="106">
        <f>IF(A48="","",IFERROR(VLOOKUP(A48,'Job Operations'!$A$4:$AA$304,9,FALSE),""))</f>
        <v>46153</v>
      </c>
      <c r="H48" s="105" t="str" cm="1">
        <f t="array" ref="H48">IF(A48="","",_xlfn.LET(_xlpm.stn,IFERROR(VLOOKUP(A48,'Job Operations'!$A$4:$AA$304,12,FALSE),""),IF(_xlpm.stn="Clean and Brake",_xlfn.LET(_xlpm.pos,SUMPRODUCT((A$7:A48&lt;&gt;"")*(IFERROR(VLOOKUP(A$7:A48,'Job Operations'!$A$4:$AA$304,12,FALSE),"")="Clean and Brake")),_xlpm.sfx,IF(OR(_xlpm.pos=11,_xlpm.pos=12,_xlpm.pos=13),"th",IF(MOD(_xlpm.pos,10)=1,"st",IF(MOD(_xlpm.pos,10)=2,"nd",IF(MOD(_xlpm.pos,10)=3,"rd","th")))),_xlpm.pos&amp;_xlpm.sfx),IF(_xlpm.stn&lt;&gt;"",_xlpm.stn,""))))</f>
        <v>Correction</v>
      </c>
      <c r="I48" s="105" t="str" cm="1">
        <f t="array" ref="I48">IF(A48="","",_xlfn.LET(_xlpm.stn,IFERROR(VLOOKUP(A48,'Job Operations'!$A$4:$AA$304,12,FALSE),""),IF(_xlpm.stn="Clean and Brake",_xlfn.LET(_xlpm.pos,SUMPRODUCT((A$7:A48&lt;&gt;"")*(IFERROR(VLOOKUP(A$7:A48,'Job Operations'!$A$4:$AA$304,12,FALSE),"")="Clean and Brake")),_xlpm.sfx,IF(OR(_xlpm.pos=11,_xlpm.pos=12,_xlpm.pos=13),"th",IF(MOD(_xlpm.pos,10)=1,"st",IF(MOD(_xlpm.pos,10)=2,"nd",IF(MOD(_xlpm.pos,10)=3,"rd","th")))),_xlpm.pos&amp;_xlpm.sfx),IF(ISNUMBER(MATCH(A48,'AXYZ Titans CNC Schedule'!A$7:A$100,0)),"#"&amp;MATCH(A48,'AXYZ Titans CNC Schedule'!A$7:A$100,0)&amp;" on Titans",IF(ISNUMBER(MATCH(A48,'AXYZ CNC Schedule'!A$7:A$100,0)),"#"&amp;MATCH(A48,'AXYZ CNC Schedule'!A$7:A$100,0)&amp;" on AXYZ",IF(_xlpm.stn&lt;&gt;"",_xlpm.stn,""))))))</f>
        <v>#28 on AXYZ</v>
      </c>
      <c r="J48" s="106">
        <f>IF(A48="","",IFERROR(VLOOKUP(A48,'Job Operations'!$A$4:$AA$304,16,FALSE),""))</f>
        <v>46129</v>
      </c>
      <c r="K48" s="105" t="str">
        <f>IF(A48="","",IFERROR(VLOOKUP(A48,'Job Operations'!$A$4:$AA$304,17,FALSE),""))</f>
        <v>Fab</v>
      </c>
      <c r="L48" s="125" t="str">
        <f>IF(A48="","",IF(IFERROR(VLOOKUP(A48,Notes!A:B,2,FALSE),"")=0,"",VLOOKUP(A48,Notes!A:B,2,FALSE)))</f>
        <v>04/16/2026…Correction</v>
      </c>
    </row>
    <row r="49" spans="1:12" x14ac:dyDescent="0.25">
      <c r="A49" s="98" t="str">
        <v>25002-FS15</v>
      </c>
      <c r="B49" s="99" t="str">
        <f>IF(A49="","",IFERROR(VLOOKUP(A49,'Job Operations'!$A$4:$AA$304,2,FALSE),""))</f>
        <v>Med Center Health</v>
      </c>
      <c r="C49" s="100" t="str">
        <f>IF(A49="","",IFERROR(VLOOKUP(A49,'Job Operations'!$A$4:$AA$304,3,FALSE),""))</f>
        <v>Carlos Silva</v>
      </c>
      <c r="D49" s="100">
        <f>IF(A49="","",IFERROR(VLOOKUP(A49,'Job Operations'!$A$4:$AA$304,5,FALSE),""))</f>
        <v>12</v>
      </c>
      <c r="E49" s="100">
        <f>IF(A49="","",IFERROR(VLOOKUP(A49,'Job Operations'!$A$4:$AA$304,6,FALSE),""))</f>
        <v>0</v>
      </c>
      <c r="F49" s="100" t="str">
        <f>IF(A49="","",IFERROR(VLOOKUP(A49,'Job Operations'!$A$4:$AA$304,7,FALSE),""))</f>
        <v>FR ACM</v>
      </c>
      <c r="G49" s="101">
        <f>IF(A49="","",IFERROR(VLOOKUP(A49,'Job Operations'!$A$4:$AA$304,9,FALSE),""))</f>
        <v>46153</v>
      </c>
      <c r="H49" s="100" t="str" cm="1">
        <f t="array" ref="H49">IF(A49="","",_xlfn.LET(_xlpm.stn,IFERROR(VLOOKUP(A49,'Job Operations'!$A$4:$AA$304,12,FALSE),""),IF(_xlpm.stn="Clean and Brake",_xlfn.LET(_xlpm.pos,SUMPRODUCT((A$7:A49&lt;&gt;"")*(IFERROR(VLOOKUP(A$7:A49,'Job Operations'!$A$4:$AA$304,12,FALSE),"")="Clean and Brake")),_xlpm.sfx,IF(OR(_xlpm.pos=11,_xlpm.pos=12,_xlpm.pos=13),"th",IF(MOD(_xlpm.pos,10)=1,"st",IF(MOD(_xlpm.pos,10)=2,"nd",IF(MOD(_xlpm.pos,10)=3,"rd","th")))),_xlpm.pos&amp;_xlpm.sfx),IF(_xlpm.stn&lt;&gt;"",_xlpm.stn,""))))</f>
        <v>Evaluation</v>
      </c>
      <c r="I49" s="100" t="str" cm="1">
        <f t="array" ref="I49">IF(A49="","",_xlfn.LET(_xlpm.stn,IFERROR(VLOOKUP(A49,'Job Operations'!$A$4:$AA$304,12,FALSE),""),IF(_xlpm.stn="Clean and Brake",_xlfn.LET(_xlpm.pos,SUMPRODUCT((A$7:A49&lt;&gt;"")*(IFERROR(VLOOKUP(A$7:A49,'Job Operations'!$A$4:$AA$304,12,FALSE),"")="Clean and Brake")),_xlpm.sfx,IF(OR(_xlpm.pos=11,_xlpm.pos=12,_xlpm.pos=13),"th",IF(MOD(_xlpm.pos,10)=1,"st",IF(MOD(_xlpm.pos,10)=2,"nd",IF(MOD(_xlpm.pos,10)=3,"rd","th")))),_xlpm.pos&amp;_xlpm.sfx),IF(ISNUMBER(MATCH(A49,'AXYZ Titans CNC Schedule'!A$7:A$100,0)),"#"&amp;MATCH(A49,'AXYZ Titans CNC Schedule'!A$7:A$100,0)&amp;" on Titans",IF(ISNUMBER(MATCH(A49,'AXYZ CNC Schedule'!A$7:A$100,0)),"#"&amp;MATCH(A49,'AXYZ CNC Schedule'!A$7:A$100,0)&amp;" on AXYZ",IF(_xlpm.stn&lt;&gt;"",_xlpm.stn,""))))))</f>
        <v>#30 on AXYZ</v>
      </c>
      <c r="J49" s="101">
        <f>IF(A49="","",IFERROR(VLOOKUP(A49,'Job Operations'!$A$4:$AA$304,16,FALSE),""))</f>
        <v>46129</v>
      </c>
      <c r="K49" s="100" t="str">
        <f>IF(A49="","",IFERROR(VLOOKUP(A49,'Job Operations'!$A$4:$AA$304,17,FALSE),""))</f>
        <v>Fab</v>
      </c>
      <c r="L49" s="126" t="str">
        <f>IF(A49="","",IF(IFERROR(VLOOKUP(A49,Notes!A:B,2,FALSE),"")=0,"",VLOOKUP(A49,Notes!A:B,2,FALSE)))</f>
        <v>04/16/2026…Evaluation</v>
      </c>
    </row>
    <row r="50" spans="1:12" x14ac:dyDescent="0.25">
      <c r="A50" s="103" t="str">
        <v>24074-FS09</v>
      </c>
      <c r="B50" s="104" t="str">
        <f>IF(A50="","",IFERROR(VLOOKUP(A50,'Job Operations'!$A$4:$AA$304,2,FALSE),""))</f>
        <v>DIDD ACM</v>
      </c>
      <c r="C50" s="105" t="str">
        <f>IF(A50="","",IFERROR(VLOOKUP(A50,'Job Operations'!$A$4:$AA$304,3,FALSE),""))</f>
        <v>Dillon Bowman</v>
      </c>
      <c r="D50" s="105">
        <f>IF(A50="","",IFERROR(VLOOKUP(A50,'Job Operations'!$A$4:$AA$304,5,FALSE),""))</f>
        <v>120</v>
      </c>
      <c r="E50" s="105">
        <f>IF(A50="","",IFERROR(VLOOKUP(A50,'Job Operations'!$A$4:$AA$304,6,FALSE),""))</f>
        <v>0</v>
      </c>
      <c r="F50" s="105" t="str">
        <f>IF(A50="","",IFERROR(VLOOKUP(A50,'Job Operations'!$A$4:$AA$304,7,FALSE),""))</f>
        <v>FR ACM</v>
      </c>
      <c r="G50" s="106">
        <f>IF(A50="","",IFERROR(VLOOKUP(A50,'Job Operations'!$A$4:$AA$304,9,FALSE),""))</f>
        <v>46156</v>
      </c>
      <c r="H50" s="105" t="str" cm="1">
        <f t="array" ref="H50">IF(A50="","",_xlfn.LET(_xlpm.stn,IFERROR(VLOOKUP(A50,'Job Operations'!$A$4:$AA$304,12,FALSE),""),IF(_xlpm.stn="Clean and Brake",_xlfn.LET(_xlpm.pos,SUMPRODUCT((A$7:A50&lt;&gt;"")*(IFERROR(VLOOKUP(A$7:A50,'Job Operations'!$A$4:$AA$304,12,FALSE),"")="Clean and Brake")),_xlpm.sfx,IF(OR(_xlpm.pos=11,_xlpm.pos=12,_xlpm.pos=13),"th",IF(MOD(_xlpm.pos,10)=1,"st",IF(MOD(_xlpm.pos,10)=2,"nd",IF(MOD(_xlpm.pos,10)=3,"rd","th")))),_xlpm.pos&amp;_xlpm.sfx),IF(_xlpm.stn&lt;&gt;"",_xlpm.stn,""))))</f>
        <v>LO Check</v>
      </c>
      <c r="I50" s="105" t="str" cm="1">
        <f t="array" ref="I50">IF(A50="","",_xlfn.LET(_xlpm.stn,IFERROR(VLOOKUP(A50,'Job Operations'!$A$4:$AA$304,12,FALSE),""),IF(_xlpm.stn="Clean and Brake",_xlfn.LET(_xlpm.pos,SUMPRODUCT((A$7:A50&lt;&gt;"")*(IFERROR(VLOOKUP(A$7:A50,'Job Operations'!$A$4:$AA$304,12,FALSE),"")="Clean and Brake")),_xlpm.sfx,IF(OR(_xlpm.pos=11,_xlpm.pos=12,_xlpm.pos=13),"th",IF(MOD(_xlpm.pos,10)=1,"st",IF(MOD(_xlpm.pos,10)=2,"nd",IF(MOD(_xlpm.pos,10)=3,"rd","th")))),_xlpm.pos&amp;_xlpm.sfx),IF(ISNUMBER(MATCH(A50,'AXYZ Titans CNC Schedule'!A$7:A$100,0)),"#"&amp;MATCH(A50,'AXYZ Titans CNC Schedule'!A$7:A$100,0)&amp;" on Titans",IF(ISNUMBER(MATCH(A50,'AXYZ CNC Schedule'!A$7:A$100,0)),"#"&amp;MATCH(A50,'AXYZ CNC Schedule'!A$7:A$100,0)&amp;" on AXYZ",IF(_xlpm.stn&lt;&gt;"",_xlpm.stn,""))))))</f>
        <v>#32 on AXYZ</v>
      </c>
      <c r="J50" s="106">
        <f>IF(A50="","",IFERROR(VLOOKUP(A50,'Job Operations'!$A$4:$AA$304,16,FALSE),""))</f>
        <v>46133</v>
      </c>
      <c r="K50" s="105" t="str">
        <f>IF(A50="","",IFERROR(VLOOKUP(A50,'Job Operations'!$A$4:$AA$304,17,FALSE),""))</f>
        <v>Fab</v>
      </c>
      <c r="L50" s="125" t="str">
        <f>IF(A50="","",IF(IFERROR(VLOOKUP(A50,Notes!A:B,2,FALSE),"")=0,"",VLOOKUP(A50,Notes!A:B,2,FALSE)))</f>
        <v>04/16/2026…LO Check</v>
      </c>
    </row>
    <row r="51" spans="1:12" x14ac:dyDescent="0.25">
      <c r="A51" s="98" t="str">
        <v>25006-FS04</v>
      </c>
      <c r="B51" s="99" t="str">
        <f>IF(A51="","",IFERROR(VLOOKUP(A51,'Job Operations'!$A$4:$AA$304,2,FALSE),""))</f>
        <v>MALETA Housing and Dining</v>
      </c>
      <c r="C51" s="100" t="str">
        <f>IF(A51="","",IFERROR(VLOOKUP(A51,'Job Operations'!$A$4:$AA$304,3,FALSE),""))</f>
        <v>Cole Norona</v>
      </c>
      <c r="D51" s="100">
        <f>IF(A51="","",IFERROR(VLOOKUP(A51,'Job Operations'!$A$4:$AA$304,5,FALSE),""))</f>
        <v>232</v>
      </c>
      <c r="E51" s="100">
        <f>IF(A51="","",IFERROR(VLOOKUP(A51,'Job Operations'!$A$4:$AA$304,6,FALSE),""))</f>
        <v>0</v>
      </c>
      <c r="F51" s="100" t="str">
        <f>IF(A51="","",IFERROR(VLOOKUP(A51,'Job Operations'!$A$4:$AA$304,7,FALSE),""))</f>
        <v>FR ACM</v>
      </c>
      <c r="G51" s="101">
        <f>IF(A51="","",IFERROR(VLOOKUP(A51,'Job Operations'!$A$4:$AA$304,9,FALSE),""))</f>
        <v>46157</v>
      </c>
      <c r="H51" s="100" t="str" cm="1">
        <f t="array" ref="H51">IF(A51="","",_xlfn.LET(_xlpm.stn,IFERROR(VLOOKUP(A51,'Job Operations'!$A$4:$AA$304,12,FALSE),""),IF(_xlpm.stn="Clean and Brake",_xlfn.LET(_xlpm.pos,SUMPRODUCT((A$7:A51&lt;&gt;"")*(IFERROR(VLOOKUP(A$7:A51,'Job Operations'!$A$4:$AA$304,12,FALSE),"")="Clean and Brake")),_xlpm.sfx,IF(OR(_xlpm.pos=11,_xlpm.pos=12,_xlpm.pos=13),"th",IF(MOD(_xlpm.pos,10)=1,"st",IF(MOD(_xlpm.pos,10)=2,"nd",IF(MOD(_xlpm.pos,10)=3,"rd","th")))),_xlpm.pos&amp;_xlpm.sfx),IF(_xlpm.stn&lt;&gt;"",_xlpm.stn,""))))</f>
        <v>LO Check</v>
      </c>
      <c r="I51" s="100" t="str" cm="1">
        <f t="array" ref="I51">IF(A51="","",_xlfn.LET(_xlpm.stn,IFERROR(VLOOKUP(A51,'Job Operations'!$A$4:$AA$304,12,FALSE),""),IF(_xlpm.stn="Clean and Brake",_xlfn.LET(_xlpm.pos,SUMPRODUCT((A$7:A51&lt;&gt;"")*(IFERROR(VLOOKUP(A$7:A51,'Job Operations'!$A$4:$AA$304,12,FALSE),"")="Clean and Brake")),_xlpm.sfx,IF(OR(_xlpm.pos=11,_xlpm.pos=12,_xlpm.pos=13),"th",IF(MOD(_xlpm.pos,10)=1,"st",IF(MOD(_xlpm.pos,10)=2,"nd",IF(MOD(_xlpm.pos,10)=3,"rd","th")))),_xlpm.pos&amp;_xlpm.sfx),IF(ISNUMBER(MATCH(A51,'AXYZ Titans CNC Schedule'!A$7:A$100,0)),"#"&amp;MATCH(A51,'AXYZ Titans CNC Schedule'!A$7:A$100,0)&amp;" on Titans",IF(ISNUMBER(MATCH(A51,'AXYZ CNC Schedule'!A$7:A$100,0)),"#"&amp;MATCH(A51,'AXYZ CNC Schedule'!A$7:A$100,0)&amp;" on AXYZ",IF(_xlpm.stn&lt;&gt;"",_xlpm.stn,""))))))</f>
        <v>#31 on AXYZ</v>
      </c>
      <c r="J51" s="101">
        <f>IF(A51="","",IFERROR(VLOOKUP(A51,'Job Operations'!$A$4:$AA$304,16,FALSE),""))</f>
        <v>46134</v>
      </c>
      <c r="K51" s="100" t="str">
        <f>IF(A51="","",IFERROR(VLOOKUP(A51,'Job Operations'!$A$4:$AA$304,17,FALSE),""))</f>
        <v>Fab</v>
      </c>
      <c r="L51" s="126" t="str">
        <f>IF(A51="","",IF(IFERROR(VLOOKUP(A51,Notes!A:B,2,FALSE),"")=0,"",VLOOKUP(A51,Notes!A:B,2,FALSE)))</f>
        <v>HOAR*04/16/2026…LO Check</v>
      </c>
    </row>
    <row r="52" spans="1:12" x14ac:dyDescent="0.25">
      <c r="A52" s="103" t="str">
        <v>25041-FS02</v>
      </c>
      <c r="B52" s="104" t="str">
        <f>IF(A52="","",IFERROR(VLOOKUP(A52,'Job Operations'!$A$4:$AA$304,2,FALSE),""))</f>
        <v>Wedgewood Bldg E</v>
      </c>
      <c r="C52" s="105" t="str">
        <f>IF(A52="","",IFERROR(VLOOKUP(A52,'Job Operations'!$A$4:$AA$304,3,FALSE),""))</f>
        <v>Wylie McDougall</v>
      </c>
      <c r="D52" s="105">
        <f>IF(A52="","",IFERROR(VLOOKUP(A52,'Job Operations'!$A$4:$AA$304,5,FALSE),""))</f>
        <v>31</v>
      </c>
      <c r="E52" s="105">
        <f>IF(A52="","",IFERROR(VLOOKUP(A52,'Job Operations'!$A$4:$AA$304,6,FALSE),""))</f>
        <v>0</v>
      </c>
      <c r="F52" s="105" t="str">
        <f>IF(A52="","",IFERROR(VLOOKUP(A52,'Job Operations'!$A$4:$AA$304,7,FALSE),""))</f>
        <v>FR ACM</v>
      </c>
      <c r="G52" s="106">
        <f>IF(A52="","",IFERROR(VLOOKUP(A52,'Job Operations'!$A$4:$AA$304,9,FALSE),""))</f>
        <v>46168</v>
      </c>
      <c r="H52" s="105" t="str" cm="1">
        <f t="array" ref="H52">IF(A52="","",_xlfn.LET(_xlpm.stn,IFERROR(VLOOKUP(A52,'Job Operations'!$A$4:$AA$304,12,FALSE),""),IF(_xlpm.stn="Clean and Brake",_xlfn.LET(_xlpm.pos,SUMPRODUCT((A$7:A52&lt;&gt;"")*(IFERROR(VLOOKUP(A$7:A52,'Job Operations'!$A$4:$AA$304,12,FALSE),"")="Clean and Brake")),_xlpm.sfx,IF(OR(_xlpm.pos=11,_xlpm.pos=12,_xlpm.pos=13),"th",IF(MOD(_xlpm.pos,10)=1,"st",IF(MOD(_xlpm.pos,10)=2,"nd",IF(MOD(_xlpm.pos,10)=3,"rd","th")))),_xlpm.pos&amp;_xlpm.sfx),IF(_xlpm.stn&lt;&gt;"",_xlpm.stn,""))))</f>
        <v>LO</v>
      </c>
      <c r="I52" s="105" t="str" cm="1">
        <f t="array" ref="I52">IF(A52="","",_xlfn.LET(_xlpm.stn,IFERROR(VLOOKUP(A52,'Job Operations'!$A$4:$AA$304,12,FALSE),""),IF(_xlpm.stn="Clean and Brake",_xlfn.LET(_xlpm.pos,SUMPRODUCT((A$7:A52&lt;&gt;"")*(IFERROR(VLOOKUP(A$7:A52,'Job Operations'!$A$4:$AA$304,12,FALSE),"")="Clean and Brake")),_xlpm.sfx,IF(OR(_xlpm.pos=11,_xlpm.pos=12,_xlpm.pos=13),"th",IF(MOD(_xlpm.pos,10)=1,"st",IF(MOD(_xlpm.pos,10)=2,"nd",IF(MOD(_xlpm.pos,10)=3,"rd","th")))),_xlpm.pos&amp;_xlpm.sfx),IF(ISNUMBER(MATCH(A52,'AXYZ Titans CNC Schedule'!A$7:A$100,0)),"#"&amp;MATCH(A52,'AXYZ Titans CNC Schedule'!A$7:A$100,0)&amp;" on Titans",IF(ISNUMBER(MATCH(A52,'AXYZ CNC Schedule'!A$7:A$100,0)),"#"&amp;MATCH(A52,'AXYZ CNC Schedule'!A$7:A$100,0)&amp;" on AXYZ",IF(_xlpm.stn&lt;&gt;"",_xlpm.stn,""))))))</f>
        <v>#34 on AXYZ</v>
      </c>
      <c r="J52" s="106">
        <f>IF(A52="","",IFERROR(VLOOKUP(A52,'Job Operations'!$A$4:$AA$304,16,FALSE),""))</f>
        <v>46134</v>
      </c>
      <c r="K52" s="105" t="str">
        <f>IF(A52="","",IFERROR(VLOOKUP(A52,'Job Operations'!$A$4:$AA$304,17,FALSE),""))</f>
        <v>Fab</v>
      </c>
      <c r="L52" s="125" t="str">
        <f>IF(A52="","",IF(IFERROR(VLOOKUP(A52,Notes!A:B,2,FALSE),"")=0,"",VLOOKUP(A52,Notes!A:B,2,FALSE)))</f>
        <v>04/16/2026…LO</v>
      </c>
    </row>
    <row r="53" spans="1:12" x14ac:dyDescent="0.25">
      <c r="A53" s="98" t="str">
        <v>24079-FS201</v>
      </c>
      <c r="B53" s="99" t="str">
        <f>IF(A53="","",IFERROR(VLOOKUP(A53,'Job Operations'!$A$4:$AA$304,2,FALSE),""))</f>
        <v>Nashville Youth Campus</v>
      </c>
      <c r="C53" s="100" t="str">
        <f>IF(A53="","",IFERROR(VLOOKUP(A53,'Job Operations'!$A$4:$AA$304,3,FALSE),""))</f>
        <v>Joe Hoyle</v>
      </c>
      <c r="D53" s="100">
        <f>IF(A53="","",IFERROR(VLOOKUP(A53,'Job Operations'!$A$4:$AA$304,5,FALSE),""))</f>
        <v>41</v>
      </c>
      <c r="E53" s="100">
        <f>IF(A53="","",IFERROR(VLOOKUP(A53,'Job Operations'!$A$4:$AA$304,6,FALSE),""))</f>
        <v>0</v>
      </c>
      <c r="F53" s="100" t="str">
        <f>IF(A53="","",IFERROR(VLOOKUP(A53,'Job Operations'!$A$4:$AA$304,7,FALSE),""))</f>
        <v>FR ACM</v>
      </c>
      <c r="G53" s="101">
        <f>IF(A53="","",IFERROR(VLOOKUP(A53,'Job Operations'!$A$4:$AA$304,9,FALSE),""))</f>
        <v>46160</v>
      </c>
      <c r="H53" s="100" t="str" cm="1">
        <f t="array" ref="H53">IF(A53="","",_xlfn.LET(_xlpm.stn,IFERROR(VLOOKUP(A53,'Job Operations'!$A$4:$AA$304,12,FALSE),""),IF(_xlpm.stn="Clean and Brake",_xlfn.LET(_xlpm.pos,SUMPRODUCT((A$7:A53&lt;&gt;"")*(IFERROR(VLOOKUP(A$7:A53,'Job Operations'!$A$4:$AA$304,12,FALSE),"")="Clean and Brake")),_xlpm.sfx,IF(OR(_xlpm.pos=11,_xlpm.pos=12,_xlpm.pos=13),"th",IF(MOD(_xlpm.pos,10)=1,"st",IF(MOD(_xlpm.pos,10)=2,"nd",IF(MOD(_xlpm.pos,10)=3,"rd","th")))),_xlpm.pos&amp;_xlpm.sfx),IF(_xlpm.stn&lt;&gt;"",_xlpm.stn,""))))</f>
        <v>LO</v>
      </c>
      <c r="I53" s="100" t="str" cm="1">
        <f t="array" ref="I53">IF(A53="","",_xlfn.LET(_xlpm.stn,IFERROR(VLOOKUP(A53,'Job Operations'!$A$4:$AA$304,12,FALSE),""),IF(_xlpm.stn="Clean and Brake",_xlfn.LET(_xlpm.pos,SUMPRODUCT((A$7:A53&lt;&gt;"")*(IFERROR(VLOOKUP(A$7:A53,'Job Operations'!$A$4:$AA$304,12,FALSE),"")="Clean and Brake")),_xlpm.sfx,IF(OR(_xlpm.pos=11,_xlpm.pos=12,_xlpm.pos=13),"th",IF(MOD(_xlpm.pos,10)=1,"st",IF(MOD(_xlpm.pos,10)=2,"nd",IF(MOD(_xlpm.pos,10)=3,"rd","th")))),_xlpm.pos&amp;_xlpm.sfx),IF(ISNUMBER(MATCH(A53,'AXYZ Titans CNC Schedule'!A$7:A$100,0)),"#"&amp;MATCH(A53,'AXYZ Titans CNC Schedule'!A$7:A$100,0)&amp;" on Titans",IF(ISNUMBER(MATCH(A53,'AXYZ CNC Schedule'!A$7:A$100,0)),"#"&amp;MATCH(A53,'AXYZ CNC Schedule'!A$7:A$100,0)&amp;" on AXYZ",IF(_xlpm.stn&lt;&gt;"",_xlpm.stn,""))))))</f>
        <v>#35 on AXYZ</v>
      </c>
      <c r="J53" s="101">
        <f>IF(A53="","",IFERROR(VLOOKUP(A53,'Job Operations'!$A$4:$AA$304,16,FALSE),""))</f>
        <v>46136</v>
      </c>
      <c r="K53" s="100" t="str">
        <f>IF(A53="","",IFERROR(VLOOKUP(A53,'Job Operations'!$A$4:$AA$304,17,FALSE),""))</f>
        <v>Fab</v>
      </c>
      <c r="L53" s="126" t="str">
        <f>IF(A53="","",IF(IFERROR(VLOOKUP(A53,Notes!A:B,2,FALSE),"")=0,"",VLOOKUP(A53,Notes!A:B,2,FALSE)))</f>
        <v>04/16/2026…LO</v>
      </c>
    </row>
    <row r="54" spans="1:12" x14ac:dyDescent="0.25">
      <c r="A54" s="103" t="str">
        <v>24079-FS302</v>
      </c>
      <c r="B54" s="104" t="str">
        <f>IF(A54="","",IFERROR(VLOOKUP(A54,'Job Operations'!$A$4:$AA$304,2,FALSE),""))</f>
        <v>Nashville Youth Campus</v>
      </c>
      <c r="C54" s="105" t="str">
        <f>IF(A54="","",IFERROR(VLOOKUP(A54,'Job Operations'!$A$4:$AA$304,3,FALSE),""))</f>
        <v>Joe Hoyle</v>
      </c>
      <c r="D54" s="105">
        <f>IF(A54="","",IFERROR(VLOOKUP(A54,'Job Operations'!$A$4:$AA$304,5,FALSE),""))</f>
        <v>188</v>
      </c>
      <c r="E54" s="105">
        <f>IF(A54="","",IFERROR(VLOOKUP(A54,'Job Operations'!$A$4:$AA$304,6,FALSE),""))</f>
        <v>0</v>
      </c>
      <c r="F54" s="105" t="str">
        <f>IF(A54="","",IFERROR(VLOOKUP(A54,'Job Operations'!$A$4:$AA$304,7,FALSE),""))</f>
        <v>FR ACM</v>
      </c>
      <c r="G54" s="106">
        <f>IF(A54="","",IFERROR(VLOOKUP(A54,'Job Operations'!$A$4:$AA$304,9,FALSE),""))</f>
        <v>46160</v>
      </c>
      <c r="H54" s="105" t="str" cm="1">
        <f t="array" ref="H54">IF(A54="","",_xlfn.LET(_xlpm.stn,IFERROR(VLOOKUP(A54,'Job Operations'!$A$4:$AA$304,12,FALSE),""),IF(_xlpm.stn="Clean and Brake",_xlfn.LET(_xlpm.pos,SUMPRODUCT((A$7:A54&lt;&gt;"")*(IFERROR(VLOOKUP(A$7:A54,'Job Operations'!$A$4:$AA$304,12,FALSE),"")="Clean and Brake")),_xlpm.sfx,IF(OR(_xlpm.pos=11,_xlpm.pos=12,_xlpm.pos=13),"th",IF(MOD(_xlpm.pos,10)=1,"st",IF(MOD(_xlpm.pos,10)=2,"nd",IF(MOD(_xlpm.pos,10)=3,"rd","th")))),_xlpm.pos&amp;_xlpm.sfx),IF(_xlpm.stn&lt;&gt;"",_xlpm.stn,""))))</f>
        <v>LO</v>
      </c>
      <c r="I54" s="105" t="str" cm="1">
        <f t="array" ref="I54">IF(A54="","",_xlfn.LET(_xlpm.stn,IFERROR(VLOOKUP(A54,'Job Operations'!$A$4:$AA$304,12,FALSE),""),IF(_xlpm.stn="Clean and Brake",_xlfn.LET(_xlpm.pos,SUMPRODUCT((A$7:A54&lt;&gt;"")*(IFERROR(VLOOKUP(A$7:A54,'Job Operations'!$A$4:$AA$304,12,FALSE),"")="Clean and Brake")),_xlpm.sfx,IF(OR(_xlpm.pos=11,_xlpm.pos=12,_xlpm.pos=13),"th",IF(MOD(_xlpm.pos,10)=1,"st",IF(MOD(_xlpm.pos,10)=2,"nd",IF(MOD(_xlpm.pos,10)=3,"rd","th")))),_xlpm.pos&amp;_xlpm.sfx),IF(ISNUMBER(MATCH(A54,'AXYZ Titans CNC Schedule'!A$7:A$100,0)),"#"&amp;MATCH(A54,'AXYZ Titans CNC Schedule'!A$7:A$100,0)&amp;" on Titans",IF(ISNUMBER(MATCH(A54,'AXYZ CNC Schedule'!A$7:A$100,0)),"#"&amp;MATCH(A54,'AXYZ CNC Schedule'!A$7:A$100,0)&amp;" on AXYZ",IF(_xlpm.stn&lt;&gt;"",_xlpm.stn,""))))))</f>
        <v>#33 on AXYZ</v>
      </c>
      <c r="J54" s="106">
        <f>IF(A54="","",IFERROR(VLOOKUP(A54,'Job Operations'!$A$4:$AA$304,16,FALSE),""))</f>
        <v>46136</v>
      </c>
      <c r="K54" s="105" t="str">
        <f>IF(A54="","",IFERROR(VLOOKUP(A54,'Job Operations'!$A$4:$AA$304,17,FALSE),""))</f>
        <v>Fab</v>
      </c>
      <c r="L54" s="125" t="str">
        <f>IF(A54="","",IF(IFERROR(VLOOKUP(A54,Notes!A:B,2,FALSE),"")=0,"",VLOOKUP(A54,Notes!A:B,2,FALSE)))</f>
        <v>04/16/2026…LO</v>
      </c>
    </row>
    <row r="55" spans="1:12" x14ac:dyDescent="0.25">
      <c r="A55" s="98" t="str">
        <v>25008-FS07</v>
      </c>
      <c r="B55" s="99" t="str">
        <f>IF(A55="","",IFERROR(VLOOKUP(A55,'Job Operations'!$A$4:$AA$304,2,FALSE),""))</f>
        <v>Columbia State Tech Center</v>
      </c>
      <c r="C55" s="100" t="str">
        <f>IF(A55="","",IFERROR(VLOOKUP(A55,'Job Operations'!$A$4:$AA$304,3,FALSE),""))</f>
        <v>Laura Forero</v>
      </c>
      <c r="D55" s="100">
        <f>IF(A55="","",IFERROR(VLOOKUP(A55,'Job Operations'!$A$4:$AA$304,5,FALSE),""))</f>
        <v>58</v>
      </c>
      <c r="E55" s="100">
        <f>IF(A55="","",IFERROR(VLOOKUP(A55,'Job Operations'!$A$4:$AA$304,6,FALSE),""))</f>
        <v>0</v>
      </c>
      <c r="F55" s="100" t="str">
        <f>IF(A55="","",IFERROR(VLOOKUP(A55,'Job Operations'!$A$4:$AA$304,7,FALSE),""))</f>
        <v>FR ACM</v>
      </c>
      <c r="G55" s="101">
        <f>IF(A55="","",IFERROR(VLOOKUP(A55,'Job Operations'!$A$4:$AA$304,9,FALSE),""))</f>
        <v>46162</v>
      </c>
      <c r="H55" s="100" t="str" cm="1">
        <f t="array" ref="H55">IF(A55="","",_xlfn.LET(_xlpm.stn,IFERROR(VLOOKUP(A55,'Job Operations'!$A$4:$AA$304,12,FALSE),""),IF(_xlpm.stn="Clean and Brake",_xlfn.LET(_xlpm.pos,SUMPRODUCT((A$7:A55&lt;&gt;"")*(IFERROR(VLOOKUP(A$7:A55,'Job Operations'!$A$4:$AA$304,12,FALSE),"")="Clean and Brake")),_xlpm.sfx,IF(OR(_xlpm.pos=11,_xlpm.pos=12,_xlpm.pos=13),"th",IF(MOD(_xlpm.pos,10)=1,"st",IF(MOD(_xlpm.pos,10)=2,"nd",IF(MOD(_xlpm.pos,10)=3,"rd","th")))),_xlpm.pos&amp;_xlpm.sfx),IF(_xlpm.stn&lt;&gt;"",_xlpm.stn,""))))</f>
        <v>Evaluation</v>
      </c>
      <c r="I55" s="100" t="str" cm="1">
        <f t="array" ref="I55">IF(A55="","",_xlfn.LET(_xlpm.stn,IFERROR(VLOOKUP(A55,'Job Operations'!$A$4:$AA$304,12,FALSE),""),IF(_xlpm.stn="Clean and Brake",_xlfn.LET(_xlpm.pos,SUMPRODUCT((A$7:A55&lt;&gt;"")*(IFERROR(VLOOKUP(A$7:A55,'Job Operations'!$A$4:$AA$304,12,FALSE),"")="Clean and Brake")),_xlpm.sfx,IF(OR(_xlpm.pos=11,_xlpm.pos=12,_xlpm.pos=13),"th",IF(MOD(_xlpm.pos,10)=1,"st",IF(MOD(_xlpm.pos,10)=2,"nd",IF(MOD(_xlpm.pos,10)=3,"rd","th")))),_xlpm.pos&amp;_xlpm.sfx),IF(ISNUMBER(MATCH(A55,'AXYZ Titans CNC Schedule'!A$7:A$100,0)),"#"&amp;MATCH(A55,'AXYZ Titans CNC Schedule'!A$7:A$100,0)&amp;" on Titans",IF(ISNUMBER(MATCH(A55,'AXYZ CNC Schedule'!A$7:A$100,0)),"#"&amp;MATCH(A55,'AXYZ CNC Schedule'!A$7:A$100,0)&amp;" on AXYZ",IF(_xlpm.stn&lt;&gt;"",_xlpm.stn,""))))))</f>
        <v>#36 on AXYZ</v>
      </c>
      <c r="J55" s="101">
        <f>IF(A55="","",IFERROR(VLOOKUP(A55,'Job Operations'!$A$4:$AA$304,16,FALSE),""))</f>
        <v>46139</v>
      </c>
      <c r="K55" s="100" t="str">
        <f>IF(A55="","",IFERROR(VLOOKUP(A55,'Job Operations'!$A$4:$AA$304,17,FALSE),""))</f>
        <v>Fab</v>
      </c>
      <c r="L55" s="126" t="str">
        <f>IF(A55="","",IF(IFERROR(VLOOKUP(A55,Notes!A:B,2,FALSE),"")=0,"",VLOOKUP(A55,Notes!A:B,2,FALSE)))</f>
        <v>04/16/2026…Evaluation</v>
      </c>
    </row>
    <row r="56" spans="1:12" x14ac:dyDescent="0.25">
      <c r="A56" s="107" t="str">
        <v>24074-FS10</v>
      </c>
      <c r="B56" s="108" t="str">
        <f>IF(A56="","",IFERROR(VLOOKUP(A56,'Job Operations'!$A$4:$AA$304,2,FALSE),""))</f>
        <v>DIDD ACM</v>
      </c>
      <c r="C56" s="109" t="str">
        <f>IF(A56="","",IFERROR(VLOOKUP(A56,'Job Operations'!$A$4:$AA$304,3,FALSE),""))</f>
        <v>Dillon Bowman</v>
      </c>
      <c r="D56" s="109">
        <f>IF(A56="","",IFERROR(VLOOKUP(A56,'Job Operations'!$A$4:$AA$304,5,FALSE),""))</f>
        <v>130</v>
      </c>
      <c r="E56" s="109">
        <f>IF(A56="","",IFERROR(VLOOKUP(A56,'Job Operations'!$A$4:$AA$304,6,FALSE),""))</f>
        <v>0</v>
      </c>
      <c r="F56" s="109" t="str">
        <f>IF(A56="","",IFERROR(VLOOKUP(A56,'Job Operations'!$A$4:$AA$304,7,FALSE),""))</f>
        <v>FR ACM</v>
      </c>
      <c r="G56" s="110">
        <f>IF(A56="","",IFERROR(VLOOKUP(A56,'Job Operations'!$A$4:$AA$304,9,FALSE),""))</f>
        <v>46163</v>
      </c>
      <c r="H56" s="109" t="str" cm="1">
        <f t="array" ref="H56">IF(A56="","",_xlfn.LET(_xlpm.stn,IFERROR(VLOOKUP(A56,'Job Operations'!$A$4:$AA$304,12,FALSE),""),IF(_xlpm.stn="Clean and Brake",_xlfn.LET(_xlpm.pos,SUMPRODUCT((A$7:A56&lt;&gt;"")*(IFERROR(VLOOKUP(A$7:A56,'Job Operations'!$A$4:$AA$304,12,FALSE),"")="Clean and Brake")),_xlpm.sfx,IF(OR(_xlpm.pos=11,_xlpm.pos=12,_xlpm.pos=13),"th",IF(MOD(_xlpm.pos,10)=1,"st",IF(MOD(_xlpm.pos,10)=2,"nd",IF(MOD(_xlpm.pos,10)=3,"rd","th")))),_xlpm.pos&amp;_xlpm.sfx),IF(_xlpm.stn&lt;&gt;"",_xlpm.stn,""))))</f>
        <v>LO Check</v>
      </c>
      <c r="I56" s="109" t="str" cm="1">
        <f t="array" ref="I56">IF(A56="","",_xlfn.LET(_xlpm.stn,IFERROR(VLOOKUP(A56,'Job Operations'!$A$4:$AA$304,12,FALSE),""),IF(_xlpm.stn="Clean and Brake",_xlfn.LET(_xlpm.pos,SUMPRODUCT((A$7:A56&lt;&gt;"")*(IFERROR(VLOOKUP(A$7:A56,'Job Operations'!$A$4:$AA$304,12,FALSE),"")="Clean and Brake")),_xlpm.sfx,IF(OR(_xlpm.pos=11,_xlpm.pos=12,_xlpm.pos=13),"th",IF(MOD(_xlpm.pos,10)=1,"st",IF(MOD(_xlpm.pos,10)=2,"nd",IF(MOD(_xlpm.pos,10)=3,"rd","th")))),_xlpm.pos&amp;_xlpm.sfx),IF(ISNUMBER(MATCH(A56,'AXYZ Titans CNC Schedule'!A$7:A$100,0)),"#"&amp;MATCH(A56,'AXYZ Titans CNC Schedule'!A$7:A$100,0)&amp;" on Titans",IF(ISNUMBER(MATCH(A56,'AXYZ CNC Schedule'!A$7:A$100,0)),"#"&amp;MATCH(A56,'AXYZ CNC Schedule'!A$7:A$100,0)&amp;" on AXYZ",IF(_xlpm.stn&lt;&gt;"",_xlpm.stn,""))))))</f>
        <v>#37 on AXYZ</v>
      </c>
      <c r="J56" s="110">
        <f>IF(A56="","",IFERROR(VLOOKUP(A56,'Job Operations'!$A$4:$AA$304,16,FALSE),""))</f>
        <v>46140</v>
      </c>
      <c r="K56" s="109" t="str">
        <f>IF(A56="","",IFERROR(VLOOKUP(A56,'Job Operations'!$A$4:$AA$304,17,FALSE),""))</f>
        <v>Fab</v>
      </c>
      <c r="L56" s="127" t="str">
        <f>IF(A56="","",IF(IFERROR(VLOOKUP(A56,Notes!A:B,2,FALSE),"")=0,"",VLOOKUP(A56,Notes!A:B,2,FALSE)))</f>
        <v>04/16/2026…LO Check</v>
      </c>
    </row>
    <row r="57" spans="1:12" x14ac:dyDescent="0.25">
      <c r="A57" s="107" t="str">
        <v>25044-FS01</v>
      </c>
      <c r="B57" s="108" t="str">
        <f>IF(A57="","",IFERROR(VLOOKUP(A57,'Job Operations'!$A$4:$AA$304,2,FALSE),""))</f>
        <v>MALETA Firing Range</v>
      </c>
      <c r="C57" s="109" t="str">
        <f>IF(A57="","",IFERROR(VLOOKUP(A57,'Job Operations'!$A$4:$AA$304,3,FALSE),""))</f>
        <v>Cole Norona</v>
      </c>
      <c r="D57" s="109">
        <f>IF(A57="","",IFERROR(VLOOKUP(A57,'Job Operations'!$A$4:$AA$304,5,FALSE),""))</f>
        <v>125</v>
      </c>
      <c r="E57" s="109">
        <f>IF(A57="","",IFERROR(VLOOKUP(A57,'Job Operations'!$A$4:$AA$304,6,FALSE),""))</f>
        <v>0</v>
      </c>
      <c r="F57" s="109" t="str">
        <f>IF(A57="","",IFERROR(VLOOKUP(A57,'Job Operations'!$A$4:$AA$304,7,FALSE),""))</f>
        <v>FR ACM</v>
      </c>
      <c r="G57" s="110">
        <f>IF(A57="","",IFERROR(VLOOKUP(A57,'Job Operations'!$A$4:$AA$304,9,FALSE),""))</f>
        <v>46164</v>
      </c>
      <c r="H57" s="109" t="str" cm="1">
        <f t="array" ref="H57">IF(A57="","",_xlfn.LET(_xlpm.stn,IFERROR(VLOOKUP(A57,'Job Operations'!$A$4:$AA$304,12,FALSE),""),IF(_xlpm.stn="Clean and Brake",_xlfn.LET(_xlpm.pos,SUMPRODUCT((A$7:A57&lt;&gt;"")*(IFERROR(VLOOKUP(A$7:A57,'Job Operations'!$A$4:$AA$304,12,FALSE),"")="Clean and Brake")),_xlpm.sfx,IF(OR(_xlpm.pos=11,_xlpm.pos=12,_xlpm.pos=13),"th",IF(MOD(_xlpm.pos,10)=1,"st",IF(MOD(_xlpm.pos,10)=2,"nd",IF(MOD(_xlpm.pos,10)=3,"rd","th")))),_xlpm.pos&amp;_xlpm.sfx),IF(_xlpm.stn&lt;&gt;"",_xlpm.stn,""))))</f>
        <v>LO</v>
      </c>
      <c r="I57" s="109" t="str" cm="1">
        <f t="array" ref="I57">IF(A57="","",_xlfn.LET(_xlpm.stn,IFERROR(VLOOKUP(A57,'Job Operations'!$A$4:$AA$304,12,FALSE),""),IF(_xlpm.stn="Clean and Brake",_xlfn.LET(_xlpm.pos,SUMPRODUCT((A$7:A57&lt;&gt;"")*(IFERROR(VLOOKUP(A$7:A57,'Job Operations'!$A$4:$AA$304,12,FALSE),"")="Clean and Brake")),_xlpm.sfx,IF(OR(_xlpm.pos=11,_xlpm.pos=12,_xlpm.pos=13),"th",IF(MOD(_xlpm.pos,10)=1,"st",IF(MOD(_xlpm.pos,10)=2,"nd",IF(MOD(_xlpm.pos,10)=3,"rd","th")))),_xlpm.pos&amp;_xlpm.sfx),IF(ISNUMBER(MATCH(A57,'AXYZ Titans CNC Schedule'!A$7:A$100,0)),"#"&amp;MATCH(A57,'AXYZ Titans CNC Schedule'!A$7:A$100,0)&amp;" on Titans",IF(ISNUMBER(MATCH(A57,'AXYZ CNC Schedule'!A$7:A$100,0)),"#"&amp;MATCH(A57,'AXYZ CNC Schedule'!A$7:A$100,0)&amp;" on AXYZ",IF(_xlpm.stn&lt;&gt;"",_xlpm.stn,""))))))</f>
        <v>#38 on AXYZ</v>
      </c>
      <c r="J57" s="110">
        <f>IF(A57="","",IFERROR(VLOOKUP(A57,'Job Operations'!$A$4:$AA$304,16,FALSE),""))</f>
        <v>46141</v>
      </c>
      <c r="K57" s="109" t="str">
        <f>IF(A57="","",IFERROR(VLOOKUP(A57,'Job Operations'!$A$4:$AA$304,17,FALSE),""))</f>
        <v>Fab</v>
      </c>
      <c r="L57" s="127" t="str">
        <f>IF(A57="","",IF(IFERROR(VLOOKUP(A57,Notes!A:B,2,FALSE),"")=0,"",VLOOKUP(A57,Notes!A:B,2,FALSE)))</f>
        <v>04/16/2026…LO</v>
      </c>
    </row>
    <row r="58" spans="1:12" x14ac:dyDescent="0.25">
      <c r="A58" s="107" t="str">
        <v>25044-FS01.1</v>
      </c>
      <c r="B58" s="108" t="str">
        <f>IF(A58="","",IFERROR(VLOOKUP(A58,'Job Operations'!$A$4:$AA$304,2,FALSE),""))</f>
        <v>MALETA Firing Range</v>
      </c>
      <c r="C58" s="109" t="str">
        <f>IF(A58="","",IFERROR(VLOOKUP(A58,'Job Operations'!$A$4:$AA$304,3,FALSE),""))</f>
        <v>Cole Norona</v>
      </c>
      <c r="D58" s="109">
        <f>IF(A58="","",IFERROR(VLOOKUP(A58,'Job Operations'!$A$4:$AA$304,5,FALSE),""))</f>
        <v>34</v>
      </c>
      <c r="E58" s="109">
        <f>IF(A58="","",IFERROR(VLOOKUP(A58,'Job Operations'!$A$4:$AA$304,6,FALSE),""))</f>
        <v>0</v>
      </c>
      <c r="F58" s="109" t="str">
        <f>IF(A58="","",IFERROR(VLOOKUP(A58,'Job Operations'!$A$4:$AA$304,7,FALSE),""))</f>
        <v>FR ACM</v>
      </c>
      <c r="G58" s="110">
        <f>IF(A58="","",IFERROR(VLOOKUP(A58,'Job Operations'!$A$4:$AA$304,9,FALSE),""))</f>
        <v>46164</v>
      </c>
      <c r="H58" s="109" t="str" cm="1">
        <f t="array" ref="H58">IF(A58="","",_xlfn.LET(_xlpm.stn,IFERROR(VLOOKUP(A58,'Job Operations'!$A$4:$AA$304,12,FALSE),""),IF(_xlpm.stn="Clean and Brake",_xlfn.LET(_xlpm.pos,SUMPRODUCT((A$7:A58&lt;&gt;"")*(IFERROR(VLOOKUP(A$7:A58,'Job Operations'!$A$4:$AA$304,12,FALSE),"")="Clean and Brake")),_xlpm.sfx,IF(OR(_xlpm.pos=11,_xlpm.pos=12,_xlpm.pos=13),"th",IF(MOD(_xlpm.pos,10)=1,"st",IF(MOD(_xlpm.pos,10)=2,"nd",IF(MOD(_xlpm.pos,10)=3,"rd","th")))),_xlpm.pos&amp;_xlpm.sfx),IF(_xlpm.stn&lt;&gt;"",_xlpm.stn,""))))</f>
        <v>LO</v>
      </c>
      <c r="I58" s="109" t="str" cm="1">
        <f t="array" ref="I58">IF(A58="","",_xlfn.LET(_xlpm.stn,IFERROR(VLOOKUP(A58,'Job Operations'!$A$4:$AA$304,12,FALSE),""),IF(_xlpm.stn="Clean and Brake",_xlfn.LET(_xlpm.pos,SUMPRODUCT((A$7:A58&lt;&gt;"")*(IFERROR(VLOOKUP(A$7:A58,'Job Operations'!$A$4:$AA$304,12,FALSE),"")="Clean and Brake")),_xlpm.sfx,IF(OR(_xlpm.pos=11,_xlpm.pos=12,_xlpm.pos=13),"th",IF(MOD(_xlpm.pos,10)=1,"st",IF(MOD(_xlpm.pos,10)=2,"nd",IF(MOD(_xlpm.pos,10)=3,"rd","th")))),_xlpm.pos&amp;_xlpm.sfx),IF(ISNUMBER(MATCH(A58,'AXYZ Titans CNC Schedule'!A$7:A$100,0)),"#"&amp;MATCH(A58,'AXYZ Titans CNC Schedule'!A$7:A$100,0)&amp;" on Titans",IF(ISNUMBER(MATCH(A58,'AXYZ CNC Schedule'!A$7:A$100,0)),"#"&amp;MATCH(A58,'AXYZ CNC Schedule'!A$7:A$100,0)&amp;" on AXYZ",IF(_xlpm.stn&lt;&gt;"",_xlpm.stn,""))))))</f>
        <v>#41 on AXYZ</v>
      </c>
      <c r="J58" s="110">
        <f>IF(A58="","",IFERROR(VLOOKUP(A58,'Job Operations'!$A$4:$AA$304,16,FALSE),""))</f>
        <v>46141</v>
      </c>
      <c r="K58" s="109" t="str">
        <f>IF(A58="","",IFERROR(VLOOKUP(A58,'Job Operations'!$A$4:$AA$304,17,FALSE),""))</f>
        <v>Fab</v>
      </c>
      <c r="L58" s="127" t="str">
        <f>IF(A58="","",IF(IFERROR(VLOOKUP(A58,Notes!A:B,2,FALSE),"")=0,"",VLOOKUP(A58,Notes!A:B,2,FALSE)))</f>
        <v>04/16/2026…LO</v>
      </c>
    </row>
    <row r="59" spans="1:12" x14ac:dyDescent="0.25">
      <c r="A59" s="107" t="str">
        <v>25065-MU01</v>
      </c>
      <c r="B59" s="108" t="str">
        <f>IF(A59="","",IFERROR(VLOOKUP(A59,'Job Operations'!$A$4:$AA$304,2,FALSE),""))</f>
        <v>Crosswinds Casino Resort</v>
      </c>
      <c r="C59" s="109" t="str">
        <f>IF(A59="","",IFERROR(VLOOKUP(A59,'Job Operations'!$A$4:$AA$304,3,FALSE),""))</f>
        <v>Matt Rassmussen</v>
      </c>
      <c r="D59" s="109">
        <f>IF(A59="","",IFERROR(VLOOKUP(A59,'Job Operations'!$A$4:$AA$304,5,FALSE),""))</f>
        <v>18</v>
      </c>
      <c r="E59" s="109">
        <f>IF(A59="","",IFERROR(VLOOKUP(A59,'Job Operations'!$A$4:$AA$304,6,FALSE),""))</f>
        <v>14</v>
      </c>
      <c r="F59" s="109" t="str">
        <f>IF(A59="","",IFERROR(VLOOKUP(A59,'Job Operations'!$A$4:$AA$304,7,FALSE),""))</f>
        <v>FR ACM</v>
      </c>
      <c r="G59" s="110">
        <f>IF(A59="","",IFERROR(VLOOKUP(A59,'Job Operations'!$A$4:$AA$304,9,FALSE),""))</f>
        <v>46164</v>
      </c>
      <c r="H59" s="109" t="str" cm="1">
        <f t="array" ref="H59">IF(A59="","",_xlfn.LET(_xlpm.stn,IFERROR(VLOOKUP(A59,'Job Operations'!$A$4:$AA$304,12,FALSE),""),IF(_xlpm.stn="Clean and Brake",_xlfn.LET(_xlpm.pos,SUMPRODUCT((A$7:A59&lt;&gt;"")*(IFERROR(VLOOKUP(A$7:A59,'Job Operations'!$A$4:$AA$304,12,FALSE),"")="Clean and Brake")),_xlpm.sfx,IF(OR(_xlpm.pos=11,_xlpm.pos=12,_xlpm.pos=13),"th",IF(MOD(_xlpm.pos,10)=1,"st",IF(MOD(_xlpm.pos,10)=2,"nd",IF(MOD(_xlpm.pos,10)=3,"rd","th")))),_xlpm.pos&amp;_xlpm.sfx),IF(_xlpm.stn&lt;&gt;"",_xlpm.stn,""))))</f>
        <v>Sketch Check</v>
      </c>
      <c r="I59" s="109" t="str" cm="1">
        <f t="array" ref="I59">IF(A59="","",_xlfn.LET(_xlpm.stn,IFERROR(VLOOKUP(A59,'Job Operations'!$A$4:$AA$304,12,FALSE),""),IF(_xlpm.stn="Clean and Brake",_xlfn.LET(_xlpm.pos,SUMPRODUCT((A$7:A59&lt;&gt;"")*(IFERROR(VLOOKUP(A$7:A59,'Job Operations'!$A$4:$AA$304,12,FALSE),"")="Clean and Brake")),_xlpm.sfx,IF(OR(_xlpm.pos=11,_xlpm.pos=12,_xlpm.pos=13),"th",IF(MOD(_xlpm.pos,10)=1,"st",IF(MOD(_xlpm.pos,10)=2,"nd",IF(MOD(_xlpm.pos,10)=3,"rd","th")))),_xlpm.pos&amp;_xlpm.sfx),IF(ISNUMBER(MATCH(A59,'AXYZ Titans CNC Schedule'!A$7:A$100,0)),"#"&amp;MATCH(A59,'AXYZ Titans CNC Schedule'!A$7:A$100,0)&amp;" on Titans",IF(ISNUMBER(MATCH(A59,'AXYZ CNC Schedule'!A$7:A$100,0)),"#"&amp;MATCH(A59,'AXYZ CNC Schedule'!A$7:A$100,0)&amp;" on AXYZ",IF(_xlpm.stn&lt;&gt;"",_xlpm.stn,""))))))</f>
        <v>#42 on AXYZ</v>
      </c>
      <c r="J59" s="110">
        <f>IF(A59="","",IFERROR(VLOOKUP(A59,'Job Operations'!$A$4:$AA$304,16,FALSE),""))</f>
        <v>46141</v>
      </c>
      <c r="K59" s="109" t="str">
        <f>IF(A59="","",IFERROR(VLOOKUP(A59,'Job Operations'!$A$4:$AA$304,17,FALSE),""))</f>
        <v>Fab</v>
      </c>
      <c r="L59" s="127" t="str">
        <f>IF(A59="","",IF(IFERROR(VLOOKUP(A59,Notes!A:B,2,FALSE),"")=0,"",VLOOKUP(A59,Notes!A:B,2,FALSE)))</f>
        <v>04/16/2026…Sketch Check</v>
      </c>
    </row>
    <row r="60" spans="1:12" x14ac:dyDescent="0.25">
      <c r="A60" s="107" t="str">
        <v>25006-FS06</v>
      </c>
      <c r="B60" s="108" t="str">
        <f>IF(A60="","",IFERROR(VLOOKUP(A60,'Job Operations'!$A$4:$AA$304,2,FALSE),""))</f>
        <v>MALETA Housing and Dining</v>
      </c>
      <c r="C60" s="109" t="str">
        <f>IF(A60="","",IFERROR(VLOOKUP(A60,'Job Operations'!$A$4:$AA$304,3,FALSE),""))</f>
        <v>Cole Norona</v>
      </c>
      <c r="D60" s="109">
        <f>IF(A60="","",IFERROR(VLOOKUP(A60,'Job Operations'!$A$4:$AA$304,5,FALSE),""))</f>
        <v>246</v>
      </c>
      <c r="E60" s="109">
        <f>IF(A60="","",IFERROR(VLOOKUP(A60,'Job Operations'!$A$4:$AA$304,6,FALSE),""))</f>
        <v>0</v>
      </c>
      <c r="F60" s="109" t="str">
        <f>IF(A60="","",IFERROR(VLOOKUP(A60,'Job Operations'!$A$4:$AA$304,7,FALSE),""))</f>
        <v>FR ACM</v>
      </c>
      <c r="G60" s="110">
        <f>IF(A60="","",IFERROR(VLOOKUP(A60,'Job Operations'!$A$4:$AA$304,9,FALSE),""))</f>
        <v>46167</v>
      </c>
      <c r="H60" s="109" t="str" cm="1">
        <f t="array" ref="H60">IF(A60="","",_xlfn.LET(_xlpm.stn,IFERROR(VLOOKUP(A60,'Job Operations'!$A$4:$AA$304,12,FALSE),""),IF(_xlpm.stn="Clean and Brake",_xlfn.LET(_xlpm.pos,SUMPRODUCT((A$7:A60&lt;&gt;"")*(IFERROR(VLOOKUP(A$7:A60,'Job Operations'!$A$4:$AA$304,12,FALSE),"")="Clean and Brake")),_xlpm.sfx,IF(OR(_xlpm.pos=11,_xlpm.pos=12,_xlpm.pos=13),"th",IF(MOD(_xlpm.pos,10)=1,"st",IF(MOD(_xlpm.pos,10)=2,"nd",IF(MOD(_xlpm.pos,10)=3,"rd","th")))),_xlpm.pos&amp;_xlpm.sfx),IF(_xlpm.stn&lt;&gt;"",_xlpm.stn,""))))</f>
        <v>LO Check</v>
      </c>
      <c r="I60" s="109" t="str" cm="1">
        <f t="array" ref="I60">IF(A60="","",_xlfn.LET(_xlpm.stn,IFERROR(VLOOKUP(A60,'Job Operations'!$A$4:$AA$304,12,FALSE),""),IF(_xlpm.stn="Clean and Brake",_xlfn.LET(_xlpm.pos,SUMPRODUCT((A$7:A60&lt;&gt;"")*(IFERROR(VLOOKUP(A$7:A60,'Job Operations'!$A$4:$AA$304,12,FALSE),"")="Clean and Brake")),_xlpm.sfx,IF(OR(_xlpm.pos=11,_xlpm.pos=12,_xlpm.pos=13),"th",IF(MOD(_xlpm.pos,10)=1,"st",IF(MOD(_xlpm.pos,10)=2,"nd",IF(MOD(_xlpm.pos,10)=3,"rd","th")))),_xlpm.pos&amp;_xlpm.sfx),IF(ISNUMBER(MATCH(A60,'AXYZ Titans CNC Schedule'!A$7:A$100,0)),"#"&amp;MATCH(A60,'AXYZ Titans CNC Schedule'!A$7:A$100,0)&amp;" on Titans",IF(ISNUMBER(MATCH(A60,'AXYZ CNC Schedule'!A$7:A$100,0)),"#"&amp;MATCH(A60,'AXYZ CNC Schedule'!A$7:A$100,0)&amp;" on AXYZ",IF(_xlpm.stn&lt;&gt;"",_xlpm.stn,""))))))</f>
        <v>#39 on AXYZ</v>
      </c>
      <c r="J60" s="110">
        <f>IF(A60="","",IFERROR(VLOOKUP(A60,'Job Operations'!$A$4:$AA$304,16,FALSE),""))</f>
        <v>46143</v>
      </c>
      <c r="K60" s="109" t="str">
        <f>IF(A60="","",IFERROR(VLOOKUP(A60,'Job Operations'!$A$4:$AA$304,17,FALSE),""))</f>
        <v>Fab</v>
      </c>
      <c r="L60" s="127" t="str">
        <f>IF(A60="","",IF(IFERROR(VLOOKUP(A60,Notes!A:B,2,FALSE),"")=0,"",VLOOKUP(A60,Notes!A:B,2,FALSE)))</f>
        <v>HOAR*04/16/2026…LO Check</v>
      </c>
    </row>
    <row r="61" spans="1:12" x14ac:dyDescent="0.25">
      <c r="A61" s="95" t="str">
        <v>25037-FS01</v>
      </c>
      <c r="B61" s="96" t="str">
        <f>IF(A61="","",IFERROR(VLOOKUP(A61,'Job Operations'!$A$4:$AA$304,2,FALSE),""))</f>
        <v>Chestnut Street Office</v>
      </c>
      <c r="C61" s="95" t="str">
        <f>IF(A61="","",IFERROR(VLOOKUP(A61,'Job Operations'!$A$4:$AA$304,3,FALSE),""))</f>
        <v>Laura Forero</v>
      </c>
      <c r="D61" s="95">
        <f>IF(A61="","",IFERROR(VLOOKUP(A61,'Job Operations'!$A$4:$AA$304,5,FALSE),""))</f>
        <v>218</v>
      </c>
      <c r="E61" s="95">
        <f>IF(A61="","",IFERROR(VLOOKUP(A61,'Job Operations'!$A$4:$AA$304,6,FALSE),""))</f>
        <v>0</v>
      </c>
      <c r="F61" s="95" t="str">
        <f>IF(A61="","",IFERROR(VLOOKUP(A61,'Job Operations'!$A$4:$AA$304,7,FALSE),""))</f>
        <v>FR ACM</v>
      </c>
      <c r="G61" s="97">
        <f>IF(A61="","",IFERROR(VLOOKUP(A61,'Job Operations'!$A$4:$AA$304,9,FALSE),""))</f>
        <v>46167</v>
      </c>
      <c r="H61" s="95" t="str" cm="1">
        <f t="array" ref="H61">IF(A61="","",_xlfn.LET(_xlpm.stn,IFERROR(VLOOKUP(A61,'Job Operations'!$A$4:$AA$304,12,FALSE),""),IF(_xlpm.stn="Clean and Brake",_xlfn.LET(_xlpm.pos,SUMPRODUCT((A$7:A61&lt;&gt;"")*(IFERROR(VLOOKUP(A$7:A61,'Job Operations'!$A$4:$AA$304,12,FALSE),"")="Clean and Brake")),_xlpm.sfx,IF(OR(_xlpm.pos=11,_xlpm.pos=12,_xlpm.pos=13),"th",IF(MOD(_xlpm.pos,10)=1,"st",IF(MOD(_xlpm.pos,10)=2,"nd",IF(MOD(_xlpm.pos,10)=3,"rd","th")))),_xlpm.pos&amp;_xlpm.sfx),IF(_xlpm.stn&lt;&gt;"",_xlpm.stn,""))))</f>
        <v>LO Check</v>
      </c>
      <c r="I61" s="95" t="str" cm="1">
        <f t="array" ref="I61">IF(A61="","",_xlfn.LET(_xlpm.stn,IFERROR(VLOOKUP(A61,'Job Operations'!$A$4:$AA$304,12,FALSE),""),IF(_xlpm.stn="Clean and Brake",_xlfn.LET(_xlpm.pos,SUMPRODUCT((A$7:A61&lt;&gt;"")*(IFERROR(VLOOKUP(A$7:A61,'Job Operations'!$A$4:$AA$304,12,FALSE),"")="Clean and Brake")),_xlpm.sfx,IF(OR(_xlpm.pos=11,_xlpm.pos=12,_xlpm.pos=13),"th",IF(MOD(_xlpm.pos,10)=1,"st",IF(MOD(_xlpm.pos,10)=2,"nd",IF(MOD(_xlpm.pos,10)=3,"rd","th")))),_xlpm.pos&amp;_xlpm.sfx),IF(ISNUMBER(MATCH(A61,'AXYZ Titans CNC Schedule'!A$7:A$100,0)),"#"&amp;MATCH(A61,'AXYZ Titans CNC Schedule'!A$7:A$100,0)&amp;" on Titans",IF(ISNUMBER(MATCH(A61,'AXYZ CNC Schedule'!A$7:A$100,0)),"#"&amp;MATCH(A61,'AXYZ CNC Schedule'!A$7:A$100,0)&amp;" on AXYZ",IF(_xlpm.stn&lt;&gt;"",_xlpm.stn,""))))))</f>
        <v>#40 on AXYZ</v>
      </c>
      <c r="J61" s="97">
        <f>IF(A61="","",IFERROR(VLOOKUP(A61,'Job Operations'!$A$4:$AA$304,16,FALSE),""))</f>
        <v>46143</v>
      </c>
      <c r="K61" s="95" t="str">
        <f>IF(A61="","",IFERROR(VLOOKUP(A61,'Job Operations'!$A$4:$AA$304,17,FALSE),""))</f>
        <v>Fab</v>
      </c>
      <c r="L61" s="128" t="str">
        <f>IF(A61="","",IF(IFERROR(VLOOKUP(A61,Notes!A:B,2,FALSE),"")=0,"",VLOOKUP(A61,Notes!A:B,2,FALSE)))</f>
        <v>04/16/2026…LO Check</v>
      </c>
    </row>
    <row r="62" spans="1:12" x14ac:dyDescent="0.25">
      <c r="A62" s="69" t="str">
        <v>24079-FS301</v>
      </c>
      <c r="B62" s="73" t="str">
        <f>IF(A62="","",IFERROR(VLOOKUP(A62,'Job Operations'!$A$4:$AA$304,2,FALSE),""))</f>
        <v>Nashville Youth Campus</v>
      </c>
      <c r="C62" s="69" t="str">
        <f>IF(A62="","",IFERROR(VLOOKUP(A62,'Job Operations'!$A$4:$AA$304,3,FALSE),""))</f>
        <v>Joe Hoyle</v>
      </c>
      <c r="D62" s="69">
        <f>IF(A62="","",IFERROR(VLOOKUP(A62,'Job Operations'!$A$4:$AA$304,5,FALSE),""))</f>
        <v>143</v>
      </c>
      <c r="E62" s="69">
        <f>IF(A62="","",IFERROR(VLOOKUP(A62,'Job Operations'!$A$4:$AA$304,6,FALSE),""))</f>
        <v>0</v>
      </c>
      <c r="F62" s="69" t="str">
        <f>IF(A62="","",IFERROR(VLOOKUP(A62,'Job Operations'!$A$4:$AA$304,7,FALSE),""))</f>
        <v>FR ACM</v>
      </c>
      <c r="G62" s="70">
        <f>IF(A62="","",IFERROR(VLOOKUP(A62,'Job Operations'!$A$4:$AA$304,9,FALSE),""))</f>
        <v>46167</v>
      </c>
      <c r="H62" s="69" t="str" cm="1">
        <f t="array" ref="H62">IF(A62="","",_xlfn.LET(_xlpm.stn,IFERROR(VLOOKUP(A62,'Job Operations'!$A$4:$AA$304,12,FALSE),""),IF(_xlpm.stn="Clean and Brake",_xlfn.LET(_xlpm.pos,SUMPRODUCT((A$7:A62&lt;&gt;"")*(IFERROR(VLOOKUP(A$7:A62,'Job Operations'!$A$4:$AA$304,12,FALSE),"")="Clean and Brake")),_xlpm.sfx,IF(OR(_xlpm.pos=11,_xlpm.pos=12,_xlpm.pos=13),"th",IF(MOD(_xlpm.pos,10)=1,"st",IF(MOD(_xlpm.pos,10)=2,"nd",IF(MOD(_xlpm.pos,10)=3,"rd","th")))),_xlpm.pos&amp;_xlpm.sfx),IF(_xlpm.stn&lt;&gt;"",_xlpm.stn,""))))</f>
        <v>LO</v>
      </c>
      <c r="I62" s="69" t="str" cm="1">
        <f t="array" ref="I62">IF(A62="","",_xlfn.LET(_xlpm.stn,IFERROR(VLOOKUP(A62,'Job Operations'!$A$4:$AA$304,12,FALSE),""),IF(_xlpm.stn="Clean and Brake",_xlfn.LET(_xlpm.pos,SUMPRODUCT((A$7:A62&lt;&gt;"")*(IFERROR(VLOOKUP(A$7:A62,'Job Operations'!$A$4:$AA$304,12,FALSE),"")="Clean and Brake")),_xlpm.sfx,IF(OR(_xlpm.pos=11,_xlpm.pos=12,_xlpm.pos=13),"th",IF(MOD(_xlpm.pos,10)=1,"st",IF(MOD(_xlpm.pos,10)=2,"nd",IF(MOD(_xlpm.pos,10)=3,"rd","th")))),_xlpm.pos&amp;_xlpm.sfx),IF(ISNUMBER(MATCH(A62,'AXYZ Titans CNC Schedule'!A$7:A$100,0)),"#"&amp;MATCH(A62,'AXYZ Titans CNC Schedule'!A$7:A$100,0)&amp;" on Titans",IF(ISNUMBER(MATCH(A62,'AXYZ CNC Schedule'!A$7:A$100,0)),"#"&amp;MATCH(A62,'AXYZ CNC Schedule'!A$7:A$100,0)&amp;" on AXYZ",IF(_xlpm.stn&lt;&gt;"",_xlpm.stn,""))))))</f>
        <v>#43 on AXYZ</v>
      </c>
      <c r="J62" s="70">
        <f>IF(A62="","",IFERROR(VLOOKUP(A62,'Job Operations'!$A$4:$AA$304,16,FALSE),""))</f>
        <v>46143</v>
      </c>
      <c r="K62" s="69" t="str">
        <f>IF(A62="","",IFERROR(VLOOKUP(A62,'Job Operations'!$A$4:$AA$304,17,FALSE),""))</f>
        <v>Fab</v>
      </c>
      <c r="L62" s="129" t="str">
        <f>IF(A62="","",IF(IFERROR(VLOOKUP(A62,Notes!A:B,2,FALSE),"")=0,"",VLOOKUP(A62,Notes!A:B,2,FALSE)))</f>
        <v>04/16/2026…LO</v>
      </c>
    </row>
    <row r="63" spans="1:12" x14ac:dyDescent="0.25">
      <c r="A63" s="69" t="str">
        <v>24079-FS303</v>
      </c>
      <c r="B63" s="73" t="str">
        <f>IF(A63="","",IFERROR(VLOOKUP(A63,'Job Operations'!$A$4:$AA$304,2,FALSE),""))</f>
        <v>Nashville Youth Campus</v>
      </c>
      <c r="C63" s="69" t="str">
        <f>IF(A63="","",IFERROR(VLOOKUP(A63,'Job Operations'!$A$4:$AA$304,3,FALSE),""))</f>
        <v>Joe Hoyle</v>
      </c>
      <c r="D63" s="69">
        <f>IF(A63="","",IFERROR(VLOOKUP(A63,'Job Operations'!$A$4:$AA$304,5,FALSE),""))</f>
        <v>165</v>
      </c>
      <c r="E63" s="69">
        <f>IF(A63="","",IFERROR(VLOOKUP(A63,'Job Operations'!$A$4:$AA$304,6,FALSE),""))</f>
        <v>0</v>
      </c>
      <c r="F63" s="69" t="str">
        <f>IF(A63="","",IFERROR(VLOOKUP(A63,'Job Operations'!$A$4:$AA$304,7,FALSE),""))</f>
        <v>FR ACM</v>
      </c>
      <c r="G63" s="70">
        <f>IF(A63="","",IFERROR(VLOOKUP(A63,'Job Operations'!$A$4:$AA$304,9,FALSE),""))</f>
        <v>46167</v>
      </c>
      <c r="H63" s="69" t="str" cm="1">
        <f t="array" ref="H63">IF(A63="","",_xlfn.LET(_xlpm.stn,IFERROR(VLOOKUP(A63,'Job Operations'!$A$4:$AA$304,12,FALSE),""),IF(_xlpm.stn="Clean and Brake",_xlfn.LET(_xlpm.pos,SUMPRODUCT((A$7:A63&lt;&gt;"")*(IFERROR(VLOOKUP(A$7:A63,'Job Operations'!$A$4:$AA$304,12,FALSE),"")="Clean and Brake")),_xlpm.sfx,IF(OR(_xlpm.pos=11,_xlpm.pos=12,_xlpm.pos=13),"th",IF(MOD(_xlpm.pos,10)=1,"st",IF(MOD(_xlpm.pos,10)=2,"nd",IF(MOD(_xlpm.pos,10)=3,"rd","th")))),_xlpm.pos&amp;_xlpm.sfx),IF(_xlpm.stn&lt;&gt;"",_xlpm.stn,""))))</f>
        <v>LO</v>
      </c>
      <c r="I63" s="69" t="str" cm="1">
        <f t="array" ref="I63">IF(A63="","",_xlfn.LET(_xlpm.stn,IFERROR(VLOOKUP(A63,'Job Operations'!$A$4:$AA$304,12,FALSE),""),IF(_xlpm.stn="Clean and Brake",_xlfn.LET(_xlpm.pos,SUMPRODUCT((A$7:A63&lt;&gt;"")*(IFERROR(VLOOKUP(A$7:A63,'Job Operations'!$A$4:$AA$304,12,FALSE),"")="Clean and Brake")),_xlpm.sfx,IF(OR(_xlpm.pos=11,_xlpm.pos=12,_xlpm.pos=13),"th",IF(MOD(_xlpm.pos,10)=1,"st",IF(MOD(_xlpm.pos,10)=2,"nd",IF(MOD(_xlpm.pos,10)=3,"rd","th")))),_xlpm.pos&amp;_xlpm.sfx),IF(ISNUMBER(MATCH(A63,'AXYZ Titans CNC Schedule'!A$7:A$100,0)),"#"&amp;MATCH(A63,'AXYZ Titans CNC Schedule'!A$7:A$100,0)&amp;" on Titans",IF(ISNUMBER(MATCH(A63,'AXYZ CNC Schedule'!A$7:A$100,0)),"#"&amp;MATCH(A63,'AXYZ CNC Schedule'!A$7:A$100,0)&amp;" on AXYZ",IF(_xlpm.stn&lt;&gt;"",_xlpm.stn,""))))))</f>
        <v>#44 on AXYZ</v>
      </c>
      <c r="J63" s="70">
        <f>IF(A63="","",IFERROR(VLOOKUP(A63,'Job Operations'!$A$4:$AA$304,16,FALSE),""))</f>
        <v>46143</v>
      </c>
      <c r="K63" s="69" t="str">
        <f>IF(A63="","",IFERROR(VLOOKUP(A63,'Job Operations'!$A$4:$AA$304,17,FALSE),""))</f>
        <v>Fab</v>
      </c>
      <c r="L63" s="129" t="str">
        <f>IF(A63="","",IF(IFERROR(VLOOKUP(A63,Notes!A:B,2,FALSE),"")=0,"",VLOOKUP(A63,Notes!A:B,2,FALSE)))</f>
        <v>04/16/2026…LO</v>
      </c>
    </row>
    <row r="64" spans="1:12" x14ac:dyDescent="0.25">
      <c r="A64" s="69" t="str">
        <v>25065-MU02</v>
      </c>
      <c r="B64" s="73" t="str">
        <f>IF(A64="","",IFERROR(VLOOKUP(A64,'Job Operations'!$A$4:$AA$304,2,FALSE),""))</f>
        <v>Crosswinds Casino Resort</v>
      </c>
      <c r="C64" s="69" t="str">
        <f>IF(A64="","",IFERROR(VLOOKUP(A64,'Job Operations'!$A$4:$AA$304,3,FALSE),""))</f>
        <v>Matt Rassmussen</v>
      </c>
      <c r="D64" s="69">
        <f>IF(A64="","",IFERROR(VLOOKUP(A64,'Job Operations'!$A$4:$AA$304,5,FALSE),""))</f>
        <v>15</v>
      </c>
      <c r="E64" s="69">
        <f>IF(A64="","",IFERROR(VLOOKUP(A64,'Job Operations'!$A$4:$AA$304,6,FALSE),""))</f>
        <v>13</v>
      </c>
      <c r="F64" s="69" t="str">
        <f>IF(A64="","",IFERROR(VLOOKUP(A64,'Job Operations'!$A$4:$AA$304,7,FALSE),""))</f>
        <v>FR ACM</v>
      </c>
      <c r="G64" s="70">
        <f>IF(A64="","",IFERROR(VLOOKUP(A64,'Job Operations'!$A$4:$AA$304,9,FALSE),""))</f>
        <v>46171</v>
      </c>
      <c r="H64" s="69" t="str" cm="1">
        <f t="array" ref="H64">IF(A64="","",_xlfn.LET(_xlpm.stn,IFERROR(VLOOKUP(A64,'Job Operations'!$A$4:$AA$304,12,FALSE),""),IF(_xlpm.stn="Clean and Brake",_xlfn.LET(_xlpm.pos,SUMPRODUCT((A$7:A64&lt;&gt;"")*(IFERROR(VLOOKUP(A$7:A64,'Job Operations'!$A$4:$AA$304,12,FALSE),"")="Clean and Brake")),_xlpm.sfx,IF(OR(_xlpm.pos=11,_xlpm.pos=12,_xlpm.pos=13),"th",IF(MOD(_xlpm.pos,10)=1,"st",IF(MOD(_xlpm.pos,10)=2,"nd",IF(MOD(_xlpm.pos,10)=3,"rd","th")))),_xlpm.pos&amp;_xlpm.sfx),IF(_xlpm.stn&lt;&gt;"",_xlpm.stn,""))))</f>
        <v>LO</v>
      </c>
      <c r="I64" s="69" t="str" cm="1">
        <f t="array" ref="I64">IF(A64="","",_xlfn.LET(_xlpm.stn,IFERROR(VLOOKUP(A64,'Job Operations'!$A$4:$AA$304,12,FALSE),""),IF(_xlpm.stn="Clean and Brake",_xlfn.LET(_xlpm.pos,SUMPRODUCT((A$7:A64&lt;&gt;"")*(IFERROR(VLOOKUP(A$7:A64,'Job Operations'!$A$4:$AA$304,12,FALSE),"")="Clean and Brake")),_xlpm.sfx,IF(OR(_xlpm.pos=11,_xlpm.pos=12,_xlpm.pos=13),"th",IF(MOD(_xlpm.pos,10)=1,"st",IF(MOD(_xlpm.pos,10)=2,"nd",IF(MOD(_xlpm.pos,10)=3,"rd","th")))),_xlpm.pos&amp;_xlpm.sfx),IF(ISNUMBER(MATCH(A64,'AXYZ Titans CNC Schedule'!A$7:A$100,0)),"#"&amp;MATCH(A64,'AXYZ Titans CNC Schedule'!A$7:A$100,0)&amp;" on Titans",IF(ISNUMBER(MATCH(A64,'AXYZ CNC Schedule'!A$7:A$100,0)),"#"&amp;MATCH(A64,'AXYZ CNC Schedule'!A$7:A$100,0)&amp;" on AXYZ",IF(_xlpm.stn&lt;&gt;"",_xlpm.stn,""))))))</f>
        <v>#45 on AXYZ</v>
      </c>
      <c r="J64" s="70">
        <f>IF(A64="","",IFERROR(VLOOKUP(A64,'Job Operations'!$A$4:$AA$304,16,FALSE),""))</f>
        <v>46148</v>
      </c>
      <c r="K64" s="69" t="str">
        <f>IF(A64="","",IFERROR(VLOOKUP(A64,'Job Operations'!$A$4:$AA$304,17,FALSE),""))</f>
        <v>Fab</v>
      </c>
      <c r="L64" s="129" t="str">
        <f>IF(A64="","",IF(IFERROR(VLOOKUP(A64,Notes!A:B,2,FALSE),"")=0,"",VLOOKUP(A64,Notes!A:B,2,FALSE)))</f>
        <v>04/16/2026…LO</v>
      </c>
    </row>
    <row r="65" spans="1:12" x14ac:dyDescent="0.25">
      <c r="A65" s="69" t="str">
        <v>25065-MU03</v>
      </c>
      <c r="B65" s="73" t="str">
        <f>IF(A65="","",IFERROR(VLOOKUP(A65,'Job Operations'!$A$4:$AA$304,2,FALSE),""))</f>
        <v>Crosswinds Casino Resort</v>
      </c>
      <c r="C65" s="69" t="str">
        <f>IF(A65="","",IFERROR(VLOOKUP(A65,'Job Operations'!$A$4:$AA$304,3,FALSE),""))</f>
        <v>Matt Rassmussen</v>
      </c>
      <c r="D65" s="69">
        <f>IF(A65="","",IFERROR(VLOOKUP(A65,'Job Operations'!$A$4:$AA$304,5,FALSE),""))</f>
        <v>6</v>
      </c>
      <c r="E65" s="69">
        <f>IF(A65="","",IFERROR(VLOOKUP(A65,'Job Operations'!$A$4:$AA$304,6,FALSE),""))</f>
        <v>6</v>
      </c>
      <c r="F65" s="69" t="str">
        <f>IF(A65="","",IFERROR(VLOOKUP(A65,'Job Operations'!$A$4:$AA$304,7,FALSE),""))</f>
        <v>FR ACM</v>
      </c>
      <c r="G65" s="70">
        <f>IF(A65="","",IFERROR(VLOOKUP(A65,'Job Operations'!$A$4:$AA$304,9,FALSE),""))</f>
        <v>46171</v>
      </c>
      <c r="H65" s="69" t="str" cm="1">
        <f t="array" ref="H65">IF(A65="","",_xlfn.LET(_xlpm.stn,IFERROR(VLOOKUP(A65,'Job Operations'!$A$4:$AA$304,12,FALSE),""),IF(_xlpm.stn="Clean and Brake",_xlfn.LET(_xlpm.pos,SUMPRODUCT((A$7:A65&lt;&gt;"")*(IFERROR(VLOOKUP(A$7:A65,'Job Operations'!$A$4:$AA$304,12,FALSE),"")="Clean and Brake")),_xlpm.sfx,IF(OR(_xlpm.pos=11,_xlpm.pos=12,_xlpm.pos=13),"th",IF(MOD(_xlpm.pos,10)=1,"st",IF(MOD(_xlpm.pos,10)=2,"nd",IF(MOD(_xlpm.pos,10)=3,"rd","th")))),_xlpm.pos&amp;_xlpm.sfx),IF(_xlpm.stn&lt;&gt;"",_xlpm.stn,""))))</f>
        <v>LO</v>
      </c>
      <c r="I65" s="69" t="str" cm="1">
        <f t="array" ref="I65">IF(A65="","",_xlfn.LET(_xlpm.stn,IFERROR(VLOOKUP(A65,'Job Operations'!$A$4:$AA$304,12,FALSE),""),IF(_xlpm.stn="Clean and Brake",_xlfn.LET(_xlpm.pos,SUMPRODUCT((A$7:A65&lt;&gt;"")*(IFERROR(VLOOKUP(A$7:A65,'Job Operations'!$A$4:$AA$304,12,FALSE),"")="Clean and Brake")),_xlpm.sfx,IF(OR(_xlpm.pos=11,_xlpm.pos=12,_xlpm.pos=13),"th",IF(MOD(_xlpm.pos,10)=1,"st",IF(MOD(_xlpm.pos,10)=2,"nd",IF(MOD(_xlpm.pos,10)=3,"rd","th")))),_xlpm.pos&amp;_xlpm.sfx),IF(ISNUMBER(MATCH(A65,'AXYZ Titans CNC Schedule'!A$7:A$100,0)),"#"&amp;MATCH(A65,'AXYZ Titans CNC Schedule'!A$7:A$100,0)&amp;" on Titans",IF(ISNUMBER(MATCH(A65,'AXYZ CNC Schedule'!A$7:A$100,0)),"#"&amp;MATCH(A65,'AXYZ CNC Schedule'!A$7:A$100,0)&amp;" on AXYZ",IF(_xlpm.stn&lt;&gt;"",_xlpm.stn,""))))))</f>
        <v>#46 on AXYZ</v>
      </c>
      <c r="J65" s="70">
        <f>IF(A65="","",IFERROR(VLOOKUP(A65,'Job Operations'!$A$4:$AA$304,16,FALSE),""))</f>
        <v>46148</v>
      </c>
      <c r="K65" s="69" t="str">
        <f>IF(A65="","",IFERROR(VLOOKUP(A65,'Job Operations'!$A$4:$AA$304,17,FALSE),""))</f>
        <v>Fab</v>
      </c>
      <c r="L65" s="129" t="str">
        <f>IF(A65="","",IF(IFERROR(VLOOKUP(A65,Notes!A:B,2,FALSE),"")=0,"",VLOOKUP(A65,Notes!A:B,2,FALSE)))</f>
        <v>04/16/2026…LO</v>
      </c>
    </row>
    <row r="66" spans="1:12" x14ac:dyDescent="0.25">
      <c r="A66" s="69" t="str">
        <v>25065-MU04</v>
      </c>
      <c r="B66" s="73" t="str">
        <f>IF(A66="","",IFERROR(VLOOKUP(A66,'Job Operations'!$A$4:$AA$304,2,FALSE),""))</f>
        <v>Crosswinds Casino Resort</v>
      </c>
      <c r="C66" s="69" t="str">
        <f>IF(A66="","",IFERROR(VLOOKUP(A66,'Job Operations'!$A$4:$AA$304,3,FALSE),""))</f>
        <v>Matt Rassmussen</v>
      </c>
      <c r="D66" s="69">
        <f>IF(A66="","",IFERROR(VLOOKUP(A66,'Job Operations'!$A$4:$AA$304,5,FALSE),""))</f>
        <v>15</v>
      </c>
      <c r="E66" s="69">
        <f>IF(A66="","",IFERROR(VLOOKUP(A66,'Job Operations'!$A$4:$AA$304,6,FALSE),""))</f>
        <v>13</v>
      </c>
      <c r="F66" s="69" t="str">
        <f>IF(A66="","",IFERROR(VLOOKUP(A66,'Job Operations'!$A$4:$AA$304,7,FALSE),""))</f>
        <v>FR ACM</v>
      </c>
      <c r="G66" s="70">
        <f>IF(A66="","",IFERROR(VLOOKUP(A66,'Job Operations'!$A$4:$AA$304,9,FALSE),""))</f>
        <v>46171</v>
      </c>
      <c r="H66" s="69" t="str" cm="1">
        <f t="array" ref="H66">IF(A66="","",_xlfn.LET(_xlpm.stn,IFERROR(VLOOKUP(A66,'Job Operations'!$A$4:$AA$304,12,FALSE),""),IF(_xlpm.stn="Clean and Brake",_xlfn.LET(_xlpm.pos,SUMPRODUCT((A$7:A66&lt;&gt;"")*(IFERROR(VLOOKUP(A$7:A66,'Job Operations'!$A$4:$AA$304,12,FALSE),"")="Clean and Brake")),_xlpm.sfx,IF(OR(_xlpm.pos=11,_xlpm.pos=12,_xlpm.pos=13),"th",IF(MOD(_xlpm.pos,10)=1,"st",IF(MOD(_xlpm.pos,10)=2,"nd",IF(MOD(_xlpm.pos,10)=3,"rd","th")))),_xlpm.pos&amp;_xlpm.sfx),IF(_xlpm.stn&lt;&gt;"",_xlpm.stn,""))))</f>
        <v>LO</v>
      </c>
      <c r="I66" s="69" t="str" cm="1">
        <f t="array" ref="I66">IF(A66="","",_xlfn.LET(_xlpm.stn,IFERROR(VLOOKUP(A66,'Job Operations'!$A$4:$AA$304,12,FALSE),""),IF(_xlpm.stn="Clean and Brake",_xlfn.LET(_xlpm.pos,SUMPRODUCT((A$7:A66&lt;&gt;"")*(IFERROR(VLOOKUP(A$7:A66,'Job Operations'!$A$4:$AA$304,12,FALSE),"")="Clean and Brake")),_xlpm.sfx,IF(OR(_xlpm.pos=11,_xlpm.pos=12,_xlpm.pos=13),"th",IF(MOD(_xlpm.pos,10)=1,"st",IF(MOD(_xlpm.pos,10)=2,"nd",IF(MOD(_xlpm.pos,10)=3,"rd","th")))),_xlpm.pos&amp;_xlpm.sfx),IF(ISNUMBER(MATCH(A66,'AXYZ Titans CNC Schedule'!A$7:A$100,0)),"#"&amp;MATCH(A66,'AXYZ Titans CNC Schedule'!A$7:A$100,0)&amp;" on Titans",IF(ISNUMBER(MATCH(A66,'AXYZ CNC Schedule'!A$7:A$100,0)),"#"&amp;MATCH(A66,'AXYZ CNC Schedule'!A$7:A$100,0)&amp;" on AXYZ",IF(_xlpm.stn&lt;&gt;"",_xlpm.stn,""))))))</f>
        <v>#47 on AXYZ</v>
      </c>
      <c r="J66" s="70">
        <f>IF(A66="","",IFERROR(VLOOKUP(A66,'Job Operations'!$A$4:$AA$304,16,FALSE),""))</f>
        <v>46148</v>
      </c>
      <c r="K66" s="69" t="str">
        <f>IF(A66="","",IFERROR(VLOOKUP(A66,'Job Operations'!$A$4:$AA$304,17,FALSE),""))</f>
        <v>Fab</v>
      </c>
      <c r="L66" s="129" t="str">
        <f>IF(A66="","",IF(IFERROR(VLOOKUP(A66,Notes!A:B,2,FALSE),"")=0,"",VLOOKUP(A66,Notes!A:B,2,FALSE)))</f>
        <v>04/16/2026…LO</v>
      </c>
    </row>
    <row r="67" spans="1:12" x14ac:dyDescent="0.25">
      <c r="A67" s="69" t="str">
        <v>25044-FS02</v>
      </c>
      <c r="B67" s="73" t="str">
        <f>IF(A67="","",IFERROR(VLOOKUP(A67,'Job Operations'!$A$4:$AA$304,2,FALSE),""))</f>
        <v>MALETA Firing Range</v>
      </c>
      <c r="C67" s="69" t="str">
        <f>IF(A67="","",IFERROR(VLOOKUP(A67,'Job Operations'!$A$4:$AA$304,3,FALSE),""))</f>
        <v>Cole Norona</v>
      </c>
      <c r="D67" s="69">
        <f>IF(A67="","",IFERROR(VLOOKUP(A67,'Job Operations'!$A$4:$AA$304,5,FALSE),""))</f>
        <v>135</v>
      </c>
      <c r="E67" s="69">
        <f>IF(A67="","",IFERROR(VLOOKUP(A67,'Job Operations'!$A$4:$AA$304,6,FALSE),""))</f>
        <v>0</v>
      </c>
      <c r="F67" s="69" t="str">
        <f>IF(A67="","",IFERROR(VLOOKUP(A67,'Job Operations'!$A$4:$AA$304,7,FALSE),""))</f>
        <v>FR ACM</v>
      </c>
      <c r="G67" s="70">
        <f>IF(A67="","",IFERROR(VLOOKUP(A67,'Job Operations'!$A$4:$AA$304,9,FALSE),""))</f>
        <v>46173</v>
      </c>
      <c r="H67" s="69" t="str" cm="1">
        <f t="array" ref="H67">IF(A67="","",_xlfn.LET(_xlpm.stn,IFERROR(VLOOKUP(A67,'Job Operations'!$A$4:$AA$304,12,FALSE),""),IF(_xlpm.stn="Clean and Brake",_xlfn.LET(_xlpm.pos,SUMPRODUCT((A$7:A67&lt;&gt;"")*(IFERROR(VLOOKUP(A$7:A67,'Job Operations'!$A$4:$AA$304,12,FALSE),"")="Clean and Brake")),_xlpm.sfx,IF(OR(_xlpm.pos=11,_xlpm.pos=12,_xlpm.pos=13),"th",IF(MOD(_xlpm.pos,10)=1,"st",IF(MOD(_xlpm.pos,10)=2,"nd",IF(MOD(_xlpm.pos,10)=3,"rd","th")))),_xlpm.pos&amp;_xlpm.sfx),IF(_xlpm.stn&lt;&gt;"",_xlpm.stn,""))))</f>
        <v>LO</v>
      </c>
      <c r="I67" s="69" t="str" cm="1">
        <f t="array" ref="I67">IF(A67="","",_xlfn.LET(_xlpm.stn,IFERROR(VLOOKUP(A67,'Job Operations'!$A$4:$AA$304,12,FALSE),""),IF(_xlpm.stn="Clean and Brake",_xlfn.LET(_xlpm.pos,SUMPRODUCT((A$7:A67&lt;&gt;"")*(IFERROR(VLOOKUP(A$7:A67,'Job Operations'!$A$4:$AA$304,12,FALSE),"")="Clean and Brake")),_xlpm.sfx,IF(OR(_xlpm.pos=11,_xlpm.pos=12,_xlpm.pos=13),"th",IF(MOD(_xlpm.pos,10)=1,"st",IF(MOD(_xlpm.pos,10)=2,"nd",IF(MOD(_xlpm.pos,10)=3,"rd","th")))),_xlpm.pos&amp;_xlpm.sfx),IF(ISNUMBER(MATCH(A67,'AXYZ Titans CNC Schedule'!A$7:A$100,0)),"#"&amp;MATCH(A67,'AXYZ Titans CNC Schedule'!A$7:A$100,0)&amp;" on Titans",IF(ISNUMBER(MATCH(A67,'AXYZ CNC Schedule'!A$7:A$100,0)),"#"&amp;MATCH(A67,'AXYZ CNC Schedule'!A$7:A$100,0)&amp;" on AXYZ",IF(_xlpm.stn&lt;&gt;"",_xlpm.stn,""))))))</f>
        <v>#48 on AXYZ</v>
      </c>
      <c r="J67" s="70">
        <f>IF(A67="","",IFERROR(VLOOKUP(A67,'Job Operations'!$A$4:$AA$304,16,FALSE),""))</f>
        <v>46150</v>
      </c>
      <c r="K67" s="69" t="str">
        <f>IF(A67="","",IFERROR(VLOOKUP(A67,'Job Operations'!$A$4:$AA$304,17,FALSE),""))</f>
        <v>Fab</v>
      </c>
      <c r="L67" s="129" t="str">
        <f>IF(A67="","",IF(IFERROR(VLOOKUP(A67,Notes!A:B,2,FALSE),"")=0,"",VLOOKUP(A67,Notes!A:B,2,FALSE)))</f>
        <v>04/16/2026…LO</v>
      </c>
    </row>
    <row r="68" spans="1:12" x14ac:dyDescent="0.25">
      <c r="A68" s="69" t="str">
        <v>25006-FS07</v>
      </c>
      <c r="B68" s="73" t="str">
        <f>IF(A68="","",IFERROR(VLOOKUP(A68,'Job Operations'!$A$4:$AA$304,2,FALSE),""))</f>
        <v>MALETA Housing and Dining</v>
      </c>
      <c r="C68" s="69" t="str">
        <f>IF(A68="","",IFERROR(VLOOKUP(A68,'Job Operations'!$A$4:$AA$304,3,FALSE),""))</f>
        <v>Cole Norona</v>
      </c>
      <c r="D68" s="69">
        <f>IF(A68="","",IFERROR(VLOOKUP(A68,'Job Operations'!$A$4:$AA$304,5,FALSE),""))</f>
        <v>190</v>
      </c>
      <c r="E68" s="69">
        <f>IF(A68="","",IFERROR(VLOOKUP(A68,'Job Operations'!$A$4:$AA$304,6,FALSE),""))</f>
        <v>0</v>
      </c>
      <c r="F68" s="69" t="str">
        <f>IF(A68="","",IFERROR(VLOOKUP(A68,'Job Operations'!$A$4:$AA$304,7,FALSE),""))</f>
        <v>FR ACM</v>
      </c>
      <c r="G68" s="70">
        <f>IF(A68="","",IFERROR(VLOOKUP(A68,'Job Operations'!$A$4:$AA$304,9,FALSE),""))</f>
        <v>46176</v>
      </c>
      <c r="H68" s="69" t="str" cm="1">
        <f t="array" ref="H68">IF(A68="","",_xlfn.LET(_xlpm.stn,IFERROR(VLOOKUP(A68,'Job Operations'!$A$4:$AA$304,12,FALSE),""),IF(_xlpm.stn="Clean and Brake",_xlfn.LET(_xlpm.pos,SUMPRODUCT((A$7:A68&lt;&gt;"")*(IFERROR(VLOOKUP(A$7:A68,'Job Operations'!$A$4:$AA$304,12,FALSE),"")="Clean and Brake")),_xlpm.sfx,IF(OR(_xlpm.pos=11,_xlpm.pos=12,_xlpm.pos=13),"th",IF(MOD(_xlpm.pos,10)=1,"st",IF(MOD(_xlpm.pos,10)=2,"nd",IF(MOD(_xlpm.pos,10)=3,"rd","th")))),_xlpm.pos&amp;_xlpm.sfx),IF(_xlpm.stn&lt;&gt;"",_xlpm.stn,""))))</f>
        <v>LO Check</v>
      </c>
      <c r="I68" s="69" t="str" cm="1">
        <f t="array" ref="I68">IF(A68="","",_xlfn.LET(_xlpm.stn,IFERROR(VLOOKUP(A68,'Job Operations'!$A$4:$AA$304,12,FALSE),""),IF(_xlpm.stn="Clean and Brake",_xlfn.LET(_xlpm.pos,SUMPRODUCT((A$7:A68&lt;&gt;"")*(IFERROR(VLOOKUP(A$7:A68,'Job Operations'!$A$4:$AA$304,12,FALSE),"")="Clean and Brake")),_xlpm.sfx,IF(OR(_xlpm.pos=11,_xlpm.pos=12,_xlpm.pos=13),"th",IF(MOD(_xlpm.pos,10)=1,"st",IF(MOD(_xlpm.pos,10)=2,"nd",IF(MOD(_xlpm.pos,10)=3,"rd","th")))),_xlpm.pos&amp;_xlpm.sfx),IF(ISNUMBER(MATCH(A68,'AXYZ Titans CNC Schedule'!A$7:A$100,0)),"#"&amp;MATCH(A68,'AXYZ Titans CNC Schedule'!A$7:A$100,0)&amp;" on Titans",IF(ISNUMBER(MATCH(A68,'AXYZ CNC Schedule'!A$7:A$100,0)),"#"&amp;MATCH(A68,'AXYZ CNC Schedule'!A$7:A$100,0)&amp;" on AXYZ",IF(_xlpm.stn&lt;&gt;"",_xlpm.stn,""))))))</f>
        <v>#49 on AXYZ</v>
      </c>
      <c r="J68" s="70">
        <f>IF(A68="","",IFERROR(VLOOKUP(A68,'Job Operations'!$A$4:$AA$304,16,FALSE),""))</f>
        <v>46153</v>
      </c>
      <c r="K68" s="69" t="str">
        <f>IF(A68="","",IFERROR(VLOOKUP(A68,'Job Operations'!$A$4:$AA$304,17,FALSE),""))</f>
        <v>Fab</v>
      </c>
      <c r="L68" s="129" t="str">
        <f>IF(A68="","",IF(IFERROR(VLOOKUP(A68,Notes!A:B,2,FALSE),"")=0,"",VLOOKUP(A68,Notes!A:B,2,FALSE)))</f>
        <v>HOAR*04/16/2026…LO Check</v>
      </c>
    </row>
    <row r="69" spans="1:12" x14ac:dyDescent="0.25">
      <c r="A69" s="69" t="str">
        <v>25037-FS02</v>
      </c>
      <c r="B69" s="73" t="str">
        <f>IF(A69="","",IFERROR(VLOOKUP(A69,'Job Operations'!$A$4:$AA$304,2,FALSE),""))</f>
        <v>Chestnut Street Office</v>
      </c>
      <c r="C69" s="69" t="str">
        <f>IF(A69="","",IFERROR(VLOOKUP(A69,'Job Operations'!$A$4:$AA$304,3,FALSE),""))</f>
        <v>Laura Forero</v>
      </c>
      <c r="D69" s="69">
        <f>IF(A69="","",IFERROR(VLOOKUP(A69,'Job Operations'!$A$4:$AA$304,5,FALSE),""))</f>
        <v>204</v>
      </c>
      <c r="E69" s="69">
        <f>IF(A69="","",IFERROR(VLOOKUP(A69,'Job Operations'!$A$4:$AA$304,6,FALSE),""))</f>
        <v>0</v>
      </c>
      <c r="F69" s="69" t="str">
        <f>IF(A69="","",IFERROR(VLOOKUP(A69,'Job Operations'!$A$4:$AA$304,7,FALSE),""))</f>
        <v>FR ACM</v>
      </c>
      <c r="G69" s="70">
        <f>IF(A69="","",IFERROR(VLOOKUP(A69,'Job Operations'!$A$4:$AA$304,9,FALSE),""))</f>
        <v>46181</v>
      </c>
      <c r="H69" s="69" t="str" cm="1">
        <f t="array" ref="H69">IF(A69="","",_xlfn.LET(_xlpm.stn,IFERROR(VLOOKUP(A69,'Job Operations'!$A$4:$AA$304,12,FALSE),""),IF(_xlpm.stn="Clean and Brake",_xlfn.LET(_xlpm.pos,SUMPRODUCT((A$7:A69&lt;&gt;"")*(IFERROR(VLOOKUP(A$7:A69,'Job Operations'!$A$4:$AA$304,12,FALSE),"")="Clean and Brake")),_xlpm.sfx,IF(OR(_xlpm.pos=11,_xlpm.pos=12,_xlpm.pos=13),"th",IF(MOD(_xlpm.pos,10)=1,"st",IF(MOD(_xlpm.pos,10)=2,"nd",IF(MOD(_xlpm.pos,10)=3,"rd","th")))),_xlpm.pos&amp;_xlpm.sfx),IF(_xlpm.stn&lt;&gt;"",_xlpm.stn,""))))</f>
        <v>LO</v>
      </c>
      <c r="I69" s="69" t="str" cm="1">
        <f t="array" ref="I69">IF(A69="","",_xlfn.LET(_xlpm.stn,IFERROR(VLOOKUP(A69,'Job Operations'!$A$4:$AA$304,12,FALSE),""),IF(_xlpm.stn="Clean and Brake",_xlfn.LET(_xlpm.pos,SUMPRODUCT((A$7:A69&lt;&gt;"")*(IFERROR(VLOOKUP(A$7:A69,'Job Operations'!$A$4:$AA$304,12,FALSE),"")="Clean and Brake")),_xlpm.sfx,IF(OR(_xlpm.pos=11,_xlpm.pos=12,_xlpm.pos=13),"th",IF(MOD(_xlpm.pos,10)=1,"st",IF(MOD(_xlpm.pos,10)=2,"nd",IF(MOD(_xlpm.pos,10)=3,"rd","th")))),_xlpm.pos&amp;_xlpm.sfx),IF(ISNUMBER(MATCH(A69,'AXYZ Titans CNC Schedule'!A$7:A$100,0)),"#"&amp;MATCH(A69,'AXYZ Titans CNC Schedule'!A$7:A$100,0)&amp;" on Titans",IF(ISNUMBER(MATCH(A69,'AXYZ CNC Schedule'!A$7:A$100,0)),"#"&amp;MATCH(A69,'AXYZ CNC Schedule'!A$7:A$100,0)&amp;" on AXYZ",IF(_xlpm.stn&lt;&gt;"",_xlpm.stn,""))))))</f>
        <v>#50 on AXYZ</v>
      </c>
      <c r="J69" s="70">
        <f>IF(A69="","",IFERROR(VLOOKUP(A69,'Job Operations'!$A$4:$AA$304,16,FALSE),""))</f>
        <v>46157</v>
      </c>
      <c r="K69" s="69" t="str">
        <f>IF(A69="","",IFERROR(VLOOKUP(A69,'Job Operations'!$A$4:$AA$304,17,FALSE),""))</f>
        <v>Fab</v>
      </c>
      <c r="L69" s="129" t="str">
        <f>IF(A69="","",IF(IFERROR(VLOOKUP(A69,Notes!A:B,2,FALSE),"")=0,"",VLOOKUP(A69,Notes!A:B,2,FALSE)))</f>
        <v>04/16/2026…LO</v>
      </c>
    </row>
    <row r="70" spans="1:12" x14ac:dyDescent="0.25">
      <c r="A70" s="69" t="str">
        <v>25044-FS03</v>
      </c>
      <c r="B70" s="73" t="str">
        <f>IF(A70="","",IFERROR(VLOOKUP(A70,'Job Operations'!$A$4:$AA$304,2,FALSE),""))</f>
        <v>MALETA Firing Range</v>
      </c>
      <c r="C70" s="69" t="str">
        <f>IF(A70="","",IFERROR(VLOOKUP(A70,'Job Operations'!$A$4:$AA$304,3,FALSE),""))</f>
        <v>Cole Norona</v>
      </c>
      <c r="D70" s="69">
        <f>IF(A70="","",IFERROR(VLOOKUP(A70,'Job Operations'!$A$4:$AA$304,5,FALSE),""))</f>
        <v>150</v>
      </c>
      <c r="E70" s="69">
        <f>IF(A70="","",IFERROR(VLOOKUP(A70,'Job Operations'!$A$4:$AA$304,6,FALSE),""))</f>
        <v>0</v>
      </c>
      <c r="F70" s="69" t="str">
        <f>IF(A70="","",IFERROR(VLOOKUP(A70,'Job Operations'!$A$4:$AA$304,7,FALSE),""))</f>
        <v>FR ACM</v>
      </c>
      <c r="G70" s="70">
        <f>IF(A70="","",IFERROR(VLOOKUP(A70,'Job Operations'!$A$4:$AA$304,9,FALSE),""))</f>
        <v>46183</v>
      </c>
      <c r="H70" s="69" t="str" cm="1">
        <f t="array" ref="H70">IF(A70="","",_xlfn.LET(_xlpm.stn,IFERROR(VLOOKUP(A70,'Job Operations'!$A$4:$AA$304,12,FALSE),""),IF(_xlpm.stn="Clean and Brake",_xlfn.LET(_xlpm.pos,SUMPRODUCT((A$7:A70&lt;&gt;"")*(IFERROR(VLOOKUP(A$7:A70,'Job Operations'!$A$4:$AA$304,12,FALSE),"")="Clean and Brake")),_xlpm.sfx,IF(OR(_xlpm.pos=11,_xlpm.pos=12,_xlpm.pos=13),"th",IF(MOD(_xlpm.pos,10)=1,"st",IF(MOD(_xlpm.pos,10)=2,"nd",IF(MOD(_xlpm.pos,10)=3,"rd","th")))),_xlpm.pos&amp;_xlpm.sfx),IF(_xlpm.stn&lt;&gt;"",_xlpm.stn,""))))</f>
        <v>LO</v>
      </c>
      <c r="I70" s="69" t="str" cm="1">
        <f t="array" ref="I70">IF(A70="","",_xlfn.LET(_xlpm.stn,IFERROR(VLOOKUP(A70,'Job Operations'!$A$4:$AA$304,12,FALSE),""),IF(_xlpm.stn="Clean and Brake",_xlfn.LET(_xlpm.pos,SUMPRODUCT((A$7:A70&lt;&gt;"")*(IFERROR(VLOOKUP(A$7:A70,'Job Operations'!$A$4:$AA$304,12,FALSE),"")="Clean and Brake")),_xlpm.sfx,IF(OR(_xlpm.pos=11,_xlpm.pos=12,_xlpm.pos=13),"th",IF(MOD(_xlpm.pos,10)=1,"st",IF(MOD(_xlpm.pos,10)=2,"nd",IF(MOD(_xlpm.pos,10)=3,"rd","th")))),_xlpm.pos&amp;_xlpm.sfx),IF(ISNUMBER(MATCH(A70,'AXYZ Titans CNC Schedule'!A$7:A$100,0)),"#"&amp;MATCH(A70,'AXYZ Titans CNC Schedule'!A$7:A$100,0)&amp;" on Titans",IF(ISNUMBER(MATCH(A70,'AXYZ CNC Schedule'!A$7:A$100,0)),"#"&amp;MATCH(A70,'AXYZ CNC Schedule'!A$7:A$100,0)&amp;" on AXYZ",IF(_xlpm.stn&lt;&gt;"",_xlpm.stn,""))))))</f>
        <v>#51 on AXYZ</v>
      </c>
      <c r="J70" s="70">
        <f>IF(A70="","",IFERROR(VLOOKUP(A70,'Job Operations'!$A$4:$AA$304,16,FALSE),""))</f>
        <v>46160</v>
      </c>
      <c r="K70" s="69" t="str">
        <f>IF(A70="","",IFERROR(VLOOKUP(A70,'Job Operations'!$A$4:$AA$304,17,FALSE),""))</f>
        <v>Fab</v>
      </c>
      <c r="L70" s="129" t="str">
        <f>IF(A70="","",IF(IFERROR(VLOOKUP(A70,Notes!A:B,2,FALSE),"")=0,"",VLOOKUP(A70,Notes!A:B,2,FALSE)))</f>
        <v>04/16/2026…LO</v>
      </c>
    </row>
    <row r="71" spans="1:12" x14ac:dyDescent="0.25">
      <c r="A71" s="69" t="str">
        <v>25006-FS08</v>
      </c>
      <c r="B71" s="73" t="str">
        <f>IF(A71="","",IFERROR(VLOOKUP(A71,'Job Operations'!$A$4:$AA$304,2,FALSE),""))</f>
        <v>MALETA Housing and Dining</v>
      </c>
      <c r="C71" s="69" t="str">
        <f>IF(A71="","",IFERROR(VLOOKUP(A71,'Job Operations'!$A$4:$AA$304,3,FALSE),""))</f>
        <v>Cole Norona</v>
      </c>
      <c r="D71" s="69">
        <f>IF(A71="","",IFERROR(VLOOKUP(A71,'Job Operations'!$A$4:$AA$304,5,FALSE),""))</f>
        <v>83</v>
      </c>
      <c r="E71" s="69">
        <f>IF(A71="","",IFERROR(VLOOKUP(A71,'Job Operations'!$A$4:$AA$304,6,FALSE),""))</f>
        <v>0</v>
      </c>
      <c r="F71" s="69" t="str">
        <f>IF(A71="","",IFERROR(VLOOKUP(A71,'Job Operations'!$A$4:$AA$304,7,FALSE),""))</f>
        <v>FR ACM</v>
      </c>
      <c r="G71" s="70">
        <f>IF(A71="","",IFERROR(VLOOKUP(A71,'Job Operations'!$A$4:$AA$304,9,FALSE),""))</f>
        <v>46185</v>
      </c>
      <c r="H71" s="69" t="str" cm="1">
        <f t="array" ref="H71">IF(A71="","",_xlfn.LET(_xlpm.stn,IFERROR(VLOOKUP(A71,'Job Operations'!$A$4:$AA$304,12,FALSE),""),IF(_xlpm.stn="Clean and Brake",_xlfn.LET(_xlpm.pos,SUMPRODUCT((A$7:A71&lt;&gt;"")*(IFERROR(VLOOKUP(A$7:A71,'Job Operations'!$A$4:$AA$304,12,FALSE),"")="Clean and Brake")),_xlpm.sfx,IF(OR(_xlpm.pos=11,_xlpm.pos=12,_xlpm.pos=13),"th",IF(MOD(_xlpm.pos,10)=1,"st",IF(MOD(_xlpm.pos,10)=2,"nd",IF(MOD(_xlpm.pos,10)=3,"rd","th")))),_xlpm.pos&amp;_xlpm.sfx),IF(_xlpm.stn&lt;&gt;"",_xlpm.stn,""))))</f>
        <v>LO Check</v>
      </c>
      <c r="I71" s="69" t="str" cm="1">
        <f t="array" ref="I71">IF(A71="","",_xlfn.LET(_xlpm.stn,IFERROR(VLOOKUP(A71,'Job Operations'!$A$4:$AA$304,12,FALSE),""),IF(_xlpm.stn="Clean and Brake",_xlfn.LET(_xlpm.pos,SUMPRODUCT((A$7:A71&lt;&gt;"")*(IFERROR(VLOOKUP(A$7:A71,'Job Operations'!$A$4:$AA$304,12,FALSE),"")="Clean and Brake")),_xlpm.sfx,IF(OR(_xlpm.pos=11,_xlpm.pos=12,_xlpm.pos=13),"th",IF(MOD(_xlpm.pos,10)=1,"st",IF(MOD(_xlpm.pos,10)=2,"nd",IF(MOD(_xlpm.pos,10)=3,"rd","th")))),_xlpm.pos&amp;_xlpm.sfx),IF(ISNUMBER(MATCH(A71,'AXYZ Titans CNC Schedule'!A$7:A$100,0)),"#"&amp;MATCH(A71,'AXYZ Titans CNC Schedule'!A$7:A$100,0)&amp;" on Titans",IF(ISNUMBER(MATCH(A71,'AXYZ CNC Schedule'!A$7:A$100,0)),"#"&amp;MATCH(A71,'AXYZ CNC Schedule'!A$7:A$100,0)&amp;" on AXYZ",IF(_xlpm.stn&lt;&gt;"",_xlpm.stn,""))))))</f>
        <v>#52 on AXYZ</v>
      </c>
      <c r="J71" s="70">
        <f>IF(A71="","",IFERROR(VLOOKUP(A71,'Job Operations'!$A$4:$AA$304,16,FALSE),""))</f>
        <v>46162</v>
      </c>
      <c r="K71" s="69" t="str">
        <f>IF(A71="","",IFERROR(VLOOKUP(A71,'Job Operations'!$A$4:$AA$304,17,FALSE),""))</f>
        <v>Fab</v>
      </c>
      <c r="L71" s="129" t="str">
        <f>IF(A71="","",IF(IFERROR(VLOOKUP(A71,Notes!A:B,2,FALSE),"")=0,"",VLOOKUP(A71,Notes!A:B,2,FALSE)))</f>
        <v>HOAR*04/16/2026…LO Check</v>
      </c>
    </row>
    <row r="72" spans="1:12" x14ac:dyDescent="0.25">
      <c r="A72" s="69" t="str">
        <v>25012-FS02</v>
      </c>
      <c r="B72" s="73" t="str">
        <f>IF(A72="","",IFERROR(VLOOKUP(A72,'Job Operations'!$A$4:$AA$304,2,FALSE),""))</f>
        <v>St Jude Hospital</v>
      </c>
      <c r="C72" s="69" t="str">
        <f>IF(A72="","",IFERROR(VLOOKUP(A72,'Job Operations'!$A$4:$AA$304,3,FALSE),""))</f>
        <v>Wylie McDougall</v>
      </c>
      <c r="D72" s="69">
        <f>IF(A72="","",IFERROR(VLOOKUP(A72,'Job Operations'!$A$4:$AA$304,5,FALSE),""))</f>
        <v>60</v>
      </c>
      <c r="E72" s="69">
        <f>IF(A72="","",IFERROR(VLOOKUP(A72,'Job Operations'!$A$4:$AA$304,6,FALSE),""))</f>
        <v>60</v>
      </c>
      <c r="F72" s="69" t="str">
        <f>IF(A72="","",IFERROR(VLOOKUP(A72,'Job Operations'!$A$4:$AA$304,7,FALSE),""))</f>
        <v>FR ACM</v>
      </c>
      <c r="G72" s="70">
        <f>IF(A72="","",IFERROR(VLOOKUP(A72,'Job Operations'!$A$4:$AA$304,9,FALSE),""))</f>
        <v>46185</v>
      </c>
      <c r="H72" s="69" t="str" cm="1">
        <f t="array" ref="H72">IF(A72="","",_xlfn.LET(_xlpm.stn,IFERROR(VLOOKUP(A72,'Job Operations'!$A$4:$AA$304,12,FALSE),""),IF(_xlpm.stn="Clean and Brake",_xlfn.LET(_xlpm.pos,SUMPRODUCT((A$7:A72&lt;&gt;"")*(IFERROR(VLOOKUP(A$7:A72,'Job Operations'!$A$4:$AA$304,12,FALSE),"")="Clean and Brake")),_xlpm.sfx,IF(OR(_xlpm.pos=11,_xlpm.pos=12,_xlpm.pos=13),"th",IF(MOD(_xlpm.pos,10)=1,"st",IF(MOD(_xlpm.pos,10)=2,"nd",IF(MOD(_xlpm.pos,10)=3,"rd","th")))),_xlpm.pos&amp;_xlpm.sfx),IF(_xlpm.stn&lt;&gt;"",_xlpm.stn,""))))</f>
        <v>AXYZ 34</v>
      </c>
      <c r="I72" s="69" t="str" cm="1">
        <f t="array" ref="I72">IF(A72="","",_xlfn.LET(_xlpm.stn,IFERROR(VLOOKUP(A72,'Job Operations'!$A$4:$AA$304,12,FALSE),""),IF(_xlpm.stn="Clean and Brake",_xlfn.LET(_xlpm.pos,SUMPRODUCT((A$7:A72&lt;&gt;"")*(IFERROR(VLOOKUP(A$7:A72,'Job Operations'!$A$4:$AA$304,12,FALSE),"")="Clean and Brake")),_xlpm.sfx,IF(OR(_xlpm.pos=11,_xlpm.pos=12,_xlpm.pos=13),"th",IF(MOD(_xlpm.pos,10)=1,"st",IF(MOD(_xlpm.pos,10)=2,"nd",IF(MOD(_xlpm.pos,10)=3,"rd","th")))),_xlpm.pos&amp;_xlpm.sfx),IF(ISNUMBER(MATCH(A72,'AXYZ Titans CNC Schedule'!A$7:A$100,0)),"#"&amp;MATCH(A72,'AXYZ Titans CNC Schedule'!A$7:A$100,0)&amp;" on Titans",IF(ISNUMBER(MATCH(A72,'AXYZ CNC Schedule'!A$7:A$100,0)),"#"&amp;MATCH(A72,'AXYZ CNC Schedule'!A$7:A$100,0)&amp;" on AXYZ",IF(_xlpm.stn&lt;&gt;"",_xlpm.stn,""))))))</f>
        <v>#11 on Titans</v>
      </c>
      <c r="J72" s="70">
        <f>IF(A72="","",IFERROR(VLOOKUP(A72,'Job Operations'!$A$4:$AA$304,16,FALSE),""))</f>
        <v>46162</v>
      </c>
      <c r="K72" s="69" t="str">
        <f>IF(A72="","",IFERROR(VLOOKUP(A72,'Job Operations'!$A$4:$AA$304,17,FALSE),""))</f>
        <v>Fab</v>
      </c>
      <c r="L72" s="129" t="str">
        <f>IF(A72="","",IF(IFERROR(VLOOKUP(A72,Notes!A:B,2,FALSE),"")=0,"",VLOOKUP(A72,Notes!A:B,2,FALSE)))</f>
        <v>04/16/2026…AXYZ 34</v>
      </c>
    </row>
    <row r="73" spans="1:12" x14ac:dyDescent="0.25">
      <c r="A73" s="69" t="str">
        <v>25044-FS04</v>
      </c>
      <c r="B73" s="73" t="str">
        <f>IF(A73="","",IFERROR(VLOOKUP(A73,'Job Operations'!$A$4:$AA$304,2,FALSE),""))</f>
        <v>MALETA Firing Range</v>
      </c>
      <c r="C73" s="69" t="str">
        <f>IF(A73="","",IFERROR(VLOOKUP(A73,'Job Operations'!$A$4:$AA$304,3,FALSE),""))</f>
        <v>Cole Norona</v>
      </c>
      <c r="D73" s="69">
        <f>IF(A73="","",IFERROR(VLOOKUP(A73,'Job Operations'!$A$4:$AA$304,5,FALSE),""))</f>
        <v>113</v>
      </c>
      <c r="E73" s="69">
        <f>IF(A73="","",IFERROR(VLOOKUP(A73,'Job Operations'!$A$4:$AA$304,6,FALSE),""))</f>
        <v>0</v>
      </c>
      <c r="F73" s="69" t="str">
        <f>IF(A73="","",IFERROR(VLOOKUP(A73,'Job Operations'!$A$4:$AA$304,7,FALSE),""))</f>
        <v>FR ACM</v>
      </c>
      <c r="G73" s="70">
        <f>IF(A73="","",IFERROR(VLOOKUP(A73,'Job Operations'!$A$4:$AA$304,9,FALSE),""))</f>
        <v>46192</v>
      </c>
      <c r="H73" s="69" t="str" cm="1">
        <f t="array" ref="H73">IF(A73="","",_xlfn.LET(_xlpm.stn,IFERROR(VLOOKUP(A73,'Job Operations'!$A$4:$AA$304,12,FALSE),""),IF(_xlpm.stn="Clean and Brake",_xlfn.LET(_xlpm.pos,SUMPRODUCT((A$7:A73&lt;&gt;"")*(IFERROR(VLOOKUP(A$7:A73,'Job Operations'!$A$4:$AA$304,12,FALSE),"")="Clean and Brake")),_xlpm.sfx,IF(OR(_xlpm.pos=11,_xlpm.pos=12,_xlpm.pos=13),"th",IF(MOD(_xlpm.pos,10)=1,"st",IF(MOD(_xlpm.pos,10)=2,"nd",IF(MOD(_xlpm.pos,10)=3,"rd","th")))),_xlpm.pos&amp;_xlpm.sfx),IF(_xlpm.stn&lt;&gt;"",_xlpm.stn,""))))</f>
        <v>LO</v>
      </c>
      <c r="I73" s="69" t="str" cm="1">
        <f t="array" ref="I73">IF(A73="","",_xlfn.LET(_xlpm.stn,IFERROR(VLOOKUP(A73,'Job Operations'!$A$4:$AA$304,12,FALSE),""),IF(_xlpm.stn="Clean and Brake",_xlfn.LET(_xlpm.pos,SUMPRODUCT((A$7:A73&lt;&gt;"")*(IFERROR(VLOOKUP(A$7:A73,'Job Operations'!$A$4:$AA$304,12,FALSE),"")="Clean and Brake")),_xlpm.sfx,IF(OR(_xlpm.pos=11,_xlpm.pos=12,_xlpm.pos=13),"th",IF(MOD(_xlpm.pos,10)=1,"st",IF(MOD(_xlpm.pos,10)=2,"nd",IF(MOD(_xlpm.pos,10)=3,"rd","th")))),_xlpm.pos&amp;_xlpm.sfx),IF(ISNUMBER(MATCH(A73,'AXYZ Titans CNC Schedule'!A$7:A$100,0)),"#"&amp;MATCH(A73,'AXYZ Titans CNC Schedule'!A$7:A$100,0)&amp;" on Titans",IF(ISNUMBER(MATCH(A73,'AXYZ CNC Schedule'!A$7:A$100,0)),"#"&amp;MATCH(A73,'AXYZ CNC Schedule'!A$7:A$100,0)&amp;" on AXYZ",IF(_xlpm.stn&lt;&gt;"",_xlpm.stn,""))))))</f>
        <v>#53 on AXYZ</v>
      </c>
      <c r="J73" s="70">
        <f>IF(A73="","",IFERROR(VLOOKUP(A73,'Job Operations'!$A$4:$AA$304,16,FALSE),""))</f>
        <v>46169</v>
      </c>
      <c r="K73" s="69" t="str">
        <f>IF(A73="","",IFERROR(VLOOKUP(A73,'Job Operations'!$A$4:$AA$304,17,FALSE),""))</f>
        <v>Fab</v>
      </c>
      <c r="L73" s="129" t="str">
        <f>IF(A73="","",IF(IFERROR(VLOOKUP(A73,Notes!A:B,2,FALSE),"")=0,"",VLOOKUP(A73,Notes!A:B,2,FALSE)))</f>
        <v>04/16/2026…LO</v>
      </c>
    </row>
    <row r="74" spans="1:12" x14ac:dyDescent="0.25">
      <c r="A74" s="69" t="str">
        <v>25006-FS09</v>
      </c>
      <c r="B74" s="73" t="str">
        <f>IF(A74="","",IFERROR(VLOOKUP(A74,'Job Operations'!$A$4:$AA$304,2,FALSE),""))</f>
        <v>MALETA Housing and Dining</v>
      </c>
      <c r="C74" s="69" t="str">
        <f>IF(A74="","",IFERROR(VLOOKUP(A74,'Job Operations'!$A$4:$AA$304,3,FALSE),""))</f>
        <v>Cole Norona</v>
      </c>
      <c r="D74" s="69">
        <f>IF(A74="","",IFERROR(VLOOKUP(A74,'Job Operations'!$A$4:$AA$304,5,FALSE),""))</f>
        <v>152</v>
      </c>
      <c r="E74" s="69">
        <f>IF(A74="","",IFERROR(VLOOKUP(A74,'Job Operations'!$A$4:$AA$304,6,FALSE),""))</f>
        <v>0</v>
      </c>
      <c r="F74" s="69" t="str">
        <f>IF(A74="","",IFERROR(VLOOKUP(A74,'Job Operations'!$A$4:$AA$304,7,FALSE),""))</f>
        <v>FR ACM</v>
      </c>
      <c r="G74" s="70">
        <f>IF(A74="","",IFERROR(VLOOKUP(A74,'Job Operations'!$A$4:$AA$304,9,FALSE),""))</f>
        <v>46192</v>
      </c>
      <c r="H74" s="69" t="str" cm="1">
        <f t="array" ref="H74">IF(A74="","",_xlfn.LET(_xlpm.stn,IFERROR(VLOOKUP(A74,'Job Operations'!$A$4:$AA$304,12,FALSE),""),IF(_xlpm.stn="Clean and Brake",_xlfn.LET(_xlpm.pos,SUMPRODUCT((A$7:A74&lt;&gt;"")*(IFERROR(VLOOKUP(A$7:A74,'Job Operations'!$A$4:$AA$304,12,FALSE),"")="Clean and Brake")),_xlpm.sfx,IF(OR(_xlpm.pos=11,_xlpm.pos=12,_xlpm.pos=13),"th",IF(MOD(_xlpm.pos,10)=1,"st",IF(MOD(_xlpm.pos,10)=2,"nd",IF(MOD(_xlpm.pos,10)=3,"rd","th")))),_xlpm.pos&amp;_xlpm.sfx),IF(_xlpm.stn&lt;&gt;"",_xlpm.stn,""))))</f>
        <v>LO</v>
      </c>
      <c r="I74" s="69" t="str" cm="1">
        <f t="array" ref="I74">IF(A74="","",_xlfn.LET(_xlpm.stn,IFERROR(VLOOKUP(A74,'Job Operations'!$A$4:$AA$304,12,FALSE),""),IF(_xlpm.stn="Clean and Brake",_xlfn.LET(_xlpm.pos,SUMPRODUCT((A$7:A74&lt;&gt;"")*(IFERROR(VLOOKUP(A$7:A74,'Job Operations'!$A$4:$AA$304,12,FALSE),"")="Clean and Brake")),_xlpm.sfx,IF(OR(_xlpm.pos=11,_xlpm.pos=12,_xlpm.pos=13),"th",IF(MOD(_xlpm.pos,10)=1,"st",IF(MOD(_xlpm.pos,10)=2,"nd",IF(MOD(_xlpm.pos,10)=3,"rd","th")))),_xlpm.pos&amp;_xlpm.sfx),IF(ISNUMBER(MATCH(A74,'AXYZ Titans CNC Schedule'!A$7:A$100,0)),"#"&amp;MATCH(A74,'AXYZ Titans CNC Schedule'!A$7:A$100,0)&amp;" on Titans",IF(ISNUMBER(MATCH(A74,'AXYZ CNC Schedule'!A$7:A$100,0)),"#"&amp;MATCH(A74,'AXYZ CNC Schedule'!A$7:A$100,0)&amp;" on AXYZ",IF(_xlpm.stn&lt;&gt;"",_xlpm.stn,""))))))</f>
        <v>#54 on AXYZ</v>
      </c>
      <c r="J74" s="70">
        <f>IF(A74="","",IFERROR(VLOOKUP(A74,'Job Operations'!$A$4:$AA$304,16,FALSE),""))</f>
        <v>46169</v>
      </c>
      <c r="K74" s="69" t="str">
        <f>IF(A74="","",IFERROR(VLOOKUP(A74,'Job Operations'!$A$4:$AA$304,17,FALSE),""))</f>
        <v>Fab</v>
      </c>
      <c r="L74" s="129" t="str">
        <f>IF(A74="","",IF(IFERROR(VLOOKUP(A74,Notes!A:B,2,FALSE),"")=0,"",VLOOKUP(A74,Notes!A:B,2,FALSE)))</f>
        <v>HOAR*04/16/2026…LO</v>
      </c>
    </row>
    <row r="75" spans="1:12" x14ac:dyDescent="0.25">
      <c r="A75" s="69" t="str">
        <v>25044-FS05</v>
      </c>
      <c r="B75" s="73" t="str">
        <f>IF(A75="","",IFERROR(VLOOKUP(A75,'Job Operations'!$A$4:$AA$304,2,FALSE),""))</f>
        <v>MALETA Firing Range</v>
      </c>
      <c r="C75" s="69" t="str">
        <f>IF(A75="","",IFERROR(VLOOKUP(A75,'Job Operations'!$A$4:$AA$304,3,FALSE),""))</f>
        <v>Cole Norona</v>
      </c>
      <c r="D75" s="69">
        <f>IF(A75="","",IFERROR(VLOOKUP(A75,'Job Operations'!$A$4:$AA$304,5,FALSE),""))</f>
        <v>111</v>
      </c>
      <c r="E75" s="69">
        <f>IF(A75="","",IFERROR(VLOOKUP(A75,'Job Operations'!$A$4:$AA$304,6,FALSE),""))</f>
        <v>0</v>
      </c>
      <c r="F75" s="69" t="str">
        <f>IF(A75="","",IFERROR(VLOOKUP(A75,'Job Operations'!$A$4:$AA$304,7,FALSE),""))</f>
        <v>FR ACM</v>
      </c>
      <c r="G75" s="70">
        <f>IF(A75="","",IFERROR(VLOOKUP(A75,'Job Operations'!$A$4:$AA$304,9,FALSE),""))</f>
        <v>46199</v>
      </c>
      <c r="H75" s="69" t="str" cm="1">
        <f t="array" ref="H75">IF(A75="","",_xlfn.LET(_xlpm.stn,IFERROR(VLOOKUP(A75,'Job Operations'!$A$4:$AA$304,12,FALSE),""),IF(_xlpm.stn="Clean and Brake",_xlfn.LET(_xlpm.pos,SUMPRODUCT((A$7:A75&lt;&gt;"")*(IFERROR(VLOOKUP(A$7:A75,'Job Operations'!$A$4:$AA$304,12,FALSE),"")="Clean and Brake")),_xlpm.sfx,IF(OR(_xlpm.pos=11,_xlpm.pos=12,_xlpm.pos=13),"th",IF(MOD(_xlpm.pos,10)=1,"st",IF(MOD(_xlpm.pos,10)=2,"nd",IF(MOD(_xlpm.pos,10)=3,"rd","th")))),_xlpm.pos&amp;_xlpm.sfx),IF(_xlpm.stn&lt;&gt;"",_xlpm.stn,""))))</f>
        <v>LO</v>
      </c>
      <c r="I75" s="69" t="str" cm="1">
        <f t="array" ref="I75">IF(A75="","",_xlfn.LET(_xlpm.stn,IFERROR(VLOOKUP(A75,'Job Operations'!$A$4:$AA$304,12,FALSE),""),IF(_xlpm.stn="Clean and Brake",_xlfn.LET(_xlpm.pos,SUMPRODUCT((A$7:A75&lt;&gt;"")*(IFERROR(VLOOKUP(A$7:A75,'Job Operations'!$A$4:$AA$304,12,FALSE),"")="Clean and Brake")),_xlpm.sfx,IF(OR(_xlpm.pos=11,_xlpm.pos=12,_xlpm.pos=13),"th",IF(MOD(_xlpm.pos,10)=1,"st",IF(MOD(_xlpm.pos,10)=2,"nd",IF(MOD(_xlpm.pos,10)=3,"rd","th")))),_xlpm.pos&amp;_xlpm.sfx),IF(ISNUMBER(MATCH(A75,'AXYZ Titans CNC Schedule'!A$7:A$100,0)),"#"&amp;MATCH(A75,'AXYZ Titans CNC Schedule'!A$7:A$100,0)&amp;" on Titans",IF(ISNUMBER(MATCH(A75,'AXYZ CNC Schedule'!A$7:A$100,0)),"#"&amp;MATCH(A75,'AXYZ CNC Schedule'!A$7:A$100,0)&amp;" on AXYZ",IF(_xlpm.stn&lt;&gt;"",_xlpm.stn,""))))))</f>
        <v>#55 on AXYZ</v>
      </c>
      <c r="J75" s="70">
        <f>IF(A75="","",IFERROR(VLOOKUP(A75,'Job Operations'!$A$4:$AA$304,16,FALSE),""))</f>
        <v>46176</v>
      </c>
      <c r="K75" s="69" t="str">
        <f>IF(A75="","",IFERROR(VLOOKUP(A75,'Job Operations'!$A$4:$AA$304,17,FALSE),""))</f>
        <v>Fab</v>
      </c>
      <c r="L75" s="129" t="str">
        <f>IF(A75="","",IF(IFERROR(VLOOKUP(A75,Notes!A:B,2,FALSE),"")=0,"",VLOOKUP(A75,Notes!A:B,2,FALSE)))</f>
        <v>04/16/2026…LO</v>
      </c>
    </row>
    <row r="76" spans="1:12" x14ac:dyDescent="0.25">
      <c r="A76" s="69" t="str">
        <v>25044-FS06</v>
      </c>
      <c r="B76" s="73" t="str">
        <f>IF(A76="","",IFERROR(VLOOKUP(A76,'Job Operations'!$A$4:$AA$304,2,FALSE),""))</f>
        <v>MALETA Firing Range</v>
      </c>
      <c r="C76" s="69" t="str">
        <f>IF(A76="","",IFERROR(VLOOKUP(A76,'Job Operations'!$A$4:$AA$304,3,FALSE),""))</f>
        <v>Cole Norona</v>
      </c>
      <c r="D76" s="69">
        <f>IF(A76="","",IFERROR(VLOOKUP(A76,'Job Operations'!$A$4:$AA$304,5,FALSE),""))</f>
        <v>203</v>
      </c>
      <c r="E76" s="69">
        <f>IF(A76="","",IFERROR(VLOOKUP(A76,'Job Operations'!$A$4:$AA$304,6,FALSE),""))</f>
        <v>0</v>
      </c>
      <c r="F76" s="69" t="str">
        <f>IF(A76="","",IFERROR(VLOOKUP(A76,'Job Operations'!$A$4:$AA$304,7,FALSE),""))</f>
        <v>FR ACM</v>
      </c>
      <c r="G76" s="70">
        <f>IF(A76="","",IFERROR(VLOOKUP(A76,'Job Operations'!$A$4:$AA$304,9,FALSE),""))</f>
        <v>46209</v>
      </c>
      <c r="H76" s="69" t="str" cm="1">
        <f t="array" ref="H76">IF(A76="","",_xlfn.LET(_xlpm.stn,IFERROR(VLOOKUP(A76,'Job Operations'!$A$4:$AA$304,12,FALSE),""),IF(_xlpm.stn="Clean and Brake",_xlfn.LET(_xlpm.pos,SUMPRODUCT((A$7:A76&lt;&gt;"")*(IFERROR(VLOOKUP(A$7:A76,'Job Operations'!$A$4:$AA$304,12,FALSE),"")="Clean and Brake")),_xlpm.sfx,IF(OR(_xlpm.pos=11,_xlpm.pos=12,_xlpm.pos=13),"th",IF(MOD(_xlpm.pos,10)=1,"st",IF(MOD(_xlpm.pos,10)=2,"nd",IF(MOD(_xlpm.pos,10)=3,"rd","th")))),_xlpm.pos&amp;_xlpm.sfx),IF(_xlpm.stn&lt;&gt;"",_xlpm.stn,""))))</f>
        <v>LO</v>
      </c>
      <c r="I76" s="69" t="str" cm="1">
        <f t="array" ref="I76">IF(A76="","",_xlfn.LET(_xlpm.stn,IFERROR(VLOOKUP(A76,'Job Operations'!$A$4:$AA$304,12,FALSE),""),IF(_xlpm.stn="Clean and Brake",_xlfn.LET(_xlpm.pos,SUMPRODUCT((A$7:A76&lt;&gt;"")*(IFERROR(VLOOKUP(A$7:A76,'Job Operations'!$A$4:$AA$304,12,FALSE),"")="Clean and Brake")),_xlpm.sfx,IF(OR(_xlpm.pos=11,_xlpm.pos=12,_xlpm.pos=13),"th",IF(MOD(_xlpm.pos,10)=1,"st",IF(MOD(_xlpm.pos,10)=2,"nd",IF(MOD(_xlpm.pos,10)=3,"rd","th")))),_xlpm.pos&amp;_xlpm.sfx),IF(ISNUMBER(MATCH(A76,'AXYZ Titans CNC Schedule'!A$7:A$100,0)),"#"&amp;MATCH(A76,'AXYZ Titans CNC Schedule'!A$7:A$100,0)&amp;" on Titans",IF(ISNUMBER(MATCH(A76,'AXYZ CNC Schedule'!A$7:A$100,0)),"#"&amp;MATCH(A76,'AXYZ CNC Schedule'!A$7:A$100,0)&amp;" on AXYZ",IF(_xlpm.stn&lt;&gt;"",_xlpm.stn,""))))))</f>
        <v>#56 on AXYZ</v>
      </c>
      <c r="J76" s="70">
        <f>IF(A76="","",IFERROR(VLOOKUP(A76,'Job Operations'!$A$4:$AA$304,16,FALSE),""))</f>
        <v>46185</v>
      </c>
      <c r="K76" s="69" t="str">
        <f>IF(A76="","",IFERROR(VLOOKUP(A76,'Job Operations'!$A$4:$AA$304,17,FALSE),""))</f>
        <v>Fab</v>
      </c>
      <c r="L76" s="129" t="str">
        <f>IF(A76="","",IF(IFERROR(VLOOKUP(A76,Notes!A:B,2,FALSE),"")=0,"",VLOOKUP(A76,Notes!A:B,2,FALSE)))</f>
        <v>04/16/2026…LO</v>
      </c>
    </row>
    <row r="77" spans="1:12" x14ac:dyDescent="0.25">
      <c r="A77" s="69" t="str">
        <v>25044-FS07</v>
      </c>
      <c r="B77" s="73" t="str">
        <f>IF(A77="","",IFERROR(VLOOKUP(A77,'Job Operations'!$A$4:$AA$304,2,FALSE),""))</f>
        <v>MALETA Firing Range</v>
      </c>
      <c r="C77" s="69" t="str">
        <f>IF(A77="","",IFERROR(VLOOKUP(A77,'Job Operations'!$A$4:$AA$304,3,FALSE),""))</f>
        <v>Cole Norona</v>
      </c>
      <c r="D77" s="69">
        <f>IF(A77="","",IFERROR(VLOOKUP(A77,'Job Operations'!$A$4:$AA$304,5,FALSE),""))</f>
        <v>160</v>
      </c>
      <c r="E77" s="69">
        <f>IF(A77="","",IFERROR(VLOOKUP(A77,'Job Operations'!$A$4:$AA$304,6,FALSE),""))</f>
        <v>0</v>
      </c>
      <c r="F77" s="69" t="str">
        <f>IF(A77="","",IFERROR(VLOOKUP(A77,'Job Operations'!$A$4:$AA$304,7,FALSE),""))</f>
        <v>FR ACM</v>
      </c>
      <c r="G77" s="70">
        <f>IF(A77="","",IFERROR(VLOOKUP(A77,'Job Operations'!$A$4:$AA$304,9,FALSE),""))</f>
        <v>46218</v>
      </c>
      <c r="H77" s="69" t="str" cm="1">
        <f t="array" ref="H77">IF(A77="","",_xlfn.LET(_xlpm.stn,IFERROR(VLOOKUP(A77,'Job Operations'!$A$4:$AA$304,12,FALSE),""),IF(_xlpm.stn="Clean and Brake",_xlfn.LET(_xlpm.pos,SUMPRODUCT((A$7:A77&lt;&gt;"")*(IFERROR(VLOOKUP(A$7:A77,'Job Operations'!$A$4:$AA$304,12,FALSE),"")="Clean and Brake")),_xlpm.sfx,IF(OR(_xlpm.pos=11,_xlpm.pos=12,_xlpm.pos=13),"th",IF(MOD(_xlpm.pos,10)=1,"st",IF(MOD(_xlpm.pos,10)=2,"nd",IF(MOD(_xlpm.pos,10)=3,"rd","th")))),_xlpm.pos&amp;_xlpm.sfx),IF(_xlpm.stn&lt;&gt;"",_xlpm.stn,""))))</f>
        <v>LO</v>
      </c>
      <c r="I77" s="69" t="str" cm="1">
        <f t="array" ref="I77">IF(A77="","",_xlfn.LET(_xlpm.stn,IFERROR(VLOOKUP(A77,'Job Operations'!$A$4:$AA$304,12,FALSE),""),IF(_xlpm.stn="Clean and Brake",_xlfn.LET(_xlpm.pos,SUMPRODUCT((A$7:A77&lt;&gt;"")*(IFERROR(VLOOKUP(A$7:A77,'Job Operations'!$A$4:$AA$304,12,FALSE),"")="Clean and Brake")),_xlpm.sfx,IF(OR(_xlpm.pos=11,_xlpm.pos=12,_xlpm.pos=13),"th",IF(MOD(_xlpm.pos,10)=1,"st",IF(MOD(_xlpm.pos,10)=2,"nd",IF(MOD(_xlpm.pos,10)=3,"rd","th")))),_xlpm.pos&amp;_xlpm.sfx),IF(ISNUMBER(MATCH(A77,'AXYZ Titans CNC Schedule'!A$7:A$100,0)),"#"&amp;MATCH(A77,'AXYZ Titans CNC Schedule'!A$7:A$100,0)&amp;" on Titans",IF(ISNUMBER(MATCH(A77,'AXYZ CNC Schedule'!A$7:A$100,0)),"#"&amp;MATCH(A77,'AXYZ CNC Schedule'!A$7:A$100,0)&amp;" on AXYZ",IF(_xlpm.stn&lt;&gt;"",_xlpm.stn,""))))))</f>
        <v>#59 on AXYZ</v>
      </c>
      <c r="J77" s="70">
        <f>IF(A77="","",IFERROR(VLOOKUP(A77,'Job Operations'!$A$4:$AA$304,16,FALSE),""))</f>
        <v>46195</v>
      </c>
      <c r="K77" s="69" t="str">
        <f>IF(A77="","",IFERROR(VLOOKUP(A77,'Job Operations'!$A$4:$AA$304,17,FALSE),""))</f>
        <v>Fab</v>
      </c>
      <c r="L77" s="129" t="str">
        <f>IF(A77="","",IF(IFERROR(VLOOKUP(A77,Notes!A:B,2,FALSE),"")=0,"",VLOOKUP(A77,Notes!A:B,2,FALSE)))</f>
        <v>04/16/2026…LO</v>
      </c>
    </row>
    <row r="78" spans="1:12" x14ac:dyDescent="0.25">
      <c r="A78" s="69" t="str">
        <v>25006-FS11</v>
      </c>
      <c r="B78" s="73" t="str">
        <f>IF(A78="","",IFERROR(VLOOKUP(A78,'Job Operations'!$A$4:$AA$304,2,FALSE),""))</f>
        <v>MALETA Housing and Dining</v>
      </c>
      <c r="C78" s="69" t="str">
        <f>IF(A78="","",IFERROR(VLOOKUP(A78,'Job Operations'!$A$4:$AA$304,3,FALSE),""))</f>
        <v>Cole Norona</v>
      </c>
      <c r="D78" s="69">
        <f>IF(A78="","",IFERROR(VLOOKUP(A78,'Job Operations'!$A$4:$AA$304,5,FALSE),""))</f>
        <v>201</v>
      </c>
      <c r="E78" s="69">
        <f>IF(A78="","",IFERROR(VLOOKUP(A78,'Job Operations'!$A$4:$AA$304,6,FALSE),""))</f>
        <v>0</v>
      </c>
      <c r="F78" s="69" t="str">
        <f>IF(A78="","",IFERROR(VLOOKUP(A78,'Job Operations'!$A$4:$AA$304,7,FALSE),""))</f>
        <v>FR ACM</v>
      </c>
      <c r="G78" s="70">
        <f>IF(A78="","",IFERROR(VLOOKUP(A78,'Job Operations'!$A$4:$AA$304,9,FALSE),""))</f>
        <v>46218</v>
      </c>
      <c r="H78" s="69" t="str" cm="1">
        <f t="array" ref="H78">IF(A78="","",_xlfn.LET(_xlpm.stn,IFERROR(VLOOKUP(A78,'Job Operations'!$A$4:$AA$304,12,FALSE),""),IF(_xlpm.stn="Clean and Brake",_xlfn.LET(_xlpm.pos,SUMPRODUCT((A$7:A78&lt;&gt;"")*(IFERROR(VLOOKUP(A$7:A78,'Job Operations'!$A$4:$AA$304,12,FALSE),"")="Clean and Brake")),_xlpm.sfx,IF(OR(_xlpm.pos=11,_xlpm.pos=12,_xlpm.pos=13),"th",IF(MOD(_xlpm.pos,10)=1,"st",IF(MOD(_xlpm.pos,10)=2,"nd",IF(MOD(_xlpm.pos,10)=3,"rd","th")))),_xlpm.pos&amp;_xlpm.sfx),IF(_xlpm.stn&lt;&gt;"",_xlpm.stn,""))))</f>
        <v>LO</v>
      </c>
      <c r="I78" s="69" t="str" cm="1">
        <f t="array" ref="I78">IF(A78="","",_xlfn.LET(_xlpm.stn,IFERROR(VLOOKUP(A78,'Job Operations'!$A$4:$AA$304,12,FALSE),""),IF(_xlpm.stn="Clean and Brake",_xlfn.LET(_xlpm.pos,SUMPRODUCT((A$7:A78&lt;&gt;"")*(IFERROR(VLOOKUP(A$7:A78,'Job Operations'!$A$4:$AA$304,12,FALSE),"")="Clean and Brake")),_xlpm.sfx,IF(OR(_xlpm.pos=11,_xlpm.pos=12,_xlpm.pos=13),"th",IF(MOD(_xlpm.pos,10)=1,"st",IF(MOD(_xlpm.pos,10)=2,"nd",IF(MOD(_xlpm.pos,10)=3,"rd","th")))),_xlpm.pos&amp;_xlpm.sfx),IF(ISNUMBER(MATCH(A78,'AXYZ Titans CNC Schedule'!A$7:A$100,0)),"#"&amp;MATCH(A78,'AXYZ Titans CNC Schedule'!A$7:A$100,0)&amp;" on Titans",IF(ISNUMBER(MATCH(A78,'AXYZ CNC Schedule'!A$7:A$100,0)),"#"&amp;MATCH(A78,'AXYZ CNC Schedule'!A$7:A$100,0)&amp;" on AXYZ",IF(_xlpm.stn&lt;&gt;"",_xlpm.stn,""))))))</f>
        <v>#58 on AXYZ</v>
      </c>
      <c r="J78" s="70">
        <f>IF(A78="","",IFERROR(VLOOKUP(A78,'Job Operations'!$A$4:$AA$304,16,FALSE),""))</f>
        <v>46195</v>
      </c>
      <c r="K78" s="69" t="str">
        <f>IF(A78="","",IFERROR(VLOOKUP(A78,'Job Operations'!$A$4:$AA$304,17,FALSE),""))</f>
        <v>Fab</v>
      </c>
      <c r="L78" s="129" t="str">
        <f>IF(A78="","",IF(IFERROR(VLOOKUP(A78,Notes!A:B,2,FALSE),"")=0,"",VLOOKUP(A78,Notes!A:B,2,FALSE)))</f>
        <v>HOAR*04/16/2026…LO</v>
      </c>
    </row>
    <row r="79" spans="1:12" x14ac:dyDescent="0.25">
      <c r="A79" s="69" t="str">
        <v>25044-FS08</v>
      </c>
      <c r="B79" s="73" t="str">
        <f>IF(A79="","",IFERROR(VLOOKUP(A79,'Job Operations'!$A$4:$AA$304,2,FALSE),""))</f>
        <v>MALETA Firing Range</v>
      </c>
      <c r="C79" s="69" t="str">
        <f>IF(A79="","",IFERROR(VLOOKUP(A79,'Job Operations'!$A$4:$AA$304,3,FALSE),""))</f>
        <v>Cole Norona</v>
      </c>
      <c r="D79" s="69">
        <f>IF(A79="","",IFERROR(VLOOKUP(A79,'Job Operations'!$A$4:$AA$304,5,FALSE),""))</f>
        <v>163</v>
      </c>
      <c r="E79" s="69">
        <f>IF(A79="","",IFERROR(VLOOKUP(A79,'Job Operations'!$A$4:$AA$304,6,FALSE),""))</f>
        <v>0</v>
      </c>
      <c r="F79" s="69" t="str">
        <f>IF(A79="","",IFERROR(VLOOKUP(A79,'Job Operations'!$A$4:$AA$304,7,FALSE),""))</f>
        <v>FR ACM</v>
      </c>
      <c r="G79" s="70">
        <f>IF(A79="","",IFERROR(VLOOKUP(A79,'Job Operations'!$A$4:$AA$304,9,FALSE),""))</f>
        <v>46225</v>
      </c>
      <c r="H79" s="69" t="str" cm="1">
        <f t="array" ref="H79">IF(A79="","",_xlfn.LET(_xlpm.stn,IFERROR(VLOOKUP(A79,'Job Operations'!$A$4:$AA$304,12,FALSE),""),IF(_xlpm.stn="Clean and Brake",_xlfn.LET(_xlpm.pos,SUMPRODUCT((A$7:A79&lt;&gt;"")*(IFERROR(VLOOKUP(A$7:A79,'Job Operations'!$A$4:$AA$304,12,FALSE),"")="Clean and Brake")),_xlpm.sfx,IF(OR(_xlpm.pos=11,_xlpm.pos=12,_xlpm.pos=13),"th",IF(MOD(_xlpm.pos,10)=1,"st",IF(MOD(_xlpm.pos,10)=2,"nd",IF(MOD(_xlpm.pos,10)=3,"rd","th")))),_xlpm.pos&amp;_xlpm.sfx),IF(_xlpm.stn&lt;&gt;"",_xlpm.stn,""))))</f>
        <v>LO</v>
      </c>
      <c r="I79" s="69" t="str" cm="1">
        <f t="array" ref="I79">IF(A79="","",_xlfn.LET(_xlpm.stn,IFERROR(VLOOKUP(A79,'Job Operations'!$A$4:$AA$304,12,FALSE),""),IF(_xlpm.stn="Clean and Brake",_xlfn.LET(_xlpm.pos,SUMPRODUCT((A$7:A79&lt;&gt;"")*(IFERROR(VLOOKUP(A$7:A79,'Job Operations'!$A$4:$AA$304,12,FALSE),"")="Clean and Brake")),_xlpm.sfx,IF(OR(_xlpm.pos=11,_xlpm.pos=12,_xlpm.pos=13),"th",IF(MOD(_xlpm.pos,10)=1,"st",IF(MOD(_xlpm.pos,10)=2,"nd",IF(MOD(_xlpm.pos,10)=3,"rd","th")))),_xlpm.pos&amp;_xlpm.sfx),IF(ISNUMBER(MATCH(A79,'AXYZ Titans CNC Schedule'!A$7:A$100,0)),"#"&amp;MATCH(A79,'AXYZ Titans CNC Schedule'!A$7:A$100,0)&amp;" on Titans",IF(ISNUMBER(MATCH(A79,'AXYZ CNC Schedule'!A$7:A$100,0)),"#"&amp;MATCH(A79,'AXYZ CNC Schedule'!A$7:A$100,0)&amp;" on AXYZ",IF(_xlpm.stn&lt;&gt;"",_xlpm.stn,""))))))</f>
        <v>#60 on AXYZ</v>
      </c>
      <c r="J79" s="70">
        <f>IF(A79="","",IFERROR(VLOOKUP(A79,'Job Operations'!$A$4:$AA$304,16,FALSE),""))</f>
        <v>46202</v>
      </c>
      <c r="K79" s="69" t="str">
        <f>IF(A79="","",IFERROR(VLOOKUP(A79,'Job Operations'!$A$4:$AA$304,17,FALSE),""))</f>
        <v>Fab</v>
      </c>
      <c r="L79" s="129" t="str">
        <f>IF(A79="","",IF(IFERROR(VLOOKUP(A79,Notes!A:B,2,FALSE),"")=0,"",VLOOKUP(A79,Notes!A:B,2,FALSE)))</f>
        <v>04/16/2026…LO</v>
      </c>
    </row>
    <row r="80" spans="1:12" x14ac:dyDescent="0.25">
      <c r="A80" s="69" t="str">
        <v>25006-FS12</v>
      </c>
      <c r="B80" s="73" t="str">
        <f>IF(A80="","",IFERROR(VLOOKUP(A80,'Job Operations'!$A$4:$AA$304,2,FALSE),""))</f>
        <v>MALETA Housing and Dining</v>
      </c>
      <c r="C80" s="69" t="str">
        <f>IF(A80="","",IFERROR(VLOOKUP(A80,'Job Operations'!$A$4:$AA$304,3,FALSE),""))</f>
        <v>Cole Norona</v>
      </c>
      <c r="D80" s="69">
        <f>IF(A80="","",IFERROR(VLOOKUP(A80,'Job Operations'!$A$4:$AA$304,5,FALSE),""))</f>
        <v>192</v>
      </c>
      <c r="E80" s="69">
        <f>IF(A80="","",IFERROR(VLOOKUP(A80,'Job Operations'!$A$4:$AA$304,6,FALSE),""))</f>
        <v>0</v>
      </c>
      <c r="F80" s="69" t="str">
        <f>IF(A80="","",IFERROR(VLOOKUP(A80,'Job Operations'!$A$4:$AA$304,7,FALSE),""))</f>
        <v>FR ACM</v>
      </c>
      <c r="G80" s="70">
        <f>IF(A80="","",IFERROR(VLOOKUP(A80,'Job Operations'!$A$4:$AA$304,9,FALSE),""))</f>
        <v>46230</v>
      </c>
      <c r="H80" s="69" t="str" cm="1">
        <f t="array" ref="H80">IF(A80="","",_xlfn.LET(_xlpm.stn,IFERROR(VLOOKUP(A80,'Job Operations'!$A$4:$AA$304,12,FALSE),""),IF(_xlpm.stn="Clean and Brake",_xlfn.LET(_xlpm.pos,SUMPRODUCT((A$7:A80&lt;&gt;"")*(IFERROR(VLOOKUP(A$7:A80,'Job Operations'!$A$4:$AA$304,12,FALSE),"")="Clean and Brake")),_xlpm.sfx,IF(OR(_xlpm.pos=11,_xlpm.pos=12,_xlpm.pos=13),"th",IF(MOD(_xlpm.pos,10)=1,"st",IF(MOD(_xlpm.pos,10)=2,"nd",IF(MOD(_xlpm.pos,10)=3,"rd","th")))),_xlpm.pos&amp;_xlpm.sfx),IF(_xlpm.stn&lt;&gt;"",_xlpm.stn,""))))</f>
        <v>LO</v>
      </c>
      <c r="I80" s="69" t="str" cm="1">
        <f t="array" ref="I80">IF(A80="","",_xlfn.LET(_xlpm.stn,IFERROR(VLOOKUP(A80,'Job Operations'!$A$4:$AA$304,12,FALSE),""),IF(_xlpm.stn="Clean and Brake",_xlfn.LET(_xlpm.pos,SUMPRODUCT((A$7:A80&lt;&gt;"")*(IFERROR(VLOOKUP(A$7:A80,'Job Operations'!$A$4:$AA$304,12,FALSE),"")="Clean and Brake")),_xlpm.sfx,IF(OR(_xlpm.pos=11,_xlpm.pos=12,_xlpm.pos=13),"th",IF(MOD(_xlpm.pos,10)=1,"st",IF(MOD(_xlpm.pos,10)=2,"nd",IF(MOD(_xlpm.pos,10)=3,"rd","th")))),_xlpm.pos&amp;_xlpm.sfx),IF(ISNUMBER(MATCH(A80,'AXYZ Titans CNC Schedule'!A$7:A$100,0)),"#"&amp;MATCH(A80,'AXYZ Titans CNC Schedule'!A$7:A$100,0)&amp;" on Titans",IF(ISNUMBER(MATCH(A80,'AXYZ CNC Schedule'!A$7:A$100,0)),"#"&amp;MATCH(A80,'AXYZ CNC Schedule'!A$7:A$100,0)&amp;" on AXYZ",IF(_xlpm.stn&lt;&gt;"",_xlpm.stn,""))))))</f>
        <v>#61 on AXYZ</v>
      </c>
      <c r="J80" s="70">
        <f>IF(A80="","",IFERROR(VLOOKUP(A80,'Job Operations'!$A$4:$AA$304,16,FALSE),""))</f>
        <v>46206</v>
      </c>
      <c r="K80" s="69" t="str">
        <f>IF(A80="","",IFERROR(VLOOKUP(A80,'Job Operations'!$A$4:$AA$304,17,FALSE),""))</f>
        <v>Fab</v>
      </c>
      <c r="L80" s="129" t="str">
        <f>IF(A80="","",IF(IFERROR(VLOOKUP(A80,Notes!A:B,2,FALSE),"")=0,"",VLOOKUP(A80,Notes!A:B,2,FALSE)))</f>
        <v>HOAR*04/16/2026…LO</v>
      </c>
    </row>
    <row r="81" spans="1:12" x14ac:dyDescent="0.25">
      <c r="A81" s="69" t="str">
        <v>25044-FS09</v>
      </c>
      <c r="B81" s="73" t="str">
        <f>IF(A81="","",IFERROR(VLOOKUP(A81,'Job Operations'!$A$4:$AA$304,2,FALSE),""))</f>
        <v>MALETA Firing Range</v>
      </c>
      <c r="C81" s="69" t="str">
        <f>IF(A81="","",IFERROR(VLOOKUP(A81,'Job Operations'!$A$4:$AA$304,3,FALSE),""))</f>
        <v>Cole Norona</v>
      </c>
      <c r="D81" s="69">
        <f>IF(A81="","",IFERROR(VLOOKUP(A81,'Job Operations'!$A$4:$AA$304,5,FALSE),""))</f>
        <v>86</v>
      </c>
      <c r="E81" s="69">
        <f>IF(A81="","",IFERROR(VLOOKUP(A81,'Job Operations'!$A$4:$AA$304,6,FALSE),""))</f>
        <v>0</v>
      </c>
      <c r="F81" s="69" t="str">
        <f>IF(A81="","",IFERROR(VLOOKUP(A81,'Job Operations'!$A$4:$AA$304,7,FALSE),""))</f>
        <v>FR ACM</v>
      </c>
      <c r="G81" s="70">
        <f>IF(A81="","",IFERROR(VLOOKUP(A81,'Job Operations'!$A$4:$AA$304,9,FALSE),""))</f>
        <v>46232</v>
      </c>
      <c r="H81" s="69" t="str" cm="1">
        <f t="array" ref="H81">IF(A81="","",_xlfn.LET(_xlpm.stn,IFERROR(VLOOKUP(A81,'Job Operations'!$A$4:$AA$304,12,FALSE),""),IF(_xlpm.stn="Clean and Brake",_xlfn.LET(_xlpm.pos,SUMPRODUCT((A$7:A81&lt;&gt;"")*(IFERROR(VLOOKUP(A$7:A81,'Job Operations'!$A$4:$AA$304,12,FALSE),"")="Clean and Brake")),_xlpm.sfx,IF(OR(_xlpm.pos=11,_xlpm.pos=12,_xlpm.pos=13),"th",IF(MOD(_xlpm.pos,10)=1,"st",IF(MOD(_xlpm.pos,10)=2,"nd",IF(MOD(_xlpm.pos,10)=3,"rd","th")))),_xlpm.pos&amp;_xlpm.sfx),IF(_xlpm.stn&lt;&gt;"",_xlpm.stn,""))))</f>
        <v>LO</v>
      </c>
      <c r="I81" s="69" t="str" cm="1">
        <f t="array" ref="I81">IF(A81="","",_xlfn.LET(_xlpm.stn,IFERROR(VLOOKUP(A81,'Job Operations'!$A$4:$AA$304,12,FALSE),""),IF(_xlpm.stn="Clean and Brake",_xlfn.LET(_xlpm.pos,SUMPRODUCT((A$7:A81&lt;&gt;"")*(IFERROR(VLOOKUP(A$7:A81,'Job Operations'!$A$4:$AA$304,12,FALSE),"")="Clean and Brake")),_xlpm.sfx,IF(OR(_xlpm.pos=11,_xlpm.pos=12,_xlpm.pos=13),"th",IF(MOD(_xlpm.pos,10)=1,"st",IF(MOD(_xlpm.pos,10)=2,"nd",IF(MOD(_xlpm.pos,10)=3,"rd","th")))),_xlpm.pos&amp;_xlpm.sfx),IF(ISNUMBER(MATCH(A81,'AXYZ Titans CNC Schedule'!A$7:A$100,0)),"#"&amp;MATCH(A81,'AXYZ Titans CNC Schedule'!A$7:A$100,0)&amp;" on Titans",IF(ISNUMBER(MATCH(A81,'AXYZ CNC Schedule'!A$7:A$100,0)),"#"&amp;MATCH(A81,'AXYZ CNC Schedule'!A$7:A$100,0)&amp;" on AXYZ",IF(_xlpm.stn&lt;&gt;"",_xlpm.stn,""))))))</f>
        <v>#63 on AXYZ</v>
      </c>
      <c r="J81" s="70">
        <f>IF(A81="","",IFERROR(VLOOKUP(A81,'Job Operations'!$A$4:$AA$304,16,FALSE),""))</f>
        <v>46209</v>
      </c>
      <c r="K81" s="69" t="str">
        <f>IF(A81="","",IFERROR(VLOOKUP(A81,'Job Operations'!$A$4:$AA$304,17,FALSE),""))</f>
        <v>Fab</v>
      </c>
      <c r="L81" s="129" t="str">
        <f>IF(A81="","",IF(IFERROR(VLOOKUP(A81,Notes!A:B,2,FALSE),"")=0,"",VLOOKUP(A81,Notes!A:B,2,FALSE)))</f>
        <v>04/16/2026…LO</v>
      </c>
    </row>
    <row r="82" spans="1:12" x14ac:dyDescent="0.25">
      <c r="A82" s="69" t="str">
        <v>25044-FS01.2</v>
      </c>
      <c r="B82" s="73" t="str">
        <f>IF(A82="","",IFERROR(VLOOKUP(A82,'Job Operations'!$A$4:$AA$304,2,FALSE),""))</f>
        <v>MALETA Firing Range</v>
      </c>
      <c r="C82" s="69" t="str">
        <f>IF(A82="","",IFERROR(VLOOKUP(A82,'Job Operations'!$A$4:$AA$304,3,FALSE),""))</f>
        <v>Cole Norona</v>
      </c>
      <c r="D82" s="69">
        <f>IF(A82="","",IFERROR(VLOOKUP(A82,'Job Operations'!$A$4:$AA$304,5,FALSE),""))</f>
        <v>193</v>
      </c>
      <c r="E82" s="69">
        <f>IF(A82="","",IFERROR(VLOOKUP(A82,'Job Operations'!$A$4:$AA$304,6,FALSE),""))</f>
        <v>0</v>
      </c>
      <c r="F82" s="69" t="str">
        <f>IF(A82="","",IFERROR(VLOOKUP(A82,'Job Operations'!$A$4:$AA$304,7,FALSE),""))</f>
        <v>FR ACM</v>
      </c>
      <c r="G82" s="70">
        <f>IF(A82="","",IFERROR(VLOOKUP(A82,'Job Operations'!$A$4:$AA$304,9,FALSE),""))</f>
        <v>46232</v>
      </c>
      <c r="H82" s="69" t="str" cm="1">
        <f t="array" ref="H82">IF(A82="","",_xlfn.LET(_xlpm.stn,IFERROR(VLOOKUP(A82,'Job Operations'!$A$4:$AA$304,12,FALSE),""),IF(_xlpm.stn="Clean and Brake",_xlfn.LET(_xlpm.pos,SUMPRODUCT((A$7:A82&lt;&gt;"")*(IFERROR(VLOOKUP(A$7:A82,'Job Operations'!$A$4:$AA$304,12,FALSE),"")="Clean and Brake")),_xlpm.sfx,IF(OR(_xlpm.pos=11,_xlpm.pos=12,_xlpm.pos=13),"th",IF(MOD(_xlpm.pos,10)=1,"st",IF(MOD(_xlpm.pos,10)=2,"nd",IF(MOD(_xlpm.pos,10)=3,"rd","th")))),_xlpm.pos&amp;_xlpm.sfx),IF(_xlpm.stn&lt;&gt;"",_xlpm.stn,""))))</f>
        <v>LO</v>
      </c>
      <c r="I82" s="69" t="str" cm="1">
        <f t="array" ref="I82">IF(A82="","",_xlfn.LET(_xlpm.stn,IFERROR(VLOOKUP(A82,'Job Operations'!$A$4:$AA$304,12,FALSE),""),IF(_xlpm.stn="Clean and Brake",_xlfn.LET(_xlpm.pos,SUMPRODUCT((A$7:A82&lt;&gt;"")*(IFERROR(VLOOKUP(A$7:A82,'Job Operations'!$A$4:$AA$304,12,FALSE),"")="Clean and Brake")),_xlpm.sfx,IF(OR(_xlpm.pos=11,_xlpm.pos=12,_xlpm.pos=13),"th",IF(MOD(_xlpm.pos,10)=1,"st",IF(MOD(_xlpm.pos,10)=2,"nd",IF(MOD(_xlpm.pos,10)=3,"rd","th")))),_xlpm.pos&amp;_xlpm.sfx),IF(ISNUMBER(MATCH(A82,'AXYZ Titans CNC Schedule'!A$7:A$100,0)),"#"&amp;MATCH(A82,'AXYZ Titans CNC Schedule'!A$7:A$100,0)&amp;" on Titans",IF(ISNUMBER(MATCH(A82,'AXYZ CNC Schedule'!A$7:A$100,0)),"#"&amp;MATCH(A82,'AXYZ CNC Schedule'!A$7:A$100,0)&amp;" on AXYZ",IF(_xlpm.stn&lt;&gt;"",_xlpm.stn,""))))))</f>
        <v>#62 on AXYZ</v>
      </c>
      <c r="J82" s="70">
        <f>IF(A82="","",IFERROR(VLOOKUP(A82,'Job Operations'!$A$4:$AA$304,16,FALSE),""))</f>
        <v>46209</v>
      </c>
      <c r="K82" s="69" t="str">
        <f>IF(A82="","",IFERROR(VLOOKUP(A82,'Job Operations'!$A$4:$AA$304,17,FALSE),""))</f>
        <v>Fab</v>
      </c>
      <c r="L82" s="129" t="str">
        <f>IF(A82="","",IF(IFERROR(VLOOKUP(A82,Notes!A:B,2,FALSE),"")=0,"",VLOOKUP(A82,Notes!A:B,2,FALSE)))</f>
        <v>04/16/2026…LO</v>
      </c>
    </row>
    <row r="83" spans="1:12" x14ac:dyDescent="0.25">
      <c r="A83" s="69" t="str">
        <v>25006-FS13</v>
      </c>
      <c r="B83" s="73" t="str">
        <f>IF(A83="","",IFERROR(VLOOKUP(A83,'Job Operations'!$A$4:$AA$304,2,FALSE),""))</f>
        <v>MALETA Housing and Dining</v>
      </c>
      <c r="C83" s="69" t="str">
        <f>IF(A83="","",IFERROR(VLOOKUP(A83,'Job Operations'!$A$4:$AA$304,3,FALSE),""))</f>
        <v>Cole Norona</v>
      </c>
      <c r="D83" s="69">
        <f>IF(A83="","",IFERROR(VLOOKUP(A83,'Job Operations'!$A$4:$AA$304,5,FALSE),""))</f>
        <v>28</v>
      </c>
      <c r="E83" s="69">
        <f>IF(A83="","",IFERROR(VLOOKUP(A83,'Job Operations'!$A$4:$AA$304,6,FALSE),""))</f>
        <v>0</v>
      </c>
      <c r="F83" s="69" t="str">
        <f>IF(A83="","",IFERROR(VLOOKUP(A83,'Job Operations'!$A$4:$AA$304,7,FALSE),""))</f>
        <v>FR ACM</v>
      </c>
      <c r="G83" s="70">
        <f>IF(A83="","",IFERROR(VLOOKUP(A83,'Job Operations'!$A$4:$AA$304,9,FALSE),""))</f>
        <v>46237</v>
      </c>
      <c r="H83" s="69" t="str" cm="1">
        <f t="array" ref="H83">IF(A83="","",_xlfn.LET(_xlpm.stn,IFERROR(VLOOKUP(A83,'Job Operations'!$A$4:$AA$304,12,FALSE),""),IF(_xlpm.stn="Clean and Brake",_xlfn.LET(_xlpm.pos,SUMPRODUCT((A$7:A83&lt;&gt;"")*(IFERROR(VLOOKUP(A$7:A83,'Job Operations'!$A$4:$AA$304,12,FALSE),"")="Clean and Brake")),_xlpm.sfx,IF(OR(_xlpm.pos=11,_xlpm.pos=12,_xlpm.pos=13),"th",IF(MOD(_xlpm.pos,10)=1,"st",IF(MOD(_xlpm.pos,10)=2,"nd",IF(MOD(_xlpm.pos,10)=3,"rd","th")))),_xlpm.pos&amp;_xlpm.sfx),IF(_xlpm.stn&lt;&gt;"",_xlpm.stn,""))))</f>
        <v>LO</v>
      </c>
      <c r="I83" s="69" t="str" cm="1">
        <f t="array" ref="I83">IF(A83="","",_xlfn.LET(_xlpm.stn,IFERROR(VLOOKUP(A83,'Job Operations'!$A$4:$AA$304,12,FALSE),""),IF(_xlpm.stn="Clean and Brake",_xlfn.LET(_xlpm.pos,SUMPRODUCT((A$7:A83&lt;&gt;"")*(IFERROR(VLOOKUP(A$7:A83,'Job Operations'!$A$4:$AA$304,12,FALSE),"")="Clean and Brake")),_xlpm.sfx,IF(OR(_xlpm.pos=11,_xlpm.pos=12,_xlpm.pos=13),"th",IF(MOD(_xlpm.pos,10)=1,"st",IF(MOD(_xlpm.pos,10)=2,"nd",IF(MOD(_xlpm.pos,10)=3,"rd","th")))),_xlpm.pos&amp;_xlpm.sfx),IF(ISNUMBER(MATCH(A83,'AXYZ Titans CNC Schedule'!A$7:A$100,0)),"#"&amp;MATCH(A83,'AXYZ Titans CNC Schedule'!A$7:A$100,0)&amp;" on Titans",IF(ISNUMBER(MATCH(A83,'AXYZ CNC Schedule'!A$7:A$100,0)),"#"&amp;MATCH(A83,'AXYZ CNC Schedule'!A$7:A$100,0)&amp;" on AXYZ",IF(_xlpm.stn&lt;&gt;"",_xlpm.stn,""))))))</f>
        <v>#64 on AXYZ</v>
      </c>
      <c r="J83" s="70">
        <f>IF(A83="","",IFERROR(VLOOKUP(A83,'Job Operations'!$A$4:$AA$304,16,FALSE),""))</f>
        <v>46213</v>
      </c>
      <c r="K83" s="69" t="str">
        <f>IF(A83="","",IFERROR(VLOOKUP(A83,'Job Operations'!$A$4:$AA$304,17,FALSE),""))</f>
        <v>Fab</v>
      </c>
      <c r="L83" s="129" t="str">
        <f>IF(A83="","",IF(IFERROR(VLOOKUP(A83,Notes!A:B,2,FALSE),"")=0,"",VLOOKUP(A83,Notes!A:B,2,FALSE)))</f>
        <v>HOAR*04/16/2026…LO</v>
      </c>
    </row>
    <row r="84" spans="1:12" x14ac:dyDescent="0.25">
      <c r="A84" s="69" t="str">
        <v>25044-FS10</v>
      </c>
      <c r="B84" s="73" t="str">
        <f>IF(A84="","",IFERROR(VLOOKUP(A84,'Job Operations'!$A$4:$AA$304,2,FALSE),""))</f>
        <v>MALETA Firing Range</v>
      </c>
      <c r="C84" s="69" t="str">
        <f>IF(A84="","",IFERROR(VLOOKUP(A84,'Job Operations'!$A$4:$AA$304,3,FALSE),""))</f>
        <v>Cole Norona</v>
      </c>
      <c r="D84" s="69">
        <f>IF(A84="","",IFERROR(VLOOKUP(A84,'Job Operations'!$A$4:$AA$304,5,FALSE),""))</f>
        <v>185</v>
      </c>
      <c r="E84" s="69">
        <f>IF(A84="","",IFERROR(VLOOKUP(A84,'Job Operations'!$A$4:$AA$304,6,FALSE),""))</f>
        <v>0</v>
      </c>
      <c r="F84" s="69" t="str">
        <f>IF(A84="","",IFERROR(VLOOKUP(A84,'Job Operations'!$A$4:$AA$304,7,FALSE),""))</f>
        <v>FR ACM</v>
      </c>
      <c r="G84" s="70">
        <f>IF(A84="","",IFERROR(VLOOKUP(A84,'Job Operations'!$A$4:$AA$304,9,FALSE),""))</f>
        <v>46241</v>
      </c>
      <c r="H84" s="69" t="str" cm="1">
        <f t="array" ref="H84">IF(A84="","",_xlfn.LET(_xlpm.stn,IFERROR(VLOOKUP(A84,'Job Operations'!$A$4:$AA$304,12,FALSE),""),IF(_xlpm.stn="Clean and Brake",_xlfn.LET(_xlpm.pos,SUMPRODUCT((A$7:A84&lt;&gt;"")*(IFERROR(VLOOKUP(A$7:A84,'Job Operations'!$A$4:$AA$304,12,FALSE),"")="Clean and Brake")),_xlpm.sfx,IF(OR(_xlpm.pos=11,_xlpm.pos=12,_xlpm.pos=13),"th",IF(MOD(_xlpm.pos,10)=1,"st",IF(MOD(_xlpm.pos,10)=2,"nd",IF(MOD(_xlpm.pos,10)=3,"rd","th")))),_xlpm.pos&amp;_xlpm.sfx),IF(_xlpm.stn&lt;&gt;"",_xlpm.stn,""))))</f>
        <v>LO</v>
      </c>
      <c r="I84" s="69" t="str" cm="1">
        <f t="array" ref="I84">IF(A84="","",_xlfn.LET(_xlpm.stn,IFERROR(VLOOKUP(A84,'Job Operations'!$A$4:$AA$304,12,FALSE),""),IF(_xlpm.stn="Clean and Brake",_xlfn.LET(_xlpm.pos,SUMPRODUCT((A$7:A84&lt;&gt;"")*(IFERROR(VLOOKUP(A$7:A84,'Job Operations'!$A$4:$AA$304,12,FALSE),"")="Clean and Brake")),_xlpm.sfx,IF(OR(_xlpm.pos=11,_xlpm.pos=12,_xlpm.pos=13),"th",IF(MOD(_xlpm.pos,10)=1,"st",IF(MOD(_xlpm.pos,10)=2,"nd",IF(MOD(_xlpm.pos,10)=3,"rd","th")))),_xlpm.pos&amp;_xlpm.sfx),IF(ISNUMBER(MATCH(A84,'AXYZ Titans CNC Schedule'!A$7:A$100,0)),"#"&amp;MATCH(A84,'AXYZ Titans CNC Schedule'!A$7:A$100,0)&amp;" on Titans",IF(ISNUMBER(MATCH(A84,'AXYZ CNC Schedule'!A$7:A$100,0)),"#"&amp;MATCH(A84,'AXYZ CNC Schedule'!A$7:A$100,0)&amp;" on AXYZ",IF(_xlpm.stn&lt;&gt;"",_xlpm.stn,""))))))</f>
        <v>#65 on AXYZ</v>
      </c>
      <c r="J84" s="70">
        <f>IF(A84="","",IFERROR(VLOOKUP(A84,'Job Operations'!$A$4:$AA$304,16,FALSE),""))</f>
        <v>46218</v>
      </c>
      <c r="K84" s="69" t="str">
        <f>IF(A84="","",IFERROR(VLOOKUP(A84,'Job Operations'!$A$4:$AA$304,17,FALSE),""))</f>
        <v>Fab</v>
      </c>
      <c r="L84" s="129" t="str">
        <f>IF(A84="","",IF(IFERROR(VLOOKUP(A84,Notes!A:B,2,FALSE),"")=0,"",VLOOKUP(A84,Notes!A:B,2,FALSE)))</f>
        <v>04/16/2026…LO</v>
      </c>
    </row>
    <row r="85" spans="1:12" x14ac:dyDescent="0.25">
      <c r="A85" s="69" t="str">
        <v>25044-FS11</v>
      </c>
      <c r="B85" s="73" t="str">
        <f>IF(A85="","",IFERROR(VLOOKUP(A85,'Job Operations'!$A$4:$AA$304,2,FALSE),""))</f>
        <v>MALETA Firing Range</v>
      </c>
      <c r="C85" s="69" t="str">
        <f>IF(A85="","",IFERROR(VLOOKUP(A85,'Job Operations'!$A$4:$AA$304,3,FALSE),""))</f>
        <v>Cole Norona</v>
      </c>
      <c r="D85" s="69">
        <f>IF(A85="","",IFERROR(VLOOKUP(A85,'Job Operations'!$A$4:$AA$304,5,FALSE),""))</f>
        <v>185</v>
      </c>
      <c r="E85" s="69">
        <f>IF(A85="","",IFERROR(VLOOKUP(A85,'Job Operations'!$A$4:$AA$304,6,FALSE),""))</f>
        <v>0</v>
      </c>
      <c r="F85" s="69" t="str">
        <f>IF(A85="","",IFERROR(VLOOKUP(A85,'Job Operations'!$A$4:$AA$304,7,FALSE),""))</f>
        <v>FR ACM</v>
      </c>
      <c r="G85" s="70">
        <f>IF(A85="","",IFERROR(VLOOKUP(A85,'Job Operations'!$A$4:$AA$304,9,FALSE),""))</f>
        <v>46251</v>
      </c>
      <c r="H85" s="69" t="str" cm="1">
        <f t="array" ref="H85">IF(A85="","",_xlfn.LET(_xlpm.stn,IFERROR(VLOOKUP(A85,'Job Operations'!$A$4:$AA$304,12,FALSE),""),IF(_xlpm.stn="Clean and Brake",_xlfn.LET(_xlpm.pos,SUMPRODUCT((A$7:A85&lt;&gt;"")*(IFERROR(VLOOKUP(A$7:A85,'Job Operations'!$A$4:$AA$304,12,FALSE),"")="Clean and Brake")),_xlpm.sfx,IF(OR(_xlpm.pos=11,_xlpm.pos=12,_xlpm.pos=13),"th",IF(MOD(_xlpm.pos,10)=1,"st",IF(MOD(_xlpm.pos,10)=2,"nd",IF(MOD(_xlpm.pos,10)=3,"rd","th")))),_xlpm.pos&amp;_xlpm.sfx),IF(_xlpm.stn&lt;&gt;"",_xlpm.stn,""))))</f>
        <v>LO</v>
      </c>
      <c r="I85" s="69" t="str" cm="1">
        <f t="array" ref="I85">IF(A85="","",_xlfn.LET(_xlpm.stn,IFERROR(VLOOKUP(A85,'Job Operations'!$A$4:$AA$304,12,FALSE),""),IF(_xlpm.stn="Clean and Brake",_xlfn.LET(_xlpm.pos,SUMPRODUCT((A$7:A85&lt;&gt;"")*(IFERROR(VLOOKUP(A$7:A85,'Job Operations'!$A$4:$AA$304,12,FALSE),"")="Clean and Brake")),_xlpm.sfx,IF(OR(_xlpm.pos=11,_xlpm.pos=12,_xlpm.pos=13),"th",IF(MOD(_xlpm.pos,10)=1,"st",IF(MOD(_xlpm.pos,10)=2,"nd",IF(MOD(_xlpm.pos,10)=3,"rd","th")))),_xlpm.pos&amp;_xlpm.sfx),IF(ISNUMBER(MATCH(A85,'AXYZ Titans CNC Schedule'!A$7:A$100,0)),"#"&amp;MATCH(A85,'AXYZ Titans CNC Schedule'!A$7:A$100,0)&amp;" on Titans",IF(ISNUMBER(MATCH(A85,'AXYZ CNC Schedule'!A$7:A$100,0)),"#"&amp;MATCH(A85,'AXYZ CNC Schedule'!A$7:A$100,0)&amp;" on AXYZ",IF(_xlpm.stn&lt;&gt;"",_xlpm.stn,""))))))</f>
        <v>#66 on AXYZ</v>
      </c>
      <c r="J85" s="70">
        <f>IF(A85="","",IFERROR(VLOOKUP(A85,'Job Operations'!$A$4:$AA$304,16,FALSE),""))</f>
        <v>46227</v>
      </c>
      <c r="K85" s="69" t="str">
        <f>IF(A85="","",IFERROR(VLOOKUP(A85,'Job Operations'!$A$4:$AA$304,17,FALSE),""))</f>
        <v>Fab</v>
      </c>
      <c r="L85" s="129" t="str">
        <f>IF(A85="","",IF(IFERROR(VLOOKUP(A85,Notes!A:B,2,FALSE),"")=0,"",VLOOKUP(A85,Notes!A:B,2,FALSE)))</f>
        <v>04/16/2026…LO</v>
      </c>
    </row>
    <row r="86" spans="1:12" x14ac:dyDescent="0.25">
      <c r="A86" s="69" t="str">
        <v>25075-RP01</v>
      </c>
      <c r="B86" s="73" t="str">
        <f>IF(A86="","",IFERROR(VLOOKUP(A86,'Job Operations'!$A$4:$AA$304,2,FALSE),""))</f>
        <v>St Thomas West Canopy Replace</v>
      </c>
      <c r="C86" s="69" t="str">
        <f>IF(A86="","",IFERROR(VLOOKUP(A86,'Job Operations'!$A$4:$AA$304,3,FALSE),""))</f>
        <v>Chris Buttrey</v>
      </c>
      <c r="D86" s="69">
        <f>IF(A86="","",IFERROR(VLOOKUP(A86,'Job Operations'!$A$4:$AA$304,5,FALSE),""))</f>
        <v>2</v>
      </c>
      <c r="E86" s="69">
        <f>IF(A86="","",IFERROR(VLOOKUP(A86,'Job Operations'!$A$4:$AA$304,6,FALSE),""))</f>
        <v>6</v>
      </c>
      <c r="F86" s="69">
        <f>IF(A86="","",IFERROR(VLOOKUP(A86,'Job Operations'!$A$4:$AA$304,7,FALSE),""))</f>
        <v>0</v>
      </c>
      <c r="G86" s="70">
        <f>IF(A86="","",IFERROR(VLOOKUP(A86,'Job Operations'!$A$4:$AA$304,9,FALSE),""))</f>
        <v>0</v>
      </c>
      <c r="H86" s="69" t="str" cm="1">
        <f t="array" ref="H86">IF(A86="","",_xlfn.LET(_xlpm.stn,IFERROR(VLOOKUP(A86,'Job Operations'!$A$4:$AA$304,12,FALSE),""),IF(_xlpm.stn="Clean and Brake",_xlfn.LET(_xlpm.pos,SUMPRODUCT((A$7:A86&lt;&gt;"")*(IFERROR(VLOOKUP(A$7:A86,'Job Operations'!$A$4:$AA$304,12,FALSE),"")="Clean and Brake")),_xlpm.sfx,IF(OR(_xlpm.pos=11,_xlpm.pos=12,_xlpm.pos=13),"th",IF(MOD(_xlpm.pos,10)=1,"st",IF(MOD(_xlpm.pos,10)=2,"nd",IF(MOD(_xlpm.pos,10)=3,"rd","th")))),_xlpm.pos&amp;_xlpm.sfx),IF(_xlpm.stn&lt;&gt;"",_xlpm.stn,""))))</f>
        <v>CNC Programming</v>
      </c>
      <c r="I86" s="69" t="str" cm="1">
        <f t="array" ref="I86">IF(A86="","",_xlfn.LET(_xlpm.stn,IFERROR(VLOOKUP(A86,'Job Operations'!$A$4:$AA$304,12,FALSE),""),IF(_xlpm.stn="Clean and Brake",_xlfn.LET(_xlpm.pos,SUMPRODUCT((A$7:A86&lt;&gt;"")*(IFERROR(VLOOKUP(A$7:A86,'Job Operations'!$A$4:$AA$304,12,FALSE),"")="Clean and Brake")),_xlpm.sfx,IF(OR(_xlpm.pos=11,_xlpm.pos=12,_xlpm.pos=13),"th",IF(MOD(_xlpm.pos,10)=1,"st",IF(MOD(_xlpm.pos,10)=2,"nd",IF(MOD(_xlpm.pos,10)=3,"rd","th")))),_xlpm.pos&amp;_xlpm.sfx),IF(ISNUMBER(MATCH(A86,'AXYZ Titans CNC Schedule'!A$7:A$100,0)),"#"&amp;MATCH(A86,'AXYZ Titans CNC Schedule'!A$7:A$100,0)&amp;" on Titans",IF(ISNUMBER(MATCH(A86,'AXYZ CNC Schedule'!A$7:A$100,0)),"#"&amp;MATCH(A86,'AXYZ CNC Schedule'!A$7:A$100,0)&amp;" on AXYZ",IF(_xlpm.stn&lt;&gt;"",_xlpm.stn,""))))))</f>
        <v>CNC Programming</v>
      </c>
      <c r="J86" s="70" t="str">
        <f>IF(A86="","",IFERROR(VLOOKUP(A86,'Job Operations'!$A$4:$AA$304,16,FALSE),""))</f>
        <v/>
      </c>
      <c r="K86" s="69" t="str">
        <f>IF(A86="","",IFERROR(VLOOKUP(A86,'Job Operations'!$A$4:$AA$304,17,FALSE),""))</f>
        <v>Fab</v>
      </c>
      <c r="L86" s="129" t="str">
        <f>IF(A86="","",IF(IFERROR(VLOOKUP(A86,Notes!A:B,2,FALSE),"")=0,"",VLOOKUP(A86,Notes!A:B,2,FALSE)))</f>
        <v>04/16/2026…</v>
      </c>
    </row>
    <row r="87" spans="1:12" x14ac:dyDescent="0.25">
      <c r="A87" s="69" t="str">
        <v>24051-RP58</v>
      </c>
      <c r="B87" s="73" t="str">
        <f>IF(A87="","",IFERROR(VLOOKUP(A87,'Job Operations'!$A$4:$AA$304,2,FALSE),""))</f>
        <v>TN Titans Stadium</v>
      </c>
      <c r="C87" s="69" t="str">
        <f>IF(A87="","",IFERROR(VLOOKUP(A87,'Job Operations'!$A$4:$AA$304,3,FALSE),""))</f>
        <v>Marc Ribar</v>
      </c>
      <c r="D87" s="69">
        <f>IF(A87="","",IFERROR(VLOOKUP(A87,'Job Operations'!$A$4:$AA$304,5,FALSE),""))</f>
        <v>1</v>
      </c>
      <c r="E87" s="69">
        <f>IF(A87="","",IFERROR(VLOOKUP(A87,'Job Operations'!$A$4:$AA$304,6,FALSE),""))</f>
        <v>0</v>
      </c>
      <c r="F87" s="69">
        <f>IF(A87="","",IFERROR(VLOOKUP(A87,'Job Operations'!$A$4:$AA$304,7,FALSE),""))</f>
        <v>0</v>
      </c>
      <c r="G87" s="70">
        <f>IF(A87="","",IFERROR(VLOOKUP(A87,'Job Operations'!$A$4:$AA$304,9,FALSE),""))</f>
        <v>0</v>
      </c>
      <c r="H87" s="69" t="str" cm="1">
        <f t="array" ref="H87">IF(A87="","",_xlfn.LET(_xlpm.stn,IFERROR(VLOOKUP(A87,'Job Operations'!$A$4:$AA$304,12,FALSE),""),IF(_xlpm.stn="Clean and Brake",_xlfn.LET(_xlpm.pos,SUMPRODUCT((A$7:A87&lt;&gt;"")*(IFERROR(VLOOKUP(A$7:A87,'Job Operations'!$A$4:$AA$304,12,FALSE),"")="Clean and Brake")),_xlpm.sfx,IF(OR(_xlpm.pos=11,_xlpm.pos=12,_xlpm.pos=13),"th",IF(MOD(_xlpm.pos,10)=1,"st",IF(MOD(_xlpm.pos,10)=2,"nd",IF(MOD(_xlpm.pos,10)=3,"rd","th")))),_xlpm.pos&amp;_xlpm.sfx),IF(_xlpm.stn&lt;&gt;"",_xlpm.stn,""))))</f>
        <v>CNC Programming</v>
      </c>
      <c r="I87" s="69" t="str" cm="1">
        <f t="array" ref="I87">IF(A87="","",_xlfn.LET(_xlpm.stn,IFERROR(VLOOKUP(A87,'Job Operations'!$A$4:$AA$304,12,FALSE),""),IF(_xlpm.stn="Clean and Brake",_xlfn.LET(_xlpm.pos,SUMPRODUCT((A$7:A87&lt;&gt;"")*(IFERROR(VLOOKUP(A$7:A87,'Job Operations'!$A$4:$AA$304,12,FALSE),"")="Clean and Brake")),_xlpm.sfx,IF(OR(_xlpm.pos=11,_xlpm.pos=12,_xlpm.pos=13),"th",IF(MOD(_xlpm.pos,10)=1,"st",IF(MOD(_xlpm.pos,10)=2,"nd",IF(MOD(_xlpm.pos,10)=3,"rd","th")))),_xlpm.pos&amp;_xlpm.sfx),IF(ISNUMBER(MATCH(A87,'AXYZ Titans CNC Schedule'!A$7:A$100,0)),"#"&amp;MATCH(A87,'AXYZ Titans CNC Schedule'!A$7:A$100,0)&amp;" on Titans",IF(ISNUMBER(MATCH(A87,'AXYZ CNC Schedule'!A$7:A$100,0)),"#"&amp;MATCH(A87,'AXYZ CNC Schedule'!A$7:A$100,0)&amp;" on AXYZ",IF(_xlpm.stn&lt;&gt;"",_xlpm.stn,""))))))</f>
        <v>CNC Programming</v>
      </c>
      <c r="J87" s="70" t="str">
        <f>IF(A87="","",IFERROR(VLOOKUP(A87,'Job Operations'!$A$4:$AA$304,16,FALSE),""))</f>
        <v/>
      </c>
      <c r="K87" s="69" t="str">
        <f>IF(A87="","",IFERROR(VLOOKUP(A87,'Job Operations'!$A$4:$AA$304,17,FALSE),""))</f>
        <v>Fab</v>
      </c>
      <c r="L87" s="129" t="str">
        <f>IF(A87="","",IF(IFERROR(VLOOKUP(A87,Notes!A:B,2,FALSE),"")=0,"",VLOOKUP(A87,Notes!A:B,2,FALSE)))</f>
        <v>04/16/2026…</v>
      </c>
    </row>
    <row r="88" spans="1:12" x14ac:dyDescent="0.25">
      <c r="A88" s="69" t="str">
        <v>24071-RP15</v>
      </c>
      <c r="B88" s="73" t="str">
        <f>IF(A88="","",IFERROR(VLOOKUP(A88,'Job Operations'!$A$4:$AA$304,2,FALSE),""))</f>
        <v>RS Gass State Lab</v>
      </c>
      <c r="C88" s="69" t="str">
        <f>IF(A88="","",IFERROR(VLOOKUP(A88,'Job Operations'!$A$4:$AA$304,3,FALSE),""))</f>
        <v>Cole Norona</v>
      </c>
      <c r="D88" s="69">
        <f>IF(A88="","",IFERROR(VLOOKUP(A88,'Job Operations'!$A$4:$AA$304,5,FALSE),""))</f>
        <v>0</v>
      </c>
      <c r="E88" s="69">
        <f>IF(A88="","",IFERROR(VLOOKUP(A88,'Job Operations'!$A$4:$AA$304,6,FALSE),""))</f>
        <v>3</v>
      </c>
      <c r="F88" s="69">
        <f>IF(A88="","",IFERROR(VLOOKUP(A88,'Job Operations'!$A$4:$AA$304,7,FALSE),""))</f>
        <v>0</v>
      </c>
      <c r="G88" s="70">
        <f>IF(A88="","",IFERROR(VLOOKUP(A88,'Job Operations'!$A$4:$AA$304,9,FALSE),""))</f>
        <v>0</v>
      </c>
      <c r="H88" s="69" t="str" cm="1">
        <f t="array" ref="H88">IF(A88="","",_xlfn.LET(_xlpm.stn,IFERROR(VLOOKUP(A88,'Job Operations'!$A$4:$AA$304,12,FALSE),""),IF(_xlpm.stn="Clean and Brake",_xlfn.LET(_xlpm.pos,SUMPRODUCT((A$7:A88&lt;&gt;"")*(IFERROR(VLOOKUP(A$7:A88,'Job Operations'!$A$4:$AA$304,12,FALSE),"")="Clean and Brake")),_xlpm.sfx,IF(OR(_xlpm.pos=11,_xlpm.pos=12,_xlpm.pos=13),"th",IF(MOD(_xlpm.pos,10)=1,"st",IF(MOD(_xlpm.pos,10)=2,"nd",IF(MOD(_xlpm.pos,10)=3,"rd","th")))),_xlpm.pos&amp;_xlpm.sfx),IF(_xlpm.stn&lt;&gt;"",_xlpm.stn,""))))</f>
        <v>CNC Programming</v>
      </c>
      <c r="I88" s="69" t="str" cm="1">
        <f t="array" ref="I88">IF(A88="","",_xlfn.LET(_xlpm.stn,IFERROR(VLOOKUP(A88,'Job Operations'!$A$4:$AA$304,12,FALSE),""),IF(_xlpm.stn="Clean and Brake",_xlfn.LET(_xlpm.pos,SUMPRODUCT((A$7:A88&lt;&gt;"")*(IFERROR(VLOOKUP(A$7:A88,'Job Operations'!$A$4:$AA$304,12,FALSE),"")="Clean and Brake")),_xlpm.sfx,IF(OR(_xlpm.pos=11,_xlpm.pos=12,_xlpm.pos=13),"th",IF(MOD(_xlpm.pos,10)=1,"st",IF(MOD(_xlpm.pos,10)=2,"nd",IF(MOD(_xlpm.pos,10)=3,"rd","th")))),_xlpm.pos&amp;_xlpm.sfx),IF(ISNUMBER(MATCH(A88,'AXYZ Titans CNC Schedule'!A$7:A$100,0)),"#"&amp;MATCH(A88,'AXYZ Titans CNC Schedule'!A$7:A$100,0)&amp;" on Titans",IF(ISNUMBER(MATCH(A88,'AXYZ CNC Schedule'!A$7:A$100,0)),"#"&amp;MATCH(A88,'AXYZ CNC Schedule'!A$7:A$100,0)&amp;" on AXYZ",IF(_xlpm.stn&lt;&gt;"",_xlpm.stn,""))))))</f>
        <v>CNC Programming</v>
      </c>
      <c r="J88" s="70" t="str">
        <f>IF(A88="","",IFERROR(VLOOKUP(A88,'Job Operations'!$A$4:$AA$304,16,FALSE),""))</f>
        <v/>
      </c>
      <c r="K88" s="69" t="str">
        <f>IF(A88="","",IFERROR(VLOOKUP(A88,'Job Operations'!$A$4:$AA$304,17,FALSE),""))</f>
        <v>Fab</v>
      </c>
      <c r="L88" s="129" t="str">
        <f>IF(A88="","",IF(IFERROR(VLOOKUP(A88,Notes!A:B,2,FALSE),"")=0,"",VLOOKUP(A88,Notes!A:B,2,FALSE)))</f>
        <v>04/16/2026…</v>
      </c>
    </row>
    <row r="89" spans="1:12" x14ac:dyDescent="0.25">
      <c r="A89" s="69"/>
      <c r="B89" s="73" t="str">
        <f>IF(A89="","",IFERROR(VLOOKUP(A89,'Job Operations'!$A$4:$AA$304,2,FALSE),""))</f>
        <v/>
      </c>
      <c r="C89" s="69" t="str">
        <f>IF(A89="","",IFERROR(VLOOKUP(A89,'Job Operations'!$A$4:$AA$304,3,FALSE),""))</f>
        <v/>
      </c>
      <c r="D89" s="69" t="str">
        <f>IF(A89="","",IFERROR(VLOOKUP(A89,'Job Operations'!$A$4:$AA$304,5,FALSE),""))</f>
        <v/>
      </c>
      <c r="E89" s="69" t="str">
        <f>IF(A89="","",IFERROR(VLOOKUP(A89,'Job Operations'!$A$4:$AA$304,6,FALSE),""))</f>
        <v/>
      </c>
      <c r="F89" s="69" t="str">
        <f>IF(A89="","",IFERROR(VLOOKUP(A89,'Job Operations'!$A$4:$AA$304,7,FALSE),""))</f>
        <v/>
      </c>
      <c r="G89" s="70" t="str">
        <f>IF(A89="","",IFERROR(VLOOKUP(A89,'Job Operations'!$A$4:$AA$304,9,FALSE),""))</f>
        <v/>
      </c>
      <c r="H89" s="69" t="str" cm="1">
        <f t="array" ref="H89">IF(A89="","",_xlfn.LET(_xlpm.stn,IFERROR(VLOOKUP(A89,'Job Operations'!$A$4:$AA$304,12,FALSE),""),IF(_xlpm.stn="Clean and Brake",_xlfn.LET(_xlpm.pos,SUMPRODUCT((A$7:A89&lt;&gt;"")*(IFERROR(VLOOKUP(A$7:A89,'Job Operations'!$A$4:$AA$304,12,FALSE),"")="Clean and Brake")),_xlpm.sfx,IF(OR(_xlpm.pos=11,_xlpm.pos=12,_xlpm.pos=13),"th",IF(MOD(_xlpm.pos,10)=1,"st",IF(MOD(_xlpm.pos,10)=2,"nd",IF(MOD(_xlpm.pos,10)=3,"rd","th")))),_xlpm.pos&amp;_xlpm.sfx),IF(_xlpm.stn&lt;&gt;"",_xlpm.stn,""))))</f>
        <v/>
      </c>
      <c r="I89" s="69" t="str" cm="1">
        <f t="array" ref="I89">IF(A89="","",_xlfn.LET(_xlpm.stn,IFERROR(VLOOKUP(A89,'Job Operations'!$A$4:$AA$304,12,FALSE),""),IF(_xlpm.stn="Clean and Brake",_xlfn.LET(_xlpm.pos,SUMPRODUCT((A$7:A89&lt;&gt;"")*(IFERROR(VLOOKUP(A$7:A89,'Job Operations'!$A$4:$AA$304,12,FALSE),"")="Clean and Brake")),_xlpm.sfx,IF(OR(_xlpm.pos=11,_xlpm.pos=12,_xlpm.pos=13),"th",IF(MOD(_xlpm.pos,10)=1,"st",IF(MOD(_xlpm.pos,10)=2,"nd",IF(MOD(_xlpm.pos,10)=3,"rd","th")))),_xlpm.pos&amp;_xlpm.sfx),IF(ISNUMBER(MATCH(A89,'AXYZ Titans CNC Schedule'!A$7:A$100,0)),"#"&amp;MATCH(A89,'AXYZ Titans CNC Schedule'!A$7:A$100,0)&amp;" on Titans",IF(ISNUMBER(MATCH(A89,'AXYZ CNC Schedule'!A$7:A$100,0)),"#"&amp;MATCH(A89,'AXYZ CNC Schedule'!A$7:A$100,0)&amp;" on AXYZ",IF(_xlpm.stn&lt;&gt;"",_xlpm.stn,""))))))</f>
        <v/>
      </c>
      <c r="J89" s="70" t="str">
        <f>IF(A89="","",IFERROR(VLOOKUP(A89,'Job Operations'!$A$4:$AA$304,16,FALSE),""))</f>
        <v/>
      </c>
      <c r="K89" s="69" t="str">
        <f>IF(A89="","",IFERROR(VLOOKUP(A89,'Job Operations'!$A$4:$AA$304,17,FALSE),""))</f>
        <v/>
      </c>
      <c r="L89" s="129" t="str">
        <f>IF(A89="","",IF(IFERROR(VLOOKUP(A89,Notes!A:B,2,FALSE),"")=0,"",VLOOKUP(A89,Notes!A:B,2,FALSE)))</f>
        <v/>
      </c>
    </row>
    <row r="90" spans="1:12" x14ac:dyDescent="0.25">
      <c r="A90" s="69"/>
      <c r="B90" s="73" t="str">
        <f>IF(A90="","",IFERROR(VLOOKUP(A90,'Job Operations'!$A$4:$AA$304,2,FALSE),""))</f>
        <v/>
      </c>
      <c r="C90" s="69" t="str">
        <f>IF(A90="","",IFERROR(VLOOKUP(A90,'Job Operations'!$A$4:$AA$304,3,FALSE),""))</f>
        <v/>
      </c>
      <c r="D90" s="69" t="str">
        <f>IF(A90="","",IFERROR(VLOOKUP(A90,'Job Operations'!$A$4:$AA$304,5,FALSE),""))</f>
        <v/>
      </c>
      <c r="E90" s="69" t="str">
        <f>IF(A90="","",IFERROR(VLOOKUP(A90,'Job Operations'!$A$4:$AA$304,6,FALSE),""))</f>
        <v/>
      </c>
      <c r="F90" s="69" t="str">
        <f>IF(A90="","",IFERROR(VLOOKUP(A90,'Job Operations'!$A$4:$AA$304,7,FALSE),""))</f>
        <v/>
      </c>
      <c r="G90" s="70" t="str">
        <f>IF(A90="","",IFERROR(VLOOKUP(A90,'Job Operations'!$A$4:$AA$304,9,FALSE),""))</f>
        <v/>
      </c>
      <c r="H90" s="69" t="str" cm="1">
        <f t="array" ref="H90">IF(A90="","",_xlfn.LET(_xlpm.stn,IFERROR(VLOOKUP(A90,'Job Operations'!$A$4:$AA$304,12,FALSE),""),IF(_xlpm.stn="Clean and Brake",_xlfn.LET(_xlpm.pos,SUMPRODUCT((A$7:A90&lt;&gt;"")*(IFERROR(VLOOKUP(A$7:A90,'Job Operations'!$A$4:$AA$304,12,FALSE),"")="Clean and Brake")),_xlpm.sfx,IF(OR(_xlpm.pos=11,_xlpm.pos=12,_xlpm.pos=13),"th",IF(MOD(_xlpm.pos,10)=1,"st",IF(MOD(_xlpm.pos,10)=2,"nd",IF(MOD(_xlpm.pos,10)=3,"rd","th")))),_xlpm.pos&amp;_xlpm.sfx),IF(_xlpm.stn&lt;&gt;"",_xlpm.stn,""))))</f>
        <v/>
      </c>
      <c r="I90" s="69" t="str" cm="1">
        <f t="array" ref="I90">IF(A90="","",_xlfn.LET(_xlpm.stn,IFERROR(VLOOKUP(A90,'Job Operations'!$A$4:$AA$304,12,FALSE),""),IF(_xlpm.stn="Clean and Brake",_xlfn.LET(_xlpm.pos,SUMPRODUCT((A$7:A90&lt;&gt;"")*(IFERROR(VLOOKUP(A$7:A90,'Job Operations'!$A$4:$AA$304,12,FALSE),"")="Clean and Brake")),_xlpm.sfx,IF(OR(_xlpm.pos=11,_xlpm.pos=12,_xlpm.pos=13),"th",IF(MOD(_xlpm.pos,10)=1,"st",IF(MOD(_xlpm.pos,10)=2,"nd",IF(MOD(_xlpm.pos,10)=3,"rd","th")))),_xlpm.pos&amp;_xlpm.sfx),IF(ISNUMBER(MATCH(A90,'AXYZ Titans CNC Schedule'!A$7:A$100,0)),"#"&amp;MATCH(A90,'AXYZ Titans CNC Schedule'!A$7:A$100,0)&amp;" on Titans",IF(ISNUMBER(MATCH(A90,'AXYZ CNC Schedule'!A$7:A$100,0)),"#"&amp;MATCH(A90,'AXYZ CNC Schedule'!A$7:A$100,0)&amp;" on AXYZ",IF(_xlpm.stn&lt;&gt;"",_xlpm.stn,""))))))</f>
        <v/>
      </c>
      <c r="J90" s="70" t="str">
        <f>IF(A90="","",IFERROR(VLOOKUP(A90,'Job Operations'!$A$4:$AA$304,16,FALSE),""))</f>
        <v/>
      </c>
      <c r="K90" s="69" t="str">
        <f>IF(A90="","",IFERROR(VLOOKUP(A90,'Job Operations'!$A$4:$AA$304,17,FALSE),""))</f>
        <v/>
      </c>
      <c r="L90" s="129" t="str">
        <f>IF(A90="","",IF(IFERROR(VLOOKUP(A90,Notes!A:B,2,FALSE),"")=0,"",VLOOKUP(A90,Notes!A:B,2,FALSE)))</f>
        <v/>
      </c>
    </row>
    <row r="91" spans="1:12" x14ac:dyDescent="0.25">
      <c r="A91" s="69"/>
      <c r="B91" s="73" t="str">
        <f>IF(A91="","",IFERROR(VLOOKUP(A91,'Job Operations'!$A$4:$AA$304,2,FALSE),""))</f>
        <v/>
      </c>
      <c r="C91" s="69" t="str">
        <f>IF(A91="","",IFERROR(VLOOKUP(A91,'Job Operations'!$A$4:$AA$304,3,FALSE),""))</f>
        <v/>
      </c>
      <c r="D91" s="69" t="str">
        <f>IF(A91="","",IFERROR(VLOOKUP(A91,'Job Operations'!$A$4:$AA$304,5,FALSE),""))</f>
        <v/>
      </c>
      <c r="E91" s="69" t="str">
        <f>IF(A91="","",IFERROR(VLOOKUP(A91,'Job Operations'!$A$4:$AA$304,6,FALSE),""))</f>
        <v/>
      </c>
      <c r="F91" s="69" t="str">
        <f>IF(A91="","",IFERROR(VLOOKUP(A91,'Job Operations'!$A$4:$AA$304,7,FALSE),""))</f>
        <v/>
      </c>
      <c r="G91" s="70" t="str">
        <f>IF(A91="","",IFERROR(VLOOKUP(A91,'Job Operations'!$A$4:$AA$304,9,FALSE),""))</f>
        <v/>
      </c>
      <c r="H91" s="69" t="str" cm="1">
        <f t="array" ref="H91">IF(A91="","",_xlfn.LET(_xlpm.stn,IFERROR(VLOOKUP(A91,'Job Operations'!$A$4:$AA$304,12,FALSE),""),IF(_xlpm.stn="Clean and Brake",_xlfn.LET(_xlpm.pos,SUMPRODUCT((A$7:A91&lt;&gt;"")*(IFERROR(VLOOKUP(A$7:A91,'Job Operations'!$A$4:$AA$304,12,FALSE),"")="Clean and Brake")),_xlpm.sfx,IF(OR(_xlpm.pos=11,_xlpm.pos=12,_xlpm.pos=13),"th",IF(MOD(_xlpm.pos,10)=1,"st",IF(MOD(_xlpm.pos,10)=2,"nd",IF(MOD(_xlpm.pos,10)=3,"rd","th")))),_xlpm.pos&amp;_xlpm.sfx),IF(_xlpm.stn&lt;&gt;"",_xlpm.stn,""))))</f>
        <v/>
      </c>
      <c r="I91" s="69" t="str" cm="1">
        <f t="array" ref="I91">IF(A91="","",_xlfn.LET(_xlpm.stn,IFERROR(VLOOKUP(A91,'Job Operations'!$A$4:$AA$304,12,FALSE),""),IF(_xlpm.stn="Clean and Brake",_xlfn.LET(_xlpm.pos,SUMPRODUCT((A$7:A91&lt;&gt;"")*(IFERROR(VLOOKUP(A$7:A91,'Job Operations'!$A$4:$AA$304,12,FALSE),"")="Clean and Brake")),_xlpm.sfx,IF(OR(_xlpm.pos=11,_xlpm.pos=12,_xlpm.pos=13),"th",IF(MOD(_xlpm.pos,10)=1,"st",IF(MOD(_xlpm.pos,10)=2,"nd",IF(MOD(_xlpm.pos,10)=3,"rd","th")))),_xlpm.pos&amp;_xlpm.sfx),IF(ISNUMBER(MATCH(A91,'AXYZ Titans CNC Schedule'!A$7:A$100,0)),"#"&amp;MATCH(A91,'AXYZ Titans CNC Schedule'!A$7:A$100,0)&amp;" on Titans",IF(ISNUMBER(MATCH(A91,'AXYZ CNC Schedule'!A$7:A$100,0)),"#"&amp;MATCH(A91,'AXYZ CNC Schedule'!A$7:A$100,0)&amp;" on AXYZ",IF(_xlpm.stn&lt;&gt;"",_xlpm.stn,""))))))</f>
        <v/>
      </c>
      <c r="J91" s="70" t="str">
        <f>IF(A91="","",IFERROR(VLOOKUP(A91,'Job Operations'!$A$4:$AA$304,16,FALSE),""))</f>
        <v/>
      </c>
      <c r="K91" s="69" t="str">
        <f>IF(A91="","",IFERROR(VLOOKUP(A91,'Job Operations'!$A$4:$AA$304,17,FALSE),""))</f>
        <v/>
      </c>
      <c r="L91" s="129" t="str">
        <f>IF(A91="","",IF(IFERROR(VLOOKUP(A91,Notes!A:B,2,FALSE),"")=0,"",VLOOKUP(A91,Notes!A:B,2,FALSE)))</f>
        <v/>
      </c>
    </row>
    <row r="92" spans="1:12" x14ac:dyDescent="0.25">
      <c r="A92" s="69"/>
      <c r="B92" s="73" t="str">
        <f>IF(A92="","",IFERROR(VLOOKUP(A92,'Job Operations'!$A$4:$AA$304,2,FALSE),""))</f>
        <v/>
      </c>
      <c r="C92" s="69" t="str">
        <f>IF(A92="","",IFERROR(VLOOKUP(A92,'Job Operations'!$A$4:$AA$304,3,FALSE),""))</f>
        <v/>
      </c>
      <c r="D92" s="69" t="str">
        <f>IF(A92="","",IFERROR(VLOOKUP(A92,'Job Operations'!$A$4:$AA$304,5,FALSE),""))</f>
        <v/>
      </c>
      <c r="E92" s="69" t="str">
        <f>IF(A92="","",IFERROR(VLOOKUP(A92,'Job Operations'!$A$4:$AA$304,6,FALSE),""))</f>
        <v/>
      </c>
      <c r="F92" s="69" t="str">
        <f>IF(A92="","",IFERROR(VLOOKUP(A92,'Job Operations'!$A$4:$AA$304,7,FALSE),""))</f>
        <v/>
      </c>
      <c r="G92" s="70" t="str">
        <f>IF(A92="","",IFERROR(VLOOKUP(A92,'Job Operations'!$A$4:$AA$304,9,FALSE),""))</f>
        <v/>
      </c>
      <c r="H92" s="69" t="str" cm="1">
        <f t="array" ref="H92">IF(A92="","",_xlfn.LET(_xlpm.stn,IFERROR(VLOOKUP(A92,'Job Operations'!$A$4:$AA$304,12,FALSE),""),IF(_xlpm.stn="Clean and Brake",_xlfn.LET(_xlpm.pos,SUMPRODUCT((A$7:A92&lt;&gt;"")*(IFERROR(VLOOKUP(A$7:A92,'Job Operations'!$A$4:$AA$304,12,FALSE),"")="Clean and Brake")),_xlpm.sfx,IF(OR(_xlpm.pos=11,_xlpm.pos=12,_xlpm.pos=13),"th",IF(MOD(_xlpm.pos,10)=1,"st",IF(MOD(_xlpm.pos,10)=2,"nd",IF(MOD(_xlpm.pos,10)=3,"rd","th")))),_xlpm.pos&amp;_xlpm.sfx),IF(_xlpm.stn&lt;&gt;"",_xlpm.stn,""))))</f>
        <v/>
      </c>
      <c r="I92" s="69" t="str" cm="1">
        <f t="array" ref="I92">IF(A92="","",_xlfn.LET(_xlpm.stn,IFERROR(VLOOKUP(A92,'Job Operations'!$A$4:$AA$304,12,FALSE),""),IF(_xlpm.stn="Clean and Brake",_xlfn.LET(_xlpm.pos,SUMPRODUCT((A$7:A92&lt;&gt;"")*(IFERROR(VLOOKUP(A$7:A92,'Job Operations'!$A$4:$AA$304,12,FALSE),"")="Clean and Brake")),_xlpm.sfx,IF(OR(_xlpm.pos=11,_xlpm.pos=12,_xlpm.pos=13),"th",IF(MOD(_xlpm.pos,10)=1,"st",IF(MOD(_xlpm.pos,10)=2,"nd",IF(MOD(_xlpm.pos,10)=3,"rd","th")))),_xlpm.pos&amp;_xlpm.sfx),IF(ISNUMBER(MATCH(A92,'AXYZ Titans CNC Schedule'!A$7:A$100,0)),"#"&amp;MATCH(A92,'AXYZ Titans CNC Schedule'!A$7:A$100,0)&amp;" on Titans",IF(ISNUMBER(MATCH(A92,'AXYZ CNC Schedule'!A$7:A$100,0)),"#"&amp;MATCH(A92,'AXYZ CNC Schedule'!A$7:A$100,0)&amp;" on AXYZ",IF(_xlpm.stn&lt;&gt;"",_xlpm.stn,""))))))</f>
        <v/>
      </c>
      <c r="J92" s="70" t="str">
        <f>IF(A92="","",IFERROR(VLOOKUP(A92,'Job Operations'!$A$4:$AA$304,16,FALSE),""))</f>
        <v/>
      </c>
      <c r="K92" s="69" t="str">
        <f>IF(A92="","",IFERROR(VLOOKUP(A92,'Job Operations'!$A$4:$AA$304,17,FALSE),""))</f>
        <v/>
      </c>
      <c r="L92" s="129" t="str">
        <f>IF(A92="","",IF(IFERROR(VLOOKUP(A92,Notes!A:B,2,FALSE),"")=0,"",VLOOKUP(A92,Notes!A:B,2,FALSE)))</f>
        <v/>
      </c>
    </row>
    <row r="93" spans="1:12" x14ac:dyDescent="0.25">
      <c r="A93" s="69"/>
      <c r="B93" s="73" t="str">
        <f>IF(A93="","",IFERROR(VLOOKUP(A93,'Job Operations'!$A$4:$AA$304,2,FALSE),""))</f>
        <v/>
      </c>
      <c r="C93" s="69" t="str">
        <f>IF(A93="","",IFERROR(VLOOKUP(A93,'Job Operations'!$A$4:$AA$304,3,FALSE),""))</f>
        <v/>
      </c>
      <c r="D93" s="69" t="str">
        <f>IF(A93="","",IFERROR(VLOOKUP(A93,'Job Operations'!$A$4:$AA$304,5,FALSE),""))</f>
        <v/>
      </c>
      <c r="E93" s="69" t="str">
        <f>IF(A93="","",IFERROR(VLOOKUP(A93,'Job Operations'!$A$4:$AA$304,6,FALSE),""))</f>
        <v/>
      </c>
      <c r="F93" s="69" t="str">
        <f>IF(A93="","",IFERROR(VLOOKUP(A93,'Job Operations'!$A$4:$AA$304,7,FALSE),""))</f>
        <v/>
      </c>
      <c r="G93" s="70" t="str">
        <f>IF(A93="","",IFERROR(VLOOKUP(A93,'Job Operations'!$A$4:$AA$304,9,FALSE),""))</f>
        <v/>
      </c>
      <c r="H93" s="69" t="str" cm="1">
        <f t="array" ref="H93">IF(A93="","",_xlfn.LET(_xlpm.stn,IFERROR(VLOOKUP(A93,'Job Operations'!$A$4:$AA$304,12,FALSE),""),IF(_xlpm.stn="Clean and Brake",_xlfn.LET(_xlpm.pos,SUMPRODUCT((A$7:A93&lt;&gt;"")*(IFERROR(VLOOKUP(A$7:A93,'Job Operations'!$A$4:$AA$304,12,FALSE),"")="Clean and Brake")),_xlpm.sfx,IF(OR(_xlpm.pos=11,_xlpm.pos=12,_xlpm.pos=13),"th",IF(MOD(_xlpm.pos,10)=1,"st",IF(MOD(_xlpm.pos,10)=2,"nd",IF(MOD(_xlpm.pos,10)=3,"rd","th")))),_xlpm.pos&amp;_xlpm.sfx),IF(_xlpm.stn&lt;&gt;"",_xlpm.stn,""))))</f>
        <v/>
      </c>
      <c r="I93" s="69" t="str" cm="1">
        <f t="array" ref="I93">IF(A93="","",_xlfn.LET(_xlpm.stn,IFERROR(VLOOKUP(A93,'Job Operations'!$A$4:$AA$304,12,FALSE),""),IF(_xlpm.stn="Clean and Brake",_xlfn.LET(_xlpm.pos,SUMPRODUCT((A$7:A93&lt;&gt;"")*(IFERROR(VLOOKUP(A$7:A93,'Job Operations'!$A$4:$AA$304,12,FALSE),"")="Clean and Brake")),_xlpm.sfx,IF(OR(_xlpm.pos=11,_xlpm.pos=12,_xlpm.pos=13),"th",IF(MOD(_xlpm.pos,10)=1,"st",IF(MOD(_xlpm.pos,10)=2,"nd",IF(MOD(_xlpm.pos,10)=3,"rd","th")))),_xlpm.pos&amp;_xlpm.sfx),IF(ISNUMBER(MATCH(A93,'AXYZ Titans CNC Schedule'!A$7:A$100,0)),"#"&amp;MATCH(A93,'AXYZ Titans CNC Schedule'!A$7:A$100,0)&amp;" on Titans",IF(ISNUMBER(MATCH(A93,'AXYZ CNC Schedule'!A$7:A$100,0)),"#"&amp;MATCH(A93,'AXYZ CNC Schedule'!A$7:A$100,0)&amp;" on AXYZ",IF(_xlpm.stn&lt;&gt;"",_xlpm.stn,""))))))</f>
        <v/>
      </c>
      <c r="J93" s="70" t="str">
        <f>IF(A93="","",IFERROR(VLOOKUP(A93,'Job Operations'!$A$4:$AA$304,16,FALSE),""))</f>
        <v/>
      </c>
      <c r="K93" s="69" t="str">
        <f>IF(A93="","",IFERROR(VLOOKUP(A93,'Job Operations'!$A$4:$AA$304,17,FALSE),""))</f>
        <v/>
      </c>
      <c r="L93" s="129" t="str">
        <f>IF(A93="","",IF(IFERROR(VLOOKUP(A93,Notes!A:B,2,FALSE),"")=0,"",VLOOKUP(A93,Notes!A:B,2,FALSE)))</f>
        <v/>
      </c>
    </row>
    <row r="94" spans="1:12" x14ac:dyDescent="0.25">
      <c r="A94" s="69"/>
      <c r="B94" s="73" t="str">
        <f>IF(A94="","",IFERROR(VLOOKUP(A94,'Job Operations'!$A$4:$AA$304,2,FALSE),""))</f>
        <v/>
      </c>
      <c r="C94" s="69" t="str">
        <f>IF(A94="","",IFERROR(VLOOKUP(A94,'Job Operations'!$A$4:$AA$304,3,FALSE),""))</f>
        <v/>
      </c>
      <c r="D94" s="69" t="str">
        <f>IF(A94="","",IFERROR(VLOOKUP(A94,'Job Operations'!$A$4:$AA$304,5,FALSE),""))</f>
        <v/>
      </c>
      <c r="E94" s="69" t="str">
        <f>IF(A94="","",IFERROR(VLOOKUP(A94,'Job Operations'!$A$4:$AA$304,6,FALSE),""))</f>
        <v/>
      </c>
      <c r="F94" s="69" t="str">
        <f>IF(A94="","",IFERROR(VLOOKUP(A94,'Job Operations'!$A$4:$AA$304,7,FALSE),""))</f>
        <v/>
      </c>
      <c r="G94" s="70" t="str">
        <f>IF(A94="","",IFERROR(VLOOKUP(A94,'Job Operations'!$A$4:$AA$304,9,FALSE),""))</f>
        <v/>
      </c>
      <c r="H94" s="69" t="str" cm="1">
        <f t="array" ref="H94">IF(A94="","",_xlfn.LET(_xlpm.stn,IFERROR(VLOOKUP(A94,'Job Operations'!$A$4:$AA$304,12,FALSE),""),IF(_xlpm.stn="Clean and Brake",_xlfn.LET(_xlpm.pos,SUMPRODUCT((A$7:A94&lt;&gt;"")*(IFERROR(VLOOKUP(A$7:A94,'Job Operations'!$A$4:$AA$304,12,FALSE),"")="Clean and Brake")),_xlpm.sfx,IF(OR(_xlpm.pos=11,_xlpm.pos=12,_xlpm.pos=13),"th",IF(MOD(_xlpm.pos,10)=1,"st",IF(MOD(_xlpm.pos,10)=2,"nd",IF(MOD(_xlpm.pos,10)=3,"rd","th")))),_xlpm.pos&amp;_xlpm.sfx),IF(_xlpm.stn&lt;&gt;"",_xlpm.stn,""))))</f>
        <v/>
      </c>
      <c r="I94" s="69" t="str" cm="1">
        <f t="array" ref="I94">IF(A94="","",_xlfn.LET(_xlpm.stn,IFERROR(VLOOKUP(A94,'Job Operations'!$A$4:$AA$304,12,FALSE),""),IF(_xlpm.stn="Clean and Brake",_xlfn.LET(_xlpm.pos,SUMPRODUCT((A$7:A94&lt;&gt;"")*(IFERROR(VLOOKUP(A$7:A94,'Job Operations'!$A$4:$AA$304,12,FALSE),"")="Clean and Brake")),_xlpm.sfx,IF(OR(_xlpm.pos=11,_xlpm.pos=12,_xlpm.pos=13),"th",IF(MOD(_xlpm.pos,10)=1,"st",IF(MOD(_xlpm.pos,10)=2,"nd",IF(MOD(_xlpm.pos,10)=3,"rd","th")))),_xlpm.pos&amp;_xlpm.sfx),IF(ISNUMBER(MATCH(A94,'AXYZ Titans CNC Schedule'!A$7:A$100,0)),"#"&amp;MATCH(A94,'AXYZ Titans CNC Schedule'!A$7:A$100,0)&amp;" on Titans",IF(ISNUMBER(MATCH(A94,'AXYZ CNC Schedule'!A$7:A$100,0)),"#"&amp;MATCH(A94,'AXYZ CNC Schedule'!A$7:A$100,0)&amp;" on AXYZ",IF(_xlpm.stn&lt;&gt;"",_xlpm.stn,""))))))</f>
        <v/>
      </c>
      <c r="J94" s="70" t="str">
        <f>IF(A94="","",IFERROR(VLOOKUP(A94,'Job Operations'!$A$4:$AA$304,16,FALSE),""))</f>
        <v/>
      </c>
      <c r="K94" s="69" t="str">
        <f>IF(A94="","",IFERROR(VLOOKUP(A94,'Job Operations'!$A$4:$AA$304,17,FALSE),""))</f>
        <v/>
      </c>
      <c r="L94" s="129" t="str">
        <f>IF(A94="","",IF(IFERROR(VLOOKUP(A94,Notes!A:B,2,FALSE),"")=0,"",VLOOKUP(A94,Notes!A:B,2,FALSE)))</f>
        <v/>
      </c>
    </row>
    <row r="95" spans="1:12" x14ac:dyDescent="0.25">
      <c r="A95" s="69"/>
      <c r="B95" s="73" t="str">
        <f>IF(A95="","",IFERROR(VLOOKUP(A95,'Job Operations'!$A$4:$AA$304,2,FALSE),""))</f>
        <v/>
      </c>
      <c r="C95" s="69" t="str">
        <f>IF(A95="","",IFERROR(VLOOKUP(A95,'Job Operations'!$A$4:$AA$304,3,FALSE),""))</f>
        <v/>
      </c>
      <c r="D95" s="69" t="str">
        <f>IF(A95="","",IFERROR(VLOOKUP(A95,'Job Operations'!$A$4:$AA$304,5,FALSE),""))</f>
        <v/>
      </c>
      <c r="E95" s="69" t="str">
        <f>IF(A95="","",IFERROR(VLOOKUP(A95,'Job Operations'!$A$4:$AA$304,6,FALSE),""))</f>
        <v/>
      </c>
      <c r="F95" s="69" t="str">
        <f>IF(A95="","",IFERROR(VLOOKUP(A95,'Job Operations'!$A$4:$AA$304,7,FALSE),""))</f>
        <v/>
      </c>
      <c r="G95" s="70" t="str">
        <f>IF(A95="","",IFERROR(VLOOKUP(A95,'Job Operations'!$A$4:$AA$304,9,FALSE),""))</f>
        <v/>
      </c>
      <c r="H95" s="69" t="str" cm="1">
        <f t="array" ref="H95">IF(A95="","",_xlfn.LET(_xlpm.stn,IFERROR(VLOOKUP(A95,'Job Operations'!$A$4:$AA$304,12,FALSE),""),IF(_xlpm.stn="Clean and Brake",_xlfn.LET(_xlpm.pos,SUMPRODUCT((A$7:A95&lt;&gt;"")*(IFERROR(VLOOKUP(A$7:A95,'Job Operations'!$A$4:$AA$304,12,FALSE),"")="Clean and Brake")),_xlpm.sfx,IF(OR(_xlpm.pos=11,_xlpm.pos=12,_xlpm.pos=13),"th",IF(MOD(_xlpm.pos,10)=1,"st",IF(MOD(_xlpm.pos,10)=2,"nd",IF(MOD(_xlpm.pos,10)=3,"rd","th")))),_xlpm.pos&amp;_xlpm.sfx),IF(_xlpm.stn&lt;&gt;"",_xlpm.stn,""))))</f>
        <v/>
      </c>
      <c r="I95" s="69" t="str" cm="1">
        <f t="array" ref="I95">IF(A95="","",_xlfn.LET(_xlpm.stn,IFERROR(VLOOKUP(A95,'Job Operations'!$A$4:$AA$304,12,FALSE),""),IF(_xlpm.stn="Clean and Brake",_xlfn.LET(_xlpm.pos,SUMPRODUCT((A$7:A95&lt;&gt;"")*(IFERROR(VLOOKUP(A$7:A95,'Job Operations'!$A$4:$AA$304,12,FALSE),"")="Clean and Brake")),_xlpm.sfx,IF(OR(_xlpm.pos=11,_xlpm.pos=12,_xlpm.pos=13),"th",IF(MOD(_xlpm.pos,10)=1,"st",IF(MOD(_xlpm.pos,10)=2,"nd",IF(MOD(_xlpm.pos,10)=3,"rd","th")))),_xlpm.pos&amp;_xlpm.sfx),IF(ISNUMBER(MATCH(A95,'AXYZ Titans CNC Schedule'!A$7:A$100,0)),"#"&amp;MATCH(A95,'AXYZ Titans CNC Schedule'!A$7:A$100,0)&amp;" on Titans",IF(ISNUMBER(MATCH(A95,'AXYZ CNC Schedule'!A$7:A$100,0)),"#"&amp;MATCH(A95,'AXYZ CNC Schedule'!A$7:A$100,0)&amp;" on AXYZ",IF(_xlpm.stn&lt;&gt;"",_xlpm.stn,""))))))</f>
        <v/>
      </c>
      <c r="J95" s="70" t="str">
        <f>IF(A95="","",IFERROR(VLOOKUP(A95,'Job Operations'!$A$4:$AA$304,16,FALSE),""))</f>
        <v/>
      </c>
      <c r="K95" s="69" t="str">
        <f>IF(A95="","",IFERROR(VLOOKUP(A95,'Job Operations'!$A$4:$AA$304,17,FALSE),""))</f>
        <v/>
      </c>
      <c r="L95" s="129" t="str">
        <f>IF(A95="","",IF(IFERROR(VLOOKUP(A95,Notes!A:B,2,FALSE),"")=0,"",VLOOKUP(A95,Notes!A:B,2,FALSE)))</f>
        <v/>
      </c>
    </row>
    <row r="96" spans="1:12" x14ac:dyDescent="0.25">
      <c r="A96" s="69"/>
      <c r="B96" s="73" t="str">
        <f>IF(A96="","",IFERROR(VLOOKUP(A96,'Job Operations'!$A$4:$AA$304,2,FALSE),""))</f>
        <v/>
      </c>
      <c r="C96" s="69" t="str">
        <f>IF(A96="","",IFERROR(VLOOKUP(A96,'Job Operations'!$A$4:$AA$304,3,FALSE),""))</f>
        <v/>
      </c>
      <c r="D96" s="69" t="str">
        <f>IF(A96="","",IFERROR(VLOOKUP(A96,'Job Operations'!$A$4:$AA$304,5,FALSE),""))</f>
        <v/>
      </c>
      <c r="E96" s="69" t="str">
        <f>IF(A96="","",IFERROR(VLOOKUP(A96,'Job Operations'!$A$4:$AA$304,6,FALSE),""))</f>
        <v/>
      </c>
      <c r="F96" s="69" t="str">
        <f>IF(A96="","",IFERROR(VLOOKUP(A96,'Job Operations'!$A$4:$AA$304,7,FALSE),""))</f>
        <v/>
      </c>
      <c r="G96" s="70" t="str">
        <f>IF(A96="","",IFERROR(VLOOKUP(A96,'Job Operations'!$A$4:$AA$304,9,FALSE),""))</f>
        <v/>
      </c>
      <c r="H96" s="69" t="str" cm="1">
        <f t="array" ref="H96">IF(A96="","",_xlfn.LET(_xlpm.stn,IFERROR(VLOOKUP(A96,'Job Operations'!$A$4:$AA$304,12,FALSE),""),IF(_xlpm.stn="Clean and Brake",_xlfn.LET(_xlpm.pos,SUMPRODUCT((A$7:A96&lt;&gt;"")*(IFERROR(VLOOKUP(A$7:A96,'Job Operations'!$A$4:$AA$304,12,FALSE),"")="Clean and Brake")),_xlpm.sfx,IF(OR(_xlpm.pos=11,_xlpm.pos=12,_xlpm.pos=13),"th",IF(MOD(_xlpm.pos,10)=1,"st",IF(MOD(_xlpm.pos,10)=2,"nd",IF(MOD(_xlpm.pos,10)=3,"rd","th")))),_xlpm.pos&amp;_xlpm.sfx),IF(_xlpm.stn&lt;&gt;"",_xlpm.stn,""))))</f>
        <v/>
      </c>
      <c r="I96" s="69" t="str" cm="1">
        <f t="array" ref="I96">IF(A96="","",_xlfn.LET(_xlpm.stn,IFERROR(VLOOKUP(A96,'Job Operations'!$A$4:$AA$304,12,FALSE),""),IF(_xlpm.stn="Clean and Brake",_xlfn.LET(_xlpm.pos,SUMPRODUCT((A$7:A96&lt;&gt;"")*(IFERROR(VLOOKUP(A$7:A96,'Job Operations'!$A$4:$AA$304,12,FALSE),"")="Clean and Brake")),_xlpm.sfx,IF(OR(_xlpm.pos=11,_xlpm.pos=12,_xlpm.pos=13),"th",IF(MOD(_xlpm.pos,10)=1,"st",IF(MOD(_xlpm.pos,10)=2,"nd",IF(MOD(_xlpm.pos,10)=3,"rd","th")))),_xlpm.pos&amp;_xlpm.sfx),IF(ISNUMBER(MATCH(A96,'AXYZ Titans CNC Schedule'!A$7:A$100,0)),"#"&amp;MATCH(A96,'AXYZ Titans CNC Schedule'!A$7:A$100,0)&amp;" on Titans",IF(ISNUMBER(MATCH(A96,'AXYZ CNC Schedule'!A$7:A$100,0)),"#"&amp;MATCH(A96,'AXYZ CNC Schedule'!A$7:A$100,0)&amp;" on AXYZ",IF(_xlpm.stn&lt;&gt;"",_xlpm.stn,""))))))</f>
        <v/>
      </c>
      <c r="J96" s="70" t="str">
        <f>IF(A96="","",IFERROR(VLOOKUP(A96,'Job Operations'!$A$4:$AA$304,16,FALSE),""))</f>
        <v/>
      </c>
      <c r="K96" s="69" t="str">
        <f>IF(A96="","",IFERROR(VLOOKUP(A96,'Job Operations'!$A$4:$AA$304,17,FALSE),""))</f>
        <v/>
      </c>
      <c r="L96" s="129" t="str">
        <f>IF(A96="","",IF(IFERROR(VLOOKUP(A96,Notes!A:B,2,FALSE),"")=0,"",VLOOKUP(A96,Notes!A:B,2,FALSE)))</f>
        <v/>
      </c>
    </row>
    <row r="97" spans="1:12" x14ac:dyDescent="0.25">
      <c r="A97" s="69"/>
      <c r="B97" s="73" t="str">
        <f>IF(A97="","",IFERROR(VLOOKUP(A97,'Job Operations'!$A$4:$AA$304,2,FALSE),""))</f>
        <v/>
      </c>
      <c r="C97" s="69" t="str">
        <f>IF(A97="","",IFERROR(VLOOKUP(A97,'Job Operations'!$A$4:$AA$304,3,FALSE),""))</f>
        <v/>
      </c>
      <c r="D97" s="69" t="str">
        <f>IF(A97="","",IFERROR(VLOOKUP(A97,'Job Operations'!$A$4:$AA$304,5,FALSE),""))</f>
        <v/>
      </c>
      <c r="E97" s="69" t="str">
        <f>IF(A97="","",IFERROR(VLOOKUP(A97,'Job Operations'!$A$4:$AA$304,6,FALSE),""))</f>
        <v/>
      </c>
      <c r="F97" s="69" t="str">
        <f>IF(A97="","",IFERROR(VLOOKUP(A97,'Job Operations'!$A$4:$AA$304,7,FALSE),""))</f>
        <v/>
      </c>
      <c r="G97" s="70" t="str">
        <f>IF(A97="","",IFERROR(VLOOKUP(A97,'Job Operations'!$A$4:$AA$304,9,FALSE),""))</f>
        <v/>
      </c>
      <c r="H97" s="69" t="str" cm="1">
        <f t="array" ref="H97">IF(A97="","",_xlfn.LET(_xlpm.stn,IFERROR(VLOOKUP(A97,'Job Operations'!$A$4:$AA$304,12,FALSE),""),IF(_xlpm.stn="Clean and Brake",_xlfn.LET(_xlpm.pos,SUMPRODUCT((A$7:A97&lt;&gt;"")*(IFERROR(VLOOKUP(A$7:A97,'Job Operations'!$A$4:$AA$304,12,FALSE),"")="Clean and Brake")),_xlpm.sfx,IF(OR(_xlpm.pos=11,_xlpm.pos=12,_xlpm.pos=13),"th",IF(MOD(_xlpm.pos,10)=1,"st",IF(MOD(_xlpm.pos,10)=2,"nd",IF(MOD(_xlpm.pos,10)=3,"rd","th")))),_xlpm.pos&amp;_xlpm.sfx),IF(_xlpm.stn&lt;&gt;"",_xlpm.stn,""))))</f>
        <v/>
      </c>
      <c r="I97" s="69" t="str" cm="1">
        <f t="array" ref="I97">IF(A97="","",_xlfn.LET(_xlpm.stn,IFERROR(VLOOKUP(A97,'Job Operations'!$A$4:$AA$304,12,FALSE),""),IF(_xlpm.stn="Clean and Brake",_xlfn.LET(_xlpm.pos,SUMPRODUCT((A$7:A97&lt;&gt;"")*(IFERROR(VLOOKUP(A$7:A97,'Job Operations'!$A$4:$AA$304,12,FALSE),"")="Clean and Brake")),_xlpm.sfx,IF(OR(_xlpm.pos=11,_xlpm.pos=12,_xlpm.pos=13),"th",IF(MOD(_xlpm.pos,10)=1,"st",IF(MOD(_xlpm.pos,10)=2,"nd",IF(MOD(_xlpm.pos,10)=3,"rd","th")))),_xlpm.pos&amp;_xlpm.sfx),IF(ISNUMBER(MATCH(A97,'AXYZ Titans CNC Schedule'!A$7:A$100,0)),"#"&amp;MATCH(A97,'AXYZ Titans CNC Schedule'!A$7:A$100,0)&amp;" on Titans",IF(ISNUMBER(MATCH(A97,'AXYZ CNC Schedule'!A$7:A$100,0)),"#"&amp;MATCH(A97,'AXYZ CNC Schedule'!A$7:A$100,0)&amp;" on AXYZ",IF(_xlpm.stn&lt;&gt;"",_xlpm.stn,""))))))</f>
        <v/>
      </c>
      <c r="J97" s="70" t="str">
        <f>IF(A97="","",IFERROR(VLOOKUP(A97,'Job Operations'!$A$4:$AA$304,16,FALSE),""))</f>
        <v/>
      </c>
      <c r="K97" s="69" t="str">
        <f>IF(A97="","",IFERROR(VLOOKUP(A97,'Job Operations'!$A$4:$AA$304,17,FALSE),""))</f>
        <v/>
      </c>
      <c r="L97" s="129" t="str">
        <f>IF(A97="","",IF(IFERROR(VLOOKUP(A97,Notes!A:B,2,FALSE),"")=0,"",VLOOKUP(A97,Notes!A:B,2,FALSE)))</f>
        <v/>
      </c>
    </row>
    <row r="98" spans="1:12" x14ac:dyDescent="0.25">
      <c r="A98" s="69"/>
      <c r="B98" s="73" t="str">
        <f>IF(A98="","",IFERROR(VLOOKUP(A98,'Job Operations'!$A$4:$AA$304,2,FALSE),""))</f>
        <v/>
      </c>
      <c r="C98" s="69" t="str">
        <f>IF(A98="","",IFERROR(VLOOKUP(A98,'Job Operations'!$A$4:$AA$304,3,FALSE),""))</f>
        <v/>
      </c>
      <c r="D98" s="69" t="str">
        <f>IF(A98="","",IFERROR(VLOOKUP(A98,'Job Operations'!$A$4:$AA$304,5,FALSE),""))</f>
        <v/>
      </c>
      <c r="E98" s="69" t="str">
        <f>IF(A98="","",IFERROR(VLOOKUP(A98,'Job Operations'!$A$4:$AA$304,6,FALSE),""))</f>
        <v/>
      </c>
      <c r="F98" s="69" t="str">
        <f>IF(A98="","",IFERROR(VLOOKUP(A98,'Job Operations'!$A$4:$AA$304,7,FALSE),""))</f>
        <v/>
      </c>
      <c r="G98" s="70" t="str">
        <f>IF(A98="","",IFERROR(VLOOKUP(A98,'Job Operations'!$A$4:$AA$304,9,FALSE),""))</f>
        <v/>
      </c>
      <c r="H98" s="69" t="str" cm="1">
        <f t="array" ref="H98">IF(A98="","",_xlfn.LET(_xlpm.stn,IFERROR(VLOOKUP(A98,'Job Operations'!$A$4:$AA$304,12,FALSE),""),IF(_xlpm.stn="Clean and Brake",_xlfn.LET(_xlpm.pos,SUMPRODUCT((A$7:A98&lt;&gt;"")*(IFERROR(VLOOKUP(A$7:A98,'Job Operations'!$A$4:$AA$304,12,FALSE),"")="Clean and Brake")),_xlpm.sfx,IF(OR(_xlpm.pos=11,_xlpm.pos=12,_xlpm.pos=13),"th",IF(MOD(_xlpm.pos,10)=1,"st",IF(MOD(_xlpm.pos,10)=2,"nd",IF(MOD(_xlpm.pos,10)=3,"rd","th")))),_xlpm.pos&amp;_xlpm.sfx),IF(_xlpm.stn&lt;&gt;"",_xlpm.stn,""))))</f>
        <v/>
      </c>
      <c r="I98" s="69" t="str" cm="1">
        <f t="array" ref="I98">IF(A98="","",_xlfn.LET(_xlpm.stn,IFERROR(VLOOKUP(A98,'Job Operations'!$A$4:$AA$304,12,FALSE),""),IF(_xlpm.stn="Clean and Brake",_xlfn.LET(_xlpm.pos,SUMPRODUCT((A$7:A98&lt;&gt;"")*(IFERROR(VLOOKUP(A$7:A98,'Job Operations'!$A$4:$AA$304,12,FALSE),"")="Clean and Brake")),_xlpm.sfx,IF(OR(_xlpm.pos=11,_xlpm.pos=12,_xlpm.pos=13),"th",IF(MOD(_xlpm.pos,10)=1,"st",IF(MOD(_xlpm.pos,10)=2,"nd",IF(MOD(_xlpm.pos,10)=3,"rd","th")))),_xlpm.pos&amp;_xlpm.sfx),IF(ISNUMBER(MATCH(A98,'AXYZ Titans CNC Schedule'!A$7:A$100,0)),"#"&amp;MATCH(A98,'AXYZ Titans CNC Schedule'!A$7:A$100,0)&amp;" on Titans",IF(ISNUMBER(MATCH(A98,'AXYZ CNC Schedule'!A$7:A$100,0)),"#"&amp;MATCH(A98,'AXYZ CNC Schedule'!A$7:A$100,0)&amp;" on AXYZ",IF(_xlpm.stn&lt;&gt;"",_xlpm.stn,""))))))</f>
        <v/>
      </c>
      <c r="J98" s="70" t="str">
        <f>IF(A98="","",IFERROR(VLOOKUP(A98,'Job Operations'!$A$4:$AA$304,16,FALSE),""))</f>
        <v/>
      </c>
      <c r="K98" s="69" t="str">
        <f>IF(A98="","",IFERROR(VLOOKUP(A98,'Job Operations'!$A$4:$AA$304,17,FALSE),""))</f>
        <v/>
      </c>
      <c r="L98" s="129" t="str">
        <f>IF(A98="","",IF(IFERROR(VLOOKUP(A98,Notes!A:B,2,FALSE),"")=0,"",VLOOKUP(A98,Notes!A:B,2,FALSE)))</f>
        <v/>
      </c>
    </row>
    <row r="99" spans="1:12" x14ac:dyDescent="0.25">
      <c r="A99" s="69"/>
      <c r="B99" s="73" t="str">
        <f>IF(A99="","",IFERROR(VLOOKUP(A99,'Job Operations'!$A$4:$AA$304,2,FALSE),""))</f>
        <v/>
      </c>
      <c r="C99" s="69" t="str">
        <f>IF(A99="","",IFERROR(VLOOKUP(A99,'Job Operations'!$A$4:$AA$304,3,FALSE),""))</f>
        <v/>
      </c>
      <c r="D99" s="69" t="str">
        <f>IF(A99="","",IFERROR(VLOOKUP(A99,'Job Operations'!$A$4:$AA$304,5,FALSE),""))</f>
        <v/>
      </c>
      <c r="E99" s="69" t="str">
        <f>IF(A99="","",IFERROR(VLOOKUP(A99,'Job Operations'!$A$4:$AA$304,6,FALSE),""))</f>
        <v/>
      </c>
      <c r="F99" s="69" t="str">
        <f>IF(A99="","",IFERROR(VLOOKUP(A99,'Job Operations'!$A$4:$AA$304,7,FALSE),""))</f>
        <v/>
      </c>
      <c r="G99" s="70" t="str">
        <f>IF(A99="","",IFERROR(VLOOKUP(A99,'Job Operations'!$A$4:$AA$304,9,FALSE),""))</f>
        <v/>
      </c>
      <c r="H99" s="69" t="str" cm="1">
        <f t="array" ref="H99">IF(A99="","",_xlfn.LET(_xlpm.stn,IFERROR(VLOOKUP(A99,'Job Operations'!$A$4:$AA$304,12,FALSE),""),IF(_xlpm.stn="Clean and Brake",_xlfn.LET(_xlpm.pos,SUMPRODUCT((A$7:A99&lt;&gt;"")*(IFERROR(VLOOKUP(A$7:A99,'Job Operations'!$A$4:$AA$304,12,FALSE),"")="Clean and Brake")),_xlpm.sfx,IF(OR(_xlpm.pos=11,_xlpm.pos=12,_xlpm.pos=13),"th",IF(MOD(_xlpm.pos,10)=1,"st",IF(MOD(_xlpm.pos,10)=2,"nd",IF(MOD(_xlpm.pos,10)=3,"rd","th")))),_xlpm.pos&amp;_xlpm.sfx),IF(_xlpm.stn&lt;&gt;"",_xlpm.stn,""))))</f>
        <v/>
      </c>
      <c r="I99" s="69" t="str" cm="1">
        <f t="array" ref="I99">IF(A99="","",_xlfn.LET(_xlpm.stn,IFERROR(VLOOKUP(A99,'Job Operations'!$A$4:$AA$304,12,FALSE),""),IF(_xlpm.stn="Clean and Brake",_xlfn.LET(_xlpm.pos,SUMPRODUCT((A$7:A99&lt;&gt;"")*(IFERROR(VLOOKUP(A$7:A99,'Job Operations'!$A$4:$AA$304,12,FALSE),"")="Clean and Brake")),_xlpm.sfx,IF(OR(_xlpm.pos=11,_xlpm.pos=12,_xlpm.pos=13),"th",IF(MOD(_xlpm.pos,10)=1,"st",IF(MOD(_xlpm.pos,10)=2,"nd",IF(MOD(_xlpm.pos,10)=3,"rd","th")))),_xlpm.pos&amp;_xlpm.sfx),IF(ISNUMBER(MATCH(A99,'AXYZ Titans CNC Schedule'!A$7:A$100,0)),"#"&amp;MATCH(A99,'AXYZ Titans CNC Schedule'!A$7:A$100,0)&amp;" on Titans",IF(ISNUMBER(MATCH(A99,'AXYZ CNC Schedule'!A$7:A$100,0)),"#"&amp;MATCH(A99,'AXYZ CNC Schedule'!A$7:A$100,0)&amp;" on AXYZ",IF(_xlpm.stn&lt;&gt;"",_xlpm.stn,""))))))</f>
        <v/>
      </c>
      <c r="J99" s="70" t="str">
        <f>IF(A99="","",IFERROR(VLOOKUP(A99,'Job Operations'!$A$4:$AA$304,16,FALSE),""))</f>
        <v/>
      </c>
      <c r="K99" s="69" t="str">
        <f>IF(A99="","",IFERROR(VLOOKUP(A99,'Job Operations'!$A$4:$AA$304,17,FALSE),""))</f>
        <v/>
      </c>
      <c r="L99" s="129" t="str">
        <f>IF(A99="","",IF(IFERROR(VLOOKUP(A99,Notes!A:B,2,FALSE),"")=0,"",VLOOKUP(A99,Notes!A:B,2,FALSE)))</f>
        <v/>
      </c>
    </row>
    <row r="100" spans="1:12" x14ac:dyDescent="0.25">
      <c r="A100" s="71"/>
      <c r="B100" s="74" t="str">
        <f>IF(A100="","",IFERROR(VLOOKUP(A100,'Job Operations'!$A$4:$AA$304,2,FALSE),""))</f>
        <v/>
      </c>
      <c r="C100" s="71" t="str">
        <f>IF(A100="","",IFERROR(VLOOKUP(A100,'Job Operations'!$A$4:$AA$304,3,FALSE),""))</f>
        <v/>
      </c>
      <c r="D100" s="71" t="str">
        <f>IF(A100="","",IFERROR(VLOOKUP(A100,'Job Operations'!$A$4:$AA$304,5,FALSE),""))</f>
        <v/>
      </c>
      <c r="E100" s="71" t="str">
        <f>IF(A100="","",IFERROR(VLOOKUP(A100,'Job Operations'!$A$4:$AA$304,6,FALSE),""))</f>
        <v/>
      </c>
      <c r="F100" s="71" t="str">
        <f>IF(A100="","",IFERROR(VLOOKUP(A100,'Job Operations'!$A$4:$AA$304,7,FALSE),""))</f>
        <v/>
      </c>
      <c r="G100" s="72" t="str">
        <f>IF(A100="","",IFERROR(VLOOKUP(A100,'Job Operations'!$A$4:$AA$304,9,FALSE),""))</f>
        <v/>
      </c>
      <c r="H100" s="71" t="str" cm="1">
        <f t="array" ref="H100">IF(A100="","",_xlfn.LET(_xlpm.stn,IFERROR(VLOOKUP(A100,'Job Operations'!$A$4:$AA$304,12,FALSE),""),IF(_xlpm.stn="Clean and Brake",_xlfn.LET(_xlpm.pos,SUMPRODUCT((A$7:A100&lt;&gt;"")*(IFERROR(VLOOKUP(A$7:A100,'Job Operations'!$A$4:$AA$304,12,FALSE),"")="Clean and Brake")),_xlpm.sfx,IF(OR(_xlpm.pos=11,_xlpm.pos=12,_xlpm.pos=13),"th",IF(MOD(_xlpm.pos,10)=1,"st",IF(MOD(_xlpm.pos,10)=2,"nd",IF(MOD(_xlpm.pos,10)=3,"rd","th")))),_xlpm.pos&amp;_xlpm.sfx),IF(_xlpm.stn&lt;&gt;"",_xlpm.stn,""))))</f>
        <v/>
      </c>
      <c r="I100" s="71" t="str" cm="1">
        <f t="array" ref="I100">IF(A100="","",_xlfn.LET(_xlpm.stn,IFERROR(VLOOKUP(A100,'Job Operations'!$A$4:$AA$304,12,FALSE),""),IF(_xlpm.stn="Clean and Brake",_xlfn.LET(_xlpm.pos,SUMPRODUCT((A$7:A100&lt;&gt;"")*(IFERROR(VLOOKUP(A$7:A100,'Job Operations'!$A$4:$AA$304,12,FALSE),"")="Clean and Brake")),_xlpm.sfx,IF(OR(_xlpm.pos=11,_xlpm.pos=12,_xlpm.pos=13),"th",IF(MOD(_xlpm.pos,10)=1,"st",IF(MOD(_xlpm.pos,10)=2,"nd",IF(MOD(_xlpm.pos,10)=3,"rd","th")))),_xlpm.pos&amp;_xlpm.sfx),IF(ISNUMBER(MATCH(A100,'AXYZ Titans CNC Schedule'!A$7:A$100,0)),"#"&amp;MATCH(A100,'AXYZ Titans CNC Schedule'!A$7:A$100,0)&amp;" on Titans",IF(ISNUMBER(MATCH(A100,'AXYZ CNC Schedule'!A$7:A$100,0)),"#"&amp;MATCH(A100,'AXYZ CNC Schedule'!A$7:A$100,0)&amp;" on AXYZ",IF(_xlpm.stn&lt;&gt;"",_xlpm.stn,""))))))</f>
        <v/>
      </c>
      <c r="J100" s="72" t="str">
        <f>IF(A100="","",IFERROR(VLOOKUP(A100,'Job Operations'!$A$4:$AA$304,16,FALSE),""))</f>
        <v/>
      </c>
      <c r="K100" s="71" t="str">
        <f>IF(A100="","",IFERROR(VLOOKUP(A100,'Job Operations'!$A$4:$AA$304,17,FALSE),""))</f>
        <v/>
      </c>
      <c r="L100" s="130" t="str">
        <f>IF(A100="","",IF(IFERROR(VLOOKUP(A100,Notes!A:B,2,FALSE),"")=0,"",VLOOKUP(A100,Notes!A:B,2,FALSE)))</f>
        <v/>
      </c>
    </row>
  </sheetData>
  <mergeCells count="2">
    <mergeCell ref="A4:J4"/>
    <mergeCell ref="A5:J5"/>
  </mergeCells>
  <conditionalFormatting sqref="A7:L100">
    <cfRule type="expression" dxfId="61" priority="41">
      <formula>AND($D$1&lt;&gt;"", $A7=$D$1)</formula>
    </cfRule>
    <cfRule type="expression" dxfId="60" priority="42">
      <formula>AND($A7&lt;&gt;"", OR(LEFT($I7,1)="1", LEFT($I7,1)="2", LEFT($I7,1)="3", LEFT($I7,1)="4", LEFT($I7,1)="5", LEFT($I7,1)="6", LEFT($I7,1)="7", LEFT($I7,1)="8", LEFT($I7,1)="9"))</formula>
    </cfRule>
    <cfRule type="expression" dxfId="59" priority="43">
      <formula>AND($A7&lt;&gt;"", $J7&lt;TODAY(), $G7&gt;=TODAY())</formula>
    </cfRule>
    <cfRule type="expression" dxfId="58" priority="44">
      <formula>AND($A7&lt;&gt;"", $J7&lt;TODAY(), $G7&lt;TODAY())</formula>
    </cfRule>
  </conditionalFormatting>
  <conditionalFormatting sqref="D1">
    <cfRule type="expression" dxfId="57" priority="34">
      <formula>D1="🔴 LATE"</formula>
    </cfRule>
    <cfRule type="expression" dxfId="56" priority="35">
      <formula>D1="🟢 ON TIME"</formula>
    </cfRule>
  </conditionalFormatting>
  <conditionalFormatting sqref="E1">
    <cfRule type="containsText" dxfId="55" priority="39" operator="containsText" text="LATE">
      <formula>NOT(ISERROR(SEARCH("LATE",E1)))</formula>
    </cfRule>
    <cfRule type="containsText" dxfId="54" priority="40" operator="containsText" text="ON TIME">
      <formula>NOT(ISERROR(SEARCH("ON TIME",E1)))</formula>
    </cfRule>
  </conditionalFormatting>
  <dataValidations count="1">
    <dataValidation type="list" errorStyle="warning" allowBlank="1" showInputMessage="1" showErrorMessage="1" errorTitle="Job ID" error="ID not found in list. Continue anyway?" sqref="D1" xr:uid="{383D2EC7-7CCD-4259-BF58-66043C3D0069}">
      <formula1>AllJobIDs</formula1>
    </dataValidation>
  </dataValidation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7AC0B-6A35-413D-816F-CBEBB9A54898}">
  <sheetPr>
    <tabColor rgb="FFC8A855"/>
  </sheetPr>
  <dimension ref="A1:M100"/>
  <sheetViews>
    <sheetView zoomScaleNormal="100" workbookViewId="0">
      <pane ySplit="6" topLeftCell="A17" activePane="bottomLeft" state="frozen"/>
      <selection pane="bottomLeft" activeCell="C16" sqref="C16"/>
    </sheetView>
  </sheetViews>
  <sheetFormatPr defaultRowHeight="15" x14ac:dyDescent="0.25"/>
  <cols>
    <col min="1" max="1" width="16" customWidth="1"/>
    <col min="2" max="2" width="26.7109375" customWidth="1"/>
    <col min="3" max="3" width="17.85546875" customWidth="1"/>
    <col min="4" max="5" width="13.28515625" customWidth="1"/>
    <col min="6" max="6" width="18.7109375" customWidth="1"/>
    <col min="7" max="7" width="16" customWidth="1"/>
    <col min="8" max="8" width="17.7109375" customWidth="1"/>
    <col min="9" max="9" width="16" customWidth="1"/>
    <col min="10" max="10" width="14.140625" customWidth="1"/>
    <col min="11" max="11" width="14.5703125" customWidth="1"/>
    <col min="12" max="12" width="17.28515625" customWidth="1"/>
    <col min="13" max="13" width="64.85546875" style="173" customWidth="1"/>
  </cols>
  <sheetData>
    <row r="1" spans="1:13" ht="39.950000000000003" customHeight="1" x14ac:dyDescent="0.25">
      <c r="A1" s="159"/>
      <c r="B1" s="79"/>
      <c r="C1" s="83" t="s">
        <v>2735</v>
      </c>
      <c r="D1" s="63" t="s">
        <v>1565</v>
      </c>
      <c r="E1" s="77" t="str">
        <f ca="1">IF(D1="","",IF(IFERROR(VLOOKUP(D1,'Job Operations'!A:Y,25,FALSE),"")="","❌ NOT FOUND",IF(VLOOKUP(D1,'Job Operations'!A:Y,25,FALSE)&lt;TODAY(),"🔴 LATE","🟢 ON TIME")))</f>
        <v>🔴 LATE</v>
      </c>
      <c r="F1" s="77" t="str">
        <f>IF(D1="","",IFERROR(VLOOKUP(D1,'Job Operations'!A:B,2,FALSE),""))</f>
        <v>TN Titans Stadium</v>
      </c>
      <c r="G1" s="77" t="str">
        <f>IF(D1="","",IFERROR("Ship: "&amp;TEXT(VLOOKUP(D1,'Job Operations'!A:I,9,FALSE),"mm/dd/yyyy"),""))</f>
        <v>Ship: 03/16/2026</v>
      </c>
      <c r="H1" s="77" t="str">
        <f>IF(D1="","",IFERROR("Station: "&amp;VLOOKUP(D1,'Job Operations'!A:L,12,FALSE),""))</f>
        <v>Station: LO</v>
      </c>
      <c r="I1" s="77"/>
      <c r="J1" s="77"/>
      <c r="K1" s="77"/>
      <c r="L1" s="77"/>
      <c r="M1" s="162"/>
    </row>
    <row r="2" spans="1:13" ht="5.0999999999999996" customHeight="1" x14ac:dyDescent="0.25">
      <c r="A2" s="160"/>
      <c r="B2" s="8"/>
      <c r="C2" s="8"/>
      <c r="D2" s="8"/>
      <c r="E2" s="8"/>
      <c r="F2" s="8"/>
      <c r="G2" s="8"/>
      <c r="H2" s="8"/>
      <c r="I2" s="8"/>
      <c r="J2" s="8"/>
      <c r="K2" s="8"/>
      <c r="L2" s="8"/>
      <c r="M2" s="163"/>
    </row>
    <row r="3" spans="1:13" ht="5.0999999999999996" customHeight="1" x14ac:dyDescent="0.25">
      <c r="A3" s="160"/>
      <c r="B3" s="8"/>
      <c r="C3" s="8"/>
      <c r="D3" s="8"/>
      <c r="E3" s="8"/>
      <c r="F3" s="8"/>
      <c r="G3" s="8"/>
      <c r="H3" s="8"/>
      <c r="I3" s="8"/>
      <c r="J3" s="8"/>
      <c r="K3" s="8"/>
      <c r="L3" s="8"/>
      <c r="M3" s="163"/>
    </row>
    <row r="4" spans="1:13" ht="24.95" customHeight="1" x14ac:dyDescent="0.3">
      <c r="A4" s="294" t="s">
        <v>2756</v>
      </c>
      <c r="B4" s="295"/>
      <c r="C4" s="295"/>
      <c r="D4" s="295"/>
      <c r="E4" s="295"/>
      <c r="F4" s="295"/>
      <c r="G4" s="295"/>
      <c r="H4" s="295"/>
      <c r="I4" s="295"/>
      <c r="J4" s="295"/>
      <c r="K4" s="295"/>
      <c r="L4" s="295"/>
      <c r="M4" s="164"/>
    </row>
    <row r="5" spans="1:13" ht="24.95" customHeight="1" x14ac:dyDescent="0.25">
      <c r="A5" s="296" t="s">
        <v>2757</v>
      </c>
      <c r="B5" s="295"/>
      <c r="C5" s="295"/>
      <c r="D5" s="295"/>
      <c r="E5" s="295"/>
      <c r="F5" s="295"/>
      <c r="G5" s="295"/>
      <c r="H5" s="295"/>
      <c r="I5" s="295"/>
      <c r="J5" s="295"/>
      <c r="K5" s="295"/>
      <c r="L5" s="295"/>
      <c r="M5" s="164"/>
    </row>
    <row r="6" spans="1:13" ht="21.95" customHeight="1" thickBot="1" x14ac:dyDescent="0.3">
      <c r="A6" s="116" t="s">
        <v>1</v>
      </c>
      <c r="B6" s="117" t="s">
        <v>3</v>
      </c>
      <c r="C6" s="117" t="s">
        <v>5</v>
      </c>
      <c r="D6" s="117" t="s">
        <v>17</v>
      </c>
      <c r="E6" s="117" t="s">
        <v>18</v>
      </c>
      <c r="F6" s="117" t="s">
        <v>25</v>
      </c>
      <c r="G6" s="117" t="s">
        <v>54</v>
      </c>
      <c r="H6" s="117" t="s">
        <v>2738</v>
      </c>
      <c r="I6" s="117" t="s">
        <v>2746</v>
      </c>
      <c r="J6" s="117" t="s">
        <v>2758</v>
      </c>
      <c r="K6" s="117" t="s">
        <v>2759</v>
      </c>
      <c r="L6" s="117" t="s">
        <v>2760</v>
      </c>
      <c r="M6" s="165" t="s">
        <v>2742</v>
      </c>
    </row>
    <row r="7" spans="1:13" ht="75" x14ac:dyDescent="0.25">
      <c r="A7" s="111" t="str" cm="1">
        <f t="array" ref="A7:A91">IFERROR(_xlfn.SORTBY(_xlfn._xlws.FILTER('Job Operations'!A5:A304,('Job Operations'!A5:A304&lt;&gt;"")*('Job Operations'!AA5:AA304=1)*(('Job Operations'!M5:M304="Fab")+('Job Operations'!O5:O304="Fab")+('Job Operations'!Q5:Q304="Fab")+('Job Operations'!S5:S304="Fab")+('Job Operations'!U5:U304="Fab")+('Job Operations'!W5:W304="Fab")&gt;0)*('Job Operations'!L5:L304&lt;&gt;"Crating")*('Job Operations'!L5:L304&lt;&gt;"QC")*('Job Operations'!L5:L304&lt;&gt;"Ready to Ship")*('Job Operations'!L5:L304&lt;&gt;"RTS Titans")*('Job Operations'!L5:L304&lt;&gt;"Shipped")*('Job Operations'!L5:L304&lt;&gt;"Shipped To Painter")*('Job Operations'!L5:L304&lt;&gt;"Partially Shipped")),_xlfn._xlws.FILTER('Job Operations'!R5:R304,('Job Operations'!A5:A304&lt;&gt;"")*('Job Operations'!AA5:AA304=1)*(('Job Operations'!M5:M304="Fab")+('Job Operations'!O5:O304="Fab")+('Job Operations'!Q5:Q304="Fab")+('Job Operations'!S5:S304="Fab")+('Job Operations'!U5:U304="Fab")+('Job Operations'!W5:W304="Fab")&gt;0)*('Job Operations'!L5:L304&lt;&gt;"Crating")*('Job Operations'!L5:L304&lt;&gt;"QC")*('Job Operations'!L5:L304&lt;&gt;"Ready to Ship")*('Job Operations'!L5:L304&lt;&gt;"RTS Titans")*('Job Operations'!L5:L304&lt;&gt;"Shipped")*('Job Operations'!L5:L304&lt;&gt;"Shipped To Painter")*('Job Operations'!L5:L304&lt;&gt;"Partially Shipped")),1),"")</f>
        <v>25002-FS11.1</v>
      </c>
      <c r="B7" s="112" t="str">
        <f>IF(A7="","",IFERROR(VLOOKUP(A7,'Job Operations'!$A$4:$AA$304,2,FALSE),""))</f>
        <v>Med Center Health</v>
      </c>
      <c r="C7" s="113" t="str">
        <f>IF(A7="","",IFERROR(VLOOKUP(A7,'Job Operations'!$A$4:$AA$304,3,FALSE),""))</f>
        <v>Carlos Silva</v>
      </c>
      <c r="D7" s="113">
        <f>IF(A7="","",IFERROR(VLOOKUP(A7,'Job Operations'!$A$4:$AA$304,5,FALSE),""))</f>
        <v>18</v>
      </c>
      <c r="E7" s="113">
        <f>IF(A7="","",IFERROR(VLOOKUP(A7,'Job Operations'!$A$4:$AA$304,6,FALSE),""))</f>
        <v>18</v>
      </c>
      <c r="F7" s="113" t="str">
        <f>IF(A7="","",IFERROR(VLOOKUP(A7,'Job Operations'!$A$4:$AA$304,7,FALSE),""))</f>
        <v>FR ACM</v>
      </c>
      <c r="G7" s="114">
        <f>IF(A7="","",IFERROR(VLOOKUP(A7,'Job Operations'!$A$4:$AA$304,9,FALSE),""))</f>
        <v>46083</v>
      </c>
      <c r="H7" s="113" t="str" cm="1">
        <f t="array" ref="H7">IF(A7="","",_xlfn.LET(_xlpm.stn,IFERROR(VLOOKUP(A7,'Job Operations'!$A$4:$AA$304,12,FALSE),""),IF(OR(_xlpm.stn="Fabrication",_xlpm.stn="Fab"),_xlfn.LET(_xlpm.pos,SUMPRODUCT((A$7:A7&lt;&gt;"")*(IFERROR(VLOOKUP(A$7:A7,'Job Operations'!$A$4:$AA$304,12,FALSE),"")="Fabrication")+(A$7:A7&lt;&gt;"")*(IFERROR(VLOOKUP(A$7:A7,'Job Operations'!$A$4:$AA$304,12,FALSE),"")="Fab")),_xlpm.sfx,IF(OR(_xlpm.pos=11,_xlpm.pos=12,_xlpm.pos=13),"th",IF(MOD(_xlpm.pos,10)=1,"st",IF(MOD(_xlpm.pos,10)=2,"nd",IF(MOD(_xlpm.pos,10)=3,"rd","th")))),_xlpm.pos&amp;_xlpm.sfx),IF(_xlpm.stn&lt;&gt;"",_xlpm.stn,""))))</f>
        <v>Clean and Brake</v>
      </c>
      <c r="I7" s="113" t="str" cm="1">
        <f t="array" ref="I7">IF(A7="","",_xlfn.LET(_xlpm.stn,IFERROR(VLOOKUP(A7,'Job Operations'!$A$4:$AA$304,12,FALSE),""),IF(OR(_xlpm.stn="Fabrication",_xlpm.stn="Fab"),_xlfn.LET(_xlpm.pos,SUMPRODUCT((A$7:A7&lt;&gt;"")*(IFERROR(VLOOKUP(A$7:A7,'Job Operations'!$A$4:$AA$304,12,FALSE),"")="Fabrication")+(A$7:A7&lt;&gt;"")*(IFERROR(VLOOKUP(A$7:A7,'Job Operations'!$A$4:$AA$304,12,FALSE),"")="Fab")),_xlpm.sfx,IF(OR(_xlpm.pos=11,_xlpm.pos=12,_xlpm.pos=13),"th",IF(MOD(_xlpm.pos,10)=1,"st",IF(MOD(_xlpm.pos,10)=2,"nd",IF(MOD(_xlpm.pos,10)=3,"rd","th")))),_xlpm.pos&amp;_xlpm.sfx),IF(ISNUMBER(MATCH(A7,'Clean and Brake Schedule'!A$7:A$100,0)),"#"&amp;MATCH(A7,'Clean and Brake Schedule'!A$7:A$100,0)&amp;" on C&amp;B",IF(ISNUMBER(MATCH(A7,'AXYZ Titans CNC Schedule'!A$7:A$100,0)),"#"&amp;MATCH(A7,'AXYZ Titans CNC Schedule'!A$7:A$100,0)&amp;" on Titans",IF(ISNUMBER(MATCH(A7,'AXYZ CNC Schedule'!A$7:A$100,0)),"#"&amp;MATCH(A7,'AXYZ CNC Schedule'!A$7:A$100,0)&amp;" on AXYZ",IF(_xlpm.stn&lt;&gt;"",_xlpm.stn,"")))))))</f>
        <v>#1 on C&amp;B</v>
      </c>
      <c r="J7" s="114">
        <f>IF(A7="","",IFERROR(VLOOKUP(A7,'Job Operations'!$A$4:$AA$304,18,FALSE),""))</f>
        <v>46070</v>
      </c>
      <c r="K7" s="113" t="str">
        <f>IF(A7="","",IFERROR(VLOOKUP(A7,'Job Operations'!$A$4:$AA$304,13,FALSE),""))</f>
        <v>AXYZ Titans Line</v>
      </c>
      <c r="L7" s="113" t="str">
        <f>IF(A7="","",IFERROR(VLOOKUP(A7,'Job Operations'!$A$4:$AA$304,15,FALSE),""))</f>
        <v>Clean and Brake</v>
      </c>
      <c r="M7" s="166" t="str">
        <f>IF(A7="","",IF(IFERROR(VLOOKUP(A7,Notes!A:B,2,FALSE),"")=0,"",VLOOKUP(A7,Notes!A:B,2,FALSE)))</f>
        <v>Received Radius Templete, waiting for Roller Maint.**03/23 Roller should be back up this morning*03/24 Roller still down AM*03/26…C&amp;B*03/27…Still at C&amp;B needs to roll then back to C&amp;B*03/31…No Update*04/02…Roller still down.*04/09…Roller still down.*04/16/2026…Clean and Brake</v>
      </c>
    </row>
    <row r="8" spans="1:13" x14ac:dyDescent="0.25">
      <c r="A8" s="103" t="str">
        <v>24051-FS223</v>
      </c>
      <c r="B8" s="104" t="str">
        <f>IF(A8="","",IFERROR(VLOOKUP(A8,'Job Operations'!$A$4:$AA$304,2,FALSE),""))</f>
        <v>TN Titans Stadium</v>
      </c>
      <c r="C8" s="105" t="str">
        <f>IF(A8="","",IFERROR(VLOOKUP(A8,'Job Operations'!$A$4:$AA$304,3,FALSE),""))</f>
        <v>Marc Ribar</v>
      </c>
      <c r="D8" s="105">
        <f>IF(A8="","",IFERROR(VLOOKUP(A8,'Job Operations'!$A$4:$AA$304,5,FALSE),""))</f>
        <v>44</v>
      </c>
      <c r="E8" s="105">
        <f>IF(A8="","",IFERROR(VLOOKUP(A8,'Job Operations'!$A$4:$AA$304,6,FALSE),""))</f>
        <v>90</v>
      </c>
      <c r="F8" s="105" t="str">
        <f>IF(A8="","",IFERROR(VLOOKUP(A8,'Job Operations'!$A$4:$AA$304,7,FALSE),""))</f>
        <v>FR ACM</v>
      </c>
      <c r="G8" s="106">
        <f>IF(A8="","",IFERROR(VLOOKUP(A8,'Job Operations'!$A$4:$AA$304,9,FALSE),""))</f>
        <v>46097</v>
      </c>
      <c r="H8" s="105" t="str" cm="1">
        <f t="array" ref="H8">IF(A8="","",_xlfn.LET(_xlpm.stn,IFERROR(VLOOKUP(A8,'Job Operations'!$A$4:$AA$304,12,FALSE),""),IF(OR(_xlpm.stn="Fabrication",_xlpm.stn="Fab"),_xlfn.LET(_xlpm.pos,SUMPRODUCT((A$7:A8&lt;&gt;"")*(IFERROR(VLOOKUP(A$7:A8,'Job Operations'!$A$4:$AA$304,12,FALSE),"")="Fabrication")+(A$7:A8&lt;&gt;"")*(IFERROR(VLOOKUP(A$7:A8,'Job Operations'!$A$4:$AA$304,12,FALSE),"")="Fab")),_xlpm.sfx,IF(OR(_xlpm.pos=11,_xlpm.pos=12,_xlpm.pos=13),"th",IF(MOD(_xlpm.pos,10)=1,"st",IF(MOD(_xlpm.pos,10)=2,"nd",IF(MOD(_xlpm.pos,10)=3,"rd","th")))),_xlpm.pos&amp;_xlpm.sfx),IF(_xlpm.stn&lt;&gt;"",_xlpm.stn,""))))</f>
        <v>Clean and Brake</v>
      </c>
      <c r="I8" s="105" t="str" cm="1">
        <f t="array" ref="I8">IF(A8="","",_xlfn.LET(_xlpm.stn,IFERROR(VLOOKUP(A8,'Job Operations'!$A$4:$AA$304,12,FALSE),""),IF(OR(_xlpm.stn="Fabrication",_xlpm.stn="Fab"),_xlfn.LET(_xlpm.pos,SUMPRODUCT((A$7:A8&lt;&gt;"")*(IFERROR(VLOOKUP(A$7:A8,'Job Operations'!$A$4:$AA$304,12,FALSE),"")="Fabrication")+(A$7:A8&lt;&gt;"")*(IFERROR(VLOOKUP(A$7:A8,'Job Operations'!$A$4:$AA$304,12,FALSE),"")="Fab")),_xlpm.sfx,IF(OR(_xlpm.pos=11,_xlpm.pos=12,_xlpm.pos=13),"th",IF(MOD(_xlpm.pos,10)=1,"st",IF(MOD(_xlpm.pos,10)=2,"nd",IF(MOD(_xlpm.pos,10)=3,"rd","th")))),_xlpm.pos&amp;_xlpm.sfx),IF(ISNUMBER(MATCH(A8,'Clean and Brake Schedule'!A$7:A$100,0)),"#"&amp;MATCH(A8,'Clean and Brake Schedule'!A$7:A$100,0)&amp;" on C&amp;B",IF(ISNUMBER(MATCH(A8,'AXYZ Titans CNC Schedule'!A$7:A$100,0)),"#"&amp;MATCH(A8,'AXYZ Titans CNC Schedule'!A$7:A$100,0)&amp;" on Titans",IF(ISNUMBER(MATCH(A8,'AXYZ CNC Schedule'!A$7:A$100,0)),"#"&amp;MATCH(A8,'AXYZ CNC Schedule'!A$7:A$100,0)&amp;" on AXYZ",IF(_xlpm.stn&lt;&gt;"",_xlpm.stn,"")))))))</f>
        <v>#2 on C&amp;B</v>
      </c>
      <c r="J8" s="106">
        <f>IF(A8="","",IFERROR(VLOOKUP(A8,'Job Operations'!$A$4:$AA$304,18,FALSE),""))</f>
        <v>46084</v>
      </c>
      <c r="K8" s="105" t="str">
        <f>IF(A8="","",IFERROR(VLOOKUP(A8,'Job Operations'!$A$4:$AA$304,13,FALSE),""))</f>
        <v>AXYZ Titans Line</v>
      </c>
      <c r="L8" s="105" t="str">
        <f>IF(A8="","",IFERROR(VLOOKUP(A8,'Job Operations'!$A$4:$AA$304,15,FALSE),""))</f>
        <v>Clean and Brake</v>
      </c>
      <c r="M8" s="167" t="str">
        <f>IF(A8="","",IF(IFERROR(VLOOKUP(A8,Notes!A:B,2,FALSE),"")=0,"",VLOOKUP(A8,Notes!A:B,2,FALSE)))</f>
        <v>03/23...Next for Titans--1 of 3 still late*03/24 Corrections*03/26…Titans line*03/30…Affected by Roller being down.  Panals too large to run in small roller.*03/31…No update*04/02…Roller still down.*04/09…Roller still down.*04/16/2026…Clean and Brake</v>
      </c>
    </row>
    <row r="9" spans="1:13" ht="60" x14ac:dyDescent="0.25">
      <c r="A9" s="98" t="str">
        <v>24079-FS102</v>
      </c>
      <c r="B9" s="99" t="str">
        <f>IF(A9="","",IFERROR(VLOOKUP(A9,'Job Operations'!$A$4:$AA$304,2,FALSE),""))</f>
        <v>Nashville Youth Campus</v>
      </c>
      <c r="C9" s="100" t="str">
        <f>IF(A9="","",IFERROR(VLOOKUP(A9,'Job Operations'!$A$4:$AA$304,3,FALSE),""))</f>
        <v>Joe Hoyle</v>
      </c>
      <c r="D9" s="100">
        <f>IF(A9="","",IFERROR(VLOOKUP(A9,'Job Operations'!$A$4:$AA$304,5,FALSE),""))</f>
        <v>192</v>
      </c>
      <c r="E9" s="100">
        <f>IF(A9="","",IFERROR(VLOOKUP(A9,'Job Operations'!$A$4:$AA$304,6,FALSE),""))</f>
        <v>198</v>
      </c>
      <c r="F9" s="100" t="str">
        <f>IF(A9="","",IFERROR(VLOOKUP(A9,'Job Operations'!$A$4:$AA$304,7,FALSE),""))</f>
        <v>FR ACM</v>
      </c>
      <c r="G9" s="101">
        <f>IF(A9="","",IFERROR(VLOOKUP(A9,'Job Operations'!$A$4:$AA$304,9,FALSE),""))</f>
        <v>46097</v>
      </c>
      <c r="H9" s="100" t="str" cm="1">
        <f t="array" ref="H9">IF(A9="","",_xlfn.LET(_xlpm.stn,IFERROR(VLOOKUP(A9,'Job Operations'!$A$4:$AA$304,12,FALSE),""),IF(OR(_xlpm.stn="Fabrication",_xlpm.stn="Fab"),_xlfn.LET(_xlpm.pos,SUMPRODUCT((A$7:A9&lt;&gt;"")*(IFERROR(VLOOKUP(A$7:A9,'Job Operations'!$A$4:$AA$304,12,FALSE),"")="Fabrication")+(A$7:A9&lt;&gt;"")*(IFERROR(VLOOKUP(A$7:A9,'Job Operations'!$A$4:$AA$304,12,FALSE),"")="Fab")),_xlpm.sfx,IF(OR(_xlpm.pos=11,_xlpm.pos=12,_xlpm.pos=13),"th",IF(MOD(_xlpm.pos,10)=1,"st",IF(MOD(_xlpm.pos,10)=2,"nd",IF(MOD(_xlpm.pos,10)=3,"rd","th")))),_xlpm.pos&amp;_xlpm.sfx),IF(_xlpm.stn&lt;&gt;"",_xlpm.stn,""))))</f>
        <v>Sketch Check</v>
      </c>
      <c r="I9" s="100" t="str" cm="1">
        <f t="array" ref="I9">IF(A9="","",_xlfn.LET(_xlpm.stn,IFERROR(VLOOKUP(A9,'Job Operations'!$A$4:$AA$304,12,FALSE),""),IF(OR(_xlpm.stn="Fabrication",_xlpm.stn="Fab"),_xlfn.LET(_xlpm.pos,SUMPRODUCT((A$7:A9&lt;&gt;"")*(IFERROR(VLOOKUP(A$7:A9,'Job Operations'!$A$4:$AA$304,12,FALSE),"")="Fabrication")+(A$7:A9&lt;&gt;"")*(IFERROR(VLOOKUP(A$7:A9,'Job Operations'!$A$4:$AA$304,12,FALSE),"")="Fab")),_xlpm.sfx,IF(OR(_xlpm.pos=11,_xlpm.pos=12,_xlpm.pos=13),"th",IF(MOD(_xlpm.pos,10)=1,"st",IF(MOD(_xlpm.pos,10)=2,"nd",IF(MOD(_xlpm.pos,10)=3,"rd","th")))),_xlpm.pos&amp;_xlpm.sfx),IF(ISNUMBER(MATCH(A9,'Clean and Brake Schedule'!A$7:A$100,0)),"#"&amp;MATCH(A9,'Clean and Brake Schedule'!A$7:A$100,0)&amp;" on C&amp;B",IF(ISNUMBER(MATCH(A9,'AXYZ Titans CNC Schedule'!A$7:A$100,0)),"#"&amp;MATCH(A9,'AXYZ Titans CNC Schedule'!A$7:A$100,0)&amp;" on Titans",IF(ISNUMBER(MATCH(A9,'AXYZ CNC Schedule'!A$7:A$100,0)),"#"&amp;MATCH(A9,'AXYZ CNC Schedule'!A$7:A$100,0)&amp;" on AXYZ",IF(_xlpm.stn&lt;&gt;"",_xlpm.stn,"")))))))</f>
        <v>#3 on C&amp;B</v>
      </c>
      <c r="J9" s="101">
        <f>IF(A9="","",IFERROR(VLOOKUP(A9,'Job Operations'!$A$4:$AA$304,18,FALSE),""))</f>
        <v>46084</v>
      </c>
      <c r="K9" s="100" t="str">
        <f>IF(A9="","",IFERROR(VLOOKUP(A9,'Job Operations'!$A$4:$AA$304,13,FALSE),""))</f>
        <v>AXYZ Titans Line</v>
      </c>
      <c r="L9" s="100" t="str">
        <f>IF(A9="","",IFERROR(VLOOKUP(A9,'Job Operations'!$A$4:$AA$304,15,FALSE),""))</f>
        <v>Clean and Brake</v>
      </c>
      <c r="M9" s="168" t="str">
        <f>IF(A9="","",IF(IFERROR(VLOOKUP(A9,Notes!A:B,2,FALSE),"")=0,"",VLOOKUP(A9,Notes!A:B,2,FALSE)))</f>
        <v>04/16/2026…Sketch Check</v>
      </c>
    </row>
    <row r="10" spans="1:13" x14ac:dyDescent="0.25">
      <c r="A10" s="103" t="str">
        <v>24079-FS102.1</v>
      </c>
      <c r="B10" s="104" t="str">
        <f>IF(A10="","",IFERROR(VLOOKUP(A10,'Job Operations'!$A$4:$AA$304,2,FALSE),""))</f>
        <v>Nashville Youth Campus</v>
      </c>
      <c r="C10" s="105" t="str">
        <f>IF(A10="","",IFERROR(VLOOKUP(A10,'Job Operations'!$A$4:$AA$304,3,FALSE),""))</f>
        <v>Joe Hoyle</v>
      </c>
      <c r="D10" s="105">
        <f>IF(A10="","",IFERROR(VLOOKUP(A10,'Job Operations'!$A$4:$AA$304,5,FALSE),""))</f>
        <v>308</v>
      </c>
      <c r="E10" s="105">
        <f>IF(A10="","",IFERROR(VLOOKUP(A10,'Job Operations'!$A$4:$AA$304,6,FALSE),""))</f>
        <v>0</v>
      </c>
      <c r="F10" s="105" t="str">
        <f>IF(A10="","",IFERROR(VLOOKUP(A10,'Job Operations'!$A$4:$AA$304,7,FALSE),""))</f>
        <v>FR ACM</v>
      </c>
      <c r="G10" s="106">
        <f>IF(A10="","",IFERROR(VLOOKUP(A10,'Job Operations'!$A$4:$AA$304,9,FALSE),""))</f>
        <v>46097</v>
      </c>
      <c r="H10" s="105" t="str" cm="1">
        <f t="array" ref="H10">IF(A10="","",_xlfn.LET(_xlpm.stn,IFERROR(VLOOKUP(A10,'Job Operations'!$A$4:$AA$304,12,FALSE),""),IF(OR(_xlpm.stn="Fabrication",_xlpm.stn="Fab"),_xlfn.LET(_xlpm.pos,SUMPRODUCT((A$7:A10&lt;&gt;"")*(IFERROR(VLOOKUP(A$7:A10,'Job Operations'!$A$4:$AA$304,12,FALSE),"")="Fabrication")+(A$7:A10&lt;&gt;"")*(IFERROR(VLOOKUP(A$7:A10,'Job Operations'!$A$4:$AA$304,12,FALSE),"")="Fab")),_xlpm.sfx,IF(OR(_xlpm.pos=11,_xlpm.pos=12,_xlpm.pos=13),"th",IF(MOD(_xlpm.pos,10)=1,"st",IF(MOD(_xlpm.pos,10)=2,"nd",IF(MOD(_xlpm.pos,10)=3,"rd","th")))),_xlpm.pos&amp;_xlpm.sfx),IF(_xlpm.stn&lt;&gt;"",_xlpm.stn,""))))</f>
        <v>Sketch</v>
      </c>
      <c r="I10" s="105" t="str" cm="1">
        <f t="array" ref="I10">IF(A10="","",_xlfn.LET(_xlpm.stn,IFERROR(VLOOKUP(A10,'Job Operations'!$A$4:$AA$304,12,FALSE),""),IF(OR(_xlpm.stn="Fabrication",_xlpm.stn="Fab"),_xlfn.LET(_xlpm.pos,SUMPRODUCT((A$7:A10&lt;&gt;"")*(IFERROR(VLOOKUP(A$7:A10,'Job Operations'!$A$4:$AA$304,12,FALSE),"")="Fabrication")+(A$7:A10&lt;&gt;"")*(IFERROR(VLOOKUP(A$7:A10,'Job Operations'!$A$4:$AA$304,12,FALSE),"")="Fab")),_xlpm.sfx,IF(OR(_xlpm.pos=11,_xlpm.pos=12,_xlpm.pos=13),"th",IF(MOD(_xlpm.pos,10)=1,"st",IF(MOD(_xlpm.pos,10)=2,"nd",IF(MOD(_xlpm.pos,10)=3,"rd","th")))),_xlpm.pos&amp;_xlpm.sfx),IF(ISNUMBER(MATCH(A10,'Clean and Brake Schedule'!A$7:A$100,0)),"#"&amp;MATCH(A10,'Clean and Brake Schedule'!A$7:A$100,0)&amp;" on C&amp;B",IF(ISNUMBER(MATCH(A10,'AXYZ Titans CNC Schedule'!A$7:A$100,0)),"#"&amp;MATCH(A10,'AXYZ Titans CNC Schedule'!A$7:A$100,0)&amp;" on Titans",IF(ISNUMBER(MATCH(A10,'AXYZ CNC Schedule'!A$7:A$100,0)),"#"&amp;MATCH(A10,'AXYZ CNC Schedule'!A$7:A$100,0)&amp;" on AXYZ",IF(_xlpm.stn&lt;&gt;"",_xlpm.stn,"")))))))</f>
        <v>#4 on C&amp;B</v>
      </c>
      <c r="J10" s="106">
        <f>IF(A10="","",IFERROR(VLOOKUP(A10,'Job Operations'!$A$4:$AA$304,18,FALSE),""))</f>
        <v>46084</v>
      </c>
      <c r="K10" s="105" t="str">
        <f>IF(A10="","",IFERROR(VLOOKUP(A10,'Job Operations'!$A$4:$AA$304,13,FALSE),""))</f>
        <v>AXYZ Titans Line</v>
      </c>
      <c r="L10" s="105" t="str">
        <f>IF(A10="","",IFERROR(VLOOKUP(A10,'Job Operations'!$A$4:$AA$304,15,FALSE),""))</f>
        <v>Clean and Brake</v>
      </c>
      <c r="M10" s="167" t="str">
        <f>IF(A10="","",IF(IFERROR(VLOOKUP(A10,Notes!A:B,2,FALSE),"")=0,"",VLOOKUP(A10,Notes!A:B,2,FALSE)))</f>
        <v>04/16/2026…Sketch</v>
      </c>
    </row>
    <row r="11" spans="1:13" x14ac:dyDescent="0.25">
      <c r="A11" s="98" t="str">
        <v>25005-ST02</v>
      </c>
      <c r="B11" s="99" t="str">
        <f>IF(A11="","",IFERROR(VLOOKUP(A11,'Job Operations'!$A$4:$AA$304,2,FALSE),""))</f>
        <v>CAT Financial Nashville HQ</v>
      </c>
      <c r="C11" s="100" t="str">
        <f>IF(A11="","",IFERROR(VLOOKUP(A11,'Job Operations'!$A$4:$AA$304,3,FALSE),""))</f>
        <v>Chris Buttrey</v>
      </c>
      <c r="D11" s="100">
        <f>IF(A11="","",IFERROR(VLOOKUP(A11,'Job Operations'!$A$4:$AA$304,5,FALSE),""))</f>
        <v>0</v>
      </c>
      <c r="E11" s="100">
        <f>IF(A11="","",IFERROR(VLOOKUP(A11,'Job Operations'!$A$4:$AA$304,6,FALSE),""))</f>
        <v>4</v>
      </c>
      <c r="F11" s="100" t="str">
        <f>IF(A11="","",IFERROR(VLOOKUP(A11,'Job Operations'!$A$4:$AA$304,7,FALSE),""))</f>
        <v>Steel Sheet</v>
      </c>
      <c r="G11" s="101">
        <f>IF(A11="","",IFERROR(VLOOKUP(A11,'Job Operations'!$A$4:$AA$304,9,FALSE),""))</f>
        <v>46125</v>
      </c>
      <c r="H11" s="100" t="str" cm="1">
        <f t="array" ref="H11">IF(A11="","",_xlfn.LET(_xlpm.stn,IFERROR(VLOOKUP(A11,'Job Operations'!$A$4:$AA$304,12,FALSE),""),IF(OR(_xlpm.stn="Fabrication",_xlpm.stn="Fab"),_xlfn.LET(_xlpm.pos,SUMPRODUCT((A$7:A11&lt;&gt;"")*(IFERROR(VLOOKUP(A$7:A11,'Job Operations'!$A$4:$AA$304,12,FALSE),"")="Fabrication")+(A$7:A11&lt;&gt;"")*(IFERROR(VLOOKUP(A$7:A11,'Job Operations'!$A$4:$AA$304,12,FALSE),"")="Fab")),_xlpm.sfx,IF(OR(_xlpm.pos=11,_xlpm.pos=12,_xlpm.pos=13),"th",IF(MOD(_xlpm.pos,10)=1,"st",IF(MOD(_xlpm.pos,10)=2,"nd",IF(MOD(_xlpm.pos,10)=3,"rd","th")))),_xlpm.pos&amp;_xlpm.sfx),IF(_xlpm.stn&lt;&gt;"",_xlpm.stn,""))))</f>
        <v>TruLaser 3040</v>
      </c>
      <c r="I11" s="100" t="str" cm="1">
        <f t="array" ref="I11">IF(A11="","",_xlfn.LET(_xlpm.stn,IFERROR(VLOOKUP(A11,'Job Operations'!$A$4:$AA$304,12,FALSE),""),IF(OR(_xlpm.stn="Fabrication",_xlpm.stn="Fab"),_xlfn.LET(_xlpm.pos,SUMPRODUCT((A$7:A11&lt;&gt;"")*(IFERROR(VLOOKUP(A$7:A11,'Job Operations'!$A$4:$AA$304,12,FALSE),"")="Fabrication")+(A$7:A11&lt;&gt;"")*(IFERROR(VLOOKUP(A$7:A11,'Job Operations'!$A$4:$AA$304,12,FALSE),"")="Fab")),_xlpm.sfx,IF(OR(_xlpm.pos=11,_xlpm.pos=12,_xlpm.pos=13),"th",IF(MOD(_xlpm.pos,10)=1,"st",IF(MOD(_xlpm.pos,10)=2,"nd",IF(MOD(_xlpm.pos,10)=3,"rd","th")))),_xlpm.pos&amp;_xlpm.sfx),IF(ISNUMBER(MATCH(A11,'Clean and Brake Schedule'!A$7:A$100,0)),"#"&amp;MATCH(A11,'Clean and Brake Schedule'!A$7:A$100,0)&amp;" on C&amp;B",IF(ISNUMBER(MATCH(A11,'AXYZ Titans CNC Schedule'!A$7:A$100,0)),"#"&amp;MATCH(A11,'AXYZ Titans CNC Schedule'!A$7:A$100,0)&amp;" on Titans",IF(ISNUMBER(MATCH(A11,'AXYZ CNC Schedule'!A$7:A$100,0)),"#"&amp;MATCH(A11,'AXYZ CNC Schedule'!A$7:A$100,0)&amp;" on AXYZ",IF(_xlpm.stn&lt;&gt;"",_xlpm.stn,"")))))))</f>
        <v>TruLaser 3040</v>
      </c>
      <c r="J11" s="101">
        <f>IF(A11="","",IFERROR(VLOOKUP(A11,'Job Operations'!$A$4:$AA$304,18,FALSE),""))</f>
        <v>46084</v>
      </c>
      <c r="K11" s="100" t="str">
        <f>IF(A11="","",IFERROR(VLOOKUP(A11,'Job Operations'!$A$4:$AA$304,13,FALSE),""))</f>
        <v>Brake</v>
      </c>
      <c r="L11" s="100" t="str">
        <f>IF(A11="","",IFERROR(VLOOKUP(A11,'Job Operations'!$A$4:$AA$304,15,FALSE),""))</f>
        <v>Fab</v>
      </c>
      <c r="M11" s="168" t="str">
        <f>IF(A11="","",IF(IFERROR(VLOOKUP(A11,Notes!A:B,2,FALSE),"")=0,"",VLOOKUP(A11,Notes!A:B,2,FALSE)))</f>
        <v>04/16/2026…TruLaser 3040</v>
      </c>
    </row>
    <row r="12" spans="1:13" x14ac:dyDescent="0.25">
      <c r="A12" s="103" t="str">
        <v>25035-FS04</v>
      </c>
      <c r="B12" s="104" t="str">
        <f>IF(A12="","",IFERROR(VLOOKUP(A12,'Job Operations'!$A$4:$AA$304,2,FALSE),""))</f>
        <v>Titans Jabez</v>
      </c>
      <c r="C12" s="105" t="str">
        <f>IF(A12="","",IFERROR(VLOOKUP(A12,'Job Operations'!$A$4:$AA$304,3,FALSE),""))</f>
        <v>Marc Ribar</v>
      </c>
      <c r="D12" s="105">
        <f>IF(A12="","",IFERROR(VLOOKUP(A12,'Job Operations'!$A$4:$AA$304,5,FALSE),""))</f>
        <v>218</v>
      </c>
      <c r="E12" s="105">
        <f>IF(A12="","",IFERROR(VLOOKUP(A12,'Job Operations'!$A$4:$AA$304,6,FALSE),""))</f>
        <v>0</v>
      </c>
      <c r="F12" s="105" t="str">
        <f>IF(A12="","",IFERROR(VLOOKUP(A12,'Job Operations'!$A$4:$AA$304,7,FALSE),""))</f>
        <v>FR ACM</v>
      </c>
      <c r="G12" s="106">
        <f>IF(A12="","",IFERROR(VLOOKUP(A12,'Job Operations'!$A$4:$AA$304,9,FALSE),""))</f>
        <v>46104</v>
      </c>
      <c r="H12" s="105" t="str" cm="1">
        <f t="array" ref="H12">IF(A12="","",_xlfn.LET(_xlpm.stn,IFERROR(VLOOKUP(A12,'Job Operations'!$A$4:$AA$304,12,FALSE),""),IF(OR(_xlpm.stn="Fabrication",_xlpm.stn="Fab"),_xlfn.LET(_xlpm.pos,SUMPRODUCT((A$7:A12&lt;&gt;"")*(IFERROR(VLOOKUP(A$7:A12,'Job Operations'!$A$4:$AA$304,12,FALSE),"")="Fabrication")+(A$7:A12&lt;&gt;"")*(IFERROR(VLOOKUP(A$7:A12,'Job Operations'!$A$4:$AA$304,12,FALSE),"")="Fab")),_xlpm.sfx,IF(OR(_xlpm.pos=11,_xlpm.pos=12,_xlpm.pos=13),"th",IF(MOD(_xlpm.pos,10)=1,"st",IF(MOD(_xlpm.pos,10)=2,"nd",IF(MOD(_xlpm.pos,10)=3,"rd","th")))),_xlpm.pos&amp;_xlpm.sfx),IF(_xlpm.stn&lt;&gt;"",_xlpm.stn,""))))</f>
        <v>Sketch</v>
      </c>
      <c r="I12" s="105" t="str" cm="1">
        <f t="array" ref="I12">IF(A12="","",_xlfn.LET(_xlpm.stn,IFERROR(VLOOKUP(A12,'Job Operations'!$A$4:$AA$304,12,FALSE),""),IF(OR(_xlpm.stn="Fabrication",_xlpm.stn="Fab"),_xlfn.LET(_xlpm.pos,SUMPRODUCT((A$7:A12&lt;&gt;"")*(IFERROR(VLOOKUP(A$7:A12,'Job Operations'!$A$4:$AA$304,12,FALSE),"")="Fabrication")+(A$7:A12&lt;&gt;"")*(IFERROR(VLOOKUP(A$7:A12,'Job Operations'!$A$4:$AA$304,12,FALSE),"")="Fab")),_xlpm.sfx,IF(OR(_xlpm.pos=11,_xlpm.pos=12,_xlpm.pos=13),"th",IF(MOD(_xlpm.pos,10)=1,"st",IF(MOD(_xlpm.pos,10)=2,"nd",IF(MOD(_xlpm.pos,10)=3,"rd","th")))),_xlpm.pos&amp;_xlpm.sfx),IF(ISNUMBER(MATCH(A12,'Clean and Brake Schedule'!A$7:A$100,0)),"#"&amp;MATCH(A12,'Clean and Brake Schedule'!A$7:A$100,0)&amp;" on C&amp;B",IF(ISNUMBER(MATCH(A12,'AXYZ Titans CNC Schedule'!A$7:A$100,0)),"#"&amp;MATCH(A12,'AXYZ Titans CNC Schedule'!A$7:A$100,0)&amp;" on Titans",IF(ISNUMBER(MATCH(A12,'AXYZ CNC Schedule'!A$7:A$100,0)),"#"&amp;MATCH(A12,'AXYZ CNC Schedule'!A$7:A$100,0)&amp;" on AXYZ",IF(_xlpm.stn&lt;&gt;"",_xlpm.stn,"")))))))</f>
        <v>#5 on C&amp;B</v>
      </c>
      <c r="J12" s="106">
        <f>IF(A12="","",IFERROR(VLOOKUP(A12,'Job Operations'!$A$4:$AA$304,18,FALSE),""))</f>
        <v>46091</v>
      </c>
      <c r="K12" s="105" t="str">
        <f>IF(A12="","",IFERROR(VLOOKUP(A12,'Job Operations'!$A$4:$AA$304,13,FALSE),""))</f>
        <v>AXYZ Titans Line</v>
      </c>
      <c r="L12" s="105" t="str">
        <f>IF(A12="","",IFERROR(VLOOKUP(A12,'Job Operations'!$A$4:$AA$304,15,FALSE),""))</f>
        <v>Clean and Brake</v>
      </c>
      <c r="M12" s="167" t="str">
        <f>IF(A12="","",IF(IFERROR(VLOOKUP(A12,Notes!A:B,2,FALSE),"")=0,"",VLOOKUP(A12,Notes!A:B,2,FALSE)))</f>
        <v>04/16/2026…Sketch</v>
      </c>
    </row>
    <row r="13" spans="1:13" x14ac:dyDescent="0.25">
      <c r="A13" s="98" t="str">
        <v>25017-RO02</v>
      </c>
      <c r="B13" s="99" t="str">
        <f>IF(A13="","",IFERROR(VLOOKUP(A13,'Job Operations'!$A$4:$AA$304,2,FALSE),""))</f>
        <v>Nashville Yards Park</v>
      </c>
      <c r="C13" s="100" t="str">
        <f>IF(A13="","",IFERROR(VLOOKUP(A13,'Job Operations'!$A$4:$AA$304,3,FALSE),""))</f>
        <v>Dillon Bowman</v>
      </c>
      <c r="D13" s="100">
        <f>IF(A13="","",IFERROR(VLOOKUP(A13,'Job Operations'!$A$4:$AA$304,5,FALSE),""))</f>
        <v>1</v>
      </c>
      <c r="E13" s="100">
        <f>IF(A13="","",IFERROR(VLOOKUP(A13,'Job Operations'!$A$4:$AA$304,6,FALSE),""))</f>
        <v>3</v>
      </c>
      <c r="F13" s="100" t="str">
        <f>IF(A13="","",IFERROR(VLOOKUP(A13,'Job Operations'!$A$4:$AA$304,7,FALSE),""))</f>
        <v>FR ACM</v>
      </c>
      <c r="G13" s="101">
        <f>IF(A13="","",IFERROR(VLOOKUP(A13,'Job Operations'!$A$4:$AA$304,9,FALSE),""))</f>
        <v>46127</v>
      </c>
      <c r="H13" s="100" t="str" cm="1">
        <f t="array" ref="H13">IF(A13="","",_xlfn.LET(_xlpm.stn,IFERROR(VLOOKUP(A13,'Job Operations'!$A$4:$AA$304,12,FALSE),""),IF(OR(_xlpm.stn="Fabrication",_xlpm.stn="Fab"),_xlfn.LET(_xlpm.pos,SUMPRODUCT((A$7:A13&lt;&gt;"")*(IFERROR(VLOOKUP(A$7:A13,'Job Operations'!$A$4:$AA$304,12,FALSE),"")="Fabrication")+(A$7:A13&lt;&gt;"")*(IFERROR(VLOOKUP(A$7:A13,'Job Operations'!$A$4:$AA$304,12,FALSE),"")="Fab")),_xlpm.sfx,IF(OR(_xlpm.pos=11,_xlpm.pos=12,_xlpm.pos=13),"th",IF(MOD(_xlpm.pos,10)=1,"st",IF(MOD(_xlpm.pos,10)=2,"nd",IF(MOD(_xlpm.pos,10)=3,"rd","th")))),_xlpm.pos&amp;_xlpm.sfx),IF(_xlpm.stn&lt;&gt;"",_xlpm.stn,""))))</f>
        <v>Clean and Brake</v>
      </c>
      <c r="I13" s="100" t="str" cm="1">
        <f t="array" ref="I13">IF(A13="","",_xlfn.LET(_xlpm.stn,IFERROR(VLOOKUP(A13,'Job Operations'!$A$4:$AA$304,12,FALSE),""),IF(OR(_xlpm.stn="Fabrication",_xlpm.stn="Fab"),_xlfn.LET(_xlpm.pos,SUMPRODUCT((A$7:A13&lt;&gt;"")*(IFERROR(VLOOKUP(A$7:A13,'Job Operations'!$A$4:$AA$304,12,FALSE),"")="Fabrication")+(A$7:A13&lt;&gt;"")*(IFERROR(VLOOKUP(A$7:A13,'Job Operations'!$A$4:$AA$304,12,FALSE),"")="Fab")),_xlpm.sfx,IF(OR(_xlpm.pos=11,_xlpm.pos=12,_xlpm.pos=13),"th",IF(MOD(_xlpm.pos,10)=1,"st",IF(MOD(_xlpm.pos,10)=2,"nd",IF(MOD(_xlpm.pos,10)=3,"rd","th")))),_xlpm.pos&amp;_xlpm.sfx),IF(ISNUMBER(MATCH(A13,'Clean and Brake Schedule'!A$7:A$100,0)),"#"&amp;MATCH(A13,'Clean and Brake Schedule'!A$7:A$100,0)&amp;" on C&amp;B",IF(ISNUMBER(MATCH(A13,'AXYZ Titans CNC Schedule'!A$7:A$100,0)),"#"&amp;MATCH(A13,'AXYZ Titans CNC Schedule'!A$7:A$100,0)&amp;" on Titans",IF(ISNUMBER(MATCH(A13,'AXYZ CNC Schedule'!A$7:A$100,0)),"#"&amp;MATCH(A13,'AXYZ CNC Schedule'!A$7:A$100,0)&amp;" on AXYZ",IF(_xlpm.stn&lt;&gt;"",_xlpm.stn,"")))))))</f>
        <v>#6 on C&amp;B</v>
      </c>
      <c r="J13" s="101">
        <f>IF(A13="","",IFERROR(VLOOKUP(A13,'Job Operations'!$A$4:$AA$304,18,FALSE),""))</f>
        <v>46104</v>
      </c>
      <c r="K13" s="100" t="str">
        <f>IF(A13="","",IFERROR(VLOOKUP(A13,'Job Operations'!$A$4:$AA$304,13,FALSE),""))</f>
        <v>AXYZ Titans Line</v>
      </c>
      <c r="L13" s="100" t="str">
        <f>IF(A13="","",IFERROR(VLOOKUP(A13,'Job Operations'!$A$4:$AA$304,15,FALSE),""))</f>
        <v>Clean and Brake</v>
      </c>
      <c r="M13" s="168" t="str">
        <f>IF(A13="","",IF(IFERROR(VLOOKUP(A13,Notes!A:B,2,FALSE),"")=0,"",VLOOKUP(A13,Notes!A:B,2,FALSE)))</f>
        <v>03/27…C&amp;B, needs to roll then back to C&amp;B*03/30…Affected by Roller being down.*03/31…No Update*04/02…Roller still down.*04/09…Roller still down.*04/16/2026…Clean and Brake</v>
      </c>
    </row>
    <row r="14" spans="1:13" ht="45" x14ac:dyDescent="0.25">
      <c r="A14" s="103" t="str">
        <v>24074-FS07</v>
      </c>
      <c r="B14" s="104" t="str">
        <f>IF(A14="","",IFERROR(VLOOKUP(A14,'Job Operations'!$A$4:$AA$304,2,FALSE),""))</f>
        <v>DIDD ACM</v>
      </c>
      <c r="C14" s="105" t="str">
        <f>IF(A14="","",IFERROR(VLOOKUP(A14,'Job Operations'!$A$4:$AA$304,3,FALSE),""))</f>
        <v>Dillon Bowman</v>
      </c>
      <c r="D14" s="105">
        <f>IF(A14="","",IFERROR(VLOOKUP(A14,'Job Operations'!$A$4:$AA$304,5,FALSE),""))</f>
        <v>155</v>
      </c>
      <c r="E14" s="105">
        <f>IF(A14="","",IFERROR(VLOOKUP(A14,'Job Operations'!$A$4:$AA$304,6,FALSE),""))</f>
        <v>218</v>
      </c>
      <c r="F14" s="105" t="str">
        <f>IF(A14="","",IFERROR(VLOOKUP(A14,'Job Operations'!$A$4:$AA$304,7,FALSE),""))</f>
        <v>FR ACM</v>
      </c>
      <c r="G14" s="106">
        <f>IF(A14="","",IFERROR(VLOOKUP(A14,'Job Operations'!$A$4:$AA$304,9,FALSE),""))</f>
        <v>46132</v>
      </c>
      <c r="H14" s="105" t="str" cm="1">
        <f t="array" ref="H14">IF(A14="","",_xlfn.LET(_xlpm.stn,IFERROR(VLOOKUP(A14,'Job Operations'!$A$4:$AA$304,12,FALSE),""),IF(OR(_xlpm.stn="Fabrication",_xlpm.stn="Fab"),_xlfn.LET(_xlpm.pos,SUMPRODUCT((A$7:A14&lt;&gt;"")*(IFERROR(VLOOKUP(A$7:A14,'Job Operations'!$A$4:$AA$304,12,FALSE),"")="Fabrication")+(A$7:A14&lt;&gt;"")*(IFERROR(VLOOKUP(A$7:A14,'Job Operations'!$A$4:$AA$304,12,FALSE),"")="Fab")),_xlpm.sfx,IF(OR(_xlpm.pos=11,_xlpm.pos=12,_xlpm.pos=13),"th",IF(MOD(_xlpm.pos,10)=1,"st",IF(MOD(_xlpm.pos,10)=2,"nd",IF(MOD(_xlpm.pos,10)=3,"rd","th")))),_xlpm.pos&amp;_xlpm.sfx),IF(_xlpm.stn&lt;&gt;"",_xlpm.stn,""))))</f>
        <v>CNC Programming</v>
      </c>
      <c r="I14" s="105" t="str" cm="1">
        <f t="array" ref="I14">IF(A14="","",_xlfn.LET(_xlpm.stn,IFERROR(VLOOKUP(A14,'Job Operations'!$A$4:$AA$304,12,FALSE),""),IF(OR(_xlpm.stn="Fabrication",_xlpm.stn="Fab"),_xlfn.LET(_xlpm.pos,SUMPRODUCT((A$7:A14&lt;&gt;"")*(IFERROR(VLOOKUP(A$7:A14,'Job Operations'!$A$4:$AA$304,12,FALSE),"")="Fabrication")+(A$7:A14&lt;&gt;"")*(IFERROR(VLOOKUP(A$7:A14,'Job Operations'!$A$4:$AA$304,12,FALSE),"")="Fab")),_xlpm.sfx,IF(OR(_xlpm.pos=11,_xlpm.pos=12,_xlpm.pos=13),"th",IF(MOD(_xlpm.pos,10)=1,"st",IF(MOD(_xlpm.pos,10)=2,"nd",IF(MOD(_xlpm.pos,10)=3,"rd","th")))),_xlpm.pos&amp;_xlpm.sfx),IF(ISNUMBER(MATCH(A14,'Clean and Brake Schedule'!A$7:A$100,0)),"#"&amp;MATCH(A14,'Clean and Brake Schedule'!A$7:A$100,0)&amp;" on C&amp;B",IF(ISNUMBER(MATCH(A14,'AXYZ Titans CNC Schedule'!A$7:A$100,0)),"#"&amp;MATCH(A14,'AXYZ Titans CNC Schedule'!A$7:A$100,0)&amp;" on Titans",IF(ISNUMBER(MATCH(A14,'AXYZ CNC Schedule'!A$7:A$100,0)),"#"&amp;MATCH(A14,'AXYZ CNC Schedule'!A$7:A$100,0)&amp;" on AXYZ",IF(_xlpm.stn&lt;&gt;"",_xlpm.stn,"")))))))</f>
        <v>#7 on C&amp;B</v>
      </c>
      <c r="J14" s="106">
        <f>IF(A14="","",IFERROR(VLOOKUP(A14,'Job Operations'!$A$4:$AA$304,18,FALSE),""))</f>
        <v>46108</v>
      </c>
      <c r="K14" s="105" t="str">
        <f>IF(A14="","",IFERROR(VLOOKUP(A14,'Job Operations'!$A$4:$AA$304,13,FALSE),""))</f>
        <v>AXYZ Titans Line</v>
      </c>
      <c r="L14" s="105" t="str">
        <f>IF(A14="","",IFERROR(VLOOKUP(A14,'Job Operations'!$A$4:$AA$304,15,FALSE),""))</f>
        <v>Clean and Brake</v>
      </c>
      <c r="M14" s="167" t="str">
        <f>IF(A14="","",IF(IFERROR(VLOOKUP(A14,Notes!A:B,2,FALSE),"")=0,"",VLOOKUP(A14,Notes!A:B,2,FALSE)))</f>
        <v>*03/30...4' Panals Rolled*04/02…Sketch*04/09…CNC*04/16/2026…CNC Programming</v>
      </c>
    </row>
    <row r="15" spans="1:13" ht="28.9" customHeight="1" x14ac:dyDescent="0.25">
      <c r="A15" s="98" t="str">
        <v>24051-FS87</v>
      </c>
      <c r="B15" s="99" t="str">
        <f>IF(A15="","",IFERROR(VLOOKUP(A15,'Job Operations'!$A$4:$AA$304,2,FALSE),""))</f>
        <v>TN Titans Stadium</v>
      </c>
      <c r="C15" s="100" t="str">
        <f>IF(A15="","",IFERROR(VLOOKUP(A15,'Job Operations'!$A$4:$AA$304,3,FALSE),""))</f>
        <v>Marc Ribar</v>
      </c>
      <c r="D15" s="100">
        <f>IF(A15="","",IFERROR(VLOOKUP(A15,'Job Operations'!$A$4:$AA$304,5,FALSE),""))</f>
        <v>54</v>
      </c>
      <c r="E15" s="100">
        <f>IF(A15="","",IFERROR(VLOOKUP(A15,'Job Operations'!$A$4:$AA$304,6,FALSE),""))</f>
        <v>54</v>
      </c>
      <c r="F15" s="100" t="str">
        <f>IF(A15="","",IFERROR(VLOOKUP(A15,'Job Operations'!$A$4:$AA$304,7,FALSE),""))</f>
        <v>FR ACM</v>
      </c>
      <c r="G15" s="101">
        <f>IF(A15="","",IFERROR(VLOOKUP(A15,'Job Operations'!$A$4:$AA$304,9,FALSE),""))</f>
        <v>46127</v>
      </c>
      <c r="H15" s="100" t="str" cm="1">
        <f t="array" ref="H15">IF(A15="","",_xlfn.LET(_xlpm.stn,IFERROR(VLOOKUP(A15,'Job Operations'!$A$4:$AA$304,12,FALSE),""),IF(OR(_xlpm.stn="Fabrication",_xlpm.stn="Fab"),_xlfn.LET(_xlpm.pos,SUMPRODUCT((A$7:A15&lt;&gt;"")*(IFERROR(VLOOKUP(A$7:A15,'Job Operations'!$A$4:$AA$304,12,FALSE),"")="Fabrication")+(A$7:A15&lt;&gt;"")*(IFERROR(VLOOKUP(A$7:A15,'Job Operations'!$A$4:$AA$304,12,FALSE),"")="Fab")),_xlpm.sfx,IF(OR(_xlpm.pos=11,_xlpm.pos=12,_xlpm.pos=13),"th",IF(MOD(_xlpm.pos,10)=1,"st",IF(MOD(_xlpm.pos,10)=2,"nd",IF(MOD(_xlpm.pos,10)=3,"rd","th")))),_xlpm.pos&amp;_xlpm.sfx),IF(_xlpm.stn&lt;&gt;"",_xlpm.stn,""))))</f>
        <v>Clean and Brake</v>
      </c>
      <c r="I15" s="100" t="str" cm="1">
        <f t="array" ref="I15">IF(A15="","",_xlfn.LET(_xlpm.stn,IFERROR(VLOOKUP(A15,'Job Operations'!$A$4:$AA$304,12,FALSE),""),IF(OR(_xlpm.stn="Fabrication",_xlpm.stn="Fab"),_xlfn.LET(_xlpm.pos,SUMPRODUCT((A$7:A15&lt;&gt;"")*(IFERROR(VLOOKUP(A$7:A15,'Job Operations'!$A$4:$AA$304,12,FALSE),"")="Fabrication")+(A$7:A15&lt;&gt;"")*(IFERROR(VLOOKUP(A$7:A15,'Job Operations'!$A$4:$AA$304,12,FALSE),"")="Fab")),_xlpm.sfx,IF(OR(_xlpm.pos=11,_xlpm.pos=12,_xlpm.pos=13),"th",IF(MOD(_xlpm.pos,10)=1,"st",IF(MOD(_xlpm.pos,10)=2,"nd",IF(MOD(_xlpm.pos,10)=3,"rd","th")))),_xlpm.pos&amp;_xlpm.sfx),IF(ISNUMBER(MATCH(A15,'Clean and Brake Schedule'!A$7:A$100,0)),"#"&amp;MATCH(A15,'Clean and Brake Schedule'!A$7:A$100,0)&amp;" on C&amp;B",IF(ISNUMBER(MATCH(A15,'AXYZ Titans CNC Schedule'!A$7:A$100,0)),"#"&amp;MATCH(A15,'AXYZ Titans CNC Schedule'!A$7:A$100,0)&amp;" on Titans",IF(ISNUMBER(MATCH(A15,'AXYZ CNC Schedule'!A$7:A$100,0)),"#"&amp;MATCH(A15,'AXYZ CNC Schedule'!A$7:A$100,0)&amp;" on AXYZ",IF(_xlpm.stn&lt;&gt;"",_xlpm.stn,"")))))))</f>
        <v>#8 on C&amp;B</v>
      </c>
      <c r="J15" s="101">
        <f>IF(A15="","",IFERROR(VLOOKUP(A15,'Job Operations'!$A$4:$AA$304,18,FALSE),""))</f>
        <v>46114</v>
      </c>
      <c r="K15" s="100" t="str">
        <f>IF(A15="","",IFERROR(VLOOKUP(A15,'Job Operations'!$A$4:$AA$304,13,FALSE),""))</f>
        <v>AXYZ Titans Line</v>
      </c>
      <c r="L15" s="100" t="str">
        <f>IF(A15="","",IFERROR(VLOOKUP(A15,'Job Operations'!$A$4:$AA$304,15,FALSE),""))</f>
        <v>Clean and Brake</v>
      </c>
      <c r="M15" s="168" t="str">
        <f>IF(A15="","",IF(IFERROR(VLOOKUP(A15,Notes!A:B,2,FALSE),"")=0,"",VLOOKUP(A15,Notes!A:B,2,FALSE)))</f>
        <v>Must be RTS on Friday 04/17*04/16/2026…Clean and Brake</v>
      </c>
    </row>
    <row r="16" spans="1:13" ht="60" x14ac:dyDescent="0.25">
      <c r="A16" s="103" t="str">
        <v>24051-FS89</v>
      </c>
      <c r="B16" s="104" t="str">
        <f>IF(A16="","",IFERROR(VLOOKUP(A16,'Job Operations'!$A$4:$AA$304,2,FALSE),""))</f>
        <v>TN Titans Stadium</v>
      </c>
      <c r="C16" s="105" t="str">
        <f>IF(A16="","",IFERROR(VLOOKUP(A16,'Job Operations'!$A$4:$AA$304,3,FALSE),""))</f>
        <v>Marc Ribar</v>
      </c>
      <c r="D16" s="105">
        <f>IF(A16="","",IFERROR(VLOOKUP(A16,'Job Operations'!$A$4:$AA$304,5,FALSE),""))</f>
        <v>40</v>
      </c>
      <c r="E16" s="105">
        <f>IF(A16="","",IFERROR(VLOOKUP(A16,'Job Operations'!$A$4:$AA$304,6,FALSE),""))</f>
        <v>40</v>
      </c>
      <c r="F16" s="105" t="str">
        <f>IF(A16="","",IFERROR(VLOOKUP(A16,'Job Operations'!$A$4:$AA$304,7,FALSE),""))</f>
        <v>FR ACM</v>
      </c>
      <c r="G16" s="106">
        <f>IF(A16="","",IFERROR(VLOOKUP(A16,'Job Operations'!$A$4:$AA$304,9,FALSE),""))</f>
        <v>46127</v>
      </c>
      <c r="H16" s="105" t="str" cm="1">
        <f t="array" ref="H16">IF(A16="","",_xlfn.LET(_xlpm.stn,IFERROR(VLOOKUP(A16,'Job Operations'!$A$4:$AA$304,12,FALSE),""),IF(OR(_xlpm.stn="Fabrication",_xlpm.stn="Fab"),_xlfn.LET(_xlpm.pos,SUMPRODUCT((A$7:A16&lt;&gt;"")*(IFERROR(VLOOKUP(A$7:A16,'Job Operations'!$A$4:$AA$304,12,FALSE),"")="Fabrication")+(A$7:A16&lt;&gt;"")*(IFERROR(VLOOKUP(A$7:A16,'Job Operations'!$A$4:$AA$304,12,FALSE),"")="Fab")),_xlpm.sfx,IF(OR(_xlpm.pos=11,_xlpm.pos=12,_xlpm.pos=13),"th",IF(MOD(_xlpm.pos,10)=1,"st",IF(MOD(_xlpm.pos,10)=2,"nd",IF(MOD(_xlpm.pos,10)=3,"rd","th")))),_xlpm.pos&amp;_xlpm.sfx),IF(_xlpm.stn&lt;&gt;"",_xlpm.stn,""))))</f>
        <v>AXYZ 34</v>
      </c>
      <c r="I16" s="105" t="str" cm="1">
        <f t="array" ref="I16">IF(A16="","",_xlfn.LET(_xlpm.stn,IFERROR(VLOOKUP(A16,'Job Operations'!$A$4:$AA$304,12,FALSE),""),IF(OR(_xlpm.stn="Fabrication",_xlpm.stn="Fab"),_xlfn.LET(_xlpm.pos,SUMPRODUCT((A$7:A16&lt;&gt;"")*(IFERROR(VLOOKUP(A$7:A16,'Job Operations'!$A$4:$AA$304,12,FALSE),"")="Fabrication")+(A$7:A16&lt;&gt;"")*(IFERROR(VLOOKUP(A$7:A16,'Job Operations'!$A$4:$AA$304,12,FALSE),"")="Fab")),_xlpm.sfx,IF(OR(_xlpm.pos=11,_xlpm.pos=12,_xlpm.pos=13),"th",IF(MOD(_xlpm.pos,10)=1,"st",IF(MOD(_xlpm.pos,10)=2,"nd",IF(MOD(_xlpm.pos,10)=3,"rd","th")))),_xlpm.pos&amp;_xlpm.sfx),IF(ISNUMBER(MATCH(A16,'Clean and Brake Schedule'!A$7:A$100,0)),"#"&amp;MATCH(A16,'Clean and Brake Schedule'!A$7:A$100,0)&amp;" on C&amp;B",IF(ISNUMBER(MATCH(A16,'AXYZ Titans CNC Schedule'!A$7:A$100,0)),"#"&amp;MATCH(A16,'AXYZ Titans CNC Schedule'!A$7:A$100,0)&amp;" on Titans",IF(ISNUMBER(MATCH(A16,'AXYZ CNC Schedule'!A$7:A$100,0)),"#"&amp;MATCH(A16,'AXYZ CNC Schedule'!A$7:A$100,0)&amp;" on AXYZ",IF(_xlpm.stn&lt;&gt;"",_xlpm.stn,"")))))))</f>
        <v>#9 on C&amp;B</v>
      </c>
      <c r="J16" s="106">
        <f>IF(A16="","",IFERROR(VLOOKUP(A16,'Job Operations'!$A$4:$AA$304,18,FALSE),""))</f>
        <v>46114</v>
      </c>
      <c r="K16" s="105" t="str">
        <f>IF(A16="","",IFERROR(VLOOKUP(A16,'Job Operations'!$A$4:$AA$304,13,FALSE),""))</f>
        <v>AXYZ Titans Line</v>
      </c>
      <c r="L16" s="105" t="str">
        <f>IF(A16="","",IFERROR(VLOOKUP(A16,'Job Operations'!$A$4:$AA$304,15,FALSE),""))</f>
        <v>Clean and Brake</v>
      </c>
      <c r="M16" s="167" t="str">
        <f>IF(A16="","",IF(IFERROR(VLOOKUP(A16,Notes!A:B,2,FALSE),"")=0,"",VLOOKUP(A16,Notes!A:B,2,FALSE)))</f>
        <v>04/14...Next Titans Requesting//Scheduled to be released to the shop 04/16.*04/16/2026…AXYZ 34</v>
      </c>
    </row>
    <row r="17" spans="1:13" ht="30" customHeight="1" x14ac:dyDescent="0.25">
      <c r="A17" s="98" t="str">
        <v>24051-FS36.2</v>
      </c>
      <c r="B17" s="99" t="str">
        <f>IF(A17="","",IFERROR(VLOOKUP(A17,'Job Operations'!$A$4:$AA$304,2,FALSE),""))</f>
        <v>TN Titans Stadium</v>
      </c>
      <c r="C17" s="100" t="str">
        <f>IF(A17="","",IFERROR(VLOOKUP(A17,'Job Operations'!$A$4:$AA$304,3,FALSE),""))</f>
        <v>Marc Ribar</v>
      </c>
      <c r="D17" s="100">
        <f>IF(A17="","",IFERROR(VLOOKUP(A17,'Job Operations'!$A$4:$AA$304,5,FALSE),""))</f>
        <v>38</v>
      </c>
      <c r="E17" s="100">
        <f>IF(A17="","",IFERROR(VLOOKUP(A17,'Job Operations'!$A$4:$AA$304,6,FALSE),""))</f>
        <v>38</v>
      </c>
      <c r="F17" s="100" t="str">
        <f>IF(A17="","",IFERROR(VLOOKUP(A17,'Job Operations'!$A$4:$AA$304,7,FALSE),""))</f>
        <v>FR ACM</v>
      </c>
      <c r="G17" s="101">
        <f>IF(A17="","",IFERROR(VLOOKUP(A17,'Job Operations'!$A$4:$AA$304,9,FALSE),""))</f>
        <v>46127</v>
      </c>
      <c r="H17" s="100" t="str" cm="1">
        <f t="array" ref="H17">IF(A17="","",_xlfn.LET(_xlpm.stn,IFERROR(VLOOKUP(A17,'Job Operations'!$A$4:$AA$304,12,FALSE),""),IF(OR(_xlpm.stn="Fabrication",_xlpm.stn="Fab"),_xlfn.LET(_xlpm.pos,SUMPRODUCT((A$7:A17&lt;&gt;"")*(IFERROR(VLOOKUP(A$7:A17,'Job Operations'!$A$4:$AA$304,12,FALSE),"")="Fabrication")+(A$7:A17&lt;&gt;"")*(IFERROR(VLOOKUP(A$7:A17,'Job Operations'!$A$4:$AA$304,12,FALSE),"")="Fab")),_xlpm.sfx,IF(OR(_xlpm.pos=11,_xlpm.pos=12,_xlpm.pos=13),"th",IF(MOD(_xlpm.pos,10)=1,"st",IF(MOD(_xlpm.pos,10)=2,"nd",IF(MOD(_xlpm.pos,10)=3,"rd","th")))),_xlpm.pos&amp;_xlpm.sfx),IF(_xlpm.stn&lt;&gt;"",_xlpm.stn,""))))</f>
        <v>1st</v>
      </c>
      <c r="I17" s="100" t="str" cm="1">
        <f t="array" ref="I17">IF(A17="","",_xlfn.LET(_xlpm.stn,IFERROR(VLOOKUP(A17,'Job Operations'!$A$4:$AA$304,12,FALSE),""),IF(OR(_xlpm.stn="Fabrication",_xlpm.stn="Fab"),_xlfn.LET(_xlpm.pos,SUMPRODUCT((A$7:A17&lt;&gt;"")*(IFERROR(VLOOKUP(A$7:A17,'Job Operations'!$A$4:$AA$304,12,FALSE),"")="Fabrication")+(A$7:A17&lt;&gt;"")*(IFERROR(VLOOKUP(A$7:A17,'Job Operations'!$A$4:$AA$304,12,FALSE),"")="Fab")),_xlpm.sfx,IF(OR(_xlpm.pos=11,_xlpm.pos=12,_xlpm.pos=13),"th",IF(MOD(_xlpm.pos,10)=1,"st",IF(MOD(_xlpm.pos,10)=2,"nd",IF(MOD(_xlpm.pos,10)=3,"rd","th")))),_xlpm.pos&amp;_xlpm.sfx),IF(ISNUMBER(MATCH(A17,'Clean and Brake Schedule'!A$7:A$100,0)),"#"&amp;MATCH(A17,'Clean and Brake Schedule'!A$7:A$100,0)&amp;" on C&amp;B",IF(ISNUMBER(MATCH(A17,'AXYZ Titans CNC Schedule'!A$7:A$100,0)),"#"&amp;MATCH(A17,'AXYZ Titans CNC Schedule'!A$7:A$100,0)&amp;" on Titans",IF(ISNUMBER(MATCH(A17,'AXYZ CNC Schedule'!A$7:A$100,0)),"#"&amp;MATCH(A17,'AXYZ CNC Schedule'!A$7:A$100,0)&amp;" on AXYZ",IF(_xlpm.stn&lt;&gt;"",_xlpm.stn,"")))))))</f>
        <v>1st</v>
      </c>
      <c r="J17" s="101">
        <f>IF(A17="","",IFERROR(VLOOKUP(A17,'Job Operations'!$A$4:$AA$304,18,FALSE),""))</f>
        <v>46114</v>
      </c>
      <c r="K17" s="100" t="str">
        <f>IF(A17="","",IFERROR(VLOOKUP(A17,'Job Operations'!$A$4:$AA$304,13,FALSE),""))</f>
        <v>AXYZ Titans Line</v>
      </c>
      <c r="L17" s="100" t="str">
        <f>IF(A17="","",IFERROR(VLOOKUP(A17,'Job Operations'!$A$4:$AA$304,15,FALSE),""))</f>
        <v>Clean and Brake</v>
      </c>
      <c r="M17" s="168" t="str">
        <f>IF(A17="","",IF(IFERROR(VLOOKUP(A17,Notes!A:B,2,FALSE),"")=0,"",VLOOKUP(A17,Notes!A:B,2,FALSE)))</f>
        <v>04/16/2026…Fabrication</v>
      </c>
    </row>
    <row r="18" spans="1:13" ht="30" x14ac:dyDescent="0.25">
      <c r="A18" s="103" t="str">
        <v>24051-FS226</v>
      </c>
      <c r="B18" s="104" t="str">
        <f>IF(A18="","",IFERROR(VLOOKUP(A18,'Job Operations'!$A$4:$AA$304,2,FALSE),""))</f>
        <v>TN Titans Stadium</v>
      </c>
      <c r="C18" s="105" t="str">
        <f>IF(A18="","",IFERROR(VLOOKUP(A18,'Job Operations'!$A$4:$AA$304,3,FALSE),""))</f>
        <v>Marc Ribar</v>
      </c>
      <c r="D18" s="105">
        <f>IF(A18="","",IFERROR(VLOOKUP(A18,'Job Operations'!$A$4:$AA$304,5,FALSE),""))</f>
        <v>26</v>
      </c>
      <c r="E18" s="105">
        <f>IF(A18="","",IFERROR(VLOOKUP(A18,'Job Operations'!$A$4:$AA$304,6,FALSE),""))</f>
        <v>26</v>
      </c>
      <c r="F18" s="105" t="str">
        <f>IF(A18="","",IFERROR(VLOOKUP(A18,'Job Operations'!$A$4:$AA$304,7,FALSE),""))</f>
        <v>FR ACM</v>
      </c>
      <c r="G18" s="106">
        <f>IF(A18="","",IFERROR(VLOOKUP(A18,'Job Operations'!$A$4:$AA$304,9,FALSE),""))</f>
        <v>46127</v>
      </c>
      <c r="H18" s="105" t="str" cm="1">
        <f t="array" ref="H18">IF(A18="","",_xlfn.LET(_xlpm.stn,IFERROR(VLOOKUP(A18,'Job Operations'!$A$4:$AA$304,12,FALSE),""),IF(OR(_xlpm.stn="Fabrication",_xlpm.stn="Fab"),_xlfn.LET(_xlpm.pos,SUMPRODUCT((A$7:A18&lt;&gt;"")*(IFERROR(VLOOKUP(A$7:A18,'Job Operations'!$A$4:$AA$304,12,FALSE),"")="Fabrication")+(A$7:A18&lt;&gt;"")*(IFERROR(VLOOKUP(A$7:A18,'Job Operations'!$A$4:$AA$304,12,FALSE),"")="Fab")),_xlpm.sfx,IF(OR(_xlpm.pos=11,_xlpm.pos=12,_xlpm.pos=13),"th",IF(MOD(_xlpm.pos,10)=1,"st",IF(MOD(_xlpm.pos,10)=2,"nd",IF(MOD(_xlpm.pos,10)=3,"rd","th")))),_xlpm.pos&amp;_xlpm.sfx),IF(_xlpm.stn&lt;&gt;"",_xlpm.stn,""))))</f>
        <v>2nd</v>
      </c>
      <c r="I18" s="105" t="str" cm="1">
        <f t="array" ref="I18">IF(A18="","",_xlfn.LET(_xlpm.stn,IFERROR(VLOOKUP(A18,'Job Operations'!$A$4:$AA$304,12,FALSE),""),IF(OR(_xlpm.stn="Fabrication",_xlpm.stn="Fab"),_xlfn.LET(_xlpm.pos,SUMPRODUCT((A$7:A18&lt;&gt;"")*(IFERROR(VLOOKUP(A$7:A18,'Job Operations'!$A$4:$AA$304,12,FALSE),"")="Fabrication")+(A$7:A18&lt;&gt;"")*(IFERROR(VLOOKUP(A$7:A18,'Job Operations'!$A$4:$AA$304,12,FALSE),"")="Fab")),_xlpm.sfx,IF(OR(_xlpm.pos=11,_xlpm.pos=12,_xlpm.pos=13),"th",IF(MOD(_xlpm.pos,10)=1,"st",IF(MOD(_xlpm.pos,10)=2,"nd",IF(MOD(_xlpm.pos,10)=3,"rd","th")))),_xlpm.pos&amp;_xlpm.sfx),IF(ISNUMBER(MATCH(A18,'Clean and Brake Schedule'!A$7:A$100,0)),"#"&amp;MATCH(A18,'Clean and Brake Schedule'!A$7:A$100,0)&amp;" on C&amp;B",IF(ISNUMBER(MATCH(A18,'AXYZ Titans CNC Schedule'!A$7:A$100,0)),"#"&amp;MATCH(A18,'AXYZ Titans CNC Schedule'!A$7:A$100,0)&amp;" on Titans",IF(ISNUMBER(MATCH(A18,'AXYZ CNC Schedule'!A$7:A$100,0)),"#"&amp;MATCH(A18,'AXYZ CNC Schedule'!A$7:A$100,0)&amp;" on AXYZ",IF(_xlpm.stn&lt;&gt;"",_xlpm.stn,"")))))))</f>
        <v>2nd</v>
      </c>
      <c r="J18" s="106">
        <f>IF(A18="","",IFERROR(VLOOKUP(A18,'Job Operations'!$A$4:$AA$304,18,FALSE),""))</f>
        <v>46114</v>
      </c>
      <c r="K18" s="105" t="str">
        <f>IF(A18="","",IFERROR(VLOOKUP(A18,'Job Operations'!$A$4:$AA$304,13,FALSE),""))</f>
        <v>AXYZ Titans Line</v>
      </c>
      <c r="L18" s="105" t="str">
        <f>IF(A18="","",IFERROR(VLOOKUP(A18,'Job Operations'!$A$4:$AA$304,15,FALSE),""))</f>
        <v>Clean and Brake</v>
      </c>
      <c r="M18" s="167" t="str">
        <f>IF(A18="","",IF(IFERROR(VLOOKUP(A18,Notes!A:B,2,FALSE),"")=0,"",VLOOKUP(A18,Notes!A:B,2,FALSE)))</f>
        <v>04/16/2026…Fabrication</v>
      </c>
    </row>
    <row r="19" spans="1:13" x14ac:dyDescent="0.25">
      <c r="A19" s="98" t="str">
        <v>25010-RO06</v>
      </c>
      <c r="B19" s="99" t="str">
        <f>IF(A19="","",IFERROR(VLOOKUP(A19,'Job Operations'!$A$4:$AA$304,2,FALSE),""))</f>
        <v>TOA Spring Hill MOB</v>
      </c>
      <c r="C19" s="100" t="str">
        <f>IF(A19="","",IFERROR(VLOOKUP(A19,'Job Operations'!$A$4:$AA$304,3,FALSE),""))</f>
        <v>Cole Norona</v>
      </c>
      <c r="D19" s="100">
        <f>IF(A19="","",IFERROR(VLOOKUP(A19,'Job Operations'!$A$4:$AA$304,5,FALSE),""))</f>
        <v>6</v>
      </c>
      <c r="E19" s="100">
        <f>IF(A19="","",IFERROR(VLOOKUP(A19,'Job Operations'!$A$4:$AA$304,6,FALSE),""))</f>
        <v>0</v>
      </c>
      <c r="F19" s="100" t="str">
        <f>IF(A19="","",IFERROR(VLOOKUP(A19,'Job Operations'!$A$4:$AA$304,7,FALSE),""))</f>
        <v>FR ACM</v>
      </c>
      <c r="G19" s="101">
        <f>IF(A19="","",IFERROR(VLOOKUP(A19,'Job Operations'!$A$4:$AA$304,9,FALSE),""))</f>
        <v>46127</v>
      </c>
      <c r="H19" s="100" t="str" cm="1">
        <f t="array" ref="H19">IF(A19="","",_xlfn.LET(_xlpm.stn,IFERROR(VLOOKUP(A19,'Job Operations'!$A$4:$AA$304,12,FALSE),""),IF(OR(_xlpm.stn="Fabrication",_xlpm.stn="Fab"),_xlfn.LET(_xlpm.pos,SUMPRODUCT((A$7:A19&lt;&gt;"")*(IFERROR(VLOOKUP(A$7:A19,'Job Operations'!$A$4:$AA$304,12,FALSE),"")="Fabrication")+(A$7:A19&lt;&gt;"")*(IFERROR(VLOOKUP(A$7:A19,'Job Operations'!$A$4:$AA$304,12,FALSE),"")="Fab")),_xlpm.sfx,IF(OR(_xlpm.pos=11,_xlpm.pos=12,_xlpm.pos=13),"th",IF(MOD(_xlpm.pos,10)=1,"st",IF(MOD(_xlpm.pos,10)=2,"nd",IF(MOD(_xlpm.pos,10)=3,"rd","th")))),_xlpm.pos&amp;_xlpm.sfx),IF(_xlpm.stn&lt;&gt;"",_xlpm.stn,""))))</f>
        <v>LO</v>
      </c>
      <c r="I19" s="100" t="str" cm="1">
        <f t="array" ref="I19">IF(A19="","",_xlfn.LET(_xlpm.stn,IFERROR(VLOOKUP(A19,'Job Operations'!$A$4:$AA$304,12,FALSE),""),IF(OR(_xlpm.stn="Fabrication",_xlpm.stn="Fab"),_xlfn.LET(_xlpm.pos,SUMPRODUCT((A$7:A19&lt;&gt;"")*(IFERROR(VLOOKUP(A$7:A19,'Job Operations'!$A$4:$AA$304,12,FALSE),"")="Fabrication")+(A$7:A19&lt;&gt;"")*(IFERROR(VLOOKUP(A$7:A19,'Job Operations'!$A$4:$AA$304,12,FALSE),"")="Fab")),_xlpm.sfx,IF(OR(_xlpm.pos=11,_xlpm.pos=12,_xlpm.pos=13),"th",IF(MOD(_xlpm.pos,10)=1,"st",IF(MOD(_xlpm.pos,10)=2,"nd",IF(MOD(_xlpm.pos,10)=3,"rd","th")))),_xlpm.pos&amp;_xlpm.sfx),IF(ISNUMBER(MATCH(A19,'Clean and Brake Schedule'!A$7:A$100,0)),"#"&amp;MATCH(A19,'Clean and Brake Schedule'!A$7:A$100,0)&amp;" on C&amp;B",IF(ISNUMBER(MATCH(A19,'AXYZ Titans CNC Schedule'!A$7:A$100,0)),"#"&amp;MATCH(A19,'AXYZ Titans CNC Schedule'!A$7:A$100,0)&amp;" on Titans",IF(ISNUMBER(MATCH(A19,'AXYZ CNC Schedule'!A$7:A$100,0)),"#"&amp;MATCH(A19,'AXYZ CNC Schedule'!A$7:A$100,0)&amp;" on AXYZ",IF(_xlpm.stn&lt;&gt;"",_xlpm.stn,"")))))))</f>
        <v>#10 on C&amp;B</v>
      </c>
      <c r="J19" s="101">
        <f>IF(A19="","",IFERROR(VLOOKUP(A19,'Job Operations'!$A$4:$AA$304,18,FALSE),""))</f>
        <v>46114</v>
      </c>
      <c r="K19" s="100" t="str">
        <f>IF(A19="","",IFERROR(VLOOKUP(A19,'Job Operations'!$A$4:$AA$304,13,FALSE),""))</f>
        <v>AXYZ</v>
      </c>
      <c r="L19" s="100" t="str">
        <f>IF(A19="","",IFERROR(VLOOKUP(A19,'Job Operations'!$A$4:$AA$304,15,FALSE),""))</f>
        <v>Clean and Brake</v>
      </c>
      <c r="M19" s="168" t="str">
        <f>IF(A19="","",IF(IFERROR(VLOOKUP(A19,Notes!A:B,2,FALSE),"")=0,"",VLOOKUP(A19,Notes!A:B,2,FALSE)))</f>
        <v>04/16/2026…LO</v>
      </c>
    </row>
    <row r="20" spans="1:13" x14ac:dyDescent="0.25">
      <c r="A20" s="103" t="str">
        <v>25010-RO07</v>
      </c>
      <c r="B20" s="104" t="str">
        <f>IF(A20="","",IFERROR(VLOOKUP(A20,'Job Operations'!$A$4:$AA$304,2,FALSE),""))</f>
        <v>TOA Spring Hill MOB</v>
      </c>
      <c r="C20" s="105" t="str">
        <f>IF(A20="","",IFERROR(VLOOKUP(A20,'Job Operations'!$A$4:$AA$304,3,FALSE),""))</f>
        <v>Cole Norona</v>
      </c>
      <c r="D20" s="105">
        <f>IF(A20="","",IFERROR(VLOOKUP(A20,'Job Operations'!$A$4:$AA$304,5,FALSE),""))</f>
        <v>3</v>
      </c>
      <c r="E20" s="105">
        <f>IF(A20="","",IFERROR(VLOOKUP(A20,'Job Operations'!$A$4:$AA$304,6,FALSE),""))</f>
        <v>0</v>
      </c>
      <c r="F20" s="105" t="str">
        <f>IF(A20="","",IFERROR(VLOOKUP(A20,'Job Operations'!$A$4:$AA$304,7,FALSE),""))</f>
        <v>FR ACM</v>
      </c>
      <c r="G20" s="106">
        <f>IF(A20="","",IFERROR(VLOOKUP(A20,'Job Operations'!$A$4:$AA$304,9,FALSE),""))</f>
        <v>46127</v>
      </c>
      <c r="H20" s="105" t="str" cm="1">
        <f t="array" ref="H20">IF(A20="","",_xlfn.LET(_xlpm.stn,IFERROR(VLOOKUP(A20,'Job Operations'!$A$4:$AA$304,12,FALSE),""),IF(OR(_xlpm.stn="Fabrication",_xlpm.stn="Fab"),_xlfn.LET(_xlpm.pos,SUMPRODUCT((A$7:A20&lt;&gt;"")*(IFERROR(VLOOKUP(A$7:A20,'Job Operations'!$A$4:$AA$304,12,FALSE),"")="Fabrication")+(A$7:A20&lt;&gt;"")*(IFERROR(VLOOKUP(A$7:A20,'Job Operations'!$A$4:$AA$304,12,FALSE),"")="Fab")),_xlpm.sfx,IF(OR(_xlpm.pos=11,_xlpm.pos=12,_xlpm.pos=13),"th",IF(MOD(_xlpm.pos,10)=1,"st",IF(MOD(_xlpm.pos,10)=2,"nd",IF(MOD(_xlpm.pos,10)=3,"rd","th")))),_xlpm.pos&amp;_xlpm.sfx),IF(_xlpm.stn&lt;&gt;"",_xlpm.stn,""))))</f>
        <v>LO</v>
      </c>
      <c r="I20" s="105" t="str" cm="1">
        <f t="array" ref="I20">IF(A20="","",_xlfn.LET(_xlpm.stn,IFERROR(VLOOKUP(A20,'Job Operations'!$A$4:$AA$304,12,FALSE),""),IF(OR(_xlpm.stn="Fabrication",_xlpm.stn="Fab"),_xlfn.LET(_xlpm.pos,SUMPRODUCT((A$7:A20&lt;&gt;"")*(IFERROR(VLOOKUP(A$7:A20,'Job Operations'!$A$4:$AA$304,12,FALSE),"")="Fabrication")+(A$7:A20&lt;&gt;"")*(IFERROR(VLOOKUP(A$7:A20,'Job Operations'!$A$4:$AA$304,12,FALSE),"")="Fab")),_xlpm.sfx,IF(OR(_xlpm.pos=11,_xlpm.pos=12,_xlpm.pos=13),"th",IF(MOD(_xlpm.pos,10)=1,"st",IF(MOD(_xlpm.pos,10)=2,"nd",IF(MOD(_xlpm.pos,10)=3,"rd","th")))),_xlpm.pos&amp;_xlpm.sfx),IF(ISNUMBER(MATCH(A20,'Clean and Brake Schedule'!A$7:A$100,0)),"#"&amp;MATCH(A20,'Clean and Brake Schedule'!A$7:A$100,0)&amp;" on C&amp;B",IF(ISNUMBER(MATCH(A20,'AXYZ Titans CNC Schedule'!A$7:A$100,0)),"#"&amp;MATCH(A20,'AXYZ Titans CNC Schedule'!A$7:A$100,0)&amp;" on Titans",IF(ISNUMBER(MATCH(A20,'AXYZ CNC Schedule'!A$7:A$100,0)),"#"&amp;MATCH(A20,'AXYZ CNC Schedule'!A$7:A$100,0)&amp;" on AXYZ",IF(_xlpm.stn&lt;&gt;"",_xlpm.stn,"")))))))</f>
        <v>#11 on C&amp;B</v>
      </c>
      <c r="J20" s="106">
        <f>IF(A20="","",IFERROR(VLOOKUP(A20,'Job Operations'!$A$4:$AA$304,18,FALSE),""))</f>
        <v>46114</v>
      </c>
      <c r="K20" s="105" t="str">
        <f>IF(A20="","",IFERROR(VLOOKUP(A20,'Job Operations'!$A$4:$AA$304,13,FALSE),""))</f>
        <v>AXYZ</v>
      </c>
      <c r="L20" s="105" t="str">
        <f>IF(A20="","",IFERROR(VLOOKUP(A20,'Job Operations'!$A$4:$AA$304,15,FALSE),""))</f>
        <v>Clean and Brake</v>
      </c>
      <c r="M20" s="167" t="str">
        <f>IF(A20="","",IF(IFERROR(VLOOKUP(A20,Notes!A:B,2,FALSE),"")=0,"",VLOOKUP(A20,Notes!A:B,2,FALSE)))</f>
        <v>04/16/2026…LO</v>
      </c>
    </row>
    <row r="21" spans="1:13" x14ac:dyDescent="0.25">
      <c r="A21" s="98" t="str">
        <v>25002-FS13</v>
      </c>
      <c r="B21" s="99" t="str">
        <f>IF(A21="","",IFERROR(VLOOKUP(A21,'Job Operations'!$A$4:$AA$304,2,FALSE),""))</f>
        <v>Med Center Health</v>
      </c>
      <c r="C21" s="100" t="str">
        <f>IF(A21="","",IFERROR(VLOOKUP(A21,'Job Operations'!$A$4:$AA$304,3,FALSE),""))</f>
        <v>Carlos Silva</v>
      </c>
      <c r="D21" s="100">
        <f>IF(A21="","",IFERROR(VLOOKUP(A21,'Job Operations'!$A$4:$AA$304,5,FALSE),""))</f>
        <v>30</v>
      </c>
      <c r="E21" s="100">
        <f>IF(A21="","",IFERROR(VLOOKUP(A21,'Job Operations'!$A$4:$AA$304,6,FALSE),""))</f>
        <v>0</v>
      </c>
      <c r="F21" s="100" t="str">
        <f>IF(A21="","",IFERROR(VLOOKUP(A21,'Job Operations'!$A$4:$AA$304,7,FALSE),""))</f>
        <v>FR ACM</v>
      </c>
      <c r="G21" s="101">
        <f>IF(A21="","",IFERROR(VLOOKUP(A21,'Job Operations'!$A$4:$AA$304,9,FALSE),""))</f>
        <v>46129</v>
      </c>
      <c r="H21" s="100" t="str" cm="1">
        <f t="array" ref="H21">IF(A21="","",_xlfn.LET(_xlpm.stn,IFERROR(VLOOKUP(A21,'Job Operations'!$A$4:$AA$304,12,FALSE),""),IF(OR(_xlpm.stn="Fabrication",_xlpm.stn="Fab"),_xlfn.LET(_xlpm.pos,SUMPRODUCT((A$7:A21&lt;&gt;"")*(IFERROR(VLOOKUP(A$7:A21,'Job Operations'!$A$4:$AA$304,12,FALSE),"")="Fabrication")+(A$7:A21&lt;&gt;"")*(IFERROR(VLOOKUP(A$7:A21,'Job Operations'!$A$4:$AA$304,12,FALSE),"")="Fab")),_xlpm.sfx,IF(OR(_xlpm.pos=11,_xlpm.pos=12,_xlpm.pos=13),"th",IF(MOD(_xlpm.pos,10)=1,"st",IF(MOD(_xlpm.pos,10)=2,"nd",IF(MOD(_xlpm.pos,10)=3,"rd","th")))),_xlpm.pos&amp;_xlpm.sfx),IF(_xlpm.stn&lt;&gt;"",_xlpm.stn,""))))</f>
        <v>LO</v>
      </c>
      <c r="I21" s="100" t="str" cm="1">
        <f t="array" ref="I21">IF(A21="","",_xlfn.LET(_xlpm.stn,IFERROR(VLOOKUP(A21,'Job Operations'!$A$4:$AA$304,12,FALSE),""),IF(OR(_xlpm.stn="Fabrication",_xlpm.stn="Fab"),_xlfn.LET(_xlpm.pos,SUMPRODUCT((A$7:A21&lt;&gt;"")*(IFERROR(VLOOKUP(A$7:A21,'Job Operations'!$A$4:$AA$304,12,FALSE),"")="Fabrication")+(A$7:A21&lt;&gt;"")*(IFERROR(VLOOKUP(A$7:A21,'Job Operations'!$A$4:$AA$304,12,FALSE),"")="Fab")),_xlpm.sfx,IF(OR(_xlpm.pos=11,_xlpm.pos=12,_xlpm.pos=13),"th",IF(MOD(_xlpm.pos,10)=1,"st",IF(MOD(_xlpm.pos,10)=2,"nd",IF(MOD(_xlpm.pos,10)=3,"rd","th")))),_xlpm.pos&amp;_xlpm.sfx),IF(ISNUMBER(MATCH(A21,'Clean and Brake Schedule'!A$7:A$100,0)),"#"&amp;MATCH(A21,'Clean and Brake Schedule'!A$7:A$100,0)&amp;" on C&amp;B",IF(ISNUMBER(MATCH(A21,'AXYZ Titans CNC Schedule'!A$7:A$100,0)),"#"&amp;MATCH(A21,'AXYZ Titans CNC Schedule'!A$7:A$100,0)&amp;" on Titans",IF(ISNUMBER(MATCH(A21,'AXYZ CNC Schedule'!A$7:A$100,0)),"#"&amp;MATCH(A21,'AXYZ CNC Schedule'!A$7:A$100,0)&amp;" on AXYZ",IF(_xlpm.stn&lt;&gt;"",_xlpm.stn,"")))))))</f>
        <v>#12 on C&amp;B</v>
      </c>
      <c r="J21" s="101">
        <f>IF(A21="","",IFERROR(VLOOKUP(A21,'Job Operations'!$A$4:$AA$304,18,FALSE),""))</f>
        <v>46116</v>
      </c>
      <c r="K21" s="100" t="str">
        <f>IF(A21="","",IFERROR(VLOOKUP(A21,'Job Operations'!$A$4:$AA$304,13,FALSE),""))</f>
        <v>AXYZ</v>
      </c>
      <c r="L21" s="100" t="str">
        <f>IF(A21="","",IFERROR(VLOOKUP(A21,'Job Operations'!$A$4:$AA$304,15,FALSE),""))</f>
        <v>Clean and Brake</v>
      </c>
      <c r="M21" s="168" t="str">
        <f>IF(A21="","",IF(IFERROR(VLOOKUP(A21,Notes!A:B,2,FALSE),"")=0,"",VLOOKUP(A21,Notes!A:B,2,FALSE)))</f>
        <v>04/16/2026…LO</v>
      </c>
    </row>
    <row r="22" spans="1:13" x14ac:dyDescent="0.25">
      <c r="A22" s="103" t="str">
        <v>26009-FS01</v>
      </c>
      <c r="B22" s="104" t="str">
        <f>IF(A22="","",IFERROR(VLOOKUP(A22,'Job Operations'!$A$4:$AA$304,2,FALSE),""))</f>
        <v>5th &amp; Summer Leasing Office</v>
      </c>
      <c r="C22" s="105" t="str">
        <f>IF(A22="","",IFERROR(VLOOKUP(A22,'Job Operations'!$A$4:$AA$304,3,FALSE),""))</f>
        <v>Cole Norona</v>
      </c>
      <c r="D22" s="105">
        <f>IF(A22="","",IFERROR(VLOOKUP(A22,'Job Operations'!$A$4:$AA$304,5,FALSE),""))</f>
        <v>9</v>
      </c>
      <c r="E22" s="105">
        <f>IF(A22="","",IFERROR(VLOOKUP(A22,'Job Operations'!$A$4:$AA$304,6,FALSE),""))</f>
        <v>0</v>
      </c>
      <c r="F22" s="105" t="str">
        <f>IF(A22="","",IFERROR(VLOOKUP(A22,'Job Operations'!$A$4:$AA$304,7,FALSE),""))</f>
        <v>FR ACM</v>
      </c>
      <c r="G22" s="106">
        <f>IF(A22="","",IFERROR(VLOOKUP(A22,'Job Operations'!$A$4:$AA$304,9,FALSE),""))</f>
        <v>46132</v>
      </c>
      <c r="H22" s="105" t="str" cm="1">
        <f t="array" ref="H22">IF(A22="","",_xlfn.LET(_xlpm.stn,IFERROR(VLOOKUP(A22,'Job Operations'!$A$4:$AA$304,12,FALSE),""),IF(OR(_xlpm.stn="Fabrication",_xlpm.stn="Fab"),_xlfn.LET(_xlpm.pos,SUMPRODUCT((A$7:A22&lt;&gt;"")*(IFERROR(VLOOKUP(A$7:A22,'Job Operations'!$A$4:$AA$304,12,FALSE),"")="Fabrication")+(A$7:A22&lt;&gt;"")*(IFERROR(VLOOKUP(A$7:A22,'Job Operations'!$A$4:$AA$304,12,FALSE),"")="Fab")),_xlpm.sfx,IF(OR(_xlpm.pos=11,_xlpm.pos=12,_xlpm.pos=13),"th",IF(MOD(_xlpm.pos,10)=1,"st",IF(MOD(_xlpm.pos,10)=2,"nd",IF(MOD(_xlpm.pos,10)=3,"rd","th")))),_xlpm.pos&amp;_xlpm.sfx),IF(_xlpm.stn&lt;&gt;"",_xlpm.stn,""))))</f>
        <v>LO Check</v>
      </c>
      <c r="I22" s="105" t="str" cm="1">
        <f t="array" ref="I22">IF(A22="","",_xlfn.LET(_xlpm.stn,IFERROR(VLOOKUP(A22,'Job Operations'!$A$4:$AA$304,12,FALSE),""),IF(OR(_xlpm.stn="Fabrication",_xlpm.stn="Fab"),_xlfn.LET(_xlpm.pos,SUMPRODUCT((A$7:A22&lt;&gt;"")*(IFERROR(VLOOKUP(A$7:A22,'Job Operations'!$A$4:$AA$304,12,FALSE),"")="Fabrication")+(A$7:A22&lt;&gt;"")*(IFERROR(VLOOKUP(A$7:A22,'Job Operations'!$A$4:$AA$304,12,FALSE),"")="Fab")),_xlpm.sfx,IF(OR(_xlpm.pos=11,_xlpm.pos=12,_xlpm.pos=13),"th",IF(MOD(_xlpm.pos,10)=1,"st",IF(MOD(_xlpm.pos,10)=2,"nd",IF(MOD(_xlpm.pos,10)=3,"rd","th")))),_xlpm.pos&amp;_xlpm.sfx),IF(ISNUMBER(MATCH(A22,'Clean and Brake Schedule'!A$7:A$100,0)),"#"&amp;MATCH(A22,'Clean and Brake Schedule'!A$7:A$100,0)&amp;" on C&amp;B",IF(ISNUMBER(MATCH(A22,'AXYZ Titans CNC Schedule'!A$7:A$100,0)),"#"&amp;MATCH(A22,'AXYZ Titans CNC Schedule'!A$7:A$100,0)&amp;" on Titans",IF(ISNUMBER(MATCH(A22,'AXYZ CNC Schedule'!A$7:A$100,0)),"#"&amp;MATCH(A22,'AXYZ CNC Schedule'!A$7:A$100,0)&amp;" on AXYZ",IF(_xlpm.stn&lt;&gt;"",_xlpm.stn,"")))))))</f>
        <v>#13 on C&amp;B</v>
      </c>
      <c r="J22" s="106">
        <f>IF(A22="","",IFERROR(VLOOKUP(A22,'Job Operations'!$A$4:$AA$304,18,FALSE),""))</f>
        <v>46119</v>
      </c>
      <c r="K22" s="105" t="str">
        <f>IF(A22="","",IFERROR(VLOOKUP(A22,'Job Operations'!$A$4:$AA$304,13,FALSE),""))</f>
        <v>AXYZ</v>
      </c>
      <c r="L22" s="105" t="str">
        <f>IF(A22="","",IFERROR(VLOOKUP(A22,'Job Operations'!$A$4:$AA$304,15,FALSE),""))</f>
        <v>Clean and Brake</v>
      </c>
      <c r="M22" s="167" t="str">
        <f>IF(A22="","",IF(IFERROR(VLOOKUP(A22,Notes!A:B,2,FALSE),"")=0,"",VLOOKUP(A22,Notes!A:B,2,FALSE)))</f>
        <v>04/16/2026…LO Check</v>
      </c>
    </row>
    <row r="23" spans="1:13" x14ac:dyDescent="0.25">
      <c r="A23" s="98" t="str">
        <v>25022-RM01</v>
      </c>
      <c r="B23" s="99" t="str">
        <f>IF(A23="","",IFERROR(VLOOKUP(A23,'Job Operations'!$A$4:$AA$304,2,FALSE),""))</f>
        <v>Vantage VA15</v>
      </c>
      <c r="C23" s="100" t="str">
        <f>IF(A23="","",IFERROR(VLOOKUP(A23,'Job Operations'!$A$4:$AA$304,3,FALSE),""))</f>
        <v>Thomas Mooers</v>
      </c>
      <c r="D23" s="100">
        <f>IF(A23="","",IFERROR(VLOOKUP(A23,'Job Operations'!$A$4:$AA$304,5,FALSE),""))</f>
        <v>4</v>
      </c>
      <c r="E23" s="100">
        <f>IF(A23="","",IFERROR(VLOOKUP(A23,'Job Operations'!$A$4:$AA$304,6,FALSE),""))</f>
        <v>4</v>
      </c>
      <c r="F23" s="100" t="str">
        <f>IF(A23="","",IFERROR(VLOOKUP(A23,'Job Operations'!$A$4:$AA$304,7,FALSE),""))</f>
        <v>FR ACM</v>
      </c>
      <c r="G23" s="101">
        <f>IF(A23="","",IFERROR(VLOOKUP(A23,'Job Operations'!$A$4:$AA$304,9,FALSE),""))</f>
        <v>46135</v>
      </c>
      <c r="H23" s="100" t="str" cm="1">
        <f t="array" ref="H23">IF(A23="","",_xlfn.LET(_xlpm.stn,IFERROR(VLOOKUP(A23,'Job Operations'!$A$4:$AA$304,12,FALSE),""),IF(OR(_xlpm.stn="Fabrication",_xlpm.stn="Fab"),_xlfn.LET(_xlpm.pos,SUMPRODUCT((A$7:A23&lt;&gt;"")*(IFERROR(VLOOKUP(A$7:A23,'Job Operations'!$A$4:$AA$304,12,FALSE),"")="Fabrication")+(A$7:A23&lt;&gt;"")*(IFERROR(VLOOKUP(A$7:A23,'Job Operations'!$A$4:$AA$304,12,FALSE),"")="Fab")),_xlpm.sfx,IF(OR(_xlpm.pos=11,_xlpm.pos=12,_xlpm.pos=13),"th",IF(MOD(_xlpm.pos,10)=1,"st",IF(MOD(_xlpm.pos,10)=2,"nd",IF(MOD(_xlpm.pos,10)=3,"rd","th")))),_xlpm.pos&amp;_xlpm.sfx),IF(_xlpm.stn&lt;&gt;"",_xlpm.stn,""))))</f>
        <v>AXYZ 34</v>
      </c>
      <c r="I23" s="100" t="str" cm="1">
        <f t="array" ref="I23">IF(A23="","",_xlfn.LET(_xlpm.stn,IFERROR(VLOOKUP(A23,'Job Operations'!$A$4:$AA$304,12,FALSE),""),IF(OR(_xlpm.stn="Fabrication",_xlpm.stn="Fab"),_xlfn.LET(_xlpm.pos,SUMPRODUCT((A$7:A23&lt;&gt;"")*(IFERROR(VLOOKUP(A$7:A23,'Job Operations'!$A$4:$AA$304,12,FALSE),"")="Fabrication")+(A$7:A23&lt;&gt;"")*(IFERROR(VLOOKUP(A$7:A23,'Job Operations'!$A$4:$AA$304,12,FALSE),"")="Fab")),_xlpm.sfx,IF(OR(_xlpm.pos=11,_xlpm.pos=12,_xlpm.pos=13),"th",IF(MOD(_xlpm.pos,10)=1,"st",IF(MOD(_xlpm.pos,10)=2,"nd",IF(MOD(_xlpm.pos,10)=3,"rd","th")))),_xlpm.pos&amp;_xlpm.sfx),IF(ISNUMBER(MATCH(A23,'Clean and Brake Schedule'!A$7:A$100,0)),"#"&amp;MATCH(A23,'Clean and Brake Schedule'!A$7:A$100,0)&amp;" on C&amp;B",IF(ISNUMBER(MATCH(A23,'AXYZ Titans CNC Schedule'!A$7:A$100,0)),"#"&amp;MATCH(A23,'AXYZ Titans CNC Schedule'!A$7:A$100,0)&amp;" on Titans",IF(ISNUMBER(MATCH(A23,'AXYZ CNC Schedule'!A$7:A$100,0)),"#"&amp;MATCH(A23,'AXYZ CNC Schedule'!A$7:A$100,0)&amp;" on AXYZ",IF(_xlpm.stn&lt;&gt;"",_xlpm.stn,"")))))))</f>
        <v>#14 on C&amp;B</v>
      </c>
      <c r="J23" s="101">
        <f>IF(A23="","",IFERROR(VLOOKUP(A23,'Job Operations'!$A$4:$AA$304,18,FALSE),""))</f>
        <v>46122</v>
      </c>
      <c r="K23" s="100" t="str">
        <f>IF(A23="","",IFERROR(VLOOKUP(A23,'Job Operations'!$A$4:$AA$304,13,FALSE),""))</f>
        <v>AXYZ</v>
      </c>
      <c r="L23" s="100" t="str">
        <f>IF(A23="","",IFERROR(VLOOKUP(A23,'Job Operations'!$A$4:$AA$304,15,FALSE),""))</f>
        <v>Clean and Brake</v>
      </c>
      <c r="M23" s="168" t="str">
        <f>IF(A23="","",IF(IFERROR(VLOOKUP(A23,Notes!A:B,2,FALSE),"")=0,"",VLOOKUP(A23,Notes!A:B,2,FALSE)))</f>
        <v>04/16/2026…AXYZ 34</v>
      </c>
    </row>
    <row r="24" spans="1:13" x14ac:dyDescent="0.25">
      <c r="A24" s="103" t="str">
        <v>25022-RM02</v>
      </c>
      <c r="B24" s="104" t="str">
        <f>IF(A24="","",IFERROR(VLOOKUP(A24,'Job Operations'!$A$4:$AA$304,2,FALSE),""))</f>
        <v>Vantage VA15</v>
      </c>
      <c r="C24" s="105" t="str">
        <f>IF(A24="","",IFERROR(VLOOKUP(A24,'Job Operations'!$A$4:$AA$304,3,FALSE),""))</f>
        <v>Thomas Mooers</v>
      </c>
      <c r="D24" s="105">
        <f>IF(A24="","",IFERROR(VLOOKUP(A24,'Job Operations'!$A$4:$AA$304,5,FALSE),""))</f>
        <v>1</v>
      </c>
      <c r="E24" s="105">
        <f>IF(A24="","",IFERROR(VLOOKUP(A24,'Job Operations'!$A$4:$AA$304,6,FALSE),""))</f>
        <v>1</v>
      </c>
      <c r="F24" s="105" t="str">
        <f>IF(A24="","",IFERROR(VLOOKUP(A24,'Job Operations'!$A$4:$AA$304,7,FALSE),""))</f>
        <v>FR ACM</v>
      </c>
      <c r="G24" s="106">
        <f>IF(A24="","",IFERROR(VLOOKUP(A24,'Job Operations'!$A$4:$AA$304,9,FALSE),""))</f>
        <v>46135</v>
      </c>
      <c r="H24" s="105" t="str" cm="1">
        <f t="array" ref="H24">IF(A24="","",_xlfn.LET(_xlpm.stn,IFERROR(VLOOKUP(A24,'Job Operations'!$A$4:$AA$304,12,FALSE),""),IF(OR(_xlpm.stn="Fabrication",_xlpm.stn="Fab"),_xlfn.LET(_xlpm.pos,SUMPRODUCT((A$7:A24&lt;&gt;"")*(IFERROR(VLOOKUP(A$7:A24,'Job Operations'!$A$4:$AA$304,12,FALSE),"")="Fabrication")+(A$7:A24&lt;&gt;"")*(IFERROR(VLOOKUP(A$7:A24,'Job Operations'!$A$4:$AA$304,12,FALSE),"")="Fab")),_xlpm.sfx,IF(OR(_xlpm.pos=11,_xlpm.pos=12,_xlpm.pos=13),"th",IF(MOD(_xlpm.pos,10)=1,"st",IF(MOD(_xlpm.pos,10)=2,"nd",IF(MOD(_xlpm.pos,10)=3,"rd","th")))),_xlpm.pos&amp;_xlpm.sfx),IF(_xlpm.stn&lt;&gt;"",_xlpm.stn,""))))</f>
        <v>AXYZ 34</v>
      </c>
      <c r="I24" s="105" t="str" cm="1">
        <f t="array" ref="I24">IF(A24="","",_xlfn.LET(_xlpm.stn,IFERROR(VLOOKUP(A24,'Job Operations'!$A$4:$AA$304,12,FALSE),""),IF(OR(_xlpm.stn="Fabrication",_xlpm.stn="Fab"),_xlfn.LET(_xlpm.pos,SUMPRODUCT((A$7:A24&lt;&gt;"")*(IFERROR(VLOOKUP(A$7:A24,'Job Operations'!$A$4:$AA$304,12,FALSE),"")="Fabrication")+(A$7:A24&lt;&gt;"")*(IFERROR(VLOOKUP(A$7:A24,'Job Operations'!$A$4:$AA$304,12,FALSE),"")="Fab")),_xlpm.sfx,IF(OR(_xlpm.pos=11,_xlpm.pos=12,_xlpm.pos=13),"th",IF(MOD(_xlpm.pos,10)=1,"st",IF(MOD(_xlpm.pos,10)=2,"nd",IF(MOD(_xlpm.pos,10)=3,"rd","th")))),_xlpm.pos&amp;_xlpm.sfx),IF(ISNUMBER(MATCH(A24,'Clean and Brake Schedule'!A$7:A$100,0)),"#"&amp;MATCH(A24,'Clean and Brake Schedule'!A$7:A$100,0)&amp;" on C&amp;B",IF(ISNUMBER(MATCH(A24,'AXYZ Titans CNC Schedule'!A$7:A$100,0)),"#"&amp;MATCH(A24,'AXYZ Titans CNC Schedule'!A$7:A$100,0)&amp;" on Titans",IF(ISNUMBER(MATCH(A24,'AXYZ CNC Schedule'!A$7:A$100,0)),"#"&amp;MATCH(A24,'AXYZ CNC Schedule'!A$7:A$100,0)&amp;" on AXYZ",IF(_xlpm.stn&lt;&gt;"",_xlpm.stn,"")))))))</f>
        <v>#15 on C&amp;B</v>
      </c>
      <c r="J24" s="106">
        <f>IF(A24="","",IFERROR(VLOOKUP(A24,'Job Operations'!$A$4:$AA$304,18,FALSE),""))</f>
        <v>46122</v>
      </c>
      <c r="K24" s="105" t="str">
        <f>IF(A24="","",IFERROR(VLOOKUP(A24,'Job Operations'!$A$4:$AA$304,13,FALSE),""))</f>
        <v>AXYZ</v>
      </c>
      <c r="L24" s="105" t="str">
        <f>IF(A24="","",IFERROR(VLOOKUP(A24,'Job Operations'!$A$4:$AA$304,15,FALSE),""))</f>
        <v>Clean and Brake</v>
      </c>
      <c r="M24" s="167" t="str">
        <f>IF(A24="","",IF(IFERROR(VLOOKUP(A24,Notes!A:B,2,FALSE),"")=0,"",VLOOKUP(A24,Notes!A:B,2,FALSE)))</f>
        <v>04/16/2026…AXYZ 34</v>
      </c>
    </row>
    <row r="25" spans="1:13" x14ac:dyDescent="0.25">
      <c r="A25" s="98" t="str">
        <v>25059-RM05</v>
      </c>
      <c r="B25" s="99" t="str">
        <f>IF(A25="","",IFERROR(VLOOKUP(A25,'Job Operations'!$A$4:$AA$304,2,FALSE),""))</f>
        <v>Allen Samuels CDJR and LC</v>
      </c>
      <c r="C25" s="100" t="str">
        <f>IF(A25="","",IFERROR(VLOOKUP(A25,'Job Operations'!$A$4:$AA$304,3,FALSE),""))</f>
        <v>Andre Van Der Merwe</v>
      </c>
      <c r="D25" s="100">
        <f>IF(A25="","",IFERROR(VLOOKUP(A25,'Job Operations'!$A$4:$AA$304,5,FALSE),""))</f>
        <v>1</v>
      </c>
      <c r="E25" s="100">
        <f>IF(A25="","",IFERROR(VLOOKUP(A25,'Job Operations'!$A$4:$AA$304,6,FALSE),""))</f>
        <v>1</v>
      </c>
      <c r="F25" s="100" t="str">
        <f>IF(A25="","",IFERROR(VLOOKUP(A25,'Job Operations'!$A$4:$AA$304,7,FALSE),""))</f>
        <v>FR ACM</v>
      </c>
      <c r="G25" s="101">
        <f>IF(A25="","",IFERROR(VLOOKUP(A25,'Job Operations'!$A$4:$AA$304,9,FALSE),""))</f>
        <v>46135</v>
      </c>
      <c r="H25" s="100" t="str" cm="1">
        <f t="array" ref="H25">IF(A25="","",_xlfn.LET(_xlpm.stn,IFERROR(VLOOKUP(A25,'Job Operations'!$A$4:$AA$304,12,FALSE),""),IF(OR(_xlpm.stn="Fabrication",_xlpm.stn="Fab"),_xlfn.LET(_xlpm.pos,SUMPRODUCT((A$7:A25&lt;&gt;"")*(IFERROR(VLOOKUP(A$7:A25,'Job Operations'!$A$4:$AA$304,12,FALSE),"")="Fabrication")+(A$7:A25&lt;&gt;"")*(IFERROR(VLOOKUP(A$7:A25,'Job Operations'!$A$4:$AA$304,12,FALSE),"")="Fab")),_xlpm.sfx,IF(OR(_xlpm.pos=11,_xlpm.pos=12,_xlpm.pos=13),"th",IF(MOD(_xlpm.pos,10)=1,"st",IF(MOD(_xlpm.pos,10)=2,"nd",IF(MOD(_xlpm.pos,10)=3,"rd","th")))),_xlpm.pos&amp;_xlpm.sfx),IF(_xlpm.stn&lt;&gt;"",_xlpm.stn,""))))</f>
        <v>CNC Programming</v>
      </c>
      <c r="I25" s="100" t="str" cm="1">
        <f t="array" ref="I25">IF(A25="","",_xlfn.LET(_xlpm.stn,IFERROR(VLOOKUP(A25,'Job Operations'!$A$4:$AA$304,12,FALSE),""),IF(OR(_xlpm.stn="Fabrication",_xlpm.stn="Fab"),_xlfn.LET(_xlpm.pos,SUMPRODUCT((A$7:A25&lt;&gt;"")*(IFERROR(VLOOKUP(A$7:A25,'Job Operations'!$A$4:$AA$304,12,FALSE),"")="Fabrication")+(A$7:A25&lt;&gt;"")*(IFERROR(VLOOKUP(A$7:A25,'Job Operations'!$A$4:$AA$304,12,FALSE),"")="Fab")),_xlpm.sfx,IF(OR(_xlpm.pos=11,_xlpm.pos=12,_xlpm.pos=13),"th",IF(MOD(_xlpm.pos,10)=1,"st",IF(MOD(_xlpm.pos,10)=2,"nd",IF(MOD(_xlpm.pos,10)=3,"rd","th")))),_xlpm.pos&amp;_xlpm.sfx),IF(ISNUMBER(MATCH(A25,'Clean and Brake Schedule'!A$7:A$100,0)),"#"&amp;MATCH(A25,'Clean and Brake Schedule'!A$7:A$100,0)&amp;" on C&amp;B",IF(ISNUMBER(MATCH(A25,'AXYZ Titans CNC Schedule'!A$7:A$100,0)),"#"&amp;MATCH(A25,'AXYZ Titans CNC Schedule'!A$7:A$100,0)&amp;" on Titans",IF(ISNUMBER(MATCH(A25,'AXYZ CNC Schedule'!A$7:A$100,0)),"#"&amp;MATCH(A25,'AXYZ CNC Schedule'!A$7:A$100,0)&amp;" on AXYZ",IF(_xlpm.stn&lt;&gt;"",_xlpm.stn,"")))))))</f>
        <v>#16 on C&amp;B</v>
      </c>
      <c r="J25" s="101">
        <f>IF(A25="","",IFERROR(VLOOKUP(A25,'Job Operations'!$A$4:$AA$304,18,FALSE),""))</f>
        <v>46122</v>
      </c>
      <c r="K25" s="100" t="str">
        <f>IF(A25="","",IFERROR(VLOOKUP(A25,'Job Operations'!$A$4:$AA$304,13,FALSE),""))</f>
        <v>AXYZ</v>
      </c>
      <c r="L25" s="100" t="str">
        <f>IF(A25="","",IFERROR(VLOOKUP(A25,'Job Operations'!$A$4:$AA$304,15,FALSE),""))</f>
        <v>Clean and Brake</v>
      </c>
      <c r="M25" s="168" t="str">
        <f>IF(A25="","",IF(IFERROR(VLOOKUP(A25,Notes!A:B,2,FALSE),"")=0,"",VLOOKUP(A25,Notes!A:B,2,FALSE)))</f>
        <v>04/16/2026…CNC Programming</v>
      </c>
    </row>
    <row r="26" spans="1:13" x14ac:dyDescent="0.25">
      <c r="A26" s="103" t="str">
        <v>25030-FS01</v>
      </c>
      <c r="B26" s="104" t="str">
        <f>IF(A26="","",IFERROR(VLOOKUP(A26,'Job Operations'!$A$4:$AA$304,2,FALSE),""))</f>
        <v>510 W Tremont</v>
      </c>
      <c r="C26" s="105" t="str">
        <f>IF(A26="","",IFERROR(VLOOKUP(A26,'Job Operations'!$A$4:$AA$304,3,FALSE),""))</f>
        <v>Laura Forero</v>
      </c>
      <c r="D26" s="105">
        <f>IF(A26="","",IFERROR(VLOOKUP(A26,'Job Operations'!$A$4:$AA$304,5,FALSE),""))</f>
        <v>88</v>
      </c>
      <c r="E26" s="105">
        <f>IF(A26="","",IFERROR(VLOOKUP(A26,'Job Operations'!$A$4:$AA$304,6,FALSE),""))</f>
        <v>0</v>
      </c>
      <c r="F26" s="105" t="str">
        <f>IF(A26="","",IFERROR(VLOOKUP(A26,'Job Operations'!$A$4:$AA$304,7,FALSE),""))</f>
        <v>FR ACM</v>
      </c>
      <c r="G26" s="106">
        <f>IF(A26="","",IFERROR(VLOOKUP(A26,'Job Operations'!$A$4:$AA$304,9,FALSE),""))</f>
        <v>46136</v>
      </c>
      <c r="H26" s="105" t="str" cm="1">
        <f t="array" ref="H26">IF(A26="","",_xlfn.LET(_xlpm.stn,IFERROR(VLOOKUP(A26,'Job Operations'!$A$4:$AA$304,12,FALSE),""),IF(OR(_xlpm.stn="Fabrication",_xlpm.stn="Fab"),_xlfn.LET(_xlpm.pos,SUMPRODUCT((A$7:A26&lt;&gt;"")*(IFERROR(VLOOKUP(A$7:A26,'Job Operations'!$A$4:$AA$304,12,FALSE),"")="Fabrication")+(A$7:A26&lt;&gt;"")*(IFERROR(VLOOKUP(A$7:A26,'Job Operations'!$A$4:$AA$304,12,FALSE),"")="Fab")),_xlpm.sfx,IF(OR(_xlpm.pos=11,_xlpm.pos=12,_xlpm.pos=13),"th",IF(MOD(_xlpm.pos,10)=1,"st",IF(MOD(_xlpm.pos,10)=2,"nd",IF(MOD(_xlpm.pos,10)=3,"rd","th")))),_xlpm.pos&amp;_xlpm.sfx),IF(_xlpm.stn&lt;&gt;"",_xlpm.stn,""))))</f>
        <v>Correction</v>
      </c>
      <c r="I26" s="105" t="str" cm="1">
        <f t="array" ref="I26">IF(A26="","",_xlfn.LET(_xlpm.stn,IFERROR(VLOOKUP(A26,'Job Operations'!$A$4:$AA$304,12,FALSE),""),IF(OR(_xlpm.stn="Fabrication",_xlpm.stn="Fab"),_xlfn.LET(_xlpm.pos,SUMPRODUCT((A$7:A26&lt;&gt;"")*(IFERROR(VLOOKUP(A$7:A26,'Job Operations'!$A$4:$AA$304,12,FALSE),"")="Fabrication")+(A$7:A26&lt;&gt;"")*(IFERROR(VLOOKUP(A$7:A26,'Job Operations'!$A$4:$AA$304,12,FALSE),"")="Fab")),_xlpm.sfx,IF(OR(_xlpm.pos=11,_xlpm.pos=12,_xlpm.pos=13),"th",IF(MOD(_xlpm.pos,10)=1,"st",IF(MOD(_xlpm.pos,10)=2,"nd",IF(MOD(_xlpm.pos,10)=3,"rd","th")))),_xlpm.pos&amp;_xlpm.sfx),IF(ISNUMBER(MATCH(A26,'Clean and Brake Schedule'!A$7:A$100,0)),"#"&amp;MATCH(A26,'Clean and Brake Schedule'!A$7:A$100,0)&amp;" on C&amp;B",IF(ISNUMBER(MATCH(A26,'AXYZ Titans CNC Schedule'!A$7:A$100,0)),"#"&amp;MATCH(A26,'AXYZ Titans CNC Schedule'!A$7:A$100,0)&amp;" on Titans",IF(ISNUMBER(MATCH(A26,'AXYZ CNC Schedule'!A$7:A$100,0)),"#"&amp;MATCH(A26,'AXYZ CNC Schedule'!A$7:A$100,0)&amp;" on AXYZ",IF(_xlpm.stn&lt;&gt;"",_xlpm.stn,"")))))))</f>
        <v>#18 on C&amp;B</v>
      </c>
      <c r="J26" s="106">
        <f>IF(A26="","",IFERROR(VLOOKUP(A26,'Job Operations'!$A$4:$AA$304,18,FALSE),""))</f>
        <v>46123</v>
      </c>
      <c r="K26" s="105" t="str">
        <f>IF(A26="","",IFERROR(VLOOKUP(A26,'Job Operations'!$A$4:$AA$304,13,FALSE),""))</f>
        <v>AXYZ</v>
      </c>
      <c r="L26" s="105" t="str">
        <f>IF(A26="","",IFERROR(VLOOKUP(A26,'Job Operations'!$A$4:$AA$304,15,FALSE),""))</f>
        <v>Clean and Brake</v>
      </c>
      <c r="M26" s="167" t="str">
        <f>IF(A26="","",IF(IFERROR(VLOOKUP(A26,Notes!A:B,2,FALSE),"")=0,"",VLOOKUP(A26,Notes!A:B,2,FALSE)))</f>
        <v>04/16/2026…Correction</v>
      </c>
    </row>
    <row r="27" spans="1:13" x14ac:dyDescent="0.25">
      <c r="A27" s="98" t="str">
        <v>25030-FS02</v>
      </c>
      <c r="B27" s="99" t="str">
        <f>IF(A27="","",IFERROR(VLOOKUP(A27,'Job Operations'!$A$4:$AA$304,2,FALSE),""))</f>
        <v>510 W Tremont</v>
      </c>
      <c r="C27" s="100" t="str">
        <f>IF(A27="","",IFERROR(VLOOKUP(A27,'Job Operations'!$A$4:$AA$304,3,FALSE),""))</f>
        <v>Laura Forero</v>
      </c>
      <c r="D27" s="100">
        <f>IF(A27="","",IFERROR(VLOOKUP(A27,'Job Operations'!$A$4:$AA$304,5,FALSE),""))</f>
        <v>84</v>
      </c>
      <c r="E27" s="100">
        <f>IF(A27="","",IFERROR(VLOOKUP(A27,'Job Operations'!$A$4:$AA$304,6,FALSE),""))</f>
        <v>0</v>
      </c>
      <c r="F27" s="100" t="str">
        <f>IF(A27="","",IFERROR(VLOOKUP(A27,'Job Operations'!$A$4:$AA$304,7,FALSE),""))</f>
        <v>FR ACM</v>
      </c>
      <c r="G27" s="101">
        <f>IF(A27="","",IFERROR(VLOOKUP(A27,'Job Operations'!$A$4:$AA$304,9,FALSE),""))</f>
        <v>46136</v>
      </c>
      <c r="H27" s="100" t="str" cm="1">
        <f t="array" ref="H27">IF(A27="","",_xlfn.LET(_xlpm.stn,IFERROR(VLOOKUP(A27,'Job Operations'!$A$4:$AA$304,12,FALSE),""),IF(OR(_xlpm.stn="Fabrication",_xlpm.stn="Fab"),_xlfn.LET(_xlpm.pos,SUMPRODUCT((A$7:A27&lt;&gt;"")*(IFERROR(VLOOKUP(A$7:A27,'Job Operations'!$A$4:$AA$304,12,FALSE),"")="Fabrication")+(A$7:A27&lt;&gt;"")*(IFERROR(VLOOKUP(A$7:A27,'Job Operations'!$A$4:$AA$304,12,FALSE),"")="Fab")),_xlpm.sfx,IF(OR(_xlpm.pos=11,_xlpm.pos=12,_xlpm.pos=13),"th",IF(MOD(_xlpm.pos,10)=1,"st",IF(MOD(_xlpm.pos,10)=2,"nd",IF(MOD(_xlpm.pos,10)=3,"rd","th")))),_xlpm.pos&amp;_xlpm.sfx),IF(_xlpm.stn&lt;&gt;"",_xlpm.stn,""))))</f>
        <v>Sketch</v>
      </c>
      <c r="I27" s="100" t="str" cm="1">
        <f t="array" ref="I27">IF(A27="","",_xlfn.LET(_xlpm.stn,IFERROR(VLOOKUP(A27,'Job Operations'!$A$4:$AA$304,12,FALSE),""),IF(OR(_xlpm.stn="Fabrication",_xlpm.stn="Fab"),_xlfn.LET(_xlpm.pos,SUMPRODUCT((A$7:A27&lt;&gt;"")*(IFERROR(VLOOKUP(A$7:A27,'Job Operations'!$A$4:$AA$304,12,FALSE),"")="Fabrication")+(A$7:A27&lt;&gt;"")*(IFERROR(VLOOKUP(A$7:A27,'Job Operations'!$A$4:$AA$304,12,FALSE),"")="Fab")),_xlpm.sfx,IF(OR(_xlpm.pos=11,_xlpm.pos=12,_xlpm.pos=13),"th",IF(MOD(_xlpm.pos,10)=1,"st",IF(MOD(_xlpm.pos,10)=2,"nd",IF(MOD(_xlpm.pos,10)=3,"rd","th")))),_xlpm.pos&amp;_xlpm.sfx),IF(ISNUMBER(MATCH(A27,'Clean and Brake Schedule'!A$7:A$100,0)),"#"&amp;MATCH(A27,'Clean and Brake Schedule'!A$7:A$100,0)&amp;" on C&amp;B",IF(ISNUMBER(MATCH(A27,'AXYZ Titans CNC Schedule'!A$7:A$100,0)),"#"&amp;MATCH(A27,'AXYZ Titans CNC Schedule'!A$7:A$100,0)&amp;" on Titans",IF(ISNUMBER(MATCH(A27,'AXYZ CNC Schedule'!A$7:A$100,0)),"#"&amp;MATCH(A27,'AXYZ CNC Schedule'!A$7:A$100,0)&amp;" on AXYZ",IF(_xlpm.stn&lt;&gt;"",_xlpm.stn,"")))))))</f>
        <v>#19 on C&amp;B</v>
      </c>
      <c r="J27" s="101">
        <f>IF(A27="","",IFERROR(VLOOKUP(A27,'Job Operations'!$A$4:$AA$304,18,FALSE),""))</f>
        <v>46123</v>
      </c>
      <c r="K27" s="100" t="str">
        <f>IF(A27="","",IFERROR(VLOOKUP(A27,'Job Operations'!$A$4:$AA$304,13,FALSE),""))</f>
        <v>AXYZ</v>
      </c>
      <c r="L27" s="100" t="str">
        <f>IF(A27="","",IFERROR(VLOOKUP(A27,'Job Operations'!$A$4:$AA$304,15,FALSE),""))</f>
        <v>Clean and Brake</v>
      </c>
      <c r="M27" s="168" t="str">
        <f>IF(A27="","",IF(IFERROR(VLOOKUP(A27,Notes!A:B,2,FALSE),"")=0,"",VLOOKUP(A27,Notes!A:B,2,FALSE)))</f>
        <v>04/16/2026…Sketch</v>
      </c>
    </row>
    <row r="28" spans="1:13" x14ac:dyDescent="0.25">
      <c r="A28" s="103" t="str">
        <v>24051-FS90</v>
      </c>
      <c r="B28" s="104" t="str">
        <f>IF(A28="","",IFERROR(VLOOKUP(A28,'Job Operations'!$A$4:$AA$304,2,FALSE),""))</f>
        <v>TN Titans Stadium</v>
      </c>
      <c r="C28" s="105" t="str">
        <f>IF(A28="","",IFERROR(VLOOKUP(A28,'Job Operations'!$A$4:$AA$304,3,FALSE),""))</f>
        <v>Marc Ribar</v>
      </c>
      <c r="D28" s="105">
        <f>IF(A28="","",IFERROR(VLOOKUP(A28,'Job Operations'!$A$4:$AA$304,5,FALSE),""))</f>
        <v>117</v>
      </c>
      <c r="E28" s="105">
        <f>IF(A28="","",IFERROR(VLOOKUP(A28,'Job Operations'!$A$4:$AA$304,6,FALSE),""))</f>
        <v>0</v>
      </c>
      <c r="F28" s="105" t="str">
        <f>IF(A28="","",IFERROR(VLOOKUP(A28,'Job Operations'!$A$4:$AA$304,7,FALSE),""))</f>
        <v>FR ACM</v>
      </c>
      <c r="G28" s="106">
        <f>IF(A28="","",IFERROR(VLOOKUP(A28,'Job Operations'!$A$4:$AA$304,9,FALSE),""))</f>
        <v>46136</v>
      </c>
      <c r="H28" s="105" t="str" cm="1">
        <f t="array" ref="H28">IF(A28="","",_xlfn.LET(_xlpm.stn,IFERROR(VLOOKUP(A28,'Job Operations'!$A$4:$AA$304,12,FALSE),""),IF(OR(_xlpm.stn="Fabrication",_xlpm.stn="Fab"),_xlfn.LET(_xlpm.pos,SUMPRODUCT((A$7:A28&lt;&gt;"")*(IFERROR(VLOOKUP(A$7:A28,'Job Operations'!$A$4:$AA$304,12,FALSE),"")="Fabrication")+(A$7:A28&lt;&gt;"")*(IFERROR(VLOOKUP(A$7:A28,'Job Operations'!$A$4:$AA$304,12,FALSE),"")="Fab")),_xlpm.sfx,IF(OR(_xlpm.pos=11,_xlpm.pos=12,_xlpm.pos=13),"th",IF(MOD(_xlpm.pos,10)=1,"st",IF(MOD(_xlpm.pos,10)=2,"nd",IF(MOD(_xlpm.pos,10)=3,"rd","th")))),_xlpm.pos&amp;_xlpm.sfx),IF(_xlpm.stn&lt;&gt;"",_xlpm.stn,""))))</f>
        <v>Float</v>
      </c>
      <c r="I28" s="105" t="str" cm="1">
        <f t="array" ref="I28">IF(A28="","",_xlfn.LET(_xlpm.stn,IFERROR(VLOOKUP(A28,'Job Operations'!$A$4:$AA$304,12,FALSE),""),IF(OR(_xlpm.stn="Fabrication",_xlpm.stn="Fab"),_xlfn.LET(_xlpm.pos,SUMPRODUCT((A$7:A28&lt;&gt;"")*(IFERROR(VLOOKUP(A$7:A28,'Job Operations'!$A$4:$AA$304,12,FALSE),"")="Fabrication")+(A$7:A28&lt;&gt;"")*(IFERROR(VLOOKUP(A$7:A28,'Job Operations'!$A$4:$AA$304,12,FALSE),"")="Fab")),_xlpm.sfx,IF(OR(_xlpm.pos=11,_xlpm.pos=12,_xlpm.pos=13),"th",IF(MOD(_xlpm.pos,10)=1,"st",IF(MOD(_xlpm.pos,10)=2,"nd",IF(MOD(_xlpm.pos,10)=3,"rd","th")))),_xlpm.pos&amp;_xlpm.sfx),IF(ISNUMBER(MATCH(A28,'Clean and Brake Schedule'!A$7:A$100,0)),"#"&amp;MATCH(A28,'Clean and Brake Schedule'!A$7:A$100,0)&amp;" on C&amp;B",IF(ISNUMBER(MATCH(A28,'AXYZ Titans CNC Schedule'!A$7:A$100,0)),"#"&amp;MATCH(A28,'AXYZ Titans CNC Schedule'!A$7:A$100,0)&amp;" on Titans",IF(ISNUMBER(MATCH(A28,'AXYZ CNC Schedule'!A$7:A$100,0)),"#"&amp;MATCH(A28,'AXYZ CNC Schedule'!A$7:A$100,0)&amp;" on AXYZ",IF(_xlpm.stn&lt;&gt;"",_xlpm.stn,"")))))))</f>
        <v>#20 on C&amp;B</v>
      </c>
      <c r="J28" s="106">
        <f>IF(A28="","",IFERROR(VLOOKUP(A28,'Job Operations'!$A$4:$AA$304,18,FALSE),""))</f>
        <v>46123</v>
      </c>
      <c r="K28" s="105" t="str">
        <f>IF(A28="","",IFERROR(VLOOKUP(A28,'Job Operations'!$A$4:$AA$304,13,FALSE),""))</f>
        <v>AXYZ</v>
      </c>
      <c r="L28" s="105" t="str">
        <f>IF(A28="","",IFERROR(VLOOKUP(A28,'Job Operations'!$A$4:$AA$304,15,FALSE),""))</f>
        <v>Clean and Brake</v>
      </c>
      <c r="M28" s="167" t="str">
        <f>IF(A28="","",IF(IFERROR(VLOOKUP(A28,Notes!A:B,2,FALSE),"")=0,"",VLOOKUP(A28,Notes!A:B,2,FALSE)))</f>
        <v>04/16/2026…Float</v>
      </c>
    </row>
    <row r="29" spans="1:13" x14ac:dyDescent="0.25">
      <c r="A29" s="98" t="str">
        <v>24051-FS91</v>
      </c>
      <c r="B29" s="99" t="str">
        <f>IF(A29="","",IFERROR(VLOOKUP(A29,'Job Operations'!$A$4:$AA$304,2,FALSE),""))</f>
        <v>TN Titans Stadium</v>
      </c>
      <c r="C29" s="100" t="str">
        <f>IF(A29="","",IFERROR(VLOOKUP(A29,'Job Operations'!$A$4:$AA$304,3,FALSE),""))</f>
        <v>Marc Ribar</v>
      </c>
      <c r="D29" s="100">
        <f>IF(A29="","",IFERROR(VLOOKUP(A29,'Job Operations'!$A$4:$AA$304,5,FALSE),""))</f>
        <v>36</v>
      </c>
      <c r="E29" s="100">
        <f>IF(A29="","",IFERROR(VLOOKUP(A29,'Job Operations'!$A$4:$AA$304,6,FALSE),""))</f>
        <v>0</v>
      </c>
      <c r="F29" s="100" t="str">
        <f>IF(A29="","",IFERROR(VLOOKUP(A29,'Job Operations'!$A$4:$AA$304,7,FALSE),""))</f>
        <v>FR ACM</v>
      </c>
      <c r="G29" s="101">
        <f>IF(A29="","",IFERROR(VLOOKUP(A29,'Job Operations'!$A$4:$AA$304,9,FALSE),""))</f>
        <v>46136</v>
      </c>
      <c r="H29" s="100" t="str" cm="1">
        <f t="array" ref="H29">IF(A29="","",_xlfn.LET(_xlpm.stn,IFERROR(VLOOKUP(A29,'Job Operations'!$A$4:$AA$304,12,FALSE),""),IF(OR(_xlpm.stn="Fabrication",_xlpm.stn="Fab"),_xlfn.LET(_xlpm.pos,SUMPRODUCT((A$7:A29&lt;&gt;"")*(IFERROR(VLOOKUP(A$7:A29,'Job Operations'!$A$4:$AA$304,12,FALSE),"")="Fabrication")+(A$7:A29&lt;&gt;"")*(IFERROR(VLOOKUP(A$7:A29,'Job Operations'!$A$4:$AA$304,12,FALSE),"")="Fab")),_xlpm.sfx,IF(OR(_xlpm.pos=11,_xlpm.pos=12,_xlpm.pos=13),"th",IF(MOD(_xlpm.pos,10)=1,"st",IF(MOD(_xlpm.pos,10)=2,"nd",IF(MOD(_xlpm.pos,10)=3,"rd","th")))),_xlpm.pos&amp;_xlpm.sfx),IF(_xlpm.stn&lt;&gt;"",_xlpm.stn,""))))</f>
        <v>Float</v>
      </c>
      <c r="I29" s="100" t="str" cm="1">
        <f t="array" ref="I29">IF(A29="","",_xlfn.LET(_xlpm.stn,IFERROR(VLOOKUP(A29,'Job Operations'!$A$4:$AA$304,12,FALSE),""),IF(OR(_xlpm.stn="Fabrication",_xlpm.stn="Fab"),_xlfn.LET(_xlpm.pos,SUMPRODUCT((A$7:A29&lt;&gt;"")*(IFERROR(VLOOKUP(A$7:A29,'Job Operations'!$A$4:$AA$304,12,FALSE),"")="Fabrication")+(A$7:A29&lt;&gt;"")*(IFERROR(VLOOKUP(A$7:A29,'Job Operations'!$A$4:$AA$304,12,FALSE),"")="Fab")),_xlpm.sfx,IF(OR(_xlpm.pos=11,_xlpm.pos=12,_xlpm.pos=13),"th",IF(MOD(_xlpm.pos,10)=1,"st",IF(MOD(_xlpm.pos,10)=2,"nd",IF(MOD(_xlpm.pos,10)=3,"rd","th")))),_xlpm.pos&amp;_xlpm.sfx),IF(ISNUMBER(MATCH(A29,'Clean and Brake Schedule'!A$7:A$100,0)),"#"&amp;MATCH(A29,'Clean and Brake Schedule'!A$7:A$100,0)&amp;" on C&amp;B",IF(ISNUMBER(MATCH(A29,'AXYZ Titans CNC Schedule'!A$7:A$100,0)),"#"&amp;MATCH(A29,'AXYZ Titans CNC Schedule'!A$7:A$100,0)&amp;" on Titans",IF(ISNUMBER(MATCH(A29,'AXYZ CNC Schedule'!A$7:A$100,0)),"#"&amp;MATCH(A29,'AXYZ CNC Schedule'!A$7:A$100,0)&amp;" on AXYZ",IF(_xlpm.stn&lt;&gt;"",_xlpm.stn,"")))))))</f>
        <v>#21 on C&amp;B</v>
      </c>
      <c r="J29" s="101">
        <f>IF(A29="","",IFERROR(VLOOKUP(A29,'Job Operations'!$A$4:$AA$304,18,FALSE),""))</f>
        <v>46123</v>
      </c>
      <c r="K29" s="100" t="str">
        <f>IF(A29="","",IFERROR(VLOOKUP(A29,'Job Operations'!$A$4:$AA$304,13,FALSE),""))</f>
        <v>AXYZ</v>
      </c>
      <c r="L29" s="100" t="str">
        <f>IF(A29="","",IFERROR(VLOOKUP(A29,'Job Operations'!$A$4:$AA$304,15,FALSE),""))</f>
        <v>Clean and Brake</v>
      </c>
      <c r="M29" s="168" t="str">
        <f>IF(A29="","",IF(IFERROR(VLOOKUP(A29,Notes!A:B,2,FALSE),"")=0,"",VLOOKUP(A29,Notes!A:B,2,FALSE)))</f>
        <v>04/16/2026…Float</v>
      </c>
    </row>
    <row r="30" spans="1:13" x14ac:dyDescent="0.25">
      <c r="A30" s="103" t="str">
        <v>24051-FS227</v>
      </c>
      <c r="B30" s="104" t="str">
        <f>IF(A30="","",IFERROR(VLOOKUP(A30,'Job Operations'!$A$4:$AA$304,2,FALSE),""))</f>
        <v>TN Titans Stadium</v>
      </c>
      <c r="C30" s="105" t="str">
        <f>IF(A30="","",IFERROR(VLOOKUP(A30,'Job Operations'!$A$4:$AA$304,3,FALSE),""))</f>
        <v>Marc Ribar</v>
      </c>
      <c r="D30" s="105">
        <f>IF(A30="","",IFERROR(VLOOKUP(A30,'Job Operations'!$A$4:$AA$304,5,FALSE),""))</f>
        <v>119</v>
      </c>
      <c r="E30" s="105">
        <f>IF(A30="","",IFERROR(VLOOKUP(A30,'Job Operations'!$A$4:$AA$304,6,FALSE),""))</f>
        <v>0</v>
      </c>
      <c r="F30" s="105" t="str">
        <f>IF(A30="","",IFERROR(VLOOKUP(A30,'Job Operations'!$A$4:$AA$304,7,FALSE),""))</f>
        <v>FR ACM</v>
      </c>
      <c r="G30" s="106">
        <f>IF(A30="","",IFERROR(VLOOKUP(A30,'Job Operations'!$A$4:$AA$304,9,FALSE),""))</f>
        <v>46136</v>
      </c>
      <c r="H30" s="105" t="str" cm="1">
        <f t="array" ref="H30">IF(A30="","",_xlfn.LET(_xlpm.stn,IFERROR(VLOOKUP(A30,'Job Operations'!$A$4:$AA$304,12,FALSE),""),IF(OR(_xlpm.stn="Fabrication",_xlpm.stn="Fab"),_xlfn.LET(_xlpm.pos,SUMPRODUCT((A$7:A30&lt;&gt;"")*(IFERROR(VLOOKUP(A$7:A30,'Job Operations'!$A$4:$AA$304,12,FALSE),"")="Fabrication")+(A$7:A30&lt;&gt;"")*(IFERROR(VLOOKUP(A$7:A30,'Job Operations'!$A$4:$AA$304,12,FALSE),"")="Fab")),_xlpm.sfx,IF(OR(_xlpm.pos=11,_xlpm.pos=12,_xlpm.pos=13),"th",IF(MOD(_xlpm.pos,10)=1,"st",IF(MOD(_xlpm.pos,10)=2,"nd",IF(MOD(_xlpm.pos,10)=3,"rd","th")))),_xlpm.pos&amp;_xlpm.sfx),IF(_xlpm.stn&lt;&gt;"",_xlpm.stn,""))))</f>
        <v>Float</v>
      </c>
      <c r="I30" s="105" t="str" cm="1">
        <f t="array" ref="I30">IF(A30="","",_xlfn.LET(_xlpm.stn,IFERROR(VLOOKUP(A30,'Job Operations'!$A$4:$AA$304,12,FALSE),""),IF(OR(_xlpm.stn="Fabrication",_xlpm.stn="Fab"),_xlfn.LET(_xlpm.pos,SUMPRODUCT((A$7:A30&lt;&gt;"")*(IFERROR(VLOOKUP(A$7:A30,'Job Operations'!$A$4:$AA$304,12,FALSE),"")="Fabrication")+(A$7:A30&lt;&gt;"")*(IFERROR(VLOOKUP(A$7:A30,'Job Operations'!$A$4:$AA$304,12,FALSE),"")="Fab")),_xlpm.sfx,IF(OR(_xlpm.pos=11,_xlpm.pos=12,_xlpm.pos=13),"th",IF(MOD(_xlpm.pos,10)=1,"st",IF(MOD(_xlpm.pos,10)=2,"nd",IF(MOD(_xlpm.pos,10)=3,"rd","th")))),_xlpm.pos&amp;_xlpm.sfx),IF(ISNUMBER(MATCH(A30,'Clean and Brake Schedule'!A$7:A$100,0)),"#"&amp;MATCH(A30,'Clean and Brake Schedule'!A$7:A$100,0)&amp;" on C&amp;B",IF(ISNUMBER(MATCH(A30,'AXYZ Titans CNC Schedule'!A$7:A$100,0)),"#"&amp;MATCH(A30,'AXYZ Titans CNC Schedule'!A$7:A$100,0)&amp;" on Titans",IF(ISNUMBER(MATCH(A30,'AXYZ CNC Schedule'!A$7:A$100,0)),"#"&amp;MATCH(A30,'AXYZ CNC Schedule'!A$7:A$100,0)&amp;" on AXYZ",IF(_xlpm.stn&lt;&gt;"",_xlpm.stn,"")))))))</f>
        <v>#22 on C&amp;B</v>
      </c>
      <c r="J30" s="106">
        <f>IF(A30="","",IFERROR(VLOOKUP(A30,'Job Operations'!$A$4:$AA$304,18,FALSE),""))</f>
        <v>46123</v>
      </c>
      <c r="K30" s="105" t="str">
        <f>IF(A30="","",IFERROR(VLOOKUP(A30,'Job Operations'!$A$4:$AA$304,13,FALSE),""))</f>
        <v>AXYZ</v>
      </c>
      <c r="L30" s="105" t="str">
        <f>IF(A30="","",IFERROR(VLOOKUP(A30,'Job Operations'!$A$4:$AA$304,15,FALSE),""))</f>
        <v>Clean and Brake</v>
      </c>
      <c r="M30" s="167" t="str">
        <f>IF(A30="","",IF(IFERROR(VLOOKUP(A30,Notes!A:B,2,FALSE),"")=0,"",VLOOKUP(A30,Notes!A:B,2,FALSE)))</f>
        <v>04/16/2026…Float</v>
      </c>
    </row>
    <row r="31" spans="1:13" x14ac:dyDescent="0.25">
      <c r="A31" s="98" t="str">
        <v>24079-RM01</v>
      </c>
      <c r="B31" s="99" t="str">
        <f>IF(A31="","",IFERROR(VLOOKUP(A31,'Job Operations'!$A$4:$AA$304,2,FALSE),""))</f>
        <v>Nashville Youth Campus</v>
      </c>
      <c r="C31" s="100" t="str">
        <f>IF(A31="","",IFERROR(VLOOKUP(A31,'Job Operations'!$A$4:$AA$304,3,FALSE),""))</f>
        <v>Joe Hoyle</v>
      </c>
      <c r="D31" s="100">
        <f>IF(A31="","",IFERROR(VLOOKUP(A31,'Job Operations'!$A$4:$AA$304,5,FALSE),""))</f>
        <v>37</v>
      </c>
      <c r="E31" s="100">
        <f>IF(A31="","",IFERROR(VLOOKUP(A31,'Job Operations'!$A$4:$AA$304,6,FALSE),""))</f>
        <v>39</v>
      </c>
      <c r="F31" s="100" t="str">
        <f>IF(A31="","",IFERROR(VLOOKUP(A31,'Job Operations'!$A$4:$AA$304,7,FALSE),""))</f>
        <v>FR ACM</v>
      </c>
      <c r="G31" s="101">
        <f>IF(A31="","",IFERROR(VLOOKUP(A31,'Job Operations'!$A$4:$AA$304,9,FALSE),""))</f>
        <v>46136</v>
      </c>
      <c r="H31" s="100" t="str" cm="1">
        <f t="array" ref="H31">IF(A31="","",_xlfn.LET(_xlpm.stn,IFERROR(VLOOKUP(A31,'Job Operations'!$A$4:$AA$304,12,FALSE),""),IF(OR(_xlpm.stn="Fabrication",_xlpm.stn="Fab"),_xlfn.LET(_xlpm.pos,SUMPRODUCT((A$7:A31&lt;&gt;"")*(IFERROR(VLOOKUP(A$7:A31,'Job Operations'!$A$4:$AA$304,12,FALSE),"")="Fabrication")+(A$7:A31&lt;&gt;"")*(IFERROR(VLOOKUP(A$7:A31,'Job Operations'!$A$4:$AA$304,12,FALSE),"")="Fab")),_xlpm.sfx,IF(OR(_xlpm.pos=11,_xlpm.pos=12,_xlpm.pos=13),"th",IF(MOD(_xlpm.pos,10)=1,"st",IF(MOD(_xlpm.pos,10)=2,"nd",IF(MOD(_xlpm.pos,10)=3,"rd","th")))),_xlpm.pos&amp;_xlpm.sfx),IF(_xlpm.stn&lt;&gt;"",_xlpm.stn,""))))</f>
        <v>Sketch</v>
      </c>
      <c r="I31" s="100" t="str" cm="1">
        <f t="array" ref="I31">IF(A31="","",_xlfn.LET(_xlpm.stn,IFERROR(VLOOKUP(A31,'Job Operations'!$A$4:$AA$304,12,FALSE),""),IF(OR(_xlpm.stn="Fabrication",_xlpm.stn="Fab"),_xlfn.LET(_xlpm.pos,SUMPRODUCT((A$7:A31&lt;&gt;"")*(IFERROR(VLOOKUP(A$7:A31,'Job Operations'!$A$4:$AA$304,12,FALSE),"")="Fabrication")+(A$7:A31&lt;&gt;"")*(IFERROR(VLOOKUP(A$7:A31,'Job Operations'!$A$4:$AA$304,12,FALSE),"")="Fab")),_xlpm.sfx,IF(OR(_xlpm.pos=11,_xlpm.pos=12,_xlpm.pos=13),"th",IF(MOD(_xlpm.pos,10)=1,"st",IF(MOD(_xlpm.pos,10)=2,"nd",IF(MOD(_xlpm.pos,10)=3,"rd","th")))),_xlpm.pos&amp;_xlpm.sfx),IF(ISNUMBER(MATCH(A31,'Clean and Brake Schedule'!A$7:A$100,0)),"#"&amp;MATCH(A31,'Clean and Brake Schedule'!A$7:A$100,0)&amp;" on C&amp;B",IF(ISNUMBER(MATCH(A31,'AXYZ Titans CNC Schedule'!A$7:A$100,0)),"#"&amp;MATCH(A31,'AXYZ Titans CNC Schedule'!A$7:A$100,0)&amp;" on Titans",IF(ISNUMBER(MATCH(A31,'AXYZ CNC Schedule'!A$7:A$100,0)),"#"&amp;MATCH(A31,'AXYZ CNC Schedule'!A$7:A$100,0)&amp;" on AXYZ",IF(_xlpm.stn&lt;&gt;"",_xlpm.stn,"")))))))</f>
        <v>#23 on C&amp;B</v>
      </c>
      <c r="J31" s="101">
        <f>IF(A31="","",IFERROR(VLOOKUP(A31,'Job Operations'!$A$4:$AA$304,18,FALSE),""))</f>
        <v>46123</v>
      </c>
      <c r="K31" s="100" t="str">
        <f>IF(A31="","",IFERROR(VLOOKUP(A31,'Job Operations'!$A$4:$AA$304,13,FALSE),""))</f>
        <v>AXYZ</v>
      </c>
      <c r="L31" s="100" t="str">
        <f>IF(A31="","",IFERROR(VLOOKUP(A31,'Job Operations'!$A$4:$AA$304,15,FALSE),""))</f>
        <v>Clean and Brake</v>
      </c>
      <c r="M31" s="168" t="str">
        <f>IF(A31="","",IF(IFERROR(VLOOKUP(A31,Notes!A:B,2,FALSE),"")=0,"",VLOOKUP(A31,Notes!A:B,2,FALSE)))</f>
        <v>04/16/2026…Sketch</v>
      </c>
    </row>
    <row r="32" spans="1:13" x14ac:dyDescent="0.25">
      <c r="A32" s="103" t="str">
        <v>24026-FS01</v>
      </c>
      <c r="B32" s="104" t="str">
        <f>IF(A32="","",IFERROR(VLOOKUP(A32,'Job Operations'!$A$4:$AA$304,2,FALSE),""))</f>
        <v>1740 Division</v>
      </c>
      <c r="C32" s="105" t="str">
        <f>IF(A32="","",IFERROR(VLOOKUP(A32,'Job Operations'!$A$4:$AA$304,3,FALSE),""))</f>
        <v>Chris Buttrey</v>
      </c>
      <c r="D32" s="105">
        <f>IF(A32="","",IFERROR(VLOOKUP(A32,'Job Operations'!$A$4:$AA$304,5,FALSE),""))</f>
        <v>23</v>
      </c>
      <c r="E32" s="105">
        <f>IF(A32="","",IFERROR(VLOOKUP(A32,'Job Operations'!$A$4:$AA$304,6,FALSE),""))</f>
        <v>23</v>
      </c>
      <c r="F32" s="105" t="str">
        <f>IF(A32="","",IFERROR(VLOOKUP(A32,'Job Operations'!$A$4:$AA$304,7,FALSE),""))</f>
        <v>FR ACM</v>
      </c>
      <c r="G32" s="106">
        <f>IF(A32="","",IFERROR(VLOOKUP(A32,'Job Operations'!$A$4:$AA$304,9,FALSE),""))</f>
        <v>46139</v>
      </c>
      <c r="H32" s="105" t="str" cm="1">
        <f t="array" ref="H32">IF(A32="","",_xlfn.LET(_xlpm.stn,IFERROR(VLOOKUP(A32,'Job Operations'!$A$4:$AA$304,12,FALSE),""),IF(OR(_xlpm.stn="Fabrication",_xlpm.stn="Fab"),_xlfn.LET(_xlpm.pos,SUMPRODUCT((A$7:A32&lt;&gt;"")*(IFERROR(VLOOKUP(A$7:A32,'Job Operations'!$A$4:$AA$304,12,FALSE),"")="Fabrication")+(A$7:A32&lt;&gt;"")*(IFERROR(VLOOKUP(A$7:A32,'Job Operations'!$A$4:$AA$304,12,FALSE),"")="Fab")),_xlpm.sfx,IF(OR(_xlpm.pos=11,_xlpm.pos=12,_xlpm.pos=13),"th",IF(MOD(_xlpm.pos,10)=1,"st",IF(MOD(_xlpm.pos,10)=2,"nd",IF(MOD(_xlpm.pos,10)=3,"rd","th")))),_xlpm.pos&amp;_xlpm.sfx),IF(_xlpm.stn&lt;&gt;"",_xlpm.stn,""))))</f>
        <v>AXYZ 34</v>
      </c>
      <c r="I32" s="105" t="str" cm="1">
        <f t="array" ref="I32">IF(A32="","",_xlfn.LET(_xlpm.stn,IFERROR(VLOOKUP(A32,'Job Operations'!$A$4:$AA$304,12,FALSE),""),IF(OR(_xlpm.stn="Fabrication",_xlpm.stn="Fab"),_xlfn.LET(_xlpm.pos,SUMPRODUCT((A$7:A32&lt;&gt;"")*(IFERROR(VLOOKUP(A$7:A32,'Job Operations'!$A$4:$AA$304,12,FALSE),"")="Fabrication")+(A$7:A32&lt;&gt;"")*(IFERROR(VLOOKUP(A$7:A32,'Job Operations'!$A$4:$AA$304,12,FALSE),"")="Fab")),_xlpm.sfx,IF(OR(_xlpm.pos=11,_xlpm.pos=12,_xlpm.pos=13),"th",IF(MOD(_xlpm.pos,10)=1,"st",IF(MOD(_xlpm.pos,10)=2,"nd",IF(MOD(_xlpm.pos,10)=3,"rd","th")))),_xlpm.pos&amp;_xlpm.sfx),IF(ISNUMBER(MATCH(A32,'Clean and Brake Schedule'!A$7:A$100,0)),"#"&amp;MATCH(A32,'Clean and Brake Schedule'!A$7:A$100,0)&amp;" on C&amp;B",IF(ISNUMBER(MATCH(A32,'AXYZ Titans CNC Schedule'!A$7:A$100,0)),"#"&amp;MATCH(A32,'AXYZ Titans CNC Schedule'!A$7:A$100,0)&amp;" on Titans",IF(ISNUMBER(MATCH(A32,'AXYZ CNC Schedule'!A$7:A$100,0)),"#"&amp;MATCH(A32,'AXYZ CNC Schedule'!A$7:A$100,0)&amp;" on AXYZ",IF(_xlpm.stn&lt;&gt;"",_xlpm.stn,"")))))))</f>
        <v>#24 on C&amp;B</v>
      </c>
      <c r="J32" s="106">
        <f>IF(A32="","",IFERROR(VLOOKUP(A32,'Job Operations'!$A$4:$AA$304,18,FALSE),""))</f>
        <v>46126</v>
      </c>
      <c r="K32" s="105" t="str">
        <f>IF(A32="","",IFERROR(VLOOKUP(A32,'Job Operations'!$A$4:$AA$304,13,FALSE),""))</f>
        <v>AXYZ Titans Line</v>
      </c>
      <c r="L32" s="105" t="str">
        <f>IF(A32="","",IFERROR(VLOOKUP(A32,'Job Operations'!$A$4:$AA$304,15,FALSE),""))</f>
        <v>Clean and Brake</v>
      </c>
      <c r="M32" s="167" t="str">
        <f>IF(A32="","",IF(IFERROR(VLOOKUP(A32,Notes!A:B,2,FALSE),"")=0,"",VLOOKUP(A32,Notes!A:B,2,FALSE)))</f>
        <v>04/15...Date adjusted to 04/27.*04/16/2026…AXYZ 34</v>
      </c>
    </row>
    <row r="33" spans="1:13" x14ac:dyDescent="0.25">
      <c r="A33" s="98" t="str">
        <v>25022-RO03</v>
      </c>
      <c r="B33" s="99" t="str">
        <f>IF(A33="","",IFERROR(VLOOKUP(A33,'Job Operations'!$A$4:$AA$304,2,FALSE),""))</f>
        <v>Vantage VA15</v>
      </c>
      <c r="C33" s="100" t="str">
        <f>IF(A33="","",IFERROR(VLOOKUP(A33,'Job Operations'!$A$4:$AA$304,3,FALSE),""))</f>
        <v>Thomas Mooers</v>
      </c>
      <c r="D33" s="100">
        <f>IF(A33="","",IFERROR(VLOOKUP(A33,'Job Operations'!$A$4:$AA$304,5,FALSE),""))</f>
        <v>3</v>
      </c>
      <c r="E33" s="100">
        <f>IF(A33="","",IFERROR(VLOOKUP(A33,'Job Operations'!$A$4:$AA$304,6,FALSE),""))</f>
        <v>3</v>
      </c>
      <c r="F33" s="100" t="str">
        <f>IF(A33="","",IFERROR(VLOOKUP(A33,'Job Operations'!$A$4:$AA$304,7,FALSE),""))</f>
        <v>FR ACM</v>
      </c>
      <c r="G33" s="101">
        <f>IF(A33="","",IFERROR(VLOOKUP(A33,'Job Operations'!$A$4:$AA$304,9,FALSE),""))</f>
        <v>46139</v>
      </c>
      <c r="H33" s="100" t="str" cm="1">
        <f t="array" ref="H33">IF(A33="","",_xlfn.LET(_xlpm.stn,IFERROR(VLOOKUP(A33,'Job Operations'!$A$4:$AA$304,12,FALSE),""),IF(OR(_xlpm.stn="Fabrication",_xlpm.stn="Fab"),_xlfn.LET(_xlpm.pos,SUMPRODUCT((A$7:A33&lt;&gt;"")*(IFERROR(VLOOKUP(A$7:A33,'Job Operations'!$A$4:$AA$304,12,FALSE),"")="Fabrication")+(A$7:A33&lt;&gt;"")*(IFERROR(VLOOKUP(A$7:A33,'Job Operations'!$A$4:$AA$304,12,FALSE),"")="Fab")),_xlpm.sfx,IF(OR(_xlpm.pos=11,_xlpm.pos=12,_xlpm.pos=13),"th",IF(MOD(_xlpm.pos,10)=1,"st",IF(MOD(_xlpm.pos,10)=2,"nd",IF(MOD(_xlpm.pos,10)=3,"rd","th")))),_xlpm.pos&amp;_xlpm.sfx),IF(_xlpm.stn&lt;&gt;"",_xlpm.stn,""))))</f>
        <v>AXYZ 34</v>
      </c>
      <c r="I33" s="100" t="str" cm="1">
        <f t="array" ref="I33">IF(A33="","",_xlfn.LET(_xlpm.stn,IFERROR(VLOOKUP(A33,'Job Operations'!$A$4:$AA$304,12,FALSE),""),IF(OR(_xlpm.stn="Fabrication",_xlpm.stn="Fab"),_xlfn.LET(_xlpm.pos,SUMPRODUCT((A$7:A33&lt;&gt;"")*(IFERROR(VLOOKUP(A$7:A33,'Job Operations'!$A$4:$AA$304,12,FALSE),"")="Fabrication")+(A$7:A33&lt;&gt;"")*(IFERROR(VLOOKUP(A$7:A33,'Job Operations'!$A$4:$AA$304,12,FALSE),"")="Fab")),_xlpm.sfx,IF(OR(_xlpm.pos=11,_xlpm.pos=12,_xlpm.pos=13),"th",IF(MOD(_xlpm.pos,10)=1,"st",IF(MOD(_xlpm.pos,10)=2,"nd",IF(MOD(_xlpm.pos,10)=3,"rd","th")))),_xlpm.pos&amp;_xlpm.sfx),IF(ISNUMBER(MATCH(A33,'Clean and Brake Schedule'!A$7:A$100,0)),"#"&amp;MATCH(A33,'Clean and Brake Schedule'!A$7:A$100,0)&amp;" on C&amp;B",IF(ISNUMBER(MATCH(A33,'AXYZ Titans CNC Schedule'!A$7:A$100,0)),"#"&amp;MATCH(A33,'AXYZ Titans CNC Schedule'!A$7:A$100,0)&amp;" on Titans",IF(ISNUMBER(MATCH(A33,'AXYZ CNC Schedule'!A$7:A$100,0)),"#"&amp;MATCH(A33,'AXYZ CNC Schedule'!A$7:A$100,0)&amp;" on AXYZ",IF(_xlpm.stn&lt;&gt;"",_xlpm.stn,"")))))))</f>
        <v>#25 on C&amp;B</v>
      </c>
      <c r="J33" s="101">
        <f>IF(A33="","",IFERROR(VLOOKUP(A33,'Job Operations'!$A$4:$AA$304,18,FALSE),""))</f>
        <v>46126</v>
      </c>
      <c r="K33" s="100" t="str">
        <f>IF(A33="","",IFERROR(VLOOKUP(A33,'Job Operations'!$A$4:$AA$304,13,FALSE),""))</f>
        <v>AXYZ</v>
      </c>
      <c r="L33" s="100" t="str">
        <f>IF(A33="","",IFERROR(VLOOKUP(A33,'Job Operations'!$A$4:$AA$304,15,FALSE),""))</f>
        <v>Clean and Brake</v>
      </c>
      <c r="M33" s="168" t="str">
        <f>IF(A33="","",IF(IFERROR(VLOOKUP(A33,Notes!A:B,2,FALSE),"")=0,"",VLOOKUP(A33,Notes!A:B,2,FALSE)))</f>
        <v>04/16/2026…AXYZ 34</v>
      </c>
    </row>
    <row r="34" spans="1:13" x14ac:dyDescent="0.25">
      <c r="A34" s="103" t="str">
        <v>24051-FS93</v>
      </c>
      <c r="B34" s="104" t="str">
        <f>IF(A34="","",IFERROR(VLOOKUP(A34,'Job Operations'!$A$4:$AA$304,2,FALSE),""))</f>
        <v>TN Titans Stadium</v>
      </c>
      <c r="C34" s="105" t="str">
        <f>IF(A34="","",IFERROR(VLOOKUP(A34,'Job Operations'!$A$4:$AA$304,3,FALSE),""))</f>
        <v>Marc Ribar</v>
      </c>
      <c r="D34" s="105">
        <f>IF(A34="","",IFERROR(VLOOKUP(A34,'Job Operations'!$A$4:$AA$304,5,FALSE),""))</f>
        <v>131</v>
      </c>
      <c r="E34" s="105">
        <f>IF(A34="","",IFERROR(VLOOKUP(A34,'Job Operations'!$A$4:$AA$304,6,FALSE),""))</f>
        <v>133</v>
      </c>
      <c r="F34" s="105" t="str">
        <f>IF(A34="","",IFERROR(VLOOKUP(A34,'Job Operations'!$A$4:$AA$304,7,FALSE),""))</f>
        <v>FR ACM</v>
      </c>
      <c r="G34" s="106">
        <f>IF(A34="","",IFERROR(VLOOKUP(A34,'Job Operations'!$A$4:$AA$304,9,FALSE),""))</f>
        <v>46140</v>
      </c>
      <c r="H34" s="105" t="str" cm="1">
        <f t="array" ref="H34">IF(A34="","",_xlfn.LET(_xlpm.stn,IFERROR(VLOOKUP(A34,'Job Operations'!$A$4:$AA$304,12,FALSE),""),IF(OR(_xlpm.stn="Fabrication",_xlpm.stn="Fab"),_xlfn.LET(_xlpm.pos,SUMPRODUCT((A$7:A34&lt;&gt;"")*(IFERROR(VLOOKUP(A$7:A34,'Job Operations'!$A$4:$AA$304,12,FALSE),"")="Fabrication")+(A$7:A34&lt;&gt;"")*(IFERROR(VLOOKUP(A$7:A34,'Job Operations'!$A$4:$AA$304,12,FALSE),"")="Fab")),_xlpm.sfx,IF(OR(_xlpm.pos=11,_xlpm.pos=12,_xlpm.pos=13),"th",IF(MOD(_xlpm.pos,10)=1,"st",IF(MOD(_xlpm.pos,10)=2,"nd",IF(MOD(_xlpm.pos,10)=3,"rd","th")))),_xlpm.pos&amp;_xlpm.sfx),IF(_xlpm.stn&lt;&gt;"",_xlpm.stn,""))))</f>
        <v>Correction</v>
      </c>
      <c r="I34" s="105" t="str" cm="1">
        <f t="array" ref="I34">IF(A34="","",_xlfn.LET(_xlpm.stn,IFERROR(VLOOKUP(A34,'Job Operations'!$A$4:$AA$304,12,FALSE),""),IF(OR(_xlpm.stn="Fabrication",_xlpm.stn="Fab"),_xlfn.LET(_xlpm.pos,SUMPRODUCT((A$7:A34&lt;&gt;"")*(IFERROR(VLOOKUP(A$7:A34,'Job Operations'!$A$4:$AA$304,12,FALSE),"")="Fabrication")+(A$7:A34&lt;&gt;"")*(IFERROR(VLOOKUP(A$7:A34,'Job Operations'!$A$4:$AA$304,12,FALSE),"")="Fab")),_xlpm.sfx,IF(OR(_xlpm.pos=11,_xlpm.pos=12,_xlpm.pos=13),"th",IF(MOD(_xlpm.pos,10)=1,"st",IF(MOD(_xlpm.pos,10)=2,"nd",IF(MOD(_xlpm.pos,10)=3,"rd","th")))),_xlpm.pos&amp;_xlpm.sfx),IF(ISNUMBER(MATCH(A34,'Clean and Brake Schedule'!A$7:A$100,0)),"#"&amp;MATCH(A34,'Clean and Brake Schedule'!A$7:A$100,0)&amp;" on C&amp;B",IF(ISNUMBER(MATCH(A34,'AXYZ Titans CNC Schedule'!A$7:A$100,0)),"#"&amp;MATCH(A34,'AXYZ Titans CNC Schedule'!A$7:A$100,0)&amp;" on Titans",IF(ISNUMBER(MATCH(A34,'AXYZ CNC Schedule'!A$7:A$100,0)),"#"&amp;MATCH(A34,'AXYZ CNC Schedule'!A$7:A$100,0)&amp;" on AXYZ",IF(_xlpm.stn&lt;&gt;"",_xlpm.stn,"")))))))</f>
        <v>#26 on C&amp;B</v>
      </c>
      <c r="J34" s="106">
        <f>IF(A34="","",IFERROR(VLOOKUP(A34,'Job Operations'!$A$4:$AA$304,18,FALSE),""))</f>
        <v>46127</v>
      </c>
      <c r="K34" s="105" t="str">
        <f>IF(A34="","",IFERROR(VLOOKUP(A34,'Job Operations'!$A$4:$AA$304,13,FALSE),""))</f>
        <v>AXYZ</v>
      </c>
      <c r="L34" s="105" t="str">
        <f>IF(A34="","",IFERROR(VLOOKUP(A34,'Job Operations'!$A$4:$AA$304,15,FALSE),""))</f>
        <v>Clean and Brake</v>
      </c>
      <c r="M34" s="167" t="str">
        <f>IF(A34="","",IF(IFERROR(VLOOKUP(A34,Notes!A:B,2,FALSE),"")=0,"",VLOOKUP(A34,Notes!A:B,2,FALSE)))</f>
        <v>04/14...Next Titans Requesting//Scheduled to be released to the shop 04/20.*04/16/2026…Correction</v>
      </c>
    </row>
    <row r="35" spans="1:13" x14ac:dyDescent="0.25">
      <c r="A35" s="98" t="str">
        <v>24051-FS94</v>
      </c>
      <c r="B35" s="99" t="str">
        <f>IF(A35="","",IFERROR(VLOOKUP(A35,'Job Operations'!$A$4:$AA$304,2,FALSE),""))</f>
        <v>TN Titans Stadium</v>
      </c>
      <c r="C35" s="100" t="str">
        <f>IF(A35="","",IFERROR(VLOOKUP(A35,'Job Operations'!$A$4:$AA$304,3,FALSE),""))</f>
        <v>Marc Ribar</v>
      </c>
      <c r="D35" s="100">
        <f>IF(A35="","",IFERROR(VLOOKUP(A35,'Job Operations'!$A$4:$AA$304,5,FALSE),""))</f>
        <v>79</v>
      </c>
      <c r="E35" s="100">
        <f>IF(A35="","",IFERROR(VLOOKUP(A35,'Job Operations'!$A$4:$AA$304,6,FALSE),""))</f>
        <v>0</v>
      </c>
      <c r="F35" s="100" t="str">
        <f>IF(A35="","",IFERROR(VLOOKUP(A35,'Job Operations'!$A$4:$AA$304,7,FALSE),""))</f>
        <v>FR ACM</v>
      </c>
      <c r="G35" s="101">
        <f>IF(A35="","",IFERROR(VLOOKUP(A35,'Job Operations'!$A$4:$AA$304,9,FALSE),""))</f>
        <v>46140</v>
      </c>
      <c r="H35" s="100" t="str" cm="1">
        <f t="array" ref="H35">IF(A35="","",_xlfn.LET(_xlpm.stn,IFERROR(VLOOKUP(A35,'Job Operations'!$A$4:$AA$304,12,FALSE),""),IF(OR(_xlpm.stn="Fabrication",_xlpm.stn="Fab"),_xlfn.LET(_xlpm.pos,SUMPRODUCT((A$7:A35&lt;&gt;"")*(IFERROR(VLOOKUP(A$7:A35,'Job Operations'!$A$4:$AA$304,12,FALSE),"")="Fabrication")+(A$7:A35&lt;&gt;"")*(IFERROR(VLOOKUP(A$7:A35,'Job Operations'!$A$4:$AA$304,12,FALSE),"")="Fab")),_xlpm.sfx,IF(OR(_xlpm.pos=11,_xlpm.pos=12,_xlpm.pos=13),"th",IF(MOD(_xlpm.pos,10)=1,"st",IF(MOD(_xlpm.pos,10)=2,"nd",IF(MOD(_xlpm.pos,10)=3,"rd","th")))),_xlpm.pos&amp;_xlpm.sfx),IF(_xlpm.stn&lt;&gt;"",_xlpm.stn,""))))</f>
        <v>Float</v>
      </c>
      <c r="I35" s="100" t="str" cm="1">
        <f t="array" ref="I35">IF(A35="","",_xlfn.LET(_xlpm.stn,IFERROR(VLOOKUP(A35,'Job Operations'!$A$4:$AA$304,12,FALSE),""),IF(OR(_xlpm.stn="Fabrication",_xlpm.stn="Fab"),_xlfn.LET(_xlpm.pos,SUMPRODUCT((A$7:A35&lt;&gt;"")*(IFERROR(VLOOKUP(A$7:A35,'Job Operations'!$A$4:$AA$304,12,FALSE),"")="Fabrication")+(A$7:A35&lt;&gt;"")*(IFERROR(VLOOKUP(A$7:A35,'Job Operations'!$A$4:$AA$304,12,FALSE),"")="Fab")),_xlpm.sfx,IF(OR(_xlpm.pos=11,_xlpm.pos=12,_xlpm.pos=13),"th",IF(MOD(_xlpm.pos,10)=1,"st",IF(MOD(_xlpm.pos,10)=2,"nd",IF(MOD(_xlpm.pos,10)=3,"rd","th")))),_xlpm.pos&amp;_xlpm.sfx),IF(ISNUMBER(MATCH(A35,'Clean and Brake Schedule'!A$7:A$100,0)),"#"&amp;MATCH(A35,'Clean and Brake Schedule'!A$7:A$100,0)&amp;" on C&amp;B",IF(ISNUMBER(MATCH(A35,'AXYZ Titans CNC Schedule'!A$7:A$100,0)),"#"&amp;MATCH(A35,'AXYZ Titans CNC Schedule'!A$7:A$100,0)&amp;" on Titans",IF(ISNUMBER(MATCH(A35,'AXYZ CNC Schedule'!A$7:A$100,0)),"#"&amp;MATCH(A35,'AXYZ CNC Schedule'!A$7:A$100,0)&amp;" on AXYZ",IF(_xlpm.stn&lt;&gt;"",_xlpm.stn,"")))))))</f>
        <v>#27 on C&amp;B</v>
      </c>
      <c r="J35" s="101">
        <f>IF(A35="","",IFERROR(VLOOKUP(A35,'Job Operations'!$A$4:$AA$304,18,FALSE),""))</f>
        <v>46127</v>
      </c>
      <c r="K35" s="100" t="str">
        <f>IF(A35="","",IFERROR(VLOOKUP(A35,'Job Operations'!$A$4:$AA$304,13,FALSE),""))</f>
        <v>AXYZ</v>
      </c>
      <c r="L35" s="100" t="str">
        <f>IF(A35="","",IFERROR(VLOOKUP(A35,'Job Operations'!$A$4:$AA$304,15,FALSE),""))</f>
        <v>Clean and Brake</v>
      </c>
      <c r="M35" s="168" t="str">
        <f>IF(A35="","",IF(IFERROR(VLOOKUP(A35,Notes!A:B,2,FALSE),"")=0,"",VLOOKUP(A35,Notes!A:B,2,FALSE)))</f>
        <v>04/16/2026…Float</v>
      </c>
    </row>
    <row r="36" spans="1:13" x14ac:dyDescent="0.25">
      <c r="A36" s="103" t="str">
        <v>24051-FS95</v>
      </c>
      <c r="B36" s="104" t="str">
        <f>IF(A36="","",IFERROR(VLOOKUP(A36,'Job Operations'!$A$4:$AA$304,2,FALSE),""))</f>
        <v>TN Titans Stadium</v>
      </c>
      <c r="C36" s="105" t="str">
        <f>IF(A36="","",IFERROR(VLOOKUP(A36,'Job Operations'!$A$4:$AA$304,3,FALSE),""))</f>
        <v>Marc Ribar</v>
      </c>
      <c r="D36" s="105">
        <f>IF(A36="","",IFERROR(VLOOKUP(A36,'Job Operations'!$A$4:$AA$304,5,FALSE),""))</f>
        <v>96</v>
      </c>
      <c r="E36" s="105">
        <f>IF(A36="","",IFERROR(VLOOKUP(A36,'Job Operations'!$A$4:$AA$304,6,FALSE),""))</f>
        <v>0</v>
      </c>
      <c r="F36" s="105" t="str">
        <f>IF(A36="","",IFERROR(VLOOKUP(A36,'Job Operations'!$A$4:$AA$304,7,FALSE),""))</f>
        <v>FR ACM</v>
      </c>
      <c r="G36" s="106">
        <f>IF(A36="","",IFERROR(VLOOKUP(A36,'Job Operations'!$A$4:$AA$304,9,FALSE),""))</f>
        <v>46140</v>
      </c>
      <c r="H36" s="105" t="str" cm="1">
        <f t="array" ref="H36">IF(A36="","",_xlfn.LET(_xlpm.stn,IFERROR(VLOOKUP(A36,'Job Operations'!$A$4:$AA$304,12,FALSE),""),IF(OR(_xlpm.stn="Fabrication",_xlpm.stn="Fab"),_xlfn.LET(_xlpm.pos,SUMPRODUCT((A$7:A36&lt;&gt;"")*(IFERROR(VLOOKUP(A$7:A36,'Job Operations'!$A$4:$AA$304,12,FALSE),"")="Fabrication")+(A$7:A36&lt;&gt;"")*(IFERROR(VLOOKUP(A$7:A36,'Job Operations'!$A$4:$AA$304,12,FALSE),"")="Fab")),_xlpm.sfx,IF(OR(_xlpm.pos=11,_xlpm.pos=12,_xlpm.pos=13),"th",IF(MOD(_xlpm.pos,10)=1,"st",IF(MOD(_xlpm.pos,10)=2,"nd",IF(MOD(_xlpm.pos,10)=3,"rd","th")))),_xlpm.pos&amp;_xlpm.sfx),IF(_xlpm.stn&lt;&gt;"",_xlpm.stn,""))))</f>
        <v>Float</v>
      </c>
      <c r="I36" s="105" t="str" cm="1">
        <f t="array" ref="I36">IF(A36="","",_xlfn.LET(_xlpm.stn,IFERROR(VLOOKUP(A36,'Job Operations'!$A$4:$AA$304,12,FALSE),""),IF(OR(_xlpm.stn="Fabrication",_xlpm.stn="Fab"),_xlfn.LET(_xlpm.pos,SUMPRODUCT((A$7:A36&lt;&gt;"")*(IFERROR(VLOOKUP(A$7:A36,'Job Operations'!$A$4:$AA$304,12,FALSE),"")="Fabrication")+(A$7:A36&lt;&gt;"")*(IFERROR(VLOOKUP(A$7:A36,'Job Operations'!$A$4:$AA$304,12,FALSE),"")="Fab")),_xlpm.sfx,IF(OR(_xlpm.pos=11,_xlpm.pos=12,_xlpm.pos=13),"th",IF(MOD(_xlpm.pos,10)=1,"st",IF(MOD(_xlpm.pos,10)=2,"nd",IF(MOD(_xlpm.pos,10)=3,"rd","th")))),_xlpm.pos&amp;_xlpm.sfx),IF(ISNUMBER(MATCH(A36,'Clean and Brake Schedule'!A$7:A$100,0)),"#"&amp;MATCH(A36,'Clean and Brake Schedule'!A$7:A$100,0)&amp;" on C&amp;B",IF(ISNUMBER(MATCH(A36,'AXYZ Titans CNC Schedule'!A$7:A$100,0)),"#"&amp;MATCH(A36,'AXYZ Titans CNC Schedule'!A$7:A$100,0)&amp;" on Titans",IF(ISNUMBER(MATCH(A36,'AXYZ CNC Schedule'!A$7:A$100,0)),"#"&amp;MATCH(A36,'AXYZ CNC Schedule'!A$7:A$100,0)&amp;" on AXYZ",IF(_xlpm.stn&lt;&gt;"",_xlpm.stn,"")))))))</f>
        <v>#28 on C&amp;B</v>
      </c>
      <c r="J36" s="106">
        <f>IF(A36="","",IFERROR(VLOOKUP(A36,'Job Operations'!$A$4:$AA$304,18,FALSE),""))</f>
        <v>46127</v>
      </c>
      <c r="K36" s="105" t="str">
        <f>IF(A36="","",IFERROR(VLOOKUP(A36,'Job Operations'!$A$4:$AA$304,13,FALSE),""))</f>
        <v>AXYZ</v>
      </c>
      <c r="L36" s="105" t="str">
        <f>IF(A36="","",IFERROR(VLOOKUP(A36,'Job Operations'!$A$4:$AA$304,15,FALSE),""))</f>
        <v>Clean and Brake</v>
      </c>
      <c r="M36" s="167" t="str">
        <f>IF(A36="","",IF(IFERROR(VLOOKUP(A36,Notes!A:B,2,FALSE),"")=0,"",VLOOKUP(A36,Notes!A:B,2,FALSE)))</f>
        <v>04/16/2026…Float</v>
      </c>
    </row>
    <row r="37" spans="1:13" x14ac:dyDescent="0.25">
      <c r="A37" s="98" t="str">
        <v>24051-FS228</v>
      </c>
      <c r="B37" s="99" t="str">
        <f>IF(A37="","",IFERROR(VLOOKUP(A37,'Job Operations'!$A$4:$AA$304,2,FALSE),""))</f>
        <v>TN Titans Stadium</v>
      </c>
      <c r="C37" s="100" t="str">
        <f>IF(A37="","",IFERROR(VLOOKUP(A37,'Job Operations'!$A$4:$AA$304,3,FALSE),""))</f>
        <v>Marc Ribar</v>
      </c>
      <c r="D37" s="100">
        <f>IF(A37="","",IFERROR(VLOOKUP(A37,'Job Operations'!$A$4:$AA$304,5,FALSE),""))</f>
        <v>95</v>
      </c>
      <c r="E37" s="100">
        <f>IF(A37="","",IFERROR(VLOOKUP(A37,'Job Operations'!$A$4:$AA$304,6,FALSE),""))</f>
        <v>0</v>
      </c>
      <c r="F37" s="100" t="str">
        <f>IF(A37="","",IFERROR(VLOOKUP(A37,'Job Operations'!$A$4:$AA$304,7,FALSE),""))</f>
        <v>FR ACM</v>
      </c>
      <c r="G37" s="101">
        <f>IF(A37="","",IFERROR(VLOOKUP(A37,'Job Operations'!$A$4:$AA$304,9,FALSE),""))</f>
        <v>46140</v>
      </c>
      <c r="H37" s="100" t="str" cm="1">
        <f t="array" ref="H37">IF(A37="","",_xlfn.LET(_xlpm.stn,IFERROR(VLOOKUP(A37,'Job Operations'!$A$4:$AA$304,12,FALSE),""),IF(OR(_xlpm.stn="Fabrication",_xlpm.stn="Fab"),_xlfn.LET(_xlpm.pos,SUMPRODUCT((A$7:A37&lt;&gt;"")*(IFERROR(VLOOKUP(A$7:A37,'Job Operations'!$A$4:$AA$304,12,FALSE),"")="Fabrication")+(A$7:A37&lt;&gt;"")*(IFERROR(VLOOKUP(A$7:A37,'Job Operations'!$A$4:$AA$304,12,FALSE),"")="Fab")),_xlpm.sfx,IF(OR(_xlpm.pos=11,_xlpm.pos=12,_xlpm.pos=13),"th",IF(MOD(_xlpm.pos,10)=1,"st",IF(MOD(_xlpm.pos,10)=2,"nd",IF(MOD(_xlpm.pos,10)=3,"rd","th")))),_xlpm.pos&amp;_xlpm.sfx),IF(_xlpm.stn&lt;&gt;"",_xlpm.stn,""))))</f>
        <v>Float</v>
      </c>
      <c r="I37" s="100" t="str" cm="1">
        <f t="array" ref="I37">IF(A37="","",_xlfn.LET(_xlpm.stn,IFERROR(VLOOKUP(A37,'Job Operations'!$A$4:$AA$304,12,FALSE),""),IF(OR(_xlpm.stn="Fabrication",_xlpm.stn="Fab"),_xlfn.LET(_xlpm.pos,SUMPRODUCT((A$7:A37&lt;&gt;"")*(IFERROR(VLOOKUP(A$7:A37,'Job Operations'!$A$4:$AA$304,12,FALSE),"")="Fabrication")+(A$7:A37&lt;&gt;"")*(IFERROR(VLOOKUP(A$7:A37,'Job Operations'!$A$4:$AA$304,12,FALSE),"")="Fab")),_xlpm.sfx,IF(OR(_xlpm.pos=11,_xlpm.pos=12,_xlpm.pos=13),"th",IF(MOD(_xlpm.pos,10)=1,"st",IF(MOD(_xlpm.pos,10)=2,"nd",IF(MOD(_xlpm.pos,10)=3,"rd","th")))),_xlpm.pos&amp;_xlpm.sfx),IF(ISNUMBER(MATCH(A37,'Clean and Brake Schedule'!A$7:A$100,0)),"#"&amp;MATCH(A37,'Clean and Brake Schedule'!A$7:A$100,0)&amp;" on C&amp;B",IF(ISNUMBER(MATCH(A37,'AXYZ Titans CNC Schedule'!A$7:A$100,0)),"#"&amp;MATCH(A37,'AXYZ Titans CNC Schedule'!A$7:A$100,0)&amp;" on Titans",IF(ISNUMBER(MATCH(A37,'AXYZ CNC Schedule'!A$7:A$100,0)),"#"&amp;MATCH(A37,'AXYZ CNC Schedule'!A$7:A$100,0)&amp;" on AXYZ",IF(_xlpm.stn&lt;&gt;"",_xlpm.stn,"")))))))</f>
        <v>#29 on C&amp;B</v>
      </c>
      <c r="J37" s="101">
        <f>IF(A37="","",IFERROR(VLOOKUP(A37,'Job Operations'!$A$4:$AA$304,18,FALSE),""))</f>
        <v>46127</v>
      </c>
      <c r="K37" s="100" t="str">
        <f>IF(A37="","",IFERROR(VLOOKUP(A37,'Job Operations'!$A$4:$AA$304,13,FALSE),""))</f>
        <v>AXYZ</v>
      </c>
      <c r="L37" s="100" t="str">
        <f>IF(A37="","",IFERROR(VLOOKUP(A37,'Job Operations'!$A$4:$AA$304,15,FALSE),""))</f>
        <v>Clean and Brake</v>
      </c>
      <c r="M37" s="168" t="str">
        <f>IF(A37="","",IF(IFERROR(VLOOKUP(A37,Notes!A:B,2,FALSE),"")=0,"",VLOOKUP(A37,Notes!A:B,2,FALSE)))</f>
        <v>04/16/2026…Float</v>
      </c>
    </row>
    <row r="38" spans="1:13" ht="30" x14ac:dyDescent="0.25">
      <c r="A38" s="103" t="str">
        <v>25067-FS02</v>
      </c>
      <c r="B38" s="104" t="str">
        <f>IF(A38="","",IFERROR(VLOOKUP(A38,'Job Operations'!$A$4:$AA$304,2,FALSE),""))</f>
        <v>Harison Bend</v>
      </c>
      <c r="C38" s="105" t="str">
        <f>IF(A38="","",IFERROR(VLOOKUP(A38,'Job Operations'!$A$4:$AA$304,3,FALSE),""))</f>
        <v>Andre Van Der Merwe</v>
      </c>
      <c r="D38" s="105">
        <f>IF(A38="","",IFERROR(VLOOKUP(A38,'Job Operations'!$A$4:$AA$304,5,FALSE),""))</f>
        <v>29</v>
      </c>
      <c r="E38" s="105">
        <f>IF(A38="","",IFERROR(VLOOKUP(A38,'Job Operations'!$A$4:$AA$304,6,FALSE),""))</f>
        <v>29</v>
      </c>
      <c r="F38" s="105" t="str">
        <f>IF(A38="","",IFERROR(VLOOKUP(A38,'Job Operations'!$A$4:$AA$304,7,FALSE),""))</f>
        <v>FR ACM</v>
      </c>
      <c r="G38" s="106">
        <f>IF(A38="","",IFERROR(VLOOKUP(A38,'Job Operations'!$A$4:$AA$304,9,FALSE),""))</f>
        <v>46142</v>
      </c>
      <c r="H38" s="105" t="str" cm="1">
        <f t="array" ref="H38">IF(A38="","",_xlfn.LET(_xlpm.stn,IFERROR(VLOOKUP(A38,'Job Operations'!$A$4:$AA$304,12,FALSE),""),IF(OR(_xlpm.stn="Fabrication",_xlpm.stn="Fab"),_xlfn.LET(_xlpm.pos,SUMPRODUCT((A$7:A38&lt;&gt;"")*(IFERROR(VLOOKUP(A$7:A38,'Job Operations'!$A$4:$AA$304,12,FALSE),"")="Fabrication")+(A$7:A38&lt;&gt;"")*(IFERROR(VLOOKUP(A$7:A38,'Job Operations'!$A$4:$AA$304,12,FALSE),"")="Fab")),_xlpm.sfx,IF(OR(_xlpm.pos=11,_xlpm.pos=12,_xlpm.pos=13),"th",IF(MOD(_xlpm.pos,10)=1,"st",IF(MOD(_xlpm.pos,10)=2,"nd",IF(MOD(_xlpm.pos,10)=3,"rd","th")))),_xlpm.pos&amp;_xlpm.sfx),IF(_xlpm.stn&lt;&gt;"",_xlpm.stn,""))))</f>
        <v>AXYZ 34</v>
      </c>
      <c r="I38" s="105" t="str" cm="1">
        <f t="array" ref="I38">IF(A38="","",_xlfn.LET(_xlpm.stn,IFERROR(VLOOKUP(A38,'Job Operations'!$A$4:$AA$304,12,FALSE),""),IF(OR(_xlpm.stn="Fabrication",_xlpm.stn="Fab"),_xlfn.LET(_xlpm.pos,SUMPRODUCT((A$7:A38&lt;&gt;"")*(IFERROR(VLOOKUP(A$7:A38,'Job Operations'!$A$4:$AA$304,12,FALSE),"")="Fabrication")+(A$7:A38&lt;&gt;"")*(IFERROR(VLOOKUP(A$7:A38,'Job Operations'!$A$4:$AA$304,12,FALSE),"")="Fab")),_xlpm.sfx,IF(OR(_xlpm.pos=11,_xlpm.pos=12,_xlpm.pos=13),"th",IF(MOD(_xlpm.pos,10)=1,"st",IF(MOD(_xlpm.pos,10)=2,"nd",IF(MOD(_xlpm.pos,10)=3,"rd","th")))),_xlpm.pos&amp;_xlpm.sfx),IF(ISNUMBER(MATCH(A38,'Clean and Brake Schedule'!A$7:A$100,0)),"#"&amp;MATCH(A38,'Clean and Brake Schedule'!A$7:A$100,0)&amp;" on C&amp;B",IF(ISNUMBER(MATCH(A38,'AXYZ Titans CNC Schedule'!A$7:A$100,0)),"#"&amp;MATCH(A38,'AXYZ Titans CNC Schedule'!A$7:A$100,0)&amp;" on Titans",IF(ISNUMBER(MATCH(A38,'AXYZ CNC Schedule'!A$7:A$100,0)),"#"&amp;MATCH(A38,'AXYZ CNC Schedule'!A$7:A$100,0)&amp;" on AXYZ",IF(_xlpm.stn&lt;&gt;"",_xlpm.stn,"")))))))</f>
        <v>#30 on C&amp;B</v>
      </c>
      <c r="J38" s="106">
        <f>IF(A38="","",IFERROR(VLOOKUP(A38,'Job Operations'!$A$4:$AA$304,18,FALSE),""))</f>
        <v>46129</v>
      </c>
      <c r="K38" s="105" t="str">
        <f>IF(A38="","",IFERROR(VLOOKUP(A38,'Job Operations'!$A$4:$AA$304,13,FALSE),""))</f>
        <v>AXYZ Titans Line</v>
      </c>
      <c r="L38" s="105" t="str">
        <f>IF(A38="","",IFERROR(VLOOKUP(A38,'Job Operations'!$A$4:$AA$304,15,FALSE),""))</f>
        <v>Clean and Brake</v>
      </c>
      <c r="M38" s="167" t="str">
        <f>IF(A38="","",IF(IFERROR(VLOOKUP(A38,Notes!A:B,2,FALSE),"")=0,"",VLOOKUP(A38,Notes!A:B,2,FALSE)))</f>
        <v>04/15…CNC...Confirmed Shipdate of 04/22 with PM.*04/16/2026…AXYZ 34</v>
      </c>
    </row>
    <row r="39" spans="1:13" x14ac:dyDescent="0.25">
      <c r="A39" s="98" t="str">
        <v>24051-FS92</v>
      </c>
      <c r="B39" s="99" t="str">
        <f>IF(A39="","",IFERROR(VLOOKUP(A39,'Job Operations'!$A$4:$AA$304,2,FALSE),""))</f>
        <v>TN Titans Stadium</v>
      </c>
      <c r="C39" s="100" t="str">
        <f>IF(A39="","",IFERROR(VLOOKUP(A39,'Job Operations'!$A$4:$AA$304,3,FALSE),""))</f>
        <v>Marc Ribar</v>
      </c>
      <c r="D39" s="100">
        <f>IF(A39="","",IFERROR(VLOOKUP(A39,'Job Operations'!$A$4:$AA$304,5,FALSE),""))</f>
        <v>104</v>
      </c>
      <c r="E39" s="100">
        <f>IF(A39="","",IFERROR(VLOOKUP(A39,'Job Operations'!$A$4:$AA$304,6,FALSE),""))</f>
        <v>0</v>
      </c>
      <c r="F39" s="100" t="str">
        <f>IF(A39="","",IFERROR(VLOOKUP(A39,'Job Operations'!$A$4:$AA$304,7,FALSE),""))</f>
        <v>FR ACM</v>
      </c>
      <c r="G39" s="101">
        <f>IF(A39="","",IFERROR(VLOOKUP(A39,'Job Operations'!$A$4:$AA$304,9,FALSE),""))</f>
        <v>46143</v>
      </c>
      <c r="H39" s="100" t="str" cm="1">
        <f t="array" ref="H39">IF(A39="","",_xlfn.LET(_xlpm.stn,IFERROR(VLOOKUP(A39,'Job Operations'!$A$4:$AA$304,12,FALSE),""),IF(OR(_xlpm.stn="Fabrication",_xlpm.stn="Fab"),_xlfn.LET(_xlpm.pos,SUMPRODUCT((A$7:A39&lt;&gt;"")*(IFERROR(VLOOKUP(A$7:A39,'Job Operations'!$A$4:$AA$304,12,FALSE),"")="Fabrication")+(A$7:A39&lt;&gt;"")*(IFERROR(VLOOKUP(A$7:A39,'Job Operations'!$A$4:$AA$304,12,FALSE),"")="Fab")),_xlpm.sfx,IF(OR(_xlpm.pos=11,_xlpm.pos=12,_xlpm.pos=13),"th",IF(MOD(_xlpm.pos,10)=1,"st",IF(MOD(_xlpm.pos,10)=2,"nd",IF(MOD(_xlpm.pos,10)=3,"rd","th")))),_xlpm.pos&amp;_xlpm.sfx),IF(_xlpm.stn&lt;&gt;"",_xlpm.stn,""))))</f>
        <v>Float</v>
      </c>
      <c r="I39" s="100" t="str" cm="1">
        <f t="array" ref="I39">IF(A39="","",_xlfn.LET(_xlpm.stn,IFERROR(VLOOKUP(A39,'Job Operations'!$A$4:$AA$304,12,FALSE),""),IF(OR(_xlpm.stn="Fabrication",_xlpm.stn="Fab"),_xlfn.LET(_xlpm.pos,SUMPRODUCT((A$7:A39&lt;&gt;"")*(IFERROR(VLOOKUP(A$7:A39,'Job Operations'!$A$4:$AA$304,12,FALSE),"")="Fabrication")+(A$7:A39&lt;&gt;"")*(IFERROR(VLOOKUP(A$7:A39,'Job Operations'!$A$4:$AA$304,12,FALSE),"")="Fab")),_xlpm.sfx,IF(OR(_xlpm.pos=11,_xlpm.pos=12,_xlpm.pos=13),"th",IF(MOD(_xlpm.pos,10)=1,"st",IF(MOD(_xlpm.pos,10)=2,"nd",IF(MOD(_xlpm.pos,10)=3,"rd","th")))),_xlpm.pos&amp;_xlpm.sfx),IF(ISNUMBER(MATCH(A39,'Clean and Brake Schedule'!A$7:A$100,0)),"#"&amp;MATCH(A39,'Clean and Brake Schedule'!A$7:A$100,0)&amp;" on C&amp;B",IF(ISNUMBER(MATCH(A39,'AXYZ Titans CNC Schedule'!A$7:A$100,0)),"#"&amp;MATCH(A39,'AXYZ Titans CNC Schedule'!A$7:A$100,0)&amp;" on Titans",IF(ISNUMBER(MATCH(A39,'AXYZ CNC Schedule'!A$7:A$100,0)),"#"&amp;MATCH(A39,'AXYZ CNC Schedule'!A$7:A$100,0)&amp;" on AXYZ",IF(_xlpm.stn&lt;&gt;"",_xlpm.stn,"")))))))</f>
        <v>#31 on C&amp;B</v>
      </c>
      <c r="J39" s="101">
        <f>IF(A39="","",IFERROR(VLOOKUP(A39,'Job Operations'!$A$4:$AA$304,18,FALSE),""))</f>
        <v>46130</v>
      </c>
      <c r="K39" s="100" t="str">
        <f>IF(A39="","",IFERROR(VLOOKUP(A39,'Job Operations'!$A$4:$AA$304,13,FALSE),""))</f>
        <v>AXYZ</v>
      </c>
      <c r="L39" s="100" t="str">
        <f>IF(A39="","",IFERROR(VLOOKUP(A39,'Job Operations'!$A$4:$AA$304,15,FALSE),""))</f>
        <v>Clean and Brake</v>
      </c>
      <c r="M39" s="168" t="str">
        <f>IF(A39="","",IF(IFERROR(VLOOKUP(A39,Notes!A:B,2,FALSE),"")=0,"",VLOOKUP(A39,Notes!A:B,2,FALSE)))</f>
        <v>04/16/2026…Float</v>
      </c>
    </row>
    <row r="40" spans="1:13" x14ac:dyDescent="0.25">
      <c r="A40" s="103" t="str">
        <v>24051-FS96</v>
      </c>
      <c r="B40" s="104" t="str">
        <f>IF(A40="","",IFERROR(VLOOKUP(A40,'Job Operations'!$A$4:$AA$304,2,FALSE),""))</f>
        <v>TN Titans Stadium</v>
      </c>
      <c r="C40" s="105" t="str">
        <f>IF(A40="","",IFERROR(VLOOKUP(A40,'Job Operations'!$A$4:$AA$304,3,FALSE),""))</f>
        <v>Marc Ribar</v>
      </c>
      <c r="D40" s="105">
        <f>IF(A40="","",IFERROR(VLOOKUP(A40,'Job Operations'!$A$4:$AA$304,5,FALSE),""))</f>
        <v>52</v>
      </c>
      <c r="E40" s="105">
        <f>IF(A40="","",IFERROR(VLOOKUP(A40,'Job Operations'!$A$4:$AA$304,6,FALSE),""))</f>
        <v>0</v>
      </c>
      <c r="F40" s="105" t="str">
        <f>IF(A40="","",IFERROR(VLOOKUP(A40,'Job Operations'!$A$4:$AA$304,7,FALSE),""))</f>
        <v>FR ACM</v>
      </c>
      <c r="G40" s="106">
        <f>IF(A40="","",IFERROR(VLOOKUP(A40,'Job Operations'!$A$4:$AA$304,9,FALSE),""))</f>
        <v>46143</v>
      </c>
      <c r="H40" s="105" t="str" cm="1">
        <f t="array" ref="H40">IF(A40="","",_xlfn.LET(_xlpm.stn,IFERROR(VLOOKUP(A40,'Job Operations'!$A$4:$AA$304,12,FALSE),""),IF(OR(_xlpm.stn="Fabrication",_xlpm.stn="Fab"),_xlfn.LET(_xlpm.pos,SUMPRODUCT((A$7:A40&lt;&gt;"")*(IFERROR(VLOOKUP(A$7:A40,'Job Operations'!$A$4:$AA$304,12,FALSE),"")="Fabrication")+(A$7:A40&lt;&gt;"")*(IFERROR(VLOOKUP(A$7:A40,'Job Operations'!$A$4:$AA$304,12,FALSE),"")="Fab")),_xlpm.sfx,IF(OR(_xlpm.pos=11,_xlpm.pos=12,_xlpm.pos=13),"th",IF(MOD(_xlpm.pos,10)=1,"st",IF(MOD(_xlpm.pos,10)=2,"nd",IF(MOD(_xlpm.pos,10)=3,"rd","th")))),_xlpm.pos&amp;_xlpm.sfx),IF(_xlpm.stn&lt;&gt;"",_xlpm.stn,""))))</f>
        <v>Float</v>
      </c>
      <c r="I40" s="105" t="str" cm="1">
        <f t="array" ref="I40">IF(A40="","",_xlfn.LET(_xlpm.stn,IFERROR(VLOOKUP(A40,'Job Operations'!$A$4:$AA$304,12,FALSE),""),IF(OR(_xlpm.stn="Fabrication",_xlpm.stn="Fab"),_xlfn.LET(_xlpm.pos,SUMPRODUCT((A$7:A40&lt;&gt;"")*(IFERROR(VLOOKUP(A$7:A40,'Job Operations'!$A$4:$AA$304,12,FALSE),"")="Fabrication")+(A$7:A40&lt;&gt;"")*(IFERROR(VLOOKUP(A$7:A40,'Job Operations'!$A$4:$AA$304,12,FALSE),"")="Fab")),_xlpm.sfx,IF(OR(_xlpm.pos=11,_xlpm.pos=12,_xlpm.pos=13),"th",IF(MOD(_xlpm.pos,10)=1,"st",IF(MOD(_xlpm.pos,10)=2,"nd",IF(MOD(_xlpm.pos,10)=3,"rd","th")))),_xlpm.pos&amp;_xlpm.sfx),IF(ISNUMBER(MATCH(A40,'Clean and Brake Schedule'!A$7:A$100,0)),"#"&amp;MATCH(A40,'Clean and Brake Schedule'!A$7:A$100,0)&amp;" on C&amp;B",IF(ISNUMBER(MATCH(A40,'AXYZ Titans CNC Schedule'!A$7:A$100,0)),"#"&amp;MATCH(A40,'AXYZ Titans CNC Schedule'!A$7:A$100,0)&amp;" on Titans",IF(ISNUMBER(MATCH(A40,'AXYZ CNC Schedule'!A$7:A$100,0)),"#"&amp;MATCH(A40,'AXYZ CNC Schedule'!A$7:A$100,0)&amp;" on AXYZ",IF(_xlpm.stn&lt;&gt;"",_xlpm.stn,"")))))))</f>
        <v>#32 on C&amp;B</v>
      </c>
      <c r="J40" s="106">
        <f>IF(A40="","",IFERROR(VLOOKUP(A40,'Job Operations'!$A$4:$AA$304,18,FALSE),""))</f>
        <v>46130</v>
      </c>
      <c r="K40" s="105" t="str">
        <f>IF(A40="","",IFERROR(VLOOKUP(A40,'Job Operations'!$A$4:$AA$304,13,FALSE),""))</f>
        <v>AXYZ</v>
      </c>
      <c r="L40" s="105" t="str">
        <f>IF(A40="","",IFERROR(VLOOKUP(A40,'Job Operations'!$A$4:$AA$304,15,FALSE),""))</f>
        <v>Clean and Brake</v>
      </c>
      <c r="M40" s="167" t="str">
        <f>IF(A40="","",IF(IFERROR(VLOOKUP(A40,Notes!A:B,2,FALSE),"")=0,"",VLOOKUP(A40,Notes!A:B,2,FALSE)))</f>
        <v>04/16/2026…Float</v>
      </c>
    </row>
    <row r="41" spans="1:13" x14ac:dyDescent="0.25">
      <c r="A41" s="98" t="str">
        <v>24051-FS229</v>
      </c>
      <c r="B41" s="99" t="str">
        <f>IF(A41="","",IFERROR(VLOOKUP(A41,'Job Operations'!$A$4:$AA$304,2,FALSE),""))</f>
        <v>TN Titans Stadium</v>
      </c>
      <c r="C41" s="100" t="str">
        <f>IF(A41="","",IFERROR(VLOOKUP(A41,'Job Operations'!$A$4:$AA$304,3,FALSE),""))</f>
        <v>Marc Ribar</v>
      </c>
      <c r="D41" s="100">
        <f>IF(A41="","",IFERROR(VLOOKUP(A41,'Job Operations'!$A$4:$AA$304,5,FALSE),""))</f>
        <v>109</v>
      </c>
      <c r="E41" s="100">
        <f>IF(A41="","",IFERROR(VLOOKUP(A41,'Job Operations'!$A$4:$AA$304,6,FALSE),""))</f>
        <v>0</v>
      </c>
      <c r="F41" s="100" t="str">
        <f>IF(A41="","",IFERROR(VLOOKUP(A41,'Job Operations'!$A$4:$AA$304,7,FALSE),""))</f>
        <v>FR ACM</v>
      </c>
      <c r="G41" s="101">
        <f>IF(A41="","",IFERROR(VLOOKUP(A41,'Job Operations'!$A$4:$AA$304,9,FALSE),""))</f>
        <v>46143</v>
      </c>
      <c r="H41" s="100" t="str" cm="1">
        <f t="array" ref="H41">IF(A41="","",_xlfn.LET(_xlpm.stn,IFERROR(VLOOKUP(A41,'Job Operations'!$A$4:$AA$304,12,FALSE),""),IF(OR(_xlpm.stn="Fabrication",_xlpm.stn="Fab"),_xlfn.LET(_xlpm.pos,SUMPRODUCT((A$7:A41&lt;&gt;"")*(IFERROR(VLOOKUP(A$7:A41,'Job Operations'!$A$4:$AA$304,12,FALSE),"")="Fabrication")+(A$7:A41&lt;&gt;"")*(IFERROR(VLOOKUP(A$7:A41,'Job Operations'!$A$4:$AA$304,12,FALSE),"")="Fab")),_xlpm.sfx,IF(OR(_xlpm.pos=11,_xlpm.pos=12,_xlpm.pos=13),"th",IF(MOD(_xlpm.pos,10)=1,"st",IF(MOD(_xlpm.pos,10)=2,"nd",IF(MOD(_xlpm.pos,10)=3,"rd","th")))),_xlpm.pos&amp;_xlpm.sfx),IF(_xlpm.stn&lt;&gt;"",_xlpm.stn,""))))</f>
        <v>Float</v>
      </c>
      <c r="I41" s="100" t="str" cm="1">
        <f t="array" ref="I41">IF(A41="","",_xlfn.LET(_xlpm.stn,IFERROR(VLOOKUP(A41,'Job Operations'!$A$4:$AA$304,12,FALSE),""),IF(OR(_xlpm.stn="Fabrication",_xlpm.stn="Fab"),_xlfn.LET(_xlpm.pos,SUMPRODUCT((A$7:A41&lt;&gt;"")*(IFERROR(VLOOKUP(A$7:A41,'Job Operations'!$A$4:$AA$304,12,FALSE),"")="Fabrication")+(A$7:A41&lt;&gt;"")*(IFERROR(VLOOKUP(A$7:A41,'Job Operations'!$A$4:$AA$304,12,FALSE),"")="Fab")),_xlpm.sfx,IF(OR(_xlpm.pos=11,_xlpm.pos=12,_xlpm.pos=13),"th",IF(MOD(_xlpm.pos,10)=1,"st",IF(MOD(_xlpm.pos,10)=2,"nd",IF(MOD(_xlpm.pos,10)=3,"rd","th")))),_xlpm.pos&amp;_xlpm.sfx),IF(ISNUMBER(MATCH(A41,'Clean and Brake Schedule'!A$7:A$100,0)),"#"&amp;MATCH(A41,'Clean and Brake Schedule'!A$7:A$100,0)&amp;" on C&amp;B",IF(ISNUMBER(MATCH(A41,'AXYZ Titans CNC Schedule'!A$7:A$100,0)),"#"&amp;MATCH(A41,'AXYZ Titans CNC Schedule'!A$7:A$100,0)&amp;" on Titans",IF(ISNUMBER(MATCH(A41,'AXYZ CNC Schedule'!A$7:A$100,0)),"#"&amp;MATCH(A41,'AXYZ CNC Schedule'!A$7:A$100,0)&amp;" on AXYZ",IF(_xlpm.stn&lt;&gt;"",_xlpm.stn,"")))))))</f>
        <v>#33 on C&amp;B</v>
      </c>
      <c r="J41" s="101">
        <f>IF(A41="","",IFERROR(VLOOKUP(A41,'Job Operations'!$A$4:$AA$304,18,FALSE),""))</f>
        <v>46130</v>
      </c>
      <c r="K41" s="100" t="str">
        <f>IF(A41="","",IFERROR(VLOOKUP(A41,'Job Operations'!$A$4:$AA$304,13,FALSE),""))</f>
        <v>AXYZ</v>
      </c>
      <c r="L41" s="100" t="str">
        <f>IF(A41="","",IFERROR(VLOOKUP(A41,'Job Operations'!$A$4:$AA$304,15,FALSE),""))</f>
        <v>Clean and Brake</v>
      </c>
      <c r="M41" s="168" t="str">
        <f>IF(A41="","",IF(IFERROR(VLOOKUP(A41,Notes!A:B,2,FALSE),"")=0,"",VLOOKUP(A41,Notes!A:B,2,FALSE)))</f>
        <v>04/16/2026…Float</v>
      </c>
    </row>
    <row r="42" spans="1:13" x14ac:dyDescent="0.25">
      <c r="A42" s="103" t="str">
        <v>24051-FS230</v>
      </c>
      <c r="B42" s="104" t="str">
        <f>IF(A42="","",IFERROR(VLOOKUP(A42,'Job Operations'!$A$4:$AA$304,2,FALSE),""))</f>
        <v>TN Titans Stadium</v>
      </c>
      <c r="C42" s="105" t="str">
        <f>IF(A42="","",IFERROR(VLOOKUP(A42,'Job Operations'!$A$4:$AA$304,3,FALSE),""))</f>
        <v>Marc Ribar</v>
      </c>
      <c r="D42" s="105">
        <f>IF(A42="","",IFERROR(VLOOKUP(A42,'Job Operations'!$A$4:$AA$304,5,FALSE),""))</f>
        <v>67</v>
      </c>
      <c r="E42" s="105">
        <f>IF(A42="","",IFERROR(VLOOKUP(A42,'Job Operations'!$A$4:$AA$304,6,FALSE),""))</f>
        <v>0</v>
      </c>
      <c r="F42" s="105" t="str">
        <f>IF(A42="","",IFERROR(VLOOKUP(A42,'Job Operations'!$A$4:$AA$304,7,FALSE),""))</f>
        <v>FR ACM</v>
      </c>
      <c r="G42" s="106">
        <f>IF(A42="","",IFERROR(VLOOKUP(A42,'Job Operations'!$A$4:$AA$304,9,FALSE),""))</f>
        <v>46143</v>
      </c>
      <c r="H42" s="105" t="str" cm="1">
        <f t="array" ref="H42">IF(A42="","",_xlfn.LET(_xlpm.stn,IFERROR(VLOOKUP(A42,'Job Operations'!$A$4:$AA$304,12,FALSE),""),IF(OR(_xlpm.stn="Fabrication",_xlpm.stn="Fab"),_xlfn.LET(_xlpm.pos,SUMPRODUCT((A$7:A42&lt;&gt;"")*(IFERROR(VLOOKUP(A$7:A42,'Job Operations'!$A$4:$AA$304,12,FALSE),"")="Fabrication")+(A$7:A42&lt;&gt;"")*(IFERROR(VLOOKUP(A$7:A42,'Job Operations'!$A$4:$AA$304,12,FALSE),"")="Fab")),_xlpm.sfx,IF(OR(_xlpm.pos=11,_xlpm.pos=12,_xlpm.pos=13),"th",IF(MOD(_xlpm.pos,10)=1,"st",IF(MOD(_xlpm.pos,10)=2,"nd",IF(MOD(_xlpm.pos,10)=3,"rd","th")))),_xlpm.pos&amp;_xlpm.sfx),IF(_xlpm.stn&lt;&gt;"",_xlpm.stn,""))))</f>
        <v>Float</v>
      </c>
      <c r="I42" s="105" t="str" cm="1">
        <f t="array" ref="I42">IF(A42="","",_xlfn.LET(_xlpm.stn,IFERROR(VLOOKUP(A42,'Job Operations'!$A$4:$AA$304,12,FALSE),""),IF(OR(_xlpm.stn="Fabrication",_xlpm.stn="Fab"),_xlfn.LET(_xlpm.pos,SUMPRODUCT((A$7:A42&lt;&gt;"")*(IFERROR(VLOOKUP(A$7:A42,'Job Operations'!$A$4:$AA$304,12,FALSE),"")="Fabrication")+(A$7:A42&lt;&gt;"")*(IFERROR(VLOOKUP(A$7:A42,'Job Operations'!$A$4:$AA$304,12,FALSE),"")="Fab")),_xlpm.sfx,IF(OR(_xlpm.pos=11,_xlpm.pos=12,_xlpm.pos=13),"th",IF(MOD(_xlpm.pos,10)=1,"st",IF(MOD(_xlpm.pos,10)=2,"nd",IF(MOD(_xlpm.pos,10)=3,"rd","th")))),_xlpm.pos&amp;_xlpm.sfx),IF(ISNUMBER(MATCH(A42,'Clean and Brake Schedule'!A$7:A$100,0)),"#"&amp;MATCH(A42,'Clean and Brake Schedule'!A$7:A$100,0)&amp;" on C&amp;B",IF(ISNUMBER(MATCH(A42,'AXYZ Titans CNC Schedule'!A$7:A$100,0)),"#"&amp;MATCH(A42,'AXYZ Titans CNC Schedule'!A$7:A$100,0)&amp;" on Titans",IF(ISNUMBER(MATCH(A42,'AXYZ CNC Schedule'!A$7:A$100,0)),"#"&amp;MATCH(A42,'AXYZ CNC Schedule'!A$7:A$100,0)&amp;" on AXYZ",IF(_xlpm.stn&lt;&gt;"",_xlpm.stn,"")))))))</f>
        <v>#34 on C&amp;B</v>
      </c>
      <c r="J42" s="106">
        <f>IF(A42="","",IFERROR(VLOOKUP(A42,'Job Operations'!$A$4:$AA$304,18,FALSE),""))</f>
        <v>46130</v>
      </c>
      <c r="K42" s="105" t="str">
        <f>IF(A42="","",IFERROR(VLOOKUP(A42,'Job Operations'!$A$4:$AA$304,13,FALSE),""))</f>
        <v>AXYZ</v>
      </c>
      <c r="L42" s="105" t="str">
        <f>IF(A42="","",IFERROR(VLOOKUP(A42,'Job Operations'!$A$4:$AA$304,15,FALSE),""))</f>
        <v>Clean and Brake</v>
      </c>
      <c r="M42" s="167" t="str">
        <f>IF(A42="","",IF(IFERROR(VLOOKUP(A42,Notes!A:B,2,FALSE),"")=0,"",VLOOKUP(A42,Notes!A:B,2,FALSE)))</f>
        <v>04/16/2026…Float</v>
      </c>
    </row>
    <row r="43" spans="1:13" x14ac:dyDescent="0.25">
      <c r="A43" s="98" t="str">
        <v>24051-FS231</v>
      </c>
      <c r="B43" s="99" t="str">
        <f>IF(A43="","",IFERROR(VLOOKUP(A43,'Job Operations'!$A$4:$AA$304,2,FALSE),""))</f>
        <v>TN Titans Stadium</v>
      </c>
      <c r="C43" s="100" t="str">
        <f>IF(A43="","",IFERROR(VLOOKUP(A43,'Job Operations'!$A$4:$AA$304,3,FALSE),""))</f>
        <v>Marc Ribar</v>
      </c>
      <c r="D43" s="100">
        <f>IF(A43="","",IFERROR(VLOOKUP(A43,'Job Operations'!$A$4:$AA$304,5,FALSE),""))</f>
        <v>1</v>
      </c>
      <c r="E43" s="100">
        <f>IF(A43="","",IFERROR(VLOOKUP(A43,'Job Operations'!$A$4:$AA$304,6,FALSE),""))</f>
        <v>0</v>
      </c>
      <c r="F43" s="100" t="str">
        <f>IF(A43="","",IFERROR(VLOOKUP(A43,'Job Operations'!$A$4:$AA$304,7,FALSE),""))</f>
        <v>FR ACM</v>
      </c>
      <c r="G43" s="101">
        <f>IF(A43="","",IFERROR(VLOOKUP(A43,'Job Operations'!$A$4:$AA$304,9,FALSE),""))</f>
        <v>46146</v>
      </c>
      <c r="H43" s="100" t="str" cm="1">
        <f t="array" ref="H43">IF(A43="","",_xlfn.LET(_xlpm.stn,IFERROR(VLOOKUP(A43,'Job Operations'!$A$4:$AA$304,12,FALSE),""),IF(OR(_xlpm.stn="Fabrication",_xlpm.stn="Fab"),_xlfn.LET(_xlpm.pos,SUMPRODUCT((A$7:A43&lt;&gt;"")*(IFERROR(VLOOKUP(A$7:A43,'Job Operations'!$A$4:$AA$304,12,FALSE),"")="Fabrication")+(A$7:A43&lt;&gt;"")*(IFERROR(VLOOKUP(A$7:A43,'Job Operations'!$A$4:$AA$304,12,FALSE),"")="Fab")),_xlpm.sfx,IF(OR(_xlpm.pos=11,_xlpm.pos=12,_xlpm.pos=13),"th",IF(MOD(_xlpm.pos,10)=1,"st",IF(MOD(_xlpm.pos,10)=2,"nd",IF(MOD(_xlpm.pos,10)=3,"rd","th")))),_xlpm.pos&amp;_xlpm.sfx),IF(_xlpm.stn&lt;&gt;"",_xlpm.stn,""))))</f>
        <v>Float</v>
      </c>
      <c r="I43" s="100" t="str" cm="1">
        <f t="array" ref="I43">IF(A43="","",_xlfn.LET(_xlpm.stn,IFERROR(VLOOKUP(A43,'Job Operations'!$A$4:$AA$304,12,FALSE),""),IF(OR(_xlpm.stn="Fabrication",_xlpm.stn="Fab"),_xlfn.LET(_xlpm.pos,SUMPRODUCT((A$7:A43&lt;&gt;"")*(IFERROR(VLOOKUP(A$7:A43,'Job Operations'!$A$4:$AA$304,12,FALSE),"")="Fabrication")+(A$7:A43&lt;&gt;"")*(IFERROR(VLOOKUP(A$7:A43,'Job Operations'!$A$4:$AA$304,12,FALSE),"")="Fab")),_xlpm.sfx,IF(OR(_xlpm.pos=11,_xlpm.pos=12,_xlpm.pos=13),"th",IF(MOD(_xlpm.pos,10)=1,"st",IF(MOD(_xlpm.pos,10)=2,"nd",IF(MOD(_xlpm.pos,10)=3,"rd","th")))),_xlpm.pos&amp;_xlpm.sfx),IF(ISNUMBER(MATCH(A43,'Clean and Brake Schedule'!A$7:A$100,0)),"#"&amp;MATCH(A43,'Clean and Brake Schedule'!A$7:A$100,0)&amp;" on C&amp;B",IF(ISNUMBER(MATCH(A43,'AXYZ Titans CNC Schedule'!A$7:A$100,0)),"#"&amp;MATCH(A43,'AXYZ Titans CNC Schedule'!A$7:A$100,0)&amp;" on Titans",IF(ISNUMBER(MATCH(A43,'AXYZ CNC Schedule'!A$7:A$100,0)),"#"&amp;MATCH(A43,'AXYZ CNC Schedule'!A$7:A$100,0)&amp;" on AXYZ",IF(_xlpm.stn&lt;&gt;"",_xlpm.stn,"")))))))</f>
        <v>#36 on C&amp;B</v>
      </c>
      <c r="J43" s="101">
        <f>IF(A43="","",IFERROR(VLOOKUP(A43,'Job Operations'!$A$4:$AA$304,18,FALSE),""))</f>
        <v>46133</v>
      </c>
      <c r="K43" s="100" t="str">
        <f>IF(A43="","",IFERROR(VLOOKUP(A43,'Job Operations'!$A$4:$AA$304,13,FALSE),""))</f>
        <v>AXYZ</v>
      </c>
      <c r="L43" s="100" t="str">
        <f>IF(A43="","",IFERROR(VLOOKUP(A43,'Job Operations'!$A$4:$AA$304,15,FALSE),""))</f>
        <v>Clean and Brake</v>
      </c>
      <c r="M43" s="168" t="str">
        <f>IF(A43="","",IF(IFERROR(VLOOKUP(A43,Notes!A:B,2,FALSE),"")=0,"",VLOOKUP(A43,Notes!A:B,2,FALSE)))</f>
        <v>04/16/2026…Float</v>
      </c>
    </row>
    <row r="44" spans="1:13" x14ac:dyDescent="0.25">
      <c r="A44" s="103" t="str">
        <v>25002-FS14</v>
      </c>
      <c r="B44" s="104" t="str">
        <f>IF(A44="","",IFERROR(VLOOKUP(A44,'Job Operations'!$A$4:$AA$304,2,FALSE),""))</f>
        <v>Med Center Health</v>
      </c>
      <c r="C44" s="105" t="str">
        <f>IF(A44="","",IFERROR(VLOOKUP(A44,'Job Operations'!$A$4:$AA$304,3,FALSE),""))</f>
        <v>Carlos Silva</v>
      </c>
      <c r="D44" s="105" t="str">
        <f>IF(A44="","",IFERROR(VLOOKUP(A44,'Job Operations'!$A$4:$AA$304,5,FALSE),""))</f>
        <v>00</v>
      </c>
      <c r="E44" s="105">
        <f>IF(A44="","",IFERROR(VLOOKUP(A44,'Job Operations'!$A$4:$AA$304,6,FALSE),""))</f>
        <v>0</v>
      </c>
      <c r="F44" s="105" t="str">
        <f>IF(A44="","",IFERROR(VLOOKUP(A44,'Job Operations'!$A$4:$AA$304,7,FALSE),""))</f>
        <v>FR ACM</v>
      </c>
      <c r="G44" s="106">
        <f>IF(A44="","",IFERROR(VLOOKUP(A44,'Job Operations'!$A$4:$AA$304,9,FALSE),""))</f>
        <v>46146</v>
      </c>
      <c r="H44" s="105" t="str" cm="1">
        <f t="array" ref="H44">IF(A44="","",_xlfn.LET(_xlpm.stn,IFERROR(VLOOKUP(A44,'Job Operations'!$A$4:$AA$304,12,FALSE),""),IF(OR(_xlpm.stn="Fabrication",_xlpm.stn="Fab"),_xlfn.LET(_xlpm.pos,SUMPRODUCT((A$7:A44&lt;&gt;"")*(IFERROR(VLOOKUP(A$7:A44,'Job Operations'!$A$4:$AA$304,12,FALSE),"")="Fabrication")+(A$7:A44&lt;&gt;"")*(IFERROR(VLOOKUP(A$7:A44,'Job Operations'!$A$4:$AA$304,12,FALSE),"")="Fab")),_xlpm.sfx,IF(OR(_xlpm.pos=11,_xlpm.pos=12,_xlpm.pos=13),"th",IF(MOD(_xlpm.pos,10)=1,"st",IF(MOD(_xlpm.pos,10)=2,"nd",IF(MOD(_xlpm.pos,10)=3,"rd","th")))),_xlpm.pos&amp;_xlpm.sfx),IF(_xlpm.stn&lt;&gt;"",_xlpm.stn,""))))</f>
        <v>Evaluation</v>
      </c>
      <c r="I44" s="105" t="str" cm="1">
        <f t="array" ref="I44">IF(A44="","",_xlfn.LET(_xlpm.stn,IFERROR(VLOOKUP(A44,'Job Operations'!$A$4:$AA$304,12,FALSE),""),IF(OR(_xlpm.stn="Fabrication",_xlpm.stn="Fab"),_xlfn.LET(_xlpm.pos,SUMPRODUCT((A$7:A44&lt;&gt;"")*(IFERROR(VLOOKUP(A$7:A44,'Job Operations'!$A$4:$AA$304,12,FALSE),"")="Fabrication")+(A$7:A44&lt;&gt;"")*(IFERROR(VLOOKUP(A$7:A44,'Job Operations'!$A$4:$AA$304,12,FALSE),"")="Fab")),_xlpm.sfx,IF(OR(_xlpm.pos=11,_xlpm.pos=12,_xlpm.pos=13),"th",IF(MOD(_xlpm.pos,10)=1,"st",IF(MOD(_xlpm.pos,10)=2,"nd",IF(MOD(_xlpm.pos,10)=3,"rd","th")))),_xlpm.pos&amp;_xlpm.sfx),IF(ISNUMBER(MATCH(A44,'Clean and Brake Schedule'!A$7:A$100,0)),"#"&amp;MATCH(A44,'Clean and Brake Schedule'!A$7:A$100,0)&amp;" on C&amp;B",IF(ISNUMBER(MATCH(A44,'AXYZ Titans CNC Schedule'!A$7:A$100,0)),"#"&amp;MATCH(A44,'AXYZ Titans CNC Schedule'!A$7:A$100,0)&amp;" on Titans",IF(ISNUMBER(MATCH(A44,'AXYZ CNC Schedule'!A$7:A$100,0)),"#"&amp;MATCH(A44,'AXYZ CNC Schedule'!A$7:A$100,0)&amp;" on AXYZ",IF(_xlpm.stn&lt;&gt;"",_xlpm.stn,"")))))))</f>
        <v>#37 on C&amp;B</v>
      </c>
      <c r="J44" s="106">
        <f>IF(A44="","",IFERROR(VLOOKUP(A44,'Job Operations'!$A$4:$AA$304,18,FALSE),""))</f>
        <v>46133</v>
      </c>
      <c r="K44" s="105" t="str">
        <f>IF(A44="","",IFERROR(VLOOKUP(A44,'Job Operations'!$A$4:$AA$304,13,FALSE),""))</f>
        <v>AXYZ</v>
      </c>
      <c r="L44" s="105" t="str">
        <f>IF(A44="","",IFERROR(VLOOKUP(A44,'Job Operations'!$A$4:$AA$304,15,FALSE),""))</f>
        <v>Clean and Brake</v>
      </c>
      <c r="M44" s="167" t="str">
        <f>IF(A44="","",IF(IFERROR(VLOOKUP(A44,Notes!A:B,2,FALSE),"")=0,"",VLOOKUP(A44,Notes!A:B,2,FALSE)))</f>
        <v>04/16/2026…Evaluation</v>
      </c>
    </row>
    <row r="45" spans="1:13" x14ac:dyDescent="0.25">
      <c r="A45" s="98" t="str">
        <v>25006-FS03</v>
      </c>
      <c r="B45" s="99" t="str">
        <f>IF(A45="","",IFERROR(VLOOKUP(A45,'Job Operations'!$A$4:$AA$304,2,FALSE),""))</f>
        <v>MALETA Housing and Dining</v>
      </c>
      <c r="C45" s="100" t="str">
        <f>IF(A45="","",IFERROR(VLOOKUP(A45,'Job Operations'!$A$4:$AA$304,3,FALSE),""))</f>
        <v>Cole Norona</v>
      </c>
      <c r="D45" s="100">
        <f>IF(A45="","",IFERROR(VLOOKUP(A45,'Job Operations'!$A$4:$AA$304,5,FALSE),""))</f>
        <v>216</v>
      </c>
      <c r="E45" s="100">
        <f>IF(A45="","",IFERROR(VLOOKUP(A45,'Job Operations'!$A$4:$AA$304,6,FALSE),""))</f>
        <v>0</v>
      </c>
      <c r="F45" s="100" t="str">
        <f>IF(A45="","",IFERROR(VLOOKUP(A45,'Job Operations'!$A$4:$AA$304,7,FALSE),""))</f>
        <v>FR ACM</v>
      </c>
      <c r="G45" s="101">
        <f>IF(A45="","",IFERROR(VLOOKUP(A45,'Job Operations'!$A$4:$AA$304,9,FALSE),""))</f>
        <v>46147</v>
      </c>
      <c r="H45" s="100" t="str" cm="1">
        <f t="array" ref="H45">IF(A45="","",_xlfn.LET(_xlpm.stn,IFERROR(VLOOKUP(A45,'Job Operations'!$A$4:$AA$304,12,FALSE),""),IF(OR(_xlpm.stn="Fabrication",_xlpm.stn="Fab"),_xlfn.LET(_xlpm.pos,SUMPRODUCT((A$7:A45&lt;&gt;"")*(IFERROR(VLOOKUP(A$7:A45,'Job Operations'!$A$4:$AA$304,12,FALSE),"")="Fabrication")+(A$7:A45&lt;&gt;"")*(IFERROR(VLOOKUP(A$7:A45,'Job Operations'!$A$4:$AA$304,12,FALSE),"")="Fab")),_xlpm.sfx,IF(OR(_xlpm.pos=11,_xlpm.pos=12,_xlpm.pos=13),"th",IF(MOD(_xlpm.pos,10)=1,"st",IF(MOD(_xlpm.pos,10)=2,"nd",IF(MOD(_xlpm.pos,10)=3,"rd","th")))),_xlpm.pos&amp;_xlpm.sfx),IF(_xlpm.stn&lt;&gt;"",_xlpm.stn,""))))</f>
        <v>Correction</v>
      </c>
      <c r="I45" s="100" t="str" cm="1">
        <f t="array" ref="I45">IF(A45="","",_xlfn.LET(_xlpm.stn,IFERROR(VLOOKUP(A45,'Job Operations'!$A$4:$AA$304,12,FALSE),""),IF(OR(_xlpm.stn="Fabrication",_xlpm.stn="Fab"),_xlfn.LET(_xlpm.pos,SUMPRODUCT((A$7:A45&lt;&gt;"")*(IFERROR(VLOOKUP(A$7:A45,'Job Operations'!$A$4:$AA$304,12,FALSE),"")="Fabrication")+(A$7:A45&lt;&gt;"")*(IFERROR(VLOOKUP(A$7:A45,'Job Operations'!$A$4:$AA$304,12,FALSE),"")="Fab")),_xlpm.sfx,IF(OR(_xlpm.pos=11,_xlpm.pos=12,_xlpm.pos=13),"th",IF(MOD(_xlpm.pos,10)=1,"st",IF(MOD(_xlpm.pos,10)=2,"nd",IF(MOD(_xlpm.pos,10)=3,"rd","th")))),_xlpm.pos&amp;_xlpm.sfx),IF(ISNUMBER(MATCH(A45,'Clean and Brake Schedule'!A$7:A$100,0)),"#"&amp;MATCH(A45,'Clean and Brake Schedule'!A$7:A$100,0)&amp;" on C&amp;B",IF(ISNUMBER(MATCH(A45,'AXYZ Titans CNC Schedule'!A$7:A$100,0)),"#"&amp;MATCH(A45,'AXYZ Titans CNC Schedule'!A$7:A$100,0)&amp;" on Titans",IF(ISNUMBER(MATCH(A45,'AXYZ CNC Schedule'!A$7:A$100,0)),"#"&amp;MATCH(A45,'AXYZ CNC Schedule'!A$7:A$100,0)&amp;" on AXYZ",IF(_xlpm.stn&lt;&gt;"",_xlpm.stn,"")))))))</f>
        <v>#38 on C&amp;B</v>
      </c>
      <c r="J45" s="101">
        <f>IF(A45="","",IFERROR(VLOOKUP(A45,'Job Operations'!$A$4:$AA$304,18,FALSE),""))</f>
        <v>46134</v>
      </c>
      <c r="K45" s="100" t="str">
        <f>IF(A45="","",IFERROR(VLOOKUP(A45,'Job Operations'!$A$4:$AA$304,13,FALSE),""))</f>
        <v>AXYZ</v>
      </c>
      <c r="L45" s="100" t="str">
        <f>IF(A45="","",IFERROR(VLOOKUP(A45,'Job Operations'!$A$4:$AA$304,15,FALSE),""))</f>
        <v>Clean and Brake</v>
      </c>
      <c r="M45" s="168" t="str">
        <f>IF(A45="","",IF(IFERROR(VLOOKUP(A45,Notes!A:B,2,FALSE),"")=0,"",VLOOKUP(A45,Notes!A:B,2,FALSE)))</f>
        <v>Not expected out of engineering before 04/15…Needs to ship 05/12*HOAR*04/16/2026…Correction</v>
      </c>
    </row>
    <row r="46" spans="1:13" x14ac:dyDescent="0.25">
      <c r="A46" s="103" t="str">
        <v>24074-FS08</v>
      </c>
      <c r="B46" s="104" t="str">
        <f>IF(A46="","",IFERROR(VLOOKUP(A46,'Job Operations'!$A$4:$AA$304,2,FALSE),""))</f>
        <v>DIDD ACM</v>
      </c>
      <c r="C46" s="105" t="str">
        <f>IF(A46="","",IFERROR(VLOOKUP(A46,'Job Operations'!$A$4:$AA$304,3,FALSE),""))</f>
        <v>Dillon Bowman</v>
      </c>
      <c r="D46" s="105">
        <f>IF(A46="","",IFERROR(VLOOKUP(A46,'Job Operations'!$A$4:$AA$304,5,FALSE),""))</f>
        <v>186</v>
      </c>
      <c r="E46" s="105">
        <f>IF(A46="","",IFERROR(VLOOKUP(A46,'Job Operations'!$A$4:$AA$304,6,FALSE),""))</f>
        <v>0</v>
      </c>
      <c r="F46" s="105" t="str">
        <f>IF(A46="","",IFERROR(VLOOKUP(A46,'Job Operations'!$A$4:$AA$304,7,FALSE),""))</f>
        <v>FR ACM</v>
      </c>
      <c r="G46" s="106">
        <f>IF(A46="","",IFERROR(VLOOKUP(A46,'Job Operations'!$A$4:$AA$304,9,FALSE),""))</f>
        <v>46149</v>
      </c>
      <c r="H46" s="105" t="str" cm="1">
        <f t="array" ref="H46">IF(A46="","",_xlfn.LET(_xlpm.stn,IFERROR(VLOOKUP(A46,'Job Operations'!$A$4:$AA$304,12,FALSE),""),IF(OR(_xlpm.stn="Fabrication",_xlpm.stn="Fab"),_xlfn.LET(_xlpm.pos,SUMPRODUCT((A$7:A46&lt;&gt;"")*(IFERROR(VLOOKUP(A$7:A46,'Job Operations'!$A$4:$AA$304,12,FALSE),"")="Fabrication")+(A$7:A46&lt;&gt;"")*(IFERROR(VLOOKUP(A$7:A46,'Job Operations'!$A$4:$AA$304,12,FALSE),"")="Fab")),_xlpm.sfx,IF(OR(_xlpm.pos=11,_xlpm.pos=12,_xlpm.pos=13),"th",IF(MOD(_xlpm.pos,10)=1,"st",IF(MOD(_xlpm.pos,10)=2,"nd",IF(MOD(_xlpm.pos,10)=3,"rd","th")))),_xlpm.pos&amp;_xlpm.sfx),IF(_xlpm.stn&lt;&gt;"",_xlpm.stn,""))))</f>
        <v>LO Check</v>
      </c>
      <c r="I46" s="105" t="str" cm="1">
        <f t="array" ref="I46">IF(A46="","",_xlfn.LET(_xlpm.stn,IFERROR(VLOOKUP(A46,'Job Operations'!$A$4:$AA$304,12,FALSE),""),IF(OR(_xlpm.stn="Fabrication",_xlpm.stn="Fab"),_xlfn.LET(_xlpm.pos,SUMPRODUCT((A$7:A46&lt;&gt;"")*(IFERROR(VLOOKUP(A$7:A46,'Job Operations'!$A$4:$AA$304,12,FALSE),"")="Fabrication")+(A$7:A46&lt;&gt;"")*(IFERROR(VLOOKUP(A$7:A46,'Job Operations'!$A$4:$AA$304,12,FALSE),"")="Fab")),_xlpm.sfx,IF(OR(_xlpm.pos=11,_xlpm.pos=12,_xlpm.pos=13),"th",IF(MOD(_xlpm.pos,10)=1,"st",IF(MOD(_xlpm.pos,10)=2,"nd",IF(MOD(_xlpm.pos,10)=3,"rd","th")))),_xlpm.pos&amp;_xlpm.sfx),IF(ISNUMBER(MATCH(A46,'Clean and Brake Schedule'!A$7:A$100,0)),"#"&amp;MATCH(A46,'Clean and Brake Schedule'!A$7:A$100,0)&amp;" on C&amp;B",IF(ISNUMBER(MATCH(A46,'AXYZ Titans CNC Schedule'!A$7:A$100,0)),"#"&amp;MATCH(A46,'AXYZ Titans CNC Schedule'!A$7:A$100,0)&amp;" on Titans",IF(ISNUMBER(MATCH(A46,'AXYZ CNC Schedule'!A$7:A$100,0)),"#"&amp;MATCH(A46,'AXYZ CNC Schedule'!A$7:A$100,0)&amp;" on AXYZ",IF(_xlpm.stn&lt;&gt;"",_xlpm.stn,"")))))))</f>
        <v>#39 on C&amp;B</v>
      </c>
      <c r="J46" s="106">
        <f>IF(A46="","",IFERROR(VLOOKUP(A46,'Job Operations'!$A$4:$AA$304,18,FALSE),""))</f>
        <v>46136</v>
      </c>
      <c r="K46" s="105" t="str">
        <f>IF(A46="","",IFERROR(VLOOKUP(A46,'Job Operations'!$A$4:$AA$304,13,FALSE),""))</f>
        <v>AXYZ</v>
      </c>
      <c r="L46" s="105" t="str">
        <f>IF(A46="","",IFERROR(VLOOKUP(A46,'Job Operations'!$A$4:$AA$304,15,FALSE),""))</f>
        <v>Clean and Brake</v>
      </c>
      <c r="M46" s="167" t="str">
        <f>IF(A46="","",IF(IFERROR(VLOOKUP(A46,Notes!A:B,2,FALSE),"")=0,"",VLOOKUP(A46,Notes!A:B,2,FALSE)))</f>
        <v>04/16/2026…LO Check</v>
      </c>
    </row>
    <row r="47" spans="1:13" x14ac:dyDescent="0.25">
      <c r="A47" s="98" t="str">
        <v>25006-FS05</v>
      </c>
      <c r="B47" s="99" t="str">
        <f>IF(A47="","",IFERROR(VLOOKUP(A47,'Job Operations'!$A$4:$AA$304,2,FALSE),""))</f>
        <v>MALETA Housing and Dining</v>
      </c>
      <c r="C47" s="100" t="str">
        <f>IF(A47="","",IFERROR(VLOOKUP(A47,'Job Operations'!$A$4:$AA$304,3,FALSE),""))</f>
        <v>Cole Norona</v>
      </c>
      <c r="D47" s="100">
        <f>IF(A47="","",IFERROR(VLOOKUP(A47,'Job Operations'!$A$4:$AA$304,5,FALSE),""))</f>
        <v>18</v>
      </c>
      <c r="E47" s="100">
        <f>IF(A47="","",IFERROR(VLOOKUP(A47,'Job Operations'!$A$4:$AA$304,6,FALSE),""))</f>
        <v>0</v>
      </c>
      <c r="F47" s="100" t="str">
        <f>IF(A47="","",IFERROR(VLOOKUP(A47,'Job Operations'!$A$4:$AA$304,7,FALSE),""))</f>
        <v>FR ACM</v>
      </c>
      <c r="G47" s="101">
        <f>IF(A47="","",IFERROR(VLOOKUP(A47,'Job Operations'!$A$4:$AA$304,9,FALSE),""))</f>
        <v>46153</v>
      </c>
      <c r="H47" s="100" t="str" cm="1">
        <f t="array" ref="H47">IF(A47="","",_xlfn.LET(_xlpm.stn,IFERROR(VLOOKUP(A47,'Job Operations'!$A$4:$AA$304,12,FALSE),""),IF(OR(_xlpm.stn="Fabrication",_xlpm.stn="Fab"),_xlfn.LET(_xlpm.pos,SUMPRODUCT((A$7:A47&lt;&gt;"")*(IFERROR(VLOOKUP(A$7:A47,'Job Operations'!$A$4:$AA$304,12,FALSE),"")="Fabrication")+(A$7:A47&lt;&gt;"")*(IFERROR(VLOOKUP(A$7:A47,'Job Operations'!$A$4:$AA$304,12,FALSE),"")="Fab")),_xlpm.sfx,IF(OR(_xlpm.pos=11,_xlpm.pos=12,_xlpm.pos=13),"th",IF(MOD(_xlpm.pos,10)=1,"st",IF(MOD(_xlpm.pos,10)=2,"nd",IF(MOD(_xlpm.pos,10)=3,"rd","th")))),_xlpm.pos&amp;_xlpm.sfx),IF(_xlpm.stn&lt;&gt;"",_xlpm.stn,""))))</f>
        <v>LO Check</v>
      </c>
      <c r="I47" s="100" t="str" cm="1">
        <f t="array" ref="I47">IF(A47="","",_xlfn.LET(_xlpm.stn,IFERROR(VLOOKUP(A47,'Job Operations'!$A$4:$AA$304,12,FALSE),""),IF(OR(_xlpm.stn="Fabrication",_xlpm.stn="Fab"),_xlfn.LET(_xlpm.pos,SUMPRODUCT((A$7:A47&lt;&gt;"")*(IFERROR(VLOOKUP(A$7:A47,'Job Operations'!$A$4:$AA$304,12,FALSE),"")="Fabrication")+(A$7:A47&lt;&gt;"")*(IFERROR(VLOOKUP(A$7:A47,'Job Operations'!$A$4:$AA$304,12,FALSE),"")="Fab")),_xlpm.sfx,IF(OR(_xlpm.pos=11,_xlpm.pos=12,_xlpm.pos=13),"th",IF(MOD(_xlpm.pos,10)=1,"st",IF(MOD(_xlpm.pos,10)=2,"nd",IF(MOD(_xlpm.pos,10)=3,"rd","th")))),_xlpm.pos&amp;_xlpm.sfx),IF(ISNUMBER(MATCH(A47,'Clean and Brake Schedule'!A$7:A$100,0)),"#"&amp;MATCH(A47,'Clean and Brake Schedule'!A$7:A$100,0)&amp;" on C&amp;B",IF(ISNUMBER(MATCH(A47,'AXYZ Titans CNC Schedule'!A$7:A$100,0)),"#"&amp;MATCH(A47,'AXYZ Titans CNC Schedule'!A$7:A$100,0)&amp;" on Titans",IF(ISNUMBER(MATCH(A47,'AXYZ CNC Schedule'!A$7:A$100,0)),"#"&amp;MATCH(A47,'AXYZ CNC Schedule'!A$7:A$100,0)&amp;" on AXYZ",IF(_xlpm.stn&lt;&gt;"",_xlpm.stn,"")))))))</f>
        <v>#40 on C&amp;B</v>
      </c>
      <c r="J47" s="101">
        <f>IF(A47="","",IFERROR(VLOOKUP(A47,'Job Operations'!$A$4:$AA$304,18,FALSE),""))</f>
        <v>46140</v>
      </c>
      <c r="K47" s="100" t="str">
        <f>IF(A47="","",IFERROR(VLOOKUP(A47,'Job Operations'!$A$4:$AA$304,13,FALSE),""))</f>
        <v>AXYZ</v>
      </c>
      <c r="L47" s="100" t="str">
        <f>IF(A47="","",IFERROR(VLOOKUP(A47,'Job Operations'!$A$4:$AA$304,15,FALSE),""))</f>
        <v>Clean and Brake</v>
      </c>
      <c r="M47" s="168" t="str">
        <f>IF(A47="","",IF(IFERROR(VLOOKUP(A47,Notes!A:B,2,FALSE),"")=0,"",VLOOKUP(A47,Notes!A:B,2,FALSE)))</f>
        <v>Not expected out of engineering before 04/17…Needs to ship 05/12*HOAR*04/16/2026…LO Check</v>
      </c>
    </row>
    <row r="48" spans="1:13" x14ac:dyDescent="0.25">
      <c r="A48" s="103" t="str">
        <v>24079-FS103</v>
      </c>
      <c r="B48" s="104" t="str">
        <f>IF(A48="","",IFERROR(VLOOKUP(A48,'Job Operations'!$A$4:$AA$304,2,FALSE),""))</f>
        <v>Nashville Youth Campus</v>
      </c>
      <c r="C48" s="105" t="str">
        <f>IF(A48="","",IFERROR(VLOOKUP(A48,'Job Operations'!$A$4:$AA$304,3,FALSE),""))</f>
        <v>Joe Hoyle</v>
      </c>
      <c r="D48" s="105">
        <f>IF(A48="","",IFERROR(VLOOKUP(A48,'Job Operations'!$A$4:$AA$304,5,FALSE),""))</f>
        <v>111</v>
      </c>
      <c r="E48" s="105">
        <f>IF(A48="","",IFERROR(VLOOKUP(A48,'Job Operations'!$A$4:$AA$304,6,FALSE),""))</f>
        <v>0</v>
      </c>
      <c r="F48" s="105" t="str">
        <f>IF(A48="","",IFERROR(VLOOKUP(A48,'Job Operations'!$A$4:$AA$304,7,FALSE),""))</f>
        <v>FR ACM</v>
      </c>
      <c r="G48" s="106">
        <f>IF(A48="","",IFERROR(VLOOKUP(A48,'Job Operations'!$A$4:$AA$304,9,FALSE),""))</f>
        <v>46153</v>
      </c>
      <c r="H48" s="105" t="str" cm="1">
        <f t="array" ref="H48">IF(A48="","",_xlfn.LET(_xlpm.stn,IFERROR(VLOOKUP(A48,'Job Operations'!$A$4:$AA$304,12,FALSE),""),IF(OR(_xlpm.stn="Fabrication",_xlpm.stn="Fab"),_xlfn.LET(_xlpm.pos,SUMPRODUCT((A$7:A48&lt;&gt;"")*(IFERROR(VLOOKUP(A$7:A48,'Job Operations'!$A$4:$AA$304,12,FALSE),"")="Fabrication")+(A$7:A48&lt;&gt;"")*(IFERROR(VLOOKUP(A$7:A48,'Job Operations'!$A$4:$AA$304,12,FALSE),"")="Fab")),_xlpm.sfx,IF(OR(_xlpm.pos=11,_xlpm.pos=12,_xlpm.pos=13),"th",IF(MOD(_xlpm.pos,10)=1,"st",IF(MOD(_xlpm.pos,10)=2,"nd",IF(MOD(_xlpm.pos,10)=3,"rd","th")))),_xlpm.pos&amp;_xlpm.sfx),IF(_xlpm.stn&lt;&gt;"",_xlpm.stn,""))))</f>
        <v>LO Check</v>
      </c>
      <c r="I48" s="105" t="str" cm="1">
        <f t="array" ref="I48">IF(A48="","",_xlfn.LET(_xlpm.stn,IFERROR(VLOOKUP(A48,'Job Operations'!$A$4:$AA$304,12,FALSE),""),IF(OR(_xlpm.stn="Fabrication",_xlpm.stn="Fab"),_xlfn.LET(_xlpm.pos,SUMPRODUCT((A$7:A48&lt;&gt;"")*(IFERROR(VLOOKUP(A$7:A48,'Job Operations'!$A$4:$AA$304,12,FALSE),"")="Fabrication")+(A$7:A48&lt;&gt;"")*(IFERROR(VLOOKUP(A$7:A48,'Job Operations'!$A$4:$AA$304,12,FALSE),"")="Fab")),_xlpm.sfx,IF(OR(_xlpm.pos=11,_xlpm.pos=12,_xlpm.pos=13),"th",IF(MOD(_xlpm.pos,10)=1,"st",IF(MOD(_xlpm.pos,10)=2,"nd",IF(MOD(_xlpm.pos,10)=3,"rd","th")))),_xlpm.pos&amp;_xlpm.sfx),IF(ISNUMBER(MATCH(A48,'Clean and Brake Schedule'!A$7:A$100,0)),"#"&amp;MATCH(A48,'Clean and Brake Schedule'!A$7:A$100,0)&amp;" on C&amp;B",IF(ISNUMBER(MATCH(A48,'AXYZ Titans CNC Schedule'!A$7:A$100,0)),"#"&amp;MATCH(A48,'AXYZ Titans CNC Schedule'!A$7:A$100,0)&amp;" on Titans",IF(ISNUMBER(MATCH(A48,'AXYZ CNC Schedule'!A$7:A$100,0)),"#"&amp;MATCH(A48,'AXYZ CNC Schedule'!A$7:A$100,0)&amp;" on AXYZ",IF(_xlpm.stn&lt;&gt;"",_xlpm.stn,"")))))))</f>
        <v>#41 on C&amp;B</v>
      </c>
      <c r="J48" s="106">
        <f>IF(A48="","",IFERROR(VLOOKUP(A48,'Job Operations'!$A$4:$AA$304,18,FALSE),""))</f>
        <v>46140</v>
      </c>
      <c r="K48" s="105" t="str">
        <f>IF(A48="","",IFERROR(VLOOKUP(A48,'Job Operations'!$A$4:$AA$304,13,FALSE),""))</f>
        <v>AXYZ</v>
      </c>
      <c r="L48" s="105" t="str">
        <f>IF(A48="","",IFERROR(VLOOKUP(A48,'Job Operations'!$A$4:$AA$304,15,FALSE),""))</f>
        <v>Clean and Brake</v>
      </c>
      <c r="M48" s="167" t="str">
        <f>IF(A48="","",IF(IFERROR(VLOOKUP(A48,Notes!A:B,2,FALSE),"")=0,"",VLOOKUP(A48,Notes!A:B,2,FALSE)))</f>
        <v>04/16/2026…LO Check</v>
      </c>
    </row>
    <row r="49" spans="1:13" ht="30" x14ac:dyDescent="0.25">
      <c r="A49" s="98" t="str">
        <v>25010-FS09</v>
      </c>
      <c r="B49" s="99" t="str">
        <f>IF(A49="","",IFERROR(VLOOKUP(A49,'Job Operations'!$A$4:$AA$304,2,FALSE),""))</f>
        <v>TOA Spring Hill MOB</v>
      </c>
      <c r="C49" s="100" t="str">
        <f>IF(A49="","",IFERROR(VLOOKUP(A49,'Job Operations'!$A$4:$AA$304,3,FALSE),""))</f>
        <v>Cole Norona</v>
      </c>
      <c r="D49" s="100">
        <f>IF(A49="","",IFERROR(VLOOKUP(A49,'Job Operations'!$A$4:$AA$304,5,FALSE),""))</f>
        <v>111</v>
      </c>
      <c r="E49" s="100">
        <f>IF(A49="","",IFERROR(VLOOKUP(A49,'Job Operations'!$A$4:$AA$304,6,FALSE),""))</f>
        <v>0</v>
      </c>
      <c r="F49" s="100" t="str">
        <f>IF(A49="","",IFERROR(VLOOKUP(A49,'Job Operations'!$A$4:$AA$304,7,FALSE),""))</f>
        <v>FR ACM</v>
      </c>
      <c r="G49" s="101">
        <f>IF(A49="","",IFERROR(VLOOKUP(A49,'Job Operations'!$A$4:$AA$304,9,FALSE),""))</f>
        <v>46153</v>
      </c>
      <c r="H49" s="100" t="str" cm="1">
        <f t="array" ref="H49">IF(A49="","",_xlfn.LET(_xlpm.stn,IFERROR(VLOOKUP(A49,'Job Operations'!$A$4:$AA$304,12,FALSE),""),IF(OR(_xlpm.stn="Fabrication",_xlpm.stn="Fab"),_xlfn.LET(_xlpm.pos,SUMPRODUCT((A$7:A49&lt;&gt;"")*(IFERROR(VLOOKUP(A$7:A49,'Job Operations'!$A$4:$AA$304,12,FALSE),"")="Fabrication")+(A$7:A49&lt;&gt;"")*(IFERROR(VLOOKUP(A$7:A49,'Job Operations'!$A$4:$AA$304,12,FALSE),"")="Fab")),_xlpm.sfx,IF(OR(_xlpm.pos=11,_xlpm.pos=12,_xlpm.pos=13),"th",IF(MOD(_xlpm.pos,10)=1,"st",IF(MOD(_xlpm.pos,10)=2,"nd",IF(MOD(_xlpm.pos,10)=3,"rd","th")))),_xlpm.pos&amp;_xlpm.sfx),IF(_xlpm.stn&lt;&gt;"",_xlpm.stn,""))))</f>
        <v>Correction</v>
      </c>
      <c r="I49" s="100" t="str" cm="1">
        <f t="array" ref="I49">IF(A49="","",_xlfn.LET(_xlpm.stn,IFERROR(VLOOKUP(A49,'Job Operations'!$A$4:$AA$304,12,FALSE),""),IF(OR(_xlpm.stn="Fabrication",_xlpm.stn="Fab"),_xlfn.LET(_xlpm.pos,SUMPRODUCT((A$7:A49&lt;&gt;"")*(IFERROR(VLOOKUP(A$7:A49,'Job Operations'!$A$4:$AA$304,12,FALSE),"")="Fabrication")+(A$7:A49&lt;&gt;"")*(IFERROR(VLOOKUP(A$7:A49,'Job Operations'!$A$4:$AA$304,12,FALSE),"")="Fab")),_xlpm.sfx,IF(OR(_xlpm.pos=11,_xlpm.pos=12,_xlpm.pos=13),"th",IF(MOD(_xlpm.pos,10)=1,"st",IF(MOD(_xlpm.pos,10)=2,"nd",IF(MOD(_xlpm.pos,10)=3,"rd","th")))),_xlpm.pos&amp;_xlpm.sfx),IF(ISNUMBER(MATCH(A49,'Clean and Brake Schedule'!A$7:A$100,0)),"#"&amp;MATCH(A49,'Clean and Brake Schedule'!A$7:A$100,0)&amp;" on C&amp;B",IF(ISNUMBER(MATCH(A49,'AXYZ Titans CNC Schedule'!A$7:A$100,0)),"#"&amp;MATCH(A49,'AXYZ Titans CNC Schedule'!A$7:A$100,0)&amp;" on Titans",IF(ISNUMBER(MATCH(A49,'AXYZ CNC Schedule'!A$7:A$100,0)),"#"&amp;MATCH(A49,'AXYZ CNC Schedule'!A$7:A$100,0)&amp;" on AXYZ",IF(_xlpm.stn&lt;&gt;"",_xlpm.stn,"")))))))</f>
        <v>#42 on C&amp;B</v>
      </c>
      <c r="J49" s="101">
        <f>IF(A49="","",IFERROR(VLOOKUP(A49,'Job Operations'!$A$4:$AA$304,18,FALSE),""))</f>
        <v>46140</v>
      </c>
      <c r="K49" s="100" t="str">
        <f>IF(A49="","",IFERROR(VLOOKUP(A49,'Job Operations'!$A$4:$AA$304,13,FALSE),""))</f>
        <v>AXYZ</v>
      </c>
      <c r="L49" s="100" t="str">
        <f>IF(A49="","",IFERROR(VLOOKUP(A49,'Job Operations'!$A$4:$AA$304,15,FALSE),""))</f>
        <v>Clean and Brake</v>
      </c>
      <c r="M49" s="168" t="str">
        <f>IF(A49="","",IF(IFERROR(VLOOKUP(A49,Notes!A:B,2,FALSE),"")=0,"",VLOOKUP(A49,Notes!A:B,2,FALSE)))</f>
        <v>04/16/2026…Correction</v>
      </c>
    </row>
    <row r="50" spans="1:13" x14ac:dyDescent="0.25">
      <c r="A50" s="103" t="str">
        <v>25002-FS15</v>
      </c>
      <c r="B50" s="104" t="str">
        <f>IF(A50="","",IFERROR(VLOOKUP(A50,'Job Operations'!$A$4:$AA$304,2,FALSE),""))</f>
        <v>Med Center Health</v>
      </c>
      <c r="C50" s="105" t="str">
        <f>IF(A50="","",IFERROR(VLOOKUP(A50,'Job Operations'!$A$4:$AA$304,3,FALSE),""))</f>
        <v>Carlos Silva</v>
      </c>
      <c r="D50" s="105">
        <f>IF(A50="","",IFERROR(VLOOKUP(A50,'Job Operations'!$A$4:$AA$304,5,FALSE),""))</f>
        <v>12</v>
      </c>
      <c r="E50" s="105">
        <f>IF(A50="","",IFERROR(VLOOKUP(A50,'Job Operations'!$A$4:$AA$304,6,FALSE),""))</f>
        <v>0</v>
      </c>
      <c r="F50" s="105" t="str">
        <f>IF(A50="","",IFERROR(VLOOKUP(A50,'Job Operations'!$A$4:$AA$304,7,FALSE),""))</f>
        <v>FR ACM</v>
      </c>
      <c r="G50" s="106">
        <f>IF(A50="","",IFERROR(VLOOKUP(A50,'Job Operations'!$A$4:$AA$304,9,FALSE),""))</f>
        <v>46153</v>
      </c>
      <c r="H50" s="105" t="str" cm="1">
        <f t="array" ref="H50">IF(A50="","",_xlfn.LET(_xlpm.stn,IFERROR(VLOOKUP(A50,'Job Operations'!$A$4:$AA$304,12,FALSE),""),IF(OR(_xlpm.stn="Fabrication",_xlpm.stn="Fab"),_xlfn.LET(_xlpm.pos,SUMPRODUCT((A$7:A50&lt;&gt;"")*(IFERROR(VLOOKUP(A$7:A50,'Job Operations'!$A$4:$AA$304,12,FALSE),"")="Fabrication")+(A$7:A50&lt;&gt;"")*(IFERROR(VLOOKUP(A$7:A50,'Job Operations'!$A$4:$AA$304,12,FALSE),"")="Fab")),_xlpm.sfx,IF(OR(_xlpm.pos=11,_xlpm.pos=12,_xlpm.pos=13),"th",IF(MOD(_xlpm.pos,10)=1,"st",IF(MOD(_xlpm.pos,10)=2,"nd",IF(MOD(_xlpm.pos,10)=3,"rd","th")))),_xlpm.pos&amp;_xlpm.sfx),IF(_xlpm.stn&lt;&gt;"",_xlpm.stn,""))))</f>
        <v>Evaluation</v>
      </c>
      <c r="I50" s="105" t="str" cm="1">
        <f t="array" ref="I50">IF(A50="","",_xlfn.LET(_xlpm.stn,IFERROR(VLOOKUP(A50,'Job Operations'!$A$4:$AA$304,12,FALSE),""),IF(OR(_xlpm.stn="Fabrication",_xlpm.stn="Fab"),_xlfn.LET(_xlpm.pos,SUMPRODUCT((A$7:A50&lt;&gt;"")*(IFERROR(VLOOKUP(A$7:A50,'Job Operations'!$A$4:$AA$304,12,FALSE),"")="Fabrication")+(A$7:A50&lt;&gt;"")*(IFERROR(VLOOKUP(A$7:A50,'Job Operations'!$A$4:$AA$304,12,FALSE),"")="Fab")),_xlpm.sfx,IF(OR(_xlpm.pos=11,_xlpm.pos=12,_xlpm.pos=13),"th",IF(MOD(_xlpm.pos,10)=1,"st",IF(MOD(_xlpm.pos,10)=2,"nd",IF(MOD(_xlpm.pos,10)=3,"rd","th")))),_xlpm.pos&amp;_xlpm.sfx),IF(ISNUMBER(MATCH(A50,'Clean and Brake Schedule'!A$7:A$100,0)),"#"&amp;MATCH(A50,'Clean and Brake Schedule'!A$7:A$100,0)&amp;" on C&amp;B",IF(ISNUMBER(MATCH(A50,'AXYZ Titans CNC Schedule'!A$7:A$100,0)),"#"&amp;MATCH(A50,'AXYZ Titans CNC Schedule'!A$7:A$100,0)&amp;" on Titans",IF(ISNUMBER(MATCH(A50,'AXYZ CNC Schedule'!A$7:A$100,0)),"#"&amp;MATCH(A50,'AXYZ CNC Schedule'!A$7:A$100,0)&amp;" on AXYZ",IF(_xlpm.stn&lt;&gt;"",_xlpm.stn,"")))))))</f>
        <v>#43 on C&amp;B</v>
      </c>
      <c r="J50" s="106">
        <f>IF(A50="","",IFERROR(VLOOKUP(A50,'Job Operations'!$A$4:$AA$304,18,FALSE),""))</f>
        <v>46140</v>
      </c>
      <c r="K50" s="105" t="str">
        <f>IF(A50="","",IFERROR(VLOOKUP(A50,'Job Operations'!$A$4:$AA$304,13,FALSE),""))</f>
        <v>AXYZ</v>
      </c>
      <c r="L50" s="105" t="str">
        <f>IF(A50="","",IFERROR(VLOOKUP(A50,'Job Operations'!$A$4:$AA$304,15,FALSE),""))</f>
        <v>Clean and Brake</v>
      </c>
      <c r="M50" s="167" t="str">
        <f>IF(A50="","",IF(IFERROR(VLOOKUP(A50,Notes!A:B,2,FALSE),"")=0,"",VLOOKUP(A50,Notes!A:B,2,FALSE)))</f>
        <v>04/16/2026…Evaluation</v>
      </c>
    </row>
    <row r="51" spans="1:13" ht="30" x14ac:dyDescent="0.25">
      <c r="A51" s="98" t="str">
        <v>24074-FS09</v>
      </c>
      <c r="B51" s="99" t="str">
        <f>IF(A51="","",IFERROR(VLOOKUP(A51,'Job Operations'!$A$4:$AA$304,2,FALSE),""))</f>
        <v>DIDD ACM</v>
      </c>
      <c r="C51" s="100" t="str">
        <f>IF(A51="","",IFERROR(VLOOKUP(A51,'Job Operations'!$A$4:$AA$304,3,FALSE),""))</f>
        <v>Dillon Bowman</v>
      </c>
      <c r="D51" s="100">
        <f>IF(A51="","",IFERROR(VLOOKUP(A51,'Job Operations'!$A$4:$AA$304,5,FALSE),""))</f>
        <v>120</v>
      </c>
      <c r="E51" s="100">
        <f>IF(A51="","",IFERROR(VLOOKUP(A51,'Job Operations'!$A$4:$AA$304,6,FALSE),""))</f>
        <v>0</v>
      </c>
      <c r="F51" s="100" t="str">
        <f>IF(A51="","",IFERROR(VLOOKUP(A51,'Job Operations'!$A$4:$AA$304,7,FALSE),""))</f>
        <v>FR ACM</v>
      </c>
      <c r="G51" s="101">
        <f>IF(A51="","",IFERROR(VLOOKUP(A51,'Job Operations'!$A$4:$AA$304,9,FALSE),""))</f>
        <v>46156</v>
      </c>
      <c r="H51" s="100" t="str" cm="1">
        <f t="array" ref="H51">IF(A51="","",_xlfn.LET(_xlpm.stn,IFERROR(VLOOKUP(A51,'Job Operations'!$A$4:$AA$304,12,FALSE),""),IF(OR(_xlpm.stn="Fabrication",_xlpm.stn="Fab"),_xlfn.LET(_xlpm.pos,SUMPRODUCT((A$7:A51&lt;&gt;"")*(IFERROR(VLOOKUP(A$7:A51,'Job Operations'!$A$4:$AA$304,12,FALSE),"")="Fabrication")+(A$7:A51&lt;&gt;"")*(IFERROR(VLOOKUP(A$7:A51,'Job Operations'!$A$4:$AA$304,12,FALSE),"")="Fab")),_xlpm.sfx,IF(OR(_xlpm.pos=11,_xlpm.pos=12,_xlpm.pos=13),"th",IF(MOD(_xlpm.pos,10)=1,"st",IF(MOD(_xlpm.pos,10)=2,"nd",IF(MOD(_xlpm.pos,10)=3,"rd","th")))),_xlpm.pos&amp;_xlpm.sfx),IF(_xlpm.stn&lt;&gt;"",_xlpm.stn,""))))</f>
        <v>LO Check</v>
      </c>
      <c r="I51" s="100" t="str" cm="1">
        <f t="array" ref="I51">IF(A51="","",_xlfn.LET(_xlpm.stn,IFERROR(VLOOKUP(A51,'Job Operations'!$A$4:$AA$304,12,FALSE),""),IF(OR(_xlpm.stn="Fabrication",_xlpm.stn="Fab"),_xlfn.LET(_xlpm.pos,SUMPRODUCT((A$7:A51&lt;&gt;"")*(IFERROR(VLOOKUP(A$7:A51,'Job Operations'!$A$4:$AA$304,12,FALSE),"")="Fabrication")+(A$7:A51&lt;&gt;"")*(IFERROR(VLOOKUP(A$7:A51,'Job Operations'!$A$4:$AA$304,12,FALSE),"")="Fab")),_xlpm.sfx,IF(OR(_xlpm.pos=11,_xlpm.pos=12,_xlpm.pos=13),"th",IF(MOD(_xlpm.pos,10)=1,"st",IF(MOD(_xlpm.pos,10)=2,"nd",IF(MOD(_xlpm.pos,10)=3,"rd","th")))),_xlpm.pos&amp;_xlpm.sfx),IF(ISNUMBER(MATCH(A51,'Clean and Brake Schedule'!A$7:A$100,0)),"#"&amp;MATCH(A51,'Clean and Brake Schedule'!A$7:A$100,0)&amp;" on C&amp;B",IF(ISNUMBER(MATCH(A51,'AXYZ Titans CNC Schedule'!A$7:A$100,0)),"#"&amp;MATCH(A51,'AXYZ Titans CNC Schedule'!A$7:A$100,0)&amp;" on Titans",IF(ISNUMBER(MATCH(A51,'AXYZ CNC Schedule'!A$7:A$100,0)),"#"&amp;MATCH(A51,'AXYZ CNC Schedule'!A$7:A$100,0)&amp;" on AXYZ",IF(_xlpm.stn&lt;&gt;"",_xlpm.stn,"")))))))</f>
        <v>#44 on C&amp;B</v>
      </c>
      <c r="J51" s="101">
        <f>IF(A51="","",IFERROR(VLOOKUP(A51,'Job Operations'!$A$4:$AA$304,18,FALSE),""))</f>
        <v>46143</v>
      </c>
      <c r="K51" s="100" t="str">
        <f>IF(A51="","",IFERROR(VLOOKUP(A51,'Job Operations'!$A$4:$AA$304,13,FALSE),""))</f>
        <v>AXYZ</v>
      </c>
      <c r="L51" s="100" t="str">
        <f>IF(A51="","",IFERROR(VLOOKUP(A51,'Job Operations'!$A$4:$AA$304,15,FALSE),""))</f>
        <v>Clean and Brake</v>
      </c>
      <c r="M51" s="168" t="str">
        <f>IF(A51="","",IF(IFERROR(VLOOKUP(A51,Notes!A:B,2,FALSE),"")=0,"",VLOOKUP(A51,Notes!A:B,2,FALSE)))</f>
        <v>04/16/2026…LO Check</v>
      </c>
    </row>
    <row r="52" spans="1:13" x14ac:dyDescent="0.25">
      <c r="A52" s="103" t="str">
        <v>25006-FS04</v>
      </c>
      <c r="B52" s="104" t="str">
        <f>IF(A52="","",IFERROR(VLOOKUP(A52,'Job Operations'!$A$4:$AA$304,2,FALSE),""))</f>
        <v>MALETA Housing and Dining</v>
      </c>
      <c r="C52" s="105" t="str">
        <f>IF(A52="","",IFERROR(VLOOKUP(A52,'Job Operations'!$A$4:$AA$304,3,FALSE),""))</f>
        <v>Cole Norona</v>
      </c>
      <c r="D52" s="105">
        <f>IF(A52="","",IFERROR(VLOOKUP(A52,'Job Operations'!$A$4:$AA$304,5,FALSE),""))</f>
        <v>232</v>
      </c>
      <c r="E52" s="105">
        <f>IF(A52="","",IFERROR(VLOOKUP(A52,'Job Operations'!$A$4:$AA$304,6,FALSE),""))</f>
        <v>0</v>
      </c>
      <c r="F52" s="105" t="str">
        <f>IF(A52="","",IFERROR(VLOOKUP(A52,'Job Operations'!$A$4:$AA$304,7,FALSE),""))</f>
        <v>FR ACM</v>
      </c>
      <c r="G52" s="106">
        <f>IF(A52="","",IFERROR(VLOOKUP(A52,'Job Operations'!$A$4:$AA$304,9,FALSE),""))</f>
        <v>46157</v>
      </c>
      <c r="H52" s="105" t="str" cm="1">
        <f t="array" ref="H52">IF(A52="","",_xlfn.LET(_xlpm.stn,IFERROR(VLOOKUP(A52,'Job Operations'!$A$4:$AA$304,12,FALSE),""),IF(OR(_xlpm.stn="Fabrication",_xlpm.stn="Fab"),_xlfn.LET(_xlpm.pos,SUMPRODUCT((A$7:A52&lt;&gt;"")*(IFERROR(VLOOKUP(A$7:A52,'Job Operations'!$A$4:$AA$304,12,FALSE),"")="Fabrication")+(A$7:A52&lt;&gt;"")*(IFERROR(VLOOKUP(A$7:A52,'Job Operations'!$A$4:$AA$304,12,FALSE),"")="Fab")),_xlpm.sfx,IF(OR(_xlpm.pos=11,_xlpm.pos=12,_xlpm.pos=13),"th",IF(MOD(_xlpm.pos,10)=1,"st",IF(MOD(_xlpm.pos,10)=2,"nd",IF(MOD(_xlpm.pos,10)=3,"rd","th")))),_xlpm.pos&amp;_xlpm.sfx),IF(_xlpm.stn&lt;&gt;"",_xlpm.stn,""))))</f>
        <v>LO Check</v>
      </c>
      <c r="I52" s="105" t="str" cm="1">
        <f t="array" ref="I52">IF(A52="","",_xlfn.LET(_xlpm.stn,IFERROR(VLOOKUP(A52,'Job Operations'!$A$4:$AA$304,12,FALSE),""),IF(OR(_xlpm.stn="Fabrication",_xlpm.stn="Fab"),_xlfn.LET(_xlpm.pos,SUMPRODUCT((A$7:A52&lt;&gt;"")*(IFERROR(VLOOKUP(A$7:A52,'Job Operations'!$A$4:$AA$304,12,FALSE),"")="Fabrication")+(A$7:A52&lt;&gt;"")*(IFERROR(VLOOKUP(A$7:A52,'Job Operations'!$A$4:$AA$304,12,FALSE),"")="Fab")),_xlpm.sfx,IF(OR(_xlpm.pos=11,_xlpm.pos=12,_xlpm.pos=13),"th",IF(MOD(_xlpm.pos,10)=1,"st",IF(MOD(_xlpm.pos,10)=2,"nd",IF(MOD(_xlpm.pos,10)=3,"rd","th")))),_xlpm.pos&amp;_xlpm.sfx),IF(ISNUMBER(MATCH(A52,'Clean and Brake Schedule'!A$7:A$100,0)),"#"&amp;MATCH(A52,'Clean and Brake Schedule'!A$7:A$100,0)&amp;" on C&amp;B",IF(ISNUMBER(MATCH(A52,'AXYZ Titans CNC Schedule'!A$7:A$100,0)),"#"&amp;MATCH(A52,'AXYZ Titans CNC Schedule'!A$7:A$100,0)&amp;" on Titans",IF(ISNUMBER(MATCH(A52,'AXYZ CNC Schedule'!A$7:A$100,0)),"#"&amp;MATCH(A52,'AXYZ CNC Schedule'!A$7:A$100,0)&amp;" on AXYZ",IF(_xlpm.stn&lt;&gt;"",_xlpm.stn,"")))))))</f>
        <v>#45 on C&amp;B</v>
      </c>
      <c r="J52" s="106">
        <f>IF(A52="","",IFERROR(VLOOKUP(A52,'Job Operations'!$A$4:$AA$304,18,FALSE),""))</f>
        <v>46144</v>
      </c>
      <c r="K52" s="105" t="str">
        <f>IF(A52="","",IFERROR(VLOOKUP(A52,'Job Operations'!$A$4:$AA$304,13,FALSE),""))</f>
        <v>AXYZ</v>
      </c>
      <c r="L52" s="105" t="str">
        <f>IF(A52="","",IFERROR(VLOOKUP(A52,'Job Operations'!$A$4:$AA$304,15,FALSE),""))</f>
        <v>Clean and Brake</v>
      </c>
      <c r="M52" s="167" t="str">
        <f>IF(A52="","",IF(IFERROR(VLOOKUP(A52,Notes!A:B,2,FALSE),"")=0,"",VLOOKUP(A52,Notes!A:B,2,FALSE)))</f>
        <v>HOAR*04/16/2026…LO Check</v>
      </c>
    </row>
    <row r="53" spans="1:13" x14ac:dyDescent="0.25">
      <c r="A53" s="98" t="str">
        <v>25041-FS02</v>
      </c>
      <c r="B53" s="99" t="str">
        <f>IF(A53="","",IFERROR(VLOOKUP(A53,'Job Operations'!$A$4:$AA$304,2,FALSE),""))</f>
        <v>Wedgewood Bldg E</v>
      </c>
      <c r="C53" s="100" t="str">
        <f>IF(A53="","",IFERROR(VLOOKUP(A53,'Job Operations'!$A$4:$AA$304,3,FALSE),""))</f>
        <v>Wylie McDougall</v>
      </c>
      <c r="D53" s="100">
        <f>IF(A53="","",IFERROR(VLOOKUP(A53,'Job Operations'!$A$4:$AA$304,5,FALSE),""))</f>
        <v>31</v>
      </c>
      <c r="E53" s="100">
        <f>IF(A53="","",IFERROR(VLOOKUP(A53,'Job Operations'!$A$4:$AA$304,6,FALSE),""))</f>
        <v>0</v>
      </c>
      <c r="F53" s="100" t="str">
        <f>IF(A53="","",IFERROR(VLOOKUP(A53,'Job Operations'!$A$4:$AA$304,7,FALSE),""))</f>
        <v>FR ACM</v>
      </c>
      <c r="G53" s="101">
        <f>IF(A53="","",IFERROR(VLOOKUP(A53,'Job Operations'!$A$4:$AA$304,9,FALSE),""))</f>
        <v>46168</v>
      </c>
      <c r="H53" s="100" t="str" cm="1">
        <f t="array" ref="H53">IF(A53="","",_xlfn.LET(_xlpm.stn,IFERROR(VLOOKUP(A53,'Job Operations'!$A$4:$AA$304,12,FALSE),""),IF(OR(_xlpm.stn="Fabrication",_xlpm.stn="Fab"),_xlfn.LET(_xlpm.pos,SUMPRODUCT((A$7:A53&lt;&gt;"")*(IFERROR(VLOOKUP(A$7:A53,'Job Operations'!$A$4:$AA$304,12,FALSE),"")="Fabrication")+(A$7:A53&lt;&gt;"")*(IFERROR(VLOOKUP(A$7:A53,'Job Operations'!$A$4:$AA$304,12,FALSE),"")="Fab")),_xlpm.sfx,IF(OR(_xlpm.pos=11,_xlpm.pos=12,_xlpm.pos=13),"th",IF(MOD(_xlpm.pos,10)=1,"st",IF(MOD(_xlpm.pos,10)=2,"nd",IF(MOD(_xlpm.pos,10)=3,"rd","th")))),_xlpm.pos&amp;_xlpm.sfx),IF(_xlpm.stn&lt;&gt;"",_xlpm.stn,""))))</f>
        <v>LO</v>
      </c>
      <c r="I53" s="100" t="str" cm="1">
        <f t="array" ref="I53">IF(A53="","",_xlfn.LET(_xlpm.stn,IFERROR(VLOOKUP(A53,'Job Operations'!$A$4:$AA$304,12,FALSE),""),IF(OR(_xlpm.stn="Fabrication",_xlpm.stn="Fab"),_xlfn.LET(_xlpm.pos,SUMPRODUCT((A$7:A53&lt;&gt;"")*(IFERROR(VLOOKUP(A$7:A53,'Job Operations'!$A$4:$AA$304,12,FALSE),"")="Fabrication")+(A$7:A53&lt;&gt;"")*(IFERROR(VLOOKUP(A$7:A53,'Job Operations'!$A$4:$AA$304,12,FALSE),"")="Fab")),_xlpm.sfx,IF(OR(_xlpm.pos=11,_xlpm.pos=12,_xlpm.pos=13),"th",IF(MOD(_xlpm.pos,10)=1,"st",IF(MOD(_xlpm.pos,10)=2,"nd",IF(MOD(_xlpm.pos,10)=3,"rd","th")))),_xlpm.pos&amp;_xlpm.sfx),IF(ISNUMBER(MATCH(A53,'Clean and Brake Schedule'!A$7:A$100,0)),"#"&amp;MATCH(A53,'Clean and Brake Schedule'!A$7:A$100,0)&amp;" on C&amp;B",IF(ISNUMBER(MATCH(A53,'AXYZ Titans CNC Schedule'!A$7:A$100,0)),"#"&amp;MATCH(A53,'AXYZ Titans CNC Schedule'!A$7:A$100,0)&amp;" on Titans",IF(ISNUMBER(MATCH(A53,'AXYZ CNC Schedule'!A$7:A$100,0)),"#"&amp;MATCH(A53,'AXYZ CNC Schedule'!A$7:A$100,0)&amp;" on AXYZ",IF(_xlpm.stn&lt;&gt;"",_xlpm.stn,"")))))))</f>
        <v>#46 on C&amp;B</v>
      </c>
      <c r="J53" s="101">
        <f>IF(A53="","",IFERROR(VLOOKUP(A53,'Job Operations'!$A$4:$AA$304,18,FALSE),""))</f>
        <v>46144</v>
      </c>
      <c r="K53" s="100" t="str">
        <f>IF(A53="","",IFERROR(VLOOKUP(A53,'Job Operations'!$A$4:$AA$304,13,FALSE),""))</f>
        <v>AXYZ</v>
      </c>
      <c r="L53" s="100" t="str">
        <f>IF(A53="","",IFERROR(VLOOKUP(A53,'Job Operations'!$A$4:$AA$304,15,FALSE),""))</f>
        <v>Clean and Brake</v>
      </c>
      <c r="M53" s="168" t="str">
        <f>IF(A53="","",IF(IFERROR(VLOOKUP(A53,Notes!A:B,2,FALSE),"")=0,"",VLOOKUP(A53,Notes!A:B,2,FALSE)))</f>
        <v>04/16/2026…LO</v>
      </c>
    </row>
    <row r="54" spans="1:13" x14ac:dyDescent="0.25">
      <c r="A54" s="103" t="str">
        <v>24079-FS201</v>
      </c>
      <c r="B54" s="104" t="str">
        <f>IF(A54="","",IFERROR(VLOOKUP(A54,'Job Operations'!$A$4:$AA$304,2,FALSE),""))</f>
        <v>Nashville Youth Campus</v>
      </c>
      <c r="C54" s="105" t="str">
        <f>IF(A54="","",IFERROR(VLOOKUP(A54,'Job Operations'!$A$4:$AA$304,3,FALSE),""))</f>
        <v>Joe Hoyle</v>
      </c>
      <c r="D54" s="105">
        <f>IF(A54="","",IFERROR(VLOOKUP(A54,'Job Operations'!$A$4:$AA$304,5,FALSE),""))</f>
        <v>41</v>
      </c>
      <c r="E54" s="105">
        <f>IF(A54="","",IFERROR(VLOOKUP(A54,'Job Operations'!$A$4:$AA$304,6,FALSE),""))</f>
        <v>0</v>
      </c>
      <c r="F54" s="105" t="str">
        <f>IF(A54="","",IFERROR(VLOOKUP(A54,'Job Operations'!$A$4:$AA$304,7,FALSE),""))</f>
        <v>FR ACM</v>
      </c>
      <c r="G54" s="106">
        <f>IF(A54="","",IFERROR(VLOOKUP(A54,'Job Operations'!$A$4:$AA$304,9,FALSE),""))</f>
        <v>46160</v>
      </c>
      <c r="H54" s="105" t="str" cm="1">
        <f t="array" ref="H54">IF(A54="","",_xlfn.LET(_xlpm.stn,IFERROR(VLOOKUP(A54,'Job Operations'!$A$4:$AA$304,12,FALSE),""),IF(OR(_xlpm.stn="Fabrication",_xlpm.stn="Fab"),_xlfn.LET(_xlpm.pos,SUMPRODUCT((A$7:A54&lt;&gt;"")*(IFERROR(VLOOKUP(A$7:A54,'Job Operations'!$A$4:$AA$304,12,FALSE),"")="Fabrication")+(A$7:A54&lt;&gt;"")*(IFERROR(VLOOKUP(A$7:A54,'Job Operations'!$A$4:$AA$304,12,FALSE),"")="Fab")),_xlpm.sfx,IF(OR(_xlpm.pos=11,_xlpm.pos=12,_xlpm.pos=13),"th",IF(MOD(_xlpm.pos,10)=1,"st",IF(MOD(_xlpm.pos,10)=2,"nd",IF(MOD(_xlpm.pos,10)=3,"rd","th")))),_xlpm.pos&amp;_xlpm.sfx),IF(_xlpm.stn&lt;&gt;"",_xlpm.stn,""))))</f>
        <v>LO</v>
      </c>
      <c r="I54" s="105" t="str" cm="1">
        <f t="array" ref="I54">IF(A54="","",_xlfn.LET(_xlpm.stn,IFERROR(VLOOKUP(A54,'Job Operations'!$A$4:$AA$304,12,FALSE),""),IF(OR(_xlpm.stn="Fabrication",_xlpm.stn="Fab"),_xlfn.LET(_xlpm.pos,SUMPRODUCT((A$7:A54&lt;&gt;"")*(IFERROR(VLOOKUP(A$7:A54,'Job Operations'!$A$4:$AA$304,12,FALSE),"")="Fabrication")+(A$7:A54&lt;&gt;"")*(IFERROR(VLOOKUP(A$7:A54,'Job Operations'!$A$4:$AA$304,12,FALSE),"")="Fab")),_xlpm.sfx,IF(OR(_xlpm.pos=11,_xlpm.pos=12,_xlpm.pos=13),"th",IF(MOD(_xlpm.pos,10)=1,"st",IF(MOD(_xlpm.pos,10)=2,"nd",IF(MOD(_xlpm.pos,10)=3,"rd","th")))),_xlpm.pos&amp;_xlpm.sfx),IF(ISNUMBER(MATCH(A54,'Clean and Brake Schedule'!A$7:A$100,0)),"#"&amp;MATCH(A54,'Clean and Brake Schedule'!A$7:A$100,0)&amp;" on C&amp;B",IF(ISNUMBER(MATCH(A54,'AXYZ Titans CNC Schedule'!A$7:A$100,0)),"#"&amp;MATCH(A54,'AXYZ Titans CNC Schedule'!A$7:A$100,0)&amp;" on Titans",IF(ISNUMBER(MATCH(A54,'AXYZ CNC Schedule'!A$7:A$100,0)),"#"&amp;MATCH(A54,'AXYZ CNC Schedule'!A$7:A$100,0)&amp;" on AXYZ",IF(_xlpm.stn&lt;&gt;"",_xlpm.stn,"")))))))</f>
        <v>#47 on C&amp;B</v>
      </c>
      <c r="J54" s="106">
        <f>IF(A54="","",IFERROR(VLOOKUP(A54,'Job Operations'!$A$4:$AA$304,18,FALSE),""))</f>
        <v>46147</v>
      </c>
      <c r="K54" s="105" t="str">
        <f>IF(A54="","",IFERROR(VLOOKUP(A54,'Job Operations'!$A$4:$AA$304,13,FALSE),""))</f>
        <v>AXYZ</v>
      </c>
      <c r="L54" s="105" t="str">
        <f>IF(A54="","",IFERROR(VLOOKUP(A54,'Job Operations'!$A$4:$AA$304,15,FALSE),""))</f>
        <v>Clean and Brake</v>
      </c>
      <c r="M54" s="167" t="str">
        <f>IF(A54="","",IF(IFERROR(VLOOKUP(A54,Notes!A:B,2,FALSE),"")=0,"",VLOOKUP(A54,Notes!A:B,2,FALSE)))</f>
        <v>04/16/2026…LO</v>
      </c>
    </row>
    <row r="55" spans="1:13" x14ac:dyDescent="0.25">
      <c r="A55" s="98" t="str">
        <v>24079-FS302</v>
      </c>
      <c r="B55" s="99" t="str">
        <f>IF(A55="","",IFERROR(VLOOKUP(A55,'Job Operations'!$A$4:$AA$304,2,FALSE),""))</f>
        <v>Nashville Youth Campus</v>
      </c>
      <c r="C55" s="100" t="str">
        <f>IF(A55="","",IFERROR(VLOOKUP(A55,'Job Operations'!$A$4:$AA$304,3,FALSE),""))</f>
        <v>Joe Hoyle</v>
      </c>
      <c r="D55" s="100">
        <f>IF(A55="","",IFERROR(VLOOKUP(A55,'Job Operations'!$A$4:$AA$304,5,FALSE),""))</f>
        <v>188</v>
      </c>
      <c r="E55" s="100">
        <f>IF(A55="","",IFERROR(VLOOKUP(A55,'Job Operations'!$A$4:$AA$304,6,FALSE),""))</f>
        <v>0</v>
      </c>
      <c r="F55" s="100" t="str">
        <f>IF(A55="","",IFERROR(VLOOKUP(A55,'Job Operations'!$A$4:$AA$304,7,FALSE),""))</f>
        <v>FR ACM</v>
      </c>
      <c r="G55" s="101">
        <f>IF(A55="","",IFERROR(VLOOKUP(A55,'Job Operations'!$A$4:$AA$304,9,FALSE),""))</f>
        <v>46160</v>
      </c>
      <c r="H55" s="100" t="str" cm="1">
        <f t="array" ref="H55">IF(A55="","",_xlfn.LET(_xlpm.stn,IFERROR(VLOOKUP(A55,'Job Operations'!$A$4:$AA$304,12,FALSE),""),IF(OR(_xlpm.stn="Fabrication",_xlpm.stn="Fab"),_xlfn.LET(_xlpm.pos,SUMPRODUCT((A$7:A55&lt;&gt;"")*(IFERROR(VLOOKUP(A$7:A55,'Job Operations'!$A$4:$AA$304,12,FALSE),"")="Fabrication")+(A$7:A55&lt;&gt;"")*(IFERROR(VLOOKUP(A$7:A55,'Job Operations'!$A$4:$AA$304,12,FALSE),"")="Fab")),_xlpm.sfx,IF(OR(_xlpm.pos=11,_xlpm.pos=12,_xlpm.pos=13),"th",IF(MOD(_xlpm.pos,10)=1,"st",IF(MOD(_xlpm.pos,10)=2,"nd",IF(MOD(_xlpm.pos,10)=3,"rd","th")))),_xlpm.pos&amp;_xlpm.sfx),IF(_xlpm.stn&lt;&gt;"",_xlpm.stn,""))))</f>
        <v>LO</v>
      </c>
      <c r="I55" s="100" t="str" cm="1">
        <f t="array" ref="I55">IF(A55="","",_xlfn.LET(_xlpm.stn,IFERROR(VLOOKUP(A55,'Job Operations'!$A$4:$AA$304,12,FALSE),""),IF(OR(_xlpm.stn="Fabrication",_xlpm.stn="Fab"),_xlfn.LET(_xlpm.pos,SUMPRODUCT((A$7:A55&lt;&gt;"")*(IFERROR(VLOOKUP(A$7:A55,'Job Operations'!$A$4:$AA$304,12,FALSE),"")="Fabrication")+(A$7:A55&lt;&gt;"")*(IFERROR(VLOOKUP(A$7:A55,'Job Operations'!$A$4:$AA$304,12,FALSE),"")="Fab")),_xlpm.sfx,IF(OR(_xlpm.pos=11,_xlpm.pos=12,_xlpm.pos=13),"th",IF(MOD(_xlpm.pos,10)=1,"st",IF(MOD(_xlpm.pos,10)=2,"nd",IF(MOD(_xlpm.pos,10)=3,"rd","th")))),_xlpm.pos&amp;_xlpm.sfx),IF(ISNUMBER(MATCH(A55,'Clean and Brake Schedule'!A$7:A$100,0)),"#"&amp;MATCH(A55,'Clean and Brake Schedule'!A$7:A$100,0)&amp;" on C&amp;B",IF(ISNUMBER(MATCH(A55,'AXYZ Titans CNC Schedule'!A$7:A$100,0)),"#"&amp;MATCH(A55,'AXYZ Titans CNC Schedule'!A$7:A$100,0)&amp;" on Titans",IF(ISNUMBER(MATCH(A55,'AXYZ CNC Schedule'!A$7:A$100,0)),"#"&amp;MATCH(A55,'AXYZ CNC Schedule'!A$7:A$100,0)&amp;" on AXYZ",IF(_xlpm.stn&lt;&gt;"",_xlpm.stn,"")))))))</f>
        <v>#48 on C&amp;B</v>
      </c>
      <c r="J55" s="101">
        <f>IF(A55="","",IFERROR(VLOOKUP(A55,'Job Operations'!$A$4:$AA$304,18,FALSE),""))</f>
        <v>46147</v>
      </c>
      <c r="K55" s="100" t="str">
        <f>IF(A55="","",IFERROR(VLOOKUP(A55,'Job Operations'!$A$4:$AA$304,13,FALSE),""))</f>
        <v>AXYZ</v>
      </c>
      <c r="L55" s="100" t="str">
        <f>IF(A55="","",IFERROR(VLOOKUP(A55,'Job Operations'!$A$4:$AA$304,15,FALSE),""))</f>
        <v>Clean and Brake</v>
      </c>
      <c r="M55" s="168" t="str">
        <f>IF(A55="","",IF(IFERROR(VLOOKUP(A55,Notes!A:B,2,FALSE),"")=0,"",VLOOKUP(A55,Notes!A:B,2,FALSE)))</f>
        <v>04/16/2026…LO</v>
      </c>
    </row>
    <row r="56" spans="1:13" x14ac:dyDescent="0.25">
      <c r="A56" s="103" t="str">
        <v>25008-FS07</v>
      </c>
      <c r="B56" s="104" t="str">
        <f>IF(A56="","",IFERROR(VLOOKUP(A56,'Job Operations'!$A$4:$AA$304,2,FALSE),""))</f>
        <v>Columbia State Tech Center</v>
      </c>
      <c r="C56" s="105" t="str">
        <f>IF(A56="","",IFERROR(VLOOKUP(A56,'Job Operations'!$A$4:$AA$304,3,FALSE),""))</f>
        <v>Laura Forero</v>
      </c>
      <c r="D56" s="105">
        <f>IF(A56="","",IFERROR(VLOOKUP(A56,'Job Operations'!$A$4:$AA$304,5,FALSE),""))</f>
        <v>58</v>
      </c>
      <c r="E56" s="105">
        <f>IF(A56="","",IFERROR(VLOOKUP(A56,'Job Operations'!$A$4:$AA$304,6,FALSE),""))</f>
        <v>0</v>
      </c>
      <c r="F56" s="105" t="str">
        <f>IF(A56="","",IFERROR(VLOOKUP(A56,'Job Operations'!$A$4:$AA$304,7,FALSE),""))</f>
        <v>FR ACM</v>
      </c>
      <c r="G56" s="106">
        <f>IF(A56="","",IFERROR(VLOOKUP(A56,'Job Operations'!$A$4:$AA$304,9,FALSE),""))</f>
        <v>46162</v>
      </c>
      <c r="H56" s="105" t="str" cm="1">
        <f t="array" ref="H56">IF(A56="","",_xlfn.LET(_xlpm.stn,IFERROR(VLOOKUP(A56,'Job Operations'!$A$4:$AA$304,12,FALSE),""),IF(OR(_xlpm.stn="Fabrication",_xlpm.stn="Fab"),_xlfn.LET(_xlpm.pos,SUMPRODUCT((A$7:A56&lt;&gt;"")*(IFERROR(VLOOKUP(A$7:A56,'Job Operations'!$A$4:$AA$304,12,FALSE),"")="Fabrication")+(A$7:A56&lt;&gt;"")*(IFERROR(VLOOKUP(A$7:A56,'Job Operations'!$A$4:$AA$304,12,FALSE),"")="Fab")),_xlpm.sfx,IF(OR(_xlpm.pos=11,_xlpm.pos=12,_xlpm.pos=13),"th",IF(MOD(_xlpm.pos,10)=1,"st",IF(MOD(_xlpm.pos,10)=2,"nd",IF(MOD(_xlpm.pos,10)=3,"rd","th")))),_xlpm.pos&amp;_xlpm.sfx),IF(_xlpm.stn&lt;&gt;"",_xlpm.stn,""))))</f>
        <v>Evaluation</v>
      </c>
      <c r="I56" s="105" t="str" cm="1">
        <f t="array" ref="I56">IF(A56="","",_xlfn.LET(_xlpm.stn,IFERROR(VLOOKUP(A56,'Job Operations'!$A$4:$AA$304,12,FALSE),""),IF(OR(_xlpm.stn="Fabrication",_xlpm.stn="Fab"),_xlfn.LET(_xlpm.pos,SUMPRODUCT((A$7:A56&lt;&gt;"")*(IFERROR(VLOOKUP(A$7:A56,'Job Operations'!$A$4:$AA$304,12,FALSE),"")="Fabrication")+(A$7:A56&lt;&gt;"")*(IFERROR(VLOOKUP(A$7:A56,'Job Operations'!$A$4:$AA$304,12,FALSE),"")="Fab")),_xlpm.sfx,IF(OR(_xlpm.pos=11,_xlpm.pos=12,_xlpm.pos=13),"th",IF(MOD(_xlpm.pos,10)=1,"st",IF(MOD(_xlpm.pos,10)=2,"nd",IF(MOD(_xlpm.pos,10)=3,"rd","th")))),_xlpm.pos&amp;_xlpm.sfx),IF(ISNUMBER(MATCH(A56,'Clean and Brake Schedule'!A$7:A$100,0)),"#"&amp;MATCH(A56,'Clean and Brake Schedule'!A$7:A$100,0)&amp;" on C&amp;B",IF(ISNUMBER(MATCH(A56,'AXYZ Titans CNC Schedule'!A$7:A$100,0)),"#"&amp;MATCH(A56,'AXYZ Titans CNC Schedule'!A$7:A$100,0)&amp;" on Titans",IF(ISNUMBER(MATCH(A56,'AXYZ CNC Schedule'!A$7:A$100,0)),"#"&amp;MATCH(A56,'AXYZ CNC Schedule'!A$7:A$100,0)&amp;" on AXYZ",IF(_xlpm.stn&lt;&gt;"",_xlpm.stn,"")))))))</f>
        <v>#49 on C&amp;B</v>
      </c>
      <c r="J56" s="106">
        <f>IF(A56="","",IFERROR(VLOOKUP(A56,'Job Operations'!$A$4:$AA$304,18,FALSE),""))</f>
        <v>46149</v>
      </c>
      <c r="K56" s="105" t="str">
        <f>IF(A56="","",IFERROR(VLOOKUP(A56,'Job Operations'!$A$4:$AA$304,13,FALSE),""))</f>
        <v>AXYZ</v>
      </c>
      <c r="L56" s="105" t="str">
        <f>IF(A56="","",IFERROR(VLOOKUP(A56,'Job Operations'!$A$4:$AA$304,15,FALSE),""))</f>
        <v>Clean and Brake</v>
      </c>
      <c r="M56" s="167" t="str">
        <f>IF(A56="","",IF(IFERROR(VLOOKUP(A56,Notes!A:B,2,FALSE),"")=0,"",VLOOKUP(A56,Notes!A:B,2,FALSE)))</f>
        <v>04/16/2026…Evaluation</v>
      </c>
    </row>
    <row r="57" spans="1:13" x14ac:dyDescent="0.25">
      <c r="A57" s="98" t="str">
        <v>24074-FS10</v>
      </c>
      <c r="B57" s="99" t="str">
        <f>IF(A57="","",IFERROR(VLOOKUP(A57,'Job Operations'!$A$4:$AA$304,2,FALSE),""))</f>
        <v>DIDD ACM</v>
      </c>
      <c r="C57" s="100" t="str">
        <f>IF(A57="","",IFERROR(VLOOKUP(A57,'Job Operations'!$A$4:$AA$304,3,FALSE),""))</f>
        <v>Dillon Bowman</v>
      </c>
      <c r="D57" s="100">
        <f>IF(A57="","",IFERROR(VLOOKUP(A57,'Job Operations'!$A$4:$AA$304,5,FALSE),""))</f>
        <v>130</v>
      </c>
      <c r="E57" s="100">
        <f>IF(A57="","",IFERROR(VLOOKUP(A57,'Job Operations'!$A$4:$AA$304,6,FALSE),""))</f>
        <v>0</v>
      </c>
      <c r="F57" s="100" t="str">
        <f>IF(A57="","",IFERROR(VLOOKUP(A57,'Job Operations'!$A$4:$AA$304,7,FALSE),""))</f>
        <v>FR ACM</v>
      </c>
      <c r="G57" s="101">
        <f>IF(A57="","",IFERROR(VLOOKUP(A57,'Job Operations'!$A$4:$AA$304,9,FALSE),""))</f>
        <v>46163</v>
      </c>
      <c r="H57" s="100" t="str" cm="1">
        <f t="array" ref="H57">IF(A57="","",_xlfn.LET(_xlpm.stn,IFERROR(VLOOKUP(A57,'Job Operations'!$A$4:$AA$304,12,FALSE),""),IF(OR(_xlpm.stn="Fabrication",_xlpm.stn="Fab"),_xlfn.LET(_xlpm.pos,SUMPRODUCT((A$7:A57&lt;&gt;"")*(IFERROR(VLOOKUP(A$7:A57,'Job Operations'!$A$4:$AA$304,12,FALSE),"")="Fabrication")+(A$7:A57&lt;&gt;"")*(IFERROR(VLOOKUP(A$7:A57,'Job Operations'!$A$4:$AA$304,12,FALSE),"")="Fab")),_xlpm.sfx,IF(OR(_xlpm.pos=11,_xlpm.pos=12,_xlpm.pos=13),"th",IF(MOD(_xlpm.pos,10)=1,"st",IF(MOD(_xlpm.pos,10)=2,"nd",IF(MOD(_xlpm.pos,10)=3,"rd","th")))),_xlpm.pos&amp;_xlpm.sfx),IF(_xlpm.stn&lt;&gt;"",_xlpm.stn,""))))</f>
        <v>LO Check</v>
      </c>
      <c r="I57" s="100" t="str" cm="1">
        <f t="array" ref="I57">IF(A57="","",_xlfn.LET(_xlpm.stn,IFERROR(VLOOKUP(A57,'Job Operations'!$A$4:$AA$304,12,FALSE),""),IF(OR(_xlpm.stn="Fabrication",_xlpm.stn="Fab"),_xlfn.LET(_xlpm.pos,SUMPRODUCT((A$7:A57&lt;&gt;"")*(IFERROR(VLOOKUP(A$7:A57,'Job Operations'!$A$4:$AA$304,12,FALSE),"")="Fabrication")+(A$7:A57&lt;&gt;"")*(IFERROR(VLOOKUP(A$7:A57,'Job Operations'!$A$4:$AA$304,12,FALSE),"")="Fab")),_xlpm.sfx,IF(OR(_xlpm.pos=11,_xlpm.pos=12,_xlpm.pos=13),"th",IF(MOD(_xlpm.pos,10)=1,"st",IF(MOD(_xlpm.pos,10)=2,"nd",IF(MOD(_xlpm.pos,10)=3,"rd","th")))),_xlpm.pos&amp;_xlpm.sfx),IF(ISNUMBER(MATCH(A57,'Clean and Brake Schedule'!A$7:A$100,0)),"#"&amp;MATCH(A57,'Clean and Brake Schedule'!A$7:A$100,0)&amp;" on C&amp;B",IF(ISNUMBER(MATCH(A57,'AXYZ Titans CNC Schedule'!A$7:A$100,0)),"#"&amp;MATCH(A57,'AXYZ Titans CNC Schedule'!A$7:A$100,0)&amp;" on Titans",IF(ISNUMBER(MATCH(A57,'AXYZ CNC Schedule'!A$7:A$100,0)),"#"&amp;MATCH(A57,'AXYZ CNC Schedule'!A$7:A$100,0)&amp;" on AXYZ",IF(_xlpm.stn&lt;&gt;"",_xlpm.stn,"")))))))</f>
        <v>#50 on C&amp;B</v>
      </c>
      <c r="J57" s="101">
        <f>IF(A57="","",IFERROR(VLOOKUP(A57,'Job Operations'!$A$4:$AA$304,18,FALSE),""))</f>
        <v>46150</v>
      </c>
      <c r="K57" s="100" t="str">
        <f>IF(A57="","",IFERROR(VLOOKUP(A57,'Job Operations'!$A$4:$AA$304,13,FALSE),""))</f>
        <v>AXYZ</v>
      </c>
      <c r="L57" s="100" t="str">
        <f>IF(A57="","",IFERROR(VLOOKUP(A57,'Job Operations'!$A$4:$AA$304,15,FALSE),""))</f>
        <v>Clean and Brake</v>
      </c>
      <c r="M57" s="168" t="str">
        <f>IF(A57="","",IF(IFERROR(VLOOKUP(A57,Notes!A:B,2,FALSE),"")=0,"",VLOOKUP(A57,Notes!A:B,2,FALSE)))</f>
        <v>04/16/2026…LO Check</v>
      </c>
    </row>
    <row r="58" spans="1:13" x14ac:dyDescent="0.25">
      <c r="A58" s="103" t="str">
        <v>25044-FS01</v>
      </c>
      <c r="B58" s="104" t="str">
        <f>IF(A58="","",IFERROR(VLOOKUP(A58,'Job Operations'!$A$4:$AA$304,2,FALSE),""))</f>
        <v>MALETA Firing Range</v>
      </c>
      <c r="C58" s="105" t="str">
        <f>IF(A58="","",IFERROR(VLOOKUP(A58,'Job Operations'!$A$4:$AA$304,3,FALSE),""))</f>
        <v>Cole Norona</v>
      </c>
      <c r="D58" s="105">
        <f>IF(A58="","",IFERROR(VLOOKUP(A58,'Job Operations'!$A$4:$AA$304,5,FALSE),""))</f>
        <v>125</v>
      </c>
      <c r="E58" s="105">
        <f>IF(A58="","",IFERROR(VLOOKUP(A58,'Job Operations'!$A$4:$AA$304,6,FALSE),""))</f>
        <v>0</v>
      </c>
      <c r="F58" s="105" t="str">
        <f>IF(A58="","",IFERROR(VLOOKUP(A58,'Job Operations'!$A$4:$AA$304,7,FALSE),""))</f>
        <v>FR ACM</v>
      </c>
      <c r="G58" s="106">
        <f>IF(A58="","",IFERROR(VLOOKUP(A58,'Job Operations'!$A$4:$AA$304,9,FALSE),""))</f>
        <v>46164</v>
      </c>
      <c r="H58" s="105" t="str" cm="1">
        <f t="array" ref="H58">IF(A58="","",_xlfn.LET(_xlpm.stn,IFERROR(VLOOKUP(A58,'Job Operations'!$A$4:$AA$304,12,FALSE),""),IF(OR(_xlpm.stn="Fabrication",_xlpm.stn="Fab"),_xlfn.LET(_xlpm.pos,SUMPRODUCT((A$7:A58&lt;&gt;"")*(IFERROR(VLOOKUP(A$7:A58,'Job Operations'!$A$4:$AA$304,12,FALSE),"")="Fabrication")+(A$7:A58&lt;&gt;"")*(IFERROR(VLOOKUP(A$7:A58,'Job Operations'!$A$4:$AA$304,12,FALSE),"")="Fab")),_xlpm.sfx,IF(OR(_xlpm.pos=11,_xlpm.pos=12,_xlpm.pos=13),"th",IF(MOD(_xlpm.pos,10)=1,"st",IF(MOD(_xlpm.pos,10)=2,"nd",IF(MOD(_xlpm.pos,10)=3,"rd","th")))),_xlpm.pos&amp;_xlpm.sfx),IF(_xlpm.stn&lt;&gt;"",_xlpm.stn,""))))</f>
        <v>LO</v>
      </c>
      <c r="I58" s="105" t="str" cm="1">
        <f t="array" ref="I58">IF(A58="","",_xlfn.LET(_xlpm.stn,IFERROR(VLOOKUP(A58,'Job Operations'!$A$4:$AA$304,12,FALSE),""),IF(OR(_xlpm.stn="Fabrication",_xlpm.stn="Fab"),_xlfn.LET(_xlpm.pos,SUMPRODUCT((A$7:A58&lt;&gt;"")*(IFERROR(VLOOKUP(A$7:A58,'Job Operations'!$A$4:$AA$304,12,FALSE),"")="Fabrication")+(A$7:A58&lt;&gt;"")*(IFERROR(VLOOKUP(A$7:A58,'Job Operations'!$A$4:$AA$304,12,FALSE),"")="Fab")),_xlpm.sfx,IF(OR(_xlpm.pos=11,_xlpm.pos=12,_xlpm.pos=13),"th",IF(MOD(_xlpm.pos,10)=1,"st",IF(MOD(_xlpm.pos,10)=2,"nd",IF(MOD(_xlpm.pos,10)=3,"rd","th")))),_xlpm.pos&amp;_xlpm.sfx),IF(ISNUMBER(MATCH(A58,'Clean and Brake Schedule'!A$7:A$100,0)),"#"&amp;MATCH(A58,'Clean and Brake Schedule'!A$7:A$100,0)&amp;" on C&amp;B",IF(ISNUMBER(MATCH(A58,'AXYZ Titans CNC Schedule'!A$7:A$100,0)),"#"&amp;MATCH(A58,'AXYZ Titans CNC Schedule'!A$7:A$100,0)&amp;" on Titans",IF(ISNUMBER(MATCH(A58,'AXYZ CNC Schedule'!A$7:A$100,0)),"#"&amp;MATCH(A58,'AXYZ CNC Schedule'!A$7:A$100,0)&amp;" on AXYZ",IF(_xlpm.stn&lt;&gt;"",_xlpm.stn,"")))))))</f>
        <v>#51 on C&amp;B</v>
      </c>
      <c r="J58" s="106">
        <f>IF(A58="","",IFERROR(VLOOKUP(A58,'Job Operations'!$A$4:$AA$304,18,FALSE),""))</f>
        <v>46151</v>
      </c>
      <c r="K58" s="105" t="str">
        <f>IF(A58="","",IFERROR(VLOOKUP(A58,'Job Operations'!$A$4:$AA$304,13,FALSE),""))</f>
        <v>AXYZ</v>
      </c>
      <c r="L58" s="105" t="str">
        <f>IF(A58="","",IFERROR(VLOOKUP(A58,'Job Operations'!$A$4:$AA$304,15,FALSE),""))</f>
        <v>Clean and Brake</v>
      </c>
      <c r="M58" s="167" t="str">
        <f>IF(A58="","",IF(IFERROR(VLOOKUP(A58,Notes!A:B,2,FALSE),"")=0,"",VLOOKUP(A58,Notes!A:B,2,FALSE)))</f>
        <v>04/16/2026…LO</v>
      </c>
    </row>
    <row r="59" spans="1:13" x14ac:dyDescent="0.25">
      <c r="A59" s="98" t="str">
        <v>25044-FS01.1</v>
      </c>
      <c r="B59" s="99" t="str">
        <f>IF(A59="","",IFERROR(VLOOKUP(A59,'Job Operations'!$A$4:$AA$304,2,FALSE),""))</f>
        <v>MALETA Firing Range</v>
      </c>
      <c r="C59" s="100" t="str">
        <f>IF(A59="","",IFERROR(VLOOKUP(A59,'Job Operations'!$A$4:$AA$304,3,FALSE),""))</f>
        <v>Cole Norona</v>
      </c>
      <c r="D59" s="100">
        <f>IF(A59="","",IFERROR(VLOOKUP(A59,'Job Operations'!$A$4:$AA$304,5,FALSE),""))</f>
        <v>34</v>
      </c>
      <c r="E59" s="100">
        <f>IF(A59="","",IFERROR(VLOOKUP(A59,'Job Operations'!$A$4:$AA$304,6,FALSE),""))</f>
        <v>0</v>
      </c>
      <c r="F59" s="100" t="str">
        <f>IF(A59="","",IFERROR(VLOOKUP(A59,'Job Operations'!$A$4:$AA$304,7,FALSE),""))</f>
        <v>FR ACM</v>
      </c>
      <c r="G59" s="101">
        <f>IF(A59="","",IFERROR(VLOOKUP(A59,'Job Operations'!$A$4:$AA$304,9,FALSE),""))</f>
        <v>46164</v>
      </c>
      <c r="H59" s="100" t="str" cm="1">
        <f t="array" ref="H59">IF(A59="","",_xlfn.LET(_xlpm.stn,IFERROR(VLOOKUP(A59,'Job Operations'!$A$4:$AA$304,12,FALSE),""),IF(OR(_xlpm.stn="Fabrication",_xlpm.stn="Fab"),_xlfn.LET(_xlpm.pos,SUMPRODUCT((A$7:A59&lt;&gt;"")*(IFERROR(VLOOKUP(A$7:A59,'Job Operations'!$A$4:$AA$304,12,FALSE),"")="Fabrication")+(A$7:A59&lt;&gt;"")*(IFERROR(VLOOKUP(A$7:A59,'Job Operations'!$A$4:$AA$304,12,FALSE),"")="Fab")),_xlpm.sfx,IF(OR(_xlpm.pos=11,_xlpm.pos=12,_xlpm.pos=13),"th",IF(MOD(_xlpm.pos,10)=1,"st",IF(MOD(_xlpm.pos,10)=2,"nd",IF(MOD(_xlpm.pos,10)=3,"rd","th")))),_xlpm.pos&amp;_xlpm.sfx),IF(_xlpm.stn&lt;&gt;"",_xlpm.stn,""))))</f>
        <v>LO</v>
      </c>
      <c r="I59" s="100" t="str" cm="1">
        <f t="array" ref="I59">IF(A59="","",_xlfn.LET(_xlpm.stn,IFERROR(VLOOKUP(A59,'Job Operations'!$A$4:$AA$304,12,FALSE),""),IF(OR(_xlpm.stn="Fabrication",_xlpm.stn="Fab"),_xlfn.LET(_xlpm.pos,SUMPRODUCT((A$7:A59&lt;&gt;"")*(IFERROR(VLOOKUP(A$7:A59,'Job Operations'!$A$4:$AA$304,12,FALSE),"")="Fabrication")+(A$7:A59&lt;&gt;"")*(IFERROR(VLOOKUP(A$7:A59,'Job Operations'!$A$4:$AA$304,12,FALSE),"")="Fab")),_xlpm.sfx,IF(OR(_xlpm.pos=11,_xlpm.pos=12,_xlpm.pos=13),"th",IF(MOD(_xlpm.pos,10)=1,"st",IF(MOD(_xlpm.pos,10)=2,"nd",IF(MOD(_xlpm.pos,10)=3,"rd","th")))),_xlpm.pos&amp;_xlpm.sfx),IF(ISNUMBER(MATCH(A59,'Clean and Brake Schedule'!A$7:A$100,0)),"#"&amp;MATCH(A59,'Clean and Brake Schedule'!A$7:A$100,0)&amp;" on C&amp;B",IF(ISNUMBER(MATCH(A59,'AXYZ Titans CNC Schedule'!A$7:A$100,0)),"#"&amp;MATCH(A59,'AXYZ Titans CNC Schedule'!A$7:A$100,0)&amp;" on Titans",IF(ISNUMBER(MATCH(A59,'AXYZ CNC Schedule'!A$7:A$100,0)),"#"&amp;MATCH(A59,'AXYZ CNC Schedule'!A$7:A$100,0)&amp;" on AXYZ",IF(_xlpm.stn&lt;&gt;"",_xlpm.stn,"")))))))</f>
        <v>#52 on C&amp;B</v>
      </c>
      <c r="J59" s="101">
        <f>IF(A59="","",IFERROR(VLOOKUP(A59,'Job Operations'!$A$4:$AA$304,18,FALSE),""))</f>
        <v>46151</v>
      </c>
      <c r="K59" s="100" t="str">
        <f>IF(A59="","",IFERROR(VLOOKUP(A59,'Job Operations'!$A$4:$AA$304,13,FALSE),""))</f>
        <v>AXYZ</v>
      </c>
      <c r="L59" s="100" t="str">
        <f>IF(A59="","",IFERROR(VLOOKUP(A59,'Job Operations'!$A$4:$AA$304,15,FALSE),""))</f>
        <v>Clean and Brake</v>
      </c>
      <c r="M59" s="168" t="str">
        <f>IF(A59="","",IF(IFERROR(VLOOKUP(A59,Notes!A:B,2,FALSE),"")=0,"",VLOOKUP(A59,Notes!A:B,2,FALSE)))</f>
        <v>04/16/2026…LO</v>
      </c>
    </row>
    <row r="60" spans="1:13" x14ac:dyDescent="0.25">
      <c r="A60" s="103" t="str">
        <v>25065-MU01</v>
      </c>
      <c r="B60" s="104" t="str">
        <f>IF(A60="","",IFERROR(VLOOKUP(A60,'Job Operations'!$A$4:$AA$304,2,FALSE),""))</f>
        <v>Crosswinds Casino Resort</v>
      </c>
      <c r="C60" s="105" t="str">
        <f>IF(A60="","",IFERROR(VLOOKUP(A60,'Job Operations'!$A$4:$AA$304,3,FALSE),""))</f>
        <v>Matt Rassmussen</v>
      </c>
      <c r="D60" s="105">
        <f>IF(A60="","",IFERROR(VLOOKUP(A60,'Job Operations'!$A$4:$AA$304,5,FALSE),""))</f>
        <v>18</v>
      </c>
      <c r="E60" s="105">
        <f>IF(A60="","",IFERROR(VLOOKUP(A60,'Job Operations'!$A$4:$AA$304,6,FALSE),""))</f>
        <v>14</v>
      </c>
      <c r="F60" s="105" t="str">
        <f>IF(A60="","",IFERROR(VLOOKUP(A60,'Job Operations'!$A$4:$AA$304,7,FALSE),""))</f>
        <v>FR ACM</v>
      </c>
      <c r="G60" s="106">
        <f>IF(A60="","",IFERROR(VLOOKUP(A60,'Job Operations'!$A$4:$AA$304,9,FALSE),""))</f>
        <v>46164</v>
      </c>
      <c r="H60" s="105" t="str" cm="1">
        <f t="array" ref="H60">IF(A60="","",_xlfn.LET(_xlpm.stn,IFERROR(VLOOKUP(A60,'Job Operations'!$A$4:$AA$304,12,FALSE),""),IF(OR(_xlpm.stn="Fabrication",_xlpm.stn="Fab"),_xlfn.LET(_xlpm.pos,SUMPRODUCT((A$7:A60&lt;&gt;"")*(IFERROR(VLOOKUP(A$7:A60,'Job Operations'!$A$4:$AA$304,12,FALSE),"")="Fabrication")+(A$7:A60&lt;&gt;"")*(IFERROR(VLOOKUP(A$7:A60,'Job Operations'!$A$4:$AA$304,12,FALSE),"")="Fab")),_xlpm.sfx,IF(OR(_xlpm.pos=11,_xlpm.pos=12,_xlpm.pos=13),"th",IF(MOD(_xlpm.pos,10)=1,"st",IF(MOD(_xlpm.pos,10)=2,"nd",IF(MOD(_xlpm.pos,10)=3,"rd","th")))),_xlpm.pos&amp;_xlpm.sfx),IF(_xlpm.stn&lt;&gt;"",_xlpm.stn,""))))</f>
        <v>Sketch Check</v>
      </c>
      <c r="I60" s="105" t="str" cm="1">
        <f t="array" ref="I60">IF(A60="","",_xlfn.LET(_xlpm.stn,IFERROR(VLOOKUP(A60,'Job Operations'!$A$4:$AA$304,12,FALSE),""),IF(OR(_xlpm.stn="Fabrication",_xlpm.stn="Fab"),_xlfn.LET(_xlpm.pos,SUMPRODUCT((A$7:A60&lt;&gt;"")*(IFERROR(VLOOKUP(A$7:A60,'Job Operations'!$A$4:$AA$304,12,FALSE),"")="Fabrication")+(A$7:A60&lt;&gt;"")*(IFERROR(VLOOKUP(A$7:A60,'Job Operations'!$A$4:$AA$304,12,FALSE),"")="Fab")),_xlpm.sfx,IF(OR(_xlpm.pos=11,_xlpm.pos=12,_xlpm.pos=13),"th",IF(MOD(_xlpm.pos,10)=1,"st",IF(MOD(_xlpm.pos,10)=2,"nd",IF(MOD(_xlpm.pos,10)=3,"rd","th")))),_xlpm.pos&amp;_xlpm.sfx),IF(ISNUMBER(MATCH(A60,'Clean and Brake Schedule'!A$7:A$100,0)),"#"&amp;MATCH(A60,'Clean and Brake Schedule'!A$7:A$100,0)&amp;" on C&amp;B",IF(ISNUMBER(MATCH(A60,'AXYZ Titans CNC Schedule'!A$7:A$100,0)),"#"&amp;MATCH(A60,'AXYZ Titans CNC Schedule'!A$7:A$100,0)&amp;" on Titans",IF(ISNUMBER(MATCH(A60,'AXYZ CNC Schedule'!A$7:A$100,0)),"#"&amp;MATCH(A60,'AXYZ CNC Schedule'!A$7:A$100,0)&amp;" on AXYZ",IF(_xlpm.stn&lt;&gt;"",_xlpm.stn,"")))))))</f>
        <v>#53 on C&amp;B</v>
      </c>
      <c r="J60" s="106">
        <f>IF(A60="","",IFERROR(VLOOKUP(A60,'Job Operations'!$A$4:$AA$304,18,FALSE),""))</f>
        <v>46151</v>
      </c>
      <c r="K60" s="105" t="str">
        <f>IF(A60="","",IFERROR(VLOOKUP(A60,'Job Operations'!$A$4:$AA$304,13,FALSE),""))</f>
        <v>AXYZ</v>
      </c>
      <c r="L60" s="105" t="str">
        <f>IF(A60="","",IFERROR(VLOOKUP(A60,'Job Operations'!$A$4:$AA$304,15,FALSE),""))</f>
        <v>Clean and Brake</v>
      </c>
      <c r="M60" s="167" t="str">
        <f>IF(A60="","",IF(IFERROR(VLOOKUP(A60,Notes!A:B,2,FALSE),"")=0,"",VLOOKUP(A60,Notes!A:B,2,FALSE)))</f>
        <v>04/16/2026…Sketch Check</v>
      </c>
    </row>
    <row r="61" spans="1:13" x14ac:dyDescent="0.25">
      <c r="A61" s="98" t="str">
        <v>25006-FS06</v>
      </c>
      <c r="B61" s="99" t="str">
        <f>IF(A61="","",IFERROR(VLOOKUP(A61,'Job Operations'!$A$4:$AA$304,2,FALSE),""))</f>
        <v>MALETA Housing and Dining</v>
      </c>
      <c r="C61" s="100" t="str">
        <f>IF(A61="","",IFERROR(VLOOKUP(A61,'Job Operations'!$A$4:$AA$304,3,FALSE),""))</f>
        <v>Cole Norona</v>
      </c>
      <c r="D61" s="100">
        <f>IF(A61="","",IFERROR(VLOOKUP(A61,'Job Operations'!$A$4:$AA$304,5,FALSE),""))</f>
        <v>246</v>
      </c>
      <c r="E61" s="100">
        <f>IF(A61="","",IFERROR(VLOOKUP(A61,'Job Operations'!$A$4:$AA$304,6,FALSE),""))</f>
        <v>0</v>
      </c>
      <c r="F61" s="100" t="str">
        <f>IF(A61="","",IFERROR(VLOOKUP(A61,'Job Operations'!$A$4:$AA$304,7,FALSE),""))</f>
        <v>FR ACM</v>
      </c>
      <c r="G61" s="101">
        <f>IF(A61="","",IFERROR(VLOOKUP(A61,'Job Operations'!$A$4:$AA$304,9,FALSE),""))</f>
        <v>46167</v>
      </c>
      <c r="H61" s="100" t="str" cm="1">
        <f t="array" ref="H61">IF(A61="","",_xlfn.LET(_xlpm.stn,IFERROR(VLOOKUP(A61,'Job Operations'!$A$4:$AA$304,12,FALSE),""),IF(OR(_xlpm.stn="Fabrication",_xlpm.stn="Fab"),_xlfn.LET(_xlpm.pos,SUMPRODUCT((A$7:A61&lt;&gt;"")*(IFERROR(VLOOKUP(A$7:A61,'Job Operations'!$A$4:$AA$304,12,FALSE),"")="Fabrication")+(A$7:A61&lt;&gt;"")*(IFERROR(VLOOKUP(A$7:A61,'Job Operations'!$A$4:$AA$304,12,FALSE),"")="Fab")),_xlpm.sfx,IF(OR(_xlpm.pos=11,_xlpm.pos=12,_xlpm.pos=13),"th",IF(MOD(_xlpm.pos,10)=1,"st",IF(MOD(_xlpm.pos,10)=2,"nd",IF(MOD(_xlpm.pos,10)=3,"rd","th")))),_xlpm.pos&amp;_xlpm.sfx),IF(_xlpm.stn&lt;&gt;"",_xlpm.stn,""))))</f>
        <v>LO Check</v>
      </c>
      <c r="I61" s="100" t="str" cm="1">
        <f t="array" ref="I61">IF(A61="","",_xlfn.LET(_xlpm.stn,IFERROR(VLOOKUP(A61,'Job Operations'!$A$4:$AA$304,12,FALSE),""),IF(OR(_xlpm.stn="Fabrication",_xlpm.stn="Fab"),_xlfn.LET(_xlpm.pos,SUMPRODUCT((A$7:A61&lt;&gt;"")*(IFERROR(VLOOKUP(A$7:A61,'Job Operations'!$A$4:$AA$304,12,FALSE),"")="Fabrication")+(A$7:A61&lt;&gt;"")*(IFERROR(VLOOKUP(A$7:A61,'Job Operations'!$A$4:$AA$304,12,FALSE),"")="Fab")),_xlpm.sfx,IF(OR(_xlpm.pos=11,_xlpm.pos=12,_xlpm.pos=13),"th",IF(MOD(_xlpm.pos,10)=1,"st",IF(MOD(_xlpm.pos,10)=2,"nd",IF(MOD(_xlpm.pos,10)=3,"rd","th")))),_xlpm.pos&amp;_xlpm.sfx),IF(ISNUMBER(MATCH(A61,'Clean and Brake Schedule'!A$7:A$100,0)),"#"&amp;MATCH(A61,'Clean and Brake Schedule'!A$7:A$100,0)&amp;" on C&amp;B",IF(ISNUMBER(MATCH(A61,'AXYZ Titans CNC Schedule'!A$7:A$100,0)),"#"&amp;MATCH(A61,'AXYZ Titans CNC Schedule'!A$7:A$100,0)&amp;" on Titans",IF(ISNUMBER(MATCH(A61,'AXYZ CNC Schedule'!A$7:A$100,0)),"#"&amp;MATCH(A61,'AXYZ CNC Schedule'!A$7:A$100,0)&amp;" on AXYZ",IF(_xlpm.stn&lt;&gt;"",_xlpm.stn,"")))))))</f>
        <v>#54 on C&amp;B</v>
      </c>
      <c r="J61" s="101">
        <f>IF(A61="","",IFERROR(VLOOKUP(A61,'Job Operations'!$A$4:$AA$304,18,FALSE),""))</f>
        <v>46154</v>
      </c>
      <c r="K61" s="100" t="str">
        <f>IF(A61="","",IFERROR(VLOOKUP(A61,'Job Operations'!$A$4:$AA$304,13,FALSE),""))</f>
        <v>AXYZ</v>
      </c>
      <c r="L61" s="100" t="str">
        <f>IF(A61="","",IFERROR(VLOOKUP(A61,'Job Operations'!$A$4:$AA$304,15,FALSE),""))</f>
        <v>Clean and Brake</v>
      </c>
      <c r="M61" s="168" t="str">
        <f>IF(A61="","",IF(IFERROR(VLOOKUP(A61,Notes!A:B,2,FALSE),"")=0,"",VLOOKUP(A61,Notes!A:B,2,FALSE)))</f>
        <v>HOAR*04/16/2026…LO Check</v>
      </c>
    </row>
    <row r="62" spans="1:13" x14ac:dyDescent="0.25">
      <c r="A62" s="107" t="str">
        <v>25037-FS01</v>
      </c>
      <c r="B62" s="108" t="str">
        <f>IF(A62="","",IFERROR(VLOOKUP(A62,'Job Operations'!$A$4:$AA$304,2,FALSE),""))</f>
        <v>Chestnut Street Office</v>
      </c>
      <c r="C62" s="109" t="str">
        <f>IF(A62="","",IFERROR(VLOOKUP(A62,'Job Operations'!$A$4:$AA$304,3,FALSE),""))</f>
        <v>Laura Forero</v>
      </c>
      <c r="D62" s="109">
        <f>IF(A62="","",IFERROR(VLOOKUP(A62,'Job Operations'!$A$4:$AA$304,5,FALSE),""))</f>
        <v>218</v>
      </c>
      <c r="E62" s="109">
        <f>IF(A62="","",IFERROR(VLOOKUP(A62,'Job Operations'!$A$4:$AA$304,6,FALSE),""))</f>
        <v>0</v>
      </c>
      <c r="F62" s="109" t="str">
        <f>IF(A62="","",IFERROR(VLOOKUP(A62,'Job Operations'!$A$4:$AA$304,7,FALSE),""))</f>
        <v>FR ACM</v>
      </c>
      <c r="G62" s="110">
        <f>IF(A62="","",IFERROR(VLOOKUP(A62,'Job Operations'!$A$4:$AA$304,9,FALSE),""))</f>
        <v>46167</v>
      </c>
      <c r="H62" s="109" t="str" cm="1">
        <f t="array" ref="H62">IF(A62="","",_xlfn.LET(_xlpm.stn,IFERROR(VLOOKUP(A62,'Job Operations'!$A$4:$AA$304,12,FALSE),""),IF(OR(_xlpm.stn="Fabrication",_xlpm.stn="Fab"),_xlfn.LET(_xlpm.pos,SUMPRODUCT((A$7:A62&lt;&gt;"")*(IFERROR(VLOOKUP(A$7:A62,'Job Operations'!$A$4:$AA$304,12,FALSE),"")="Fabrication")+(A$7:A62&lt;&gt;"")*(IFERROR(VLOOKUP(A$7:A62,'Job Operations'!$A$4:$AA$304,12,FALSE),"")="Fab")),_xlpm.sfx,IF(OR(_xlpm.pos=11,_xlpm.pos=12,_xlpm.pos=13),"th",IF(MOD(_xlpm.pos,10)=1,"st",IF(MOD(_xlpm.pos,10)=2,"nd",IF(MOD(_xlpm.pos,10)=3,"rd","th")))),_xlpm.pos&amp;_xlpm.sfx),IF(_xlpm.stn&lt;&gt;"",_xlpm.stn,""))))</f>
        <v>LO Check</v>
      </c>
      <c r="I62" s="109" t="str" cm="1">
        <f t="array" ref="I62">IF(A62="","",_xlfn.LET(_xlpm.stn,IFERROR(VLOOKUP(A62,'Job Operations'!$A$4:$AA$304,12,FALSE),""),IF(OR(_xlpm.stn="Fabrication",_xlpm.stn="Fab"),_xlfn.LET(_xlpm.pos,SUMPRODUCT((A$7:A62&lt;&gt;"")*(IFERROR(VLOOKUP(A$7:A62,'Job Operations'!$A$4:$AA$304,12,FALSE),"")="Fabrication")+(A$7:A62&lt;&gt;"")*(IFERROR(VLOOKUP(A$7:A62,'Job Operations'!$A$4:$AA$304,12,FALSE),"")="Fab")),_xlpm.sfx,IF(OR(_xlpm.pos=11,_xlpm.pos=12,_xlpm.pos=13),"th",IF(MOD(_xlpm.pos,10)=1,"st",IF(MOD(_xlpm.pos,10)=2,"nd",IF(MOD(_xlpm.pos,10)=3,"rd","th")))),_xlpm.pos&amp;_xlpm.sfx),IF(ISNUMBER(MATCH(A62,'Clean and Brake Schedule'!A$7:A$100,0)),"#"&amp;MATCH(A62,'Clean and Brake Schedule'!A$7:A$100,0)&amp;" on C&amp;B",IF(ISNUMBER(MATCH(A62,'AXYZ Titans CNC Schedule'!A$7:A$100,0)),"#"&amp;MATCH(A62,'AXYZ Titans CNC Schedule'!A$7:A$100,0)&amp;" on Titans",IF(ISNUMBER(MATCH(A62,'AXYZ CNC Schedule'!A$7:A$100,0)),"#"&amp;MATCH(A62,'AXYZ CNC Schedule'!A$7:A$100,0)&amp;" on AXYZ",IF(_xlpm.stn&lt;&gt;"",_xlpm.stn,"")))))))</f>
        <v>#55 on C&amp;B</v>
      </c>
      <c r="J62" s="110">
        <f>IF(A62="","",IFERROR(VLOOKUP(A62,'Job Operations'!$A$4:$AA$304,18,FALSE),""))</f>
        <v>46154</v>
      </c>
      <c r="K62" s="109" t="str">
        <f>IF(A62="","",IFERROR(VLOOKUP(A62,'Job Operations'!$A$4:$AA$304,13,FALSE),""))</f>
        <v>AXYZ</v>
      </c>
      <c r="L62" s="109" t="str">
        <f>IF(A62="","",IFERROR(VLOOKUP(A62,'Job Operations'!$A$4:$AA$304,15,FALSE),""))</f>
        <v>Clean and Brake</v>
      </c>
      <c r="M62" s="169" t="str">
        <f>IF(A62="","",IF(IFERROR(VLOOKUP(A62,Notes!A:B,2,FALSE),"")=0,"",VLOOKUP(A62,Notes!A:B,2,FALSE)))</f>
        <v>04/16/2026…LO Check</v>
      </c>
    </row>
    <row r="63" spans="1:13" x14ac:dyDescent="0.25">
      <c r="A63" s="107" t="str">
        <v>24079-FS301</v>
      </c>
      <c r="B63" s="108" t="str">
        <f>IFERROR(VLOOKUP($A63,'Job Operations'!$A:$B,2,FALSE),"")</f>
        <v>Nashville Youth Campus</v>
      </c>
      <c r="C63" s="109" t="str">
        <f>IFERROR(VLOOKUP($A63,'Job Operations'!$A:$C,3,FALSE),"")</f>
        <v>Joe Hoyle</v>
      </c>
      <c r="D63" s="109">
        <f>IFERROR(VLOOKUP($A63,'Job Operations'!$A:$E,5,FALSE),"")</f>
        <v>143</v>
      </c>
      <c r="E63" s="109">
        <f>IFERROR(VLOOKUP($A63,'Job Operations'!$A:$F,6,FALSE),"")</f>
        <v>0</v>
      </c>
      <c r="F63" s="109" t="str">
        <f>IFERROR(VLOOKUP($A63,'Job Operations'!$A:$G,7,FALSE),"")</f>
        <v>FR ACM</v>
      </c>
      <c r="G63" s="110">
        <f>IFERROR(VLOOKUP($A63,'Job Operations'!$A:$I,9,FALSE),"")</f>
        <v>46167</v>
      </c>
      <c r="H63" s="109" t="str">
        <f>IFERROR(VLOOKUP($A63,'Job Operations'!$A:$L,12,FALSE),"")</f>
        <v>LO</v>
      </c>
      <c r="I63" s="109" t="str" cm="1">
        <f t="array" ref="I63">IF(A63="","",_xlfn.LET(_xlpm.stn,IFERROR(VLOOKUP(A63,'Job Operations'!$A$4:$AA$304,12,FALSE),""),IF(OR(_xlpm.stn="Fabrication",_xlpm.stn="Fab"),_xlfn.LET(_xlpm.pos,SUMPRODUCT((A$7:A63&lt;&gt;"")*(IFERROR(VLOOKUP(A$7:A63,'Job Operations'!$A$4:$AA$304,12,FALSE),"")="Fabrication")+(A$7:A63&lt;&gt;"")*(IFERROR(VLOOKUP(A$7:A63,'Job Operations'!$A$4:$AA$304,12,FALSE),"")="Fab")),_xlpm.sfx,IF(OR(_xlpm.pos=11,_xlpm.pos=12,_xlpm.pos=13),"th",IF(MOD(_xlpm.pos,10)=1,"st",IF(MOD(_xlpm.pos,10)=2,"nd",IF(MOD(_xlpm.pos,10)=3,"rd","th")))),_xlpm.pos&amp;_xlpm.sfx),IF(ISNUMBER(MATCH(A63,'Clean and Brake Schedule'!A$7:A$100,0)),"#"&amp;MATCH(A63,'Clean and Brake Schedule'!A$7:A$100,0)&amp;" on C&amp;B",IF(ISNUMBER(MATCH(A63,'AXYZ Titans CNC Schedule'!A$7:A$100,0)),"#"&amp;MATCH(A63,'AXYZ Titans CNC Schedule'!A$7:A$100,0)&amp;" on Titans",IF(ISNUMBER(MATCH(A63,'AXYZ CNC Schedule'!A$7:A$100,0)),"#"&amp;MATCH(A63,'AXYZ CNC Schedule'!A$7:A$100,0)&amp;" on AXYZ",IF(_xlpm.stn&lt;&gt;"",_xlpm.stn,"")))))))</f>
        <v>#56 on C&amp;B</v>
      </c>
      <c r="J63" s="110">
        <f>IFERROR(VLOOKUP($A63,'Job Operations'!$A:$R,18,FALSE),"")</f>
        <v>46154</v>
      </c>
      <c r="K63" s="109" t="str">
        <f>IFERROR(VLOOKUP($A63,'Job Operations'!$A:$M,13,FALSE),"")</f>
        <v>AXYZ</v>
      </c>
      <c r="L63" s="109" t="str">
        <f>IFERROR(VLOOKUP($A63,'Job Operations'!$A:$O,15,FALSE),"")</f>
        <v>Clean and Brake</v>
      </c>
      <c r="M63" s="169" t="str">
        <f>IFERROR(VLOOKUP($A63,Notes!$A:$B,2,FALSE),"")</f>
        <v>04/16/2026…LO</v>
      </c>
    </row>
    <row r="64" spans="1:13" x14ac:dyDescent="0.25">
      <c r="A64" s="107" t="str">
        <v>24079-FS303</v>
      </c>
      <c r="B64" s="108" t="str">
        <f>IFERROR(VLOOKUP($A64,'Job Operations'!$A:$B,2,FALSE),"")</f>
        <v>Nashville Youth Campus</v>
      </c>
      <c r="C64" s="109" t="str">
        <f>IFERROR(VLOOKUP($A64,'Job Operations'!$A:$C,3,FALSE),"")</f>
        <v>Joe Hoyle</v>
      </c>
      <c r="D64" s="109">
        <f>IFERROR(VLOOKUP($A64,'Job Operations'!$A:$E,5,FALSE),"")</f>
        <v>165</v>
      </c>
      <c r="E64" s="109">
        <f>IFERROR(VLOOKUP($A64,'Job Operations'!$A:$F,6,FALSE),"")</f>
        <v>0</v>
      </c>
      <c r="F64" s="109" t="str">
        <f>IFERROR(VLOOKUP($A64,'Job Operations'!$A:$G,7,FALSE),"")</f>
        <v>FR ACM</v>
      </c>
      <c r="G64" s="110">
        <f>IFERROR(VLOOKUP($A64,'Job Operations'!$A:$I,9,FALSE),"")</f>
        <v>46167</v>
      </c>
      <c r="H64" s="109" t="str">
        <f>IFERROR(VLOOKUP($A64,'Job Operations'!$A:$L,12,FALSE),"")</f>
        <v>LO</v>
      </c>
      <c r="I64" s="109" t="str" cm="1">
        <f t="array" ref="I64">IF(A64="","",_xlfn.LET(_xlpm.stn,IFERROR(VLOOKUP(A64,'Job Operations'!$A$4:$AA$304,12,FALSE),""),IF(OR(_xlpm.stn="Fabrication",_xlpm.stn="Fab"),_xlfn.LET(_xlpm.pos,SUMPRODUCT((A$7:A64&lt;&gt;"")*(IFERROR(VLOOKUP(A$7:A64,'Job Operations'!$A$4:$AA$304,12,FALSE),"")="Fabrication")+(A$7:A64&lt;&gt;"")*(IFERROR(VLOOKUP(A$7:A64,'Job Operations'!$A$4:$AA$304,12,FALSE),"")="Fab")),_xlpm.sfx,IF(OR(_xlpm.pos=11,_xlpm.pos=12,_xlpm.pos=13),"th",IF(MOD(_xlpm.pos,10)=1,"st",IF(MOD(_xlpm.pos,10)=2,"nd",IF(MOD(_xlpm.pos,10)=3,"rd","th")))),_xlpm.pos&amp;_xlpm.sfx),IF(ISNUMBER(MATCH(A64,'Clean and Brake Schedule'!A$7:A$100,0)),"#"&amp;MATCH(A64,'Clean and Brake Schedule'!A$7:A$100,0)&amp;" on C&amp;B",IF(ISNUMBER(MATCH(A64,'AXYZ Titans CNC Schedule'!A$7:A$100,0)),"#"&amp;MATCH(A64,'AXYZ Titans CNC Schedule'!A$7:A$100,0)&amp;" on Titans",IF(ISNUMBER(MATCH(A64,'AXYZ CNC Schedule'!A$7:A$100,0)),"#"&amp;MATCH(A64,'AXYZ CNC Schedule'!A$7:A$100,0)&amp;" on AXYZ",IF(_xlpm.stn&lt;&gt;"",_xlpm.stn,"")))))))</f>
        <v>#57 on C&amp;B</v>
      </c>
      <c r="J64" s="110">
        <f>IFERROR(VLOOKUP($A64,'Job Operations'!$A:$R,18,FALSE),"")</f>
        <v>46154</v>
      </c>
      <c r="K64" s="109" t="str">
        <f>IFERROR(VLOOKUP($A64,'Job Operations'!$A:$M,13,FALSE),"")</f>
        <v>AXYZ</v>
      </c>
      <c r="L64" s="109" t="str">
        <f>IFERROR(VLOOKUP($A64,'Job Operations'!$A:$O,15,FALSE),"")</f>
        <v>Clean and Brake</v>
      </c>
      <c r="M64" s="169" t="str">
        <f>IFERROR(VLOOKUP($A64,Notes!$A:$B,2,FALSE),"")</f>
        <v>04/16/2026…LO</v>
      </c>
    </row>
    <row r="65" spans="1:13" x14ac:dyDescent="0.25">
      <c r="A65" s="107" t="str">
        <v>25065-MU02</v>
      </c>
      <c r="B65" s="108" t="str">
        <f>IFERROR(VLOOKUP($A65,'Job Operations'!$A:$B,2,FALSE),"")</f>
        <v>Crosswinds Casino Resort</v>
      </c>
      <c r="C65" s="109" t="str">
        <f>IFERROR(VLOOKUP($A65,'Job Operations'!$A:$C,3,FALSE),"")</f>
        <v>Matt Rassmussen</v>
      </c>
      <c r="D65" s="109">
        <f>IFERROR(VLOOKUP($A65,'Job Operations'!$A:$E,5,FALSE),"")</f>
        <v>15</v>
      </c>
      <c r="E65" s="109">
        <f>IFERROR(VLOOKUP($A65,'Job Operations'!$A:$F,6,FALSE),"")</f>
        <v>13</v>
      </c>
      <c r="F65" s="109" t="str">
        <f>IFERROR(VLOOKUP($A65,'Job Operations'!$A:$G,7,FALSE),"")</f>
        <v>FR ACM</v>
      </c>
      <c r="G65" s="110">
        <f>IFERROR(VLOOKUP($A65,'Job Operations'!$A:$I,9,FALSE),"")</f>
        <v>46171</v>
      </c>
      <c r="H65" s="109" t="str">
        <f>IFERROR(VLOOKUP($A65,'Job Operations'!$A:$L,12,FALSE),"")</f>
        <v>LO</v>
      </c>
      <c r="I65" s="109" t="str" cm="1">
        <f t="array" ref="I65">IF(A65="","",_xlfn.LET(_xlpm.stn,IFERROR(VLOOKUP(A65,'Job Operations'!$A$4:$AA$304,12,FALSE),""),IF(OR(_xlpm.stn="Fabrication",_xlpm.stn="Fab"),_xlfn.LET(_xlpm.pos,SUMPRODUCT((A$7:A65&lt;&gt;"")*(IFERROR(VLOOKUP(A$7:A65,'Job Operations'!$A$4:$AA$304,12,FALSE),"")="Fabrication")+(A$7:A65&lt;&gt;"")*(IFERROR(VLOOKUP(A$7:A65,'Job Operations'!$A$4:$AA$304,12,FALSE),"")="Fab")),_xlpm.sfx,IF(OR(_xlpm.pos=11,_xlpm.pos=12,_xlpm.pos=13),"th",IF(MOD(_xlpm.pos,10)=1,"st",IF(MOD(_xlpm.pos,10)=2,"nd",IF(MOD(_xlpm.pos,10)=3,"rd","th")))),_xlpm.pos&amp;_xlpm.sfx),IF(ISNUMBER(MATCH(A65,'Clean and Brake Schedule'!A$7:A$100,0)),"#"&amp;MATCH(A65,'Clean and Brake Schedule'!A$7:A$100,0)&amp;" on C&amp;B",IF(ISNUMBER(MATCH(A65,'AXYZ Titans CNC Schedule'!A$7:A$100,0)),"#"&amp;MATCH(A65,'AXYZ Titans CNC Schedule'!A$7:A$100,0)&amp;" on Titans",IF(ISNUMBER(MATCH(A65,'AXYZ CNC Schedule'!A$7:A$100,0)),"#"&amp;MATCH(A65,'AXYZ CNC Schedule'!A$7:A$100,0)&amp;" on AXYZ",IF(_xlpm.stn&lt;&gt;"",_xlpm.stn,"")))))))</f>
        <v>#58 on C&amp;B</v>
      </c>
      <c r="J65" s="110">
        <f>IFERROR(VLOOKUP($A65,'Job Operations'!$A:$R,18,FALSE),"")</f>
        <v>46158</v>
      </c>
      <c r="K65" s="109" t="str">
        <f>IFERROR(VLOOKUP($A65,'Job Operations'!$A:$M,13,FALSE),"")</f>
        <v>AXYZ</v>
      </c>
      <c r="L65" s="109" t="str">
        <f>IFERROR(VLOOKUP($A65,'Job Operations'!$A:$O,15,FALSE),"")</f>
        <v>Clean and Brake</v>
      </c>
      <c r="M65" s="169" t="str">
        <f>IFERROR(VLOOKUP($A65,Notes!$A:$B,2,FALSE),"")</f>
        <v>04/16/2026…LO</v>
      </c>
    </row>
    <row r="66" spans="1:13" x14ac:dyDescent="0.25">
      <c r="A66" s="95" t="str">
        <v>25065-MU03</v>
      </c>
      <c r="B66" s="96" t="str">
        <f>IFERROR(VLOOKUP($A66,'Job Operations'!$A:$B,2,FALSE),"")</f>
        <v>Crosswinds Casino Resort</v>
      </c>
      <c r="C66" s="95" t="str">
        <f>IFERROR(VLOOKUP($A66,'Job Operations'!$A:$C,3,FALSE),"")</f>
        <v>Matt Rassmussen</v>
      </c>
      <c r="D66" s="95">
        <f>IFERROR(VLOOKUP($A66,'Job Operations'!$A:$E,5,FALSE),"")</f>
        <v>6</v>
      </c>
      <c r="E66" s="95">
        <f>IFERROR(VLOOKUP($A66,'Job Operations'!$A:$F,6,FALSE),"")</f>
        <v>6</v>
      </c>
      <c r="F66" s="95" t="str">
        <f>IFERROR(VLOOKUP($A66,'Job Operations'!$A:$G,7,FALSE),"")</f>
        <v>FR ACM</v>
      </c>
      <c r="G66" s="97">
        <f>IFERROR(VLOOKUP($A66,'Job Operations'!$A:$I,9,FALSE),"")</f>
        <v>46171</v>
      </c>
      <c r="H66" s="95" t="str">
        <f>IFERROR(VLOOKUP($A66,'Job Operations'!$A:$L,12,FALSE),"")</f>
        <v>LO</v>
      </c>
      <c r="I66" s="95" t="str" cm="1">
        <f t="array" ref="I66">IF(A66="","",_xlfn.LET(_xlpm.stn,IFERROR(VLOOKUP(A66,'Job Operations'!$A$4:$AA$304,12,FALSE),""),IF(OR(_xlpm.stn="Fabrication",_xlpm.stn="Fab"),_xlfn.LET(_xlpm.pos,SUMPRODUCT((A$7:A66&lt;&gt;"")*(IFERROR(VLOOKUP(A$7:A66,'Job Operations'!$A$4:$AA$304,12,FALSE),"")="Fabrication")+(A$7:A66&lt;&gt;"")*(IFERROR(VLOOKUP(A$7:A66,'Job Operations'!$A$4:$AA$304,12,FALSE),"")="Fab")),_xlpm.sfx,IF(OR(_xlpm.pos=11,_xlpm.pos=12,_xlpm.pos=13),"th",IF(MOD(_xlpm.pos,10)=1,"st",IF(MOD(_xlpm.pos,10)=2,"nd",IF(MOD(_xlpm.pos,10)=3,"rd","th")))),_xlpm.pos&amp;_xlpm.sfx),IF(ISNUMBER(MATCH(A66,'Clean and Brake Schedule'!A$7:A$100,0)),"#"&amp;MATCH(A66,'Clean and Brake Schedule'!A$7:A$100,0)&amp;" on C&amp;B",IF(ISNUMBER(MATCH(A66,'AXYZ Titans CNC Schedule'!A$7:A$100,0)),"#"&amp;MATCH(A66,'AXYZ Titans CNC Schedule'!A$7:A$100,0)&amp;" on Titans",IF(ISNUMBER(MATCH(A66,'AXYZ CNC Schedule'!A$7:A$100,0)),"#"&amp;MATCH(A66,'AXYZ CNC Schedule'!A$7:A$100,0)&amp;" on AXYZ",IF(_xlpm.stn&lt;&gt;"",_xlpm.stn,"")))))))</f>
        <v>#59 on C&amp;B</v>
      </c>
      <c r="J66" s="97">
        <f>IFERROR(VLOOKUP($A66,'Job Operations'!$A:$R,18,FALSE),"")</f>
        <v>46158</v>
      </c>
      <c r="K66" s="95" t="str">
        <f>IFERROR(VLOOKUP($A66,'Job Operations'!$A:$M,13,FALSE),"")</f>
        <v>AXYZ</v>
      </c>
      <c r="L66" s="95" t="str">
        <f>IFERROR(VLOOKUP($A66,'Job Operations'!$A:$O,15,FALSE),"")</f>
        <v>Clean and Brake</v>
      </c>
      <c r="M66" s="170" t="str">
        <f>IFERROR(VLOOKUP($A66,Notes!$A:$B,2,FALSE),"")</f>
        <v>04/16/2026…LO</v>
      </c>
    </row>
    <row r="67" spans="1:13" x14ac:dyDescent="0.25">
      <c r="A67" s="69" t="str">
        <v>25065-MU04</v>
      </c>
      <c r="B67" s="73" t="str">
        <f>IF(A67="","",IFERROR(VLOOKUP(A67,'Job Operations'!$A$4:$AA$304,2,FALSE),""))</f>
        <v>Crosswinds Casino Resort</v>
      </c>
      <c r="C67" s="69" t="str">
        <f>IF(A67="","",IFERROR(VLOOKUP(A67,'Job Operations'!$A$4:$AA$304,3,FALSE),""))</f>
        <v>Matt Rassmussen</v>
      </c>
      <c r="D67" s="69">
        <f>IF(A67="","",IFERROR(VLOOKUP(A67,'Job Operations'!$A$4:$AA$304,5,FALSE),""))</f>
        <v>15</v>
      </c>
      <c r="E67" s="69">
        <f>IF(A67="","",IFERROR(VLOOKUP(A67,'Job Operations'!$A$4:$AA$304,6,FALSE),""))</f>
        <v>13</v>
      </c>
      <c r="F67" s="69" t="str">
        <f>IF(A67="","",IFERROR(VLOOKUP(A67,'Job Operations'!$A$4:$AA$304,7,FALSE),""))</f>
        <v>FR ACM</v>
      </c>
      <c r="G67" s="70">
        <f>IF(A67="","",IFERROR(VLOOKUP(A67,'Job Operations'!$A$4:$AA$304,9,FALSE),""))</f>
        <v>46171</v>
      </c>
      <c r="H67" s="69" t="str" cm="1">
        <f t="array" ref="H67">IF(A67="","",_xlfn.LET(_xlpm.stn,IFERROR(VLOOKUP(A67,'Job Operations'!$A$4:$AA$304,12,FALSE),""),IF(OR(_xlpm.stn="Fabrication",_xlpm.stn="Fab"),_xlfn.LET(_xlpm.pos,SUMPRODUCT((A$7:A67&lt;&gt;"")*(IFERROR(VLOOKUP(A$7:A67,'Job Operations'!$A$4:$AA$304,12,FALSE),"")="Fabrication")+(A$7:A67&lt;&gt;"")*(IFERROR(VLOOKUP(A$7:A67,'Job Operations'!$A$4:$AA$304,12,FALSE),"")="Fab")),_xlpm.sfx,IF(OR(_xlpm.pos=11,_xlpm.pos=12,_xlpm.pos=13),"th",IF(MOD(_xlpm.pos,10)=1,"st",IF(MOD(_xlpm.pos,10)=2,"nd",IF(MOD(_xlpm.pos,10)=3,"rd","th")))),_xlpm.pos&amp;_xlpm.sfx),IF(_xlpm.stn&lt;&gt;"",_xlpm.stn,""))))</f>
        <v>LO</v>
      </c>
      <c r="I67" s="69" t="str" cm="1">
        <f t="array" ref="I67">IF(A67="","",_xlfn.LET(_xlpm.stn,IFERROR(VLOOKUP(A67,'Job Operations'!$A$4:$AA$304,12,FALSE),""),IF(OR(_xlpm.stn="Fabrication",_xlpm.stn="Fab"),_xlfn.LET(_xlpm.pos,SUMPRODUCT((A$7:A67&lt;&gt;"")*(IFERROR(VLOOKUP(A$7:A67,'Job Operations'!$A$4:$AA$304,12,FALSE),"")="Fabrication")+(A$7:A67&lt;&gt;"")*(IFERROR(VLOOKUP(A$7:A67,'Job Operations'!$A$4:$AA$304,12,FALSE),"")="Fab")),_xlpm.sfx,IF(OR(_xlpm.pos=11,_xlpm.pos=12,_xlpm.pos=13),"th",IF(MOD(_xlpm.pos,10)=1,"st",IF(MOD(_xlpm.pos,10)=2,"nd",IF(MOD(_xlpm.pos,10)=3,"rd","th")))),_xlpm.pos&amp;_xlpm.sfx),IF(ISNUMBER(MATCH(A67,'Clean and Brake Schedule'!A$7:A$100,0)),"#"&amp;MATCH(A67,'Clean and Brake Schedule'!A$7:A$100,0)&amp;" on C&amp;B",IF(ISNUMBER(MATCH(A67,'AXYZ Titans CNC Schedule'!A$7:A$100,0)),"#"&amp;MATCH(A67,'AXYZ Titans CNC Schedule'!A$7:A$100,0)&amp;" on Titans",IF(ISNUMBER(MATCH(A67,'AXYZ CNC Schedule'!A$7:A$100,0)),"#"&amp;MATCH(A67,'AXYZ CNC Schedule'!A$7:A$100,0)&amp;" on AXYZ",IF(_xlpm.stn&lt;&gt;"",_xlpm.stn,"")))))))</f>
        <v>#60 on C&amp;B</v>
      </c>
      <c r="J67" s="70">
        <f>IF(A67="","",IFERROR(VLOOKUP(A67,'Job Operations'!$A$4:$AA$304,18,FALSE),""))</f>
        <v>46158</v>
      </c>
      <c r="K67" s="69" t="str">
        <f>IF(A67="","",IFERROR(VLOOKUP(A67,'Job Operations'!$A$4:$AA$304,13,FALSE),""))</f>
        <v>AXYZ</v>
      </c>
      <c r="L67" s="69" t="str">
        <f>IF(A67="","",IFERROR(VLOOKUP(A67,'Job Operations'!$A$4:$AA$304,15,FALSE),""))</f>
        <v>Clean and Brake</v>
      </c>
      <c r="M67" s="171" t="str">
        <f>IF(A67="","",IF(IFERROR(VLOOKUP(A67,Notes!A:B,2,FALSE),"")=0,"",VLOOKUP(A67,Notes!A:B,2,FALSE)))</f>
        <v>04/16/2026…LO</v>
      </c>
    </row>
    <row r="68" spans="1:13" x14ac:dyDescent="0.25">
      <c r="A68" s="69" t="str">
        <v>25044-FS02</v>
      </c>
      <c r="B68" s="73" t="str">
        <f>IF(A68="","",IFERROR(VLOOKUP(A68,'Job Operations'!$A$4:$AA$304,2,FALSE),""))</f>
        <v>MALETA Firing Range</v>
      </c>
      <c r="C68" s="69" t="str">
        <f>IF(A68="","",IFERROR(VLOOKUP(A68,'Job Operations'!$A$4:$AA$304,3,FALSE),""))</f>
        <v>Cole Norona</v>
      </c>
      <c r="D68" s="69">
        <f>IF(A68="","",IFERROR(VLOOKUP(A68,'Job Operations'!$A$4:$AA$304,5,FALSE),""))</f>
        <v>135</v>
      </c>
      <c r="E68" s="69">
        <f>IF(A68="","",IFERROR(VLOOKUP(A68,'Job Operations'!$A$4:$AA$304,6,FALSE),""))</f>
        <v>0</v>
      </c>
      <c r="F68" s="69" t="str">
        <f>IF(A68="","",IFERROR(VLOOKUP(A68,'Job Operations'!$A$4:$AA$304,7,FALSE),""))</f>
        <v>FR ACM</v>
      </c>
      <c r="G68" s="70">
        <f>IF(A68="","",IFERROR(VLOOKUP(A68,'Job Operations'!$A$4:$AA$304,9,FALSE),""))</f>
        <v>46173</v>
      </c>
      <c r="H68" s="69" t="str" cm="1">
        <f t="array" ref="H68">IF(A68="","",_xlfn.LET(_xlpm.stn,IFERROR(VLOOKUP(A68,'Job Operations'!$A$4:$AA$304,12,FALSE),""),IF(OR(_xlpm.stn="Fabrication",_xlpm.stn="Fab"),_xlfn.LET(_xlpm.pos,SUMPRODUCT((A$7:A68&lt;&gt;"")*(IFERROR(VLOOKUP(A$7:A68,'Job Operations'!$A$4:$AA$304,12,FALSE),"")="Fabrication")+(A$7:A68&lt;&gt;"")*(IFERROR(VLOOKUP(A$7:A68,'Job Operations'!$A$4:$AA$304,12,FALSE),"")="Fab")),_xlpm.sfx,IF(OR(_xlpm.pos=11,_xlpm.pos=12,_xlpm.pos=13),"th",IF(MOD(_xlpm.pos,10)=1,"st",IF(MOD(_xlpm.pos,10)=2,"nd",IF(MOD(_xlpm.pos,10)=3,"rd","th")))),_xlpm.pos&amp;_xlpm.sfx),IF(_xlpm.stn&lt;&gt;"",_xlpm.stn,""))))</f>
        <v>LO</v>
      </c>
      <c r="I68" s="69" t="str" cm="1">
        <f t="array" ref="I68">IF(A68="","",_xlfn.LET(_xlpm.stn,IFERROR(VLOOKUP(A68,'Job Operations'!$A$4:$AA$304,12,FALSE),""),IF(OR(_xlpm.stn="Fabrication",_xlpm.stn="Fab"),_xlfn.LET(_xlpm.pos,SUMPRODUCT((A$7:A68&lt;&gt;"")*(IFERROR(VLOOKUP(A$7:A68,'Job Operations'!$A$4:$AA$304,12,FALSE),"")="Fabrication")+(A$7:A68&lt;&gt;"")*(IFERROR(VLOOKUP(A$7:A68,'Job Operations'!$A$4:$AA$304,12,FALSE),"")="Fab")),_xlpm.sfx,IF(OR(_xlpm.pos=11,_xlpm.pos=12,_xlpm.pos=13),"th",IF(MOD(_xlpm.pos,10)=1,"st",IF(MOD(_xlpm.pos,10)=2,"nd",IF(MOD(_xlpm.pos,10)=3,"rd","th")))),_xlpm.pos&amp;_xlpm.sfx),IF(ISNUMBER(MATCH(A68,'Clean and Brake Schedule'!A$7:A$100,0)),"#"&amp;MATCH(A68,'Clean and Brake Schedule'!A$7:A$100,0)&amp;" on C&amp;B",IF(ISNUMBER(MATCH(A68,'AXYZ Titans CNC Schedule'!A$7:A$100,0)),"#"&amp;MATCH(A68,'AXYZ Titans CNC Schedule'!A$7:A$100,0)&amp;" on Titans",IF(ISNUMBER(MATCH(A68,'AXYZ CNC Schedule'!A$7:A$100,0)),"#"&amp;MATCH(A68,'AXYZ CNC Schedule'!A$7:A$100,0)&amp;" on AXYZ",IF(_xlpm.stn&lt;&gt;"",_xlpm.stn,"")))))))</f>
        <v>#61 on C&amp;B</v>
      </c>
      <c r="J68" s="70">
        <f>IF(A68="","",IFERROR(VLOOKUP(A68,'Job Operations'!$A$4:$AA$304,18,FALSE),""))</f>
        <v>46161</v>
      </c>
      <c r="K68" s="69" t="str">
        <f>IF(A68="","",IFERROR(VLOOKUP(A68,'Job Operations'!$A$4:$AA$304,13,FALSE),""))</f>
        <v>AXYZ</v>
      </c>
      <c r="L68" s="69" t="str">
        <f>IF(A68="","",IFERROR(VLOOKUP(A68,'Job Operations'!$A$4:$AA$304,15,FALSE),""))</f>
        <v>Clean and Brake</v>
      </c>
      <c r="M68" s="171" t="str">
        <f>IF(A68="","",IF(IFERROR(VLOOKUP(A68,Notes!A:B,2,FALSE),"")=0,"",VLOOKUP(A68,Notes!A:B,2,FALSE)))</f>
        <v>04/16/2026…LO</v>
      </c>
    </row>
    <row r="69" spans="1:13" x14ac:dyDescent="0.25">
      <c r="A69" s="69" t="str">
        <v>25006-FS07</v>
      </c>
      <c r="B69" s="73" t="str">
        <f>IF(A69="","",IFERROR(VLOOKUP(A69,'Job Operations'!$A$4:$AA$304,2,FALSE),""))</f>
        <v>MALETA Housing and Dining</v>
      </c>
      <c r="C69" s="69" t="str">
        <f>IF(A69="","",IFERROR(VLOOKUP(A69,'Job Operations'!$A$4:$AA$304,3,FALSE),""))</f>
        <v>Cole Norona</v>
      </c>
      <c r="D69" s="69">
        <f>IF(A69="","",IFERROR(VLOOKUP(A69,'Job Operations'!$A$4:$AA$304,5,FALSE),""))</f>
        <v>190</v>
      </c>
      <c r="E69" s="69">
        <f>IF(A69="","",IFERROR(VLOOKUP(A69,'Job Operations'!$A$4:$AA$304,6,FALSE),""))</f>
        <v>0</v>
      </c>
      <c r="F69" s="69" t="str">
        <f>IF(A69="","",IFERROR(VLOOKUP(A69,'Job Operations'!$A$4:$AA$304,7,FALSE),""))</f>
        <v>FR ACM</v>
      </c>
      <c r="G69" s="70">
        <f>IF(A69="","",IFERROR(VLOOKUP(A69,'Job Operations'!$A$4:$AA$304,9,FALSE),""))</f>
        <v>46176</v>
      </c>
      <c r="H69" s="69" t="str" cm="1">
        <f t="array" ref="H69">IF(A69="","",_xlfn.LET(_xlpm.stn,IFERROR(VLOOKUP(A69,'Job Operations'!$A$4:$AA$304,12,FALSE),""),IF(OR(_xlpm.stn="Fabrication",_xlpm.stn="Fab"),_xlfn.LET(_xlpm.pos,SUMPRODUCT((A$7:A69&lt;&gt;"")*(IFERROR(VLOOKUP(A$7:A69,'Job Operations'!$A$4:$AA$304,12,FALSE),"")="Fabrication")+(A$7:A69&lt;&gt;"")*(IFERROR(VLOOKUP(A$7:A69,'Job Operations'!$A$4:$AA$304,12,FALSE),"")="Fab")),_xlpm.sfx,IF(OR(_xlpm.pos=11,_xlpm.pos=12,_xlpm.pos=13),"th",IF(MOD(_xlpm.pos,10)=1,"st",IF(MOD(_xlpm.pos,10)=2,"nd",IF(MOD(_xlpm.pos,10)=3,"rd","th")))),_xlpm.pos&amp;_xlpm.sfx),IF(_xlpm.stn&lt;&gt;"",_xlpm.stn,""))))</f>
        <v>LO Check</v>
      </c>
      <c r="I69" s="69" t="str" cm="1">
        <f t="array" ref="I69">IF(A69="","",_xlfn.LET(_xlpm.stn,IFERROR(VLOOKUP(A69,'Job Operations'!$A$4:$AA$304,12,FALSE),""),IF(OR(_xlpm.stn="Fabrication",_xlpm.stn="Fab"),_xlfn.LET(_xlpm.pos,SUMPRODUCT((A$7:A69&lt;&gt;"")*(IFERROR(VLOOKUP(A$7:A69,'Job Operations'!$A$4:$AA$304,12,FALSE),"")="Fabrication")+(A$7:A69&lt;&gt;"")*(IFERROR(VLOOKUP(A$7:A69,'Job Operations'!$A$4:$AA$304,12,FALSE),"")="Fab")),_xlpm.sfx,IF(OR(_xlpm.pos=11,_xlpm.pos=12,_xlpm.pos=13),"th",IF(MOD(_xlpm.pos,10)=1,"st",IF(MOD(_xlpm.pos,10)=2,"nd",IF(MOD(_xlpm.pos,10)=3,"rd","th")))),_xlpm.pos&amp;_xlpm.sfx),IF(ISNUMBER(MATCH(A69,'Clean and Brake Schedule'!A$7:A$100,0)),"#"&amp;MATCH(A69,'Clean and Brake Schedule'!A$7:A$100,0)&amp;" on C&amp;B",IF(ISNUMBER(MATCH(A69,'AXYZ Titans CNC Schedule'!A$7:A$100,0)),"#"&amp;MATCH(A69,'AXYZ Titans CNC Schedule'!A$7:A$100,0)&amp;" on Titans",IF(ISNUMBER(MATCH(A69,'AXYZ CNC Schedule'!A$7:A$100,0)),"#"&amp;MATCH(A69,'AXYZ CNC Schedule'!A$7:A$100,0)&amp;" on AXYZ",IF(_xlpm.stn&lt;&gt;"",_xlpm.stn,"")))))))</f>
        <v>#62 on C&amp;B</v>
      </c>
      <c r="J69" s="70">
        <f>IF(A69="","",IFERROR(VLOOKUP(A69,'Job Operations'!$A$4:$AA$304,18,FALSE),""))</f>
        <v>46163</v>
      </c>
      <c r="K69" s="69" t="str">
        <f>IF(A69="","",IFERROR(VLOOKUP(A69,'Job Operations'!$A$4:$AA$304,13,FALSE),""))</f>
        <v>AXYZ</v>
      </c>
      <c r="L69" s="69" t="str">
        <f>IF(A69="","",IFERROR(VLOOKUP(A69,'Job Operations'!$A$4:$AA$304,15,FALSE),""))</f>
        <v>Clean and Brake</v>
      </c>
      <c r="M69" s="171" t="str">
        <f>IF(A69="","",IF(IFERROR(VLOOKUP(A69,Notes!A:B,2,FALSE),"")=0,"",VLOOKUP(A69,Notes!A:B,2,FALSE)))</f>
        <v>HOAR*04/16/2026…LO Check</v>
      </c>
    </row>
    <row r="70" spans="1:13" x14ac:dyDescent="0.25">
      <c r="A70" s="69" t="str">
        <v>25037-FS02</v>
      </c>
      <c r="B70" s="73" t="str">
        <f>IF(A70="","",IFERROR(VLOOKUP(A70,'Job Operations'!$A$4:$AA$304,2,FALSE),""))</f>
        <v>Chestnut Street Office</v>
      </c>
      <c r="C70" s="69" t="str">
        <f>IF(A70="","",IFERROR(VLOOKUP(A70,'Job Operations'!$A$4:$AA$304,3,FALSE),""))</f>
        <v>Laura Forero</v>
      </c>
      <c r="D70" s="69">
        <f>IF(A70="","",IFERROR(VLOOKUP(A70,'Job Operations'!$A$4:$AA$304,5,FALSE),""))</f>
        <v>204</v>
      </c>
      <c r="E70" s="69">
        <f>IF(A70="","",IFERROR(VLOOKUP(A70,'Job Operations'!$A$4:$AA$304,6,FALSE),""))</f>
        <v>0</v>
      </c>
      <c r="F70" s="69" t="str">
        <f>IF(A70="","",IFERROR(VLOOKUP(A70,'Job Operations'!$A$4:$AA$304,7,FALSE),""))</f>
        <v>FR ACM</v>
      </c>
      <c r="G70" s="70">
        <f>IF(A70="","",IFERROR(VLOOKUP(A70,'Job Operations'!$A$4:$AA$304,9,FALSE),""))</f>
        <v>46181</v>
      </c>
      <c r="H70" s="69" t="str" cm="1">
        <f t="array" ref="H70">IF(A70="","",_xlfn.LET(_xlpm.stn,IFERROR(VLOOKUP(A70,'Job Operations'!$A$4:$AA$304,12,FALSE),""),IF(OR(_xlpm.stn="Fabrication",_xlpm.stn="Fab"),_xlfn.LET(_xlpm.pos,SUMPRODUCT((A$7:A70&lt;&gt;"")*(IFERROR(VLOOKUP(A$7:A70,'Job Operations'!$A$4:$AA$304,12,FALSE),"")="Fabrication")+(A$7:A70&lt;&gt;"")*(IFERROR(VLOOKUP(A$7:A70,'Job Operations'!$A$4:$AA$304,12,FALSE),"")="Fab")),_xlpm.sfx,IF(OR(_xlpm.pos=11,_xlpm.pos=12,_xlpm.pos=13),"th",IF(MOD(_xlpm.pos,10)=1,"st",IF(MOD(_xlpm.pos,10)=2,"nd",IF(MOD(_xlpm.pos,10)=3,"rd","th")))),_xlpm.pos&amp;_xlpm.sfx),IF(_xlpm.stn&lt;&gt;"",_xlpm.stn,""))))</f>
        <v>LO</v>
      </c>
      <c r="I70" s="69" t="str" cm="1">
        <f t="array" ref="I70">IF(A70="","",_xlfn.LET(_xlpm.stn,IFERROR(VLOOKUP(A70,'Job Operations'!$A$4:$AA$304,12,FALSE),""),IF(OR(_xlpm.stn="Fabrication",_xlpm.stn="Fab"),_xlfn.LET(_xlpm.pos,SUMPRODUCT((A$7:A70&lt;&gt;"")*(IFERROR(VLOOKUP(A$7:A70,'Job Operations'!$A$4:$AA$304,12,FALSE),"")="Fabrication")+(A$7:A70&lt;&gt;"")*(IFERROR(VLOOKUP(A$7:A70,'Job Operations'!$A$4:$AA$304,12,FALSE),"")="Fab")),_xlpm.sfx,IF(OR(_xlpm.pos=11,_xlpm.pos=12,_xlpm.pos=13),"th",IF(MOD(_xlpm.pos,10)=1,"st",IF(MOD(_xlpm.pos,10)=2,"nd",IF(MOD(_xlpm.pos,10)=3,"rd","th")))),_xlpm.pos&amp;_xlpm.sfx),IF(ISNUMBER(MATCH(A70,'Clean and Brake Schedule'!A$7:A$100,0)),"#"&amp;MATCH(A70,'Clean and Brake Schedule'!A$7:A$100,0)&amp;" on C&amp;B",IF(ISNUMBER(MATCH(A70,'AXYZ Titans CNC Schedule'!A$7:A$100,0)),"#"&amp;MATCH(A70,'AXYZ Titans CNC Schedule'!A$7:A$100,0)&amp;" on Titans",IF(ISNUMBER(MATCH(A70,'AXYZ CNC Schedule'!A$7:A$100,0)),"#"&amp;MATCH(A70,'AXYZ CNC Schedule'!A$7:A$100,0)&amp;" on AXYZ",IF(_xlpm.stn&lt;&gt;"",_xlpm.stn,"")))))))</f>
        <v>#63 on C&amp;B</v>
      </c>
      <c r="J70" s="70">
        <f>IF(A70="","",IFERROR(VLOOKUP(A70,'Job Operations'!$A$4:$AA$304,18,FALSE),""))</f>
        <v>46168</v>
      </c>
      <c r="K70" s="69" t="str">
        <f>IF(A70="","",IFERROR(VLOOKUP(A70,'Job Operations'!$A$4:$AA$304,13,FALSE),""))</f>
        <v>AXYZ</v>
      </c>
      <c r="L70" s="69" t="str">
        <f>IF(A70="","",IFERROR(VLOOKUP(A70,'Job Operations'!$A$4:$AA$304,15,FALSE),""))</f>
        <v>Clean and Brake</v>
      </c>
      <c r="M70" s="171" t="str">
        <f>IF(A70="","",IF(IFERROR(VLOOKUP(A70,Notes!A:B,2,FALSE),"")=0,"",VLOOKUP(A70,Notes!A:B,2,FALSE)))</f>
        <v>04/16/2026…LO</v>
      </c>
    </row>
    <row r="71" spans="1:13" x14ac:dyDescent="0.25">
      <c r="A71" s="69" t="str">
        <v>25044-FS03</v>
      </c>
      <c r="B71" s="73" t="str">
        <f>IF(A71="","",IFERROR(VLOOKUP(A71,'Job Operations'!$A$4:$AA$304,2,FALSE),""))</f>
        <v>MALETA Firing Range</v>
      </c>
      <c r="C71" s="69" t="str">
        <f>IF(A71="","",IFERROR(VLOOKUP(A71,'Job Operations'!$A$4:$AA$304,3,FALSE),""))</f>
        <v>Cole Norona</v>
      </c>
      <c r="D71" s="69">
        <f>IF(A71="","",IFERROR(VLOOKUP(A71,'Job Operations'!$A$4:$AA$304,5,FALSE),""))</f>
        <v>150</v>
      </c>
      <c r="E71" s="69">
        <f>IF(A71="","",IFERROR(VLOOKUP(A71,'Job Operations'!$A$4:$AA$304,6,FALSE),""))</f>
        <v>0</v>
      </c>
      <c r="F71" s="69" t="str">
        <f>IF(A71="","",IFERROR(VLOOKUP(A71,'Job Operations'!$A$4:$AA$304,7,FALSE),""))</f>
        <v>FR ACM</v>
      </c>
      <c r="G71" s="70">
        <f>IF(A71="","",IFERROR(VLOOKUP(A71,'Job Operations'!$A$4:$AA$304,9,FALSE),""))</f>
        <v>46183</v>
      </c>
      <c r="H71" s="69" t="str" cm="1">
        <f t="array" ref="H71">IF(A71="","",_xlfn.LET(_xlpm.stn,IFERROR(VLOOKUP(A71,'Job Operations'!$A$4:$AA$304,12,FALSE),""),IF(OR(_xlpm.stn="Fabrication",_xlpm.stn="Fab"),_xlfn.LET(_xlpm.pos,SUMPRODUCT((A$7:A71&lt;&gt;"")*(IFERROR(VLOOKUP(A$7:A71,'Job Operations'!$A$4:$AA$304,12,FALSE),"")="Fabrication")+(A$7:A71&lt;&gt;"")*(IFERROR(VLOOKUP(A$7:A71,'Job Operations'!$A$4:$AA$304,12,FALSE),"")="Fab")),_xlpm.sfx,IF(OR(_xlpm.pos=11,_xlpm.pos=12,_xlpm.pos=13),"th",IF(MOD(_xlpm.pos,10)=1,"st",IF(MOD(_xlpm.pos,10)=2,"nd",IF(MOD(_xlpm.pos,10)=3,"rd","th")))),_xlpm.pos&amp;_xlpm.sfx),IF(_xlpm.stn&lt;&gt;"",_xlpm.stn,""))))</f>
        <v>LO</v>
      </c>
      <c r="I71" s="69" t="str" cm="1">
        <f t="array" ref="I71">IF(A71="","",_xlfn.LET(_xlpm.stn,IFERROR(VLOOKUP(A71,'Job Operations'!$A$4:$AA$304,12,FALSE),""),IF(OR(_xlpm.stn="Fabrication",_xlpm.stn="Fab"),_xlfn.LET(_xlpm.pos,SUMPRODUCT((A$7:A71&lt;&gt;"")*(IFERROR(VLOOKUP(A$7:A71,'Job Operations'!$A$4:$AA$304,12,FALSE),"")="Fabrication")+(A$7:A71&lt;&gt;"")*(IFERROR(VLOOKUP(A$7:A71,'Job Operations'!$A$4:$AA$304,12,FALSE),"")="Fab")),_xlpm.sfx,IF(OR(_xlpm.pos=11,_xlpm.pos=12,_xlpm.pos=13),"th",IF(MOD(_xlpm.pos,10)=1,"st",IF(MOD(_xlpm.pos,10)=2,"nd",IF(MOD(_xlpm.pos,10)=3,"rd","th")))),_xlpm.pos&amp;_xlpm.sfx),IF(ISNUMBER(MATCH(A71,'Clean and Brake Schedule'!A$7:A$100,0)),"#"&amp;MATCH(A71,'Clean and Brake Schedule'!A$7:A$100,0)&amp;" on C&amp;B",IF(ISNUMBER(MATCH(A71,'AXYZ Titans CNC Schedule'!A$7:A$100,0)),"#"&amp;MATCH(A71,'AXYZ Titans CNC Schedule'!A$7:A$100,0)&amp;" on Titans",IF(ISNUMBER(MATCH(A71,'AXYZ CNC Schedule'!A$7:A$100,0)),"#"&amp;MATCH(A71,'AXYZ CNC Schedule'!A$7:A$100,0)&amp;" on AXYZ",IF(_xlpm.stn&lt;&gt;"",_xlpm.stn,"")))))))</f>
        <v>#64 on C&amp;B</v>
      </c>
      <c r="J71" s="70">
        <f>IF(A71="","",IFERROR(VLOOKUP(A71,'Job Operations'!$A$4:$AA$304,18,FALSE),""))</f>
        <v>46170</v>
      </c>
      <c r="K71" s="69" t="str">
        <f>IF(A71="","",IFERROR(VLOOKUP(A71,'Job Operations'!$A$4:$AA$304,13,FALSE),""))</f>
        <v>AXYZ</v>
      </c>
      <c r="L71" s="69" t="str">
        <f>IF(A71="","",IFERROR(VLOOKUP(A71,'Job Operations'!$A$4:$AA$304,15,FALSE),""))</f>
        <v>Clean and Brake</v>
      </c>
      <c r="M71" s="171" t="str">
        <f>IF(A71="","",IF(IFERROR(VLOOKUP(A71,Notes!A:B,2,FALSE),"")=0,"",VLOOKUP(A71,Notes!A:B,2,FALSE)))</f>
        <v>04/16/2026…LO</v>
      </c>
    </row>
    <row r="72" spans="1:13" x14ac:dyDescent="0.25">
      <c r="A72" s="69" t="str">
        <v>25006-FS08</v>
      </c>
      <c r="B72" s="73" t="str">
        <f>IF(A72="","",IFERROR(VLOOKUP(A72,'Job Operations'!$A$4:$AA$304,2,FALSE),""))</f>
        <v>MALETA Housing and Dining</v>
      </c>
      <c r="C72" s="69" t="str">
        <f>IF(A72="","",IFERROR(VLOOKUP(A72,'Job Operations'!$A$4:$AA$304,3,FALSE),""))</f>
        <v>Cole Norona</v>
      </c>
      <c r="D72" s="69">
        <f>IF(A72="","",IFERROR(VLOOKUP(A72,'Job Operations'!$A$4:$AA$304,5,FALSE),""))</f>
        <v>83</v>
      </c>
      <c r="E72" s="69">
        <f>IF(A72="","",IFERROR(VLOOKUP(A72,'Job Operations'!$A$4:$AA$304,6,FALSE),""))</f>
        <v>0</v>
      </c>
      <c r="F72" s="69" t="str">
        <f>IF(A72="","",IFERROR(VLOOKUP(A72,'Job Operations'!$A$4:$AA$304,7,FALSE),""))</f>
        <v>FR ACM</v>
      </c>
      <c r="G72" s="70">
        <f>IF(A72="","",IFERROR(VLOOKUP(A72,'Job Operations'!$A$4:$AA$304,9,FALSE),""))</f>
        <v>46185</v>
      </c>
      <c r="H72" s="69" t="str" cm="1">
        <f t="array" ref="H72">IF(A72="","",_xlfn.LET(_xlpm.stn,IFERROR(VLOOKUP(A72,'Job Operations'!$A$4:$AA$304,12,FALSE),""),IF(OR(_xlpm.stn="Fabrication",_xlpm.stn="Fab"),_xlfn.LET(_xlpm.pos,SUMPRODUCT((A$7:A72&lt;&gt;"")*(IFERROR(VLOOKUP(A$7:A72,'Job Operations'!$A$4:$AA$304,12,FALSE),"")="Fabrication")+(A$7:A72&lt;&gt;"")*(IFERROR(VLOOKUP(A$7:A72,'Job Operations'!$A$4:$AA$304,12,FALSE),"")="Fab")),_xlpm.sfx,IF(OR(_xlpm.pos=11,_xlpm.pos=12,_xlpm.pos=13),"th",IF(MOD(_xlpm.pos,10)=1,"st",IF(MOD(_xlpm.pos,10)=2,"nd",IF(MOD(_xlpm.pos,10)=3,"rd","th")))),_xlpm.pos&amp;_xlpm.sfx),IF(_xlpm.stn&lt;&gt;"",_xlpm.stn,""))))</f>
        <v>LO Check</v>
      </c>
      <c r="I72" s="69" t="str" cm="1">
        <f t="array" ref="I72">IF(A72="","",_xlfn.LET(_xlpm.stn,IFERROR(VLOOKUP(A72,'Job Operations'!$A$4:$AA$304,12,FALSE),""),IF(OR(_xlpm.stn="Fabrication",_xlpm.stn="Fab"),_xlfn.LET(_xlpm.pos,SUMPRODUCT((A$7:A72&lt;&gt;"")*(IFERROR(VLOOKUP(A$7:A72,'Job Operations'!$A$4:$AA$304,12,FALSE),"")="Fabrication")+(A$7:A72&lt;&gt;"")*(IFERROR(VLOOKUP(A$7:A72,'Job Operations'!$A$4:$AA$304,12,FALSE),"")="Fab")),_xlpm.sfx,IF(OR(_xlpm.pos=11,_xlpm.pos=12,_xlpm.pos=13),"th",IF(MOD(_xlpm.pos,10)=1,"st",IF(MOD(_xlpm.pos,10)=2,"nd",IF(MOD(_xlpm.pos,10)=3,"rd","th")))),_xlpm.pos&amp;_xlpm.sfx),IF(ISNUMBER(MATCH(A72,'Clean and Brake Schedule'!A$7:A$100,0)),"#"&amp;MATCH(A72,'Clean and Brake Schedule'!A$7:A$100,0)&amp;" on C&amp;B",IF(ISNUMBER(MATCH(A72,'AXYZ Titans CNC Schedule'!A$7:A$100,0)),"#"&amp;MATCH(A72,'AXYZ Titans CNC Schedule'!A$7:A$100,0)&amp;" on Titans",IF(ISNUMBER(MATCH(A72,'AXYZ CNC Schedule'!A$7:A$100,0)),"#"&amp;MATCH(A72,'AXYZ CNC Schedule'!A$7:A$100,0)&amp;" on AXYZ",IF(_xlpm.stn&lt;&gt;"",_xlpm.stn,"")))))))</f>
        <v>#65 on C&amp;B</v>
      </c>
      <c r="J72" s="70">
        <f>IF(A72="","",IFERROR(VLOOKUP(A72,'Job Operations'!$A$4:$AA$304,18,FALSE),""))</f>
        <v>46172</v>
      </c>
      <c r="K72" s="69" t="str">
        <f>IF(A72="","",IFERROR(VLOOKUP(A72,'Job Operations'!$A$4:$AA$304,13,FALSE),""))</f>
        <v>AXYZ</v>
      </c>
      <c r="L72" s="69" t="str">
        <f>IF(A72="","",IFERROR(VLOOKUP(A72,'Job Operations'!$A$4:$AA$304,15,FALSE),""))</f>
        <v>Clean and Brake</v>
      </c>
      <c r="M72" s="171" t="str">
        <f>IF(A72="","",IF(IFERROR(VLOOKUP(A72,Notes!A:B,2,FALSE),"")=0,"",VLOOKUP(A72,Notes!A:B,2,FALSE)))</f>
        <v>HOAR*04/16/2026…LO Check</v>
      </c>
    </row>
    <row r="73" spans="1:13" x14ac:dyDescent="0.25">
      <c r="A73" s="69" t="str">
        <v>25012-FS02</v>
      </c>
      <c r="B73" s="73" t="str">
        <f>IF(A73="","",IFERROR(VLOOKUP(A73,'Job Operations'!$A$4:$AA$304,2,FALSE),""))</f>
        <v>St Jude Hospital</v>
      </c>
      <c r="C73" s="69" t="str">
        <f>IF(A73="","",IFERROR(VLOOKUP(A73,'Job Operations'!$A$4:$AA$304,3,FALSE),""))</f>
        <v>Wylie McDougall</v>
      </c>
      <c r="D73" s="69">
        <f>IF(A73="","",IFERROR(VLOOKUP(A73,'Job Operations'!$A$4:$AA$304,5,FALSE),""))</f>
        <v>60</v>
      </c>
      <c r="E73" s="69">
        <f>IF(A73="","",IFERROR(VLOOKUP(A73,'Job Operations'!$A$4:$AA$304,6,FALSE),""))</f>
        <v>60</v>
      </c>
      <c r="F73" s="69" t="str">
        <f>IF(A73="","",IFERROR(VLOOKUP(A73,'Job Operations'!$A$4:$AA$304,7,FALSE),""))</f>
        <v>FR ACM</v>
      </c>
      <c r="G73" s="70">
        <f>IF(A73="","",IFERROR(VLOOKUP(A73,'Job Operations'!$A$4:$AA$304,9,FALSE),""))</f>
        <v>46185</v>
      </c>
      <c r="H73" s="69" t="str" cm="1">
        <f t="array" ref="H73">IF(A73="","",_xlfn.LET(_xlpm.stn,IFERROR(VLOOKUP(A73,'Job Operations'!$A$4:$AA$304,12,FALSE),""),IF(OR(_xlpm.stn="Fabrication",_xlpm.stn="Fab"),_xlfn.LET(_xlpm.pos,SUMPRODUCT((A$7:A73&lt;&gt;"")*(IFERROR(VLOOKUP(A$7:A73,'Job Operations'!$A$4:$AA$304,12,FALSE),"")="Fabrication")+(A$7:A73&lt;&gt;"")*(IFERROR(VLOOKUP(A$7:A73,'Job Operations'!$A$4:$AA$304,12,FALSE),"")="Fab")),_xlpm.sfx,IF(OR(_xlpm.pos=11,_xlpm.pos=12,_xlpm.pos=13),"th",IF(MOD(_xlpm.pos,10)=1,"st",IF(MOD(_xlpm.pos,10)=2,"nd",IF(MOD(_xlpm.pos,10)=3,"rd","th")))),_xlpm.pos&amp;_xlpm.sfx),IF(_xlpm.stn&lt;&gt;"",_xlpm.stn,""))))</f>
        <v>AXYZ 34</v>
      </c>
      <c r="I73" s="69" t="str" cm="1">
        <f t="array" ref="I73">IF(A73="","",_xlfn.LET(_xlpm.stn,IFERROR(VLOOKUP(A73,'Job Operations'!$A$4:$AA$304,12,FALSE),""),IF(OR(_xlpm.stn="Fabrication",_xlpm.stn="Fab"),_xlfn.LET(_xlpm.pos,SUMPRODUCT((A$7:A73&lt;&gt;"")*(IFERROR(VLOOKUP(A$7:A73,'Job Operations'!$A$4:$AA$304,12,FALSE),"")="Fabrication")+(A$7:A73&lt;&gt;"")*(IFERROR(VLOOKUP(A$7:A73,'Job Operations'!$A$4:$AA$304,12,FALSE),"")="Fab")),_xlpm.sfx,IF(OR(_xlpm.pos=11,_xlpm.pos=12,_xlpm.pos=13),"th",IF(MOD(_xlpm.pos,10)=1,"st",IF(MOD(_xlpm.pos,10)=2,"nd",IF(MOD(_xlpm.pos,10)=3,"rd","th")))),_xlpm.pos&amp;_xlpm.sfx),IF(ISNUMBER(MATCH(A73,'Clean and Brake Schedule'!A$7:A$100,0)),"#"&amp;MATCH(A73,'Clean and Brake Schedule'!A$7:A$100,0)&amp;" on C&amp;B",IF(ISNUMBER(MATCH(A73,'AXYZ Titans CNC Schedule'!A$7:A$100,0)),"#"&amp;MATCH(A73,'AXYZ Titans CNC Schedule'!A$7:A$100,0)&amp;" on Titans",IF(ISNUMBER(MATCH(A73,'AXYZ CNC Schedule'!A$7:A$100,0)),"#"&amp;MATCH(A73,'AXYZ CNC Schedule'!A$7:A$100,0)&amp;" on AXYZ",IF(_xlpm.stn&lt;&gt;"",_xlpm.stn,"")))))))</f>
        <v>#66 on C&amp;B</v>
      </c>
      <c r="J73" s="70">
        <f>IF(A73="","",IFERROR(VLOOKUP(A73,'Job Operations'!$A$4:$AA$304,18,FALSE),""))</f>
        <v>46172</v>
      </c>
      <c r="K73" s="69" t="str">
        <f>IF(A73="","",IFERROR(VLOOKUP(A73,'Job Operations'!$A$4:$AA$304,13,FALSE),""))</f>
        <v>AXYZ Titans Line</v>
      </c>
      <c r="L73" s="69" t="str">
        <f>IF(A73="","",IFERROR(VLOOKUP(A73,'Job Operations'!$A$4:$AA$304,15,FALSE),""))</f>
        <v>Clean and Brake</v>
      </c>
      <c r="M73" s="171" t="str">
        <f>IF(A73="","",IF(IFERROR(VLOOKUP(A73,Notes!A:B,2,FALSE),"")=0,"",VLOOKUP(A73,Notes!A:B,2,FALSE)))</f>
        <v>04/16/2026…AXYZ 34</v>
      </c>
    </row>
    <row r="74" spans="1:13" x14ac:dyDescent="0.25">
      <c r="A74" s="69" t="str">
        <v>25044-FS04</v>
      </c>
      <c r="B74" s="73" t="str">
        <f>IF(A74="","",IFERROR(VLOOKUP(A74,'Job Operations'!$A$4:$AA$304,2,FALSE),""))</f>
        <v>MALETA Firing Range</v>
      </c>
      <c r="C74" s="69" t="str">
        <f>IF(A74="","",IFERROR(VLOOKUP(A74,'Job Operations'!$A$4:$AA$304,3,FALSE),""))</f>
        <v>Cole Norona</v>
      </c>
      <c r="D74" s="69">
        <f>IF(A74="","",IFERROR(VLOOKUP(A74,'Job Operations'!$A$4:$AA$304,5,FALSE),""))</f>
        <v>113</v>
      </c>
      <c r="E74" s="69">
        <f>IF(A74="","",IFERROR(VLOOKUP(A74,'Job Operations'!$A$4:$AA$304,6,FALSE),""))</f>
        <v>0</v>
      </c>
      <c r="F74" s="69" t="str">
        <f>IF(A74="","",IFERROR(VLOOKUP(A74,'Job Operations'!$A$4:$AA$304,7,FALSE),""))</f>
        <v>FR ACM</v>
      </c>
      <c r="G74" s="70">
        <f>IF(A74="","",IFERROR(VLOOKUP(A74,'Job Operations'!$A$4:$AA$304,9,FALSE),""))</f>
        <v>46192</v>
      </c>
      <c r="H74" s="69" t="str" cm="1">
        <f t="array" ref="H74">IF(A74="","",_xlfn.LET(_xlpm.stn,IFERROR(VLOOKUP(A74,'Job Operations'!$A$4:$AA$304,12,FALSE),""),IF(OR(_xlpm.stn="Fabrication",_xlpm.stn="Fab"),_xlfn.LET(_xlpm.pos,SUMPRODUCT((A$7:A74&lt;&gt;"")*(IFERROR(VLOOKUP(A$7:A74,'Job Operations'!$A$4:$AA$304,12,FALSE),"")="Fabrication")+(A$7:A74&lt;&gt;"")*(IFERROR(VLOOKUP(A$7:A74,'Job Operations'!$A$4:$AA$304,12,FALSE),"")="Fab")),_xlpm.sfx,IF(OR(_xlpm.pos=11,_xlpm.pos=12,_xlpm.pos=13),"th",IF(MOD(_xlpm.pos,10)=1,"st",IF(MOD(_xlpm.pos,10)=2,"nd",IF(MOD(_xlpm.pos,10)=3,"rd","th")))),_xlpm.pos&amp;_xlpm.sfx),IF(_xlpm.stn&lt;&gt;"",_xlpm.stn,""))))</f>
        <v>LO</v>
      </c>
      <c r="I74" s="69" t="str" cm="1">
        <f t="array" ref="I74">IF(A74="","",_xlfn.LET(_xlpm.stn,IFERROR(VLOOKUP(A74,'Job Operations'!$A$4:$AA$304,12,FALSE),""),IF(OR(_xlpm.stn="Fabrication",_xlpm.stn="Fab"),_xlfn.LET(_xlpm.pos,SUMPRODUCT((A$7:A74&lt;&gt;"")*(IFERROR(VLOOKUP(A$7:A74,'Job Operations'!$A$4:$AA$304,12,FALSE),"")="Fabrication")+(A$7:A74&lt;&gt;"")*(IFERROR(VLOOKUP(A$7:A74,'Job Operations'!$A$4:$AA$304,12,FALSE),"")="Fab")),_xlpm.sfx,IF(OR(_xlpm.pos=11,_xlpm.pos=12,_xlpm.pos=13),"th",IF(MOD(_xlpm.pos,10)=1,"st",IF(MOD(_xlpm.pos,10)=2,"nd",IF(MOD(_xlpm.pos,10)=3,"rd","th")))),_xlpm.pos&amp;_xlpm.sfx),IF(ISNUMBER(MATCH(A74,'Clean and Brake Schedule'!A$7:A$100,0)),"#"&amp;MATCH(A74,'Clean and Brake Schedule'!A$7:A$100,0)&amp;" on C&amp;B",IF(ISNUMBER(MATCH(A74,'AXYZ Titans CNC Schedule'!A$7:A$100,0)),"#"&amp;MATCH(A74,'AXYZ Titans CNC Schedule'!A$7:A$100,0)&amp;" on Titans",IF(ISNUMBER(MATCH(A74,'AXYZ CNC Schedule'!A$7:A$100,0)),"#"&amp;MATCH(A74,'AXYZ CNC Schedule'!A$7:A$100,0)&amp;" on AXYZ",IF(_xlpm.stn&lt;&gt;"",_xlpm.stn,"")))))))</f>
        <v>#67 on C&amp;B</v>
      </c>
      <c r="J74" s="70">
        <f>IF(A74="","",IFERROR(VLOOKUP(A74,'Job Operations'!$A$4:$AA$304,18,FALSE),""))</f>
        <v>46179</v>
      </c>
      <c r="K74" s="69" t="str">
        <f>IF(A74="","",IFERROR(VLOOKUP(A74,'Job Operations'!$A$4:$AA$304,13,FALSE),""))</f>
        <v>AXYZ</v>
      </c>
      <c r="L74" s="69" t="str">
        <f>IF(A74="","",IFERROR(VLOOKUP(A74,'Job Operations'!$A$4:$AA$304,15,FALSE),""))</f>
        <v>Clean and Brake</v>
      </c>
      <c r="M74" s="171" t="str">
        <f>IF(A74="","",IF(IFERROR(VLOOKUP(A74,Notes!A:B,2,FALSE),"")=0,"",VLOOKUP(A74,Notes!A:B,2,FALSE)))</f>
        <v>04/16/2026…LO</v>
      </c>
    </row>
    <row r="75" spans="1:13" x14ac:dyDescent="0.25">
      <c r="A75" s="69" t="str">
        <v>25006-FS09</v>
      </c>
      <c r="B75" s="73" t="str">
        <f>IF(A75="","",IFERROR(VLOOKUP(A75,'Job Operations'!$A$4:$AA$304,2,FALSE),""))</f>
        <v>MALETA Housing and Dining</v>
      </c>
      <c r="C75" s="69" t="str">
        <f>IF(A75="","",IFERROR(VLOOKUP(A75,'Job Operations'!$A$4:$AA$304,3,FALSE),""))</f>
        <v>Cole Norona</v>
      </c>
      <c r="D75" s="69">
        <f>IF(A75="","",IFERROR(VLOOKUP(A75,'Job Operations'!$A$4:$AA$304,5,FALSE),""))</f>
        <v>152</v>
      </c>
      <c r="E75" s="69">
        <f>IF(A75="","",IFERROR(VLOOKUP(A75,'Job Operations'!$A$4:$AA$304,6,FALSE),""))</f>
        <v>0</v>
      </c>
      <c r="F75" s="69" t="str">
        <f>IF(A75="","",IFERROR(VLOOKUP(A75,'Job Operations'!$A$4:$AA$304,7,FALSE),""))</f>
        <v>FR ACM</v>
      </c>
      <c r="G75" s="70">
        <f>IF(A75="","",IFERROR(VLOOKUP(A75,'Job Operations'!$A$4:$AA$304,9,FALSE),""))</f>
        <v>46192</v>
      </c>
      <c r="H75" s="69" t="str" cm="1">
        <f t="array" ref="H75">IF(A75="","",_xlfn.LET(_xlpm.stn,IFERROR(VLOOKUP(A75,'Job Operations'!$A$4:$AA$304,12,FALSE),""),IF(OR(_xlpm.stn="Fabrication",_xlpm.stn="Fab"),_xlfn.LET(_xlpm.pos,SUMPRODUCT((A$7:A75&lt;&gt;"")*(IFERROR(VLOOKUP(A$7:A75,'Job Operations'!$A$4:$AA$304,12,FALSE),"")="Fabrication")+(A$7:A75&lt;&gt;"")*(IFERROR(VLOOKUP(A$7:A75,'Job Operations'!$A$4:$AA$304,12,FALSE),"")="Fab")),_xlpm.sfx,IF(OR(_xlpm.pos=11,_xlpm.pos=12,_xlpm.pos=13),"th",IF(MOD(_xlpm.pos,10)=1,"st",IF(MOD(_xlpm.pos,10)=2,"nd",IF(MOD(_xlpm.pos,10)=3,"rd","th")))),_xlpm.pos&amp;_xlpm.sfx),IF(_xlpm.stn&lt;&gt;"",_xlpm.stn,""))))</f>
        <v>LO</v>
      </c>
      <c r="I75" s="69" t="str" cm="1">
        <f t="array" ref="I75">IF(A75="","",_xlfn.LET(_xlpm.stn,IFERROR(VLOOKUP(A75,'Job Operations'!$A$4:$AA$304,12,FALSE),""),IF(OR(_xlpm.stn="Fabrication",_xlpm.stn="Fab"),_xlfn.LET(_xlpm.pos,SUMPRODUCT((A$7:A75&lt;&gt;"")*(IFERROR(VLOOKUP(A$7:A75,'Job Operations'!$A$4:$AA$304,12,FALSE),"")="Fabrication")+(A$7:A75&lt;&gt;"")*(IFERROR(VLOOKUP(A$7:A75,'Job Operations'!$A$4:$AA$304,12,FALSE),"")="Fab")),_xlpm.sfx,IF(OR(_xlpm.pos=11,_xlpm.pos=12,_xlpm.pos=13),"th",IF(MOD(_xlpm.pos,10)=1,"st",IF(MOD(_xlpm.pos,10)=2,"nd",IF(MOD(_xlpm.pos,10)=3,"rd","th")))),_xlpm.pos&amp;_xlpm.sfx),IF(ISNUMBER(MATCH(A75,'Clean and Brake Schedule'!A$7:A$100,0)),"#"&amp;MATCH(A75,'Clean and Brake Schedule'!A$7:A$100,0)&amp;" on C&amp;B",IF(ISNUMBER(MATCH(A75,'AXYZ Titans CNC Schedule'!A$7:A$100,0)),"#"&amp;MATCH(A75,'AXYZ Titans CNC Schedule'!A$7:A$100,0)&amp;" on Titans",IF(ISNUMBER(MATCH(A75,'AXYZ CNC Schedule'!A$7:A$100,0)),"#"&amp;MATCH(A75,'AXYZ CNC Schedule'!A$7:A$100,0)&amp;" on AXYZ",IF(_xlpm.stn&lt;&gt;"",_xlpm.stn,"")))))))</f>
        <v>#68 on C&amp;B</v>
      </c>
      <c r="J75" s="70">
        <f>IF(A75="","",IFERROR(VLOOKUP(A75,'Job Operations'!$A$4:$AA$304,18,FALSE),""))</f>
        <v>46179</v>
      </c>
      <c r="K75" s="69" t="str">
        <f>IF(A75="","",IFERROR(VLOOKUP(A75,'Job Operations'!$A$4:$AA$304,13,FALSE),""))</f>
        <v>AXYZ</v>
      </c>
      <c r="L75" s="69" t="str">
        <f>IF(A75="","",IFERROR(VLOOKUP(A75,'Job Operations'!$A$4:$AA$304,15,FALSE),""))</f>
        <v>Clean and Brake</v>
      </c>
      <c r="M75" s="171" t="str">
        <f>IF(A75="","",IF(IFERROR(VLOOKUP(A75,Notes!A:B,2,FALSE),"")=0,"",VLOOKUP(A75,Notes!A:B,2,FALSE)))</f>
        <v>HOAR*04/16/2026…LO</v>
      </c>
    </row>
    <row r="76" spans="1:13" x14ac:dyDescent="0.25">
      <c r="A76" s="69" t="str">
        <v>25044-FS05</v>
      </c>
      <c r="B76" s="73" t="str">
        <f>IF(A76="","",IFERROR(VLOOKUP(A76,'Job Operations'!$A$4:$AA$304,2,FALSE),""))</f>
        <v>MALETA Firing Range</v>
      </c>
      <c r="C76" s="69" t="str">
        <f>IF(A76="","",IFERROR(VLOOKUP(A76,'Job Operations'!$A$4:$AA$304,3,FALSE),""))</f>
        <v>Cole Norona</v>
      </c>
      <c r="D76" s="69">
        <f>IF(A76="","",IFERROR(VLOOKUP(A76,'Job Operations'!$A$4:$AA$304,5,FALSE),""))</f>
        <v>111</v>
      </c>
      <c r="E76" s="69">
        <f>IF(A76="","",IFERROR(VLOOKUP(A76,'Job Operations'!$A$4:$AA$304,6,FALSE),""))</f>
        <v>0</v>
      </c>
      <c r="F76" s="69" t="str">
        <f>IF(A76="","",IFERROR(VLOOKUP(A76,'Job Operations'!$A$4:$AA$304,7,FALSE),""))</f>
        <v>FR ACM</v>
      </c>
      <c r="G76" s="70">
        <f>IF(A76="","",IFERROR(VLOOKUP(A76,'Job Operations'!$A$4:$AA$304,9,FALSE),""))</f>
        <v>46199</v>
      </c>
      <c r="H76" s="69" t="str" cm="1">
        <f t="array" ref="H76">IF(A76="","",_xlfn.LET(_xlpm.stn,IFERROR(VLOOKUP(A76,'Job Operations'!$A$4:$AA$304,12,FALSE),""),IF(OR(_xlpm.stn="Fabrication",_xlpm.stn="Fab"),_xlfn.LET(_xlpm.pos,SUMPRODUCT((A$7:A76&lt;&gt;"")*(IFERROR(VLOOKUP(A$7:A76,'Job Operations'!$A$4:$AA$304,12,FALSE),"")="Fabrication")+(A$7:A76&lt;&gt;"")*(IFERROR(VLOOKUP(A$7:A76,'Job Operations'!$A$4:$AA$304,12,FALSE),"")="Fab")),_xlpm.sfx,IF(OR(_xlpm.pos=11,_xlpm.pos=12,_xlpm.pos=13),"th",IF(MOD(_xlpm.pos,10)=1,"st",IF(MOD(_xlpm.pos,10)=2,"nd",IF(MOD(_xlpm.pos,10)=3,"rd","th")))),_xlpm.pos&amp;_xlpm.sfx),IF(_xlpm.stn&lt;&gt;"",_xlpm.stn,""))))</f>
        <v>LO</v>
      </c>
      <c r="I76" s="69" t="str" cm="1">
        <f t="array" ref="I76">IF(A76="","",_xlfn.LET(_xlpm.stn,IFERROR(VLOOKUP(A76,'Job Operations'!$A$4:$AA$304,12,FALSE),""),IF(OR(_xlpm.stn="Fabrication",_xlpm.stn="Fab"),_xlfn.LET(_xlpm.pos,SUMPRODUCT((A$7:A76&lt;&gt;"")*(IFERROR(VLOOKUP(A$7:A76,'Job Operations'!$A$4:$AA$304,12,FALSE),"")="Fabrication")+(A$7:A76&lt;&gt;"")*(IFERROR(VLOOKUP(A$7:A76,'Job Operations'!$A$4:$AA$304,12,FALSE),"")="Fab")),_xlpm.sfx,IF(OR(_xlpm.pos=11,_xlpm.pos=12,_xlpm.pos=13),"th",IF(MOD(_xlpm.pos,10)=1,"st",IF(MOD(_xlpm.pos,10)=2,"nd",IF(MOD(_xlpm.pos,10)=3,"rd","th")))),_xlpm.pos&amp;_xlpm.sfx),IF(ISNUMBER(MATCH(A76,'Clean and Brake Schedule'!A$7:A$100,0)),"#"&amp;MATCH(A76,'Clean and Brake Schedule'!A$7:A$100,0)&amp;" on C&amp;B",IF(ISNUMBER(MATCH(A76,'AXYZ Titans CNC Schedule'!A$7:A$100,0)),"#"&amp;MATCH(A76,'AXYZ Titans CNC Schedule'!A$7:A$100,0)&amp;" on Titans",IF(ISNUMBER(MATCH(A76,'AXYZ CNC Schedule'!A$7:A$100,0)),"#"&amp;MATCH(A76,'AXYZ CNC Schedule'!A$7:A$100,0)&amp;" on AXYZ",IF(_xlpm.stn&lt;&gt;"",_xlpm.stn,"")))))))</f>
        <v>#69 on C&amp;B</v>
      </c>
      <c r="J76" s="70">
        <f>IF(A76="","",IFERROR(VLOOKUP(A76,'Job Operations'!$A$4:$AA$304,18,FALSE),""))</f>
        <v>46186</v>
      </c>
      <c r="K76" s="69" t="str">
        <f>IF(A76="","",IFERROR(VLOOKUP(A76,'Job Operations'!$A$4:$AA$304,13,FALSE),""))</f>
        <v>AXYZ</v>
      </c>
      <c r="L76" s="69" t="str">
        <f>IF(A76="","",IFERROR(VLOOKUP(A76,'Job Operations'!$A$4:$AA$304,15,FALSE),""))</f>
        <v>Clean and Brake</v>
      </c>
      <c r="M76" s="171" t="str">
        <f>IF(A76="","",IF(IFERROR(VLOOKUP(A76,Notes!A:B,2,FALSE),"")=0,"",VLOOKUP(A76,Notes!A:B,2,FALSE)))</f>
        <v>04/16/2026…LO</v>
      </c>
    </row>
    <row r="77" spans="1:13" x14ac:dyDescent="0.25">
      <c r="A77" s="69" t="str">
        <v>25044-FS06</v>
      </c>
      <c r="B77" s="73" t="str">
        <f>IF(A77="","",IFERROR(VLOOKUP(A77,'Job Operations'!$A$4:$AA$304,2,FALSE),""))</f>
        <v>MALETA Firing Range</v>
      </c>
      <c r="C77" s="69" t="str">
        <f>IF(A77="","",IFERROR(VLOOKUP(A77,'Job Operations'!$A$4:$AA$304,3,FALSE),""))</f>
        <v>Cole Norona</v>
      </c>
      <c r="D77" s="69">
        <f>IF(A77="","",IFERROR(VLOOKUP(A77,'Job Operations'!$A$4:$AA$304,5,FALSE),""))</f>
        <v>203</v>
      </c>
      <c r="E77" s="69">
        <f>IF(A77="","",IFERROR(VLOOKUP(A77,'Job Operations'!$A$4:$AA$304,6,FALSE),""))</f>
        <v>0</v>
      </c>
      <c r="F77" s="69" t="str">
        <f>IF(A77="","",IFERROR(VLOOKUP(A77,'Job Operations'!$A$4:$AA$304,7,FALSE),""))</f>
        <v>FR ACM</v>
      </c>
      <c r="G77" s="70">
        <f>IF(A77="","",IFERROR(VLOOKUP(A77,'Job Operations'!$A$4:$AA$304,9,FALSE),""))</f>
        <v>46209</v>
      </c>
      <c r="H77" s="69" t="str" cm="1">
        <f t="array" ref="H77">IF(A77="","",_xlfn.LET(_xlpm.stn,IFERROR(VLOOKUP(A77,'Job Operations'!$A$4:$AA$304,12,FALSE),""),IF(OR(_xlpm.stn="Fabrication",_xlpm.stn="Fab"),_xlfn.LET(_xlpm.pos,SUMPRODUCT((A$7:A77&lt;&gt;"")*(IFERROR(VLOOKUP(A$7:A77,'Job Operations'!$A$4:$AA$304,12,FALSE),"")="Fabrication")+(A$7:A77&lt;&gt;"")*(IFERROR(VLOOKUP(A$7:A77,'Job Operations'!$A$4:$AA$304,12,FALSE),"")="Fab")),_xlpm.sfx,IF(OR(_xlpm.pos=11,_xlpm.pos=12,_xlpm.pos=13),"th",IF(MOD(_xlpm.pos,10)=1,"st",IF(MOD(_xlpm.pos,10)=2,"nd",IF(MOD(_xlpm.pos,10)=3,"rd","th")))),_xlpm.pos&amp;_xlpm.sfx),IF(_xlpm.stn&lt;&gt;"",_xlpm.stn,""))))</f>
        <v>LO</v>
      </c>
      <c r="I77" s="69" t="str" cm="1">
        <f t="array" ref="I77">IF(A77="","",_xlfn.LET(_xlpm.stn,IFERROR(VLOOKUP(A77,'Job Operations'!$A$4:$AA$304,12,FALSE),""),IF(OR(_xlpm.stn="Fabrication",_xlpm.stn="Fab"),_xlfn.LET(_xlpm.pos,SUMPRODUCT((A$7:A77&lt;&gt;"")*(IFERROR(VLOOKUP(A$7:A77,'Job Operations'!$A$4:$AA$304,12,FALSE),"")="Fabrication")+(A$7:A77&lt;&gt;"")*(IFERROR(VLOOKUP(A$7:A77,'Job Operations'!$A$4:$AA$304,12,FALSE),"")="Fab")),_xlpm.sfx,IF(OR(_xlpm.pos=11,_xlpm.pos=12,_xlpm.pos=13),"th",IF(MOD(_xlpm.pos,10)=1,"st",IF(MOD(_xlpm.pos,10)=2,"nd",IF(MOD(_xlpm.pos,10)=3,"rd","th")))),_xlpm.pos&amp;_xlpm.sfx),IF(ISNUMBER(MATCH(A77,'Clean and Brake Schedule'!A$7:A$100,0)),"#"&amp;MATCH(A77,'Clean and Brake Schedule'!A$7:A$100,0)&amp;" on C&amp;B",IF(ISNUMBER(MATCH(A77,'AXYZ Titans CNC Schedule'!A$7:A$100,0)),"#"&amp;MATCH(A77,'AXYZ Titans CNC Schedule'!A$7:A$100,0)&amp;" on Titans",IF(ISNUMBER(MATCH(A77,'AXYZ CNC Schedule'!A$7:A$100,0)),"#"&amp;MATCH(A77,'AXYZ CNC Schedule'!A$7:A$100,0)&amp;" on AXYZ",IF(_xlpm.stn&lt;&gt;"",_xlpm.stn,"")))))))</f>
        <v>#70 on C&amp;B</v>
      </c>
      <c r="J77" s="70">
        <f>IF(A77="","",IFERROR(VLOOKUP(A77,'Job Operations'!$A$4:$AA$304,18,FALSE),""))</f>
        <v>46196</v>
      </c>
      <c r="K77" s="69" t="str">
        <f>IF(A77="","",IFERROR(VLOOKUP(A77,'Job Operations'!$A$4:$AA$304,13,FALSE),""))</f>
        <v>AXYZ</v>
      </c>
      <c r="L77" s="69" t="str">
        <f>IF(A77="","",IFERROR(VLOOKUP(A77,'Job Operations'!$A$4:$AA$304,15,FALSE),""))</f>
        <v>Clean and Brake</v>
      </c>
      <c r="M77" s="171" t="str">
        <f>IF(A77="","",IF(IFERROR(VLOOKUP(A77,Notes!A:B,2,FALSE),"")=0,"",VLOOKUP(A77,Notes!A:B,2,FALSE)))</f>
        <v>04/16/2026…LO</v>
      </c>
    </row>
    <row r="78" spans="1:13" x14ac:dyDescent="0.25">
      <c r="A78" s="69" t="str">
        <v>25044-FS07</v>
      </c>
      <c r="B78" s="73" t="str">
        <f>IF(A78="","",IFERROR(VLOOKUP(A78,'Job Operations'!$A$4:$AA$304,2,FALSE),""))</f>
        <v>MALETA Firing Range</v>
      </c>
      <c r="C78" s="69" t="str">
        <f>IF(A78="","",IFERROR(VLOOKUP(A78,'Job Operations'!$A$4:$AA$304,3,FALSE),""))</f>
        <v>Cole Norona</v>
      </c>
      <c r="D78" s="69">
        <f>IF(A78="","",IFERROR(VLOOKUP(A78,'Job Operations'!$A$4:$AA$304,5,FALSE),""))</f>
        <v>160</v>
      </c>
      <c r="E78" s="69">
        <f>IF(A78="","",IFERROR(VLOOKUP(A78,'Job Operations'!$A$4:$AA$304,6,FALSE),""))</f>
        <v>0</v>
      </c>
      <c r="F78" s="69" t="str">
        <f>IF(A78="","",IFERROR(VLOOKUP(A78,'Job Operations'!$A$4:$AA$304,7,FALSE),""))</f>
        <v>FR ACM</v>
      </c>
      <c r="G78" s="70">
        <f>IF(A78="","",IFERROR(VLOOKUP(A78,'Job Operations'!$A$4:$AA$304,9,FALSE),""))</f>
        <v>46218</v>
      </c>
      <c r="H78" s="69" t="str" cm="1">
        <f t="array" ref="H78">IF(A78="","",_xlfn.LET(_xlpm.stn,IFERROR(VLOOKUP(A78,'Job Operations'!$A$4:$AA$304,12,FALSE),""),IF(OR(_xlpm.stn="Fabrication",_xlpm.stn="Fab"),_xlfn.LET(_xlpm.pos,SUMPRODUCT((A$7:A78&lt;&gt;"")*(IFERROR(VLOOKUP(A$7:A78,'Job Operations'!$A$4:$AA$304,12,FALSE),"")="Fabrication")+(A$7:A78&lt;&gt;"")*(IFERROR(VLOOKUP(A$7:A78,'Job Operations'!$A$4:$AA$304,12,FALSE),"")="Fab")),_xlpm.sfx,IF(OR(_xlpm.pos=11,_xlpm.pos=12,_xlpm.pos=13),"th",IF(MOD(_xlpm.pos,10)=1,"st",IF(MOD(_xlpm.pos,10)=2,"nd",IF(MOD(_xlpm.pos,10)=3,"rd","th")))),_xlpm.pos&amp;_xlpm.sfx),IF(_xlpm.stn&lt;&gt;"",_xlpm.stn,""))))</f>
        <v>LO</v>
      </c>
      <c r="I78" s="69" t="str" cm="1">
        <f t="array" ref="I78">IF(A78="","",_xlfn.LET(_xlpm.stn,IFERROR(VLOOKUP(A78,'Job Operations'!$A$4:$AA$304,12,FALSE),""),IF(OR(_xlpm.stn="Fabrication",_xlpm.stn="Fab"),_xlfn.LET(_xlpm.pos,SUMPRODUCT((A$7:A78&lt;&gt;"")*(IFERROR(VLOOKUP(A$7:A78,'Job Operations'!$A$4:$AA$304,12,FALSE),"")="Fabrication")+(A$7:A78&lt;&gt;"")*(IFERROR(VLOOKUP(A$7:A78,'Job Operations'!$A$4:$AA$304,12,FALSE),"")="Fab")),_xlpm.sfx,IF(OR(_xlpm.pos=11,_xlpm.pos=12,_xlpm.pos=13),"th",IF(MOD(_xlpm.pos,10)=1,"st",IF(MOD(_xlpm.pos,10)=2,"nd",IF(MOD(_xlpm.pos,10)=3,"rd","th")))),_xlpm.pos&amp;_xlpm.sfx),IF(ISNUMBER(MATCH(A78,'Clean and Brake Schedule'!A$7:A$100,0)),"#"&amp;MATCH(A78,'Clean and Brake Schedule'!A$7:A$100,0)&amp;" on C&amp;B",IF(ISNUMBER(MATCH(A78,'AXYZ Titans CNC Schedule'!A$7:A$100,0)),"#"&amp;MATCH(A78,'AXYZ Titans CNC Schedule'!A$7:A$100,0)&amp;" on Titans",IF(ISNUMBER(MATCH(A78,'AXYZ CNC Schedule'!A$7:A$100,0)),"#"&amp;MATCH(A78,'AXYZ CNC Schedule'!A$7:A$100,0)&amp;" on AXYZ",IF(_xlpm.stn&lt;&gt;"",_xlpm.stn,"")))))))</f>
        <v>#71 on C&amp;B</v>
      </c>
      <c r="J78" s="70">
        <f>IF(A78="","",IFERROR(VLOOKUP(A78,'Job Operations'!$A$4:$AA$304,18,FALSE),""))</f>
        <v>46205</v>
      </c>
      <c r="K78" s="69" t="str">
        <f>IF(A78="","",IFERROR(VLOOKUP(A78,'Job Operations'!$A$4:$AA$304,13,FALSE),""))</f>
        <v>AXYZ</v>
      </c>
      <c r="L78" s="69" t="str">
        <f>IF(A78="","",IFERROR(VLOOKUP(A78,'Job Operations'!$A$4:$AA$304,15,FALSE),""))</f>
        <v>Clean and Brake</v>
      </c>
      <c r="M78" s="171" t="str">
        <f>IF(A78="","",IF(IFERROR(VLOOKUP(A78,Notes!A:B,2,FALSE),"")=0,"",VLOOKUP(A78,Notes!A:B,2,FALSE)))</f>
        <v>04/16/2026…LO</v>
      </c>
    </row>
    <row r="79" spans="1:13" x14ac:dyDescent="0.25">
      <c r="A79" s="69" t="str">
        <v>25006-FS11</v>
      </c>
      <c r="B79" s="73" t="str">
        <f>IF(A79="","",IFERROR(VLOOKUP(A79,'Job Operations'!$A$4:$AA$304,2,FALSE),""))</f>
        <v>MALETA Housing and Dining</v>
      </c>
      <c r="C79" s="69" t="str">
        <f>IF(A79="","",IFERROR(VLOOKUP(A79,'Job Operations'!$A$4:$AA$304,3,FALSE),""))</f>
        <v>Cole Norona</v>
      </c>
      <c r="D79" s="69">
        <f>IF(A79="","",IFERROR(VLOOKUP(A79,'Job Operations'!$A$4:$AA$304,5,FALSE),""))</f>
        <v>201</v>
      </c>
      <c r="E79" s="69">
        <f>IF(A79="","",IFERROR(VLOOKUP(A79,'Job Operations'!$A$4:$AA$304,6,FALSE),""))</f>
        <v>0</v>
      </c>
      <c r="F79" s="69" t="str">
        <f>IF(A79="","",IFERROR(VLOOKUP(A79,'Job Operations'!$A$4:$AA$304,7,FALSE),""))</f>
        <v>FR ACM</v>
      </c>
      <c r="G79" s="70">
        <f>IF(A79="","",IFERROR(VLOOKUP(A79,'Job Operations'!$A$4:$AA$304,9,FALSE),""))</f>
        <v>46218</v>
      </c>
      <c r="H79" s="69" t="str" cm="1">
        <f t="array" ref="H79">IF(A79="","",_xlfn.LET(_xlpm.stn,IFERROR(VLOOKUP(A79,'Job Operations'!$A$4:$AA$304,12,FALSE),""),IF(OR(_xlpm.stn="Fabrication",_xlpm.stn="Fab"),_xlfn.LET(_xlpm.pos,SUMPRODUCT((A$7:A79&lt;&gt;"")*(IFERROR(VLOOKUP(A$7:A79,'Job Operations'!$A$4:$AA$304,12,FALSE),"")="Fabrication")+(A$7:A79&lt;&gt;"")*(IFERROR(VLOOKUP(A$7:A79,'Job Operations'!$A$4:$AA$304,12,FALSE),"")="Fab")),_xlpm.sfx,IF(OR(_xlpm.pos=11,_xlpm.pos=12,_xlpm.pos=13),"th",IF(MOD(_xlpm.pos,10)=1,"st",IF(MOD(_xlpm.pos,10)=2,"nd",IF(MOD(_xlpm.pos,10)=3,"rd","th")))),_xlpm.pos&amp;_xlpm.sfx),IF(_xlpm.stn&lt;&gt;"",_xlpm.stn,""))))</f>
        <v>LO</v>
      </c>
      <c r="I79" s="69" t="str" cm="1">
        <f t="array" ref="I79">IF(A79="","",_xlfn.LET(_xlpm.stn,IFERROR(VLOOKUP(A79,'Job Operations'!$A$4:$AA$304,12,FALSE),""),IF(OR(_xlpm.stn="Fabrication",_xlpm.stn="Fab"),_xlfn.LET(_xlpm.pos,SUMPRODUCT((A$7:A79&lt;&gt;"")*(IFERROR(VLOOKUP(A$7:A79,'Job Operations'!$A$4:$AA$304,12,FALSE),"")="Fabrication")+(A$7:A79&lt;&gt;"")*(IFERROR(VLOOKUP(A$7:A79,'Job Operations'!$A$4:$AA$304,12,FALSE),"")="Fab")),_xlpm.sfx,IF(OR(_xlpm.pos=11,_xlpm.pos=12,_xlpm.pos=13),"th",IF(MOD(_xlpm.pos,10)=1,"st",IF(MOD(_xlpm.pos,10)=2,"nd",IF(MOD(_xlpm.pos,10)=3,"rd","th")))),_xlpm.pos&amp;_xlpm.sfx),IF(ISNUMBER(MATCH(A79,'Clean and Brake Schedule'!A$7:A$100,0)),"#"&amp;MATCH(A79,'Clean and Brake Schedule'!A$7:A$100,0)&amp;" on C&amp;B",IF(ISNUMBER(MATCH(A79,'AXYZ Titans CNC Schedule'!A$7:A$100,0)),"#"&amp;MATCH(A79,'AXYZ Titans CNC Schedule'!A$7:A$100,0)&amp;" on Titans",IF(ISNUMBER(MATCH(A79,'AXYZ CNC Schedule'!A$7:A$100,0)),"#"&amp;MATCH(A79,'AXYZ CNC Schedule'!A$7:A$100,0)&amp;" on AXYZ",IF(_xlpm.stn&lt;&gt;"",_xlpm.stn,"")))))))</f>
        <v>#72 on C&amp;B</v>
      </c>
      <c r="J79" s="70">
        <f>IF(A79="","",IFERROR(VLOOKUP(A79,'Job Operations'!$A$4:$AA$304,18,FALSE),""))</f>
        <v>46205</v>
      </c>
      <c r="K79" s="69" t="str">
        <f>IF(A79="","",IFERROR(VLOOKUP(A79,'Job Operations'!$A$4:$AA$304,13,FALSE),""))</f>
        <v>AXYZ</v>
      </c>
      <c r="L79" s="69" t="str">
        <f>IF(A79="","",IFERROR(VLOOKUP(A79,'Job Operations'!$A$4:$AA$304,15,FALSE),""))</f>
        <v>Clean and Brake</v>
      </c>
      <c r="M79" s="171" t="str">
        <f>IF(A79="","",IF(IFERROR(VLOOKUP(A79,Notes!A:B,2,FALSE),"")=0,"",VLOOKUP(A79,Notes!A:B,2,FALSE)))</f>
        <v>HOAR*04/16/2026…LO</v>
      </c>
    </row>
    <row r="80" spans="1:13" x14ac:dyDescent="0.25">
      <c r="A80" s="69" t="str">
        <v>25044-FS08</v>
      </c>
      <c r="B80" s="73" t="str">
        <f>IF(A80="","",IFERROR(VLOOKUP(A80,'Job Operations'!$A$4:$AA$304,2,FALSE),""))</f>
        <v>MALETA Firing Range</v>
      </c>
      <c r="C80" s="69" t="str">
        <f>IF(A80="","",IFERROR(VLOOKUP(A80,'Job Operations'!$A$4:$AA$304,3,FALSE),""))</f>
        <v>Cole Norona</v>
      </c>
      <c r="D80" s="69">
        <f>IF(A80="","",IFERROR(VLOOKUP(A80,'Job Operations'!$A$4:$AA$304,5,FALSE),""))</f>
        <v>163</v>
      </c>
      <c r="E80" s="69">
        <f>IF(A80="","",IFERROR(VLOOKUP(A80,'Job Operations'!$A$4:$AA$304,6,FALSE),""))</f>
        <v>0</v>
      </c>
      <c r="F80" s="69" t="str">
        <f>IF(A80="","",IFERROR(VLOOKUP(A80,'Job Operations'!$A$4:$AA$304,7,FALSE),""))</f>
        <v>FR ACM</v>
      </c>
      <c r="G80" s="70">
        <f>IF(A80="","",IFERROR(VLOOKUP(A80,'Job Operations'!$A$4:$AA$304,9,FALSE),""))</f>
        <v>46225</v>
      </c>
      <c r="H80" s="69" t="str" cm="1">
        <f t="array" ref="H80">IF(A80="","",_xlfn.LET(_xlpm.stn,IFERROR(VLOOKUP(A80,'Job Operations'!$A$4:$AA$304,12,FALSE),""),IF(OR(_xlpm.stn="Fabrication",_xlpm.stn="Fab"),_xlfn.LET(_xlpm.pos,SUMPRODUCT((A$7:A80&lt;&gt;"")*(IFERROR(VLOOKUP(A$7:A80,'Job Operations'!$A$4:$AA$304,12,FALSE),"")="Fabrication")+(A$7:A80&lt;&gt;"")*(IFERROR(VLOOKUP(A$7:A80,'Job Operations'!$A$4:$AA$304,12,FALSE),"")="Fab")),_xlpm.sfx,IF(OR(_xlpm.pos=11,_xlpm.pos=12,_xlpm.pos=13),"th",IF(MOD(_xlpm.pos,10)=1,"st",IF(MOD(_xlpm.pos,10)=2,"nd",IF(MOD(_xlpm.pos,10)=3,"rd","th")))),_xlpm.pos&amp;_xlpm.sfx),IF(_xlpm.stn&lt;&gt;"",_xlpm.stn,""))))</f>
        <v>LO</v>
      </c>
      <c r="I80" s="69" t="str" cm="1">
        <f t="array" ref="I80">IF(A80="","",_xlfn.LET(_xlpm.stn,IFERROR(VLOOKUP(A80,'Job Operations'!$A$4:$AA$304,12,FALSE),""),IF(OR(_xlpm.stn="Fabrication",_xlpm.stn="Fab"),_xlfn.LET(_xlpm.pos,SUMPRODUCT((A$7:A80&lt;&gt;"")*(IFERROR(VLOOKUP(A$7:A80,'Job Operations'!$A$4:$AA$304,12,FALSE),"")="Fabrication")+(A$7:A80&lt;&gt;"")*(IFERROR(VLOOKUP(A$7:A80,'Job Operations'!$A$4:$AA$304,12,FALSE),"")="Fab")),_xlpm.sfx,IF(OR(_xlpm.pos=11,_xlpm.pos=12,_xlpm.pos=13),"th",IF(MOD(_xlpm.pos,10)=1,"st",IF(MOD(_xlpm.pos,10)=2,"nd",IF(MOD(_xlpm.pos,10)=3,"rd","th")))),_xlpm.pos&amp;_xlpm.sfx),IF(ISNUMBER(MATCH(A80,'Clean and Brake Schedule'!A$7:A$100,0)),"#"&amp;MATCH(A80,'Clean and Brake Schedule'!A$7:A$100,0)&amp;" on C&amp;B",IF(ISNUMBER(MATCH(A80,'AXYZ Titans CNC Schedule'!A$7:A$100,0)),"#"&amp;MATCH(A80,'AXYZ Titans CNC Schedule'!A$7:A$100,0)&amp;" on Titans",IF(ISNUMBER(MATCH(A80,'AXYZ CNC Schedule'!A$7:A$100,0)),"#"&amp;MATCH(A80,'AXYZ CNC Schedule'!A$7:A$100,0)&amp;" on AXYZ",IF(_xlpm.stn&lt;&gt;"",_xlpm.stn,"")))))))</f>
        <v>#73 on C&amp;B</v>
      </c>
      <c r="J80" s="70">
        <f>IF(A80="","",IFERROR(VLOOKUP(A80,'Job Operations'!$A$4:$AA$304,18,FALSE),""))</f>
        <v>46212</v>
      </c>
      <c r="K80" s="69" t="str">
        <f>IF(A80="","",IFERROR(VLOOKUP(A80,'Job Operations'!$A$4:$AA$304,13,FALSE),""))</f>
        <v>AXYZ</v>
      </c>
      <c r="L80" s="69" t="str">
        <f>IF(A80="","",IFERROR(VLOOKUP(A80,'Job Operations'!$A$4:$AA$304,15,FALSE),""))</f>
        <v>Clean and Brake</v>
      </c>
      <c r="M80" s="171" t="str">
        <f>IF(A80="","",IF(IFERROR(VLOOKUP(A80,Notes!A:B,2,FALSE),"")=0,"",VLOOKUP(A80,Notes!A:B,2,FALSE)))</f>
        <v>04/16/2026…LO</v>
      </c>
    </row>
    <row r="81" spans="1:13" x14ac:dyDescent="0.25">
      <c r="A81" s="69" t="str">
        <v>25006-FS12</v>
      </c>
      <c r="B81" s="73" t="str">
        <f>IF(A81="","",IFERROR(VLOOKUP(A81,'Job Operations'!$A$4:$AA$304,2,FALSE),""))</f>
        <v>MALETA Housing and Dining</v>
      </c>
      <c r="C81" s="69" t="str">
        <f>IF(A81="","",IFERROR(VLOOKUP(A81,'Job Operations'!$A$4:$AA$304,3,FALSE),""))</f>
        <v>Cole Norona</v>
      </c>
      <c r="D81" s="69">
        <f>IF(A81="","",IFERROR(VLOOKUP(A81,'Job Operations'!$A$4:$AA$304,5,FALSE),""))</f>
        <v>192</v>
      </c>
      <c r="E81" s="69">
        <f>IF(A81="","",IFERROR(VLOOKUP(A81,'Job Operations'!$A$4:$AA$304,6,FALSE),""))</f>
        <v>0</v>
      </c>
      <c r="F81" s="69" t="str">
        <f>IF(A81="","",IFERROR(VLOOKUP(A81,'Job Operations'!$A$4:$AA$304,7,FALSE),""))</f>
        <v>FR ACM</v>
      </c>
      <c r="G81" s="70">
        <f>IF(A81="","",IFERROR(VLOOKUP(A81,'Job Operations'!$A$4:$AA$304,9,FALSE),""))</f>
        <v>46230</v>
      </c>
      <c r="H81" s="69" t="str" cm="1">
        <f t="array" ref="H81">IF(A81="","",_xlfn.LET(_xlpm.stn,IFERROR(VLOOKUP(A81,'Job Operations'!$A$4:$AA$304,12,FALSE),""),IF(OR(_xlpm.stn="Fabrication",_xlpm.stn="Fab"),_xlfn.LET(_xlpm.pos,SUMPRODUCT((A$7:A81&lt;&gt;"")*(IFERROR(VLOOKUP(A$7:A81,'Job Operations'!$A$4:$AA$304,12,FALSE),"")="Fabrication")+(A$7:A81&lt;&gt;"")*(IFERROR(VLOOKUP(A$7:A81,'Job Operations'!$A$4:$AA$304,12,FALSE),"")="Fab")),_xlpm.sfx,IF(OR(_xlpm.pos=11,_xlpm.pos=12,_xlpm.pos=13),"th",IF(MOD(_xlpm.pos,10)=1,"st",IF(MOD(_xlpm.pos,10)=2,"nd",IF(MOD(_xlpm.pos,10)=3,"rd","th")))),_xlpm.pos&amp;_xlpm.sfx),IF(_xlpm.stn&lt;&gt;"",_xlpm.stn,""))))</f>
        <v>LO</v>
      </c>
      <c r="I81" s="69" t="str" cm="1">
        <f t="array" ref="I81">IF(A81="","",_xlfn.LET(_xlpm.stn,IFERROR(VLOOKUP(A81,'Job Operations'!$A$4:$AA$304,12,FALSE),""),IF(OR(_xlpm.stn="Fabrication",_xlpm.stn="Fab"),_xlfn.LET(_xlpm.pos,SUMPRODUCT((A$7:A81&lt;&gt;"")*(IFERROR(VLOOKUP(A$7:A81,'Job Operations'!$A$4:$AA$304,12,FALSE),"")="Fabrication")+(A$7:A81&lt;&gt;"")*(IFERROR(VLOOKUP(A$7:A81,'Job Operations'!$A$4:$AA$304,12,FALSE),"")="Fab")),_xlpm.sfx,IF(OR(_xlpm.pos=11,_xlpm.pos=12,_xlpm.pos=13),"th",IF(MOD(_xlpm.pos,10)=1,"st",IF(MOD(_xlpm.pos,10)=2,"nd",IF(MOD(_xlpm.pos,10)=3,"rd","th")))),_xlpm.pos&amp;_xlpm.sfx),IF(ISNUMBER(MATCH(A81,'Clean and Brake Schedule'!A$7:A$100,0)),"#"&amp;MATCH(A81,'Clean and Brake Schedule'!A$7:A$100,0)&amp;" on C&amp;B",IF(ISNUMBER(MATCH(A81,'AXYZ Titans CNC Schedule'!A$7:A$100,0)),"#"&amp;MATCH(A81,'AXYZ Titans CNC Schedule'!A$7:A$100,0)&amp;" on Titans",IF(ISNUMBER(MATCH(A81,'AXYZ CNC Schedule'!A$7:A$100,0)),"#"&amp;MATCH(A81,'AXYZ CNC Schedule'!A$7:A$100,0)&amp;" on AXYZ",IF(_xlpm.stn&lt;&gt;"",_xlpm.stn,"")))))))</f>
        <v>#74 on C&amp;B</v>
      </c>
      <c r="J81" s="70">
        <f>IF(A81="","",IFERROR(VLOOKUP(A81,'Job Operations'!$A$4:$AA$304,18,FALSE),""))</f>
        <v>46217</v>
      </c>
      <c r="K81" s="69" t="str">
        <f>IF(A81="","",IFERROR(VLOOKUP(A81,'Job Operations'!$A$4:$AA$304,13,FALSE),""))</f>
        <v>AXYZ</v>
      </c>
      <c r="L81" s="69" t="str">
        <f>IF(A81="","",IFERROR(VLOOKUP(A81,'Job Operations'!$A$4:$AA$304,15,FALSE),""))</f>
        <v>Clean and Brake</v>
      </c>
      <c r="M81" s="171" t="str">
        <f>IF(A81="","",IF(IFERROR(VLOOKUP(A81,Notes!A:B,2,FALSE),"")=0,"",VLOOKUP(A81,Notes!A:B,2,FALSE)))</f>
        <v>HOAR*04/16/2026…LO</v>
      </c>
    </row>
    <row r="82" spans="1:13" x14ac:dyDescent="0.25">
      <c r="A82" s="69" t="str">
        <v>25044-FS09</v>
      </c>
      <c r="B82" s="73" t="str">
        <f>IF(A82="","",IFERROR(VLOOKUP(A82,'Job Operations'!$A$4:$AA$304,2,FALSE),""))</f>
        <v>MALETA Firing Range</v>
      </c>
      <c r="C82" s="69" t="str">
        <f>IF(A82="","",IFERROR(VLOOKUP(A82,'Job Operations'!$A$4:$AA$304,3,FALSE),""))</f>
        <v>Cole Norona</v>
      </c>
      <c r="D82" s="69">
        <f>IF(A82="","",IFERROR(VLOOKUP(A82,'Job Operations'!$A$4:$AA$304,5,FALSE),""))</f>
        <v>86</v>
      </c>
      <c r="E82" s="69">
        <f>IF(A82="","",IFERROR(VLOOKUP(A82,'Job Operations'!$A$4:$AA$304,6,FALSE),""))</f>
        <v>0</v>
      </c>
      <c r="F82" s="69" t="str">
        <f>IF(A82="","",IFERROR(VLOOKUP(A82,'Job Operations'!$A$4:$AA$304,7,FALSE),""))</f>
        <v>FR ACM</v>
      </c>
      <c r="G82" s="70">
        <f>IF(A82="","",IFERROR(VLOOKUP(A82,'Job Operations'!$A$4:$AA$304,9,FALSE),""))</f>
        <v>46232</v>
      </c>
      <c r="H82" s="69" t="str" cm="1">
        <f t="array" ref="H82">IF(A82="","",_xlfn.LET(_xlpm.stn,IFERROR(VLOOKUP(A82,'Job Operations'!$A$4:$AA$304,12,FALSE),""),IF(OR(_xlpm.stn="Fabrication",_xlpm.stn="Fab"),_xlfn.LET(_xlpm.pos,SUMPRODUCT((A$7:A82&lt;&gt;"")*(IFERROR(VLOOKUP(A$7:A82,'Job Operations'!$A$4:$AA$304,12,FALSE),"")="Fabrication")+(A$7:A82&lt;&gt;"")*(IFERROR(VLOOKUP(A$7:A82,'Job Operations'!$A$4:$AA$304,12,FALSE),"")="Fab")),_xlpm.sfx,IF(OR(_xlpm.pos=11,_xlpm.pos=12,_xlpm.pos=13),"th",IF(MOD(_xlpm.pos,10)=1,"st",IF(MOD(_xlpm.pos,10)=2,"nd",IF(MOD(_xlpm.pos,10)=3,"rd","th")))),_xlpm.pos&amp;_xlpm.sfx),IF(_xlpm.stn&lt;&gt;"",_xlpm.stn,""))))</f>
        <v>LO</v>
      </c>
      <c r="I82" s="69" t="str" cm="1">
        <f t="array" ref="I82">IF(A82="","",_xlfn.LET(_xlpm.stn,IFERROR(VLOOKUP(A82,'Job Operations'!$A$4:$AA$304,12,FALSE),""),IF(OR(_xlpm.stn="Fabrication",_xlpm.stn="Fab"),_xlfn.LET(_xlpm.pos,SUMPRODUCT((A$7:A82&lt;&gt;"")*(IFERROR(VLOOKUP(A$7:A82,'Job Operations'!$A$4:$AA$304,12,FALSE),"")="Fabrication")+(A$7:A82&lt;&gt;"")*(IFERROR(VLOOKUP(A$7:A82,'Job Operations'!$A$4:$AA$304,12,FALSE),"")="Fab")),_xlpm.sfx,IF(OR(_xlpm.pos=11,_xlpm.pos=12,_xlpm.pos=13),"th",IF(MOD(_xlpm.pos,10)=1,"st",IF(MOD(_xlpm.pos,10)=2,"nd",IF(MOD(_xlpm.pos,10)=3,"rd","th")))),_xlpm.pos&amp;_xlpm.sfx),IF(ISNUMBER(MATCH(A82,'Clean and Brake Schedule'!A$7:A$100,0)),"#"&amp;MATCH(A82,'Clean and Brake Schedule'!A$7:A$100,0)&amp;" on C&amp;B",IF(ISNUMBER(MATCH(A82,'AXYZ Titans CNC Schedule'!A$7:A$100,0)),"#"&amp;MATCH(A82,'AXYZ Titans CNC Schedule'!A$7:A$100,0)&amp;" on Titans",IF(ISNUMBER(MATCH(A82,'AXYZ CNC Schedule'!A$7:A$100,0)),"#"&amp;MATCH(A82,'AXYZ CNC Schedule'!A$7:A$100,0)&amp;" on AXYZ",IF(_xlpm.stn&lt;&gt;"",_xlpm.stn,"")))))))</f>
        <v>#75 on C&amp;B</v>
      </c>
      <c r="J82" s="70">
        <f>IF(A82="","",IFERROR(VLOOKUP(A82,'Job Operations'!$A$4:$AA$304,18,FALSE),""))</f>
        <v>46219</v>
      </c>
      <c r="K82" s="69" t="str">
        <f>IF(A82="","",IFERROR(VLOOKUP(A82,'Job Operations'!$A$4:$AA$304,13,FALSE),""))</f>
        <v>AXYZ</v>
      </c>
      <c r="L82" s="69" t="str">
        <f>IF(A82="","",IFERROR(VLOOKUP(A82,'Job Operations'!$A$4:$AA$304,15,FALSE),""))</f>
        <v>Clean and Brake</v>
      </c>
      <c r="M82" s="171" t="str">
        <f>IF(A82="","",IF(IFERROR(VLOOKUP(A82,Notes!A:B,2,FALSE),"")=0,"",VLOOKUP(A82,Notes!A:B,2,FALSE)))</f>
        <v>04/16/2026…LO</v>
      </c>
    </row>
    <row r="83" spans="1:13" x14ac:dyDescent="0.25">
      <c r="A83" s="69" t="str">
        <v>25044-FS01.2</v>
      </c>
      <c r="B83" s="73" t="str">
        <f>IF(A83="","",IFERROR(VLOOKUP(A83,'Job Operations'!$A$4:$AA$304,2,FALSE),""))</f>
        <v>MALETA Firing Range</v>
      </c>
      <c r="C83" s="69" t="str">
        <f>IF(A83="","",IFERROR(VLOOKUP(A83,'Job Operations'!$A$4:$AA$304,3,FALSE),""))</f>
        <v>Cole Norona</v>
      </c>
      <c r="D83" s="69">
        <f>IF(A83="","",IFERROR(VLOOKUP(A83,'Job Operations'!$A$4:$AA$304,5,FALSE),""))</f>
        <v>193</v>
      </c>
      <c r="E83" s="69">
        <f>IF(A83="","",IFERROR(VLOOKUP(A83,'Job Operations'!$A$4:$AA$304,6,FALSE),""))</f>
        <v>0</v>
      </c>
      <c r="F83" s="69" t="str">
        <f>IF(A83="","",IFERROR(VLOOKUP(A83,'Job Operations'!$A$4:$AA$304,7,FALSE),""))</f>
        <v>FR ACM</v>
      </c>
      <c r="G83" s="70">
        <f>IF(A83="","",IFERROR(VLOOKUP(A83,'Job Operations'!$A$4:$AA$304,9,FALSE),""))</f>
        <v>46232</v>
      </c>
      <c r="H83" s="69" t="str" cm="1">
        <f t="array" ref="H83">IF(A83="","",_xlfn.LET(_xlpm.stn,IFERROR(VLOOKUP(A83,'Job Operations'!$A$4:$AA$304,12,FALSE),""),IF(OR(_xlpm.stn="Fabrication",_xlpm.stn="Fab"),_xlfn.LET(_xlpm.pos,SUMPRODUCT((A$7:A83&lt;&gt;"")*(IFERROR(VLOOKUP(A$7:A83,'Job Operations'!$A$4:$AA$304,12,FALSE),"")="Fabrication")+(A$7:A83&lt;&gt;"")*(IFERROR(VLOOKUP(A$7:A83,'Job Operations'!$A$4:$AA$304,12,FALSE),"")="Fab")),_xlpm.sfx,IF(OR(_xlpm.pos=11,_xlpm.pos=12,_xlpm.pos=13),"th",IF(MOD(_xlpm.pos,10)=1,"st",IF(MOD(_xlpm.pos,10)=2,"nd",IF(MOD(_xlpm.pos,10)=3,"rd","th")))),_xlpm.pos&amp;_xlpm.sfx),IF(_xlpm.stn&lt;&gt;"",_xlpm.stn,""))))</f>
        <v>LO</v>
      </c>
      <c r="I83" s="69" t="str" cm="1">
        <f t="array" ref="I83">IF(A83="","",_xlfn.LET(_xlpm.stn,IFERROR(VLOOKUP(A83,'Job Operations'!$A$4:$AA$304,12,FALSE),""),IF(OR(_xlpm.stn="Fabrication",_xlpm.stn="Fab"),_xlfn.LET(_xlpm.pos,SUMPRODUCT((A$7:A83&lt;&gt;"")*(IFERROR(VLOOKUP(A$7:A83,'Job Operations'!$A$4:$AA$304,12,FALSE),"")="Fabrication")+(A$7:A83&lt;&gt;"")*(IFERROR(VLOOKUP(A$7:A83,'Job Operations'!$A$4:$AA$304,12,FALSE),"")="Fab")),_xlpm.sfx,IF(OR(_xlpm.pos=11,_xlpm.pos=12,_xlpm.pos=13),"th",IF(MOD(_xlpm.pos,10)=1,"st",IF(MOD(_xlpm.pos,10)=2,"nd",IF(MOD(_xlpm.pos,10)=3,"rd","th")))),_xlpm.pos&amp;_xlpm.sfx),IF(ISNUMBER(MATCH(A83,'Clean and Brake Schedule'!A$7:A$100,0)),"#"&amp;MATCH(A83,'Clean and Brake Schedule'!A$7:A$100,0)&amp;" on C&amp;B",IF(ISNUMBER(MATCH(A83,'AXYZ Titans CNC Schedule'!A$7:A$100,0)),"#"&amp;MATCH(A83,'AXYZ Titans CNC Schedule'!A$7:A$100,0)&amp;" on Titans",IF(ISNUMBER(MATCH(A83,'AXYZ CNC Schedule'!A$7:A$100,0)),"#"&amp;MATCH(A83,'AXYZ CNC Schedule'!A$7:A$100,0)&amp;" on AXYZ",IF(_xlpm.stn&lt;&gt;"",_xlpm.stn,"")))))))</f>
        <v>#76 on C&amp;B</v>
      </c>
      <c r="J83" s="70">
        <f>IF(A83="","",IFERROR(VLOOKUP(A83,'Job Operations'!$A$4:$AA$304,18,FALSE),""))</f>
        <v>46219</v>
      </c>
      <c r="K83" s="69" t="str">
        <f>IF(A83="","",IFERROR(VLOOKUP(A83,'Job Operations'!$A$4:$AA$304,13,FALSE),""))</f>
        <v>AXYZ</v>
      </c>
      <c r="L83" s="69" t="str">
        <f>IF(A83="","",IFERROR(VLOOKUP(A83,'Job Operations'!$A$4:$AA$304,15,FALSE),""))</f>
        <v>Clean and Brake</v>
      </c>
      <c r="M83" s="171" t="str">
        <f>IF(A83="","",IF(IFERROR(VLOOKUP(A83,Notes!A:B,2,FALSE),"")=0,"",VLOOKUP(A83,Notes!A:B,2,FALSE)))</f>
        <v>04/16/2026…LO</v>
      </c>
    </row>
    <row r="84" spans="1:13" x14ac:dyDescent="0.25">
      <c r="A84" s="69" t="str">
        <v>25006-FS13</v>
      </c>
      <c r="B84" s="73" t="str">
        <f>IF(A84="","",IFERROR(VLOOKUP(A84,'Job Operations'!$A$4:$AA$304,2,FALSE),""))</f>
        <v>MALETA Housing and Dining</v>
      </c>
      <c r="C84" s="69" t="str">
        <f>IF(A84="","",IFERROR(VLOOKUP(A84,'Job Operations'!$A$4:$AA$304,3,FALSE),""))</f>
        <v>Cole Norona</v>
      </c>
      <c r="D84" s="69">
        <f>IF(A84="","",IFERROR(VLOOKUP(A84,'Job Operations'!$A$4:$AA$304,5,FALSE),""))</f>
        <v>28</v>
      </c>
      <c r="E84" s="69">
        <f>IF(A84="","",IFERROR(VLOOKUP(A84,'Job Operations'!$A$4:$AA$304,6,FALSE),""))</f>
        <v>0</v>
      </c>
      <c r="F84" s="69" t="str">
        <f>IF(A84="","",IFERROR(VLOOKUP(A84,'Job Operations'!$A$4:$AA$304,7,FALSE),""))</f>
        <v>FR ACM</v>
      </c>
      <c r="G84" s="70">
        <f>IF(A84="","",IFERROR(VLOOKUP(A84,'Job Operations'!$A$4:$AA$304,9,FALSE),""))</f>
        <v>46237</v>
      </c>
      <c r="H84" s="69" t="str" cm="1">
        <f t="array" ref="H84">IF(A84="","",_xlfn.LET(_xlpm.stn,IFERROR(VLOOKUP(A84,'Job Operations'!$A$4:$AA$304,12,FALSE),""),IF(OR(_xlpm.stn="Fabrication",_xlpm.stn="Fab"),_xlfn.LET(_xlpm.pos,SUMPRODUCT((A$7:A84&lt;&gt;"")*(IFERROR(VLOOKUP(A$7:A84,'Job Operations'!$A$4:$AA$304,12,FALSE),"")="Fabrication")+(A$7:A84&lt;&gt;"")*(IFERROR(VLOOKUP(A$7:A84,'Job Operations'!$A$4:$AA$304,12,FALSE),"")="Fab")),_xlpm.sfx,IF(OR(_xlpm.pos=11,_xlpm.pos=12,_xlpm.pos=13),"th",IF(MOD(_xlpm.pos,10)=1,"st",IF(MOD(_xlpm.pos,10)=2,"nd",IF(MOD(_xlpm.pos,10)=3,"rd","th")))),_xlpm.pos&amp;_xlpm.sfx),IF(_xlpm.stn&lt;&gt;"",_xlpm.stn,""))))</f>
        <v>LO</v>
      </c>
      <c r="I84" s="69" t="str" cm="1">
        <f t="array" ref="I84">IF(A84="","",_xlfn.LET(_xlpm.stn,IFERROR(VLOOKUP(A84,'Job Operations'!$A$4:$AA$304,12,FALSE),""),IF(OR(_xlpm.stn="Fabrication",_xlpm.stn="Fab"),_xlfn.LET(_xlpm.pos,SUMPRODUCT((A$7:A84&lt;&gt;"")*(IFERROR(VLOOKUP(A$7:A84,'Job Operations'!$A$4:$AA$304,12,FALSE),"")="Fabrication")+(A$7:A84&lt;&gt;"")*(IFERROR(VLOOKUP(A$7:A84,'Job Operations'!$A$4:$AA$304,12,FALSE),"")="Fab")),_xlpm.sfx,IF(OR(_xlpm.pos=11,_xlpm.pos=12,_xlpm.pos=13),"th",IF(MOD(_xlpm.pos,10)=1,"st",IF(MOD(_xlpm.pos,10)=2,"nd",IF(MOD(_xlpm.pos,10)=3,"rd","th")))),_xlpm.pos&amp;_xlpm.sfx),IF(ISNUMBER(MATCH(A84,'Clean and Brake Schedule'!A$7:A$100,0)),"#"&amp;MATCH(A84,'Clean and Brake Schedule'!A$7:A$100,0)&amp;" on C&amp;B",IF(ISNUMBER(MATCH(A84,'AXYZ Titans CNC Schedule'!A$7:A$100,0)),"#"&amp;MATCH(A84,'AXYZ Titans CNC Schedule'!A$7:A$100,0)&amp;" on Titans",IF(ISNUMBER(MATCH(A84,'AXYZ CNC Schedule'!A$7:A$100,0)),"#"&amp;MATCH(A84,'AXYZ CNC Schedule'!A$7:A$100,0)&amp;" on AXYZ",IF(_xlpm.stn&lt;&gt;"",_xlpm.stn,"")))))))</f>
        <v>#77 on C&amp;B</v>
      </c>
      <c r="J84" s="70">
        <f>IF(A84="","",IFERROR(VLOOKUP(A84,'Job Operations'!$A$4:$AA$304,18,FALSE),""))</f>
        <v>46224</v>
      </c>
      <c r="K84" s="69" t="str">
        <f>IF(A84="","",IFERROR(VLOOKUP(A84,'Job Operations'!$A$4:$AA$304,13,FALSE),""))</f>
        <v>AXYZ</v>
      </c>
      <c r="L84" s="69" t="str">
        <f>IF(A84="","",IFERROR(VLOOKUP(A84,'Job Operations'!$A$4:$AA$304,15,FALSE),""))</f>
        <v>Clean and Brake</v>
      </c>
      <c r="M84" s="171" t="str">
        <f>IF(A84="","",IF(IFERROR(VLOOKUP(A84,Notes!A:B,2,FALSE),"")=0,"",VLOOKUP(A84,Notes!A:B,2,FALSE)))</f>
        <v>HOAR*04/16/2026…LO</v>
      </c>
    </row>
    <row r="85" spans="1:13" x14ac:dyDescent="0.25">
      <c r="A85" s="69" t="str">
        <v>25044-FS10</v>
      </c>
      <c r="B85" s="73" t="str">
        <f>IF(A85="","",IFERROR(VLOOKUP(A85,'Job Operations'!$A$4:$AA$304,2,FALSE),""))</f>
        <v>MALETA Firing Range</v>
      </c>
      <c r="C85" s="69" t="str">
        <f>IF(A85="","",IFERROR(VLOOKUP(A85,'Job Operations'!$A$4:$AA$304,3,FALSE),""))</f>
        <v>Cole Norona</v>
      </c>
      <c r="D85" s="69">
        <f>IF(A85="","",IFERROR(VLOOKUP(A85,'Job Operations'!$A$4:$AA$304,5,FALSE),""))</f>
        <v>185</v>
      </c>
      <c r="E85" s="69">
        <f>IF(A85="","",IFERROR(VLOOKUP(A85,'Job Operations'!$A$4:$AA$304,6,FALSE),""))</f>
        <v>0</v>
      </c>
      <c r="F85" s="69" t="str">
        <f>IF(A85="","",IFERROR(VLOOKUP(A85,'Job Operations'!$A$4:$AA$304,7,FALSE),""))</f>
        <v>FR ACM</v>
      </c>
      <c r="G85" s="70">
        <f>IF(A85="","",IFERROR(VLOOKUP(A85,'Job Operations'!$A$4:$AA$304,9,FALSE),""))</f>
        <v>46241</v>
      </c>
      <c r="H85" s="69" t="str" cm="1">
        <f t="array" ref="H85">IF(A85="","",_xlfn.LET(_xlpm.stn,IFERROR(VLOOKUP(A85,'Job Operations'!$A$4:$AA$304,12,FALSE),""),IF(OR(_xlpm.stn="Fabrication",_xlpm.stn="Fab"),_xlfn.LET(_xlpm.pos,SUMPRODUCT((A$7:A85&lt;&gt;"")*(IFERROR(VLOOKUP(A$7:A85,'Job Operations'!$A$4:$AA$304,12,FALSE),"")="Fabrication")+(A$7:A85&lt;&gt;"")*(IFERROR(VLOOKUP(A$7:A85,'Job Operations'!$A$4:$AA$304,12,FALSE),"")="Fab")),_xlpm.sfx,IF(OR(_xlpm.pos=11,_xlpm.pos=12,_xlpm.pos=13),"th",IF(MOD(_xlpm.pos,10)=1,"st",IF(MOD(_xlpm.pos,10)=2,"nd",IF(MOD(_xlpm.pos,10)=3,"rd","th")))),_xlpm.pos&amp;_xlpm.sfx),IF(_xlpm.stn&lt;&gt;"",_xlpm.stn,""))))</f>
        <v>LO</v>
      </c>
      <c r="I85" s="69" t="str" cm="1">
        <f t="array" ref="I85">IF(A85="","",_xlfn.LET(_xlpm.stn,IFERROR(VLOOKUP(A85,'Job Operations'!$A$4:$AA$304,12,FALSE),""),IF(OR(_xlpm.stn="Fabrication",_xlpm.stn="Fab"),_xlfn.LET(_xlpm.pos,SUMPRODUCT((A$7:A85&lt;&gt;"")*(IFERROR(VLOOKUP(A$7:A85,'Job Operations'!$A$4:$AA$304,12,FALSE),"")="Fabrication")+(A$7:A85&lt;&gt;"")*(IFERROR(VLOOKUP(A$7:A85,'Job Operations'!$A$4:$AA$304,12,FALSE),"")="Fab")),_xlpm.sfx,IF(OR(_xlpm.pos=11,_xlpm.pos=12,_xlpm.pos=13),"th",IF(MOD(_xlpm.pos,10)=1,"st",IF(MOD(_xlpm.pos,10)=2,"nd",IF(MOD(_xlpm.pos,10)=3,"rd","th")))),_xlpm.pos&amp;_xlpm.sfx),IF(ISNUMBER(MATCH(A85,'Clean and Brake Schedule'!A$7:A$100,0)),"#"&amp;MATCH(A85,'Clean and Brake Schedule'!A$7:A$100,0)&amp;" on C&amp;B",IF(ISNUMBER(MATCH(A85,'AXYZ Titans CNC Schedule'!A$7:A$100,0)),"#"&amp;MATCH(A85,'AXYZ Titans CNC Schedule'!A$7:A$100,0)&amp;" on Titans",IF(ISNUMBER(MATCH(A85,'AXYZ CNC Schedule'!A$7:A$100,0)),"#"&amp;MATCH(A85,'AXYZ CNC Schedule'!A$7:A$100,0)&amp;" on AXYZ",IF(_xlpm.stn&lt;&gt;"",_xlpm.stn,"")))))))</f>
        <v>#78 on C&amp;B</v>
      </c>
      <c r="J85" s="70">
        <f>IF(A85="","",IFERROR(VLOOKUP(A85,'Job Operations'!$A$4:$AA$304,18,FALSE),""))</f>
        <v>46228</v>
      </c>
      <c r="K85" s="69" t="str">
        <f>IF(A85="","",IFERROR(VLOOKUP(A85,'Job Operations'!$A$4:$AA$304,13,FALSE),""))</f>
        <v>AXYZ</v>
      </c>
      <c r="L85" s="69" t="str">
        <f>IF(A85="","",IFERROR(VLOOKUP(A85,'Job Operations'!$A$4:$AA$304,15,FALSE),""))</f>
        <v>Clean and Brake</v>
      </c>
      <c r="M85" s="171" t="str">
        <f>IF(A85="","",IF(IFERROR(VLOOKUP(A85,Notes!A:B,2,FALSE),"")=0,"",VLOOKUP(A85,Notes!A:B,2,FALSE)))</f>
        <v>04/16/2026…LO</v>
      </c>
    </row>
    <row r="86" spans="1:13" x14ac:dyDescent="0.25">
      <c r="A86" s="69" t="str">
        <v>25044-FS11</v>
      </c>
      <c r="B86" s="73" t="str">
        <f>IF(A86="","",IFERROR(VLOOKUP(A86,'Job Operations'!$A$4:$AA$304,2,FALSE),""))</f>
        <v>MALETA Firing Range</v>
      </c>
      <c r="C86" s="69" t="str">
        <f>IF(A86="","",IFERROR(VLOOKUP(A86,'Job Operations'!$A$4:$AA$304,3,FALSE),""))</f>
        <v>Cole Norona</v>
      </c>
      <c r="D86" s="69">
        <f>IF(A86="","",IFERROR(VLOOKUP(A86,'Job Operations'!$A$4:$AA$304,5,FALSE),""))</f>
        <v>185</v>
      </c>
      <c r="E86" s="69">
        <f>IF(A86="","",IFERROR(VLOOKUP(A86,'Job Operations'!$A$4:$AA$304,6,FALSE),""))</f>
        <v>0</v>
      </c>
      <c r="F86" s="69" t="str">
        <f>IF(A86="","",IFERROR(VLOOKUP(A86,'Job Operations'!$A$4:$AA$304,7,FALSE),""))</f>
        <v>FR ACM</v>
      </c>
      <c r="G86" s="70">
        <f>IF(A86="","",IFERROR(VLOOKUP(A86,'Job Operations'!$A$4:$AA$304,9,FALSE),""))</f>
        <v>46251</v>
      </c>
      <c r="H86" s="69" t="str" cm="1">
        <f t="array" ref="H86">IF(A86="","",_xlfn.LET(_xlpm.stn,IFERROR(VLOOKUP(A86,'Job Operations'!$A$4:$AA$304,12,FALSE),""),IF(OR(_xlpm.stn="Fabrication",_xlpm.stn="Fab"),_xlfn.LET(_xlpm.pos,SUMPRODUCT((A$7:A86&lt;&gt;"")*(IFERROR(VLOOKUP(A$7:A86,'Job Operations'!$A$4:$AA$304,12,FALSE),"")="Fabrication")+(A$7:A86&lt;&gt;"")*(IFERROR(VLOOKUP(A$7:A86,'Job Operations'!$A$4:$AA$304,12,FALSE),"")="Fab")),_xlpm.sfx,IF(OR(_xlpm.pos=11,_xlpm.pos=12,_xlpm.pos=13),"th",IF(MOD(_xlpm.pos,10)=1,"st",IF(MOD(_xlpm.pos,10)=2,"nd",IF(MOD(_xlpm.pos,10)=3,"rd","th")))),_xlpm.pos&amp;_xlpm.sfx),IF(_xlpm.stn&lt;&gt;"",_xlpm.stn,""))))</f>
        <v>LO</v>
      </c>
      <c r="I86" s="69" t="str" cm="1">
        <f t="array" ref="I86">IF(A86="","",_xlfn.LET(_xlpm.stn,IFERROR(VLOOKUP(A86,'Job Operations'!$A$4:$AA$304,12,FALSE),""),IF(OR(_xlpm.stn="Fabrication",_xlpm.stn="Fab"),_xlfn.LET(_xlpm.pos,SUMPRODUCT((A$7:A86&lt;&gt;"")*(IFERROR(VLOOKUP(A$7:A86,'Job Operations'!$A$4:$AA$304,12,FALSE),"")="Fabrication")+(A$7:A86&lt;&gt;"")*(IFERROR(VLOOKUP(A$7:A86,'Job Operations'!$A$4:$AA$304,12,FALSE),"")="Fab")),_xlpm.sfx,IF(OR(_xlpm.pos=11,_xlpm.pos=12,_xlpm.pos=13),"th",IF(MOD(_xlpm.pos,10)=1,"st",IF(MOD(_xlpm.pos,10)=2,"nd",IF(MOD(_xlpm.pos,10)=3,"rd","th")))),_xlpm.pos&amp;_xlpm.sfx),IF(ISNUMBER(MATCH(A86,'Clean and Brake Schedule'!A$7:A$100,0)),"#"&amp;MATCH(A86,'Clean and Brake Schedule'!A$7:A$100,0)&amp;" on C&amp;B",IF(ISNUMBER(MATCH(A86,'AXYZ Titans CNC Schedule'!A$7:A$100,0)),"#"&amp;MATCH(A86,'AXYZ Titans CNC Schedule'!A$7:A$100,0)&amp;" on Titans",IF(ISNUMBER(MATCH(A86,'AXYZ CNC Schedule'!A$7:A$100,0)),"#"&amp;MATCH(A86,'AXYZ CNC Schedule'!A$7:A$100,0)&amp;" on AXYZ",IF(_xlpm.stn&lt;&gt;"",_xlpm.stn,"")))))))</f>
        <v>#79 on C&amp;B</v>
      </c>
      <c r="J86" s="70">
        <f>IF(A86="","",IFERROR(VLOOKUP(A86,'Job Operations'!$A$4:$AA$304,18,FALSE),""))</f>
        <v>46238</v>
      </c>
      <c r="K86" s="69" t="str">
        <f>IF(A86="","",IFERROR(VLOOKUP(A86,'Job Operations'!$A$4:$AA$304,13,FALSE),""))</f>
        <v>AXYZ</v>
      </c>
      <c r="L86" s="69" t="str">
        <f>IF(A86="","",IFERROR(VLOOKUP(A86,'Job Operations'!$A$4:$AA$304,15,FALSE),""))</f>
        <v>Clean and Brake</v>
      </c>
      <c r="M86" s="171" t="str">
        <f>IF(A86="","",IF(IFERROR(VLOOKUP(A86,Notes!A:B,2,FALSE),"")=0,"",VLOOKUP(A86,Notes!A:B,2,FALSE)))</f>
        <v>04/16/2026…LO</v>
      </c>
    </row>
    <row r="87" spans="1:13" x14ac:dyDescent="0.25">
      <c r="A87" s="69" t="str">
        <v>25031-RO01</v>
      </c>
      <c r="B87" s="73" t="str">
        <f>IF(A87="","",IFERROR(VLOOKUP(A87,'Job Operations'!$A$4:$AA$304,2,FALSE),""))</f>
        <v>LLU Mars US Warehouse</v>
      </c>
      <c r="C87" s="69" t="str">
        <f>IF(A87="","",IFERROR(VLOOKUP(A87,'Job Operations'!$A$4:$AA$304,3,FALSE),""))</f>
        <v>Laura Forero</v>
      </c>
      <c r="D87" s="69">
        <f>IF(A87="","",IFERROR(VLOOKUP(A87,'Job Operations'!$A$4:$AA$304,5,FALSE),""))</f>
        <v>3</v>
      </c>
      <c r="E87" s="69">
        <f>IF(A87="","",IFERROR(VLOOKUP(A87,'Job Operations'!$A$4:$AA$304,6,FALSE),""))</f>
        <v>3</v>
      </c>
      <c r="F87" s="69" t="str">
        <f>IF(A87="","",IFERROR(VLOOKUP(A87,'Job Operations'!$A$4:$AA$304,7,FALSE),""))</f>
        <v>FR ACM</v>
      </c>
      <c r="G87" s="70">
        <f>IF(A87="","",IFERROR(VLOOKUP(A87,'Job Operations'!$A$4:$AA$304,9,FALSE),""))</f>
        <v>46134</v>
      </c>
      <c r="H87" s="69" t="str" cm="1">
        <f t="array" ref="H87">IF(A87="","",_xlfn.LET(_xlpm.stn,IFERROR(VLOOKUP(A87,'Job Operations'!$A$4:$AA$304,12,FALSE),""),IF(OR(_xlpm.stn="Fabrication",_xlpm.stn="Fab"),_xlfn.LET(_xlpm.pos,SUMPRODUCT((A$7:A87&lt;&gt;"")*(IFERROR(VLOOKUP(A$7:A87,'Job Operations'!$A$4:$AA$304,12,FALSE),"")="Fabrication")+(A$7:A87&lt;&gt;"")*(IFERROR(VLOOKUP(A$7:A87,'Job Operations'!$A$4:$AA$304,12,FALSE),"")="Fab")),_xlpm.sfx,IF(OR(_xlpm.pos=11,_xlpm.pos=12,_xlpm.pos=13),"th",IF(MOD(_xlpm.pos,10)=1,"st",IF(MOD(_xlpm.pos,10)=2,"nd",IF(MOD(_xlpm.pos,10)=3,"rd","th")))),_xlpm.pos&amp;_xlpm.sfx),IF(_xlpm.stn&lt;&gt;"",_xlpm.stn,""))))</f>
        <v>CNC Programming</v>
      </c>
      <c r="I87" s="69" t="str" cm="1">
        <f t="array" ref="I87">IF(A87="","",_xlfn.LET(_xlpm.stn,IFERROR(VLOOKUP(A87,'Job Operations'!$A$4:$AA$304,12,FALSE),""),IF(OR(_xlpm.stn="Fabrication",_xlpm.stn="Fab"),_xlfn.LET(_xlpm.pos,SUMPRODUCT((A$7:A87&lt;&gt;"")*(IFERROR(VLOOKUP(A$7:A87,'Job Operations'!$A$4:$AA$304,12,FALSE),"")="Fabrication")+(A$7:A87&lt;&gt;"")*(IFERROR(VLOOKUP(A$7:A87,'Job Operations'!$A$4:$AA$304,12,FALSE),"")="Fab")),_xlpm.sfx,IF(OR(_xlpm.pos=11,_xlpm.pos=12,_xlpm.pos=13),"th",IF(MOD(_xlpm.pos,10)=1,"st",IF(MOD(_xlpm.pos,10)=2,"nd",IF(MOD(_xlpm.pos,10)=3,"rd","th")))),_xlpm.pos&amp;_xlpm.sfx),IF(ISNUMBER(MATCH(A87,'Clean and Brake Schedule'!A$7:A$100,0)),"#"&amp;MATCH(A87,'Clean and Brake Schedule'!A$7:A$100,0)&amp;" on C&amp;B",IF(ISNUMBER(MATCH(A87,'AXYZ Titans CNC Schedule'!A$7:A$100,0)),"#"&amp;MATCH(A87,'AXYZ Titans CNC Schedule'!A$7:A$100,0)&amp;" on Titans",IF(ISNUMBER(MATCH(A87,'AXYZ CNC Schedule'!A$7:A$100,0)),"#"&amp;MATCH(A87,'AXYZ CNC Schedule'!A$7:A$100,0)&amp;" on AXYZ",IF(_xlpm.stn&lt;&gt;"",_xlpm.stn,"")))))))</f>
        <v>#35 on C&amp;B</v>
      </c>
      <c r="J87" s="70" t="str">
        <f>IF(A87="","",IFERROR(VLOOKUP(A87,'Job Operations'!$A$4:$AA$304,18,FALSE),""))</f>
        <v/>
      </c>
      <c r="K87" s="69" t="str">
        <f>IF(A87="","",IFERROR(VLOOKUP(A87,'Job Operations'!$A$4:$AA$304,13,FALSE),""))</f>
        <v>Clean and Brake</v>
      </c>
      <c r="L87" s="69" t="str">
        <f>IF(A87="","",IFERROR(VLOOKUP(A87,'Job Operations'!$A$4:$AA$304,15,FALSE),""))</f>
        <v>Fab</v>
      </c>
      <c r="M87" s="171" t="str">
        <f>IF(A87="","",IF(IFERROR(VLOOKUP(A87,Notes!A:B,2,FALSE),"")=0,"",VLOOKUP(A87,Notes!A:B,2,FALSE)))</f>
        <v>04/16/2026…CNC Programming</v>
      </c>
    </row>
    <row r="88" spans="1:13" x14ac:dyDescent="0.25">
      <c r="A88" s="69" t="str">
        <v>25006-FS10</v>
      </c>
      <c r="B88" s="73" t="str">
        <f>IF(A88="","",IFERROR(VLOOKUP(A88,'Job Operations'!$A$4:$AA$304,2,FALSE),""))</f>
        <v>MALETA Housing and Dining</v>
      </c>
      <c r="C88" s="69" t="str">
        <f>IF(A88="","",IFERROR(VLOOKUP(A88,'Job Operations'!$A$4:$AA$304,3,FALSE),""))</f>
        <v>Cole Norona</v>
      </c>
      <c r="D88" s="69">
        <f>IF(A88="","",IFERROR(VLOOKUP(A88,'Job Operations'!$A$4:$AA$304,5,FALSE),""))</f>
        <v>140</v>
      </c>
      <c r="E88" s="69">
        <f>IF(A88="","",IFERROR(VLOOKUP(A88,'Job Operations'!$A$4:$AA$304,6,FALSE),""))</f>
        <v>0</v>
      </c>
      <c r="F88" s="69" t="str">
        <f>IF(A88="","",IFERROR(VLOOKUP(A88,'Job Operations'!$A$4:$AA$304,7,FALSE),""))</f>
        <v>FR ACM</v>
      </c>
      <c r="G88" s="70">
        <f>IF(A88="","",IFERROR(VLOOKUP(A88,'Job Operations'!$A$4:$AA$304,9,FALSE),""))</f>
        <v>46205</v>
      </c>
      <c r="H88" s="69" t="str" cm="1">
        <f t="array" ref="H88">IF(A88="","",_xlfn.LET(_xlpm.stn,IFERROR(VLOOKUP(A88,'Job Operations'!$A$4:$AA$304,12,FALSE),""),IF(OR(_xlpm.stn="Fabrication",_xlpm.stn="Fab"),_xlfn.LET(_xlpm.pos,SUMPRODUCT((A$7:A88&lt;&gt;"")*(IFERROR(VLOOKUP(A$7:A88,'Job Operations'!$A$4:$AA$304,12,FALSE),"")="Fabrication")+(A$7:A88&lt;&gt;"")*(IFERROR(VLOOKUP(A$7:A88,'Job Operations'!$A$4:$AA$304,12,FALSE),"")="Fab")),_xlpm.sfx,IF(OR(_xlpm.pos=11,_xlpm.pos=12,_xlpm.pos=13),"th",IF(MOD(_xlpm.pos,10)=1,"st",IF(MOD(_xlpm.pos,10)=2,"nd",IF(MOD(_xlpm.pos,10)=3,"rd","th")))),_xlpm.pos&amp;_xlpm.sfx),IF(_xlpm.stn&lt;&gt;"",_xlpm.stn,""))))</f>
        <v>LO</v>
      </c>
      <c r="I88" s="69" t="str" cm="1">
        <f t="array" ref="I88">IF(A88="","",_xlfn.LET(_xlpm.stn,IFERROR(VLOOKUP(A88,'Job Operations'!$A$4:$AA$304,12,FALSE),""),IF(OR(_xlpm.stn="Fabrication",_xlpm.stn="Fab"),_xlfn.LET(_xlpm.pos,SUMPRODUCT((A$7:A88&lt;&gt;"")*(IFERROR(VLOOKUP(A$7:A88,'Job Operations'!$A$4:$AA$304,12,FALSE),"")="Fabrication")+(A$7:A88&lt;&gt;"")*(IFERROR(VLOOKUP(A$7:A88,'Job Operations'!$A$4:$AA$304,12,FALSE),"")="Fab")),_xlpm.sfx,IF(OR(_xlpm.pos=11,_xlpm.pos=12,_xlpm.pos=13),"th",IF(MOD(_xlpm.pos,10)=1,"st",IF(MOD(_xlpm.pos,10)=2,"nd",IF(MOD(_xlpm.pos,10)=3,"rd","th")))),_xlpm.pos&amp;_xlpm.sfx),IF(ISNUMBER(MATCH(A88,'Clean and Brake Schedule'!A$7:A$100,0)),"#"&amp;MATCH(A88,'Clean and Brake Schedule'!A$7:A$100,0)&amp;" on C&amp;B",IF(ISNUMBER(MATCH(A88,'AXYZ Titans CNC Schedule'!A$7:A$100,0)),"#"&amp;MATCH(A88,'AXYZ Titans CNC Schedule'!A$7:A$100,0)&amp;" on Titans",IF(ISNUMBER(MATCH(A88,'AXYZ CNC Schedule'!A$7:A$100,0)),"#"&amp;MATCH(A88,'AXYZ CNC Schedule'!A$7:A$100,0)&amp;" on AXYZ",IF(_xlpm.stn&lt;&gt;"",_xlpm.stn,"")))))))</f>
        <v>#57 on AXYZ</v>
      </c>
      <c r="J88" s="70" t="str">
        <f>IF(A88="","",IFERROR(VLOOKUP(A88,'Job Operations'!$A$4:$AA$304,18,FALSE),""))</f>
        <v/>
      </c>
      <c r="K88" s="69" t="str">
        <f>IF(A88="","",IFERROR(VLOOKUP(A88,'Job Operations'!$A$4:$AA$304,13,FALSE),""))</f>
        <v>AXYZ</v>
      </c>
      <c r="L88" s="69" t="str">
        <f>IF(A88="","",IFERROR(VLOOKUP(A88,'Job Operations'!$A$4:$AA$304,15,FALSE),""))</f>
        <v>Fab</v>
      </c>
      <c r="M88" s="171" t="str">
        <f>IF(A88="","",IF(IFERROR(VLOOKUP(A88,Notes!A:B,2,FALSE),"")=0,"",VLOOKUP(A88,Notes!A:B,2,FALSE)))</f>
        <v>HOAR*04/16/2026…LO</v>
      </c>
    </row>
    <row r="89" spans="1:13" x14ac:dyDescent="0.25">
      <c r="A89" s="69" t="str">
        <v>25075-RP01</v>
      </c>
      <c r="B89" s="73" t="str">
        <f>IF(A89="","",IFERROR(VLOOKUP(A89,'Job Operations'!$A$4:$AA$304,2,FALSE),""))</f>
        <v>St Thomas West Canopy Replace</v>
      </c>
      <c r="C89" s="69" t="str">
        <f>IF(A89="","",IFERROR(VLOOKUP(A89,'Job Operations'!$A$4:$AA$304,3,FALSE),""))</f>
        <v>Chris Buttrey</v>
      </c>
      <c r="D89" s="69">
        <f>IF(A89="","",IFERROR(VLOOKUP(A89,'Job Operations'!$A$4:$AA$304,5,FALSE),""))</f>
        <v>2</v>
      </c>
      <c r="E89" s="69">
        <f>IF(A89="","",IFERROR(VLOOKUP(A89,'Job Operations'!$A$4:$AA$304,6,FALSE),""))</f>
        <v>6</v>
      </c>
      <c r="F89" s="69">
        <f>IF(A89="","",IFERROR(VLOOKUP(A89,'Job Operations'!$A$4:$AA$304,7,FALSE),""))</f>
        <v>0</v>
      </c>
      <c r="G89" s="70">
        <f>IF(A89="","",IFERROR(VLOOKUP(A89,'Job Operations'!$A$4:$AA$304,9,FALSE),""))</f>
        <v>0</v>
      </c>
      <c r="H89" s="69" t="str" cm="1">
        <f t="array" ref="H89">IF(A89="","",_xlfn.LET(_xlpm.stn,IFERROR(VLOOKUP(A89,'Job Operations'!$A$4:$AA$304,12,FALSE),""),IF(OR(_xlpm.stn="Fabrication",_xlpm.stn="Fab"),_xlfn.LET(_xlpm.pos,SUMPRODUCT((A$7:A89&lt;&gt;"")*(IFERROR(VLOOKUP(A$7:A89,'Job Operations'!$A$4:$AA$304,12,FALSE),"")="Fabrication")+(A$7:A89&lt;&gt;"")*(IFERROR(VLOOKUP(A$7:A89,'Job Operations'!$A$4:$AA$304,12,FALSE),"")="Fab")),_xlpm.sfx,IF(OR(_xlpm.pos=11,_xlpm.pos=12,_xlpm.pos=13),"th",IF(MOD(_xlpm.pos,10)=1,"st",IF(MOD(_xlpm.pos,10)=2,"nd",IF(MOD(_xlpm.pos,10)=3,"rd","th")))),_xlpm.pos&amp;_xlpm.sfx),IF(_xlpm.stn&lt;&gt;"",_xlpm.stn,""))))</f>
        <v>CNC Programming</v>
      </c>
      <c r="I89" s="69" t="str" cm="1">
        <f t="array" ref="I89">IF(A89="","",_xlfn.LET(_xlpm.stn,IFERROR(VLOOKUP(A89,'Job Operations'!$A$4:$AA$304,12,FALSE),""),IF(OR(_xlpm.stn="Fabrication",_xlpm.stn="Fab"),_xlfn.LET(_xlpm.pos,SUMPRODUCT((A$7:A89&lt;&gt;"")*(IFERROR(VLOOKUP(A$7:A89,'Job Operations'!$A$4:$AA$304,12,FALSE),"")="Fabrication")+(A$7:A89&lt;&gt;"")*(IFERROR(VLOOKUP(A$7:A89,'Job Operations'!$A$4:$AA$304,12,FALSE),"")="Fab")),_xlpm.sfx,IF(OR(_xlpm.pos=11,_xlpm.pos=12,_xlpm.pos=13),"th",IF(MOD(_xlpm.pos,10)=1,"st",IF(MOD(_xlpm.pos,10)=2,"nd",IF(MOD(_xlpm.pos,10)=3,"rd","th")))),_xlpm.pos&amp;_xlpm.sfx),IF(ISNUMBER(MATCH(A89,'Clean and Brake Schedule'!A$7:A$100,0)),"#"&amp;MATCH(A89,'Clean and Brake Schedule'!A$7:A$100,0)&amp;" on C&amp;B",IF(ISNUMBER(MATCH(A89,'AXYZ Titans CNC Schedule'!A$7:A$100,0)),"#"&amp;MATCH(A89,'AXYZ Titans CNC Schedule'!A$7:A$100,0)&amp;" on Titans",IF(ISNUMBER(MATCH(A89,'AXYZ CNC Schedule'!A$7:A$100,0)),"#"&amp;MATCH(A89,'AXYZ CNC Schedule'!A$7:A$100,0)&amp;" on AXYZ",IF(_xlpm.stn&lt;&gt;"",_xlpm.stn,"")))))))</f>
        <v>#80 on C&amp;B</v>
      </c>
      <c r="J89" s="70" t="str">
        <f>IF(A89="","",IFERROR(VLOOKUP(A89,'Job Operations'!$A$4:$AA$304,18,FALSE),""))</f>
        <v/>
      </c>
      <c r="K89" s="69" t="str">
        <f>IF(A89="","",IFERROR(VLOOKUP(A89,'Job Operations'!$A$4:$AA$304,13,FALSE),""))</f>
        <v>AXYZ 34</v>
      </c>
      <c r="L89" s="69" t="str">
        <f>IF(A89="","",IFERROR(VLOOKUP(A89,'Job Operations'!$A$4:$AA$304,15,FALSE),""))</f>
        <v>Clean and Brake</v>
      </c>
      <c r="M89" s="171" t="str">
        <f>IF(A89="","",IF(IFERROR(VLOOKUP(A89,Notes!A:B,2,FALSE),"")=0,"",VLOOKUP(A89,Notes!A:B,2,FALSE)))</f>
        <v>04/16/2026…</v>
      </c>
    </row>
    <row r="90" spans="1:13" x14ac:dyDescent="0.25">
      <c r="A90" s="69" t="str">
        <v>24051-RP58</v>
      </c>
      <c r="B90" s="73" t="str">
        <f>IF(A90="","",IFERROR(VLOOKUP(A90,'Job Operations'!$A$4:$AA$304,2,FALSE),""))</f>
        <v>TN Titans Stadium</v>
      </c>
      <c r="C90" s="69" t="str">
        <f>IF(A90="","",IFERROR(VLOOKUP(A90,'Job Operations'!$A$4:$AA$304,3,FALSE),""))</f>
        <v>Marc Ribar</v>
      </c>
      <c r="D90" s="69">
        <f>IF(A90="","",IFERROR(VLOOKUP(A90,'Job Operations'!$A$4:$AA$304,5,FALSE),""))</f>
        <v>1</v>
      </c>
      <c r="E90" s="69">
        <f>IF(A90="","",IFERROR(VLOOKUP(A90,'Job Operations'!$A$4:$AA$304,6,FALSE),""))</f>
        <v>0</v>
      </c>
      <c r="F90" s="69">
        <f>IF(A90="","",IFERROR(VLOOKUP(A90,'Job Operations'!$A$4:$AA$304,7,FALSE),""))</f>
        <v>0</v>
      </c>
      <c r="G90" s="70">
        <f>IF(A90="","",IFERROR(VLOOKUP(A90,'Job Operations'!$A$4:$AA$304,9,FALSE),""))</f>
        <v>0</v>
      </c>
      <c r="H90" s="69" t="str" cm="1">
        <f t="array" ref="H90">IF(A90="","",_xlfn.LET(_xlpm.stn,IFERROR(VLOOKUP(A90,'Job Operations'!$A$4:$AA$304,12,FALSE),""),IF(OR(_xlpm.stn="Fabrication",_xlpm.stn="Fab"),_xlfn.LET(_xlpm.pos,SUMPRODUCT((A$7:A90&lt;&gt;"")*(IFERROR(VLOOKUP(A$7:A90,'Job Operations'!$A$4:$AA$304,12,FALSE),"")="Fabrication")+(A$7:A90&lt;&gt;"")*(IFERROR(VLOOKUP(A$7:A90,'Job Operations'!$A$4:$AA$304,12,FALSE),"")="Fab")),_xlpm.sfx,IF(OR(_xlpm.pos=11,_xlpm.pos=12,_xlpm.pos=13),"th",IF(MOD(_xlpm.pos,10)=1,"st",IF(MOD(_xlpm.pos,10)=2,"nd",IF(MOD(_xlpm.pos,10)=3,"rd","th")))),_xlpm.pos&amp;_xlpm.sfx),IF(_xlpm.stn&lt;&gt;"",_xlpm.stn,""))))</f>
        <v>CNC Programming</v>
      </c>
      <c r="I90" s="69" t="str" cm="1">
        <f t="array" ref="I90">IF(A90="","",_xlfn.LET(_xlpm.stn,IFERROR(VLOOKUP(A90,'Job Operations'!$A$4:$AA$304,12,FALSE),""),IF(OR(_xlpm.stn="Fabrication",_xlpm.stn="Fab"),_xlfn.LET(_xlpm.pos,SUMPRODUCT((A$7:A90&lt;&gt;"")*(IFERROR(VLOOKUP(A$7:A90,'Job Operations'!$A$4:$AA$304,12,FALSE),"")="Fabrication")+(A$7:A90&lt;&gt;"")*(IFERROR(VLOOKUP(A$7:A90,'Job Operations'!$A$4:$AA$304,12,FALSE),"")="Fab")),_xlpm.sfx,IF(OR(_xlpm.pos=11,_xlpm.pos=12,_xlpm.pos=13),"th",IF(MOD(_xlpm.pos,10)=1,"st",IF(MOD(_xlpm.pos,10)=2,"nd",IF(MOD(_xlpm.pos,10)=3,"rd","th")))),_xlpm.pos&amp;_xlpm.sfx),IF(ISNUMBER(MATCH(A90,'Clean and Brake Schedule'!A$7:A$100,0)),"#"&amp;MATCH(A90,'Clean and Brake Schedule'!A$7:A$100,0)&amp;" on C&amp;B",IF(ISNUMBER(MATCH(A90,'AXYZ Titans CNC Schedule'!A$7:A$100,0)),"#"&amp;MATCH(A90,'AXYZ Titans CNC Schedule'!A$7:A$100,0)&amp;" on Titans",IF(ISNUMBER(MATCH(A90,'AXYZ CNC Schedule'!A$7:A$100,0)),"#"&amp;MATCH(A90,'AXYZ CNC Schedule'!A$7:A$100,0)&amp;" on AXYZ",IF(_xlpm.stn&lt;&gt;"",_xlpm.stn,"")))))))</f>
        <v>#81 on C&amp;B</v>
      </c>
      <c r="J90" s="70" t="str">
        <f>IF(A90="","",IFERROR(VLOOKUP(A90,'Job Operations'!$A$4:$AA$304,18,FALSE),""))</f>
        <v/>
      </c>
      <c r="K90" s="69" t="str">
        <f>IF(A90="","",IFERROR(VLOOKUP(A90,'Job Operations'!$A$4:$AA$304,13,FALSE),""))</f>
        <v>AXYZ 34</v>
      </c>
      <c r="L90" s="69" t="str">
        <f>IF(A90="","",IFERROR(VLOOKUP(A90,'Job Operations'!$A$4:$AA$304,15,FALSE),""))</f>
        <v>Clean and Brake</v>
      </c>
      <c r="M90" s="171" t="str">
        <f>IF(A90="","",IF(IFERROR(VLOOKUP(A90,Notes!A:B,2,FALSE),"")=0,"",VLOOKUP(A90,Notes!A:B,2,FALSE)))</f>
        <v>04/16/2026…</v>
      </c>
    </row>
    <row r="91" spans="1:13" x14ac:dyDescent="0.25">
      <c r="A91" s="69" t="str">
        <v>24071-RP15</v>
      </c>
      <c r="B91" s="73" t="str">
        <f>IF(A91="","",IFERROR(VLOOKUP(A91,'Job Operations'!$A$4:$AA$304,2,FALSE),""))</f>
        <v>RS Gass State Lab</v>
      </c>
      <c r="C91" s="69" t="str">
        <f>IF(A91="","",IFERROR(VLOOKUP(A91,'Job Operations'!$A$4:$AA$304,3,FALSE),""))</f>
        <v>Cole Norona</v>
      </c>
      <c r="D91" s="69">
        <f>IF(A91="","",IFERROR(VLOOKUP(A91,'Job Operations'!$A$4:$AA$304,5,FALSE),""))</f>
        <v>0</v>
      </c>
      <c r="E91" s="69">
        <f>IF(A91="","",IFERROR(VLOOKUP(A91,'Job Operations'!$A$4:$AA$304,6,FALSE),""))</f>
        <v>3</v>
      </c>
      <c r="F91" s="69">
        <f>IF(A91="","",IFERROR(VLOOKUP(A91,'Job Operations'!$A$4:$AA$304,7,FALSE),""))</f>
        <v>0</v>
      </c>
      <c r="G91" s="70">
        <f>IF(A91="","",IFERROR(VLOOKUP(A91,'Job Operations'!$A$4:$AA$304,9,FALSE),""))</f>
        <v>0</v>
      </c>
      <c r="H91" s="69" t="str" cm="1">
        <f t="array" ref="H91">IF(A91="","",_xlfn.LET(_xlpm.stn,IFERROR(VLOOKUP(A91,'Job Operations'!$A$4:$AA$304,12,FALSE),""),IF(OR(_xlpm.stn="Fabrication",_xlpm.stn="Fab"),_xlfn.LET(_xlpm.pos,SUMPRODUCT((A$7:A91&lt;&gt;"")*(IFERROR(VLOOKUP(A$7:A91,'Job Operations'!$A$4:$AA$304,12,FALSE),"")="Fabrication")+(A$7:A91&lt;&gt;"")*(IFERROR(VLOOKUP(A$7:A91,'Job Operations'!$A$4:$AA$304,12,FALSE),"")="Fab")),_xlpm.sfx,IF(OR(_xlpm.pos=11,_xlpm.pos=12,_xlpm.pos=13),"th",IF(MOD(_xlpm.pos,10)=1,"st",IF(MOD(_xlpm.pos,10)=2,"nd",IF(MOD(_xlpm.pos,10)=3,"rd","th")))),_xlpm.pos&amp;_xlpm.sfx),IF(_xlpm.stn&lt;&gt;"",_xlpm.stn,""))))</f>
        <v>CNC Programming</v>
      </c>
      <c r="I91" s="69" t="str" cm="1">
        <f t="array" ref="I91">IF(A91="","",_xlfn.LET(_xlpm.stn,IFERROR(VLOOKUP(A91,'Job Operations'!$A$4:$AA$304,12,FALSE),""),IF(OR(_xlpm.stn="Fabrication",_xlpm.stn="Fab"),_xlfn.LET(_xlpm.pos,SUMPRODUCT((A$7:A91&lt;&gt;"")*(IFERROR(VLOOKUP(A$7:A91,'Job Operations'!$A$4:$AA$304,12,FALSE),"")="Fabrication")+(A$7:A91&lt;&gt;"")*(IFERROR(VLOOKUP(A$7:A91,'Job Operations'!$A$4:$AA$304,12,FALSE),"")="Fab")),_xlpm.sfx,IF(OR(_xlpm.pos=11,_xlpm.pos=12,_xlpm.pos=13),"th",IF(MOD(_xlpm.pos,10)=1,"st",IF(MOD(_xlpm.pos,10)=2,"nd",IF(MOD(_xlpm.pos,10)=3,"rd","th")))),_xlpm.pos&amp;_xlpm.sfx),IF(ISNUMBER(MATCH(A91,'Clean and Brake Schedule'!A$7:A$100,0)),"#"&amp;MATCH(A91,'Clean and Brake Schedule'!A$7:A$100,0)&amp;" on C&amp;B",IF(ISNUMBER(MATCH(A91,'AXYZ Titans CNC Schedule'!A$7:A$100,0)),"#"&amp;MATCH(A91,'AXYZ Titans CNC Schedule'!A$7:A$100,0)&amp;" on Titans",IF(ISNUMBER(MATCH(A91,'AXYZ CNC Schedule'!A$7:A$100,0)),"#"&amp;MATCH(A91,'AXYZ CNC Schedule'!A$7:A$100,0)&amp;" on AXYZ",IF(_xlpm.stn&lt;&gt;"",_xlpm.stn,"")))))))</f>
        <v>#82 on C&amp;B</v>
      </c>
      <c r="J91" s="70" t="str">
        <f>IF(A91="","",IFERROR(VLOOKUP(A91,'Job Operations'!$A$4:$AA$304,18,FALSE),""))</f>
        <v/>
      </c>
      <c r="K91" s="69" t="str">
        <f>IF(A91="","",IFERROR(VLOOKUP(A91,'Job Operations'!$A$4:$AA$304,13,FALSE),""))</f>
        <v>AXYZ 34</v>
      </c>
      <c r="L91" s="69" t="str">
        <f>IF(A91="","",IFERROR(VLOOKUP(A91,'Job Operations'!$A$4:$AA$304,15,FALSE),""))</f>
        <v>Clean and Brake</v>
      </c>
      <c r="M91" s="171" t="str">
        <f>IF(A91="","",IF(IFERROR(VLOOKUP(A91,Notes!A:B,2,FALSE),"")=0,"",VLOOKUP(A91,Notes!A:B,2,FALSE)))</f>
        <v>04/16/2026…</v>
      </c>
    </row>
    <row r="92" spans="1:13" x14ac:dyDescent="0.25">
      <c r="A92" s="69"/>
      <c r="B92" s="73" t="str">
        <f>IF(A92="","",IFERROR(VLOOKUP(A92,'Job Operations'!$A$4:$AA$304,2,FALSE),""))</f>
        <v/>
      </c>
      <c r="C92" s="69" t="str">
        <f>IF(A92="","",IFERROR(VLOOKUP(A92,'Job Operations'!$A$4:$AA$304,3,FALSE),""))</f>
        <v/>
      </c>
      <c r="D92" s="69" t="str">
        <f>IF(A92="","",IFERROR(VLOOKUP(A92,'Job Operations'!$A$4:$AA$304,5,FALSE),""))</f>
        <v/>
      </c>
      <c r="E92" s="69" t="str">
        <f>IF(A92="","",IFERROR(VLOOKUP(A92,'Job Operations'!$A$4:$AA$304,6,FALSE),""))</f>
        <v/>
      </c>
      <c r="F92" s="69" t="str">
        <f>IF(A92="","",IFERROR(VLOOKUP(A92,'Job Operations'!$A$4:$AA$304,7,FALSE),""))</f>
        <v/>
      </c>
      <c r="G92" s="70" t="str">
        <f>IF(A92="","",IFERROR(VLOOKUP(A92,'Job Operations'!$A$4:$AA$304,9,FALSE),""))</f>
        <v/>
      </c>
      <c r="H92" s="69" t="str" cm="1">
        <f t="array" ref="H92">IF(A92="","",_xlfn.LET(_xlpm.stn,IFERROR(VLOOKUP(A92,'Job Operations'!$A$4:$AA$304,12,FALSE),""),IF(OR(_xlpm.stn="Fabrication",_xlpm.stn="Fab"),_xlfn.LET(_xlpm.pos,SUMPRODUCT((A$7:A92&lt;&gt;"")*(IFERROR(VLOOKUP(A$7:A92,'Job Operations'!$A$4:$AA$304,12,FALSE),"")="Fabrication")+(A$7:A92&lt;&gt;"")*(IFERROR(VLOOKUP(A$7:A92,'Job Operations'!$A$4:$AA$304,12,FALSE),"")="Fab")),_xlpm.sfx,IF(OR(_xlpm.pos=11,_xlpm.pos=12,_xlpm.pos=13),"th",IF(MOD(_xlpm.pos,10)=1,"st",IF(MOD(_xlpm.pos,10)=2,"nd",IF(MOD(_xlpm.pos,10)=3,"rd","th")))),_xlpm.pos&amp;_xlpm.sfx),IF(_xlpm.stn&lt;&gt;"",_xlpm.stn,""))))</f>
        <v/>
      </c>
      <c r="I92" s="69" t="str" cm="1">
        <f t="array" ref="I92">IF(A92="","",_xlfn.LET(_xlpm.stn,IFERROR(VLOOKUP(A92,'Job Operations'!$A$4:$AA$304,12,FALSE),""),IF(OR(_xlpm.stn="Fabrication",_xlpm.stn="Fab"),_xlfn.LET(_xlpm.pos,SUMPRODUCT((A$7:A92&lt;&gt;"")*(IFERROR(VLOOKUP(A$7:A92,'Job Operations'!$A$4:$AA$304,12,FALSE),"")="Fabrication")+(A$7:A92&lt;&gt;"")*(IFERROR(VLOOKUP(A$7:A92,'Job Operations'!$A$4:$AA$304,12,FALSE),"")="Fab")),_xlpm.sfx,IF(OR(_xlpm.pos=11,_xlpm.pos=12,_xlpm.pos=13),"th",IF(MOD(_xlpm.pos,10)=1,"st",IF(MOD(_xlpm.pos,10)=2,"nd",IF(MOD(_xlpm.pos,10)=3,"rd","th")))),_xlpm.pos&amp;_xlpm.sfx),IF(ISNUMBER(MATCH(A92,'Clean and Brake Schedule'!A$7:A$100,0)),"#"&amp;MATCH(A92,'Clean and Brake Schedule'!A$7:A$100,0)&amp;" on C&amp;B",IF(ISNUMBER(MATCH(A92,'AXYZ Titans CNC Schedule'!A$7:A$100,0)),"#"&amp;MATCH(A92,'AXYZ Titans CNC Schedule'!A$7:A$100,0)&amp;" on Titans",IF(ISNUMBER(MATCH(A92,'AXYZ CNC Schedule'!A$7:A$100,0)),"#"&amp;MATCH(A92,'AXYZ CNC Schedule'!A$7:A$100,0)&amp;" on AXYZ",IF(_xlpm.stn&lt;&gt;"",_xlpm.stn,"")))))))</f>
        <v/>
      </c>
      <c r="J92" s="70" t="str">
        <f>IF(A92="","",IFERROR(VLOOKUP(A92,'Job Operations'!$A$4:$AA$304,18,FALSE),""))</f>
        <v/>
      </c>
      <c r="K92" s="69" t="str">
        <f>IF(A92="","",IFERROR(VLOOKUP(A92,'Job Operations'!$A$4:$AA$304,13,FALSE),""))</f>
        <v/>
      </c>
      <c r="L92" s="69" t="str">
        <f>IF(A92="","",IFERROR(VLOOKUP(A92,'Job Operations'!$A$4:$AA$304,15,FALSE),""))</f>
        <v/>
      </c>
      <c r="M92" s="171" t="str">
        <f>IF(A92="","",IF(IFERROR(VLOOKUP(A92,Notes!A:B,2,FALSE),"")=0,"",VLOOKUP(A92,Notes!A:B,2,FALSE)))</f>
        <v/>
      </c>
    </row>
    <row r="93" spans="1:13" x14ac:dyDescent="0.25">
      <c r="A93" s="69"/>
      <c r="B93" s="73" t="str">
        <f>IF(A93="","",IFERROR(VLOOKUP(A93,'Job Operations'!$A$4:$AA$304,2,FALSE),""))</f>
        <v/>
      </c>
      <c r="C93" s="69" t="str">
        <f>IF(A93="","",IFERROR(VLOOKUP(A93,'Job Operations'!$A$4:$AA$304,3,FALSE),""))</f>
        <v/>
      </c>
      <c r="D93" s="69" t="str">
        <f>IF(A93="","",IFERROR(VLOOKUP(A93,'Job Operations'!$A$4:$AA$304,5,FALSE),""))</f>
        <v/>
      </c>
      <c r="E93" s="69" t="str">
        <f>IF(A93="","",IFERROR(VLOOKUP(A93,'Job Operations'!$A$4:$AA$304,6,FALSE),""))</f>
        <v/>
      </c>
      <c r="F93" s="69" t="str">
        <f>IF(A93="","",IFERROR(VLOOKUP(A93,'Job Operations'!$A$4:$AA$304,7,FALSE),""))</f>
        <v/>
      </c>
      <c r="G93" s="70" t="str">
        <f>IF(A93="","",IFERROR(VLOOKUP(A93,'Job Operations'!$A$4:$AA$304,9,FALSE),""))</f>
        <v/>
      </c>
      <c r="H93" s="69" t="str" cm="1">
        <f t="array" ref="H93">IF(A93="","",_xlfn.LET(_xlpm.stn,IFERROR(VLOOKUP(A93,'Job Operations'!$A$4:$AA$304,12,FALSE),""),IF(OR(_xlpm.stn="Fabrication",_xlpm.stn="Fab"),_xlfn.LET(_xlpm.pos,SUMPRODUCT((A$7:A93&lt;&gt;"")*(IFERROR(VLOOKUP(A$7:A93,'Job Operations'!$A$4:$AA$304,12,FALSE),"")="Fabrication")+(A$7:A93&lt;&gt;"")*(IFERROR(VLOOKUP(A$7:A93,'Job Operations'!$A$4:$AA$304,12,FALSE),"")="Fab")),_xlpm.sfx,IF(OR(_xlpm.pos=11,_xlpm.pos=12,_xlpm.pos=13),"th",IF(MOD(_xlpm.pos,10)=1,"st",IF(MOD(_xlpm.pos,10)=2,"nd",IF(MOD(_xlpm.pos,10)=3,"rd","th")))),_xlpm.pos&amp;_xlpm.sfx),IF(_xlpm.stn&lt;&gt;"",_xlpm.stn,""))))</f>
        <v/>
      </c>
      <c r="I93" s="69" t="str" cm="1">
        <f t="array" ref="I93">IF(A93="","",_xlfn.LET(_xlpm.stn,IFERROR(VLOOKUP(A93,'Job Operations'!$A$4:$AA$304,12,FALSE),""),IF(OR(_xlpm.stn="Fabrication",_xlpm.stn="Fab"),_xlfn.LET(_xlpm.pos,SUMPRODUCT((A$7:A93&lt;&gt;"")*(IFERROR(VLOOKUP(A$7:A93,'Job Operations'!$A$4:$AA$304,12,FALSE),"")="Fabrication")+(A$7:A93&lt;&gt;"")*(IFERROR(VLOOKUP(A$7:A93,'Job Operations'!$A$4:$AA$304,12,FALSE),"")="Fab")),_xlpm.sfx,IF(OR(_xlpm.pos=11,_xlpm.pos=12,_xlpm.pos=13),"th",IF(MOD(_xlpm.pos,10)=1,"st",IF(MOD(_xlpm.pos,10)=2,"nd",IF(MOD(_xlpm.pos,10)=3,"rd","th")))),_xlpm.pos&amp;_xlpm.sfx),IF(ISNUMBER(MATCH(A93,'Clean and Brake Schedule'!A$7:A$100,0)),"#"&amp;MATCH(A93,'Clean and Brake Schedule'!A$7:A$100,0)&amp;" on C&amp;B",IF(ISNUMBER(MATCH(A93,'AXYZ Titans CNC Schedule'!A$7:A$100,0)),"#"&amp;MATCH(A93,'AXYZ Titans CNC Schedule'!A$7:A$100,0)&amp;" on Titans",IF(ISNUMBER(MATCH(A93,'AXYZ CNC Schedule'!A$7:A$100,0)),"#"&amp;MATCH(A93,'AXYZ CNC Schedule'!A$7:A$100,0)&amp;" on AXYZ",IF(_xlpm.stn&lt;&gt;"",_xlpm.stn,"")))))))</f>
        <v/>
      </c>
      <c r="J93" s="70" t="str">
        <f>IF(A93="","",IFERROR(VLOOKUP(A93,'Job Operations'!$A$4:$AA$304,18,FALSE),""))</f>
        <v/>
      </c>
      <c r="K93" s="69" t="str">
        <f>IF(A93="","",IFERROR(VLOOKUP(A93,'Job Operations'!$A$4:$AA$304,13,FALSE),""))</f>
        <v/>
      </c>
      <c r="L93" s="69" t="str">
        <f>IF(A93="","",IFERROR(VLOOKUP(A93,'Job Operations'!$A$4:$AA$304,15,FALSE),""))</f>
        <v/>
      </c>
      <c r="M93" s="171" t="str">
        <f>IF(A93="","",IF(IFERROR(VLOOKUP(A93,Notes!A:B,2,FALSE),"")=0,"",VLOOKUP(A93,Notes!A:B,2,FALSE)))</f>
        <v/>
      </c>
    </row>
    <row r="94" spans="1:13" x14ac:dyDescent="0.25">
      <c r="A94" s="69"/>
      <c r="B94" s="73" t="str">
        <f>IF(A94="","",IFERROR(VLOOKUP(A94,'Job Operations'!$A$4:$AA$304,2,FALSE),""))</f>
        <v/>
      </c>
      <c r="C94" s="69" t="str">
        <f>IF(A94="","",IFERROR(VLOOKUP(A94,'Job Operations'!$A$4:$AA$304,3,FALSE),""))</f>
        <v/>
      </c>
      <c r="D94" s="69" t="str">
        <f>IF(A94="","",IFERROR(VLOOKUP(A94,'Job Operations'!$A$4:$AA$304,5,FALSE),""))</f>
        <v/>
      </c>
      <c r="E94" s="69" t="str">
        <f>IF(A94="","",IFERROR(VLOOKUP(A94,'Job Operations'!$A$4:$AA$304,6,FALSE),""))</f>
        <v/>
      </c>
      <c r="F94" s="69" t="str">
        <f>IF(A94="","",IFERROR(VLOOKUP(A94,'Job Operations'!$A$4:$AA$304,7,FALSE),""))</f>
        <v/>
      </c>
      <c r="G94" s="70" t="str">
        <f>IF(A94="","",IFERROR(VLOOKUP(A94,'Job Operations'!$A$4:$AA$304,9,FALSE),""))</f>
        <v/>
      </c>
      <c r="H94" s="69" t="str" cm="1">
        <f t="array" ref="H94">IF(A94="","",_xlfn.LET(_xlpm.stn,IFERROR(VLOOKUP(A94,'Job Operations'!$A$4:$AA$304,12,FALSE),""),IF(OR(_xlpm.stn="Fabrication",_xlpm.stn="Fab"),_xlfn.LET(_xlpm.pos,SUMPRODUCT((A$7:A94&lt;&gt;"")*(IFERROR(VLOOKUP(A$7:A94,'Job Operations'!$A$4:$AA$304,12,FALSE),"")="Fabrication")+(A$7:A94&lt;&gt;"")*(IFERROR(VLOOKUP(A$7:A94,'Job Operations'!$A$4:$AA$304,12,FALSE),"")="Fab")),_xlpm.sfx,IF(OR(_xlpm.pos=11,_xlpm.pos=12,_xlpm.pos=13),"th",IF(MOD(_xlpm.pos,10)=1,"st",IF(MOD(_xlpm.pos,10)=2,"nd",IF(MOD(_xlpm.pos,10)=3,"rd","th")))),_xlpm.pos&amp;_xlpm.sfx),IF(_xlpm.stn&lt;&gt;"",_xlpm.stn,""))))</f>
        <v/>
      </c>
      <c r="I94" s="69" t="str" cm="1">
        <f t="array" ref="I94">IF(A94="","",_xlfn.LET(_xlpm.stn,IFERROR(VLOOKUP(A94,'Job Operations'!$A$4:$AA$304,12,FALSE),""),IF(OR(_xlpm.stn="Fabrication",_xlpm.stn="Fab"),_xlfn.LET(_xlpm.pos,SUMPRODUCT((A$7:A94&lt;&gt;"")*(IFERROR(VLOOKUP(A$7:A94,'Job Operations'!$A$4:$AA$304,12,FALSE),"")="Fabrication")+(A$7:A94&lt;&gt;"")*(IFERROR(VLOOKUP(A$7:A94,'Job Operations'!$A$4:$AA$304,12,FALSE),"")="Fab")),_xlpm.sfx,IF(OR(_xlpm.pos=11,_xlpm.pos=12,_xlpm.pos=13),"th",IF(MOD(_xlpm.pos,10)=1,"st",IF(MOD(_xlpm.pos,10)=2,"nd",IF(MOD(_xlpm.pos,10)=3,"rd","th")))),_xlpm.pos&amp;_xlpm.sfx),IF(ISNUMBER(MATCH(A94,'Clean and Brake Schedule'!A$7:A$100,0)),"#"&amp;MATCH(A94,'Clean and Brake Schedule'!A$7:A$100,0)&amp;" on C&amp;B",IF(ISNUMBER(MATCH(A94,'AXYZ Titans CNC Schedule'!A$7:A$100,0)),"#"&amp;MATCH(A94,'AXYZ Titans CNC Schedule'!A$7:A$100,0)&amp;" on Titans",IF(ISNUMBER(MATCH(A94,'AXYZ CNC Schedule'!A$7:A$100,0)),"#"&amp;MATCH(A94,'AXYZ CNC Schedule'!A$7:A$100,0)&amp;" on AXYZ",IF(_xlpm.stn&lt;&gt;"",_xlpm.stn,"")))))))</f>
        <v/>
      </c>
      <c r="J94" s="70" t="str">
        <f>IF(A94="","",IFERROR(VLOOKUP(A94,'Job Operations'!$A$4:$AA$304,18,FALSE),""))</f>
        <v/>
      </c>
      <c r="K94" s="69" t="str">
        <f>IF(A94="","",IFERROR(VLOOKUP(A94,'Job Operations'!$A$4:$AA$304,13,FALSE),""))</f>
        <v/>
      </c>
      <c r="L94" s="69" t="str">
        <f>IF(A94="","",IFERROR(VLOOKUP(A94,'Job Operations'!$A$4:$AA$304,15,FALSE),""))</f>
        <v/>
      </c>
      <c r="M94" s="171" t="str">
        <f>IF(A94="","",IF(IFERROR(VLOOKUP(A94,Notes!A:B,2,FALSE),"")=0,"",VLOOKUP(A94,Notes!A:B,2,FALSE)))</f>
        <v/>
      </c>
    </row>
    <row r="95" spans="1:13" x14ac:dyDescent="0.25">
      <c r="A95" s="69"/>
      <c r="B95" s="73" t="str">
        <f>IF(A95="","",IFERROR(VLOOKUP(A95,'Job Operations'!$A$4:$AA$304,2,FALSE),""))</f>
        <v/>
      </c>
      <c r="C95" s="69" t="str">
        <f>IF(A95="","",IFERROR(VLOOKUP(A95,'Job Operations'!$A$4:$AA$304,3,FALSE),""))</f>
        <v/>
      </c>
      <c r="D95" s="69" t="str">
        <f>IF(A95="","",IFERROR(VLOOKUP(A95,'Job Operations'!$A$4:$AA$304,5,FALSE),""))</f>
        <v/>
      </c>
      <c r="E95" s="69" t="str">
        <f>IF(A95="","",IFERROR(VLOOKUP(A95,'Job Operations'!$A$4:$AA$304,6,FALSE),""))</f>
        <v/>
      </c>
      <c r="F95" s="69" t="str">
        <f>IF(A95="","",IFERROR(VLOOKUP(A95,'Job Operations'!$A$4:$AA$304,7,FALSE),""))</f>
        <v/>
      </c>
      <c r="G95" s="70" t="str">
        <f>IF(A95="","",IFERROR(VLOOKUP(A95,'Job Operations'!$A$4:$AA$304,9,FALSE),""))</f>
        <v/>
      </c>
      <c r="H95" s="69" t="str" cm="1">
        <f t="array" ref="H95">IF(A95="","",_xlfn.LET(_xlpm.stn,IFERROR(VLOOKUP(A95,'Job Operations'!$A$4:$AA$304,12,FALSE),""),IF(OR(_xlpm.stn="Fabrication",_xlpm.stn="Fab"),_xlfn.LET(_xlpm.pos,SUMPRODUCT((A$7:A95&lt;&gt;"")*(IFERROR(VLOOKUP(A$7:A95,'Job Operations'!$A$4:$AA$304,12,FALSE),"")="Fabrication")+(A$7:A95&lt;&gt;"")*(IFERROR(VLOOKUP(A$7:A95,'Job Operations'!$A$4:$AA$304,12,FALSE),"")="Fab")),_xlpm.sfx,IF(OR(_xlpm.pos=11,_xlpm.pos=12,_xlpm.pos=13),"th",IF(MOD(_xlpm.pos,10)=1,"st",IF(MOD(_xlpm.pos,10)=2,"nd",IF(MOD(_xlpm.pos,10)=3,"rd","th")))),_xlpm.pos&amp;_xlpm.sfx),IF(_xlpm.stn&lt;&gt;"",_xlpm.stn,""))))</f>
        <v/>
      </c>
      <c r="I95" s="69" t="str" cm="1">
        <f t="array" ref="I95">IF(A95="","",_xlfn.LET(_xlpm.stn,IFERROR(VLOOKUP(A95,'Job Operations'!$A$4:$AA$304,12,FALSE),""),IF(OR(_xlpm.stn="Fabrication",_xlpm.stn="Fab"),_xlfn.LET(_xlpm.pos,SUMPRODUCT((A$7:A95&lt;&gt;"")*(IFERROR(VLOOKUP(A$7:A95,'Job Operations'!$A$4:$AA$304,12,FALSE),"")="Fabrication")+(A$7:A95&lt;&gt;"")*(IFERROR(VLOOKUP(A$7:A95,'Job Operations'!$A$4:$AA$304,12,FALSE),"")="Fab")),_xlpm.sfx,IF(OR(_xlpm.pos=11,_xlpm.pos=12,_xlpm.pos=13),"th",IF(MOD(_xlpm.pos,10)=1,"st",IF(MOD(_xlpm.pos,10)=2,"nd",IF(MOD(_xlpm.pos,10)=3,"rd","th")))),_xlpm.pos&amp;_xlpm.sfx),IF(ISNUMBER(MATCH(A95,'Clean and Brake Schedule'!A$7:A$100,0)),"#"&amp;MATCH(A95,'Clean and Brake Schedule'!A$7:A$100,0)&amp;" on C&amp;B",IF(ISNUMBER(MATCH(A95,'AXYZ Titans CNC Schedule'!A$7:A$100,0)),"#"&amp;MATCH(A95,'AXYZ Titans CNC Schedule'!A$7:A$100,0)&amp;" on Titans",IF(ISNUMBER(MATCH(A95,'AXYZ CNC Schedule'!A$7:A$100,0)),"#"&amp;MATCH(A95,'AXYZ CNC Schedule'!A$7:A$100,0)&amp;" on AXYZ",IF(_xlpm.stn&lt;&gt;"",_xlpm.stn,"")))))))</f>
        <v/>
      </c>
      <c r="J95" s="70" t="str">
        <f>IF(A95="","",IFERROR(VLOOKUP(A95,'Job Operations'!$A$4:$AA$304,18,FALSE),""))</f>
        <v/>
      </c>
      <c r="K95" s="69" t="str">
        <f>IF(A95="","",IFERROR(VLOOKUP(A95,'Job Operations'!$A$4:$AA$304,13,FALSE),""))</f>
        <v/>
      </c>
      <c r="L95" s="69" t="str">
        <f>IF(A95="","",IFERROR(VLOOKUP(A95,'Job Operations'!$A$4:$AA$304,15,FALSE),""))</f>
        <v/>
      </c>
      <c r="M95" s="171" t="str">
        <f>IF(A95="","",IF(IFERROR(VLOOKUP(A95,Notes!A:B,2,FALSE),"")=0,"",VLOOKUP(A95,Notes!A:B,2,FALSE)))</f>
        <v/>
      </c>
    </row>
    <row r="96" spans="1:13" x14ac:dyDescent="0.25">
      <c r="A96" s="69"/>
      <c r="B96" s="73" t="str">
        <f>IF(A96="","",IFERROR(VLOOKUP(A96,'Job Operations'!$A$4:$AA$304,2,FALSE),""))</f>
        <v/>
      </c>
      <c r="C96" s="69" t="str">
        <f>IF(A96="","",IFERROR(VLOOKUP(A96,'Job Operations'!$A$4:$AA$304,3,FALSE),""))</f>
        <v/>
      </c>
      <c r="D96" s="69" t="str">
        <f>IF(A96="","",IFERROR(VLOOKUP(A96,'Job Operations'!$A$4:$AA$304,5,FALSE),""))</f>
        <v/>
      </c>
      <c r="E96" s="69" t="str">
        <f>IF(A96="","",IFERROR(VLOOKUP(A96,'Job Operations'!$A$4:$AA$304,6,FALSE),""))</f>
        <v/>
      </c>
      <c r="F96" s="69" t="str">
        <f>IF(A96="","",IFERROR(VLOOKUP(A96,'Job Operations'!$A$4:$AA$304,7,FALSE),""))</f>
        <v/>
      </c>
      <c r="G96" s="70" t="str">
        <f>IF(A96="","",IFERROR(VLOOKUP(A96,'Job Operations'!$A$4:$AA$304,9,FALSE),""))</f>
        <v/>
      </c>
      <c r="H96" s="69" t="str" cm="1">
        <f t="array" ref="H96">IF(A96="","",_xlfn.LET(_xlpm.stn,IFERROR(VLOOKUP(A96,'Job Operations'!$A$4:$AA$304,12,FALSE),""),IF(OR(_xlpm.stn="Fabrication",_xlpm.stn="Fab"),_xlfn.LET(_xlpm.pos,SUMPRODUCT((A$7:A96&lt;&gt;"")*(IFERROR(VLOOKUP(A$7:A96,'Job Operations'!$A$4:$AA$304,12,FALSE),"")="Fabrication")+(A$7:A96&lt;&gt;"")*(IFERROR(VLOOKUP(A$7:A96,'Job Operations'!$A$4:$AA$304,12,FALSE),"")="Fab")),_xlpm.sfx,IF(OR(_xlpm.pos=11,_xlpm.pos=12,_xlpm.pos=13),"th",IF(MOD(_xlpm.pos,10)=1,"st",IF(MOD(_xlpm.pos,10)=2,"nd",IF(MOD(_xlpm.pos,10)=3,"rd","th")))),_xlpm.pos&amp;_xlpm.sfx),IF(_xlpm.stn&lt;&gt;"",_xlpm.stn,""))))</f>
        <v/>
      </c>
      <c r="I96" s="69" t="str" cm="1">
        <f t="array" ref="I96">IF(A96="","",_xlfn.LET(_xlpm.stn,IFERROR(VLOOKUP(A96,'Job Operations'!$A$4:$AA$304,12,FALSE),""),IF(OR(_xlpm.stn="Fabrication",_xlpm.stn="Fab"),_xlfn.LET(_xlpm.pos,SUMPRODUCT((A$7:A96&lt;&gt;"")*(IFERROR(VLOOKUP(A$7:A96,'Job Operations'!$A$4:$AA$304,12,FALSE),"")="Fabrication")+(A$7:A96&lt;&gt;"")*(IFERROR(VLOOKUP(A$7:A96,'Job Operations'!$A$4:$AA$304,12,FALSE),"")="Fab")),_xlpm.sfx,IF(OR(_xlpm.pos=11,_xlpm.pos=12,_xlpm.pos=13),"th",IF(MOD(_xlpm.pos,10)=1,"st",IF(MOD(_xlpm.pos,10)=2,"nd",IF(MOD(_xlpm.pos,10)=3,"rd","th")))),_xlpm.pos&amp;_xlpm.sfx),IF(ISNUMBER(MATCH(A96,'Clean and Brake Schedule'!A$7:A$100,0)),"#"&amp;MATCH(A96,'Clean and Brake Schedule'!A$7:A$100,0)&amp;" on C&amp;B",IF(ISNUMBER(MATCH(A96,'AXYZ Titans CNC Schedule'!A$7:A$100,0)),"#"&amp;MATCH(A96,'AXYZ Titans CNC Schedule'!A$7:A$100,0)&amp;" on Titans",IF(ISNUMBER(MATCH(A96,'AXYZ CNC Schedule'!A$7:A$100,0)),"#"&amp;MATCH(A96,'AXYZ CNC Schedule'!A$7:A$100,0)&amp;" on AXYZ",IF(_xlpm.stn&lt;&gt;"",_xlpm.stn,"")))))))</f>
        <v/>
      </c>
      <c r="J96" s="70" t="str">
        <f>IF(A96="","",IFERROR(VLOOKUP(A96,'Job Operations'!$A$4:$AA$304,18,FALSE),""))</f>
        <v/>
      </c>
      <c r="K96" s="69" t="str">
        <f>IF(A96="","",IFERROR(VLOOKUP(A96,'Job Operations'!$A$4:$AA$304,13,FALSE),""))</f>
        <v/>
      </c>
      <c r="L96" s="69" t="str">
        <f>IF(A96="","",IFERROR(VLOOKUP(A96,'Job Operations'!$A$4:$AA$304,15,FALSE),""))</f>
        <v/>
      </c>
      <c r="M96" s="171" t="str">
        <f>IF(A96="","",IF(IFERROR(VLOOKUP(A96,Notes!A:B,2,FALSE),"")=0,"",VLOOKUP(A96,Notes!A:B,2,FALSE)))</f>
        <v/>
      </c>
    </row>
    <row r="97" spans="1:13" x14ac:dyDescent="0.25">
      <c r="A97" s="69"/>
      <c r="B97" s="73" t="str">
        <f>IF(A97="","",IFERROR(VLOOKUP(A97,'Job Operations'!$A$4:$AA$304,2,FALSE),""))</f>
        <v/>
      </c>
      <c r="C97" s="69" t="str">
        <f>IF(A97="","",IFERROR(VLOOKUP(A97,'Job Operations'!$A$4:$AA$304,3,FALSE),""))</f>
        <v/>
      </c>
      <c r="D97" s="69" t="str">
        <f>IF(A97="","",IFERROR(VLOOKUP(A97,'Job Operations'!$A$4:$AA$304,5,FALSE),""))</f>
        <v/>
      </c>
      <c r="E97" s="69" t="str">
        <f>IF(A97="","",IFERROR(VLOOKUP(A97,'Job Operations'!$A$4:$AA$304,6,FALSE),""))</f>
        <v/>
      </c>
      <c r="F97" s="69" t="str">
        <f>IF(A97="","",IFERROR(VLOOKUP(A97,'Job Operations'!$A$4:$AA$304,7,FALSE),""))</f>
        <v/>
      </c>
      <c r="G97" s="70" t="str">
        <f>IF(A97="","",IFERROR(VLOOKUP(A97,'Job Operations'!$A$4:$AA$304,9,FALSE),""))</f>
        <v/>
      </c>
      <c r="H97" s="69" t="str" cm="1">
        <f t="array" ref="H97">IF(A97="","",_xlfn.LET(_xlpm.stn,IFERROR(VLOOKUP(A97,'Job Operations'!$A$4:$AA$304,12,FALSE),""),IF(OR(_xlpm.stn="Fabrication",_xlpm.stn="Fab"),_xlfn.LET(_xlpm.pos,SUMPRODUCT((A$7:A97&lt;&gt;"")*(IFERROR(VLOOKUP(A$7:A97,'Job Operations'!$A$4:$AA$304,12,FALSE),"")="Fabrication")+(A$7:A97&lt;&gt;"")*(IFERROR(VLOOKUP(A$7:A97,'Job Operations'!$A$4:$AA$304,12,FALSE),"")="Fab")),_xlpm.sfx,IF(OR(_xlpm.pos=11,_xlpm.pos=12,_xlpm.pos=13),"th",IF(MOD(_xlpm.pos,10)=1,"st",IF(MOD(_xlpm.pos,10)=2,"nd",IF(MOD(_xlpm.pos,10)=3,"rd","th")))),_xlpm.pos&amp;_xlpm.sfx),IF(_xlpm.stn&lt;&gt;"",_xlpm.stn,""))))</f>
        <v/>
      </c>
      <c r="I97" s="69" t="str" cm="1">
        <f t="array" ref="I97">IF(A97="","",_xlfn.LET(_xlpm.stn,IFERROR(VLOOKUP(A97,'Job Operations'!$A$4:$AA$304,12,FALSE),""),IF(OR(_xlpm.stn="Fabrication",_xlpm.stn="Fab"),_xlfn.LET(_xlpm.pos,SUMPRODUCT((A$7:A97&lt;&gt;"")*(IFERROR(VLOOKUP(A$7:A97,'Job Operations'!$A$4:$AA$304,12,FALSE),"")="Fabrication")+(A$7:A97&lt;&gt;"")*(IFERROR(VLOOKUP(A$7:A97,'Job Operations'!$A$4:$AA$304,12,FALSE),"")="Fab")),_xlpm.sfx,IF(OR(_xlpm.pos=11,_xlpm.pos=12,_xlpm.pos=13),"th",IF(MOD(_xlpm.pos,10)=1,"st",IF(MOD(_xlpm.pos,10)=2,"nd",IF(MOD(_xlpm.pos,10)=3,"rd","th")))),_xlpm.pos&amp;_xlpm.sfx),IF(ISNUMBER(MATCH(A97,'Clean and Brake Schedule'!A$7:A$100,0)),"#"&amp;MATCH(A97,'Clean and Brake Schedule'!A$7:A$100,0)&amp;" on C&amp;B",IF(ISNUMBER(MATCH(A97,'AXYZ Titans CNC Schedule'!A$7:A$100,0)),"#"&amp;MATCH(A97,'AXYZ Titans CNC Schedule'!A$7:A$100,0)&amp;" on Titans",IF(ISNUMBER(MATCH(A97,'AXYZ CNC Schedule'!A$7:A$100,0)),"#"&amp;MATCH(A97,'AXYZ CNC Schedule'!A$7:A$100,0)&amp;" on AXYZ",IF(_xlpm.stn&lt;&gt;"",_xlpm.stn,"")))))))</f>
        <v/>
      </c>
      <c r="J97" s="70" t="str">
        <f>IF(A97="","",IFERROR(VLOOKUP(A97,'Job Operations'!$A$4:$AA$304,18,FALSE),""))</f>
        <v/>
      </c>
      <c r="K97" s="69" t="str">
        <f>IF(A97="","",IFERROR(VLOOKUP(A97,'Job Operations'!$A$4:$AA$304,13,FALSE),""))</f>
        <v/>
      </c>
      <c r="L97" s="69" t="str">
        <f>IF(A97="","",IFERROR(VLOOKUP(A97,'Job Operations'!$A$4:$AA$304,15,FALSE),""))</f>
        <v/>
      </c>
      <c r="M97" s="171" t="str">
        <f>IF(A97="","",IF(IFERROR(VLOOKUP(A97,Notes!A:B,2,FALSE),"")=0,"",VLOOKUP(A97,Notes!A:B,2,FALSE)))</f>
        <v/>
      </c>
    </row>
    <row r="98" spans="1:13" x14ac:dyDescent="0.25">
      <c r="A98" s="69"/>
      <c r="B98" s="73" t="str">
        <f>IF(A98="","",IFERROR(VLOOKUP(A98,'Job Operations'!$A$4:$AA$304,2,FALSE),""))</f>
        <v/>
      </c>
      <c r="C98" s="69" t="str">
        <f>IF(A98="","",IFERROR(VLOOKUP(A98,'Job Operations'!$A$4:$AA$304,3,FALSE),""))</f>
        <v/>
      </c>
      <c r="D98" s="69" t="str">
        <f>IF(A98="","",IFERROR(VLOOKUP(A98,'Job Operations'!$A$4:$AA$304,5,FALSE),""))</f>
        <v/>
      </c>
      <c r="E98" s="69" t="str">
        <f>IF(A98="","",IFERROR(VLOOKUP(A98,'Job Operations'!$A$4:$AA$304,6,FALSE),""))</f>
        <v/>
      </c>
      <c r="F98" s="69" t="str">
        <f>IF(A98="","",IFERROR(VLOOKUP(A98,'Job Operations'!$A$4:$AA$304,7,FALSE),""))</f>
        <v/>
      </c>
      <c r="G98" s="70" t="str">
        <f>IF(A98="","",IFERROR(VLOOKUP(A98,'Job Operations'!$A$4:$AA$304,9,FALSE),""))</f>
        <v/>
      </c>
      <c r="H98" s="69" t="str" cm="1">
        <f t="array" ref="H98">IF(A98="","",_xlfn.LET(_xlpm.stn,IFERROR(VLOOKUP(A98,'Job Operations'!$A$4:$AA$304,12,FALSE),""),IF(OR(_xlpm.stn="Fabrication",_xlpm.stn="Fab"),_xlfn.LET(_xlpm.pos,SUMPRODUCT((A$7:A98&lt;&gt;"")*(IFERROR(VLOOKUP(A$7:A98,'Job Operations'!$A$4:$AA$304,12,FALSE),"")="Fabrication")+(A$7:A98&lt;&gt;"")*(IFERROR(VLOOKUP(A$7:A98,'Job Operations'!$A$4:$AA$304,12,FALSE),"")="Fab")),_xlpm.sfx,IF(OR(_xlpm.pos=11,_xlpm.pos=12,_xlpm.pos=13),"th",IF(MOD(_xlpm.pos,10)=1,"st",IF(MOD(_xlpm.pos,10)=2,"nd",IF(MOD(_xlpm.pos,10)=3,"rd","th")))),_xlpm.pos&amp;_xlpm.sfx),IF(_xlpm.stn&lt;&gt;"",_xlpm.stn,""))))</f>
        <v/>
      </c>
      <c r="I98" s="69" t="str" cm="1">
        <f t="array" ref="I98">IF(A98="","",_xlfn.LET(_xlpm.stn,IFERROR(VLOOKUP(A98,'Job Operations'!$A$4:$AA$304,12,FALSE),""),IF(OR(_xlpm.stn="Fabrication",_xlpm.stn="Fab"),_xlfn.LET(_xlpm.pos,SUMPRODUCT((A$7:A98&lt;&gt;"")*(IFERROR(VLOOKUP(A$7:A98,'Job Operations'!$A$4:$AA$304,12,FALSE),"")="Fabrication")+(A$7:A98&lt;&gt;"")*(IFERROR(VLOOKUP(A$7:A98,'Job Operations'!$A$4:$AA$304,12,FALSE),"")="Fab")),_xlpm.sfx,IF(OR(_xlpm.pos=11,_xlpm.pos=12,_xlpm.pos=13),"th",IF(MOD(_xlpm.pos,10)=1,"st",IF(MOD(_xlpm.pos,10)=2,"nd",IF(MOD(_xlpm.pos,10)=3,"rd","th")))),_xlpm.pos&amp;_xlpm.sfx),IF(ISNUMBER(MATCH(A98,'Clean and Brake Schedule'!A$7:A$100,0)),"#"&amp;MATCH(A98,'Clean and Brake Schedule'!A$7:A$100,0)&amp;" on C&amp;B",IF(ISNUMBER(MATCH(A98,'AXYZ Titans CNC Schedule'!A$7:A$100,0)),"#"&amp;MATCH(A98,'AXYZ Titans CNC Schedule'!A$7:A$100,0)&amp;" on Titans",IF(ISNUMBER(MATCH(A98,'AXYZ CNC Schedule'!A$7:A$100,0)),"#"&amp;MATCH(A98,'AXYZ CNC Schedule'!A$7:A$100,0)&amp;" on AXYZ",IF(_xlpm.stn&lt;&gt;"",_xlpm.stn,"")))))))</f>
        <v/>
      </c>
      <c r="J98" s="70" t="str">
        <f>IF(A98="","",IFERROR(VLOOKUP(A98,'Job Operations'!$A$4:$AA$304,18,FALSE),""))</f>
        <v/>
      </c>
      <c r="K98" s="69" t="str">
        <f>IF(A98="","",IFERROR(VLOOKUP(A98,'Job Operations'!$A$4:$AA$304,13,FALSE),""))</f>
        <v/>
      </c>
      <c r="L98" s="69" t="str">
        <f>IF(A98="","",IFERROR(VLOOKUP(A98,'Job Operations'!$A$4:$AA$304,15,FALSE),""))</f>
        <v/>
      </c>
      <c r="M98" s="171" t="str">
        <f>IF(A98="","",IF(IFERROR(VLOOKUP(A98,Notes!A:B,2,FALSE),"")=0,"",VLOOKUP(A98,Notes!A:B,2,FALSE)))</f>
        <v/>
      </c>
    </row>
    <row r="99" spans="1:13" x14ac:dyDescent="0.25">
      <c r="A99" s="69"/>
      <c r="B99" s="73" t="str">
        <f>IF(A99="","",IFERROR(VLOOKUP(A99,'Job Operations'!$A$4:$AA$304,2,FALSE),""))</f>
        <v/>
      </c>
      <c r="C99" s="69" t="str">
        <f>IF(A99="","",IFERROR(VLOOKUP(A99,'Job Operations'!$A$4:$AA$304,3,FALSE),""))</f>
        <v/>
      </c>
      <c r="D99" s="69" t="str">
        <f>IF(A99="","",IFERROR(VLOOKUP(A99,'Job Operations'!$A$4:$AA$304,5,FALSE),""))</f>
        <v/>
      </c>
      <c r="E99" s="69" t="str">
        <f>IF(A99="","",IFERROR(VLOOKUP(A99,'Job Operations'!$A$4:$AA$304,6,FALSE),""))</f>
        <v/>
      </c>
      <c r="F99" s="69" t="str">
        <f>IF(A99="","",IFERROR(VLOOKUP(A99,'Job Operations'!$A$4:$AA$304,7,FALSE),""))</f>
        <v/>
      </c>
      <c r="G99" s="70" t="str">
        <f>IF(A99="","",IFERROR(VLOOKUP(A99,'Job Operations'!$A$4:$AA$304,9,FALSE),""))</f>
        <v/>
      </c>
      <c r="H99" s="69" t="str" cm="1">
        <f t="array" ref="H99">IF(A99="","",_xlfn.LET(_xlpm.stn,IFERROR(VLOOKUP(A99,'Job Operations'!$A$4:$AA$304,12,FALSE),""),IF(OR(_xlpm.stn="Fabrication",_xlpm.stn="Fab"),_xlfn.LET(_xlpm.pos,SUMPRODUCT((A$7:A99&lt;&gt;"")*(IFERROR(VLOOKUP(A$7:A99,'Job Operations'!$A$4:$AA$304,12,FALSE),"")="Fabrication")+(A$7:A99&lt;&gt;"")*(IFERROR(VLOOKUP(A$7:A99,'Job Operations'!$A$4:$AA$304,12,FALSE),"")="Fab")),_xlpm.sfx,IF(OR(_xlpm.pos=11,_xlpm.pos=12,_xlpm.pos=13),"th",IF(MOD(_xlpm.pos,10)=1,"st",IF(MOD(_xlpm.pos,10)=2,"nd",IF(MOD(_xlpm.pos,10)=3,"rd","th")))),_xlpm.pos&amp;_xlpm.sfx),IF(_xlpm.stn&lt;&gt;"",_xlpm.stn,""))))</f>
        <v/>
      </c>
      <c r="I99" s="69" t="str" cm="1">
        <f t="array" ref="I99">IF(A99="","",_xlfn.LET(_xlpm.stn,IFERROR(VLOOKUP(A99,'Job Operations'!$A$4:$AA$304,12,FALSE),""),IF(OR(_xlpm.stn="Fabrication",_xlpm.stn="Fab"),_xlfn.LET(_xlpm.pos,SUMPRODUCT((A$7:A99&lt;&gt;"")*(IFERROR(VLOOKUP(A$7:A99,'Job Operations'!$A$4:$AA$304,12,FALSE),"")="Fabrication")+(A$7:A99&lt;&gt;"")*(IFERROR(VLOOKUP(A$7:A99,'Job Operations'!$A$4:$AA$304,12,FALSE),"")="Fab")),_xlpm.sfx,IF(OR(_xlpm.pos=11,_xlpm.pos=12,_xlpm.pos=13),"th",IF(MOD(_xlpm.pos,10)=1,"st",IF(MOD(_xlpm.pos,10)=2,"nd",IF(MOD(_xlpm.pos,10)=3,"rd","th")))),_xlpm.pos&amp;_xlpm.sfx),IF(ISNUMBER(MATCH(A99,'Clean and Brake Schedule'!A$7:A$100,0)),"#"&amp;MATCH(A99,'Clean and Brake Schedule'!A$7:A$100,0)&amp;" on C&amp;B",IF(ISNUMBER(MATCH(A99,'AXYZ Titans CNC Schedule'!A$7:A$100,0)),"#"&amp;MATCH(A99,'AXYZ Titans CNC Schedule'!A$7:A$100,0)&amp;" on Titans",IF(ISNUMBER(MATCH(A99,'AXYZ CNC Schedule'!A$7:A$100,0)),"#"&amp;MATCH(A99,'AXYZ CNC Schedule'!A$7:A$100,0)&amp;" on AXYZ",IF(_xlpm.stn&lt;&gt;"",_xlpm.stn,"")))))))</f>
        <v/>
      </c>
      <c r="J99" s="70" t="str">
        <f>IF(A99="","",IFERROR(VLOOKUP(A99,'Job Operations'!$A$4:$AA$304,18,FALSE),""))</f>
        <v/>
      </c>
      <c r="K99" s="69" t="str">
        <f>IF(A99="","",IFERROR(VLOOKUP(A99,'Job Operations'!$A$4:$AA$304,13,FALSE),""))</f>
        <v/>
      </c>
      <c r="L99" s="69" t="str">
        <f>IF(A99="","",IFERROR(VLOOKUP(A99,'Job Operations'!$A$4:$AA$304,15,FALSE),""))</f>
        <v/>
      </c>
      <c r="M99" s="171" t="str">
        <f>IF(A99="","",IF(IFERROR(VLOOKUP(A99,Notes!A:B,2,FALSE),"")=0,"",VLOOKUP(A99,Notes!A:B,2,FALSE)))</f>
        <v/>
      </c>
    </row>
    <row r="100" spans="1:13" x14ac:dyDescent="0.25">
      <c r="A100" s="71"/>
      <c r="B100" s="74" t="str">
        <f>IF(A100="","",IFERROR(VLOOKUP(A100,'Job Operations'!$A$4:$AA$304,2,FALSE),""))</f>
        <v/>
      </c>
      <c r="C100" s="71" t="str">
        <f>IF(A100="","",IFERROR(VLOOKUP(A100,'Job Operations'!$A$4:$AA$304,3,FALSE),""))</f>
        <v/>
      </c>
      <c r="D100" s="71" t="str">
        <f>IF(A100="","",IFERROR(VLOOKUP(A100,'Job Operations'!$A$4:$AA$304,5,FALSE),""))</f>
        <v/>
      </c>
      <c r="E100" s="71" t="str">
        <f>IF(A100="","",IFERROR(VLOOKUP(A100,'Job Operations'!$A$4:$AA$304,6,FALSE),""))</f>
        <v/>
      </c>
      <c r="F100" s="71" t="str">
        <f>IF(A100="","",IFERROR(VLOOKUP(A100,'Job Operations'!$A$4:$AA$304,7,FALSE),""))</f>
        <v/>
      </c>
      <c r="G100" s="72" t="str">
        <f>IF(A100="","",IFERROR(VLOOKUP(A100,'Job Operations'!$A$4:$AA$304,9,FALSE),""))</f>
        <v/>
      </c>
      <c r="H100" s="71" t="str" cm="1">
        <f t="array" ref="H100">IF(A100="","",_xlfn.LET(_xlpm.stn,IFERROR(VLOOKUP(A100,'Job Operations'!$A$4:$AA$304,12,FALSE),""),IF(OR(_xlpm.stn="Fabrication",_xlpm.stn="Fab"),_xlfn.LET(_xlpm.pos,SUMPRODUCT((A$7:A100&lt;&gt;"")*(IFERROR(VLOOKUP(A$7:A100,'Job Operations'!$A$4:$AA$304,12,FALSE),"")="Fabrication")+(A$7:A100&lt;&gt;"")*(IFERROR(VLOOKUP(A$7:A100,'Job Operations'!$A$4:$AA$304,12,FALSE),"")="Fab")),_xlpm.sfx,IF(OR(_xlpm.pos=11,_xlpm.pos=12,_xlpm.pos=13),"th",IF(MOD(_xlpm.pos,10)=1,"st",IF(MOD(_xlpm.pos,10)=2,"nd",IF(MOD(_xlpm.pos,10)=3,"rd","th")))),_xlpm.pos&amp;_xlpm.sfx),IF(_xlpm.stn&lt;&gt;"",_xlpm.stn,""))))</f>
        <v/>
      </c>
      <c r="I100" s="71" t="str" cm="1">
        <f t="array" ref="I100">IF(A100="","",_xlfn.LET(_xlpm.stn,IFERROR(VLOOKUP(A100,'Job Operations'!$A$4:$AA$304,12,FALSE),""),IF(OR(_xlpm.stn="Fabrication",_xlpm.stn="Fab"),_xlfn.LET(_xlpm.pos,SUMPRODUCT((A$7:A100&lt;&gt;"")*(IFERROR(VLOOKUP(A$7:A100,'Job Operations'!$A$4:$AA$304,12,FALSE),"")="Fabrication")+(A$7:A100&lt;&gt;"")*(IFERROR(VLOOKUP(A$7:A100,'Job Operations'!$A$4:$AA$304,12,FALSE),"")="Fab")),_xlpm.sfx,IF(OR(_xlpm.pos=11,_xlpm.pos=12,_xlpm.pos=13),"th",IF(MOD(_xlpm.pos,10)=1,"st",IF(MOD(_xlpm.pos,10)=2,"nd",IF(MOD(_xlpm.pos,10)=3,"rd","th")))),_xlpm.pos&amp;_xlpm.sfx),IF(ISNUMBER(MATCH(A100,'Clean and Brake Schedule'!A$7:A$100,0)),"#"&amp;MATCH(A100,'Clean and Brake Schedule'!A$7:A$100,0)&amp;" on C&amp;B",IF(ISNUMBER(MATCH(A100,'AXYZ Titans CNC Schedule'!A$7:A$100,0)),"#"&amp;MATCH(A100,'AXYZ Titans CNC Schedule'!A$7:A$100,0)&amp;" on Titans",IF(ISNUMBER(MATCH(A100,'AXYZ CNC Schedule'!A$7:A$100,0)),"#"&amp;MATCH(A100,'AXYZ CNC Schedule'!A$7:A$100,0)&amp;" on AXYZ",IF(_xlpm.stn&lt;&gt;"",_xlpm.stn,"")))))))</f>
        <v/>
      </c>
      <c r="J100" s="72" t="str">
        <f>IF(A100="","",IFERROR(VLOOKUP(A100,'Job Operations'!$A$4:$AA$304,18,FALSE),""))</f>
        <v/>
      </c>
      <c r="K100" s="71" t="str">
        <f>IF(A100="","",IFERROR(VLOOKUP(A100,'Job Operations'!$A$4:$AA$304,13,FALSE),""))</f>
        <v/>
      </c>
      <c r="L100" s="71" t="str">
        <f>IF(A100="","",IFERROR(VLOOKUP(A100,'Job Operations'!$A$4:$AA$304,15,FALSE),""))</f>
        <v/>
      </c>
      <c r="M100" s="172" t="str">
        <f>IF(A100="","",IF(IFERROR(VLOOKUP(A100,Notes!A:B,2,FALSE),"")=0,"",VLOOKUP(A100,Notes!A:B,2,FALSE)))</f>
        <v/>
      </c>
    </row>
  </sheetData>
  <mergeCells count="2">
    <mergeCell ref="A4:L4"/>
    <mergeCell ref="A5:L5"/>
  </mergeCells>
  <conditionalFormatting sqref="A7:M100">
    <cfRule type="expression" dxfId="53" priority="42">
      <formula>AND($D$1&lt;&gt;"", $A7=$D$1)</formula>
    </cfRule>
    <cfRule type="expression" dxfId="52" priority="43">
      <formula>AND($A7&lt;&gt;"", OR(LEFT($I7,1)="1", LEFT($I7,1)="2", LEFT($I7,1)="3", LEFT($I7,1)="4", LEFT($I7,1)="5", LEFT($I7,1)="6", LEFT($I7,1)="7", LEFT($I7,1)="8", LEFT($I7,1)="9"))</formula>
    </cfRule>
    <cfRule type="expression" dxfId="51" priority="44">
      <formula>AND($A7&lt;&gt;"", $J7&lt;TODAY(), $G7&gt;=TODAY())</formula>
    </cfRule>
    <cfRule type="expression" dxfId="50" priority="45">
      <formula>AND($A7&lt;&gt;"", $J7&lt;TODAY(), $G7&lt;TODAY())</formula>
    </cfRule>
  </conditionalFormatting>
  <conditionalFormatting sqref="D1">
    <cfRule type="expression" dxfId="49" priority="1">
      <formula>AND($C$2&lt;&gt;"",ISNUMBER(SEARCH($C$2,$A1)))</formula>
    </cfRule>
  </conditionalFormatting>
  <conditionalFormatting sqref="E1">
    <cfRule type="containsText" dxfId="48" priority="40" operator="containsText" text="LATE">
      <formula>NOT(ISERROR(SEARCH("LATE",E1)))</formula>
    </cfRule>
    <cfRule type="containsText" dxfId="47" priority="41" operator="containsText" text="ON TIME">
      <formula>NOT(ISERROR(SEARCH("ON TIME",E1)))</formula>
    </cfRule>
  </conditionalFormatting>
  <dataValidations count="1">
    <dataValidation type="list" allowBlank="1" showInputMessage="1" showErrorMessage="1" promptTitle="Search Job ID" prompt="Select a Job ID from the dropdown or type to search" sqref="D1" xr:uid="{BCB7B0C2-4F7A-44CE-8DC1-C8A9AE06B45D}">
      <formula1>AllJobIDs</formula1>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2B917-FC4A-4E13-A796-9C18C378A6B5}">
  <dimension ref="A1:M100"/>
  <sheetViews>
    <sheetView zoomScaleNormal="100" workbookViewId="0">
      <selection activeCell="A16" sqref="A16:XFD16"/>
    </sheetView>
  </sheetViews>
  <sheetFormatPr defaultRowHeight="15" x14ac:dyDescent="0.25"/>
  <cols>
    <col min="1" max="1" width="16" customWidth="1"/>
    <col min="2" max="2" width="22" customWidth="1"/>
    <col min="3" max="3" width="18.7109375" customWidth="1"/>
    <col min="4" max="4" width="13.28515625" customWidth="1"/>
    <col min="5" max="5" width="19.7109375" customWidth="1"/>
    <col min="6" max="6" width="23.5703125" customWidth="1"/>
    <col min="7" max="7" width="16" customWidth="1"/>
    <col min="8" max="8" width="14.7109375" customWidth="1"/>
    <col min="9" max="9" width="14.85546875" bestFit="1" customWidth="1"/>
    <col min="10" max="10" width="14.28515625" customWidth="1"/>
    <col min="11" max="11" width="12.28515625" bestFit="1" customWidth="1"/>
    <col min="12" max="12" width="12.7109375" bestFit="1" customWidth="1"/>
    <col min="13" max="13" width="69" customWidth="1"/>
  </cols>
  <sheetData>
    <row r="1" spans="1:13" ht="39.950000000000003" customHeight="1" x14ac:dyDescent="0.25">
      <c r="A1" s="159"/>
      <c r="B1" s="79"/>
      <c r="C1" s="83" t="s">
        <v>2735</v>
      </c>
      <c r="D1" s="63"/>
      <c r="E1" s="77" t="str">
        <f ca="1">IF(D1="","",IF(VLOOKUP(D1,'Job Operations'!A:I,9,FALSE)&lt;TODAY(),"🔴 LATE","🟢 ON TIME"))</f>
        <v/>
      </c>
      <c r="F1" s="77" t="str">
        <f>IF(D1="","",VLOOKUP(D1,'Job Operations'!A:B,2,FALSE))</f>
        <v/>
      </c>
      <c r="G1" s="77" t="str">
        <f>IF(D1="","","Ship: "&amp;TEXT(VLOOKUP(D1,'Job Operations'!A:I,9,FALSE),"MM/DD/YYYY"))</f>
        <v/>
      </c>
      <c r="H1" s="77" t="str">
        <f>IF(D1="","",IFERROR("Station: "&amp;VLOOKUP(D1,'Job Operations'!A:L,12,FALSE),""))</f>
        <v/>
      </c>
      <c r="I1" s="77"/>
      <c r="J1" s="77"/>
      <c r="K1" s="77"/>
      <c r="L1" s="77"/>
      <c r="M1" s="77"/>
    </row>
    <row r="2" spans="1:13" ht="5.0999999999999996" customHeight="1" x14ac:dyDescent="0.25">
      <c r="A2" s="160"/>
      <c r="B2" s="8"/>
      <c r="C2" s="8"/>
      <c r="D2" s="8"/>
      <c r="E2" s="8"/>
      <c r="F2" s="8"/>
      <c r="G2" s="8"/>
      <c r="H2" s="8"/>
      <c r="I2" s="8"/>
      <c r="J2" s="8"/>
      <c r="K2" s="8"/>
      <c r="L2" s="8"/>
      <c r="M2" s="8"/>
    </row>
    <row r="3" spans="1:13" ht="5.0999999999999996" customHeight="1" x14ac:dyDescent="0.25">
      <c r="A3" s="160"/>
      <c r="B3" s="8"/>
      <c r="C3" s="8"/>
      <c r="D3" s="8"/>
      <c r="E3" s="8"/>
      <c r="F3" s="8"/>
      <c r="G3" s="8"/>
      <c r="H3" s="8"/>
      <c r="I3" s="8"/>
      <c r="J3" s="8"/>
      <c r="K3" s="8"/>
      <c r="L3" s="8"/>
      <c r="M3" s="8"/>
    </row>
    <row r="4" spans="1:13" ht="24.95" customHeight="1" x14ac:dyDescent="0.3">
      <c r="A4" s="294" t="s">
        <v>2761</v>
      </c>
      <c r="B4" s="295"/>
      <c r="C4" s="295"/>
      <c r="D4" s="295"/>
      <c r="E4" s="295"/>
      <c r="F4" s="295"/>
      <c r="G4" s="295"/>
      <c r="H4" s="295"/>
      <c r="I4" s="295"/>
      <c r="J4" s="295"/>
      <c r="K4" s="295"/>
      <c r="L4" s="295"/>
      <c r="M4" s="15"/>
    </row>
    <row r="5" spans="1:13" ht="24.95" customHeight="1" x14ac:dyDescent="0.25">
      <c r="A5" s="296" t="s">
        <v>2762</v>
      </c>
      <c r="B5" s="295"/>
      <c r="C5" s="295"/>
      <c r="D5" s="295"/>
      <c r="E5" s="295"/>
      <c r="F5" s="295"/>
      <c r="G5" s="295"/>
      <c r="H5" s="295"/>
      <c r="I5" s="295"/>
      <c r="J5" s="295"/>
      <c r="K5" s="295"/>
      <c r="L5" s="295"/>
      <c r="M5" s="15"/>
    </row>
    <row r="6" spans="1:13" ht="21.95" customHeight="1" thickBot="1" x14ac:dyDescent="0.3">
      <c r="A6" s="116" t="s">
        <v>1</v>
      </c>
      <c r="B6" s="117" t="s">
        <v>3</v>
      </c>
      <c r="C6" s="117" t="s">
        <v>5</v>
      </c>
      <c r="D6" s="117" t="s">
        <v>17</v>
      </c>
      <c r="E6" s="117" t="s">
        <v>18</v>
      </c>
      <c r="F6" s="117" t="s">
        <v>25</v>
      </c>
      <c r="G6" s="117" t="s">
        <v>54</v>
      </c>
      <c r="H6" s="117" t="s">
        <v>2738</v>
      </c>
      <c r="I6" s="117" t="s">
        <v>2746</v>
      </c>
      <c r="J6" s="117" t="s">
        <v>2763</v>
      </c>
      <c r="K6" s="117" t="s">
        <v>2749</v>
      </c>
      <c r="L6" s="117" t="s">
        <v>2750</v>
      </c>
      <c r="M6" s="119" t="s">
        <v>2742</v>
      </c>
    </row>
    <row r="7" spans="1:13" s="140" customFormat="1" x14ac:dyDescent="0.25">
      <c r="A7" s="141" t="str" cm="1">
        <f t="array" ref="A7:A25">IFERROR(_xlfn.SORTBY(_xlfn._xlws.FILTER('Job Operations'!A5:A304,('Job Operations'!A5:A304&lt;&gt;"")*('Job Operations'!AA5:AA304=1)*(('Job Operations'!L5:L304="Shear")+('Job Operations'!M5:M304="Shear")+('Job Operations'!O5:O304="Shear")+('Job Operations'!Q5:Q304="Shear")+('Job Operations'!S5:S304="Shear")+('Job Operations'!U5:U304="Shear")+('Job Operations'!W5:W304="Shear")&gt;0)*('Job Operations'!L5:L304&lt;&gt;"Fabrication")*('Job Operations'!L5:L304&lt;&gt;"Fab")*('Job Operations'!L5:L304&lt;&gt;"Crating")*('Job Operations'!L5:L304&lt;&gt;"QC")*('Job Operations'!L5:L304&lt;&gt;"Ready to Ship")*('Job Operations'!L5:L304&lt;&gt;"RTS Titans")*('Job Operations'!L5:L304&lt;&gt;"Shipped")*('Job Operations'!L5:L304&lt;&gt;"Shipped To Painter")*('Job Operations'!L5:L304&lt;&gt;"Partially Shipped")),_xlfn._xlws.FILTER('Job Operations'!I5:I304,('Job Operations'!A5:A304&lt;&gt;"")*('Job Operations'!AA5:AA304=1)*(('Job Operations'!L5:L304="Shear")+('Job Operations'!M5:M304="Shear")+('Job Operations'!O5:O304="Shear")+('Job Operations'!Q5:Q304="Shear")+('Job Operations'!S5:S304="Shear")+('Job Operations'!U5:U304="Shear")+('Job Operations'!W5:W304="Shear")&gt;0)*('Job Operations'!L5:L304&lt;&gt;"Fabrication")*('Job Operations'!L5:L304&lt;&gt;"Fab")*('Job Operations'!L5:L304&lt;&gt;"Crating")*('Job Operations'!L5:L304&lt;&gt;"QC")*('Job Operations'!L5:L304&lt;&gt;"Ready to Ship")*('Job Operations'!L5:L304&lt;&gt;"RTS Titans")*('Job Operations'!L5:L304&lt;&gt;"Shipped")*('Job Operations'!L5:L304&lt;&gt;"Shipped To Painter")*('Job Operations'!L5:L304&lt;&gt;"Partially Shipped")),1),"")</f>
        <v>24079-BM04C</v>
      </c>
      <c r="B7" s="142" t="str">
        <f>IF(A7="","",VLOOKUP(A7,'Job Operations'!$A:$Z,2,FALSE))</f>
        <v>Nashville Youth Campus</v>
      </c>
      <c r="C7" s="142" t="str">
        <f>IF(A7="","",VLOOKUP(A7,'Job Operations'!$A:$Z,3,FALSE))</f>
        <v>Joe Hoyle</v>
      </c>
      <c r="D7" s="142">
        <f>IF(A7="","",VLOOKUP(A7,'Job Operations'!$A:$Z,5,FALSE))</f>
        <v>0</v>
      </c>
      <c r="E7" s="142">
        <f>IF(A7="","",VLOOKUP(A7,'Job Operations'!$A:$Z,6,FALSE))</f>
        <v>3600</v>
      </c>
      <c r="F7" s="142" t="str">
        <f>IF(A7="","",VLOOKUP(A7,'Job Operations'!$A:$Z,7,FALSE))</f>
        <v>Steel Sheet</v>
      </c>
      <c r="G7" s="143">
        <f>IF(A7="","",VLOOKUP(A7,'Job Operations'!$A:$Z,9,FALSE))</f>
        <v>46072</v>
      </c>
      <c r="H7" s="142" t="str">
        <f>IF(A7="","",VLOOKUP(A7,'Job Operations'!$A:$Z,12,FALSE))</f>
        <v>Shear</v>
      </c>
      <c r="I7" s="142" t="str">
        <f>IF(A7="","",IF(VLOOKUP(A7,'Job Operations'!$A:$Z,12,FALSE)="Shear",ROW()-6&amp;IF(OR(MOD(ROW()-6,10)=1,MOD(ROW()-6,10)=2,MOD(ROW()-6,10)=3),CHOOSE(MOD(ROW()-6,10),"st","nd","rd"),"th"),"#"&amp;(ROW()-6)&amp;" on Shear"))</f>
        <v>1st</v>
      </c>
      <c r="J7" s="143">
        <f>IF(A7="","",IFERROR(IF(VLOOKUP(A7,'Job Operations'!$A:$Z,13,FALSE)="Shear",VLOOKUP(A7,'Job Operations'!$A:$Z,14,FALSE),IF(VLOOKUP(A7,'Job Operations'!$A:$Z,15,FALSE)="Shear",VLOOKUP(A7,'Job Operations'!$A:$Z,16,FALSE),IF(VLOOKUP(A7,'Job Operations'!$A:$Z,17,FALSE)="Shear",VLOOKUP(A7,'Job Operations'!$A:$Z,18,FALSE),VLOOKUP(A7,'Job Operations'!$A:$Z,14,FALSE)))),""))</f>
        <v>46009</v>
      </c>
      <c r="K7" s="142" t="str">
        <f>IF(A7="","",IFERROR(IF(VLOOKUP(A7,'Job Operations'!$A:$Z,13,FALSE)="Shear",VLOOKUP(A7,'Job Operations'!$A:$Z,15,FALSE),IF(VLOOKUP(A7,'Job Operations'!$A:$Z,15,FALSE)="Shear",VLOOKUP(A7,'Job Operations'!$A:$Z,17,FALSE),VLOOKUP(A7,'Job Operations'!$A:$Z,15,FALSE))),""))</f>
        <v>Brake</v>
      </c>
      <c r="L7" s="142" t="str">
        <f>IF(A7="","",IFERROR(IF(VLOOKUP(A7,'Job Operations'!$A:$Z,13,FALSE)="Shear",VLOOKUP(A7,'Job Operations'!$A:$Z,17,FALSE),IF(VLOOKUP(A7,'Job Operations'!$A:$Z,15,FALSE)="Shear",VLOOKUP(A7,'Job Operations'!$A:$Z,19,FALSE),VLOOKUP(A7,'Job Operations'!$A:$Z,17,FALSE))),""))</f>
        <v>Powder Coat</v>
      </c>
      <c r="M7" s="144" t="str">
        <f>IF(A7="","",IFERROR(IF(VLOOKUP(A7,Notes!A:B,2,FALSE)=0,"",VLOOKUP(A7,Notes!A:B,2,FALSE)),""))</f>
        <v>04/15/2026…Shear*04/16/2026…Shear</v>
      </c>
    </row>
    <row r="8" spans="1:13" s="140" customFormat="1" x14ac:dyDescent="0.25">
      <c r="A8" s="149" t="str">
        <v>25032-FL01</v>
      </c>
      <c r="B8" s="150" t="str">
        <f>IF(A8="","",VLOOKUP(A8,'Job Operations'!$A:$Z,2,FALSE))</f>
        <v>Amazon IAD181</v>
      </c>
      <c r="C8" s="150" t="str">
        <f>IF(A8="","",VLOOKUP(A8,'Job Operations'!$A:$Z,3,FALSE))</f>
        <v>Matt Rassmussen</v>
      </c>
      <c r="D8" s="150">
        <f>IF(A8="","",VLOOKUP(A8,'Job Operations'!$A:$Z,5,FALSE))</f>
        <v>0</v>
      </c>
      <c r="E8" s="150">
        <f>IF(A8="","",VLOOKUP(A8,'Job Operations'!$A:$Z,6,FALSE))</f>
        <v>287</v>
      </c>
      <c r="F8" s="150" t="str">
        <f>IF(A8="","",VLOOKUP(A8,'Job Operations'!$A:$Z,7,FALSE))</f>
        <v>Steel Sheet</v>
      </c>
      <c r="G8" s="151">
        <f>IF(A8="","",VLOOKUP(A8,'Job Operations'!$A:$Z,9,FALSE))</f>
        <v>46108</v>
      </c>
      <c r="H8" s="150" t="str">
        <f>IF(A8="","",VLOOKUP(A8,'Job Operations'!$A:$Z,12,FALSE))</f>
        <v>Shear</v>
      </c>
      <c r="I8" s="150" t="str">
        <f>IF(A8="","",IF(VLOOKUP(A8,'Job Operations'!$A:$Z,12,FALSE)="Shear",ROW()-6&amp;IF(OR(MOD(ROW()-6,10)=1,MOD(ROW()-6,10)=2,MOD(ROW()-6,10)=3),CHOOSE(MOD(ROW()-6,10),"st","nd","rd"),"th"),"#"&amp;(ROW()-6)&amp;" on Shear"))</f>
        <v>2nd</v>
      </c>
      <c r="J8" s="151">
        <f>IF(A8="","",IFERROR(IF(VLOOKUP(A8,'Job Operations'!$A:$Z,13,FALSE)="Shear",VLOOKUP(A8,'Job Operations'!$A:$Z,14,FALSE),IF(VLOOKUP(A8,'Job Operations'!$A:$Z,15,FALSE)="Shear",VLOOKUP(A8,'Job Operations'!$A:$Z,16,FALSE),IF(VLOOKUP(A8,'Job Operations'!$A:$Z,17,FALSE)="Shear",VLOOKUP(A8,'Job Operations'!$A:$Z,18,FALSE),VLOOKUP(A8,'Job Operations'!$A:$Z,14,FALSE)))),""))</f>
        <v>46094</v>
      </c>
      <c r="K8" s="150" t="str">
        <f>IF(A8="","",IFERROR(IF(VLOOKUP(A8,'Job Operations'!$A:$Z,13,FALSE)="Shear",VLOOKUP(A8,'Job Operations'!$A:$Z,15,FALSE),IF(VLOOKUP(A8,'Job Operations'!$A:$Z,15,FALSE)="Shear",VLOOKUP(A8,'Job Operations'!$A:$Z,17,FALSE),VLOOKUP(A8,'Job Operations'!$A:$Z,15,FALSE))),""))</f>
        <v/>
      </c>
      <c r="L8" s="150" t="str">
        <f>IF(A8="","",IFERROR(IF(VLOOKUP(A8,'Job Operations'!$A:$Z,13,FALSE)="Shear",VLOOKUP(A8,'Job Operations'!$A:$Z,17,FALSE),IF(VLOOKUP(A8,'Job Operations'!$A:$Z,15,FALSE)="Shear",VLOOKUP(A8,'Job Operations'!$A:$Z,19,FALSE),VLOOKUP(A8,'Job Operations'!$A:$Z,17,FALSE))),""))</f>
        <v/>
      </c>
      <c r="M8" s="152" t="str">
        <f>IF(A8="","",IFERROR(IF(VLOOKUP(A8,Notes!A:B,2,FALSE)=0,"",VLOOKUP(A8,Notes!A:B,2,FALSE)),""))</f>
        <v>04/15/2026…Shear*04/16/2026…Shear</v>
      </c>
    </row>
    <row r="9" spans="1:13" s="140" customFormat="1" x14ac:dyDescent="0.25">
      <c r="A9" s="145" t="str">
        <v>24079-BM04D</v>
      </c>
      <c r="B9" s="146" t="str">
        <f>IF(A9="","",VLOOKUP(A9,'Job Operations'!$A:$Z,2,FALSE))</f>
        <v>Nashville Youth Campus</v>
      </c>
      <c r="C9" s="146" t="str">
        <f>IF(A9="","",VLOOKUP(A9,'Job Operations'!$A:$Z,3,FALSE))</f>
        <v>Joe Hoyle</v>
      </c>
      <c r="D9" s="146">
        <f>IF(A9="","",VLOOKUP(A9,'Job Operations'!$A:$Z,5,FALSE))</f>
        <v>185</v>
      </c>
      <c r="E9" s="146">
        <f>IF(A9="","",VLOOKUP(A9,'Job Operations'!$A:$Z,6,FALSE))</f>
        <v>1295</v>
      </c>
      <c r="F9" s="146" t="str">
        <f>IF(A9="","",VLOOKUP(A9,'Job Operations'!$A:$Z,7,FALSE))</f>
        <v>Steel Sheet</v>
      </c>
      <c r="G9" s="147">
        <f>IF(A9="","",VLOOKUP(A9,'Job Operations'!$A:$Z,9,FALSE))</f>
        <v>46125</v>
      </c>
      <c r="H9" s="146" t="str">
        <f>IF(A9="","",VLOOKUP(A9,'Job Operations'!$A:$Z,12,FALSE))</f>
        <v>TruPunch 5000</v>
      </c>
      <c r="I9" s="146" t="str">
        <f>IF(A9="","",IF(VLOOKUP(A9,'Job Operations'!$A:$Z,12,FALSE)="Shear",ROW()-6&amp;IF(OR(MOD(ROW()-6,10)=1,MOD(ROW()-6,10)=2,MOD(ROW()-6,10)=3),CHOOSE(MOD(ROW()-6,10),"st","nd","rd"),"th"),"#"&amp;(ROW()-6)&amp;" on Shear"))</f>
        <v>#3 on Shear</v>
      </c>
      <c r="J9" s="147">
        <f>IF(A9="","",IFERROR(IF(VLOOKUP(A9,'Job Operations'!$A:$Z,13,FALSE)="Shear",VLOOKUP(A9,'Job Operations'!$A:$Z,14,FALSE),IF(VLOOKUP(A9,'Job Operations'!$A:$Z,15,FALSE)="Shear",VLOOKUP(A9,'Job Operations'!$A:$Z,16,FALSE),IF(VLOOKUP(A9,'Job Operations'!$A:$Z,17,FALSE)="Shear",VLOOKUP(A9,'Job Operations'!$A:$Z,18,FALSE),VLOOKUP(A9,'Job Operations'!$A:$Z,14,FALSE)))),""))</f>
        <v>46111</v>
      </c>
      <c r="K9" s="146" t="str">
        <f>IF(A9="","",IFERROR(IF(VLOOKUP(A9,'Job Operations'!$A:$Z,13,FALSE)="Shear",VLOOKUP(A9,'Job Operations'!$A:$Z,15,FALSE),IF(VLOOKUP(A9,'Job Operations'!$A:$Z,15,FALSE)="Shear",VLOOKUP(A9,'Job Operations'!$A:$Z,17,FALSE),VLOOKUP(A9,'Job Operations'!$A:$Z,15,FALSE))),""))</f>
        <v>Powder Coat</v>
      </c>
      <c r="L9" s="146" t="str">
        <f>IF(A9="","",IFERROR(IF(VLOOKUP(A9,'Job Operations'!$A:$Z,13,FALSE)="Shear",VLOOKUP(A9,'Job Operations'!$A:$Z,17,FALSE),IF(VLOOKUP(A9,'Job Operations'!$A:$Z,15,FALSE)="Shear",VLOOKUP(A9,'Job Operations'!$A:$Z,19,FALSE),VLOOKUP(A9,'Job Operations'!$A:$Z,17,FALSE))),""))</f>
        <v>Shear</v>
      </c>
      <c r="M9" s="148" t="str">
        <f>IF(A9="","",IFERROR(IF(VLOOKUP(A9,Notes!A:B,2,FALSE)=0,"",VLOOKUP(A9,Notes!A:B,2,FALSE)),""))</f>
        <v>04/16/2026…TruPunch 5000</v>
      </c>
    </row>
    <row r="10" spans="1:13" s="140" customFormat="1" x14ac:dyDescent="0.25">
      <c r="A10" s="149" t="str">
        <v>24079-BM01B</v>
      </c>
      <c r="B10" s="150" t="str">
        <f>IF(A10="","",VLOOKUP(A10,'Job Operations'!$A:$Z,2,FALSE))</f>
        <v>Nashville Youth Campus</v>
      </c>
      <c r="C10" s="150" t="str">
        <f>IF(A10="","",VLOOKUP(A10,'Job Operations'!$A:$Z,3,FALSE))</f>
        <v>Joe Hoyle</v>
      </c>
      <c r="D10" s="150">
        <f>IF(A10="","",VLOOKUP(A10,'Job Operations'!$A:$Z,5,FALSE))</f>
        <v>0</v>
      </c>
      <c r="E10" s="150">
        <f>IF(A10="","",VLOOKUP(A10,'Job Operations'!$A:$Z,6,FALSE))</f>
        <v>2217</v>
      </c>
      <c r="F10" s="150" t="str">
        <f>IF(A10="","",VLOOKUP(A10,'Job Operations'!$A:$Z,7,FALSE))</f>
        <v>Galv Sheet</v>
      </c>
      <c r="G10" s="151">
        <f>IF(A10="","",VLOOKUP(A10,'Job Operations'!$A:$Z,9,FALSE))</f>
        <v>46127</v>
      </c>
      <c r="H10" s="150" t="str">
        <f>IF(A10="","",VLOOKUP(A10,'Job Operations'!$A:$Z,12,FALSE))</f>
        <v>Shear</v>
      </c>
      <c r="I10" s="150" t="str">
        <f>IF(A10="","",IF(VLOOKUP(A10,'Job Operations'!$A:$Z,12,FALSE)="Shear",ROW()-6&amp;IF(OR(MOD(ROW()-6,10)=1,MOD(ROW()-6,10)=2,MOD(ROW()-6,10)=3),CHOOSE(MOD(ROW()-6,10),"st","nd","rd"),"th"),"#"&amp;(ROW()-6)&amp;" on Shear"))</f>
        <v>4th</v>
      </c>
      <c r="J10" s="151">
        <f>IF(A10="","",IFERROR(IF(VLOOKUP(A10,'Job Operations'!$A:$Z,13,FALSE)="Shear",VLOOKUP(A10,'Job Operations'!$A:$Z,14,FALSE),IF(VLOOKUP(A10,'Job Operations'!$A:$Z,15,FALSE)="Shear",VLOOKUP(A10,'Job Operations'!$A:$Z,16,FALSE),IF(VLOOKUP(A10,'Job Operations'!$A:$Z,17,FALSE)="Shear",VLOOKUP(A10,'Job Operations'!$A:$Z,18,FALSE),VLOOKUP(A10,'Job Operations'!$A:$Z,14,FALSE)))),""))</f>
        <v>46113</v>
      </c>
      <c r="K10" s="150" t="str">
        <f>IF(A10="","",IFERROR(IF(VLOOKUP(A10,'Job Operations'!$A:$Z,13,FALSE)="Shear",VLOOKUP(A10,'Job Operations'!$A:$Z,15,FALSE),IF(VLOOKUP(A10,'Job Operations'!$A:$Z,15,FALSE)="Shear",VLOOKUP(A10,'Job Operations'!$A:$Z,17,FALSE),VLOOKUP(A10,'Job Operations'!$A:$Z,15,FALSE))),""))</f>
        <v>TruPunch 5000</v>
      </c>
      <c r="L10" s="150" t="str">
        <f>IF(A10="","",IFERROR(IF(VLOOKUP(A10,'Job Operations'!$A:$Z,13,FALSE)="Shear",VLOOKUP(A10,'Job Operations'!$A:$Z,17,FALSE),IF(VLOOKUP(A10,'Job Operations'!$A:$Z,15,FALSE)="Shear",VLOOKUP(A10,'Job Operations'!$A:$Z,19,FALSE),VLOOKUP(A10,'Job Operations'!$A:$Z,17,FALSE))),""))</f>
        <v/>
      </c>
      <c r="M10" s="152" t="str">
        <f>IF(A10="","",IFERROR(IF(VLOOKUP(A10,Notes!A:B,2,FALSE)=0,"",VLOOKUP(A10,Notes!A:B,2,FALSE)),""))</f>
        <v>04/15/2026…Shear*04/16/2026…Shear</v>
      </c>
    </row>
    <row r="11" spans="1:13" s="140" customFormat="1" x14ac:dyDescent="0.25">
      <c r="A11" s="145" t="str">
        <v>25061-FL01</v>
      </c>
      <c r="B11" s="146" t="str">
        <f>IF(A11="","",VLOOKUP(A11,'Job Operations'!$A:$Z,2,FALSE))</f>
        <v>BNA Concourse A</v>
      </c>
      <c r="C11" s="146" t="str">
        <f>IF(A11="","",VLOOKUP(A11,'Job Operations'!$A:$Z,3,FALSE))</f>
        <v>Andre Van Der Merwe</v>
      </c>
      <c r="D11" s="146">
        <f>IF(A11="","",VLOOKUP(A11,'Job Operations'!$A:$Z,5,FALSE))</f>
        <v>0</v>
      </c>
      <c r="E11" s="146">
        <f>IF(A11="","",VLOOKUP(A11,'Job Operations'!$A:$Z,6,FALSE))</f>
        <v>48</v>
      </c>
      <c r="F11" s="146" t="str">
        <f>IF(A11="","",VLOOKUP(A11,'Job Operations'!$A:$Z,7,FALSE))</f>
        <v>Galv Sheet</v>
      </c>
      <c r="G11" s="147">
        <f>IF(A11="","",VLOOKUP(A11,'Job Operations'!$A:$Z,9,FALSE))</f>
        <v>46129</v>
      </c>
      <c r="H11" s="146" t="str">
        <f>IF(A11="","",VLOOKUP(A11,'Job Operations'!$A:$Z,12,FALSE))</f>
        <v>Cidan</v>
      </c>
      <c r="I11" s="146" t="str">
        <f>IF(A11="","",IF(VLOOKUP(A11,'Job Operations'!$A:$Z,12,FALSE)="Shear",ROW()-6&amp;IF(OR(MOD(ROW()-6,10)=1,MOD(ROW()-6,10)=2,MOD(ROW()-6,10)=3),CHOOSE(MOD(ROW()-6,10),"st","nd","rd"),"th"),"#"&amp;(ROW()-6)&amp;" on Shear"))</f>
        <v>#5 on Shear</v>
      </c>
      <c r="J11" s="147">
        <f>IF(A11="","",IFERROR(IF(VLOOKUP(A11,'Job Operations'!$A:$Z,13,FALSE)="Shear",VLOOKUP(A11,'Job Operations'!$A:$Z,14,FALSE),IF(VLOOKUP(A11,'Job Operations'!$A:$Z,15,FALSE)="Shear",VLOOKUP(A11,'Job Operations'!$A:$Z,16,FALSE),IF(VLOOKUP(A11,'Job Operations'!$A:$Z,17,FALSE)="Shear",VLOOKUP(A11,'Job Operations'!$A:$Z,18,FALSE),VLOOKUP(A11,'Job Operations'!$A:$Z,14,FALSE)))),""))</f>
        <v>46115</v>
      </c>
      <c r="K11" s="146" t="str">
        <f>IF(A11="","",IFERROR(IF(VLOOKUP(A11,'Job Operations'!$A:$Z,13,FALSE)="Shear",VLOOKUP(A11,'Job Operations'!$A:$Z,15,FALSE),IF(VLOOKUP(A11,'Job Operations'!$A:$Z,15,FALSE)="Shear",VLOOKUP(A11,'Job Operations'!$A:$Z,17,FALSE),VLOOKUP(A11,'Job Operations'!$A:$Z,15,FALSE))),""))</f>
        <v/>
      </c>
      <c r="L11" s="146" t="str">
        <f>IF(A11="","",IFERROR(IF(VLOOKUP(A11,'Job Operations'!$A:$Z,13,FALSE)="Shear",VLOOKUP(A11,'Job Operations'!$A:$Z,17,FALSE),IF(VLOOKUP(A11,'Job Operations'!$A:$Z,15,FALSE)="Shear",VLOOKUP(A11,'Job Operations'!$A:$Z,19,FALSE),VLOOKUP(A11,'Job Operations'!$A:$Z,17,FALSE))),""))</f>
        <v/>
      </c>
      <c r="M11" s="148" t="str">
        <f>IF(A11="","",IFERROR(IF(VLOOKUP(A11,Notes!A:B,2,FALSE)=0,"",VLOOKUP(A11,Notes!A:B,2,FALSE)),""))</f>
        <v>04/15/2026…Shear*04/16/2026…Cidan</v>
      </c>
    </row>
    <row r="12" spans="1:13" s="140" customFormat="1" x14ac:dyDescent="0.25">
      <c r="A12" s="149" t="str">
        <v>25036-FL22</v>
      </c>
      <c r="B12" s="150" t="str">
        <f>IF(A12="","",VLOOKUP(A12,'Job Operations'!$A:$Z,2,FALSE))</f>
        <v>TCAT Chattanooga</v>
      </c>
      <c r="C12" s="150" t="str">
        <f>IF(A12="","",VLOOKUP(A12,'Job Operations'!$A:$Z,3,FALSE))</f>
        <v>Josh McPherson</v>
      </c>
      <c r="D12" s="150">
        <f>IF(A12="","",VLOOKUP(A12,'Job Operations'!$A:$Z,5,FALSE))</f>
        <v>0</v>
      </c>
      <c r="E12" s="150">
        <f>IF(A12="","",VLOOKUP(A12,'Job Operations'!$A:$Z,6,FALSE))</f>
        <v>10</v>
      </c>
      <c r="F12" s="150" t="str">
        <f>IF(A12="","",VLOOKUP(A12,'Job Operations'!$A:$Z,7,FALSE))</f>
        <v>Steel Sheet</v>
      </c>
      <c r="G12" s="151">
        <f>IF(A12="","",VLOOKUP(A12,'Job Operations'!$A:$Z,9,FALSE))</f>
        <v>46129</v>
      </c>
      <c r="H12" s="150" t="str">
        <f>IF(A12="","",VLOOKUP(A12,'Job Operations'!$A:$Z,12,FALSE))</f>
        <v>Sketch Check</v>
      </c>
      <c r="I12" s="150" t="str">
        <f>IF(A12="","",IF(VLOOKUP(A12,'Job Operations'!$A:$Z,12,FALSE)="Shear",ROW()-6&amp;IF(OR(MOD(ROW()-6,10)=1,MOD(ROW()-6,10)=2,MOD(ROW()-6,10)=3),CHOOSE(MOD(ROW()-6,10),"st","nd","rd"),"th"),"#"&amp;(ROW()-6)&amp;" on Shear"))</f>
        <v>#6 on Shear</v>
      </c>
      <c r="J12" s="151">
        <f>IF(A12="","",IFERROR(IF(VLOOKUP(A12,'Job Operations'!$A:$Z,13,FALSE)="Shear",VLOOKUP(A12,'Job Operations'!$A:$Z,14,FALSE),IF(VLOOKUP(A12,'Job Operations'!$A:$Z,15,FALSE)="Shear",VLOOKUP(A12,'Job Operations'!$A:$Z,16,FALSE),IF(VLOOKUP(A12,'Job Operations'!$A:$Z,17,FALSE)="Shear",VLOOKUP(A12,'Job Operations'!$A:$Z,18,FALSE),VLOOKUP(A12,'Job Operations'!$A:$Z,14,FALSE)))),""))</f>
        <v>46115</v>
      </c>
      <c r="K12" s="150" t="str">
        <f>IF(A12="","",IFERROR(IF(VLOOKUP(A12,'Job Operations'!$A:$Z,13,FALSE)="Shear",VLOOKUP(A12,'Job Operations'!$A:$Z,15,FALSE),IF(VLOOKUP(A12,'Job Operations'!$A:$Z,15,FALSE)="Shear",VLOOKUP(A12,'Job Operations'!$A:$Z,17,FALSE),VLOOKUP(A12,'Job Operations'!$A:$Z,15,FALSE))),""))</f>
        <v/>
      </c>
      <c r="L12" s="150" t="str">
        <f>IF(A12="","",IFERROR(IF(VLOOKUP(A12,'Job Operations'!$A:$Z,13,FALSE)="Shear",VLOOKUP(A12,'Job Operations'!$A:$Z,17,FALSE),IF(VLOOKUP(A12,'Job Operations'!$A:$Z,15,FALSE)="Shear",VLOOKUP(A12,'Job Operations'!$A:$Z,19,FALSE),VLOOKUP(A12,'Job Operations'!$A:$Z,17,FALSE))),""))</f>
        <v/>
      </c>
      <c r="M12" s="152" t="str">
        <f>IF(A12="","",IFERROR(IF(VLOOKUP(A12,Notes!A:B,2,FALSE)=0,"",VLOOKUP(A12,Notes!A:B,2,FALSE)),""))</f>
        <v xml:space="preserve">04/16/2026…MUST RUN FRIDAY AND FINISH BY EOS.  REFER TO EMAIL. </v>
      </c>
    </row>
    <row r="13" spans="1:13" s="140" customFormat="1" x14ac:dyDescent="0.25">
      <c r="A13" s="145" t="str">
        <v>24039-FL36</v>
      </c>
      <c r="B13" s="146" t="str">
        <f>IF(A13="","",VLOOKUP(A13,'Job Operations'!$A:$Z,2,FALSE))</f>
        <v>The Visionary</v>
      </c>
      <c r="C13" s="146" t="str">
        <f>IF(A13="","",VLOOKUP(A13,'Job Operations'!$A:$Z,3,FALSE))</f>
        <v>Carlos Silva</v>
      </c>
      <c r="D13" s="146">
        <f>IF(A13="","",VLOOKUP(A13,'Job Operations'!$A:$Z,5,FALSE))</f>
        <v>0</v>
      </c>
      <c r="E13" s="146">
        <f>IF(A13="","",VLOOKUP(A13,'Job Operations'!$A:$Z,6,FALSE))</f>
        <v>60</v>
      </c>
      <c r="F13" s="146" t="str">
        <f>IF(A13="","",VLOOKUP(A13,'Job Operations'!$A:$Z,7,FALSE))</f>
        <v>Alum Sheet</v>
      </c>
      <c r="G13" s="147">
        <f>IF(A13="","",VLOOKUP(A13,'Job Operations'!$A:$Z,9,FALSE))</f>
        <v>46133</v>
      </c>
      <c r="H13" s="146" t="str">
        <f>IF(A13="","",VLOOKUP(A13,'Job Operations'!$A:$Z,12,FALSE))</f>
        <v>Shear</v>
      </c>
      <c r="I13" s="146" t="str">
        <f>IF(A13="","",IF(VLOOKUP(A13,'Job Operations'!$A:$Z,12,FALSE)="Shear",ROW()-6&amp;IF(OR(MOD(ROW()-6,10)=1,MOD(ROW()-6,10)=2,MOD(ROW()-6,10)=3),CHOOSE(MOD(ROW()-6,10),"st","nd","rd"),"th"),"#"&amp;(ROW()-6)&amp;" on Shear"))</f>
        <v>7th</v>
      </c>
      <c r="J13" s="147">
        <f>IF(A13="","",IFERROR(IF(VLOOKUP(A13,'Job Operations'!$A:$Z,13,FALSE)="Shear",VLOOKUP(A13,'Job Operations'!$A:$Z,14,FALSE),IF(VLOOKUP(A13,'Job Operations'!$A:$Z,15,FALSE)="Shear",VLOOKUP(A13,'Job Operations'!$A:$Z,16,FALSE),IF(VLOOKUP(A13,'Job Operations'!$A:$Z,17,FALSE)="Shear",VLOOKUP(A13,'Job Operations'!$A:$Z,18,FALSE),VLOOKUP(A13,'Job Operations'!$A:$Z,14,FALSE)))),""))</f>
        <v>46119</v>
      </c>
      <c r="K13" s="146" t="str">
        <f>IF(A13="","",IFERROR(IF(VLOOKUP(A13,'Job Operations'!$A:$Z,13,FALSE)="Shear",VLOOKUP(A13,'Job Operations'!$A:$Z,15,FALSE),IF(VLOOKUP(A13,'Job Operations'!$A:$Z,15,FALSE)="Shear",VLOOKUP(A13,'Job Operations'!$A:$Z,17,FALSE),VLOOKUP(A13,'Job Operations'!$A:$Z,15,FALSE))),""))</f>
        <v/>
      </c>
      <c r="L13" s="146" t="str">
        <f>IF(A13="","",IFERROR(IF(VLOOKUP(A13,'Job Operations'!$A:$Z,13,FALSE)="Shear",VLOOKUP(A13,'Job Operations'!$A:$Z,17,FALSE),IF(VLOOKUP(A13,'Job Operations'!$A:$Z,15,FALSE)="Shear",VLOOKUP(A13,'Job Operations'!$A:$Z,19,FALSE),VLOOKUP(A13,'Job Operations'!$A:$Z,17,FALSE))),""))</f>
        <v/>
      </c>
      <c r="M13" s="148" t="str">
        <f>IF(A13="","",IFERROR(IF(VLOOKUP(A13,Notes!A:B,2,FALSE)=0,"",VLOOKUP(A13,Notes!A:B,2,FALSE)),""))</f>
        <v>04/15/2026…Shear*04/16/2026…Shear</v>
      </c>
    </row>
    <row r="14" spans="1:13" s="140" customFormat="1" x14ac:dyDescent="0.25">
      <c r="A14" s="149" t="str">
        <v>24039-FL37</v>
      </c>
      <c r="B14" s="150" t="str">
        <f>IF(A14="","",VLOOKUP(A14,'Job Operations'!$A:$Z,2,FALSE))</f>
        <v>The Visionary</v>
      </c>
      <c r="C14" s="150" t="str">
        <f>IF(A14="","",VLOOKUP(A14,'Job Operations'!$A:$Z,3,FALSE))</f>
        <v>Carlos Silva</v>
      </c>
      <c r="D14" s="150">
        <f>IF(A14="","",VLOOKUP(A14,'Job Operations'!$A:$Z,5,FALSE))</f>
        <v>0</v>
      </c>
      <c r="E14" s="150">
        <f>IF(A14="","",VLOOKUP(A14,'Job Operations'!$A:$Z,6,FALSE))</f>
        <v>16</v>
      </c>
      <c r="F14" s="150" t="str">
        <f>IF(A14="","",VLOOKUP(A14,'Job Operations'!$A:$Z,7,FALSE))</f>
        <v>Alum Sheet</v>
      </c>
      <c r="G14" s="151">
        <f>IF(A14="","",VLOOKUP(A14,'Job Operations'!$A:$Z,9,FALSE))</f>
        <v>46133</v>
      </c>
      <c r="H14" s="150" t="str">
        <f>IF(A14="","",VLOOKUP(A14,'Job Operations'!$A:$Z,12,FALSE))</f>
        <v>Shear</v>
      </c>
      <c r="I14" s="150" t="str">
        <f>IF(A14="","",IF(VLOOKUP(A14,'Job Operations'!$A:$Z,12,FALSE)="Shear",ROW()-6&amp;IF(OR(MOD(ROW()-6,10)=1,MOD(ROW()-6,10)=2,MOD(ROW()-6,10)=3),CHOOSE(MOD(ROW()-6,10),"st","nd","rd"),"th"),"#"&amp;(ROW()-6)&amp;" on Shear"))</f>
        <v>8th</v>
      </c>
      <c r="J14" s="151">
        <f>IF(A14="","",IFERROR(IF(VLOOKUP(A14,'Job Operations'!$A:$Z,13,FALSE)="Shear",VLOOKUP(A14,'Job Operations'!$A:$Z,14,FALSE),IF(VLOOKUP(A14,'Job Operations'!$A:$Z,15,FALSE)="Shear",VLOOKUP(A14,'Job Operations'!$A:$Z,16,FALSE),IF(VLOOKUP(A14,'Job Operations'!$A:$Z,17,FALSE)="Shear",VLOOKUP(A14,'Job Operations'!$A:$Z,18,FALSE),VLOOKUP(A14,'Job Operations'!$A:$Z,14,FALSE)))),""))</f>
        <v>46119</v>
      </c>
      <c r="K14" s="150" t="str">
        <f>IF(A14="","",IFERROR(IF(VLOOKUP(A14,'Job Operations'!$A:$Z,13,FALSE)="Shear",VLOOKUP(A14,'Job Operations'!$A:$Z,15,FALSE),IF(VLOOKUP(A14,'Job Operations'!$A:$Z,15,FALSE)="Shear",VLOOKUP(A14,'Job Operations'!$A:$Z,17,FALSE),VLOOKUP(A14,'Job Operations'!$A:$Z,15,FALSE))),""))</f>
        <v/>
      </c>
      <c r="L14" s="150" t="str">
        <f>IF(A14="","",IFERROR(IF(VLOOKUP(A14,'Job Operations'!$A:$Z,13,FALSE)="Shear",VLOOKUP(A14,'Job Operations'!$A:$Z,17,FALSE),IF(VLOOKUP(A14,'Job Operations'!$A:$Z,15,FALSE)="Shear",VLOOKUP(A14,'Job Operations'!$A:$Z,19,FALSE),VLOOKUP(A14,'Job Operations'!$A:$Z,17,FALSE))),""))</f>
        <v/>
      </c>
      <c r="M14" s="152" t="str">
        <f>IF(A14="","",IFERROR(IF(VLOOKUP(A14,Notes!A:B,2,FALSE)=0,"",VLOOKUP(A14,Notes!A:B,2,FALSE)),""))</f>
        <v>04/15/2026…Shear*04/16/2026…Shear</v>
      </c>
    </row>
    <row r="15" spans="1:13" s="140" customFormat="1" x14ac:dyDescent="0.25">
      <c r="A15" s="145" t="str">
        <v>24039-BM19</v>
      </c>
      <c r="B15" s="146" t="str">
        <f>IF(A15="","",VLOOKUP(A15,'Job Operations'!$A:$Z,2,FALSE))</f>
        <v>The Visionary</v>
      </c>
      <c r="C15" s="146" t="str">
        <f>IF(A15="","",VLOOKUP(A15,'Job Operations'!$A:$Z,3,FALSE))</f>
        <v>Carlos Silva</v>
      </c>
      <c r="D15" s="146">
        <f>IF(A15="","",VLOOKUP(A15,'Job Operations'!$A:$Z,5,FALSE))</f>
        <v>0</v>
      </c>
      <c r="E15" s="146">
        <f>IF(A15="","",VLOOKUP(A15,'Job Operations'!$A:$Z,6,FALSE))</f>
        <v>340</v>
      </c>
      <c r="F15" s="146" t="str">
        <f>IF(A15="","",VLOOKUP(A15,'Job Operations'!$A:$Z,7,FALSE))</f>
        <v>Galv Sheet</v>
      </c>
      <c r="G15" s="147">
        <f>IF(A15="","",VLOOKUP(A15,'Job Operations'!$A:$Z,9,FALSE))</f>
        <v>46133</v>
      </c>
      <c r="H15" s="146" t="str">
        <f>IF(A15="","",VLOOKUP(A15,'Job Operations'!$A:$Z,12,FALSE))</f>
        <v>Shear</v>
      </c>
      <c r="I15" s="146" t="str">
        <f>IF(A15="","",IF(VLOOKUP(A15,'Job Operations'!$A:$Z,12,FALSE)="Shear",ROW()-6&amp;IF(OR(MOD(ROW()-6,10)=1,MOD(ROW()-6,10)=2,MOD(ROW()-6,10)=3),CHOOSE(MOD(ROW()-6,10),"st","nd","rd"),"th"),"#"&amp;(ROW()-6)&amp;" on Shear"))</f>
        <v>9th</v>
      </c>
      <c r="J15" s="147">
        <f>IF(A15="","",IFERROR(IF(VLOOKUP(A15,'Job Operations'!$A:$Z,13,FALSE)="Shear",VLOOKUP(A15,'Job Operations'!$A:$Z,14,FALSE),IF(VLOOKUP(A15,'Job Operations'!$A:$Z,15,FALSE)="Shear",VLOOKUP(A15,'Job Operations'!$A:$Z,16,FALSE),IF(VLOOKUP(A15,'Job Operations'!$A:$Z,17,FALSE)="Shear",VLOOKUP(A15,'Job Operations'!$A:$Z,18,FALSE),VLOOKUP(A15,'Job Operations'!$A:$Z,14,FALSE)))),""))</f>
        <v>46119</v>
      </c>
      <c r="K15" s="146" t="str">
        <f>IF(A15="","",IFERROR(IF(VLOOKUP(A15,'Job Operations'!$A:$Z,13,FALSE)="Shear",VLOOKUP(A15,'Job Operations'!$A:$Z,15,FALSE),IF(VLOOKUP(A15,'Job Operations'!$A:$Z,15,FALSE)="Shear",VLOOKUP(A15,'Job Operations'!$A:$Z,17,FALSE),VLOOKUP(A15,'Job Operations'!$A:$Z,15,FALSE))),""))</f>
        <v/>
      </c>
      <c r="L15" s="146" t="str">
        <f>IF(A15="","",IFERROR(IF(VLOOKUP(A15,'Job Operations'!$A:$Z,13,FALSE)="Shear",VLOOKUP(A15,'Job Operations'!$A:$Z,17,FALSE),IF(VLOOKUP(A15,'Job Operations'!$A:$Z,15,FALSE)="Shear",VLOOKUP(A15,'Job Operations'!$A:$Z,19,FALSE),VLOOKUP(A15,'Job Operations'!$A:$Z,17,FALSE))),""))</f>
        <v/>
      </c>
      <c r="M15" s="148" t="str">
        <f>IF(A15="","",IFERROR(IF(VLOOKUP(A15,Notes!A:B,2,FALSE)=0,"",VLOOKUP(A15,Notes!A:B,2,FALSE)),""))</f>
        <v>04/15/2026…Shear*04/16/2026…Shear</v>
      </c>
    </row>
    <row r="16" spans="1:13" s="140" customFormat="1" x14ac:dyDescent="0.25">
      <c r="A16" s="145" t="str">
        <v>25022-BM06</v>
      </c>
      <c r="B16" s="146" t="str">
        <f>IF(A16="","",VLOOKUP(A16,'Job Operations'!$A:$Z,2,FALSE))</f>
        <v>Vantage VA15</v>
      </c>
      <c r="C16" s="146" t="str">
        <f>IF(A16="","",VLOOKUP(A16,'Job Operations'!$A:$Z,3,FALSE))</f>
        <v>Thomas Mooers</v>
      </c>
      <c r="D16" s="146">
        <f>IF(A16="","",VLOOKUP(A16,'Job Operations'!$A:$Z,5,FALSE))</f>
        <v>0</v>
      </c>
      <c r="E16" s="146">
        <f>IF(A16="","",VLOOKUP(A16,'Job Operations'!$A:$Z,6,FALSE))</f>
        <v>500</v>
      </c>
      <c r="F16" s="146" t="str">
        <f>IF(A16="","",VLOOKUP(A16,'Job Operations'!$A:$Z,7,FALSE))</f>
        <v>Galv Sheet</v>
      </c>
      <c r="G16" s="147">
        <f>IF(A16="","",VLOOKUP(A16,'Job Operations'!$A:$Z,9,FALSE))</f>
        <v>46134</v>
      </c>
      <c r="H16" s="146" t="str">
        <f>IF(A16="","",VLOOKUP(A16,'Job Operations'!$A:$Z,12,FALSE))</f>
        <v>Shear</v>
      </c>
      <c r="I16" s="146" t="str">
        <f>IF(A16="","",IF(VLOOKUP(A16,'Job Operations'!$A:$Z,12,FALSE)="Shear",ROW()-6&amp;IF(OR(MOD(ROW()-6,10)=1,MOD(ROW()-6,10)=2,MOD(ROW()-6,10)=3),CHOOSE(MOD(ROW()-6,10),"st","nd","rd"),"th"),"#"&amp;(ROW()-6)&amp;" on Shear"))</f>
        <v>10th</v>
      </c>
      <c r="J16" s="147">
        <f>IF(A16="","",IFERROR(IF(VLOOKUP(A16,'Job Operations'!$A:$Z,13,FALSE)="Shear",VLOOKUP(A16,'Job Operations'!$A:$Z,14,FALSE),IF(VLOOKUP(A16,'Job Operations'!$A:$Z,15,FALSE)="Shear",VLOOKUP(A16,'Job Operations'!$A:$Z,16,FALSE),IF(VLOOKUP(A16,'Job Operations'!$A:$Z,17,FALSE)="Shear",VLOOKUP(A16,'Job Operations'!$A:$Z,18,FALSE),VLOOKUP(A16,'Job Operations'!$A:$Z,14,FALSE)))),""))</f>
        <v>46120</v>
      </c>
      <c r="K16" s="146" t="str">
        <f>IF(A16="","",IFERROR(IF(VLOOKUP(A16,'Job Operations'!$A:$Z,13,FALSE)="Shear",VLOOKUP(A16,'Job Operations'!$A:$Z,15,FALSE),IF(VLOOKUP(A16,'Job Operations'!$A:$Z,15,FALSE)="Shear",VLOOKUP(A16,'Job Operations'!$A:$Z,17,FALSE),VLOOKUP(A16,'Job Operations'!$A:$Z,15,FALSE))),""))</f>
        <v/>
      </c>
      <c r="L16" s="146" t="str">
        <f>IF(A16="","",IFERROR(IF(VLOOKUP(A16,'Job Operations'!$A:$Z,13,FALSE)="Shear",VLOOKUP(A16,'Job Operations'!$A:$Z,17,FALSE),IF(VLOOKUP(A16,'Job Operations'!$A:$Z,15,FALSE)="Shear",VLOOKUP(A16,'Job Operations'!$A:$Z,19,FALSE),VLOOKUP(A16,'Job Operations'!$A:$Z,17,FALSE))),""))</f>
        <v/>
      </c>
      <c r="M16" s="148" t="str">
        <f>IF(A16="","",IFERROR(IF(VLOOKUP(A16,Notes!A:B,2,FALSE)=0,"",VLOOKUP(A16,Notes!A:B,2,FALSE)),""))</f>
        <v>04/16/2026…Shear..PLEASE RUN THIS JOB NEXT IN SHEAR/CIDAN CANNOT MISS SHIPDATE</v>
      </c>
    </row>
    <row r="17" spans="1:13" s="140" customFormat="1" x14ac:dyDescent="0.25">
      <c r="A17" s="149" t="str">
        <v>25031-FL08</v>
      </c>
      <c r="B17" s="150" t="str">
        <f>IF(A17="","",VLOOKUP(A17,'Job Operations'!$A:$Z,2,FALSE))</f>
        <v>LLU Mars US Warehouse</v>
      </c>
      <c r="C17" s="150" t="str">
        <f>IF(A17="","",VLOOKUP(A17,'Job Operations'!$A:$Z,3,FALSE))</f>
        <v>Laura Forero</v>
      </c>
      <c r="D17" s="150">
        <f>IF(A17="","",VLOOKUP(A17,'Job Operations'!$A:$Z,5,FALSE))</f>
        <v>0</v>
      </c>
      <c r="E17" s="150">
        <f>IF(A17="","",VLOOKUP(A17,'Job Operations'!$A:$Z,6,FALSE))</f>
        <v>6</v>
      </c>
      <c r="F17" s="150" t="str">
        <f>IF(A17="","",VLOOKUP(A17,'Job Operations'!$A:$Z,7,FALSE))</f>
        <v>Alum Sheet</v>
      </c>
      <c r="G17" s="151">
        <f>IF(A17="","",VLOOKUP(A17,'Job Operations'!$A:$Z,9,FALSE))</f>
        <v>46134</v>
      </c>
      <c r="H17" s="150" t="str">
        <f>IF(A17="","",VLOOKUP(A17,'Job Operations'!$A:$Z,12,FALSE))</f>
        <v>Shear</v>
      </c>
      <c r="I17" s="150" t="str">
        <f>IF(A17="","",IF(VLOOKUP(A17,'Job Operations'!$A:$Z,12,FALSE)="Shear",ROW()-6&amp;IF(OR(MOD(ROW()-6,10)=1,MOD(ROW()-6,10)=2,MOD(ROW()-6,10)=3),CHOOSE(MOD(ROW()-6,10),"st","nd","rd"),"th"),"#"&amp;(ROW()-6)&amp;" on Shear"))</f>
        <v>11st</v>
      </c>
      <c r="J17" s="151">
        <f>IF(A17="","",IFERROR(IF(VLOOKUP(A17,'Job Operations'!$A:$Z,13,FALSE)="Shear",VLOOKUP(A17,'Job Operations'!$A:$Z,14,FALSE),IF(VLOOKUP(A17,'Job Operations'!$A:$Z,15,FALSE)="Shear",VLOOKUP(A17,'Job Operations'!$A:$Z,16,FALSE),IF(VLOOKUP(A17,'Job Operations'!$A:$Z,17,FALSE)="Shear",VLOOKUP(A17,'Job Operations'!$A:$Z,18,FALSE),VLOOKUP(A17,'Job Operations'!$A:$Z,14,FALSE)))),""))</f>
        <v>46120</v>
      </c>
      <c r="K17" s="150" t="str">
        <f>IF(A17="","",IFERROR(IF(VLOOKUP(A17,'Job Operations'!$A:$Z,13,FALSE)="Shear",VLOOKUP(A17,'Job Operations'!$A:$Z,15,FALSE),IF(VLOOKUP(A17,'Job Operations'!$A:$Z,15,FALSE)="Shear",VLOOKUP(A17,'Job Operations'!$A:$Z,17,FALSE),VLOOKUP(A17,'Job Operations'!$A:$Z,15,FALSE))),""))</f>
        <v/>
      </c>
      <c r="L17" s="150" t="str">
        <f>IF(A17="","",IFERROR(IF(VLOOKUP(A17,'Job Operations'!$A:$Z,13,FALSE)="Shear",VLOOKUP(A17,'Job Operations'!$A:$Z,17,FALSE),IF(VLOOKUP(A17,'Job Operations'!$A:$Z,15,FALSE)="Shear",VLOOKUP(A17,'Job Operations'!$A:$Z,19,FALSE),VLOOKUP(A17,'Job Operations'!$A:$Z,17,FALSE))),""))</f>
        <v/>
      </c>
      <c r="M17" s="152" t="str">
        <f>IF(A17="","",IFERROR(IF(VLOOKUP(A17,Notes!A:B,2,FALSE)=0,"",VLOOKUP(A17,Notes!A:B,2,FALSE)),""))</f>
        <v>04/16/2026…Shear</v>
      </c>
    </row>
    <row r="18" spans="1:13" s="140" customFormat="1" x14ac:dyDescent="0.25">
      <c r="A18" s="145" t="str">
        <v>25067-FL02</v>
      </c>
      <c r="B18" s="146" t="str">
        <f>IF(A18="","",VLOOKUP(A18,'Job Operations'!$A:$Z,2,FALSE))</f>
        <v>Harison Bend</v>
      </c>
      <c r="C18" s="146" t="str">
        <f>IF(A18="","",VLOOKUP(A18,'Job Operations'!$A:$Z,3,FALSE))</f>
        <v>Andre Van Der Merwe</v>
      </c>
      <c r="D18" s="146">
        <f>IF(A18="","",VLOOKUP(A18,'Job Operations'!$A:$Z,5,FALSE))</f>
        <v>0</v>
      </c>
      <c r="E18" s="146">
        <f>IF(A18="","",VLOOKUP(A18,'Job Operations'!$A:$Z,6,FALSE))</f>
        <v>8</v>
      </c>
      <c r="F18" s="146" t="str">
        <f>IF(A18="","",VLOOKUP(A18,'Job Operations'!$A:$Z,7,FALSE))</f>
        <v>Alum Sheet</v>
      </c>
      <c r="G18" s="147">
        <f>IF(A18="","",VLOOKUP(A18,'Job Operations'!$A:$Z,9,FALSE))</f>
        <v>46135</v>
      </c>
      <c r="H18" s="146" t="str">
        <f>IF(A18="","",VLOOKUP(A18,'Job Operations'!$A:$Z,12,FALSE))</f>
        <v>Shear</v>
      </c>
      <c r="I18" s="146" t="str">
        <f>IF(A18="","",IF(VLOOKUP(A18,'Job Operations'!$A:$Z,12,FALSE)="Shear",ROW()-6&amp;IF(OR(MOD(ROW()-6,10)=1,MOD(ROW()-6,10)=2,MOD(ROW()-6,10)=3),CHOOSE(MOD(ROW()-6,10),"st","nd","rd"),"th"),"#"&amp;(ROW()-6)&amp;" on Shear"))</f>
        <v>12nd</v>
      </c>
      <c r="J18" s="147">
        <f>IF(A18="","",IFERROR(IF(VLOOKUP(A18,'Job Operations'!$A:$Z,13,FALSE)="Shear",VLOOKUP(A18,'Job Operations'!$A:$Z,14,FALSE),IF(VLOOKUP(A18,'Job Operations'!$A:$Z,15,FALSE)="Shear",VLOOKUP(A18,'Job Operations'!$A:$Z,16,FALSE),IF(VLOOKUP(A18,'Job Operations'!$A:$Z,17,FALSE)="Shear",VLOOKUP(A18,'Job Operations'!$A:$Z,18,FALSE),VLOOKUP(A18,'Job Operations'!$A:$Z,14,FALSE)))),""))</f>
        <v>46121</v>
      </c>
      <c r="K18" s="146" t="str">
        <f>IF(A18="","",IFERROR(IF(VLOOKUP(A18,'Job Operations'!$A:$Z,13,FALSE)="Shear",VLOOKUP(A18,'Job Operations'!$A:$Z,15,FALSE),IF(VLOOKUP(A18,'Job Operations'!$A:$Z,15,FALSE)="Shear",VLOOKUP(A18,'Job Operations'!$A:$Z,17,FALSE),VLOOKUP(A18,'Job Operations'!$A:$Z,15,FALSE))),""))</f>
        <v/>
      </c>
      <c r="L18" s="146" t="str">
        <f>IF(A18="","",IFERROR(IF(VLOOKUP(A18,'Job Operations'!$A:$Z,13,FALSE)="Shear",VLOOKUP(A18,'Job Operations'!$A:$Z,17,FALSE),IF(VLOOKUP(A18,'Job Operations'!$A:$Z,15,FALSE)="Shear",VLOOKUP(A18,'Job Operations'!$A:$Z,19,FALSE),VLOOKUP(A18,'Job Operations'!$A:$Z,17,FALSE))),""))</f>
        <v/>
      </c>
      <c r="M18" s="148" t="str">
        <f>IF(A18="","",IFERROR(IF(VLOOKUP(A18,Notes!A:B,2,FALSE)=0,"",VLOOKUP(A18,Notes!A:B,2,FALSE)),""))</f>
        <v>04/16/2026…Shear</v>
      </c>
    </row>
    <row r="19" spans="1:13" s="140" customFormat="1" x14ac:dyDescent="0.25">
      <c r="A19" s="149" t="str">
        <v>25065-MU05</v>
      </c>
      <c r="B19" s="150" t="str">
        <f>IF(A19="","",VLOOKUP(A19,'Job Operations'!$A:$Z,2,FALSE))</f>
        <v>Crosswinds Casino Resort</v>
      </c>
      <c r="C19" s="150" t="str">
        <f>IF(A19="","",VLOOKUP(A19,'Job Operations'!$A:$Z,3,FALSE))</f>
        <v>Matt Rassmussen</v>
      </c>
      <c r="D19" s="150">
        <f>IF(A19="","",VLOOKUP(A19,'Job Operations'!$A:$Z,5,FALSE))</f>
        <v>3</v>
      </c>
      <c r="E19" s="150">
        <f>IF(A19="","",VLOOKUP(A19,'Job Operations'!$A:$Z,6,FALSE))</f>
        <v>1</v>
      </c>
      <c r="F19" s="150" t="str">
        <f>IF(A19="","",VLOOKUP(A19,'Job Operations'!$A:$Z,7,FALSE))</f>
        <v>Steel Sheet</v>
      </c>
      <c r="G19" s="151">
        <f>IF(A19="","",VLOOKUP(A19,'Job Operations'!$A:$Z,9,FALSE))</f>
        <v>46171</v>
      </c>
      <c r="H19" s="150" t="str">
        <f>IF(A19="","",VLOOKUP(A19,'Job Operations'!$A:$Z,12,FALSE))</f>
        <v>Evaluation</v>
      </c>
      <c r="I19" s="150" t="str">
        <f>IF(A19="","",IF(VLOOKUP(A19,'Job Operations'!$A:$Z,12,FALSE)="Shear",ROW()-6&amp;IF(OR(MOD(ROW()-6,10)=1,MOD(ROW()-6,10)=2,MOD(ROW()-6,10)=3),CHOOSE(MOD(ROW()-6,10),"st","nd","rd"),"th"),"#"&amp;(ROW()-6)&amp;" on Shear"))</f>
        <v>#13 on Shear</v>
      </c>
      <c r="J19" s="151">
        <f>IF(A19="","",IFERROR(IF(VLOOKUP(A19,'Job Operations'!$A:$Z,13,FALSE)="Shear",VLOOKUP(A19,'Job Operations'!$A:$Z,14,FALSE),IF(VLOOKUP(A19,'Job Operations'!$A:$Z,15,FALSE)="Shear",VLOOKUP(A19,'Job Operations'!$A:$Z,16,FALSE),IF(VLOOKUP(A19,'Job Operations'!$A:$Z,17,FALSE)="Shear",VLOOKUP(A19,'Job Operations'!$A:$Z,18,FALSE),VLOOKUP(A19,'Job Operations'!$A:$Z,14,FALSE)))),""))</f>
        <v>46157</v>
      </c>
      <c r="K19" s="150" t="str">
        <f>IF(A19="","",IFERROR(IF(VLOOKUP(A19,'Job Operations'!$A:$Z,13,FALSE)="Shear",VLOOKUP(A19,'Job Operations'!$A:$Z,15,FALSE),IF(VLOOKUP(A19,'Job Operations'!$A:$Z,15,FALSE)="Shear",VLOOKUP(A19,'Job Operations'!$A:$Z,17,FALSE),VLOOKUP(A19,'Job Operations'!$A:$Z,15,FALSE))),""))</f>
        <v/>
      </c>
      <c r="L19" s="150" t="str">
        <f>IF(A19="","",IFERROR(IF(VLOOKUP(A19,'Job Operations'!$A:$Z,13,FALSE)="Shear",VLOOKUP(A19,'Job Operations'!$A:$Z,17,FALSE),IF(VLOOKUP(A19,'Job Operations'!$A:$Z,15,FALSE)="Shear",VLOOKUP(A19,'Job Operations'!$A:$Z,19,FALSE),VLOOKUP(A19,'Job Operations'!$A:$Z,17,FALSE))),""))</f>
        <v/>
      </c>
      <c r="M19" s="152" t="str">
        <f>IF(A19="","",IFERROR(IF(VLOOKUP(A19,Notes!A:B,2,FALSE)=0,"",VLOOKUP(A19,Notes!A:B,2,FALSE)),""))</f>
        <v>04/16/2026…Evaluation</v>
      </c>
    </row>
    <row r="20" spans="1:13" s="140" customFormat="1" x14ac:dyDescent="0.25">
      <c r="A20" s="145" t="str">
        <v>25065-MU11</v>
      </c>
      <c r="B20" s="146" t="str">
        <f>IF(A20="","",VLOOKUP(A20,'Job Operations'!$A:$Z,2,FALSE))</f>
        <v>Crosswinds Casino Resort</v>
      </c>
      <c r="C20" s="146" t="str">
        <f>IF(A20="","",VLOOKUP(A20,'Job Operations'!$A:$Z,3,FALSE))</f>
        <v>Matt Rassmussen</v>
      </c>
      <c r="D20" s="146">
        <f>IF(A20="","",VLOOKUP(A20,'Job Operations'!$A:$Z,5,FALSE))</f>
        <v>1</v>
      </c>
      <c r="E20" s="146">
        <f>IF(A20="","",VLOOKUP(A20,'Job Operations'!$A:$Z,6,FALSE))</f>
        <v>1</v>
      </c>
      <c r="F20" s="146" t="str">
        <f>IF(A20="","",VLOOKUP(A20,'Job Operations'!$A:$Z,7,FALSE))</f>
        <v>Alum Sheet</v>
      </c>
      <c r="G20" s="147">
        <f>IF(A20="","",VLOOKUP(A20,'Job Operations'!$A:$Z,9,FALSE))</f>
        <v>46171</v>
      </c>
      <c r="H20" s="146" t="str">
        <f>IF(A20="","",VLOOKUP(A20,'Job Operations'!$A:$Z,12,FALSE))</f>
        <v>Evaluation</v>
      </c>
      <c r="I20" s="146" t="str">
        <f>IF(A20="","",IF(VLOOKUP(A20,'Job Operations'!$A:$Z,12,FALSE)="Shear",ROW()-6&amp;IF(OR(MOD(ROW()-6,10)=1,MOD(ROW()-6,10)=2,MOD(ROW()-6,10)=3),CHOOSE(MOD(ROW()-6,10),"st","nd","rd"),"th"),"#"&amp;(ROW()-6)&amp;" on Shear"))</f>
        <v>#14 on Shear</v>
      </c>
      <c r="J20" s="147">
        <f>IF(A20="","",IFERROR(IF(VLOOKUP(A20,'Job Operations'!$A:$Z,13,FALSE)="Shear",VLOOKUP(A20,'Job Operations'!$A:$Z,14,FALSE),IF(VLOOKUP(A20,'Job Operations'!$A:$Z,15,FALSE)="Shear",VLOOKUP(A20,'Job Operations'!$A:$Z,16,FALSE),IF(VLOOKUP(A20,'Job Operations'!$A:$Z,17,FALSE)="Shear",VLOOKUP(A20,'Job Operations'!$A:$Z,18,FALSE),VLOOKUP(A20,'Job Operations'!$A:$Z,14,FALSE)))),""))</f>
        <v>46157</v>
      </c>
      <c r="K20" s="146" t="str">
        <f>IF(A20="","",IFERROR(IF(VLOOKUP(A20,'Job Operations'!$A:$Z,13,FALSE)="Shear",VLOOKUP(A20,'Job Operations'!$A:$Z,15,FALSE),IF(VLOOKUP(A20,'Job Operations'!$A:$Z,15,FALSE)="Shear",VLOOKUP(A20,'Job Operations'!$A:$Z,17,FALSE),VLOOKUP(A20,'Job Operations'!$A:$Z,15,FALSE))),""))</f>
        <v/>
      </c>
      <c r="L20" s="146" t="str">
        <f>IF(A20="","",IFERROR(IF(VLOOKUP(A20,'Job Operations'!$A:$Z,13,FALSE)="Shear",VLOOKUP(A20,'Job Operations'!$A:$Z,17,FALSE),IF(VLOOKUP(A20,'Job Operations'!$A:$Z,15,FALSE)="Shear",VLOOKUP(A20,'Job Operations'!$A:$Z,19,FALSE),VLOOKUP(A20,'Job Operations'!$A:$Z,17,FALSE))),""))</f>
        <v/>
      </c>
      <c r="M20" s="148" t="str">
        <f>IF(A20="","",IFERROR(IF(VLOOKUP(A20,Notes!A:B,2,FALSE)=0,"",VLOOKUP(A20,Notes!A:B,2,FALSE)),""))</f>
        <v>04/16/2026…Evaluation</v>
      </c>
    </row>
    <row r="21" spans="1:13" s="140" customFormat="1" x14ac:dyDescent="0.25">
      <c r="A21" s="149" t="str">
        <v>25065-MU12</v>
      </c>
      <c r="B21" s="150" t="str">
        <f>IF(A21="","",VLOOKUP(A21,'Job Operations'!$A:$Z,2,FALSE))</f>
        <v>Crosswinds Casino Resort</v>
      </c>
      <c r="C21" s="150" t="str">
        <f>IF(A21="","",VLOOKUP(A21,'Job Operations'!$A:$Z,3,FALSE))</f>
        <v>Matt Rassmussen</v>
      </c>
      <c r="D21" s="150">
        <f>IF(A21="","",VLOOKUP(A21,'Job Operations'!$A:$Z,5,FALSE))</f>
        <v>0</v>
      </c>
      <c r="E21" s="150">
        <f>IF(A21="","",VLOOKUP(A21,'Job Operations'!$A:$Z,6,FALSE))</f>
        <v>2</v>
      </c>
      <c r="F21" s="150" t="str">
        <f>IF(A21="","",VLOOKUP(A21,'Job Operations'!$A:$Z,7,FALSE))</f>
        <v>Alum Sheet</v>
      </c>
      <c r="G21" s="151">
        <f>IF(A21="","",VLOOKUP(A21,'Job Operations'!$A:$Z,9,FALSE))</f>
        <v>46171</v>
      </c>
      <c r="H21" s="150" t="str">
        <f>IF(A21="","",VLOOKUP(A21,'Job Operations'!$A:$Z,12,FALSE))</f>
        <v>Evaluation</v>
      </c>
      <c r="I21" s="150" t="str">
        <f>IF(A21="","",IF(VLOOKUP(A21,'Job Operations'!$A:$Z,12,FALSE)="Shear",ROW()-6&amp;IF(OR(MOD(ROW()-6,10)=1,MOD(ROW()-6,10)=2,MOD(ROW()-6,10)=3),CHOOSE(MOD(ROW()-6,10),"st","nd","rd"),"th"),"#"&amp;(ROW()-6)&amp;" on Shear"))</f>
        <v>#15 on Shear</v>
      </c>
      <c r="J21" s="151">
        <f>IF(A21="","",IFERROR(IF(VLOOKUP(A21,'Job Operations'!$A:$Z,13,FALSE)="Shear",VLOOKUP(A21,'Job Operations'!$A:$Z,14,FALSE),IF(VLOOKUP(A21,'Job Operations'!$A:$Z,15,FALSE)="Shear",VLOOKUP(A21,'Job Operations'!$A:$Z,16,FALSE),IF(VLOOKUP(A21,'Job Operations'!$A:$Z,17,FALSE)="Shear",VLOOKUP(A21,'Job Operations'!$A:$Z,18,FALSE),VLOOKUP(A21,'Job Operations'!$A:$Z,14,FALSE)))),""))</f>
        <v>46157</v>
      </c>
      <c r="K21" s="150" t="str">
        <f>IF(A21="","",IFERROR(IF(VLOOKUP(A21,'Job Operations'!$A:$Z,13,FALSE)="Shear",VLOOKUP(A21,'Job Operations'!$A:$Z,15,FALSE),IF(VLOOKUP(A21,'Job Operations'!$A:$Z,15,FALSE)="Shear",VLOOKUP(A21,'Job Operations'!$A:$Z,17,FALSE),VLOOKUP(A21,'Job Operations'!$A:$Z,15,FALSE))),""))</f>
        <v/>
      </c>
      <c r="L21" s="150" t="str">
        <f>IF(A21="","",IFERROR(IF(VLOOKUP(A21,'Job Operations'!$A:$Z,13,FALSE)="Shear",VLOOKUP(A21,'Job Operations'!$A:$Z,17,FALSE),IF(VLOOKUP(A21,'Job Operations'!$A:$Z,15,FALSE)="Shear",VLOOKUP(A21,'Job Operations'!$A:$Z,19,FALSE),VLOOKUP(A21,'Job Operations'!$A:$Z,17,FALSE))),""))</f>
        <v/>
      </c>
      <c r="M21" s="152" t="str">
        <f>IF(A21="","",IFERROR(IF(VLOOKUP(A21,Notes!A:B,2,FALSE)=0,"",VLOOKUP(A21,Notes!A:B,2,FALSE)),""))</f>
        <v>04/16/2026…Evaluation</v>
      </c>
    </row>
    <row r="22" spans="1:13" s="140" customFormat="1" x14ac:dyDescent="0.25">
      <c r="A22" s="145" t="str">
        <v>25065-MU13</v>
      </c>
      <c r="B22" s="146" t="str">
        <f>IF(A22="","",VLOOKUP(A22,'Job Operations'!$A:$Z,2,FALSE))</f>
        <v>Crosswinds Casino Resort</v>
      </c>
      <c r="C22" s="146" t="str">
        <f>IF(A22="","",VLOOKUP(A22,'Job Operations'!$A:$Z,3,FALSE))</f>
        <v>Matt Rassmussen</v>
      </c>
      <c r="D22" s="146">
        <f>IF(A22="","",VLOOKUP(A22,'Job Operations'!$A:$Z,5,FALSE))</f>
        <v>0</v>
      </c>
      <c r="E22" s="146">
        <f>IF(A22="","",VLOOKUP(A22,'Job Operations'!$A:$Z,6,FALSE))</f>
        <v>1</v>
      </c>
      <c r="F22" s="146" t="str">
        <f>IF(A22="","",VLOOKUP(A22,'Job Operations'!$A:$Z,7,FALSE))</f>
        <v>Alum Sheet</v>
      </c>
      <c r="G22" s="147">
        <f>IF(A22="","",VLOOKUP(A22,'Job Operations'!$A:$Z,9,FALSE))</f>
        <v>46171</v>
      </c>
      <c r="H22" s="146" t="str">
        <f>IF(A22="","",VLOOKUP(A22,'Job Operations'!$A:$Z,12,FALSE))</f>
        <v>Evaluation</v>
      </c>
      <c r="I22" s="146" t="str">
        <f>IF(A22="","",IF(VLOOKUP(A22,'Job Operations'!$A:$Z,12,FALSE)="Shear",ROW()-6&amp;IF(OR(MOD(ROW()-6,10)=1,MOD(ROW()-6,10)=2,MOD(ROW()-6,10)=3),CHOOSE(MOD(ROW()-6,10),"st","nd","rd"),"th"),"#"&amp;(ROW()-6)&amp;" on Shear"))</f>
        <v>#16 on Shear</v>
      </c>
      <c r="J22" s="147">
        <f>IF(A22="","",IFERROR(IF(VLOOKUP(A22,'Job Operations'!$A:$Z,13,FALSE)="Shear",VLOOKUP(A22,'Job Operations'!$A:$Z,14,FALSE),IF(VLOOKUP(A22,'Job Operations'!$A:$Z,15,FALSE)="Shear",VLOOKUP(A22,'Job Operations'!$A:$Z,16,FALSE),IF(VLOOKUP(A22,'Job Operations'!$A:$Z,17,FALSE)="Shear",VLOOKUP(A22,'Job Operations'!$A:$Z,18,FALSE),VLOOKUP(A22,'Job Operations'!$A:$Z,14,FALSE)))),""))</f>
        <v>46157</v>
      </c>
      <c r="K22" s="146" t="str">
        <f>IF(A22="","",IFERROR(IF(VLOOKUP(A22,'Job Operations'!$A:$Z,13,FALSE)="Shear",VLOOKUP(A22,'Job Operations'!$A:$Z,15,FALSE),IF(VLOOKUP(A22,'Job Operations'!$A:$Z,15,FALSE)="Shear",VLOOKUP(A22,'Job Operations'!$A:$Z,17,FALSE),VLOOKUP(A22,'Job Operations'!$A:$Z,15,FALSE))),""))</f>
        <v/>
      </c>
      <c r="L22" s="146" t="str">
        <f>IF(A22="","",IFERROR(IF(VLOOKUP(A22,'Job Operations'!$A:$Z,13,FALSE)="Shear",VLOOKUP(A22,'Job Operations'!$A:$Z,17,FALSE),IF(VLOOKUP(A22,'Job Operations'!$A:$Z,15,FALSE)="Shear",VLOOKUP(A22,'Job Operations'!$A:$Z,19,FALSE),VLOOKUP(A22,'Job Operations'!$A:$Z,17,FALSE))),""))</f>
        <v/>
      </c>
      <c r="M22" s="148" t="str">
        <f>IF(A22="","",IFERROR(IF(VLOOKUP(A22,Notes!A:B,2,FALSE)=0,"",VLOOKUP(A22,Notes!A:B,2,FALSE)),""))</f>
        <v>04/16/2026…Evaluation</v>
      </c>
    </row>
    <row r="23" spans="1:13" s="140" customFormat="1" x14ac:dyDescent="0.25">
      <c r="A23" s="149" t="str">
        <v>25065-MU14</v>
      </c>
      <c r="B23" s="150" t="str">
        <f>IF(A23="","",VLOOKUP(A23,'Job Operations'!$A:$Z,2,FALSE))</f>
        <v>Crosswinds Casino Resort</v>
      </c>
      <c r="C23" s="150" t="str">
        <f>IF(A23="","",VLOOKUP(A23,'Job Operations'!$A:$Z,3,FALSE))</f>
        <v>Matt Rassmussen</v>
      </c>
      <c r="D23" s="150">
        <f>IF(A23="","",VLOOKUP(A23,'Job Operations'!$A:$Z,5,FALSE))</f>
        <v>0</v>
      </c>
      <c r="E23" s="150">
        <f>IF(A23="","",VLOOKUP(A23,'Job Operations'!$A:$Z,6,FALSE))</f>
        <v>3</v>
      </c>
      <c r="F23" s="150" t="str">
        <f>IF(A23="","",VLOOKUP(A23,'Job Operations'!$A:$Z,7,FALSE))</f>
        <v>Alum Sheet</v>
      </c>
      <c r="G23" s="151">
        <f>IF(A23="","",VLOOKUP(A23,'Job Operations'!$A:$Z,9,FALSE))</f>
        <v>46171</v>
      </c>
      <c r="H23" s="150" t="str">
        <f>IF(A23="","",VLOOKUP(A23,'Job Operations'!$A:$Z,12,FALSE))</f>
        <v>Evaluation</v>
      </c>
      <c r="I23" s="150" t="str">
        <f>IF(A23="","",IF(VLOOKUP(A23,'Job Operations'!$A:$Z,12,FALSE)="Shear",ROW()-6&amp;IF(OR(MOD(ROW()-6,10)=1,MOD(ROW()-6,10)=2,MOD(ROW()-6,10)=3),CHOOSE(MOD(ROW()-6,10),"st","nd","rd"),"th"),"#"&amp;(ROW()-6)&amp;" on Shear"))</f>
        <v>#17 on Shear</v>
      </c>
      <c r="J23" s="151">
        <f>IF(A23="","",IFERROR(IF(VLOOKUP(A23,'Job Operations'!$A:$Z,13,FALSE)="Shear",VLOOKUP(A23,'Job Operations'!$A:$Z,14,FALSE),IF(VLOOKUP(A23,'Job Operations'!$A:$Z,15,FALSE)="Shear",VLOOKUP(A23,'Job Operations'!$A:$Z,16,FALSE),IF(VLOOKUP(A23,'Job Operations'!$A:$Z,17,FALSE)="Shear",VLOOKUP(A23,'Job Operations'!$A:$Z,18,FALSE),VLOOKUP(A23,'Job Operations'!$A:$Z,14,FALSE)))),""))</f>
        <v>46157</v>
      </c>
      <c r="K23" s="150" t="str">
        <f>IF(A23="","",IFERROR(IF(VLOOKUP(A23,'Job Operations'!$A:$Z,13,FALSE)="Shear",VLOOKUP(A23,'Job Operations'!$A:$Z,15,FALSE),IF(VLOOKUP(A23,'Job Operations'!$A:$Z,15,FALSE)="Shear",VLOOKUP(A23,'Job Operations'!$A:$Z,17,FALSE),VLOOKUP(A23,'Job Operations'!$A:$Z,15,FALSE))),""))</f>
        <v/>
      </c>
      <c r="L23" s="150" t="str">
        <f>IF(A23="","",IFERROR(IF(VLOOKUP(A23,'Job Operations'!$A:$Z,13,FALSE)="Shear",VLOOKUP(A23,'Job Operations'!$A:$Z,17,FALSE),IF(VLOOKUP(A23,'Job Operations'!$A:$Z,15,FALSE)="Shear",VLOOKUP(A23,'Job Operations'!$A:$Z,19,FALSE),VLOOKUP(A23,'Job Operations'!$A:$Z,17,FALSE))),""))</f>
        <v/>
      </c>
      <c r="M23" s="152" t="str">
        <f>IF(A23="","",IFERROR(IF(VLOOKUP(A23,Notes!A:B,2,FALSE)=0,"",VLOOKUP(A23,Notes!A:B,2,FALSE)),""))</f>
        <v>04/16/2026…Evaluation</v>
      </c>
    </row>
    <row r="24" spans="1:13" s="140" customFormat="1" x14ac:dyDescent="0.25">
      <c r="A24" s="145" t="str">
        <v>25065-MU15</v>
      </c>
      <c r="B24" s="146" t="str">
        <f>IF(A24="","",VLOOKUP(A24,'Job Operations'!$A:$Z,2,FALSE))</f>
        <v>Crosswinds Casino Resort</v>
      </c>
      <c r="C24" s="146" t="str">
        <f>IF(A24="","",VLOOKUP(A24,'Job Operations'!$A:$Z,3,FALSE))</f>
        <v>Matt Rassmussen</v>
      </c>
      <c r="D24" s="146">
        <f>IF(A24="","",VLOOKUP(A24,'Job Operations'!$A:$Z,5,FALSE))</f>
        <v>0</v>
      </c>
      <c r="E24" s="146">
        <f>IF(A24="","",VLOOKUP(A24,'Job Operations'!$A:$Z,6,FALSE))</f>
        <v>6</v>
      </c>
      <c r="F24" s="146" t="str">
        <f>IF(A24="","",VLOOKUP(A24,'Job Operations'!$A:$Z,7,FALSE))</f>
        <v>Steel Sheet</v>
      </c>
      <c r="G24" s="147">
        <f>IF(A24="","",VLOOKUP(A24,'Job Operations'!$A:$Z,9,FALSE))</f>
        <v>46171</v>
      </c>
      <c r="H24" s="146" t="str">
        <f>IF(A24="","",VLOOKUP(A24,'Job Operations'!$A:$Z,12,FALSE))</f>
        <v>Evaluation</v>
      </c>
      <c r="I24" s="146" t="str">
        <f>IF(A24="","",IF(VLOOKUP(A24,'Job Operations'!$A:$Z,12,FALSE)="Shear",ROW()-6&amp;IF(OR(MOD(ROW()-6,10)=1,MOD(ROW()-6,10)=2,MOD(ROW()-6,10)=3),CHOOSE(MOD(ROW()-6,10),"st","nd","rd"),"th"),"#"&amp;(ROW()-6)&amp;" on Shear"))</f>
        <v>#18 on Shear</v>
      </c>
      <c r="J24" s="147">
        <f>IF(A24="","",IFERROR(IF(VLOOKUP(A24,'Job Operations'!$A:$Z,13,FALSE)="Shear",VLOOKUP(A24,'Job Operations'!$A:$Z,14,FALSE),IF(VLOOKUP(A24,'Job Operations'!$A:$Z,15,FALSE)="Shear",VLOOKUP(A24,'Job Operations'!$A:$Z,16,FALSE),IF(VLOOKUP(A24,'Job Operations'!$A:$Z,17,FALSE)="Shear",VLOOKUP(A24,'Job Operations'!$A:$Z,18,FALSE),VLOOKUP(A24,'Job Operations'!$A:$Z,14,FALSE)))),""))</f>
        <v>46157</v>
      </c>
      <c r="K24" s="146" t="str">
        <f>IF(A24="","",IFERROR(IF(VLOOKUP(A24,'Job Operations'!$A:$Z,13,FALSE)="Shear",VLOOKUP(A24,'Job Operations'!$A:$Z,15,FALSE),IF(VLOOKUP(A24,'Job Operations'!$A:$Z,15,FALSE)="Shear",VLOOKUP(A24,'Job Operations'!$A:$Z,17,FALSE),VLOOKUP(A24,'Job Operations'!$A:$Z,15,FALSE))),""))</f>
        <v/>
      </c>
      <c r="L24" s="146" t="str">
        <f>IF(A24="","",IFERROR(IF(VLOOKUP(A24,'Job Operations'!$A:$Z,13,FALSE)="Shear",VLOOKUP(A24,'Job Operations'!$A:$Z,17,FALSE),IF(VLOOKUP(A24,'Job Operations'!$A:$Z,15,FALSE)="Shear",VLOOKUP(A24,'Job Operations'!$A:$Z,19,FALSE),VLOOKUP(A24,'Job Operations'!$A:$Z,17,FALSE))),""))</f>
        <v/>
      </c>
      <c r="M24" s="148" t="str">
        <f>IF(A24="","",IFERROR(IF(VLOOKUP(A24,Notes!A:B,2,FALSE)=0,"",VLOOKUP(A24,Notes!A:B,2,FALSE)),""))</f>
        <v>04/16/2026…Evaluation</v>
      </c>
    </row>
    <row r="25" spans="1:13" s="140" customFormat="1" x14ac:dyDescent="0.25">
      <c r="A25" s="149" t="str">
        <v>25065-MU20</v>
      </c>
      <c r="B25" s="150" t="str">
        <f>IF(A25="","",VLOOKUP(A25,'Job Operations'!$A:$Z,2,FALSE))</f>
        <v>Crosswinds Casino Resort</v>
      </c>
      <c r="C25" s="150" t="str">
        <f>IF(A25="","",VLOOKUP(A25,'Job Operations'!$A:$Z,3,FALSE))</f>
        <v>Matt Rassmussen</v>
      </c>
      <c r="D25" s="150">
        <f>IF(A25="","",VLOOKUP(A25,'Job Operations'!$A:$Z,5,FALSE))</f>
        <v>0</v>
      </c>
      <c r="E25" s="150">
        <f>IF(A25="","",VLOOKUP(A25,'Job Operations'!$A:$Z,6,FALSE))</f>
        <v>3</v>
      </c>
      <c r="F25" s="150" t="str">
        <f>IF(A25="","",VLOOKUP(A25,'Job Operations'!$A:$Z,7,FALSE))</f>
        <v>Steel Sheet</v>
      </c>
      <c r="G25" s="151">
        <f>IF(A25="","",VLOOKUP(A25,'Job Operations'!$A:$Z,9,FALSE))</f>
        <v>46171</v>
      </c>
      <c r="H25" s="150" t="str">
        <f>IF(A25="","",VLOOKUP(A25,'Job Operations'!$A:$Z,12,FALSE))</f>
        <v>Evaluation</v>
      </c>
      <c r="I25" s="150" t="str">
        <f>IF(A25="","",IF(VLOOKUP(A25,'Job Operations'!$A:$Z,12,FALSE)="Shear",ROW()-6&amp;IF(OR(MOD(ROW()-6,10)=1,MOD(ROW()-6,10)=2,MOD(ROW()-6,10)=3),CHOOSE(MOD(ROW()-6,10),"st","nd","rd"),"th"),"#"&amp;(ROW()-6)&amp;" on Shear"))</f>
        <v>#19 on Shear</v>
      </c>
      <c r="J25" s="151">
        <f>IF(A25="","",IFERROR(IF(VLOOKUP(A25,'Job Operations'!$A:$Z,13,FALSE)="Shear",VLOOKUP(A25,'Job Operations'!$A:$Z,14,FALSE),IF(VLOOKUP(A25,'Job Operations'!$A:$Z,15,FALSE)="Shear",VLOOKUP(A25,'Job Operations'!$A:$Z,16,FALSE),IF(VLOOKUP(A25,'Job Operations'!$A:$Z,17,FALSE)="Shear",VLOOKUP(A25,'Job Operations'!$A:$Z,18,FALSE),VLOOKUP(A25,'Job Operations'!$A:$Z,14,FALSE)))),""))</f>
        <v>46157</v>
      </c>
      <c r="K25" s="150" t="str">
        <f>IF(A25="","",IFERROR(IF(VLOOKUP(A25,'Job Operations'!$A:$Z,13,FALSE)="Shear",VLOOKUP(A25,'Job Operations'!$A:$Z,15,FALSE),IF(VLOOKUP(A25,'Job Operations'!$A:$Z,15,FALSE)="Shear",VLOOKUP(A25,'Job Operations'!$A:$Z,17,FALSE),VLOOKUP(A25,'Job Operations'!$A:$Z,15,FALSE))),""))</f>
        <v/>
      </c>
      <c r="L25" s="150" t="str">
        <f>IF(A25="","",IFERROR(IF(VLOOKUP(A25,'Job Operations'!$A:$Z,13,FALSE)="Shear",VLOOKUP(A25,'Job Operations'!$A:$Z,17,FALSE),IF(VLOOKUP(A25,'Job Operations'!$A:$Z,15,FALSE)="Shear",VLOOKUP(A25,'Job Operations'!$A:$Z,19,FALSE),VLOOKUP(A25,'Job Operations'!$A:$Z,17,FALSE))),""))</f>
        <v/>
      </c>
      <c r="M25" s="152" t="str">
        <f>IF(A25="","",IFERROR(IF(VLOOKUP(A25,Notes!A:B,2,FALSE)=0,"",VLOOKUP(A25,Notes!A:B,2,FALSE)),""))</f>
        <v>04/16/2026…Evaluation</v>
      </c>
    </row>
    <row r="26" spans="1:13" s="140" customFormat="1" x14ac:dyDescent="0.25">
      <c r="A26" s="145"/>
      <c r="B26" s="146" t="str">
        <f>IF(A26="","",VLOOKUP(A26,'Job Operations'!$A:$Z,2,FALSE))</f>
        <v/>
      </c>
      <c r="C26" s="146" t="str">
        <f>IF(A26="","",VLOOKUP(A26,'Job Operations'!$A:$Z,3,FALSE))</f>
        <v/>
      </c>
      <c r="D26" s="146" t="str">
        <f>IF(A26="","",VLOOKUP(A26,'Job Operations'!$A:$Z,5,FALSE))</f>
        <v/>
      </c>
      <c r="E26" s="146" t="str">
        <f>IF(A26="","",VLOOKUP(A26,'Job Operations'!$A:$Z,6,FALSE))</f>
        <v/>
      </c>
      <c r="F26" s="146" t="str">
        <f>IF(A26="","",VLOOKUP(A26,'Job Operations'!$A:$Z,7,FALSE))</f>
        <v/>
      </c>
      <c r="G26" s="147" t="str">
        <f>IF(A26="","",VLOOKUP(A26,'Job Operations'!$A:$Z,9,FALSE))</f>
        <v/>
      </c>
      <c r="H26" s="146" t="str">
        <f>IF(A26="","",VLOOKUP(A26,'Job Operations'!$A:$Z,12,FALSE))</f>
        <v/>
      </c>
      <c r="I26" s="146" t="str">
        <f>IF(A26="","",IF(VLOOKUP(A26,'Job Operations'!$A:$Z,12,FALSE)="Shear",ROW()-6&amp;IF(OR(MOD(ROW()-6,10)=1,MOD(ROW()-6,10)=2,MOD(ROW()-6,10)=3),CHOOSE(MOD(ROW()-6,10),"st","nd","rd"),"th"),"#"&amp;(ROW()-6)&amp;" on Shear"))</f>
        <v/>
      </c>
      <c r="J26" s="147" t="str">
        <f>IF(A26="","",IFERROR(IF(VLOOKUP(A26,'Job Operations'!$A:$Z,13,FALSE)="Shear",VLOOKUP(A26,'Job Operations'!$A:$Z,14,FALSE),IF(VLOOKUP(A26,'Job Operations'!$A:$Z,15,FALSE)="Shear",VLOOKUP(A26,'Job Operations'!$A:$Z,16,FALSE),IF(VLOOKUP(A26,'Job Operations'!$A:$Z,17,FALSE)="Shear",VLOOKUP(A26,'Job Operations'!$A:$Z,18,FALSE),VLOOKUP(A26,'Job Operations'!$A:$Z,14,FALSE)))),""))</f>
        <v/>
      </c>
      <c r="K26" s="146" t="str">
        <f>IF(A26="","",IFERROR(IF(VLOOKUP(A26,'Job Operations'!$A:$Z,13,FALSE)="Shear",VLOOKUP(A26,'Job Operations'!$A:$Z,15,FALSE),IF(VLOOKUP(A26,'Job Operations'!$A:$Z,15,FALSE)="Shear",VLOOKUP(A26,'Job Operations'!$A:$Z,17,FALSE),VLOOKUP(A26,'Job Operations'!$A:$Z,15,FALSE))),""))</f>
        <v/>
      </c>
      <c r="L26" s="146" t="str">
        <f>IF(A26="","",IFERROR(IF(VLOOKUP(A26,'Job Operations'!$A:$Z,13,FALSE)="Shear",VLOOKUP(A26,'Job Operations'!$A:$Z,17,FALSE),IF(VLOOKUP(A26,'Job Operations'!$A:$Z,15,FALSE)="Shear",VLOOKUP(A26,'Job Operations'!$A:$Z,19,FALSE),VLOOKUP(A26,'Job Operations'!$A:$Z,17,FALSE))),""))</f>
        <v/>
      </c>
      <c r="M26" s="148" t="str">
        <f>IF(A26="","",IFERROR(IF(VLOOKUP(A26,Notes!A:B,2,FALSE)=0,"",VLOOKUP(A26,Notes!A:B,2,FALSE)),""))</f>
        <v/>
      </c>
    </row>
    <row r="27" spans="1:13" s="140" customFormat="1" x14ac:dyDescent="0.25">
      <c r="A27" s="149"/>
      <c r="B27" s="150" t="str">
        <f>IF(A27="","",VLOOKUP(A27,'Job Operations'!$A:$Z,2,FALSE))</f>
        <v/>
      </c>
      <c r="C27" s="150" t="str">
        <f>IF(A27="","",VLOOKUP(A27,'Job Operations'!$A:$Z,3,FALSE))</f>
        <v/>
      </c>
      <c r="D27" s="150" t="str">
        <f>IF(A27="","",VLOOKUP(A27,'Job Operations'!$A:$Z,5,FALSE))</f>
        <v/>
      </c>
      <c r="E27" s="150" t="str">
        <f>IF(A27="","",VLOOKUP(A27,'Job Operations'!$A:$Z,6,FALSE))</f>
        <v/>
      </c>
      <c r="F27" s="150" t="str">
        <f>IF(A27="","",VLOOKUP(A27,'Job Operations'!$A:$Z,7,FALSE))</f>
        <v/>
      </c>
      <c r="G27" s="151" t="str">
        <f>IF(A27="","",VLOOKUP(A27,'Job Operations'!$A:$Z,9,FALSE))</f>
        <v/>
      </c>
      <c r="H27" s="150" t="str">
        <f>IF(A27="","",VLOOKUP(A27,'Job Operations'!$A:$Z,12,FALSE))</f>
        <v/>
      </c>
      <c r="I27" s="150" t="str">
        <f>IF(A27="","",IF(VLOOKUP(A27,'Job Operations'!$A:$Z,12,FALSE)="Shear",ROW()-6&amp;IF(OR(MOD(ROW()-6,10)=1,MOD(ROW()-6,10)=2,MOD(ROW()-6,10)=3),CHOOSE(MOD(ROW()-6,10),"st","nd","rd"),"th"),"#"&amp;(ROW()-6)&amp;" on Shear"))</f>
        <v/>
      </c>
      <c r="J27" s="151" t="str">
        <f>IF(A27="","",IFERROR(IF(VLOOKUP(A27,'Job Operations'!$A:$Z,13,FALSE)="Shear",VLOOKUP(A27,'Job Operations'!$A:$Z,14,FALSE),IF(VLOOKUP(A27,'Job Operations'!$A:$Z,15,FALSE)="Shear",VLOOKUP(A27,'Job Operations'!$A:$Z,16,FALSE),IF(VLOOKUP(A27,'Job Operations'!$A:$Z,17,FALSE)="Shear",VLOOKUP(A27,'Job Operations'!$A:$Z,18,FALSE),VLOOKUP(A27,'Job Operations'!$A:$Z,14,FALSE)))),""))</f>
        <v/>
      </c>
      <c r="K27" s="150" t="str">
        <f>IF(A27="","",IFERROR(IF(VLOOKUP(A27,'Job Operations'!$A:$Z,13,FALSE)="Shear",VLOOKUP(A27,'Job Operations'!$A:$Z,15,FALSE),IF(VLOOKUP(A27,'Job Operations'!$A:$Z,15,FALSE)="Shear",VLOOKUP(A27,'Job Operations'!$A:$Z,17,FALSE),VLOOKUP(A27,'Job Operations'!$A:$Z,15,FALSE))),""))</f>
        <v/>
      </c>
      <c r="L27" s="150" t="str">
        <f>IF(A27="","",IFERROR(IF(VLOOKUP(A27,'Job Operations'!$A:$Z,13,FALSE)="Shear",VLOOKUP(A27,'Job Operations'!$A:$Z,17,FALSE),IF(VLOOKUP(A27,'Job Operations'!$A:$Z,15,FALSE)="Shear",VLOOKUP(A27,'Job Operations'!$A:$Z,19,FALSE),VLOOKUP(A27,'Job Operations'!$A:$Z,17,FALSE))),""))</f>
        <v/>
      </c>
      <c r="M27" s="152" t="str">
        <f>IF(A27="","",IFERROR(IF(VLOOKUP(A27,Notes!A:B,2,FALSE)=0,"",VLOOKUP(A27,Notes!A:B,2,FALSE)),""))</f>
        <v/>
      </c>
    </row>
    <row r="28" spans="1:13" s="140" customFormat="1" x14ac:dyDescent="0.25">
      <c r="A28" s="145"/>
      <c r="B28" s="146" t="str">
        <f>IF(A28="","",VLOOKUP(A28,'Job Operations'!$A:$Z,2,FALSE))</f>
        <v/>
      </c>
      <c r="C28" s="146" t="str">
        <f>IF(A28="","",VLOOKUP(A28,'Job Operations'!$A:$Z,3,FALSE))</f>
        <v/>
      </c>
      <c r="D28" s="146" t="str">
        <f>IF(A28="","",VLOOKUP(A28,'Job Operations'!$A:$Z,5,FALSE))</f>
        <v/>
      </c>
      <c r="E28" s="146" t="str">
        <f>IF(A28="","",VLOOKUP(A28,'Job Operations'!$A:$Z,6,FALSE))</f>
        <v/>
      </c>
      <c r="F28" s="146" t="str">
        <f>IF(A28="","",VLOOKUP(A28,'Job Operations'!$A:$Z,7,FALSE))</f>
        <v/>
      </c>
      <c r="G28" s="147" t="str">
        <f>IF(A28="","",VLOOKUP(A28,'Job Operations'!$A:$Z,9,FALSE))</f>
        <v/>
      </c>
      <c r="H28" s="146" t="str">
        <f>IF(A28="","",VLOOKUP(A28,'Job Operations'!$A:$Z,12,FALSE))</f>
        <v/>
      </c>
      <c r="I28" s="146" t="str">
        <f>IF(A28="","",IF(VLOOKUP(A28,'Job Operations'!$A:$Z,12,FALSE)="Shear",ROW()-6&amp;IF(OR(MOD(ROW()-6,10)=1,MOD(ROW()-6,10)=2,MOD(ROW()-6,10)=3),CHOOSE(MOD(ROW()-6,10),"st","nd","rd"),"th"),"#"&amp;(ROW()-6)&amp;" on Shear"))</f>
        <v/>
      </c>
      <c r="J28" s="147" t="str">
        <f>IF(A28="","",IFERROR(IF(VLOOKUP(A28,'Job Operations'!$A:$Z,13,FALSE)="Shear",VLOOKUP(A28,'Job Operations'!$A:$Z,14,FALSE),IF(VLOOKUP(A28,'Job Operations'!$A:$Z,15,FALSE)="Shear",VLOOKUP(A28,'Job Operations'!$A:$Z,16,FALSE),IF(VLOOKUP(A28,'Job Operations'!$A:$Z,17,FALSE)="Shear",VLOOKUP(A28,'Job Operations'!$A:$Z,18,FALSE),VLOOKUP(A28,'Job Operations'!$A:$Z,14,FALSE)))),""))</f>
        <v/>
      </c>
      <c r="K28" s="146" t="str">
        <f>IF(A28="","",IFERROR(IF(VLOOKUP(A28,'Job Operations'!$A:$Z,13,FALSE)="Shear",VLOOKUP(A28,'Job Operations'!$A:$Z,15,FALSE),IF(VLOOKUP(A28,'Job Operations'!$A:$Z,15,FALSE)="Shear",VLOOKUP(A28,'Job Operations'!$A:$Z,17,FALSE),VLOOKUP(A28,'Job Operations'!$A:$Z,15,FALSE))),""))</f>
        <v/>
      </c>
      <c r="L28" s="146" t="str">
        <f>IF(A28="","",IFERROR(IF(VLOOKUP(A28,'Job Operations'!$A:$Z,13,FALSE)="Shear",VLOOKUP(A28,'Job Operations'!$A:$Z,17,FALSE),IF(VLOOKUP(A28,'Job Operations'!$A:$Z,15,FALSE)="Shear",VLOOKUP(A28,'Job Operations'!$A:$Z,19,FALSE),VLOOKUP(A28,'Job Operations'!$A:$Z,17,FALSE))),""))</f>
        <v/>
      </c>
      <c r="M28" s="148" t="str">
        <f>IF(A28="","",IFERROR(IF(VLOOKUP(A28,Notes!A:B,2,FALSE)=0,"",VLOOKUP(A28,Notes!A:B,2,FALSE)),""))</f>
        <v/>
      </c>
    </row>
    <row r="29" spans="1:13" s="140" customFormat="1" x14ac:dyDescent="0.25">
      <c r="A29" s="149"/>
      <c r="B29" s="150" t="str">
        <f>IF(A29="","",VLOOKUP(A29,'Job Operations'!$A:$Z,2,FALSE))</f>
        <v/>
      </c>
      <c r="C29" s="150" t="str">
        <f>IF(A29="","",VLOOKUP(A29,'Job Operations'!$A:$Z,3,FALSE))</f>
        <v/>
      </c>
      <c r="D29" s="150" t="str">
        <f>IF(A29="","",VLOOKUP(A29,'Job Operations'!$A:$Z,5,FALSE))</f>
        <v/>
      </c>
      <c r="E29" s="150" t="str">
        <f>IF(A29="","",VLOOKUP(A29,'Job Operations'!$A:$Z,6,FALSE))</f>
        <v/>
      </c>
      <c r="F29" s="150" t="str">
        <f>IF(A29="","",VLOOKUP(A29,'Job Operations'!$A:$Z,7,FALSE))</f>
        <v/>
      </c>
      <c r="G29" s="151" t="str">
        <f>IF(A29="","",VLOOKUP(A29,'Job Operations'!$A:$Z,9,FALSE))</f>
        <v/>
      </c>
      <c r="H29" s="150" t="str">
        <f>IF(A29="","",VLOOKUP(A29,'Job Operations'!$A:$Z,12,FALSE))</f>
        <v/>
      </c>
      <c r="I29" s="150" t="str">
        <f>IF(A29="","",IF(VLOOKUP(A29,'Job Operations'!$A:$Z,12,FALSE)="Shear",ROW()-6&amp;IF(OR(MOD(ROW()-6,10)=1,MOD(ROW()-6,10)=2,MOD(ROW()-6,10)=3),CHOOSE(MOD(ROW()-6,10),"st","nd","rd"),"th"),"#"&amp;(ROW()-6)&amp;" on Shear"))</f>
        <v/>
      </c>
      <c r="J29" s="151" t="str">
        <f>IF(A29="","",IFERROR(IF(VLOOKUP(A29,'Job Operations'!$A:$Z,13,FALSE)="Shear",VLOOKUP(A29,'Job Operations'!$A:$Z,14,FALSE),IF(VLOOKUP(A29,'Job Operations'!$A:$Z,15,FALSE)="Shear",VLOOKUP(A29,'Job Operations'!$A:$Z,16,FALSE),IF(VLOOKUP(A29,'Job Operations'!$A:$Z,17,FALSE)="Shear",VLOOKUP(A29,'Job Operations'!$A:$Z,18,FALSE),VLOOKUP(A29,'Job Operations'!$A:$Z,14,FALSE)))),""))</f>
        <v/>
      </c>
      <c r="K29" s="150" t="str">
        <f>IF(A29="","",IFERROR(IF(VLOOKUP(A29,'Job Operations'!$A:$Z,13,FALSE)="Shear",VLOOKUP(A29,'Job Operations'!$A:$Z,15,FALSE),IF(VLOOKUP(A29,'Job Operations'!$A:$Z,15,FALSE)="Shear",VLOOKUP(A29,'Job Operations'!$A:$Z,17,FALSE),VLOOKUP(A29,'Job Operations'!$A:$Z,15,FALSE))),""))</f>
        <v/>
      </c>
      <c r="L29" s="150" t="str">
        <f>IF(A29="","",IFERROR(IF(VLOOKUP(A29,'Job Operations'!$A:$Z,13,FALSE)="Shear",VLOOKUP(A29,'Job Operations'!$A:$Z,17,FALSE),IF(VLOOKUP(A29,'Job Operations'!$A:$Z,15,FALSE)="Shear",VLOOKUP(A29,'Job Operations'!$A:$Z,19,FALSE),VLOOKUP(A29,'Job Operations'!$A:$Z,17,FALSE))),""))</f>
        <v/>
      </c>
      <c r="M29" s="152" t="str">
        <f>IF(A29="","",IFERROR(IF(VLOOKUP(A29,Notes!A:B,2,FALSE)=0,"",VLOOKUP(A29,Notes!A:B,2,FALSE)),""))</f>
        <v/>
      </c>
    </row>
    <row r="30" spans="1:13" s="140" customFormat="1" x14ac:dyDescent="0.25">
      <c r="A30" s="145"/>
      <c r="B30" s="146" t="str">
        <f>IF(A30="","",VLOOKUP(A30,'Job Operations'!$A:$Z,2,FALSE))</f>
        <v/>
      </c>
      <c r="C30" s="146" t="str">
        <f>IF(A30="","",VLOOKUP(A30,'Job Operations'!$A:$Z,3,FALSE))</f>
        <v/>
      </c>
      <c r="D30" s="146" t="str">
        <f>IF(A30="","",VLOOKUP(A30,'Job Operations'!$A:$Z,5,FALSE))</f>
        <v/>
      </c>
      <c r="E30" s="146" t="str">
        <f>IF(A30="","",VLOOKUP(A30,'Job Operations'!$A:$Z,6,FALSE))</f>
        <v/>
      </c>
      <c r="F30" s="146" t="str">
        <f>IF(A30="","",VLOOKUP(A30,'Job Operations'!$A:$Z,7,FALSE))</f>
        <v/>
      </c>
      <c r="G30" s="147" t="str">
        <f>IF(A30="","",VLOOKUP(A30,'Job Operations'!$A:$Z,9,FALSE))</f>
        <v/>
      </c>
      <c r="H30" s="146" t="str">
        <f>IF(A30="","",VLOOKUP(A30,'Job Operations'!$A:$Z,12,FALSE))</f>
        <v/>
      </c>
      <c r="I30" s="146" t="str">
        <f>IF(A30="","",IF(VLOOKUP(A30,'Job Operations'!$A:$Z,12,FALSE)="Shear",ROW()-6&amp;IF(OR(MOD(ROW()-6,10)=1,MOD(ROW()-6,10)=2,MOD(ROW()-6,10)=3),CHOOSE(MOD(ROW()-6,10),"st","nd","rd"),"th"),"#"&amp;(ROW()-6)&amp;" on Shear"))</f>
        <v/>
      </c>
      <c r="J30" s="147" t="str">
        <f>IF(A30="","",IFERROR(IF(VLOOKUP(A30,'Job Operations'!$A:$Z,13,FALSE)="Shear",VLOOKUP(A30,'Job Operations'!$A:$Z,14,FALSE),IF(VLOOKUP(A30,'Job Operations'!$A:$Z,15,FALSE)="Shear",VLOOKUP(A30,'Job Operations'!$A:$Z,16,FALSE),IF(VLOOKUP(A30,'Job Operations'!$A:$Z,17,FALSE)="Shear",VLOOKUP(A30,'Job Operations'!$A:$Z,18,FALSE),VLOOKUP(A30,'Job Operations'!$A:$Z,14,FALSE)))),""))</f>
        <v/>
      </c>
      <c r="K30" s="146" t="str">
        <f>IF(A30="","",IFERROR(IF(VLOOKUP(A30,'Job Operations'!$A:$Z,13,FALSE)="Shear",VLOOKUP(A30,'Job Operations'!$A:$Z,15,FALSE),IF(VLOOKUP(A30,'Job Operations'!$A:$Z,15,FALSE)="Shear",VLOOKUP(A30,'Job Operations'!$A:$Z,17,FALSE),VLOOKUP(A30,'Job Operations'!$A:$Z,15,FALSE))),""))</f>
        <v/>
      </c>
      <c r="L30" s="146" t="str">
        <f>IF(A30="","",IFERROR(IF(VLOOKUP(A30,'Job Operations'!$A:$Z,13,FALSE)="Shear",VLOOKUP(A30,'Job Operations'!$A:$Z,17,FALSE),IF(VLOOKUP(A30,'Job Operations'!$A:$Z,15,FALSE)="Shear",VLOOKUP(A30,'Job Operations'!$A:$Z,19,FALSE),VLOOKUP(A30,'Job Operations'!$A:$Z,17,FALSE))),""))</f>
        <v/>
      </c>
      <c r="M30" s="148" t="str">
        <f>IF(A30="","",IFERROR(IF(VLOOKUP(A30,Notes!A:B,2,FALSE)=0,"",VLOOKUP(A30,Notes!A:B,2,FALSE)),""))</f>
        <v/>
      </c>
    </row>
    <row r="31" spans="1:13" s="140" customFormat="1" x14ac:dyDescent="0.25">
      <c r="A31" s="149"/>
      <c r="B31" s="150" t="str">
        <f>IF(A31="","",VLOOKUP(A31,'Job Operations'!$A:$Z,2,FALSE))</f>
        <v/>
      </c>
      <c r="C31" s="150" t="str">
        <f>IF(A31="","",VLOOKUP(A31,'Job Operations'!$A:$Z,3,FALSE))</f>
        <v/>
      </c>
      <c r="D31" s="150" t="str">
        <f>IF(A31="","",VLOOKUP(A31,'Job Operations'!$A:$Z,5,FALSE))</f>
        <v/>
      </c>
      <c r="E31" s="150" t="str">
        <f>IF(A31="","",VLOOKUP(A31,'Job Operations'!$A:$Z,6,FALSE))</f>
        <v/>
      </c>
      <c r="F31" s="150" t="str">
        <f>IF(A31="","",VLOOKUP(A31,'Job Operations'!$A:$Z,7,FALSE))</f>
        <v/>
      </c>
      <c r="G31" s="151" t="str">
        <f>IF(A31="","",VLOOKUP(A31,'Job Operations'!$A:$Z,9,FALSE))</f>
        <v/>
      </c>
      <c r="H31" s="150" t="str">
        <f>IF(A31="","",VLOOKUP(A31,'Job Operations'!$A:$Z,12,FALSE))</f>
        <v/>
      </c>
      <c r="I31" s="150" t="str">
        <f>IF(A31="","",IF(VLOOKUP(A31,'Job Operations'!$A:$Z,12,FALSE)="Shear",ROW()-6&amp;IF(OR(MOD(ROW()-6,10)=1,MOD(ROW()-6,10)=2,MOD(ROW()-6,10)=3),CHOOSE(MOD(ROW()-6,10),"st","nd","rd"),"th"),"#"&amp;(ROW()-6)&amp;" on Shear"))</f>
        <v/>
      </c>
      <c r="J31" s="151" t="str">
        <f>IF(A31="","",IFERROR(IF(VLOOKUP(A31,'Job Operations'!$A:$Z,13,FALSE)="Shear",VLOOKUP(A31,'Job Operations'!$A:$Z,14,FALSE),IF(VLOOKUP(A31,'Job Operations'!$A:$Z,15,FALSE)="Shear",VLOOKUP(A31,'Job Operations'!$A:$Z,16,FALSE),IF(VLOOKUP(A31,'Job Operations'!$A:$Z,17,FALSE)="Shear",VLOOKUP(A31,'Job Operations'!$A:$Z,18,FALSE),VLOOKUP(A31,'Job Operations'!$A:$Z,14,FALSE)))),""))</f>
        <v/>
      </c>
      <c r="K31" s="150" t="str">
        <f>IF(A31="","",IFERROR(IF(VLOOKUP(A31,'Job Operations'!$A:$Z,13,FALSE)="Shear",VLOOKUP(A31,'Job Operations'!$A:$Z,15,FALSE),IF(VLOOKUP(A31,'Job Operations'!$A:$Z,15,FALSE)="Shear",VLOOKUP(A31,'Job Operations'!$A:$Z,17,FALSE),VLOOKUP(A31,'Job Operations'!$A:$Z,15,FALSE))),""))</f>
        <v/>
      </c>
      <c r="L31" s="150" t="str">
        <f>IF(A31="","",IFERROR(IF(VLOOKUP(A31,'Job Operations'!$A:$Z,13,FALSE)="Shear",VLOOKUP(A31,'Job Operations'!$A:$Z,17,FALSE),IF(VLOOKUP(A31,'Job Operations'!$A:$Z,15,FALSE)="Shear",VLOOKUP(A31,'Job Operations'!$A:$Z,19,FALSE),VLOOKUP(A31,'Job Operations'!$A:$Z,17,FALSE))),""))</f>
        <v/>
      </c>
      <c r="M31" s="152" t="str">
        <f>IF(A31="","",IFERROR(IF(VLOOKUP(A31,Notes!A:B,2,FALSE)=0,"",VLOOKUP(A31,Notes!A:B,2,FALSE)),""))</f>
        <v/>
      </c>
    </row>
    <row r="32" spans="1:13" s="140" customFormat="1" x14ac:dyDescent="0.25">
      <c r="A32" s="145"/>
      <c r="B32" s="146" t="str">
        <f>IF(A32="","",VLOOKUP(A32,'Job Operations'!$A:$Z,2,FALSE))</f>
        <v/>
      </c>
      <c r="C32" s="146" t="str">
        <f>IF(A32="","",VLOOKUP(A32,'Job Operations'!$A:$Z,3,FALSE))</f>
        <v/>
      </c>
      <c r="D32" s="146" t="str">
        <f>IF(A32="","",VLOOKUP(A32,'Job Operations'!$A:$Z,5,FALSE))</f>
        <v/>
      </c>
      <c r="E32" s="146" t="str">
        <f>IF(A32="","",VLOOKUP(A32,'Job Operations'!$A:$Z,6,FALSE))</f>
        <v/>
      </c>
      <c r="F32" s="146" t="str">
        <f>IF(A32="","",VLOOKUP(A32,'Job Operations'!$A:$Z,7,FALSE))</f>
        <v/>
      </c>
      <c r="G32" s="147" t="str">
        <f>IF(A32="","",VLOOKUP(A32,'Job Operations'!$A:$Z,9,FALSE))</f>
        <v/>
      </c>
      <c r="H32" s="146" t="str">
        <f>IF(A32="","",VLOOKUP(A32,'Job Operations'!$A:$Z,12,FALSE))</f>
        <v/>
      </c>
      <c r="I32" s="146" t="str">
        <f>IF(A32="","",IF(VLOOKUP(A32,'Job Operations'!$A:$Z,12,FALSE)="Shear",ROW()-6&amp;IF(OR(MOD(ROW()-6,10)=1,MOD(ROW()-6,10)=2,MOD(ROW()-6,10)=3),CHOOSE(MOD(ROW()-6,10),"st","nd","rd"),"th"),"#"&amp;(ROW()-6)&amp;" on Shear"))</f>
        <v/>
      </c>
      <c r="J32" s="147" t="str">
        <f>IF(A32="","",IFERROR(IF(VLOOKUP(A32,'Job Operations'!$A:$Z,13,FALSE)="Shear",VLOOKUP(A32,'Job Operations'!$A:$Z,14,FALSE),IF(VLOOKUP(A32,'Job Operations'!$A:$Z,15,FALSE)="Shear",VLOOKUP(A32,'Job Operations'!$A:$Z,16,FALSE),IF(VLOOKUP(A32,'Job Operations'!$A:$Z,17,FALSE)="Shear",VLOOKUP(A32,'Job Operations'!$A:$Z,18,FALSE),VLOOKUP(A32,'Job Operations'!$A:$Z,14,FALSE)))),""))</f>
        <v/>
      </c>
      <c r="K32" s="146" t="str">
        <f>IF(A32="","",IFERROR(IF(VLOOKUP(A32,'Job Operations'!$A:$Z,13,FALSE)="Shear",VLOOKUP(A32,'Job Operations'!$A:$Z,15,FALSE),IF(VLOOKUP(A32,'Job Operations'!$A:$Z,15,FALSE)="Shear",VLOOKUP(A32,'Job Operations'!$A:$Z,17,FALSE),VLOOKUP(A32,'Job Operations'!$A:$Z,15,FALSE))),""))</f>
        <v/>
      </c>
      <c r="L32" s="146" t="str">
        <f>IF(A32="","",IFERROR(IF(VLOOKUP(A32,'Job Operations'!$A:$Z,13,FALSE)="Shear",VLOOKUP(A32,'Job Operations'!$A:$Z,17,FALSE),IF(VLOOKUP(A32,'Job Operations'!$A:$Z,15,FALSE)="Shear",VLOOKUP(A32,'Job Operations'!$A:$Z,19,FALSE),VLOOKUP(A32,'Job Operations'!$A:$Z,17,FALSE))),""))</f>
        <v/>
      </c>
      <c r="M32" s="148" t="str">
        <f>IF(A32="","",IFERROR(IF(VLOOKUP(A32,Notes!A:B,2,FALSE)=0,"",VLOOKUP(A32,Notes!A:B,2,FALSE)),""))</f>
        <v/>
      </c>
    </row>
    <row r="33" spans="1:13" s="140" customFormat="1" x14ac:dyDescent="0.25">
      <c r="A33" s="149"/>
      <c r="B33" s="150" t="str">
        <f>IF(A33="","",VLOOKUP(A33,'Job Operations'!$A:$Z,2,FALSE))</f>
        <v/>
      </c>
      <c r="C33" s="150" t="str">
        <f>IF(A33="","",VLOOKUP(A33,'Job Operations'!$A:$Z,3,FALSE))</f>
        <v/>
      </c>
      <c r="D33" s="150" t="str">
        <f>IF(A33="","",VLOOKUP(A33,'Job Operations'!$A:$Z,5,FALSE))</f>
        <v/>
      </c>
      <c r="E33" s="150" t="str">
        <f>IF(A33="","",VLOOKUP(A33,'Job Operations'!$A:$Z,6,FALSE))</f>
        <v/>
      </c>
      <c r="F33" s="150" t="str">
        <f>IF(A33="","",VLOOKUP(A33,'Job Operations'!$A:$Z,7,FALSE))</f>
        <v/>
      </c>
      <c r="G33" s="151" t="str">
        <f>IF(A33="","",VLOOKUP(A33,'Job Operations'!$A:$Z,9,FALSE))</f>
        <v/>
      </c>
      <c r="H33" s="150" t="str">
        <f>IF(A33="","",VLOOKUP(A33,'Job Operations'!$A:$Z,12,FALSE))</f>
        <v/>
      </c>
      <c r="I33" s="150" t="str">
        <f>IF(A33="","",IF(VLOOKUP(A33,'Job Operations'!$A:$Z,12,FALSE)="Shear",ROW()-6&amp;IF(OR(MOD(ROW()-6,10)=1,MOD(ROW()-6,10)=2,MOD(ROW()-6,10)=3),CHOOSE(MOD(ROW()-6,10),"st","nd","rd"),"th"),"#"&amp;(ROW()-6)&amp;" on Shear"))</f>
        <v/>
      </c>
      <c r="J33" s="151" t="str">
        <f>IF(A33="","",IFERROR(IF(VLOOKUP(A33,'Job Operations'!$A:$Z,13,FALSE)="Shear",VLOOKUP(A33,'Job Operations'!$A:$Z,14,FALSE),IF(VLOOKUP(A33,'Job Operations'!$A:$Z,15,FALSE)="Shear",VLOOKUP(A33,'Job Operations'!$A:$Z,16,FALSE),IF(VLOOKUP(A33,'Job Operations'!$A:$Z,17,FALSE)="Shear",VLOOKUP(A33,'Job Operations'!$A:$Z,18,FALSE),VLOOKUP(A33,'Job Operations'!$A:$Z,14,FALSE)))),""))</f>
        <v/>
      </c>
      <c r="K33" s="150" t="str">
        <f>IF(A33="","",IFERROR(IF(VLOOKUP(A33,'Job Operations'!$A:$Z,13,FALSE)="Shear",VLOOKUP(A33,'Job Operations'!$A:$Z,15,FALSE),IF(VLOOKUP(A33,'Job Operations'!$A:$Z,15,FALSE)="Shear",VLOOKUP(A33,'Job Operations'!$A:$Z,17,FALSE),VLOOKUP(A33,'Job Operations'!$A:$Z,15,FALSE))),""))</f>
        <v/>
      </c>
      <c r="L33" s="150" t="str">
        <f>IF(A33="","",IFERROR(IF(VLOOKUP(A33,'Job Operations'!$A:$Z,13,FALSE)="Shear",VLOOKUP(A33,'Job Operations'!$A:$Z,17,FALSE),IF(VLOOKUP(A33,'Job Operations'!$A:$Z,15,FALSE)="Shear",VLOOKUP(A33,'Job Operations'!$A:$Z,19,FALSE),VLOOKUP(A33,'Job Operations'!$A:$Z,17,FALSE))),""))</f>
        <v/>
      </c>
      <c r="M33" s="152" t="str">
        <f>IF(A33="","",IFERROR(IF(VLOOKUP(A33,Notes!A:B,2,FALSE)=0,"",VLOOKUP(A33,Notes!A:B,2,FALSE)),""))</f>
        <v/>
      </c>
    </row>
    <row r="34" spans="1:13" s="140" customFormat="1" x14ac:dyDescent="0.25">
      <c r="A34" s="145"/>
      <c r="B34" s="146" t="str">
        <f>IF(A34="","",VLOOKUP(A34,'Job Operations'!$A:$Z,2,FALSE))</f>
        <v/>
      </c>
      <c r="C34" s="146" t="str">
        <f>IF(A34="","",VLOOKUP(A34,'Job Operations'!$A:$Z,3,FALSE))</f>
        <v/>
      </c>
      <c r="D34" s="146" t="str">
        <f>IF(A34="","",VLOOKUP(A34,'Job Operations'!$A:$Z,5,FALSE))</f>
        <v/>
      </c>
      <c r="E34" s="146" t="str">
        <f>IF(A34="","",VLOOKUP(A34,'Job Operations'!$A:$Z,6,FALSE))</f>
        <v/>
      </c>
      <c r="F34" s="146" t="str">
        <f>IF(A34="","",VLOOKUP(A34,'Job Operations'!$A:$Z,7,FALSE))</f>
        <v/>
      </c>
      <c r="G34" s="147" t="str">
        <f>IF(A34="","",VLOOKUP(A34,'Job Operations'!$A:$Z,9,FALSE))</f>
        <v/>
      </c>
      <c r="H34" s="146" t="str">
        <f>IF(A34="","",VLOOKUP(A34,'Job Operations'!$A:$Z,12,FALSE))</f>
        <v/>
      </c>
      <c r="I34" s="146" t="str">
        <f>IF(A34="","",IF(VLOOKUP(A34,'Job Operations'!$A:$Z,12,FALSE)="Shear",ROW()-6&amp;IF(OR(MOD(ROW()-6,10)=1,MOD(ROW()-6,10)=2,MOD(ROW()-6,10)=3),CHOOSE(MOD(ROW()-6,10),"st","nd","rd"),"th"),"#"&amp;(ROW()-6)&amp;" on Shear"))</f>
        <v/>
      </c>
      <c r="J34" s="147" t="str">
        <f>IF(A34="","",IFERROR(IF(VLOOKUP(A34,'Job Operations'!$A:$Z,13,FALSE)="Shear",VLOOKUP(A34,'Job Operations'!$A:$Z,14,FALSE),IF(VLOOKUP(A34,'Job Operations'!$A:$Z,15,FALSE)="Shear",VLOOKUP(A34,'Job Operations'!$A:$Z,16,FALSE),IF(VLOOKUP(A34,'Job Operations'!$A:$Z,17,FALSE)="Shear",VLOOKUP(A34,'Job Operations'!$A:$Z,18,FALSE),VLOOKUP(A34,'Job Operations'!$A:$Z,14,FALSE)))),""))</f>
        <v/>
      </c>
      <c r="K34" s="146" t="str">
        <f>IF(A34="","",IFERROR(IF(VLOOKUP(A34,'Job Operations'!$A:$Z,13,FALSE)="Shear",VLOOKUP(A34,'Job Operations'!$A:$Z,15,FALSE),IF(VLOOKUP(A34,'Job Operations'!$A:$Z,15,FALSE)="Shear",VLOOKUP(A34,'Job Operations'!$A:$Z,17,FALSE),VLOOKUP(A34,'Job Operations'!$A:$Z,15,FALSE))),""))</f>
        <v/>
      </c>
      <c r="L34" s="146" t="str">
        <f>IF(A34="","",IFERROR(IF(VLOOKUP(A34,'Job Operations'!$A:$Z,13,FALSE)="Shear",VLOOKUP(A34,'Job Operations'!$A:$Z,17,FALSE),IF(VLOOKUP(A34,'Job Operations'!$A:$Z,15,FALSE)="Shear",VLOOKUP(A34,'Job Operations'!$A:$Z,19,FALSE),VLOOKUP(A34,'Job Operations'!$A:$Z,17,FALSE))),""))</f>
        <v/>
      </c>
      <c r="M34" s="148" t="str">
        <f>IF(A34="","",IFERROR(IF(VLOOKUP(A34,Notes!A:B,2,FALSE)=0,"",VLOOKUP(A34,Notes!A:B,2,FALSE)),""))</f>
        <v/>
      </c>
    </row>
    <row r="35" spans="1:13" s="140" customFormat="1" x14ac:dyDescent="0.25">
      <c r="A35" s="149"/>
      <c r="B35" s="150" t="str">
        <f>IF(A35="","",VLOOKUP(A35,'Job Operations'!$A:$Z,2,FALSE))</f>
        <v/>
      </c>
      <c r="C35" s="150" t="str">
        <f>IF(A35="","",VLOOKUP(A35,'Job Operations'!$A:$Z,3,FALSE))</f>
        <v/>
      </c>
      <c r="D35" s="150" t="str">
        <f>IF(A35="","",VLOOKUP(A35,'Job Operations'!$A:$Z,5,FALSE))</f>
        <v/>
      </c>
      <c r="E35" s="150" t="str">
        <f>IF(A35="","",VLOOKUP(A35,'Job Operations'!$A:$Z,6,FALSE))</f>
        <v/>
      </c>
      <c r="F35" s="150" t="str">
        <f>IF(A35="","",VLOOKUP(A35,'Job Operations'!$A:$Z,7,FALSE))</f>
        <v/>
      </c>
      <c r="G35" s="151" t="str">
        <f>IF(A35="","",VLOOKUP(A35,'Job Operations'!$A:$Z,9,FALSE))</f>
        <v/>
      </c>
      <c r="H35" s="150" t="str">
        <f>IF(A35="","",VLOOKUP(A35,'Job Operations'!$A:$Z,12,FALSE))</f>
        <v/>
      </c>
      <c r="I35" s="150" t="str">
        <f>IF(A35="","",IF(VLOOKUP(A35,'Job Operations'!$A:$Z,12,FALSE)="Shear",ROW()-6&amp;IF(OR(MOD(ROW()-6,10)=1,MOD(ROW()-6,10)=2,MOD(ROW()-6,10)=3),CHOOSE(MOD(ROW()-6,10),"st","nd","rd"),"th"),"#"&amp;(ROW()-6)&amp;" on Shear"))</f>
        <v/>
      </c>
      <c r="J35" s="151" t="str">
        <f>IF(A35="","",IFERROR(IF(VLOOKUP(A35,'Job Operations'!$A:$Z,13,FALSE)="Shear",VLOOKUP(A35,'Job Operations'!$A:$Z,14,FALSE),IF(VLOOKUP(A35,'Job Operations'!$A:$Z,15,FALSE)="Shear",VLOOKUP(A35,'Job Operations'!$A:$Z,16,FALSE),IF(VLOOKUP(A35,'Job Operations'!$A:$Z,17,FALSE)="Shear",VLOOKUP(A35,'Job Operations'!$A:$Z,18,FALSE),VLOOKUP(A35,'Job Operations'!$A:$Z,14,FALSE)))),""))</f>
        <v/>
      </c>
      <c r="K35" s="150" t="str">
        <f>IF(A35="","",IFERROR(IF(VLOOKUP(A35,'Job Operations'!$A:$Z,13,FALSE)="Shear",VLOOKUP(A35,'Job Operations'!$A:$Z,15,FALSE),IF(VLOOKUP(A35,'Job Operations'!$A:$Z,15,FALSE)="Shear",VLOOKUP(A35,'Job Operations'!$A:$Z,17,FALSE),VLOOKUP(A35,'Job Operations'!$A:$Z,15,FALSE))),""))</f>
        <v/>
      </c>
      <c r="L35" s="150" t="str">
        <f>IF(A35="","",IFERROR(IF(VLOOKUP(A35,'Job Operations'!$A:$Z,13,FALSE)="Shear",VLOOKUP(A35,'Job Operations'!$A:$Z,17,FALSE),IF(VLOOKUP(A35,'Job Operations'!$A:$Z,15,FALSE)="Shear",VLOOKUP(A35,'Job Operations'!$A:$Z,19,FALSE),VLOOKUP(A35,'Job Operations'!$A:$Z,17,FALSE))),""))</f>
        <v/>
      </c>
      <c r="M35" s="152" t="str">
        <f>IF(A35="","",IFERROR(IF(VLOOKUP(A35,Notes!A:B,2,FALSE)=0,"",VLOOKUP(A35,Notes!A:B,2,FALSE)),""))</f>
        <v/>
      </c>
    </row>
    <row r="36" spans="1:13" s="140" customFormat="1" x14ac:dyDescent="0.25">
      <c r="A36" s="145"/>
      <c r="B36" s="146" t="str">
        <f>IF(A36="","",VLOOKUP(A36,'Job Operations'!$A:$Z,2,FALSE))</f>
        <v/>
      </c>
      <c r="C36" s="146" t="str">
        <f>IF(A36="","",VLOOKUP(A36,'Job Operations'!$A:$Z,3,FALSE))</f>
        <v/>
      </c>
      <c r="D36" s="146" t="str">
        <f>IF(A36="","",VLOOKUP(A36,'Job Operations'!$A:$Z,5,FALSE))</f>
        <v/>
      </c>
      <c r="E36" s="146" t="str">
        <f>IF(A36="","",VLOOKUP(A36,'Job Operations'!$A:$Z,6,FALSE))</f>
        <v/>
      </c>
      <c r="F36" s="146" t="str">
        <f>IF(A36="","",VLOOKUP(A36,'Job Operations'!$A:$Z,7,FALSE))</f>
        <v/>
      </c>
      <c r="G36" s="147" t="str">
        <f>IF(A36="","",VLOOKUP(A36,'Job Operations'!$A:$Z,9,FALSE))</f>
        <v/>
      </c>
      <c r="H36" s="146" t="str">
        <f>IF(A36="","",VLOOKUP(A36,'Job Operations'!$A:$Z,12,FALSE))</f>
        <v/>
      </c>
      <c r="I36" s="146" t="str">
        <f>IF(A36="","",IF(VLOOKUP(A36,'Job Operations'!$A:$Z,12,FALSE)="Shear",ROW()-6&amp;IF(OR(MOD(ROW()-6,10)=1,MOD(ROW()-6,10)=2,MOD(ROW()-6,10)=3),CHOOSE(MOD(ROW()-6,10),"st","nd","rd"),"th"),"#"&amp;(ROW()-6)&amp;" on Shear"))</f>
        <v/>
      </c>
      <c r="J36" s="147" t="str">
        <f>IF(A36="","",IFERROR(IF(VLOOKUP(A36,'Job Operations'!$A:$Z,13,FALSE)="Shear",VLOOKUP(A36,'Job Operations'!$A:$Z,14,FALSE),IF(VLOOKUP(A36,'Job Operations'!$A:$Z,15,FALSE)="Shear",VLOOKUP(A36,'Job Operations'!$A:$Z,16,FALSE),IF(VLOOKUP(A36,'Job Operations'!$A:$Z,17,FALSE)="Shear",VLOOKUP(A36,'Job Operations'!$A:$Z,18,FALSE),VLOOKUP(A36,'Job Operations'!$A:$Z,14,FALSE)))),""))</f>
        <v/>
      </c>
      <c r="K36" s="146" t="str">
        <f>IF(A36="","",IFERROR(IF(VLOOKUP(A36,'Job Operations'!$A:$Z,13,FALSE)="Shear",VLOOKUP(A36,'Job Operations'!$A:$Z,15,FALSE),IF(VLOOKUP(A36,'Job Operations'!$A:$Z,15,FALSE)="Shear",VLOOKUP(A36,'Job Operations'!$A:$Z,17,FALSE),VLOOKUP(A36,'Job Operations'!$A:$Z,15,FALSE))),""))</f>
        <v/>
      </c>
      <c r="L36" s="146" t="str">
        <f>IF(A36="","",IFERROR(IF(VLOOKUP(A36,'Job Operations'!$A:$Z,13,FALSE)="Shear",VLOOKUP(A36,'Job Operations'!$A:$Z,17,FALSE),IF(VLOOKUP(A36,'Job Operations'!$A:$Z,15,FALSE)="Shear",VLOOKUP(A36,'Job Operations'!$A:$Z,19,FALSE),VLOOKUP(A36,'Job Operations'!$A:$Z,17,FALSE))),""))</f>
        <v/>
      </c>
      <c r="M36" s="148" t="str">
        <f>IF(A36="","",IFERROR(IF(VLOOKUP(A36,Notes!A:B,2,FALSE)=0,"",VLOOKUP(A36,Notes!A:B,2,FALSE)),""))</f>
        <v/>
      </c>
    </row>
    <row r="37" spans="1:13" s="140" customFormat="1" x14ac:dyDescent="0.25">
      <c r="A37" s="149"/>
      <c r="B37" s="150" t="str">
        <f>IF(A37="","",VLOOKUP(A37,'Job Operations'!$A:$Z,2,FALSE))</f>
        <v/>
      </c>
      <c r="C37" s="150" t="str">
        <f>IF(A37="","",VLOOKUP(A37,'Job Operations'!$A:$Z,3,FALSE))</f>
        <v/>
      </c>
      <c r="D37" s="150" t="str">
        <f>IF(A37="","",VLOOKUP(A37,'Job Operations'!$A:$Z,5,FALSE))</f>
        <v/>
      </c>
      <c r="E37" s="150" t="str">
        <f>IF(A37="","",VLOOKUP(A37,'Job Operations'!$A:$Z,6,FALSE))</f>
        <v/>
      </c>
      <c r="F37" s="150" t="str">
        <f>IF(A37="","",VLOOKUP(A37,'Job Operations'!$A:$Z,7,FALSE))</f>
        <v/>
      </c>
      <c r="G37" s="151" t="str">
        <f>IF(A37="","",VLOOKUP(A37,'Job Operations'!$A:$Z,9,FALSE))</f>
        <v/>
      </c>
      <c r="H37" s="150" t="str">
        <f>IF(A37="","",VLOOKUP(A37,'Job Operations'!$A:$Z,12,FALSE))</f>
        <v/>
      </c>
      <c r="I37" s="150" t="str">
        <f>IF(A37="","",IF(VLOOKUP(A37,'Job Operations'!$A:$Z,12,FALSE)="Shear",ROW()-6&amp;IF(OR(MOD(ROW()-6,10)=1,MOD(ROW()-6,10)=2,MOD(ROW()-6,10)=3),CHOOSE(MOD(ROW()-6,10),"st","nd","rd"),"th"),"#"&amp;(ROW()-6)&amp;" on Shear"))</f>
        <v/>
      </c>
      <c r="J37" s="151" t="str">
        <f>IF(A37="","",IFERROR(IF(VLOOKUP(A37,'Job Operations'!$A:$Z,13,FALSE)="Shear",VLOOKUP(A37,'Job Operations'!$A:$Z,14,FALSE),IF(VLOOKUP(A37,'Job Operations'!$A:$Z,15,FALSE)="Shear",VLOOKUP(A37,'Job Operations'!$A:$Z,16,FALSE),IF(VLOOKUP(A37,'Job Operations'!$A:$Z,17,FALSE)="Shear",VLOOKUP(A37,'Job Operations'!$A:$Z,18,FALSE),VLOOKUP(A37,'Job Operations'!$A:$Z,14,FALSE)))),""))</f>
        <v/>
      </c>
      <c r="K37" s="150" t="str">
        <f>IF(A37="","",IFERROR(IF(VLOOKUP(A37,'Job Operations'!$A:$Z,13,FALSE)="Shear",VLOOKUP(A37,'Job Operations'!$A:$Z,15,FALSE),IF(VLOOKUP(A37,'Job Operations'!$A:$Z,15,FALSE)="Shear",VLOOKUP(A37,'Job Operations'!$A:$Z,17,FALSE),VLOOKUP(A37,'Job Operations'!$A:$Z,15,FALSE))),""))</f>
        <v/>
      </c>
      <c r="L37" s="150" t="str">
        <f>IF(A37="","",IFERROR(IF(VLOOKUP(A37,'Job Operations'!$A:$Z,13,FALSE)="Shear",VLOOKUP(A37,'Job Operations'!$A:$Z,17,FALSE),IF(VLOOKUP(A37,'Job Operations'!$A:$Z,15,FALSE)="Shear",VLOOKUP(A37,'Job Operations'!$A:$Z,19,FALSE),VLOOKUP(A37,'Job Operations'!$A:$Z,17,FALSE))),""))</f>
        <v/>
      </c>
      <c r="M37" s="152" t="str">
        <f>IF(A37="","",IFERROR(IF(VLOOKUP(A37,Notes!A:B,2,FALSE)=0,"",VLOOKUP(A37,Notes!A:B,2,FALSE)),""))</f>
        <v/>
      </c>
    </row>
    <row r="38" spans="1:13" s="140" customFormat="1" x14ac:dyDescent="0.25">
      <c r="A38" s="145"/>
      <c r="B38" s="146" t="str">
        <f>IF(A38="","",VLOOKUP(A38,'Job Operations'!$A:$Z,2,FALSE))</f>
        <v/>
      </c>
      <c r="C38" s="146" t="str">
        <f>IF(A38="","",VLOOKUP(A38,'Job Operations'!$A:$Z,3,FALSE))</f>
        <v/>
      </c>
      <c r="D38" s="146" t="str">
        <f>IF(A38="","",VLOOKUP(A38,'Job Operations'!$A:$Z,5,FALSE))</f>
        <v/>
      </c>
      <c r="E38" s="146" t="str">
        <f>IF(A38="","",VLOOKUP(A38,'Job Operations'!$A:$Z,6,FALSE))</f>
        <v/>
      </c>
      <c r="F38" s="146" t="str">
        <f>IF(A38="","",VLOOKUP(A38,'Job Operations'!$A:$Z,7,FALSE))</f>
        <v/>
      </c>
      <c r="G38" s="147" t="str">
        <f>IF(A38="","",VLOOKUP(A38,'Job Operations'!$A:$Z,9,FALSE))</f>
        <v/>
      </c>
      <c r="H38" s="146" t="str">
        <f>IF(A38="","",VLOOKUP(A38,'Job Operations'!$A:$Z,12,FALSE))</f>
        <v/>
      </c>
      <c r="I38" s="146" t="str">
        <f>IF(A38="","",IF(VLOOKUP(A38,'Job Operations'!$A:$Z,12,FALSE)="Shear",ROW()-6&amp;IF(OR(MOD(ROW()-6,10)=1,MOD(ROW()-6,10)=2,MOD(ROW()-6,10)=3),CHOOSE(MOD(ROW()-6,10),"st","nd","rd"),"th"),"#"&amp;(ROW()-6)&amp;" on Shear"))</f>
        <v/>
      </c>
      <c r="J38" s="147" t="str">
        <f>IF(A38="","",IFERROR(IF(VLOOKUP(A38,'Job Operations'!$A:$Z,13,FALSE)="Shear",VLOOKUP(A38,'Job Operations'!$A:$Z,14,FALSE),IF(VLOOKUP(A38,'Job Operations'!$A:$Z,15,FALSE)="Shear",VLOOKUP(A38,'Job Operations'!$A:$Z,16,FALSE),IF(VLOOKUP(A38,'Job Operations'!$A:$Z,17,FALSE)="Shear",VLOOKUP(A38,'Job Operations'!$A:$Z,18,FALSE),VLOOKUP(A38,'Job Operations'!$A:$Z,14,FALSE)))),""))</f>
        <v/>
      </c>
      <c r="K38" s="146" t="str">
        <f>IF(A38="","",IFERROR(IF(VLOOKUP(A38,'Job Operations'!$A:$Z,13,FALSE)="Shear",VLOOKUP(A38,'Job Operations'!$A:$Z,15,FALSE),IF(VLOOKUP(A38,'Job Operations'!$A:$Z,15,FALSE)="Shear",VLOOKUP(A38,'Job Operations'!$A:$Z,17,FALSE),VLOOKUP(A38,'Job Operations'!$A:$Z,15,FALSE))),""))</f>
        <v/>
      </c>
      <c r="L38" s="146" t="str">
        <f>IF(A38="","",IFERROR(IF(VLOOKUP(A38,'Job Operations'!$A:$Z,13,FALSE)="Shear",VLOOKUP(A38,'Job Operations'!$A:$Z,17,FALSE),IF(VLOOKUP(A38,'Job Operations'!$A:$Z,15,FALSE)="Shear",VLOOKUP(A38,'Job Operations'!$A:$Z,19,FALSE),VLOOKUP(A38,'Job Operations'!$A:$Z,17,FALSE))),""))</f>
        <v/>
      </c>
      <c r="M38" s="148" t="str">
        <f>IF(A38="","",IFERROR(IF(VLOOKUP(A38,Notes!A:B,2,FALSE)=0,"",VLOOKUP(A38,Notes!A:B,2,FALSE)),""))</f>
        <v/>
      </c>
    </row>
    <row r="39" spans="1:13" s="140" customFormat="1" x14ac:dyDescent="0.25">
      <c r="A39" s="149"/>
      <c r="B39" s="150" t="str">
        <f>IF(A39="","",VLOOKUP(A39,'Job Operations'!$A:$Z,2,FALSE))</f>
        <v/>
      </c>
      <c r="C39" s="150" t="str">
        <f>IF(A39="","",VLOOKUP(A39,'Job Operations'!$A:$Z,3,FALSE))</f>
        <v/>
      </c>
      <c r="D39" s="150" t="str">
        <f>IF(A39="","",VLOOKUP(A39,'Job Operations'!$A:$Z,5,FALSE))</f>
        <v/>
      </c>
      <c r="E39" s="150" t="str">
        <f>IF(A39="","",VLOOKUP(A39,'Job Operations'!$A:$Z,6,FALSE))</f>
        <v/>
      </c>
      <c r="F39" s="150" t="str">
        <f>IF(A39="","",VLOOKUP(A39,'Job Operations'!$A:$Z,7,FALSE))</f>
        <v/>
      </c>
      <c r="G39" s="151" t="str">
        <f>IF(A39="","",VLOOKUP(A39,'Job Operations'!$A:$Z,9,FALSE))</f>
        <v/>
      </c>
      <c r="H39" s="150" t="str">
        <f>IF(A39="","",VLOOKUP(A39,'Job Operations'!$A:$Z,12,FALSE))</f>
        <v/>
      </c>
      <c r="I39" s="150" t="str">
        <f>IF(A39="","",IF(VLOOKUP(A39,'Job Operations'!$A:$Z,12,FALSE)="Shear",ROW()-6&amp;IF(OR(MOD(ROW()-6,10)=1,MOD(ROW()-6,10)=2,MOD(ROW()-6,10)=3),CHOOSE(MOD(ROW()-6,10),"st","nd","rd"),"th"),"#"&amp;(ROW()-6)&amp;" on Shear"))</f>
        <v/>
      </c>
      <c r="J39" s="151" t="str">
        <f>IF(A39="","",IFERROR(IF(VLOOKUP(A39,'Job Operations'!$A:$Z,13,FALSE)="Shear",VLOOKUP(A39,'Job Operations'!$A:$Z,14,FALSE),IF(VLOOKUP(A39,'Job Operations'!$A:$Z,15,FALSE)="Shear",VLOOKUP(A39,'Job Operations'!$A:$Z,16,FALSE),IF(VLOOKUP(A39,'Job Operations'!$A:$Z,17,FALSE)="Shear",VLOOKUP(A39,'Job Operations'!$A:$Z,18,FALSE),VLOOKUP(A39,'Job Operations'!$A:$Z,14,FALSE)))),""))</f>
        <v/>
      </c>
      <c r="K39" s="150" t="str">
        <f>IF(A39="","",IFERROR(IF(VLOOKUP(A39,'Job Operations'!$A:$Z,13,FALSE)="Shear",VLOOKUP(A39,'Job Operations'!$A:$Z,15,FALSE),IF(VLOOKUP(A39,'Job Operations'!$A:$Z,15,FALSE)="Shear",VLOOKUP(A39,'Job Operations'!$A:$Z,17,FALSE),VLOOKUP(A39,'Job Operations'!$A:$Z,15,FALSE))),""))</f>
        <v/>
      </c>
      <c r="L39" s="150" t="str">
        <f>IF(A39="","",IFERROR(IF(VLOOKUP(A39,'Job Operations'!$A:$Z,13,FALSE)="Shear",VLOOKUP(A39,'Job Operations'!$A:$Z,17,FALSE),IF(VLOOKUP(A39,'Job Operations'!$A:$Z,15,FALSE)="Shear",VLOOKUP(A39,'Job Operations'!$A:$Z,19,FALSE),VLOOKUP(A39,'Job Operations'!$A:$Z,17,FALSE))),""))</f>
        <v/>
      </c>
      <c r="M39" s="152" t="str">
        <f>IF(A39="","",IFERROR(IF(VLOOKUP(A39,Notes!A:B,2,FALSE)=0,"",VLOOKUP(A39,Notes!A:B,2,FALSE)),""))</f>
        <v/>
      </c>
    </row>
    <row r="40" spans="1:13" s="140" customFormat="1" x14ac:dyDescent="0.25">
      <c r="A40" s="145"/>
      <c r="B40" s="146" t="str">
        <f>IF(A40="","",VLOOKUP(A40,'Job Operations'!$A:$Z,2,FALSE))</f>
        <v/>
      </c>
      <c r="C40" s="146" t="str">
        <f>IF(A40="","",VLOOKUP(A40,'Job Operations'!$A:$Z,3,FALSE))</f>
        <v/>
      </c>
      <c r="D40" s="146" t="str">
        <f>IF(A40="","",VLOOKUP(A40,'Job Operations'!$A:$Z,5,FALSE))</f>
        <v/>
      </c>
      <c r="E40" s="146" t="str">
        <f>IF(A40="","",VLOOKUP(A40,'Job Operations'!$A:$Z,6,FALSE))</f>
        <v/>
      </c>
      <c r="F40" s="146" t="str">
        <f>IF(A40="","",VLOOKUP(A40,'Job Operations'!$A:$Z,7,FALSE))</f>
        <v/>
      </c>
      <c r="G40" s="147" t="str">
        <f>IF(A40="","",VLOOKUP(A40,'Job Operations'!$A:$Z,9,FALSE))</f>
        <v/>
      </c>
      <c r="H40" s="146" t="str">
        <f>IF(A40="","",VLOOKUP(A40,'Job Operations'!$A:$Z,12,FALSE))</f>
        <v/>
      </c>
      <c r="I40" s="146" t="str">
        <f>IF(A40="","",IF(VLOOKUP(A40,'Job Operations'!$A:$Z,12,FALSE)="Shear",ROW()-6&amp;IF(OR(MOD(ROW()-6,10)=1,MOD(ROW()-6,10)=2,MOD(ROW()-6,10)=3),CHOOSE(MOD(ROW()-6,10),"st","nd","rd"),"th"),"#"&amp;(ROW()-6)&amp;" on Shear"))</f>
        <v/>
      </c>
      <c r="J40" s="147" t="str">
        <f>IF(A40="","",IFERROR(IF(VLOOKUP(A40,'Job Operations'!$A:$Z,13,FALSE)="Shear",VLOOKUP(A40,'Job Operations'!$A:$Z,14,FALSE),IF(VLOOKUP(A40,'Job Operations'!$A:$Z,15,FALSE)="Shear",VLOOKUP(A40,'Job Operations'!$A:$Z,16,FALSE),IF(VLOOKUP(A40,'Job Operations'!$A:$Z,17,FALSE)="Shear",VLOOKUP(A40,'Job Operations'!$A:$Z,18,FALSE),VLOOKUP(A40,'Job Operations'!$A:$Z,14,FALSE)))),""))</f>
        <v/>
      </c>
      <c r="K40" s="146" t="str">
        <f>IF(A40="","",IFERROR(IF(VLOOKUP(A40,'Job Operations'!$A:$Z,13,FALSE)="Shear",VLOOKUP(A40,'Job Operations'!$A:$Z,15,FALSE),IF(VLOOKUP(A40,'Job Operations'!$A:$Z,15,FALSE)="Shear",VLOOKUP(A40,'Job Operations'!$A:$Z,17,FALSE),VLOOKUP(A40,'Job Operations'!$A:$Z,15,FALSE))),""))</f>
        <v/>
      </c>
      <c r="L40" s="146" t="str">
        <f>IF(A40="","",IFERROR(IF(VLOOKUP(A40,'Job Operations'!$A:$Z,13,FALSE)="Shear",VLOOKUP(A40,'Job Operations'!$A:$Z,17,FALSE),IF(VLOOKUP(A40,'Job Operations'!$A:$Z,15,FALSE)="Shear",VLOOKUP(A40,'Job Operations'!$A:$Z,19,FALSE),VLOOKUP(A40,'Job Operations'!$A:$Z,17,FALSE))),""))</f>
        <v/>
      </c>
      <c r="M40" s="148" t="str">
        <f>IF(A40="","",IFERROR(IF(VLOOKUP(A40,Notes!A:B,2,FALSE)=0,"",VLOOKUP(A40,Notes!A:B,2,FALSE)),""))</f>
        <v/>
      </c>
    </row>
    <row r="41" spans="1:13" s="140" customFormat="1" x14ac:dyDescent="0.25">
      <c r="A41" s="149"/>
      <c r="B41" s="150" t="str">
        <f>IF(A41="","",VLOOKUP(A41,'Job Operations'!$A:$Z,2,FALSE))</f>
        <v/>
      </c>
      <c r="C41" s="150" t="str">
        <f>IF(A41="","",VLOOKUP(A41,'Job Operations'!$A:$Z,3,FALSE))</f>
        <v/>
      </c>
      <c r="D41" s="150" t="str">
        <f>IF(A41="","",VLOOKUP(A41,'Job Operations'!$A:$Z,5,FALSE))</f>
        <v/>
      </c>
      <c r="E41" s="150" t="str">
        <f>IF(A41="","",VLOOKUP(A41,'Job Operations'!$A:$Z,6,FALSE))</f>
        <v/>
      </c>
      <c r="F41" s="150" t="str">
        <f>IF(A41="","",VLOOKUP(A41,'Job Operations'!$A:$Z,7,FALSE))</f>
        <v/>
      </c>
      <c r="G41" s="151" t="str">
        <f>IF(A41="","",VLOOKUP(A41,'Job Operations'!$A:$Z,9,FALSE))</f>
        <v/>
      </c>
      <c r="H41" s="150" t="str">
        <f>IF(A41="","",VLOOKUP(A41,'Job Operations'!$A:$Z,12,FALSE))</f>
        <v/>
      </c>
      <c r="I41" s="150" t="str">
        <f>IF(A41="","",IF(VLOOKUP(A41,'Job Operations'!$A:$Z,12,FALSE)="Shear",ROW()-6&amp;IF(OR(MOD(ROW()-6,10)=1,MOD(ROW()-6,10)=2,MOD(ROW()-6,10)=3),CHOOSE(MOD(ROW()-6,10),"st","nd","rd"),"th"),"#"&amp;(ROW()-6)&amp;" on Shear"))</f>
        <v/>
      </c>
      <c r="J41" s="151" t="str">
        <f>IF(A41="","",IFERROR(IF(VLOOKUP(A41,'Job Operations'!$A:$Z,13,FALSE)="Shear",VLOOKUP(A41,'Job Operations'!$A:$Z,14,FALSE),IF(VLOOKUP(A41,'Job Operations'!$A:$Z,15,FALSE)="Shear",VLOOKUP(A41,'Job Operations'!$A:$Z,16,FALSE),IF(VLOOKUP(A41,'Job Operations'!$A:$Z,17,FALSE)="Shear",VLOOKUP(A41,'Job Operations'!$A:$Z,18,FALSE),VLOOKUP(A41,'Job Operations'!$A:$Z,14,FALSE)))),""))</f>
        <v/>
      </c>
      <c r="K41" s="150" t="str">
        <f>IF(A41="","",IFERROR(IF(VLOOKUP(A41,'Job Operations'!$A:$Z,13,FALSE)="Shear",VLOOKUP(A41,'Job Operations'!$A:$Z,15,FALSE),IF(VLOOKUP(A41,'Job Operations'!$A:$Z,15,FALSE)="Shear",VLOOKUP(A41,'Job Operations'!$A:$Z,17,FALSE),VLOOKUP(A41,'Job Operations'!$A:$Z,15,FALSE))),""))</f>
        <v/>
      </c>
      <c r="L41" s="150" t="str">
        <f>IF(A41="","",IFERROR(IF(VLOOKUP(A41,'Job Operations'!$A:$Z,13,FALSE)="Shear",VLOOKUP(A41,'Job Operations'!$A:$Z,17,FALSE),IF(VLOOKUP(A41,'Job Operations'!$A:$Z,15,FALSE)="Shear",VLOOKUP(A41,'Job Operations'!$A:$Z,19,FALSE),VLOOKUP(A41,'Job Operations'!$A:$Z,17,FALSE))),""))</f>
        <v/>
      </c>
      <c r="M41" s="152" t="str">
        <f>IF(A41="","",IFERROR(IF(VLOOKUP(A41,Notes!A:B,2,FALSE)=0,"",VLOOKUP(A41,Notes!A:B,2,FALSE)),""))</f>
        <v/>
      </c>
    </row>
    <row r="42" spans="1:13" s="140" customFormat="1" x14ac:dyDescent="0.25">
      <c r="A42" s="145"/>
      <c r="B42" s="146" t="str">
        <f>IF(A42="","",VLOOKUP(A42,'Job Operations'!$A:$Z,2,FALSE))</f>
        <v/>
      </c>
      <c r="C42" s="146" t="str">
        <f>IF(A42="","",VLOOKUP(A42,'Job Operations'!$A:$Z,3,FALSE))</f>
        <v/>
      </c>
      <c r="D42" s="146" t="str">
        <f>IF(A42="","",VLOOKUP(A42,'Job Operations'!$A:$Z,5,FALSE))</f>
        <v/>
      </c>
      <c r="E42" s="146" t="str">
        <f>IF(A42="","",VLOOKUP(A42,'Job Operations'!$A:$Z,6,FALSE))</f>
        <v/>
      </c>
      <c r="F42" s="146" t="str">
        <f>IF(A42="","",VLOOKUP(A42,'Job Operations'!$A:$Z,7,FALSE))</f>
        <v/>
      </c>
      <c r="G42" s="147" t="str">
        <f>IF(A42="","",VLOOKUP(A42,'Job Operations'!$A:$Z,9,FALSE))</f>
        <v/>
      </c>
      <c r="H42" s="146" t="str">
        <f>IF(A42="","",VLOOKUP(A42,'Job Operations'!$A:$Z,12,FALSE))</f>
        <v/>
      </c>
      <c r="I42" s="146" t="str">
        <f>IF(A42="","",IF(VLOOKUP(A42,'Job Operations'!$A:$Z,12,FALSE)="Shear",ROW()-6&amp;IF(OR(MOD(ROW()-6,10)=1,MOD(ROW()-6,10)=2,MOD(ROW()-6,10)=3),CHOOSE(MOD(ROW()-6,10),"st","nd","rd"),"th"),"#"&amp;(ROW()-6)&amp;" on Shear"))</f>
        <v/>
      </c>
      <c r="J42" s="147" t="str">
        <f>IF(A42="","",IFERROR(IF(VLOOKUP(A42,'Job Operations'!$A:$Z,13,FALSE)="Shear",VLOOKUP(A42,'Job Operations'!$A:$Z,14,FALSE),IF(VLOOKUP(A42,'Job Operations'!$A:$Z,15,FALSE)="Shear",VLOOKUP(A42,'Job Operations'!$A:$Z,16,FALSE),IF(VLOOKUP(A42,'Job Operations'!$A:$Z,17,FALSE)="Shear",VLOOKUP(A42,'Job Operations'!$A:$Z,18,FALSE),VLOOKUP(A42,'Job Operations'!$A:$Z,14,FALSE)))),""))</f>
        <v/>
      </c>
      <c r="K42" s="146" t="str">
        <f>IF(A42="","",IFERROR(IF(VLOOKUP(A42,'Job Operations'!$A:$Z,13,FALSE)="Shear",VLOOKUP(A42,'Job Operations'!$A:$Z,15,FALSE),IF(VLOOKUP(A42,'Job Operations'!$A:$Z,15,FALSE)="Shear",VLOOKUP(A42,'Job Operations'!$A:$Z,17,FALSE),VLOOKUP(A42,'Job Operations'!$A:$Z,15,FALSE))),""))</f>
        <v/>
      </c>
      <c r="L42" s="146" t="str">
        <f>IF(A42="","",IFERROR(IF(VLOOKUP(A42,'Job Operations'!$A:$Z,13,FALSE)="Shear",VLOOKUP(A42,'Job Operations'!$A:$Z,17,FALSE),IF(VLOOKUP(A42,'Job Operations'!$A:$Z,15,FALSE)="Shear",VLOOKUP(A42,'Job Operations'!$A:$Z,19,FALSE),VLOOKUP(A42,'Job Operations'!$A:$Z,17,FALSE))),""))</f>
        <v/>
      </c>
      <c r="M42" s="148" t="str">
        <f>IF(A42="","",IFERROR(IF(VLOOKUP(A42,Notes!A:B,2,FALSE)=0,"",VLOOKUP(A42,Notes!A:B,2,FALSE)),""))</f>
        <v/>
      </c>
    </row>
    <row r="43" spans="1:13" s="140" customFormat="1" x14ac:dyDescent="0.25">
      <c r="A43" s="149"/>
      <c r="B43" s="150" t="str">
        <f>IF(A43="","",VLOOKUP(A43,'Job Operations'!$A:$Z,2,FALSE))</f>
        <v/>
      </c>
      <c r="C43" s="150" t="str">
        <f>IF(A43="","",VLOOKUP(A43,'Job Operations'!$A:$Z,3,FALSE))</f>
        <v/>
      </c>
      <c r="D43" s="150" t="str">
        <f>IF(A43="","",VLOOKUP(A43,'Job Operations'!$A:$Z,5,FALSE))</f>
        <v/>
      </c>
      <c r="E43" s="150" t="str">
        <f>IF(A43="","",VLOOKUP(A43,'Job Operations'!$A:$Z,6,FALSE))</f>
        <v/>
      </c>
      <c r="F43" s="150" t="str">
        <f>IF(A43="","",VLOOKUP(A43,'Job Operations'!$A:$Z,7,FALSE))</f>
        <v/>
      </c>
      <c r="G43" s="151" t="str">
        <f>IF(A43="","",VLOOKUP(A43,'Job Operations'!$A:$Z,9,FALSE))</f>
        <v/>
      </c>
      <c r="H43" s="150" t="str">
        <f>IF(A43="","",VLOOKUP(A43,'Job Operations'!$A:$Z,12,FALSE))</f>
        <v/>
      </c>
      <c r="I43" s="150" t="str">
        <f>IF(A43="","",IF(VLOOKUP(A43,'Job Operations'!$A:$Z,12,FALSE)="Shear",ROW()-6&amp;IF(OR(MOD(ROW()-6,10)=1,MOD(ROW()-6,10)=2,MOD(ROW()-6,10)=3),CHOOSE(MOD(ROW()-6,10),"st","nd","rd"),"th"),"#"&amp;(ROW()-6)&amp;" on Shear"))</f>
        <v/>
      </c>
      <c r="J43" s="151" t="str">
        <f>IF(A43="","",IFERROR(IF(VLOOKUP(A43,'Job Operations'!$A:$Z,13,FALSE)="Shear",VLOOKUP(A43,'Job Operations'!$A:$Z,14,FALSE),IF(VLOOKUP(A43,'Job Operations'!$A:$Z,15,FALSE)="Shear",VLOOKUP(A43,'Job Operations'!$A:$Z,16,FALSE),IF(VLOOKUP(A43,'Job Operations'!$A:$Z,17,FALSE)="Shear",VLOOKUP(A43,'Job Operations'!$A:$Z,18,FALSE),VLOOKUP(A43,'Job Operations'!$A:$Z,14,FALSE)))),""))</f>
        <v/>
      </c>
      <c r="K43" s="150" t="str">
        <f>IF(A43="","",IFERROR(IF(VLOOKUP(A43,'Job Operations'!$A:$Z,13,FALSE)="Shear",VLOOKUP(A43,'Job Operations'!$A:$Z,15,FALSE),IF(VLOOKUP(A43,'Job Operations'!$A:$Z,15,FALSE)="Shear",VLOOKUP(A43,'Job Operations'!$A:$Z,17,FALSE),VLOOKUP(A43,'Job Operations'!$A:$Z,15,FALSE))),""))</f>
        <v/>
      </c>
      <c r="L43" s="150" t="str">
        <f>IF(A43="","",IFERROR(IF(VLOOKUP(A43,'Job Operations'!$A:$Z,13,FALSE)="Shear",VLOOKUP(A43,'Job Operations'!$A:$Z,17,FALSE),IF(VLOOKUP(A43,'Job Operations'!$A:$Z,15,FALSE)="Shear",VLOOKUP(A43,'Job Operations'!$A:$Z,19,FALSE),VLOOKUP(A43,'Job Operations'!$A:$Z,17,FALSE))),""))</f>
        <v/>
      </c>
      <c r="M43" s="152" t="str">
        <f>IF(A43="","",IFERROR(IF(VLOOKUP(A43,Notes!A:B,2,FALSE)=0,"",VLOOKUP(A43,Notes!A:B,2,FALSE)),""))</f>
        <v/>
      </c>
    </row>
    <row r="44" spans="1:13" s="140" customFormat="1" x14ac:dyDescent="0.25">
      <c r="A44" s="145"/>
      <c r="B44" s="146" t="str">
        <f>IF(A44="","",VLOOKUP(A44,'Job Operations'!$A:$Z,2,FALSE))</f>
        <v/>
      </c>
      <c r="C44" s="146" t="str">
        <f>IF(A44="","",VLOOKUP(A44,'Job Operations'!$A:$Z,3,FALSE))</f>
        <v/>
      </c>
      <c r="D44" s="146" t="str">
        <f>IF(A44="","",VLOOKUP(A44,'Job Operations'!$A:$Z,5,FALSE))</f>
        <v/>
      </c>
      <c r="E44" s="146" t="str">
        <f>IF(A44="","",VLOOKUP(A44,'Job Operations'!$A:$Z,6,FALSE))</f>
        <v/>
      </c>
      <c r="F44" s="146" t="str">
        <f>IF(A44="","",VLOOKUP(A44,'Job Operations'!$A:$Z,7,FALSE))</f>
        <v/>
      </c>
      <c r="G44" s="147" t="str">
        <f>IF(A44="","",VLOOKUP(A44,'Job Operations'!$A:$Z,9,FALSE))</f>
        <v/>
      </c>
      <c r="H44" s="146" t="str">
        <f>IF(A44="","",VLOOKUP(A44,'Job Operations'!$A:$Z,12,FALSE))</f>
        <v/>
      </c>
      <c r="I44" s="146" t="str">
        <f>IF(A44="","",IF(VLOOKUP(A44,'Job Operations'!$A:$Z,12,FALSE)="Shear",ROW()-6&amp;IF(OR(MOD(ROW()-6,10)=1,MOD(ROW()-6,10)=2,MOD(ROW()-6,10)=3),CHOOSE(MOD(ROW()-6,10),"st","nd","rd"),"th"),"#"&amp;(ROW()-6)&amp;" on Shear"))</f>
        <v/>
      </c>
      <c r="J44" s="147" t="str">
        <f>IF(A44="","",IFERROR(IF(VLOOKUP(A44,'Job Operations'!$A:$Z,13,FALSE)="Shear",VLOOKUP(A44,'Job Operations'!$A:$Z,14,FALSE),IF(VLOOKUP(A44,'Job Operations'!$A:$Z,15,FALSE)="Shear",VLOOKUP(A44,'Job Operations'!$A:$Z,16,FALSE),IF(VLOOKUP(A44,'Job Operations'!$A:$Z,17,FALSE)="Shear",VLOOKUP(A44,'Job Operations'!$A:$Z,18,FALSE),VLOOKUP(A44,'Job Operations'!$A:$Z,14,FALSE)))),""))</f>
        <v/>
      </c>
      <c r="K44" s="146" t="str">
        <f>IF(A44="","",IFERROR(IF(VLOOKUP(A44,'Job Operations'!$A:$Z,13,FALSE)="Shear",VLOOKUP(A44,'Job Operations'!$A:$Z,15,FALSE),IF(VLOOKUP(A44,'Job Operations'!$A:$Z,15,FALSE)="Shear",VLOOKUP(A44,'Job Operations'!$A:$Z,17,FALSE),VLOOKUP(A44,'Job Operations'!$A:$Z,15,FALSE))),""))</f>
        <v/>
      </c>
      <c r="L44" s="146" t="str">
        <f>IF(A44="","",IFERROR(IF(VLOOKUP(A44,'Job Operations'!$A:$Z,13,FALSE)="Shear",VLOOKUP(A44,'Job Operations'!$A:$Z,17,FALSE),IF(VLOOKUP(A44,'Job Operations'!$A:$Z,15,FALSE)="Shear",VLOOKUP(A44,'Job Operations'!$A:$Z,19,FALSE),VLOOKUP(A44,'Job Operations'!$A:$Z,17,FALSE))),""))</f>
        <v/>
      </c>
      <c r="M44" s="148" t="str">
        <f>IF(A44="","",IFERROR(IF(VLOOKUP(A44,Notes!A:B,2,FALSE)=0,"",VLOOKUP(A44,Notes!A:B,2,FALSE)),""))</f>
        <v/>
      </c>
    </row>
    <row r="45" spans="1:13" s="140" customFormat="1" x14ac:dyDescent="0.25">
      <c r="A45" s="149"/>
      <c r="B45" s="150" t="str">
        <f>IF(A45="","",VLOOKUP(A45,'Job Operations'!$A:$Z,2,FALSE))</f>
        <v/>
      </c>
      <c r="C45" s="150" t="str">
        <f>IF(A45="","",VLOOKUP(A45,'Job Operations'!$A:$Z,3,FALSE))</f>
        <v/>
      </c>
      <c r="D45" s="150" t="str">
        <f>IF(A45="","",VLOOKUP(A45,'Job Operations'!$A:$Z,5,FALSE))</f>
        <v/>
      </c>
      <c r="E45" s="150" t="str">
        <f>IF(A45="","",VLOOKUP(A45,'Job Operations'!$A:$Z,6,FALSE))</f>
        <v/>
      </c>
      <c r="F45" s="150" t="str">
        <f>IF(A45="","",VLOOKUP(A45,'Job Operations'!$A:$Z,7,FALSE))</f>
        <v/>
      </c>
      <c r="G45" s="151" t="str">
        <f>IF(A45="","",VLOOKUP(A45,'Job Operations'!$A:$Z,9,FALSE))</f>
        <v/>
      </c>
      <c r="H45" s="150" t="str">
        <f>IF(A45="","",VLOOKUP(A45,'Job Operations'!$A:$Z,12,FALSE))</f>
        <v/>
      </c>
      <c r="I45" s="150" t="str">
        <f>IF(A45="","",IF(VLOOKUP(A45,'Job Operations'!$A:$Z,12,FALSE)="Shear",ROW()-6&amp;IF(OR(MOD(ROW()-6,10)=1,MOD(ROW()-6,10)=2,MOD(ROW()-6,10)=3),CHOOSE(MOD(ROW()-6,10),"st","nd","rd"),"th"),"#"&amp;(ROW()-6)&amp;" on Shear"))</f>
        <v/>
      </c>
      <c r="J45" s="151" t="str">
        <f>IF(A45="","",IFERROR(IF(VLOOKUP(A45,'Job Operations'!$A:$Z,13,FALSE)="Shear",VLOOKUP(A45,'Job Operations'!$A:$Z,14,FALSE),IF(VLOOKUP(A45,'Job Operations'!$A:$Z,15,FALSE)="Shear",VLOOKUP(A45,'Job Operations'!$A:$Z,16,FALSE),IF(VLOOKUP(A45,'Job Operations'!$A:$Z,17,FALSE)="Shear",VLOOKUP(A45,'Job Operations'!$A:$Z,18,FALSE),VLOOKUP(A45,'Job Operations'!$A:$Z,14,FALSE)))),""))</f>
        <v/>
      </c>
      <c r="K45" s="150" t="str">
        <f>IF(A45="","",IFERROR(IF(VLOOKUP(A45,'Job Operations'!$A:$Z,13,FALSE)="Shear",VLOOKUP(A45,'Job Operations'!$A:$Z,15,FALSE),IF(VLOOKUP(A45,'Job Operations'!$A:$Z,15,FALSE)="Shear",VLOOKUP(A45,'Job Operations'!$A:$Z,17,FALSE),VLOOKUP(A45,'Job Operations'!$A:$Z,15,FALSE))),""))</f>
        <v/>
      </c>
      <c r="L45" s="150" t="str">
        <f>IF(A45="","",IFERROR(IF(VLOOKUP(A45,'Job Operations'!$A:$Z,13,FALSE)="Shear",VLOOKUP(A45,'Job Operations'!$A:$Z,17,FALSE),IF(VLOOKUP(A45,'Job Operations'!$A:$Z,15,FALSE)="Shear",VLOOKUP(A45,'Job Operations'!$A:$Z,19,FALSE),VLOOKUP(A45,'Job Operations'!$A:$Z,17,FALSE))),""))</f>
        <v/>
      </c>
      <c r="M45" s="152" t="str">
        <f>IF(A45="","",IFERROR(IF(VLOOKUP(A45,Notes!A:B,2,FALSE)=0,"",VLOOKUP(A45,Notes!A:B,2,FALSE)),""))</f>
        <v/>
      </c>
    </row>
    <row r="46" spans="1:13" s="140" customFormat="1" x14ac:dyDescent="0.25">
      <c r="A46" s="145"/>
      <c r="B46" s="146" t="str">
        <f>IF(A46="","",VLOOKUP(A46,'Job Operations'!$A:$Z,2,FALSE))</f>
        <v/>
      </c>
      <c r="C46" s="146" t="str">
        <f>IF(A46="","",VLOOKUP(A46,'Job Operations'!$A:$Z,3,FALSE))</f>
        <v/>
      </c>
      <c r="D46" s="146" t="str">
        <f>IF(A46="","",VLOOKUP(A46,'Job Operations'!$A:$Z,5,FALSE))</f>
        <v/>
      </c>
      <c r="E46" s="146" t="str">
        <f>IF(A46="","",VLOOKUP(A46,'Job Operations'!$A:$Z,6,FALSE))</f>
        <v/>
      </c>
      <c r="F46" s="146" t="str">
        <f>IF(A46="","",VLOOKUP(A46,'Job Operations'!$A:$Z,7,FALSE))</f>
        <v/>
      </c>
      <c r="G46" s="147" t="str">
        <f>IF(A46="","",VLOOKUP(A46,'Job Operations'!$A:$Z,9,FALSE))</f>
        <v/>
      </c>
      <c r="H46" s="146" t="str">
        <f>IF(A46="","",VLOOKUP(A46,'Job Operations'!$A:$Z,12,FALSE))</f>
        <v/>
      </c>
      <c r="I46" s="146" t="str">
        <f>IF(A46="","",IF(VLOOKUP(A46,'Job Operations'!$A:$Z,12,FALSE)="Shear",ROW()-6&amp;IF(OR(MOD(ROW()-6,10)=1,MOD(ROW()-6,10)=2,MOD(ROW()-6,10)=3),CHOOSE(MOD(ROW()-6,10),"st","nd","rd"),"th"),"#"&amp;(ROW()-6)&amp;" on Shear"))</f>
        <v/>
      </c>
      <c r="J46" s="147" t="str">
        <f>IF(A46="","",IFERROR(IF(VLOOKUP(A46,'Job Operations'!$A:$Z,13,FALSE)="Shear",VLOOKUP(A46,'Job Operations'!$A:$Z,14,FALSE),IF(VLOOKUP(A46,'Job Operations'!$A:$Z,15,FALSE)="Shear",VLOOKUP(A46,'Job Operations'!$A:$Z,16,FALSE),IF(VLOOKUP(A46,'Job Operations'!$A:$Z,17,FALSE)="Shear",VLOOKUP(A46,'Job Operations'!$A:$Z,18,FALSE),VLOOKUP(A46,'Job Operations'!$A:$Z,14,FALSE)))),""))</f>
        <v/>
      </c>
      <c r="K46" s="146" t="str">
        <f>IF(A46="","",IFERROR(IF(VLOOKUP(A46,'Job Operations'!$A:$Z,13,FALSE)="Shear",VLOOKUP(A46,'Job Operations'!$A:$Z,15,FALSE),IF(VLOOKUP(A46,'Job Operations'!$A:$Z,15,FALSE)="Shear",VLOOKUP(A46,'Job Operations'!$A:$Z,17,FALSE),VLOOKUP(A46,'Job Operations'!$A:$Z,15,FALSE))),""))</f>
        <v/>
      </c>
      <c r="L46" s="146" t="str">
        <f>IF(A46="","",IFERROR(IF(VLOOKUP(A46,'Job Operations'!$A:$Z,13,FALSE)="Shear",VLOOKUP(A46,'Job Operations'!$A:$Z,17,FALSE),IF(VLOOKUP(A46,'Job Operations'!$A:$Z,15,FALSE)="Shear",VLOOKUP(A46,'Job Operations'!$A:$Z,19,FALSE),VLOOKUP(A46,'Job Operations'!$A:$Z,17,FALSE))),""))</f>
        <v/>
      </c>
      <c r="M46" s="148" t="str">
        <f>IF(A46="","",IFERROR(IF(VLOOKUP(A46,Notes!A:B,2,FALSE)=0,"",VLOOKUP(A46,Notes!A:B,2,FALSE)),""))</f>
        <v/>
      </c>
    </row>
    <row r="47" spans="1:13" s="140" customFormat="1" x14ac:dyDescent="0.25">
      <c r="A47" s="149"/>
      <c r="B47" s="150" t="str">
        <f>IF(A47="","",VLOOKUP(A47,'Job Operations'!$A:$Z,2,FALSE))</f>
        <v/>
      </c>
      <c r="C47" s="150" t="str">
        <f>IF(A47="","",VLOOKUP(A47,'Job Operations'!$A:$Z,3,FALSE))</f>
        <v/>
      </c>
      <c r="D47" s="150" t="str">
        <f>IF(A47="","",VLOOKUP(A47,'Job Operations'!$A:$Z,5,FALSE))</f>
        <v/>
      </c>
      <c r="E47" s="150" t="str">
        <f>IF(A47="","",VLOOKUP(A47,'Job Operations'!$A:$Z,6,FALSE))</f>
        <v/>
      </c>
      <c r="F47" s="150" t="str">
        <f>IF(A47="","",VLOOKUP(A47,'Job Operations'!$A:$Z,7,FALSE))</f>
        <v/>
      </c>
      <c r="G47" s="151" t="str">
        <f>IF(A47="","",VLOOKUP(A47,'Job Operations'!$A:$Z,9,FALSE))</f>
        <v/>
      </c>
      <c r="H47" s="150" t="str">
        <f>IF(A47="","",VLOOKUP(A47,'Job Operations'!$A:$Z,12,FALSE))</f>
        <v/>
      </c>
      <c r="I47" s="150" t="str">
        <f>IF(A47="","",IF(VLOOKUP(A47,'Job Operations'!$A:$Z,12,FALSE)="Shear",ROW()-6&amp;IF(OR(MOD(ROW()-6,10)=1,MOD(ROW()-6,10)=2,MOD(ROW()-6,10)=3),CHOOSE(MOD(ROW()-6,10),"st","nd","rd"),"th"),"#"&amp;(ROW()-6)&amp;" on Shear"))</f>
        <v/>
      </c>
      <c r="J47" s="151" t="str">
        <f>IF(A47="","",IFERROR(IF(VLOOKUP(A47,'Job Operations'!$A:$Z,13,FALSE)="Shear",VLOOKUP(A47,'Job Operations'!$A:$Z,14,FALSE),IF(VLOOKUP(A47,'Job Operations'!$A:$Z,15,FALSE)="Shear",VLOOKUP(A47,'Job Operations'!$A:$Z,16,FALSE),IF(VLOOKUP(A47,'Job Operations'!$A:$Z,17,FALSE)="Shear",VLOOKUP(A47,'Job Operations'!$A:$Z,18,FALSE),VLOOKUP(A47,'Job Operations'!$A:$Z,14,FALSE)))),""))</f>
        <v/>
      </c>
      <c r="K47" s="150" t="str">
        <f>IF(A47="","",IFERROR(IF(VLOOKUP(A47,'Job Operations'!$A:$Z,13,FALSE)="Shear",VLOOKUP(A47,'Job Operations'!$A:$Z,15,FALSE),IF(VLOOKUP(A47,'Job Operations'!$A:$Z,15,FALSE)="Shear",VLOOKUP(A47,'Job Operations'!$A:$Z,17,FALSE),VLOOKUP(A47,'Job Operations'!$A:$Z,15,FALSE))),""))</f>
        <v/>
      </c>
      <c r="L47" s="150" t="str">
        <f>IF(A47="","",IFERROR(IF(VLOOKUP(A47,'Job Operations'!$A:$Z,13,FALSE)="Shear",VLOOKUP(A47,'Job Operations'!$A:$Z,17,FALSE),IF(VLOOKUP(A47,'Job Operations'!$A:$Z,15,FALSE)="Shear",VLOOKUP(A47,'Job Operations'!$A:$Z,19,FALSE),VLOOKUP(A47,'Job Operations'!$A:$Z,17,FALSE))),""))</f>
        <v/>
      </c>
      <c r="M47" s="152" t="str">
        <f>IF(A47="","",IFERROR(IF(VLOOKUP(A47,Notes!A:B,2,FALSE)=0,"",VLOOKUP(A47,Notes!A:B,2,FALSE)),""))</f>
        <v/>
      </c>
    </row>
    <row r="48" spans="1:13" s="140" customFormat="1" x14ac:dyDescent="0.25">
      <c r="A48" s="145"/>
      <c r="B48" s="146" t="str">
        <f>IF(A48="","",VLOOKUP(A48,'Job Operations'!$A:$Z,2,FALSE))</f>
        <v/>
      </c>
      <c r="C48" s="146" t="str">
        <f>IF(A48="","",VLOOKUP(A48,'Job Operations'!$A:$Z,3,FALSE))</f>
        <v/>
      </c>
      <c r="D48" s="146" t="str">
        <f>IF(A48="","",VLOOKUP(A48,'Job Operations'!$A:$Z,5,FALSE))</f>
        <v/>
      </c>
      <c r="E48" s="146" t="str">
        <f>IF(A48="","",VLOOKUP(A48,'Job Operations'!$A:$Z,6,FALSE))</f>
        <v/>
      </c>
      <c r="F48" s="146" t="str">
        <f>IF(A48="","",VLOOKUP(A48,'Job Operations'!$A:$Z,7,FALSE))</f>
        <v/>
      </c>
      <c r="G48" s="147" t="str">
        <f>IF(A48="","",VLOOKUP(A48,'Job Operations'!$A:$Z,9,FALSE))</f>
        <v/>
      </c>
      <c r="H48" s="146" t="str">
        <f>IF(A48="","",VLOOKUP(A48,'Job Operations'!$A:$Z,12,FALSE))</f>
        <v/>
      </c>
      <c r="I48" s="146" t="str">
        <f>IF(A48="","",IF(VLOOKUP(A48,'Job Operations'!$A:$Z,12,FALSE)="Shear",ROW()-6&amp;IF(OR(MOD(ROW()-6,10)=1,MOD(ROW()-6,10)=2,MOD(ROW()-6,10)=3),CHOOSE(MOD(ROW()-6,10),"st","nd","rd"),"th"),"#"&amp;(ROW()-6)&amp;" on Shear"))</f>
        <v/>
      </c>
      <c r="J48" s="147" t="str">
        <f>IF(A48="","",IFERROR(IF(VLOOKUP(A48,'Job Operations'!$A:$Z,13,FALSE)="Shear",VLOOKUP(A48,'Job Operations'!$A:$Z,14,FALSE),IF(VLOOKUP(A48,'Job Operations'!$A:$Z,15,FALSE)="Shear",VLOOKUP(A48,'Job Operations'!$A:$Z,16,FALSE),IF(VLOOKUP(A48,'Job Operations'!$A:$Z,17,FALSE)="Shear",VLOOKUP(A48,'Job Operations'!$A:$Z,18,FALSE),VLOOKUP(A48,'Job Operations'!$A:$Z,14,FALSE)))),""))</f>
        <v/>
      </c>
      <c r="K48" s="146" t="str">
        <f>IF(A48="","",IFERROR(IF(VLOOKUP(A48,'Job Operations'!$A:$Z,13,FALSE)="Shear",VLOOKUP(A48,'Job Operations'!$A:$Z,15,FALSE),IF(VLOOKUP(A48,'Job Operations'!$A:$Z,15,FALSE)="Shear",VLOOKUP(A48,'Job Operations'!$A:$Z,17,FALSE),VLOOKUP(A48,'Job Operations'!$A:$Z,15,FALSE))),""))</f>
        <v/>
      </c>
      <c r="L48" s="146" t="str">
        <f>IF(A48="","",IFERROR(IF(VLOOKUP(A48,'Job Operations'!$A:$Z,13,FALSE)="Shear",VLOOKUP(A48,'Job Operations'!$A:$Z,17,FALSE),IF(VLOOKUP(A48,'Job Operations'!$A:$Z,15,FALSE)="Shear",VLOOKUP(A48,'Job Operations'!$A:$Z,19,FALSE),VLOOKUP(A48,'Job Operations'!$A:$Z,17,FALSE))),""))</f>
        <v/>
      </c>
      <c r="M48" s="148" t="str">
        <f>IF(A48="","",IFERROR(IF(VLOOKUP(A48,Notes!A:B,2,FALSE)=0,"",VLOOKUP(A48,Notes!A:B,2,FALSE)),""))</f>
        <v/>
      </c>
    </row>
    <row r="49" spans="1:13" s="140" customFormat="1" x14ac:dyDescent="0.25">
      <c r="A49" s="149"/>
      <c r="B49" s="150" t="str">
        <f>IF(A49="","",VLOOKUP(A49,'Job Operations'!$A:$Z,2,FALSE))</f>
        <v/>
      </c>
      <c r="C49" s="150" t="str">
        <f>IF(A49="","",VLOOKUP(A49,'Job Operations'!$A:$Z,3,FALSE))</f>
        <v/>
      </c>
      <c r="D49" s="150" t="str">
        <f>IF(A49="","",VLOOKUP(A49,'Job Operations'!$A:$Z,5,FALSE))</f>
        <v/>
      </c>
      <c r="E49" s="150" t="str">
        <f>IF(A49="","",VLOOKUP(A49,'Job Operations'!$A:$Z,6,FALSE))</f>
        <v/>
      </c>
      <c r="F49" s="150" t="str">
        <f>IF(A49="","",VLOOKUP(A49,'Job Operations'!$A:$Z,7,FALSE))</f>
        <v/>
      </c>
      <c r="G49" s="151" t="str">
        <f>IF(A49="","",VLOOKUP(A49,'Job Operations'!$A:$Z,9,FALSE))</f>
        <v/>
      </c>
      <c r="H49" s="150" t="str">
        <f>IF(A49="","",VLOOKUP(A49,'Job Operations'!$A:$Z,12,FALSE))</f>
        <v/>
      </c>
      <c r="I49" s="150" t="str">
        <f>IF(A49="","",IF(VLOOKUP(A49,'Job Operations'!$A:$Z,12,FALSE)="Shear",ROW()-6&amp;IF(OR(MOD(ROW()-6,10)=1,MOD(ROW()-6,10)=2,MOD(ROW()-6,10)=3),CHOOSE(MOD(ROW()-6,10),"st","nd","rd"),"th"),"#"&amp;(ROW()-6)&amp;" on Shear"))</f>
        <v/>
      </c>
      <c r="J49" s="151" t="str">
        <f>IF(A49="","",IFERROR(IF(VLOOKUP(A49,'Job Operations'!$A:$Z,13,FALSE)="Shear",VLOOKUP(A49,'Job Operations'!$A:$Z,14,FALSE),IF(VLOOKUP(A49,'Job Operations'!$A:$Z,15,FALSE)="Shear",VLOOKUP(A49,'Job Operations'!$A:$Z,16,FALSE),IF(VLOOKUP(A49,'Job Operations'!$A:$Z,17,FALSE)="Shear",VLOOKUP(A49,'Job Operations'!$A:$Z,18,FALSE),VLOOKUP(A49,'Job Operations'!$A:$Z,14,FALSE)))),""))</f>
        <v/>
      </c>
      <c r="K49" s="150" t="str">
        <f>IF(A49="","",IFERROR(IF(VLOOKUP(A49,'Job Operations'!$A:$Z,13,FALSE)="Shear",VLOOKUP(A49,'Job Operations'!$A:$Z,15,FALSE),IF(VLOOKUP(A49,'Job Operations'!$A:$Z,15,FALSE)="Shear",VLOOKUP(A49,'Job Operations'!$A:$Z,17,FALSE),VLOOKUP(A49,'Job Operations'!$A:$Z,15,FALSE))),""))</f>
        <v/>
      </c>
      <c r="L49" s="150" t="str">
        <f>IF(A49="","",IFERROR(IF(VLOOKUP(A49,'Job Operations'!$A:$Z,13,FALSE)="Shear",VLOOKUP(A49,'Job Operations'!$A:$Z,17,FALSE),IF(VLOOKUP(A49,'Job Operations'!$A:$Z,15,FALSE)="Shear",VLOOKUP(A49,'Job Operations'!$A:$Z,19,FALSE),VLOOKUP(A49,'Job Operations'!$A:$Z,17,FALSE))),""))</f>
        <v/>
      </c>
      <c r="M49" s="152" t="str">
        <f>IF(A49="","",IFERROR(IF(VLOOKUP(A49,Notes!A:B,2,FALSE)=0,"",VLOOKUP(A49,Notes!A:B,2,FALSE)),""))</f>
        <v/>
      </c>
    </row>
    <row r="50" spans="1:13" s="140" customFormat="1" x14ac:dyDescent="0.25">
      <c r="A50" s="145"/>
      <c r="B50" s="146" t="str">
        <f>IF(A50="","",VLOOKUP(A50,'Job Operations'!$A:$Z,2,FALSE))</f>
        <v/>
      </c>
      <c r="C50" s="146" t="str">
        <f>IF(A50="","",VLOOKUP(A50,'Job Operations'!$A:$Z,3,FALSE))</f>
        <v/>
      </c>
      <c r="D50" s="146" t="str">
        <f>IF(A50="","",VLOOKUP(A50,'Job Operations'!$A:$Z,5,FALSE))</f>
        <v/>
      </c>
      <c r="E50" s="146" t="str">
        <f>IF(A50="","",VLOOKUP(A50,'Job Operations'!$A:$Z,6,FALSE))</f>
        <v/>
      </c>
      <c r="F50" s="146" t="str">
        <f>IF(A50="","",VLOOKUP(A50,'Job Operations'!$A:$Z,7,FALSE))</f>
        <v/>
      </c>
      <c r="G50" s="147" t="str">
        <f>IF(A50="","",VLOOKUP(A50,'Job Operations'!$A:$Z,9,FALSE))</f>
        <v/>
      </c>
      <c r="H50" s="146" t="str">
        <f>IF(A50="","",VLOOKUP(A50,'Job Operations'!$A:$Z,12,FALSE))</f>
        <v/>
      </c>
      <c r="I50" s="146" t="str">
        <f>IF(A50="","",IF(VLOOKUP(A50,'Job Operations'!$A:$Z,12,FALSE)="Shear",ROW()-6&amp;IF(OR(MOD(ROW()-6,10)=1,MOD(ROW()-6,10)=2,MOD(ROW()-6,10)=3),CHOOSE(MOD(ROW()-6,10),"st","nd","rd"),"th"),"#"&amp;(ROW()-6)&amp;" on Shear"))</f>
        <v/>
      </c>
      <c r="J50" s="147" t="str">
        <f>IF(A50="","",IFERROR(IF(VLOOKUP(A50,'Job Operations'!$A:$Z,13,FALSE)="Shear",VLOOKUP(A50,'Job Operations'!$A:$Z,14,FALSE),IF(VLOOKUP(A50,'Job Operations'!$A:$Z,15,FALSE)="Shear",VLOOKUP(A50,'Job Operations'!$A:$Z,16,FALSE),IF(VLOOKUP(A50,'Job Operations'!$A:$Z,17,FALSE)="Shear",VLOOKUP(A50,'Job Operations'!$A:$Z,18,FALSE),VLOOKUP(A50,'Job Operations'!$A:$Z,14,FALSE)))),""))</f>
        <v/>
      </c>
      <c r="K50" s="146" t="str">
        <f>IF(A50="","",IFERROR(IF(VLOOKUP(A50,'Job Operations'!$A:$Z,13,FALSE)="Shear",VLOOKUP(A50,'Job Operations'!$A:$Z,15,FALSE),IF(VLOOKUP(A50,'Job Operations'!$A:$Z,15,FALSE)="Shear",VLOOKUP(A50,'Job Operations'!$A:$Z,17,FALSE),VLOOKUP(A50,'Job Operations'!$A:$Z,15,FALSE))),""))</f>
        <v/>
      </c>
      <c r="L50" s="146" t="str">
        <f>IF(A50="","",IFERROR(IF(VLOOKUP(A50,'Job Operations'!$A:$Z,13,FALSE)="Shear",VLOOKUP(A50,'Job Operations'!$A:$Z,17,FALSE),IF(VLOOKUP(A50,'Job Operations'!$A:$Z,15,FALSE)="Shear",VLOOKUP(A50,'Job Operations'!$A:$Z,19,FALSE),VLOOKUP(A50,'Job Operations'!$A:$Z,17,FALSE))),""))</f>
        <v/>
      </c>
      <c r="M50" s="148" t="str">
        <f>IF(A50="","",IFERROR(IF(VLOOKUP(A50,Notes!A:B,2,FALSE)=0,"",VLOOKUP(A50,Notes!A:B,2,FALSE)),""))</f>
        <v/>
      </c>
    </row>
    <row r="51" spans="1:13" s="140" customFormat="1" x14ac:dyDescent="0.25">
      <c r="A51" s="149"/>
      <c r="B51" s="150" t="str">
        <f>IF(A51="","",VLOOKUP(A51,'Job Operations'!$A:$Z,2,FALSE))</f>
        <v/>
      </c>
      <c r="C51" s="150" t="str">
        <f>IF(A51="","",VLOOKUP(A51,'Job Operations'!$A:$Z,3,FALSE))</f>
        <v/>
      </c>
      <c r="D51" s="150" t="str">
        <f>IF(A51="","",VLOOKUP(A51,'Job Operations'!$A:$Z,5,FALSE))</f>
        <v/>
      </c>
      <c r="E51" s="150" t="str">
        <f>IF(A51="","",VLOOKUP(A51,'Job Operations'!$A:$Z,6,FALSE))</f>
        <v/>
      </c>
      <c r="F51" s="150" t="str">
        <f>IF(A51="","",VLOOKUP(A51,'Job Operations'!$A:$Z,7,FALSE))</f>
        <v/>
      </c>
      <c r="G51" s="151" t="str">
        <f>IF(A51="","",VLOOKUP(A51,'Job Operations'!$A:$Z,9,FALSE))</f>
        <v/>
      </c>
      <c r="H51" s="150" t="str">
        <f>IF(A51="","",VLOOKUP(A51,'Job Operations'!$A:$Z,12,FALSE))</f>
        <v/>
      </c>
      <c r="I51" s="150" t="str">
        <f>IF(A51="","",IF(VLOOKUP(A51,'Job Operations'!$A:$Z,12,FALSE)="Shear",ROW()-6&amp;IF(OR(MOD(ROW()-6,10)=1,MOD(ROW()-6,10)=2,MOD(ROW()-6,10)=3),CHOOSE(MOD(ROW()-6,10),"st","nd","rd"),"th"),"#"&amp;(ROW()-6)&amp;" on Shear"))</f>
        <v/>
      </c>
      <c r="J51" s="151" t="str">
        <f>IF(A51="","",IFERROR(IF(VLOOKUP(A51,'Job Operations'!$A:$Z,13,FALSE)="Shear",VLOOKUP(A51,'Job Operations'!$A:$Z,14,FALSE),IF(VLOOKUP(A51,'Job Operations'!$A:$Z,15,FALSE)="Shear",VLOOKUP(A51,'Job Operations'!$A:$Z,16,FALSE),IF(VLOOKUP(A51,'Job Operations'!$A:$Z,17,FALSE)="Shear",VLOOKUP(A51,'Job Operations'!$A:$Z,18,FALSE),VLOOKUP(A51,'Job Operations'!$A:$Z,14,FALSE)))),""))</f>
        <v/>
      </c>
      <c r="K51" s="150" t="str">
        <f>IF(A51="","",IFERROR(IF(VLOOKUP(A51,'Job Operations'!$A:$Z,13,FALSE)="Shear",VLOOKUP(A51,'Job Operations'!$A:$Z,15,FALSE),IF(VLOOKUP(A51,'Job Operations'!$A:$Z,15,FALSE)="Shear",VLOOKUP(A51,'Job Operations'!$A:$Z,17,FALSE),VLOOKUP(A51,'Job Operations'!$A:$Z,15,FALSE))),""))</f>
        <v/>
      </c>
      <c r="L51" s="150" t="str">
        <f>IF(A51="","",IFERROR(IF(VLOOKUP(A51,'Job Operations'!$A:$Z,13,FALSE)="Shear",VLOOKUP(A51,'Job Operations'!$A:$Z,17,FALSE),IF(VLOOKUP(A51,'Job Operations'!$A:$Z,15,FALSE)="Shear",VLOOKUP(A51,'Job Operations'!$A:$Z,19,FALSE),VLOOKUP(A51,'Job Operations'!$A:$Z,17,FALSE))),""))</f>
        <v/>
      </c>
      <c r="M51" s="152" t="str">
        <f>IF(A51="","",IFERROR(IF(VLOOKUP(A51,Notes!A:B,2,FALSE)=0,"",VLOOKUP(A51,Notes!A:B,2,FALSE)),""))</f>
        <v/>
      </c>
    </row>
    <row r="52" spans="1:13" s="140" customFormat="1" x14ac:dyDescent="0.25">
      <c r="A52" s="145"/>
      <c r="B52" s="146" t="str">
        <f>IF(A52="","",VLOOKUP(A52,'Job Operations'!$A:$Z,2,FALSE))</f>
        <v/>
      </c>
      <c r="C52" s="146" t="str">
        <f>IF(A52="","",VLOOKUP(A52,'Job Operations'!$A:$Z,3,FALSE))</f>
        <v/>
      </c>
      <c r="D52" s="146" t="str">
        <f>IF(A52="","",VLOOKUP(A52,'Job Operations'!$A:$Z,5,FALSE))</f>
        <v/>
      </c>
      <c r="E52" s="146" t="str">
        <f>IF(A52="","",VLOOKUP(A52,'Job Operations'!$A:$Z,6,FALSE))</f>
        <v/>
      </c>
      <c r="F52" s="146" t="str">
        <f>IF(A52="","",VLOOKUP(A52,'Job Operations'!$A:$Z,7,FALSE))</f>
        <v/>
      </c>
      <c r="G52" s="147" t="str">
        <f>IF(A52="","",VLOOKUP(A52,'Job Operations'!$A:$Z,9,FALSE))</f>
        <v/>
      </c>
      <c r="H52" s="146" t="str">
        <f>IF(A52="","",VLOOKUP(A52,'Job Operations'!$A:$Z,12,FALSE))</f>
        <v/>
      </c>
      <c r="I52" s="146" t="str">
        <f>IF(A52="","",IF(VLOOKUP(A52,'Job Operations'!$A:$Z,12,FALSE)="Shear",ROW()-6&amp;IF(OR(MOD(ROW()-6,10)=1,MOD(ROW()-6,10)=2,MOD(ROW()-6,10)=3),CHOOSE(MOD(ROW()-6,10),"st","nd","rd"),"th"),"#"&amp;(ROW()-6)&amp;" on Shear"))</f>
        <v/>
      </c>
      <c r="J52" s="147" t="str">
        <f>IF(A52="","",IFERROR(IF(VLOOKUP(A52,'Job Operations'!$A:$Z,13,FALSE)="Shear",VLOOKUP(A52,'Job Operations'!$A:$Z,14,FALSE),IF(VLOOKUP(A52,'Job Operations'!$A:$Z,15,FALSE)="Shear",VLOOKUP(A52,'Job Operations'!$A:$Z,16,FALSE),IF(VLOOKUP(A52,'Job Operations'!$A:$Z,17,FALSE)="Shear",VLOOKUP(A52,'Job Operations'!$A:$Z,18,FALSE),VLOOKUP(A52,'Job Operations'!$A:$Z,14,FALSE)))),""))</f>
        <v/>
      </c>
      <c r="K52" s="146" t="str">
        <f>IF(A52="","",IFERROR(IF(VLOOKUP(A52,'Job Operations'!$A:$Z,13,FALSE)="Shear",VLOOKUP(A52,'Job Operations'!$A:$Z,15,FALSE),IF(VLOOKUP(A52,'Job Operations'!$A:$Z,15,FALSE)="Shear",VLOOKUP(A52,'Job Operations'!$A:$Z,17,FALSE),VLOOKUP(A52,'Job Operations'!$A:$Z,15,FALSE))),""))</f>
        <v/>
      </c>
      <c r="L52" s="146" t="str">
        <f>IF(A52="","",IFERROR(IF(VLOOKUP(A52,'Job Operations'!$A:$Z,13,FALSE)="Shear",VLOOKUP(A52,'Job Operations'!$A:$Z,17,FALSE),IF(VLOOKUP(A52,'Job Operations'!$A:$Z,15,FALSE)="Shear",VLOOKUP(A52,'Job Operations'!$A:$Z,19,FALSE),VLOOKUP(A52,'Job Operations'!$A:$Z,17,FALSE))),""))</f>
        <v/>
      </c>
      <c r="M52" s="148" t="str">
        <f>IF(A52="","",IFERROR(IF(VLOOKUP(A52,Notes!A:B,2,FALSE)=0,"",VLOOKUP(A52,Notes!A:B,2,FALSE)),""))</f>
        <v/>
      </c>
    </row>
    <row r="53" spans="1:13" s="140" customFormat="1" x14ac:dyDescent="0.25">
      <c r="A53" s="149"/>
      <c r="B53" s="150" t="str">
        <f>IF(A53="","",VLOOKUP(A53,'Job Operations'!$A:$Z,2,FALSE))</f>
        <v/>
      </c>
      <c r="C53" s="150" t="str">
        <f>IF(A53="","",VLOOKUP(A53,'Job Operations'!$A:$Z,3,FALSE))</f>
        <v/>
      </c>
      <c r="D53" s="150" t="str">
        <f>IF(A53="","",VLOOKUP(A53,'Job Operations'!$A:$Z,5,FALSE))</f>
        <v/>
      </c>
      <c r="E53" s="150" t="str">
        <f>IF(A53="","",VLOOKUP(A53,'Job Operations'!$A:$Z,6,FALSE))</f>
        <v/>
      </c>
      <c r="F53" s="150" t="str">
        <f>IF(A53="","",VLOOKUP(A53,'Job Operations'!$A:$Z,7,FALSE))</f>
        <v/>
      </c>
      <c r="G53" s="151" t="str">
        <f>IF(A53="","",VLOOKUP(A53,'Job Operations'!$A:$Z,9,FALSE))</f>
        <v/>
      </c>
      <c r="H53" s="150" t="str">
        <f>IF(A53="","",VLOOKUP(A53,'Job Operations'!$A:$Z,12,FALSE))</f>
        <v/>
      </c>
      <c r="I53" s="150" t="str">
        <f>IF(A53="","",IF(VLOOKUP(A53,'Job Operations'!$A:$Z,12,FALSE)="Shear",ROW()-6&amp;IF(OR(MOD(ROW()-6,10)=1,MOD(ROW()-6,10)=2,MOD(ROW()-6,10)=3),CHOOSE(MOD(ROW()-6,10),"st","nd","rd"),"th"),"#"&amp;(ROW()-6)&amp;" on Shear"))</f>
        <v/>
      </c>
      <c r="J53" s="151" t="str">
        <f>IF(A53="","",IFERROR(IF(VLOOKUP(A53,'Job Operations'!$A:$Z,13,FALSE)="Shear",VLOOKUP(A53,'Job Operations'!$A:$Z,14,FALSE),IF(VLOOKUP(A53,'Job Operations'!$A:$Z,15,FALSE)="Shear",VLOOKUP(A53,'Job Operations'!$A:$Z,16,FALSE),IF(VLOOKUP(A53,'Job Operations'!$A:$Z,17,FALSE)="Shear",VLOOKUP(A53,'Job Operations'!$A:$Z,18,FALSE),VLOOKUP(A53,'Job Operations'!$A:$Z,14,FALSE)))),""))</f>
        <v/>
      </c>
      <c r="K53" s="150" t="str">
        <f>IF(A53="","",IFERROR(IF(VLOOKUP(A53,'Job Operations'!$A:$Z,13,FALSE)="Shear",VLOOKUP(A53,'Job Operations'!$A:$Z,15,FALSE),IF(VLOOKUP(A53,'Job Operations'!$A:$Z,15,FALSE)="Shear",VLOOKUP(A53,'Job Operations'!$A:$Z,17,FALSE),VLOOKUP(A53,'Job Operations'!$A:$Z,15,FALSE))),""))</f>
        <v/>
      </c>
      <c r="L53" s="150" t="str">
        <f>IF(A53="","",IFERROR(IF(VLOOKUP(A53,'Job Operations'!$A:$Z,13,FALSE)="Shear",VLOOKUP(A53,'Job Operations'!$A:$Z,17,FALSE),IF(VLOOKUP(A53,'Job Operations'!$A:$Z,15,FALSE)="Shear",VLOOKUP(A53,'Job Operations'!$A:$Z,19,FALSE),VLOOKUP(A53,'Job Operations'!$A:$Z,17,FALSE))),""))</f>
        <v/>
      </c>
      <c r="M53" s="152" t="str">
        <f>IF(A53="","",IFERROR(IF(VLOOKUP(A53,Notes!A:B,2,FALSE)=0,"",VLOOKUP(A53,Notes!A:B,2,FALSE)),""))</f>
        <v/>
      </c>
    </row>
    <row r="54" spans="1:13" s="140" customFormat="1" x14ac:dyDescent="0.25">
      <c r="A54" s="145"/>
      <c r="B54" s="146" t="str">
        <f>IF(A54="","",VLOOKUP(A54,'Job Operations'!$A:$Z,2,FALSE))</f>
        <v/>
      </c>
      <c r="C54" s="146" t="str">
        <f>IF(A54="","",VLOOKUP(A54,'Job Operations'!$A:$Z,3,FALSE))</f>
        <v/>
      </c>
      <c r="D54" s="146" t="str">
        <f>IF(A54="","",VLOOKUP(A54,'Job Operations'!$A:$Z,5,FALSE))</f>
        <v/>
      </c>
      <c r="E54" s="146" t="str">
        <f>IF(A54="","",VLOOKUP(A54,'Job Operations'!$A:$Z,6,FALSE))</f>
        <v/>
      </c>
      <c r="F54" s="146" t="str">
        <f>IF(A54="","",VLOOKUP(A54,'Job Operations'!$A:$Z,7,FALSE))</f>
        <v/>
      </c>
      <c r="G54" s="147" t="str">
        <f>IF(A54="","",VLOOKUP(A54,'Job Operations'!$A:$Z,9,FALSE))</f>
        <v/>
      </c>
      <c r="H54" s="146" t="str">
        <f>IF(A54="","",VLOOKUP(A54,'Job Operations'!$A:$Z,12,FALSE))</f>
        <v/>
      </c>
      <c r="I54" s="146" t="str">
        <f>IF(A54="","",IF(VLOOKUP(A54,'Job Operations'!$A:$Z,12,FALSE)="Shear",ROW()-6&amp;IF(OR(MOD(ROW()-6,10)=1,MOD(ROW()-6,10)=2,MOD(ROW()-6,10)=3),CHOOSE(MOD(ROW()-6,10),"st","nd","rd"),"th"),"#"&amp;(ROW()-6)&amp;" on Shear"))</f>
        <v/>
      </c>
      <c r="J54" s="147" t="str">
        <f>IF(A54="","",IFERROR(IF(VLOOKUP(A54,'Job Operations'!$A:$Z,13,FALSE)="Shear",VLOOKUP(A54,'Job Operations'!$A:$Z,14,FALSE),IF(VLOOKUP(A54,'Job Operations'!$A:$Z,15,FALSE)="Shear",VLOOKUP(A54,'Job Operations'!$A:$Z,16,FALSE),IF(VLOOKUP(A54,'Job Operations'!$A:$Z,17,FALSE)="Shear",VLOOKUP(A54,'Job Operations'!$A:$Z,18,FALSE),VLOOKUP(A54,'Job Operations'!$A:$Z,14,FALSE)))),""))</f>
        <v/>
      </c>
      <c r="K54" s="146" t="str">
        <f>IF(A54="","",IFERROR(IF(VLOOKUP(A54,'Job Operations'!$A:$Z,13,FALSE)="Shear",VLOOKUP(A54,'Job Operations'!$A:$Z,15,FALSE),IF(VLOOKUP(A54,'Job Operations'!$A:$Z,15,FALSE)="Shear",VLOOKUP(A54,'Job Operations'!$A:$Z,17,FALSE),VLOOKUP(A54,'Job Operations'!$A:$Z,15,FALSE))),""))</f>
        <v/>
      </c>
      <c r="L54" s="146" t="str">
        <f>IF(A54="","",IFERROR(IF(VLOOKUP(A54,'Job Operations'!$A:$Z,13,FALSE)="Shear",VLOOKUP(A54,'Job Operations'!$A:$Z,17,FALSE),IF(VLOOKUP(A54,'Job Operations'!$A:$Z,15,FALSE)="Shear",VLOOKUP(A54,'Job Operations'!$A:$Z,19,FALSE),VLOOKUP(A54,'Job Operations'!$A:$Z,17,FALSE))),""))</f>
        <v/>
      </c>
      <c r="M54" s="148" t="str">
        <f>IF(A54="","",IFERROR(IF(VLOOKUP(A54,Notes!A:B,2,FALSE)=0,"",VLOOKUP(A54,Notes!A:B,2,FALSE)),""))</f>
        <v/>
      </c>
    </row>
    <row r="55" spans="1:13" s="140" customFormat="1" x14ac:dyDescent="0.25">
      <c r="A55" s="149"/>
      <c r="B55" s="150" t="str">
        <f>IF(A55="","",VLOOKUP(A55,'Job Operations'!$A:$Z,2,FALSE))</f>
        <v/>
      </c>
      <c r="C55" s="150" t="str">
        <f>IF(A55="","",VLOOKUP(A55,'Job Operations'!$A:$Z,3,FALSE))</f>
        <v/>
      </c>
      <c r="D55" s="150" t="str">
        <f>IF(A55="","",VLOOKUP(A55,'Job Operations'!$A:$Z,5,FALSE))</f>
        <v/>
      </c>
      <c r="E55" s="150" t="str">
        <f>IF(A55="","",VLOOKUP(A55,'Job Operations'!$A:$Z,6,FALSE))</f>
        <v/>
      </c>
      <c r="F55" s="150" t="str">
        <f>IF(A55="","",VLOOKUP(A55,'Job Operations'!$A:$Z,7,FALSE))</f>
        <v/>
      </c>
      <c r="G55" s="151" t="str">
        <f>IF(A55="","",VLOOKUP(A55,'Job Operations'!$A:$Z,9,FALSE))</f>
        <v/>
      </c>
      <c r="H55" s="150" t="str">
        <f>IF(A55="","",VLOOKUP(A55,'Job Operations'!$A:$Z,12,FALSE))</f>
        <v/>
      </c>
      <c r="I55" s="150" t="str">
        <f>IF(A55="","",IF(VLOOKUP(A55,'Job Operations'!$A:$Z,12,FALSE)="Shear",ROW()-6&amp;IF(OR(MOD(ROW()-6,10)=1,MOD(ROW()-6,10)=2,MOD(ROW()-6,10)=3),CHOOSE(MOD(ROW()-6,10),"st","nd","rd"),"th"),"#"&amp;(ROW()-6)&amp;" on Shear"))</f>
        <v/>
      </c>
      <c r="J55" s="151" t="str">
        <f>IF(A55="","",IFERROR(IF(VLOOKUP(A55,'Job Operations'!$A:$Z,13,FALSE)="Shear",VLOOKUP(A55,'Job Operations'!$A:$Z,14,FALSE),IF(VLOOKUP(A55,'Job Operations'!$A:$Z,15,FALSE)="Shear",VLOOKUP(A55,'Job Operations'!$A:$Z,16,FALSE),IF(VLOOKUP(A55,'Job Operations'!$A:$Z,17,FALSE)="Shear",VLOOKUP(A55,'Job Operations'!$A:$Z,18,FALSE),VLOOKUP(A55,'Job Operations'!$A:$Z,14,FALSE)))),""))</f>
        <v/>
      </c>
      <c r="K55" s="150" t="str">
        <f>IF(A55="","",IFERROR(IF(VLOOKUP(A55,'Job Operations'!$A:$Z,13,FALSE)="Shear",VLOOKUP(A55,'Job Operations'!$A:$Z,15,FALSE),IF(VLOOKUP(A55,'Job Operations'!$A:$Z,15,FALSE)="Shear",VLOOKUP(A55,'Job Operations'!$A:$Z,17,FALSE),VLOOKUP(A55,'Job Operations'!$A:$Z,15,FALSE))),""))</f>
        <v/>
      </c>
      <c r="L55" s="150" t="str">
        <f>IF(A55="","",IFERROR(IF(VLOOKUP(A55,'Job Operations'!$A:$Z,13,FALSE)="Shear",VLOOKUP(A55,'Job Operations'!$A:$Z,17,FALSE),IF(VLOOKUP(A55,'Job Operations'!$A:$Z,15,FALSE)="Shear",VLOOKUP(A55,'Job Operations'!$A:$Z,19,FALSE),VLOOKUP(A55,'Job Operations'!$A:$Z,17,FALSE))),""))</f>
        <v/>
      </c>
      <c r="M55" s="152" t="str">
        <f>IF(A55="","",IFERROR(IF(VLOOKUP(A55,Notes!A:B,2,FALSE)=0,"",VLOOKUP(A55,Notes!A:B,2,FALSE)),""))</f>
        <v/>
      </c>
    </row>
    <row r="56" spans="1:13" s="140" customFormat="1" x14ac:dyDescent="0.25">
      <c r="A56" s="145"/>
      <c r="B56" s="146" t="str">
        <f>IF(A56="","",VLOOKUP(A56,'Job Operations'!$A:$Z,2,FALSE))</f>
        <v/>
      </c>
      <c r="C56" s="146" t="str">
        <f>IF(A56="","",VLOOKUP(A56,'Job Operations'!$A:$Z,3,FALSE))</f>
        <v/>
      </c>
      <c r="D56" s="146" t="str">
        <f>IF(A56="","",VLOOKUP(A56,'Job Operations'!$A:$Z,5,FALSE))</f>
        <v/>
      </c>
      <c r="E56" s="146" t="str">
        <f>IF(A56="","",VLOOKUP(A56,'Job Operations'!$A:$Z,6,FALSE))</f>
        <v/>
      </c>
      <c r="F56" s="146" t="str">
        <f>IF(A56="","",VLOOKUP(A56,'Job Operations'!$A:$Z,7,FALSE))</f>
        <v/>
      </c>
      <c r="G56" s="147" t="str">
        <f>IF(A56="","",VLOOKUP(A56,'Job Operations'!$A:$Z,9,FALSE))</f>
        <v/>
      </c>
      <c r="H56" s="146" t="str">
        <f>IF(A56="","",VLOOKUP(A56,'Job Operations'!$A:$Z,12,FALSE))</f>
        <v/>
      </c>
      <c r="I56" s="146" t="str">
        <f>IF(A56="","",IF(VLOOKUP(A56,'Job Operations'!$A:$Z,12,FALSE)="Shear",ROW()-6&amp;IF(OR(MOD(ROW()-6,10)=1,MOD(ROW()-6,10)=2,MOD(ROW()-6,10)=3),CHOOSE(MOD(ROW()-6,10),"st","nd","rd"),"th"),"#"&amp;(ROW()-6)&amp;" on Shear"))</f>
        <v/>
      </c>
      <c r="J56" s="147" t="str">
        <f>IF(A56="","",IFERROR(IF(VLOOKUP(A56,'Job Operations'!$A:$Z,13,FALSE)="Shear",VLOOKUP(A56,'Job Operations'!$A:$Z,14,FALSE),IF(VLOOKUP(A56,'Job Operations'!$A:$Z,15,FALSE)="Shear",VLOOKUP(A56,'Job Operations'!$A:$Z,16,FALSE),IF(VLOOKUP(A56,'Job Operations'!$A:$Z,17,FALSE)="Shear",VLOOKUP(A56,'Job Operations'!$A:$Z,18,FALSE),VLOOKUP(A56,'Job Operations'!$A:$Z,14,FALSE)))),""))</f>
        <v/>
      </c>
      <c r="K56" s="146" t="str">
        <f>IF(A56="","",IFERROR(IF(VLOOKUP(A56,'Job Operations'!$A:$Z,13,FALSE)="Shear",VLOOKUP(A56,'Job Operations'!$A:$Z,15,FALSE),IF(VLOOKUP(A56,'Job Operations'!$A:$Z,15,FALSE)="Shear",VLOOKUP(A56,'Job Operations'!$A:$Z,17,FALSE),VLOOKUP(A56,'Job Operations'!$A:$Z,15,FALSE))),""))</f>
        <v/>
      </c>
      <c r="L56" s="146" t="str">
        <f>IF(A56="","",IFERROR(IF(VLOOKUP(A56,'Job Operations'!$A:$Z,13,FALSE)="Shear",VLOOKUP(A56,'Job Operations'!$A:$Z,17,FALSE),IF(VLOOKUP(A56,'Job Operations'!$A:$Z,15,FALSE)="Shear",VLOOKUP(A56,'Job Operations'!$A:$Z,19,FALSE),VLOOKUP(A56,'Job Operations'!$A:$Z,17,FALSE))),""))</f>
        <v/>
      </c>
      <c r="M56" s="148" t="str">
        <f>IF(A56="","",IFERROR(IF(VLOOKUP(A56,Notes!A:B,2,FALSE)=0,"",VLOOKUP(A56,Notes!A:B,2,FALSE)),""))</f>
        <v/>
      </c>
    </row>
    <row r="57" spans="1:13" s="140" customFormat="1" x14ac:dyDescent="0.25">
      <c r="A57" s="149"/>
      <c r="B57" s="150" t="str">
        <f>IF(A57="","",VLOOKUP(A57,'Job Operations'!$A:$Z,2,FALSE))</f>
        <v/>
      </c>
      <c r="C57" s="150" t="str">
        <f>IF(A57="","",VLOOKUP(A57,'Job Operations'!$A:$Z,3,FALSE))</f>
        <v/>
      </c>
      <c r="D57" s="150" t="str">
        <f>IF(A57="","",VLOOKUP(A57,'Job Operations'!$A:$Z,5,FALSE))</f>
        <v/>
      </c>
      <c r="E57" s="150" t="str">
        <f>IF(A57="","",VLOOKUP(A57,'Job Operations'!$A:$Z,6,FALSE))</f>
        <v/>
      </c>
      <c r="F57" s="150" t="str">
        <f>IF(A57="","",VLOOKUP(A57,'Job Operations'!$A:$Z,7,FALSE))</f>
        <v/>
      </c>
      <c r="G57" s="151" t="str">
        <f>IF(A57="","",VLOOKUP(A57,'Job Operations'!$A:$Z,9,FALSE))</f>
        <v/>
      </c>
      <c r="H57" s="150" t="str">
        <f>IF(A57="","",VLOOKUP(A57,'Job Operations'!$A:$Z,12,FALSE))</f>
        <v/>
      </c>
      <c r="I57" s="150" t="str">
        <f>IF(A57="","",IF(VLOOKUP(A57,'Job Operations'!$A:$Z,12,FALSE)="Shear",ROW()-6&amp;IF(OR(MOD(ROW()-6,10)=1,MOD(ROW()-6,10)=2,MOD(ROW()-6,10)=3),CHOOSE(MOD(ROW()-6,10),"st","nd","rd"),"th"),"#"&amp;(ROW()-6)&amp;" on Shear"))</f>
        <v/>
      </c>
      <c r="J57" s="151" t="str">
        <f>IF(A57="","",IFERROR(IF(VLOOKUP(A57,'Job Operations'!$A:$Z,13,FALSE)="Shear",VLOOKUP(A57,'Job Operations'!$A:$Z,14,FALSE),IF(VLOOKUP(A57,'Job Operations'!$A:$Z,15,FALSE)="Shear",VLOOKUP(A57,'Job Operations'!$A:$Z,16,FALSE),IF(VLOOKUP(A57,'Job Operations'!$A:$Z,17,FALSE)="Shear",VLOOKUP(A57,'Job Operations'!$A:$Z,18,FALSE),VLOOKUP(A57,'Job Operations'!$A:$Z,14,FALSE)))),""))</f>
        <v/>
      </c>
      <c r="K57" s="150" t="str">
        <f>IF(A57="","",IFERROR(IF(VLOOKUP(A57,'Job Operations'!$A:$Z,13,FALSE)="Shear",VLOOKUP(A57,'Job Operations'!$A:$Z,15,FALSE),IF(VLOOKUP(A57,'Job Operations'!$A:$Z,15,FALSE)="Shear",VLOOKUP(A57,'Job Operations'!$A:$Z,17,FALSE),VLOOKUP(A57,'Job Operations'!$A:$Z,15,FALSE))),""))</f>
        <v/>
      </c>
      <c r="L57" s="150" t="str">
        <f>IF(A57="","",IFERROR(IF(VLOOKUP(A57,'Job Operations'!$A:$Z,13,FALSE)="Shear",VLOOKUP(A57,'Job Operations'!$A:$Z,17,FALSE),IF(VLOOKUP(A57,'Job Operations'!$A:$Z,15,FALSE)="Shear",VLOOKUP(A57,'Job Operations'!$A:$Z,19,FALSE),VLOOKUP(A57,'Job Operations'!$A:$Z,17,FALSE))),""))</f>
        <v/>
      </c>
      <c r="M57" s="152" t="str">
        <f>IF(A57="","",IFERROR(IF(VLOOKUP(A57,Notes!A:B,2,FALSE)=0,"",VLOOKUP(A57,Notes!A:B,2,FALSE)),""))</f>
        <v/>
      </c>
    </row>
    <row r="58" spans="1:13" s="140" customFormat="1" x14ac:dyDescent="0.25">
      <c r="A58" s="145"/>
      <c r="B58" s="146" t="str">
        <f>IF(A58="","",VLOOKUP(A58,'Job Operations'!$A:$Z,2,FALSE))</f>
        <v/>
      </c>
      <c r="C58" s="146" t="str">
        <f>IF(A58="","",VLOOKUP(A58,'Job Operations'!$A:$Z,3,FALSE))</f>
        <v/>
      </c>
      <c r="D58" s="146" t="str">
        <f>IF(A58="","",VLOOKUP(A58,'Job Operations'!$A:$Z,5,FALSE))</f>
        <v/>
      </c>
      <c r="E58" s="146" t="str">
        <f>IF(A58="","",VLOOKUP(A58,'Job Operations'!$A:$Z,6,FALSE))</f>
        <v/>
      </c>
      <c r="F58" s="146" t="str">
        <f>IF(A58="","",VLOOKUP(A58,'Job Operations'!$A:$Z,7,FALSE))</f>
        <v/>
      </c>
      <c r="G58" s="147" t="str">
        <f>IF(A58="","",VLOOKUP(A58,'Job Operations'!$A:$Z,9,FALSE))</f>
        <v/>
      </c>
      <c r="H58" s="146" t="str">
        <f>IF(A58="","",VLOOKUP(A58,'Job Operations'!$A:$Z,12,FALSE))</f>
        <v/>
      </c>
      <c r="I58" s="146" t="str">
        <f>IF(A58="","",IF(VLOOKUP(A58,'Job Operations'!$A:$Z,12,FALSE)="Shear",ROW()-6&amp;IF(OR(MOD(ROW()-6,10)=1,MOD(ROW()-6,10)=2,MOD(ROW()-6,10)=3),CHOOSE(MOD(ROW()-6,10),"st","nd","rd"),"th"),"#"&amp;(ROW()-6)&amp;" on Shear"))</f>
        <v/>
      </c>
      <c r="J58" s="147" t="str">
        <f>IF(A58="","",IFERROR(IF(VLOOKUP(A58,'Job Operations'!$A:$Z,13,FALSE)="Shear",VLOOKUP(A58,'Job Operations'!$A:$Z,14,FALSE),IF(VLOOKUP(A58,'Job Operations'!$A:$Z,15,FALSE)="Shear",VLOOKUP(A58,'Job Operations'!$A:$Z,16,FALSE),IF(VLOOKUP(A58,'Job Operations'!$A:$Z,17,FALSE)="Shear",VLOOKUP(A58,'Job Operations'!$A:$Z,18,FALSE),VLOOKUP(A58,'Job Operations'!$A:$Z,14,FALSE)))),""))</f>
        <v/>
      </c>
      <c r="K58" s="146" t="str">
        <f>IF(A58="","",IFERROR(IF(VLOOKUP(A58,'Job Operations'!$A:$Z,13,FALSE)="Shear",VLOOKUP(A58,'Job Operations'!$A:$Z,15,FALSE),IF(VLOOKUP(A58,'Job Operations'!$A:$Z,15,FALSE)="Shear",VLOOKUP(A58,'Job Operations'!$A:$Z,17,FALSE),VLOOKUP(A58,'Job Operations'!$A:$Z,15,FALSE))),""))</f>
        <v/>
      </c>
      <c r="L58" s="146" t="str">
        <f>IF(A58="","",IFERROR(IF(VLOOKUP(A58,'Job Operations'!$A:$Z,13,FALSE)="Shear",VLOOKUP(A58,'Job Operations'!$A:$Z,17,FALSE),IF(VLOOKUP(A58,'Job Operations'!$A:$Z,15,FALSE)="Shear",VLOOKUP(A58,'Job Operations'!$A:$Z,19,FALSE),VLOOKUP(A58,'Job Operations'!$A:$Z,17,FALSE))),""))</f>
        <v/>
      </c>
      <c r="M58" s="148" t="str">
        <f>IF(A58="","",IFERROR(IF(VLOOKUP(A58,Notes!A:B,2,FALSE)=0,"",VLOOKUP(A58,Notes!A:B,2,FALSE)),""))</f>
        <v/>
      </c>
    </row>
    <row r="59" spans="1:13" s="140" customFormat="1" x14ac:dyDescent="0.25">
      <c r="A59" s="149"/>
      <c r="B59" s="150" t="str">
        <f>IF(A59="","",VLOOKUP(A59,'Job Operations'!$A:$Z,2,FALSE))</f>
        <v/>
      </c>
      <c r="C59" s="150" t="str">
        <f>IF(A59="","",VLOOKUP(A59,'Job Operations'!$A:$Z,3,FALSE))</f>
        <v/>
      </c>
      <c r="D59" s="150" t="str">
        <f>IF(A59="","",VLOOKUP(A59,'Job Operations'!$A:$Z,5,FALSE))</f>
        <v/>
      </c>
      <c r="E59" s="150" t="str">
        <f>IF(A59="","",VLOOKUP(A59,'Job Operations'!$A:$Z,6,FALSE))</f>
        <v/>
      </c>
      <c r="F59" s="150" t="str">
        <f>IF(A59="","",VLOOKUP(A59,'Job Operations'!$A:$Z,7,FALSE))</f>
        <v/>
      </c>
      <c r="G59" s="151" t="str">
        <f>IF(A59="","",VLOOKUP(A59,'Job Operations'!$A:$Z,9,FALSE))</f>
        <v/>
      </c>
      <c r="H59" s="150" t="str">
        <f>IF(A59="","",VLOOKUP(A59,'Job Operations'!$A:$Z,12,FALSE))</f>
        <v/>
      </c>
      <c r="I59" s="150" t="str">
        <f>IF(A59="","",IF(VLOOKUP(A59,'Job Operations'!$A:$Z,12,FALSE)="Shear",ROW()-6&amp;IF(OR(MOD(ROW()-6,10)=1,MOD(ROW()-6,10)=2,MOD(ROW()-6,10)=3),CHOOSE(MOD(ROW()-6,10),"st","nd","rd"),"th"),"#"&amp;(ROW()-6)&amp;" on Shear"))</f>
        <v/>
      </c>
      <c r="J59" s="151" t="str">
        <f>IF(A59="","",IFERROR(IF(VLOOKUP(A59,'Job Operations'!$A:$Z,13,FALSE)="Shear",VLOOKUP(A59,'Job Operations'!$A:$Z,14,FALSE),IF(VLOOKUP(A59,'Job Operations'!$A:$Z,15,FALSE)="Shear",VLOOKUP(A59,'Job Operations'!$A:$Z,16,FALSE),IF(VLOOKUP(A59,'Job Operations'!$A:$Z,17,FALSE)="Shear",VLOOKUP(A59,'Job Operations'!$A:$Z,18,FALSE),VLOOKUP(A59,'Job Operations'!$A:$Z,14,FALSE)))),""))</f>
        <v/>
      </c>
      <c r="K59" s="150" t="str">
        <f>IF(A59="","",IFERROR(IF(VLOOKUP(A59,'Job Operations'!$A:$Z,13,FALSE)="Shear",VLOOKUP(A59,'Job Operations'!$A:$Z,15,FALSE),IF(VLOOKUP(A59,'Job Operations'!$A:$Z,15,FALSE)="Shear",VLOOKUP(A59,'Job Operations'!$A:$Z,17,FALSE),VLOOKUP(A59,'Job Operations'!$A:$Z,15,FALSE))),""))</f>
        <v/>
      </c>
      <c r="L59" s="150" t="str">
        <f>IF(A59="","",IFERROR(IF(VLOOKUP(A59,'Job Operations'!$A:$Z,13,FALSE)="Shear",VLOOKUP(A59,'Job Operations'!$A:$Z,17,FALSE),IF(VLOOKUP(A59,'Job Operations'!$A:$Z,15,FALSE)="Shear",VLOOKUP(A59,'Job Operations'!$A:$Z,19,FALSE),VLOOKUP(A59,'Job Operations'!$A:$Z,17,FALSE))),""))</f>
        <v/>
      </c>
      <c r="M59" s="152" t="str">
        <f>IF(A59="","",IFERROR(IF(VLOOKUP(A59,Notes!A:B,2,FALSE)=0,"",VLOOKUP(A59,Notes!A:B,2,FALSE)),""))</f>
        <v/>
      </c>
    </row>
    <row r="60" spans="1:13" s="140" customFormat="1" x14ac:dyDescent="0.25">
      <c r="A60" s="145"/>
      <c r="B60" s="146" t="str">
        <f>IF(A60="","",VLOOKUP(A60,'Job Operations'!$A:$Z,2,FALSE))</f>
        <v/>
      </c>
      <c r="C60" s="146" t="str">
        <f>IF(A60="","",VLOOKUP(A60,'Job Operations'!$A:$Z,3,FALSE))</f>
        <v/>
      </c>
      <c r="D60" s="146" t="str">
        <f>IF(A60="","",VLOOKUP(A60,'Job Operations'!$A:$Z,5,FALSE))</f>
        <v/>
      </c>
      <c r="E60" s="146" t="str">
        <f>IF(A60="","",VLOOKUP(A60,'Job Operations'!$A:$Z,6,FALSE))</f>
        <v/>
      </c>
      <c r="F60" s="146" t="str">
        <f>IF(A60="","",VLOOKUP(A60,'Job Operations'!$A:$Z,7,FALSE))</f>
        <v/>
      </c>
      <c r="G60" s="147" t="str">
        <f>IF(A60="","",VLOOKUP(A60,'Job Operations'!$A:$Z,9,FALSE))</f>
        <v/>
      </c>
      <c r="H60" s="146" t="str">
        <f>IF(A60="","",VLOOKUP(A60,'Job Operations'!$A:$Z,12,FALSE))</f>
        <v/>
      </c>
      <c r="I60" s="146" t="str">
        <f>IF(A60="","",IF(VLOOKUP(A60,'Job Operations'!$A:$Z,12,FALSE)="Shear",ROW()-6&amp;IF(OR(MOD(ROW()-6,10)=1,MOD(ROW()-6,10)=2,MOD(ROW()-6,10)=3),CHOOSE(MOD(ROW()-6,10),"st","nd","rd"),"th"),"#"&amp;(ROW()-6)&amp;" on Shear"))</f>
        <v/>
      </c>
      <c r="J60" s="147" t="str">
        <f>IF(A60="","",IFERROR(IF(VLOOKUP(A60,'Job Operations'!$A:$Z,13,FALSE)="Shear",VLOOKUP(A60,'Job Operations'!$A:$Z,14,FALSE),IF(VLOOKUP(A60,'Job Operations'!$A:$Z,15,FALSE)="Shear",VLOOKUP(A60,'Job Operations'!$A:$Z,16,FALSE),IF(VLOOKUP(A60,'Job Operations'!$A:$Z,17,FALSE)="Shear",VLOOKUP(A60,'Job Operations'!$A:$Z,18,FALSE),VLOOKUP(A60,'Job Operations'!$A:$Z,14,FALSE)))),""))</f>
        <v/>
      </c>
      <c r="K60" s="146" t="str">
        <f>IF(A60="","",IFERROR(IF(VLOOKUP(A60,'Job Operations'!$A:$Z,13,FALSE)="Shear",VLOOKUP(A60,'Job Operations'!$A:$Z,15,FALSE),IF(VLOOKUP(A60,'Job Operations'!$A:$Z,15,FALSE)="Shear",VLOOKUP(A60,'Job Operations'!$A:$Z,17,FALSE),VLOOKUP(A60,'Job Operations'!$A:$Z,15,FALSE))),""))</f>
        <v/>
      </c>
      <c r="L60" s="146" t="str">
        <f>IF(A60="","",IFERROR(IF(VLOOKUP(A60,'Job Operations'!$A:$Z,13,FALSE)="Shear",VLOOKUP(A60,'Job Operations'!$A:$Z,17,FALSE),IF(VLOOKUP(A60,'Job Operations'!$A:$Z,15,FALSE)="Shear",VLOOKUP(A60,'Job Operations'!$A:$Z,19,FALSE),VLOOKUP(A60,'Job Operations'!$A:$Z,17,FALSE))),""))</f>
        <v/>
      </c>
      <c r="M60" s="148" t="str">
        <f>IF(A60="","",IFERROR(IF(VLOOKUP(A60,Notes!A:B,2,FALSE)=0,"",VLOOKUP(A60,Notes!A:B,2,FALSE)),""))</f>
        <v/>
      </c>
    </row>
    <row r="61" spans="1:13" s="140" customFormat="1" x14ac:dyDescent="0.25">
      <c r="A61" s="149"/>
      <c r="B61" s="150" t="str">
        <f>IF(A61="","",VLOOKUP(A61,'Job Operations'!$A:$Z,2,FALSE))</f>
        <v/>
      </c>
      <c r="C61" s="150" t="str">
        <f>IF(A61="","",VLOOKUP(A61,'Job Operations'!$A:$Z,3,FALSE))</f>
        <v/>
      </c>
      <c r="D61" s="150" t="str">
        <f>IF(A61="","",VLOOKUP(A61,'Job Operations'!$A:$Z,5,FALSE))</f>
        <v/>
      </c>
      <c r="E61" s="150" t="str">
        <f>IF(A61="","",VLOOKUP(A61,'Job Operations'!$A:$Z,6,FALSE))</f>
        <v/>
      </c>
      <c r="F61" s="150" t="str">
        <f>IF(A61="","",VLOOKUP(A61,'Job Operations'!$A:$Z,7,FALSE))</f>
        <v/>
      </c>
      <c r="G61" s="151" t="str">
        <f>IF(A61="","",VLOOKUP(A61,'Job Operations'!$A:$Z,9,FALSE))</f>
        <v/>
      </c>
      <c r="H61" s="150" t="str">
        <f>IF(A61="","",VLOOKUP(A61,'Job Operations'!$A:$Z,12,FALSE))</f>
        <v/>
      </c>
      <c r="I61" s="150" t="str">
        <f>IF(A61="","",IF(VLOOKUP(A61,'Job Operations'!$A:$Z,12,FALSE)="Shear",ROW()-6&amp;IF(OR(MOD(ROW()-6,10)=1,MOD(ROW()-6,10)=2,MOD(ROW()-6,10)=3),CHOOSE(MOD(ROW()-6,10),"st","nd","rd"),"th"),"#"&amp;(ROW()-6)&amp;" on Shear"))</f>
        <v/>
      </c>
      <c r="J61" s="151" t="str">
        <f>IF(A61="","",IFERROR(IF(VLOOKUP(A61,'Job Operations'!$A:$Z,13,FALSE)="Shear",VLOOKUP(A61,'Job Operations'!$A:$Z,14,FALSE),IF(VLOOKUP(A61,'Job Operations'!$A:$Z,15,FALSE)="Shear",VLOOKUP(A61,'Job Operations'!$A:$Z,16,FALSE),IF(VLOOKUP(A61,'Job Operations'!$A:$Z,17,FALSE)="Shear",VLOOKUP(A61,'Job Operations'!$A:$Z,18,FALSE),VLOOKUP(A61,'Job Operations'!$A:$Z,14,FALSE)))),""))</f>
        <v/>
      </c>
      <c r="K61" s="150" t="str">
        <f>IF(A61="","",IFERROR(IF(VLOOKUP(A61,'Job Operations'!$A:$Z,13,FALSE)="Shear",VLOOKUP(A61,'Job Operations'!$A:$Z,15,FALSE),IF(VLOOKUP(A61,'Job Operations'!$A:$Z,15,FALSE)="Shear",VLOOKUP(A61,'Job Operations'!$A:$Z,17,FALSE),VLOOKUP(A61,'Job Operations'!$A:$Z,15,FALSE))),""))</f>
        <v/>
      </c>
      <c r="L61" s="150" t="str">
        <f>IF(A61="","",IFERROR(IF(VLOOKUP(A61,'Job Operations'!$A:$Z,13,FALSE)="Shear",VLOOKUP(A61,'Job Operations'!$A:$Z,17,FALSE),IF(VLOOKUP(A61,'Job Operations'!$A:$Z,15,FALSE)="Shear",VLOOKUP(A61,'Job Operations'!$A:$Z,19,FALSE),VLOOKUP(A61,'Job Operations'!$A:$Z,17,FALSE))),""))</f>
        <v/>
      </c>
      <c r="M61" s="152" t="str">
        <f>IF(A61="","",IFERROR(IF(VLOOKUP(A61,Notes!A:B,2,FALSE)=0,"",VLOOKUP(A61,Notes!A:B,2,FALSE)),""))</f>
        <v/>
      </c>
    </row>
    <row r="62" spans="1:13" s="140" customFormat="1" x14ac:dyDescent="0.25">
      <c r="A62" s="145"/>
      <c r="B62" s="146" t="str">
        <f>IF(A62="","",VLOOKUP(A62,'Job Operations'!$A:$Z,2,FALSE))</f>
        <v/>
      </c>
      <c r="C62" s="146" t="str">
        <f>IF(A62="","",VLOOKUP(A62,'Job Operations'!$A:$Z,3,FALSE))</f>
        <v/>
      </c>
      <c r="D62" s="146" t="str">
        <f>IF(A62="","",VLOOKUP(A62,'Job Operations'!$A:$Z,5,FALSE))</f>
        <v/>
      </c>
      <c r="E62" s="146" t="str">
        <f>IF(A62="","",VLOOKUP(A62,'Job Operations'!$A:$Z,6,FALSE))</f>
        <v/>
      </c>
      <c r="F62" s="146" t="str">
        <f>IF(A62="","",VLOOKUP(A62,'Job Operations'!$A:$Z,7,FALSE))</f>
        <v/>
      </c>
      <c r="G62" s="147" t="str">
        <f>IF(A62="","",VLOOKUP(A62,'Job Operations'!$A:$Z,9,FALSE))</f>
        <v/>
      </c>
      <c r="H62" s="146" t="str">
        <f>IF(A62="","",VLOOKUP(A62,'Job Operations'!$A:$Z,12,FALSE))</f>
        <v/>
      </c>
      <c r="I62" s="146" t="str">
        <f>IF(A62="","",IF(VLOOKUP(A62,'Job Operations'!$A:$Z,12,FALSE)="Shear",ROW()-6&amp;IF(OR(MOD(ROW()-6,10)=1,MOD(ROW()-6,10)=2,MOD(ROW()-6,10)=3),CHOOSE(MOD(ROW()-6,10),"st","nd","rd"),"th"),"#"&amp;(ROW()-6)&amp;" on Shear"))</f>
        <v/>
      </c>
      <c r="J62" s="147" t="str">
        <f>IF(A62="","",IFERROR(IF(VLOOKUP(A62,'Job Operations'!$A:$Z,13,FALSE)="Shear",VLOOKUP(A62,'Job Operations'!$A:$Z,14,FALSE),IF(VLOOKUP(A62,'Job Operations'!$A:$Z,15,FALSE)="Shear",VLOOKUP(A62,'Job Operations'!$A:$Z,16,FALSE),IF(VLOOKUP(A62,'Job Operations'!$A:$Z,17,FALSE)="Shear",VLOOKUP(A62,'Job Operations'!$A:$Z,18,FALSE),VLOOKUP(A62,'Job Operations'!$A:$Z,14,FALSE)))),""))</f>
        <v/>
      </c>
      <c r="K62" s="146" t="str">
        <f>IF(A62="","",IFERROR(IF(VLOOKUP(A62,'Job Operations'!$A:$Z,13,FALSE)="Shear",VLOOKUP(A62,'Job Operations'!$A:$Z,15,FALSE),IF(VLOOKUP(A62,'Job Operations'!$A:$Z,15,FALSE)="Shear",VLOOKUP(A62,'Job Operations'!$A:$Z,17,FALSE),VLOOKUP(A62,'Job Operations'!$A:$Z,15,FALSE))),""))</f>
        <v/>
      </c>
      <c r="L62" s="146" t="str">
        <f>IF(A62="","",IFERROR(IF(VLOOKUP(A62,'Job Operations'!$A:$Z,13,FALSE)="Shear",VLOOKUP(A62,'Job Operations'!$A:$Z,17,FALSE),IF(VLOOKUP(A62,'Job Operations'!$A:$Z,15,FALSE)="Shear",VLOOKUP(A62,'Job Operations'!$A:$Z,19,FALSE),VLOOKUP(A62,'Job Operations'!$A:$Z,17,FALSE))),""))</f>
        <v/>
      </c>
      <c r="M62" s="148" t="str">
        <f>IF(A62="","",IFERROR(IF(VLOOKUP(A62,Notes!A:B,2,FALSE)=0,"",VLOOKUP(A62,Notes!A:B,2,FALSE)),""))</f>
        <v/>
      </c>
    </row>
    <row r="63" spans="1:13" s="140" customFormat="1" x14ac:dyDescent="0.25">
      <c r="A63" s="149"/>
      <c r="B63" s="150" t="str">
        <f>IF(A63="","",VLOOKUP(A63,'Job Operations'!$A:$Z,2,FALSE))</f>
        <v/>
      </c>
      <c r="C63" s="150" t="str">
        <f>IF(A63="","",VLOOKUP(A63,'Job Operations'!$A:$Z,3,FALSE))</f>
        <v/>
      </c>
      <c r="D63" s="150" t="str">
        <f>IF(A63="","",VLOOKUP(A63,'Job Operations'!$A:$Z,5,FALSE))</f>
        <v/>
      </c>
      <c r="E63" s="150" t="str">
        <f>IF(A63="","",VLOOKUP(A63,'Job Operations'!$A:$Z,6,FALSE))</f>
        <v/>
      </c>
      <c r="F63" s="150" t="str">
        <f>IF(A63="","",VLOOKUP(A63,'Job Operations'!$A:$Z,7,FALSE))</f>
        <v/>
      </c>
      <c r="G63" s="151" t="str">
        <f>IF(A63="","",VLOOKUP(A63,'Job Operations'!$A:$Z,9,FALSE))</f>
        <v/>
      </c>
      <c r="H63" s="150" t="str">
        <f>IF(A63="","",VLOOKUP(A63,'Job Operations'!$A:$Z,12,FALSE))</f>
        <v/>
      </c>
      <c r="I63" s="150" t="str">
        <f>IF(A63="","",IF(VLOOKUP(A63,'Job Operations'!$A:$Z,12,FALSE)="Shear",ROW()-6&amp;IF(OR(MOD(ROW()-6,10)=1,MOD(ROW()-6,10)=2,MOD(ROW()-6,10)=3),CHOOSE(MOD(ROW()-6,10),"st","nd","rd"),"th"),"#"&amp;(ROW()-6)&amp;" on Shear"))</f>
        <v/>
      </c>
      <c r="J63" s="151" t="str">
        <f>IF(A63="","",IFERROR(IF(VLOOKUP(A63,'Job Operations'!$A:$Z,13,FALSE)="Shear",VLOOKUP(A63,'Job Operations'!$A:$Z,14,FALSE),IF(VLOOKUP(A63,'Job Operations'!$A:$Z,15,FALSE)="Shear",VLOOKUP(A63,'Job Operations'!$A:$Z,16,FALSE),IF(VLOOKUP(A63,'Job Operations'!$A:$Z,17,FALSE)="Shear",VLOOKUP(A63,'Job Operations'!$A:$Z,18,FALSE),VLOOKUP(A63,'Job Operations'!$A:$Z,14,FALSE)))),""))</f>
        <v/>
      </c>
      <c r="K63" s="150" t="str">
        <f>IF(A63="","",IFERROR(IF(VLOOKUP(A63,'Job Operations'!$A:$Z,13,FALSE)="Shear",VLOOKUP(A63,'Job Operations'!$A:$Z,15,FALSE),IF(VLOOKUP(A63,'Job Operations'!$A:$Z,15,FALSE)="Shear",VLOOKUP(A63,'Job Operations'!$A:$Z,17,FALSE),VLOOKUP(A63,'Job Operations'!$A:$Z,15,FALSE))),""))</f>
        <v/>
      </c>
      <c r="L63" s="150" t="str">
        <f>IF(A63="","",IFERROR(IF(VLOOKUP(A63,'Job Operations'!$A:$Z,13,FALSE)="Shear",VLOOKUP(A63,'Job Operations'!$A:$Z,17,FALSE),IF(VLOOKUP(A63,'Job Operations'!$A:$Z,15,FALSE)="Shear",VLOOKUP(A63,'Job Operations'!$A:$Z,19,FALSE),VLOOKUP(A63,'Job Operations'!$A:$Z,17,FALSE))),""))</f>
        <v/>
      </c>
      <c r="M63" s="152" t="str">
        <f>IF(A63="","",IFERROR(IF(VLOOKUP(A63,Notes!A:B,2,FALSE)=0,"",VLOOKUP(A63,Notes!A:B,2,FALSE)),""))</f>
        <v/>
      </c>
    </row>
    <row r="64" spans="1:13" s="140" customFormat="1" x14ac:dyDescent="0.25">
      <c r="A64" s="145"/>
      <c r="B64" s="146" t="str">
        <f>IF(A64="","",VLOOKUP(A64,'Job Operations'!$A:$Z,2,FALSE))</f>
        <v/>
      </c>
      <c r="C64" s="146" t="str">
        <f>IF(A64="","",VLOOKUP(A64,'Job Operations'!$A:$Z,3,FALSE))</f>
        <v/>
      </c>
      <c r="D64" s="146" t="str">
        <f>IF(A64="","",VLOOKUP(A64,'Job Operations'!$A:$Z,5,FALSE))</f>
        <v/>
      </c>
      <c r="E64" s="146" t="str">
        <f>IF(A64="","",VLOOKUP(A64,'Job Operations'!$A:$Z,6,FALSE))</f>
        <v/>
      </c>
      <c r="F64" s="146" t="str">
        <f>IF(A64="","",VLOOKUP(A64,'Job Operations'!$A:$Z,7,FALSE))</f>
        <v/>
      </c>
      <c r="G64" s="147" t="str">
        <f>IF(A64="","",VLOOKUP(A64,'Job Operations'!$A:$Z,9,FALSE))</f>
        <v/>
      </c>
      <c r="H64" s="146" t="str">
        <f>IF(A64="","",VLOOKUP(A64,'Job Operations'!$A:$Z,12,FALSE))</f>
        <v/>
      </c>
      <c r="I64" s="146" t="str">
        <f>IF(A64="","",IF(VLOOKUP(A64,'Job Operations'!$A:$Z,12,FALSE)="Shear",ROW()-6&amp;IF(OR(MOD(ROW()-6,10)=1,MOD(ROW()-6,10)=2,MOD(ROW()-6,10)=3),CHOOSE(MOD(ROW()-6,10),"st","nd","rd"),"th"),"#"&amp;(ROW()-6)&amp;" on Shear"))</f>
        <v/>
      </c>
      <c r="J64" s="147" t="str">
        <f>IF(A64="","",IFERROR(IF(VLOOKUP(A64,'Job Operations'!$A:$Z,13,FALSE)="Shear",VLOOKUP(A64,'Job Operations'!$A:$Z,14,FALSE),IF(VLOOKUP(A64,'Job Operations'!$A:$Z,15,FALSE)="Shear",VLOOKUP(A64,'Job Operations'!$A:$Z,16,FALSE),IF(VLOOKUP(A64,'Job Operations'!$A:$Z,17,FALSE)="Shear",VLOOKUP(A64,'Job Operations'!$A:$Z,18,FALSE),VLOOKUP(A64,'Job Operations'!$A:$Z,14,FALSE)))),""))</f>
        <v/>
      </c>
      <c r="K64" s="146" t="str">
        <f>IF(A64="","",IFERROR(IF(VLOOKUP(A64,'Job Operations'!$A:$Z,13,FALSE)="Shear",VLOOKUP(A64,'Job Operations'!$A:$Z,15,FALSE),IF(VLOOKUP(A64,'Job Operations'!$A:$Z,15,FALSE)="Shear",VLOOKUP(A64,'Job Operations'!$A:$Z,17,FALSE),VLOOKUP(A64,'Job Operations'!$A:$Z,15,FALSE))),""))</f>
        <v/>
      </c>
      <c r="L64" s="146" t="str">
        <f>IF(A64="","",IFERROR(IF(VLOOKUP(A64,'Job Operations'!$A:$Z,13,FALSE)="Shear",VLOOKUP(A64,'Job Operations'!$A:$Z,17,FALSE),IF(VLOOKUP(A64,'Job Operations'!$A:$Z,15,FALSE)="Shear",VLOOKUP(A64,'Job Operations'!$A:$Z,19,FALSE),VLOOKUP(A64,'Job Operations'!$A:$Z,17,FALSE))),""))</f>
        <v/>
      </c>
      <c r="M64" s="148" t="str">
        <f>IF(A64="","",IFERROR(IF(VLOOKUP(A64,Notes!A:B,2,FALSE)=0,"",VLOOKUP(A64,Notes!A:B,2,FALSE)),""))</f>
        <v/>
      </c>
    </row>
    <row r="65" spans="1:13" s="140" customFormat="1" x14ac:dyDescent="0.25">
      <c r="A65" s="149"/>
      <c r="B65" s="150" t="str">
        <f>IF(A65="","",VLOOKUP(A65,'Job Operations'!$A:$Z,2,FALSE))</f>
        <v/>
      </c>
      <c r="C65" s="150" t="str">
        <f>IF(A65="","",VLOOKUP(A65,'Job Operations'!$A:$Z,3,FALSE))</f>
        <v/>
      </c>
      <c r="D65" s="150" t="str">
        <f>IF(A65="","",VLOOKUP(A65,'Job Operations'!$A:$Z,5,FALSE))</f>
        <v/>
      </c>
      <c r="E65" s="150" t="str">
        <f>IF(A65="","",VLOOKUP(A65,'Job Operations'!$A:$Z,6,FALSE))</f>
        <v/>
      </c>
      <c r="F65" s="150" t="str">
        <f>IF(A65="","",VLOOKUP(A65,'Job Operations'!$A:$Z,7,FALSE))</f>
        <v/>
      </c>
      <c r="G65" s="151" t="str">
        <f>IF(A65="","",VLOOKUP(A65,'Job Operations'!$A:$Z,9,FALSE))</f>
        <v/>
      </c>
      <c r="H65" s="150" t="str">
        <f>IF(A65="","",VLOOKUP(A65,'Job Operations'!$A:$Z,12,FALSE))</f>
        <v/>
      </c>
      <c r="I65" s="150" t="str">
        <f>IF(A65="","",IF(VLOOKUP(A65,'Job Operations'!$A:$Z,12,FALSE)="Shear",ROW()-6&amp;IF(OR(MOD(ROW()-6,10)=1,MOD(ROW()-6,10)=2,MOD(ROW()-6,10)=3),CHOOSE(MOD(ROW()-6,10),"st","nd","rd"),"th"),"#"&amp;(ROW()-6)&amp;" on Shear"))</f>
        <v/>
      </c>
      <c r="J65" s="151" t="str">
        <f>IF(A65="","",IFERROR(IF(VLOOKUP(A65,'Job Operations'!$A:$Z,13,FALSE)="Shear",VLOOKUP(A65,'Job Operations'!$A:$Z,14,FALSE),IF(VLOOKUP(A65,'Job Operations'!$A:$Z,15,FALSE)="Shear",VLOOKUP(A65,'Job Operations'!$A:$Z,16,FALSE),IF(VLOOKUP(A65,'Job Operations'!$A:$Z,17,FALSE)="Shear",VLOOKUP(A65,'Job Operations'!$A:$Z,18,FALSE),VLOOKUP(A65,'Job Operations'!$A:$Z,14,FALSE)))),""))</f>
        <v/>
      </c>
      <c r="K65" s="150" t="str">
        <f>IF(A65="","",IFERROR(IF(VLOOKUP(A65,'Job Operations'!$A:$Z,13,FALSE)="Shear",VLOOKUP(A65,'Job Operations'!$A:$Z,15,FALSE),IF(VLOOKUP(A65,'Job Operations'!$A:$Z,15,FALSE)="Shear",VLOOKUP(A65,'Job Operations'!$A:$Z,17,FALSE),VLOOKUP(A65,'Job Operations'!$A:$Z,15,FALSE))),""))</f>
        <v/>
      </c>
      <c r="L65" s="150" t="str">
        <f>IF(A65="","",IFERROR(IF(VLOOKUP(A65,'Job Operations'!$A:$Z,13,FALSE)="Shear",VLOOKUP(A65,'Job Operations'!$A:$Z,17,FALSE),IF(VLOOKUP(A65,'Job Operations'!$A:$Z,15,FALSE)="Shear",VLOOKUP(A65,'Job Operations'!$A:$Z,19,FALSE),VLOOKUP(A65,'Job Operations'!$A:$Z,17,FALSE))),""))</f>
        <v/>
      </c>
      <c r="M65" s="152" t="str">
        <f>IF(A65="","",IFERROR(IF(VLOOKUP(A65,Notes!A:B,2,FALSE)=0,"",VLOOKUP(A65,Notes!A:B,2,FALSE)),""))</f>
        <v/>
      </c>
    </row>
    <row r="66" spans="1:13" s="140" customFormat="1" x14ac:dyDescent="0.25">
      <c r="A66" s="145"/>
      <c r="B66" s="146" t="str">
        <f>IF(A66="","",VLOOKUP(A66,'Job Operations'!$A:$Z,2,FALSE))</f>
        <v/>
      </c>
      <c r="C66" s="146" t="str">
        <f>IF(A66="","",VLOOKUP(A66,'Job Operations'!$A:$Z,3,FALSE))</f>
        <v/>
      </c>
      <c r="D66" s="146" t="str">
        <f>IF(A66="","",VLOOKUP(A66,'Job Operations'!$A:$Z,5,FALSE))</f>
        <v/>
      </c>
      <c r="E66" s="146" t="str">
        <f>IF(A66="","",VLOOKUP(A66,'Job Operations'!$A:$Z,6,FALSE))</f>
        <v/>
      </c>
      <c r="F66" s="146" t="str">
        <f>IF(A66="","",VLOOKUP(A66,'Job Operations'!$A:$Z,7,FALSE))</f>
        <v/>
      </c>
      <c r="G66" s="147" t="str">
        <f>IF(A66="","",VLOOKUP(A66,'Job Operations'!$A:$Z,9,FALSE))</f>
        <v/>
      </c>
      <c r="H66" s="146" t="str">
        <f>IF(A66="","",VLOOKUP(A66,'Job Operations'!$A:$Z,12,FALSE))</f>
        <v/>
      </c>
      <c r="I66" s="146" t="str">
        <f>IF(A66="","",IF(VLOOKUP(A66,'Job Operations'!$A:$Z,12,FALSE)="Shear",ROW()-6&amp;IF(OR(MOD(ROW()-6,10)=1,MOD(ROW()-6,10)=2,MOD(ROW()-6,10)=3),CHOOSE(MOD(ROW()-6,10),"st","nd","rd"),"th"),"#"&amp;(ROW()-6)&amp;" on Shear"))</f>
        <v/>
      </c>
      <c r="J66" s="147" t="str">
        <f>IF(A66="","",IFERROR(IF(VLOOKUP(A66,'Job Operations'!$A:$Z,13,FALSE)="Shear",VLOOKUP(A66,'Job Operations'!$A:$Z,14,FALSE),IF(VLOOKUP(A66,'Job Operations'!$A:$Z,15,FALSE)="Shear",VLOOKUP(A66,'Job Operations'!$A:$Z,16,FALSE),IF(VLOOKUP(A66,'Job Operations'!$A:$Z,17,FALSE)="Shear",VLOOKUP(A66,'Job Operations'!$A:$Z,18,FALSE),VLOOKUP(A66,'Job Operations'!$A:$Z,14,FALSE)))),""))</f>
        <v/>
      </c>
      <c r="K66" s="146" t="str">
        <f>IF(A66="","",IFERROR(IF(VLOOKUP(A66,'Job Operations'!$A:$Z,13,FALSE)="Shear",VLOOKUP(A66,'Job Operations'!$A:$Z,15,FALSE),IF(VLOOKUP(A66,'Job Operations'!$A:$Z,15,FALSE)="Shear",VLOOKUP(A66,'Job Operations'!$A:$Z,17,FALSE),VLOOKUP(A66,'Job Operations'!$A:$Z,15,FALSE))),""))</f>
        <v/>
      </c>
      <c r="L66" s="146" t="str">
        <f>IF(A66="","",IFERROR(IF(VLOOKUP(A66,'Job Operations'!$A:$Z,13,FALSE)="Shear",VLOOKUP(A66,'Job Operations'!$A:$Z,17,FALSE),IF(VLOOKUP(A66,'Job Operations'!$A:$Z,15,FALSE)="Shear",VLOOKUP(A66,'Job Operations'!$A:$Z,19,FALSE),VLOOKUP(A66,'Job Operations'!$A:$Z,17,FALSE))),""))</f>
        <v/>
      </c>
      <c r="M66" s="148" t="str">
        <f>IF(A66="","",IFERROR(IF(VLOOKUP(A66,Notes!A:B,2,FALSE)=0,"",VLOOKUP(A66,Notes!A:B,2,FALSE)),""))</f>
        <v/>
      </c>
    </row>
    <row r="67" spans="1:13" s="140" customFormat="1" x14ac:dyDescent="0.25">
      <c r="A67" s="149"/>
      <c r="B67" s="150" t="str">
        <f>IF(A67="","",VLOOKUP(A67,'Job Operations'!$A:$Z,2,FALSE))</f>
        <v/>
      </c>
      <c r="C67" s="150" t="str">
        <f>IF(A67="","",VLOOKUP(A67,'Job Operations'!$A:$Z,3,FALSE))</f>
        <v/>
      </c>
      <c r="D67" s="150" t="str">
        <f>IF(A67="","",VLOOKUP(A67,'Job Operations'!$A:$Z,5,FALSE))</f>
        <v/>
      </c>
      <c r="E67" s="150" t="str">
        <f>IF(A67="","",VLOOKUP(A67,'Job Operations'!$A:$Z,6,FALSE))</f>
        <v/>
      </c>
      <c r="F67" s="150" t="str">
        <f>IF(A67="","",VLOOKUP(A67,'Job Operations'!$A:$Z,7,FALSE))</f>
        <v/>
      </c>
      <c r="G67" s="151" t="str">
        <f>IF(A67="","",VLOOKUP(A67,'Job Operations'!$A:$Z,9,FALSE))</f>
        <v/>
      </c>
      <c r="H67" s="150" t="str">
        <f>IF(A67="","",VLOOKUP(A67,'Job Operations'!$A:$Z,12,FALSE))</f>
        <v/>
      </c>
      <c r="I67" s="150" t="str">
        <f>IF(A67="","",IF(VLOOKUP(A67,'Job Operations'!$A:$Z,12,FALSE)="Shear",ROW()-6&amp;IF(OR(MOD(ROW()-6,10)=1,MOD(ROW()-6,10)=2,MOD(ROW()-6,10)=3),CHOOSE(MOD(ROW()-6,10),"st","nd","rd"),"th"),"#"&amp;(ROW()-6)&amp;" on Shear"))</f>
        <v/>
      </c>
      <c r="J67" s="151" t="str">
        <f>IF(A67="","",IFERROR(IF(VLOOKUP(A67,'Job Operations'!$A:$Z,13,FALSE)="Shear",VLOOKUP(A67,'Job Operations'!$A:$Z,14,FALSE),IF(VLOOKUP(A67,'Job Operations'!$A:$Z,15,FALSE)="Shear",VLOOKUP(A67,'Job Operations'!$A:$Z,16,FALSE),IF(VLOOKUP(A67,'Job Operations'!$A:$Z,17,FALSE)="Shear",VLOOKUP(A67,'Job Operations'!$A:$Z,18,FALSE),VLOOKUP(A67,'Job Operations'!$A:$Z,14,FALSE)))),""))</f>
        <v/>
      </c>
      <c r="K67" s="150" t="str">
        <f>IF(A67="","",IFERROR(IF(VLOOKUP(A67,'Job Operations'!$A:$Z,13,FALSE)="Shear",VLOOKUP(A67,'Job Operations'!$A:$Z,15,FALSE),IF(VLOOKUP(A67,'Job Operations'!$A:$Z,15,FALSE)="Shear",VLOOKUP(A67,'Job Operations'!$A:$Z,17,FALSE),VLOOKUP(A67,'Job Operations'!$A:$Z,15,FALSE))),""))</f>
        <v/>
      </c>
      <c r="L67" s="150" t="str">
        <f>IF(A67="","",IFERROR(IF(VLOOKUP(A67,'Job Operations'!$A:$Z,13,FALSE)="Shear",VLOOKUP(A67,'Job Operations'!$A:$Z,17,FALSE),IF(VLOOKUP(A67,'Job Operations'!$A:$Z,15,FALSE)="Shear",VLOOKUP(A67,'Job Operations'!$A:$Z,19,FALSE),VLOOKUP(A67,'Job Operations'!$A:$Z,17,FALSE))),""))</f>
        <v/>
      </c>
      <c r="M67" s="152" t="str">
        <f>IF(A67="","",IFERROR(IF(VLOOKUP(A67,Notes!A:B,2,FALSE)=0,"",VLOOKUP(A67,Notes!A:B,2,FALSE)),""))</f>
        <v/>
      </c>
    </row>
    <row r="68" spans="1:13" s="140" customFormat="1" x14ac:dyDescent="0.25">
      <c r="A68" s="145"/>
      <c r="B68" s="146" t="str">
        <f>IF(A68="","",VLOOKUP(A68,'Job Operations'!$A:$Z,2,FALSE))</f>
        <v/>
      </c>
      <c r="C68" s="146" t="str">
        <f>IF(A68="","",VLOOKUP(A68,'Job Operations'!$A:$Z,3,FALSE))</f>
        <v/>
      </c>
      <c r="D68" s="146" t="str">
        <f>IF(A68="","",VLOOKUP(A68,'Job Operations'!$A:$Z,5,FALSE))</f>
        <v/>
      </c>
      <c r="E68" s="146" t="str">
        <f>IF(A68="","",VLOOKUP(A68,'Job Operations'!$A:$Z,6,FALSE))</f>
        <v/>
      </c>
      <c r="F68" s="146" t="str">
        <f>IF(A68="","",VLOOKUP(A68,'Job Operations'!$A:$Z,7,FALSE))</f>
        <v/>
      </c>
      <c r="G68" s="147" t="str">
        <f>IF(A68="","",VLOOKUP(A68,'Job Operations'!$A:$Z,9,FALSE))</f>
        <v/>
      </c>
      <c r="H68" s="146" t="str">
        <f>IF(A68="","",VLOOKUP(A68,'Job Operations'!$A:$Z,12,FALSE))</f>
        <v/>
      </c>
      <c r="I68" s="146" t="str">
        <f>IF(A68="","",IF(VLOOKUP(A68,'Job Operations'!$A:$Z,12,FALSE)="Shear",ROW()-6&amp;IF(OR(MOD(ROW()-6,10)=1,MOD(ROW()-6,10)=2,MOD(ROW()-6,10)=3),CHOOSE(MOD(ROW()-6,10),"st","nd","rd"),"th"),"#"&amp;(ROW()-6)&amp;" on Shear"))</f>
        <v/>
      </c>
      <c r="J68" s="147" t="str">
        <f>IF(A68="","",IFERROR(IF(VLOOKUP(A68,'Job Operations'!$A:$Z,13,FALSE)="Shear",VLOOKUP(A68,'Job Operations'!$A:$Z,14,FALSE),IF(VLOOKUP(A68,'Job Operations'!$A:$Z,15,FALSE)="Shear",VLOOKUP(A68,'Job Operations'!$A:$Z,16,FALSE),IF(VLOOKUP(A68,'Job Operations'!$A:$Z,17,FALSE)="Shear",VLOOKUP(A68,'Job Operations'!$A:$Z,18,FALSE),VLOOKUP(A68,'Job Operations'!$A:$Z,14,FALSE)))),""))</f>
        <v/>
      </c>
      <c r="K68" s="146" t="str">
        <f>IF(A68="","",IFERROR(IF(VLOOKUP(A68,'Job Operations'!$A:$Z,13,FALSE)="Shear",VLOOKUP(A68,'Job Operations'!$A:$Z,15,FALSE),IF(VLOOKUP(A68,'Job Operations'!$A:$Z,15,FALSE)="Shear",VLOOKUP(A68,'Job Operations'!$A:$Z,17,FALSE),VLOOKUP(A68,'Job Operations'!$A:$Z,15,FALSE))),""))</f>
        <v/>
      </c>
      <c r="L68" s="146" t="str">
        <f>IF(A68="","",IFERROR(IF(VLOOKUP(A68,'Job Operations'!$A:$Z,13,FALSE)="Shear",VLOOKUP(A68,'Job Operations'!$A:$Z,17,FALSE),IF(VLOOKUP(A68,'Job Operations'!$A:$Z,15,FALSE)="Shear",VLOOKUP(A68,'Job Operations'!$A:$Z,19,FALSE),VLOOKUP(A68,'Job Operations'!$A:$Z,17,FALSE))),""))</f>
        <v/>
      </c>
      <c r="M68" s="148" t="str">
        <f>IF(A68="","",IFERROR(IF(VLOOKUP(A68,Notes!A:B,2,FALSE)=0,"",VLOOKUP(A68,Notes!A:B,2,FALSE)),""))</f>
        <v/>
      </c>
    </row>
    <row r="69" spans="1:13" s="140" customFormat="1" x14ac:dyDescent="0.25">
      <c r="A69" s="149"/>
      <c r="B69" s="150" t="str">
        <f>IF(A69="","",VLOOKUP(A69,'Job Operations'!$A:$Z,2,FALSE))</f>
        <v/>
      </c>
      <c r="C69" s="150" t="str">
        <f>IF(A69="","",VLOOKUP(A69,'Job Operations'!$A:$Z,3,FALSE))</f>
        <v/>
      </c>
      <c r="D69" s="150" t="str">
        <f>IF(A69="","",VLOOKUP(A69,'Job Operations'!$A:$Z,5,FALSE))</f>
        <v/>
      </c>
      <c r="E69" s="150" t="str">
        <f>IF(A69="","",VLOOKUP(A69,'Job Operations'!$A:$Z,6,FALSE))</f>
        <v/>
      </c>
      <c r="F69" s="150" t="str">
        <f>IF(A69="","",VLOOKUP(A69,'Job Operations'!$A:$Z,7,FALSE))</f>
        <v/>
      </c>
      <c r="G69" s="151" t="str">
        <f>IF(A69="","",VLOOKUP(A69,'Job Operations'!$A:$Z,9,FALSE))</f>
        <v/>
      </c>
      <c r="H69" s="150" t="str">
        <f>IF(A69="","",VLOOKUP(A69,'Job Operations'!$A:$Z,12,FALSE))</f>
        <v/>
      </c>
      <c r="I69" s="150" t="str">
        <f>IF(A69="","",IF(VLOOKUP(A69,'Job Operations'!$A:$Z,12,FALSE)="Shear",ROW()-6&amp;IF(OR(MOD(ROW()-6,10)=1,MOD(ROW()-6,10)=2,MOD(ROW()-6,10)=3),CHOOSE(MOD(ROW()-6,10),"st","nd","rd"),"th"),"#"&amp;(ROW()-6)&amp;" on Shear"))</f>
        <v/>
      </c>
      <c r="J69" s="151" t="str">
        <f>IF(A69="","",IFERROR(IF(VLOOKUP(A69,'Job Operations'!$A:$Z,13,FALSE)="Shear",VLOOKUP(A69,'Job Operations'!$A:$Z,14,FALSE),IF(VLOOKUP(A69,'Job Operations'!$A:$Z,15,FALSE)="Shear",VLOOKUP(A69,'Job Operations'!$A:$Z,16,FALSE),IF(VLOOKUP(A69,'Job Operations'!$A:$Z,17,FALSE)="Shear",VLOOKUP(A69,'Job Operations'!$A:$Z,18,FALSE),VLOOKUP(A69,'Job Operations'!$A:$Z,14,FALSE)))),""))</f>
        <v/>
      </c>
      <c r="K69" s="150" t="str">
        <f>IF(A69="","",IFERROR(IF(VLOOKUP(A69,'Job Operations'!$A:$Z,13,FALSE)="Shear",VLOOKUP(A69,'Job Operations'!$A:$Z,15,FALSE),IF(VLOOKUP(A69,'Job Operations'!$A:$Z,15,FALSE)="Shear",VLOOKUP(A69,'Job Operations'!$A:$Z,17,FALSE),VLOOKUP(A69,'Job Operations'!$A:$Z,15,FALSE))),""))</f>
        <v/>
      </c>
      <c r="L69" s="150" t="str">
        <f>IF(A69="","",IFERROR(IF(VLOOKUP(A69,'Job Operations'!$A:$Z,13,FALSE)="Shear",VLOOKUP(A69,'Job Operations'!$A:$Z,17,FALSE),IF(VLOOKUP(A69,'Job Operations'!$A:$Z,15,FALSE)="Shear",VLOOKUP(A69,'Job Operations'!$A:$Z,19,FALSE),VLOOKUP(A69,'Job Operations'!$A:$Z,17,FALSE))),""))</f>
        <v/>
      </c>
      <c r="M69" s="152" t="str">
        <f>IF(A69="","",IFERROR(IF(VLOOKUP(A69,Notes!A:B,2,FALSE)=0,"",VLOOKUP(A69,Notes!A:B,2,FALSE)),""))</f>
        <v/>
      </c>
    </row>
    <row r="70" spans="1:13" s="140" customFormat="1" x14ac:dyDescent="0.25">
      <c r="A70" s="145"/>
      <c r="B70" s="146" t="str">
        <f>IF(A70="","",VLOOKUP(A70,'Job Operations'!$A:$Z,2,FALSE))</f>
        <v/>
      </c>
      <c r="C70" s="146" t="str">
        <f>IF(A70="","",VLOOKUP(A70,'Job Operations'!$A:$Z,3,FALSE))</f>
        <v/>
      </c>
      <c r="D70" s="146" t="str">
        <f>IF(A70="","",VLOOKUP(A70,'Job Operations'!$A:$Z,5,FALSE))</f>
        <v/>
      </c>
      <c r="E70" s="146" t="str">
        <f>IF(A70="","",VLOOKUP(A70,'Job Operations'!$A:$Z,6,FALSE))</f>
        <v/>
      </c>
      <c r="F70" s="146" t="str">
        <f>IF(A70="","",VLOOKUP(A70,'Job Operations'!$A:$Z,7,FALSE))</f>
        <v/>
      </c>
      <c r="G70" s="147" t="str">
        <f>IF(A70="","",VLOOKUP(A70,'Job Operations'!$A:$Z,9,FALSE))</f>
        <v/>
      </c>
      <c r="H70" s="146" t="str">
        <f>IF(A70="","",VLOOKUP(A70,'Job Operations'!$A:$Z,12,FALSE))</f>
        <v/>
      </c>
      <c r="I70" s="146" t="str">
        <f>IF(A70="","",IF(VLOOKUP(A70,'Job Operations'!$A:$Z,12,FALSE)="Shear",ROW()-6&amp;IF(OR(MOD(ROW()-6,10)=1,MOD(ROW()-6,10)=2,MOD(ROW()-6,10)=3),CHOOSE(MOD(ROW()-6,10),"st","nd","rd"),"th"),"#"&amp;(ROW()-6)&amp;" on Shear"))</f>
        <v/>
      </c>
      <c r="J70" s="147" t="str">
        <f>IF(A70="","",IFERROR(IF(VLOOKUP(A70,'Job Operations'!$A:$Z,13,FALSE)="Shear",VLOOKUP(A70,'Job Operations'!$A:$Z,14,FALSE),IF(VLOOKUP(A70,'Job Operations'!$A:$Z,15,FALSE)="Shear",VLOOKUP(A70,'Job Operations'!$A:$Z,16,FALSE),IF(VLOOKUP(A70,'Job Operations'!$A:$Z,17,FALSE)="Shear",VLOOKUP(A70,'Job Operations'!$A:$Z,18,FALSE),VLOOKUP(A70,'Job Operations'!$A:$Z,14,FALSE)))),""))</f>
        <v/>
      </c>
      <c r="K70" s="146" t="str">
        <f>IF(A70="","",IFERROR(IF(VLOOKUP(A70,'Job Operations'!$A:$Z,13,FALSE)="Shear",VLOOKUP(A70,'Job Operations'!$A:$Z,15,FALSE),IF(VLOOKUP(A70,'Job Operations'!$A:$Z,15,FALSE)="Shear",VLOOKUP(A70,'Job Operations'!$A:$Z,17,FALSE),VLOOKUP(A70,'Job Operations'!$A:$Z,15,FALSE))),""))</f>
        <v/>
      </c>
      <c r="L70" s="146" t="str">
        <f>IF(A70="","",IFERROR(IF(VLOOKUP(A70,'Job Operations'!$A:$Z,13,FALSE)="Shear",VLOOKUP(A70,'Job Operations'!$A:$Z,17,FALSE),IF(VLOOKUP(A70,'Job Operations'!$A:$Z,15,FALSE)="Shear",VLOOKUP(A70,'Job Operations'!$A:$Z,19,FALSE),VLOOKUP(A70,'Job Operations'!$A:$Z,17,FALSE))),""))</f>
        <v/>
      </c>
      <c r="M70" s="148" t="str">
        <f>IF(A70="","",IFERROR(IF(VLOOKUP(A70,Notes!A:B,2,FALSE)=0,"",VLOOKUP(A70,Notes!A:B,2,FALSE)),""))</f>
        <v/>
      </c>
    </row>
    <row r="71" spans="1:13" s="140" customFormat="1" x14ac:dyDescent="0.25">
      <c r="A71" s="149"/>
      <c r="B71" s="150" t="str">
        <f>IF(A71="","",VLOOKUP(A71,'Job Operations'!$A:$Z,2,FALSE))</f>
        <v/>
      </c>
      <c r="C71" s="150" t="str">
        <f>IF(A71="","",VLOOKUP(A71,'Job Operations'!$A:$Z,3,FALSE))</f>
        <v/>
      </c>
      <c r="D71" s="150" t="str">
        <f>IF(A71="","",VLOOKUP(A71,'Job Operations'!$A:$Z,5,FALSE))</f>
        <v/>
      </c>
      <c r="E71" s="150" t="str">
        <f>IF(A71="","",VLOOKUP(A71,'Job Operations'!$A:$Z,6,FALSE))</f>
        <v/>
      </c>
      <c r="F71" s="150" t="str">
        <f>IF(A71="","",VLOOKUP(A71,'Job Operations'!$A:$Z,7,FALSE))</f>
        <v/>
      </c>
      <c r="G71" s="151" t="str">
        <f>IF(A71="","",VLOOKUP(A71,'Job Operations'!$A:$Z,9,FALSE))</f>
        <v/>
      </c>
      <c r="H71" s="150" t="str">
        <f>IF(A71="","",VLOOKUP(A71,'Job Operations'!$A:$Z,12,FALSE))</f>
        <v/>
      </c>
      <c r="I71" s="150" t="str">
        <f>IF(A71="","",IF(VLOOKUP(A71,'Job Operations'!$A:$Z,12,FALSE)="Shear",ROW()-6&amp;IF(OR(MOD(ROW()-6,10)=1,MOD(ROW()-6,10)=2,MOD(ROW()-6,10)=3),CHOOSE(MOD(ROW()-6,10),"st","nd","rd"),"th"),"#"&amp;(ROW()-6)&amp;" on Shear"))</f>
        <v/>
      </c>
      <c r="J71" s="151" t="str">
        <f>IF(A71="","",IFERROR(IF(VLOOKUP(A71,'Job Operations'!$A:$Z,13,FALSE)="Shear",VLOOKUP(A71,'Job Operations'!$A:$Z,14,FALSE),IF(VLOOKUP(A71,'Job Operations'!$A:$Z,15,FALSE)="Shear",VLOOKUP(A71,'Job Operations'!$A:$Z,16,FALSE),IF(VLOOKUP(A71,'Job Operations'!$A:$Z,17,FALSE)="Shear",VLOOKUP(A71,'Job Operations'!$A:$Z,18,FALSE),VLOOKUP(A71,'Job Operations'!$A:$Z,14,FALSE)))),""))</f>
        <v/>
      </c>
      <c r="K71" s="150" t="str">
        <f>IF(A71="","",IFERROR(IF(VLOOKUP(A71,'Job Operations'!$A:$Z,13,FALSE)="Shear",VLOOKUP(A71,'Job Operations'!$A:$Z,15,FALSE),IF(VLOOKUP(A71,'Job Operations'!$A:$Z,15,FALSE)="Shear",VLOOKUP(A71,'Job Operations'!$A:$Z,17,FALSE),VLOOKUP(A71,'Job Operations'!$A:$Z,15,FALSE))),""))</f>
        <v/>
      </c>
      <c r="L71" s="150" t="str">
        <f>IF(A71="","",IFERROR(IF(VLOOKUP(A71,'Job Operations'!$A:$Z,13,FALSE)="Shear",VLOOKUP(A71,'Job Operations'!$A:$Z,17,FALSE),IF(VLOOKUP(A71,'Job Operations'!$A:$Z,15,FALSE)="Shear",VLOOKUP(A71,'Job Operations'!$A:$Z,19,FALSE),VLOOKUP(A71,'Job Operations'!$A:$Z,17,FALSE))),""))</f>
        <v/>
      </c>
      <c r="M71" s="152" t="str">
        <f>IF(A71="","",IFERROR(IF(VLOOKUP(A71,Notes!A:B,2,FALSE)=0,"",VLOOKUP(A71,Notes!A:B,2,FALSE)),""))</f>
        <v/>
      </c>
    </row>
    <row r="72" spans="1:13" s="140" customFormat="1" x14ac:dyDescent="0.25">
      <c r="A72" s="145"/>
      <c r="B72" s="146" t="str">
        <f>IF(A72="","",VLOOKUP(A72,'Job Operations'!$A:$Z,2,FALSE))</f>
        <v/>
      </c>
      <c r="C72" s="146" t="str">
        <f>IF(A72="","",VLOOKUP(A72,'Job Operations'!$A:$Z,3,FALSE))</f>
        <v/>
      </c>
      <c r="D72" s="146" t="str">
        <f>IF(A72="","",VLOOKUP(A72,'Job Operations'!$A:$Z,5,FALSE))</f>
        <v/>
      </c>
      <c r="E72" s="146" t="str">
        <f>IF(A72="","",VLOOKUP(A72,'Job Operations'!$A:$Z,6,FALSE))</f>
        <v/>
      </c>
      <c r="F72" s="146" t="str">
        <f>IF(A72="","",VLOOKUP(A72,'Job Operations'!$A:$Z,7,FALSE))</f>
        <v/>
      </c>
      <c r="G72" s="147" t="str">
        <f>IF(A72="","",VLOOKUP(A72,'Job Operations'!$A:$Z,9,FALSE))</f>
        <v/>
      </c>
      <c r="H72" s="146" t="str">
        <f>IF(A72="","",VLOOKUP(A72,'Job Operations'!$A:$Z,12,FALSE))</f>
        <v/>
      </c>
      <c r="I72" s="146" t="str">
        <f>IF(A72="","",IF(VLOOKUP(A72,'Job Operations'!$A:$Z,12,FALSE)="Shear",ROW()-6&amp;IF(OR(MOD(ROW()-6,10)=1,MOD(ROW()-6,10)=2,MOD(ROW()-6,10)=3),CHOOSE(MOD(ROW()-6,10),"st","nd","rd"),"th"),"#"&amp;(ROW()-6)&amp;" on Shear"))</f>
        <v/>
      </c>
      <c r="J72" s="147" t="str">
        <f>IF(A72="","",IFERROR(IF(VLOOKUP(A72,'Job Operations'!$A:$Z,13,FALSE)="Shear",VLOOKUP(A72,'Job Operations'!$A:$Z,14,FALSE),IF(VLOOKUP(A72,'Job Operations'!$A:$Z,15,FALSE)="Shear",VLOOKUP(A72,'Job Operations'!$A:$Z,16,FALSE),IF(VLOOKUP(A72,'Job Operations'!$A:$Z,17,FALSE)="Shear",VLOOKUP(A72,'Job Operations'!$A:$Z,18,FALSE),VLOOKUP(A72,'Job Operations'!$A:$Z,14,FALSE)))),""))</f>
        <v/>
      </c>
      <c r="K72" s="146" t="str">
        <f>IF(A72="","",IFERROR(IF(VLOOKUP(A72,'Job Operations'!$A:$Z,13,FALSE)="Shear",VLOOKUP(A72,'Job Operations'!$A:$Z,15,FALSE),IF(VLOOKUP(A72,'Job Operations'!$A:$Z,15,FALSE)="Shear",VLOOKUP(A72,'Job Operations'!$A:$Z,17,FALSE),VLOOKUP(A72,'Job Operations'!$A:$Z,15,FALSE))),""))</f>
        <v/>
      </c>
      <c r="L72" s="146" t="str">
        <f>IF(A72="","",IFERROR(IF(VLOOKUP(A72,'Job Operations'!$A:$Z,13,FALSE)="Shear",VLOOKUP(A72,'Job Operations'!$A:$Z,17,FALSE),IF(VLOOKUP(A72,'Job Operations'!$A:$Z,15,FALSE)="Shear",VLOOKUP(A72,'Job Operations'!$A:$Z,19,FALSE),VLOOKUP(A72,'Job Operations'!$A:$Z,17,FALSE))),""))</f>
        <v/>
      </c>
      <c r="M72" s="148" t="str">
        <f>IF(A72="","",IFERROR(IF(VLOOKUP(A72,Notes!A:B,2,FALSE)=0,"",VLOOKUP(A72,Notes!A:B,2,FALSE)),""))</f>
        <v/>
      </c>
    </row>
    <row r="73" spans="1:13" s="140" customFormat="1" x14ac:dyDescent="0.25">
      <c r="A73" s="149"/>
      <c r="B73" s="150" t="str">
        <f>IF(A73="","",VLOOKUP(A73,'Job Operations'!$A:$Z,2,FALSE))</f>
        <v/>
      </c>
      <c r="C73" s="150" t="str">
        <f>IF(A73="","",VLOOKUP(A73,'Job Operations'!$A:$Z,3,FALSE))</f>
        <v/>
      </c>
      <c r="D73" s="150" t="str">
        <f>IF(A73="","",VLOOKUP(A73,'Job Operations'!$A:$Z,5,FALSE))</f>
        <v/>
      </c>
      <c r="E73" s="150" t="str">
        <f>IF(A73="","",VLOOKUP(A73,'Job Operations'!$A:$Z,6,FALSE))</f>
        <v/>
      </c>
      <c r="F73" s="150" t="str">
        <f>IF(A73="","",VLOOKUP(A73,'Job Operations'!$A:$Z,7,FALSE))</f>
        <v/>
      </c>
      <c r="G73" s="151" t="str">
        <f>IF(A73="","",VLOOKUP(A73,'Job Operations'!$A:$Z,9,FALSE))</f>
        <v/>
      </c>
      <c r="H73" s="150" t="str">
        <f>IF(A73="","",VLOOKUP(A73,'Job Operations'!$A:$Z,12,FALSE))</f>
        <v/>
      </c>
      <c r="I73" s="150" t="str">
        <f>IF(A73="","",IF(VLOOKUP(A73,'Job Operations'!$A:$Z,12,FALSE)="Shear",ROW()-6&amp;IF(OR(MOD(ROW()-6,10)=1,MOD(ROW()-6,10)=2,MOD(ROW()-6,10)=3),CHOOSE(MOD(ROW()-6,10),"st","nd","rd"),"th"),"#"&amp;(ROW()-6)&amp;" on Shear"))</f>
        <v/>
      </c>
      <c r="J73" s="151" t="str">
        <f>IF(A73="","",IFERROR(IF(VLOOKUP(A73,'Job Operations'!$A:$Z,13,FALSE)="Shear",VLOOKUP(A73,'Job Operations'!$A:$Z,14,FALSE),IF(VLOOKUP(A73,'Job Operations'!$A:$Z,15,FALSE)="Shear",VLOOKUP(A73,'Job Operations'!$A:$Z,16,FALSE),IF(VLOOKUP(A73,'Job Operations'!$A:$Z,17,FALSE)="Shear",VLOOKUP(A73,'Job Operations'!$A:$Z,18,FALSE),VLOOKUP(A73,'Job Operations'!$A:$Z,14,FALSE)))),""))</f>
        <v/>
      </c>
      <c r="K73" s="150" t="str">
        <f>IF(A73="","",IFERROR(IF(VLOOKUP(A73,'Job Operations'!$A:$Z,13,FALSE)="Shear",VLOOKUP(A73,'Job Operations'!$A:$Z,15,FALSE),IF(VLOOKUP(A73,'Job Operations'!$A:$Z,15,FALSE)="Shear",VLOOKUP(A73,'Job Operations'!$A:$Z,17,FALSE),VLOOKUP(A73,'Job Operations'!$A:$Z,15,FALSE))),""))</f>
        <v/>
      </c>
      <c r="L73" s="150" t="str">
        <f>IF(A73="","",IFERROR(IF(VLOOKUP(A73,'Job Operations'!$A:$Z,13,FALSE)="Shear",VLOOKUP(A73,'Job Operations'!$A:$Z,17,FALSE),IF(VLOOKUP(A73,'Job Operations'!$A:$Z,15,FALSE)="Shear",VLOOKUP(A73,'Job Operations'!$A:$Z,19,FALSE),VLOOKUP(A73,'Job Operations'!$A:$Z,17,FALSE))),""))</f>
        <v/>
      </c>
      <c r="M73" s="152" t="str">
        <f>IF(A73="","",IFERROR(IF(VLOOKUP(A73,Notes!A:B,2,FALSE)=0,"",VLOOKUP(A73,Notes!A:B,2,FALSE)),""))</f>
        <v/>
      </c>
    </row>
    <row r="74" spans="1:13" s="140" customFormat="1" x14ac:dyDescent="0.25">
      <c r="A74" s="145"/>
      <c r="B74" s="146" t="str">
        <f>IF(A74="","",VLOOKUP(A74,'Job Operations'!$A:$Z,2,FALSE))</f>
        <v/>
      </c>
      <c r="C74" s="146" t="str">
        <f>IF(A74="","",VLOOKUP(A74,'Job Operations'!$A:$Z,3,FALSE))</f>
        <v/>
      </c>
      <c r="D74" s="146" t="str">
        <f>IF(A74="","",VLOOKUP(A74,'Job Operations'!$A:$Z,5,FALSE))</f>
        <v/>
      </c>
      <c r="E74" s="146" t="str">
        <f>IF(A74="","",VLOOKUP(A74,'Job Operations'!$A:$Z,6,FALSE))</f>
        <v/>
      </c>
      <c r="F74" s="146" t="str">
        <f>IF(A74="","",VLOOKUP(A74,'Job Operations'!$A:$Z,7,FALSE))</f>
        <v/>
      </c>
      <c r="G74" s="147" t="str">
        <f>IF(A74="","",VLOOKUP(A74,'Job Operations'!$A:$Z,9,FALSE))</f>
        <v/>
      </c>
      <c r="H74" s="146" t="str">
        <f>IF(A74="","",VLOOKUP(A74,'Job Operations'!$A:$Z,12,FALSE))</f>
        <v/>
      </c>
      <c r="I74" s="146" t="str">
        <f>IF(A74="","",IF(VLOOKUP(A74,'Job Operations'!$A:$Z,12,FALSE)="Shear",ROW()-6&amp;IF(OR(MOD(ROW()-6,10)=1,MOD(ROW()-6,10)=2,MOD(ROW()-6,10)=3),CHOOSE(MOD(ROW()-6,10),"st","nd","rd"),"th"),"#"&amp;(ROW()-6)&amp;" on Shear"))</f>
        <v/>
      </c>
      <c r="J74" s="147" t="str">
        <f>IF(A74="","",IFERROR(IF(VLOOKUP(A74,'Job Operations'!$A:$Z,13,FALSE)="Shear",VLOOKUP(A74,'Job Operations'!$A:$Z,14,FALSE),IF(VLOOKUP(A74,'Job Operations'!$A:$Z,15,FALSE)="Shear",VLOOKUP(A74,'Job Operations'!$A:$Z,16,FALSE),IF(VLOOKUP(A74,'Job Operations'!$A:$Z,17,FALSE)="Shear",VLOOKUP(A74,'Job Operations'!$A:$Z,18,FALSE),VLOOKUP(A74,'Job Operations'!$A:$Z,14,FALSE)))),""))</f>
        <v/>
      </c>
      <c r="K74" s="146" t="str">
        <f>IF(A74="","",IFERROR(IF(VLOOKUP(A74,'Job Operations'!$A:$Z,13,FALSE)="Shear",VLOOKUP(A74,'Job Operations'!$A:$Z,15,FALSE),IF(VLOOKUP(A74,'Job Operations'!$A:$Z,15,FALSE)="Shear",VLOOKUP(A74,'Job Operations'!$A:$Z,17,FALSE),VLOOKUP(A74,'Job Operations'!$A:$Z,15,FALSE))),""))</f>
        <v/>
      </c>
      <c r="L74" s="146" t="str">
        <f>IF(A74="","",IFERROR(IF(VLOOKUP(A74,'Job Operations'!$A:$Z,13,FALSE)="Shear",VLOOKUP(A74,'Job Operations'!$A:$Z,17,FALSE),IF(VLOOKUP(A74,'Job Operations'!$A:$Z,15,FALSE)="Shear",VLOOKUP(A74,'Job Operations'!$A:$Z,19,FALSE),VLOOKUP(A74,'Job Operations'!$A:$Z,17,FALSE))),""))</f>
        <v/>
      </c>
      <c r="M74" s="148" t="str">
        <f>IF(A74="","",IFERROR(IF(VLOOKUP(A74,Notes!A:B,2,FALSE)=0,"",VLOOKUP(A74,Notes!A:B,2,FALSE)),""))</f>
        <v/>
      </c>
    </row>
    <row r="75" spans="1:13" s="140" customFormat="1" x14ac:dyDescent="0.25">
      <c r="A75" s="149"/>
      <c r="B75" s="150" t="str">
        <f>IF(A75="","",VLOOKUP(A75,'Job Operations'!$A:$Z,2,FALSE))</f>
        <v/>
      </c>
      <c r="C75" s="150" t="str">
        <f>IF(A75="","",VLOOKUP(A75,'Job Operations'!$A:$Z,3,FALSE))</f>
        <v/>
      </c>
      <c r="D75" s="150" t="str">
        <f>IF(A75="","",VLOOKUP(A75,'Job Operations'!$A:$Z,5,FALSE))</f>
        <v/>
      </c>
      <c r="E75" s="150" t="str">
        <f>IF(A75="","",VLOOKUP(A75,'Job Operations'!$A:$Z,6,FALSE))</f>
        <v/>
      </c>
      <c r="F75" s="150" t="str">
        <f>IF(A75="","",VLOOKUP(A75,'Job Operations'!$A:$Z,7,FALSE))</f>
        <v/>
      </c>
      <c r="G75" s="151" t="str">
        <f>IF(A75="","",VLOOKUP(A75,'Job Operations'!$A:$Z,9,FALSE))</f>
        <v/>
      </c>
      <c r="H75" s="150" t="str">
        <f>IF(A75="","",VLOOKUP(A75,'Job Operations'!$A:$Z,12,FALSE))</f>
        <v/>
      </c>
      <c r="I75" s="150" t="str">
        <f>IF(A75="","",IF(VLOOKUP(A75,'Job Operations'!$A:$Z,12,FALSE)="Shear",ROW()-6&amp;IF(OR(MOD(ROW()-6,10)=1,MOD(ROW()-6,10)=2,MOD(ROW()-6,10)=3),CHOOSE(MOD(ROW()-6,10),"st","nd","rd"),"th"),"#"&amp;(ROW()-6)&amp;" on Shear"))</f>
        <v/>
      </c>
      <c r="J75" s="151" t="str">
        <f>IF(A75="","",IFERROR(IF(VLOOKUP(A75,'Job Operations'!$A:$Z,13,FALSE)="Shear",VLOOKUP(A75,'Job Operations'!$A:$Z,14,FALSE),IF(VLOOKUP(A75,'Job Operations'!$A:$Z,15,FALSE)="Shear",VLOOKUP(A75,'Job Operations'!$A:$Z,16,FALSE),IF(VLOOKUP(A75,'Job Operations'!$A:$Z,17,FALSE)="Shear",VLOOKUP(A75,'Job Operations'!$A:$Z,18,FALSE),VLOOKUP(A75,'Job Operations'!$A:$Z,14,FALSE)))),""))</f>
        <v/>
      </c>
      <c r="K75" s="150" t="str">
        <f>IF(A75="","",IFERROR(IF(VLOOKUP(A75,'Job Operations'!$A:$Z,13,FALSE)="Shear",VLOOKUP(A75,'Job Operations'!$A:$Z,15,FALSE),IF(VLOOKUP(A75,'Job Operations'!$A:$Z,15,FALSE)="Shear",VLOOKUP(A75,'Job Operations'!$A:$Z,17,FALSE),VLOOKUP(A75,'Job Operations'!$A:$Z,15,FALSE))),""))</f>
        <v/>
      </c>
      <c r="L75" s="150" t="str">
        <f>IF(A75="","",IFERROR(IF(VLOOKUP(A75,'Job Operations'!$A:$Z,13,FALSE)="Shear",VLOOKUP(A75,'Job Operations'!$A:$Z,17,FALSE),IF(VLOOKUP(A75,'Job Operations'!$A:$Z,15,FALSE)="Shear",VLOOKUP(A75,'Job Operations'!$A:$Z,19,FALSE),VLOOKUP(A75,'Job Operations'!$A:$Z,17,FALSE))),""))</f>
        <v/>
      </c>
      <c r="M75" s="152" t="str">
        <f>IF(A75="","",IFERROR(IF(VLOOKUP(A75,Notes!A:B,2,FALSE)=0,"",VLOOKUP(A75,Notes!A:B,2,FALSE)),""))</f>
        <v/>
      </c>
    </row>
    <row r="76" spans="1:13" s="140" customFormat="1" x14ac:dyDescent="0.25">
      <c r="A76" s="145"/>
      <c r="B76" s="146" t="str">
        <f>IF(A76="","",VLOOKUP(A76,'Job Operations'!$A:$Z,2,FALSE))</f>
        <v/>
      </c>
      <c r="C76" s="146" t="str">
        <f>IF(A76="","",VLOOKUP(A76,'Job Operations'!$A:$Z,3,FALSE))</f>
        <v/>
      </c>
      <c r="D76" s="146" t="str">
        <f>IF(A76="","",VLOOKUP(A76,'Job Operations'!$A:$Z,5,FALSE))</f>
        <v/>
      </c>
      <c r="E76" s="146" t="str">
        <f>IF(A76="","",VLOOKUP(A76,'Job Operations'!$A:$Z,6,FALSE))</f>
        <v/>
      </c>
      <c r="F76" s="146" t="str">
        <f>IF(A76="","",VLOOKUP(A76,'Job Operations'!$A:$Z,7,FALSE))</f>
        <v/>
      </c>
      <c r="G76" s="147" t="str">
        <f>IF(A76="","",VLOOKUP(A76,'Job Operations'!$A:$Z,9,FALSE))</f>
        <v/>
      </c>
      <c r="H76" s="146" t="str">
        <f>IF(A76="","",VLOOKUP(A76,'Job Operations'!$A:$Z,12,FALSE))</f>
        <v/>
      </c>
      <c r="I76" s="146" t="str">
        <f>IF(A76="","",IF(VLOOKUP(A76,'Job Operations'!$A:$Z,12,FALSE)="Shear",ROW()-6&amp;IF(OR(MOD(ROW()-6,10)=1,MOD(ROW()-6,10)=2,MOD(ROW()-6,10)=3),CHOOSE(MOD(ROW()-6,10),"st","nd","rd"),"th"),"#"&amp;(ROW()-6)&amp;" on Shear"))</f>
        <v/>
      </c>
      <c r="J76" s="147" t="str">
        <f>IF(A76="","",IFERROR(IF(VLOOKUP(A76,'Job Operations'!$A:$Z,13,FALSE)="Shear",VLOOKUP(A76,'Job Operations'!$A:$Z,14,FALSE),IF(VLOOKUP(A76,'Job Operations'!$A:$Z,15,FALSE)="Shear",VLOOKUP(A76,'Job Operations'!$A:$Z,16,FALSE),IF(VLOOKUP(A76,'Job Operations'!$A:$Z,17,FALSE)="Shear",VLOOKUP(A76,'Job Operations'!$A:$Z,18,FALSE),VLOOKUP(A76,'Job Operations'!$A:$Z,14,FALSE)))),""))</f>
        <v/>
      </c>
      <c r="K76" s="146" t="str">
        <f>IF(A76="","",IFERROR(IF(VLOOKUP(A76,'Job Operations'!$A:$Z,13,FALSE)="Shear",VLOOKUP(A76,'Job Operations'!$A:$Z,15,FALSE),IF(VLOOKUP(A76,'Job Operations'!$A:$Z,15,FALSE)="Shear",VLOOKUP(A76,'Job Operations'!$A:$Z,17,FALSE),VLOOKUP(A76,'Job Operations'!$A:$Z,15,FALSE))),""))</f>
        <v/>
      </c>
      <c r="L76" s="146" t="str">
        <f>IF(A76="","",IFERROR(IF(VLOOKUP(A76,'Job Operations'!$A:$Z,13,FALSE)="Shear",VLOOKUP(A76,'Job Operations'!$A:$Z,17,FALSE),IF(VLOOKUP(A76,'Job Operations'!$A:$Z,15,FALSE)="Shear",VLOOKUP(A76,'Job Operations'!$A:$Z,19,FALSE),VLOOKUP(A76,'Job Operations'!$A:$Z,17,FALSE))),""))</f>
        <v/>
      </c>
      <c r="M76" s="148" t="str">
        <f>IF(A76="","",IFERROR(IF(VLOOKUP(A76,Notes!A:B,2,FALSE)=0,"",VLOOKUP(A76,Notes!A:B,2,FALSE)),""))</f>
        <v/>
      </c>
    </row>
    <row r="77" spans="1:13" s="140" customFormat="1" x14ac:dyDescent="0.25">
      <c r="A77" s="149"/>
      <c r="B77" s="150" t="str">
        <f>IF(A77="","",VLOOKUP(A77,'Job Operations'!$A:$Z,2,FALSE))</f>
        <v/>
      </c>
      <c r="C77" s="150" t="str">
        <f>IF(A77="","",VLOOKUP(A77,'Job Operations'!$A:$Z,3,FALSE))</f>
        <v/>
      </c>
      <c r="D77" s="150" t="str">
        <f>IF(A77="","",VLOOKUP(A77,'Job Operations'!$A:$Z,5,FALSE))</f>
        <v/>
      </c>
      <c r="E77" s="150" t="str">
        <f>IF(A77="","",VLOOKUP(A77,'Job Operations'!$A:$Z,6,FALSE))</f>
        <v/>
      </c>
      <c r="F77" s="150" t="str">
        <f>IF(A77="","",VLOOKUP(A77,'Job Operations'!$A:$Z,7,FALSE))</f>
        <v/>
      </c>
      <c r="G77" s="151" t="str">
        <f>IF(A77="","",VLOOKUP(A77,'Job Operations'!$A:$Z,9,FALSE))</f>
        <v/>
      </c>
      <c r="H77" s="150" t="str">
        <f>IF(A77="","",VLOOKUP(A77,'Job Operations'!$A:$Z,12,FALSE))</f>
        <v/>
      </c>
      <c r="I77" s="150" t="str">
        <f>IF(A77="","",IF(VLOOKUP(A77,'Job Operations'!$A:$Z,12,FALSE)="Shear",ROW()-6&amp;IF(OR(MOD(ROW()-6,10)=1,MOD(ROW()-6,10)=2,MOD(ROW()-6,10)=3),CHOOSE(MOD(ROW()-6,10),"st","nd","rd"),"th"),"#"&amp;(ROW()-6)&amp;" on Shear"))</f>
        <v/>
      </c>
      <c r="J77" s="151" t="str">
        <f>IF(A77="","",IFERROR(IF(VLOOKUP(A77,'Job Operations'!$A:$Z,13,FALSE)="Shear",VLOOKUP(A77,'Job Operations'!$A:$Z,14,FALSE),IF(VLOOKUP(A77,'Job Operations'!$A:$Z,15,FALSE)="Shear",VLOOKUP(A77,'Job Operations'!$A:$Z,16,FALSE),IF(VLOOKUP(A77,'Job Operations'!$A:$Z,17,FALSE)="Shear",VLOOKUP(A77,'Job Operations'!$A:$Z,18,FALSE),VLOOKUP(A77,'Job Operations'!$A:$Z,14,FALSE)))),""))</f>
        <v/>
      </c>
      <c r="K77" s="150" t="str">
        <f>IF(A77="","",IFERROR(IF(VLOOKUP(A77,'Job Operations'!$A:$Z,13,FALSE)="Shear",VLOOKUP(A77,'Job Operations'!$A:$Z,15,FALSE),IF(VLOOKUP(A77,'Job Operations'!$A:$Z,15,FALSE)="Shear",VLOOKUP(A77,'Job Operations'!$A:$Z,17,FALSE),VLOOKUP(A77,'Job Operations'!$A:$Z,15,FALSE))),""))</f>
        <v/>
      </c>
      <c r="L77" s="150" t="str">
        <f>IF(A77="","",IFERROR(IF(VLOOKUP(A77,'Job Operations'!$A:$Z,13,FALSE)="Shear",VLOOKUP(A77,'Job Operations'!$A:$Z,17,FALSE),IF(VLOOKUP(A77,'Job Operations'!$A:$Z,15,FALSE)="Shear",VLOOKUP(A77,'Job Operations'!$A:$Z,19,FALSE),VLOOKUP(A77,'Job Operations'!$A:$Z,17,FALSE))),""))</f>
        <v/>
      </c>
      <c r="M77" s="152" t="str">
        <f>IF(A77="","",IFERROR(IF(VLOOKUP(A77,Notes!A:B,2,FALSE)=0,"",VLOOKUP(A77,Notes!A:B,2,FALSE)),""))</f>
        <v/>
      </c>
    </row>
    <row r="78" spans="1:13" s="140" customFormat="1" x14ac:dyDescent="0.25">
      <c r="A78" s="145"/>
      <c r="B78" s="146" t="str">
        <f>IF(A78="","",VLOOKUP(A78,'Job Operations'!$A:$Z,2,FALSE))</f>
        <v/>
      </c>
      <c r="C78" s="146" t="str">
        <f>IF(A78="","",VLOOKUP(A78,'Job Operations'!$A:$Z,3,FALSE))</f>
        <v/>
      </c>
      <c r="D78" s="146" t="str">
        <f>IF(A78="","",VLOOKUP(A78,'Job Operations'!$A:$Z,5,FALSE))</f>
        <v/>
      </c>
      <c r="E78" s="146" t="str">
        <f>IF(A78="","",VLOOKUP(A78,'Job Operations'!$A:$Z,6,FALSE))</f>
        <v/>
      </c>
      <c r="F78" s="146" t="str">
        <f>IF(A78="","",VLOOKUP(A78,'Job Operations'!$A:$Z,7,FALSE))</f>
        <v/>
      </c>
      <c r="G78" s="147" t="str">
        <f>IF(A78="","",VLOOKUP(A78,'Job Operations'!$A:$Z,9,FALSE))</f>
        <v/>
      </c>
      <c r="H78" s="146" t="str">
        <f>IF(A78="","",VLOOKUP(A78,'Job Operations'!$A:$Z,12,FALSE))</f>
        <v/>
      </c>
      <c r="I78" s="146" t="str">
        <f>IF(A78="","",IF(VLOOKUP(A78,'Job Operations'!$A:$Z,12,FALSE)="Shear",ROW()-6&amp;IF(OR(MOD(ROW()-6,10)=1,MOD(ROW()-6,10)=2,MOD(ROW()-6,10)=3),CHOOSE(MOD(ROW()-6,10),"st","nd","rd"),"th"),"#"&amp;(ROW()-6)&amp;" on Shear"))</f>
        <v/>
      </c>
      <c r="J78" s="147" t="str">
        <f>IF(A78="","",IFERROR(IF(VLOOKUP(A78,'Job Operations'!$A:$Z,13,FALSE)="Shear",VLOOKUP(A78,'Job Operations'!$A:$Z,14,FALSE),IF(VLOOKUP(A78,'Job Operations'!$A:$Z,15,FALSE)="Shear",VLOOKUP(A78,'Job Operations'!$A:$Z,16,FALSE),IF(VLOOKUP(A78,'Job Operations'!$A:$Z,17,FALSE)="Shear",VLOOKUP(A78,'Job Operations'!$A:$Z,18,FALSE),VLOOKUP(A78,'Job Operations'!$A:$Z,14,FALSE)))),""))</f>
        <v/>
      </c>
      <c r="K78" s="146" t="str">
        <f>IF(A78="","",IFERROR(IF(VLOOKUP(A78,'Job Operations'!$A:$Z,13,FALSE)="Shear",VLOOKUP(A78,'Job Operations'!$A:$Z,15,FALSE),IF(VLOOKUP(A78,'Job Operations'!$A:$Z,15,FALSE)="Shear",VLOOKUP(A78,'Job Operations'!$A:$Z,17,FALSE),VLOOKUP(A78,'Job Operations'!$A:$Z,15,FALSE))),""))</f>
        <v/>
      </c>
      <c r="L78" s="146" t="str">
        <f>IF(A78="","",IFERROR(IF(VLOOKUP(A78,'Job Operations'!$A:$Z,13,FALSE)="Shear",VLOOKUP(A78,'Job Operations'!$A:$Z,17,FALSE),IF(VLOOKUP(A78,'Job Operations'!$A:$Z,15,FALSE)="Shear",VLOOKUP(A78,'Job Operations'!$A:$Z,19,FALSE),VLOOKUP(A78,'Job Operations'!$A:$Z,17,FALSE))),""))</f>
        <v/>
      </c>
      <c r="M78" s="148" t="str">
        <f>IF(A78="","",IFERROR(IF(VLOOKUP(A78,Notes!A:B,2,FALSE)=0,"",VLOOKUP(A78,Notes!A:B,2,FALSE)),""))</f>
        <v/>
      </c>
    </row>
    <row r="79" spans="1:13" s="140" customFormat="1" x14ac:dyDescent="0.25">
      <c r="A79" s="149"/>
      <c r="B79" s="150" t="str">
        <f>IF(A79="","",VLOOKUP(A79,'Job Operations'!$A:$Z,2,FALSE))</f>
        <v/>
      </c>
      <c r="C79" s="150" t="str">
        <f>IF(A79="","",VLOOKUP(A79,'Job Operations'!$A:$Z,3,FALSE))</f>
        <v/>
      </c>
      <c r="D79" s="150" t="str">
        <f>IF(A79="","",VLOOKUP(A79,'Job Operations'!$A:$Z,5,FALSE))</f>
        <v/>
      </c>
      <c r="E79" s="150" t="str">
        <f>IF(A79="","",VLOOKUP(A79,'Job Operations'!$A:$Z,6,FALSE))</f>
        <v/>
      </c>
      <c r="F79" s="150" t="str">
        <f>IF(A79="","",VLOOKUP(A79,'Job Operations'!$A:$Z,7,FALSE))</f>
        <v/>
      </c>
      <c r="G79" s="151" t="str">
        <f>IF(A79="","",VLOOKUP(A79,'Job Operations'!$A:$Z,9,FALSE))</f>
        <v/>
      </c>
      <c r="H79" s="150" t="str">
        <f>IF(A79="","",VLOOKUP(A79,'Job Operations'!$A:$Z,12,FALSE))</f>
        <v/>
      </c>
      <c r="I79" s="150" t="str">
        <f>IF(A79="","",IF(VLOOKUP(A79,'Job Operations'!$A:$Z,12,FALSE)="Shear",ROW()-6&amp;IF(OR(MOD(ROW()-6,10)=1,MOD(ROW()-6,10)=2,MOD(ROW()-6,10)=3),CHOOSE(MOD(ROW()-6,10),"st","nd","rd"),"th"),"#"&amp;(ROW()-6)&amp;" on Shear"))</f>
        <v/>
      </c>
      <c r="J79" s="151" t="str">
        <f>IF(A79="","",IFERROR(IF(VLOOKUP(A79,'Job Operations'!$A:$Z,13,FALSE)="Shear",VLOOKUP(A79,'Job Operations'!$A:$Z,14,FALSE),IF(VLOOKUP(A79,'Job Operations'!$A:$Z,15,FALSE)="Shear",VLOOKUP(A79,'Job Operations'!$A:$Z,16,FALSE),IF(VLOOKUP(A79,'Job Operations'!$A:$Z,17,FALSE)="Shear",VLOOKUP(A79,'Job Operations'!$A:$Z,18,FALSE),VLOOKUP(A79,'Job Operations'!$A:$Z,14,FALSE)))),""))</f>
        <v/>
      </c>
      <c r="K79" s="150" t="str">
        <f>IF(A79="","",IFERROR(IF(VLOOKUP(A79,'Job Operations'!$A:$Z,13,FALSE)="Shear",VLOOKUP(A79,'Job Operations'!$A:$Z,15,FALSE),IF(VLOOKUP(A79,'Job Operations'!$A:$Z,15,FALSE)="Shear",VLOOKUP(A79,'Job Operations'!$A:$Z,17,FALSE),VLOOKUP(A79,'Job Operations'!$A:$Z,15,FALSE))),""))</f>
        <v/>
      </c>
      <c r="L79" s="150" t="str">
        <f>IF(A79="","",IFERROR(IF(VLOOKUP(A79,'Job Operations'!$A:$Z,13,FALSE)="Shear",VLOOKUP(A79,'Job Operations'!$A:$Z,17,FALSE),IF(VLOOKUP(A79,'Job Operations'!$A:$Z,15,FALSE)="Shear",VLOOKUP(A79,'Job Operations'!$A:$Z,19,FALSE),VLOOKUP(A79,'Job Operations'!$A:$Z,17,FALSE))),""))</f>
        <v/>
      </c>
      <c r="M79" s="152" t="str">
        <f>IF(A79="","",IFERROR(IF(VLOOKUP(A79,Notes!A:B,2,FALSE)=0,"",VLOOKUP(A79,Notes!A:B,2,FALSE)),""))</f>
        <v/>
      </c>
    </row>
    <row r="80" spans="1:13" s="140" customFormat="1" x14ac:dyDescent="0.25">
      <c r="A80" s="145"/>
      <c r="B80" s="146" t="str">
        <f>IF(A80="","",VLOOKUP(A80,'Job Operations'!$A:$Z,2,FALSE))</f>
        <v/>
      </c>
      <c r="C80" s="146" t="str">
        <f>IF(A80="","",VLOOKUP(A80,'Job Operations'!$A:$Z,3,FALSE))</f>
        <v/>
      </c>
      <c r="D80" s="146" t="str">
        <f>IF(A80="","",VLOOKUP(A80,'Job Operations'!$A:$Z,5,FALSE))</f>
        <v/>
      </c>
      <c r="E80" s="146" t="str">
        <f>IF(A80="","",VLOOKUP(A80,'Job Operations'!$A:$Z,6,FALSE))</f>
        <v/>
      </c>
      <c r="F80" s="146" t="str">
        <f>IF(A80="","",VLOOKUP(A80,'Job Operations'!$A:$Z,7,FALSE))</f>
        <v/>
      </c>
      <c r="G80" s="147" t="str">
        <f>IF(A80="","",VLOOKUP(A80,'Job Operations'!$A:$Z,9,FALSE))</f>
        <v/>
      </c>
      <c r="H80" s="146" t="str">
        <f>IF(A80="","",VLOOKUP(A80,'Job Operations'!$A:$Z,12,FALSE))</f>
        <v/>
      </c>
      <c r="I80" s="146" t="str">
        <f>IF(A80="","",IF(VLOOKUP(A80,'Job Operations'!$A:$Z,12,FALSE)="Shear",ROW()-6&amp;IF(OR(MOD(ROW()-6,10)=1,MOD(ROW()-6,10)=2,MOD(ROW()-6,10)=3),CHOOSE(MOD(ROW()-6,10),"st","nd","rd"),"th"),"#"&amp;(ROW()-6)&amp;" on Shear"))</f>
        <v/>
      </c>
      <c r="J80" s="147" t="str">
        <f>IF(A80="","",IFERROR(IF(VLOOKUP(A80,'Job Operations'!$A:$Z,13,FALSE)="Shear",VLOOKUP(A80,'Job Operations'!$A:$Z,14,FALSE),IF(VLOOKUP(A80,'Job Operations'!$A:$Z,15,FALSE)="Shear",VLOOKUP(A80,'Job Operations'!$A:$Z,16,FALSE),IF(VLOOKUP(A80,'Job Operations'!$A:$Z,17,FALSE)="Shear",VLOOKUP(A80,'Job Operations'!$A:$Z,18,FALSE),VLOOKUP(A80,'Job Operations'!$A:$Z,14,FALSE)))),""))</f>
        <v/>
      </c>
      <c r="K80" s="146" t="str">
        <f>IF(A80="","",IFERROR(IF(VLOOKUP(A80,'Job Operations'!$A:$Z,13,FALSE)="Shear",VLOOKUP(A80,'Job Operations'!$A:$Z,15,FALSE),IF(VLOOKUP(A80,'Job Operations'!$A:$Z,15,FALSE)="Shear",VLOOKUP(A80,'Job Operations'!$A:$Z,17,FALSE),VLOOKUP(A80,'Job Operations'!$A:$Z,15,FALSE))),""))</f>
        <v/>
      </c>
      <c r="L80" s="146" t="str">
        <f>IF(A80="","",IFERROR(IF(VLOOKUP(A80,'Job Operations'!$A:$Z,13,FALSE)="Shear",VLOOKUP(A80,'Job Operations'!$A:$Z,17,FALSE),IF(VLOOKUP(A80,'Job Operations'!$A:$Z,15,FALSE)="Shear",VLOOKUP(A80,'Job Operations'!$A:$Z,19,FALSE),VLOOKUP(A80,'Job Operations'!$A:$Z,17,FALSE))),""))</f>
        <v/>
      </c>
      <c r="M80" s="148" t="str">
        <f>IF(A80="","",IFERROR(IF(VLOOKUP(A80,Notes!A:B,2,FALSE)=0,"",VLOOKUP(A80,Notes!A:B,2,FALSE)),""))</f>
        <v/>
      </c>
    </row>
    <row r="81" spans="1:13" s="140" customFormat="1" x14ac:dyDescent="0.25">
      <c r="A81" s="149"/>
      <c r="B81" s="150" t="str">
        <f>IF(A81="","",VLOOKUP(A81,'Job Operations'!$A:$Z,2,FALSE))</f>
        <v/>
      </c>
      <c r="C81" s="150" t="str">
        <f>IF(A81="","",VLOOKUP(A81,'Job Operations'!$A:$Z,3,FALSE))</f>
        <v/>
      </c>
      <c r="D81" s="150" t="str">
        <f>IF(A81="","",VLOOKUP(A81,'Job Operations'!$A:$Z,5,FALSE))</f>
        <v/>
      </c>
      <c r="E81" s="150" t="str">
        <f>IF(A81="","",VLOOKUP(A81,'Job Operations'!$A:$Z,6,FALSE))</f>
        <v/>
      </c>
      <c r="F81" s="150" t="str">
        <f>IF(A81="","",VLOOKUP(A81,'Job Operations'!$A:$Z,7,FALSE))</f>
        <v/>
      </c>
      <c r="G81" s="151" t="str">
        <f>IF(A81="","",VLOOKUP(A81,'Job Operations'!$A:$Z,9,FALSE))</f>
        <v/>
      </c>
      <c r="H81" s="150" t="str">
        <f>IF(A81="","",VLOOKUP(A81,'Job Operations'!$A:$Z,12,FALSE))</f>
        <v/>
      </c>
      <c r="I81" s="150" t="str">
        <f>IF(A81="","",IF(VLOOKUP(A81,'Job Operations'!$A:$Z,12,FALSE)="Shear",ROW()-6&amp;IF(OR(MOD(ROW()-6,10)=1,MOD(ROW()-6,10)=2,MOD(ROW()-6,10)=3),CHOOSE(MOD(ROW()-6,10),"st","nd","rd"),"th"),"#"&amp;(ROW()-6)&amp;" on Shear"))</f>
        <v/>
      </c>
      <c r="J81" s="151" t="str">
        <f>IF(A81="","",IFERROR(IF(VLOOKUP(A81,'Job Operations'!$A:$Z,13,FALSE)="Shear",VLOOKUP(A81,'Job Operations'!$A:$Z,14,FALSE),IF(VLOOKUP(A81,'Job Operations'!$A:$Z,15,FALSE)="Shear",VLOOKUP(A81,'Job Operations'!$A:$Z,16,FALSE),IF(VLOOKUP(A81,'Job Operations'!$A:$Z,17,FALSE)="Shear",VLOOKUP(A81,'Job Operations'!$A:$Z,18,FALSE),VLOOKUP(A81,'Job Operations'!$A:$Z,14,FALSE)))),""))</f>
        <v/>
      </c>
      <c r="K81" s="150" t="str">
        <f>IF(A81="","",IFERROR(IF(VLOOKUP(A81,'Job Operations'!$A:$Z,13,FALSE)="Shear",VLOOKUP(A81,'Job Operations'!$A:$Z,15,FALSE),IF(VLOOKUP(A81,'Job Operations'!$A:$Z,15,FALSE)="Shear",VLOOKUP(A81,'Job Operations'!$A:$Z,17,FALSE),VLOOKUP(A81,'Job Operations'!$A:$Z,15,FALSE))),""))</f>
        <v/>
      </c>
      <c r="L81" s="150" t="str">
        <f>IF(A81="","",IFERROR(IF(VLOOKUP(A81,'Job Operations'!$A:$Z,13,FALSE)="Shear",VLOOKUP(A81,'Job Operations'!$A:$Z,17,FALSE),IF(VLOOKUP(A81,'Job Operations'!$A:$Z,15,FALSE)="Shear",VLOOKUP(A81,'Job Operations'!$A:$Z,19,FALSE),VLOOKUP(A81,'Job Operations'!$A:$Z,17,FALSE))),""))</f>
        <v/>
      </c>
      <c r="M81" s="152" t="str">
        <f>IF(A81="","",IFERROR(IF(VLOOKUP(A81,Notes!A:B,2,FALSE)=0,"",VLOOKUP(A81,Notes!A:B,2,FALSE)),""))</f>
        <v/>
      </c>
    </row>
    <row r="82" spans="1:13" s="140" customFormat="1" x14ac:dyDescent="0.25">
      <c r="A82" s="145"/>
      <c r="B82" s="146" t="str">
        <f>IF(A82="","",VLOOKUP(A82,'Job Operations'!$A:$Z,2,FALSE))</f>
        <v/>
      </c>
      <c r="C82" s="146" t="str">
        <f>IF(A82="","",VLOOKUP(A82,'Job Operations'!$A:$Z,3,FALSE))</f>
        <v/>
      </c>
      <c r="D82" s="146" t="str">
        <f>IF(A82="","",VLOOKUP(A82,'Job Operations'!$A:$Z,5,FALSE))</f>
        <v/>
      </c>
      <c r="E82" s="146" t="str">
        <f>IF(A82="","",VLOOKUP(A82,'Job Operations'!$A:$Z,6,FALSE))</f>
        <v/>
      </c>
      <c r="F82" s="146" t="str">
        <f>IF(A82="","",VLOOKUP(A82,'Job Operations'!$A:$Z,7,FALSE))</f>
        <v/>
      </c>
      <c r="G82" s="147" t="str">
        <f>IF(A82="","",VLOOKUP(A82,'Job Operations'!$A:$Z,9,FALSE))</f>
        <v/>
      </c>
      <c r="H82" s="146" t="str">
        <f>IF(A82="","",VLOOKUP(A82,'Job Operations'!$A:$Z,12,FALSE))</f>
        <v/>
      </c>
      <c r="I82" s="146" t="str">
        <f>IF(A82="","",IF(VLOOKUP(A82,'Job Operations'!$A:$Z,12,FALSE)="Shear",ROW()-6&amp;IF(OR(MOD(ROW()-6,10)=1,MOD(ROW()-6,10)=2,MOD(ROW()-6,10)=3),CHOOSE(MOD(ROW()-6,10),"st","nd","rd"),"th"),"#"&amp;(ROW()-6)&amp;" on Shear"))</f>
        <v/>
      </c>
      <c r="J82" s="147" t="str">
        <f>IF(A82="","",IFERROR(IF(VLOOKUP(A82,'Job Operations'!$A:$Z,13,FALSE)="Shear",VLOOKUP(A82,'Job Operations'!$A:$Z,14,FALSE),IF(VLOOKUP(A82,'Job Operations'!$A:$Z,15,FALSE)="Shear",VLOOKUP(A82,'Job Operations'!$A:$Z,16,FALSE),IF(VLOOKUP(A82,'Job Operations'!$A:$Z,17,FALSE)="Shear",VLOOKUP(A82,'Job Operations'!$A:$Z,18,FALSE),VLOOKUP(A82,'Job Operations'!$A:$Z,14,FALSE)))),""))</f>
        <v/>
      </c>
      <c r="K82" s="146" t="str">
        <f>IF(A82="","",IFERROR(IF(VLOOKUP(A82,'Job Operations'!$A:$Z,13,FALSE)="Shear",VLOOKUP(A82,'Job Operations'!$A:$Z,15,FALSE),IF(VLOOKUP(A82,'Job Operations'!$A:$Z,15,FALSE)="Shear",VLOOKUP(A82,'Job Operations'!$A:$Z,17,FALSE),VLOOKUP(A82,'Job Operations'!$A:$Z,15,FALSE))),""))</f>
        <v/>
      </c>
      <c r="L82" s="146" t="str">
        <f>IF(A82="","",IFERROR(IF(VLOOKUP(A82,'Job Operations'!$A:$Z,13,FALSE)="Shear",VLOOKUP(A82,'Job Operations'!$A:$Z,17,FALSE),IF(VLOOKUP(A82,'Job Operations'!$A:$Z,15,FALSE)="Shear",VLOOKUP(A82,'Job Operations'!$A:$Z,19,FALSE),VLOOKUP(A82,'Job Operations'!$A:$Z,17,FALSE))),""))</f>
        <v/>
      </c>
      <c r="M82" s="148" t="str">
        <f>IF(A82="","",IFERROR(IF(VLOOKUP(A82,Notes!A:B,2,FALSE)=0,"",VLOOKUP(A82,Notes!A:B,2,FALSE)),""))</f>
        <v/>
      </c>
    </row>
    <row r="83" spans="1:13" s="140" customFormat="1" x14ac:dyDescent="0.25">
      <c r="A83" s="149"/>
      <c r="B83" s="150" t="str">
        <f>IF(A83="","",VLOOKUP(A83,'Job Operations'!$A:$Z,2,FALSE))</f>
        <v/>
      </c>
      <c r="C83" s="150" t="str">
        <f>IF(A83="","",VLOOKUP(A83,'Job Operations'!$A:$Z,3,FALSE))</f>
        <v/>
      </c>
      <c r="D83" s="150" t="str">
        <f>IF(A83="","",VLOOKUP(A83,'Job Operations'!$A:$Z,5,FALSE))</f>
        <v/>
      </c>
      <c r="E83" s="150" t="str">
        <f>IF(A83="","",VLOOKUP(A83,'Job Operations'!$A:$Z,6,FALSE))</f>
        <v/>
      </c>
      <c r="F83" s="150" t="str">
        <f>IF(A83="","",VLOOKUP(A83,'Job Operations'!$A:$Z,7,FALSE))</f>
        <v/>
      </c>
      <c r="G83" s="151" t="str">
        <f>IF(A83="","",VLOOKUP(A83,'Job Operations'!$A:$Z,9,FALSE))</f>
        <v/>
      </c>
      <c r="H83" s="150" t="str">
        <f>IF(A83="","",VLOOKUP(A83,'Job Operations'!$A:$Z,12,FALSE))</f>
        <v/>
      </c>
      <c r="I83" s="150" t="str">
        <f>IF(A83="","",IF(VLOOKUP(A83,'Job Operations'!$A:$Z,12,FALSE)="Shear",ROW()-6&amp;IF(OR(MOD(ROW()-6,10)=1,MOD(ROW()-6,10)=2,MOD(ROW()-6,10)=3),CHOOSE(MOD(ROW()-6,10),"st","nd","rd"),"th"),"#"&amp;(ROW()-6)&amp;" on Shear"))</f>
        <v/>
      </c>
      <c r="J83" s="151" t="str">
        <f>IF(A83="","",IFERROR(IF(VLOOKUP(A83,'Job Operations'!$A:$Z,13,FALSE)="Shear",VLOOKUP(A83,'Job Operations'!$A:$Z,14,FALSE),IF(VLOOKUP(A83,'Job Operations'!$A:$Z,15,FALSE)="Shear",VLOOKUP(A83,'Job Operations'!$A:$Z,16,FALSE),IF(VLOOKUP(A83,'Job Operations'!$A:$Z,17,FALSE)="Shear",VLOOKUP(A83,'Job Operations'!$A:$Z,18,FALSE),VLOOKUP(A83,'Job Operations'!$A:$Z,14,FALSE)))),""))</f>
        <v/>
      </c>
      <c r="K83" s="150" t="str">
        <f>IF(A83="","",IFERROR(IF(VLOOKUP(A83,'Job Operations'!$A:$Z,13,FALSE)="Shear",VLOOKUP(A83,'Job Operations'!$A:$Z,15,FALSE),IF(VLOOKUP(A83,'Job Operations'!$A:$Z,15,FALSE)="Shear",VLOOKUP(A83,'Job Operations'!$A:$Z,17,FALSE),VLOOKUP(A83,'Job Operations'!$A:$Z,15,FALSE))),""))</f>
        <v/>
      </c>
      <c r="L83" s="150" t="str">
        <f>IF(A83="","",IFERROR(IF(VLOOKUP(A83,'Job Operations'!$A:$Z,13,FALSE)="Shear",VLOOKUP(A83,'Job Operations'!$A:$Z,17,FALSE),IF(VLOOKUP(A83,'Job Operations'!$A:$Z,15,FALSE)="Shear",VLOOKUP(A83,'Job Operations'!$A:$Z,19,FALSE),VLOOKUP(A83,'Job Operations'!$A:$Z,17,FALSE))),""))</f>
        <v/>
      </c>
      <c r="M83" s="152" t="str">
        <f>IF(A83="","",IFERROR(IF(VLOOKUP(A83,Notes!A:B,2,FALSE)=0,"",VLOOKUP(A83,Notes!A:B,2,FALSE)),""))</f>
        <v/>
      </c>
    </row>
    <row r="84" spans="1:13" s="140" customFormat="1" x14ac:dyDescent="0.25">
      <c r="A84" s="145"/>
      <c r="B84" s="146" t="str">
        <f>IF(A84="","",VLOOKUP(A84,'Job Operations'!$A:$Z,2,FALSE))</f>
        <v/>
      </c>
      <c r="C84" s="146" t="str">
        <f>IF(A84="","",VLOOKUP(A84,'Job Operations'!$A:$Z,3,FALSE))</f>
        <v/>
      </c>
      <c r="D84" s="146" t="str">
        <f>IF(A84="","",VLOOKUP(A84,'Job Operations'!$A:$Z,5,FALSE))</f>
        <v/>
      </c>
      <c r="E84" s="146" t="str">
        <f>IF(A84="","",VLOOKUP(A84,'Job Operations'!$A:$Z,6,FALSE))</f>
        <v/>
      </c>
      <c r="F84" s="146" t="str">
        <f>IF(A84="","",VLOOKUP(A84,'Job Operations'!$A:$Z,7,FALSE))</f>
        <v/>
      </c>
      <c r="G84" s="147" t="str">
        <f>IF(A84="","",VLOOKUP(A84,'Job Operations'!$A:$Z,9,FALSE))</f>
        <v/>
      </c>
      <c r="H84" s="146" t="str">
        <f>IF(A84="","",VLOOKUP(A84,'Job Operations'!$A:$Z,12,FALSE))</f>
        <v/>
      </c>
      <c r="I84" s="146" t="str">
        <f>IF(A84="","",IF(VLOOKUP(A84,'Job Operations'!$A:$Z,12,FALSE)="Shear",ROW()-6&amp;IF(OR(MOD(ROW()-6,10)=1,MOD(ROW()-6,10)=2,MOD(ROW()-6,10)=3),CHOOSE(MOD(ROW()-6,10),"st","nd","rd"),"th"),"#"&amp;(ROW()-6)&amp;" on Shear"))</f>
        <v/>
      </c>
      <c r="J84" s="147" t="str">
        <f>IF(A84="","",IFERROR(IF(VLOOKUP(A84,'Job Operations'!$A:$Z,13,FALSE)="Shear",VLOOKUP(A84,'Job Operations'!$A:$Z,14,FALSE),IF(VLOOKUP(A84,'Job Operations'!$A:$Z,15,FALSE)="Shear",VLOOKUP(A84,'Job Operations'!$A:$Z,16,FALSE),IF(VLOOKUP(A84,'Job Operations'!$A:$Z,17,FALSE)="Shear",VLOOKUP(A84,'Job Operations'!$A:$Z,18,FALSE),VLOOKUP(A84,'Job Operations'!$A:$Z,14,FALSE)))),""))</f>
        <v/>
      </c>
      <c r="K84" s="146" t="str">
        <f>IF(A84="","",IFERROR(IF(VLOOKUP(A84,'Job Operations'!$A:$Z,13,FALSE)="Shear",VLOOKUP(A84,'Job Operations'!$A:$Z,15,FALSE),IF(VLOOKUP(A84,'Job Operations'!$A:$Z,15,FALSE)="Shear",VLOOKUP(A84,'Job Operations'!$A:$Z,17,FALSE),VLOOKUP(A84,'Job Operations'!$A:$Z,15,FALSE))),""))</f>
        <v/>
      </c>
      <c r="L84" s="146" t="str">
        <f>IF(A84="","",IFERROR(IF(VLOOKUP(A84,'Job Operations'!$A:$Z,13,FALSE)="Shear",VLOOKUP(A84,'Job Operations'!$A:$Z,17,FALSE),IF(VLOOKUP(A84,'Job Operations'!$A:$Z,15,FALSE)="Shear",VLOOKUP(A84,'Job Operations'!$A:$Z,19,FALSE),VLOOKUP(A84,'Job Operations'!$A:$Z,17,FALSE))),""))</f>
        <v/>
      </c>
      <c r="M84" s="148" t="str">
        <f>IF(A84="","",IFERROR(IF(VLOOKUP(A84,Notes!A:B,2,FALSE)=0,"",VLOOKUP(A84,Notes!A:B,2,FALSE)),""))</f>
        <v/>
      </c>
    </row>
    <row r="85" spans="1:13" s="140" customFormat="1" x14ac:dyDescent="0.25">
      <c r="A85" s="149"/>
      <c r="B85" s="150" t="str">
        <f>IF(A85="","",VLOOKUP(A85,'Job Operations'!$A:$Z,2,FALSE))</f>
        <v/>
      </c>
      <c r="C85" s="150" t="str">
        <f>IF(A85="","",VLOOKUP(A85,'Job Operations'!$A:$Z,3,FALSE))</f>
        <v/>
      </c>
      <c r="D85" s="150" t="str">
        <f>IF(A85="","",VLOOKUP(A85,'Job Operations'!$A:$Z,5,FALSE))</f>
        <v/>
      </c>
      <c r="E85" s="150" t="str">
        <f>IF(A85="","",VLOOKUP(A85,'Job Operations'!$A:$Z,6,FALSE))</f>
        <v/>
      </c>
      <c r="F85" s="150" t="str">
        <f>IF(A85="","",VLOOKUP(A85,'Job Operations'!$A:$Z,7,FALSE))</f>
        <v/>
      </c>
      <c r="G85" s="151" t="str">
        <f>IF(A85="","",VLOOKUP(A85,'Job Operations'!$A:$Z,9,FALSE))</f>
        <v/>
      </c>
      <c r="H85" s="150" t="str">
        <f>IF(A85="","",VLOOKUP(A85,'Job Operations'!$A:$Z,12,FALSE))</f>
        <v/>
      </c>
      <c r="I85" s="150" t="str">
        <f>IF(A85="","",IF(VLOOKUP(A85,'Job Operations'!$A:$Z,12,FALSE)="Shear",ROW()-6&amp;IF(OR(MOD(ROW()-6,10)=1,MOD(ROW()-6,10)=2,MOD(ROW()-6,10)=3),CHOOSE(MOD(ROW()-6,10),"st","nd","rd"),"th"),"#"&amp;(ROW()-6)&amp;" on Shear"))</f>
        <v/>
      </c>
      <c r="J85" s="151" t="str">
        <f>IF(A85="","",IFERROR(IF(VLOOKUP(A85,'Job Operations'!$A:$Z,13,FALSE)="Shear",VLOOKUP(A85,'Job Operations'!$A:$Z,14,FALSE),IF(VLOOKUP(A85,'Job Operations'!$A:$Z,15,FALSE)="Shear",VLOOKUP(A85,'Job Operations'!$A:$Z,16,FALSE),IF(VLOOKUP(A85,'Job Operations'!$A:$Z,17,FALSE)="Shear",VLOOKUP(A85,'Job Operations'!$A:$Z,18,FALSE),VLOOKUP(A85,'Job Operations'!$A:$Z,14,FALSE)))),""))</f>
        <v/>
      </c>
      <c r="K85" s="150" t="str">
        <f>IF(A85="","",IFERROR(IF(VLOOKUP(A85,'Job Operations'!$A:$Z,13,FALSE)="Shear",VLOOKUP(A85,'Job Operations'!$A:$Z,15,FALSE),IF(VLOOKUP(A85,'Job Operations'!$A:$Z,15,FALSE)="Shear",VLOOKUP(A85,'Job Operations'!$A:$Z,17,FALSE),VLOOKUP(A85,'Job Operations'!$A:$Z,15,FALSE))),""))</f>
        <v/>
      </c>
      <c r="L85" s="150" t="str">
        <f>IF(A85="","",IFERROR(IF(VLOOKUP(A85,'Job Operations'!$A:$Z,13,FALSE)="Shear",VLOOKUP(A85,'Job Operations'!$A:$Z,17,FALSE),IF(VLOOKUP(A85,'Job Operations'!$A:$Z,15,FALSE)="Shear",VLOOKUP(A85,'Job Operations'!$A:$Z,19,FALSE),VLOOKUP(A85,'Job Operations'!$A:$Z,17,FALSE))),""))</f>
        <v/>
      </c>
      <c r="M85" s="152" t="str">
        <f>IF(A85="","",IFERROR(IF(VLOOKUP(A85,Notes!A:B,2,FALSE)=0,"",VLOOKUP(A85,Notes!A:B,2,FALSE)),""))</f>
        <v/>
      </c>
    </row>
    <row r="86" spans="1:13" s="140" customFormat="1" x14ac:dyDescent="0.25">
      <c r="A86" s="145"/>
      <c r="B86" s="146" t="str">
        <f>IF(A86="","",VLOOKUP(A86,'Job Operations'!$A:$Z,2,FALSE))</f>
        <v/>
      </c>
      <c r="C86" s="146" t="str">
        <f>IF(A86="","",VLOOKUP(A86,'Job Operations'!$A:$Z,3,FALSE))</f>
        <v/>
      </c>
      <c r="D86" s="146" t="str">
        <f>IF(A86="","",VLOOKUP(A86,'Job Operations'!$A:$Z,5,FALSE))</f>
        <v/>
      </c>
      <c r="E86" s="146" t="str">
        <f>IF(A86="","",VLOOKUP(A86,'Job Operations'!$A:$Z,6,FALSE))</f>
        <v/>
      </c>
      <c r="F86" s="146" t="str">
        <f>IF(A86="","",VLOOKUP(A86,'Job Operations'!$A:$Z,7,FALSE))</f>
        <v/>
      </c>
      <c r="G86" s="147" t="str">
        <f>IF(A86="","",VLOOKUP(A86,'Job Operations'!$A:$Z,9,FALSE))</f>
        <v/>
      </c>
      <c r="H86" s="146" t="str">
        <f>IF(A86="","",VLOOKUP(A86,'Job Operations'!$A:$Z,12,FALSE))</f>
        <v/>
      </c>
      <c r="I86" s="146" t="str">
        <f>IF(A86="","",IF(VLOOKUP(A86,'Job Operations'!$A:$Z,12,FALSE)="Shear",ROW()-6&amp;IF(OR(MOD(ROW()-6,10)=1,MOD(ROW()-6,10)=2,MOD(ROW()-6,10)=3),CHOOSE(MOD(ROW()-6,10),"st","nd","rd"),"th"),"#"&amp;(ROW()-6)&amp;" on Shear"))</f>
        <v/>
      </c>
      <c r="J86" s="147" t="str">
        <f>IF(A86="","",IFERROR(IF(VLOOKUP(A86,'Job Operations'!$A:$Z,13,FALSE)="Shear",VLOOKUP(A86,'Job Operations'!$A:$Z,14,FALSE),IF(VLOOKUP(A86,'Job Operations'!$A:$Z,15,FALSE)="Shear",VLOOKUP(A86,'Job Operations'!$A:$Z,16,FALSE),IF(VLOOKUP(A86,'Job Operations'!$A:$Z,17,FALSE)="Shear",VLOOKUP(A86,'Job Operations'!$A:$Z,18,FALSE),VLOOKUP(A86,'Job Operations'!$A:$Z,14,FALSE)))),""))</f>
        <v/>
      </c>
      <c r="K86" s="146" t="str">
        <f>IF(A86="","",IFERROR(IF(VLOOKUP(A86,'Job Operations'!$A:$Z,13,FALSE)="Shear",VLOOKUP(A86,'Job Operations'!$A:$Z,15,FALSE),IF(VLOOKUP(A86,'Job Operations'!$A:$Z,15,FALSE)="Shear",VLOOKUP(A86,'Job Operations'!$A:$Z,17,FALSE),VLOOKUP(A86,'Job Operations'!$A:$Z,15,FALSE))),""))</f>
        <v/>
      </c>
      <c r="L86" s="146" t="str">
        <f>IF(A86="","",IFERROR(IF(VLOOKUP(A86,'Job Operations'!$A:$Z,13,FALSE)="Shear",VLOOKUP(A86,'Job Operations'!$A:$Z,17,FALSE),IF(VLOOKUP(A86,'Job Operations'!$A:$Z,15,FALSE)="Shear",VLOOKUP(A86,'Job Operations'!$A:$Z,19,FALSE),VLOOKUP(A86,'Job Operations'!$A:$Z,17,FALSE))),""))</f>
        <v/>
      </c>
      <c r="M86" s="148" t="str">
        <f>IF(A86="","",IFERROR(IF(VLOOKUP(A86,Notes!A:B,2,FALSE)=0,"",VLOOKUP(A86,Notes!A:B,2,FALSE)),""))</f>
        <v/>
      </c>
    </row>
    <row r="87" spans="1:13" s="140" customFormat="1" x14ac:dyDescent="0.25">
      <c r="A87" s="149"/>
      <c r="B87" s="150" t="str">
        <f>IF(A87="","",VLOOKUP(A87,'Job Operations'!$A:$Z,2,FALSE))</f>
        <v/>
      </c>
      <c r="C87" s="150" t="str">
        <f>IF(A87="","",VLOOKUP(A87,'Job Operations'!$A:$Z,3,FALSE))</f>
        <v/>
      </c>
      <c r="D87" s="150" t="str">
        <f>IF(A87="","",VLOOKUP(A87,'Job Operations'!$A:$Z,5,FALSE))</f>
        <v/>
      </c>
      <c r="E87" s="150" t="str">
        <f>IF(A87="","",VLOOKUP(A87,'Job Operations'!$A:$Z,6,FALSE))</f>
        <v/>
      </c>
      <c r="F87" s="150" t="str">
        <f>IF(A87="","",VLOOKUP(A87,'Job Operations'!$A:$Z,7,FALSE))</f>
        <v/>
      </c>
      <c r="G87" s="151" t="str">
        <f>IF(A87="","",VLOOKUP(A87,'Job Operations'!$A:$Z,9,FALSE))</f>
        <v/>
      </c>
      <c r="H87" s="150" t="str">
        <f>IF(A87="","",VLOOKUP(A87,'Job Operations'!$A:$Z,12,FALSE))</f>
        <v/>
      </c>
      <c r="I87" s="150" t="str">
        <f>IF(A87="","",IF(VLOOKUP(A87,'Job Operations'!$A:$Z,12,FALSE)="Shear",ROW()-6&amp;IF(OR(MOD(ROW()-6,10)=1,MOD(ROW()-6,10)=2,MOD(ROW()-6,10)=3),CHOOSE(MOD(ROW()-6,10),"st","nd","rd"),"th"),"#"&amp;(ROW()-6)&amp;" on Shear"))</f>
        <v/>
      </c>
      <c r="J87" s="151" t="str">
        <f>IF(A87="","",IFERROR(IF(VLOOKUP(A87,'Job Operations'!$A:$Z,13,FALSE)="Shear",VLOOKUP(A87,'Job Operations'!$A:$Z,14,FALSE),IF(VLOOKUP(A87,'Job Operations'!$A:$Z,15,FALSE)="Shear",VLOOKUP(A87,'Job Operations'!$A:$Z,16,FALSE),IF(VLOOKUP(A87,'Job Operations'!$A:$Z,17,FALSE)="Shear",VLOOKUP(A87,'Job Operations'!$A:$Z,18,FALSE),VLOOKUP(A87,'Job Operations'!$A:$Z,14,FALSE)))),""))</f>
        <v/>
      </c>
      <c r="K87" s="150" t="str">
        <f>IF(A87="","",IFERROR(IF(VLOOKUP(A87,'Job Operations'!$A:$Z,13,FALSE)="Shear",VLOOKUP(A87,'Job Operations'!$A:$Z,15,FALSE),IF(VLOOKUP(A87,'Job Operations'!$A:$Z,15,FALSE)="Shear",VLOOKUP(A87,'Job Operations'!$A:$Z,17,FALSE),VLOOKUP(A87,'Job Operations'!$A:$Z,15,FALSE))),""))</f>
        <v/>
      </c>
      <c r="L87" s="150" t="str">
        <f>IF(A87="","",IFERROR(IF(VLOOKUP(A87,'Job Operations'!$A:$Z,13,FALSE)="Shear",VLOOKUP(A87,'Job Operations'!$A:$Z,17,FALSE),IF(VLOOKUP(A87,'Job Operations'!$A:$Z,15,FALSE)="Shear",VLOOKUP(A87,'Job Operations'!$A:$Z,19,FALSE),VLOOKUP(A87,'Job Operations'!$A:$Z,17,FALSE))),""))</f>
        <v/>
      </c>
      <c r="M87" s="152" t="str">
        <f>IF(A87="","",IFERROR(IF(VLOOKUP(A87,Notes!A:B,2,FALSE)=0,"",VLOOKUP(A87,Notes!A:B,2,FALSE)),""))</f>
        <v/>
      </c>
    </row>
    <row r="88" spans="1:13" s="140" customFormat="1" x14ac:dyDescent="0.25">
      <c r="A88" s="145"/>
      <c r="B88" s="146" t="str">
        <f>IF(A88="","",VLOOKUP(A88,'Job Operations'!$A:$Z,2,FALSE))</f>
        <v/>
      </c>
      <c r="C88" s="146" t="str">
        <f>IF(A88="","",VLOOKUP(A88,'Job Operations'!$A:$Z,3,FALSE))</f>
        <v/>
      </c>
      <c r="D88" s="146" t="str">
        <f>IF(A88="","",VLOOKUP(A88,'Job Operations'!$A:$Z,5,FALSE))</f>
        <v/>
      </c>
      <c r="E88" s="146" t="str">
        <f>IF(A88="","",VLOOKUP(A88,'Job Operations'!$A:$Z,6,FALSE))</f>
        <v/>
      </c>
      <c r="F88" s="146" t="str">
        <f>IF(A88="","",VLOOKUP(A88,'Job Operations'!$A:$Z,7,FALSE))</f>
        <v/>
      </c>
      <c r="G88" s="147" t="str">
        <f>IF(A88="","",VLOOKUP(A88,'Job Operations'!$A:$Z,9,FALSE))</f>
        <v/>
      </c>
      <c r="H88" s="146" t="str">
        <f>IF(A88="","",VLOOKUP(A88,'Job Operations'!$A:$Z,12,FALSE))</f>
        <v/>
      </c>
      <c r="I88" s="146" t="str">
        <f>IF(A88="","",IF(VLOOKUP(A88,'Job Operations'!$A:$Z,12,FALSE)="Shear",ROW()-6&amp;IF(OR(MOD(ROW()-6,10)=1,MOD(ROW()-6,10)=2,MOD(ROW()-6,10)=3),CHOOSE(MOD(ROW()-6,10),"st","nd","rd"),"th"),"#"&amp;(ROW()-6)&amp;" on Shear"))</f>
        <v/>
      </c>
      <c r="J88" s="147" t="str">
        <f>IF(A88="","",IFERROR(IF(VLOOKUP(A88,'Job Operations'!$A:$Z,13,FALSE)="Shear",VLOOKUP(A88,'Job Operations'!$A:$Z,14,FALSE),IF(VLOOKUP(A88,'Job Operations'!$A:$Z,15,FALSE)="Shear",VLOOKUP(A88,'Job Operations'!$A:$Z,16,FALSE),IF(VLOOKUP(A88,'Job Operations'!$A:$Z,17,FALSE)="Shear",VLOOKUP(A88,'Job Operations'!$A:$Z,18,FALSE),VLOOKUP(A88,'Job Operations'!$A:$Z,14,FALSE)))),""))</f>
        <v/>
      </c>
      <c r="K88" s="146" t="str">
        <f>IF(A88="","",IFERROR(IF(VLOOKUP(A88,'Job Operations'!$A:$Z,13,FALSE)="Shear",VLOOKUP(A88,'Job Operations'!$A:$Z,15,FALSE),IF(VLOOKUP(A88,'Job Operations'!$A:$Z,15,FALSE)="Shear",VLOOKUP(A88,'Job Operations'!$A:$Z,17,FALSE),VLOOKUP(A88,'Job Operations'!$A:$Z,15,FALSE))),""))</f>
        <v/>
      </c>
      <c r="L88" s="146" t="str">
        <f>IF(A88="","",IFERROR(IF(VLOOKUP(A88,'Job Operations'!$A:$Z,13,FALSE)="Shear",VLOOKUP(A88,'Job Operations'!$A:$Z,17,FALSE),IF(VLOOKUP(A88,'Job Operations'!$A:$Z,15,FALSE)="Shear",VLOOKUP(A88,'Job Operations'!$A:$Z,19,FALSE),VLOOKUP(A88,'Job Operations'!$A:$Z,17,FALSE))),""))</f>
        <v/>
      </c>
      <c r="M88" s="148" t="str">
        <f>IF(A88="","",IFERROR(IF(VLOOKUP(A88,Notes!A:B,2,FALSE)=0,"",VLOOKUP(A88,Notes!A:B,2,FALSE)),""))</f>
        <v/>
      </c>
    </row>
    <row r="89" spans="1:13" s="140" customFormat="1" x14ac:dyDescent="0.25">
      <c r="A89" s="149"/>
      <c r="B89" s="150" t="str">
        <f>IF(A89="","",VLOOKUP(A89,'Job Operations'!$A:$Z,2,FALSE))</f>
        <v/>
      </c>
      <c r="C89" s="150" t="str">
        <f>IF(A89="","",VLOOKUP(A89,'Job Operations'!$A:$Z,3,FALSE))</f>
        <v/>
      </c>
      <c r="D89" s="150" t="str">
        <f>IF(A89="","",VLOOKUP(A89,'Job Operations'!$A:$Z,5,FALSE))</f>
        <v/>
      </c>
      <c r="E89" s="150" t="str">
        <f>IF(A89="","",VLOOKUP(A89,'Job Operations'!$A:$Z,6,FALSE))</f>
        <v/>
      </c>
      <c r="F89" s="150" t="str">
        <f>IF(A89="","",VLOOKUP(A89,'Job Operations'!$A:$Z,7,FALSE))</f>
        <v/>
      </c>
      <c r="G89" s="151" t="str">
        <f>IF(A89="","",VLOOKUP(A89,'Job Operations'!$A:$Z,9,FALSE))</f>
        <v/>
      </c>
      <c r="H89" s="150" t="str">
        <f>IF(A89="","",VLOOKUP(A89,'Job Operations'!$A:$Z,12,FALSE))</f>
        <v/>
      </c>
      <c r="I89" s="150" t="str">
        <f>IF(A89="","",IF(VLOOKUP(A89,'Job Operations'!$A:$Z,12,FALSE)="Shear",ROW()-6&amp;IF(OR(MOD(ROW()-6,10)=1,MOD(ROW()-6,10)=2,MOD(ROW()-6,10)=3),CHOOSE(MOD(ROW()-6,10),"st","nd","rd"),"th"),"#"&amp;(ROW()-6)&amp;" on Shear"))</f>
        <v/>
      </c>
      <c r="J89" s="151" t="str">
        <f>IF(A89="","",IFERROR(IF(VLOOKUP(A89,'Job Operations'!$A:$Z,13,FALSE)="Shear",VLOOKUP(A89,'Job Operations'!$A:$Z,14,FALSE),IF(VLOOKUP(A89,'Job Operations'!$A:$Z,15,FALSE)="Shear",VLOOKUP(A89,'Job Operations'!$A:$Z,16,FALSE),IF(VLOOKUP(A89,'Job Operations'!$A:$Z,17,FALSE)="Shear",VLOOKUP(A89,'Job Operations'!$A:$Z,18,FALSE),VLOOKUP(A89,'Job Operations'!$A:$Z,14,FALSE)))),""))</f>
        <v/>
      </c>
      <c r="K89" s="150" t="str">
        <f>IF(A89="","",IFERROR(IF(VLOOKUP(A89,'Job Operations'!$A:$Z,13,FALSE)="Shear",VLOOKUP(A89,'Job Operations'!$A:$Z,15,FALSE),IF(VLOOKUP(A89,'Job Operations'!$A:$Z,15,FALSE)="Shear",VLOOKUP(A89,'Job Operations'!$A:$Z,17,FALSE),VLOOKUP(A89,'Job Operations'!$A:$Z,15,FALSE))),""))</f>
        <v/>
      </c>
      <c r="L89" s="150" t="str">
        <f>IF(A89="","",IFERROR(IF(VLOOKUP(A89,'Job Operations'!$A:$Z,13,FALSE)="Shear",VLOOKUP(A89,'Job Operations'!$A:$Z,17,FALSE),IF(VLOOKUP(A89,'Job Operations'!$A:$Z,15,FALSE)="Shear",VLOOKUP(A89,'Job Operations'!$A:$Z,19,FALSE),VLOOKUP(A89,'Job Operations'!$A:$Z,17,FALSE))),""))</f>
        <v/>
      </c>
      <c r="M89" s="152" t="str">
        <f>IF(A89="","",IFERROR(IF(VLOOKUP(A89,Notes!A:B,2,FALSE)=0,"",VLOOKUP(A89,Notes!A:B,2,FALSE)),""))</f>
        <v/>
      </c>
    </row>
    <row r="90" spans="1:13" s="140" customFormat="1" x14ac:dyDescent="0.25">
      <c r="A90" s="145"/>
      <c r="B90" s="146" t="str">
        <f>IF(A90="","",VLOOKUP(A90,'Job Operations'!$A:$Z,2,FALSE))</f>
        <v/>
      </c>
      <c r="C90" s="146" t="str">
        <f>IF(A90="","",VLOOKUP(A90,'Job Operations'!$A:$Z,3,FALSE))</f>
        <v/>
      </c>
      <c r="D90" s="146" t="str">
        <f>IF(A90="","",VLOOKUP(A90,'Job Operations'!$A:$Z,5,FALSE))</f>
        <v/>
      </c>
      <c r="E90" s="146" t="str">
        <f>IF(A90="","",VLOOKUP(A90,'Job Operations'!$A:$Z,6,FALSE))</f>
        <v/>
      </c>
      <c r="F90" s="146" t="str">
        <f>IF(A90="","",VLOOKUP(A90,'Job Operations'!$A:$Z,7,FALSE))</f>
        <v/>
      </c>
      <c r="G90" s="147" t="str">
        <f>IF(A90="","",VLOOKUP(A90,'Job Operations'!$A:$Z,9,FALSE))</f>
        <v/>
      </c>
      <c r="H90" s="146" t="str">
        <f>IF(A90="","",VLOOKUP(A90,'Job Operations'!$A:$Z,12,FALSE))</f>
        <v/>
      </c>
      <c r="I90" s="146" t="str">
        <f>IF(A90="","",IF(VLOOKUP(A90,'Job Operations'!$A:$Z,12,FALSE)="Shear",ROW()-6&amp;IF(OR(MOD(ROW()-6,10)=1,MOD(ROW()-6,10)=2,MOD(ROW()-6,10)=3),CHOOSE(MOD(ROW()-6,10),"st","nd","rd"),"th"),"#"&amp;(ROW()-6)&amp;" on Shear"))</f>
        <v/>
      </c>
      <c r="J90" s="147" t="str">
        <f>IF(A90="","",IFERROR(IF(VLOOKUP(A90,'Job Operations'!$A:$Z,13,FALSE)="Shear",VLOOKUP(A90,'Job Operations'!$A:$Z,14,FALSE),IF(VLOOKUP(A90,'Job Operations'!$A:$Z,15,FALSE)="Shear",VLOOKUP(A90,'Job Operations'!$A:$Z,16,FALSE),IF(VLOOKUP(A90,'Job Operations'!$A:$Z,17,FALSE)="Shear",VLOOKUP(A90,'Job Operations'!$A:$Z,18,FALSE),VLOOKUP(A90,'Job Operations'!$A:$Z,14,FALSE)))),""))</f>
        <v/>
      </c>
      <c r="K90" s="146" t="str">
        <f>IF(A90="","",IFERROR(IF(VLOOKUP(A90,'Job Operations'!$A:$Z,13,FALSE)="Shear",VLOOKUP(A90,'Job Operations'!$A:$Z,15,FALSE),IF(VLOOKUP(A90,'Job Operations'!$A:$Z,15,FALSE)="Shear",VLOOKUP(A90,'Job Operations'!$A:$Z,17,FALSE),VLOOKUP(A90,'Job Operations'!$A:$Z,15,FALSE))),""))</f>
        <v/>
      </c>
      <c r="L90" s="146" t="str">
        <f>IF(A90="","",IFERROR(IF(VLOOKUP(A90,'Job Operations'!$A:$Z,13,FALSE)="Shear",VLOOKUP(A90,'Job Operations'!$A:$Z,17,FALSE),IF(VLOOKUP(A90,'Job Operations'!$A:$Z,15,FALSE)="Shear",VLOOKUP(A90,'Job Operations'!$A:$Z,19,FALSE),VLOOKUP(A90,'Job Operations'!$A:$Z,17,FALSE))),""))</f>
        <v/>
      </c>
      <c r="M90" s="148" t="str">
        <f>IF(A90="","",IFERROR(IF(VLOOKUP(A90,Notes!A:B,2,FALSE)=0,"",VLOOKUP(A90,Notes!A:B,2,FALSE)),""))</f>
        <v/>
      </c>
    </row>
    <row r="91" spans="1:13" s="140" customFormat="1" x14ac:dyDescent="0.25">
      <c r="A91" s="149"/>
      <c r="B91" s="150" t="str">
        <f>IF(A91="","",VLOOKUP(A91,'Job Operations'!$A:$Z,2,FALSE))</f>
        <v/>
      </c>
      <c r="C91" s="150" t="str">
        <f>IF(A91="","",VLOOKUP(A91,'Job Operations'!$A:$Z,3,FALSE))</f>
        <v/>
      </c>
      <c r="D91" s="150" t="str">
        <f>IF(A91="","",VLOOKUP(A91,'Job Operations'!$A:$Z,5,FALSE))</f>
        <v/>
      </c>
      <c r="E91" s="150" t="str">
        <f>IF(A91="","",VLOOKUP(A91,'Job Operations'!$A:$Z,6,FALSE))</f>
        <v/>
      </c>
      <c r="F91" s="150" t="str">
        <f>IF(A91="","",VLOOKUP(A91,'Job Operations'!$A:$Z,7,FALSE))</f>
        <v/>
      </c>
      <c r="G91" s="151" t="str">
        <f>IF(A91="","",VLOOKUP(A91,'Job Operations'!$A:$Z,9,FALSE))</f>
        <v/>
      </c>
      <c r="H91" s="150" t="str">
        <f>IF(A91="","",VLOOKUP(A91,'Job Operations'!$A:$Z,12,FALSE))</f>
        <v/>
      </c>
      <c r="I91" s="150" t="str">
        <f>IF(A91="","",IF(VLOOKUP(A91,'Job Operations'!$A:$Z,12,FALSE)="Shear",ROW()-6&amp;IF(OR(MOD(ROW()-6,10)=1,MOD(ROW()-6,10)=2,MOD(ROW()-6,10)=3),CHOOSE(MOD(ROW()-6,10),"st","nd","rd"),"th"),"#"&amp;(ROW()-6)&amp;" on Shear"))</f>
        <v/>
      </c>
      <c r="J91" s="151" t="str">
        <f>IF(A91="","",IFERROR(IF(VLOOKUP(A91,'Job Operations'!$A:$Z,13,FALSE)="Shear",VLOOKUP(A91,'Job Operations'!$A:$Z,14,FALSE),IF(VLOOKUP(A91,'Job Operations'!$A:$Z,15,FALSE)="Shear",VLOOKUP(A91,'Job Operations'!$A:$Z,16,FALSE),IF(VLOOKUP(A91,'Job Operations'!$A:$Z,17,FALSE)="Shear",VLOOKUP(A91,'Job Operations'!$A:$Z,18,FALSE),VLOOKUP(A91,'Job Operations'!$A:$Z,14,FALSE)))),""))</f>
        <v/>
      </c>
      <c r="K91" s="150" t="str">
        <f>IF(A91="","",IFERROR(IF(VLOOKUP(A91,'Job Operations'!$A:$Z,13,FALSE)="Shear",VLOOKUP(A91,'Job Operations'!$A:$Z,15,FALSE),IF(VLOOKUP(A91,'Job Operations'!$A:$Z,15,FALSE)="Shear",VLOOKUP(A91,'Job Operations'!$A:$Z,17,FALSE),VLOOKUP(A91,'Job Operations'!$A:$Z,15,FALSE))),""))</f>
        <v/>
      </c>
      <c r="L91" s="150" t="str">
        <f>IF(A91="","",IFERROR(IF(VLOOKUP(A91,'Job Operations'!$A:$Z,13,FALSE)="Shear",VLOOKUP(A91,'Job Operations'!$A:$Z,17,FALSE),IF(VLOOKUP(A91,'Job Operations'!$A:$Z,15,FALSE)="Shear",VLOOKUP(A91,'Job Operations'!$A:$Z,19,FALSE),VLOOKUP(A91,'Job Operations'!$A:$Z,17,FALSE))),""))</f>
        <v/>
      </c>
      <c r="M91" s="152" t="str">
        <f>IF(A91="","",IFERROR(IF(VLOOKUP(A91,Notes!A:B,2,FALSE)=0,"",VLOOKUP(A91,Notes!A:B,2,FALSE)),""))</f>
        <v/>
      </c>
    </row>
    <row r="92" spans="1:13" s="140" customFormat="1" x14ac:dyDescent="0.25">
      <c r="A92" s="145"/>
      <c r="B92" s="146" t="str">
        <f>IF(A92="","",VLOOKUP(A92,'Job Operations'!$A:$Z,2,FALSE))</f>
        <v/>
      </c>
      <c r="C92" s="146" t="str">
        <f>IF(A92="","",VLOOKUP(A92,'Job Operations'!$A:$Z,3,FALSE))</f>
        <v/>
      </c>
      <c r="D92" s="146" t="str">
        <f>IF(A92="","",VLOOKUP(A92,'Job Operations'!$A:$Z,5,FALSE))</f>
        <v/>
      </c>
      <c r="E92" s="146" t="str">
        <f>IF(A92="","",VLOOKUP(A92,'Job Operations'!$A:$Z,6,FALSE))</f>
        <v/>
      </c>
      <c r="F92" s="146" t="str">
        <f>IF(A92="","",VLOOKUP(A92,'Job Operations'!$A:$Z,7,FALSE))</f>
        <v/>
      </c>
      <c r="G92" s="147" t="str">
        <f>IF(A92="","",VLOOKUP(A92,'Job Operations'!$A:$Z,9,FALSE))</f>
        <v/>
      </c>
      <c r="H92" s="146" t="str">
        <f>IF(A92="","",VLOOKUP(A92,'Job Operations'!$A:$Z,12,FALSE))</f>
        <v/>
      </c>
      <c r="I92" s="146" t="str">
        <f>IF(A92="","",IF(VLOOKUP(A92,'Job Operations'!$A:$Z,12,FALSE)="Shear",ROW()-6&amp;IF(OR(MOD(ROW()-6,10)=1,MOD(ROW()-6,10)=2,MOD(ROW()-6,10)=3),CHOOSE(MOD(ROW()-6,10),"st","nd","rd"),"th"),"#"&amp;(ROW()-6)&amp;" on Shear"))</f>
        <v/>
      </c>
      <c r="J92" s="147" t="str">
        <f>IF(A92="","",IFERROR(IF(VLOOKUP(A92,'Job Operations'!$A:$Z,13,FALSE)="Shear",VLOOKUP(A92,'Job Operations'!$A:$Z,14,FALSE),IF(VLOOKUP(A92,'Job Operations'!$A:$Z,15,FALSE)="Shear",VLOOKUP(A92,'Job Operations'!$A:$Z,16,FALSE),IF(VLOOKUP(A92,'Job Operations'!$A:$Z,17,FALSE)="Shear",VLOOKUP(A92,'Job Operations'!$A:$Z,18,FALSE),VLOOKUP(A92,'Job Operations'!$A:$Z,14,FALSE)))),""))</f>
        <v/>
      </c>
      <c r="K92" s="146" t="str">
        <f>IF(A92="","",IFERROR(IF(VLOOKUP(A92,'Job Operations'!$A:$Z,13,FALSE)="Shear",VLOOKUP(A92,'Job Operations'!$A:$Z,15,FALSE),IF(VLOOKUP(A92,'Job Operations'!$A:$Z,15,FALSE)="Shear",VLOOKUP(A92,'Job Operations'!$A:$Z,17,FALSE),VLOOKUP(A92,'Job Operations'!$A:$Z,15,FALSE))),""))</f>
        <v/>
      </c>
      <c r="L92" s="146" t="str">
        <f>IF(A92="","",IFERROR(IF(VLOOKUP(A92,'Job Operations'!$A:$Z,13,FALSE)="Shear",VLOOKUP(A92,'Job Operations'!$A:$Z,17,FALSE),IF(VLOOKUP(A92,'Job Operations'!$A:$Z,15,FALSE)="Shear",VLOOKUP(A92,'Job Operations'!$A:$Z,19,FALSE),VLOOKUP(A92,'Job Operations'!$A:$Z,17,FALSE))),""))</f>
        <v/>
      </c>
      <c r="M92" s="148" t="str">
        <f>IF(A92="","",IFERROR(IF(VLOOKUP(A92,Notes!A:B,2,FALSE)=0,"",VLOOKUP(A92,Notes!A:B,2,FALSE)),""))</f>
        <v/>
      </c>
    </row>
    <row r="93" spans="1:13" s="140" customFormat="1" x14ac:dyDescent="0.25">
      <c r="A93" s="149"/>
      <c r="B93" s="150" t="str">
        <f>IF(A93="","",VLOOKUP(A93,'Job Operations'!$A:$Z,2,FALSE))</f>
        <v/>
      </c>
      <c r="C93" s="150" t="str">
        <f>IF(A93="","",VLOOKUP(A93,'Job Operations'!$A:$Z,3,FALSE))</f>
        <v/>
      </c>
      <c r="D93" s="150" t="str">
        <f>IF(A93="","",VLOOKUP(A93,'Job Operations'!$A:$Z,5,FALSE))</f>
        <v/>
      </c>
      <c r="E93" s="150" t="str">
        <f>IF(A93="","",VLOOKUP(A93,'Job Operations'!$A:$Z,6,FALSE))</f>
        <v/>
      </c>
      <c r="F93" s="150" t="str">
        <f>IF(A93="","",VLOOKUP(A93,'Job Operations'!$A:$Z,7,FALSE))</f>
        <v/>
      </c>
      <c r="G93" s="151" t="str">
        <f>IF(A93="","",VLOOKUP(A93,'Job Operations'!$A:$Z,9,FALSE))</f>
        <v/>
      </c>
      <c r="H93" s="150" t="str">
        <f>IF(A93="","",VLOOKUP(A93,'Job Operations'!$A:$Z,12,FALSE))</f>
        <v/>
      </c>
      <c r="I93" s="150" t="str">
        <f>IF(A93="","",IF(VLOOKUP(A93,'Job Operations'!$A:$Z,12,FALSE)="Shear",ROW()-6&amp;IF(OR(MOD(ROW()-6,10)=1,MOD(ROW()-6,10)=2,MOD(ROW()-6,10)=3),CHOOSE(MOD(ROW()-6,10),"st","nd","rd"),"th"),"#"&amp;(ROW()-6)&amp;" on Shear"))</f>
        <v/>
      </c>
      <c r="J93" s="151" t="str">
        <f>IF(A93="","",IFERROR(IF(VLOOKUP(A93,'Job Operations'!$A:$Z,13,FALSE)="Shear",VLOOKUP(A93,'Job Operations'!$A:$Z,14,FALSE),IF(VLOOKUP(A93,'Job Operations'!$A:$Z,15,FALSE)="Shear",VLOOKUP(A93,'Job Operations'!$A:$Z,16,FALSE),IF(VLOOKUP(A93,'Job Operations'!$A:$Z,17,FALSE)="Shear",VLOOKUP(A93,'Job Operations'!$A:$Z,18,FALSE),VLOOKUP(A93,'Job Operations'!$A:$Z,14,FALSE)))),""))</f>
        <v/>
      </c>
      <c r="K93" s="150" t="str">
        <f>IF(A93="","",IFERROR(IF(VLOOKUP(A93,'Job Operations'!$A:$Z,13,FALSE)="Shear",VLOOKUP(A93,'Job Operations'!$A:$Z,15,FALSE),IF(VLOOKUP(A93,'Job Operations'!$A:$Z,15,FALSE)="Shear",VLOOKUP(A93,'Job Operations'!$A:$Z,17,FALSE),VLOOKUP(A93,'Job Operations'!$A:$Z,15,FALSE))),""))</f>
        <v/>
      </c>
      <c r="L93" s="150" t="str">
        <f>IF(A93="","",IFERROR(IF(VLOOKUP(A93,'Job Operations'!$A:$Z,13,FALSE)="Shear",VLOOKUP(A93,'Job Operations'!$A:$Z,17,FALSE),IF(VLOOKUP(A93,'Job Operations'!$A:$Z,15,FALSE)="Shear",VLOOKUP(A93,'Job Operations'!$A:$Z,19,FALSE),VLOOKUP(A93,'Job Operations'!$A:$Z,17,FALSE))),""))</f>
        <v/>
      </c>
      <c r="M93" s="152" t="str">
        <f>IF(A93="","",IFERROR(IF(VLOOKUP(A93,Notes!A:B,2,FALSE)=0,"",VLOOKUP(A93,Notes!A:B,2,FALSE)),""))</f>
        <v/>
      </c>
    </row>
    <row r="94" spans="1:13" s="140" customFormat="1" x14ac:dyDescent="0.25">
      <c r="A94" s="145"/>
      <c r="B94" s="146" t="str">
        <f>IF(A94="","",VLOOKUP(A94,'Job Operations'!$A:$Z,2,FALSE))</f>
        <v/>
      </c>
      <c r="C94" s="146" t="str">
        <f>IF(A94="","",VLOOKUP(A94,'Job Operations'!$A:$Z,3,FALSE))</f>
        <v/>
      </c>
      <c r="D94" s="146" t="str">
        <f>IF(A94="","",VLOOKUP(A94,'Job Operations'!$A:$Z,5,FALSE))</f>
        <v/>
      </c>
      <c r="E94" s="146" t="str">
        <f>IF(A94="","",VLOOKUP(A94,'Job Operations'!$A:$Z,6,FALSE))</f>
        <v/>
      </c>
      <c r="F94" s="146" t="str">
        <f>IF(A94="","",VLOOKUP(A94,'Job Operations'!$A:$Z,7,FALSE))</f>
        <v/>
      </c>
      <c r="G94" s="147" t="str">
        <f>IF(A94="","",VLOOKUP(A94,'Job Operations'!$A:$Z,9,FALSE))</f>
        <v/>
      </c>
      <c r="H94" s="146" t="str">
        <f>IF(A94="","",VLOOKUP(A94,'Job Operations'!$A:$Z,12,FALSE))</f>
        <v/>
      </c>
      <c r="I94" s="146" t="str">
        <f>IF(A94="","",IF(VLOOKUP(A94,'Job Operations'!$A:$Z,12,FALSE)="Shear",ROW()-6&amp;IF(OR(MOD(ROW()-6,10)=1,MOD(ROW()-6,10)=2,MOD(ROW()-6,10)=3),CHOOSE(MOD(ROW()-6,10),"st","nd","rd"),"th"),"#"&amp;(ROW()-6)&amp;" on Shear"))</f>
        <v/>
      </c>
      <c r="J94" s="147" t="str">
        <f>IF(A94="","",IFERROR(IF(VLOOKUP(A94,'Job Operations'!$A:$Z,13,FALSE)="Shear",VLOOKUP(A94,'Job Operations'!$A:$Z,14,FALSE),IF(VLOOKUP(A94,'Job Operations'!$A:$Z,15,FALSE)="Shear",VLOOKUP(A94,'Job Operations'!$A:$Z,16,FALSE),IF(VLOOKUP(A94,'Job Operations'!$A:$Z,17,FALSE)="Shear",VLOOKUP(A94,'Job Operations'!$A:$Z,18,FALSE),VLOOKUP(A94,'Job Operations'!$A:$Z,14,FALSE)))),""))</f>
        <v/>
      </c>
      <c r="K94" s="146" t="str">
        <f>IF(A94="","",IFERROR(IF(VLOOKUP(A94,'Job Operations'!$A:$Z,13,FALSE)="Shear",VLOOKUP(A94,'Job Operations'!$A:$Z,15,FALSE),IF(VLOOKUP(A94,'Job Operations'!$A:$Z,15,FALSE)="Shear",VLOOKUP(A94,'Job Operations'!$A:$Z,17,FALSE),VLOOKUP(A94,'Job Operations'!$A:$Z,15,FALSE))),""))</f>
        <v/>
      </c>
      <c r="L94" s="146" t="str">
        <f>IF(A94="","",IFERROR(IF(VLOOKUP(A94,'Job Operations'!$A:$Z,13,FALSE)="Shear",VLOOKUP(A94,'Job Operations'!$A:$Z,17,FALSE),IF(VLOOKUP(A94,'Job Operations'!$A:$Z,15,FALSE)="Shear",VLOOKUP(A94,'Job Operations'!$A:$Z,19,FALSE),VLOOKUP(A94,'Job Operations'!$A:$Z,17,FALSE))),""))</f>
        <v/>
      </c>
      <c r="M94" s="148" t="str">
        <f>IF(A94="","",IFERROR(IF(VLOOKUP(A94,Notes!A:B,2,FALSE)=0,"",VLOOKUP(A94,Notes!A:B,2,FALSE)),""))</f>
        <v/>
      </c>
    </row>
    <row r="95" spans="1:13" s="140" customFormat="1" x14ac:dyDescent="0.25">
      <c r="A95" s="149"/>
      <c r="B95" s="150" t="str">
        <f>IF(A95="","",VLOOKUP(A95,'Job Operations'!$A:$Z,2,FALSE))</f>
        <v/>
      </c>
      <c r="C95" s="150" t="str">
        <f>IF(A95="","",VLOOKUP(A95,'Job Operations'!$A:$Z,3,FALSE))</f>
        <v/>
      </c>
      <c r="D95" s="150" t="str">
        <f>IF(A95="","",VLOOKUP(A95,'Job Operations'!$A:$Z,5,FALSE))</f>
        <v/>
      </c>
      <c r="E95" s="150" t="str">
        <f>IF(A95="","",VLOOKUP(A95,'Job Operations'!$A:$Z,6,FALSE))</f>
        <v/>
      </c>
      <c r="F95" s="150" t="str">
        <f>IF(A95="","",VLOOKUP(A95,'Job Operations'!$A:$Z,7,FALSE))</f>
        <v/>
      </c>
      <c r="G95" s="151" t="str">
        <f>IF(A95="","",VLOOKUP(A95,'Job Operations'!$A:$Z,9,FALSE))</f>
        <v/>
      </c>
      <c r="H95" s="150" t="str">
        <f>IF(A95="","",VLOOKUP(A95,'Job Operations'!$A:$Z,12,FALSE))</f>
        <v/>
      </c>
      <c r="I95" s="150" t="str">
        <f>IF(A95="","",IF(VLOOKUP(A95,'Job Operations'!$A:$Z,12,FALSE)="Shear",ROW()-6&amp;IF(OR(MOD(ROW()-6,10)=1,MOD(ROW()-6,10)=2,MOD(ROW()-6,10)=3),CHOOSE(MOD(ROW()-6,10),"st","nd","rd"),"th"),"#"&amp;(ROW()-6)&amp;" on Shear"))</f>
        <v/>
      </c>
      <c r="J95" s="151" t="str">
        <f>IF(A95="","",IFERROR(IF(VLOOKUP(A95,'Job Operations'!$A:$Z,13,FALSE)="Shear",VLOOKUP(A95,'Job Operations'!$A:$Z,14,FALSE),IF(VLOOKUP(A95,'Job Operations'!$A:$Z,15,FALSE)="Shear",VLOOKUP(A95,'Job Operations'!$A:$Z,16,FALSE),IF(VLOOKUP(A95,'Job Operations'!$A:$Z,17,FALSE)="Shear",VLOOKUP(A95,'Job Operations'!$A:$Z,18,FALSE),VLOOKUP(A95,'Job Operations'!$A:$Z,14,FALSE)))),""))</f>
        <v/>
      </c>
      <c r="K95" s="150" t="str">
        <f>IF(A95="","",IFERROR(IF(VLOOKUP(A95,'Job Operations'!$A:$Z,13,FALSE)="Shear",VLOOKUP(A95,'Job Operations'!$A:$Z,15,FALSE),IF(VLOOKUP(A95,'Job Operations'!$A:$Z,15,FALSE)="Shear",VLOOKUP(A95,'Job Operations'!$A:$Z,17,FALSE),VLOOKUP(A95,'Job Operations'!$A:$Z,15,FALSE))),""))</f>
        <v/>
      </c>
      <c r="L95" s="150" t="str">
        <f>IF(A95="","",IFERROR(IF(VLOOKUP(A95,'Job Operations'!$A:$Z,13,FALSE)="Shear",VLOOKUP(A95,'Job Operations'!$A:$Z,17,FALSE),IF(VLOOKUP(A95,'Job Operations'!$A:$Z,15,FALSE)="Shear",VLOOKUP(A95,'Job Operations'!$A:$Z,19,FALSE),VLOOKUP(A95,'Job Operations'!$A:$Z,17,FALSE))),""))</f>
        <v/>
      </c>
      <c r="M95" s="152" t="str">
        <f>IF(A95="","",IFERROR(IF(VLOOKUP(A95,Notes!A:B,2,FALSE)=0,"",VLOOKUP(A95,Notes!A:B,2,FALSE)),""))</f>
        <v/>
      </c>
    </row>
    <row r="96" spans="1:13" s="140" customFormat="1" x14ac:dyDescent="0.25">
      <c r="A96" s="145"/>
      <c r="B96" s="146" t="str">
        <f>IF(A96="","",VLOOKUP(A96,'Job Operations'!$A:$Z,2,FALSE))</f>
        <v/>
      </c>
      <c r="C96" s="146" t="str">
        <f>IF(A96="","",VLOOKUP(A96,'Job Operations'!$A:$Z,3,FALSE))</f>
        <v/>
      </c>
      <c r="D96" s="146" t="str">
        <f>IF(A96="","",VLOOKUP(A96,'Job Operations'!$A:$Z,5,FALSE))</f>
        <v/>
      </c>
      <c r="E96" s="146" t="str">
        <f>IF(A96="","",VLOOKUP(A96,'Job Operations'!$A:$Z,6,FALSE))</f>
        <v/>
      </c>
      <c r="F96" s="146" t="str">
        <f>IF(A96="","",VLOOKUP(A96,'Job Operations'!$A:$Z,7,FALSE))</f>
        <v/>
      </c>
      <c r="G96" s="147" t="str">
        <f>IF(A96="","",VLOOKUP(A96,'Job Operations'!$A:$Z,9,FALSE))</f>
        <v/>
      </c>
      <c r="H96" s="146" t="str">
        <f>IF(A96="","",VLOOKUP(A96,'Job Operations'!$A:$Z,12,FALSE))</f>
        <v/>
      </c>
      <c r="I96" s="146" t="str">
        <f>IF(A96="","",IF(VLOOKUP(A96,'Job Operations'!$A:$Z,12,FALSE)="Shear",ROW()-6&amp;IF(OR(MOD(ROW()-6,10)=1,MOD(ROW()-6,10)=2,MOD(ROW()-6,10)=3),CHOOSE(MOD(ROW()-6,10),"st","nd","rd"),"th"),"#"&amp;(ROW()-6)&amp;" on Shear"))</f>
        <v/>
      </c>
      <c r="J96" s="147" t="str">
        <f>IF(A96="","",IFERROR(IF(VLOOKUP(A96,'Job Operations'!$A:$Z,13,FALSE)="Shear",VLOOKUP(A96,'Job Operations'!$A:$Z,14,FALSE),IF(VLOOKUP(A96,'Job Operations'!$A:$Z,15,FALSE)="Shear",VLOOKUP(A96,'Job Operations'!$A:$Z,16,FALSE),IF(VLOOKUP(A96,'Job Operations'!$A:$Z,17,FALSE)="Shear",VLOOKUP(A96,'Job Operations'!$A:$Z,18,FALSE),VLOOKUP(A96,'Job Operations'!$A:$Z,14,FALSE)))),""))</f>
        <v/>
      </c>
      <c r="K96" s="146" t="str">
        <f>IF(A96="","",IFERROR(IF(VLOOKUP(A96,'Job Operations'!$A:$Z,13,FALSE)="Shear",VLOOKUP(A96,'Job Operations'!$A:$Z,15,FALSE),IF(VLOOKUP(A96,'Job Operations'!$A:$Z,15,FALSE)="Shear",VLOOKUP(A96,'Job Operations'!$A:$Z,17,FALSE),VLOOKUP(A96,'Job Operations'!$A:$Z,15,FALSE))),""))</f>
        <v/>
      </c>
      <c r="L96" s="146" t="str">
        <f>IF(A96="","",IFERROR(IF(VLOOKUP(A96,'Job Operations'!$A:$Z,13,FALSE)="Shear",VLOOKUP(A96,'Job Operations'!$A:$Z,17,FALSE),IF(VLOOKUP(A96,'Job Operations'!$A:$Z,15,FALSE)="Shear",VLOOKUP(A96,'Job Operations'!$A:$Z,19,FALSE),VLOOKUP(A96,'Job Operations'!$A:$Z,17,FALSE))),""))</f>
        <v/>
      </c>
      <c r="M96" s="148" t="str">
        <f>IF(A96="","",IFERROR(IF(VLOOKUP(A96,Notes!A:B,2,FALSE)=0,"",VLOOKUP(A96,Notes!A:B,2,FALSE)),""))</f>
        <v/>
      </c>
    </row>
    <row r="97" spans="1:13" s="140" customFormat="1" x14ac:dyDescent="0.25">
      <c r="A97" s="149"/>
      <c r="B97" s="150" t="str">
        <f>IF(A97="","",VLOOKUP(A97,'Job Operations'!$A:$Z,2,FALSE))</f>
        <v/>
      </c>
      <c r="C97" s="150" t="str">
        <f>IF(A97="","",VLOOKUP(A97,'Job Operations'!$A:$Z,3,FALSE))</f>
        <v/>
      </c>
      <c r="D97" s="150" t="str">
        <f>IF(A97="","",VLOOKUP(A97,'Job Operations'!$A:$Z,5,FALSE))</f>
        <v/>
      </c>
      <c r="E97" s="150" t="str">
        <f>IF(A97="","",VLOOKUP(A97,'Job Operations'!$A:$Z,6,FALSE))</f>
        <v/>
      </c>
      <c r="F97" s="150" t="str">
        <f>IF(A97="","",VLOOKUP(A97,'Job Operations'!$A:$Z,7,FALSE))</f>
        <v/>
      </c>
      <c r="G97" s="151" t="str">
        <f>IF(A97="","",VLOOKUP(A97,'Job Operations'!$A:$Z,9,FALSE))</f>
        <v/>
      </c>
      <c r="H97" s="150" t="str">
        <f>IF(A97="","",VLOOKUP(A97,'Job Operations'!$A:$Z,12,FALSE))</f>
        <v/>
      </c>
      <c r="I97" s="150" t="str">
        <f>IF(A97="","",IF(VLOOKUP(A97,'Job Operations'!$A:$Z,12,FALSE)="Shear",ROW()-6&amp;IF(OR(MOD(ROW()-6,10)=1,MOD(ROW()-6,10)=2,MOD(ROW()-6,10)=3),CHOOSE(MOD(ROW()-6,10),"st","nd","rd"),"th"),"#"&amp;(ROW()-6)&amp;" on Shear"))</f>
        <v/>
      </c>
      <c r="J97" s="151" t="str">
        <f>IF(A97="","",IFERROR(IF(VLOOKUP(A97,'Job Operations'!$A:$Z,13,FALSE)="Shear",VLOOKUP(A97,'Job Operations'!$A:$Z,14,FALSE),IF(VLOOKUP(A97,'Job Operations'!$A:$Z,15,FALSE)="Shear",VLOOKUP(A97,'Job Operations'!$A:$Z,16,FALSE),IF(VLOOKUP(A97,'Job Operations'!$A:$Z,17,FALSE)="Shear",VLOOKUP(A97,'Job Operations'!$A:$Z,18,FALSE),VLOOKUP(A97,'Job Operations'!$A:$Z,14,FALSE)))),""))</f>
        <v/>
      </c>
      <c r="K97" s="150" t="str">
        <f>IF(A97="","",IFERROR(IF(VLOOKUP(A97,'Job Operations'!$A:$Z,13,FALSE)="Shear",VLOOKUP(A97,'Job Operations'!$A:$Z,15,FALSE),IF(VLOOKUP(A97,'Job Operations'!$A:$Z,15,FALSE)="Shear",VLOOKUP(A97,'Job Operations'!$A:$Z,17,FALSE),VLOOKUP(A97,'Job Operations'!$A:$Z,15,FALSE))),""))</f>
        <v/>
      </c>
      <c r="L97" s="150" t="str">
        <f>IF(A97="","",IFERROR(IF(VLOOKUP(A97,'Job Operations'!$A:$Z,13,FALSE)="Shear",VLOOKUP(A97,'Job Operations'!$A:$Z,17,FALSE),IF(VLOOKUP(A97,'Job Operations'!$A:$Z,15,FALSE)="Shear",VLOOKUP(A97,'Job Operations'!$A:$Z,19,FALSE),VLOOKUP(A97,'Job Operations'!$A:$Z,17,FALSE))),""))</f>
        <v/>
      </c>
      <c r="M97" s="152" t="str">
        <f>IF(A97="","",IFERROR(IF(VLOOKUP(A97,Notes!A:B,2,FALSE)=0,"",VLOOKUP(A97,Notes!A:B,2,FALSE)),""))</f>
        <v/>
      </c>
    </row>
    <row r="98" spans="1:13" s="140" customFormat="1" x14ac:dyDescent="0.25">
      <c r="A98" s="145"/>
      <c r="B98" s="146" t="str">
        <f>IF(A98="","",VLOOKUP(A98,'Job Operations'!$A:$Z,2,FALSE))</f>
        <v/>
      </c>
      <c r="C98" s="146" t="str">
        <f>IF(A98="","",VLOOKUP(A98,'Job Operations'!$A:$Z,3,FALSE))</f>
        <v/>
      </c>
      <c r="D98" s="146" t="str">
        <f>IF(A98="","",VLOOKUP(A98,'Job Operations'!$A:$Z,5,FALSE))</f>
        <v/>
      </c>
      <c r="E98" s="146" t="str">
        <f>IF(A98="","",VLOOKUP(A98,'Job Operations'!$A:$Z,6,FALSE))</f>
        <v/>
      </c>
      <c r="F98" s="146" t="str">
        <f>IF(A98="","",VLOOKUP(A98,'Job Operations'!$A:$Z,7,FALSE))</f>
        <v/>
      </c>
      <c r="G98" s="147" t="str">
        <f>IF(A98="","",VLOOKUP(A98,'Job Operations'!$A:$Z,9,FALSE))</f>
        <v/>
      </c>
      <c r="H98" s="146" t="str">
        <f>IF(A98="","",VLOOKUP(A98,'Job Operations'!$A:$Z,12,FALSE))</f>
        <v/>
      </c>
      <c r="I98" s="146" t="str">
        <f>IF(A98="","",IF(VLOOKUP(A98,'Job Operations'!$A:$Z,12,FALSE)="Shear",ROW()-6&amp;IF(OR(MOD(ROW()-6,10)=1,MOD(ROW()-6,10)=2,MOD(ROW()-6,10)=3),CHOOSE(MOD(ROW()-6,10),"st","nd","rd"),"th"),"#"&amp;(ROW()-6)&amp;" on Shear"))</f>
        <v/>
      </c>
      <c r="J98" s="147" t="str">
        <f>IF(A98="","",IFERROR(IF(VLOOKUP(A98,'Job Operations'!$A:$Z,13,FALSE)="Shear",VLOOKUP(A98,'Job Operations'!$A:$Z,14,FALSE),IF(VLOOKUP(A98,'Job Operations'!$A:$Z,15,FALSE)="Shear",VLOOKUP(A98,'Job Operations'!$A:$Z,16,FALSE),IF(VLOOKUP(A98,'Job Operations'!$A:$Z,17,FALSE)="Shear",VLOOKUP(A98,'Job Operations'!$A:$Z,18,FALSE),VLOOKUP(A98,'Job Operations'!$A:$Z,14,FALSE)))),""))</f>
        <v/>
      </c>
      <c r="K98" s="146" t="str">
        <f>IF(A98="","",IFERROR(IF(VLOOKUP(A98,'Job Operations'!$A:$Z,13,FALSE)="Shear",VLOOKUP(A98,'Job Operations'!$A:$Z,15,FALSE),IF(VLOOKUP(A98,'Job Operations'!$A:$Z,15,FALSE)="Shear",VLOOKUP(A98,'Job Operations'!$A:$Z,17,FALSE),VLOOKUP(A98,'Job Operations'!$A:$Z,15,FALSE))),""))</f>
        <v/>
      </c>
      <c r="L98" s="146" t="str">
        <f>IF(A98="","",IFERROR(IF(VLOOKUP(A98,'Job Operations'!$A:$Z,13,FALSE)="Shear",VLOOKUP(A98,'Job Operations'!$A:$Z,17,FALSE),IF(VLOOKUP(A98,'Job Operations'!$A:$Z,15,FALSE)="Shear",VLOOKUP(A98,'Job Operations'!$A:$Z,19,FALSE),VLOOKUP(A98,'Job Operations'!$A:$Z,17,FALSE))),""))</f>
        <v/>
      </c>
      <c r="M98" s="148" t="str">
        <f>IF(A98="","",IFERROR(IF(VLOOKUP(A98,Notes!A:B,2,FALSE)=0,"",VLOOKUP(A98,Notes!A:B,2,FALSE)),""))</f>
        <v/>
      </c>
    </row>
    <row r="99" spans="1:13" s="140" customFormat="1" x14ac:dyDescent="0.25">
      <c r="A99" s="149"/>
      <c r="B99" s="150" t="str">
        <f>IF(A99="","",VLOOKUP(A99,'Job Operations'!$A:$Z,2,FALSE))</f>
        <v/>
      </c>
      <c r="C99" s="150" t="str">
        <f>IF(A99="","",VLOOKUP(A99,'Job Operations'!$A:$Z,3,FALSE))</f>
        <v/>
      </c>
      <c r="D99" s="150" t="str">
        <f>IF(A99="","",VLOOKUP(A99,'Job Operations'!$A:$Z,5,FALSE))</f>
        <v/>
      </c>
      <c r="E99" s="150" t="str">
        <f>IF(A99="","",VLOOKUP(A99,'Job Operations'!$A:$Z,6,FALSE))</f>
        <v/>
      </c>
      <c r="F99" s="150" t="str">
        <f>IF(A99="","",VLOOKUP(A99,'Job Operations'!$A:$Z,7,FALSE))</f>
        <v/>
      </c>
      <c r="G99" s="151" t="str">
        <f>IF(A99="","",VLOOKUP(A99,'Job Operations'!$A:$Z,9,FALSE))</f>
        <v/>
      </c>
      <c r="H99" s="150" t="str">
        <f>IF(A99="","",VLOOKUP(A99,'Job Operations'!$A:$Z,12,FALSE))</f>
        <v/>
      </c>
      <c r="I99" s="150" t="str">
        <f>IF(A99="","",IF(VLOOKUP(A99,'Job Operations'!$A:$Z,12,FALSE)="Shear",ROW()-6&amp;IF(OR(MOD(ROW()-6,10)=1,MOD(ROW()-6,10)=2,MOD(ROW()-6,10)=3),CHOOSE(MOD(ROW()-6,10),"st","nd","rd"),"th"),"#"&amp;(ROW()-6)&amp;" on Shear"))</f>
        <v/>
      </c>
      <c r="J99" s="151" t="str">
        <f>IF(A99="","",IFERROR(IF(VLOOKUP(A99,'Job Operations'!$A:$Z,13,FALSE)="Shear",VLOOKUP(A99,'Job Operations'!$A:$Z,14,FALSE),IF(VLOOKUP(A99,'Job Operations'!$A:$Z,15,FALSE)="Shear",VLOOKUP(A99,'Job Operations'!$A:$Z,16,FALSE),IF(VLOOKUP(A99,'Job Operations'!$A:$Z,17,FALSE)="Shear",VLOOKUP(A99,'Job Operations'!$A:$Z,18,FALSE),VLOOKUP(A99,'Job Operations'!$A:$Z,14,FALSE)))),""))</f>
        <v/>
      </c>
      <c r="K99" s="150" t="str">
        <f>IF(A99="","",IFERROR(IF(VLOOKUP(A99,'Job Operations'!$A:$Z,13,FALSE)="Shear",VLOOKUP(A99,'Job Operations'!$A:$Z,15,FALSE),IF(VLOOKUP(A99,'Job Operations'!$A:$Z,15,FALSE)="Shear",VLOOKUP(A99,'Job Operations'!$A:$Z,17,FALSE),VLOOKUP(A99,'Job Operations'!$A:$Z,15,FALSE))),""))</f>
        <v/>
      </c>
      <c r="L99" s="150" t="str">
        <f>IF(A99="","",IFERROR(IF(VLOOKUP(A99,'Job Operations'!$A:$Z,13,FALSE)="Shear",VLOOKUP(A99,'Job Operations'!$A:$Z,17,FALSE),IF(VLOOKUP(A99,'Job Operations'!$A:$Z,15,FALSE)="Shear",VLOOKUP(A99,'Job Operations'!$A:$Z,19,FALSE),VLOOKUP(A99,'Job Operations'!$A:$Z,17,FALSE))),""))</f>
        <v/>
      </c>
      <c r="M99" s="152" t="str">
        <f>IF(A99="","",IFERROR(IF(VLOOKUP(A99,Notes!A:B,2,FALSE)=0,"",VLOOKUP(A99,Notes!A:B,2,FALSE)),""))</f>
        <v/>
      </c>
    </row>
    <row r="100" spans="1:13" s="140" customFormat="1" x14ac:dyDescent="0.25">
      <c r="A100" s="153"/>
      <c r="B100" s="154" t="str">
        <f>IF(A100="","",VLOOKUP(A100,'Job Operations'!$A:$Z,2,FALSE))</f>
        <v/>
      </c>
      <c r="C100" s="154" t="str">
        <f>IF(A100="","",VLOOKUP(A100,'Job Operations'!$A:$Z,3,FALSE))</f>
        <v/>
      </c>
      <c r="D100" s="154" t="str">
        <f>IF(A100="","",VLOOKUP(A100,'Job Operations'!$A:$Z,5,FALSE))</f>
        <v/>
      </c>
      <c r="E100" s="154" t="str">
        <f>IF(A100="","",VLOOKUP(A100,'Job Operations'!$A:$Z,6,FALSE))</f>
        <v/>
      </c>
      <c r="F100" s="154" t="str">
        <f>IF(A100="","",VLOOKUP(A100,'Job Operations'!$A:$Z,7,FALSE))</f>
        <v/>
      </c>
      <c r="G100" s="155" t="str">
        <f>IF(A100="","",VLOOKUP(A100,'Job Operations'!$A:$Z,9,FALSE))</f>
        <v/>
      </c>
      <c r="H100" s="154" t="str">
        <f>IF(A100="","",VLOOKUP(A100,'Job Operations'!$A:$Z,12,FALSE))</f>
        <v/>
      </c>
      <c r="I100" s="154" t="str">
        <f>IF(A100="","",IF(VLOOKUP(A100,'Job Operations'!$A:$Z,12,FALSE)="Shear",ROW()-6&amp;IF(OR(MOD(ROW()-6,10)=1,MOD(ROW()-6,10)=2,MOD(ROW()-6,10)=3),CHOOSE(MOD(ROW()-6,10),"st","nd","rd"),"th"),"#"&amp;(ROW()-6)&amp;" on Shear"))</f>
        <v/>
      </c>
      <c r="J100" s="155" t="str">
        <f>IF(A100="","",IFERROR(IF(VLOOKUP(A100,'Job Operations'!$A:$Z,13,FALSE)="Shear",VLOOKUP(A100,'Job Operations'!$A:$Z,14,FALSE),IF(VLOOKUP(A100,'Job Operations'!$A:$Z,15,FALSE)="Shear",VLOOKUP(A100,'Job Operations'!$A:$Z,16,FALSE),IF(VLOOKUP(A100,'Job Operations'!$A:$Z,17,FALSE)="Shear",VLOOKUP(A100,'Job Operations'!$A:$Z,18,FALSE),VLOOKUP(A100,'Job Operations'!$A:$Z,14,FALSE)))),""))</f>
        <v/>
      </c>
      <c r="K100" s="154" t="str">
        <f>IF(A100="","",IFERROR(IF(VLOOKUP(A100,'Job Operations'!$A:$Z,13,FALSE)="Shear",VLOOKUP(A100,'Job Operations'!$A:$Z,15,FALSE),IF(VLOOKUP(A100,'Job Operations'!$A:$Z,15,FALSE)="Shear",VLOOKUP(A100,'Job Operations'!$A:$Z,17,FALSE),VLOOKUP(A100,'Job Operations'!$A:$Z,15,FALSE))),""))</f>
        <v/>
      </c>
      <c r="L100" s="154" t="str">
        <f>IF(A100="","",IFERROR(IF(VLOOKUP(A100,'Job Operations'!$A:$Z,13,FALSE)="Shear",VLOOKUP(A100,'Job Operations'!$A:$Z,17,FALSE),IF(VLOOKUP(A100,'Job Operations'!$A:$Z,15,FALSE)="Shear",VLOOKUP(A100,'Job Operations'!$A:$Z,19,FALSE),VLOOKUP(A100,'Job Operations'!$A:$Z,17,FALSE))),""))</f>
        <v/>
      </c>
      <c r="M100" s="156" t="str">
        <f>IF(A100="","",IFERROR(IF(VLOOKUP(A100,Notes!A:B,2,FALSE)=0,"",VLOOKUP(A100,Notes!A:B,2,FALSE)),""))</f>
        <v/>
      </c>
    </row>
  </sheetData>
  <mergeCells count="2">
    <mergeCell ref="A4:L4"/>
    <mergeCell ref="A5:L5"/>
  </mergeCells>
  <conditionalFormatting sqref="A7:M100">
    <cfRule type="expression" dxfId="46" priority="11">
      <formula>AND($D$1&lt;&gt;"", $A7=$D$1)</formula>
    </cfRule>
    <cfRule type="expression" dxfId="45" priority="12">
      <formula>AND($A7&lt;&gt;"", OR(LEFT($I7,1)="1", LEFT($I7,1)="2", LEFT($I7,1)="3", LEFT($I7,1)="4", LEFT($I7,1)="5", LEFT($I7,1)="6", LEFT($I7,1)="7", LEFT($I7,1)="8", LEFT($I7,1)="9"))</formula>
    </cfRule>
    <cfRule type="expression" dxfId="44" priority="13">
      <formula>AND($A7&lt;&gt;"", $J7&lt;TODAY(), $G7&gt;=TODAY())</formula>
    </cfRule>
    <cfRule type="expression" dxfId="43" priority="14">
      <formula>AND($A7&lt;&gt;"", $J7&lt;TODAY(), $G7&lt;TODAY())</formula>
    </cfRule>
  </conditionalFormatting>
  <conditionalFormatting sqref="D1">
    <cfRule type="expression" dxfId="42" priority="1">
      <formula>AND($C$2&lt;&gt;"",ISNUMBER(SEARCH($C$2,$A1)))</formula>
    </cfRule>
  </conditionalFormatting>
  <conditionalFormatting sqref="E1">
    <cfRule type="containsText" dxfId="41" priority="9" operator="containsText" text="LATE">
      <formula>NOT(ISERROR(SEARCH("LATE",E1)))</formula>
    </cfRule>
    <cfRule type="containsText" dxfId="40" priority="10" operator="containsText" text="ON TIME">
      <formula>NOT(ISERROR(SEARCH("ON TIME",E1)))</formula>
    </cfRule>
  </conditionalFormatting>
  <dataValidations count="1">
    <dataValidation type="list" allowBlank="1" showInputMessage="1" showErrorMessage="1" promptTitle="Search Job ID" prompt="Select a Job ID from the dropdown or type to search" sqref="D1" xr:uid="{27B26FAF-BA53-4945-8BD8-78E7A29813E8}">
      <formula1>AllJobIDs</formula1>
    </dataValidation>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74EBF-37FB-4755-8B9A-8B9BD2E7CDC9}">
  <dimension ref="A1:M100"/>
  <sheetViews>
    <sheetView zoomScaleNormal="100" workbookViewId="0">
      <selection activeCell="M14" sqref="M14"/>
    </sheetView>
  </sheetViews>
  <sheetFormatPr defaultRowHeight="15" x14ac:dyDescent="0.25"/>
  <cols>
    <col min="1" max="1" width="16" customWidth="1"/>
    <col min="2" max="2" width="25.42578125" customWidth="1"/>
    <col min="3" max="3" width="18.7109375" customWidth="1"/>
    <col min="4" max="5" width="13.28515625" customWidth="1"/>
    <col min="6" max="6" width="15.140625" customWidth="1"/>
    <col min="7" max="8" width="16.85546875" customWidth="1"/>
    <col min="9" max="9" width="14.5703125" customWidth="1"/>
    <col min="10" max="10" width="14.28515625" customWidth="1"/>
    <col min="11" max="11" width="16" customWidth="1"/>
    <col min="12" max="12" width="18.7109375" customWidth="1"/>
    <col min="13" max="13" width="70.42578125" customWidth="1"/>
  </cols>
  <sheetData>
    <row r="1" spans="1:13" ht="39.950000000000003" customHeight="1" x14ac:dyDescent="0.25">
      <c r="A1" s="159"/>
      <c r="B1" s="79"/>
      <c r="C1" s="83" t="s">
        <v>2735</v>
      </c>
      <c r="D1" s="84" t="s">
        <v>634</v>
      </c>
      <c r="E1" s="77" t="str">
        <f ca="1">IF(D1="","",IF(IFERROR(VLOOKUP(D1,'Job Operations'!A:I,9,FALSE),"")&lt;=TODAY(),"🔴 LATE","🟢 ON TIME"))</f>
        <v>🟢 ON TIME</v>
      </c>
      <c r="F1" s="77" t="str">
        <f>IF(D1="","",IFERROR(VLOOKUP(D1,'Job Operations'!A:B,2,FALSE),""))</f>
        <v/>
      </c>
      <c r="G1" s="77" t="str">
        <f>IF(D1="","","Ship: "&amp;TEXT(IFERROR(VLOOKUP(D1,'Job Operations'!A:I,9,FALSE),""),"MM/DD/YYYY"))</f>
        <v xml:space="preserve">Ship: </v>
      </c>
      <c r="H1" s="77" t="str">
        <f>IF(D1="","",IFERROR("Station: "&amp;VLOOKUP(D1,'Job Operations'!A:L,12,FALSE),""))</f>
        <v/>
      </c>
      <c r="I1" s="77"/>
      <c r="J1" s="77"/>
      <c r="K1" s="77"/>
      <c r="L1" s="77"/>
      <c r="M1" s="77"/>
    </row>
    <row r="2" spans="1:13" ht="5.0999999999999996" customHeight="1" x14ac:dyDescent="0.25">
      <c r="A2" s="160"/>
      <c r="B2" s="8"/>
      <c r="C2" s="8"/>
      <c r="D2" s="8"/>
      <c r="E2" s="8"/>
      <c r="F2" s="8"/>
      <c r="G2" s="8"/>
      <c r="H2" s="8"/>
      <c r="I2" s="8"/>
      <c r="J2" s="8"/>
      <c r="K2" s="8"/>
      <c r="L2" s="8"/>
      <c r="M2" s="8"/>
    </row>
    <row r="3" spans="1:13" ht="5.0999999999999996" customHeight="1" x14ac:dyDescent="0.25">
      <c r="A3" s="160"/>
      <c r="B3" s="8"/>
      <c r="C3" s="8"/>
      <c r="D3" s="8"/>
      <c r="E3" s="8"/>
      <c r="F3" s="8"/>
      <c r="G3" s="8"/>
      <c r="H3" s="8"/>
      <c r="I3" s="8"/>
      <c r="J3" s="8"/>
      <c r="K3" s="8"/>
      <c r="L3" s="8"/>
      <c r="M3" s="8"/>
    </row>
    <row r="4" spans="1:13" ht="24.95" customHeight="1" x14ac:dyDescent="0.3">
      <c r="A4" s="294" t="s">
        <v>2764</v>
      </c>
      <c r="B4" s="295"/>
      <c r="C4" s="295"/>
      <c r="D4" s="295"/>
      <c r="E4" s="295"/>
      <c r="F4" s="295"/>
      <c r="G4" s="295"/>
      <c r="H4" s="295"/>
      <c r="I4" s="295"/>
      <c r="J4" s="295"/>
      <c r="K4" s="295"/>
      <c r="L4" s="295"/>
      <c r="M4" s="15"/>
    </row>
    <row r="5" spans="1:13" ht="24.95" customHeight="1" x14ac:dyDescent="0.25">
      <c r="A5" s="296" t="s">
        <v>2765</v>
      </c>
      <c r="B5" s="295"/>
      <c r="C5" s="295"/>
      <c r="D5" s="295"/>
      <c r="E5" s="295"/>
      <c r="F5" s="295"/>
      <c r="G5" s="295"/>
      <c r="H5" s="295"/>
      <c r="I5" s="295"/>
      <c r="J5" s="295"/>
      <c r="K5" s="295"/>
      <c r="L5" s="295"/>
      <c r="M5" s="15"/>
    </row>
    <row r="6" spans="1:13" ht="21.95" customHeight="1" thickBot="1" x14ac:dyDescent="0.3">
      <c r="A6" s="116" t="s">
        <v>1</v>
      </c>
      <c r="B6" s="117" t="s">
        <v>3</v>
      </c>
      <c r="C6" s="117" t="s">
        <v>5</v>
      </c>
      <c r="D6" s="117" t="s">
        <v>17</v>
      </c>
      <c r="E6" s="117" t="s">
        <v>18</v>
      </c>
      <c r="F6" s="117" t="s">
        <v>25</v>
      </c>
      <c r="G6" s="117" t="s">
        <v>54</v>
      </c>
      <c r="H6" s="117" t="s">
        <v>2738</v>
      </c>
      <c r="I6" s="117" t="s">
        <v>2746</v>
      </c>
      <c r="J6" s="117" t="s">
        <v>2766</v>
      </c>
      <c r="K6" s="117" t="s">
        <v>2749</v>
      </c>
      <c r="L6" s="117" t="s">
        <v>2750</v>
      </c>
      <c r="M6" s="119" t="s">
        <v>2742</v>
      </c>
    </row>
    <row r="7" spans="1:13" s="140" customFormat="1" x14ac:dyDescent="0.25">
      <c r="A7" s="141" t="str" cm="1">
        <f t="array" ref="A7:A23">_xlfn._xlws.FILTER('Job Operations'!$A$5:$A$304,
        (('Job Operations'!$L$5:$L$304="Cidan")+('Job Operations'!$M$5:$M$304="Cidan")+('Job Operations'!$O$5:$O$304="Cidan"))
        *('Job Operations'!$L$5:$L$304&lt;&gt;"Ready to Ship")
        *('Job Operations'!$L$5:$L$304&lt;&gt;"Partially Shipped")
        *('Job Operations'!$L$5:$L$304&lt;&gt;"RTS Titans")
        *('Job Operations'!$L$5:$L$304&lt;&gt;"Crating")
        *('Job Operations'!$L$5:$L$304&lt;&gt;"Shipped"),
        "No Cidan Jobs")</f>
        <v>25032-FL01</v>
      </c>
      <c r="B7" s="142" t="str">
        <f>IF(A7="","",IFERROR(VLOOKUP(A7,'Job Operations'!A:B,2,FALSE),""))</f>
        <v>Amazon IAD181</v>
      </c>
      <c r="C7" s="142" t="str">
        <f>IF(A7="","",IFERROR(VLOOKUP(A7,'Job Operations'!A:C,3,FALSE),""))</f>
        <v>Matt Rassmussen</v>
      </c>
      <c r="D7" s="142">
        <f>IF(A7="","",IFERROR(VLOOKUP(A7,'Job Operations'!A:E,5,FALSE),""))</f>
        <v>0</v>
      </c>
      <c r="E7" s="142">
        <f>IF(A7="","",IFERROR(VLOOKUP(A7,'Job Operations'!A:F,6,FALSE),""))</f>
        <v>287</v>
      </c>
      <c r="F7" s="142" t="str">
        <f>IF(A7="","",IFERROR(VLOOKUP(A7,'Job Operations'!A:G,7,FALSE),""))</f>
        <v>Steel Sheet</v>
      </c>
      <c r="G7" s="143">
        <f>IF(A7="","",IFERROR(VLOOKUP(A7,'Job Operations'!A:I,9,FALSE),""))</f>
        <v>46108</v>
      </c>
      <c r="H7" s="142" t="str">
        <f>IF(A7="","",IFERROR(VLOOKUP(A7,'Job Operations'!A:L,12,FALSE),""))</f>
        <v>Shear</v>
      </c>
      <c r="I7" s="142" t="str">
        <f t="shared" ref="I7:I14" si="0">IF(A7="","",IF(H7="Cidan",IF(ROW()-6=1,"1st",IF(ROW()-6=2,"2nd",IF(ROW()-6=3,"3rd",TEXT(ROW()-6,"0")&amp;"th"))),"#"&amp;TEXT(ROW()-6,"0")&amp;" on Cidan"))</f>
        <v>#1 on Cidan</v>
      </c>
      <c r="J7" s="143">
        <f>IF(A7="","",IFERROR(IF(VLOOKUP(A7,'Job Operations'!A:M,13,FALSE)="Cidan",VLOOKUP(A7,'Job Operations'!A:N,14,FALSE),IF(VLOOKUP(A7,'Job Operations'!A:O,15,FALSE)="Cidan",VLOOKUP(A7,'Job Operations'!A:P,16,FALSE),"")),""))</f>
        <v>46083</v>
      </c>
      <c r="K7" s="142" t="str">
        <f>IF(A7="","",IFERROR(IF(VLOOKUP(A7,'Job Operations'!A:M,13,FALSE)="Cidan",VLOOKUP(A7,'Job Operations'!A:O,15,FALSE),""),""))</f>
        <v>Shear</v>
      </c>
      <c r="L7" s="142" t="str">
        <f>IF(A7="","",IFERROR(IF(VLOOKUP(A7,'Job Operations'!A:M,13,FALSE)="Cidan",VLOOKUP(A7,'Job Operations'!A:Q,17,FALSE),""),""))</f>
        <v/>
      </c>
      <c r="M7" s="144" t="str">
        <f>IF(A7="","",IFERROR(IF(VLOOKUP(A7,Notes!A:B,2,FALSE)=0,"",VLOOKUP(A7,Notes!A:B,2,FALSE)),""))</f>
        <v>04/15/2026…Shear*04/16/2026…Shear</v>
      </c>
    </row>
    <row r="8" spans="1:13" s="140" customFormat="1" x14ac:dyDescent="0.25">
      <c r="A8" s="145" t="str">
        <v>24079-BM01B</v>
      </c>
      <c r="B8" s="146" t="str">
        <f>IF(A8="","",VLOOKUP(A8,'Job Operations'!A:B,2,FALSE))</f>
        <v>Nashville Youth Campus</v>
      </c>
      <c r="C8" s="146" t="str">
        <f>IF(A8="","",VLOOKUP(A8,'Job Operations'!A:C,3,FALSE))</f>
        <v>Joe Hoyle</v>
      </c>
      <c r="D8" s="146">
        <f>IF(A8="","",VLOOKUP(A8,'Job Operations'!A:E,5,FALSE))</f>
        <v>0</v>
      </c>
      <c r="E8" s="146">
        <f>IF(A8="","",VLOOKUP(A8,'Job Operations'!A:F,6,FALSE))</f>
        <v>2217</v>
      </c>
      <c r="F8" s="146" t="str">
        <f>IF(A8="","",VLOOKUP(A8,'Job Operations'!A:G,7,FALSE))</f>
        <v>Galv Sheet</v>
      </c>
      <c r="G8" s="147">
        <f>IF(A8="","",VLOOKUP(A8,'Job Operations'!A:I,9,FALSE))</f>
        <v>46127</v>
      </c>
      <c r="H8" s="146" t="str">
        <f>IF(A8="","",VLOOKUP(A8,'Job Operations'!A:L,12,FALSE))</f>
        <v>Shear</v>
      </c>
      <c r="I8" s="146" t="str">
        <f t="shared" si="0"/>
        <v>#2 on Cidan</v>
      </c>
      <c r="J8" s="147">
        <f>IF(A8="","",IFERROR(IF(VLOOKUP(A8,'Job Operations'!A:M,13,FALSE)="Cidan",VLOOKUP(A8,'Job Operations'!A:N,14,FALSE),IF(VLOOKUP(A8,'Job Operations'!A:O,15,FALSE)="Cidan",VLOOKUP(A8,'Job Operations'!A:P,16,FALSE),IF(VLOOKUP(A8,'Job Operations'!A:Q,17,FALSE)="Cidan",VLOOKUP(A8,'Job Operations'!A:R,18,FALSE),""))),""))</f>
        <v>46101</v>
      </c>
      <c r="K8" s="146" t="str">
        <f>IF(A8="","",IFERROR(IF(VLOOKUP(A8,'Job Operations'!A:M,13,FALSE)="Cidan",VLOOKUP(A8,'Job Operations'!A:O,15,FALSE),IF(VLOOKUP(A8,'Job Operations'!A:O,15,FALSE)="Cidan",VLOOKUP(A8,'Job Operations'!A:Q,17,FALSE),"")),""))</f>
        <v>Shear</v>
      </c>
      <c r="L8" s="146" t="str">
        <f>IF(A8="","",IFERROR(IF(VLOOKUP(A8,'Job Operations'!A:M,13,FALSE)="Cidan",VLOOKUP(A8,'Job Operations'!A:Q,17,FALSE),IF(VLOOKUP(A8,'Job Operations'!A:O,15,FALSE)="Cidan",VLOOKUP(A8,'Job Operations'!A:S,19,FALSE),"")),""))</f>
        <v>TruPunch 5000</v>
      </c>
      <c r="M8" s="148" t="str">
        <f>IF(A8="","",IFERROR(IF(VLOOKUP(A8,Notes!A:B,2,FALSE)=0,"",VLOOKUP(A8,Notes!A:B,2,FALSE)),""))</f>
        <v>04/15/2026…Shear*04/16/2026…Shear</v>
      </c>
    </row>
    <row r="9" spans="1:13" s="140" customFormat="1" x14ac:dyDescent="0.25">
      <c r="A9" s="149" t="str">
        <v>25061-FL01</v>
      </c>
      <c r="B9" s="150" t="str">
        <f>IF(A9="","",VLOOKUP(A9,'Job Operations'!A:B,2,FALSE))</f>
        <v>BNA Concourse A</v>
      </c>
      <c r="C9" s="150" t="str">
        <f>IF(A9="","",VLOOKUP(A9,'Job Operations'!A:C,3,FALSE))</f>
        <v>Andre Van Der Merwe</v>
      </c>
      <c r="D9" s="150">
        <f>IF(A9="","",VLOOKUP(A9,'Job Operations'!A:E,5,FALSE))</f>
        <v>0</v>
      </c>
      <c r="E9" s="150">
        <f>IF(A9="","",VLOOKUP(A9,'Job Operations'!A:F,6,FALSE))</f>
        <v>48</v>
      </c>
      <c r="F9" s="150" t="str">
        <f>IF(A9="","",VLOOKUP(A9,'Job Operations'!A:G,7,FALSE))</f>
        <v>Galv Sheet</v>
      </c>
      <c r="G9" s="151">
        <f>IF(A9="","",VLOOKUP(A9,'Job Operations'!A:I,9,FALSE))</f>
        <v>46129</v>
      </c>
      <c r="H9" s="150" t="str">
        <f>IF(A9="","",VLOOKUP(A9,'Job Operations'!A:L,12,FALSE))</f>
        <v>Cidan</v>
      </c>
      <c r="I9" s="150" t="str">
        <f t="shared" si="0"/>
        <v>3rd</v>
      </c>
      <c r="J9" s="151">
        <f>IF(A9="","",IFERROR(IF(VLOOKUP(A9,'Job Operations'!A:M,13,FALSE)="Cidan",VLOOKUP(A9,'Job Operations'!A:N,14,FALSE),IF(VLOOKUP(A9,'Job Operations'!A:O,15,FALSE)="Cidan",VLOOKUP(A9,'Job Operations'!A:P,16,FALSE),IF(VLOOKUP(A9,'Job Operations'!A:Q,17,FALSE)="Cidan",VLOOKUP(A9,'Job Operations'!A:R,18,FALSE),""))),""))</f>
        <v>46104</v>
      </c>
      <c r="K9" s="150" t="str">
        <f>IF(A9="","",IFERROR(IF(VLOOKUP(A9,'Job Operations'!A:M,13,FALSE)="Cidan",VLOOKUP(A9,'Job Operations'!A:O,15,FALSE),IF(VLOOKUP(A9,'Job Operations'!A:O,15,FALSE)="Cidan",VLOOKUP(A9,'Job Operations'!A:Q,17,FALSE),"")),""))</f>
        <v>Shear</v>
      </c>
      <c r="L9" s="150" t="str">
        <f>IF(A9="","",IFERROR(IF(VLOOKUP(A9,'Job Operations'!A:M,13,FALSE)="Cidan",VLOOKUP(A9,'Job Operations'!A:Q,17,FALSE),IF(VLOOKUP(A9,'Job Operations'!A:O,15,FALSE)="Cidan",VLOOKUP(A9,'Job Operations'!A:S,19,FALSE),"")),""))</f>
        <v/>
      </c>
      <c r="M9" s="152" t="str">
        <f>IF(A9="","",IFERROR(IF(VLOOKUP(A9,Notes!A:B,2,FALSE)=0,"",VLOOKUP(A9,Notes!A:B,2,FALSE)),""))</f>
        <v>04/15/2026…Shear*04/16/2026…Cidan</v>
      </c>
    </row>
    <row r="10" spans="1:13" s="140" customFormat="1" x14ac:dyDescent="0.25">
      <c r="A10" s="145" t="str">
        <v>25036-FL22</v>
      </c>
      <c r="B10" s="146" t="str">
        <f>IF(A10="","",VLOOKUP(A10,'Job Operations'!A:B,2,FALSE))</f>
        <v>TCAT Chattanooga</v>
      </c>
      <c r="C10" s="146" t="str">
        <f>IF(A10="","",VLOOKUP(A10,'Job Operations'!A:C,3,FALSE))</f>
        <v>Josh McPherson</v>
      </c>
      <c r="D10" s="146">
        <f>IF(A10="","",VLOOKUP(A10,'Job Operations'!A:E,5,FALSE))</f>
        <v>0</v>
      </c>
      <c r="E10" s="146">
        <f>IF(A10="","",VLOOKUP(A10,'Job Operations'!A:F,6,FALSE))</f>
        <v>10</v>
      </c>
      <c r="F10" s="146" t="str">
        <f>IF(A10="","",VLOOKUP(A10,'Job Operations'!A:G,7,FALSE))</f>
        <v>Steel Sheet</v>
      </c>
      <c r="G10" s="147">
        <f>IF(A10="","",VLOOKUP(A10,'Job Operations'!A:I,9,FALSE))</f>
        <v>46129</v>
      </c>
      <c r="H10" s="146" t="str">
        <f>IF(A10="","",VLOOKUP(A10,'Job Operations'!A:L,12,FALSE))</f>
        <v>Sketch Check</v>
      </c>
      <c r="I10" s="146" t="str">
        <f t="shared" si="0"/>
        <v>#4 on Cidan</v>
      </c>
      <c r="J10" s="147">
        <f>IF(A10="","",IFERROR(IF(VLOOKUP(A10,'Job Operations'!A:M,13,FALSE)="Cidan",VLOOKUP(A10,'Job Operations'!A:N,14,FALSE),IF(VLOOKUP(A10,'Job Operations'!A:O,15,FALSE)="Cidan",VLOOKUP(A10,'Job Operations'!A:P,16,FALSE),IF(VLOOKUP(A10,'Job Operations'!A:Q,17,FALSE)="Cidan",VLOOKUP(A10,'Job Operations'!A:R,18,FALSE),""))),""))</f>
        <v>46104</v>
      </c>
      <c r="K10" s="146" t="str">
        <f>IF(A10="","",IFERROR(IF(VLOOKUP(A10,'Job Operations'!A:M,13,FALSE)="Cidan",VLOOKUP(A10,'Job Operations'!A:O,15,FALSE),IF(VLOOKUP(A10,'Job Operations'!A:O,15,FALSE)="Cidan",VLOOKUP(A10,'Job Operations'!A:Q,17,FALSE),"")),""))</f>
        <v>Shear</v>
      </c>
      <c r="L10" s="146" t="str">
        <f>IF(A10="","",IFERROR(IF(VLOOKUP(A10,'Job Operations'!A:M,13,FALSE)="Cidan",VLOOKUP(A10,'Job Operations'!A:Q,17,FALSE),IF(VLOOKUP(A10,'Job Operations'!A:O,15,FALSE)="Cidan",VLOOKUP(A10,'Job Operations'!A:S,19,FALSE),"")),""))</f>
        <v/>
      </c>
      <c r="M10" s="148" t="str">
        <f>IF(A10="","",IFERROR(IF(VLOOKUP(A10,Notes!A:B,2,FALSE)=0,"",VLOOKUP(A10,Notes!A:B,2,FALSE)),""))</f>
        <v xml:space="preserve">04/16/2026…MUST RUN FRIDAY AND FINISH BY EOS.  REFER TO EMAIL. </v>
      </c>
    </row>
    <row r="11" spans="1:13" s="140" customFormat="1" x14ac:dyDescent="0.25">
      <c r="A11" s="149" t="str">
        <v>24039-FL36</v>
      </c>
      <c r="B11" s="150" t="str">
        <f>IF(A11="","",VLOOKUP(A11,'Job Operations'!A:B,2,FALSE))</f>
        <v>The Visionary</v>
      </c>
      <c r="C11" s="150" t="str">
        <f>IF(A11="","",VLOOKUP(A11,'Job Operations'!A:C,3,FALSE))</f>
        <v>Carlos Silva</v>
      </c>
      <c r="D11" s="150">
        <f>IF(A11="","",VLOOKUP(A11,'Job Operations'!A:E,5,FALSE))</f>
        <v>0</v>
      </c>
      <c r="E11" s="150">
        <f>IF(A11="","",VLOOKUP(A11,'Job Operations'!A:F,6,FALSE))</f>
        <v>60</v>
      </c>
      <c r="F11" s="150" t="str">
        <f>IF(A11="","",VLOOKUP(A11,'Job Operations'!A:G,7,FALSE))</f>
        <v>Alum Sheet</v>
      </c>
      <c r="G11" s="151">
        <f>IF(A11="","",VLOOKUP(A11,'Job Operations'!A:I,9,FALSE))</f>
        <v>46133</v>
      </c>
      <c r="H11" s="150" t="str">
        <f>IF(A11="","",VLOOKUP(A11,'Job Operations'!A:L,12,FALSE))</f>
        <v>Shear</v>
      </c>
      <c r="I11" s="150" t="str">
        <f t="shared" si="0"/>
        <v>#5 on Cidan</v>
      </c>
      <c r="J11" s="151">
        <f>IF(A11="","",IFERROR(IF(VLOOKUP(A11,'Job Operations'!A:M,13,FALSE)="Cidan",VLOOKUP(A11,'Job Operations'!A:N,14,FALSE),IF(VLOOKUP(A11,'Job Operations'!A:O,15,FALSE)="Cidan",VLOOKUP(A11,'Job Operations'!A:P,16,FALSE),IF(VLOOKUP(A11,'Job Operations'!A:Q,17,FALSE)="Cidan",VLOOKUP(A11,'Job Operations'!A:R,18,FALSE),""))),""))</f>
        <v>46107</v>
      </c>
      <c r="K11" s="150" t="str">
        <f>IF(A11="","",IFERROR(IF(VLOOKUP(A11,'Job Operations'!A:M,13,FALSE)="Cidan",VLOOKUP(A11,'Job Operations'!A:O,15,FALSE),IF(VLOOKUP(A11,'Job Operations'!A:O,15,FALSE)="Cidan",VLOOKUP(A11,'Job Operations'!A:Q,17,FALSE),"")),""))</f>
        <v>Shear</v>
      </c>
      <c r="L11" s="150" t="str">
        <f>IF(A11="","",IFERROR(IF(VLOOKUP(A11,'Job Operations'!A:M,13,FALSE)="Cidan",VLOOKUP(A11,'Job Operations'!A:Q,17,FALSE),IF(VLOOKUP(A11,'Job Operations'!A:O,15,FALSE)="Cidan",VLOOKUP(A11,'Job Operations'!A:S,19,FALSE),"")),""))</f>
        <v/>
      </c>
      <c r="M11" s="152" t="str">
        <f>IF(A11="","",IFERROR(IF(VLOOKUP(A11,Notes!A:B,2,FALSE)=0,"",VLOOKUP(A11,Notes!A:B,2,FALSE)),""))</f>
        <v>04/15/2026…Shear*04/16/2026…Shear</v>
      </c>
    </row>
    <row r="12" spans="1:13" s="140" customFormat="1" x14ac:dyDescent="0.25">
      <c r="A12" s="145" t="str">
        <v>24039-FL37</v>
      </c>
      <c r="B12" s="146" t="str">
        <f>IF(A12="","",VLOOKUP(A12,'Job Operations'!A:B,2,FALSE))</f>
        <v>The Visionary</v>
      </c>
      <c r="C12" s="146" t="str">
        <f>IF(A12="","",VLOOKUP(A12,'Job Operations'!A:C,3,FALSE))</f>
        <v>Carlos Silva</v>
      </c>
      <c r="D12" s="146">
        <f>IF(A12="","",VLOOKUP(A12,'Job Operations'!A:E,5,FALSE))</f>
        <v>0</v>
      </c>
      <c r="E12" s="146">
        <f>IF(A12="","",VLOOKUP(A12,'Job Operations'!A:F,6,FALSE))</f>
        <v>16</v>
      </c>
      <c r="F12" s="146" t="str">
        <f>IF(A12="","",VLOOKUP(A12,'Job Operations'!A:G,7,FALSE))</f>
        <v>Alum Sheet</v>
      </c>
      <c r="G12" s="147">
        <f>IF(A12="","",VLOOKUP(A12,'Job Operations'!A:I,9,FALSE))</f>
        <v>46133</v>
      </c>
      <c r="H12" s="146" t="str">
        <f>IF(A12="","",VLOOKUP(A12,'Job Operations'!A:L,12,FALSE))</f>
        <v>Shear</v>
      </c>
      <c r="I12" s="146" t="str">
        <f t="shared" si="0"/>
        <v>#6 on Cidan</v>
      </c>
      <c r="J12" s="147">
        <f>IF(A12="","",IFERROR(IF(VLOOKUP(A12,'Job Operations'!A:M,13,FALSE)="Cidan",VLOOKUP(A12,'Job Operations'!A:N,14,FALSE),IF(VLOOKUP(A12,'Job Operations'!A:O,15,FALSE)="Cidan",VLOOKUP(A12,'Job Operations'!A:P,16,FALSE),IF(VLOOKUP(A12,'Job Operations'!A:Q,17,FALSE)="Cidan",VLOOKUP(A12,'Job Operations'!A:R,18,FALSE),""))),""))</f>
        <v>46107</v>
      </c>
      <c r="K12" s="146" t="str">
        <f>IF(A12="","",IFERROR(IF(VLOOKUP(A12,'Job Operations'!A:M,13,FALSE)="Cidan",VLOOKUP(A12,'Job Operations'!A:O,15,FALSE),IF(VLOOKUP(A12,'Job Operations'!A:O,15,FALSE)="Cidan",VLOOKUP(A12,'Job Operations'!A:Q,17,FALSE),"")),""))</f>
        <v>Shear</v>
      </c>
      <c r="L12" s="146" t="str">
        <f>IF(A12="","",IFERROR(IF(VLOOKUP(A12,'Job Operations'!A:M,13,FALSE)="Cidan",VLOOKUP(A12,'Job Operations'!A:Q,17,FALSE),IF(VLOOKUP(A12,'Job Operations'!A:O,15,FALSE)="Cidan",VLOOKUP(A12,'Job Operations'!A:S,19,FALSE),"")),""))</f>
        <v/>
      </c>
      <c r="M12" s="148" t="str">
        <f>IF(A12="","",IFERROR(IF(VLOOKUP(A12,Notes!A:B,2,FALSE)=0,"",VLOOKUP(A12,Notes!A:B,2,FALSE)),""))</f>
        <v>04/15/2026…Shear*04/16/2026…Shear</v>
      </c>
    </row>
    <row r="13" spans="1:13" s="140" customFormat="1" x14ac:dyDescent="0.25">
      <c r="A13" s="149" t="str">
        <v>24039-BM19</v>
      </c>
      <c r="B13" s="150" t="str">
        <f>IF(A13="","",VLOOKUP(A13,'Job Operations'!A:B,2,FALSE))</f>
        <v>The Visionary</v>
      </c>
      <c r="C13" s="150" t="str">
        <f>IF(A13="","",VLOOKUP(A13,'Job Operations'!A:C,3,FALSE))</f>
        <v>Carlos Silva</v>
      </c>
      <c r="D13" s="150">
        <f>IF(A13="","",VLOOKUP(A13,'Job Operations'!A:E,5,FALSE))</f>
        <v>0</v>
      </c>
      <c r="E13" s="150">
        <f>IF(A13="","",VLOOKUP(A13,'Job Operations'!A:F,6,FALSE))</f>
        <v>340</v>
      </c>
      <c r="F13" s="150" t="str">
        <f>IF(A13="","",VLOOKUP(A13,'Job Operations'!A:G,7,FALSE))</f>
        <v>Galv Sheet</v>
      </c>
      <c r="G13" s="151">
        <f>IF(A13="","",VLOOKUP(A13,'Job Operations'!A:I,9,FALSE))</f>
        <v>46133</v>
      </c>
      <c r="H13" s="150" t="str">
        <f>IF(A13="","",VLOOKUP(A13,'Job Operations'!A:L,12,FALSE))</f>
        <v>Shear</v>
      </c>
      <c r="I13" s="150" t="str">
        <f t="shared" si="0"/>
        <v>#7 on Cidan</v>
      </c>
      <c r="J13" s="151">
        <f>IF(A13="","",IFERROR(IF(VLOOKUP(A13,'Job Operations'!A:M,13,FALSE)="Cidan",VLOOKUP(A13,'Job Operations'!A:N,14,FALSE),IF(VLOOKUP(A13,'Job Operations'!A:O,15,FALSE)="Cidan",VLOOKUP(A13,'Job Operations'!A:P,16,FALSE),IF(VLOOKUP(A13,'Job Operations'!A:Q,17,FALSE)="Cidan",VLOOKUP(A13,'Job Operations'!A:R,18,FALSE),""))),""))</f>
        <v>46107</v>
      </c>
      <c r="K13" s="150" t="str">
        <f>IF(A13="","",IFERROR(IF(VLOOKUP(A13,'Job Operations'!A:M,13,FALSE)="Cidan",VLOOKUP(A13,'Job Operations'!A:O,15,FALSE),IF(VLOOKUP(A13,'Job Operations'!A:O,15,FALSE)="Cidan",VLOOKUP(A13,'Job Operations'!A:Q,17,FALSE),"")),""))</f>
        <v>Shear</v>
      </c>
      <c r="L13" s="150" t="str">
        <f>IF(A13="","",IFERROR(IF(VLOOKUP(A13,'Job Operations'!A:M,13,FALSE)="Cidan",VLOOKUP(A13,'Job Operations'!A:Q,17,FALSE),IF(VLOOKUP(A13,'Job Operations'!A:O,15,FALSE)="Cidan",VLOOKUP(A13,'Job Operations'!A:S,19,FALSE),"")),""))</f>
        <v/>
      </c>
      <c r="M13" s="152" t="str">
        <f>IF(A13="","",IFERROR(IF(VLOOKUP(A13,Notes!A:B,2,FALSE)=0,"",VLOOKUP(A13,Notes!A:B,2,FALSE)),""))</f>
        <v>04/15/2026…Shear*04/16/2026…Shear</v>
      </c>
    </row>
    <row r="14" spans="1:13" s="140" customFormat="1" x14ac:dyDescent="0.25">
      <c r="A14" s="145" t="str">
        <v>25022-BM06</v>
      </c>
      <c r="B14" s="146" t="str">
        <f>IF(A14="","",VLOOKUP(A14,'Job Operations'!A:B,2,FALSE))</f>
        <v>Vantage VA15</v>
      </c>
      <c r="C14" s="146" t="str">
        <f>IF(A14="","",VLOOKUP(A14,'Job Operations'!A:C,3,FALSE))</f>
        <v>Thomas Mooers</v>
      </c>
      <c r="D14" s="146">
        <f>IF(A14="","",VLOOKUP(A14,'Job Operations'!A:E,5,FALSE))</f>
        <v>0</v>
      </c>
      <c r="E14" s="146">
        <f>IF(A14="","",VLOOKUP(A14,'Job Operations'!A:F,6,FALSE))</f>
        <v>500</v>
      </c>
      <c r="F14" s="146" t="str">
        <f>IF(A14="","",VLOOKUP(A14,'Job Operations'!A:G,7,FALSE))</f>
        <v>Galv Sheet</v>
      </c>
      <c r="G14" s="147">
        <f>IF(A14="","",VLOOKUP(A14,'Job Operations'!A:I,9,FALSE))</f>
        <v>46134</v>
      </c>
      <c r="H14" s="146" t="str">
        <f>IF(A14="","",VLOOKUP(A14,'Job Operations'!A:L,12,FALSE))</f>
        <v>Shear</v>
      </c>
      <c r="I14" s="146" t="str">
        <f t="shared" si="0"/>
        <v>#8 on Cidan</v>
      </c>
      <c r="J14" s="147">
        <f>IF(A14="","",IFERROR(IF(VLOOKUP(A14,'Job Operations'!A:M,13,FALSE)="Cidan",VLOOKUP(A14,'Job Operations'!A:N,14,FALSE),IF(VLOOKUP(A14,'Job Operations'!A:O,15,FALSE)="Cidan",VLOOKUP(A14,'Job Operations'!A:P,16,FALSE),IF(VLOOKUP(A14,'Job Operations'!A:Q,17,FALSE)="Cidan",VLOOKUP(A14,'Job Operations'!A:R,18,FALSE),""))),""))</f>
        <v>46108</v>
      </c>
      <c r="K14" s="146" t="str">
        <f>IF(A14="","",IFERROR(IF(VLOOKUP(A14,'Job Operations'!A:M,13,FALSE)="Cidan",VLOOKUP(A14,'Job Operations'!A:O,15,FALSE),IF(VLOOKUP(A14,'Job Operations'!A:O,15,FALSE)="Cidan",VLOOKUP(A14,'Job Operations'!A:Q,17,FALSE),"")),""))</f>
        <v>Shear</v>
      </c>
      <c r="L14" s="146" t="str">
        <f>IF(A14="","",IFERROR(IF(VLOOKUP(A14,'Job Operations'!A:M,13,FALSE)="Cidan",VLOOKUP(A14,'Job Operations'!A:Q,17,FALSE),IF(VLOOKUP(A14,'Job Operations'!A:O,15,FALSE)="Cidan",VLOOKUP(A14,'Job Operations'!A:S,19,FALSE),"")),""))</f>
        <v/>
      </c>
      <c r="M14" s="148" t="str">
        <f>IF(A14="","",IFERROR(IF(VLOOKUP(A14,Notes!A:B,2,FALSE)=0,"",VLOOKUP(A14,Notes!A:B,2,FALSE)),""))</f>
        <v>04/16/2026…Shear..PLEASE RUN THIS JOB NEXT IN SHEAR/CIDAN CANNOT MISS SHIPDATE</v>
      </c>
    </row>
    <row r="15" spans="1:13" s="140" customFormat="1" x14ac:dyDescent="0.25">
      <c r="A15" s="149" t="str">
        <v>25031-FL08</v>
      </c>
      <c r="B15" s="150" t="str">
        <f>IF(A15="","",VLOOKUP(A15,'Job Operations'!A:B,2,FALSE))</f>
        <v>LLU Mars US Warehouse</v>
      </c>
      <c r="C15" s="150" t="str">
        <f>IF(A15="","",VLOOKUP(A15,'Job Operations'!A:C,3,FALSE))</f>
        <v>Laura Forero</v>
      </c>
      <c r="D15" s="150">
        <f>IF(A15="","",VLOOKUP(A15,'Job Operations'!A:E,5,FALSE))</f>
        <v>0</v>
      </c>
      <c r="E15" s="150">
        <f>IF(A15="","",VLOOKUP(A15,'Job Operations'!A:F,6,FALSE))</f>
        <v>6</v>
      </c>
      <c r="F15" s="150" t="str">
        <f>IF(A15="","",VLOOKUP(A15,'Job Operations'!A:G,7,FALSE))</f>
        <v>Alum Sheet</v>
      </c>
      <c r="G15" s="151">
        <f>IF(A15="","",VLOOKUP(A15,'Job Operations'!A:I,9,FALSE))</f>
        <v>46134</v>
      </c>
      <c r="H15" s="150" t="str">
        <f>IF(A15="","",VLOOKUP(A15,'Job Operations'!A:L,12,FALSE))</f>
        <v>Shear</v>
      </c>
      <c r="I15" s="150" t="str">
        <f t="shared" ref="I15:I38" si="1">IF(A15="","",IF(H15="Cidan",IF(ROW()-6=1,"1st",IF(ROW()-6=2,"2nd",IF(ROW()-6=3,"3rd",TEXT(ROW()-6,"0")&amp;"th"))),"#"&amp;TEXT(ROW()-6,"0")&amp;" on Cidan"))</f>
        <v>#9 on Cidan</v>
      </c>
      <c r="J15" s="151">
        <f>IF(A15="","",IFERROR(IF(VLOOKUP(A15,'Job Operations'!A:M,13,FALSE)="Cidan",VLOOKUP(A15,'Job Operations'!A:N,14,FALSE),IF(VLOOKUP(A15,'Job Operations'!A:O,15,FALSE)="Cidan",VLOOKUP(A15,'Job Operations'!A:P,16,FALSE),IF(VLOOKUP(A15,'Job Operations'!A:Q,17,FALSE)="Cidan",VLOOKUP(A15,'Job Operations'!A:R,18,FALSE),""))),""))</f>
        <v>46108</v>
      </c>
      <c r="K15" s="150" t="str">
        <f>IF(A15="","",IFERROR(IF(VLOOKUP(A15,'Job Operations'!A:M,13,FALSE)="Cidan",VLOOKUP(A15,'Job Operations'!A:O,15,FALSE),IF(VLOOKUP(A15,'Job Operations'!A:O,15,FALSE)="Cidan",VLOOKUP(A15,'Job Operations'!A:Q,17,FALSE),"")),""))</f>
        <v>Shear</v>
      </c>
      <c r="L15" s="150" t="str">
        <f>IF(A15="","",IFERROR(IF(VLOOKUP(A15,'Job Operations'!A:M,13,FALSE)="Cidan",VLOOKUP(A15,'Job Operations'!A:Q,17,FALSE),IF(VLOOKUP(A15,'Job Operations'!A:O,15,FALSE)="Cidan",VLOOKUP(A15,'Job Operations'!A:S,19,FALSE),"")),""))</f>
        <v/>
      </c>
      <c r="M15" s="152" t="str">
        <f>IF(A15="","",IFERROR(IF(VLOOKUP(A15,Notes!A:B,2,FALSE)=0,"",VLOOKUP(A15,Notes!A:B,2,FALSE)),""))</f>
        <v>04/16/2026…Shear</v>
      </c>
    </row>
    <row r="16" spans="1:13" s="140" customFormat="1" x14ac:dyDescent="0.25">
      <c r="A16" s="145" t="str">
        <v>25067-FL02</v>
      </c>
      <c r="B16" s="146" t="str">
        <f>IF(A16="","",VLOOKUP(A16,'Job Operations'!A:B,2,FALSE))</f>
        <v>Harison Bend</v>
      </c>
      <c r="C16" s="146" t="str">
        <f>IF(A16="","",VLOOKUP(A16,'Job Operations'!A:C,3,FALSE))</f>
        <v>Andre Van Der Merwe</v>
      </c>
      <c r="D16" s="146">
        <f>IF(A16="","",VLOOKUP(A16,'Job Operations'!A:E,5,FALSE))</f>
        <v>0</v>
      </c>
      <c r="E16" s="146">
        <f>IF(A16="","",VLOOKUP(A16,'Job Operations'!A:F,6,FALSE))</f>
        <v>8</v>
      </c>
      <c r="F16" s="146" t="str">
        <f>IF(A16="","",VLOOKUP(A16,'Job Operations'!A:G,7,FALSE))</f>
        <v>Alum Sheet</v>
      </c>
      <c r="G16" s="147">
        <f>IF(A16="","",VLOOKUP(A16,'Job Operations'!A:I,9,FALSE))</f>
        <v>46135</v>
      </c>
      <c r="H16" s="146" t="str">
        <f>IF(A16="","",VLOOKUP(A16,'Job Operations'!A:L,12,FALSE))</f>
        <v>Shear</v>
      </c>
      <c r="I16" s="146" t="str">
        <f t="shared" si="1"/>
        <v>#10 on Cidan</v>
      </c>
      <c r="J16" s="147">
        <f>IF(A16="","",IFERROR(IF(VLOOKUP(A16,'Job Operations'!A:M,13,FALSE)="Cidan",VLOOKUP(A16,'Job Operations'!A:N,14,FALSE),IF(VLOOKUP(A16,'Job Operations'!A:O,15,FALSE)="Cidan",VLOOKUP(A16,'Job Operations'!A:P,16,FALSE),IF(VLOOKUP(A16,'Job Operations'!A:Q,17,FALSE)="Cidan",VLOOKUP(A16,'Job Operations'!A:R,18,FALSE),""))),""))</f>
        <v>46109</v>
      </c>
      <c r="K16" s="146" t="str">
        <f>IF(A16="","",IFERROR(IF(VLOOKUP(A16,'Job Operations'!A:M,13,FALSE)="Cidan",VLOOKUP(A16,'Job Operations'!A:O,15,FALSE),IF(VLOOKUP(A16,'Job Operations'!A:O,15,FALSE)="Cidan",VLOOKUP(A16,'Job Operations'!A:Q,17,FALSE),"")),""))</f>
        <v>Shear</v>
      </c>
      <c r="L16" s="146" t="str">
        <f>IF(A16="","",IFERROR(IF(VLOOKUP(A16,'Job Operations'!A:M,13,FALSE)="Cidan",VLOOKUP(A16,'Job Operations'!A:Q,17,FALSE),IF(VLOOKUP(A16,'Job Operations'!A:O,15,FALSE)="Cidan",VLOOKUP(A16,'Job Operations'!A:S,19,FALSE),"")),""))</f>
        <v/>
      </c>
      <c r="M16" s="148" t="str">
        <f>IF(A16="","",IFERROR(IF(VLOOKUP(A16,Notes!A:B,2,FALSE)=0,"",VLOOKUP(A16,Notes!A:B,2,FALSE)),""))</f>
        <v>04/16/2026…Shear</v>
      </c>
    </row>
    <row r="17" spans="1:13" s="140" customFormat="1" x14ac:dyDescent="0.25">
      <c r="A17" s="149" t="str">
        <v>25065-MU05</v>
      </c>
      <c r="B17" s="150" t="str">
        <f>IF(A17="","",VLOOKUP(A17,'Job Operations'!A:B,2,FALSE))</f>
        <v>Crosswinds Casino Resort</v>
      </c>
      <c r="C17" s="150" t="str">
        <f>IF(A17="","",VLOOKUP(A17,'Job Operations'!A:C,3,FALSE))</f>
        <v>Matt Rassmussen</v>
      </c>
      <c r="D17" s="150">
        <f>IF(A17="","",VLOOKUP(A17,'Job Operations'!A:E,5,FALSE))</f>
        <v>3</v>
      </c>
      <c r="E17" s="150">
        <f>IF(A17="","",VLOOKUP(A17,'Job Operations'!A:F,6,FALSE))</f>
        <v>1</v>
      </c>
      <c r="F17" s="150" t="str">
        <f>IF(A17="","",VLOOKUP(A17,'Job Operations'!A:G,7,FALSE))</f>
        <v>Steel Sheet</v>
      </c>
      <c r="G17" s="151">
        <f>IF(A17="","",VLOOKUP(A17,'Job Operations'!A:I,9,FALSE))</f>
        <v>46171</v>
      </c>
      <c r="H17" s="150" t="str">
        <f>IF(A17="","",VLOOKUP(A17,'Job Operations'!A:L,12,FALSE))</f>
        <v>Evaluation</v>
      </c>
      <c r="I17" s="150" t="str">
        <f t="shared" si="1"/>
        <v>#11 on Cidan</v>
      </c>
      <c r="J17" s="151">
        <f>IF(A17="","",IFERROR(IF(VLOOKUP(A17,'Job Operations'!A:M,13,FALSE)="Cidan",VLOOKUP(A17,'Job Operations'!A:N,14,FALSE),IF(VLOOKUP(A17,'Job Operations'!A:O,15,FALSE)="Cidan",VLOOKUP(A17,'Job Operations'!A:P,16,FALSE),IF(VLOOKUP(A17,'Job Operations'!A:Q,17,FALSE)="Cidan",VLOOKUP(A17,'Job Operations'!A:R,18,FALSE),""))),""))</f>
        <v>46146</v>
      </c>
      <c r="K17" s="150" t="str">
        <f>IF(A17="","",IFERROR(IF(VLOOKUP(A17,'Job Operations'!A:M,13,FALSE)="Cidan",VLOOKUP(A17,'Job Operations'!A:O,15,FALSE),IF(VLOOKUP(A17,'Job Operations'!A:O,15,FALSE)="Cidan",VLOOKUP(A17,'Job Operations'!A:Q,17,FALSE),"")),""))</f>
        <v>Shear</v>
      </c>
      <c r="L17" s="150" t="str">
        <f>IF(A17="","",IFERROR(IF(VLOOKUP(A17,'Job Operations'!A:M,13,FALSE)="Cidan",VLOOKUP(A17,'Job Operations'!A:Q,17,FALSE),IF(VLOOKUP(A17,'Job Operations'!A:O,15,FALSE)="Cidan",VLOOKUP(A17,'Job Operations'!A:S,19,FALSE),"")),""))</f>
        <v/>
      </c>
      <c r="M17" s="152" t="str">
        <f>IF(A17="","",IFERROR(IF(VLOOKUP(A17,Notes!A:B,2,FALSE)=0,"",VLOOKUP(A17,Notes!A:B,2,FALSE)),""))</f>
        <v>04/16/2026…Evaluation</v>
      </c>
    </row>
    <row r="18" spans="1:13" s="140" customFormat="1" x14ac:dyDescent="0.25">
      <c r="A18" s="145" t="str">
        <v>25065-MU11</v>
      </c>
      <c r="B18" s="146" t="str">
        <f>IF(A18="","",VLOOKUP(A18,'Job Operations'!A:B,2,FALSE))</f>
        <v>Crosswinds Casino Resort</v>
      </c>
      <c r="C18" s="146" t="str">
        <f>IF(A18="","",VLOOKUP(A18,'Job Operations'!A:C,3,FALSE))</f>
        <v>Matt Rassmussen</v>
      </c>
      <c r="D18" s="146">
        <f>IF(A18="","",VLOOKUP(A18,'Job Operations'!A:E,5,FALSE))</f>
        <v>1</v>
      </c>
      <c r="E18" s="146">
        <f>IF(A18="","",VLOOKUP(A18,'Job Operations'!A:F,6,FALSE))</f>
        <v>1</v>
      </c>
      <c r="F18" s="146" t="str">
        <f>IF(A18="","",VLOOKUP(A18,'Job Operations'!A:G,7,FALSE))</f>
        <v>Alum Sheet</v>
      </c>
      <c r="G18" s="147">
        <f>IF(A18="","",VLOOKUP(A18,'Job Operations'!A:I,9,FALSE))</f>
        <v>46171</v>
      </c>
      <c r="H18" s="146" t="str">
        <f>IF(A18="","",VLOOKUP(A18,'Job Operations'!A:L,12,FALSE))</f>
        <v>Evaluation</v>
      </c>
      <c r="I18" s="146" t="str">
        <f t="shared" si="1"/>
        <v>#12 on Cidan</v>
      </c>
      <c r="J18" s="147">
        <f>IF(A18="","",IFERROR(IF(VLOOKUP(A18,'Job Operations'!A:M,13,FALSE)="Cidan",VLOOKUP(A18,'Job Operations'!A:N,14,FALSE),IF(VLOOKUP(A18,'Job Operations'!A:O,15,FALSE)="Cidan",VLOOKUP(A18,'Job Operations'!A:P,16,FALSE),IF(VLOOKUP(A18,'Job Operations'!A:Q,17,FALSE)="Cidan",VLOOKUP(A18,'Job Operations'!A:R,18,FALSE),""))),""))</f>
        <v>46146</v>
      </c>
      <c r="K18" s="146" t="str">
        <f>IF(A18="","",IFERROR(IF(VLOOKUP(A18,'Job Operations'!A:M,13,FALSE)="Cidan",VLOOKUP(A18,'Job Operations'!A:O,15,FALSE),IF(VLOOKUP(A18,'Job Operations'!A:O,15,FALSE)="Cidan",VLOOKUP(A18,'Job Operations'!A:Q,17,FALSE),"")),""))</f>
        <v>Shear</v>
      </c>
      <c r="L18" s="146" t="str">
        <f>IF(A18="","",IFERROR(IF(VLOOKUP(A18,'Job Operations'!A:M,13,FALSE)="Cidan",VLOOKUP(A18,'Job Operations'!A:Q,17,FALSE),IF(VLOOKUP(A18,'Job Operations'!A:O,15,FALSE)="Cidan",VLOOKUP(A18,'Job Operations'!A:S,19,FALSE),"")),""))</f>
        <v/>
      </c>
      <c r="M18" s="148" t="str">
        <f>IF(A18="","",IFERROR(IF(VLOOKUP(A18,Notes!A:B,2,FALSE)=0,"",VLOOKUP(A18,Notes!A:B,2,FALSE)),""))</f>
        <v>04/16/2026…Evaluation</v>
      </c>
    </row>
    <row r="19" spans="1:13" s="140" customFormat="1" x14ac:dyDescent="0.25">
      <c r="A19" s="149" t="str">
        <v>25065-MU12</v>
      </c>
      <c r="B19" s="150" t="str">
        <f>IF(A19="","",VLOOKUP(A19,'Job Operations'!A:B,2,FALSE))</f>
        <v>Crosswinds Casino Resort</v>
      </c>
      <c r="C19" s="150" t="str">
        <f>IF(A19="","",VLOOKUP(A19,'Job Operations'!A:C,3,FALSE))</f>
        <v>Matt Rassmussen</v>
      </c>
      <c r="D19" s="150">
        <f>IF(A19="","",VLOOKUP(A19,'Job Operations'!A:E,5,FALSE))</f>
        <v>0</v>
      </c>
      <c r="E19" s="150">
        <f>IF(A19="","",VLOOKUP(A19,'Job Operations'!A:F,6,FALSE))</f>
        <v>2</v>
      </c>
      <c r="F19" s="150" t="str">
        <f>IF(A19="","",VLOOKUP(A19,'Job Operations'!A:G,7,FALSE))</f>
        <v>Alum Sheet</v>
      </c>
      <c r="G19" s="151">
        <f>IF(A19="","",VLOOKUP(A19,'Job Operations'!A:I,9,FALSE))</f>
        <v>46171</v>
      </c>
      <c r="H19" s="150" t="str">
        <f>IF(A19="","",VLOOKUP(A19,'Job Operations'!A:L,12,FALSE))</f>
        <v>Evaluation</v>
      </c>
      <c r="I19" s="150" t="str">
        <f t="shared" si="1"/>
        <v>#13 on Cidan</v>
      </c>
      <c r="J19" s="151">
        <f>IF(A19="","",IFERROR(IF(VLOOKUP(A19,'Job Operations'!A:M,13,FALSE)="Cidan",VLOOKUP(A19,'Job Operations'!A:N,14,FALSE),IF(VLOOKUP(A19,'Job Operations'!A:O,15,FALSE)="Cidan",VLOOKUP(A19,'Job Operations'!A:P,16,FALSE),IF(VLOOKUP(A19,'Job Operations'!A:Q,17,FALSE)="Cidan",VLOOKUP(A19,'Job Operations'!A:R,18,FALSE),""))),""))</f>
        <v>46146</v>
      </c>
      <c r="K19" s="150" t="str">
        <f>IF(A19="","",IFERROR(IF(VLOOKUP(A19,'Job Operations'!A:M,13,FALSE)="Cidan",VLOOKUP(A19,'Job Operations'!A:O,15,FALSE),IF(VLOOKUP(A19,'Job Operations'!A:O,15,FALSE)="Cidan",VLOOKUP(A19,'Job Operations'!A:Q,17,FALSE),"")),""))</f>
        <v>Shear</v>
      </c>
      <c r="L19" s="150" t="str">
        <f>IF(A19="","",IFERROR(IF(VLOOKUP(A19,'Job Operations'!A:M,13,FALSE)="Cidan",VLOOKUP(A19,'Job Operations'!A:Q,17,FALSE),IF(VLOOKUP(A19,'Job Operations'!A:O,15,FALSE)="Cidan",VLOOKUP(A19,'Job Operations'!A:S,19,FALSE),"")),""))</f>
        <v/>
      </c>
      <c r="M19" s="152" t="str">
        <f>IF(A19="","",IFERROR(IF(VLOOKUP(A19,Notes!A:B,2,FALSE)=0,"",VLOOKUP(A19,Notes!A:B,2,FALSE)),""))</f>
        <v>04/16/2026…Evaluation</v>
      </c>
    </row>
    <row r="20" spans="1:13" s="140" customFormat="1" x14ac:dyDescent="0.25">
      <c r="A20" s="145" t="str">
        <v>25065-MU13</v>
      </c>
      <c r="B20" s="146" t="str">
        <f>IF(A20="","",VLOOKUP(A20,'Job Operations'!A:B,2,FALSE))</f>
        <v>Crosswinds Casino Resort</v>
      </c>
      <c r="C20" s="146" t="str">
        <f>IF(A20="","",VLOOKUP(A20,'Job Operations'!A:C,3,FALSE))</f>
        <v>Matt Rassmussen</v>
      </c>
      <c r="D20" s="146">
        <f>IF(A20="","",VLOOKUP(A20,'Job Operations'!A:E,5,FALSE))</f>
        <v>0</v>
      </c>
      <c r="E20" s="146">
        <f>IF(A20="","",VLOOKUP(A20,'Job Operations'!A:F,6,FALSE))</f>
        <v>1</v>
      </c>
      <c r="F20" s="146" t="str">
        <f>IF(A20="","",VLOOKUP(A20,'Job Operations'!A:G,7,FALSE))</f>
        <v>Alum Sheet</v>
      </c>
      <c r="G20" s="147">
        <f>IF(A20="","",VLOOKUP(A20,'Job Operations'!A:I,9,FALSE))</f>
        <v>46171</v>
      </c>
      <c r="H20" s="146" t="str">
        <f>IF(A20="","",VLOOKUP(A20,'Job Operations'!A:L,12,FALSE))</f>
        <v>Evaluation</v>
      </c>
      <c r="I20" s="146" t="str">
        <f t="shared" si="1"/>
        <v>#14 on Cidan</v>
      </c>
      <c r="J20" s="147">
        <f>IF(A20="","",IFERROR(IF(VLOOKUP(A20,'Job Operations'!A:M,13,FALSE)="Cidan",VLOOKUP(A20,'Job Operations'!A:N,14,FALSE),IF(VLOOKUP(A20,'Job Operations'!A:O,15,FALSE)="Cidan",VLOOKUP(A20,'Job Operations'!A:P,16,FALSE),IF(VLOOKUP(A20,'Job Operations'!A:Q,17,FALSE)="Cidan",VLOOKUP(A20,'Job Operations'!A:R,18,FALSE),""))),""))</f>
        <v>46146</v>
      </c>
      <c r="K20" s="146" t="str">
        <f>IF(A20="","",IFERROR(IF(VLOOKUP(A20,'Job Operations'!A:M,13,FALSE)="Cidan",VLOOKUP(A20,'Job Operations'!A:O,15,FALSE),IF(VLOOKUP(A20,'Job Operations'!A:O,15,FALSE)="Cidan",VLOOKUP(A20,'Job Operations'!A:Q,17,FALSE),"")),""))</f>
        <v>Shear</v>
      </c>
      <c r="L20" s="146" t="str">
        <f>IF(A20="","",IFERROR(IF(VLOOKUP(A20,'Job Operations'!A:M,13,FALSE)="Cidan",VLOOKUP(A20,'Job Operations'!A:Q,17,FALSE),IF(VLOOKUP(A20,'Job Operations'!A:O,15,FALSE)="Cidan",VLOOKUP(A20,'Job Operations'!A:S,19,FALSE),"")),""))</f>
        <v/>
      </c>
      <c r="M20" s="148" t="str">
        <f>IF(A20="","",IFERROR(IF(VLOOKUP(A20,Notes!A:B,2,FALSE)=0,"",VLOOKUP(A20,Notes!A:B,2,FALSE)),""))</f>
        <v>04/16/2026…Evaluation</v>
      </c>
    </row>
    <row r="21" spans="1:13" s="140" customFormat="1" x14ac:dyDescent="0.25">
      <c r="A21" s="149" t="str">
        <v>25065-MU14</v>
      </c>
      <c r="B21" s="150" t="str">
        <f>IF(A21="","",VLOOKUP(A21,'Job Operations'!A:B,2,FALSE))</f>
        <v>Crosswinds Casino Resort</v>
      </c>
      <c r="C21" s="150" t="str">
        <f>IF(A21="","",VLOOKUP(A21,'Job Operations'!A:C,3,FALSE))</f>
        <v>Matt Rassmussen</v>
      </c>
      <c r="D21" s="150">
        <f>IF(A21="","",VLOOKUP(A21,'Job Operations'!A:E,5,FALSE))</f>
        <v>0</v>
      </c>
      <c r="E21" s="150">
        <f>IF(A21="","",VLOOKUP(A21,'Job Operations'!A:F,6,FALSE))</f>
        <v>3</v>
      </c>
      <c r="F21" s="150" t="str">
        <f>IF(A21="","",VLOOKUP(A21,'Job Operations'!A:G,7,FALSE))</f>
        <v>Alum Sheet</v>
      </c>
      <c r="G21" s="151">
        <f>IF(A21="","",VLOOKUP(A21,'Job Operations'!A:I,9,FALSE))</f>
        <v>46171</v>
      </c>
      <c r="H21" s="150" t="str">
        <f>IF(A21="","",VLOOKUP(A21,'Job Operations'!A:L,12,FALSE))</f>
        <v>Evaluation</v>
      </c>
      <c r="I21" s="150" t="str">
        <f t="shared" si="1"/>
        <v>#15 on Cidan</v>
      </c>
      <c r="J21" s="151">
        <f>IF(A21="","",IFERROR(IF(VLOOKUP(A21,'Job Operations'!A:M,13,FALSE)="Cidan",VLOOKUP(A21,'Job Operations'!A:N,14,FALSE),IF(VLOOKUP(A21,'Job Operations'!A:O,15,FALSE)="Cidan",VLOOKUP(A21,'Job Operations'!A:P,16,FALSE),IF(VLOOKUP(A21,'Job Operations'!A:Q,17,FALSE)="Cidan",VLOOKUP(A21,'Job Operations'!A:R,18,FALSE),""))),""))</f>
        <v>46146</v>
      </c>
      <c r="K21" s="150" t="str">
        <f>IF(A21="","",IFERROR(IF(VLOOKUP(A21,'Job Operations'!A:M,13,FALSE)="Cidan",VLOOKUP(A21,'Job Operations'!A:O,15,FALSE),IF(VLOOKUP(A21,'Job Operations'!A:O,15,FALSE)="Cidan",VLOOKUP(A21,'Job Operations'!A:Q,17,FALSE),"")),""))</f>
        <v>Shear</v>
      </c>
      <c r="L21" s="150" t="str">
        <f>IF(A21="","",IFERROR(IF(VLOOKUP(A21,'Job Operations'!A:M,13,FALSE)="Cidan",VLOOKUP(A21,'Job Operations'!A:Q,17,FALSE),IF(VLOOKUP(A21,'Job Operations'!A:O,15,FALSE)="Cidan",VLOOKUP(A21,'Job Operations'!A:S,19,FALSE),"")),""))</f>
        <v/>
      </c>
      <c r="M21" s="152" t="str">
        <f>IF(A21="","",IFERROR(IF(VLOOKUP(A21,Notes!A:B,2,FALSE)=0,"",VLOOKUP(A21,Notes!A:B,2,FALSE)),""))</f>
        <v>04/16/2026…Evaluation</v>
      </c>
    </row>
    <row r="22" spans="1:13" s="140" customFormat="1" x14ac:dyDescent="0.25">
      <c r="A22" s="145" t="str">
        <v>25065-MU15</v>
      </c>
      <c r="B22" s="146" t="str">
        <f>IF(A22="","",VLOOKUP(A22,'Job Operations'!A:B,2,FALSE))</f>
        <v>Crosswinds Casino Resort</v>
      </c>
      <c r="C22" s="146" t="str">
        <f>IF(A22="","",VLOOKUP(A22,'Job Operations'!A:C,3,FALSE))</f>
        <v>Matt Rassmussen</v>
      </c>
      <c r="D22" s="146">
        <f>IF(A22="","",VLOOKUP(A22,'Job Operations'!A:E,5,FALSE))</f>
        <v>0</v>
      </c>
      <c r="E22" s="146">
        <f>IF(A22="","",VLOOKUP(A22,'Job Operations'!A:F,6,FALSE))</f>
        <v>6</v>
      </c>
      <c r="F22" s="146" t="str">
        <f>IF(A22="","",VLOOKUP(A22,'Job Operations'!A:G,7,FALSE))</f>
        <v>Steel Sheet</v>
      </c>
      <c r="G22" s="147">
        <f>IF(A22="","",VLOOKUP(A22,'Job Operations'!A:I,9,FALSE))</f>
        <v>46171</v>
      </c>
      <c r="H22" s="146" t="str">
        <f>IF(A22="","",VLOOKUP(A22,'Job Operations'!A:L,12,FALSE))</f>
        <v>Evaluation</v>
      </c>
      <c r="I22" s="146" t="str">
        <f t="shared" si="1"/>
        <v>#16 on Cidan</v>
      </c>
      <c r="J22" s="147">
        <f>IF(A22="","",IFERROR(IF(VLOOKUP(A22,'Job Operations'!A:M,13,FALSE)="Cidan",VLOOKUP(A22,'Job Operations'!A:N,14,FALSE),IF(VLOOKUP(A22,'Job Operations'!A:O,15,FALSE)="Cidan",VLOOKUP(A22,'Job Operations'!A:P,16,FALSE),IF(VLOOKUP(A22,'Job Operations'!A:Q,17,FALSE)="Cidan",VLOOKUP(A22,'Job Operations'!A:R,18,FALSE),""))),""))</f>
        <v>46146</v>
      </c>
      <c r="K22" s="146" t="str">
        <f>IF(A22="","",IFERROR(IF(VLOOKUP(A22,'Job Operations'!A:M,13,FALSE)="Cidan",VLOOKUP(A22,'Job Operations'!A:O,15,FALSE),IF(VLOOKUP(A22,'Job Operations'!A:O,15,FALSE)="Cidan",VLOOKUP(A22,'Job Operations'!A:Q,17,FALSE),"")),""))</f>
        <v>Shear</v>
      </c>
      <c r="L22" s="146" t="str">
        <f>IF(A22="","",IFERROR(IF(VLOOKUP(A22,'Job Operations'!A:M,13,FALSE)="Cidan",VLOOKUP(A22,'Job Operations'!A:Q,17,FALSE),IF(VLOOKUP(A22,'Job Operations'!A:O,15,FALSE)="Cidan",VLOOKUP(A22,'Job Operations'!A:S,19,FALSE),"")),""))</f>
        <v/>
      </c>
      <c r="M22" s="148" t="str">
        <f>IF(A22="","",IFERROR(IF(VLOOKUP(A22,Notes!A:B,2,FALSE)=0,"",VLOOKUP(A22,Notes!A:B,2,FALSE)),""))</f>
        <v>04/16/2026…Evaluation</v>
      </c>
    </row>
    <row r="23" spans="1:13" s="140" customFormat="1" x14ac:dyDescent="0.25">
      <c r="A23" s="149" t="str">
        <v>25065-MU20</v>
      </c>
      <c r="B23" s="150" t="str">
        <f>IF(A23="","",VLOOKUP(A23,'Job Operations'!A:B,2,FALSE))</f>
        <v>Crosswinds Casino Resort</v>
      </c>
      <c r="C23" s="150" t="str">
        <f>IF(A23="","",VLOOKUP(A23,'Job Operations'!A:C,3,FALSE))</f>
        <v>Matt Rassmussen</v>
      </c>
      <c r="D23" s="150">
        <f>IF(A23="","",VLOOKUP(A23,'Job Operations'!A:E,5,FALSE))</f>
        <v>0</v>
      </c>
      <c r="E23" s="150">
        <f>IF(A23="","",VLOOKUP(A23,'Job Operations'!A:F,6,FALSE))</f>
        <v>3</v>
      </c>
      <c r="F23" s="150" t="str">
        <f>IF(A23="","",VLOOKUP(A23,'Job Operations'!A:G,7,FALSE))</f>
        <v>Steel Sheet</v>
      </c>
      <c r="G23" s="151">
        <f>IF(A23="","",VLOOKUP(A23,'Job Operations'!A:I,9,FALSE))</f>
        <v>46171</v>
      </c>
      <c r="H23" s="150" t="str">
        <f>IF(A23="","",VLOOKUP(A23,'Job Operations'!A:L,12,FALSE))</f>
        <v>Evaluation</v>
      </c>
      <c r="I23" s="150" t="str">
        <f t="shared" si="1"/>
        <v>#17 on Cidan</v>
      </c>
      <c r="J23" s="151">
        <f>IF(A23="","",IFERROR(IF(VLOOKUP(A23,'Job Operations'!A:M,13,FALSE)="Cidan",VLOOKUP(A23,'Job Operations'!A:N,14,FALSE),IF(VLOOKUP(A23,'Job Operations'!A:O,15,FALSE)="Cidan",VLOOKUP(A23,'Job Operations'!A:P,16,FALSE),IF(VLOOKUP(A23,'Job Operations'!A:Q,17,FALSE)="Cidan",VLOOKUP(A23,'Job Operations'!A:R,18,FALSE),""))),""))</f>
        <v>46146</v>
      </c>
      <c r="K23" s="150" t="str">
        <f>IF(A23="","",IFERROR(IF(VLOOKUP(A23,'Job Operations'!A:M,13,FALSE)="Cidan",VLOOKUP(A23,'Job Operations'!A:O,15,FALSE),IF(VLOOKUP(A23,'Job Operations'!A:O,15,FALSE)="Cidan",VLOOKUP(A23,'Job Operations'!A:Q,17,FALSE),"")),""))</f>
        <v>Shear</v>
      </c>
      <c r="L23" s="150" t="str">
        <f>IF(A23="","",IFERROR(IF(VLOOKUP(A23,'Job Operations'!A:M,13,FALSE)="Cidan",VLOOKUP(A23,'Job Operations'!A:Q,17,FALSE),IF(VLOOKUP(A23,'Job Operations'!A:O,15,FALSE)="Cidan",VLOOKUP(A23,'Job Operations'!A:S,19,FALSE),"")),""))</f>
        <v/>
      </c>
      <c r="M23" s="152" t="str">
        <f>IF(A23="","",IFERROR(IF(VLOOKUP(A23,Notes!A:B,2,FALSE)=0,"",VLOOKUP(A23,Notes!A:B,2,FALSE)),""))</f>
        <v>04/16/2026…Evaluation</v>
      </c>
    </row>
    <row r="24" spans="1:13" s="140" customFormat="1" x14ac:dyDescent="0.25">
      <c r="A24" s="145"/>
      <c r="B24" s="146" t="str">
        <f>IF(A24="","",VLOOKUP(A24,'Job Operations'!A:B,2,FALSE))</f>
        <v/>
      </c>
      <c r="C24" s="146" t="str">
        <f>IF(A24="","",VLOOKUP(A24,'Job Operations'!A:C,3,FALSE))</f>
        <v/>
      </c>
      <c r="D24" s="146" t="str">
        <f>IF(A24="","",VLOOKUP(A24,'Job Operations'!A:E,5,FALSE))</f>
        <v/>
      </c>
      <c r="E24" s="146" t="str">
        <f>IF(A24="","",VLOOKUP(A24,'Job Operations'!A:F,6,FALSE))</f>
        <v/>
      </c>
      <c r="F24" s="146" t="str">
        <f>IF(A24="","",VLOOKUP(A24,'Job Operations'!A:G,7,FALSE))</f>
        <v/>
      </c>
      <c r="G24" s="147" t="str">
        <f>IF(A24="","",VLOOKUP(A24,'Job Operations'!A:I,9,FALSE))</f>
        <v/>
      </c>
      <c r="H24" s="146" t="str">
        <f>IF(A24="","",VLOOKUP(A24,'Job Operations'!A:L,12,FALSE))</f>
        <v/>
      </c>
      <c r="I24" s="146" t="str">
        <f t="shared" si="1"/>
        <v/>
      </c>
      <c r="J24" s="147" t="str">
        <f>IF(A24="","",IFERROR(IF(VLOOKUP(A24,'Job Operations'!A:M,13,FALSE)="Cidan",VLOOKUP(A24,'Job Operations'!A:N,14,FALSE),IF(VLOOKUP(A24,'Job Operations'!A:O,15,FALSE)="Cidan",VLOOKUP(A24,'Job Operations'!A:P,16,FALSE),IF(VLOOKUP(A24,'Job Operations'!A:Q,17,FALSE)="Cidan",VLOOKUP(A24,'Job Operations'!A:R,18,FALSE),""))),""))</f>
        <v/>
      </c>
      <c r="K24" s="146" t="str">
        <f>IF(A24="","",IFERROR(IF(VLOOKUP(A24,'Job Operations'!A:M,13,FALSE)="Cidan",VLOOKUP(A24,'Job Operations'!A:O,15,FALSE),IF(VLOOKUP(A24,'Job Operations'!A:O,15,FALSE)="Cidan",VLOOKUP(A24,'Job Operations'!A:Q,17,FALSE),"")),""))</f>
        <v/>
      </c>
      <c r="L24" s="146" t="str">
        <f>IF(A24="","",IFERROR(IF(VLOOKUP(A24,'Job Operations'!A:M,13,FALSE)="Cidan",VLOOKUP(A24,'Job Operations'!A:Q,17,FALSE),IF(VLOOKUP(A24,'Job Operations'!A:O,15,FALSE)="Cidan",VLOOKUP(A24,'Job Operations'!A:S,19,FALSE),"")),""))</f>
        <v/>
      </c>
      <c r="M24" s="148" t="str">
        <f>IF(A24="","",IFERROR(IF(VLOOKUP(A24,Notes!A:B,2,FALSE)=0,"",VLOOKUP(A24,Notes!A:B,2,FALSE)),""))</f>
        <v/>
      </c>
    </row>
    <row r="25" spans="1:13" s="140" customFormat="1" x14ac:dyDescent="0.25">
      <c r="A25" s="149"/>
      <c r="B25" s="150" t="str">
        <f>IF(A25="","",VLOOKUP(A25,'Job Operations'!A:B,2,FALSE))</f>
        <v/>
      </c>
      <c r="C25" s="150" t="str">
        <f>IF(A25="","",VLOOKUP(A25,'Job Operations'!A:C,3,FALSE))</f>
        <v/>
      </c>
      <c r="D25" s="150" t="str">
        <f>IF(A25="","",VLOOKUP(A25,'Job Operations'!A:E,5,FALSE))</f>
        <v/>
      </c>
      <c r="E25" s="150" t="str">
        <f>IF(A25="","",VLOOKUP(A25,'Job Operations'!A:F,6,FALSE))</f>
        <v/>
      </c>
      <c r="F25" s="150" t="str">
        <f>IF(A25="","",VLOOKUP(A25,'Job Operations'!A:G,7,FALSE))</f>
        <v/>
      </c>
      <c r="G25" s="151" t="str">
        <f>IF(A25="","",VLOOKUP(A25,'Job Operations'!A:I,9,FALSE))</f>
        <v/>
      </c>
      <c r="H25" s="150" t="str">
        <f>IF(A25="","",VLOOKUP(A25,'Job Operations'!A:L,12,FALSE))</f>
        <v/>
      </c>
      <c r="I25" s="150" t="str">
        <f t="shared" si="1"/>
        <v/>
      </c>
      <c r="J25" s="151" t="str">
        <f>IF(A25="","",IFERROR(IF(VLOOKUP(A25,'Job Operations'!A:M,13,FALSE)="Cidan",VLOOKUP(A25,'Job Operations'!A:N,14,FALSE),IF(VLOOKUP(A25,'Job Operations'!A:O,15,FALSE)="Cidan",VLOOKUP(A25,'Job Operations'!A:P,16,FALSE),IF(VLOOKUP(A25,'Job Operations'!A:Q,17,FALSE)="Cidan",VLOOKUP(A25,'Job Operations'!A:R,18,FALSE),""))),""))</f>
        <v/>
      </c>
      <c r="K25" s="150" t="str">
        <f>IF(A25="","",IFERROR(IF(VLOOKUP(A25,'Job Operations'!A:M,13,FALSE)="Cidan",VLOOKUP(A25,'Job Operations'!A:O,15,FALSE),IF(VLOOKUP(A25,'Job Operations'!A:O,15,FALSE)="Cidan",VLOOKUP(A25,'Job Operations'!A:Q,17,FALSE),"")),""))</f>
        <v/>
      </c>
      <c r="L25" s="150" t="str">
        <f>IF(A25="","",IFERROR(IF(VLOOKUP(A25,'Job Operations'!A:M,13,FALSE)="Cidan",VLOOKUP(A25,'Job Operations'!A:Q,17,FALSE),IF(VLOOKUP(A25,'Job Operations'!A:O,15,FALSE)="Cidan",VLOOKUP(A25,'Job Operations'!A:S,19,FALSE),"")),""))</f>
        <v/>
      </c>
      <c r="M25" s="152" t="str">
        <f>IF(A25="","",IFERROR(IF(VLOOKUP(A25,Notes!A:B,2,FALSE)=0,"",VLOOKUP(A25,Notes!A:B,2,FALSE)),""))</f>
        <v/>
      </c>
    </row>
    <row r="26" spans="1:13" s="140" customFormat="1" x14ac:dyDescent="0.25">
      <c r="A26" s="145"/>
      <c r="B26" s="146" t="str">
        <f>IF(A26="","",VLOOKUP(A26,'Job Operations'!A:B,2,FALSE))</f>
        <v/>
      </c>
      <c r="C26" s="146" t="str">
        <f>IF(A26="","",VLOOKUP(A26,'Job Operations'!A:C,3,FALSE))</f>
        <v/>
      </c>
      <c r="D26" s="146" t="str">
        <f>IF(A26="","",VLOOKUP(A26,'Job Operations'!A:E,5,FALSE))</f>
        <v/>
      </c>
      <c r="E26" s="146" t="str">
        <f>IF(A26="","",VLOOKUP(A26,'Job Operations'!A:F,6,FALSE))</f>
        <v/>
      </c>
      <c r="F26" s="146" t="str">
        <f>IF(A26="","",VLOOKUP(A26,'Job Operations'!A:G,7,FALSE))</f>
        <v/>
      </c>
      <c r="G26" s="147" t="str">
        <f>IF(A26="","",VLOOKUP(A26,'Job Operations'!A:I,9,FALSE))</f>
        <v/>
      </c>
      <c r="H26" s="146" t="str">
        <f>IF(A26="","",VLOOKUP(A26,'Job Operations'!A:L,12,FALSE))</f>
        <v/>
      </c>
      <c r="I26" s="146" t="str">
        <f t="shared" si="1"/>
        <v/>
      </c>
      <c r="J26" s="147" t="str">
        <f>IF(A26="","",IFERROR(IF(VLOOKUP(A26,'Job Operations'!A:M,13,FALSE)="Cidan",VLOOKUP(A26,'Job Operations'!A:N,14,FALSE),IF(VLOOKUP(A26,'Job Operations'!A:O,15,FALSE)="Cidan",VLOOKUP(A26,'Job Operations'!A:P,16,FALSE),IF(VLOOKUP(A26,'Job Operations'!A:Q,17,FALSE)="Cidan",VLOOKUP(A26,'Job Operations'!A:R,18,FALSE),""))),""))</f>
        <v/>
      </c>
      <c r="K26" s="146" t="str">
        <f>IF(A26="","",IFERROR(IF(VLOOKUP(A26,'Job Operations'!A:M,13,FALSE)="Cidan",VLOOKUP(A26,'Job Operations'!A:O,15,FALSE),IF(VLOOKUP(A26,'Job Operations'!A:O,15,FALSE)="Cidan",VLOOKUP(A26,'Job Operations'!A:Q,17,FALSE),"")),""))</f>
        <v/>
      </c>
      <c r="L26" s="146" t="str">
        <f>IF(A26="","",IFERROR(IF(VLOOKUP(A26,'Job Operations'!A:M,13,FALSE)="Cidan",VLOOKUP(A26,'Job Operations'!A:Q,17,FALSE),IF(VLOOKUP(A26,'Job Operations'!A:O,15,FALSE)="Cidan",VLOOKUP(A26,'Job Operations'!A:S,19,FALSE),"")),""))</f>
        <v/>
      </c>
      <c r="M26" s="148" t="str">
        <f>IF(A26="","",IFERROR(IF(VLOOKUP(A26,Notes!A:B,2,FALSE)=0,"",VLOOKUP(A26,Notes!A:B,2,FALSE)),""))</f>
        <v/>
      </c>
    </row>
    <row r="27" spans="1:13" s="140" customFormat="1" x14ac:dyDescent="0.25">
      <c r="A27" s="149"/>
      <c r="B27" s="150" t="str">
        <f>IF(A27="","",VLOOKUP(A27,'Job Operations'!A:B,2,FALSE))</f>
        <v/>
      </c>
      <c r="C27" s="150" t="str">
        <f>IF(A27="","",VLOOKUP(A27,'Job Operations'!A:C,3,FALSE))</f>
        <v/>
      </c>
      <c r="D27" s="150" t="str">
        <f>IF(A27="","",VLOOKUP(A27,'Job Operations'!A:E,5,FALSE))</f>
        <v/>
      </c>
      <c r="E27" s="150" t="str">
        <f>IF(A27="","",VLOOKUP(A27,'Job Operations'!A:F,6,FALSE))</f>
        <v/>
      </c>
      <c r="F27" s="150" t="str">
        <f>IF(A27="","",VLOOKUP(A27,'Job Operations'!A:G,7,FALSE))</f>
        <v/>
      </c>
      <c r="G27" s="151" t="str">
        <f>IF(A27="","",VLOOKUP(A27,'Job Operations'!A:I,9,FALSE))</f>
        <v/>
      </c>
      <c r="H27" s="150" t="str">
        <f>IF(A27="","",VLOOKUP(A27,'Job Operations'!A:L,12,FALSE))</f>
        <v/>
      </c>
      <c r="I27" s="150" t="str">
        <f t="shared" si="1"/>
        <v/>
      </c>
      <c r="J27" s="151" t="str">
        <f>IF(A27="","",IFERROR(IF(VLOOKUP(A27,'Job Operations'!A:M,13,FALSE)="Cidan",VLOOKUP(A27,'Job Operations'!A:N,14,FALSE),IF(VLOOKUP(A27,'Job Operations'!A:O,15,FALSE)="Cidan",VLOOKUP(A27,'Job Operations'!A:P,16,FALSE),IF(VLOOKUP(A27,'Job Operations'!A:Q,17,FALSE)="Cidan",VLOOKUP(A27,'Job Operations'!A:R,18,FALSE),""))),""))</f>
        <v/>
      </c>
      <c r="K27" s="150" t="str">
        <f>IF(A27="","",IFERROR(IF(VLOOKUP(A27,'Job Operations'!A:M,13,FALSE)="Cidan",VLOOKUP(A27,'Job Operations'!A:O,15,FALSE),IF(VLOOKUP(A27,'Job Operations'!A:O,15,FALSE)="Cidan",VLOOKUP(A27,'Job Operations'!A:Q,17,FALSE),"")),""))</f>
        <v/>
      </c>
      <c r="L27" s="150" t="str">
        <f>IF(A27="","",IFERROR(IF(VLOOKUP(A27,'Job Operations'!A:M,13,FALSE)="Cidan",VLOOKUP(A27,'Job Operations'!A:Q,17,FALSE),IF(VLOOKUP(A27,'Job Operations'!A:O,15,FALSE)="Cidan",VLOOKUP(A27,'Job Operations'!A:S,19,FALSE),"")),""))</f>
        <v/>
      </c>
      <c r="M27" s="152" t="str">
        <f>IF(A27="","",IFERROR(IF(VLOOKUP(A27,Notes!A:B,2,FALSE)=0,"",VLOOKUP(A27,Notes!A:B,2,FALSE)),""))</f>
        <v/>
      </c>
    </row>
    <row r="28" spans="1:13" s="140" customFormat="1" x14ac:dyDescent="0.25">
      <c r="A28" s="145"/>
      <c r="B28" s="146" t="str">
        <f>IF(A28="","",VLOOKUP(A28,'Job Operations'!A:B,2,FALSE))</f>
        <v/>
      </c>
      <c r="C28" s="146" t="str">
        <f>IF(A28="","",VLOOKUP(A28,'Job Operations'!A:C,3,FALSE))</f>
        <v/>
      </c>
      <c r="D28" s="146" t="str">
        <f>IF(A28="","",VLOOKUP(A28,'Job Operations'!A:E,5,FALSE))</f>
        <v/>
      </c>
      <c r="E28" s="146" t="str">
        <f>IF(A28="","",VLOOKUP(A28,'Job Operations'!A:F,6,FALSE))</f>
        <v/>
      </c>
      <c r="F28" s="146" t="str">
        <f>IF(A28="","",VLOOKUP(A28,'Job Operations'!A:G,7,FALSE))</f>
        <v/>
      </c>
      <c r="G28" s="147" t="str">
        <f>IF(A28="","",VLOOKUP(A28,'Job Operations'!A:I,9,FALSE))</f>
        <v/>
      </c>
      <c r="H28" s="146" t="str">
        <f>IF(A28="","",VLOOKUP(A28,'Job Operations'!A:L,12,FALSE))</f>
        <v/>
      </c>
      <c r="I28" s="146" t="str">
        <f t="shared" si="1"/>
        <v/>
      </c>
      <c r="J28" s="147" t="str">
        <f>IF(A28="","",IFERROR(IF(VLOOKUP(A28,'Job Operations'!A:M,13,FALSE)="Cidan",VLOOKUP(A28,'Job Operations'!A:N,14,FALSE),IF(VLOOKUP(A28,'Job Operations'!A:O,15,FALSE)="Cidan",VLOOKUP(A28,'Job Operations'!A:P,16,FALSE),IF(VLOOKUP(A28,'Job Operations'!A:Q,17,FALSE)="Cidan",VLOOKUP(A28,'Job Operations'!A:R,18,FALSE),""))),""))</f>
        <v/>
      </c>
      <c r="K28" s="146" t="str">
        <f>IF(A28="","",IFERROR(IF(VLOOKUP(A28,'Job Operations'!A:M,13,FALSE)="Cidan",VLOOKUP(A28,'Job Operations'!A:O,15,FALSE),IF(VLOOKUP(A28,'Job Operations'!A:O,15,FALSE)="Cidan",VLOOKUP(A28,'Job Operations'!A:Q,17,FALSE),"")),""))</f>
        <v/>
      </c>
      <c r="L28" s="146" t="str">
        <f>IF(A28="","",IFERROR(IF(VLOOKUP(A28,'Job Operations'!A:M,13,FALSE)="Cidan",VLOOKUP(A28,'Job Operations'!A:Q,17,FALSE),IF(VLOOKUP(A28,'Job Operations'!A:O,15,FALSE)="Cidan",VLOOKUP(A28,'Job Operations'!A:S,19,FALSE),"")),""))</f>
        <v/>
      </c>
      <c r="M28" s="148" t="str">
        <f>IF(A28="","",IFERROR(IF(VLOOKUP(A28,Notes!A:B,2,FALSE)=0,"",VLOOKUP(A28,Notes!A:B,2,FALSE)),""))</f>
        <v/>
      </c>
    </row>
    <row r="29" spans="1:13" s="140" customFormat="1" x14ac:dyDescent="0.25">
      <c r="A29" s="149"/>
      <c r="B29" s="150" t="str">
        <f>IF(A29="","",VLOOKUP(A29,'Job Operations'!A:B,2,FALSE))</f>
        <v/>
      </c>
      <c r="C29" s="150" t="str">
        <f>IF(A29="","",VLOOKUP(A29,'Job Operations'!A:C,3,FALSE))</f>
        <v/>
      </c>
      <c r="D29" s="150" t="str">
        <f>IF(A29="","",VLOOKUP(A29,'Job Operations'!A:E,5,FALSE))</f>
        <v/>
      </c>
      <c r="E29" s="150" t="str">
        <f>IF(A29="","",VLOOKUP(A29,'Job Operations'!A:F,6,FALSE))</f>
        <v/>
      </c>
      <c r="F29" s="150" t="str">
        <f>IF(A29="","",VLOOKUP(A29,'Job Operations'!A:G,7,FALSE))</f>
        <v/>
      </c>
      <c r="G29" s="151" t="str">
        <f>IF(A29="","",VLOOKUP(A29,'Job Operations'!A:I,9,FALSE))</f>
        <v/>
      </c>
      <c r="H29" s="150" t="str">
        <f>IF(A29="","",VLOOKUP(A29,'Job Operations'!A:L,12,FALSE))</f>
        <v/>
      </c>
      <c r="I29" s="150" t="str">
        <f t="shared" si="1"/>
        <v/>
      </c>
      <c r="J29" s="151" t="str">
        <f>IF(A29="","",IFERROR(IF(VLOOKUP(A29,'Job Operations'!A:M,13,FALSE)="Cidan",VLOOKUP(A29,'Job Operations'!A:N,14,FALSE),IF(VLOOKUP(A29,'Job Operations'!A:O,15,FALSE)="Cidan",VLOOKUP(A29,'Job Operations'!A:P,16,FALSE),IF(VLOOKUP(A29,'Job Operations'!A:Q,17,FALSE)="Cidan",VLOOKUP(A29,'Job Operations'!A:R,18,FALSE),""))),""))</f>
        <v/>
      </c>
      <c r="K29" s="150" t="str">
        <f>IF(A29="","",IFERROR(IF(VLOOKUP(A29,'Job Operations'!A:M,13,FALSE)="Cidan",VLOOKUP(A29,'Job Operations'!A:O,15,FALSE),IF(VLOOKUP(A29,'Job Operations'!A:O,15,FALSE)="Cidan",VLOOKUP(A29,'Job Operations'!A:Q,17,FALSE),"")),""))</f>
        <v/>
      </c>
      <c r="L29" s="150" t="str">
        <f>IF(A29="","",IFERROR(IF(VLOOKUP(A29,'Job Operations'!A:M,13,FALSE)="Cidan",VLOOKUP(A29,'Job Operations'!A:Q,17,FALSE),IF(VLOOKUP(A29,'Job Operations'!A:O,15,FALSE)="Cidan",VLOOKUP(A29,'Job Operations'!A:S,19,FALSE),"")),""))</f>
        <v/>
      </c>
      <c r="M29" s="152" t="str">
        <f>IF(A29="","",IFERROR(IF(VLOOKUP(A29,Notes!A:B,2,FALSE)=0,"",VLOOKUP(A29,Notes!A:B,2,FALSE)),""))</f>
        <v/>
      </c>
    </row>
    <row r="30" spans="1:13" s="140" customFormat="1" x14ac:dyDescent="0.25">
      <c r="A30" s="145"/>
      <c r="B30" s="146" t="str">
        <f>IF(A30="","",VLOOKUP(A30,'Job Operations'!A:B,2,FALSE))</f>
        <v/>
      </c>
      <c r="C30" s="146" t="str">
        <f>IF(A30="","",VLOOKUP(A30,'Job Operations'!A:C,3,FALSE))</f>
        <v/>
      </c>
      <c r="D30" s="146" t="str">
        <f>IF(A30="","",VLOOKUP(A30,'Job Operations'!A:E,5,FALSE))</f>
        <v/>
      </c>
      <c r="E30" s="146" t="str">
        <f>IF(A30="","",VLOOKUP(A30,'Job Operations'!A:F,6,FALSE))</f>
        <v/>
      </c>
      <c r="F30" s="146" t="str">
        <f>IF(A30="","",VLOOKUP(A30,'Job Operations'!A:G,7,FALSE))</f>
        <v/>
      </c>
      <c r="G30" s="147" t="str">
        <f>IF(A30="","",VLOOKUP(A30,'Job Operations'!A:I,9,FALSE))</f>
        <v/>
      </c>
      <c r="H30" s="146" t="str">
        <f>IF(A30="","",VLOOKUP(A30,'Job Operations'!A:L,12,FALSE))</f>
        <v/>
      </c>
      <c r="I30" s="146" t="str">
        <f t="shared" si="1"/>
        <v/>
      </c>
      <c r="J30" s="147" t="str">
        <f>IF(A30="","",IFERROR(IF(VLOOKUP(A30,'Job Operations'!A:M,13,FALSE)="Cidan",VLOOKUP(A30,'Job Operations'!A:N,14,FALSE),IF(VLOOKUP(A30,'Job Operations'!A:O,15,FALSE)="Cidan",VLOOKUP(A30,'Job Operations'!A:P,16,FALSE),IF(VLOOKUP(A30,'Job Operations'!A:Q,17,FALSE)="Cidan",VLOOKUP(A30,'Job Operations'!A:R,18,FALSE),""))),""))</f>
        <v/>
      </c>
      <c r="K30" s="146" t="str">
        <f>IF(A30="","",IFERROR(IF(VLOOKUP(A30,'Job Operations'!A:M,13,FALSE)="Cidan",VLOOKUP(A30,'Job Operations'!A:O,15,FALSE),IF(VLOOKUP(A30,'Job Operations'!A:O,15,FALSE)="Cidan",VLOOKUP(A30,'Job Operations'!A:Q,17,FALSE),"")),""))</f>
        <v/>
      </c>
      <c r="L30" s="146" t="str">
        <f>IF(A30="","",IFERROR(IF(VLOOKUP(A30,'Job Operations'!A:M,13,FALSE)="Cidan",VLOOKUP(A30,'Job Operations'!A:Q,17,FALSE),IF(VLOOKUP(A30,'Job Operations'!A:O,15,FALSE)="Cidan",VLOOKUP(A30,'Job Operations'!A:S,19,FALSE),"")),""))</f>
        <v/>
      </c>
      <c r="M30" s="148" t="str">
        <f>IF(A30="","",IFERROR(IF(VLOOKUP(A30,Notes!A:B,2,FALSE)=0,"",VLOOKUP(A30,Notes!A:B,2,FALSE)),""))</f>
        <v/>
      </c>
    </row>
    <row r="31" spans="1:13" s="140" customFormat="1" x14ac:dyDescent="0.25">
      <c r="A31" s="149"/>
      <c r="B31" s="150" t="str">
        <f>IF(A31="","",VLOOKUP(A31,'Job Operations'!A:B,2,FALSE))</f>
        <v/>
      </c>
      <c r="C31" s="150" t="str">
        <f>IF(A31="","",VLOOKUP(A31,'Job Operations'!A:C,3,FALSE))</f>
        <v/>
      </c>
      <c r="D31" s="150" t="str">
        <f>IF(A31="","",VLOOKUP(A31,'Job Operations'!A:E,5,FALSE))</f>
        <v/>
      </c>
      <c r="E31" s="150" t="str">
        <f>IF(A31="","",VLOOKUP(A31,'Job Operations'!A:F,6,FALSE))</f>
        <v/>
      </c>
      <c r="F31" s="150" t="str">
        <f>IF(A31="","",VLOOKUP(A31,'Job Operations'!A:G,7,FALSE))</f>
        <v/>
      </c>
      <c r="G31" s="151" t="str">
        <f>IF(A31="","",VLOOKUP(A31,'Job Operations'!A:I,9,FALSE))</f>
        <v/>
      </c>
      <c r="H31" s="150" t="str">
        <f>IF(A31="","",VLOOKUP(A31,'Job Operations'!A:L,12,FALSE))</f>
        <v/>
      </c>
      <c r="I31" s="150" t="str">
        <f t="shared" si="1"/>
        <v/>
      </c>
      <c r="J31" s="151" t="str">
        <f>IF(A31="","",IFERROR(IF(VLOOKUP(A31,'Job Operations'!A:M,13,FALSE)="Cidan",VLOOKUP(A31,'Job Operations'!A:N,14,FALSE),IF(VLOOKUP(A31,'Job Operations'!A:O,15,FALSE)="Cidan",VLOOKUP(A31,'Job Operations'!A:P,16,FALSE),IF(VLOOKUP(A31,'Job Operations'!A:Q,17,FALSE)="Cidan",VLOOKUP(A31,'Job Operations'!A:R,18,FALSE),""))),""))</f>
        <v/>
      </c>
      <c r="K31" s="150" t="str">
        <f>IF(A31="","",IFERROR(IF(VLOOKUP(A31,'Job Operations'!A:M,13,FALSE)="Cidan",VLOOKUP(A31,'Job Operations'!A:O,15,FALSE),IF(VLOOKUP(A31,'Job Operations'!A:O,15,FALSE)="Cidan",VLOOKUP(A31,'Job Operations'!A:Q,17,FALSE),"")),""))</f>
        <v/>
      </c>
      <c r="L31" s="150" t="str">
        <f>IF(A31="","",IFERROR(IF(VLOOKUP(A31,'Job Operations'!A:M,13,FALSE)="Cidan",VLOOKUP(A31,'Job Operations'!A:Q,17,FALSE),IF(VLOOKUP(A31,'Job Operations'!A:O,15,FALSE)="Cidan",VLOOKUP(A31,'Job Operations'!A:S,19,FALSE),"")),""))</f>
        <v/>
      </c>
      <c r="M31" s="152" t="str">
        <f>IF(A31="","",IFERROR(IF(VLOOKUP(A31,Notes!A:B,2,FALSE)=0,"",VLOOKUP(A31,Notes!A:B,2,FALSE)),""))</f>
        <v/>
      </c>
    </row>
    <row r="32" spans="1:13" s="140" customFormat="1" x14ac:dyDescent="0.25">
      <c r="A32" s="145"/>
      <c r="B32" s="146" t="str">
        <f>IF(A32="","",VLOOKUP(A32,'Job Operations'!A:B,2,FALSE))</f>
        <v/>
      </c>
      <c r="C32" s="146" t="str">
        <f>IF(A32="","",VLOOKUP(A32,'Job Operations'!A:C,3,FALSE))</f>
        <v/>
      </c>
      <c r="D32" s="146" t="str">
        <f>IF(A32="","",VLOOKUP(A32,'Job Operations'!A:E,5,FALSE))</f>
        <v/>
      </c>
      <c r="E32" s="146" t="str">
        <f>IF(A32="","",VLOOKUP(A32,'Job Operations'!A:F,6,FALSE))</f>
        <v/>
      </c>
      <c r="F32" s="146" t="str">
        <f>IF(A32="","",VLOOKUP(A32,'Job Operations'!A:G,7,FALSE))</f>
        <v/>
      </c>
      <c r="G32" s="147" t="str">
        <f>IF(A32="","",VLOOKUP(A32,'Job Operations'!A:I,9,FALSE))</f>
        <v/>
      </c>
      <c r="H32" s="146" t="str">
        <f>IF(A32="","",VLOOKUP(A32,'Job Operations'!A:L,12,FALSE))</f>
        <v/>
      </c>
      <c r="I32" s="146" t="str">
        <f t="shared" si="1"/>
        <v/>
      </c>
      <c r="J32" s="147" t="str">
        <f>IF(A32="","",IFERROR(IF(VLOOKUP(A32,'Job Operations'!A:M,13,FALSE)="Cidan",VLOOKUP(A32,'Job Operations'!A:N,14,FALSE),IF(VLOOKUP(A32,'Job Operations'!A:O,15,FALSE)="Cidan",VLOOKUP(A32,'Job Operations'!A:P,16,FALSE),IF(VLOOKUP(A32,'Job Operations'!A:Q,17,FALSE)="Cidan",VLOOKUP(A32,'Job Operations'!A:R,18,FALSE),""))),""))</f>
        <v/>
      </c>
      <c r="K32" s="146" t="str">
        <f>IF(A32="","",IFERROR(IF(VLOOKUP(A32,'Job Operations'!A:M,13,FALSE)="Cidan",VLOOKUP(A32,'Job Operations'!A:O,15,FALSE),IF(VLOOKUP(A32,'Job Operations'!A:O,15,FALSE)="Cidan",VLOOKUP(A32,'Job Operations'!A:Q,17,FALSE),"")),""))</f>
        <v/>
      </c>
      <c r="L32" s="146" t="str">
        <f>IF(A32="","",IFERROR(IF(VLOOKUP(A32,'Job Operations'!A:M,13,FALSE)="Cidan",VLOOKUP(A32,'Job Operations'!A:Q,17,FALSE),IF(VLOOKUP(A32,'Job Operations'!A:O,15,FALSE)="Cidan",VLOOKUP(A32,'Job Operations'!A:S,19,FALSE),"")),""))</f>
        <v/>
      </c>
      <c r="M32" s="148" t="str">
        <f>IF(A32="","",IFERROR(IF(VLOOKUP(A32,Notes!A:B,2,FALSE)=0,"",VLOOKUP(A32,Notes!A:B,2,FALSE)),""))</f>
        <v/>
      </c>
    </row>
    <row r="33" spans="1:13" s="140" customFormat="1" x14ac:dyDescent="0.25">
      <c r="A33" s="149"/>
      <c r="B33" s="150" t="str">
        <f>IF(A33="","",VLOOKUP(A33,'Job Operations'!A:B,2,FALSE))</f>
        <v/>
      </c>
      <c r="C33" s="150" t="str">
        <f>IF(A33="","",VLOOKUP(A33,'Job Operations'!A:C,3,FALSE))</f>
        <v/>
      </c>
      <c r="D33" s="150" t="str">
        <f>IF(A33="","",VLOOKUP(A33,'Job Operations'!A:E,5,FALSE))</f>
        <v/>
      </c>
      <c r="E33" s="150" t="str">
        <f>IF(A33="","",VLOOKUP(A33,'Job Operations'!A:F,6,FALSE))</f>
        <v/>
      </c>
      <c r="F33" s="150" t="str">
        <f>IF(A33="","",VLOOKUP(A33,'Job Operations'!A:G,7,FALSE))</f>
        <v/>
      </c>
      <c r="G33" s="151" t="str">
        <f>IF(A33="","",VLOOKUP(A33,'Job Operations'!A:I,9,FALSE))</f>
        <v/>
      </c>
      <c r="H33" s="150" t="str">
        <f>IF(A33="","",VLOOKUP(A33,'Job Operations'!A:L,12,FALSE))</f>
        <v/>
      </c>
      <c r="I33" s="150" t="str">
        <f t="shared" si="1"/>
        <v/>
      </c>
      <c r="J33" s="151" t="str">
        <f>IF(A33="","",IFERROR(IF(VLOOKUP(A33,'Job Operations'!A:M,13,FALSE)="Cidan",VLOOKUP(A33,'Job Operations'!A:N,14,FALSE),IF(VLOOKUP(A33,'Job Operations'!A:O,15,FALSE)="Cidan",VLOOKUP(A33,'Job Operations'!A:P,16,FALSE),IF(VLOOKUP(A33,'Job Operations'!A:Q,17,FALSE)="Cidan",VLOOKUP(A33,'Job Operations'!A:R,18,FALSE),""))),""))</f>
        <v/>
      </c>
      <c r="K33" s="150" t="str">
        <f>IF(A33="","",IFERROR(IF(VLOOKUP(A33,'Job Operations'!A:M,13,FALSE)="Cidan",VLOOKUP(A33,'Job Operations'!A:O,15,FALSE),IF(VLOOKUP(A33,'Job Operations'!A:O,15,FALSE)="Cidan",VLOOKUP(A33,'Job Operations'!A:Q,17,FALSE),"")),""))</f>
        <v/>
      </c>
      <c r="L33" s="150" t="str">
        <f>IF(A33="","",IFERROR(IF(VLOOKUP(A33,'Job Operations'!A:M,13,FALSE)="Cidan",VLOOKUP(A33,'Job Operations'!A:Q,17,FALSE),IF(VLOOKUP(A33,'Job Operations'!A:O,15,FALSE)="Cidan",VLOOKUP(A33,'Job Operations'!A:S,19,FALSE),"")),""))</f>
        <v/>
      </c>
      <c r="M33" s="152" t="str">
        <f>IF(A33="","",IFERROR(IF(VLOOKUP(A33,Notes!A:B,2,FALSE)=0,"",VLOOKUP(A33,Notes!A:B,2,FALSE)),""))</f>
        <v/>
      </c>
    </row>
    <row r="34" spans="1:13" s="140" customFormat="1" x14ac:dyDescent="0.25">
      <c r="A34" s="145"/>
      <c r="B34" s="146" t="str">
        <f>IF(A34="","",VLOOKUP(A34,'Job Operations'!A:B,2,FALSE))</f>
        <v/>
      </c>
      <c r="C34" s="146" t="str">
        <f>IF(A34="","",VLOOKUP(A34,'Job Operations'!A:C,3,FALSE))</f>
        <v/>
      </c>
      <c r="D34" s="146" t="str">
        <f>IF(A34="","",VLOOKUP(A34,'Job Operations'!A:E,5,FALSE))</f>
        <v/>
      </c>
      <c r="E34" s="146" t="str">
        <f>IF(A34="","",VLOOKUP(A34,'Job Operations'!A:F,6,FALSE))</f>
        <v/>
      </c>
      <c r="F34" s="146" t="str">
        <f>IF(A34="","",VLOOKUP(A34,'Job Operations'!A:G,7,FALSE))</f>
        <v/>
      </c>
      <c r="G34" s="147" t="str">
        <f>IF(A34="","",VLOOKUP(A34,'Job Operations'!A:I,9,FALSE))</f>
        <v/>
      </c>
      <c r="H34" s="146" t="str">
        <f>IF(A34="","",VLOOKUP(A34,'Job Operations'!A:L,12,FALSE))</f>
        <v/>
      </c>
      <c r="I34" s="146" t="str">
        <f t="shared" si="1"/>
        <v/>
      </c>
      <c r="J34" s="147" t="str">
        <f>IF(A34="","",IFERROR(IF(VLOOKUP(A34,'Job Operations'!A:M,13,FALSE)="Cidan",VLOOKUP(A34,'Job Operations'!A:N,14,FALSE),IF(VLOOKUP(A34,'Job Operations'!A:O,15,FALSE)="Cidan",VLOOKUP(A34,'Job Operations'!A:P,16,FALSE),IF(VLOOKUP(A34,'Job Operations'!A:Q,17,FALSE)="Cidan",VLOOKUP(A34,'Job Operations'!A:R,18,FALSE),""))),""))</f>
        <v/>
      </c>
      <c r="K34" s="146" t="str">
        <f>IF(A34="","",IFERROR(IF(VLOOKUP(A34,'Job Operations'!A:M,13,FALSE)="Cidan",VLOOKUP(A34,'Job Operations'!A:O,15,FALSE),IF(VLOOKUP(A34,'Job Operations'!A:O,15,FALSE)="Cidan",VLOOKUP(A34,'Job Operations'!A:Q,17,FALSE),"")),""))</f>
        <v/>
      </c>
      <c r="L34" s="146" t="str">
        <f>IF(A34="","",IFERROR(IF(VLOOKUP(A34,'Job Operations'!A:M,13,FALSE)="Cidan",VLOOKUP(A34,'Job Operations'!A:Q,17,FALSE),IF(VLOOKUP(A34,'Job Operations'!A:O,15,FALSE)="Cidan",VLOOKUP(A34,'Job Operations'!A:S,19,FALSE),"")),""))</f>
        <v/>
      </c>
      <c r="M34" s="148" t="str">
        <f>IF(A34="","",IFERROR(IF(VLOOKUP(A34,Notes!A:B,2,FALSE)=0,"",VLOOKUP(A34,Notes!A:B,2,FALSE)),""))</f>
        <v/>
      </c>
    </row>
    <row r="35" spans="1:13" s="140" customFormat="1" x14ac:dyDescent="0.25">
      <c r="A35" s="149"/>
      <c r="B35" s="150" t="str">
        <f>IF(A35="","",VLOOKUP(A35,'Job Operations'!A:B,2,FALSE))</f>
        <v/>
      </c>
      <c r="C35" s="150" t="str">
        <f>IF(A35="","",VLOOKUP(A35,'Job Operations'!A:C,3,FALSE))</f>
        <v/>
      </c>
      <c r="D35" s="150" t="str">
        <f>IF(A35="","",VLOOKUP(A35,'Job Operations'!A:E,5,FALSE))</f>
        <v/>
      </c>
      <c r="E35" s="150" t="str">
        <f>IF(A35="","",VLOOKUP(A35,'Job Operations'!A:F,6,FALSE))</f>
        <v/>
      </c>
      <c r="F35" s="150" t="str">
        <f>IF(A35="","",VLOOKUP(A35,'Job Operations'!A:G,7,FALSE))</f>
        <v/>
      </c>
      <c r="G35" s="151" t="str">
        <f>IF(A35="","",VLOOKUP(A35,'Job Operations'!A:I,9,FALSE))</f>
        <v/>
      </c>
      <c r="H35" s="150" t="str">
        <f>IF(A35="","",VLOOKUP(A35,'Job Operations'!A:L,12,FALSE))</f>
        <v/>
      </c>
      <c r="I35" s="150" t="str">
        <f t="shared" si="1"/>
        <v/>
      </c>
      <c r="J35" s="151" t="str">
        <f>IF(A35="","",IFERROR(IF(VLOOKUP(A35,'Job Operations'!A:M,13,FALSE)="Cidan",VLOOKUP(A35,'Job Operations'!A:N,14,FALSE),IF(VLOOKUP(A35,'Job Operations'!A:O,15,FALSE)="Cidan",VLOOKUP(A35,'Job Operations'!A:P,16,FALSE),IF(VLOOKUP(A35,'Job Operations'!A:Q,17,FALSE)="Cidan",VLOOKUP(A35,'Job Operations'!A:R,18,FALSE),""))),""))</f>
        <v/>
      </c>
      <c r="K35" s="150" t="str">
        <f>IF(A35="","",IFERROR(IF(VLOOKUP(A35,'Job Operations'!A:M,13,FALSE)="Cidan",VLOOKUP(A35,'Job Operations'!A:O,15,FALSE),IF(VLOOKUP(A35,'Job Operations'!A:O,15,FALSE)="Cidan",VLOOKUP(A35,'Job Operations'!A:Q,17,FALSE),"")),""))</f>
        <v/>
      </c>
      <c r="L35" s="150" t="str">
        <f>IF(A35="","",IFERROR(IF(VLOOKUP(A35,'Job Operations'!A:M,13,FALSE)="Cidan",VLOOKUP(A35,'Job Operations'!A:Q,17,FALSE),IF(VLOOKUP(A35,'Job Operations'!A:O,15,FALSE)="Cidan",VLOOKUP(A35,'Job Operations'!A:S,19,FALSE),"")),""))</f>
        <v/>
      </c>
      <c r="M35" s="152" t="str">
        <f>IF(A35="","",IFERROR(IF(VLOOKUP(A35,Notes!A:B,2,FALSE)=0,"",VLOOKUP(A35,Notes!A:B,2,FALSE)),""))</f>
        <v/>
      </c>
    </row>
    <row r="36" spans="1:13" s="140" customFormat="1" x14ac:dyDescent="0.25">
      <c r="A36" s="145"/>
      <c r="B36" s="146" t="str">
        <f>IF(A36="","",VLOOKUP(A36,'Job Operations'!A:B,2,FALSE))</f>
        <v/>
      </c>
      <c r="C36" s="146" t="str">
        <f>IF(A36="","",VLOOKUP(A36,'Job Operations'!A:C,3,FALSE))</f>
        <v/>
      </c>
      <c r="D36" s="146" t="str">
        <f>IF(A36="","",VLOOKUP(A36,'Job Operations'!A:E,5,FALSE))</f>
        <v/>
      </c>
      <c r="E36" s="146" t="str">
        <f>IF(A36="","",VLOOKUP(A36,'Job Operations'!A:F,6,FALSE))</f>
        <v/>
      </c>
      <c r="F36" s="146" t="str">
        <f>IF(A36="","",VLOOKUP(A36,'Job Operations'!A:G,7,FALSE))</f>
        <v/>
      </c>
      <c r="G36" s="147" t="str">
        <f>IF(A36="","",VLOOKUP(A36,'Job Operations'!A:I,9,FALSE))</f>
        <v/>
      </c>
      <c r="H36" s="146" t="str">
        <f>IF(A36="","",VLOOKUP(A36,'Job Operations'!A:L,12,FALSE))</f>
        <v/>
      </c>
      <c r="I36" s="146" t="str">
        <f t="shared" si="1"/>
        <v/>
      </c>
      <c r="J36" s="147" t="str">
        <f>IF(A36="","",IFERROR(IF(VLOOKUP(A36,'Job Operations'!A:M,13,FALSE)="Cidan",VLOOKUP(A36,'Job Operations'!A:N,14,FALSE),IF(VLOOKUP(A36,'Job Operations'!A:O,15,FALSE)="Cidan",VLOOKUP(A36,'Job Operations'!A:P,16,FALSE),IF(VLOOKUP(A36,'Job Operations'!A:Q,17,FALSE)="Cidan",VLOOKUP(A36,'Job Operations'!A:R,18,FALSE),""))),""))</f>
        <v/>
      </c>
      <c r="K36" s="146" t="str">
        <f>IF(A36="","",IFERROR(IF(VLOOKUP(A36,'Job Operations'!A:M,13,FALSE)="Cidan",VLOOKUP(A36,'Job Operations'!A:O,15,FALSE),IF(VLOOKUP(A36,'Job Operations'!A:O,15,FALSE)="Cidan",VLOOKUP(A36,'Job Operations'!A:Q,17,FALSE),"")),""))</f>
        <v/>
      </c>
      <c r="L36" s="146" t="str">
        <f>IF(A36="","",IFERROR(IF(VLOOKUP(A36,'Job Operations'!A:M,13,FALSE)="Cidan",VLOOKUP(A36,'Job Operations'!A:Q,17,FALSE),IF(VLOOKUP(A36,'Job Operations'!A:O,15,FALSE)="Cidan",VLOOKUP(A36,'Job Operations'!A:S,19,FALSE),"")),""))</f>
        <v/>
      </c>
      <c r="M36" s="148" t="str">
        <f>IF(A36="","",IFERROR(IF(VLOOKUP(A36,Notes!A:B,2,FALSE)=0,"",VLOOKUP(A36,Notes!A:B,2,FALSE)),""))</f>
        <v/>
      </c>
    </row>
    <row r="37" spans="1:13" s="140" customFormat="1" x14ac:dyDescent="0.25">
      <c r="A37" s="149"/>
      <c r="B37" s="150" t="str">
        <f>IF(A37="","",VLOOKUP(A37,'Job Operations'!A:B,2,FALSE))</f>
        <v/>
      </c>
      <c r="C37" s="150" t="str">
        <f>IF(A37="","",VLOOKUP(A37,'Job Operations'!A:C,3,FALSE))</f>
        <v/>
      </c>
      <c r="D37" s="150" t="str">
        <f>IF(A37="","",VLOOKUP(A37,'Job Operations'!A:E,5,FALSE))</f>
        <v/>
      </c>
      <c r="E37" s="150" t="str">
        <f>IF(A37="","",VLOOKUP(A37,'Job Operations'!A:F,6,FALSE))</f>
        <v/>
      </c>
      <c r="F37" s="150" t="str">
        <f>IF(A37="","",VLOOKUP(A37,'Job Operations'!A:G,7,FALSE))</f>
        <v/>
      </c>
      <c r="G37" s="151" t="str">
        <f>IF(A37="","",VLOOKUP(A37,'Job Operations'!A:I,9,FALSE))</f>
        <v/>
      </c>
      <c r="H37" s="150" t="str">
        <f>IF(A37="","",VLOOKUP(A37,'Job Operations'!A:L,12,FALSE))</f>
        <v/>
      </c>
      <c r="I37" s="150" t="str">
        <f t="shared" si="1"/>
        <v/>
      </c>
      <c r="J37" s="151" t="str">
        <f>IF(A37="","",IFERROR(IF(VLOOKUP(A37,'Job Operations'!A:M,13,FALSE)="Cidan",VLOOKUP(A37,'Job Operations'!A:N,14,FALSE),IF(VLOOKUP(A37,'Job Operations'!A:O,15,FALSE)="Cidan",VLOOKUP(A37,'Job Operations'!A:P,16,FALSE),IF(VLOOKUP(A37,'Job Operations'!A:Q,17,FALSE)="Cidan",VLOOKUP(A37,'Job Operations'!A:R,18,FALSE),""))),""))</f>
        <v/>
      </c>
      <c r="K37" s="150" t="str">
        <f>IF(A37="","",IFERROR(IF(VLOOKUP(A37,'Job Operations'!A:M,13,FALSE)="Cidan",VLOOKUP(A37,'Job Operations'!A:O,15,FALSE),IF(VLOOKUP(A37,'Job Operations'!A:O,15,FALSE)="Cidan",VLOOKUP(A37,'Job Operations'!A:Q,17,FALSE),"")),""))</f>
        <v/>
      </c>
      <c r="L37" s="150" t="str">
        <f>IF(A37="","",IFERROR(IF(VLOOKUP(A37,'Job Operations'!A:M,13,FALSE)="Cidan",VLOOKUP(A37,'Job Operations'!A:Q,17,FALSE),IF(VLOOKUP(A37,'Job Operations'!A:O,15,FALSE)="Cidan",VLOOKUP(A37,'Job Operations'!A:S,19,FALSE),"")),""))</f>
        <v/>
      </c>
      <c r="M37" s="152" t="str">
        <f>IF(A37="","",IFERROR(IF(VLOOKUP(A37,Notes!A:B,2,FALSE)=0,"",VLOOKUP(A37,Notes!A:B,2,FALSE)),""))</f>
        <v/>
      </c>
    </row>
    <row r="38" spans="1:13" s="140" customFormat="1" x14ac:dyDescent="0.25">
      <c r="A38" s="145"/>
      <c r="B38" s="146" t="str">
        <f>IF(A38="","",VLOOKUP(A38,'Job Operations'!A:B,2,FALSE))</f>
        <v/>
      </c>
      <c r="C38" s="146" t="str">
        <f>IF(A38="","",VLOOKUP(A38,'Job Operations'!A:C,3,FALSE))</f>
        <v/>
      </c>
      <c r="D38" s="146" t="str">
        <f>IF(A38="","",VLOOKUP(A38,'Job Operations'!A:E,5,FALSE))</f>
        <v/>
      </c>
      <c r="E38" s="146" t="str">
        <f>IF(A38="","",VLOOKUP(A38,'Job Operations'!A:F,6,FALSE))</f>
        <v/>
      </c>
      <c r="F38" s="146" t="str">
        <f>IF(A38="","",VLOOKUP(A38,'Job Operations'!A:G,7,FALSE))</f>
        <v/>
      </c>
      <c r="G38" s="147" t="str">
        <f>IF(A38="","",VLOOKUP(A38,'Job Operations'!A:I,9,FALSE))</f>
        <v/>
      </c>
      <c r="H38" s="146" t="str">
        <f>IF(A38="","",VLOOKUP(A38,'Job Operations'!A:L,12,FALSE))</f>
        <v/>
      </c>
      <c r="I38" s="146" t="str">
        <f t="shared" si="1"/>
        <v/>
      </c>
      <c r="J38" s="147" t="str">
        <f>IF(A38="","",IFERROR(IF(VLOOKUP(A38,'Job Operations'!A:M,13,FALSE)="Cidan",VLOOKUP(A38,'Job Operations'!A:N,14,FALSE),IF(VLOOKUP(A38,'Job Operations'!A:O,15,FALSE)="Cidan",VLOOKUP(A38,'Job Operations'!A:P,16,FALSE),IF(VLOOKUP(A38,'Job Operations'!A:Q,17,FALSE)="Cidan",VLOOKUP(A38,'Job Operations'!A:R,18,FALSE),""))),""))</f>
        <v/>
      </c>
      <c r="K38" s="146" t="str">
        <f>IF(A38="","",IFERROR(IF(VLOOKUP(A38,'Job Operations'!A:M,13,FALSE)="Cidan",VLOOKUP(A38,'Job Operations'!A:O,15,FALSE),IF(VLOOKUP(A38,'Job Operations'!A:O,15,FALSE)="Cidan",VLOOKUP(A38,'Job Operations'!A:Q,17,FALSE),"")),""))</f>
        <v/>
      </c>
      <c r="L38" s="146" t="str">
        <f>IF(A38="","",IFERROR(IF(VLOOKUP(A38,'Job Operations'!A:M,13,FALSE)="Cidan",VLOOKUP(A38,'Job Operations'!A:Q,17,FALSE),IF(VLOOKUP(A38,'Job Operations'!A:O,15,FALSE)="Cidan",VLOOKUP(A38,'Job Operations'!A:S,19,FALSE),"")),""))</f>
        <v/>
      </c>
      <c r="M38" s="148" t="str">
        <f>IF(A38="","",IFERROR(IF(VLOOKUP(A38,Notes!A:B,2,FALSE)=0,"",VLOOKUP(A38,Notes!A:B,2,FALSE)),""))</f>
        <v/>
      </c>
    </row>
    <row r="39" spans="1:13" s="140" customFormat="1" x14ac:dyDescent="0.25">
      <c r="A39" s="149"/>
      <c r="B39" s="150" t="str">
        <f>IF(A39="","",VLOOKUP(A39,'Job Operations'!A:B,2,FALSE))</f>
        <v/>
      </c>
      <c r="C39" s="150" t="str">
        <f>IF(A39="","",VLOOKUP(A39,'Job Operations'!A:C,3,FALSE))</f>
        <v/>
      </c>
      <c r="D39" s="150" t="str">
        <f>IF(A39="","",VLOOKUP(A39,'Job Operations'!A:E,5,FALSE))</f>
        <v/>
      </c>
      <c r="E39" s="150" t="str">
        <f>IF(A39="","",VLOOKUP(A39,'Job Operations'!A:F,6,FALSE))</f>
        <v/>
      </c>
      <c r="F39" s="150" t="str">
        <f>IF(A39="","",VLOOKUP(A39,'Job Operations'!A:G,7,FALSE))</f>
        <v/>
      </c>
      <c r="G39" s="151" t="str">
        <f>IF(A39="","",VLOOKUP(A39,'Job Operations'!A:I,9,FALSE))</f>
        <v/>
      </c>
      <c r="H39" s="150" t="str">
        <f>IF(A39="","",VLOOKUP(A39,'Job Operations'!A:L,12,FALSE))</f>
        <v/>
      </c>
      <c r="I39" s="150" t="str">
        <f t="shared" ref="I39:I70" si="2">IF(A39="","",IF(H39="Cidan",IF(ROW()-6=1,"1st",IF(ROW()-6=2,"2nd",IF(ROW()-6=3,"3rd",TEXT(ROW()-6,"0")&amp;"th"))),"#"&amp;TEXT(ROW()-6,"0")&amp;" on Cidan"))</f>
        <v/>
      </c>
      <c r="J39" s="151" t="str">
        <f>IF(A39="","",IFERROR(IF(VLOOKUP(A39,'Job Operations'!A:M,13,FALSE)="Cidan",VLOOKUP(A39,'Job Operations'!A:N,14,FALSE),IF(VLOOKUP(A39,'Job Operations'!A:O,15,FALSE)="Cidan",VLOOKUP(A39,'Job Operations'!A:P,16,FALSE),IF(VLOOKUP(A39,'Job Operations'!A:Q,17,FALSE)="Cidan",VLOOKUP(A39,'Job Operations'!A:R,18,FALSE),""))),""))</f>
        <v/>
      </c>
      <c r="K39" s="150" t="str">
        <f>IF(A39="","",IFERROR(IF(VLOOKUP(A39,'Job Operations'!A:M,13,FALSE)="Cidan",VLOOKUP(A39,'Job Operations'!A:O,15,FALSE),IF(VLOOKUP(A39,'Job Operations'!A:O,15,FALSE)="Cidan",VLOOKUP(A39,'Job Operations'!A:Q,17,FALSE),"")),""))</f>
        <v/>
      </c>
      <c r="L39" s="150" t="str">
        <f>IF(A39="","",IFERROR(IF(VLOOKUP(A39,'Job Operations'!A:M,13,FALSE)="Cidan",VLOOKUP(A39,'Job Operations'!A:Q,17,FALSE),IF(VLOOKUP(A39,'Job Operations'!A:O,15,FALSE)="Cidan",VLOOKUP(A39,'Job Operations'!A:S,19,FALSE),"")),""))</f>
        <v/>
      </c>
      <c r="M39" s="152" t="str">
        <f>IF(A39="","",IFERROR(IF(VLOOKUP(A39,Notes!A:B,2,FALSE)=0,"",VLOOKUP(A39,Notes!A:B,2,FALSE)),""))</f>
        <v/>
      </c>
    </row>
    <row r="40" spans="1:13" s="140" customFormat="1" x14ac:dyDescent="0.25">
      <c r="A40" s="145"/>
      <c r="B40" s="146" t="str">
        <f>IF(A40="","",VLOOKUP(A40,'Job Operations'!A:B,2,FALSE))</f>
        <v/>
      </c>
      <c r="C40" s="146" t="str">
        <f>IF(A40="","",VLOOKUP(A40,'Job Operations'!A:C,3,FALSE))</f>
        <v/>
      </c>
      <c r="D40" s="146" t="str">
        <f>IF(A40="","",VLOOKUP(A40,'Job Operations'!A:E,5,FALSE))</f>
        <v/>
      </c>
      <c r="E40" s="146" t="str">
        <f>IF(A40="","",VLOOKUP(A40,'Job Operations'!A:F,6,FALSE))</f>
        <v/>
      </c>
      <c r="F40" s="146" t="str">
        <f>IF(A40="","",VLOOKUP(A40,'Job Operations'!A:G,7,FALSE))</f>
        <v/>
      </c>
      <c r="G40" s="147" t="str">
        <f>IF(A40="","",VLOOKUP(A40,'Job Operations'!A:I,9,FALSE))</f>
        <v/>
      </c>
      <c r="H40" s="146" t="str">
        <f>IF(A40="","",VLOOKUP(A40,'Job Operations'!A:L,12,FALSE))</f>
        <v/>
      </c>
      <c r="I40" s="146" t="str">
        <f t="shared" si="2"/>
        <v/>
      </c>
      <c r="J40" s="147" t="str">
        <f>IF(A40="","",IFERROR(IF(VLOOKUP(A40,'Job Operations'!A:M,13,FALSE)="Cidan",VLOOKUP(A40,'Job Operations'!A:N,14,FALSE),IF(VLOOKUP(A40,'Job Operations'!A:O,15,FALSE)="Cidan",VLOOKUP(A40,'Job Operations'!A:P,16,FALSE),IF(VLOOKUP(A40,'Job Operations'!A:Q,17,FALSE)="Cidan",VLOOKUP(A40,'Job Operations'!A:R,18,FALSE),""))),""))</f>
        <v/>
      </c>
      <c r="K40" s="146" t="str">
        <f>IF(A40="","",IFERROR(IF(VLOOKUP(A40,'Job Operations'!A:M,13,FALSE)="Cidan",VLOOKUP(A40,'Job Operations'!A:O,15,FALSE),IF(VLOOKUP(A40,'Job Operations'!A:O,15,FALSE)="Cidan",VLOOKUP(A40,'Job Operations'!A:Q,17,FALSE),"")),""))</f>
        <v/>
      </c>
      <c r="L40" s="146" t="str">
        <f>IF(A40="","",IFERROR(IF(VLOOKUP(A40,'Job Operations'!A:M,13,FALSE)="Cidan",VLOOKUP(A40,'Job Operations'!A:Q,17,FALSE),IF(VLOOKUP(A40,'Job Operations'!A:O,15,FALSE)="Cidan",VLOOKUP(A40,'Job Operations'!A:S,19,FALSE),"")),""))</f>
        <v/>
      </c>
      <c r="M40" s="148" t="str">
        <f>IF(A40="","",IFERROR(IF(VLOOKUP(A40,Notes!A:B,2,FALSE)=0,"",VLOOKUP(A40,Notes!A:B,2,FALSE)),""))</f>
        <v/>
      </c>
    </row>
    <row r="41" spans="1:13" s="140" customFormat="1" x14ac:dyDescent="0.25">
      <c r="A41" s="149"/>
      <c r="B41" s="150" t="str">
        <f>IF(A41="","",VLOOKUP(A41,'Job Operations'!A:B,2,FALSE))</f>
        <v/>
      </c>
      <c r="C41" s="150" t="str">
        <f>IF(A41="","",VLOOKUP(A41,'Job Operations'!A:C,3,FALSE))</f>
        <v/>
      </c>
      <c r="D41" s="150" t="str">
        <f>IF(A41="","",VLOOKUP(A41,'Job Operations'!A:E,5,FALSE))</f>
        <v/>
      </c>
      <c r="E41" s="150" t="str">
        <f>IF(A41="","",VLOOKUP(A41,'Job Operations'!A:F,6,FALSE))</f>
        <v/>
      </c>
      <c r="F41" s="150" t="str">
        <f>IF(A41="","",VLOOKUP(A41,'Job Operations'!A:G,7,FALSE))</f>
        <v/>
      </c>
      <c r="G41" s="151" t="str">
        <f>IF(A41="","",VLOOKUP(A41,'Job Operations'!A:I,9,FALSE))</f>
        <v/>
      </c>
      <c r="H41" s="150" t="str">
        <f>IF(A41="","",VLOOKUP(A41,'Job Operations'!A:L,12,FALSE))</f>
        <v/>
      </c>
      <c r="I41" s="150" t="str">
        <f t="shared" si="2"/>
        <v/>
      </c>
      <c r="J41" s="151" t="str">
        <f>IF(A41="","",IFERROR(IF(VLOOKUP(A41,'Job Operations'!A:M,13,FALSE)="Cidan",VLOOKUP(A41,'Job Operations'!A:N,14,FALSE),IF(VLOOKUP(A41,'Job Operations'!A:O,15,FALSE)="Cidan",VLOOKUP(A41,'Job Operations'!A:P,16,FALSE),IF(VLOOKUP(A41,'Job Operations'!A:Q,17,FALSE)="Cidan",VLOOKUP(A41,'Job Operations'!A:R,18,FALSE),""))),""))</f>
        <v/>
      </c>
      <c r="K41" s="150" t="str">
        <f>IF(A41="","",IFERROR(IF(VLOOKUP(A41,'Job Operations'!A:M,13,FALSE)="Cidan",VLOOKUP(A41,'Job Operations'!A:O,15,FALSE),IF(VLOOKUP(A41,'Job Operations'!A:O,15,FALSE)="Cidan",VLOOKUP(A41,'Job Operations'!A:Q,17,FALSE),"")),""))</f>
        <v/>
      </c>
      <c r="L41" s="150" t="str">
        <f>IF(A41="","",IFERROR(IF(VLOOKUP(A41,'Job Operations'!A:M,13,FALSE)="Cidan",VLOOKUP(A41,'Job Operations'!A:Q,17,FALSE),IF(VLOOKUP(A41,'Job Operations'!A:O,15,FALSE)="Cidan",VLOOKUP(A41,'Job Operations'!A:S,19,FALSE),"")),""))</f>
        <v/>
      </c>
      <c r="M41" s="152" t="str">
        <f>IF(A41="","",IFERROR(IF(VLOOKUP(A41,Notes!A:B,2,FALSE)=0,"",VLOOKUP(A41,Notes!A:B,2,FALSE)),""))</f>
        <v/>
      </c>
    </row>
    <row r="42" spans="1:13" s="140" customFormat="1" x14ac:dyDescent="0.25">
      <c r="A42" s="145"/>
      <c r="B42" s="146" t="str">
        <f>IF(A42="","",VLOOKUP(A42,'Job Operations'!A:B,2,FALSE))</f>
        <v/>
      </c>
      <c r="C42" s="146" t="str">
        <f>IF(A42="","",VLOOKUP(A42,'Job Operations'!A:C,3,FALSE))</f>
        <v/>
      </c>
      <c r="D42" s="146" t="str">
        <f>IF(A42="","",VLOOKUP(A42,'Job Operations'!A:E,5,FALSE))</f>
        <v/>
      </c>
      <c r="E42" s="146" t="str">
        <f>IF(A42="","",VLOOKUP(A42,'Job Operations'!A:F,6,FALSE))</f>
        <v/>
      </c>
      <c r="F42" s="146" t="str">
        <f>IF(A42="","",VLOOKUP(A42,'Job Operations'!A:G,7,FALSE))</f>
        <v/>
      </c>
      <c r="G42" s="147" t="str">
        <f>IF(A42="","",VLOOKUP(A42,'Job Operations'!A:I,9,FALSE))</f>
        <v/>
      </c>
      <c r="H42" s="146" t="str">
        <f>IF(A42="","",VLOOKUP(A42,'Job Operations'!A:L,12,FALSE))</f>
        <v/>
      </c>
      <c r="I42" s="146" t="str">
        <f t="shared" si="2"/>
        <v/>
      </c>
      <c r="J42" s="147" t="str">
        <f>IF(A42="","",IFERROR(IF(VLOOKUP(A42,'Job Operations'!A:M,13,FALSE)="Cidan",VLOOKUP(A42,'Job Operations'!A:N,14,FALSE),IF(VLOOKUP(A42,'Job Operations'!A:O,15,FALSE)="Cidan",VLOOKUP(A42,'Job Operations'!A:P,16,FALSE),IF(VLOOKUP(A42,'Job Operations'!A:Q,17,FALSE)="Cidan",VLOOKUP(A42,'Job Operations'!A:R,18,FALSE),""))),""))</f>
        <v/>
      </c>
      <c r="K42" s="146" t="str">
        <f>IF(A42="","",IFERROR(IF(VLOOKUP(A42,'Job Operations'!A:M,13,FALSE)="Cidan",VLOOKUP(A42,'Job Operations'!A:O,15,FALSE),IF(VLOOKUP(A42,'Job Operations'!A:O,15,FALSE)="Cidan",VLOOKUP(A42,'Job Operations'!A:Q,17,FALSE),"")),""))</f>
        <v/>
      </c>
      <c r="L42" s="146" t="str">
        <f>IF(A42="","",IFERROR(IF(VLOOKUP(A42,'Job Operations'!A:M,13,FALSE)="Cidan",VLOOKUP(A42,'Job Operations'!A:Q,17,FALSE),IF(VLOOKUP(A42,'Job Operations'!A:O,15,FALSE)="Cidan",VLOOKUP(A42,'Job Operations'!A:S,19,FALSE),"")),""))</f>
        <v/>
      </c>
      <c r="M42" s="148" t="str">
        <f>IF(A42="","",IFERROR(IF(VLOOKUP(A42,Notes!A:B,2,FALSE)=0,"",VLOOKUP(A42,Notes!A:B,2,FALSE)),""))</f>
        <v/>
      </c>
    </row>
    <row r="43" spans="1:13" s="140" customFormat="1" x14ac:dyDescent="0.25">
      <c r="A43" s="149"/>
      <c r="B43" s="150" t="str">
        <f>IF(A43="","",VLOOKUP(A43,'Job Operations'!A:B,2,FALSE))</f>
        <v/>
      </c>
      <c r="C43" s="150" t="str">
        <f>IF(A43="","",VLOOKUP(A43,'Job Operations'!A:C,3,FALSE))</f>
        <v/>
      </c>
      <c r="D43" s="150" t="str">
        <f>IF(A43="","",VLOOKUP(A43,'Job Operations'!A:E,5,FALSE))</f>
        <v/>
      </c>
      <c r="E43" s="150" t="str">
        <f>IF(A43="","",VLOOKUP(A43,'Job Operations'!A:F,6,FALSE))</f>
        <v/>
      </c>
      <c r="F43" s="150" t="str">
        <f>IF(A43="","",VLOOKUP(A43,'Job Operations'!A:G,7,FALSE))</f>
        <v/>
      </c>
      <c r="G43" s="151" t="str">
        <f>IF(A43="","",VLOOKUP(A43,'Job Operations'!A:I,9,FALSE))</f>
        <v/>
      </c>
      <c r="H43" s="150" t="str">
        <f>IF(A43="","",VLOOKUP(A43,'Job Operations'!A:L,12,FALSE))</f>
        <v/>
      </c>
      <c r="I43" s="150" t="str">
        <f t="shared" si="2"/>
        <v/>
      </c>
      <c r="J43" s="151" t="str">
        <f>IF(A43="","",IFERROR(IF(VLOOKUP(A43,'Job Operations'!A:M,13,FALSE)="Cidan",VLOOKUP(A43,'Job Operations'!A:N,14,FALSE),IF(VLOOKUP(A43,'Job Operations'!A:O,15,FALSE)="Cidan",VLOOKUP(A43,'Job Operations'!A:P,16,FALSE),IF(VLOOKUP(A43,'Job Operations'!A:Q,17,FALSE)="Cidan",VLOOKUP(A43,'Job Operations'!A:R,18,FALSE),""))),""))</f>
        <v/>
      </c>
      <c r="K43" s="150" t="str">
        <f>IF(A43="","",IFERROR(IF(VLOOKUP(A43,'Job Operations'!A:M,13,FALSE)="Cidan",VLOOKUP(A43,'Job Operations'!A:O,15,FALSE),IF(VLOOKUP(A43,'Job Operations'!A:O,15,FALSE)="Cidan",VLOOKUP(A43,'Job Operations'!A:Q,17,FALSE),"")),""))</f>
        <v/>
      </c>
      <c r="L43" s="150" t="str">
        <f>IF(A43="","",IFERROR(IF(VLOOKUP(A43,'Job Operations'!A:M,13,FALSE)="Cidan",VLOOKUP(A43,'Job Operations'!A:Q,17,FALSE),IF(VLOOKUP(A43,'Job Operations'!A:O,15,FALSE)="Cidan",VLOOKUP(A43,'Job Operations'!A:S,19,FALSE),"")),""))</f>
        <v/>
      </c>
      <c r="M43" s="152" t="str">
        <f>IF(A43="","",IFERROR(IF(VLOOKUP(A43,Notes!A:B,2,FALSE)=0,"",VLOOKUP(A43,Notes!A:B,2,FALSE)),""))</f>
        <v/>
      </c>
    </row>
    <row r="44" spans="1:13" s="140" customFormat="1" x14ac:dyDescent="0.25">
      <c r="A44" s="145"/>
      <c r="B44" s="146" t="str">
        <f>IF(A44="","",VLOOKUP(A44,'Job Operations'!A:B,2,FALSE))</f>
        <v/>
      </c>
      <c r="C44" s="146" t="str">
        <f>IF(A44="","",VLOOKUP(A44,'Job Operations'!A:C,3,FALSE))</f>
        <v/>
      </c>
      <c r="D44" s="146" t="str">
        <f>IF(A44="","",VLOOKUP(A44,'Job Operations'!A:E,5,FALSE))</f>
        <v/>
      </c>
      <c r="E44" s="146" t="str">
        <f>IF(A44="","",VLOOKUP(A44,'Job Operations'!A:F,6,FALSE))</f>
        <v/>
      </c>
      <c r="F44" s="146" t="str">
        <f>IF(A44="","",VLOOKUP(A44,'Job Operations'!A:G,7,FALSE))</f>
        <v/>
      </c>
      <c r="G44" s="147" t="str">
        <f>IF(A44="","",VLOOKUP(A44,'Job Operations'!A:I,9,FALSE))</f>
        <v/>
      </c>
      <c r="H44" s="146" t="str">
        <f>IF(A44="","",VLOOKUP(A44,'Job Operations'!A:L,12,FALSE))</f>
        <v/>
      </c>
      <c r="I44" s="146" t="str">
        <f t="shared" si="2"/>
        <v/>
      </c>
      <c r="J44" s="147" t="str">
        <f>IF(A44="","",IFERROR(IF(VLOOKUP(A44,'Job Operations'!A:M,13,FALSE)="Cidan",VLOOKUP(A44,'Job Operations'!A:N,14,FALSE),IF(VLOOKUP(A44,'Job Operations'!A:O,15,FALSE)="Cidan",VLOOKUP(A44,'Job Operations'!A:P,16,FALSE),IF(VLOOKUP(A44,'Job Operations'!A:Q,17,FALSE)="Cidan",VLOOKUP(A44,'Job Operations'!A:R,18,FALSE),""))),""))</f>
        <v/>
      </c>
      <c r="K44" s="146" t="str">
        <f>IF(A44="","",IFERROR(IF(VLOOKUP(A44,'Job Operations'!A:M,13,FALSE)="Cidan",VLOOKUP(A44,'Job Operations'!A:O,15,FALSE),IF(VLOOKUP(A44,'Job Operations'!A:O,15,FALSE)="Cidan",VLOOKUP(A44,'Job Operations'!A:Q,17,FALSE),"")),""))</f>
        <v/>
      </c>
      <c r="L44" s="146" t="str">
        <f>IF(A44="","",IFERROR(IF(VLOOKUP(A44,'Job Operations'!A:M,13,FALSE)="Cidan",VLOOKUP(A44,'Job Operations'!A:Q,17,FALSE),IF(VLOOKUP(A44,'Job Operations'!A:O,15,FALSE)="Cidan",VLOOKUP(A44,'Job Operations'!A:S,19,FALSE),"")),""))</f>
        <v/>
      </c>
      <c r="M44" s="148" t="str">
        <f>IF(A44="","",IFERROR(IF(VLOOKUP(A44,Notes!A:B,2,FALSE)=0,"",VLOOKUP(A44,Notes!A:B,2,FALSE)),""))</f>
        <v/>
      </c>
    </row>
    <row r="45" spans="1:13" s="140" customFormat="1" x14ac:dyDescent="0.25">
      <c r="A45" s="149"/>
      <c r="B45" s="150" t="str">
        <f>IF(A45="","",VLOOKUP(A45,'Job Operations'!A:B,2,FALSE))</f>
        <v/>
      </c>
      <c r="C45" s="150" t="str">
        <f>IF(A45="","",VLOOKUP(A45,'Job Operations'!A:C,3,FALSE))</f>
        <v/>
      </c>
      <c r="D45" s="150" t="str">
        <f>IF(A45="","",VLOOKUP(A45,'Job Operations'!A:E,5,FALSE))</f>
        <v/>
      </c>
      <c r="E45" s="150" t="str">
        <f>IF(A45="","",VLOOKUP(A45,'Job Operations'!A:F,6,FALSE))</f>
        <v/>
      </c>
      <c r="F45" s="150" t="str">
        <f>IF(A45="","",VLOOKUP(A45,'Job Operations'!A:G,7,FALSE))</f>
        <v/>
      </c>
      <c r="G45" s="151" t="str">
        <f>IF(A45="","",VLOOKUP(A45,'Job Operations'!A:I,9,FALSE))</f>
        <v/>
      </c>
      <c r="H45" s="150" t="str">
        <f>IF(A45="","",VLOOKUP(A45,'Job Operations'!A:L,12,FALSE))</f>
        <v/>
      </c>
      <c r="I45" s="150" t="str">
        <f t="shared" si="2"/>
        <v/>
      </c>
      <c r="J45" s="151" t="str">
        <f>IF(A45="","",IFERROR(IF(VLOOKUP(A45,'Job Operations'!A:M,13,FALSE)="Cidan",VLOOKUP(A45,'Job Operations'!A:N,14,FALSE),IF(VLOOKUP(A45,'Job Operations'!A:O,15,FALSE)="Cidan",VLOOKUP(A45,'Job Operations'!A:P,16,FALSE),IF(VLOOKUP(A45,'Job Operations'!A:Q,17,FALSE)="Cidan",VLOOKUP(A45,'Job Operations'!A:R,18,FALSE),""))),""))</f>
        <v/>
      </c>
      <c r="K45" s="150" t="str">
        <f>IF(A45="","",IFERROR(IF(VLOOKUP(A45,'Job Operations'!A:M,13,FALSE)="Cidan",VLOOKUP(A45,'Job Operations'!A:O,15,FALSE),IF(VLOOKUP(A45,'Job Operations'!A:O,15,FALSE)="Cidan",VLOOKUP(A45,'Job Operations'!A:Q,17,FALSE),"")),""))</f>
        <v/>
      </c>
      <c r="L45" s="150" t="str">
        <f>IF(A45="","",IFERROR(IF(VLOOKUP(A45,'Job Operations'!A:M,13,FALSE)="Cidan",VLOOKUP(A45,'Job Operations'!A:Q,17,FALSE),IF(VLOOKUP(A45,'Job Operations'!A:O,15,FALSE)="Cidan",VLOOKUP(A45,'Job Operations'!A:S,19,FALSE),"")),""))</f>
        <v/>
      </c>
      <c r="M45" s="152" t="str">
        <f>IF(A45="","",IFERROR(IF(VLOOKUP(A45,Notes!A:B,2,FALSE)=0,"",VLOOKUP(A45,Notes!A:B,2,FALSE)),""))</f>
        <v/>
      </c>
    </row>
    <row r="46" spans="1:13" s="140" customFormat="1" x14ac:dyDescent="0.25">
      <c r="A46" s="145"/>
      <c r="B46" s="146" t="str">
        <f>IF(A46="","",VLOOKUP(A46,'Job Operations'!A:B,2,FALSE))</f>
        <v/>
      </c>
      <c r="C46" s="146" t="str">
        <f>IF(A46="","",VLOOKUP(A46,'Job Operations'!A:C,3,FALSE))</f>
        <v/>
      </c>
      <c r="D46" s="146" t="str">
        <f>IF(A46="","",VLOOKUP(A46,'Job Operations'!A:E,5,FALSE))</f>
        <v/>
      </c>
      <c r="E46" s="146" t="str">
        <f>IF(A46="","",VLOOKUP(A46,'Job Operations'!A:F,6,FALSE))</f>
        <v/>
      </c>
      <c r="F46" s="146" t="str">
        <f>IF(A46="","",VLOOKUP(A46,'Job Operations'!A:G,7,FALSE))</f>
        <v/>
      </c>
      <c r="G46" s="147" t="str">
        <f>IF(A46="","",VLOOKUP(A46,'Job Operations'!A:I,9,FALSE))</f>
        <v/>
      </c>
      <c r="H46" s="146" t="str">
        <f>IF(A46="","",VLOOKUP(A46,'Job Operations'!A:L,12,FALSE))</f>
        <v/>
      </c>
      <c r="I46" s="146" t="str">
        <f t="shared" si="2"/>
        <v/>
      </c>
      <c r="J46" s="147" t="str">
        <f>IF(A46="","",IFERROR(IF(VLOOKUP(A46,'Job Operations'!A:M,13,FALSE)="Cidan",VLOOKUP(A46,'Job Operations'!A:N,14,FALSE),IF(VLOOKUP(A46,'Job Operations'!A:O,15,FALSE)="Cidan",VLOOKUP(A46,'Job Operations'!A:P,16,FALSE),IF(VLOOKUP(A46,'Job Operations'!A:Q,17,FALSE)="Cidan",VLOOKUP(A46,'Job Operations'!A:R,18,FALSE),""))),""))</f>
        <v/>
      </c>
      <c r="K46" s="146" t="str">
        <f>IF(A46="","",IFERROR(IF(VLOOKUP(A46,'Job Operations'!A:M,13,FALSE)="Cidan",VLOOKUP(A46,'Job Operations'!A:O,15,FALSE),IF(VLOOKUP(A46,'Job Operations'!A:O,15,FALSE)="Cidan",VLOOKUP(A46,'Job Operations'!A:Q,17,FALSE),"")),""))</f>
        <v/>
      </c>
      <c r="L46" s="146" t="str">
        <f>IF(A46="","",IFERROR(IF(VLOOKUP(A46,'Job Operations'!A:M,13,FALSE)="Cidan",VLOOKUP(A46,'Job Operations'!A:Q,17,FALSE),IF(VLOOKUP(A46,'Job Operations'!A:O,15,FALSE)="Cidan",VLOOKUP(A46,'Job Operations'!A:S,19,FALSE),"")),""))</f>
        <v/>
      </c>
      <c r="M46" s="148" t="str">
        <f>IF(A46="","",IFERROR(IF(VLOOKUP(A46,Notes!A:B,2,FALSE)=0,"",VLOOKUP(A46,Notes!A:B,2,FALSE)),""))</f>
        <v/>
      </c>
    </row>
    <row r="47" spans="1:13" s="140" customFormat="1" x14ac:dyDescent="0.25">
      <c r="A47" s="149"/>
      <c r="B47" s="150" t="str">
        <f>IF(A47="","",VLOOKUP(A47,'Job Operations'!A:B,2,FALSE))</f>
        <v/>
      </c>
      <c r="C47" s="150" t="str">
        <f>IF(A47="","",VLOOKUP(A47,'Job Operations'!A:C,3,FALSE))</f>
        <v/>
      </c>
      <c r="D47" s="150" t="str">
        <f>IF(A47="","",VLOOKUP(A47,'Job Operations'!A:E,5,FALSE))</f>
        <v/>
      </c>
      <c r="E47" s="150" t="str">
        <f>IF(A47="","",VLOOKUP(A47,'Job Operations'!A:F,6,FALSE))</f>
        <v/>
      </c>
      <c r="F47" s="150" t="str">
        <f>IF(A47="","",VLOOKUP(A47,'Job Operations'!A:G,7,FALSE))</f>
        <v/>
      </c>
      <c r="G47" s="151" t="str">
        <f>IF(A47="","",VLOOKUP(A47,'Job Operations'!A:I,9,FALSE))</f>
        <v/>
      </c>
      <c r="H47" s="150" t="str">
        <f>IF(A47="","",VLOOKUP(A47,'Job Operations'!A:L,12,FALSE))</f>
        <v/>
      </c>
      <c r="I47" s="150" t="str">
        <f t="shared" si="2"/>
        <v/>
      </c>
      <c r="J47" s="151" t="str">
        <f>IF(A47="","",IFERROR(IF(VLOOKUP(A47,'Job Operations'!A:M,13,FALSE)="Cidan",VLOOKUP(A47,'Job Operations'!A:N,14,FALSE),IF(VLOOKUP(A47,'Job Operations'!A:O,15,FALSE)="Cidan",VLOOKUP(A47,'Job Operations'!A:P,16,FALSE),IF(VLOOKUP(A47,'Job Operations'!A:Q,17,FALSE)="Cidan",VLOOKUP(A47,'Job Operations'!A:R,18,FALSE),""))),""))</f>
        <v/>
      </c>
      <c r="K47" s="150" t="str">
        <f>IF(A47="","",IFERROR(IF(VLOOKUP(A47,'Job Operations'!A:M,13,FALSE)="Cidan",VLOOKUP(A47,'Job Operations'!A:O,15,FALSE),IF(VLOOKUP(A47,'Job Operations'!A:O,15,FALSE)="Cidan",VLOOKUP(A47,'Job Operations'!A:Q,17,FALSE),"")),""))</f>
        <v/>
      </c>
      <c r="L47" s="150" t="str">
        <f>IF(A47="","",IFERROR(IF(VLOOKUP(A47,'Job Operations'!A:M,13,FALSE)="Cidan",VLOOKUP(A47,'Job Operations'!A:Q,17,FALSE),IF(VLOOKUP(A47,'Job Operations'!A:O,15,FALSE)="Cidan",VLOOKUP(A47,'Job Operations'!A:S,19,FALSE),"")),""))</f>
        <v/>
      </c>
      <c r="M47" s="152" t="str">
        <f>IF(A47="","",IFERROR(IF(VLOOKUP(A47,Notes!A:B,2,FALSE)=0,"",VLOOKUP(A47,Notes!A:B,2,FALSE)),""))</f>
        <v/>
      </c>
    </row>
    <row r="48" spans="1:13" s="140" customFormat="1" x14ac:dyDescent="0.25">
      <c r="A48" s="145"/>
      <c r="B48" s="146" t="str">
        <f>IF(A48="","",VLOOKUP(A48,'Job Operations'!A:B,2,FALSE))</f>
        <v/>
      </c>
      <c r="C48" s="146" t="str">
        <f>IF(A48="","",VLOOKUP(A48,'Job Operations'!A:C,3,FALSE))</f>
        <v/>
      </c>
      <c r="D48" s="146" t="str">
        <f>IF(A48="","",VLOOKUP(A48,'Job Operations'!A:E,5,FALSE))</f>
        <v/>
      </c>
      <c r="E48" s="146" t="str">
        <f>IF(A48="","",VLOOKUP(A48,'Job Operations'!A:F,6,FALSE))</f>
        <v/>
      </c>
      <c r="F48" s="146" t="str">
        <f>IF(A48="","",VLOOKUP(A48,'Job Operations'!A:G,7,FALSE))</f>
        <v/>
      </c>
      <c r="G48" s="147" t="str">
        <f>IF(A48="","",VLOOKUP(A48,'Job Operations'!A:I,9,FALSE))</f>
        <v/>
      </c>
      <c r="H48" s="146" t="str">
        <f>IF(A48="","",VLOOKUP(A48,'Job Operations'!A:L,12,FALSE))</f>
        <v/>
      </c>
      <c r="I48" s="146" t="str">
        <f t="shared" si="2"/>
        <v/>
      </c>
      <c r="J48" s="147" t="str">
        <f>IF(A48="","",IFERROR(IF(VLOOKUP(A48,'Job Operations'!A:M,13,FALSE)="Cidan",VLOOKUP(A48,'Job Operations'!A:N,14,FALSE),IF(VLOOKUP(A48,'Job Operations'!A:O,15,FALSE)="Cidan",VLOOKUP(A48,'Job Operations'!A:P,16,FALSE),IF(VLOOKUP(A48,'Job Operations'!A:Q,17,FALSE)="Cidan",VLOOKUP(A48,'Job Operations'!A:R,18,FALSE),""))),""))</f>
        <v/>
      </c>
      <c r="K48" s="146" t="str">
        <f>IF(A48="","",IFERROR(IF(VLOOKUP(A48,'Job Operations'!A:M,13,FALSE)="Cidan",VLOOKUP(A48,'Job Operations'!A:O,15,FALSE),IF(VLOOKUP(A48,'Job Operations'!A:O,15,FALSE)="Cidan",VLOOKUP(A48,'Job Operations'!A:Q,17,FALSE),"")),""))</f>
        <v/>
      </c>
      <c r="L48" s="146" t="str">
        <f>IF(A48="","",IFERROR(IF(VLOOKUP(A48,'Job Operations'!A:M,13,FALSE)="Cidan",VLOOKUP(A48,'Job Operations'!A:Q,17,FALSE),IF(VLOOKUP(A48,'Job Operations'!A:O,15,FALSE)="Cidan",VLOOKUP(A48,'Job Operations'!A:S,19,FALSE),"")),""))</f>
        <v/>
      </c>
      <c r="M48" s="148" t="str">
        <f>IF(A48="","",IFERROR(IF(VLOOKUP(A48,Notes!A:B,2,FALSE)=0,"",VLOOKUP(A48,Notes!A:B,2,FALSE)),""))</f>
        <v/>
      </c>
    </row>
    <row r="49" spans="1:13" s="140" customFormat="1" x14ac:dyDescent="0.25">
      <c r="A49" s="149"/>
      <c r="B49" s="150" t="str">
        <f>IF(A49="","",VLOOKUP(A49,'Job Operations'!A:B,2,FALSE))</f>
        <v/>
      </c>
      <c r="C49" s="150" t="str">
        <f>IF(A49="","",VLOOKUP(A49,'Job Operations'!A:C,3,FALSE))</f>
        <v/>
      </c>
      <c r="D49" s="150" t="str">
        <f>IF(A49="","",VLOOKUP(A49,'Job Operations'!A:E,5,FALSE))</f>
        <v/>
      </c>
      <c r="E49" s="150" t="str">
        <f>IF(A49="","",VLOOKUP(A49,'Job Operations'!A:F,6,FALSE))</f>
        <v/>
      </c>
      <c r="F49" s="150" t="str">
        <f>IF(A49="","",VLOOKUP(A49,'Job Operations'!A:G,7,FALSE))</f>
        <v/>
      </c>
      <c r="G49" s="151" t="str">
        <f>IF(A49="","",VLOOKUP(A49,'Job Operations'!A:I,9,FALSE))</f>
        <v/>
      </c>
      <c r="H49" s="150" t="str">
        <f>IF(A49="","",VLOOKUP(A49,'Job Operations'!A:L,12,FALSE))</f>
        <v/>
      </c>
      <c r="I49" s="150" t="str">
        <f t="shared" si="2"/>
        <v/>
      </c>
      <c r="J49" s="151" t="str">
        <f>IF(A49="","",IFERROR(IF(VLOOKUP(A49,'Job Operations'!A:M,13,FALSE)="Cidan",VLOOKUP(A49,'Job Operations'!A:N,14,FALSE),IF(VLOOKUP(A49,'Job Operations'!A:O,15,FALSE)="Cidan",VLOOKUP(A49,'Job Operations'!A:P,16,FALSE),IF(VLOOKUP(A49,'Job Operations'!A:Q,17,FALSE)="Cidan",VLOOKUP(A49,'Job Operations'!A:R,18,FALSE),""))),""))</f>
        <v/>
      </c>
      <c r="K49" s="150" t="str">
        <f>IF(A49="","",IFERROR(IF(VLOOKUP(A49,'Job Operations'!A:M,13,FALSE)="Cidan",VLOOKUP(A49,'Job Operations'!A:O,15,FALSE),IF(VLOOKUP(A49,'Job Operations'!A:O,15,FALSE)="Cidan",VLOOKUP(A49,'Job Operations'!A:Q,17,FALSE),"")),""))</f>
        <v/>
      </c>
      <c r="L49" s="150" t="str">
        <f>IF(A49="","",IFERROR(IF(VLOOKUP(A49,'Job Operations'!A:M,13,FALSE)="Cidan",VLOOKUP(A49,'Job Operations'!A:Q,17,FALSE),IF(VLOOKUP(A49,'Job Operations'!A:O,15,FALSE)="Cidan",VLOOKUP(A49,'Job Operations'!A:S,19,FALSE),"")),""))</f>
        <v/>
      </c>
      <c r="M49" s="152" t="str">
        <f>IF(A49="","",IFERROR(IF(VLOOKUP(A49,Notes!A:B,2,FALSE)=0,"",VLOOKUP(A49,Notes!A:B,2,FALSE)),""))</f>
        <v/>
      </c>
    </row>
    <row r="50" spans="1:13" s="140" customFormat="1" x14ac:dyDescent="0.25">
      <c r="A50" s="145"/>
      <c r="B50" s="146" t="str">
        <f>IF(A50="","",VLOOKUP(A50,'Job Operations'!A:B,2,FALSE))</f>
        <v/>
      </c>
      <c r="C50" s="146" t="str">
        <f>IF(A50="","",VLOOKUP(A50,'Job Operations'!A:C,3,FALSE))</f>
        <v/>
      </c>
      <c r="D50" s="146" t="str">
        <f>IF(A50="","",VLOOKUP(A50,'Job Operations'!A:E,5,FALSE))</f>
        <v/>
      </c>
      <c r="E50" s="146" t="str">
        <f>IF(A50="","",VLOOKUP(A50,'Job Operations'!A:F,6,FALSE))</f>
        <v/>
      </c>
      <c r="F50" s="146" t="str">
        <f>IF(A50="","",VLOOKUP(A50,'Job Operations'!A:G,7,FALSE))</f>
        <v/>
      </c>
      <c r="G50" s="147" t="str">
        <f>IF(A50="","",VLOOKUP(A50,'Job Operations'!A:I,9,FALSE))</f>
        <v/>
      </c>
      <c r="H50" s="146" t="str">
        <f>IF(A50="","",VLOOKUP(A50,'Job Operations'!A:L,12,FALSE))</f>
        <v/>
      </c>
      <c r="I50" s="146" t="str">
        <f t="shared" si="2"/>
        <v/>
      </c>
      <c r="J50" s="147" t="str">
        <f>IF(A50="","",IFERROR(IF(VLOOKUP(A50,'Job Operations'!A:M,13,FALSE)="Cidan",VLOOKUP(A50,'Job Operations'!A:N,14,FALSE),IF(VLOOKUP(A50,'Job Operations'!A:O,15,FALSE)="Cidan",VLOOKUP(A50,'Job Operations'!A:P,16,FALSE),IF(VLOOKUP(A50,'Job Operations'!A:Q,17,FALSE)="Cidan",VLOOKUP(A50,'Job Operations'!A:R,18,FALSE),""))),""))</f>
        <v/>
      </c>
      <c r="K50" s="146" t="str">
        <f>IF(A50="","",IFERROR(IF(VLOOKUP(A50,'Job Operations'!A:M,13,FALSE)="Cidan",VLOOKUP(A50,'Job Operations'!A:O,15,FALSE),IF(VLOOKUP(A50,'Job Operations'!A:O,15,FALSE)="Cidan",VLOOKUP(A50,'Job Operations'!A:Q,17,FALSE),"")),""))</f>
        <v/>
      </c>
      <c r="L50" s="146" t="str">
        <f>IF(A50="","",IFERROR(IF(VLOOKUP(A50,'Job Operations'!A:M,13,FALSE)="Cidan",VLOOKUP(A50,'Job Operations'!A:Q,17,FALSE),IF(VLOOKUP(A50,'Job Operations'!A:O,15,FALSE)="Cidan",VLOOKUP(A50,'Job Operations'!A:S,19,FALSE),"")),""))</f>
        <v/>
      </c>
      <c r="M50" s="148" t="str">
        <f>IF(A50="","",IFERROR(IF(VLOOKUP(A50,Notes!A:B,2,FALSE)=0,"",VLOOKUP(A50,Notes!A:B,2,FALSE)),""))</f>
        <v/>
      </c>
    </row>
    <row r="51" spans="1:13" s="140" customFormat="1" x14ac:dyDescent="0.25">
      <c r="A51" s="149"/>
      <c r="B51" s="150" t="str">
        <f>IF(A51="","",VLOOKUP(A51,'Job Operations'!A:B,2,FALSE))</f>
        <v/>
      </c>
      <c r="C51" s="150" t="str">
        <f>IF(A51="","",VLOOKUP(A51,'Job Operations'!A:C,3,FALSE))</f>
        <v/>
      </c>
      <c r="D51" s="150" t="str">
        <f>IF(A51="","",VLOOKUP(A51,'Job Operations'!A:E,5,FALSE))</f>
        <v/>
      </c>
      <c r="E51" s="150" t="str">
        <f>IF(A51="","",VLOOKUP(A51,'Job Operations'!A:F,6,FALSE))</f>
        <v/>
      </c>
      <c r="F51" s="150" t="str">
        <f>IF(A51="","",VLOOKUP(A51,'Job Operations'!A:G,7,FALSE))</f>
        <v/>
      </c>
      <c r="G51" s="151" t="str">
        <f>IF(A51="","",VLOOKUP(A51,'Job Operations'!A:I,9,FALSE))</f>
        <v/>
      </c>
      <c r="H51" s="150" t="str">
        <f>IF(A51="","",VLOOKUP(A51,'Job Operations'!A:L,12,FALSE))</f>
        <v/>
      </c>
      <c r="I51" s="150" t="str">
        <f t="shared" si="2"/>
        <v/>
      </c>
      <c r="J51" s="151" t="str">
        <f>IF(A51="","",IFERROR(IF(VLOOKUP(A51,'Job Operations'!A:M,13,FALSE)="Cidan",VLOOKUP(A51,'Job Operations'!A:N,14,FALSE),IF(VLOOKUP(A51,'Job Operations'!A:O,15,FALSE)="Cidan",VLOOKUP(A51,'Job Operations'!A:P,16,FALSE),IF(VLOOKUP(A51,'Job Operations'!A:Q,17,FALSE)="Cidan",VLOOKUP(A51,'Job Operations'!A:R,18,FALSE),""))),""))</f>
        <v/>
      </c>
      <c r="K51" s="150" t="str">
        <f>IF(A51="","",IFERROR(IF(VLOOKUP(A51,'Job Operations'!A:M,13,FALSE)="Cidan",VLOOKUP(A51,'Job Operations'!A:O,15,FALSE),IF(VLOOKUP(A51,'Job Operations'!A:O,15,FALSE)="Cidan",VLOOKUP(A51,'Job Operations'!A:Q,17,FALSE),"")),""))</f>
        <v/>
      </c>
      <c r="L51" s="150" t="str">
        <f>IF(A51="","",IFERROR(IF(VLOOKUP(A51,'Job Operations'!A:M,13,FALSE)="Cidan",VLOOKUP(A51,'Job Operations'!A:Q,17,FALSE),IF(VLOOKUP(A51,'Job Operations'!A:O,15,FALSE)="Cidan",VLOOKUP(A51,'Job Operations'!A:S,19,FALSE),"")),""))</f>
        <v/>
      </c>
      <c r="M51" s="152" t="str">
        <f>IF(A51="","",IFERROR(IF(VLOOKUP(A51,Notes!A:B,2,FALSE)=0,"",VLOOKUP(A51,Notes!A:B,2,FALSE)),""))</f>
        <v/>
      </c>
    </row>
    <row r="52" spans="1:13" s="140" customFormat="1" x14ac:dyDescent="0.25">
      <c r="A52" s="145"/>
      <c r="B52" s="146" t="str">
        <f>IF(A52="","",VLOOKUP(A52,'Job Operations'!A:B,2,FALSE))</f>
        <v/>
      </c>
      <c r="C52" s="146" t="str">
        <f>IF(A52="","",VLOOKUP(A52,'Job Operations'!A:C,3,FALSE))</f>
        <v/>
      </c>
      <c r="D52" s="146" t="str">
        <f>IF(A52="","",VLOOKUP(A52,'Job Operations'!A:E,5,FALSE))</f>
        <v/>
      </c>
      <c r="E52" s="146" t="str">
        <f>IF(A52="","",VLOOKUP(A52,'Job Operations'!A:F,6,FALSE))</f>
        <v/>
      </c>
      <c r="F52" s="146" t="str">
        <f>IF(A52="","",VLOOKUP(A52,'Job Operations'!A:G,7,FALSE))</f>
        <v/>
      </c>
      <c r="G52" s="147" t="str">
        <f>IF(A52="","",VLOOKUP(A52,'Job Operations'!A:I,9,FALSE))</f>
        <v/>
      </c>
      <c r="H52" s="146" t="str">
        <f>IF(A52="","",VLOOKUP(A52,'Job Operations'!A:L,12,FALSE))</f>
        <v/>
      </c>
      <c r="I52" s="146" t="str">
        <f t="shared" si="2"/>
        <v/>
      </c>
      <c r="J52" s="147" t="str">
        <f>IF(A52="","",IFERROR(IF(VLOOKUP(A52,'Job Operations'!A:M,13,FALSE)="Cidan",VLOOKUP(A52,'Job Operations'!A:N,14,FALSE),IF(VLOOKUP(A52,'Job Operations'!A:O,15,FALSE)="Cidan",VLOOKUP(A52,'Job Operations'!A:P,16,FALSE),IF(VLOOKUP(A52,'Job Operations'!A:Q,17,FALSE)="Cidan",VLOOKUP(A52,'Job Operations'!A:R,18,FALSE),""))),""))</f>
        <v/>
      </c>
      <c r="K52" s="146" t="str">
        <f>IF(A52="","",IFERROR(IF(VLOOKUP(A52,'Job Operations'!A:M,13,FALSE)="Cidan",VLOOKUP(A52,'Job Operations'!A:O,15,FALSE),IF(VLOOKUP(A52,'Job Operations'!A:O,15,FALSE)="Cidan",VLOOKUP(A52,'Job Operations'!A:Q,17,FALSE),"")),""))</f>
        <v/>
      </c>
      <c r="L52" s="146" t="str">
        <f>IF(A52="","",IFERROR(IF(VLOOKUP(A52,'Job Operations'!A:M,13,FALSE)="Cidan",VLOOKUP(A52,'Job Operations'!A:Q,17,FALSE),IF(VLOOKUP(A52,'Job Operations'!A:O,15,FALSE)="Cidan",VLOOKUP(A52,'Job Operations'!A:S,19,FALSE),"")),""))</f>
        <v/>
      </c>
      <c r="M52" s="148" t="str">
        <f>IF(A52="","",IFERROR(IF(VLOOKUP(A52,Notes!A:B,2,FALSE)=0,"",VLOOKUP(A52,Notes!A:B,2,FALSE)),""))</f>
        <v/>
      </c>
    </row>
    <row r="53" spans="1:13" s="140" customFormat="1" x14ac:dyDescent="0.25">
      <c r="A53" s="149"/>
      <c r="B53" s="150" t="str">
        <f>IF(A53="","",VLOOKUP(A53,'Job Operations'!A:B,2,FALSE))</f>
        <v/>
      </c>
      <c r="C53" s="150" t="str">
        <f>IF(A53="","",VLOOKUP(A53,'Job Operations'!A:C,3,FALSE))</f>
        <v/>
      </c>
      <c r="D53" s="150" t="str">
        <f>IF(A53="","",VLOOKUP(A53,'Job Operations'!A:E,5,FALSE))</f>
        <v/>
      </c>
      <c r="E53" s="150" t="str">
        <f>IF(A53="","",VLOOKUP(A53,'Job Operations'!A:F,6,FALSE))</f>
        <v/>
      </c>
      <c r="F53" s="150" t="str">
        <f>IF(A53="","",VLOOKUP(A53,'Job Operations'!A:G,7,FALSE))</f>
        <v/>
      </c>
      <c r="G53" s="151" t="str">
        <f>IF(A53="","",VLOOKUP(A53,'Job Operations'!A:I,9,FALSE))</f>
        <v/>
      </c>
      <c r="H53" s="150" t="str">
        <f>IF(A53="","",VLOOKUP(A53,'Job Operations'!A:L,12,FALSE))</f>
        <v/>
      </c>
      <c r="I53" s="150" t="str">
        <f t="shared" si="2"/>
        <v/>
      </c>
      <c r="J53" s="151" t="str">
        <f>IF(A53="","",IFERROR(IF(VLOOKUP(A53,'Job Operations'!A:M,13,FALSE)="Cidan",VLOOKUP(A53,'Job Operations'!A:N,14,FALSE),IF(VLOOKUP(A53,'Job Operations'!A:O,15,FALSE)="Cidan",VLOOKUP(A53,'Job Operations'!A:P,16,FALSE),IF(VLOOKUP(A53,'Job Operations'!A:Q,17,FALSE)="Cidan",VLOOKUP(A53,'Job Operations'!A:R,18,FALSE),""))),""))</f>
        <v/>
      </c>
      <c r="K53" s="150" t="str">
        <f>IF(A53="","",IFERROR(IF(VLOOKUP(A53,'Job Operations'!A:M,13,FALSE)="Cidan",VLOOKUP(A53,'Job Operations'!A:O,15,FALSE),IF(VLOOKUP(A53,'Job Operations'!A:O,15,FALSE)="Cidan",VLOOKUP(A53,'Job Operations'!A:Q,17,FALSE),"")),""))</f>
        <v/>
      </c>
      <c r="L53" s="150" t="str">
        <f>IF(A53="","",IFERROR(IF(VLOOKUP(A53,'Job Operations'!A:M,13,FALSE)="Cidan",VLOOKUP(A53,'Job Operations'!A:Q,17,FALSE),IF(VLOOKUP(A53,'Job Operations'!A:O,15,FALSE)="Cidan",VLOOKUP(A53,'Job Operations'!A:S,19,FALSE),"")),""))</f>
        <v/>
      </c>
      <c r="M53" s="152" t="str">
        <f>IF(A53="","",IFERROR(IF(VLOOKUP(A53,Notes!A:B,2,FALSE)=0,"",VLOOKUP(A53,Notes!A:B,2,FALSE)),""))</f>
        <v/>
      </c>
    </row>
    <row r="54" spans="1:13" s="140" customFormat="1" x14ac:dyDescent="0.25">
      <c r="A54" s="145"/>
      <c r="B54" s="146" t="str">
        <f>IF(A54="","",VLOOKUP(A54,'Job Operations'!A:B,2,FALSE))</f>
        <v/>
      </c>
      <c r="C54" s="146" t="str">
        <f>IF(A54="","",VLOOKUP(A54,'Job Operations'!A:C,3,FALSE))</f>
        <v/>
      </c>
      <c r="D54" s="146" t="str">
        <f>IF(A54="","",VLOOKUP(A54,'Job Operations'!A:E,5,FALSE))</f>
        <v/>
      </c>
      <c r="E54" s="146" t="str">
        <f>IF(A54="","",VLOOKUP(A54,'Job Operations'!A:F,6,FALSE))</f>
        <v/>
      </c>
      <c r="F54" s="146" t="str">
        <f>IF(A54="","",VLOOKUP(A54,'Job Operations'!A:G,7,FALSE))</f>
        <v/>
      </c>
      <c r="G54" s="147" t="str">
        <f>IF(A54="","",VLOOKUP(A54,'Job Operations'!A:I,9,FALSE))</f>
        <v/>
      </c>
      <c r="H54" s="146" t="str">
        <f>IF(A54="","",VLOOKUP(A54,'Job Operations'!A:L,12,FALSE))</f>
        <v/>
      </c>
      <c r="I54" s="146" t="str">
        <f t="shared" si="2"/>
        <v/>
      </c>
      <c r="J54" s="147" t="str">
        <f>IF(A54="","",IFERROR(IF(VLOOKUP(A54,'Job Operations'!A:M,13,FALSE)="Cidan",VLOOKUP(A54,'Job Operations'!A:N,14,FALSE),IF(VLOOKUP(A54,'Job Operations'!A:O,15,FALSE)="Cidan",VLOOKUP(A54,'Job Operations'!A:P,16,FALSE),IF(VLOOKUP(A54,'Job Operations'!A:Q,17,FALSE)="Cidan",VLOOKUP(A54,'Job Operations'!A:R,18,FALSE),""))),""))</f>
        <v/>
      </c>
      <c r="K54" s="146" t="str">
        <f>IF(A54="","",IFERROR(IF(VLOOKUP(A54,'Job Operations'!A:M,13,FALSE)="Cidan",VLOOKUP(A54,'Job Operations'!A:O,15,FALSE),IF(VLOOKUP(A54,'Job Operations'!A:O,15,FALSE)="Cidan",VLOOKUP(A54,'Job Operations'!A:Q,17,FALSE),"")),""))</f>
        <v/>
      </c>
      <c r="L54" s="146" t="str">
        <f>IF(A54="","",IFERROR(IF(VLOOKUP(A54,'Job Operations'!A:M,13,FALSE)="Cidan",VLOOKUP(A54,'Job Operations'!A:Q,17,FALSE),IF(VLOOKUP(A54,'Job Operations'!A:O,15,FALSE)="Cidan",VLOOKUP(A54,'Job Operations'!A:S,19,FALSE),"")),""))</f>
        <v/>
      </c>
      <c r="M54" s="148" t="str">
        <f>IF(A54="","",IFERROR(IF(VLOOKUP(A54,Notes!A:B,2,FALSE)=0,"",VLOOKUP(A54,Notes!A:B,2,FALSE)),""))</f>
        <v/>
      </c>
    </row>
    <row r="55" spans="1:13" s="140" customFormat="1" x14ac:dyDescent="0.25">
      <c r="A55" s="149"/>
      <c r="B55" s="150" t="str">
        <f>IF(A55="","",VLOOKUP(A55,'Job Operations'!A:B,2,FALSE))</f>
        <v/>
      </c>
      <c r="C55" s="150" t="str">
        <f>IF(A55="","",VLOOKUP(A55,'Job Operations'!A:C,3,FALSE))</f>
        <v/>
      </c>
      <c r="D55" s="150" t="str">
        <f>IF(A55="","",VLOOKUP(A55,'Job Operations'!A:E,5,FALSE))</f>
        <v/>
      </c>
      <c r="E55" s="150" t="str">
        <f>IF(A55="","",VLOOKUP(A55,'Job Operations'!A:F,6,FALSE))</f>
        <v/>
      </c>
      <c r="F55" s="150" t="str">
        <f>IF(A55="","",VLOOKUP(A55,'Job Operations'!A:G,7,FALSE))</f>
        <v/>
      </c>
      <c r="G55" s="151" t="str">
        <f>IF(A55="","",VLOOKUP(A55,'Job Operations'!A:I,9,FALSE))</f>
        <v/>
      </c>
      <c r="H55" s="150" t="str">
        <f>IF(A55="","",VLOOKUP(A55,'Job Operations'!A:L,12,FALSE))</f>
        <v/>
      </c>
      <c r="I55" s="150" t="str">
        <f t="shared" si="2"/>
        <v/>
      </c>
      <c r="J55" s="151" t="str">
        <f>IF(A55="","",IFERROR(IF(VLOOKUP(A55,'Job Operations'!A:M,13,FALSE)="Cidan",VLOOKUP(A55,'Job Operations'!A:N,14,FALSE),IF(VLOOKUP(A55,'Job Operations'!A:O,15,FALSE)="Cidan",VLOOKUP(A55,'Job Operations'!A:P,16,FALSE),IF(VLOOKUP(A55,'Job Operations'!A:Q,17,FALSE)="Cidan",VLOOKUP(A55,'Job Operations'!A:R,18,FALSE),""))),""))</f>
        <v/>
      </c>
      <c r="K55" s="150" t="str">
        <f>IF(A55="","",IFERROR(IF(VLOOKUP(A55,'Job Operations'!A:M,13,FALSE)="Cidan",VLOOKUP(A55,'Job Operations'!A:O,15,FALSE),IF(VLOOKUP(A55,'Job Operations'!A:O,15,FALSE)="Cidan",VLOOKUP(A55,'Job Operations'!A:Q,17,FALSE),"")),""))</f>
        <v/>
      </c>
      <c r="L55" s="150" t="str">
        <f>IF(A55="","",IFERROR(IF(VLOOKUP(A55,'Job Operations'!A:M,13,FALSE)="Cidan",VLOOKUP(A55,'Job Operations'!A:Q,17,FALSE),IF(VLOOKUP(A55,'Job Operations'!A:O,15,FALSE)="Cidan",VLOOKUP(A55,'Job Operations'!A:S,19,FALSE),"")),""))</f>
        <v/>
      </c>
      <c r="M55" s="152" t="str">
        <f>IF(A55="","",IFERROR(IF(VLOOKUP(A55,Notes!A:B,2,FALSE)=0,"",VLOOKUP(A55,Notes!A:B,2,FALSE)),""))</f>
        <v/>
      </c>
    </row>
    <row r="56" spans="1:13" s="140" customFormat="1" x14ac:dyDescent="0.25">
      <c r="A56" s="145"/>
      <c r="B56" s="146" t="str">
        <f>IF(A56="","",VLOOKUP(A56,'Job Operations'!A:B,2,FALSE))</f>
        <v/>
      </c>
      <c r="C56" s="146" t="str">
        <f>IF(A56="","",VLOOKUP(A56,'Job Operations'!A:C,3,FALSE))</f>
        <v/>
      </c>
      <c r="D56" s="146" t="str">
        <f>IF(A56="","",VLOOKUP(A56,'Job Operations'!A:E,5,FALSE))</f>
        <v/>
      </c>
      <c r="E56" s="146" t="str">
        <f>IF(A56="","",VLOOKUP(A56,'Job Operations'!A:F,6,FALSE))</f>
        <v/>
      </c>
      <c r="F56" s="146" t="str">
        <f>IF(A56="","",VLOOKUP(A56,'Job Operations'!A:G,7,FALSE))</f>
        <v/>
      </c>
      <c r="G56" s="147" t="str">
        <f>IF(A56="","",VLOOKUP(A56,'Job Operations'!A:I,9,FALSE))</f>
        <v/>
      </c>
      <c r="H56" s="146" t="str">
        <f>IF(A56="","",VLOOKUP(A56,'Job Operations'!A:L,12,FALSE))</f>
        <v/>
      </c>
      <c r="I56" s="146" t="str">
        <f t="shared" si="2"/>
        <v/>
      </c>
      <c r="J56" s="147" t="str">
        <f>IF(A56="","",IFERROR(IF(VLOOKUP(A56,'Job Operations'!A:M,13,FALSE)="Cidan",VLOOKUP(A56,'Job Operations'!A:N,14,FALSE),IF(VLOOKUP(A56,'Job Operations'!A:O,15,FALSE)="Cidan",VLOOKUP(A56,'Job Operations'!A:P,16,FALSE),IF(VLOOKUP(A56,'Job Operations'!A:Q,17,FALSE)="Cidan",VLOOKUP(A56,'Job Operations'!A:R,18,FALSE),""))),""))</f>
        <v/>
      </c>
      <c r="K56" s="146" t="str">
        <f>IF(A56="","",IFERROR(IF(VLOOKUP(A56,'Job Operations'!A:M,13,FALSE)="Cidan",VLOOKUP(A56,'Job Operations'!A:O,15,FALSE),IF(VLOOKUP(A56,'Job Operations'!A:O,15,FALSE)="Cidan",VLOOKUP(A56,'Job Operations'!A:Q,17,FALSE),"")),""))</f>
        <v/>
      </c>
      <c r="L56" s="146" t="str">
        <f>IF(A56="","",IFERROR(IF(VLOOKUP(A56,'Job Operations'!A:M,13,FALSE)="Cidan",VLOOKUP(A56,'Job Operations'!A:Q,17,FALSE),IF(VLOOKUP(A56,'Job Operations'!A:O,15,FALSE)="Cidan",VLOOKUP(A56,'Job Operations'!A:S,19,FALSE),"")),""))</f>
        <v/>
      </c>
      <c r="M56" s="148" t="str">
        <f>IF(A56="","",IFERROR(IF(VLOOKUP(A56,Notes!A:B,2,FALSE)=0,"",VLOOKUP(A56,Notes!A:B,2,FALSE)),""))</f>
        <v/>
      </c>
    </row>
    <row r="57" spans="1:13" s="140" customFormat="1" x14ac:dyDescent="0.25">
      <c r="A57" s="149"/>
      <c r="B57" s="150" t="str">
        <f>IF(A57="","",VLOOKUP(A57,'Job Operations'!A:B,2,FALSE))</f>
        <v/>
      </c>
      <c r="C57" s="150" t="str">
        <f>IF(A57="","",VLOOKUP(A57,'Job Operations'!A:C,3,FALSE))</f>
        <v/>
      </c>
      <c r="D57" s="150" t="str">
        <f>IF(A57="","",VLOOKUP(A57,'Job Operations'!A:E,5,FALSE))</f>
        <v/>
      </c>
      <c r="E57" s="150" t="str">
        <f>IF(A57="","",VLOOKUP(A57,'Job Operations'!A:F,6,FALSE))</f>
        <v/>
      </c>
      <c r="F57" s="150" t="str">
        <f>IF(A57="","",VLOOKUP(A57,'Job Operations'!A:G,7,FALSE))</f>
        <v/>
      </c>
      <c r="G57" s="151" t="str">
        <f>IF(A57="","",VLOOKUP(A57,'Job Operations'!A:I,9,FALSE))</f>
        <v/>
      </c>
      <c r="H57" s="150" t="str">
        <f>IF(A57="","",VLOOKUP(A57,'Job Operations'!A:L,12,FALSE))</f>
        <v/>
      </c>
      <c r="I57" s="150" t="str">
        <f t="shared" si="2"/>
        <v/>
      </c>
      <c r="J57" s="151" t="str">
        <f>IF(A57="","",IFERROR(IF(VLOOKUP(A57,'Job Operations'!A:M,13,FALSE)="Cidan",VLOOKUP(A57,'Job Operations'!A:N,14,FALSE),IF(VLOOKUP(A57,'Job Operations'!A:O,15,FALSE)="Cidan",VLOOKUP(A57,'Job Operations'!A:P,16,FALSE),IF(VLOOKUP(A57,'Job Operations'!A:Q,17,FALSE)="Cidan",VLOOKUP(A57,'Job Operations'!A:R,18,FALSE),""))),""))</f>
        <v/>
      </c>
      <c r="K57" s="150" t="str">
        <f>IF(A57="","",IFERROR(IF(VLOOKUP(A57,'Job Operations'!A:M,13,FALSE)="Cidan",VLOOKUP(A57,'Job Operations'!A:O,15,FALSE),IF(VLOOKUP(A57,'Job Operations'!A:O,15,FALSE)="Cidan",VLOOKUP(A57,'Job Operations'!A:Q,17,FALSE),"")),""))</f>
        <v/>
      </c>
      <c r="L57" s="150" t="str">
        <f>IF(A57="","",IFERROR(IF(VLOOKUP(A57,'Job Operations'!A:M,13,FALSE)="Cidan",VLOOKUP(A57,'Job Operations'!A:Q,17,FALSE),IF(VLOOKUP(A57,'Job Operations'!A:O,15,FALSE)="Cidan",VLOOKUP(A57,'Job Operations'!A:S,19,FALSE),"")),""))</f>
        <v/>
      </c>
      <c r="M57" s="152" t="str">
        <f>IF(A57="","",IFERROR(IF(VLOOKUP(A57,Notes!A:B,2,FALSE)=0,"",VLOOKUP(A57,Notes!A:B,2,FALSE)),""))</f>
        <v/>
      </c>
    </row>
    <row r="58" spans="1:13" s="140" customFormat="1" x14ac:dyDescent="0.25">
      <c r="A58" s="145"/>
      <c r="B58" s="146" t="str">
        <f>IF(A58="","",VLOOKUP(A58,'Job Operations'!A:B,2,FALSE))</f>
        <v/>
      </c>
      <c r="C58" s="146" t="str">
        <f>IF(A58="","",VLOOKUP(A58,'Job Operations'!A:C,3,FALSE))</f>
        <v/>
      </c>
      <c r="D58" s="146" t="str">
        <f>IF(A58="","",VLOOKUP(A58,'Job Operations'!A:E,5,FALSE))</f>
        <v/>
      </c>
      <c r="E58" s="146" t="str">
        <f>IF(A58="","",VLOOKUP(A58,'Job Operations'!A:F,6,FALSE))</f>
        <v/>
      </c>
      <c r="F58" s="146" t="str">
        <f>IF(A58="","",VLOOKUP(A58,'Job Operations'!A:G,7,FALSE))</f>
        <v/>
      </c>
      <c r="G58" s="147" t="str">
        <f>IF(A58="","",VLOOKUP(A58,'Job Operations'!A:I,9,FALSE))</f>
        <v/>
      </c>
      <c r="H58" s="146" t="str">
        <f>IF(A58="","",VLOOKUP(A58,'Job Operations'!A:L,12,FALSE))</f>
        <v/>
      </c>
      <c r="I58" s="146" t="str">
        <f t="shared" si="2"/>
        <v/>
      </c>
      <c r="J58" s="147" t="str">
        <f>IF(A58="","",IFERROR(IF(VLOOKUP(A58,'Job Operations'!A:M,13,FALSE)="Cidan",VLOOKUP(A58,'Job Operations'!A:N,14,FALSE),IF(VLOOKUP(A58,'Job Operations'!A:O,15,FALSE)="Cidan",VLOOKUP(A58,'Job Operations'!A:P,16,FALSE),IF(VLOOKUP(A58,'Job Operations'!A:Q,17,FALSE)="Cidan",VLOOKUP(A58,'Job Operations'!A:R,18,FALSE),""))),""))</f>
        <v/>
      </c>
      <c r="K58" s="146" t="str">
        <f>IF(A58="","",IFERROR(IF(VLOOKUP(A58,'Job Operations'!A:M,13,FALSE)="Cidan",VLOOKUP(A58,'Job Operations'!A:O,15,FALSE),IF(VLOOKUP(A58,'Job Operations'!A:O,15,FALSE)="Cidan",VLOOKUP(A58,'Job Operations'!A:Q,17,FALSE),"")),""))</f>
        <v/>
      </c>
      <c r="L58" s="146" t="str">
        <f>IF(A58="","",IFERROR(IF(VLOOKUP(A58,'Job Operations'!A:M,13,FALSE)="Cidan",VLOOKUP(A58,'Job Operations'!A:Q,17,FALSE),IF(VLOOKUP(A58,'Job Operations'!A:O,15,FALSE)="Cidan",VLOOKUP(A58,'Job Operations'!A:S,19,FALSE),"")),""))</f>
        <v/>
      </c>
      <c r="M58" s="148" t="str">
        <f>IF(A58="","",IFERROR(IF(VLOOKUP(A58,Notes!A:B,2,FALSE)=0,"",VLOOKUP(A58,Notes!A:B,2,FALSE)),""))</f>
        <v/>
      </c>
    </row>
    <row r="59" spans="1:13" s="140" customFormat="1" x14ac:dyDescent="0.25">
      <c r="A59" s="149"/>
      <c r="B59" s="150" t="str">
        <f>IF(A59="","",VLOOKUP(A59,'Job Operations'!A:B,2,FALSE))</f>
        <v/>
      </c>
      <c r="C59" s="150" t="str">
        <f>IF(A59="","",VLOOKUP(A59,'Job Operations'!A:C,3,FALSE))</f>
        <v/>
      </c>
      <c r="D59" s="150" t="str">
        <f>IF(A59="","",VLOOKUP(A59,'Job Operations'!A:E,5,FALSE))</f>
        <v/>
      </c>
      <c r="E59" s="150" t="str">
        <f>IF(A59="","",VLOOKUP(A59,'Job Operations'!A:F,6,FALSE))</f>
        <v/>
      </c>
      <c r="F59" s="150" t="str">
        <f>IF(A59="","",VLOOKUP(A59,'Job Operations'!A:G,7,FALSE))</f>
        <v/>
      </c>
      <c r="G59" s="151" t="str">
        <f>IF(A59="","",VLOOKUP(A59,'Job Operations'!A:I,9,FALSE))</f>
        <v/>
      </c>
      <c r="H59" s="150" t="str">
        <f>IF(A59="","",VLOOKUP(A59,'Job Operations'!A:L,12,FALSE))</f>
        <v/>
      </c>
      <c r="I59" s="150" t="str">
        <f t="shared" si="2"/>
        <v/>
      </c>
      <c r="J59" s="151" t="str">
        <f>IF(A59="","",IFERROR(IF(VLOOKUP(A59,'Job Operations'!A:M,13,FALSE)="Cidan",VLOOKUP(A59,'Job Operations'!A:N,14,FALSE),IF(VLOOKUP(A59,'Job Operations'!A:O,15,FALSE)="Cidan",VLOOKUP(A59,'Job Operations'!A:P,16,FALSE),IF(VLOOKUP(A59,'Job Operations'!A:Q,17,FALSE)="Cidan",VLOOKUP(A59,'Job Operations'!A:R,18,FALSE),""))),""))</f>
        <v/>
      </c>
      <c r="K59" s="150" t="str">
        <f>IF(A59="","",IFERROR(IF(VLOOKUP(A59,'Job Operations'!A:M,13,FALSE)="Cidan",VLOOKUP(A59,'Job Operations'!A:O,15,FALSE),IF(VLOOKUP(A59,'Job Operations'!A:O,15,FALSE)="Cidan",VLOOKUP(A59,'Job Operations'!A:Q,17,FALSE),"")),""))</f>
        <v/>
      </c>
      <c r="L59" s="150" t="str">
        <f>IF(A59="","",IFERROR(IF(VLOOKUP(A59,'Job Operations'!A:M,13,FALSE)="Cidan",VLOOKUP(A59,'Job Operations'!A:Q,17,FALSE),IF(VLOOKUP(A59,'Job Operations'!A:O,15,FALSE)="Cidan",VLOOKUP(A59,'Job Operations'!A:S,19,FALSE),"")),""))</f>
        <v/>
      </c>
      <c r="M59" s="152" t="str">
        <f>IF(A59="","",IFERROR(IF(VLOOKUP(A59,Notes!A:B,2,FALSE)=0,"",VLOOKUP(A59,Notes!A:B,2,FALSE)),""))</f>
        <v/>
      </c>
    </row>
    <row r="60" spans="1:13" s="140" customFormat="1" x14ac:dyDescent="0.25">
      <c r="A60" s="145"/>
      <c r="B60" s="146" t="str">
        <f>IF(A60="","",VLOOKUP(A60,'Job Operations'!A:B,2,FALSE))</f>
        <v/>
      </c>
      <c r="C60" s="146" t="str">
        <f>IF(A60="","",VLOOKUP(A60,'Job Operations'!A:C,3,FALSE))</f>
        <v/>
      </c>
      <c r="D60" s="146" t="str">
        <f>IF(A60="","",VLOOKUP(A60,'Job Operations'!A:E,5,FALSE))</f>
        <v/>
      </c>
      <c r="E60" s="146" t="str">
        <f>IF(A60="","",VLOOKUP(A60,'Job Operations'!A:F,6,FALSE))</f>
        <v/>
      </c>
      <c r="F60" s="146" t="str">
        <f>IF(A60="","",VLOOKUP(A60,'Job Operations'!A:G,7,FALSE))</f>
        <v/>
      </c>
      <c r="G60" s="147" t="str">
        <f>IF(A60="","",VLOOKUP(A60,'Job Operations'!A:I,9,FALSE))</f>
        <v/>
      </c>
      <c r="H60" s="146" t="str">
        <f>IF(A60="","",VLOOKUP(A60,'Job Operations'!A:L,12,FALSE))</f>
        <v/>
      </c>
      <c r="I60" s="146" t="str">
        <f t="shared" si="2"/>
        <v/>
      </c>
      <c r="J60" s="147" t="str">
        <f>IF(A60="","",IFERROR(IF(VLOOKUP(A60,'Job Operations'!A:M,13,FALSE)="Cidan",VLOOKUP(A60,'Job Operations'!A:N,14,FALSE),IF(VLOOKUP(A60,'Job Operations'!A:O,15,FALSE)="Cidan",VLOOKUP(A60,'Job Operations'!A:P,16,FALSE),IF(VLOOKUP(A60,'Job Operations'!A:Q,17,FALSE)="Cidan",VLOOKUP(A60,'Job Operations'!A:R,18,FALSE),""))),""))</f>
        <v/>
      </c>
      <c r="K60" s="146" t="str">
        <f>IF(A60="","",IFERROR(IF(VLOOKUP(A60,'Job Operations'!A:M,13,FALSE)="Cidan",VLOOKUP(A60,'Job Operations'!A:O,15,FALSE),IF(VLOOKUP(A60,'Job Operations'!A:O,15,FALSE)="Cidan",VLOOKUP(A60,'Job Operations'!A:Q,17,FALSE),"")),""))</f>
        <v/>
      </c>
      <c r="L60" s="146" t="str">
        <f>IF(A60="","",IFERROR(IF(VLOOKUP(A60,'Job Operations'!A:M,13,FALSE)="Cidan",VLOOKUP(A60,'Job Operations'!A:Q,17,FALSE),IF(VLOOKUP(A60,'Job Operations'!A:O,15,FALSE)="Cidan",VLOOKUP(A60,'Job Operations'!A:S,19,FALSE),"")),""))</f>
        <v/>
      </c>
      <c r="M60" s="148" t="str">
        <f>IF(A60="","",IFERROR(IF(VLOOKUP(A60,Notes!A:B,2,FALSE)=0,"",VLOOKUP(A60,Notes!A:B,2,FALSE)),""))</f>
        <v/>
      </c>
    </row>
    <row r="61" spans="1:13" s="140" customFormat="1" x14ac:dyDescent="0.25">
      <c r="A61" s="149"/>
      <c r="B61" s="150" t="str">
        <f>IF(A61="","",VLOOKUP(A61,'Job Operations'!A:B,2,FALSE))</f>
        <v/>
      </c>
      <c r="C61" s="150" t="str">
        <f>IF(A61="","",VLOOKUP(A61,'Job Operations'!A:C,3,FALSE))</f>
        <v/>
      </c>
      <c r="D61" s="150" t="str">
        <f>IF(A61="","",VLOOKUP(A61,'Job Operations'!A:E,5,FALSE))</f>
        <v/>
      </c>
      <c r="E61" s="150" t="str">
        <f>IF(A61="","",VLOOKUP(A61,'Job Operations'!A:F,6,FALSE))</f>
        <v/>
      </c>
      <c r="F61" s="150" t="str">
        <f>IF(A61="","",VLOOKUP(A61,'Job Operations'!A:G,7,FALSE))</f>
        <v/>
      </c>
      <c r="G61" s="151" t="str">
        <f>IF(A61="","",VLOOKUP(A61,'Job Operations'!A:I,9,FALSE))</f>
        <v/>
      </c>
      <c r="H61" s="150" t="str">
        <f>IF(A61="","",VLOOKUP(A61,'Job Operations'!A:L,12,FALSE))</f>
        <v/>
      </c>
      <c r="I61" s="150" t="str">
        <f t="shared" si="2"/>
        <v/>
      </c>
      <c r="J61" s="151" t="str">
        <f>IF(A61="","",IFERROR(IF(VLOOKUP(A61,'Job Operations'!A:M,13,FALSE)="Cidan",VLOOKUP(A61,'Job Operations'!A:N,14,FALSE),IF(VLOOKUP(A61,'Job Operations'!A:O,15,FALSE)="Cidan",VLOOKUP(A61,'Job Operations'!A:P,16,FALSE),IF(VLOOKUP(A61,'Job Operations'!A:Q,17,FALSE)="Cidan",VLOOKUP(A61,'Job Operations'!A:R,18,FALSE),""))),""))</f>
        <v/>
      </c>
      <c r="K61" s="150" t="str">
        <f>IF(A61="","",IFERROR(IF(VLOOKUP(A61,'Job Operations'!A:M,13,FALSE)="Cidan",VLOOKUP(A61,'Job Operations'!A:O,15,FALSE),IF(VLOOKUP(A61,'Job Operations'!A:O,15,FALSE)="Cidan",VLOOKUP(A61,'Job Operations'!A:Q,17,FALSE),"")),""))</f>
        <v/>
      </c>
      <c r="L61" s="150" t="str">
        <f>IF(A61="","",IFERROR(IF(VLOOKUP(A61,'Job Operations'!A:M,13,FALSE)="Cidan",VLOOKUP(A61,'Job Operations'!A:Q,17,FALSE),IF(VLOOKUP(A61,'Job Operations'!A:O,15,FALSE)="Cidan",VLOOKUP(A61,'Job Operations'!A:S,19,FALSE),"")),""))</f>
        <v/>
      </c>
      <c r="M61" s="152" t="str">
        <f>IF(A61="","",IFERROR(IF(VLOOKUP(A61,Notes!A:B,2,FALSE)=0,"",VLOOKUP(A61,Notes!A:B,2,FALSE)),""))</f>
        <v/>
      </c>
    </row>
    <row r="62" spans="1:13" s="140" customFormat="1" x14ac:dyDescent="0.25">
      <c r="A62" s="145"/>
      <c r="B62" s="146" t="str">
        <f>IF(A62="","",VLOOKUP(A62,'Job Operations'!A:B,2,FALSE))</f>
        <v/>
      </c>
      <c r="C62" s="146" t="str">
        <f>IF(A62="","",VLOOKUP(A62,'Job Operations'!A:C,3,FALSE))</f>
        <v/>
      </c>
      <c r="D62" s="146" t="str">
        <f>IF(A62="","",VLOOKUP(A62,'Job Operations'!A:E,5,FALSE))</f>
        <v/>
      </c>
      <c r="E62" s="146" t="str">
        <f>IF(A62="","",VLOOKUP(A62,'Job Operations'!A:F,6,FALSE))</f>
        <v/>
      </c>
      <c r="F62" s="146" t="str">
        <f>IF(A62="","",VLOOKUP(A62,'Job Operations'!A:G,7,FALSE))</f>
        <v/>
      </c>
      <c r="G62" s="147" t="str">
        <f>IF(A62="","",VLOOKUP(A62,'Job Operations'!A:I,9,FALSE))</f>
        <v/>
      </c>
      <c r="H62" s="146" t="str">
        <f>IF(A62="","",VLOOKUP(A62,'Job Operations'!A:L,12,FALSE))</f>
        <v/>
      </c>
      <c r="I62" s="146" t="str">
        <f t="shared" si="2"/>
        <v/>
      </c>
      <c r="J62" s="147" t="str">
        <f>IF(A62="","",IFERROR(IF(VLOOKUP(A62,'Job Operations'!A:M,13,FALSE)="Cidan",VLOOKUP(A62,'Job Operations'!A:N,14,FALSE),IF(VLOOKUP(A62,'Job Operations'!A:O,15,FALSE)="Cidan",VLOOKUP(A62,'Job Operations'!A:P,16,FALSE),IF(VLOOKUP(A62,'Job Operations'!A:Q,17,FALSE)="Cidan",VLOOKUP(A62,'Job Operations'!A:R,18,FALSE),""))),""))</f>
        <v/>
      </c>
      <c r="K62" s="146" t="str">
        <f>IF(A62="","",IFERROR(IF(VLOOKUP(A62,'Job Operations'!A:M,13,FALSE)="Cidan",VLOOKUP(A62,'Job Operations'!A:O,15,FALSE),IF(VLOOKUP(A62,'Job Operations'!A:O,15,FALSE)="Cidan",VLOOKUP(A62,'Job Operations'!A:Q,17,FALSE),"")),""))</f>
        <v/>
      </c>
      <c r="L62" s="146" t="str">
        <f>IF(A62="","",IFERROR(IF(VLOOKUP(A62,'Job Operations'!A:M,13,FALSE)="Cidan",VLOOKUP(A62,'Job Operations'!A:Q,17,FALSE),IF(VLOOKUP(A62,'Job Operations'!A:O,15,FALSE)="Cidan",VLOOKUP(A62,'Job Operations'!A:S,19,FALSE),"")),""))</f>
        <v/>
      </c>
      <c r="M62" s="148" t="str">
        <f>IF(A62="","",IFERROR(IF(VLOOKUP(A62,Notes!A:B,2,FALSE)=0,"",VLOOKUP(A62,Notes!A:B,2,FALSE)),""))</f>
        <v/>
      </c>
    </row>
    <row r="63" spans="1:13" s="140" customFormat="1" x14ac:dyDescent="0.25">
      <c r="A63" s="149"/>
      <c r="B63" s="150" t="str">
        <f>IF(A63="","",VLOOKUP(A63,'Job Operations'!A:B,2,FALSE))</f>
        <v/>
      </c>
      <c r="C63" s="150" t="str">
        <f>IF(A63="","",VLOOKUP(A63,'Job Operations'!A:C,3,FALSE))</f>
        <v/>
      </c>
      <c r="D63" s="150" t="str">
        <f>IF(A63="","",VLOOKUP(A63,'Job Operations'!A:E,5,FALSE))</f>
        <v/>
      </c>
      <c r="E63" s="150" t="str">
        <f>IF(A63="","",VLOOKUP(A63,'Job Operations'!A:F,6,FALSE))</f>
        <v/>
      </c>
      <c r="F63" s="150" t="str">
        <f>IF(A63="","",VLOOKUP(A63,'Job Operations'!A:G,7,FALSE))</f>
        <v/>
      </c>
      <c r="G63" s="151" t="str">
        <f>IF(A63="","",VLOOKUP(A63,'Job Operations'!A:I,9,FALSE))</f>
        <v/>
      </c>
      <c r="H63" s="150" t="str">
        <f>IF(A63="","",VLOOKUP(A63,'Job Operations'!A:L,12,FALSE))</f>
        <v/>
      </c>
      <c r="I63" s="150" t="str">
        <f t="shared" si="2"/>
        <v/>
      </c>
      <c r="J63" s="151" t="str">
        <f>IF(A63="","",IFERROR(IF(VLOOKUP(A63,'Job Operations'!A:M,13,FALSE)="Cidan",VLOOKUP(A63,'Job Operations'!A:N,14,FALSE),IF(VLOOKUP(A63,'Job Operations'!A:O,15,FALSE)="Cidan",VLOOKUP(A63,'Job Operations'!A:P,16,FALSE),IF(VLOOKUP(A63,'Job Operations'!A:Q,17,FALSE)="Cidan",VLOOKUP(A63,'Job Operations'!A:R,18,FALSE),""))),""))</f>
        <v/>
      </c>
      <c r="K63" s="150" t="str">
        <f>IF(A63="","",IFERROR(IF(VLOOKUP(A63,'Job Operations'!A:M,13,FALSE)="Cidan",VLOOKUP(A63,'Job Operations'!A:O,15,FALSE),IF(VLOOKUP(A63,'Job Operations'!A:O,15,FALSE)="Cidan",VLOOKUP(A63,'Job Operations'!A:Q,17,FALSE),"")),""))</f>
        <v/>
      </c>
      <c r="L63" s="150" t="str">
        <f>IF(A63="","",IFERROR(IF(VLOOKUP(A63,'Job Operations'!A:M,13,FALSE)="Cidan",VLOOKUP(A63,'Job Operations'!A:Q,17,FALSE),IF(VLOOKUP(A63,'Job Operations'!A:O,15,FALSE)="Cidan",VLOOKUP(A63,'Job Operations'!A:S,19,FALSE),"")),""))</f>
        <v/>
      </c>
      <c r="M63" s="152" t="str">
        <f>IF(A63="","",IFERROR(IF(VLOOKUP(A63,Notes!A:B,2,FALSE)=0,"",VLOOKUP(A63,Notes!A:B,2,FALSE)),""))</f>
        <v/>
      </c>
    </row>
    <row r="64" spans="1:13" s="140" customFormat="1" x14ac:dyDescent="0.25">
      <c r="A64" s="145"/>
      <c r="B64" s="146" t="str">
        <f>IF(A64="","",VLOOKUP(A64,'Job Operations'!A:B,2,FALSE))</f>
        <v/>
      </c>
      <c r="C64" s="146" t="str">
        <f>IF(A64="","",VLOOKUP(A64,'Job Operations'!A:C,3,FALSE))</f>
        <v/>
      </c>
      <c r="D64" s="146" t="str">
        <f>IF(A64="","",VLOOKUP(A64,'Job Operations'!A:E,5,FALSE))</f>
        <v/>
      </c>
      <c r="E64" s="146" t="str">
        <f>IF(A64="","",VLOOKUP(A64,'Job Operations'!A:F,6,FALSE))</f>
        <v/>
      </c>
      <c r="F64" s="146" t="str">
        <f>IF(A64="","",VLOOKUP(A64,'Job Operations'!A:G,7,FALSE))</f>
        <v/>
      </c>
      <c r="G64" s="147" t="str">
        <f>IF(A64="","",VLOOKUP(A64,'Job Operations'!A:I,9,FALSE))</f>
        <v/>
      </c>
      <c r="H64" s="146" t="str">
        <f>IF(A64="","",VLOOKUP(A64,'Job Operations'!A:L,12,FALSE))</f>
        <v/>
      </c>
      <c r="I64" s="146" t="str">
        <f t="shared" si="2"/>
        <v/>
      </c>
      <c r="J64" s="147" t="str">
        <f>IF(A64="","",IFERROR(IF(VLOOKUP(A64,'Job Operations'!A:M,13,FALSE)="Cidan",VLOOKUP(A64,'Job Operations'!A:N,14,FALSE),IF(VLOOKUP(A64,'Job Operations'!A:O,15,FALSE)="Cidan",VLOOKUP(A64,'Job Operations'!A:P,16,FALSE),IF(VLOOKUP(A64,'Job Operations'!A:Q,17,FALSE)="Cidan",VLOOKUP(A64,'Job Operations'!A:R,18,FALSE),""))),""))</f>
        <v/>
      </c>
      <c r="K64" s="146" t="str">
        <f>IF(A64="","",IFERROR(IF(VLOOKUP(A64,'Job Operations'!A:M,13,FALSE)="Cidan",VLOOKUP(A64,'Job Operations'!A:O,15,FALSE),IF(VLOOKUP(A64,'Job Operations'!A:O,15,FALSE)="Cidan",VLOOKUP(A64,'Job Operations'!A:Q,17,FALSE),"")),""))</f>
        <v/>
      </c>
      <c r="L64" s="146" t="str">
        <f>IF(A64="","",IFERROR(IF(VLOOKUP(A64,'Job Operations'!A:M,13,FALSE)="Cidan",VLOOKUP(A64,'Job Operations'!A:Q,17,FALSE),IF(VLOOKUP(A64,'Job Operations'!A:O,15,FALSE)="Cidan",VLOOKUP(A64,'Job Operations'!A:S,19,FALSE),"")),""))</f>
        <v/>
      </c>
      <c r="M64" s="148" t="str">
        <f>IF(A64="","",IFERROR(IF(VLOOKUP(A64,Notes!A:B,2,FALSE)=0,"",VLOOKUP(A64,Notes!A:B,2,FALSE)),""))</f>
        <v/>
      </c>
    </row>
    <row r="65" spans="1:13" s="140" customFormat="1" x14ac:dyDescent="0.25">
      <c r="A65" s="149"/>
      <c r="B65" s="150" t="str">
        <f>IF(A65="","",VLOOKUP(A65,'Job Operations'!A:B,2,FALSE))</f>
        <v/>
      </c>
      <c r="C65" s="150" t="str">
        <f>IF(A65="","",VLOOKUP(A65,'Job Operations'!A:C,3,FALSE))</f>
        <v/>
      </c>
      <c r="D65" s="150" t="str">
        <f>IF(A65="","",VLOOKUP(A65,'Job Operations'!A:E,5,FALSE))</f>
        <v/>
      </c>
      <c r="E65" s="150" t="str">
        <f>IF(A65="","",VLOOKUP(A65,'Job Operations'!A:F,6,FALSE))</f>
        <v/>
      </c>
      <c r="F65" s="150" t="str">
        <f>IF(A65="","",VLOOKUP(A65,'Job Operations'!A:G,7,FALSE))</f>
        <v/>
      </c>
      <c r="G65" s="151" t="str">
        <f>IF(A65="","",VLOOKUP(A65,'Job Operations'!A:I,9,FALSE))</f>
        <v/>
      </c>
      <c r="H65" s="150" t="str">
        <f>IF(A65="","",VLOOKUP(A65,'Job Operations'!A:L,12,FALSE))</f>
        <v/>
      </c>
      <c r="I65" s="150" t="str">
        <f t="shared" si="2"/>
        <v/>
      </c>
      <c r="J65" s="151" t="str">
        <f>IF(A65="","",IFERROR(IF(VLOOKUP(A65,'Job Operations'!A:M,13,FALSE)="Cidan",VLOOKUP(A65,'Job Operations'!A:N,14,FALSE),IF(VLOOKUP(A65,'Job Operations'!A:O,15,FALSE)="Cidan",VLOOKUP(A65,'Job Operations'!A:P,16,FALSE),IF(VLOOKUP(A65,'Job Operations'!A:Q,17,FALSE)="Cidan",VLOOKUP(A65,'Job Operations'!A:R,18,FALSE),""))),""))</f>
        <v/>
      </c>
      <c r="K65" s="150" t="str">
        <f>IF(A65="","",IFERROR(IF(VLOOKUP(A65,'Job Operations'!A:M,13,FALSE)="Cidan",VLOOKUP(A65,'Job Operations'!A:O,15,FALSE),IF(VLOOKUP(A65,'Job Operations'!A:O,15,FALSE)="Cidan",VLOOKUP(A65,'Job Operations'!A:Q,17,FALSE),"")),""))</f>
        <v/>
      </c>
      <c r="L65" s="150" t="str">
        <f>IF(A65="","",IFERROR(IF(VLOOKUP(A65,'Job Operations'!A:M,13,FALSE)="Cidan",VLOOKUP(A65,'Job Operations'!A:Q,17,FALSE),IF(VLOOKUP(A65,'Job Operations'!A:O,15,FALSE)="Cidan",VLOOKUP(A65,'Job Operations'!A:S,19,FALSE),"")),""))</f>
        <v/>
      </c>
      <c r="M65" s="152" t="str">
        <f>IF(A65="","",IFERROR(IF(VLOOKUP(A65,Notes!A:B,2,FALSE)=0,"",VLOOKUP(A65,Notes!A:B,2,FALSE)),""))</f>
        <v/>
      </c>
    </row>
    <row r="66" spans="1:13" s="140" customFormat="1" x14ac:dyDescent="0.25">
      <c r="A66" s="145"/>
      <c r="B66" s="146" t="str">
        <f>IF(A66="","",VLOOKUP(A66,'Job Operations'!A:B,2,FALSE))</f>
        <v/>
      </c>
      <c r="C66" s="146" t="str">
        <f>IF(A66="","",VLOOKUP(A66,'Job Operations'!A:C,3,FALSE))</f>
        <v/>
      </c>
      <c r="D66" s="146" t="str">
        <f>IF(A66="","",VLOOKUP(A66,'Job Operations'!A:E,5,FALSE))</f>
        <v/>
      </c>
      <c r="E66" s="146" t="str">
        <f>IF(A66="","",VLOOKUP(A66,'Job Operations'!A:F,6,FALSE))</f>
        <v/>
      </c>
      <c r="F66" s="146" t="str">
        <f>IF(A66="","",VLOOKUP(A66,'Job Operations'!A:G,7,FALSE))</f>
        <v/>
      </c>
      <c r="G66" s="147" t="str">
        <f>IF(A66="","",VLOOKUP(A66,'Job Operations'!A:I,9,FALSE))</f>
        <v/>
      </c>
      <c r="H66" s="146" t="str">
        <f>IF(A66="","",VLOOKUP(A66,'Job Operations'!A:L,12,FALSE))</f>
        <v/>
      </c>
      <c r="I66" s="146" t="str">
        <f t="shared" si="2"/>
        <v/>
      </c>
      <c r="J66" s="147" t="str">
        <f>IF(A66="","",IFERROR(IF(VLOOKUP(A66,'Job Operations'!A:M,13,FALSE)="Cidan",VLOOKUP(A66,'Job Operations'!A:N,14,FALSE),IF(VLOOKUP(A66,'Job Operations'!A:O,15,FALSE)="Cidan",VLOOKUP(A66,'Job Operations'!A:P,16,FALSE),IF(VLOOKUP(A66,'Job Operations'!A:Q,17,FALSE)="Cidan",VLOOKUP(A66,'Job Operations'!A:R,18,FALSE),""))),""))</f>
        <v/>
      </c>
      <c r="K66" s="146" t="str">
        <f>IF(A66="","",IFERROR(IF(VLOOKUP(A66,'Job Operations'!A:M,13,FALSE)="Cidan",VLOOKUP(A66,'Job Operations'!A:O,15,FALSE),IF(VLOOKUP(A66,'Job Operations'!A:O,15,FALSE)="Cidan",VLOOKUP(A66,'Job Operations'!A:Q,17,FALSE),"")),""))</f>
        <v/>
      </c>
      <c r="L66" s="146" t="str">
        <f>IF(A66="","",IFERROR(IF(VLOOKUP(A66,'Job Operations'!A:M,13,FALSE)="Cidan",VLOOKUP(A66,'Job Operations'!A:Q,17,FALSE),IF(VLOOKUP(A66,'Job Operations'!A:O,15,FALSE)="Cidan",VLOOKUP(A66,'Job Operations'!A:S,19,FALSE),"")),""))</f>
        <v/>
      </c>
      <c r="M66" s="148" t="str">
        <f>IF(A66="","",IFERROR(IF(VLOOKUP(A66,Notes!A:B,2,FALSE)=0,"",VLOOKUP(A66,Notes!A:B,2,FALSE)),""))</f>
        <v/>
      </c>
    </row>
    <row r="67" spans="1:13" s="140" customFormat="1" x14ac:dyDescent="0.25">
      <c r="A67" s="149"/>
      <c r="B67" s="150" t="str">
        <f>IF(A67="","",VLOOKUP(A67,'Job Operations'!A:B,2,FALSE))</f>
        <v/>
      </c>
      <c r="C67" s="150" t="str">
        <f>IF(A67="","",VLOOKUP(A67,'Job Operations'!A:C,3,FALSE))</f>
        <v/>
      </c>
      <c r="D67" s="150" t="str">
        <f>IF(A67="","",VLOOKUP(A67,'Job Operations'!A:E,5,FALSE))</f>
        <v/>
      </c>
      <c r="E67" s="150" t="str">
        <f>IF(A67="","",VLOOKUP(A67,'Job Operations'!A:F,6,FALSE))</f>
        <v/>
      </c>
      <c r="F67" s="150" t="str">
        <f>IF(A67="","",VLOOKUP(A67,'Job Operations'!A:G,7,FALSE))</f>
        <v/>
      </c>
      <c r="G67" s="151" t="str">
        <f>IF(A67="","",VLOOKUP(A67,'Job Operations'!A:I,9,FALSE))</f>
        <v/>
      </c>
      <c r="H67" s="150" t="str">
        <f>IF(A67="","",VLOOKUP(A67,'Job Operations'!A:L,12,FALSE))</f>
        <v/>
      </c>
      <c r="I67" s="150" t="str">
        <f t="shared" si="2"/>
        <v/>
      </c>
      <c r="J67" s="151" t="str">
        <f>IF(A67="","",IFERROR(IF(VLOOKUP(A67,'Job Operations'!A:M,13,FALSE)="Cidan",VLOOKUP(A67,'Job Operations'!A:N,14,FALSE),IF(VLOOKUP(A67,'Job Operations'!A:O,15,FALSE)="Cidan",VLOOKUP(A67,'Job Operations'!A:P,16,FALSE),IF(VLOOKUP(A67,'Job Operations'!A:Q,17,FALSE)="Cidan",VLOOKUP(A67,'Job Operations'!A:R,18,FALSE),""))),""))</f>
        <v/>
      </c>
      <c r="K67" s="150" t="str">
        <f>IF(A67="","",IFERROR(IF(VLOOKUP(A67,'Job Operations'!A:M,13,FALSE)="Cidan",VLOOKUP(A67,'Job Operations'!A:O,15,FALSE),IF(VLOOKUP(A67,'Job Operations'!A:O,15,FALSE)="Cidan",VLOOKUP(A67,'Job Operations'!A:Q,17,FALSE),"")),""))</f>
        <v/>
      </c>
      <c r="L67" s="150" t="str">
        <f>IF(A67="","",IFERROR(IF(VLOOKUP(A67,'Job Operations'!A:M,13,FALSE)="Cidan",VLOOKUP(A67,'Job Operations'!A:Q,17,FALSE),IF(VLOOKUP(A67,'Job Operations'!A:O,15,FALSE)="Cidan",VLOOKUP(A67,'Job Operations'!A:S,19,FALSE),"")),""))</f>
        <v/>
      </c>
      <c r="M67" s="152" t="str">
        <f>IF(A67="","",IFERROR(IF(VLOOKUP(A67,Notes!A:B,2,FALSE)=0,"",VLOOKUP(A67,Notes!A:B,2,FALSE)),""))</f>
        <v/>
      </c>
    </row>
    <row r="68" spans="1:13" s="140" customFormat="1" x14ac:dyDescent="0.25">
      <c r="A68" s="145"/>
      <c r="B68" s="146" t="str">
        <f>IF(A68="","",VLOOKUP(A68,'Job Operations'!A:B,2,FALSE))</f>
        <v/>
      </c>
      <c r="C68" s="146" t="str">
        <f>IF(A68="","",VLOOKUP(A68,'Job Operations'!A:C,3,FALSE))</f>
        <v/>
      </c>
      <c r="D68" s="146" t="str">
        <f>IF(A68="","",VLOOKUP(A68,'Job Operations'!A:E,5,FALSE))</f>
        <v/>
      </c>
      <c r="E68" s="146" t="str">
        <f>IF(A68="","",VLOOKUP(A68,'Job Operations'!A:F,6,FALSE))</f>
        <v/>
      </c>
      <c r="F68" s="146" t="str">
        <f>IF(A68="","",VLOOKUP(A68,'Job Operations'!A:G,7,FALSE))</f>
        <v/>
      </c>
      <c r="G68" s="147" t="str">
        <f>IF(A68="","",VLOOKUP(A68,'Job Operations'!A:I,9,FALSE))</f>
        <v/>
      </c>
      <c r="H68" s="146" t="str">
        <f>IF(A68="","",VLOOKUP(A68,'Job Operations'!A:L,12,FALSE))</f>
        <v/>
      </c>
      <c r="I68" s="146" t="str">
        <f t="shared" si="2"/>
        <v/>
      </c>
      <c r="J68" s="147" t="str">
        <f>IF(A68="","",IFERROR(IF(VLOOKUP(A68,'Job Operations'!A:M,13,FALSE)="Cidan",VLOOKUP(A68,'Job Operations'!A:N,14,FALSE),IF(VLOOKUP(A68,'Job Operations'!A:O,15,FALSE)="Cidan",VLOOKUP(A68,'Job Operations'!A:P,16,FALSE),IF(VLOOKUP(A68,'Job Operations'!A:Q,17,FALSE)="Cidan",VLOOKUP(A68,'Job Operations'!A:R,18,FALSE),""))),""))</f>
        <v/>
      </c>
      <c r="K68" s="146" t="str">
        <f>IF(A68="","",IFERROR(IF(VLOOKUP(A68,'Job Operations'!A:M,13,FALSE)="Cidan",VLOOKUP(A68,'Job Operations'!A:O,15,FALSE),IF(VLOOKUP(A68,'Job Operations'!A:O,15,FALSE)="Cidan",VLOOKUP(A68,'Job Operations'!A:Q,17,FALSE),"")),""))</f>
        <v/>
      </c>
      <c r="L68" s="146" t="str">
        <f>IF(A68="","",IFERROR(IF(VLOOKUP(A68,'Job Operations'!A:M,13,FALSE)="Cidan",VLOOKUP(A68,'Job Operations'!A:Q,17,FALSE),IF(VLOOKUP(A68,'Job Operations'!A:O,15,FALSE)="Cidan",VLOOKUP(A68,'Job Operations'!A:S,19,FALSE),"")),""))</f>
        <v/>
      </c>
      <c r="M68" s="148" t="str">
        <f>IF(A68="","",IFERROR(IF(VLOOKUP(A68,Notes!A:B,2,FALSE)=0,"",VLOOKUP(A68,Notes!A:B,2,FALSE)),""))</f>
        <v/>
      </c>
    </row>
    <row r="69" spans="1:13" s="140" customFormat="1" x14ac:dyDescent="0.25">
      <c r="A69" s="149"/>
      <c r="B69" s="150" t="str">
        <f>IF(A69="","",VLOOKUP(A69,'Job Operations'!A:B,2,FALSE))</f>
        <v/>
      </c>
      <c r="C69" s="150" t="str">
        <f>IF(A69="","",VLOOKUP(A69,'Job Operations'!A:C,3,FALSE))</f>
        <v/>
      </c>
      <c r="D69" s="150" t="str">
        <f>IF(A69="","",VLOOKUP(A69,'Job Operations'!A:E,5,FALSE))</f>
        <v/>
      </c>
      <c r="E69" s="150" t="str">
        <f>IF(A69="","",VLOOKUP(A69,'Job Operations'!A:F,6,FALSE))</f>
        <v/>
      </c>
      <c r="F69" s="150" t="str">
        <f>IF(A69="","",VLOOKUP(A69,'Job Operations'!A:G,7,FALSE))</f>
        <v/>
      </c>
      <c r="G69" s="151" t="str">
        <f>IF(A69="","",VLOOKUP(A69,'Job Operations'!A:I,9,FALSE))</f>
        <v/>
      </c>
      <c r="H69" s="150" t="str">
        <f>IF(A69="","",VLOOKUP(A69,'Job Operations'!A:L,12,FALSE))</f>
        <v/>
      </c>
      <c r="I69" s="150" t="str">
        <f t="shared" si="2"/>
        <v/>
      </c>
      <c r="J69" s="151" t="str">
        <f>IF(A69="","",IFERROR(IF(VLOOKUP(A69,'Job Operations'!A:M,13,FALSE)="Cidan",VLOOKUP(A69,'Job Operations'!A:N,14,FALSE),IF(VLOOKUP(A69,'Job Operations'!A:O,15,FALSE)="Cidan",VLOOKUP(A69,'Job Operations'!A:P,16,FALSE),IF(VLOOKUP(A69,'Job Operations'!A:Q,17,FALSE)="Cidan",VLOOKUP(A69,'Job Operations'!A:R,18,FALSE),""))),""))</f>
        <v/>
      </c>
      <c r="K69" s="150" t="str">
        <f>IF(A69="","",IFERROR(IF(VLOOKUP(A69,'Job Operations'!A:M,13,FALSE)="Cidan",VLOOKUP(A69,'Job Operations'!A:O,15,FALSE),IF(VLOOKUP(A69,'Job Operations'!A:O,15,FALSE)="Cidan",VLOOKUP(A69,'Job Operations'!A:Q,17,FALSE),"")),""))</f>
        <v/>
      </c>
      <c r="L69" s="150" t="str">
        <f>IF(A69="","",IFERROR(IF(VLOOKUP(A69,'Job Operations'!A:M,13,FALSE)="Cidan",VLOOKUP(A69,'Job Operations'!A:Q,17,FALSE),IF(VLOOKUP(A69,'Job Operations'!A:O,15,FALSE)="Cidan",VLOOKUP(A69,'Job Operations'!A:S,19,FALSE),"")),""))</f>
        <v/>
      </c>
      <c r="M69" s="152" t="str">
        <f>IF(A69="","",IFERROR(IF(VLOOKUP(A69,Notes!A:B,2,FALSE)=0,"",VLOOKUP(A69,Notes!A:B,2,FALSE)),""))</f>
        <v/>
      </c>
    </row>
    <row r="70" spans="1:13" s="140" customFormat="1" x14ac:dyDescent="0.25">
      <c r="A70" s="145"/>
      <c r="B70" s="146" t="str">
        <f>IF(A70="","",VLOOKUP(A70,'Job Operations'!A:B,2,FALSE))</f>
        <v/>
      </c>
      <c r="C70" s="146" t="str">
        <f>IF(A70="","",VLOOKUP(A70,'Job Operations'!A:C,3,FALSE))</f>
        <v/>
      </c>
      <c r="D70" s="146" t="str">
        <f>IF(A70="","",VLOOKUP(A70,'Job Operations'!A:E,5,FALSE))</f>
        <v/>
      </c>
      <c r="E70" s="146" t="str">
        <f>IF(A70="","",VLOOKUP(A70,'Job Operations'!A:F,6,FALSE))</f>
        <v/>
      </c>
      <c r="F70" s="146" t="str">
        <f>IF(A70="","",VLOOKUP(A70,'Job Operations'!A:G,7,FALSE))</f>
        <v/>
      </c>
      <c r="G70" s="147" t="str">
        <f>IF(A70="","",VLOOKUP(A70,'Job Operations'!A:I,9,FALSE))</f>
        <v/>
      </c>
      <c r="H70" s="146" t="str">
        <f>IF(A70="","",VLOOKUP(A70,'Job Operations'!A:L,12,FALSE))</f>
        <v/>
      </c>
      <c r="I70" s="146" t="str">
        <f t="shared" si="2"/>
        <v/>
      </c>
      <c r="J70" s="147" t="str">
        <f>IF(A70="","",IFERROR(IF(VLOOKUP(A70,'Job Operations'!A:M,13,FALSE)="Cidan",VLOOKUP(A70,'Job Operations'!A:N,14,FALSE),IF(VLOOKUP(A70,'Job Operations'!A:O,15,FALSE)="Cidan",VLOOKUP(A70,'Job Operations'!A:P,16,FALSE),IF(VLOOKUP(A70,'Job Operations'!A:Q,17,FALSE)="Cidan",VLOOKUP(A70,'Job Operations'!A:R,18,FALSE),""))),""))</f>
        <v/>
      </c>
      <c r="K70" s="146" t="str">
        <f>IF(A70="","",IFERROR(IF(VLOOKUP(A70,'Job Operations'!A:M,13,FALSE)="Cidan",VLOOKUP(A70,'Job Operations'!A:O,15,FALSE),IF(VLOOKUP(A70,'Job Operations'!A:O,15,FALSE)="Cidan",VLOOKUP(A70,'Job Operations'!A:Q,17,FALSE),"")),""))</f>
        <v/>
      </c>
      <c r="L70" s="146" t="str">
        <f>IF(A70="","",IFERROR(IF(VLOOKUP(A70,'Job Operations'!A:M,13,FALSE)="Cidan",VLOOKUP(A70,'Job Operations'!A:Q,17,FALSE),IF(VLOOKUP(A70,'Job Operations'!A:O,15,FALSE)="Cidan",VLOOKUP(A70,'Job Operations'!A:S,19,FALSE),"")),""))</f>
        <v/>
      </c>
      <c r="M70" s="148" t="str">
        <f>IF(A70="","",IFERROR(IF(VLOOKUP(A70,Notes!A:B,2,FALSE)=0,"",VLOOKUP(A70,Notes!A:B,2,FALSE)),""))</f>
        <v/>
      </c>
    </row>
    <row r="71" spans="1:13" s="140" customFormat="1" x14ac:dyDescent="0.25">
      <c r="A71" s="149"/>
      <c r="B71" s="150" t="str">
        <f>IF(A71="","",VLOOKUP(A71,'Job Operations'!A:B,2,FALSE))</f>
        <v/>
      </c>
      <c r="C71" s="150" t="str">
        <f>IF(A71="","",VLOOKUP(A71,'Job Operations'!A:C,3,FALSE))</f>
        <v/>
      </c>
      <c r="D71" s="150" t="str">
        <f>IF(A71="","",VLOOKUP(A71,'Job Operations'!A:E,5,FALSE))</f>
        <v/>
      </c>
      <c r="E71" s="150" t="str">
        <f>IF(A71="","",VLOOKUP(A71,'Job Operations'!A:F,6,FALSE))</f>
        <v/>
      </c>
      <c r="F71" s="150" t="str">
        <f>IF(A71="","",VLOOKUP(A71,'Job Operations'!A:G,7,FALSE))</f>
        <v/>
      </c>
      <c r="G71" s="151" t="str">
        <f>IF(A71="","",VLOOKUP(A71,'Job Operations'!A:I,9,FALSE))</f>
        <v/>
      </c>
      <c r="H71" s="150" t="str">
        <f>IF(A71="","",VLOOKUP(A71,'Job Operations'!A:L,12,FALSE))</f>
        <v/>
      </c>
      <c r="I71" s="150" t="str">
        <f t="shared" ref="I71:I100" si="3">IF(A71="","",IF(H71="Cidan",IF(ROW()-6=1,"1st",IF(ROW()-6=2,"2nd",IF(ROW()-6=3,"3rd",TEXT(ROW()-6,"0")&amp;"th"))),"#"&amp;TEXT(ROW()-6,"0")&amp;" on Cidan"))</f>
        <v/>
      </c>
      <c r="J71" s="151" t="str">
        <f>IF(A71="","",IFERROR(IF(VLOOKUP(A71,'Job Operations'!A:M,13,FALSE)="Cidan",VLOOKUP(A71,'Job Operations'!A:N,14,FALSE),IF(VLOOKUP(A71,'Job Operations'!A:O,15,FALSE)="Cidan",VLOOKUP(A71,'Job Operations'!A:P,16,FALSE),IF(VLOOKUP(A71,'Job Operations'!A:Q,17,FALSE)="Cidan",VLOOKUP(A71,'Job Operations'!A:R,18,FALSE),""))),""))</f>
        <v/>
      </c>
      <c r="K71" s="150" t="str">
        <f>IF(A71="","",IFERROR(IF(VLOOKUP(A71,'Job Operations'!A:M,13,FALSE)="Cidan",VLOOKUP(A71,'Job Operations'!A:O,15,FALSE),IF(VLOOKUP(A71,'Job Operations'!A:O,15,FALSE)="Cidan",VLOOKUP(A71,'Job Operations'!A:Q,17,FALSE),"")),""))</f>
        <v/>
      </c>
      <c r="L71" s="150" t="str">
        <f>IF(A71="","",IFERROR(IF(VLOOKUP(A71,'Job Operations'!A:M,13,FALSE)="Cidan",VLOOKUP(A71,'Job Operations'!A:Q,17,FALSE),IF(VLOOKUP(A71,'Job Operations'!A:O,15,FALSE)="Cidan",VLOOKUP(A71,'Job Operations'!A:S,19,FALSE),"")),""))</f>
        <v/>
      </c>
      <c r="M71" s="152" t="str">
        <f>IF(A71="","",IFERROR(IF(VLOOKUP(A71,Notes!A:B,2,FALSE)=0,"",VLOOKUP(A71,Notes!A:B,2,FALSE)),""))</f>
        <v/>
      </c>
    </row>
    <row r="72" spans="1:13" s="140" customFormat="1" x14ac:dyDescent="0.25">
      <c r="A72" s="145"/>
      <c r="B72" s="146" t="str">
        <f>IF(A72="","",VLOOKUP(A72,'Job Operations'!A:B,2,FALSE))</f>
        <v/>
      </c>
      <c r="C72" s="146" t="str">
        <f>IF(A72="","",VLOOKUP(A72,'Job Operations'!A:C,3,FALSE))</f>
        <v/>
      </c>
      <c r="D72" s="146" t="str">
        <f>IF(A72="","",VLOOKUP(A72,'Job Operations'!A:E,5,FALSE))</f>
        <v/>
      </c>
      <c r="E72" s="146" t="str">
        <f>IF(A72="","",VLOOKUP(A72,'Job Operations'!A:F,6,FALSE))</f>
        <v/>
      </c>
      <c r="F72" s="146" t="str">
        <f>IF(A72="","",VLOOKUP(A72,'Job Operations'!A:G,7,FALSE))</f>
        <v/>
      </c>
      <c r="G72" s="147" t="str">
        <f>IF(A72="","",VLOOKUP(A72,'Job Operations'!A:I,9,FALSE))</f>
        <v/>
      </c>
      <c r="H72" s="146" t="str">
        <f>IF(A72="","",VLOOKUP(A72,'Job Operations'!A:L,12,FALSE))</f>
        <v/>
      </c>
      <c r="I72" s="146" t="str">
        <f t="shared" si="3"/>
        <v/>
      </c>
      <c r="J72" s="147" t="str">
        <f>IF(A72="","",IFERROR(IF(VLOOKUP(A72,'Job Operations'!A:M,13,FALSE)="Cidan",VLOOKUP(A72,'Job Operations'!A:N,14,FALSE),IF(VLOOKUP(A72,'Job Operations'!A:O,15,FALSE)="Cidan",VLOOKUP(A72,'Job Operations'!A:P,16,FALSE),IF(VLOOKUP(A72,'Job Operations'!A:Q,17,FALSE)="Cidan",VLOOKUP(A72,'Job Operations'!A:R,18,FALSE),""))),""))</f>
        <v/>
      </c>
      <c r="K72" s="146" t="str">
        <f>IF(A72="","",IFERROR(IF(VLOOKUP(A72,'Job Operations'!A:M,13,FALSE)="Cidan",VLOOKUP(A72,'Job Operations'!A:O,15,FALSE),IF(VLOOKUP(A72,'Job Operations'!A:O,15,FALSE)="Cidan",VLOOKUP(A72,'Job Operations'!A:Q,17,FALSE),"")),""))</f>
        <v/>
      </c>
      <c r="L72" s="146" t="str">
        <f>IF(A72="","",IFERROR(IF(VLOOKUP(A72,'Job Operations'!A:M,13,FALSE)="Cidan",VLOOKUP(A72,'Job Operations'!A:Q,17,FALSE),IF(VLOOKUP(A72,'Job Operations'!A:O,15,FALSE)="Cidan",VLOOKUP(A72,'Job Operations'!A:S,19,FALSE),"")),""))</f>
        <v/>
      </c>
      <c r="M72" s="148" t="str">
        <f>IF(A72="","",IFERROR(IF(VLOOKUP(A72,Notes!A:B,2,FALSE)=0,"",VLOOKUP(A72,Notes!A:B,2,FALSE)),""))</f>
        <v/>
      </c>
    </row>
    <row r="73" spans="1:13" s="140" customFormat="1" x14ac:dyDescent="0.25">
      <c r="A73" s="149"/>
      <c r="B73" s="150" t="str">
        <f>IF(A73="","",VLOOKUP(A73,'Job Operations'!A:B,2,FALSE))</f>
        <v/>
      </c>
      <c r="C73" s="150" t="str">
        <f>IF(A73="","",VLOOKUP(A73,'Job Operations'!A:C,3,FALSE))</f>
        <v/>
      </c>
      <c r="D73" s="150" t="str">
        <f>IF(A73="","",VLOOKUP(A73,'Job Operations'!A:E,5,FALSE))</f>
        <v/>
      </c>
      <c r="E73" s="150" t="str">
        <f>IF(A73="","",VLOOKUP(A73,'Job Operations'!A:F,6,FALSE))</f>
        <v/>
      </c>
      <c r="F73" s="150" t="str">
        <f>IF(A73="","",VLOOKUP(A73,'Job Operations'!A:G,7,FALSE))</f>
        <v/>
      </c>
      <c r="G73" s="151" t="str">
        <f>IF(A73="","",VLOOKUP(A73,'Job Operations'!A:I,9,FALSE))</f>
        <v/>
      </c>
      <c r="H73" s="150" t="str">
        <f>IF(A73="","",VLOOKUP(A73,'Job Operations'!A:L,12,FALSE))</f>
        <v/>
      </c>
      <c r="I73" s="150" t="str">
        <f t="shared" si="3"/>
        <v/>
      </c>
      <c r="J73" s="151" t="str">
        <f>IF(A73="","",IFERROR(IF(VLOOKUP(A73,'Job Operations'!A:M,13,FALSE)="Cidan",VLOOKUP(A73,'Job Operations'!A:N,14,FALSE),IF(VLOOKUP(A73,'Job Operations'!A:O,15,FALSE)="Cidan",VLOOKUP(A73,'Job Operations'!A:P,16,FALSE),IF(VLOOKUP(A73,'Job Operations'!A:Q,17,FALSE)="Cidan",VLOOKUP(A73,'Job Operations'!A:R,18,FALSE),""))),""))</f>
        <v/>
      </c>
      <c r="K73" s="150" t="str">
        <f>IF(A73="","",IFERROR(IF(VLOOKUP(A73,'Job Operations'!A:M,13,FALSE)="Cidan",VLOOKUP(A73,'Job Operations'!A:O,15,FALSE),IF(VLOOKUP(A73,'Job Operations'!A:O,15,FALSE)="Cidan",VLOOKUP(A73,'Job Operations'!A:Q,17,FALSE),"")),""))</f>
        <v/>
      </c>
      <c r="L73" s="150" t="str">
        <f>IF(A73="","",IFERROR(IF(VLOOKUP(A73,'Job Operations'!A:M,13,FALSE)="Cidan",VLOOKUP(A73,'Job Operations'!A:Q,17,FALSE),IF(VLOOKUP(A73,'Job Operations'!A:O,15,FALSE)="Cidan",VLOOKUP(A73,'Job Operations'!A:S,19,FALSE),"")),""))</f>
        <v/>
      </c>
      <c r="M73" s="152" t="str">
        <f>IF(A73="","",IFERROR(IF(VLOOKUP(A73,Notes!A:B,2,FALSE)=0,"",VLOOKUP(A73,Notes!A:B,2,FALSE)),""))</f>
        <v/>
      </c>
    </row>
    <row r="74" spans="1:13" s="140" customFormat="1" x14ac:dyDescent="0.25">
      <c r="A74" s="145"/>
      <c r="B74" s="146" t="str">
        <f>IF(A74="","",VLOOKUP(A74,'Job Operations'!A:B,2,FALSE))</f>
        <v/>
      </c>
      <c r="C74" s="146" t="str">
        <f>IF(A74="","",VLOOKUP(A74,'Job Operations'!A:C,3,FALSE))</f>
        <v/>
      </c>
      <c r="D74" s="146" t="str">
        <f>IF(A74="","",VLOOKUP(A74,'Job Operations'!A:E,5,FALSE))</f>
        <v/>
      </c>
      <c r="E74" s="146" t="str">
        <f>IF(A74="","",VLOOKUP(A74,'Job Operations'!A:F,6,FALSE))</f>
        <v/>
      </c>
      <c r="F74" s="146" t="str">
        <f>IF(A74="","",VLOOKUP(A74,'Job Operations'!A:G,7,FALSE))</f>
        <v/>
      </c>
      <c r="G74" s="147" t="str">
        <f>IF(A74="","",VLOOKUP(A74,'Job Operations'!A:I,9,FALSE))</f>
        <v/>
      </c>
      <c r="H74" s="146" t="str">
        <f>IF(A74="","",VLOOKUP(A74,'Job Operations'!A:L,12,FALSE))</f>
        <v/>
      </c>
      <c r="I74" s="146" t="str">
        <f t="shared" si="3"/>
        <v/>
      </c>
      <c r="J74" s="147" t="str">
        <f>IF(A74="","",IFERROR(IF(VLOOKUP(A74,'Job Operations'!A:M,13,FALSE)="Cidan",VLOOKUP(A74,'Job Operations'!A:N,14,FALSE),IF(VLOOKUP(A74,'Job Operations'!A:O,15,FALSE)="Cidan",VLOOKUP(A74,'Job Operations'!A:P,16,FALSE),IF(VLOOKUP(A74,'Job Operations'!A:Q,17,FALSE)="Cidan",VLOOKUP(A74,'Job Operations'!A:R,18,FALSE),""))),""))</f>
        <v/>
      </c>
      <c r="K74" s="146" t="str">
        <f>IF(A74="","",IFERROR(IF(VLOOKUP(A74,'Job Operations'!A:M,13,FALSE)="Cidan",VLOOKUP(A74,'Job Operations'!A:O,15,FALSE),IF(VLOOKUP(A74,'Job Operations'!A:O,15,FALSE)="Cidan",VLOOKUP(A74,'Job Operations'!A:Q,17,FALSE),"")),""))</f>
        <v/>
      </c>
      <c r="L74" s="146" t="str">
        <f>IF(A74="","",IFERROR(IF(VLOOKUP(A74,'Job Operations'!A:M,13,FALSE)="Cidan",VLOOKUP(A74,'Job Operations'!A:Q,17,FALSE),IF(VLOOKUP(A74,'Job Operations'!A:O,15,FALSE)="Cidan",VLOOKUP(A74,'Job Operations'!A:S,19,FALSE),"")),""))</f>
        <v/>
      </c>
      <c r="M74" s="148" t="str">
        <f>IF(A74="","",IFERROR(IF(VLOOKUP(A74,Notes!A:B,2,FALSE)=0,"",VLOOKUP(A74,Notes!A:B,2,FALSE)),""))</f>
        <v/>
      </c>
    </row>
    <row r="75" spans="1:13" s="140" customFormat="1" x14ac:dyDescent="0.25">
      <c r="A75" s="149"/>
      <c r="B75" s="150" t="str">
        <f>IF(A75="","",VLOOKUP(A75,'Job Operations'!A:B,2,FALSE))</f>
        <v/>
      </c>
      <c r="C75" s="150" t="str">
        <f>IF(A75="","",VLOOKUP(A75,'Job Operations'!A:C,3,FALSE))</f>
        <v/>
      </c>
      <c r="D75" s="150" t="str">
        <f>IF(A75="","",VLOOKUP(A75,'Job Operations'!A:E,5,FALSE))</f>
        <v/>
      </c>
      <c r="E75" s="150" t="str">
        <f>IF(A75="","",VLOOKUP(A75,'Job Operations'!A:F,6,FALSE))</f>
        <v/>
      </c>
      <c r="F75" s="150" t="str">
        <f>IF(A75="","",VLOOKUP(A75,'Job Operations'!A:G,7,FALSE))</f>
        <v/>
      </c>
      <c r="G75" s="151" t="str">
        <f>IF(A75="","",VLOOKUP(A75,'Job Operations'!A:I,9,FALSE))</f>
        <v/>
      </c>
      <c r="H75" s="150" t="str">
        <f>IF(A75="","",VLOOKUP(A75,'Job Operations'!A:L,12,FALSE))</f>
        <v/>
      </c>
      <c r="I75" s="150" t="str">
        <f t="shared" si="3"/>
        <v/>
      </c>
      <c r="J75" s="151" t="str">
        <f>IF(A75="","",IFERROR(IF(VLOOKUP(A75,'Job Operations'!A:M,13,FALSE)="Cidan",VLOOKUP(A75,'Job Operations'!A:N,14,FALSE),IF(VLOOKUP(A75,'Job Operations'!A:O,15,FALSE)="Cidan",VLOOKUP(A75,'Job Operations'!A:P,16,FALSE),IF(VLOOKUP(A75,'Job Operations'!A:Q,17,FALSE)="Cidan",VLOOKUP(A75,'Job Operations'!A:R,18,FALSE),""))),""))</f>
        <v/>
      </c>
      <c r="K75" s="150" t="str">
        <f>IF(A75="","",IFERROR(IF(VLOOKUP(A75,'Job Operations'!A:M,13,FALSE)="Cidan",VLOOKUP(A75,'Job Operations'!A:O,15,FALSE),IF(VLOOKUP(A75,'Job Operations'!A:O,15,FALSE)="Cidan",VLOOKUP(A75,'Job Operations'!A:Q,17,FALSE),"")),""))</f>
        <v/>
      </c>
      <c r="L75" s="150" t="str">
        <f>IF(A75="","",IFERROR(IF(VLOOKUP(A75,'Job Operations'!A:M,13,FALSE)="Cidan",VLOOKUP(A75,'Job Operations'!A:Q,17,FALSE),IF(VLOOKUP(A75,'Job Operations'!A:O,15,FALSE)="Cidan",VLOOKUP(A75,'Job Operations'!A:S,19,FALSE),"")),""))</f>
        <v/>
      </c>
      <c r="M75" s="152" t="str">
        <f>IF(A75="","",IFERROR(IF(VLOOKUP(A75,Notes!A:B,2,FALSE)=0,"",VLOOKUP(A75,Notes!A:B,2,FALSE)),""))</f>
        <v/>
      </c>
    </row>
    <row r="76" spans="1:13" s="140" customFormat="1" x14ac:dyDescent="0.25">
      <c r="A76" s="145"/>
      <c r="B76" s="146" t="str">
        <f>IF(A76="","",VLOOKUP(A76,'Job Operations'!A:B,2,FALSE))</f>
        <v/>
      </c>
      <c r="C76" s="146" t="str">
        <f>IF(A76="","",VLOOKUP(A76,'Job Operations'!A:C,3,FALSE))</f>
        <v/>
      </c>
      <c r="D76" s="146" t="str">
        <f>IF(A76="","",VLOOKUP(A76,'Job Operations'!A:E,5,FALSE))</f>
        <v/>
      </c>
      <c r="E76" s="146" t="str">
        <f>IF(A76="","",VLOOKUP(A76,'Job Operations'!A:F,6,FALSE))</f>
        <v/>
      </c>
      <c r="F76" s="146" t="str">
        <f>IF(A76="","",VLOOKUP(A76,'Job Operations'!A:G,7,FALSE))</f>
        <v/>
      </c>
      <c r="G76" s="147" t="str">
        <f>IF(A76="","",VLOOKUP(A76,'Job Operations'!A:I,9,FALSE))</f>
        <v/>
      </c>
      <c r="H76" s="146" t="str">
        <f>IF(A76="","",VLOOKUP(A76,'Job Operations'!A:L,12,FALSE))</f>
        <v/>
      </c>
      <c r="I76" s="146" t="str">
        <f t="shared" si="3"/>
        <v/>
      </c>
      <c r="J76" s="147" t="str">
        <f>IF(A76="","",IFERROR(IF(VLOOKUP(A76,'Job Operations'!A:M,13,FALSE)="Cidan",VLOOKUP(A76,'Job Operations'!A:N,14,FALSE),IF(VLOOKUP(A76,'Job Operations'!A:O,15,FALSE)="Cidan",VLOOKUP(A76,'Job Operations'!A:P,16,FALSE),IF(VLOOKUP(A76,'Job Operations'!A:Q,17,FALSE)="Cidan",VLOOKUP(A76,'Job Operations'!A:R,18,FALSE),""))),""))</f>
        <v/>
      </c>
      <c r="K76" s="146" t="str">
        <f>IF(A76="","",IFERROR(IF(VLOOKUP(A76,'Job Operations'!A:M,13,FALSE)="Cidan",VLOOKUP(A76,'Job Operations'!A:O,15,FALSE),IF(VLOOKUP(A76,'Job Operations'!A:O,15,FALSE)="Cidan",VLOOKUP(A76,'Job Operations'!A:Q,17,FALSE),"")),""))</f>
        <v/>
      </c>
      <c r="L76" s="146" t="str">
        <f>IF(A76="","",IFERROR(IF(VLOOKUP(A76,'Job Operations'!A:M,13,FALSE)="Cidan",VLOOKUP(A76,'Job Operations'!A:Q,17,FALSE),IF(VLOOKUP(A76,'Job Operations'!A:O,15,FALSE)="Cidan",VLOOKUP(A76,'Job Operations'!A:S,19,FALSE),"")),""))</f>
        <v/>
      </c>
      <c r="M76" s="148" t="str">
        <f>IF(A76="","",IFERROR(IF(VLOOKUP(A76,Notes!A:B,2,FALSE)=0,"",VLOOKUP(A76,Notes!A:B,2,FALSE)),""))</f>
        <v/>
      </c>
    </row>
    <row r="77" spans="1:13" s="140" customFormat="1" x14ac:dyDescent="0.25">
      <c r="A77" s="149"/>
      <c r="B77" s="150" t="str">
        <f>IF(A77="","",VLOOKUP(A77,'Job Operations'!A:B,2,FALSE))</f>
        <v/>
      </c>
      <c r="C77" s="150" t="str">
        <f>IF(A77="","",VLOOKUP(A77,'Job Operations'!A:C,3,FALSE))</f>
        <v/>
      </c>
      <c r="D77" s="150" t="str">
        <f>IF(A77="","",VLOOKUP(A77,'Job Operations'!A:E,5,FALSE))</f>
        <v/>
      </c>
      <c r="E77" s="150" t="str">
        <f>IF(A77="","",VLOOKUP(A77,'Job Operations'!A:F,6,FALSE))</f>
        <v/>
      </c>
      <c r="F77" s="150" t="str">
        <f>IF(A77="","",VLOOKUP(A77,'Job Operations'!A:G,7,FALSE))</f>
        <v/>
      </c>
      <c r="G77" s="151" t="str">
        <f>IF(A77="","",VLOOKUP(A77,'Job Operations'!A:I,9,FALSE))</f>
        <v/>
      </c>
      <c r="H77" s="150" t="str">
        <f>IF(A77="","",VLOOKUP(A77,'Job Operations'!A:L,12,FALSE))</f>
        <v/>
      </c>
      <c r="I77" s="150" t="str">
        <f t="shared" si="3"/>
        <v/>
      </c>
      <c r="J77" s="151" t="str">
        <f>IF(A77="","",IFERROR(IF(VLOOKUP(A77,'Job Operations'!A:M,13,FALSE)="Cidan",VLOOKUP(A77,'Job Operations'!A:N,14,FALSE),IF(VLOOKUP(A77,'Job Operations'!A:O,15,FALSE)="Cidan",VLOOKUP(A77,'Job Operations'!A:P,16,FALSE),IF(VLOOKUP(A77,'Job Operations'!A:Q,17,FALSE)="Cidan",VLOOKUP(A77,'Job Operations'!A:R,18,FALSE),""))),""))</f>
        <v/>
      </c>
      <c r="K77" s="150" t="str">
        <f>IF(A77="","",IFERROR(IF(VLOOKUP(A77,'Job Operations'!A:M,13,FALSE)="Cidan",VLOOKUP(A77,'Job Operations'!A:O,15,FALSE),IF(VLOOKUP(A77,'Job Operations'!A:O,15,FALSE)="Cidan",VLOOKUP(A77,'Job Operations'!A:Q,17,FALSE),"")),""))</f>
        <v/>
      </c>
      <c r="L77" s="150" t="str">
        <f>IF(A77="","",IFERROR(IF(VLOOKUP(A77,'Job Operations'!A:M,13,FALSE)="Cidan",VLOOKUP(A77,'Job Operations'!A:Q,17,FALSE),IF(VLOOKUP(A77,'Job Operations'!A:O,15,FALSE)="Cidan",VLOOKUP(A77,'Job Operations'!A:S,19,FALSE),"")),""))</f>
        <v/>
      </c>
      <c r="M77" s="152" t="str">
        <f>IF(A77="","",IFERROR(IF(VLOOKUP(A77,Notes!A:B,2,FALSE)=0,"",VLOOKUP(A77,Notes!A:B,2,FALSE)),""))</f>
        <v/>
      </c>
    </row>
    <row r="78" spans="1:13" s="140" customFormat="1" x14ac:dyDescent="0.25">
      <c r="A78" s="145"/>
      <c r="B78" s="146" t="str">
        <f>IF(A78="","",VLOOKUP(A78,'Job Operations'!A:B,2,FALSE))</f>
        <v/>
      </c>
      <c r="C78" s="146" t="str">
        <f>IF(A78="","",VLOOKUP(A78,'Job Operations'!A:C,3,FALSE))</f>
        <v/>
      </c>
      <c r="D78" s="146" t="str">
        <f>IF(A78="","",VLOOKUP(A78,'Job Operations'!A:E,5,FALSE))</f>
        <v/>
      </c>
      <c r="E78" s="146" t="str">
        <f>IF(A78="","",VLOOKUP(A78,'Job Operations'!A:F,6,FALSE))</f>
        <v/>
      </c>
      <c r="F78" s="146" t="str">
        <f>IF(A78="","",VLOOKUP(A78,'Job Operations'!A:G,7,FALSE))</f>
        <v/>
      </c>
      <c r="G78" s="147" t="str">
        <f>IF(A78="","",VLOOKUP(A78,'Job Operations'!A:I,9,FALSE))</f>
        <v/>
      </c>
      <c r="H78" s="146" t="str">
        <f>IF(A78="","",VLOOKUP(A78,'Job Operations'!A:L,12,FALSE))</f>
        <v/>
      </c>
      <c r="I78" s="146" t="str">
        <f t="shared" si="3"/>
        <v/>
      </c>
      <c r="J78" s="147" t="str">
        <f>IF(A78="","",IFERROR(IF(VLOOKUP(A78,'Job Operations'!A:M,13,FALSE)="Cidan",VLOOKUP(A78,'Job Operations'!A:N,14,FALSE),IF(VLOOKUP(A78,'Job Operations'!A:O,15,FALSE)="Cidan",VLOOKUP(A78,'Job Operations'!A:P,16,FALSE),IF(VLOOKUP(A78,'Job Operations'!A:Q,17,FALSE)="Cidan",VLOOKUP(A78,'Job Operations'!A:R,18,FALSE),""))),""))</f>
        <v/>
      </c>
      <c r="K78" s="146" t="str">
        <f>IF(A78="","",IFERROR(IF(VLOOKUP(A78,'Job Operations'!A:M,13,FALSE)="Cidan",VLOOKUP(A78,'Job Operations'!A:O,15,FALSE),IF(VLOOKUP(A78,'Job Operations'!A:O,15,FALSE)="Cidan",VLOOKUP(A78,'Job Operations'!A:Q,17,FALSE),"")),""))</f>
        <v/>
      </c>
      <c r="L78" s="146" t="str">
        <f>IF(A78="","",IFERROR(IF(VLOOKUP(A78,'Job Operations'!A:M,13,FALSE)="Cidan",VLOOKUP(A78,'Job Operations'!A:Q,17,FALSE),IF(VLOOKUP(A78,'Job Operations'!A:O,15,FALSE)="Cidan",VLOOKUP(A78,'Job Operations'!A:S,19,FALSE),"")),""))</f>
        <v/>
      </c>
      <c r="M78" s="148" t="str">
        <f>IF(A78="","",IFERROR(IF(VLOOKUP(A78,Notes!A:B,2,FALSE)=0,"",VLOOKUP(A78,Notes!A:B,2,FALSE)),""))</f>
        <v/>
      </c>
    </row>
    <row r="79" spans="1:13" s="140" customFormat="1" x14ac:dyDescent="0.25">
      <c r="A79" s="149"/>
      <c r="B79" s="150" t="str">
        <f>IF(A79="","",VLOOKUP(A79,'Job Operations'!A:B,2,FALSE))</f>
        <v/>
      </c>
      <c r="C79" s="150" t="str">
        <f>IF(A79="","",VLOOKUP(A79,'Job Operations'!A:C,3,FALSE))</f>
        <v/>
      </c>
      <c r="D79" s="150" t="str">
        <f>IF(A79="","",VLOOKUP(A79,'Job Operations'!A:E,5,FALSE))</f>
        <v/>
      </c>
      <c r="E79" s="150" t="str">
        <f>IF(A79="","",VLOOKUP(A79,'Job Operations'!A:F,6,FALSE))</f>
        <v/>
      </c>
      <c r="F79" s="150" t="str">
        <f>IF(A79="","",VLOOKUP(A79,'Job Operations'!A:G,7,FALSE))</f>
        <v/>
      </c>
      <c r="G79" s="151" t="str">
        <f>IF(A79="","",VLOOKUP(A79,'Job Operations'!A:I,9,FALSE))</f>
        <v/>
      </c>
      <c r="H79" s="150" t="str">
        <f>IF(A79="","",VLOOKUP(A79,'Job Operations'!A:L,12,FALSE))</f>
        <v/>
      </c>
      <c r="I79" s="150" t="str">
        <f t="shared" si="3"/>
        <v/>
      </c>
      <c r="J79" s="151" t="str">
        <f>IF(A79="","",IFERROR(IF(VLOOKUP(A79,'Job Operations'!A:M,13,FALSE)="Cidan",VLOOKUP(A79,'Job Operations'!A:N,14,FALSE),IF(VLOOKUP(A79,'Job Operations'!A:O,15,FALSE)="Cidan",VLOOKUP(A79,'Job Operations'!A:P,16,FALSE),IF(VLOOKUP(A79,'Job Operations'!A:Q,17,FALSE)="Cidan",VLOOKUP(A79,'Job Operations'!A:R,18,FALSE),""))),""))</f>
        <v/>
      </c>
      <c r="K79" s="150" t="str">
        <f>IF(A79="","",IFERROR(IF(VLOOKUP(A79,'Job Operations'!A:M,13,FALSE)="Cidan",VLOOKUP(A79,'Job Operations'!A:O,15,FALSE),IF(VLOOKUP(A79,'Job Operations'!A:O,15,FALSE)="Cidan",VLOOKUP(A79,'Job Operations'!A:Q,17,FALSE),"")),""))</f>
        <v/>
      </c>
      <c r="L79" s="150" t="str">
        <f>IF(A79="","",IFERROR(IF(VLOOKUP(A79,'Job Operations'!A:M,13,FALSE)="Cidan",VLOOKUP(A79,'Job Operations'!A:Q,17,FALSE),IF(VLOOKUP(A79,'Job Operations'!A:O,15,FALSE)="Cidan",VLOOKUP(A79,'Job Operations'!A:S,19,FALSE),"")),""))</f>
        <v/>
      </c>
      <c r="M79" s="152" t="str">
        <f>IF(A79="","",IFERROR(IF(VLOOKUP(A79,Notes!A:B,2,FALSE)=0,"",VLOOKUP(A79,Notes!A:B,2,FALSE)),""))</f>
        <v/>
      </c>
    </row>
    <row r="80" spans="1:13" s="140" customFormat="1" x14ac:dyDescent="0.25">
      <c r="A80" s="145"/>
      <c r="B80" s="146" t="str">
        <f>IF(A80="","",VLOOKUP(A80,'Job Operations'!A:B,2,FALSE))</f>
        <v/>
      </c>
      <c r="C80" s="146" t="str">
        <f>IF(A80="","",VLOOKUP(A80,'Job Operations'!A:C,3,FALSE))</f>
        <v/>
      </c>
      <c r="D80" s="146" t="str">
        <f>IF(A80="","",VLOOKUP(A80,'Job Operations'!A:E,5,FALSE))</f>
        <v/>
      </c>
      <c r="E80" s="146" t="str">
        <f>IF(A80="","",VLOOKUP(A80,'Job Operations'!A:F,6,FALSE))</f>
        <v/>
      </c>
      <c r="F80" s="146" t="str">
        <f>IF(A80="","",VLOOKUP(A80,'Job Operations'!A:G,7,FALSE))</f>
        <v/>
      </c>
      <c r="G80" s="147" t="str">
        <f>IF(A80="","",VLOOKUP(A80,'Job Operations'!A:I,9,FALSE))</f>
        <v/>
      </c>
      <c r="H80" s="146" t="str">
        <f>IF(A80="","",VLOOKUP(A80,'Job Operations'!A:L,12,FALSE))</f>
        <v/>
      </c>
      <c r="I80" s="146" t="str">
        <f t="shared" si="3"/>
        <v/>
      </c>
      <c r="J80" s="147" t="str">
        <f>IF(A80="","",IFERROR(IF(VLOOKUP(A80,'Job Operations'!A:M,13,FALSE)="Cidan",VLOOKUP(A80,'Job Operations'!A:N,14,FALSE),IF(VLOOKUP(A80,'Job Operations'!A:O,15,FALSE)="Cidan",VLOOKUP(A80,'Job Operations'!A:P,16,FALSE),IF(VLOOKUP(A80,'Job Operations'!A:Q,17,FALSE)="Cidan",VLOOKUP(A80,'Job Operations'!A:R,18,FALSE),""))),""))</f>
        <v/>
      </c>
      <c r="K80" s="146" t="str">
        <f>IF(A80="","",IFERROR(IF(VLOOKUP(A80,'Job Operations'!A:M,13,FALSE)="Cidan",VLOOKUP(A80,'Job Operations'!A:O,15,FALSE),IF(VLOOKUP(A80,'Job Operations'!A:O,15,FALSE)="Cidan",VLOOKUP(A80,'Job Operations'!A:Q,17,FALSE),"")),""))</f>
        <v/>
      </c>
      <c r="L80" s="146" t="str">
        <f>IF(A80="","",IFERROR(IF(VLOOKUP(A80,'Job Operations'!A:M,13,FALSE)="Cidan",VLOOKUP(A80,'Job Operations'!A:Q,17,FALSE),IF(VLOOKUP(A80,'Job Operations'!A:O,15,FALSE)="Cidan",VLOOKUP(A80,'Job Operations'!A:S,19,FALSE),"")),""))</f>
        <v/>
      </c>
      <c r="M80" s="148" t="str">
        <f>IF(A80="","",IFERROR(IF(VLOOKUP(A80,Notes!A:B,2,FALSE)=0,"",VLOOKUP(A80,Notes!A:B,2,FALSE)),""))</f>
        <v/>
      </c>
    </row>
    <row r="81" spans="1:13" s="140" customFormat="1" x14ac:dyDescent="0.25">
      <c r="A81" s="149"/>
      <c r="B81" s="150" t="str">
        <f>IF(A81="","",VLOOKUP(A81,'Job Operations'!A:B,2,FALSE))</f>
        <v/>
      </c>
      <c r="C81" s="150" t="str">
        <f>IF(A81="","",VLOOKUP(A81,'Job Operations'!A:C,3,FALSE))</f>
        <v/>
      </c>
      <c r="D81" s="150" t="str">
        <f>IF(A81="","",VLOOKUP(A81,'Job Operations'!A:E,5,FALSE))</f>
        <v/>
      </c>
      <c r="E81" s="150" t="str">
        <f>IF(A81="","",VLOOKUP(A81,'Job Operations'!A:F,6,FALSE))</f>
        <v/>
      </c>
      <c r="F81" s="150" t="str">
        <f>IF(A81="","",VLOOKUP(A81,'Job Operations'!A:G,7,FALSE))</f>
        <v/>
      </c>
      <c r="G81" s="151" t="str">
        <f>IF(A81="","",VLOOKUP(A81,'Job Operations'!A:I,9,FALSE))</f>
        <v/>
      </c>
      <c r="H81" s="150" t="str">
        <f>IF(A81="","",VLOOKUP(A81,'Job Operations'!A:L,12,FALSE))</f>
        <v/>
      </c>
      <c r="I81" s="150" t="str">
        <f t="shared" si="3"/>
        <v/>
      </c>
      <c r="J81" s="151" t="str">
        <f>IF(A81="","",IFERROR(IF(VLOOKUP(A81,'Job Operations'!A:M,13,FALSE)="Cidan",VLOOKUP(A81,'Job Operations'!A:N,14,FALSE),IF(VLOOKUP(A81,'Job Operations'!A:O,15,FALSE)="Cidan",VLOOKUP(A81,'Job Operations'!A:P,16,FALSE),IF(VLOOKUP(A81,'Job Operations'!A:Q,17,FALSE)="Cidan",VLOOKUP(A81,'Job Operations'!A:R,18,FALSE),""))),""))</f>
        <v/>
      </c>
      <c r="K81" s="150" t="str">
        <f>IF(A81="","",IFERROR(IF(VLOOKUP(A81,'Job Operations'!A:M,13,FALSE)="Cidan",VLOOKUP(A81,'Job Operations'!A:O,15,FALSE),IF(VLOOKUP(A81,'Job Operations'!A:O,15,FALSE)="Cidan",VLOOKUP(A81,'Job Operations'!A:Q,17,FALSE),"")),""))</f>
        <v/>
      </c>
      <c r="L81" s="150" t="str">
        <f>IF(A81="","",IFERROR(IF(VLOOKUP(A81,'Job Operations'!A:M,13,FALSE)="Cidan",VLOOKUP(A81,'Job Operations'!A:Q,17,FALSE),IF(VLOOKUP(A81,'Job Operations'!A:O,15,FALSE)="Cidan",VLOOKUP(A81,'Job Operations'!A:S,19,FALSE),"")),""))</f>
        <v/>
      </c>
      <c r="M81" s="152" t="str">
        <f>IF(A81="","",IFERROR(IF(VLOOKUP(A81,Notes!A:B,2,FALSE)=0,"",VLOOKUP(A81,Notes!A:B,2,FALSE)),""))</f>
        <v/>
      </c>
    </row>
    <row r="82" spans="1:13" s="140" customFormat="1" x14ac:dyDescent="0.25">
      <c r="A82" s="145"/>
      <c r="B82" s="146" t="str">
        <f>IF(A82="","",VLOOKUP(A82,'Job Operations'!A:B,2,FALSE))</f>
        <v/>
      </c>
      <c r="C82" s="146" t="str">
        <f>IF(A82="","",VLOOKUP(A82,'Job Operations'!A:C,3,FALSE))</f>
        <v/>
      </c>
      <c r="D82" s="146" t="str">
        <f>IF(A82="","",VLOOKUP(A82,'Job Operations'!A:E,5,FALSE))</f>
        <v/>
      </c>
      <c r="E82" s="146" t="str">
        <f>IF(A82="","",VLOOKUP(A82,'Job Operations'!A:F,6,FALSE))</f>
        <v/>
      </c>
      <c r="F82" s="146" t="str">
        <f>IF(A82="","",VLOOKUP(A82,'Job Operations'!A:G,7,FALSE))</f>
        <v/>
      </c>
      <c r="G82" s="147" t="str">
        <f>IF(A82="","",VLOOKUP(A82,'Job Operations'!A:I,9,FALSE))</f>
        <v/>
      </c>
      <c r="H82" s="146" t="str">
        <f>IF(A82="","",VLOOKUP(A82,'Job Operations'!A:L,12,FALSE))</f>
        <v/>
      </c>
      <c r="I82" s="146" t="str">
        <f t="shared" si="3"/>
        <v/>
      </c>
      <c r="J82" s="147" t="str">
        <f>IF(A82="","",IFERROR(IF(VLOOKUP(A82,'Job Operations'!A:M,13,FALSE)="Cidan",VLOOKUP(A82,'Job Operations'!A:N,14,FALSE),IF(VLOOKUP(A82,'Job Operations'!A:O,15,FALSE)="Cidan",VLOOKUP(A82,'Job Operations'!A:P,16,FALSE),IF(VLOOKUP(A82,'Job Operations'!A:Q,17,FALSE)="Cidan",VLOOKUP(A82,'Job Operations'!A:R,18,FALSE),""))),""))</f>
        <v/>
      </c>
      <c r="K82" s="146" t="str">
        <f>IF(A82="","",IFERROR(IF(VLOOKUP(A82,'Job Operations'!A:M,13,FALSE)="Cidan",VLOOKUP(A82,'Job Operations'!A:O,15,FALSE),IF(VLOOKUP(A82,'Job Operations'!A:O,15,FALSE)="Cidan",VLOOKUP(A82,'Job Operations'!A:Q,17,FALSE),"")),""))</f>
        <v/>
      </c>
      <c r="L82" s="146" t="str">
        <f>IF(A82="","",IFERROR(IF(VLOOKUP(A82,'Job Operations'!A:M,13,FALSE)="Cidan",VLOOKUP(A82,'Job Operations'!A:Q,17,FALSE),IF(VLOOKUP(A82,'Job Operations'!A:O,15,FALSE)="Cidan",VLOOKUP(A82,'Job Operations'!A:S,19,FALSE),"")),""))</f>
        <v/>
      </c>
      <c r="M82" s="148" t="str">
        <f>IF(A82="","",IFERROR(IF(VLOOKUP(A82,Notes!A:B,2,FALSE)=0,"",VLOOKUP(A82,Notes!A:B,2,FALSE)),""))</f>
        <v/>
      </c>
    </row>
    <row r="83" spans="1:13" s="140" customFormat="1" x14ac:dyDescent="0.25">
      <c r="A83" s="149"/>
      <c r="B83" s="150" t="str">
        <f>IF(A83="","",VLOOKUP(A83,'Job Operations'!A:B,2,FALSE))</f>
        <v/>
      </c>
      <c r="C83" s="150" t="str">
        <f>IF(A83="","",VLOOKUP(A83,'Job Operations'!A:C,3,FALSE))</f>
        <v/>
      </c>
      <c r="D83" s="150" t="str">
        <f>IF(A83="","",VLOOKUP(A83,'Job Operations'!A:E,5,FALSE))</f>
        <v/>
      </c>
      <c r="E83" s="150" t="str">
        <f>IF(A83="","",VLOOKUP(A83,'Job Operations'!A:F,6,FALSE))</f>
        <v/>
      </c>
      <c r="F83" s="150" t="str">
        <f>IF(A83="","",VLOOKUP(A83,'Job Operations'!A:G,7,FALSE))</f>
        <v/>
      </c>
      <c r="G83" s="151" t="str">
        <f>IF(A83="","",VLOOKUP(A83,'Job Operations'!A:I,9,FALSE))</f>
        <v/>
      </c>
      <c r="H83" s="150" t="str">
        <f>IF(A83="","",VLOOKUP(A83,'Job Operations'!A:L,12,FALSE))</f>
        <v/>
      </c>
      <c r="I83" s="150" t="str">
        <f t="shared" si="3"/>
        <v/>
      </c>
      <c r="J83" s="151" t="str">
        <f>IF(A83="","",IFERROR(IF(VLOOKUP(A83,'Job Operations'!A:M,13,FALSE)="Cidan",VLOOKUP(A83,'Job Operations'!A:N,14,FALSE),IF(VLOOKUP(A83,'Job Operations'!A:O,15,FALSE)="Cidan",VLOOKUP(A83,'Job Operations'!A:P,16,FALSE),IF(VLOOKUP(A83,'Job Operations'!A:Q,17,FALSE)="Cidan",VLOOKUP(A83,'Job Operations'!A:R,18,FALSE),""))),""))</f>
        <v/>
      </c>
      <c r="K83" s="150" t="str">
        <f>IF(A83="","",IFERROR(IF(VLOOKUP(A83,'Job Operations'!A:M,13,FALSE)="Cidan",VLOOKUP(A83,'Job Operations'!A:O,15,FALSE),IF(VLOOKUP(A83,'Job Operations'!A:O,15,FALSE)="Cidan",VLOOKUP(A83,'Job Operations'!A:Q,17,FALSE),"")),""))</f>
        <v/>
      </c>
      <c r="L83" s="150" t="str">
        <f>IF(A83="","",IFERROR(IF(VLOOKUP(A83,'Job Operations'!A:M,13,FALSE)="Cidan",VLOOKUP(A83,'Job Operations'!A:Q,17,FALSE),IF(VLOOKUP(A83,'Job Operations'!A:O,15,FALSE)="Cidan",VLOOKUP(A83,'Job Operations'!A:S,19,FALSE),"")),""))</f>
        <v/>
      </c>
      <c r="M83" s="152" t="str">
        <f>IF(A83="","",IFERROR(IF(VLOOKUP(A83,Notes!A:B,2,FALSE)=0,"",VLOOKUP(A83,Notes!A:B,2,FALSE)),""))</f>
        <v/>
      </c>
    </row>
    <row r="84" spans="1:13" s="140" customFormat="1" x14ac:dyDescent="0.25">
      <c r="A84" s="145"/>
      <c r="B84" s="146" t="str">
        <f>IF(A84="","",VLOOKUP(A84,'Job Operations'!A:B,2,FALSE))</f>
        <v/>
      </c>
      <c r="C84" s="146" t="str">
        <f>IF(A84="","",VLOOKUP(A84,'Job Operations'!A:C,3,FALSE))</f>
        <v/>
      </c>
      <c r="D84" s="146" t="str">
        <f>IF(A84="","",VLOOKUP(A84,'Job Operations'!A:E,5,FALSE))</f>
        <v/>
      </c>
      <c r="E84" s="146" t="str">
        <f>IF(A84="","",VLOOKUP(A84,'Job Operations'!A:F,6,FALSE))</f>
        <v/>
      </c>
      <c r="F84" s="146" t="str">
        <f>IF(A84="","",VLOOKUP(A84,'Job Operations'!A:G,7,FALSE))</f>
        <v/>
      </c>
      <c r="G84" s="147" t="str">
        <f>IF(A84="","",VLOOKUP(A84,'Job Operations'!A:I,9,FALSE))</f>
        <v/>
      </c>
      <c r="H84" s="146" t="str">
        <f>IF(A84="","",VLOOKUP(A84,'Job Operations'!A:L,12,FALSE))</f>
        <v/>
      </c>
      <c r="I84" s="146" t="str">
        <f t="shared" si="3"/>
        <v/>
      </c>
      <c r="J84" s="147" t="str">
        <f>IF(A84="","",IFERROR(IF(VLOOKUP(A84,'Job Operations'!A:M,13,FALSE)="Cidan",VLOOKUP(A84,'Job Operations'!A:N,14,FALSE),IF(VLOOKUP(A84,'Job Operations'!A:O,15,FALSE)="Cidan",VLOOKUP(A84,'Job Operations'!A:P,16,FALSE),IF(VLOOKUP(A84,'Job Operations'!A:Q,17,FALSE)="Cidan",VLOOKUP(A84,'Job Operations'!A:R,18,FALSE),""))),""))</f>
        <v/>
      </c>
      <c r="K84" s="146" t="str">
        <f>IF(A84="","",IFERROR(IF(VLOOKUP(A84,'Job Operations'!A:M,13,FALSE)="Cidan",VLOOKUP(A84,'Job Operations'!A:O,15,FALSE),IF(VLOOKUP(A84,'Job Operations'!A:O,15,FALSE)="Cidan",VLOOKUP(A84,'Job Operations'!A:Q,17,FALSE),"")),""))</f>
        <v/>
      </c>
      <c r="L84" s="146" t="str">
        <f>IF(A84="","",IFERROR(IF(VLOOKUP(A84,'Job Operations'!A:M,13,FALSE)="Cidan",VLOOKUP(A84,'Job Operations'!A:Q,17,FALSE),IF(VLOOKUP(A84,'Job Operations'!A:O,15,FALSE)="Cidan",VLOOKUP(A84,'Job Operations'!A:S,19,FALSE),"")),""))</f>
        <v/>
      </c>
      <c r="M84" s="148" t="str">
        <f>IF(A84="","",IFERROR(IF(VLOOKUP(A84,Notes!A:B,2,FALSE)=0,"",VLOOKUP(A84,Notes!A:B,2,FALSE)),""))</f>
        <v/>
      </c>
    </row>
    <row r="85" spans="1:13" s="140" customFormat="1" x14ac:dyDescent="0.25">
      <c r="A85" s="149"/>
      <c r="B85" s="150" t="str">
        <f>IF(A85="","",VLOOKUP(A85,'Job Operations'!A:B,2,FALSE))</f>
        <v/>
      </c>
      <c r="C85" s="150" t="str">
        <f>IF(A85="","",VLOOKUP(A85,'Job Operations'!A:C,3,FALSE))</f>
        <v/>
      </c>
      <c r="D85" s="150" t="str">
        <f>IF(A85="","",VLOOKUP(A85,'Job Operations'!A:E,5,FALSE))</f>
        <v/>
      </c>
      <c r="E85" s="150" t="str">
        <f>IF(A85="","",VLOOKUP(A85,'Job Operations'!A:F,6,FALSE))</f>
        <v/>
      </c>
      <c r="F85" s="150" t="str">
        <f>IF(A85="","",VLOOKUP(A85,'Job Operations'!A:G,7,FALSE))</f>
        <v/>
      </c>
      <c r="G85" s="151" t="str">
        <f>IF(A85="","",VLOOKUP(A85,'Job Operations'!A:I,9,FALSE))</f>
        <v/>
      </c>
      <c r="H85" s="150" t="str">
        <f>IF(A85="","",VLOOKUP(A85,'Job Operations'!A:L,12,FALSE))</f>
        <v/>
      </c>
      <c r="I85" s="150" t="str">
        <f t="shared" si="3"/>
        <v/>
      </c>
      <c r="J85" s="151" t="str">
        <f>IF(A85="","",IFERROR(IF(VLOOKUP(A85,'Job Operations'!A:M,13,FALSE)="Cidan",VLOOKUP(A85,'Job Operations'!A:N,14,FALSE),IF(VLOOKUP(A85,'Job Operations'!A:O,15,FALSE)="Cidan",VLOOKUP(A85,'Job Operations'!A:P,16,FALSE),IF(VLOOKUP(A85,'Job Operations'!A:Q,17,FALSE)="Cidan",VLOOKUP(A85,'Job Operations'!A:R,18,FALSE),""))),""))</f>
        <v/>
      </c>
      <c r="K85" s="150" t="str">
        <f>IF(A85="","",IFERROR(IF(VLOOKUP(A85,'Job Operations'!A:M,13,FALSE)="Cidan",VLOOKUP(A85,'Job Operations'!A:O,15,FALSE),IF(VLOOKUP(A85,'Job Operations'!A:O,15,FALSE)="Cidan",VLOOKUP(A85,'Job Operations'!A:Q,17,FALSE),"")),""))</f>
        <v/>
      </c>
      <c r="L85" s="150" t="str">
        <f>IF(A85="","",IFERROR(IF(VLOOKUP(A85,'Job Operations'!A:M,13,FALSE)="Cidan",VLOOKUP(A85,'Job Operations'!A:Q,17,FALSE),IF(VLOOKUP(A85,'Job Operations'!A:O,15,FALSE)="Cidan",VLOOKUP(A85,'Job Operations'!A:S,19,FALSE),"")),""))</f>
        <v/>
      </c>
      <c r="M85" s="152" t="str">
        <f>IF(A85="","",IFERROR(IF(VLOOKUP(A85,Notes!A:B,2,FALSE)=0,"",VLOOKUP(A85,Notes!A:B,2,FALSE)),""))</f>
        <v/>
      </c>
    </row>
    <row r="86" spans="1:13" s="140" customFormat="1" x14ac:dyDescent="0.25">
      <c r="A86" s="145"/>
      <c r="B86" s="146" t="str">
        <f>IF(A86="","",VLOOKUP(A86,'Job Operations'!A:B,2,FALSE))</f>
        <v/>
      </c>
      <c r="C86" s="146" t="str">
        <f>IF(A86="","",VLOOKUP(A86,'Job Operations'!A:C,3,FALSE))</f>
        <v/>
      </c>
      <c r="D86" s="146" t="str">
        <f>IF(A86="","",VLOOKUP(A86,'Job Operations'!A:E,5,FALSE))</f>
        <v/>
      </c>
      <c r="E86" s="146" t="str">
        <f>IF(A86="","",VLOOKUP(A86,'Job Operations'!A:F,6,FALSE))</f>
        <v/>
      </c>
      <c r="F86" s="146" t="str">
        <f>IF(A86="","",VLOOKUP(A86,'Job Operations'!A:G,7,FALSE))</f>
        <v/>
      </c>
      <c r="G86" s="147" t="str">
        <f>IF(A86="","",VLOOKUP(A86,'Job Operations'!A:I,9,FALSE))</f>
        <v/>
      </c>
      <c r="H86" s="146" t="str">
        <f>IF(A86="","",VLOOKUP(A86,'Job Operations'!A:L,12,FALSE))</f>
        <v/>
      </c>
      <c r="I86" s="146" t="str">
        <f t="shared" si="3"/>
        <v/>
      </c>
      <c r="J86" s="147" t="str">
        <f>IF(A86="","",IFERROR(IF(VLOOKUP(A86,'Job Operations'!A:M,13,FALSE)="Cidan",VLOOKUP(A86,'Job Operations'!A:N,14,FALSE),IF(VLOOKUP(A86,'Job Operations'!A:O,15,FALSE)="Cidan",VLOOKUP(A86,'Job Operations'!A:P,16,FALSE),IF(VLOOKUP(A86,'Job Operations'!A:Q,17,FALSE)="Cidan",VLOOKUP(A86,'Job Operations'!A:R,18,FALSE),""))),""))</f>
        <v/>
      </c>
      <c r="K86" s="146" t="str">
        <f>IF(A86="","",IFERROR(IF(VLOOKUP(A86,'Job Operations'!A:M,13,FALSE)="Cidan",VLOOKUP(A86,'Job Operations'!A:O,15,FALSE),IF(VLOOKUP(A86,'Job Operations'!A:O,15,FALSE)="Cidan",VLOOKUP(A86,'Job Operations'!A:Q,17,FALSE),"")),""))</f>
        <v/>
      </c>
      <c r="L86" s="146" t="str">
        <f>IF(A86="","",IFERROR(IF(VLOOKUP(A86,'Job Operations'!A:M,13,FALSE)="Cidan",VLOOKUP(A86,'Job Operations'!A:Q,17,FALSE),IF(VLOOKUP(A86,'Job Operations'!A:O,15,FALSE)="Cidan",VLOOKUP(A86,'Job Operations'!A:S,19,FALSE),"")),""))</f>
        <v/>
      </c>
      <c r="M86" s="148" t="str">
        <f>IF(A86="","",IFERROR(IF(VLOOKUP(A86,Notes!A:B,2,FALSE)=0,"",VLOOKUP(A86,Notes!A:B,2,FALSE)),""))</f>
        <v/>
      </c>
    </row>
    <row r="87" spans="1:13" s="140" customFormat="1" x14ac:dyDescent="0.25">
      <c r="A87" s="149"/>
      <c r="B87" s="150" t="str">
        <f>IF(A87="","",VLOOKUP(A87,'Job Operations'!A:B,2,FALSE))</f>
        <v/>
      </c>
      <c r="C87" s="150" t="str">
        <f>IF(A87="","",VLOOKUP(A87,'Job Operations'!A:C,3,FALSE))</f>
        <v/>
      </c>
      <c r="D87" s="150" t="str">
        <f>IF(A87="","",VLOOKUP(A87,'Job Operations'!A:E,5,FALSE))</f>
        <v/>
      </c>
      <c r="E87" s="150" t="str">
        <f>IF(A87="","",VLOOKUP(A87,'Job Operations'!A:F,6,FALSE))</f>
        <v/>
      </c>
      <c r="F87" s="150" t="str">
        <f>IF(A87="","",VLOOKUP(A87,'Job Operations'!A:G,7,FALSE))</f>
        <v/>
      </c>
      <c r="G87" s="151" t="str">
        <f>IF(A87="","",VLOOKUP(A87,'Job Operations'!A:I,9,FALSE))</f>
        <v/>
      </c>
      <c r="H87" s="150" t="str">
        <f>IF(A87="","",VLOOKUP(A87,'Job Operations'!A:L,12,FALSE))</f>
        <v/>
      </c>
      <c r="I87" s="150" t="str">
        <f t="shared" si="3"/>
        <v/>
      </c>
      <c r="J87" s="151" t="str">
        <f>IF(A87="","",IFERROR(IF(VLOOKUP(A87,'Job Operations'!A:M,13,FALSE)="Cidan",VLOOKUP(A87,'Job Operations'!A:N,14,FALSE),IF(VLOOKUP(A87,'Job Operations'!A:O,15,FALSE)="Cidan",VLOOKUP(A87,'Job Operations'!A:P,16,FALSE),IF(VLOOKUP(A87,'Job Operations'!A:Q,17,FALSE)="Cidan",VLOOKUP(A87,'Job Operations'!A:R,18,FALSE),""))),""))</f>
        <v/>
      </c>
      <c r="K87" s="150" t="str">
        <f>IF(A87="","",IFERROR(IF(VLOOKUP(A87,'Job Operations'!A:M,13,FALSE)="Cidan",VLOOKUP(A87,'Job Operations'!A:O,15,FALSE),IF(VLOOKUP(A87,'Job Operations'!A:O,15,FALSE)="Cidan",VLOOKUP(A87,'Job Operations'!A:Q,17,FALSE),"")),""))</f>
        <v/>
      </c>
      <c r="L87" s="150" t="str">
        <f>IF(A87="","",IFERROR(IF(VLOOKUP(A87,'Job Operations'!A:M,13,FALSE)="Cidan",VLOOKUP(A87,'Job Operations'!A:Q,17,FALSE),IF(VLOOKUP(A87,'Job Operations'!A:O,15,FALSE)="Cidan",VLOOKUP(A87,'Job Operations'!A:S,19,FALSE),"")),""))</f>
        <v/>
      </c>
      <c r="M87" s="152" t="str">
        <f>IF(A87="","",IFERROR(IF(VLOOKUP(A87,Notes!A:B,2,FALSE)=0,"",VLOOKUP(A87,Notes!A:B,2,FALSE)),""))</f>
        <v/>
      </c>
    </row>
    <row r="88" spans="1:13" s="140" customFormat="1" x14ac:dyDescent="0.25">
      <c r="A88" s="145"/>
      <c r="B88" s="146" t="str">
        <f>IF(A88="","",VLOOKUP(A88,'Job Operations'!A:B,2,FALSE))</f>
        <v/>
      </c>
      <c r="C88" s="146" t="str">
        <f>IF(A88="","",VLOOKUP(A88,'Job Operations'!A:C,3,FALSE))</f>
        <v/>
      </c>
      <c r="D88" s="146" t="str">
        <f>IF(A88="","",VLOOKUP(A88,'Job Operations'!A:E,5,FALSE))</f>
        <v/>
      </c>
      <c r="E88" s="146" t="str">
        <f>IF(A88="","",VLOOKUP(A88,'Job Operations'!A:F,6,FALSE))</f>
        <v/>
      </c>
      <c r="F88" s="146" t="str">
        <f>IF(A88="","",VLOOKUP(A88,'Job Operations'!A:G,7,FALSE))</f>
        <v/>
      </c>
      <c r="G88" s="147" t="str">
        <f>IF(A88="","",VLOOKUP(A88,'Job Operations'!A:I,9,FALSE))</f>
        <v/>
      </c>
      <c r="H88" s="146" t="str">
        <f>IF(A88="","",VLOOKUP(A88,'Job Operations'!A:L,12,FALSE))</f>
        <v/>
      </c>
      <c r="I88" s="146" t="str">
        <f t="shared" si="3"/>
        <v/>
      </c>
      <c r="J88" s="147" t="str">
        <f>IF(A88="","",IFERROR(IF(VLOOKUP(A88,'Job Operations'!A:M,13,FALSE)="Cidan",VLOOKUP(A88,'Job Operations'!A:N,14,FALSE),IF(VLOOKUP(A88,'Job Operations'!A:O,15,FALSE)="Cidan",VLOOKUP(A88,'Job Operations'!A:P,16,FALSE),IF(VLOOKUP(A88,'Job Operations'!A:Q,17,FALSE)="Cidan",VLOOKUP(A88,'Job Operations'!A:R,18,FALSE),""))),""))</f>
        <v/>
      </c>
      <c r="K88" s="146" t="str">
        <f>IF(A88="","",IFERROR(IF(VLOOKUP(A88,'Job Operations'!A:M,13,FALSE)="Cidan",VLOOKUP(A88,'Job Operations'!A:O,15,FALSE),IF(VLOOKUP(A88,'Job Operations'!A:O,15,FALSE)="Cidan",VLOOKUP(A88,'Job Operations'!A:Q,17,FALSE),"")),""))</f>
        <v/>
      </c>
      <c r="L88" s="146" t="str">
        <f>IF(A88="","",IFERROR(IF(VLOOKUP(A88,'Job Operations'!A:M,13,FALSE)="Cidan",VLOOKUP(A88,'Job Operations'!A:Q,17,FALSE),IF(VLOOKUP(A88,'Job Operations'!A:O,15,FALSE)="Cidan",VLOOKUP(A88,'Job Operations'!A:S,19,FALSE),"")),""))</f>
        <v/>
      </c>
      <c r="M88" s="148" t="str">
        <f>IF(A88="","",IFERROR(IF(VLOOKUP(A88,Notes!A:B,2,FALSE)=0,"",VLOOKUP(A88,Notes!A:B,2,FALSE)),""))</f>
        <v/>
      </c>
    </row>
    <row r="89" spans="1:13" s="140" customFormat="1" x14ac:dyDescent="0.25">
      <c r="A89" s="149"/>
      <c r="B89" s="150" t="str">
        <f>IF(A89="","",VLOOKUP(A89,'Job Operations'!A:B,2,FALSE))</f>
        <v/>
      </c>
      <c r="C89" s="150" t="str">
        <f>IF(A89="","",VLOOKUP(A89,'Job Operations'!A:C,3,FALSE))</f>
        <v/>
      </c>
      <c r="D89" s="150" t="str">
        <f>IF(A89="","",VLOOKUP(A89,'Job Operations'!A:E,5,FALSE))</f>
        <v/>
      </c>
      <c r="E89" s="150" t="str">
        <f>IF(A89="","",VLOOKUP(A89,'Job Operations'!A:F,6,FALSE))</f>
        <v/>
      </c>
      <c r="F89" s="150" t="str">
        <f>IF(A89="","",VLOOKUP(A89,'Job Operations'!A:G,7,FALSE))</f>
        <v/>
      </c>
      <c r="G89" s="151" t="str">
        <f>IF(A89="","",VLOOKUP(A89,'Job Operations'!A:I,9,FALSE))</f>
        <v/>
      </c>
      <c r="H89" s="150" t="str">
        <f>IF(A89="","",VLOOKUP(A89,'Job Operations'!A:L,12,FALSE))</f>
        <v/>
      </c>
      <c r="I89" s="150" t="str">
        <f t="shared" si="3"/>
        <v/>
      </c>
      <c r="J89" s="151" t="str">
        <f>IF(A89="","",IFERROR(IF(VLOOKUP(A89,'Job Operations'!A:M,13,FALSE)="Cidan",VLOOKUP(A89,'Job Operations'!A:N,14,FALSE),IF(VLOOKUP(A89,'Job Operations'!A:O,15,FALSE)="Cidan",VLOOKUP(A89,'Job Operations'!A:P,16,FALSE),IF(VLOOKUP(A89,'Job Operations'!A:Q,17,FALSE)="Cidan",VLOOKUP(A89,'Job Operations'!A:R,18,FALSE),""))),""))</f>
        <v/>
      </c>
      <c r="K89" s="150" t="str">
        <f>IF(A89="","",IFERROR(IF(VLOOKUP(A89,'Job Operations'!A:M,13,FALSE)="Cidan",VLOOKUP(A89,'Job Operations'!A:O,15,FALSE),IF(VLOOKUP(A89,'Job Operations'!A:O,15,FALSE)="Cidan",VLOOKUP(A89,'Job Operations'!A:Q,17,FALSE),"")),""))</f>
        <v/>
      </c>
      <c r="L89" s="150" t="str">
        <f>IF(A89="","",IFERROR(IF(VLOOKUP(A89,'Job Operations'!A:M,13,FALSE)="Cidan",VLOOKUP(A89,'Job Operations'!A:Q,17,FALSE),IF(VLOOKUP(A89,'Job Operations'!A:O,15,FALSE)="Cidan",VLOOKUP(A89,'Job Operations'!A:S,19,FALSE),"")),""))</f>
        <v/>
      </c>
      <c r="M89" s="152" t="str">
        <f>IF(A89="","",IFERROR(IF(VLOOKUP(A89,Notes!A:B,2,FALSE)=0,"",VLOOKUP(A89,Notes!A:B,2,FALSE)),""))</f>
        <v/>
      </c>
    </row>
    <row r="90" spans="1:13" s="140" customFormat="1" x14ac:dyDescent="0.25">
      <c r="A90" s="145"/>
      <c r="B90" s="146" t="str">
        <f>IF(A90="","",VLOOKUP(A90,'Job Operations'!A:B,2,FALSE))</f>
        <v/>
      </c>
      <c r="C90" s="146" t="str">
        <f>IF(A90="","",VLOOKUP(A90,'Job Operations'!A:C,3,FALSE))</f>
        <v/>
      </c>
      <c r="D90" s="146" t="str">
        <f>IF(A90="","",VLOOKUP(A90,'Job Operations'!A:E,5,FALSE))</f>
        <v/>
      </c>
      <c r="E90" s="146" t="str">
        <f>IF(A90="","",VLOOKUP(A90,'Job Operations'!A:F,6,FALSE))</f>
        <v/>
      </c>
      <c r="F90" s="146" t="str">
        <f>IF(A90="","",VLOOKUP(A90,'Job Operations'!A:G,7,FALSE))</f>
        <v/>
      </c>
      <c r="G90" s="147" t="str">
        <f>IF(A90="","",VLOOKUP(A90,'Job Operations'!A:I,9,FALSE))</f>
        <v/>
      </c>
      <c r="H90" s="146" t="str">
        <f>IF(A90="","",VLOOKUP(A90,'Job Operations'!A:L,12,FALSE))</f>
        <v/>
      </c>
      <c r="I90" s="146" t="str">
        <f t="shared" si="3"/>
        <v/>
      </c>
      <c r="J90" s="147" t="str">
        <f>IF(A90="","",IFERROR(IF(VLOOKUP(A90,'Job Operations'!A:M,13,FALSE)="Cidan",VLOOKUP(A90,'Job Operations'!A:N,14,FALSE),IF(VLOOKUP(A90,'Job Operations'!A:O,15,FALSE)="Cidan",VLOOKUP(A90,'Job Operations'!A:P,16,FALSE),IF(VLOOKUP(A90,'Job Operations'!A:Q,17,FALSE)="Cidan",VLOOKUP(A90,'Job Operations'!A:R,18,FALSE),""))),""))</f>
        <v/>
      </c>
      <c r="K90" s="146" t="str">
        <f>IF(A90="","",IFERROR(IF(VLOOKUP(A90,'Job Operations'!A:M,13,FALSE)="Cidan",VLOOKUP(A90,'Job Operations'!A:O,15,FALSE),IF(VLOOKUP(A90,'Job Operations'!A:O,15,FALSE)="Cidan",VLOOKUP(A90,'Job Operations'!A:Q,17,FALSE),"")),""))</f>
        <v/>
      </c>
      <c r="L90" s="146" t="str">
        <f>IF(A90="","",IFERROR(IF(VLOOKUP(A90,'Job Operations'!A:M,13,FALSE)="Cidan",VLOOKUP(A90,'Job Operations'!A:Q,17,FALSE),IF(VLOOKUP(A90,'Job Operations'!A:O,15,FALSE)="Cidan",VLOOKUP(A90,'Job Operations'!A:S,19,FALSE),"")),""))</f>
        <v/>
      </c>
      <c r="M90" s="148" t="str">
        <f>IF(A90="","",IFERROR(IF(VLOOKUP(A90,Notes!A:B,2,FALSE)=0,"",VLOOKUP(A90,Notes!A:B,2,FALSE)),""))</f>
        <v/>
      </c>
    </row>
    <row r="91" spans="1:13" s="140" customFormat="1" x14ac:dyDescent="0.25">
      <c r="A91" s="149"/>
      <c r="B91" s="150" t="str">
        <f>IF(A91="","",VLOOKUP(A91,'Job Operations'!A:B,2,FALSE))</f>
        <v/>
      </c>
      <c r="C91" s="150" t="str">
        <f>IF(A91="","",VLOOKUP(A91,'Job Operations'!A:C,3,FALSE))</f>
        <v/>
      </c>
      <c r="D91" s="150" t="str">
        <f>IF(A91="","",VLOOKUP(A91,'Job Operations'!A:E,5,FALSE))</f>
        <v/>
      </c>
      <c r="E91" s="150" t="str">
        <f>IF(A91="","",VLOOKUP(A91,'Job Operations'!A:F,6,FALSE))</f>
        <v/>
      </c>
      <c r="F91" s="150" t="str">
        <f>IF(A91="","",VLOOKUP(A91,'Job Operations'!A:G,7,FALSE))</f>
        <v/>
      </c>
      <c r="G91" s="151" t="str">
        <f>IF(A91="","",VLOOKUP(A91,'Job Operations'!A:I,9,FALSE))</f>
        <v/>
      </c>
      <c r="H91" s="150" t="str">
        <f>IF(A91="","",VLOOKUP(A91,'Job Operations'!A:L,12,FALSE))</f>
        <v/>
      </c>
      <c r="I91" s="150" t="str">
        <f t="shared" si="3"/>
        <v/>
      </c>
      <c r="J91" s="151" t="str">
        <f>IF(A91="","",IFERROR(IF(VLOOKUP(A91,'Job Operations'!A:M,13,FALSE)="Cidan",VLOOKUP(A91,'Job Operations'!A:N,14,FALSE),IF(VLOOKUP(A91,'Job Operations'!A:O,15,FALSE)="Cidan",VLOOKUP(A91,'Job Operations'!A:P,16,FALSE),IF(VLOOKUP(A91,'Job Operations'!A:Q,17,FALSE)="Cidan",VLOOKUP(A91,'Job Operations'!A:R,18,FALSE),""))),""))</f>
        <v/>
      </c>
      <c r="K91" s="150" t="str">
        <f>IF(A91="","",IFERROR(IF(VLOOKUP(A91,'Job Operations'!A:M,13,FALSE)="Cidan",VLOOKUP(A91,'Job Operations'!A:O,15,FALSE),IF(VLOOKUP(A91,'Job Operations'!A:O,15,FALSE)="Cidan",VLOOKUP(A91,'Job Operations'!A:Q,17,FALSE),"")),""))</f>
        <v/>
      </c>
      <c r="L91" s="150" t="str">
        <f>IF(A91="","",IFERROR(IF(VLOOKUP(A91,'Job Operations'!A:M,13,FALSE)="Cidan",VLOOKUP(A91,'Job Operations'!A:Q,17,FALSE),IF(VLOOKUP(A91,'Job Operations'!A:O,15,FALSE)="Cidan",VLOOKUP(A91,'Job Operations'!A:S,19,FALSE),"")),""))</f>
        <v/>
      </c>
      <c r="M91" s="152" t="str">
        <f>IF(A91="","",IFERROR(IF(VLOOKUP(A91,Notes!A:B,2,FALSE)=0,"",VLOOKUP(A91,Notes!A:B,2,FALSE)),""))</f>
        <v/>
      </c>
    </row>
    <row r="92" spans="1:13" s="140" customFormat="1" x14ac:dyDescent="0.25">
      <c r="A92" s="145"/>
      <c r="B92" s="146" t="str">
        <f>IF(A92="","",VLOOKUP(A92,'Job Operations'!A:B,2,FALSE))</f>
        <v/>
      </c>
      <c r="C92" s="146" t="str">
        <f>IF(A92="","",VLOOKUP(A92,'Job Operations'!A:C,3,FALSE))</f>
        <v/>
      </c>
      <c r="D92" s="146" t="str">
        <f>IF(A92="","",VLOOKUP(A92,'Job Operations'!A:E,5,FALSE))</f>
        <v/>
      </c>
      <c r="E92" s="146" t="str">
        <f>IF(A92="","",VLOOKUP(A92,'Job Operations'!A:F,6,FALSE))</f>
        <v/>
      </c>
      <c r="F92" s="146" t="str">
        <f>IF(A92="","",VLOOKUP(A92,'Job Operations'!A:G,7,FALSE))</f>
        <v/>
      </c>
      <c r="G92" s="147" t="str">
        <f>IF(A92="","",VLOOKUP(A92,'Job Operations'!A:I,9,FALSE))</f>
        <v/>
      </c>
      <c r="H92" s="146" t="str">
        <f>IF(A92="","",VLOOKUP(A92,'Job Operations'!A:L,12,FALSE))</f>
        <v/>
      </c>
      <c r="I92" s="146" t="str">
        <f t="shared" si="3"/>
        <v/>
      </c>
      <c r="J92" s="147" t="str">
        <f>IF(A92="","",IFERROR(IF(VLOOKUP(A92,'Job Operations'!A:M,13,FALSE)="Cidan",VLOOKUP(A92,'Job Operations'!A:N,14,FALSE),IF(VLOOKUP(A92,'Job Operations'!A:O,15,FALSE)="Cidan",VLOOKUP(A92,'Job Operations'!A:P,16,FALSE),IF(VLOOKUP(A92,'Job Operations'!A:Q,17,FALSE)="Cidan",VLOOKUP(A92,'Job Operations'!A:R,18,FALSE),""))),""))</f>
        <v/>
      </c>
      <c r="K92" s="146" t="str">
        <f>IF(A92="","",IFERROR(IF(VLOOKUP(A92,'Job Operations'!A:M,13,FALSE)="Cidan",VLOOKUP(A92,'Job Operations'!A:O,15,FALSE),IF(VLOOKUP(A92,'Job Operations'!A:O,15,FALSE)="Cidan",VLOOKUP(A92,'Job Operations'!A:Q,17,FALSE),"")),""))</f>
        <v/>
      </c>
      <c r="L92" s="146" t="str">
        <f>IF(A92="","",IFERROR(IF(VLOOKUP(A92,'Job Operations'!A:M,13,FALSE)="Cidan",VLOOKUP(A92,'Job Operations'!A:Q,17,FALSE),IF(VLOOKUP(A92,'Job Operations'!A:O,15,FALSE)="Cidan",VLOOKUP(A92,'Job Operations'!A:S,19,FALSE),"")),""))</f>
        <v/>
      </c>
      <c r="M92" s="148" t="str">
        <f>IF(A92="","",IFERROR(IF(VLOOKUP(A92,Notes!A:B,2,FALSE)=0,"",VLOOKUP(A92,Notes!A:B,2,FALSE)),""))</f>
        <v/>
      </c>
    </row>
    <row r="93" spans="1:13" s="140" customFormat="1" x14ac:dyDescent="0.25">
      <c r="A93" s="149"/>
      <c r="B93" s="150" t="str">
        <f>IF(A93="","",VLOOKUP(A93,'Job Operations'!A:B,2,FALSE))</f>
        <v/>
      </c>
      <c r="C93" s="150" t="str">
        <f>IF(A93="","",VLOOKUP(A93,'Job Operations'!A:C,3,FALSE))</f>
        <v/>
      </c>
      <c r="D93" s="150" t="str">
        <f>IF(A93="","",VLOOKUP(A93,'Job Operations'!A:E,5,FALSE))</f>
        <v/>
      </c>
      <c r="E93" s="150" t="str">
        <f>IF(A93="","",VLOOKUP(A93,'Job Operations'!A:F,6,FALSE))</f>
        <v/>
      </c>
      <c r="F93" s="150" t="str">
        <f>IF(A93="","",VLOOKUP(A93,'Job Operations'!A:G,7,FALSE))</f>
        <v/>
      </c>
      <c r="G93" s="151" t="str">
        <f>IF(A93="","",VLOOKUP(A93,'Job Operations'!A:I,9,FALSE))</f>
        <v/>
      </c>
      <c r="H93" s="150" t="str">
        <f>IF(A93="","",VLOOKUP(A93,'Job Operations'!A:L,12,FALSE))</f>
        <v/>
      </c>
      <c r="I93" s="150" t="str">
        <f t="shared" si="3"/>
        <v/>
      </c>
      <c r="J93" s="151" t="str">
        <f>IF(A93="","",IFERROR(IF(VLOOKUP(A93,'Job Operations'!A:M,13,FALSE)="Cidan",VLOOKUP(A93,'Job Operations'!A:N,14,FALSE),IF(VLOOKUP(A93,'Job Operations'!A:O,15,FALSE)="Cidan",VLOOKUP(A93,'Job Operations'!A:P,16,FALSE),IF(VLOOKUP(A93,'Job Operations'!A:Q,17,FALSE)="Cidan",VLOOKUP(A93,'Job Operations'!A:R,18,FALSE),""))),""))</f>
        <v/>
      </c>
      <c r="K93" s="150" t="str">
        <f>IF(A93="","",IFERROR(IF(VLOOKUP(A93,'Job Operations'!A:M,13,FALSE)="Cidan",VLOOKUP(A93,'Job Operations'!A:O,15,FALSE),IF(VLOOKUP(A93,'Job Operations'!A:O,15,FALSE)="Cidan",VLOOKUP(A93,'Job Operations'!A:Q,17,FALSE),"")),""))</f>
        <v/>
      </c>
      <c r="L93" s="150" t="str">
        <f>IF(A93="","",IFERROR(IF(VLOOKUP(A93,'Job Operations'!A:M,13,FALSE)="Cidan",VLOOKUP(A93,'Job Operations'!A:Q,17,FALSE),IF(VLOOKUP(A93,'Job Operations'!A:O,15,FALSE)="Cidan",VLOOKUP(A93,'Job Operations'!A:S,19,FALSE),"")),""))</f>
        <v/>
      </c>
      <c r="M93" s="152" t="str">
        <f>IF(A93="","",IFERROR(IF(VLOOKUP(A93,Notes!A:B,2,FALSE)=0,"",VLOOKUP(A93,Notes!A:B,2,FALSE)),""))</f>
        <v/>
      </c>
    </row>
    <row r="94" spans="1:13" s="140" customFormat="1" x14ac:dyDescent="0.25">
      <c r="A94" s="145"/>
      <c r="B94" s="146" t="str">
        <f>IF(A94="","",VLOOKUP(A94,'Job Operations'!A:B,2,FALSE))</f>
        <v/>
      </c>
      <c r="C94" s="146" t="str">
        <f>IF(A94="","",VLOOKUP(A94,'Job Operations'!A:C,3,FALSE))</f>
        <v/>
      </c>
      <c r="D94" s="146" t="str">
        <f>IF(A94="","",VLOOKUP(A94,'Job Operations'!A:E,5,FALSE))</f>
        <v/>
      </c>
      <c r="E94" s="146" t="str">
        <f>IF(A94="","",VLOOKUP(A94,'Job Operations'!A:F,6,FALSE))</f>
        <v/>
      </c>
      <c r="F94" s="146" t="str">
        <f>IF(A94="","",VLOOKUP(A94,'Job Operations'!A:G,7,FALSE))</f>
        <v/>
      </c>
      <c r="G94" s="147" t="str">
        <f>IF(A94="","",VLOOKUP(A94,'Job Operations'!A:I,9,FALSE))</f>
        <v/>
      </c>
      <c r="H94" s="146" t="str">
        <f>IF(A94="","",VLOOKUP(A94,'Job Operations'!A:L,12,FALSE))</f>
        <v/>
      </c>
      <c r="I94" s="146" t="str">
        <f t="shared" si="3"/>
        <v/>
      </c>
      <c r="J94" s="147" t="str">
        <f>IF(A94="","",IFERROR(IF(VLOOKUP(A94,'Job Operations'!A:M,13,FALSE)="Cidan",VLOOKUP(A94,'Job Operations'!A:N,14,FALSE),IF(VLOOKUP(A94,'Job Operations'!A:O,15,FALSE)="Cidan",VLOOKUP(A94,'Job Operations'!A:P,16,FALSE),IF(VLOOKUP(A94,'Job Operations'!A:Q,17,FALSE)="Cidan",VLOOKUP(A94,'Job Operations'!A:R,18,FALSE),""))),""))</f>
        <v/>
      </c>
      <c r="K94" s="146" t="str">
        <f>IF(A94="","",IFERROR(IF(VLOOKUP(A94,'Job Operations'!A:M,13,FALSE)="Cidan",VLOOKUP(A94,'Job Operations'!A:O,15,FALSE),IF(VLOOKUP(A94,'Job Operations'!A:O,15,FALSE)="Cidan",VLOOKUP(A94,'Job Operations'!A:Q,17,FALSE),"")),""))</f>
        <v/>
      </c>
      <c r="L94" s="146" t="str">
        <f>IF(A94="","",IFERROR(IF(VLOOKUP(A94,'Job Operations'!A:M,13,FALSE)="Cidan",VLOOKUP(A94,'Job Operations'!A:Q,17,FALSE),IF(VLOOKUP(A94,'Job Operations'!A:O,15,FALSE)="Cidan",VLOOKUP(A94,'Job Operations'!A:S,19,FALSE),"")),""))</f>
        <v/>
      </c>
      <c r="M94" s="148" t="str">
        <f>IF(A94="","",IFERROR(IF(VLOOKUP(A94,Notes!A:B,2,FALSE)=0,"",VLOOKUP(A94,Notes!A:B,2,FALSE)),""))</f>
        <v/>
      </c>
    </row>
    <row r="95" spans="1:13" s="140" customFormat="1" x14ac:dyDescent="0.25">
      <c r="A95" s="149"/>
      <c r="B95" s="150" t="str">
        <f>IF(A95="","",VLOOKUP(A95,'Job Operations'!A:B,2,FALSE))</f>
        <v/>
      </c>
      <c r="C95" s="150" t="str">
        <f>IF(A95="","",VLOOKUP(A95,'Job Operations'!A:C,3,FALSE))</f>
        <v/>
      </c>
      <c r="D95" s="150" t="str">
        <f>IF(A95="","",VLOOKUP(A95,'Job Operations'!A:E,5,FALSE))</f>
        <v/>
      </c>
      <c r="E95" s="150" t="str">
        <f>IF(A95="","",VLOOKUP(A95,'Job Operations'!A:F,6,FALSE))</f>
        <v/>
      </c>
      <c r="F95" s="150" t="str">
        <f>IF(A95="","",VLOOKUP(A95,'Job Operations'!A:G,7,FALSE))</f>
        <v/>
      </c>
      <c r="G95" s="151" t="str">
        <f>IF(A95="","",VLOOKUP(A95,'Job Operations'!A:I,9,FALSE))</f>
        <v/>
      </c>
      <c r="H95" s="150" t="str">
        <f>IF(A95="","",VLOOKUP(A95,'Job Operations'!A:L,12,FALSE))</f>
        <v/>
      </c>
      <c r="I95" s="150" t="str">
        <f t="shared" si="3"/>
        <v/>
      </c>
      <c r="J95" s="151" t="str">
        <f>IF(A95="","",IFERROR(IF(VLOOKUP(A95,'Job Operations'!A:M,13,FALSE)="Cidan",VLOOKUP(A95,'Job Operations'!A:N,14,FALSE),IF(VLOOKUP(A95,'Job Operations'!A:O,15,FALSE)="Cidan",VLOOKUP(A95,'Job Operations'!A:P,16,FALSE),IF(VLOOKUP(A95,'Job Operations'!A:Q,17,FALSE)="Cidan",VLOOKUP(A95,'Job Operations'!A:R,18,FALSE),""))),""))</f>
        <v/>
      </c>
      <c r="K95" s="150" t="str">
        <f>IF(A95="","",IFERROR(IF(VLOOKUP(A95,'Job Operations'!A:M,13,FALSE)="Cidan",VLOOKUP(A95,'Job Operations'!A:O,15,FALSE),IF(VLOOKUP(A95,'Job Operations'!A:O,15,FALSE)="Cidan",VLOOKUP(A95,'Job Operations'!A:Q,17,FALSE),"")),""))</f>
        <v/>
      </c>
      <c r="L95" s="150" t="str">
        <f>IF(A95="","",IFERROR(IF(VLOOKUP(A95,'Job Operations'!A:M,13,FALSE)="Cidan",VLOOKUP(A95,'Job Operations'!A:Q,17,FALSE),IF(VLOOKUP(A95,'Job Operations'!A:O,15,FALSE)="Cidan",VLOOKUP(A95,'Job Operations'!A:S,19,FALSE),"")),""))</f>
        <v/>
      </c>
      <c r="M95" s="152" t="str">
        <f>IF(A95="","",IFERROR(IF(VLOOKUP(A95,Notes!A:B,2,FALSE)=0,"",VLOOKUP(A95,Notes!A:B,2,FALSE)),""))</f>
        <v/>
      </c>
    </row>
    <row r="96" spans="1:13" s="140" customFormat="1" x14ac:dyDescent="0.25">
      <c r="A96" s="145"/>
      <c r="B96" s="146" t="str">
        <f>IF(A96="","",VLOOKUP(A96,'Job Operations'!A:B,2,FALSE))</f>
        <v/>
      </c>
      <c r="C96" s="146" t="str">
        <f>IF(A96="","",VLOOKUP(A96,'Job Operations'!A:C,3,FALSE))</f>
        <v/>
      </c>
      <c r="D96" s="146" t="str">
        <f>IF(A96="","",VLOOKUP(A96,'Job Operations'!A:E,5,FALSE))</f>
        <v/>
      </c>
      <c r="E96" s="146" t="str">
        <f>IF(A96="","",VLOOKUP(A96,'Job Operations'!A:F,6,FALSE))</f>
        <v/>
      </c>
      <c r="F96" s="146" t="str">
        <f>IF(A96="","",VLOOKUP(A96,'Job Operations'!A:G,7,FALSE))</f>
        <v/>
      </c>
      <c r="G96" s="147" t="str">
        <f>IF(A96="","",VLOOKUP(A96,'Job Operations'!A:I,9,FALSE))</f>
        <v/>
      </c>
      <c r="H96" s="146" t="str">
        <f>IF(A96="","",VLOOKUP(A96,'Job Operations'!A:L,12,FALSE))</f>
        <v/>
      </c>
      <c r="I96" s="146" t="str">
        <f t="shared" si="3"/>
        <v/>
      </c>
      <c r="J96" s="147" t="str">
        <f>IF(A96="","",IFERROR(IF(VLOOKUP(A96,'Job Operations'!A:M,13,FALSE)="Cidan",VLOOKUP(A96,'Job Operations'!A:N,14,FALSE),IF(VLOOKUP(A96,'Job Operations'!A:O,15,FALSE)="Cidan",VLOOKUP(A96,'Job Operations'!A:P,16,FALSE),IF(VLOOKUP(A96,'Job Operations'!A:Q,17,FALSE)="Cidan",VLOOKUP(A96,'Job Operations'!A:R,18,FALSE),""))),""))</f>
        <v/>
      </c>
      <c r="K96" s="146" t="str">
        <f>IF(A96="","",IFERROR(IF(VLOOKUP(A96,'Job Operations'!A:M,13,FALSE)="Cidan",VLOOKUP(A96,'Job Operations'!A:O,15,FALSE),IF(VLOOKUP(A96,'Job Operations'!A:O,15,FALSE)="Cidan",VLOOKUP(A96,'Job Operations'!A:Q,17,FALSE),"")),""))</f>
        <v/>
      </c>
      <c r="L96" s="146" t="str">
        <f>IF(A96="","",IFERROR(IF(VLOOKUP(A96,'Job Operations'!A:M,13,FALSE)="Cidan",VLOOKUP(A96,'Job Operations'!A:Q,17,FALSE),IF(VLOOKUP(A96,'Job Operations'!A:O,15,FALSE)="Cidan",VLOOKUP(A96,'Job Operations'!A:S,19,FALSE),"")),""))</f>
        <v/>
      </c>
      <c r="M96" s="148" t="str">
        <f>IF(A96="","",IFERROR(IF(VLOOKUP(A96,Notes!A:B,2,FALSE)=0,"",VLOOKUP(A96,Notes!A:B,2,FALSE)),""))</f>
        <v/>
      </c>
    </row>
    <row r="97" spans="1:13" s="140" customFormat="1" x14ac:dyDescent="0.25">
      <c r="A97" s="149"/>
      <c r="B97" s="150" t="str">
        <f>IF(A97="","",VLOOKUP(A97,'Job Operations'!A:B,2,FALSE))</f>
        <v/>
      </c>
      <c r="C97" s="150" t="str">
        <f>IF(A97="","",VLOOKUP(A97,'Job Operations'!A:C,3,FALSE))</f>
        <v/>
      </c>
      <c r="D97" s="150" t="str">
        <f>IF(A97="","",VLOOKUP(A97,'Job Operations'!A:E,5,FALSE))</f>
        <v/>
      </c>
      <c r="E97" s="150" t="str">
        <f>IF(A97="","",VLOOKUP(A97,'Job Operations'!A:F,6,FALSE))</f>
        <v/>
      </c>
      <c r="F97" s="150" t="str">
        <f>IF(A97="","",VLOOKUP(A97,'Job Operations'!A:G,7,FALSE))</f>
        <v/>
      </c>
      <c r="G97" s="151" t="str">
        <f>IF(A97="","",VLOOKUP(A97,'Job Operations'!A:I,9,FALSE))</f>
        <v/>
      </c>
      <c r="H97" s="150" t="str">
        <f>IF(A97="","",VLOOKUP(A97,'Job Operations'!A:L,12,FALSE))</f>
        <v/>
      </c>
      <c r="I97" s="150" t="str">
        <f t="shared" si="3"/>
        <v/>
      </c>
      <c r="J97" s="151" t="str">
        <f>IF(A97="","",IFERROR(IF(VLOOKUP(A97,'Job Operations'!A:M,13,FALSE)="Cidan",VLOOKUP(A97,'Job Operations'!A:N,14,FALSE),IF(VLOOKUP(A97,'Job Operations'!A:O,15,FALSE)="Cidan",VLOOKUP(A97,'Job Operations'!A:P,16,FALSE),IF(VLOOKUP(A97,'Job Operations'!A:Q,17,FALSE)="Cidan",VLOOKUP(A97,'Job Operations'!A:R,18,FALSE),""))),""))</f>
        <v/>
      </c>
      <c r="K97" s="150" t="str">
        <f>IF(A97="","",IFERROR(IF(VLOOKUP(A97,'Job Operations'!A:M,13,FALSE)="Cidan",VLOOKUP(A97,'Job Operations'!A:O,15,FALSE),IF(VLOOKUP(A97,'Job Operations'!A:O,15,FALSE)="Cidan",VLOOKUP(A97,'Job Operations'!A:Q,17,FALSE),"")),""))</f>
        <v/>
      </c>
      <c r="L97" s="150" t="str">
        <f>IF(A97="","",IFERROR(IF(VLOOKUP(A97,'Job Operations'!A:M,13,FALSE)="Cidan",VLOOKUP(A97,'Job Operations'!A:Q,17,FALSE),IF(VLOOKUP(A97,'Job Operations'!A:O,15,FALSE)="Cidan",VLOOKUP(A97,'Job Operations'!A:S,19,FALSE),"")),""))</f>
        <v/>
      </c>
      <c r="M97" s="152" t="str">
        <f>IF(A97="","",IFERROR(IF(VLOOKUP(A97,Notes!A:B,2,FALSE)=0,"",VLOOKUP(A97,Notes!A:B,2,FALSE)),""))</f>
        <v/>
      </c>
    </row>
    <row r="98" spans="1:13" s="140" customFormat="1" x14ac:dyDescent="0.25">
      <c r="A98" s="145"/>
      <c r="B98" s="146" t="str">
        <f>IF(A98="","",VLOOKUP(A98,'Job Operations'!A:B,2,FALSE))</f>
        <v/>
      </c>
      <c r="C98" s="146" t="str">
        <f>IF(A98="","",VLOOKUP(A98,'Job Operations'!A:C,3,FALSE))</f>
        <v/>
      </c>
      <c r="D98" s="146" t="str">
        <f>IF(A98="","",VLOOKUP(A98,'Job Operations'!A:E,5,FALSE))</f>
        <v/>
      </c>
      <c r="E98" s="146" t="str">
        <f>IF(A98="","",VLOOKUP(A98,'Job Operations'!A:F,6,FALSE))</f>
        <v/>
      </c>
      <c r="F98" s="146" t="str">
        <f>IF(A98="","",VLOOKUP(A98,'Job Operations'!A:G,7,FALSE))</f>
        <v/>
      </c>
      <c r="G98" s="147" t="str">
        <f>IF(A98="","",VLOOKUP(A98,'Job Operations'!A:I,9,FALSE))</f>
        <v/>
      </c>
      <c r="H98" s="146" t="str">
        <f>IF(A98="","",VLOOKUP(A98,'Job Operations'!A:L,12,FALSE))</f>
        <v/>
      </c>
      <c r="I98" s="146" t="str">
        <f t="shared" si="3"/>
        <v/>
      </c>
      <c r="J98" s="147" t="str">
        <f>IF(A98="","",IFERROR(IF(VLOOKUP(A98,'Job Operations'!A:M,13,FALSE)="Cidan",VLOOKUP(A98,'Job Operations'!A:N,14,FALSE),IF(VLOOKUP(A98,'Job Operations'!A:O,15,FALSE)="Cidan",VLOOKUP(A98,'Job Operations'!A:P,16,FALSE),IF(VLOOKUP(A98,'Job Operations'!A:Q,17,FALSE)="Cidan",VLOOKUP(A98,'Job Operations'!A:R,18,FALSE),""))),""))</f>
        <v/>
      </c>
      <c r="K98" s="146" t="str">
        <f>IF(A98="","",IFERROR(IF(VLOOKUP(A98,'Job Operations'!A:M,13,FALSE)="Cidan",VLOOKUP(A98,'Job Operations'!A:O,15,FALSE),IF(VLOOKUP(A98,'Job Operations'!A:O,15,FALSE)="Cidan",VLOOKUP(A98,'Job Operations'!A:Q,17,FALSE),"")),""))</f>
        <v/>
      </c>
      <c r="L98" s="146" t="str">
        <f>IF(A98="","",IFERROR(IF(VLOOKUP(A98,'Job Operations'!A:M,13,FALSE)="Cidan",VLOOKUP(A98,'Job Operations'!A:Q,17,FALSE),IF(VLOOKUP(A98,'Job Operations'!A:O,15,FALSE)="Cidan",VLOOKUP(A98,'Job Operations'!A:S,19,FALSE),"")),""))</f>
        <v/>
      </c>
      <c r="M98" s="148" t="str">
        <f>IF(A98="","",IFERROR(IF(VLOOKUP(A98,Notes!A:B,2,FALSE)=0,"",VLOOKUP(A98,Notes!A:B,2,FALSE)),""))</f>
        <v/>
      </c>
    </row>
    <row r="99" spans="1:13" s="140" customFormat="1" x14ac:dyDescent="0.25">
      <c r="A99" s="149"/>
      <c r="B99" s="150" t="str">
        <f>IF(A99="","",VLOOKUP(A99,'Job Operations'!A:B,2,FALSE))</f>
        <v/>
      </c>
      <c r="C99" s="150" t="str">
        <f>IF(A99="","",VLOOKUP(A99,'Job Operations'!A:C,3,FALSE))</f>
        <v/>
      </c>
      <c r="D99" s="150" t="str">
        <f>IF(A99="","",VLOOKUP(A99,'Job Operations'!A:E,5,FALSE))</f>
        <v/>
      </c>
      <c r="E99" s="150" t="str">
        <f>IF(A99="","",VLOOKUP(A99,'Job Operations'!A:F,6,FALSE))</f>
        <v/>
      </c>
      <c r="F99" s="150" t="str">
        <f>IF(A99="","",VLOOKUP(A99,'Job Operations'!A:G,7,FALSE))</f>
        <v/>
      </c>
      <c r="G99" s="151" t="str">
        <f>IF(A99="","",VLOOKUP(A99,'Job Operations'!A:I,9,FALSE))</f>
        <v/>
      </c>
      <c r="H99" s="150" t="str">
        <f>IF(A99="","",VLOOKUP(A99,'Job Operations'!A:L,12,FALSE))</f>
        <v/>
      </c>
      <c r="I99" s="150" t="str">
        <f t="shared" si="3"/>
        <v/>
      </c>
      <c r="J99" s="151" t="str">
        <f>IF(A99="","",IFERROR(IF(VLOOKUP(A99,'Job Operations'!A:M,13,FALSE)="Cidan",VLOOKUP(A99,'Job Operations'!A:N,14,FALSE),IF(VLOOKUP(A99,'Job Operations'!A:O,15,FALSE)="Cidan",VLOOKUP(A99,'Job Operations'!A:P,16,FALSE),IF(VLOOKUP(A99,'Job Operations'!A:Q,17,FALSE)="Cidan",VLOOKUP(A99,'Job Operations'!A:R,18,FALSE),""))),""))</f>
        <v/>
      </c>
      <c r="K99" s="150" t="str">
        <f>IF(A99="","",IFERROR(IF(VLOOKUP(A99,'Job Operations'!A:M,13,FALSE)="Cidan",VLOOKUP(A99,'Job Operations'!A:O,15,FALSE),IF(VLOOKUP(A99,'Job Operations'!A:O,15,FALSE)="Cidan",VLOOKUP(A99,'Job Operations'!A:Q,17,FALSE),"")),""))</f>
        <v/>
      </c>
      <c r="L99" s="150" t="str">
        <f>IF(A99="","",IFERROR(IF(VLOOKUP(A99,'Job Operations'!A:M,13,FALSE)="Cidan",VLOOKUP(A99,'Job Operations'!A:Q,17,FALSE),IF(VLOOKUP(A99,'Job Operations'!A:O,15,FALSE)="Cidan",VLOOKUP(A99,'Job Operations'!A:S,19,FALSE),"")),""))</f>
        <v/>
      </c>
      <c r="M99" s="152" t="str">
        <f>IF(A99="","",IFERROR(IF(VLOOKUP(A99,Notes!A:B,2,FALSE)=0,"",VLOOKUP(A99,Notes!A:B,2,FALSE)),""))</f>
        <v/>
      </c>
    </row>
    <row r="100" spans="1:13" s="140" customFormat="1" x14ac:dyDescent="0.25">
      <c r="A100" s="153"/>
      <c r="B100" s="154" t="str">
        <f>IF(A100="","",VLOOKUP(A100,'Job Operations'!A:B,2,FALSE))</f>
        <v/>
      </c>
      <c r="C100" s="154" t="str">
        <f>IF(A100="","",VLOOKUP(A100,'Job Operations'!A:C,3,FALSE))</f>
        <v/>
      </c>
      <c r="D100" s="154" t="str">
        <f>IF(A100="","",VLOOKUP(A100,'Job Operations'!A:E,5,FALSE))</f>
        <v/>
      </c>
      <c r="E100" s="154" t="str">
        <f>IF(A100="","",VLOOKUP(A100,'Job Operations'!A:F,6,FALSE))</f>
        <v/>
      </c>
      <c r="F100" s="154" t="str">
        <f>IF(A100="","",VLOOKUP(A100,'Job Operations'!A:G,7,FALSE))</f>
        <v/>
      </c>
      <c r="G100" s="155" t="str">
        <f>IF(A100="","",VLOOKUP(A100,'Job Operations'!A:I,9,FALSE))</f>
        <v/>
      </c>
      <c r="H100" s="154" t="str">
        <f>IF(A100="","",VLOOKUP(A100,'Job Operations'!A:L,12,FALSE))</f>
        <v/>
      </c>
      <c r="I100" s="154" t="str">
        <f t="shared" si="3"/>
        <v/>
      </c>
      <c r="J100" s="155" t="str">
        <f>IF(A100="","",IFERROR(IF(VLOOKUP(A100,'Job Operations'!A:M,13,FALSE)="Cidan",VLOOKUP(A100,'Job Operations'!A:N,14,FALSE),IF(VLOOKUP(A100,'Job Operations'!A:O,15,FALSE)="Cidan",VLOOKUP(A100,'Job Operations'!A:P,16,FALSE),IF(VLOOKUP(A100,'Job Operations'!A:Q,17,FALSE)="Cidan",VLOOKUP(A100,'Job Operations'!A:R,18,FALSE),""))),""))</f>
        <v/>
      </c>
      <c r="K100" s="154" t="str">
        <f>IF(A100="","",IFERROR(IF(VLOOKUP(A100,'Job Operations'!A:M,13,FALSE)="Cidan",VLOOKUP(A100,'Job Operations'!A:O,15,FALSE),IF(VLOOKUP(A100,'Job Operations'!A:O,15,FALSE)="Cidan",VLOOKUP(A100,'Job Operations'!A:Q,17,FALSE),"")),""))</f>
        <v/>
      </c>
      <c r="L100" s="154" t="str">
        <f>IF(A100="","",IFERROR(IF(VLOOKUP(A100,'Job Operations'!A:M,13,FALSE)="Cidan",VLOOKUP(A100,'Job Operations'!A:Q,17,FALSE),IF(VLOOKUP(A100,'Job Operations'!A:O,15,FALSE)="Cidan",VLOOKUP(A100,'Job Operations'!A:S,19,FALSE),"")),""))</f>
        <v/>
      </c>
      <c r="M100" s="156" t="str">
        <f>IF(A100="","",IFERROR(IF(VLOOKUP(A100,Notes!A:B,2,FALSE)=0,"",VLOOKUP(A100,Notes!A:B,2,FALSE)),""))</f>
        <v/>
      </c>
    </row>
  </sheetData>
  <mergeCells count="2">
    <mergeCell ref="A4:L4"/>
    <mergeCell ref="A5:L5"/>
  </mergeCells>
  <conditionalFormatting sqref="A7:M100">
    <cfRule type="expression" dxfId="39" priority="8">
      <formula>AND($D$1&lt;&gt;"", $A7=$D$1)</formula>
    </cfRule>
    <cfRule type="expression" dxfId="38" priority="9">
      <formula>AND($A7&lt;&gt;"", OR(LEFT($I7,1)="1", LEFT($I7,1)="2", LEFT($I7,1)="3", LEFT($I7,1)="4", LEFT($I7,1)="5", LEFT($I7,1)="6", LEFT($I7,1)="7", LEFT($I7,1)="8", LEFT($I7,1)="9"))</formula>
    </cfRule>
    <cfRule type="expression" dxfId="37" priority="10">
      <formula>AND($A7&lt;&gt;"", $J7&lt;TODAY(), $G7&gt;=TODAY())</formula>
    </cfRule>
    <cfRule type="expression" dxfId="36" priority="11">
      <formula>AND($A7&lt;&gt;"", $J7&lt;TODAY(), $G7&lt;TODAY())</formula>
    </cfRule>
  </conditionalFormatting>
  <conditionalFormatting sqref="D1">
    <cfRule type="expression" dxfId="35" priority="1">
      <formula>D1="🔴 LATE"</formula>
    </cfRule>
    <cfRule type="expression" dxfId="34" priority="2">
      <formula>D1="🟢 ON TIME"</formula>
    </cfRule>
  </conditionalFormatting>
  <conditionalFormatting sqref="E1">
    <cfRule type="containsText" dxfId="33" priority="6" operator="containsText" text="LATE">
      <formula>NOT(ISERROR(SEARCH("LATE",E1)))</formula>
    </cfRule>
    <cfRule type="containsText" dxfId="32" priority="7" operator="containsText" text="ON TIME">
      <formula>NOT(ISERROR(SEARCH("ON TIME",E1)))</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C361B320-609F-4013-9D20-0A410854843E}">
          <x14:formula1>
            <xm:f>Lookup!$C:$C</xm:f>
          </x14:formula1>
          <xm:sqref>D1</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0CEA0-D607-494A-9FE8-40E743992EE7}">
  <sheetPr>
    <tabColor rgb="FF1F4E79"/>
  </sheetPr>
  <dimension ref="A1:M100"/>
  <sheetViews>
    <sheetView workbookViewId="0">
      <pane ySplit="6" topLeftCell="A7" activePane="bottomLeft" state="frozen"/>
      <selection pane="bottomLeft" activeCell="D3" sqref="D3"/>
    </sheetView>
  </sheetViews>
  <sheetFormatPr defaultRowHeight="15" x14ac:dyDescent="0.25"/>
  <cols>
    <col min="1" max="1" width="17.85546875" customWidth="1"/>
    <col min="2" max="3" width="28.5703125" customWidth="1"/>
    <col min="4" max="5" width="13.28515625" customWidth="1"/>
    <col min="6" max="6" width="19" customWidth="1"/>
    <col min="7" max="7" width="17.140625" customWidth="1"/>
    <col min="8" max="8" width="21" customWidth="1"/>
    <col min="9" max="9" width="19" customWidth="1"/>
    <col min="10" max="10" width="17.140625" customWidth="1"/>
    <col min="11" max="11" width="19" customWidth="1"/>
    <col min="12" max="12" width="38.140625" customWidth="1"/>
  </cols>
  <sheetData>
    <row r="1" spans="1:13" ht="47.25" customHeight="1" x14ac:dyDescent="0.25">
      <c r="A1" s="159"/>
      <c r="B1" s="79"/>
      <c r="C1" s="83" t="s">
        <v>2735</v>
      </c>
      <c r="D1" s="63"/>
      <c r="E1" s="77" t="str">
        <f ca="1">IF(D1="","",IF(IFERROR(VLOOKUP(D1,'Job Operations'!A:L,9,FALSE),"")="","❌ NOT FOUND",IF(VLOOKUP(D1,'Job Operations'!A:L,9,FALSE)&lt;TODAY(),"🔴 LATE","🟢 ON TIME")))</f>
        <v/>
      </c>
      <c r="F1" s="77" t="str">
        <f>IF(D1="","",IFERROR(VLOOKUP(D1,'Job Operations'!A:B,2,FALSE),""))</f>
        <v/>
      </c>
      <c r="G1" s="77" t="str">
        <f>IF(D1="","",IFERROR("Ship: "&amp;TEXT(VLOOKUP(D1,'Job Operations'!A:I,9,FALSE),"mm/dd/yyyy"),""))</f>
        <v/>
      </c>
      <c r="H1" s="77" t="str">
        <f>IF(D1="","",IFERROR("Station: "&amp;VLOOKUP(D1,'Job Operations'!A:L,12,FALSE),""))</f>
        <v/>
      </c>
      <c r="I1" s="77"/>
      <c r="J1" s="77"/>
      <c r="K1" s="77"/>
      <c r="L1" s="77"/>
      <c r="M1" s="162"/>
    </row>
    <row r="2" spans="1:13" ht="21.75" customHeight="1" x14ac:dyDescent="0.25">
      <c r="A2" s="8"/>
      <c r="B2" s="8"/>
      <c r="C2" s="8"/>
      <c r="D2" s="8"/>
      <c r="E2" s="8"/>
      <c r="F2" s="8"/>
      <c r="G2" s="8"/>
      <c r="H2" s="8"/>
      <c r="I2" s="8"/>
      <c r="J2" s="8"/>
      <c r="K2" s="8"/>
      <c r="L2" s="8"/>
      <c r="M2" s="163"/>
    </row>
    <row r="3" spans="1:13" ht="20.25" customHeight="1" x14ac:dyDescent="0.25">
      <c r="A3" s="8"/>
      <c r="B3" s="8"/>
      <c r="C3" s="8"/>
      <c r="D3" s="8"/>
      <c r="E3" s="8"/>
      <c r="F3" s="8"/>
      <c r="G3" s="8"/>
      <c r="H3" s="8"/>
      <c r="I3" s="8"/>
      <c r="J3" s="8"/>
      <c r="K3" s="8"/>
      <c r="L3" s="8"/>
      <c r="M3" s="163"/>
    </row>
    <row r="4" spans="1:13" ht="24.95" customHeight="1" x14ac:dyDescent="0.25">
      <c r="A4" s="303" t="s">
        <v>2767</v>
      </c>
      <c r="B4" s="303"/>
      <c r="C4" s="303"/>
      <c r="D4" s="303"/>
      <c r="E4" s="303"/>
      <c r="F4" s="303"/>
      <c r="G4" s="303"/>
      <c r="H4" s="303"/>
      <c r="I4" s="303"/>
      <c r="J4" s="303"/>
      <c r="K4" s="303"/>
      <c r="L4" s="303"/>
    </row>
    <row r="5" spans="1:13" ht="20.100000000000001" customHeight="1" x14ac:dyDescent="0.25">
      <c r="A5" s="304" t="s">
        <v>2768</v>
      </c>
      <c r="B5" s="304"/>
      <c r="C5" s="304"/>
      <c r="D5" s="304"/>
      <c r="E5" s="304"/>
      <c r="F5" s="304"/>
      <c r="G5" s="304"/>
      <c r="H5" s="304"/>
      <c r="I5" s="304"/>
      <c r="J5" s="304"/>
      <c r="K5" s="304"/>
      <c r="L5" s="304"/>
    </row>
    <row r="6" spans="1:13" ht="21.95" customHeight="1" x14ac:dyDescent="0.25">
      <c r="A6" s="209" t="s">
        <v>1</v>
      </c>
      <c r="B6" s="210" t="s">
        <v>3</v>
      </c>
      <c r="C6" s="210" t="s">
        <v>5</v>
      </c>
      <c r="D6" s="210" t="s">
        <v>17</v>
      </c>
      <c r="E6" s="210" t="s">
        <v>18</v>
      </c>
      <c r="F6" s="210" t="s">
        <v>25</v>
      </c>
      <c r="G6" s="210" t="s">
        <v>54</v>
      </c>
      <c r="H6" s="210" t="s">
        <v>2738</v>
      </c>
      <c r="I6" s="210" t="s">
        <v>2746</v>
      </c>
      <c r="J6" s="210" t="s">
        <v>2769</v>
      </c>
      <c r="K6" s="210" t="s">
        <v>2749</v>
      </c>
      <c r="L6" s="211" t="s">
        <v>2742</v>
      </c>
    </row>
    <row r="7" spans="1:13" ht="18" customHeight="1" x14ac:dyDescent="0.25">
      <c r="A7" t="str" cm="1">
        <f t="array" ref="A7:H8">_xlfn.LET(_xlpm.data,'Job Operations'!A5:Z304,_xlpm.ids,INDEX(_xlpm.data,,1),_xlpm.names,INDEX(_xlpm.data,,2),_xlpm.pms,INDEX(_xlpm.data,,3),_xlpm.panels,INDEX(_xlpm.data,,5),_xlpm.parts,INDEX(_xlpm.data,,6),_xlpm.mats,INDEX(_xlpm.data,,7),_xlpm.ships,INDEX(_xlpm.data,,9),_xlpm.stations,INDEX(_xlpm.data,,12),_xlpm.ops,INDEX(_xlpm.data,,13)&amp;INDEX(_xlpm.data,,15)&amp;INDEX(_xlpm.data,,17)&amp;INDEX(_xlpm.data,,19)&amp;INDEX(_xlpm.data,,21)&amp;INDEX(_xlpm.data,,23),_xlpm.hasSaw,ISNUMBER(SEARCH("Extrusion Saw",_xlpm.stations&amp;_xlpm.ops)),_xlpm.notRTS,ISERROR(SEARCH("RTS",_xlpm.stations)),_xlpm.notReady,ISERROR(SEARCH("Ready to Ship",_xlpm.stations)),_xlpm.notShipped,ISERROR(SEARCH("Shipped",_xlpm.stations)),_xlpm.active,_xlpm.hasSaw*_xlpm.notRTS*_xlpm.notReady*_xlpm.notShipped*(_xlpm.ids&lt;&gt;""),_xlpm.result,_xlfn._xlws.FILTER(_xlfn.HSTACK(_xlpm.ids,_xlpm.names,_xlpm.pms,_xlpm.panels,_xlpm.parts,_xlpm.mats,_xlpm.ships,_xlpm.stations),_xlpm.active,"No active Extrusion Saw jobs"),_xlfn.SORTBY(_xlpm.result,INDEX(_xlpm.result,,7),1))</f>
        <v>1040-30791-ST09</v>
      </c>
      <c r="B7" t="str">
        <v>AFI - YANCEY</v>
      </c>
      <c r="C7" t="str">
        <v>Hannah Sadloski, Lisa Ellison</v>
      </c>
      <c r="D7">
        <v>0</v>
      </c>
      <c r="E7">
        <v>185</v>
      </c>
      <c r="F7" t="str">
        <v>Alum Tube</v>
      </c>
      <c r="G7" s="1">
        <v>46122</v>
      </c>
      <c r="H7" t="str">
        <v>Assembly</v>
      </c>
      <c r="I7" t="str">
        <f>IF(A7="","",IF(H7="Extrusion Saw","1st",H7))</f>
        <v>Assembly</v>
      </c>
      <c r="J7" s="1">
        <f>IF(A7="","",G7-6)</f>
        <v>46116</v>
      </c>
      <c r="K7" t="str">
        <f>IF(A7="","",IFERROR(VLOOKUP(A7,'Job Operations'!A5:O304,13,FALSE),""))</f>
        <v>Assembly</v>
      </c>
      <c r="L7" t="str">
        <f>IF(A7="","",IFERROR(IF(VLOOKUP(A7,Notes!A:B,2,FALSE)=0,"",VLOOKUP(A7,Notes!A:B,2,FALSE)),""))</f>
        <v>04/16/2026…Assembly</v>
      </c>
    </row>
    <row r="8" spans="1:13" ht="18" customHeight="1" x14ac:dyDescent="0.25">
      <c r="A8" t="str">
        <v>1040-30791-ST10</v>
      </c>
      <c r="B8" t="str">
        <v>AFI - YANCEY</v>
      </c>
      <c r="C8" t="str">
        <v>Hannah Sadloski, Lisa Ellison</v>
      </c>
      <c r="D8">
        <v>0</v>
      </c>
      <c r="E8">
        <v>185</v>
      </c>
      <c r="F8" t="str">
        <v>Alum Tube</v>
      </c>
      <c r="G8" s="1">
        <v>46136</v>
      </c>
      <c r="H8" t="str">
        <v>Extrusion Saw</v>
      </c>
      <c r="I8" t="str">
        <f>IF(A8="","",IF(H8="Extrusion Saw","1st",H8))</f>
        <v>1st</v>
      </c>
      <c r="J8" s="1">
        <f>IF(A8="","",G8-6)</f>
        <v>46130</v>
      </c>
      <c r="K8" t="str">
        <f>IF(A8="","",IFERROR(VLOOKUP(A8,'Job Operations'!A6:O305,13,FALSE),""))</f>
        <v>Assembly</v>
      </c>
      <c r="L8" t="str">
        <f>IF(A8="","",IFERROR(IF(VLOOKUP(A8,Notes!A:B,2,FALSE)=0,"",VLOOKUP(A8,Notes!A:B,2,FALSE)),""))</f>
        <v/>
      </c>
    </row>
    <row r="9" spans="1:13" ht="18" customHeight="1" x14ac:dyDescent="0.25">
      <c r="G9" s="1"/>
      <c r="J9" s="1"/>
    </row>
    <row r="10" spans="1:13" ht="18" customHeight="1" x14ac:dyDescent="0.25">
      <c r="G10" s="1"/>
      <c r="J10" s="1"/>
    </row>
    <row r="11" spans="1:13" ht="18" customHeight="1" x14ac:dyDescent="0.25">
      <c r="G11" s="1"/>
      <c r="J11" s="1"/>
    </row>
    <row r="12" spans="1:13" ht="18" customHeight="1" x14ac:dyDescent="0.25">
      <c r="G12" s="1"/>
      <c r="J12" s="1"/>
    </row>
    <row r="13" spans="1:13" ht="18" customHeight="1" x14ac:dyDescent="0.25">
      <c r="G13" s="1"/>
      <c r="J13" s="1"/>
    </row>
    <row r="14" spans="1:13" ht="18" customHeight="1" x14ac:dyDescent="0.25">
      <c r="G14" s="1"/>
      <c r="J14" s="1"/>
    </row>
    <row r="15" spans="1:13" ht="18" customHeight="1" x14ac:dyDescent="0.25">
      <c r="G15" s="1"/>
      <c r="J15" s="1"/>
    </row>
    <row r="16" spans="1:13" ht="18" customHeight="1" x14ac:dyDescent="0.25">
      <c r="G16" s="1"/>
      <c r="J16" s="1"/>
    </row>
    <row r="17" spans="7:10" ht="18" customHeight="1" x14ac:dyDescent="0.25">
      <c r="G17" s="1"/>
      <c r="J17" s="1"/>
    </row>
    <row r="18" spans="7:10" ht="18" customHeight="1" x14ac:dyDescent="0.25">
      <c r="G18" s="1"/>
      <c r="J18" s="1"/>
    </row>
    <row r="19" spans="7:10" ht="18" customHeight="1" x14ac:dyDescent="0.25">
      <c r="G19" s="1"/>
      <c r="J19" s="1"/>
    </row>
    <row r="20" spans="7:10" ht="18" customHeight="1" x14ac:dyDescent="0.25">
      <c r="G20" s="1"/>
      <c r="J20" s="1"/>
    </row>
    <row r="21" spans="7:10" ht="18" customHeight="1" x14ac:dyDescent="0.25"/>
    <row r="22" spans="7:10" ht="18" customHeight="1" x14ac:dyDescent="0.25"/>
    <row r="23" spans="7:10" ht="18" customHeight="1" x14ac:dyDescent="0.25"/>
    <row r="24" spans="7:10" ht="18" customHeight="1" x14ac:dyDescent="0.25"/>
    <row r="25" spans="7:10" ht="18" customHeight="1" x14ac:dyDescent="0.25"/>
    <row r="26" spans="7:10" ht="18" customHeight="1" x14ac:dyDescent="0.25"/>
    <row r="27" spans="7:10" ht="18" customHeight="1" x14ac:dyDescent="0.25"/>
    <row r="28" spans="7:10" ht="18" customHeight="1" x14ac:dyDescent="0.25"/>
    <row r="29" spans="7:10" ht="18" customHeight="1" x14ac:dyDescent="0.25"/>
    <row r="30" spans="7:10" ht="18" customHeight="1" x14ac:dyDescent="0.25"/>
    <row r="31" spans="7:10" ht="18" customHeight="1" x14ac:dyDescent="0.25"/>
    <row r="32" spans="7:10" ht="18" customHeight="1" x14ac:dyDescent="0.25"/>
    <row r="33" ht="18" customHeight="1" x14ac:dyDescent="0.25"/>
    <row r="34" ht="18" customHeight="1" x14ac:dyDescent="0.25"/>
    <row r="35" ht="18" customHeight="1" x14ac:dyDescent="0.25"/>
    <row r="36" ht="18" customHeight="1" x14ac:dyDescent="0.25"/>
    <row r="37" ht="18" customHeight="1" x14ac:dyDescent="0.25"/>
    <row r="38" ht="18" customHeight="1" x14ac:dyDescent="0.25"/>
    <row r="39" ht="18" customHeight="1" x14ac:dyDescent="0.25"/>
    <row r="40" ht="18" customHeight="1" x14ac:dyDescent="0.25"/>
    <row r="41" ht="18" customHeight="1" x14ac:dyDescent="0.25"/>
    <row r="42" ht="18" customHeight="1" x14ac:dyDescent="0.25"/>
    <row r="43" ht="18" customHeight="1" x14ac:dyDescent="0.25"/>
    <row r="44" ht="18" customHeight="1" x14ac:dyDescent="0.25"/>
    <row r="45" ht="18" customHeight="1" x14ac:dyDescent="0.25"/>
    <row r="46" ht="18" customHeight="1" x14ac:dyDescent="0.25"/>
    <row r="47" ht="18" customHeight="1" x14ac:dyDescent="0.25"/>
    <row r="48"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row r="55" ht="18" customHeight="1" x14ac:dyDescent="0.25"/>
    <row r="56" ht="18" customHeight="1" x14ac:dyDescent="0.25"/>
    <row r="57" ht="18" customHeight="1" x14ac:dyDescent="0.25"/>
    <row r="58" ht="18" customHeight="1" x14ac:dyDescent="0.25"/>
    <row r="59" ht="18" customHeight="1" x14ac:dyDescent="0.25"/>
    <row r="60" ht="18" customHeight="1" x14ac:dyDescent="0.25"/>
    <row r="61" ht="18" customHeight="1" x14ac:dyDescent="0.25"/>
    <row r="62" ht="18" customHeight="1" x14ac:dyDescent="0.25"/>
    <row r="63" ht="18" customHeight="1" x14ac:dyDescent="0.25"/>
    <row r="64" ht="18" customHeight="1" x14ac:dyDescent="0.25"/>
    <row r="65" ht="18" customHeight="1" x14ac:dyDescent="0.25"/>
    <row r="66" ht="18" customHeight="1" x14ac:dyDescent="0.25"/>
    <row r="67" ht="18" customHeight="1" x14ac:dyDescent="0.25"/>
    <row r="68" ht="18" customHeight="1" x14ac:dyDescent="0.25"/>
    <row r="69" ht="18" customHeight="1" x14ac:dyDescent="0.25"/>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row r="80" ht="18" customHeight="1" x14ac:dyDescent="0.25"/>
    <row r="81" ht="18" customHeight="1" x14ac:dyDescent="0.25"/>
    <row r="82" ht="18" customHeight="1" x14ac:dyDescent="0.25"/>
    <row r="83" ht="18" customHeight="1" x14ac:dyDescent="0.25"/>
    <row r="84" ht="18" customHeight="1" x14ac:dyDescent="0.25"/>
    <row r="85" ht="18" customHeight="1" x14ac:dyDescent="0.25"/>
    <row r="86" ht="18" customHeight="1" x14ac:dyDescent="0.25"/>
    <row r="87" ht="18" customHeight="1" x14ac:dyDescent="0.25"/>
    <row r="88" ht="18" customHeight="1" x14ac:dyDescent="0.25"/>
    <row r="89" ht="18" customHeight="1" x14ac:dyDescent="0.25"/>
    <row r="90" ht="18" customHeight="1" x14ac:dyDescent="0.25"/>
    <row r="91" ht="18" customHeight="1" x14ac:dyDescent="0.25"/>
    <row r="92" ht="18" customHeight="1" x14ac:dyDescent="0.25"/>
    <row r="93" ht="18" customHeight="1" x14ac:dyDescent="0.25"/>
    <row r="94" ht="18" customHeight="1" x14ac:dyDescent="0.25"/>
    <row r="95" ht="18" customHeight="1" x14ac:dyDescent="0.25"/>
    <row r="96" ht="18" customHeight="1" x14ac:dyDescent="0.25"/>
    <row r="97" ht="18" customHeight="1" x14ac:dyDescent="0.25"/>
    <row r="98" ht="18" customHeight="1" x14ac:dyDescent="0.25"/>
    <row r="99" ht="18" customHeight="1" x14ac:dyDescent="0.25"/>
    <row r="100" ht="18" customHeight="1" x14ac:dyDescent="0.25"/>
  </sheetData>
  <autoFilter ref="A6:L16" xr:uid="{1EF0CEA0-D607-494A-9FE8-40E743992EE7}"/>
  <mergeCells count="2">
    <mergeCell ref="A4:L4"/>
    <mergeCell ref="A5:L5"/>
  </mergeCells>
  <conditionalFormatting sqref="A7:L100">
    <cfRule type="expression" dxfId="31" priority="4">
      <formula>AND($D$1&lt;&gt;"",$A7=$D$1)</formula>
    </cfRule>
    <cfRule type="expression" dxfId="30" priority="5">
      <formula>AND($G7&lt;&gt;"", $G7&lt;TODAY())</formula>
    </cfRule>
    <cfRule type="expression" dxfId="29" priority="6">
      <formula>AND($G7&lt;&gt;"", $G7&gt;=TODAY())</formula>
    </cfRule>
  </conditionalFormatting>
  <conditionalFormatting sqref="D1">
    <cfRule type="expression" dxfId="28" priority="1">
      <formula>AND($C$2&lt;&gt;"",ISNUMBER(SEARCH($C$2,$A1)))</formula>
    </cfRule>
  </conditionalFormatting>
  <conditionalFormatting sqref="E1">
    <cfRule type="containsText" dxfId="27" priority="2" operator="containsText" text="LATE">
      <formula>NOT(ISERROR(SEARCH("LATE",E1)))</formula>
    </cfRule>
    <cfRule type="containsText" dxfId="26" priority="3" operator="containsText" text="ON TIME">
      <formula>NOT(ISERROR(SEARCH("ON TIME",E1)))</formula>
    </cfRule>
  </conditionalFormatting>
  <dataValidations count="1">
    <dataValidation type="list" allowBlank="1" showInputMessage="1" showErrorMessage="1" sqref="D1" xr:uid="{345ADA58-3C7B-4E7D-9290-163799F8DE89}">
      <formula1>AllJobIDs</formula1>
    </dataValidation>
  </dataValidation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FC57B-57A1-4100-837B-FD15F90C9750}">
  <dimension ref="A1:L100"/>
  <sheetViews>
    <sheetView workbookViewId="0">
      <selection activeCell="A7" sqref="A7:A11"/>
    </sheetView>
  </sheetViews>
  <sheetFormatPr defaultRowHeight="15" x14ac:dyDescent="0.25"/>
  <cols>
    <col min="1" max="1" width="19" customWidth="1"/>
    <col min="2" max="2" width="34.28515625" customWidth="1"/>
    <col min="3" max="3" width="19" customWidth="1"/>
    <col min="4" max="5" width="13.28515625" customWidth="1"/>
    <col min="6" max="6" width="19" customWidth="1"/>
    <col min="7" max="7" width="17.140625" customWidth="1"/>
    <col min="8" max="8" width="22.85546875" customWidth="1"/>
    <col min="9" max="11" width="19" customWidth="1"/>
    <col min="12" max="12" width="57.140625" customWidth="1"/>
  </cols>
  <sheetData>
    <row r="1" spans="1:12" ht="39.950000000000003" customHeight="1" x14ac:dyDescent="0.25">
      <c r="A1" s="159"/>
      <c r="B1" s="79"/>
      <c r="C1" s="83" t="s">
        <v>2735</v>
      </c>
      <c r="D1" s="84"/>
      <c r="E1" s="77" t="str">
        <f ca="1">IF(D1="","",IF(IFERROR(VLOOKUP(D1,'Job Operations'!A:I,9,FALSE),"")&lt;=TODAY(),"🔴 LATE","🟢 ON TIME"))</f>
        <v/>
      </c>
      <c r="F1" s="77" t="str">
        <f>IF(D1="","",IFERROR(VLOOKUP(D1,'Job Operations'!A:B,2,FALSE),""))</f>
        <v/>
      </c>
      <c r="G1" s="77" t="str">
        <f>IF(D1="","","Ship: "&amp;TEXT(IFERROR(VLOOKUP(D1,'Job Operations'!A:I,9,FALSE),""),"MM/DD/YYYY"))</f>
        <v/>
      </c>
      <c r="H1" s="77" t="str">
        <f>IF(D1="","",IFERROR("Station: "&amp;VLOOKUP(D1,'Job Operations'!A:L,12,FALSE),""))</f>
        <v/>
      </c>
      <c r="I1" s="77"/>
      <c r="J1" s="77"/>
      <c r="K1" s="77"/>
      <c r="L1" s="77"/>
    </row>
    <row r="2" spans="1:12" ht="5.0999999999999996" customHeight="1" x14ac:dyDescent="0.25">
      <c r="A2" s="160"/>
      <c r="B2" s="8"/>
      <c r="C2" s="8"/>
      <c r="D2" s="8"/>
      <c r="E2" s="8"/>
      <c r="F2" s="8"/>
      <c r="G2" s="8"/>
      <c r="H2" s="8"/>
      <c r="I2" s="8"/>
      <c r="J2" s="8"/>
      <c r="K2" s="8"/>
      <c r="L2" s="8"/>
    </row>
    <row r="3" spans="1:12" ht="5.0999999999999996" customHeight="1" x14ac:dyDescent="0.25">
      <c r="A3" s="160"/>
      <c r="B3" s="8"/>
      <c r="C3" s="8"/>
      <c r="D3" s="8"/>
      <c r="E3" s="8"/>
      <c r="F3" s="8"/>
      <c r="G3" s="8"/>
      <c r="H3" s="8"/>
      <c r="I3" s="8"/>
      <c r="J3" s="8"/>
      <c r="K3" s="8"/>
      <c r="L3" s="8"/>
    </row>
    <row r="4" spans="1:12" ht="24.95" customHeight="1" x14ac:dyDescent="0.3">
      <c r="A4" s="294" t="s">
        <v>2770</v>
      </c>
      <c r="B4" s="295"/>
      <c r="C4" s="295"/>
      <c r="D4" s="295"/>
      <c r="E4" s="295"/>
      <c r="F4" s="295"/>
      <c r="G4" s="295"/>
      <c r="H4" s="295"/>
      <c r="I4" s="295"/>
      <c r="J4" s="295"/>
      <c r="K4" s="295"/>
      <c r="L4" s="295"/>
    </row>
    <row r="5" spans="1:12" ht="24.95" customHeight="1" x14ac:dyDescent="0.25">
      <c r="A5" s="296" t="s">
        <v>2771</v>
      </c>
      <c r="B5" s="295"/>
      <c r="C5" s="295"/>
      <c r="D5" s="295"/>
      <c r="E5" s="295"/>
      <c r="F5" s="295"/>
      <c r="G5" s="295"/>
      <c r="H5" s="295"/>
      <c r="I5" s="295"/>
      <c r="J5" s="295"/>
      <c r="K5" s="295"/>
      <c r="L5" s="295"/>
    </row>
    <row r="6" spans="1:12" x14ac:dyDescent="0.25">
      <c r="A6" s="158" t="s">
        <v>1</v>
      </c>
      <c r="B6" s="158" t="s">
        <v>3</v>
      </c>
      <c r="C6" s="158" t="s">
        <v>5</v>
      </c>
      <c r="D6" s="158" t="s">
        <v>17</v>
      </c>
      <c r="E6" s="158" t="s">
        <v>18</v>
      </c>
      <c r="F6" s="158" t="s">
        <v>25</v>
      </c>
      <c r="G6" s="158" t="s">
        <v>54</v>
      </c>
      <c r="H6" s="158" t="s">
        <v>2738</v>
      </c>
      <c r="I6" s="158" t="s">
        <v>2746</v>
      </c>
      <c r="J6" s="158" t="s">
        <v>2772</v>
      </c>
      <c r="K6" s="158" t="s">
        <v>2749</v>
      </c>
      <c r="L6" s="158" t="s">
        <v>2742</v>
      </c>
    </row>
    <row r="7" spans="1:12" x14ac:dyDescent="0.25">
      <c r="A7" t="str" cm="1">
        <f t="array" ref="A7:A10">_xlfn.SORTBY(_xlfn._xlws.FILTER('Job Operations'!A5:A300,(ISNUMBER(SEARCH("Punch",'Job Operations'!L5:L300))+ISNUMBER(SEARCH("Punch",'Job Operations'!M5:M300))+ISNUMBER(SEARCH("Punch",'Job Operations'!O5:O300))+ISNUMBER(SEARCH("Punch",'Job Operations'!Q5:Q300))+ISNUMBER(SEARCH("Punch",'Job Operations'!S5:S300)))*('Job Operations'!L5:L300&lt;&gt;"Ready to Ship")*('Job Operations'!L5:L300&lt;&gt;"Shipped")*('Job Operations'!L5:L300&lt;&gt;"RTS Titans")*('Job Operations'!L5:L300&lt;&gt;"Crating")*('Job Operations'!A5:A300&lt;&gt;""),"No Punch jobs"),_xlfn._xlws.FILTER('Job Operations'!I5:I300,(ISNUMBER(SEARCH("Punch",'Job Operations'!L5:L300))+ISNUMBER(SEARCH("Punch",'Job Operations'!M5:M300))+ISNUMBER(SEARCH("Punch",'Job Operations'!O5:O300))+ISNUMBER(SEARCH("Punch",'Job Operations'!Q5:Q300))+ISNUMBER(SEARCH("Punch",'Job Operations'!S5:S300)))*('Job Operations'!L5:L300&lt;&gt;"Ready to Ship")*('Job Operations'!L5:L300&lt;&gt;"Shipped")*('Job Operations'!L5:L300&lt;&gt;"RTS Titans")*('Job Operations'!L5:L300&lt;&gt;"Crating")*('Job Operations'!A5:A300&lt;&gt;""),0),1)</f>
        <v>24079-BM04D</v>
      </c>
      <c r="B7" t="str">
        <f>IF(A7="","",IFERROR(VLOOKUP(A7,'Job Operations'!A:B,2,FALSE),""))</f>
        <v>Nashville Youth Campus</v>
      </c>
      <c r="C7" t="str">
        <f>IF(A7="","",IFERROR(VLOOKUP(A7,'Job Operations'!A:C,3,FALSE),""))</f>
        <v>Joe Hoyle</v>
      </c>
      <c r="D7">
        <f>IF(A7="","",IFERROR(VLOOKUP(A7,'Job Operations'!A:E,5,FALSE),""))</f>
        <v>185</v>
      </c>
      <c r="E7">
        <f>IF(A7="","",IFERROR(VLOOKUP(A7,'Job Operations'!A:F,6,FALSE),""))</f>
        <v>1295</v>
      </c>
      <c r="F7" t="str">
        <f>IF(A7="","",IFERROR(VLOOKUP(A7,'Job Operations'!A:G,7,FALSE),""))</f>
        <v>Steel Sheet</v>
      </c>
      <c r="G7" s="1">
        <f>IF(A7="","",IFERROR(VLOOKUP(A7,'Job Operations'!A:I,9,FALSE),""))</f>
        <v>46125</v>
      </c>
      <c r="H7" t="str">
        <f>IF(A7="","",IFERROR(VLOOKUP(A7,'Job Operations'!A:L,12,FALSE),""))</f>
        <v>TruPunch 5000</v>
      </c>
      <c r="I7" t="str">
        <f>IF(A7="","",IF(IFERROR(VLOOKUP(A7,'Job Operations'!A:L,12,FALSE),"")="Punch",ROW()-6&amp;"st","#"&amp;ROW()-6&amp;" on Punch"))</f>
        <v>#1 on Punch</v>
      </c>
      <c r="J7" s="1">
        <f>IF(A7="","",IFERROR(VLOOKUP(A7,'Job Operations'!A:I,9,FALSE)-14,""))</f>
        <v>46111</v>
      </c>
      <c r="K7" t="str">
        <f>IF(A7="","",IFERROR(VLOOKUP(A7,'Job Operations'!A:O,15,FALSE),""))</f>
        <v>Powder Coat</v>
      </c>
      <c r="L7" t="str">
        <f>IF(A7="","",IF(IFERROR(VLOOKUP(A7,Notes!A:B,2,FALSE),"")=0,"",VLOOKUP(A7,Notes!A:B,2,FALSE)))</f>
        <v>04/16/2026…TruPunch 5000</v>
      </c>
    </row>
    <row r="8" spans="1:12" x14ac:dyDescent="0.25">
      <c r="A8" t="str">
        <v>24079-BM01B</v>
      </c>
      <c r="B8" t="str">
        <f>IF(A8="","",IFERROR(VLOOKUP(A8,'Job Operations'!A:B,2,FALSE),""))</f>
        <v>Nashville Youth Campus</v>
      </c>
      <c r="C8" t="str">
        <f>IF(A8="","",IFERROR(VLOOKUP(A8,'Job Operations'!A:C,3,FALSE),""))</f>
        <v>Joe Hoyle</v>
      </c>
      <c r="D8">
        <f>IF(A8="","",IFERROR(VLOOKUP(A8,'Job Operations'!A:E,5,FALSE),""))</f>
        <v>0</v>
      </c>
      <c r="E8">
        <f>IF(A8="","",IFERROR(VLOOKUP(A8,'Job Operations'!A:F,6,FALSE),""))</f>
        <v>2217</v>
      </c>
      <c r="F8" t="str">
        <f>IF(A8="","",IFERROR(VLOOKUP(A8,'Job Operations'!A:G,7,FALSE),""))</f>
        <v>Galv Sheet</v>
      </c>
      <c r="G8" s="1">
        <f>IF(A8="","",IFERROR(VLOOKUP(A8,'Job Operations'!A:I,9,FALSE),""))</f>
        <v>46127</v>
      </c>
      <c r="H8" t="str">
        <f>IF(A8="","",IFERROR(VLOOKUP(A8,'Job Operations'!A:L,12,FALSE),""))</f>
        <v>Shear</v>
      </c>
      <c r="I8" t="str">
        <f>IF(A8="","",IF(IFERROR(VLOOKUP(A8,'Job Operations'!A:L,12,FALSE),"")="Punch",ROW()-6&amp;"st","#"&amp;ROW()-6&amp;" on Punch"))</f>
        <v>#2 on Punch</v>
      </c>
      <c r="J8" s="1">
        <f>IF(A8="","",IFERROR(VLOOKUP(A8,'Job Operations'!A:I,9,FALSE)-14,""))</f>
        <v>46113</v>
      </c>
      <c r="K8" t="str">
        <f>IF(A8="","",IFERROR(VLOOKUP(A8,'Job Operations'!A:O,15,FALSE),""))</f>
        <v>Shear</v>
      </c>
      <c r="L8" t="str">
        <f>IF(A8="","",IF(IFERROR(VLOOKUP(A8,Notes!A:B,2,FALSE),"")=0,"",VLOOKUP(A8,Notes!A:B,2,FALSE)))</f>
        <v>04/15/2026…Shear*04/16/2026…Shear</v>
      </c>
    </row>
    <row r="9" spans="1:12" x14ac:dyDescent="0.25">
      <c r="A9" t="str">
        <v>25029-FS50</v>
      </c>
      <c r="B9" t="str">
        <f>IF(A9="","",IFERROR(VLOOKUP(A9,'Job Operations'!A:B,2,FALSE),""))</f>
        <v>Lourdes CC Phase 2</v>
      </c>
      <c r="C9" t="str">
        <f>IF(A9="","",IFERROR(VLOOKUP(A9,'Job Operations'!A:C,3,FALSE),""))</f>
        <v>Dillon Bowman</v>
      </c>
      <c r="D9">
        <f>IF(A9="","",IFERROR(VLOOKUP(A9,'Job Operations'!A:E,5,FALSE),""))</f>
        <v>8</v>
      </c>
      <c r="E9">
        <f>IF(A9="","",IFERROR(VLOOKUP(A9,'Job Operations'!A:F,6,FALSE),""))</f>
        <v>4</v>
      </c>
      <c r="F9" t="str">
        <f>IF(A9="","",IFERROR(VLOOKUP(A9,'Job Operations'!A:G,7,FALSE),""))</f>
        <v>Alum Sheet</v>
      </c>
      <c r="G9" s="1">
        <f>IF(A9="","",IFERROR(VLOOKUP(A9,'Job Operations'!A:I,9,FALSE),""))</f>
        <v>46153</v>
      </c>
      <c r="H9" t="str">
        <f>IF(A9="","",IFERROR(VLOOKUP(A9,'Job Operations'!A:L,12,FALSE),""))</f>
        <v>Correction</v>
      </c>
      <c r="I9" t="str">
        <f>IF(A9="","",IF(IFERROR(VLOOKUP(A9,'Job Operations'!A:L,12,FALSE),"")="Punch",ROW()-6&amp;"st","#"&amp;ROW()-6&amp;" on Punch"))</f>
        <v>#3 on Punch</v>
      </c>
      <c r="J9" s="1">
        <f>IF(A9="","",IFERROR(VLOOKUP(A9,'Job Operations'!A:I,9,FALSE)-14,""))</f>
        <v>46139</v>
      </c>
      <c r="K9" t="str">
        <f>IF(A9="","",IFERROR(VLOOKUP(A9,'Job Operations'!A:O,15,FALSE),""))</f>
        <v>Punch</v>
      </c>
      <c r="L9" t="str">
        <f>IF(A9="","",IF(IFERROR(VLOOKUP(A9,Notes!A:B,2,FALSE),"")=0,"",VLOOKUP(A9,Notes!A:B,2,FALSE)))</f>
        <v>04/16/2026…Correction</v>
      </c>
    </row>
    <row r="10" spans="1:12" x14ac:dyDescent="0.25">
      <c r="A10" t="str">
        <v>24073-FS01</v>
      </c>
      <c r="B10" t="str">
        <f>IF(A10="","",IFERROR(VLOOKUP(A10,'Job Operations'!A:B,2,FALSE),""))</f>
        <v>DIDD Perf</v>
      </c>
      <c r="C10" t="str">
        <f>IF(A10="","",IFERROR(VLOOKUP(A10,'Job Operations'!A:C,3,FALSE),""))</f>
        <v>Dillon Bowman</v>
      </c>
      <c r="D10">
        <f>IF(A10="","",IFERROR(VLOOKUP(A10,'Job Operations'!A:E,5,FALSE),""))</f>
        <v>53</v>
      </c>
      <c r="E10">
        <f>IF(A10="","",IFERROR(VLOOKUP(A10,'Job Operations'!A:F,6,FALSE),""))</f>
        <v>0</v>
      </c>
      <c r="F10" t="str">
        <f>IF(A10="","",IFERROR(VLOOKUP(A10,'Job Operations'!A:G,7,FALSE),""))</f>
        <v>Alum Sheet</v>
      </c>
      <c r="G10" s="1">
        <f>IF(A10="","",IFERROR(VLOOKUP(A10,'Job Operations'!A:I,9,FALSE),""))</f>
        <v>46164</v>
      </c>
      <c r="H10" t="str">
        <f>IF(A10="","",IFERROR(VLOOKUP(A10,'Job Operations'!A:L,12,FALSE),""))</f>
        <v>Sketch</v>
      </c>
      <c r="I10" t="str">
        <f>IF(A10="","",IF(IFERROR(VLOOKUP(A10,'Job Operations'!A:L,12,FALSE),"")="Punch",ROW()-6&amp;"st","#"&amp;ROW()-6&amp;" on Punch"))</f>
        <v>#4 on Punch</v>
      </c>
      <c r="J10" s="1">
        <f>IF(A10="","",IFERROR(VLOOKUP(A10,'Job Operations'!A:I,9,FALSE)-14,""))</f>
        <v>46150</v>
      </c>
      <c r="K10" t="str">
        <f>IF(A10="","",IFERROR(VLOOKUP(A10,'Job Operations'!A:O,15,FALSE),""))</f>
        <v>Post Paint</v>
      </c>
      <c r="L10" t="str">
        <f>IF(A10="","",IF(IFERROR(VLOOKUP(A10,Notes!A:B,2,FALSE),"")=0,"",VLOOKUP(A10,Notes!A:B,2,FALSE)))</f>
        <v>04/16/2026…Sketch</v>
      </c>
    </row>
    <row r="11" spans="1:12" x14ac:dyDescent="0.25">
      <c r="B11" t="str">
        <f>IF(A11="","",IFERROR(VLOOKUP(A11,'Job Operations'!A:B,2,FALSE),""))</f>
        <v/>
      </c>
      <c r="C11" t="str">
        <f>IF(A11="","",IFERROR(VLOOKUP(A11,'Job Operations'!A:C,3,FALSE),""))</f>
        <v/>
      </c>
      <c r="D11" t="str">
        <f>IF(A11="","",IFERROR(VLOOKUP(A11,'Job Operations'!A:E,5,FALSE),""))</f>
        <v/>
      </c>
      <c r="E11" t="str">
        <f>IF(A11="","",IFERROR(VLOOKUP(A11,'Job Operations'!A:F,6,FALSE),""))</f>
        <v/>
      </c>
      <c r="F11" t="str">
        <f>IF(A11="","",IFERROR(VLOOKUP(A11,'Job Operations'!A:G,7,FALSE),""))</f>
        <v/>
      </c>
      <c r="G11" s="1" t="str">
        <f>IF(A11="","",IFERROR(VLOOKUP(A11,'Job Operations'!A:I,9,FALSE),""))</f>
        <v/>
      </c>
      <c r="H11" t="str">
        <f>IF(A11="","",IFERROR(VLOOKUP(A11,'Job Operations'!A:L,12,FALSE),""))</f>
        <v/>
      </c>
      <c r="I11" t="str">
        <f>IF(A11="","",IF(IFERROR(VLOOKUP(A11,'Job Operations'!A:L,12,FALSE),"")="Punch",ROW()-6&amp;"st","#"&amp;ROW()-6&amp;" on Punch"))</f>
        <v/>
      </c>
      <c r="J11" s="1" t="str">
        <f>IF(A11="","",IFERROR(VLOOKUP(A11,'Job Operations'!A:I,9,FALSE)-14,""))</f>
        <v/>
      </c>
      <c r="K11" t="str">
        <f>IF(A11="","",IFERROR(VLOOKUP(A11,'Job Operations'!A:O,15,FALSE),""))</f>
        <v/>
      </c>
      <c r="L11" t="str">
        <f>IF(A11="","",IF(IFERROR(VLOOKUP(A11,Notes!A:B,2,FALSE),"")=0,"",VLOOKUP(A11,Notes!A:B,2,FALSE)))</f>
        <v/>
      </c>
    </row>
    <row r="12" spans="1:12" x14ac:dyDescent="0.25">
      <c r="B12" t="str">
        <f>IF(A12="","",IFERROR(VLOOKUP(A12,'Job Operations'!A:B,2,FALSE),""))</f>
        <v/>
      </c>
      <c r="C12" t="str">
        <f>IF(A12="","",IFERROR(VLOOKUP(A12,'Job Operations'!A:C,3,FALSE),""))</f>
        <v/>
      </c>
      <c r="D12" t="str">
        <f>IF(A12="","",IFERROR(VLOOKUP(A12,'Job Operations'!A:E,5,FALSE),""))</f>
        <v/>
      </c>
      <c r="E12" t="str">
        <f>IF(A12="","",IFERROR(VLOOKUP(A12,'Job Operations'!A:F,6,FALSE),""))</f>
        <v/>
      </c>
      <c r="F12" t="str">
        <f>IF(A12="","",IFERROR(VLOOKUP(A12,'Job Operations'!A:G,7,FALSE),""))</f>
        <v/>
      </c>
      <c r="G12" s="1" t="str">
        <f>IF(A12="","",IFERROR(VLOOKUP(A12,'Job Operations'!A:I,9,FALSE),""))</f>
        <v/>
      </c>
      <c r="H12" t="str">
        <f>IF(A12="","",IFERROR(VLOOKUP(A12,'Job Operations'!A:L,12,FALSE),""))</f>
        <v/>
      </c>
      <c r="I12" t="str">
        <f>IF(A12="","",IF(IFERROR(VLOOKUP(A12,'Job Operations'!A:L,12,FALSE),"")="Punch",ROW()-6&amp;"st","#"&amp;ROW()-6&amp;" on Punch"))</f>
        <v/>
      </c>
      <c r="J12" s="1" t="str">
        <f>IF(A12="","",IFERROR(VLOOKUP(A12,'Job Operations'!A:I,9,FALSE)-14,""))</f>
        <v/>
      </c>
      <c r="K12" t="str">
        <f>IF(A12="","",IFERROR(VLOOKUP(A12,'Job Operations'!A:O,15,FALSE),""))</f>
        <v/>
      </c>
      <c r="L12" t="str">
        <f>IF(A12="","",IF(IFERROR(VLOOKUP(A12,Notes!A:B,2,FALSE),"")=0,"",VLOOKUP(A12,Notes!A:B,2,FALSE)))</f>
        <v/>
      </c>
    </row>
    <row r="13" spans="1:12" x14ac:dyDescent="0.25">
      <c r="B13" t="str">
        <f>IF(A13="","",IFERROR(VLOOKUP(A13,'Job Operations'!A:B,2,FALSE),""))</f>
        <v/>
      </c>
      <c r="C13" t="str">
        <f>IF(A13="","",IFERROR(VLOOKUP(A13,'Job Operations'!A:C,3,FALSE),""))</f>
        <v/>
      </c>
      <c r="D13" t="str">
        <f>IF(A13="","",IFERROR(VLOOKUP(A13,'Job Operations'!A:E,5,FALSE),""))</f>
        <v/>
      </c>
      <c r="E13" t="str">
        <f>IF(A13="","",IFERROR(VLOOKUP(A13,'Job Operations'!A:F,6,FALSE),""))</f>
        <v/>
      </c>
      <c r="F13" t="str">
        <f>IF(A13="","",IFERROR(VLOOKUP(A13,'Job Operations'!A:G,7,FALSE),""))</f>
        <v/>
      </c>
      <c r="G13" s="1" t="str">
        <f>IF(A13="","",IFERROR(VLOOKUP(A13,'Job Operations'!A:I,9,FALSE),""))</f>
        <v/>
      </c>
      <c r="H13" t="str">
        <f>IF(A13="","",IFERROR(VLOOKUP(A13,'Job Operations'!A:L,12,FALSE),""))</f>
        <v/>
      </c>
      <c r="I13" t="str">
        <f>IF(A13="","",IF(IFERROR(VLOOKUP(A13,'Job Operations'!A:L,12,FALSE),"")="Punch",ROW()-6&amp;"st","#"&amp;ROW()-6&amp;" on Punch"))</f>
        <v/>
      </c>
      <c r="J13" s="1" t="str">
        <f>IF(A13="","",IFERROR(VLOOKUP(A13,'Job Operations'!A:I,9,FALSE)-14,""))</f>
        <v/>
      </c>
      <c r="K13" t="str">
        <f>IF(A13="","",IFERROR(VLOOKUP(A13,'Job Operations'!A:O,15,FALSE),""))</f>
        <v/>
      </c>
      <c r="L13" t="str">
        <f>IF(A13="","",IF(IFERROR(VLOOKUP(A13,Notes!A:B,2,FALSE),"")=0,"",VLOOKUP(A13,Notes!A:B,2,FALSE)))</f>
        <v/>
      </c>
    </row>
    <row r="14" spans="1:12" x14ac:dyDescent="0.25">
      <c r="B14" t="str">
        <f>IF(A14="","",IFERROR(VLOOKUP(A14,'Job Operations'!A:B,2,FALSE),""))</f>
        <v/>
      </c>
      <c r="C14" t="str">
        <f>IF(A14="","",IFERROR(VLOOKUP(A14,'Job Operations'!A:C,3,FALSE),""))</f>
        <v/>
      </c>
      <c r="D14" t="str">
        <f>IF(A14="","",IFERROR(VLOOKUP(A14,'Job Operations'!A:E,5,FALSE),""))</f>
        <v/>
      </c>
      <c r="E14" t="str">
        <f>IF(A14="","",IFERROR(VLOOKUP(A14,'Job Operations'!A:F,6,FALSE),""))</f>
        <v/>
      </c>
      <c r="F14" t="str">
        <f>IF(A14="","",IFERROR(VLOOKUP(A14,'Job Operations'!A:G,7,FALSE),""))</f>
        <v/>
      </c>
      <c r="G14" s="1" t="str">
        <f>IF(A14="","",IFERROR(VLOOKUP(A14,'Job Operations'!A:I,9,FALSE),""))</f>
        <v/>
      </c>
      <c r="H14" t="str">
        <f>IF(A14="","",IFERROR(VLOOKUP(A14,'Job Operations'!A:L,12,FALSE),""))</f>
        <v/>
      </c>
      <c r="I14" t="str">
        <f>IF(A14="","",IF(IFERROR(VLOOKUP(A14,'Job Operations'!A:L,12,FALSE),"")="Punch",ROW()-6&amp;"st","#"&amp;ROW()-6&amp;" on Punch"))</f>
        <v/>
      </c>
      <c r="J14" s="1" t="str">
        <f>IF(A14="","",IFERROR(VLOOKUP(A14,'Job Operations'!A:I,9,FALSE)-14,""))</f>
        <v/>
      </c>
      <c r="K14" t="str">
        <f>IF(A14="","",IFERROR(VLOOKUP(A14,'Job Operations'!A:O,15,FALSE),""))</f>
        <v/>
      </c>
      <c r="L14" t="str">
        <f>IF(A14="","",IF(IFERROR(VLOOKUP(A14,Notes!A:B,2,FALSE),"")=0,"",VLOOKUP(A14,Notes!A:B,2,FALSE)))</f>
        <v/>
      </c>
    </row>
    <row r="15" spans="1:12" x14ac:dyDescent="0.25">
      <c r="B15" t="str">
        <f>IF(A15="","",IFERROR(VLOOKUP(A15,'Job Operations'!A:B,2,FALSE),""))</f>
        <v/>
      </c>
      <c r="C15" t="str">
        <f>IF(A15="","",IFERROR(VLOOKUP(A15,'Job Operations'!A:C,3,FALSE),""))</f>
        <v/>
      </c>
      <c r="D15" t="str">
        <f>IF(A15="","",IFERROR(VLOOKUP(A15,'Job Operations'!A:E,5,FALSE),""))</f>
        <v/>
      </c>
      <c r="E15" t="str">
        <f>IF(A15="","",IFERROR(VLOOKUP(A15,'Job Operations'!A:F,6,FALSE),""))</f>
        <v/>
      </c>
      <c r="F15" t="str">
        <f>IF(A15="","",IFERROR(VLOOKUP(A15,'Job Operations'!A:G,7,FALSE),""))</f>
        <v/>
      </c>
      <c r="G15" s="1" t="str">
        <f>IF(A15="","",IFERROR(VLOOKUP(A15,'Job Operations'!A:I,9,FALSE),""))</f>
        <v/>
      </c>
      <c r="H15" t="str">
        <f>IF(A15="","",IFERROR(VLOOKUP(A15,'Job Operations'!A:L,12,FALSE),""))</f>
        <v/>
      </c>
      <c r="I15" t="str">
        <f>IF(A15="","",IF(IFERROR(VLOOKUP(A15,'Job Operations'!A:L,12,FALSE),"")="Punch",ROW()-6&amp;"st","#"&amp;ROW()-6&amp;" on Punch"))</f>
        <v/>
      </c>
      <c r="J15" s="1" t="str">
        <f>IF(A15="","",IFERROR(VLOOKUP(A15,'Job Operations'!A:I,9,FALSE)-14,""))</f>
        <v/>
      </c>
      <c r="K15" t="str">
        <f>IF(A15="","",IFERROR(VLOOKUP(A15,'Job Operations'!A:O,15,FALSE),""))</f>
        <v/>
      </c>
      <c r="L15" t="str">
        <f>IF(A15="","",IF(IFERROR(VLOOKUP(A15,Notes!A:B,2,FALSE),"")=0,"",VLOOKUP(A15,Notes!A:B,2,FALSE)))</f>
        <v/>
      </c>
    </row>
    <row r="16" spans="1:12" x14ac:dyDescent="0.25">
      <c r="B16" t="str">
        <f>IF(A16="","",IFERROR(VLOOKUP(A16,'Job Operations'!A:B,2,FALSE),""))</f>
        <v/>
      </c>
      <c r="C16" t="str">
        <f>IF(A16="","",IFERROR(VLOOKUP(A16,'Job Operations'!A:C,3,FALSE),""))</f>
        <v/>
      </c>
      <c r="D16" t="str">
        <f>IF(A16="","",IFERROR(VLOOKUP(A16,'Job Operations'!A:E,5,FALSE),""))</f>
        <v/>
      </c>
      <c r="E16" t="str">
        <f>IF(A16="","",IFERROR(VLOOKUP(A16,'Job Operations'!A:F,6,FALSE),""))</f>
        <v/>
      </c>
      <c r="F16" t="str">
        <f>IF(A16="","",IFERROR(VLOOKUP(A16,'Job Operations'!A:G,7,FALSE),""))</f>
        <v/>
      </c>
      <c r="G16" s="1" t="str">
        <f>IF(A16="","",IFERROR(VLOOKUP(A16,'Job Operations'!A:I,9,FALSE),""))</f>
        <v/>
      </c>
      <c r="H16" t="str">
        <f>IF(A16="","",IFERROR(VLOOKUP(A16,'Job Operations'!A:L,12,FALSE),""))</f>
        <v/>
      </c>
      <c r="I16" t="str">
        <f>IF(A16="","",IF(IFERROR(VLOOKUP(A16,'Job Operations'!A:L,12,FALSE),"")="Punch",ROW()-6&amp;"st","#"&amp;ROW()-6&amp;" on Punch"))</f>
        <v/>
      </c>
      <c r="J16" s="1" t="str">
        <f>IF(A16="","",IFERROR(VLOOKUP(A16,'Job Operations'!A:I,9,FALSE)-14,""))</f>
        <v/>
      </c>
      <c r="K16" t="str">
        <f>IF(A16="","",IFERROR(VLOOKUP(A16,'Job Operations'!A:O,15,FALSE),""))</f>
        <v/>
      </c>
      <c r="L16" t="str">
        <f>IF(A16="","",IF(IFERROR(VLOOKUP(A16,Notes!A:B,2,FALSE),"")=0,"",VLOOKUP(A16,Notes!A:B,2,FALSE)))</f>
        <v/>
      </c>
    </row>
    <row r="17" spans="2:12" x14ac:dyDescent="0.25">
      <c r="B17" t="str">
        <f>IF(A17="","",IFERROR(VLOOKUP(A17,'Job Operations'!A:B,2,FALSE),""))</f>
        <v/>
      </c>
      <c r="C17" t="str">
        <f>IF(A17="","",IFERROR(VLOOKUP(A17,'Job Operations'!A:C,3,FALSE),""))</f>
        <v/>
      </c>
      <c r="D17" t="str">
        <f>IF(A17="","",IFERROR(VLOOKUP(A17,'Job Operations'!A:E,5,FALSE),""))</f>
        <v/>
      </c>
      <c r="E17" t="str">
        <f>IF(A17="","",IFERROR(VLOOKUP(A17,'Job Operations'!A:F,6,FALSE),""))</f>
        <v/>
      </c>
      <c r="F17" t="str">
        <f>IF(A17="","",IFERROR(VLOOKUP(A17,'Job Operations'!A:G,7,FALSE),""))</f>
        <v/>
      </c>
      <c r="G17" s="1" t="str">
        <f>IF(A17="","",IFERROR(VLOOKUP(A17,'Job Operations'!A:I,9,FALSE),""))</f>
        <v/>
      </c>
      <c r="H17" t="str">
        <f>IF(A17="","",IFERROR(VLOOKUP(A17,'Job Operations'!A:L,12,FALSE),""))</f>
        <v/>
      </c>
      <c r="I17" t="str">
        <f>IF(A17="","",IF(IFERROR(VLOOKUP(A17,'Job Operations'!A:L,12,FALSE),"")="Punch",ROW()-6&amp;"st","#"&amp;ROW()-6&amp;" on Punch"))</f>
        <v/>
      </c>
      <c r="J17" s="1" t="str">
        <f>IF(A17="","",IFERROR(VLOOKUP(A17,'Job Operations'!A:I,9,FALSE)-14,""))</f>
        <v/>
      </c>
      <c r="K17" t="str">
        <f>IF(A17="","",IFERROR(VLOOKUP(A17,'Job Operations'!A:O,15,FALSE),""))</f>
        <v/>
      </c>
      <c r="L17" t="str">
        <f>IF(A17="","",IF(IFERROR(VLOOKUP(A17,Notes!A:B,2,FALSE),"")=0,"",VLOOKUP(A17,Notes!A:B,2,FALSE)))</f>
        <v/>
      </c>
    </row>
    <row r="18" spans="2:12" x14ac:dyDescent="0.25">
      <c r="B18" t="str">
        <f>IF(A18="","",IFERROR(VLOOKUP(A18,'Job Operations'!A:B,2,FALSE),""))</f>
        <v/>
      </c>
      <c r="C18" t="str">
        <f>IF(A18="","",IFERROR(VLOOKUP(A18,'Job Operations'!A:C,3,FALSE),""))</f>
        <v/>
      </c>
      <c r="D18" t="str">
        <f>IF(A18="","",IFERROR(VLOOKUP(A18,'Job Operations'!A:E,5,FALSE),""))</f>
        <v/>
      </c>
      <c r="E18" t="str">
        <f>IF(A18="","",IFERROR(VLOOKUP(A18,'Job Operations'!A:F,6,FALSE),""))</f>
        <v/>
      </c>
      <c r="F18" t="str">
        <f>IF(A18="","",IFERROR(VLOOKUP(A18,'Job Operations'!A:G,7,FALSE),""))</f>
        <v/>
      </c>
      <c r="G18" s="1" t="str">
        <f>IF(A18="","",IFERROR(VLOOKUP(A18,'Job Operations'!A:I,9,FALSE),""))</f>
        <v/>
      </c>
      <c r="H18" t="str">
        <f>IF(A18="","",IFERROR(VLOOKUP(A18,'Job Operations'!A:L,12,FALSE),""))</f>
        <v/>
      </c>
      <c r="I18" t="str">
        <f>IF(A18="","",IF(IFERROR(VLOOKUP(A18,'Job Operations'!A:L,12,FALSE),"")="Punch",ROW()-6&amp;"st","#"&amp;ROW()-6&amp;" on Punch"))</f>
        <v/>
      </c>
      <c r="J18" s="1" t="str">
        <f>IF(A18="","",IFERROR(VLOOKUP(A18,'Job Operations'!A:I,9,FALSE)-14,""))</f>
        <v/>
      </c>
      <c r="K18" t="str">
        <f>IF(A18="","",IFERROR(VLOOKUP(A18,'Job Operations'!A:O,15,FALSE),""))</f>
        <v/>
      </c>
      <c r="L18" t="str">
        <f>IF(A18="","",IF(IFERROR(VLOOKUP(A18,Notes!A:B,2,FALSE),"")=0,"",VLOOKUP(A18,Notes!A:B,2,FALSE)))</f>
        <v/>
      </c>
    </row>
    <row r="19" spans="2:12" x14ac:dyDescent="0.25">
      <c r="B19" t="str">
        <f>IF(A19="","",IFERROR(VLOOKUP(A19,'Job Operations'!A:B,2,FALSE),""))</f>
        <v/>
      </c>
      <c r="C19" t="str">
        <f>IF(A19="","",IFERROR(VLOOKUP(A19,'Job Operations'!A:C,3,FALSE),""))</f>
        <v/>
      </c>
      <c r="D19" t="str">
        <f>IF(A19="","",IFERROR(VLOOKUP(A19,'Job Operations'!A:E,5,FALSE),""))</f>
        <v/>
      </c>
      <c r="E19" t="str">
        <f>IF(A19="","",IFERROR(VLOOKUP(A19,'Job Operations'!A:F,6,FALSE),""))</f>
        <v/>
      </c>
      <c r="F19" t="str">
        <f>IF(A19="","",IFERROR(VLOOKUP(A19,'Job Operations'!A:G,7,FALSE),""))</f>
        <v/>
      </c>
      <c r="G19" s="1" t="str">
        <f>IF(A19="","",IFERROR(VLOOKUP(A19,'Job Operations'!A:I,9,FALSE),""))</f>
        <v/>
      </c>
      <c r="H19" t="str">
        <f>IF(A19="","",IFERROR(VLOOKUP(A19,'Job Operations'!A:L,12,FALSE),""))</f>
        <v/>
      </c>
      <c r="I19" t="str">
        <f>IF(A19="","",IF(IFERROR(VLOOKUP(A19,'Job Operations'!A:L,12,FALSE),"")="Punch",ROW()-6&amp;"st","#"&amp;ROW()-6&amp;" on Punch"))</f>
        <v/>
      </c>
      <c r="J19" s="1" t="str">
        <f>IF(A19="","",IFERROR(VLOOKUP(A19,'Job Operations'!A:I,9,FALSE)-14,""))</f>
        <v/>
      </c>
      <c r="K19" t="str">
        <f>IF(A19="","",IFERROR(VLOOKUP(A19,'Job Operations'!A:O,15,FALSE),""))</f>
        <v/>
      </c>
      <c r="L19" t="str">
        <f>IF(A19="","",IF(IFERROR(VLOOKUP(A19,Notes!A:B,2,FALSE),"")=0,"",VLOOKUP(A19,Notes!A:B,2,FALSE)))</f>
        <v/>
      </c>
    </row>
    <row r="20" spans="2:12" x14ac:dyDescent="0.25">
      <c r="B20" t="str">
        <f>IF(A20="","",IFERROR(VLOOKUP(A20,'Job Operations'!A:B,2,FALSE),""))</f>
        <v/>
      </c>
      <c r="C20" t="str">
        <f>IF(A20="","",IFERROR(VLOOKUP(A20,'Job Operations'!A:C,3,FALSE),""))</f>
        <v/>
      </c>
      <c r="D20" t="str">
        <f>IF(A20="","",IFERROR(VLOOKUP(A20,'Job Operations'!A:E,5,FALSE),""))</f>
        <v/>
      </c>
      <c r="E20" t="str">
        <f>IF(A20="","",IFERROR(VLOOKUP(A20,'Job Operations'!A:F,6,FALSE),""))</f>
        <v/>
      </c>
      <c r="F20" t="str">
        <f>IF(A20="","",IFERROR(VLOOKUP(A20,'Job Operations'!A:G,7,FALSE),""))</f>
        <v/>
      </c>
      <c r="G20" s="1" t="str">
        <f>IF(A20="","",IFERROR(VLOOKUP(A20,'Job Operations'!A:I,9,FALSE),""))</f>
        <v/>
      </c>
      <c r="H20" t="str">
        <f>IF(A20="","",IFERROR(VLOOKUP(A20,'Job Operations'!A:L,12,FALSE),""))</f>
        <v/>
      </c>
      <c r="I20" t="str">
        <f>IF(A20="","",IF(IFERROR(VLOOKUP(A20,'Job Operations'!A:L,12,FALSE),"")="Punch",ROW()-6&amp;"st","#"&amp;ROW()-6&amp;" on Punch"))</f>
        <v/>
      </c>
      <c r="J20" s="1" t="str">
        <f>IF(A20="","",IFERROR(VLOOKUP(A20,'Job Operations'!A:I,9,FALSE)-14,""))</f>
        <v/>
      </c>
      <c r="K20" t="str">
        <f>IF(A20="","",IFERROR(VLOOKUP(A20,'Job Operations'!A:O,15,FALSE),""))</f>
        <v/>
      </c>
      <c r="L20" t="str">
        <f>IF(A20="","",IF(IFERROR(VLOOKUP(A20,Notes!A:B,2,FALSE),"")=0,"",VLOOKUP(A20,Notes!A:B,2,FALSE)))</f>
        <v/>
      </c>
    </row>
    <row r="21" spans="2:12" x14ac:dyDescent="0.25">
      <c r="B21" t="str">
        <f>IF(A21="","",IFERROR(VLOOKUP(A21,'Job Operations'!A:B,2,FALSE),""))</f>
        <v/>
      </c>
      <c r="C21" t="str">
        <f>IF(A21="","",IFERROR(VLOOKUP(A21,'Job Operations'!A:C,3,FALSE),""))</f>
        <v/>
      </c>
      <c r="D21" t="str">
        <f>IF(A21="","",IFERROR(VLOOKUP(A21,'Job Operations'!A:E,5,FALSE),""))</f>
        <v/>
      </c>
      <c r="E21" t="str">
        <f>IF(A21="","",IFERROR(VLOOKUP(A21,'Job Operations'!A:F,6,FALSE),""))</f>
        <v/>
      </c>
      <c r="F21" t="str">
        <f>IF(A21="","",IFERROR(VLOOKUP(A21,'Job Operations'!A:G,7,FALSE),""))</f>
        <v/>
      </c>
      <c r="G21" s="1" t="str">
        <f>IF(A21="","",IFERROR(VLOOKUP(A21,'Job Operations'!A:I,9,FALSE),""))</f>
        <v/>
      </c>
      <c r="H21" t="str">
        <f>IF(A21="","",IFERROR(VLOOKUP(A21,'Job Operations'!A:L,12,FALSE),""))</f>
        <v/>
      </c>
      <c r="I21" t="str">
        <f>IF(A21="","",IF(IFERROR(VLOOKUP(A21,'Job Operations'!A:L,12,FALSE),"")="Punch",ROW()-6&amp;"st","#"&amp;ROW()-6&amp;" on Punch"))</f>
        <v/>
      </c>
      <c r="J21" s="1" t="str">
        <f>IF(A21="","",IFERROR(VLOOKUP(A21,'Job Operations'!A:I,9,FALSE)-14,""))</f>
        <v/>
      </c>
      <c r="K21" t="str">
        <f>IF(A21="","",IFERROR(VLOOKUP(A21,'Job Operations'!A:O,15,FALSE),""))</f>
        <v/>
      </c>
      <c r="L21" t="str">
        <f>IF(A21="","",IF(IFERROR(VLOOKUP(A21,Notes!A:B,2,FALSE),"")=0,"",VLOOKUP(A21,Notes!A:B,2,FALSE)))</f>
        <v/>
      </c>
    </row>
    <row r="22" spans="2:12" x14ac:dyDescent="0.25">
      <c r="B22" t="str">
        <f>IF(A22="","",IFERROR(VLOOKUP(A22,'Job Operations'!A:B,2,FALSE),""))</f>
        <v/>
      </c>
      <c r="C22" t="str">
        <f>IF(A22="","",IFERROR(VLOOKUP(A22,'Job Operations'!A:C,3,FALSE),""))</f>
        <v/>
      </c>
      <c r="D22" t="str">
        <f>IF(A22="","",IFERROR(VLOOKUP(A22,'Job Operations'!A:E,5,FALSE),""))</f>
        <v/>
      </c>
      <c r="E22" t="str">
        <f>IF(A22="","",IFERROR(VLOOKUP(A22,'Job Operations'!A:F,6,FALSE),""))</f>
        <v/>
      </c>
      <c r="F22" t="str">
        <f>IF(A22="","",IFERROR(VLOOKUP(A22,'Job Operations'!A:G,7,FALSE),""))</f>
        <v/>
      </c>
      <c r="G22" s="1" t="str">
        <f>IF(A22="","",IFERROR(VLOOKUP(A22,'Job Operations'!A:I,9,FALSE),""))</f>
        <v/>
      </c>
      <c r="H22" t="str">
        <f>IF(A22="","",IFERROR(VLOOKUP(A22,'Job Operations'!A:L,12,FALSE),""))</f>
        <v/>
      </c>
      <c r="I22" t="str">
        <f>IF(A22="","",IF(IFERROR(VLOOKUP(A22,'Job Operations'!A:L,12,FALSE),"")="Punch",ROW()-6&amp;"st","#"&amp;ROW()-6&amp;" on Punch"))</f>
        <v/>
      </c>
      <c r="J22" s="1" t="str">
        <f>IF(A22="","",IFERROR(VLOOKUP(A22,'Job Operations'!A:I,9,FALSE)-14,""))</f>
        <v/>
      </c>
      <c r="K22" t="str">
        <f>IF(A22="","",IFERROR(VLOOKUP(A22,'Job Operations'!A:O,15,FALSE),""))</f>
        <v/>
      </c>
      <c r="L22" t="str">
        <f>IF(A22="","",IF(IFERROR(VLOOKUP(A22,Notes!A:B,2,FALSE),"")=0,"",VLOOKUP(A22,Notes!A:B,2,FALSE)))</f>
        <v/>
      </c>
    </row>
    <row r="23" spans="2:12" x14ac:dyDescent="0.25">
      <c r="B23" t="str">
        <f>IF(A23="","",IFERROR(VLOOKUP(A23,'Job Operations'!A:B,2,FALSE),""))</f>
        <v/>
      </c>
      <c r="C23" t="str">
        <f>IF(A23="","",IFERROR(VLOOKUP(A23,'Job Operations'!A:C,3,FALSE),""))</f>
        <v/>
      </c>
      <c r="D23" t="str">
        <f>IF(A23="","",IFERROR(VLOOKUP(A23,'Job Operations'!A:E,5,FALSE),""))</f>
        <v/>
      </c>
      <c r="E23" t="str">
        <f>IF(A23="","",IFERROR(VLOOKUP(A23,'Job Operations'!A:F,6,FALSE),""))</f>
        <v/>
      </c>
      <c r="F23" t="str">
        <f>IF(A23="","",IFERROR(VLOOKUP(A23,'Job Operations'!A:G,7,FALSE),""))</f>
        <v/>
      </c>
      <c r="G23" s="1" t="str">
        <f>IF(A23="","",IFERROR(VLOOKUP(A23,'Job Operations'!A:I,9,FALSE),""))</f>
        <v/>
      </c>
      <c r="H23" t="str">
        <f>IF(A23="","",IFERROR(VLOOKUP(A23,'Job Operations'!A:L,12,FALSE),""))</f>
        <v/>
      </c>
      <c r="I23" t="str">
        <f>IF(A23="","",IF(IFERROR(VLOOKUP(A23,'Job Operations'!A:L,12,FALSE),"")="Punch",ROW()-6&amp;"st","#"&amp;ROW()-6&amp;" on Punch"))</f>
        <v/>
      </c>
      <c r="J23" s="1" t="str">
        <f>IF(A23="","",IFERROR(VLOOKUP(A23,'Job Operations'!A:I,9,FALSE)-14,""))</f>
        <v/>
      </c>
      <c r="K23" t="str">
        <f>IF(A23="","",IFERROR(VLOOKUP(A23,'Job Operations'!A:O,15,FALSE),""))</f>
        <v/>
      </c>
      <c r="L23" t="str">
        <f>IF(A23="","",IF(IFERROR(VLOOKUP(A23,Notes!A:B,2,FALSE),"")=0,"",VLOOKUP(A23,Notes!A:B,2,FALSE)))</f>
        <v/>
      </c>
    </row>
    <row r="24" spans="2:12" x14ac:dyDescent="0.25">
      <c r="B24" t="str">
        <f>IF(A24="","",IFERROR(VLOOKUP(A24,'Job Operations'!A:B,2,FALSE),""))</f>
        <v/>
      </c>
      <c r="C24" t="str">
        <f>IF(A24="","",IFERROR(VLOOKUP(A24,'Job Operations'!A:C,3,FALSE),""))</f>
        <v/>
      </c>
      <c r="D24" t="str">
        <f>IF(A24="","",IFERROR(VLOOKUP(A24,'Job Operations'!A:E,5,FALSE),""))</f>
        <v/>
      </c>
      <c r="E24" t="str">
        <f>IF(A24="","",IFERROR(VLOOKUP(A24,'Job Operations'!A:F,6,FALSE),""))</f>
        <v/>
      </c>
      <c r="F24" t="str">
        <f>IF(A24="","",IFERROR(VLOOKUP(A24,'Job Operations'!A:G,7,FALSE),""))</f>
        <v/>
      </c>
      <c r="G24" s="1" t="str">
        <f>IF(A24="","",IFERROR(VLOOKUP(A24,'Job Operations'!A:I,9,FALSE),""))</f>
        <v/>
      </c>
      <c r="H24" t="str">
        <f>IF(A24="","",IFERROR(VLOOKUP(A24,'Job Operations'!A:L,12,FALSE),""))</f>
        <v/>
      </c>
      <c r="I24" t="str">
        <f>IF(A24="","",IF(IFERROR(VLOOKUP(A24,'Job Operations'!A:L,12,FALSE),"")="Punch",ROW()-6&amp;"st","#"&amp;ROW()-6&amp;" on Punch"))</f>
        <v/>
      </c>
      <c r="J24" s="1" t="str">
        <f>IF(A24="","",IFERROR(VLOOKUP(A24,'Job Operations'!A:I,9,FALSE)-14,""))</f>
        <v/>
      </c>
      <c r="K24" t="str">
        <f>IF(A24="","",IFERROR(VLOOKUP(A24,'Job Operations'!A:O,15,FALSE),""))</f>
        <v/>
      </c>
      <c r="L24" t="str">
        <f>IF(A24="","",IF(IFERROR(VLOOKUP(A24,Notes!A:B,2,FALSE),"")=0,"",VLOOKUP(A24,Notes!A:B,2,FALSE)))</f>
        <v/>
      </c>
    </row>
    <row r="25" spans="2:12" x14ac:dyDescent="0.25">
      <c r="B25" t="str">
        <f>IF(A25="","",IFERROR(VLOOKUP(A25,'Job Operations'!A:B,2,FALSE),""))</f>
        <v/>
      </c>
      <c r="C25" t="str">
        <f>IF(A25="","",IFERROR(VLOOKUP(A25,'Job Operations'!A:C,3,FALSE),""))</f>
        <v/>
      </c>
      <c r="D25" t="str">
        <f>IF(A25="","",IFERROR(VLOOKUP(A25,'Job Operations'!A:E,5,FALSE),""))</f>
        <v/>
      </c>
      <c r="E25" t="str">
        <f>IF(A25="","",IFERROR(VLOOKUP(A25,'Job Operations'!A:F,6,FALSE),""))</f>
        <v/>
      </c>
      <c r="F25" t="str">
        <f>IF(A25="","",IFERROR(VLOOKUP(A25,'Job Operations'!A:G,7,FALSE),""))</f>
        <v/>
      </c>
      <c r="G25" s="1" t="str">
        <f>IF(A25="","",IFERROR(VLOOKUP(A25,'Job Operations'!A:I,9,FALSE),""))</f>
        <v/>
      </c>
      <c r="H25" t="str">
        <f>IF(A25="","",IFERROR(VLOOKUP(A25,'Job Operations'!A:L,12,FALSE),""))</f>
        <v/>
      </c>
      <c r="I25" t="str">
        <f>IF(A25="","",IF(IFERROR(VLOOKUP(A25,'Job Operations'!A:L,12,FALSE),"")="Punch",ROW()-6&amp;"st","#"&amp;ROW()-6&amp;" on Punch"))</f>
        <v/>
      </c>
      <c r="J25" s="1" t="str">
        <f>IF(A25="","",IFERROR(VLOOKUP(A25,'Job Operations'!A:I,9,FALSE)-14,""))</f>
        <v/>
      </c>
      <c r="K25" t="str">
        <f>IF(A25="","",IFERROR(VLOOKUP(A25,'Job Operations'!A:O,15,FALSE),""))</f>
        <v/>
      </c>
      <c r="L25" t="str">
        <f>IF(A25="","",IF(IFERROR(VLOOKUP(A25,Notes!A:B,2,FALSE),"")=0,"",VLOOKUP(A25,Notes!A:B,2,FALSE)))</f>
        <v/>
      </c>
    </row>
    <row r="26" spans="2:12" x14ac:dyDescent="0.25">
      <c r="B26" t="str">
        <f>IF(A26="","",IFERROR(VLOOKUP(A26,'Job Operations'!A:B,2,FALSE),""))</f>
        <v/>
      </c>
      <c r="C26" t="str">
        <f>IF(A26="","",IFERROR(VLOOKUP(A26,'Job Operations'!A:C,3,FALSE),""))</f>
        <v/>
      </c>
      <c r="D26" t="str">
        <f>IF(A26="","",IFERROR(VLOOKUP(A26,'Job Operations'!A:E,5,FALSE),""))</f>
        <v/>
      </c>
      <c r="E26" t="str">
        <f>IF(A26="","",IFERROR(VLOOKUP(A26,'Job Operations'!A:F,6,FALSE),""))</f>
        <v/>
      </c>
      <c r="F26" t="str">
        <f>IF(A26="","",IFERROR(VLOOKUP(A26,'Job Operations'!A:G,7,FALSE),""))</f>
        <v/>
      </c>
      <c r="G26" s="1" t="str">
        <f>IF(A26="","",IFERROR(VLOOKUP(A26,'Job Operations'!A:I,9,FALSE),""))</f>
        <v/>
      </c>
      <c r="H26" t="str">
        <f>IF(A26="","",IFERROR(VLOOKUP(A26,'Job Operations'!A:L,12,FALSE),""))</f>
        <v/>
      </c>
      <c r="I26" t="str">
        <f>IF(A26="","",IF(IFERROR(VLOOKUP(A26,'Job Operations'!A:L,12,FALSE),"")="Punch",ROW()-6&amp;"st","#"&amp;ROW()-6&amp;" on Punch"))</f>
        <v/>
      </c>
      <c r="J26" s="1" t="str">
        <f>IF(A26="","",IFERROR(VLOOKUP(A26,'Job Operations'!A:I,9,FALSE)-14,""))</f>
        <v/>
      </c>
      <c r="K26" t="str">
        <f>IF(A26="","",IFERROR(VLOOKUP(A26,'Job Operations'!A:O,15,FALSE),""))</f>
        <v/>
      </c>
      <c r="L26" t="str">
        <f>IF(A26="","",IF(IFERROR(VLOOKUP(A26,Notes!A:B,2,FALSE),"")=0,"",VLOOKUP(A26,Notes!A:B,2,FALSE)))</f>
        <v/>
      </c>
    </row>
    <row r="27" spans="2:12" x14ac:dyDescent="0.25">
      <c r="B27" t="str">
        <f>IF(A27="","",IFERROR(VLOOKUP(A27,'Job Operations'!A:B,2,FALSE),""))</f>
        <v/>
      </c>
      <c r="C27" t="str">
        <f>IF(A27="","",IFERROR(VLOOKUP(A27,'Job Operations'!A:C,3,FALSE),""))</f>
        <v/>
      </c>
      <c r="D27" t="str">
        <f>IF(A27="","",IFERROR(VLOOKUP(A27,'Job Operations'!A:E,5,FALSE),""))</f>
        <v/>
      </c>
      <c r="E27" t="str">
        <f>IF(A27="","",IFERROR(VLOOKUP(A27,'Job Operations'!A:F,6,FALSE),""))</f>
        <v/>
      </c>
      <c r="F27" t="str">
        <f>IF(A27="","",IFERROR(VLOOKUP(A27,'Job Operations'!A:G,7,FALSE),""))</f>
        <v/>
      </c>
      <c r="G27" s="1" t="str">
        <f>IF(A27="","",IFERROR(VLOOKUP(A27,'Job Operations'!A:I,9,FALSE),""))</f>
        <v/>
      </c>
      <c r="H27" t="str">
        <f>IF(A27="","",IFERROR(VLOOKUP(A27,'Job Operations'!A:L,12,FALSE),""))</f>
        <v/>
      </c>
      <c r="I27" t="str">
        <f>IF(A27="","",IF(IFERROR(VLOOKUP(A27,'Job Operations'!A:L,12,FALSE),"")="Punch",ROW()-6&amp;"st","#"&amp;ROW()-6&amp;" on Punch"))</f>
        <v/>
      </c>
      <c r="J27" s="1" t="str">
        <f>IF(A27="","",IFERROR(VLOOKUP(A27,'Job Operations'!A:I,9,FALSE)-14,""))</f>
        <v/>
      </c>
      <c r="K27" t="str">
        <f>IF(A27="","",IFERROR(VLOOKUP(A27,'Job Operations'!A:O,15,FALSE),""))</f>
        <v/>
      </c>
      <c r="L27" t="str">
        <f>IF(A27="","",IF(IFERROR(VLOOKUP(A27,Notes!A:B,2,FALSE),"")=0,"",VLOOKUP(A27,Notes!A:B,2,FALSE)))</f>
        <v/>
      </c>
    </row>
    <row r="28" spans="2:12" x14ac:dyDescent="0.25">
      <c r="B28" t="str">
        <f>IF(A28="","",IFERROR(VLOOKUP(A28,'Job Operations'!A:B,2,FALSE),""))</f>
        <v/>
      </c>
      <c r="C28" t="str">
        <f>IF(A28="","",IFERROR(VLOOKUP(A28,'Job Operations'!A:C,3,FALSE),""))</f>
        <v/>
      </c>
      <c r="D28" t="str">
        <f>IF(A28="","",IFERROR(VLOOKUP(A28,'Job Operations'!A:E,5,FALSE),""))</f>
        <v/>
      </c>
      <c r="E28" t="str">
        <f>IF(A28="","",IFERROR(VLOOKUP(A28,'Job Operations'!A:F,6,FALSE),""))</f>
        <v/>
      </c>
      <c r="F28" t="str">
        <f>IF(A28="","",IFERROR(VLOOKUP(A28,'Job Operations'!A:G,7,FALSE),""))</f>
        <v/>
      </c>
      <c r="G28" s="1" t="str">
        <f>IF(A28="","",IFERROR(VLOOKUP(A28,'Job Operations'!A:I,9,FALSE),""))</f>
        <v/>
      </c>
      <c r="H28" t="str">
        <f>IF(A28="","",IFERROR(VLOOKUP(A28,'Job Operations'!A:L,12,FALSE),""))</f>
        <v/>
      </c>
      <c r="I28" t="str">
        <f>IF(A28="","",IF(IFERROR(VLOOKUP(A28,'Job Operations'!A:L,12,FALSE),"")="Punch",ROW()-6&amp;"st","#"&amp;ROW()-6&amp;" on Punch"))</f>
        <v/>
      </c>
      <c r="J28" s="1" t="str">
        <f>IF(A28="","",IFERROR(VLOOKUP(A28,'Job Operations'!A:I,9,FALSE)-14,""))</f>
        <v/>
      </c>
      <c r="K28" t="str">
        <f>IF(A28="","",IFERROR(VLOOKUP(A28,'Job Operations'!A:O,15,FALSE),""))</f>
        <v/>
      </c>
      <c r="L28" t="str">
        <f>IF(A28="","",IF(IFERROR(VLOOKUP(A28,Notes!A:B,2,FALSE),"")=0,"",VLOOKUP(A28,Notes!A:B,2,FALSE)))</f>
        <v/>
      </c>
    </row>
    <row r="29" spans="2:12" x14ac:dyDescent="0.25">
      <c r="B29" t="str">
        <f>IF(A29="","",IFERROR(VLOOKUP(A29,'Job Operations'!A:B,2,FALSE),""))</f>
        <v/>
      </c>
      <c r="C29" t="str">
        <f>IF(A29="","",IFERROR(VLOOKUP(A29,'Job Operations'!A:C,3,FALSE),""))</f>
        <v/>
      </c>
      <c r="D29" t="str">
        <f>IF(A29="","",IFERROR(VLOOKUP(A29,'Job Operations'!A:E,5,FALSE),""))</f>
        <v/>
      </c>
      <c r="E29" t="str">
        <f>IF(A29="","",IFERROR(VLOOKUP(A29,'Job Operations'!A:F,6,FALSE),""))</f>
        <v/>
      </c>
      <c r="F29" t="str">
        <f>IF(A29="","",IFERROR(VLOOKUP(A29,'Job Operations'!A:G,7,FALSE),""))</f>
        <v/>
      </c>
      <c r="G29" s="1" t="str">
        <f>IF(A29="","",IFERROR(VLOOKUP(A29,'Job Operations'!A:I,9,FALSE),""))</f>
        <v/>
      </c>
      <c r="H29" t="str">
        <f>IF(A29="","",IFERROR(VLOOKUP(A29,'Job Operations'!A:L,12,FALSE),""))</f>
        <v/>
      </c>
      <c r="I29" t="str">
        <f>IF(A29="","",IF(IFERROR(VLOOKUP(A29,'Job Operations'!A:L,12,FALSE),"")="Punch",ROW()-6&amp;"st","#"&amp;ROW()-6&amp;" on Punch"))</f>
        <v/>
      </c>
      <c r="J29" s="1" t="str">
        <f>IF(A29="","",IFERROR(VLOOKUP(A29,'Job Operations'!A:I,9,FALSE)-14,""))</f>
        <v/>
      </c>
      <c r="K29" t="str">
        <f>IF(A29="","",IFERROR(VLOOKUP(A29,'Job Operations'!A:O,15,FALSE),""))</f>
        <v/>
      </c>
      <c r="L29" t="str">
        <f>IF(A29="","",IF(IFERROR(VLOOKUP(A29,Notes!A:B,2,FALSE),"")=0,"",VLOOKUP(A29,Notes!A:B,2,FALSE)))</f>
        <v/>
      </c>
    </row>
    <row r="30" spans="2:12" x14ac:dyDescent="0.25">
      <c r="B30" t="str">
        <f>IF(A30="","",IFERROR(VLOOKUP(A30,'Job Operations'!A:B,2,FALSE),""))</f>
        <v/>
      </c>
      <c r="C30" t="str">
        <f>IF(A30="","",IFERROR(VLOOKUP(A30,'Job Operations'!A:C,3,FALSE),""))</f>
        <v/>
      </c>
      <c r="D30" t="str">
        <f>IF(A30="","",IFERROR(VLOOKUP(A30,'Job Operations'!A:E,5,FALSE),""))</f>
        <v/>
      </c>
      <c r="E30" t="str">
        <f>IF(A30="","",IFERROR(VLOOKUP(A30,'Job Operations'!A:F,6,FALSE),""))</f>
        <v/>
      </c>
      <c r="F30" t="str">
        <f>IF(A30="","",IFERROR(VLOOKUP(A30,'Job Operations'!A:G,7,FALSE),""))</f>
        <v/>
      </c>
      <c r="G30" s="1" t="str">
        <f>IF(A30="","",IFERROR(VLOOKUP(A30,'Job Operations'!A:I,9,FALSE),""))</f>
        <v/>
      </c>
      <c r="H30" t="str">
        <f>IF(A30="","",IFERROR(VLOOKUP(A30,'Job Operations'!A:L,12,FALSE),""))</f>
        <v/>
      </c>
      <c r="I30" t="str">
        <f>IF(A30="","",IF(IFERROR(VLOOKUP(A30,'Job Operations'!A:L,12,FALSE),"")="Punch",ROW()-6&amp;"st","#"&amp;ROW()-6&amp;" on Punch"))</f>
        <v/>
      </c>
      <c r="J30" s="1" t="str">
        <f>IF(A30="","",IFERROR(VLOOKUP(A30,'Job Operations'!A:I,9,FALSE)-14,""))</f>
        <v/>
      </c>
      <c r="K30" t="str">
        <f>IF(A30="","",IFERROR(VLOOKUP(A30,'Job Operations'!A:O,15,FALSE),""))</f>
        <v/>
      </c>
      <c r="L30" t="str">
        <f>IF(A30="","",IF(IFERROR(VLOOKUP(A30,Notes!A:B,2,FALSE),"")=0,"",VLOOKUP(A30,Notes!A:B,2,FALSE)))</f>
        <v/>
      </c>
    </row>
    <row r="31" spans="2:12" x14ac:dyDescent="0.25">
      <c r="B31" t="str">
        <f>IF(A31="","",IFERROR(VLOOKUP(A31,'Job Operations'!A:B,2,FALSE),""))</f>
        <v/>
      </c>
      <c r="C31" t="str">
        <f>IF(A31="","",IFERROR(VLOOKUP(A31,'Job Operations'!A:C,3,FALSE),""))</f>
        <v/>
      </c>
      <c r="D31" t="str">
        <f>IF(A31="","",IFERROR(VLOOKUP(A31,'Job Operations'!A:E,5,FALSE),""))</f>
        <v/>
      </c>
      <c r="E31" t="str">
        <f>IF(A31="","",IFERROR(VLOOKUP(A31,'Job Operations'!A:F,6,FALSE),""))</f>
        <v/>
      </c>
      <c r="F31" t="str">
        <f>IF(A31="","",IFERROR(VLOOKUP(A31,'Job Operations'!A:G,7,FALSE),""))</f>
        <v/>
      </c>
      <c r="G31" s="1" t="str">
        <f>IF(A31="","",IFERROR(VLOOKUP(A31,'Job Operations'!A:I,9,FALSE),""))</f>
        <v/>
      </c>
      <c r="H31" t="str">
        <f>IF(A31="","",IFERROR(VLOOKUP(A31,'Job Operations'!A:L,12,FALSE),""))</f>
        <v/>
      </c>
      <c r="I31" t="str">
        <f>IF(A31="","",IF(IFERROR(VLOOKUP(A31,'Job Operations'!A:L,12,FALSE),"")="Punch",ROW()-6&amp;"st","#"&amp;ROW()-6&amp;" on Punch"))</f>
        <v/>
      </c>
      <c r="J31" s="1" t="str">
        <f>IF(A31="","",IFERROR(VLOOKUP(A31,'Job Operations'!A:I,9,FALSE)-14,""))</f>
        <v/>
      </c>
      <c r="K31" t="str">
        <f>IF(A31="","",IFERROR(VLOOKUP(A31,'Job Operations'!A:O,15,FALSE),""))</f>
        <v/>
      </c>
      <c r="L31" t="str">
        <f>IF(A31="","",IF(IFERROR(VLOOKUP(A31,Notes!A:B,2,FALSE),"")=0,"",VLOOKUP(A31,Notes!A:B,2,FALSE)))</f>
        <v/>
      </c>
    </row>
    <row r="32" spans="2:12" x14ac:dyDescent="0.25">
      <c r="B32" t="str">
        <f>IF(A32="","",IFERROR(VLOOKUP(A32,'Job Operations'!A:B,2,FALSE),""))</f>
        <v/>
      </c>
      <c r="C32" t="str">
        <f>IF(A32="","",IFERROR(VLOOKUP(A32,'Job Operations'!A:C,3,FALSE),""))</f>
        <v/>
      </c>
      <c r="D32" t="str">
        <f>IF(A32="","",IFERROR(VLOOKUP(A32,'Job Operations'!A:E,5,FALSE),""))</f>
        <v/>
      </c>
      <c r="E32" t="str">
        <f>IF(A32="","",IFERROR(VLOOKUP(A32,'Job Operations'!A:F,6,FALSE),""))</f>
        <v/>
      </c>
      <c r="F32" t="str">
        <f>IF(A32="","",IFERROR(VLOOKUP(A32,'Job Operations'!A:G,7,FALSE),""))</f>
        <v/>
      </c>
      <c r="G32" s="1" t="str">
        <f>IF(A32="","",IFERROR(VLOOKUP(A32,'Job Operations'!A:I,9,FALSE),""))</f>
        <v/>
      </c>
      <c r="H32" t="str">
        <f>IF(A32="","",IFERROR(VLOOKUP(A32,'Job Operations'!A:L,12,FALSE),""))</f>
        <v/>
      </c>
      <c r="I32" t="str">
        <f>IF(A32="","",IF(IFERROR(VLOOKUP(A32,'Job Operations'!A:L,12,FALSE),"")="Punch",ROW()-6&amp;"st","#"&amp;ROW()-6&amp;" on Punch"))</f>
        <v/>
      </c>
      <c r="J32" s="1" t="str">
        <f>IF(A32="","",IFERROR(VLOOKUP(A32,'Job Operations'!A:I,9,FALSE)-14,""))</f>
        <v/>
      </c>
      <c r="K32" t="str">
        <f>IF(A32="","",IFERROR(VLOOKUP(A32,'Job Operations'!A:O,15,FALSE),""))</f>
        <v/>
      </c>
      <c r="L32" t="str">
        <f>IF(A32="","",IF(IFERROR(VLOOKUP(A32,Notes!A:B,2,FALSE),"")=0,"",VLOOKUP(A32,Notes!A:B,2,FALSE)))</f>
        <v/>
      </c>
    </row>
    <row r="33" spans="2:12" x14ac:dyDescent="0.25">
      <c r="B33" t="str">
        <f>IF(A33="","",IFERROR(VLOOKUP(A33,'Job Operations'!A:B,2,FALSE),""))</f>
        <v/>
      </c>
      <c r="C33" t="str">
        <f>IF(A33="","",IFERROR(VLOOKUP(A33,'Job Operations'!A:C,3,FALSE),""))</f>
        <v/>
      </c>
      <c r="D33" t="str">
        <f>IF(A33="","",IFERROR(VLOOKUP(A33,'Job Operations'!A:E,5,FALSE),""))</f>
        <v/>
      </c>
      <c r="E33" t="str">
        <f>IF(A33="","",IFERROR(VLOOKUP(A33,'Job Operations'!A:F,6,FALSE),""))</f>
        <v/>
      </c>
      <c r="F33" t="str">
        <f>IF(A33="","",IFERROR(VLOOKUP(A33,'Job Operations'!A:G,7,FALSE),""))</f>
        <v/>
      </c>
      <c r="G33" s="1" t="str">
        <f>IF(A33="","",IFERROR(VLOOKUP(A33,'Job Operations'!A:I,9,FALSE),""))</f>
        <v/>
      </c>
      <c r="H33" t="str">
        <f>IF(A33="","",IFERROR(VLOOKUP(A33,'Job Operations'!A:L,12,FALSE),""))</f>
        <v/>
      </c>
      <c r="I33" t="str">
        <f>IF(A33="","",IF(IFERROR(VLOOKUP(A33,'Job Operations'!A:L,12,FALSE),"")="Punch",ROW()-6&amp;"st","#"&amp;ROW()-6&amp;" on Punch"))</f>
        <v/>
      </c>
      <c r="J33" s="1" t="str">
        <f>IF(A33="","",IFERROR(VLOOKUP(A33,'Job Operations'!A:I,9,FALSE)-14,""))</f>
        <v/>
      </c>
      <c r="K33" t="str">
        <f>IF(A33="","",IFERROR(VLOOKUP(A33,'Job Operations'!A:O,15,FALSE),""))</f>
        <v/>
      </c>
      <c r="L33" t="str">
        <f>IF(A33="","",IF(IFERROR(VLOOKUP(A33,Notes!A:B,2,FALSE),"")=0,"",VLOOKUP(A33,Notes!A:B,2,FALSE)))</f>
        <v/>
      </c>
    </row>
    <row r="34" spans="2:12" x14ac:dyDescent="0.25">
      <c r="B34" t="str">
        <f>IF(A34="","",IFERROR(VLOOKUP(A34,'Job Operations'!A:B,2,FALSE),""))</f>
        <v/>
      </c>
      <c r="C34" t="str">
        <f>IF(A34="","",IFERROR(VLOOKUP(A34,'Job Operations'!A:C,3,FALSE),""))</f>
        <v/>
      </c>
      <c r="D34" t="str">
        <f>IF(A34="","",IFERROR(VLOOKUP(A34,'Job Operations'!A:E,5,FALSE),""))</f>
        <v/>
      </c>
      <c r="E34" t="str">
        <f>IF(A34="","",IFERROR(VLOOKUP(A34,'Job Operations'!A:F,6,FALSE),""))</f>
        <v/>
      </c>
      <c r="F34" t="str">
        <f>IF(A34="","",IFERROR(VLOOKUP(A34,'Job Operations'!A:G,7,FALSE),""))</f>
        <v/>
      </c>
      <c r="G34" s="1" t="str">
        <f>IF(A34="","",IFERROR(VLOOKUP(A34,'Job Operations'!A:I,9,FALSE),""))</f>
        <v/>
      </c>
      <c r="H34" t="str">
        <f>IF(A34="","",IFERROR(VLOOKUP(A34,'Job Operations'!A:L,12,FALSE),""))</f>
        <v/>
      </c>
      <c r="I34" t="str">
        <f>IF(A34="","",IF(IFERROR(VLOOKUP(A34,'Job Operations'!A:L,12,FALSE),"")="Punch",ROW()-6&amp;"st","#"&amp;ROW()-6&amp;" on Punch"))</f>
        <v/>
      </c>
      <c r="J34" s="1" t="str">
        <f>IF(A34="","",IFERROR(VLOOKUP(A34,'Job Operations'!A:I,9,FALSE)-14,""))</f>
        <v/>
      </c>
      <c r="K34" t="str">
        <f>IF(A34="","",IFERROR(VLOOKUP(A34,'Job Operations'!A:O,15,FALSE),""))</f>
        <v/>
      </c>
      <c r="L34" t="str">
        <f>IF(A34="","",IF(IFERROR(VLOOKUP(A34,Notes!A:B,2,FALSE),"")=0,"",VLOOKUP(A34,Notes!A:B,2,FALSE)))</f>
        <v/>
      </c>
    </row>
    <row r="35" spans="2:12" x14ac:dyDescent="0.25">
      <c r="B35" t="str">
        <f>IF(A35="","",IFERROR(VLOOKUP(A35,'Job Operations'!A:B,2,FALSE),""))</f>
        <v/>
      </c>
      <c r="C35" t="str">
        <f>IF(A35="","",IFERROR(VLOOKUP(A35,'Job Operations'!A:C,3,FALSE),""))</f>
        <v/>
      </c>
      <c r="D35" t="str">
        <f>IF(A35="","",IFERROR(VLOOKUP(A35,'Job Operations'!A:E,5,FALSE),""))</f>
        <v/>
      </c>
      <c r="E35" t="str">
        <f>IF(A35="","",IFERROR(VLOOKUP(A35,'Job Operations'!A:F,6,FALSE),""))</f>
        <v/>
      </c>
      <c r="F35" t="str">
        <f>IF(A35="","",IFERROR(VLOOKUP(A35,'Job Operations'!A:G,7,FALSE),""))</f>
        <v/>
      </c>
      <c r="G35" s="1" t="str">
        <f>IF(A35="","",IFERROR(VLOOKUP(A35,'Job Operations'!A:I,9,FALSE),""))</f>
        <v/>
      </c>
      <c r="H35" t="str">
        <f>IF(A35="","",IFERROR(VLOOKUP(A35,'Job Operations'!A:L,12,FALSE),""))</f>
        <v/>
      </c>
      <c r="I35" t="str">
        <f>IF(A35="","",IF(IFERROR(VLOOKUP(A35,'Job Operations'!A:L,12,FALSE),"")="Punch",ROW()-6&amp;"st","#"&amp;ROW()-6&amp;" on Punch"))</f>
        <v/>
      </c>
      <c r="J35" s="1" t="str">
        <f>IF(A35="","",IFERROR(VLOOKUP(A35,'Job Operations'!A:I,9,FALSE)-14,""))</f>
        <v/>
      </c>
      <c r="K35" t="str">
        <f>IF(A35="","",IFERROR(VLOOKUP(A35,'Job Operations'!A:O,15,FALSE),""))</f>
        <v/>
      </c>
      <c r="L35" t="str">
        <f>IF(A35="","",IF(IFERROR(VLOOKUP(A35,Notes!A:B,2,FALSE),"")=0,"",VLOOKUP(A35,Notes!A:B,2,FALSE)))</f>
        <v/>
      </c>
    </row>
    <row r="36" spans="2:12" x14ac:dyDescent="0.25">
      <c r="B36" t="str">
        <f>IF(A36="","",IFERROR(VLOOKUP(A36,'Job Operations'!A:B,2,FALSE),""))</f>
        <v/>
      </c>
      <c r="C36" t="str">
        <f>IF(A36="","",IFERROR(VLOOKUP(A36,'Job Operations'!A:C,3,FALSE),""))</f>
        <v/>
      </c>
      <c r="D36" t="str">
        <f>IF(A36="","",IFERROR(VLOOKUP(A36,'Job Operations'!A:E,5,FALSE),""))</f>
        <v/>
      </c>
      <c r="E36" t="str">
        <f>IF(A36="","",IFERROR(VLOOKUP(A36,'Job Operations'!A:F,6,FALSE),""))</f>
        <v/>
      </c>
      <c r="F36" t="str">
        <f>IF(A36="","",IFERROR(VLOOKUP(A36,'Job Operations'!A:G,7,FALSE),""))</f>
        <v/>
      </c>
      <c r="G36" s="1" t="str">
        <f>IF(A36="","",IFERROR(VLOOKUP(A36,'Job Operations'!A:I,9,FALSE),""))</f>
        <v/>
      </c>
      <c r="H36" t="str">
        <f>IF(A36="","",IFERROR(VLOOKUP(A36,'Job Operations'!A:L,12,FALSE),""))</f>
        <v/>
      </c>
      <c r="I36" t="str">
        <f>IF(A36="","",IF(IFERROR(VLOOKUP(A36,'Job Operations'!A:L,12,FALSE),"")="Punch",ROW()-6&amp;"st","#"&amp;ROW()-6&amp;" on Punch"))</f>
        <v/>
      </c>
      <c r="J36" s="1" t="str">
        <f>IF(A36="","",IFERROR(VLOOKUP(A36,'Job Operations'!A:I,9,FALSE)-14,""))</f>
        <v/>
      </c>
      <c r="K36" t="str">
        <f>IF(A36="","",IFERROR(VLOOKUP(A36,'Job Operations'!A:O,15,FALSE),""))</f>
        <v/>
      </c>
      <c r="L36" t="str">
        <f>IF(A36="","",IF(IFERROR(VLOOKUP(A36,Notes!A:B,2,FALSE),"")=0,"",VLOOKUP(A36,Notes!A:B,2,FALSE)))</f>
        <v/>
      </c>
    </row>
    <row r="37" spans="2:12" x14ac:dyDescent="0.25">
      <c r="B37" t="str">
        <f>IF(A37="","",IFERROR(VLOOKUP(A37,'Job Operations'!A:B,2,FALSE),""))</f>
        <v/>
      </c>
      <c r="C37" t="str">
        <f>IF(A37="","",IFERROR(VLOOKUP(A37,'Job Operations'!A:C,3,FALSE),""))</f>
        <v/>
      </c>
      <c r="D37" t="str">
        <f>IF(A37="","",IFERROR(VLOOKUP(A37,'Job Operations'!A:E,5,FALSE),""))</f>
        <v/>
      </c>
      <c r="E37" t="str">
        <f>IF(A37="","",IFERROR(VLOOKUP(A37,'Job Operations'!A:F,6,FALSE),""))</f>
        <v/>
      </c>
      <c r="F37" t="str">
        <f>IF(A37="","",IFERROR(VLOOKUP(A37,'Job Operations'!A:G,7,FALSE),""))</f>
        <v/>
      </c>
      <c r="G37" s="1" t="str">
        <f>IF(A37="","",IFERROR(VLOOKUP(A37,'Job Operations'!A:I,9,FALSE),""))</f>
        <v/>
      </c>
      <c r="H37" t="str">
        <f>IF(A37="","",IFERROR(VLOOKUP(A37,'Job Operations'!A:L,12,FALSE),""))</f>
        <v/>
      </c>
      <c r="I37" t="str">
        <f>IF(A37="","",IF(IFERROR(VLOOKUP(A37,'Job Operations'!A:L,12,FALSE),"")="Punch",ROW()-6&amp;"st","#"&amp;ROW()-6&amp;" on Punch"))</f>
        <v/>
      </c>
      <c r="J37" s="1" t="str">
        <f>IF(A37="","",IFERROR(VLOOKUP(A37,'Job Operations'!A:I,9,FALSE)-14,""))</f>
        <v/>
      </c>
      <c r="K37" t="str">
        <f>IF(A37="","",IFERROR(VLOOKUP(A37,'Job Operations'!A:O,15,FALSE),""))</f>
        <v/>
      </c>
      <c r="L37" t="str">
        <f>IF(A37="","",IF(IFERROR(VLOOKUP(A37,Notes!A:B,2,FALSE),"")=0,"",VLOOKUP(A37,Notes!A:B,2,FALSE)))</f>
        <v/>
      </c>
    </row>
    <row r="38" spans="2:12" x14ac:dyDescent="0.25">
      <c r="B38" t="str">
        <f>IF(A38="","",IFERROR(VLOOKUP(A38,'Job Operations'!A:B,2,FALSE),""))</f>
        <v/>
      </c>
      <c r="C38" t="str">
        <f>IF(A38="","",IFERROR(VLOOKUP(A38,'Job Operations'!A:C,3,FALSE),""))</f>
        <v/>
      </c>
      <c r="D38" t="str">
        <f>IF(A38="","",IFERROR(VLOOKUP(A38,'Job Operations'!A:E,5,FALSE),""))</f>
        <v/>
      </c>
      <c r="E38" t="str">
        <f>IF(A38="","",IFERROR(VLOOKUP(A38,'Job Operations'!A:F,6,FALSE),""))</f>
        <v/>
      </c>
      <c r="F38" t="str">
        <f>IF(A38="","",IFERROR(VLOOKUP(A38,'Job Operations'!A:G,7,FALSE),""))</f>
        <v/>
      </c>
      <c r="G38" s="1" t="str">
        <f>IF(A38="","",IFERROR(VLOOKUP(A38,'Job Operations'!A:I,9,FALSE),""))</f>
        <v/>
      </c>
      <c r="H38" t="str">
        <f>IF(A38="","",IFERROR(VLOOKUP(A38,'Job Operations'!A:L,12,FALSE),""))</f>
        <v/>
      </c>
      <c r="I38" t="str">
        <f>IF(A38="","",IF(IFERROR(VLOOKUP(A38,'Job Operations'!A:L,12,FALSE),"")="Punch",ROW()-6&amp;"st","#"&amp;ROW()-6&amp;" on Punch"))</f>
        <v/>
      </c>
      <c r="J38" s="1" t="str">
        <f>IF(A38="","",IFERROR(VLOOKUP(A38,'Job Operations'!A:I,9,FALSE)-14,""))</f>
        <v/>
      </c>
      <c r="K38" t="str">
        <f>IF(A38="","",IFERROR(VLOOKUP(A38,'Job Operations'!A:O,15,FALSE),""))</f>
        <v/>
      </c>
      <c r="L38" t="str">
        <f>IF(A38="","",IF(IFERROR(VLOOKUP(A38,Notes!A:B,2,FALSE),"")=0,"",VLOOKUP(A38,Notes!A:B,2,FALSE)))</f>
        <v/>
      </c>
    </row>
    <row r="39" spans="2:12" x14ac:dyDescent="0.25">
      <c r="B39" t="str">
        <f>IF(A39="","",IFERROR(VLOOKUP(A39,'Job Operations'!A:B,2,FALSE),""))</f>
        <v/>
      </c>
      <c r="C39" t="str">
        <f>IF(A39="","",IFERROR(VLOOKUP(A39,'Job Operations'!A:C,3,FALSE),""))</f>
        <v/>
      </c>
      <c r="D39" t="str">
        <f>IF(A39="","",IFERROR(VLOOKUP(A39,'Job Operations'!A:E,5,FALSE),""))</f>
        <v/>
      </c>
      <c r="E39" t="str">
        <f>IF(A39="","",IFERROR(VLOOKUP(A39,'Job Operations'!A:F,6,FALSE),""))</f>
        <v/>
      </c>
      <c r="F39" t="str">
        <f>IF(A39="","",IFERROR(VLOOKUP(A39,'Job Operations'!A:G,7,FALSE),""))</f>
        <v/>
      </c>
      <c r="G39" s="1" t="str">
        <f>IF(A39="","",IFERROR(VLOOKUP(A39,'Job Operations'!A:I,9,FALSE),""))</f>
        <v/>
      </c>
      <c r="H39" t="str">
        <f>IF(A39="","",IFERROR(VLOOKUP(A39,'Job Operations'!A:L,12,FALSE),""))</f>
        <v/>
      </c>
      <c r="I39" t="str">
        <f>IF(A39="","",IF(IFERROR(VLOOKUP(A39,'Job Operations'!A:L,12,FALSE),"")="Punch",ROW()-6&amp;"st","#"&amp;ROW()-6&amp;" on Punch"))</f>
        <v/>
      </c>
      <c r="J39" s="1" t="str">
        <f>IF(A39="","",IFERROR(VLOOKUP(A39,'Job Operations'!A:I,9,FALSE)-14,""))</f>
        <v/>
      </c>
      <c r="K39" t="str">
        <f>IF(A39="","",IFERROR(VLOOKUP(A39,'Job Operations'!A:O,15,FALSE),""))</f>
        <v/>
      </c>
      <c r="L39" t="str">
        <f>IF(A39="","",IF(IFERROR(VLOOKUP(A39,Notes!A:B,2,FALSE),"")=0,"",VLOOKUP(A39,Notes!A:B,2,FALSE)))</f>
        <v/>
      </c>
    </row>
    <row r="40" spans="2:12" x14ac:dyDescent="0.25">
      <c r="B40" t="str">
        <f>IF(A40="","",IFERROR(VLOOKUP(A40,'Job Operations'!A:B,2,FALSE),""))</f>
        <v/>
      </c>
      <c r="C40" t="str">
        <f>IF(A40="","",IFERROR(VLOOKUP(A40,'Job Operations'!A:C,3,FALSE),""))</f>
        <v/>
      </c>
      <c r="D40" t="str">
        <f>IF(A40="","",IFERROR(VLOOKUP(A40,'Job Operations'!A:E,5,FALSE),""))</f>
        <v/>
      </c>
      <c r="E40" t="str">
        <f>IF(A40="","",IFERROR(VLOOKUP(A40,'Job Operations'!A:F,6,FALSE),""))</f>
        <v/>
      </c>
      <c r="F40" t="str">
        <f>IF(A40="","",IFERROR(VLOOKUP(A40,'Job Operations'!A:G,7,FALSE),""))</f>
        <v/>
      </c>
      <c r="G40" s="1" t="str">
        <f>IF(A40="","",IFERROR(VLOOKUP(A40,'Job Operations'!A:I,9,FALSE),""))</f>
        <v/>
      </c>
      <c r="H40" t="str">
        <f>IF(A40="","",IFERROR(VLOOKUP(A40,'Job Operations'!A:L,12,FALSE),""))</f>
        <v/>
      </c>
      <c r="I40" t="str">
        <f>IF(A40="","",IF(IFERROR(VLOOKUP(A40,'Job Operations'!A:L,12,FALSE),"")="Punch",ROW()-6&amp;"st","#"&amp;ROW()-6&amp;" on Punch"))</f>
        <v/>
      </c>
      <c r="J40" s="1" t="str">
        <f>IF(A40="","",IFERROR(VLOOKUP(A40,'Job Operations'!A:I,9,FALSE)-14,""))</f>
        <v/>
      </c>
      <c r="K40" t="str">
        <f>IF(A40="","",IFERROR(VLOOKUP(A40,'Job Operations'!A:O,15,FALSE),""))</f>
        <v/>
      </c>
      <c r="L40" t="str">
        <f>IF(A40="","",IF(IFERROR(VLOOKUP(A40,Notes!A:B,2,FALSE),"")=0,"",VLOOKUP(A40,Notes!A:B,2,FALSE)))</f>
        <v/>
      </c>
    </row>
    <row r="41" spans="2:12" x14ac:dyDescent="0.25">
      <c r="B41" t="str">
        <f>IF(A41="","",IFERROR(VLOOKUP(A41,'Job Operations'!A:B,2,FALSE),""))</f>
        <v/>
      </c>
      <c r="C41" t="str">
        <f>IF(A41="","",IFERROR(VLOOKUP(A41,'Job Operations'!A:C,3,FALSE),""))</f>
        <v/>
      </c>
      <c r="D41" t="str">
        <f>IF(A41="","",IFERROR(VLOOKUP(A41,'Job Operations'!A:E,5,FALSE),""))</f>
        <v/>
      </c>
      <c r="E41" t="str">
        <f>IF(A41="","",IFERROR(VLOOKUP(A41,'Job Operations'!A:F,6,FALSE),""))</f>
        <v/>
      </c>
      <c r="F41" t="str">
        <f>IF(A41="","",IFERROR(VLOOKUP(A41,'Job Operations'!A:G,7,FALSE),""))</f>
        <v/>
      </c>
      <c r="G41" s="1" t="str">
        <f>IF(A41="","",IFERROR(VLOOKUP(A41,'Job Operations'!A:I,9,FALSE),""))</f>
        <v/>
      </c>
      <c r="H41" t="str">
        <f>IF(A41="","",IFERROR(VLOOKUP(A41,'Job Operations'!A:L,12,FALSE),""))</f>
        <v/>
      </c>
      <c r="I41" t="str">
        <f>IF(A41="","",IF(IFERROR(VLOOKUP(A41,'Job Operations'!A:L,12,FALSE),"")="Punch",ROW()-6&amp;"st","#"&amp;ROW()-6&amp;" on Punch"))</f>
        <v/>
      </c>
      <c r="J41" s="1" t="str">
        <f>IF(A41="","",IFERROR(VLOOKUP(A41,'Job Operations'!A:I,9,FALSE)-14,""))</f>
        <v/>
      </c>
      <c r="K41" t="str">
        <f>IF(A41="","",IFERROR(VLOOKUP(A41,'Job Operations'!A:O,15,FALSE),""))</f>
        <v/>
      </c>
      <c r="L41" t="str">
        <f>IF(A41="","",IF(IFERROR(VLOOKUP(A41,Notes!A:B,2,FALSE),"")=0,"",VLOOKUP(A41,Notes!A:B,2,FALSE)))</f>
        <v/>
      </c>
    </row>
    <row r="42" spans="2:12" x14ac:dyDescent="0.25">
      <c r="B42" t="str">
        <f>IF(A42="","",IFERROR(VLOOKUP(A42,'Job Operations'!A:B,2,FALSE),""))</f>
        <v/>
      </c>
      <c r="C42" t="str">
        <f>IF(A42="","",IFERROR(VLOOKUP(A42,'Job Operations'!A:C,3,FALSE),""))</f>
        <v/>
      </c>
      <c r="D42" t="str">
        <f>IF(A42="","",IFERROR(VLOOKUP(A42,'Job Operations'!A:E,5,FALSE),""))</f>
        <v/>
      </c>
      <c r="E42" t="str">
        <f>IF(A42="","",IFERROR(VLOOKUP(A42,'Job Operations'!A:F,6,FALSE),""))</f>
        <v/>
      </c>
      <c r="F42" t="str">
        <f>IF(A42="","",IFERROR(VLOOKUP(A42,'Job Operations'!A:G,7,FALSE),""))</f>
        <v/>
      </c>
      <c r="G42" s="1" t="str">
        <f>IF(A42="","",IFERROR(VLOOKUP(A42,'Job Operations'!A:I,9,FALSE),""))</f>
        <v/>
      </c>
      <c r="H42" t="str">
        <f>IF(A42="","",IFERROR(VLOOKUP(A42,'Job Operations'!A:L,12,FALSE),""))</f>
        <v/>
      </c>
      <c r="I42" t="str">
        <f>IF(A42="","",IF(IFERROR(VLOOKUP(A42,'Job Operations'!A:L,12,FALSE),"")="Punch",ROW()-6&amp;"st","#"&amp;ROW()-6&amp;" on Punch"))</f>
        <v/>
      </c>
      <c r="J42" s="1" t="str">
        <f>IF(A42="","",IFERROR(VLOOKUP(A42,'Job Operations'!A:I,9,FALSE)-14,""))</f>
        <v/>
      </c>
      <c r="K42" t="str">
        <f>IF(A42="","",IFERROR(VLOOKUP(A42,'Job Operations'!A:O,15,FALSE),""))</f>
        <v/>
      </c>
      <c r="L42" t="str">
        <f>IF(A42="","",IF(IFERROR(VLOOKUP(A42,Notes!A:B,2,FALSE),"")=0,"",VLOOKUP(A42,Notes!A:B,2,FALSE)))</f>
        <v/>
      </c>
    </row>
    <row r="43" spans="2:12" x14ac:dyDescent="0.25">
      <c r="B43" t="str">
        <f>IF(A43="","",IFERROR(VLOOKUP(A43,'Job Operations'!A:B,2,FALSE),""))</f>
        <v/>
      </c>
      <c r="C43" t="str">
        <f>IF(A43="","",IFERROR(VLOOKUP(A43,'Job Operations'!A:C,3,FALSE),""))</f>
        <v/>
      </c>
      <c r="D43" t="str">
        <f>IF(A43="","",IFERROR(VLOOKUP(A43,'Job Operations'!A:E,5,FALSE),""))</f>
        <v/>
      </c>
      <c r="E43" t="str">
        <f>IF(A43="","",IFERROR(VLOOKUP(A43,'Job Operations'!A:F,6,FALSE),""))</f>
        <v/>
      </c>
      <c r="F43" t="str">
        <f>IF(A43="","",IFERROR(VLOOKUP(A43,'Job Operations'!A:G,7,FALSE),""))</f>
        <v/>
      </c>
      <c r="G43" s="1" t="str">
        <f>IF(A43="","",IFERROR(VLOOKUP(A43,'Job Operations'!A:I,9,FALSE),""))</f>
        <v/>
      </c>
      <c r="H43" t="str">
        <f>IF(A43="","",IFERROR(VLOOKUP(A43,'Job Operations'!A:L,12,FALSE),""))</f>
        <v/>
      </c>
      <c r="I43" t="str">
        <f>IF(A43="","",IF(IFERROR(VLOOKUP(A43,'Job Operations'!A:L,12,FALSE),"")="Punch",ROW()-6&amp;"st","#"&amp;ROW()-6&amp;" on Punch"))</f>
        <v/>
      </c>
      <c r="J43" s="1" t="str">
        <f>IF(A43="","",IFERROR(VLOOKUP(A43,'Job Operations'!A:I,9,FALSE)-14,""))</f>
        <v/>
      </c>
      <c r="K43" t="str">
        <f>IF(A43="","",IFERROR(VLOOKUP(A43,'Job Operations'!A:O,15,FALSE),""))</f>
        <v/>
      </c>
      <c r="L43" t="str">
        <f>IF(A43="","",IF(IFERROR(VLOOKUP(A43,Notes!A:B,2,FALSE),"")=0,"",VLOOKUP(A43,Notes!A:B,2,FALSE)))</f>
        <v/>
      </c>
    </row>
    <row r="44" spans="2:12" x14ac:dyDescent="0.25">
      <c r="B44" t="str">
        <f>IF(A44="","",IFERROR(VLOOKUP(A44,'Job Operations'!A:B,2,FALSE),""))</f>
        <v/>
      </c>
      <c r="C44" t="str">
        <f>IF(A44="","",IFERROR(VLOOKUP(A44,'Job Operations'!A:C,3,FALSE),""))</f>
        <v/>
      </c>
      <c r="D44" t="str">
        <f>IF(A44="","",IFERROR(VLOOKUP(A44,'Job Operations'!A:E,5,FALSE),""))</f>
        <v/>
      </c>
      <c r="E44" t="str">
        <f>IF(A44="","",IFERROR(VLOOKUP(A44,'Job Operations'!A:F,6,FALSE),""))</f>
        <v/>
      </c>
      <c r="F44" t="str">
        <f>IF(A44="","",IFERROR(VLOOKUP(A44,'Job Operations'!A:G,7,FALSE),""))</f>
        <v/>
      </c>
      <c r="G44" s="1" t="str">
        <f>IF(A44="","",IFERROR(VLOOKUP(A44,'Job Operations'!A:I,9,FALSE),""))</f>
        <v/>
      </c>
      <c r="H44" t="str">
        <f>IF(A44="","",IFERROR(VLOOKUP(A44,'Job Operations'!A:L,12,FALSE),""))</f>
        <v/>
      </c>
      <c r="I44" t="str">
        <f>IF(A44="","",IF(IFERROR(VLOOKUP(A44,'Job Operations'!A:L,12,FALSE),"")="Punch",ROW()-6&amp;"st","#"&amp;ROW()-6&amp;" on Punch"))</f>
        <v/>
      </c>
      <c r="J44" s="1" t="str">
        <f>IF(A44="","",IFERROR(VLOOKUP(A44,'Job Operations'!A:I,9,FALSE)-14,""))</f>
        <v/>
      </c>
      <c r="K44" t="str">
        <f>IF(A44="","",IFERROR(VLOOKUP(A44,'Job Operations'!A:O,15,FALSE),""))</f>
        <v/>
      </c>
      <c r="L44" t="str">
        <f>IF(A44="","",IF(IFERROR(VLOOKUP(A44,Notes!A:B,2,FALSE),"")=0,"",VLOOKUP(A44,Notes!A:B,2,FALSE)))</f>
        <v/>
      </c>
    </row>
    <row r="45" spans="2:12" x14ac:dyDescent="0.25">
      <c r="B45" t="str">
        <f>IF(A45="","",IFERROR(VLOOKUP(A45,'Job Operations'!A:B,2,FALSE),""))</f>
        <v/>
      </c>
      <c r="C45" t="str">
        <f>IF(A45="","",IFERROR(VLOOKUP(A45,'Job Operations'!A:C,3,FALSE),""))</f>
        <v/>
      </c>
      <c r="D45" t="str">
        <f>IF(A45="","",IFERROR(VLOOKUP(A45,'Job Operations'!A:E,5,FALSE),""))</f>
        <v/>
      </c>
      <c r="E45" t="str">
        <f>IF(A45="","",IFERROR(VLOOKUP(A45,'Job Operations'!A:F,6,FALSE),""))</f>
        <v/>
      </c>
      <c r="F45" t="str">
        <f>IF(A45="","",IFERROR(VLOOKUP(A45,'Job Operations'!A:G,7,FALSE),""))</f>
        <v/>
      </c>
      <c r="G45" s="1" t="str">
        <f>IF(A45="","",IFERROR(VLOOKUP(A45,'Job Operations'!A:I,9,FALSE),""))</f>
        <v/>
      </c>
      <c r="H45" t="str">
        <f>IF(A45="","",IFERROR(VLOOKUP(A45,'Job Operations'!A:L,12,FALSE),""))</f>
        <v/>
      </c>
      <c r="I45" t="str">
        <f>IF(A45="","",IF(IFERROR(VLOOKUP(A45,'Job Operations'!A:L,12,FALSE),"")="Punch",ROW()-6&amp;"st","#"&amp;ROW()-6&amp;" on Punch"))</f>
        <v/>
      </c>
      <c r="J45" s="1" t="str">
        <f>IF(A45="","",IFERROR(VLOOKUP(A45,'Job Operations'!A:I,9,FALSE)-14,""))</f>
        <v/>
      </c>
      <c r="K45" t="str">
        <f>IF(A45="","",IFERROR(VLOOKUP(A45,'Job Operations'!A:O,15,FALSE),""))</f>
        <v/>
      </c>
      <c r="L45" t="str">
        <f>IF(A45="","",IF(IFERROR(VLOOKUP(A45,Notes!A:B,2,FALSE),"")=0,"",VLOOKUP(A45,Notes!A:B,2,FALSE)))</f>
        <v/>
      </c>
    </row>
    <row r="46" spans="2:12" x14ac:dyDescent="0.25">
      <c r="B46" t="str">
        <f>IF(A46="","",IFERROR(VLOOKUP(A46,'Job Operations'!A:B,2,FALSE),""))</f>
        <v/>
      </c>
      <c r="C46" t="str">
        <f>IF(A46="","",IFERROR(VLOOKUP(A46,'Job Operations'!A:C,3,FALSE),""))</f>
        <v/>
      </c>
      <c r="D46" t="str">
        <f>IF(A46="","",IFERROR(VLOOKUP(A46,'Job Operations'!A:E,5,FALSE),""))</f>
        <v/>
      </c>
      <c r="E46" t="str">
        <f>IF(A46="","",IFERROR(VLOOKUP(A46,'Job Operations'!A:F,6,FALSE),""))</f>
        <v/>
      </c>
      <c r="F46" t="str">
        <f>IF(A46="","",IFERROR(VLOOKUP(A46,'Job Operations'!A:G,7,FALSE),""))</f>
        <v/>
      </c>
      <c r="G46" s="1" t="str">
        <f>IF(A46="","",IFERROR(VLOOKUP(A46,'Job Operations'!A:I,9,FALSE),""))</f>
        <v/>
      </c>
      <c r="H46" t="str">
        <f>IF(A46="","",IFERROR(VLOOKUP(A46,'Job Operations'!A:L,12,FALSE),""))</f>
        <v/>
      </c>
      <c r="I46" t="str">
        <f>IF(A46="","",IF(IFERROR(VLOOKUP(A46,'Job Operations'!A:L,12,FALSE),"")="Punch",ROW()-6&amp;"st","#"&amp;ROW()-6&amp;" on Punch"))</f>
        <v/>
      </c>
      <c r="J46" s="1" t="str">
        <f>IF(A46="","",IFERROR(VLOOKUP(A46,'Job Operations'!A:I,9,FALSE)-14,""))</f>
        <v/>
      </c>
      <c r="K46" t="str">
        <f>IF(A46="","",IFERROR(VLOOKUP(A46,'Job Operations'!A:O,15,FALSE),""))</f>
        <v/>
      </c>
      <c r="L46" t="str">
        <f>IF(A46="","",IF(IFERROR(VLOOKUP(A46,Notes!A:B,2,FALSE),"")=0,"",VLOOKUP(A46,Notes!A:B,2,FALSE)))</f>
        <v/>
      </c>
    </row>
    <row r="47" spans="2:12" x14ac:dyDescent="0.25">
      <c r="B47" t="str">
        <f>IF(A47="","",IFERROR(VLOOKUP(A47,'Job Operations'!A:B,2,FALSE),""))</f>
        <v/>
      </c>
      <c r="C47" t="str">
        <f>IF(A47="","",IFERROR(VLOOKUP(A47,'Job Operations'!A:C,3,FALSE),""))</f>
        <v/>
      </c>
      <c r="D47" t="str">
        <f>IF(A47="","",IFERROR(VLOOKUP(A47,'Job Operations'!A:E,5,FALSE),""))</f>
        <v/>
      </c>
      <c r="E47" t="str">
        <f>IF(A47="","",IFERROR(VLOOKUP(A47,'Job Operations'!A:F,6,FALSE),""))</f>
        <v/>
      </c>
      <c r="F47" t="str">
        <f>IF(A47="","",IFERROR(VLOOKUP(A47,'Job Operations'!A:G,7,FALSE),""))</f>
        <v/>
      </c>
      <c r="G47" s="1" t="str">
        <f>IF(A47="","",IFERROR(VLOOKUP(A47,'Job Operations'!A:I,9,FALSE),""))</f>
        <v/>
      </c>
      <c r="H47" t="str">
        <f>IF(A47="","",IFERROR(VLOOKUP(A47,'Job Operations'!A:L,12,FALSE),""))</f>
        <v/>
      </c>
      <c r="I47" t="str">
        <f>IF(A47="","",IF(IFERROR(VLOOKUP(A47,'Job Operations'!A:L,12,FALSE),"")="Punch",ROW()-6&amp;"st","#"&amp;ROW()-6&amp;" on Punch"))</f>
        <v/>
      </c>
      <c r="J47" s="1" t="str">
        <f>IF(A47="","",IFERROR(VLOOKUP(A47,'Job Operations'!A:I,9,FALSE)-14,""))</f>
        <v/>
      </c>
      <c r="K47" t="str">
        <f>IF(A47="","",IFERROR(VLOOKUP(A47,'Job Operations'!A:O,15,FALSE),""))</f>
        <v/>
      </c>
      <c r="L47" t="str">
        <f>IF(A47="","",IF(IFERROR(VLOOKUP(A47,Notes!A:B,2,FALSE),"")=0,"",VLOOKUP(A47,Notes!A:B,2,FALSE)))</f>
        <v/>
      </c>
    </row>
    <row r="48" spans="2:12" x14ac:dyDescent="0.25">
      <c r="B48" t="str">
        <f>IF(A48="","",IFERROR(VLOOKUP(A48,'Job Operations'!A:B,2,FALSE),""))</f>
        <v/>
      </c>
      <c r="C48" t="str">
        <f>IF(A48="","",IFERROR(VLOOKUP(A48,'Job Operations'!A:C,3,FALSE),""))</f>
        <v/>
      </c>
      <c r="D48" t="str">
        <f>IF(A48="","",IFERROR(VLOOKUP(A48,'Job Operations'!A:E,5,FALSE),""))</f>
        <v/>
      </c>
      <c r="E48" t="str">
        <f>IF(A48="","",IFERROR(VLOOKUP(A48,'Job Operations'!A:F,6,FALSE),""))</f>
        <v/>
      </c>
      <c r="F48" t="str">
        <f>IF(A48="","",IFERROR(VLOOKUP(A48,'Job Operations'!A:G,7,FALSE),""))</f>
        <v/>
      </c>
      <c r="G48" s="1" t="str">
        <f>IF(A48="","",IFERROR(VLOOKUP(A48,'Job Operations'!A:I,9,FALSE),""))</f>
        <v/>
      </c>
      <c r="H48" t="str">
        <f>IF(A48="","",IFERROR(VLOOKUP(A48,'Job Operations'!A:L,12,FALSE),""))</f>
        <v/>
      </c>
      <c r="I48" t="str">
        <f>IF(A48="","",IF(IFERROR(VLOOKUP(A48,'Job Operations'!A:L,12,FALSE),"")="Punch",ROW()-6&amp;"st","#"&amp;ROW()-6&amp;" on Punch"))</f>
        <v/>
      </c>
      <c r="J48" s="1" t="str">
        <f>IF(A48="","",IFERROR(VLOOKUP(A48,'Job Operations'!A:I,9,FALSE)-14,""))</f>
        <v/>
      </c>
      <c r="K48" t="str">
        <f>IF(A48="","",IFERROR(VLOOKUP(A48,'Job Operations'!A:O,15,FALSE),""))</f>
        <v/>
      </c>
      <c r="L48" t="str">
        <f>IF(A48="","",IF(IFERROR(VLOOKUP(A48,Notes!A:B,2,FALSE),"")=0,"",VLOOKUP(A48,Notes!A:B,2,FALSE)))</f>
        <v/>
      </c>
    </row>
    <row r="49" spans="2:12" x14ac:dyDescent="0.25">
      <c r="B49" t="str">
        <f>IF(A49="","",IFERROR(VLOOKUP(A49,'Job Operations'!A:B,2,FALSE),""))</f>
        <v/>
      </c>
      <c r="C49" t="str">
        <f>IF(A49="","",IFERROR(VLOOKUP(A49,'Job Operations'!A:C,3,FALSE),""))</f>
        <v/>
      </c>
      <c r="D49" t="str">
        <f>IF(A49="","",IFERROR(VLOOKUP(A49,'Job Operations'!A:E,5,FALSE),""))</f>
        <v/>
      </c>
      <c r="E49" t="str">
        <f>IF(A49="","",IFERROR(VLOOKUP(A49,'Job Operations'!A:F,6,FALSE),""))</f>
        <v/>
      </c>
      <c r="F49" t="str">
        <f>IF(A49="","",IFERROR(VLOOKUP(A49,'Job Operations'!A:G,7,FALSE),""))</f>
        <v/>
      </c>
      <c r="G49" s="1" t="str">
        <f>IF(A49="","",IFERROR(VLOOKUP(A49,'Job Operations'!A:I,9,FALSE),""))</f>
        <v/>
      </c>
      <c r="H49" t="str">
        <f>IF(A49="","",IFERROR(VLOOKUP(A49,'Job Operations'!A:L,12,FALSE),""))</f>
        <v/>
      </c>
      <c r="I49" t="str">
        <f>IF(A49="","",IF(IFERROR(VLOOKUP(A49,'Job Operations'!A:L,12,FALSE),"")="Punch",ROW()-6&amp;"st","#"&amp;ROW()-6&amp;" on Punch"))</f>
        <v/>
      </c>
      <c r="J49" s="1" t="str">
        <f>IF(A49="","",IFERROR(VLOOKUP(A49,'Job Operations'!A:I,9,FALSE)-14,""))</f>
        <v/>
      </c>
      <c r="K49" t="str">
        <f>IF(A49="","",IFERROR(VLOOKUP(A49,'Job Operations'!A:O,15,FALSE),""))</f>
        <v/>
      </c>
      <c r="L49" t="str">
        <f>IF(A49="","",IF(IFERROR(VLOOKUP(A49,Notes!A:B,2,FALSE),"")=0,"",VLOOKUP(A49,Notes!A:B,2,FALSE)))</f>
        <v/>
      </c>
    </row>
    <row r="50" spans="2:12" x14ac:dyDescent="0.25">
      <c r="B50" t="str">
        <f>IF(A50="","",IFERROR(VLOOKUP(A50,'Job Operations'!A:B,2,FALSE),""))</f>
        <v/>
      </c>
      <c r="C50" t="str">
        <f>IF(A50="","",IFERROR(VLOOKUP(A50,'Job Operations'!A:C,3,FALSE),""))</f>
        <v/>
      </c>
      <c r="D50" t="str">
        <f>IF(A50="","",IFERROR(VLOOKUP(A50,'Job Operations'!A:E,5,FALSE),""))</f>
        <v/>
      </c>
      <c r="E50" t="str">
        <f>IF(A50="","",IFERROR(VLOOKUP(A50,'Job Operations'!A:F,6,FALSE),""))</f>
        <v/>
      </c>
      <c r="F50" t="str">
        <f>IF(A50="","",IFERROR(VLOOKUP(A50,'Job Operations'!A:G,7,FALSE),""))</f>
        <v/>
      </c>
      <c r="G50" s="1" t="str">
        <f>IF(A50="","",IFERROR(VLOOKUP(A50,'Job Operations'!A:I,9,FALSE),""))</f>
        <v/>
      </c>
      <c r="H50" t="str">
        <f>IF(A50="","",IFERROR(VLOOKUP(A50,'Job Operations'!A:L,12,FALSE),""))</f>
        <v/>
      </c>
      <c r="I50" t="str">
        <f>IF(A50="","",IF(IFERROR(VLOOKUP(A50,'Job Operations'!A:L,12,FALSE),"")="Punch",ROW()-6&amp;"st","#"&amp;ROW()-6&amp;" on Punch"))</f>
        <v/>
      </c>
      <c r="J50" s="1" t="str">
        <f>IF(A50="","",IFERROR(VLOOKUP(A50,'Job Operations'!A:I,9,FALSE)-14,""))</f>
        <v/>
      </c>
      <c r="K50" t="str">
        <f>IF(A50="","",IFERROR(VLOOKUP(A50,'Job Operations'!A:O,15,FALSE),""))</f>
        <v/>
      </c>
      <c r="L50" t="str">
        <f>IF(A50="","",IF(IFERROR(VLOOKUP(A50,Notes!A:B,2,FALSE),"")=0,"",VLOOKUP(A50,Notes!A:B,2,FALSE)))</f>
        <v/>
      </c>
    </row>
    <row r="51" spans="2:12" x14ac:dyDescent="0.25">
      <c r="G51" s="1"/>
      <c r="J51" s="1"/>
    </row>
    <row r="52" spans="2:12" x14ac:dyDescent="0.25">
      <c r="G52" s="1"/>
      <c r="J52" s="1"/>
    </row>
    <row r="53" spans="2:12" x14ac:dyDescent="0.25">
      <c r="G53" s="1"/>
      <c r="J53" s="1"/>
    </row>
    <row r="54" spans="2:12" x14ac:dyDescent="0.25">
      <c r="G54" s="1"/>
      <c r="J54" s="1"/>
    </row>
    <row r="55" spans="2:12" x14ac:dyDescent="0.25">
      <c r="G55" s="1"/>
      <c r="J55" s="1"/>
    </row>
    <row r="56" spans="2:12" x14ac:dyDescent="0.25">
      <c r="G56" s="1"/>
      <c r="J56" s="1"/>
    </row>
    <row r="57" spans="2:12" x14ac:dyDescent="0.25">
      <c r="G57" s="1"/>
      <c r="J57" s="1"/>
    </row>
    <row r="58" spans="2:12" x14ac:dyDescent="0.25">
      <c r="G58" s="1"/>
      <c r="J58" s="1"/>
    </row>
    <row r="59" spans="2:12" x14ac:dyDescent="0.25">
      <c r="G59" s="1"/>
      <c r="J59" s="1"/>
    </row>
    <row r="60" spans="2:12" x14ac:dyDescent="0.25">
      <c r="G60" s="1"/>
      <c r="J60" s="1"/>
    </row>
    <row r="61" spans="2:12" x14ac:dyDescent="0.25">
      <c r="G61" s="1"/>
      <c r="J61" s="1"/>
    </row>
    <row r="62" spans="2:12" x14ac:dyDescent="0.25">
      <c r="G62" s="1"/>
      <c r="J62" s="1"/>
    </row>
    <row r="63" spans="2:12" x14ac:dyDescent="0.25">
      <c r="G63" s="1"/>
      <c r="J63" s="1"/>
    </row>
    <row r="64" spans="2:12" x14ac:dyDescent="0.25">
      <c r="G64" s="1"/>
      <c r="J64" s="1"/>
    </row>
    <row r="65" spans="7:10" x14ac:dyDescent="0.25">
      <c r="G65" s="1"/>
      <c r="J65" s="1"/>
    </row>
    <row r="66" spans="7:10" x14ac:dyDescent="0.25">
      <c r="G66" s="1"/>
      <c r="J66" s="1"/>
    </row>
    <row r="67" spans="7:10" x14ac:dyDescent="0.25">
      <c r="G67" s="1"/>
      <c r="J67" s="1"/>
    </row>
    <row r="68" spans="7:10" x14ac:dyDescent="0.25">
      <c r="G68" s="1"/>
      <c r="J68" s="1"/>
    </row>
    <row r="69" spans="7:10" x14ac:dyDescent="0.25">
      <c r="G69" s="1"/>
      <c r="J69" s="1"/>
    </row>
    <row r="70" spans="7:10" x14ac:dyDescent="0.25">
      <c r="G70" s="1"/>
      <c r="J70" s="1"/>
    </row>
    <row r="71" spans="7:10" x14ac:dyDescent="0.25">
      <c r="G71" s="1"/>
      <c r="J71" s="1"/>
    </row>
    <row r="72" spans="7:10" x14ac:dyDescent="0.25">
      <c r="G72" s="1"/>
      <c r="J72" s="1"/>
    </row>
    <row r="73" spans="7:10" x14ac:dyDescent="0.25">
      <c r="G73" s="1"/>
      <c r="J73" s="1"/>
    </row>
    <row r="74" spans="7:10" x14ac:dyDescent="0.25">
      <c r="G74" s="1"/>
      <c r="J74" s="1"/>
    </row>
    <row r="75" spans="7:10" x14ac:dyDescent="0.25">
      <c r="G75" s="1"/>
      <c r="J75" s="1"/>
    </row>
    <row r="76" spans="7:10" x14ac:dyDescent="0.25">
      <c r="G76" s="1"/>
      <c r="J76" s="1"/>
    </row>
    <row r="77" spans="7:10" x14ac:dyDescent="0.25">
      <c r="G77" s="1"/>
      <c r="J77" s="1"/>
    </row>
    <row r="78" spans="7:10" x14ac:dyDescent="0.25">
      <c r="G78" s="1"/>
      <c r="J78" s="1"/>
    </row>
    <row r="79" spans="7:10" x14ac:dyDescent="0.25">
      <c r="G79" s="1"/>
      <c r="J79" s="1"/>
    </row>
    <row r="80" spans="7:10" x14ac:dyDescent="0.25">
      <c r="G80" s="1"/>
      <c r="J80" s="1"/>
    </row>
    <row r="81" spans="7:10" x14ac:dyDescent="0.25">
      <c r="G81" s="1"/>
      <c r="J81" s="1"/>
    </row>
    <row r="82" spans="7:10" x14ac:dyDescent="0.25">
      <c r="G82" s="1"/>
      <c r="J82" s="1"/>
    </row>
    <row r="83" spans="7:10" x14ac:dyDescent="0.25">
      <c r="G83" s="1"/>
      <c r="J83" s="1"/>
    </row>
    <row r="84" spans="7:10" x14ac:dyDescent="0.25">
      <c r="G84" s="1"/>
      <c r="J84" s="1"/>
    </row>
    <row r="85" spans="7:10" x14ac:dyDescent="0.25">
      <c r="G85" s="1"/>
      <c r="J85" s="1"/>
    </row>
    <row r="86" spans="7:10" x14ac:dyDescent="0.25">
      <c r="G86" s="1"/>
      <c r="J86" s="1"/>
    </row>
    <row r="87" spans="7:10" x14ac:dyDescent="0.25">
      <c r="G87" s="1"/>
      <c r="J87" s="1"/>
    </row>
    <row r="88" spans="7:10" x14ac:dyDescent="0.25">
      <c r="G88" s="1"/>
      <c r="J88" s="1"/>
    </row>
    <row r="89" spans="7:10" x14ac:dyDescent="0.25">
      <c r="G89" s="1"/>
      <c r="J89" s="1"/>
    </row>
    <row r="90" spans="7:10" x14ac:dyDescent="0.25">
      <c r="G90" s="1"/>
      <c r="J90" s="1"/>
    </row>
    <row r="91" spans="7:10" x14ac:dyDescent="0.25">
      <c r="G91" s="1"/>
      <c r="J91" s="1"/>
    </row>
    <row r="92" spans="7:10" x14ac:dyDescent="0.25">
      <c r="G92" s="1"/>
      <c r="J92" s="1"/>
    </row>
    <row r="93" spans="7:10" x14ac:dyDescent="0.25">
      <c r="G93" s="1"/>
      <c r="J93" s="1"/>
    </row>
    <row r="94" spans="7:10" x14ac:dyDescent="0.25">
      <c r="G94" s="1"/>
      <c r="J94" s="1"/>
    </row>
    <row r="95" spans="7:10" x14ac:dyDescent="0.25">
      <c r="G95" s="1"/>
      <c r="J95" s="1"/>
    </row>
    <row r="96" spans="7:10" x14ac:dyDescent="0.25">
      <c r="G96" s="1"/>
      <c r="J96" s="1"/>
    </row>
    <row r="97" spans="7:10" x14ac:dyDescent="0.25">
      <c r="G97" s="1"/>
      <c r="J97" s="1"/>
    </row>
    <row r="98" spans="7:10" x14ac:dyDescent="0.25">
      <c r="G98" s="1"/>
      <c r="J98" s="1"/>
    </row>
    <row r="99" spans="7:10" x14ac:dyDescent="0.25">
      <c r="G99" s="1"/>
      <c r="J99" s="1"/>
    </row>
    <row r="100" spans="7:10" x14ac:dyDescent="0.25">
      <c r="G100" s="1"/>
      <c r="J100" s="1"/>
    </row>
  </sheetData>
  <mergeCells count="2">
    <mergeCell ref="A4:L4"/>
    <mergeCell ref="A5:L5"/>
  </mergeCells>
  <conditionalFormatting sqref="A7:L50">
    <cfRule type="expression" dxfId="25" priority="5">
      <formula>AND($D$1&lt;&gt;"", $A7=$D$1)</formula>
    </cfRule>
    <cfRule type="expression" dxfId="24" priority="6">
      <formula>AND($A7&lt;&gt;"", OR(LEFT($I7,1)="1", LEFT($I7,1)="2", LEFT($I7,1)="3", LEFT($I7,1)="4", LEFT($I7,1)="5", LEFT($I7,1)="6", LEFT($I7,1)="7", LEFT($I7,1)="8", LEFT($I7,1)="9"))</formula>
    </cfRule>
    <cfRule type="expression" dxfId="23" priority="7">
      <formula>AND($A7&lt;&gt;"", $J7&lt;TODAY(), $G7&gt;=TODAY())</formula>
    </cfRule>
    <cfRule type="expression" dxfId="22" priority="8">
      <formula>AND($A7&lt;&gt;"", $J7&lt;TODAY(), $G7&lt;TODAY())</formula>
    </cfRule>
  </conditionalFormatting>
  <conditionalFormatting sqref="D1">
    <cfRule type="expression" dxfId="21" priority="1">
      <formula>D1="🔴 LATE"</formula>
    </cfRule>
    <cfRule type="expression" dxfId="20" priority="2">
      <formula>D1="🟢 ON TIME"</formula>
    </cfRule>
  </conditionalFormatting>
  <conditionalFormatting sqref="E1">
    <cfRule type="containsText" dxfId="19" priority="3" operator="containsText" text="LATE">
      <formula>NOT(ISERROR(SEARCH("LATE",E1)))</formula>
    </cfRule>
    <cfRule type="containsText" dxfId="18" priority="4" operator="containsText" text="ON TIME">
      <formula>NOT(ISERROR(SEARCH("ON TIME",E1)))</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4ED04421-245D-4DA6-8038-8901DD79070E}">
          <x14:formula1>
            <xm:f>Lookup!$C:$C</xm:f>
          </x14:formula1>
          <xm:sqref>D1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FF054-6B9E-4BF2-A61C-5BD236C757B4}">
  <sheetPr>
    <tabColor rgb="FF1F4E79"/>
  </sheetPr>
  <dimension ref="A1:L50"/>
  <sheetViews>
    <sheetView workbookViewId="0">
      <pane ySplit="6" topLeftCell="A7" activePane="bottomLeft" state="frozen"/>
      <selection pane="bottomLeft" activeCell="M1" sqref="M1"/>
    </sheetView>
  </sheetViews>
  <sheetFormatPr defaultRowHeight="15" x14ac:dyDescent="0.25"/>
  <cols>
    <col min="1" max="1" width="24.7109375" customWidth="1"/>
    <col min="2" max="2" width="34.28515625" customWidth="1"/>
    <col min="3" max="3" width="28.5703125" customWidth="1"/>
    <col min="4" max="5" width="13.28515625" customWidth="1"/>
    <col min="6" max="6" width="19" customWidth="1"/>
    <col min="7" max="7" width="17.140625" customWidth="1"/>
    <col min="8" max="8" width="22.85546875" customWidth="1"/>
    <col min="9" max="11" width="19" customWidth="1"/>
    <col min="12" max="12" width="38.140625" customWidth="1"/>
  </cols>
  <sheetData>
    <row r="1" spans="1:12" x14ac:dyDescent="0.25">
      <c r="C1" t="s">
        <v>2735</v>
      </c>
      <c r="E1" t="str">
        <f ca="1">IF(D1="","",IFERROR(IF(VLOOKUP(D1,'Job Operations'!A:I,9,FALSE)&lt;TODAY(),"🔴 LATE","🟢 ON TIME"),"❌ NOT FOUND"))</f>
        <v/>
      </c>
      <c r="F1" t="str">
        <f>IF(D1="","",IFERROR(VLOOKUP(D1,'Job Operations'!A:B,2,FALSE),""))</f>
        <v/>
      </c>
      <c r="G1" t="str">
        <f>IF(D1="","",IFERROR("Ship: "&amp;TEXT(VLOOKUP(D1,'Job Operations'!A:I,9,FALSE),"mm/dd/yyyy"),""))</f>
        <v/>
      </c>
      <c r="H1" t="str">
        <f>IF(D1="","",IFERROR("Station: "&amp;VLOOKUP(D1,'Job Operations'!A:L,12,FALSE),""))</f>
        <v/>
      </c>
    </row>
    <row r="4" spans="1:12" ht="18.75" x14ac:dyDescent="0.3">
      <c r="A4" s="305" t="s">
        <v>2773</v>
      </c>
      <c r="B4" s="305"/>
      <c r="C4" s="305"/>
      <c r="D4" s="305"/>
      <c r="E4" s="305"/>
      <c r="F4" s="305"/>
      <c r="G4" s="305"/>
      <c r="H4" s="305"/>
      <c r="I4" s="305"/>
      <c r="J4" s="305"/>
      <c r="K4" s="305"/>
      <c r="L4" s="305"/>
    </row>
    <row r="5" spans="1:12" x14ac:dyDescent="0.25">
      <c r="A5" s="306" t="s">
        <v>2774</v>
      </c>
      <c r="B5" s="306"/>
      <c r="C5" s="306"/>
      <c r="D5" s="306"/>
      <c r="E5" s="306"/>
      <c r="F5" s="306"/>
      <c r="G5" s="306"/>
      <c r="H5" s="306"/>
      <c r="I5" s="306"/>
      <c r="J5" s="306"/>
      <c r="K5" s="306"/>
      <c r="L5" s="306"/>
    </row>
    <row r="6" spans="1:12" x14ac:dyDescent="0.25">
      <c r="A6" s="212" t="s">
        <v>1</v>
      </c>
      <c r="B6" s="212" t="s">
        <v>3</v>
      </c>
      <c r="C6" s="212" t="s">
        <v>5</v>
      </c>
      <c r="D6" s="212" t="s">
        <v>17</v>
      </c>
      <c r="E6" s="212" t="s">
        <v>18</v>
      </c>
      <c r="F6" s="212" t="s">
        <v>25</v>
      </c>
      <c r="G6" s="212" t="s">
        <v>54</v>
      </c>
      <c r="H6" s="212" t="s">
        <v>2738</v>
      </c>
      <c r="I6" s="212" t="s">
        <v>2746</v>
      </c>
      <c r="J6" s="212" t="s">
        <v>2775</v>
      </c>
      <c r="K6" s="212" t="s">
        <v>2749</v>
      </c>
      <c r="L6" s="212" t="s">
        <v>2742</v>
      </c>
    </row>
    <row r="7" spans="1:12" x14ac:dyDescent="0.25">
      <c r="A7" t="str" cm="1">
        <f t="array" ref="A7">IFERROR(_xlfn.SORTBY(_xlfn._xlws.FILTER(CHOOSE({1,2,3,4,5,6,7,8},'Job Operations'!A5:A304,'Job Operations'!B5:B304,'Job Operations'!C5:C304,'Job Operations'!E5:E304,'Job Operations'!F5:F304,'Job Operations'!G5:G304,'Job Operations'!I5:I304,'Job Operations'!L5:L304),(ISNUMBER(SEARCH("Roller",'Job Operations'!L5:L304))+ISNUMBER(SEARCH("Roller",'Job Operations'!M5:M304))+ISNUMBER(SEARCH("Roller",'Job Operations'!O5:O304))+ISNUMBER(SEARCH("Roller",'Job Operations'!Q5:Q304)))*(ISERROR(SEARCH("RTS",'Job Operations'!L5:L304)))*(ISERROR(SEARCH("Ready to Ship",'Job Operations'!L5:L304)))*(ISERROR(SEARCH("Shipped",'Job Operations'!L5:L304)))),7,1),"No Roller jobs found")</f>
        <v>No Roller jobs found</v>
      </c>
      <c r="G7" s="1"/>
      <c r="I7">
        <f>IF(A7="","",IF(ISNUMBER(SEARCH("Roller",H7)),"1st",H7))</f>
        <v>0</v>
      </c>
      <c r="J7" s="1" t="str">
        <f>IF(A7="","",IF(ISNUMBER(G7),G7-7,""))</f>
        <v/>
      </c>
      <c r="K7" t="str">
        <f>IF(A7="","",IFERROR(VLOOKUP(A7,'Job Operations'!A:O,15,FALSE),""))</f>
        <v/>
      </c>
      <c r="L7" s="131" t="str">
        <f>IF(A7="","",IFERROR(IF(VLOOKUP(A7,Notes!A:B,2,FALSE)=0,"",VLOOKUP(A7,Notes!A:B,2,FALSE)),""))</f>
        <v/>
      </c>
    </row>
    <row r="8" spans="1:12" x14ac:dyDescent="0.25">
      <c r="G8" s="1"/>
      <c r="J8" s="1"/>
      <c r="L8" s="131"/>
    </row>
    <row r="9" spans="1:12" x14ac:dyDescent="0.25">
      <c r="G9" s="1"/>
      <c r="J9" s="1"/>
      <c r="L9" s="131"/>
    </row>
    <row r="10" spans="1:12" x14ac:dyDescent="0.25">
      <c r="G10" s="1"/>
      <c r="J10" s="1"/>
      <c r="L10" s="131"/>
    </row>
    <row r="11" spans="1:12" x14ac:dyDescent="0.25">
      <c r="G11" s="1"/>
      <c r="J11" s="1"/>
      <c r="L11" s="131"/>
    </row>
    <row r="12" spans="1:12" x14ac:dyDescent="0.25">
      <c r="G12" s="1"/>
      <c r="J12" s="1"/>
      <c r="L12" s="131"/>
    </row>
    <row r="13" spans="1:12" x14ac:dyDescent="0.25">
      <c r="G13" s="1"/>
      <c r="J13" s="1"/>
      <c r="L13" s="131"/>
    </row>
    <row r="14" spans="1:12" x14ac:dyDescent="0.25">
      <c r="G14" s="1"/>
      <c r="J14" s="1"/>
      <c r="L14" s="131"/>
    </row>
    <row r="15" spans="1:12" x14ac:dyDescent="0.25">
      <c r="G15" s="1"/>
      <c r="J15" s="1"/>
      <c r="L15" s="131"/>
    </row>
    <row r="16" spans="1:12" x14ac:dyDescent="0.25">
      <c r="G16" s="1"/>
      <c r="J16" s="1"/>
      <c r="L16" s="131"/>
    </row>
    <row r="17" spans="7:12" x14ac:dyDescent="0.25">
      <c r="G17" s="1"/>
      <c r="J17" s="1"/>
      <c r="L17" s="131"/>
    </row>
    <row r="18" spans="7:12" x14ac:dyDescent="0.25">
      <c r="G18" s="1"/>
      <c r="J18" s="1"/>
      <c r="L18" s="131"/>
    </row>
    <row r="19" spans="7:12" x14ac:dyDescent="0.25">
      <c r="G19" s="1"/>
      <c r="J19" s="1"/>
      <c r="L19" s="131"/>
    </row>
    <row r="20" spans="7:12" x14ac:dyDescent="0.25">
      <c r="G20" s="1"/>
      <c r="J20" s="1"/>
      <c r="L20" s="131"/>
    </row>
    <row r="21" spans="7:12" x14ac:dyDescent="0.25">
      <c r="G21" s="1"/>
      <c r="J21" s="1"/>
      <c r="L21" s="131"/>
    </row>
    <row r="22" spans="7:12" x14ac:dyDescent="0.25">
      <c r="G22" s="1"/>
      <c r="J22" s="1"/>
      <c r="L22" s="131"/>
    </row>
    <row r="23" spans="7:12" x14ac:dyDescent="0.25">
      <c r="G23" s="1"/>
      <c r="J23" s="1"/>
      <c r="L23" s="131"/>
    </row>
    <row r="24" spans="7:12" x14ac:dyDescent="0.25">
      <c r="G24" s="1"/>
      <c r="J24" s="1"/>
      <c r="L24" s="131"/>
    </row>
    <row r="25" spans="7:12" x14ac:dyDescent="0.25">
      <c r="G25" s="1"/>
      <c r="J25" s="1"/>
      <c r="L25" s="131"/>
    </row>
    <row r="26" spans="7:12" x14ac:dyDescent="0.25">
      <c r="G26" s="1"/>
      <c r="J26" s="1"/>
      <c r="L26" s="131"/>
    </row>
    <row r="27" spans="7:12" x14ac:dyDescent="0.25">
      <c r="G27" s="1"/>
      <c r="J27" s="1"/>
      <c r="L27" s="131"/>
    </row>
    <row r="28" spans="7:12" x14ac:dyDescent="0.25">
      <c r="G28" s="1"/>
      <c r="J28" s="1"/>
      <c r="L28" s="131"/>
    </row>
    <row r="29" spans="7:12" x14ac:dyDescent="0.25">
      <c r="G29" s="1"/>
      <c r="J29" s="1"/>
      <c r="L29" s="131"/>
    </row>
    <row r="30" spans="7:12" x14ac:dyDescent="0.25">
      <c r="G30" s="1"/>
      <c r="J30" s="1"/>
      <c r="L30" s="131"/>
    </row>
    <row r="31" spans="7:12" x14ac:dyDescent="0.25">
      <c r="G31" s="1"/>
      <c r="J31" s="1"/>
      <c r="L31" s="131"/>
    </row>
    <row r="32" spans="7:12" x14ac:dyDescent="0.25">
      <c r="G32" s="1"/>
      <c r="J32" s="1"/>
      <c r="L32" s="131"/>
    </row>
    <row r="33" spans="7:12" x14ac:dyDescent="0.25">
      <c r="G33" s="1"/>
      <c r="J33" s="1"/>
      <c r="L33" s="131"/>
    </row>
    <row r="34" spans="7:12" x14ac:dyDescent="0.25">
      <c r="G34" s="1"/>
      <c r="J34" s="1"/>
      <c r="L34" s="131"/>
    </row>
    <row r="35" spans="7:12" x14ac:dyDescent="0.25">
      <c r="G35" s="1"/>
      <c r="J35" s="1"/>
      <c r="L35" s="131"/>
    </row>
    <row r="36" spans="7:12" x14ac:dyDescent="0.25">
      <c r="G36" s="1"/>
      <c r="J36" s="1"/>
      <c r="L36" s="131"/>
    </row>
    <row r="37" spans="7:12" x14ac:dyDescent="0.25">
      <c r="G37" s="1"/>
      <c r="J37" s="1"/>
      <c r="L37" s="131"/>
    </row>
    <row r="38" spans="7:12" x14ac:dyDescent="0.25">
      <c r="G38" s="1"/>
      <c r="J38" s="1"/>
      <c r="L38" s="131"/>
    </row>
    <row r="39" spans="7:12" x14ac:dyDescent="0.25">
      <c r="G39" s="1"/>
      <c r="J39" s="1"/>
      <c r="L39" s="131"/>
    </row>
    <row r="40" spans="7:12" x14ac:dyDescent="0.25">
      <c r="G40" s="1"/>
      <c r="J40" s="1"/>
      <c r="L40" s="131"/>
    </row>
    <row r="41" spans="7:12" x14ac:dyDescent="0.25">
      <c r="G41" s="1"/>
      <c r="J41" s="1"/>
      <c r="L41" s="131"/>
    </row>
    <row r="42" spans="7:12" x14ac:dyDescent="0.25">
      <c r="G42" s="1"/>
      <c r="J42" s="1"/>
      <c r="L42" s="131"/>
    </row>
    <row r="43" spans="7:12" x14ac:dyDescent="0.25">
      <c r="G43" s="1"/>
      <c r="J43" s="1"/>
      <c r="L43" s="131"/>
    </row>
    <row r="44" spans="7:12" x14ac:dyDescent="0.25">
      <c r="G44" s="1"/>
      <c r="J44" s="1"/>
      <c r="L44" s="131"/>
    </row>
    <row r="45" spans="7:12" x14ac:dyDescent="0.25">
      <c r="G45" s="1"/>
      <c r="J45" s="1"/>
      <c r="L45" s="131"/>
    </row>
    <row r="46" spans="7:12" x14ac:dyDescent="0.25">
      <c r="G46" s="1"/>
      <c r="J46" s="1"/>
      <c r="L46" s="131"/>
    </row>
    <row r="47" spans="7:12" x14ac:dyDescent="0.25">
      <c r="G47" s="1"/>
      <c r="J47" s="1"/>
      <c r="L47" s="131"/>
    </row>
    <row r="48" spans="7:12" x14ac:dyDescent="0.25">
      <c r="G48" s="1"/>
      <c r="J48" s="1"/>
      <c r="L48" s="131"/>
    </row>
    <row r="49" spans="7:12" x14ac:dyDescent="0.25">
      <c r="G49" s="1"/>
      <c r="J49" s="1"/>
      <c r="L49" s="131"/>
    </row>
    <row r="50" spans="7:12" x14ac:dyDescent="0.25">
      <c r="G50" s="1"/>
      <c r="J50" s="1"/>
      <c r="L50" s="131"/>
    </row>
  </sheetData>
  <mergeCells count="2">
    <mergeCell ref="A4:L4"/>
    <mergeCell ref="A5:L5"/>
  </mergeCells>
  <conditionalFormatting sqref="A7:L50">
    <cfRule type="expression" dxfId="17" priority="1">
      <formula>AND($G7&lt;&gt;"",$G7&lt;TODAY())</formula>
    </cfRule>
    <cfRule type="expression" dxfId="16" priority="2">
      <formula>AND($G7&lt;&gt;"",$G7&gt;=TODAY())</formula>
    </cfRule>
    <cfRule type="expression" dxfId="15" priority="3">
      <formula>AND($D$1&lt;&gt;"",$A7=$D$1)</formula>
    </cfRule>
  </conditionalFormatting>
  <dataValidations count="1">
    <dataValidation type="list" allowBlank="1" showInputMessage="1" showErrorMessage="1" sqref="D1" xr:uid="{06ECAA1A-4A91-496D-9C66-759248824A14}">
      <formula1>AllJobIDs</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E0FC3-1986-4656-B14D-B6D3F90FD0AE}">
  <dimension ref="A1:M300"/>
  <sheetViews>
    <sheetView workbookViewId="0">
      <pane ySplit="4" topLeftCell="A85" activePane="bottomLeft" state="frozen"/>
      <selection pane="bottomLeft" activeCell="K28" sqref="K28"/>
    </sheetView>
  </sheetViews>
  <sheetFormatPr defaultRowHeight="15" x14ac:dyDescent="0.25"/>
  <cols>
    <col min="1" max="1" width="11.7109375" customWidth="1"/>
    <col min="2" max="2" width="26.7109375" bestFit="1" customWidth="1"/>
    <col min="3" max="3" width="37.42578125" bestFit="1" customWidth="1"/>
    <col min="4" max="4" width="30.85546875" customWidth="1"/>
    <col min="5" max="5" width="9.5703125" bestFit="1" customWidth="1"/>
    <col min="6" max="6" width="20.28515625" customWidth="1"/>
    <col min="7" max="7" width="17.7109375" customWidth="1"/>
    <col min="8" max="8" width="16.7109375" customWidth="1"/>
    <col min="9" max="9" width="9.140625" customWidth="1"/>
    <col min="10" max="10" width="22.85546875" customWidth="1"/>
    <col min="11" max="11" width="28.5703125" customWidth="1"/>
    <col min="12" max="12" width="22.85546875" customWidth="1"/>
    <col min="13" max="13" width="0" hidden="1" customWidth="1"/>
  </cols>
  <sheetData>
    <row r="1" spans="1:13" ht="18.75" x14ac:dyDescent="0.3">
      <c r="A1" s="307" t="s">
        <v>2776</v>
      </c>
      <c r="B1" s="307"/>
      <c r="C1" s="307"/>
      <c r="D1" s="307"/>
      <c r="E1" s="307"/>
      <c r="F1" s="307"/>
      <c r="G1" s="307"/>
      <c r="H1" s="307"/>
      <c r="J1" s="186" t="s">
        <v>2777</v>
      </c>
    </row>
    <row r="2" spans="1:13" x14ac:dyDescent="0.25">
      <c r="A2" s="308" t="s">
        <v>2778</v>
      </c>
      <c r="B2" s="308"/>
      <c r="C2" s="308"/>
      <c r="D2" s="308"/>
      <c r="E2" s="308"/>
      <c r="F2" s="308"/>
      <c r="G2" s="308"/>
      <c r="H2" s="308"/>
      <c r="J2" s="174" t="s">
        <v>2779</v>
      </c>
      <c r="K2">
        <f>COUNTA(B5:B300)-COUNTBLANK(B5:B300)</f>
        <v>286</v>
      </c>
    </row>
    <row r="3" spans="1:13" x14ac:dyDescent="0.25">
      <c r="A3" s="174" t="s">
        <v>2780</v>
      </c>
      <c r="B3" s="184" t="s">
        <v>2781</v>
      </c>
      <c r="D3" s="185" t="s">
        <v>2782</v>
      </c>
      <c r="F3" t="s">
        <v>2783</v>
      </c>
      <c r="J3" s="174" t="s">
        <v>2784</v>
      </c>
      <c r="K3" cm="1">
        <f t="array" ref="K3">SUMPRODUCT((A5:A300&lt;&gt;"")/COUNTIF(A5:A300,A5:A300&amp;""))</f>
        <v>137.99999999999991</v>
      </c>
    </row>
    <row r="4" spans="1:13" x14ac:dyDescent="0.25">
      <c r="A4" s="180" t="s">
        <v>2785</v>
      </c>
      <c r="B4" s="179" t="s">
        <v>2786</v>
      </c>
      <c r="C4" s="179" t="s">
        <v>3</v>
      </c>
      <c r="D4" s="179" t="s">
        <v>5</v>
      </c>
      <c r="E4" s="179" t="s">
        <v>17</v>
      </c>
      <c r="F4" s="179" t="s">
        <v>18</v>
      </c>
      <c r="G4" s="179" t="s">
        <v>2738</v>
      </c>
      <c r="H4" s="183" t="s">
        <v>2787</v>
      </c>
      <c r="J4" s="158" t="s">
        <v>2788</v>
      </c>
      <c r="K4" cm="1">
        <f t="array" ref="K4">SUMPRODUCT((COUNTIF(A5:A300,A5:A300)&gt;=5)*(A5:A300&lt;&gt;"")/COUNTIF(A5:A300,A5:A300&amp;""))</f>
        <v>11.999999999999984</v>
      </c>
    </row>
    <row r="5" spans="1:13" x14ac:dyDescent="0.25">
      <c r="A5" s="181" cm="1">
        <f t="array" ref="A5:G295">_xlfn._xlws.SORT(_xlfn._xlws.FILTER(_xlfn.HSTACK('Production Schedule'!BC2:BC298,'Production Schedule'!B2:B298,'Production Schedule'!D2:D298,'Production Schedule'!F2:F298,'Production Schedule'!R2:R298,'Production Schedule'!S2:S298,'Production Schedule'!CC2:CC298),'Production Schedule'!BC2:BC298&lt;&gt;""),1,1)</f>
        <v>45709</v>
      </c>
      <c r="B5" s="177" t="str">
        <v>24060-BM01</v>
      </c>
      <c r="C5" s="177" t="str">
        <v>Loves Blacksburg</v>
      </c>
      <c r="D5" s="177" t="str">
        <v>Cole Norona</v>
      </c>
      <c r="E5" s="189">
        <v>0</v>
      </c>
      <c r="F5" s="189">
        <v>14</v>
      </c>
      <c r="G5" s="177" t="str">
        <v>Ready to Ship</v>
      </c>
      <c r="H5" s="191">
        <f>IF(A5&lt;&gt;"",COUNTIF($A$5:$A$300,A5),"")</f>
        <v>1</v>
      </c>
      <c r="J5" s="187" t="s">
        <v>2789</v>
      </c>
      <c r="K5" s="188">
        <f>MAX(H5:H300)</f>
        <v>13</v>
      </c>
    </row>
    <row r="6" spans="1:13" x14ac:dyDescent="0.25">
      <c r="A6" s="181">
        <v>45719</v>
      </c>
      <c r="B6" s="177" t="str">
        <v>24001-BM14</v>
      </c>
      <c r="C6" s="177" t="str">
        <v>McEwen Northside</v>
      </c>
      <c r="D6" s="177" t="str">
        <v>Josh McPherson</v>
      </c>
      <c r="E6" s="189">
        <v>0</v>
      </c>
      <c r="F6" s="189">
        <v>12</v>
      </c>
      <c r="G6" s="177" t="str">
        <v>Ready to Ship</v>
      </c>
      <c r="H6" s="191">
        <f t="shared" ref="H6:H69" si="0">IF(A6&lt;&gt;"",COUNTIF($A$5:$A$300,A6),"")</f>
        <v>1</v>
      </c>
    </row>
    <row r="7" spans="1:13" x14ac:dyDescent="0.25">
      <c r="A7" s="181">
        <v>45747</v>
      </c>
      <c r="B7" s="177" t="str">
        <v>24051-FS01</v>
      </c>
      <c r="C7" s="177" t="str">
        <v>TN Titans Stadium</v>
      </c>
      <c r="D7" s="177" t="str">
        <v>Marc Ribar</v>
      </c>
      <c r="E7" s="189">
        <v>160</v>
      </c>
      <c r="F7" s="189">
        <v>160</v>
      </c>
      <c r="G7" s="177" t="str">
        <v>RTS Titans</v>
      </c>
      <c r="H7" s="191">
        <f t="shared" si="0"/>
        <v>1</v>
      </c>
      <c r="J7" s="192" t="s">
        <v>2790</v>
      </c>
      <c r="M7" s="174" t="s">
        <v>2791</v>
      </c>
    </row>
    <row r="8" spans="1:13" x14ac:dyDescent="0.25">
      <c r="A8" s="181">
        <v>45764</v>
      </c>
      <c r="B8" s="177" t="str">
        <v>24051-FS02</v>
      </c>
      <c r="C8" s="177" t="str">
        <v>TN Titans Stadium</v>
      </c>
      <c r="D8" s="177" t="str">
        <v>Marc Ribar</v>
      </c>
      <c r="E8" s="189">
        <v>158</v>
      </c>
      <c r="F8" s="189">
        <v>158</v>
      </c>
      <c r="G8" s="177" t="str">
        <v>RTS Titans</v>
      </c>
      <c r="H8" s="191">
        <f t="shared" si="0"/>
        <v>1</v>
      </c>
      <c r="J8" s="193" t="s">
        <v>2792</v>
      </c>
      <c r="K8" s="193" t="s">
        <v>2793</v>
      </c>
      <c r="M8" s="1">
        <v>45709</v>
      </c>
    </row>
    <row r="9" spans="1:13" x14ac:dyDescent="0.25">
      <c r="A9" s="181">
        <v>45765</v>
      </c>
      <c r="B9" s="177" t="str">
        <v>24051-FS03</v>
      </c>
      <c r="C9" s="177" t="str">
        <v>TN Titans Stadium</v>
      </c>
      <c r="D9" s="177" t="str">
        <v>Marc Ribar</v>
      </c>
      <c r="E9" s="189">
        <v>160</v>
      </c>
      <c r="F9" s="189">
        <v>160</v>
      </c>
      <c r="G9" s="177" t="str">
        <v>RTS Titans</v>
      </c>
      <c r="H9" s="191">
        <f t="shared" si="0"/>
        <v>1</v>
      </c>
      <c r="J9" s="245" cm="1">
        <f t="array" ref="J9:K18">_xlfn.LET(
            _xlpm.shipDates,A5:A300,
            _xlpm.uniqueDates,_xlfn.UNIQUE(_xlfn._xlws.FILTER(_xlpm.shipDates,_xlpm.shipDates&lt;&gt;"")),
            _xlpm.counts,COUNTIF(_xlpm.shipDates,_xlpm.uniqueDates),
            _xlpm.combined,_xlfn.HSTACK(_xlpm.uniqueDates,_xlpm.counts),
            _xlpm.highBottleneck,_xlfn._xlws.FILTER(_xlpm.combined,INDEX(_xlpm.combined,,2)&gt;=5),
            _xlpm.sorted,_xlfn._xlws.SORT(_xlpm.highBottleneck,1,1),
            IFERROR(_xlfn.TAKE(_xlpm.sorted,10),"No bottlenecks")
        )</f>
        <v>45839</v>
      </c>
      <c r="K9" s="194">
        <v>6</v>
      </c>
      <c r="M9" s="1">
        <v>45719</v>
      </c>
    </row>
    <row r="10" spans="1:13" x14ac:dyDescent="0.25">
      <c r="A10" s="181">
        <v>45769</v>
      </c>
      <c r="B10" s="177" t="str">
        <v>24051-FS04</v>
      </c>
      <c r="C10" s="177" t="str">
        <v>TN Titans Stadium</v>
      </c>
      <c r="D10" s="177" t="str">
        <v>Marc Ribar</v>
      </c>
      <c r="E10" s="189">
        <v>153</v>
      </c>
      <c r="F10" s="189">
        <v>153</v>
      </c>
      <c r="G10" s="177" t="str">
        <v>Partially Shipped</v>
      </c>
      <c r="H10" s="191">
        <f t="shared" si="0"/>
        <v>2</v>
      </c>
      <c r="J10" s="246">
        <v>46055</v>
      </c>
      <c r="K10" s="175">
        <v>5</v>
      </c>
      <c r="M10" s="1">
        <v>45747</v>
      </c>
    </row>
    <row r="11" spans="1:13" x14ac:dyDescent="0.25">
      <c r="A11" s="181">
        <v>45769</v>
      </c>
      <c r="B11" s="177" t="str">
        <v>24051-FS05</v>
      </c>
      <c r="C11" s="177" t="str">
        <v>TN Titans Stadium</v>
      </c>
      <c r="D11" s="177" t="str">
        <v>Marc Ribar</v>
      </c>
      <c r="E11" s="189">
        <v>153</v>
      </c>
      <c r="F11" s="189">
        <v>153</v>
      </c>
      <c r="G11" s="177" t="str">
        <v>Partially Shipped</v>
      </c>
      <c r="H11" s="191">
        <f t="shared" si="0"/>
        <v>2</v>
      </c>
      <c r="J11" s="246">
        <v>46062</v>
      </c>
      <c r="K11" s="175">
        <v>5</v>
      </c>
      <c r="M11" s="1">
        <v>45764</v>
      </c>
    </row>
    <row r="12" spans="1:13" x14ac:dyDescent="0.25">
      <c r="A12" s="181">
        <v>45770</v>
      </c>
      <c r="B12" s="177" t="str">
        <v>24051-FS06</v>
      </c>
      <c r="C12" s="177" t="str">
        <v>TN Titans Stadium</v>
      </c>
      <c r="D12" s="177" t="str">
        <v>Marc Ribar</v>
      </c>
      <c r="E12" s="189">
        <v>153</v>
      </c>
      <c r="F12" s="189">
        <v>153</v>
      </c>
      <c r="G12" s="177" t="str">
        <v>Partially Shipped</v>
      </c>
      <c r="H12" s="191">
        <f t="shared" si="0"/>
        <v>1</v>
      </c>
      <c r="J12" s="246">
        <v>46073</v>
      </c>
      <c r="K12" s="175">
        <v>7</v>
      </c>
      <c r="M12" s="1">
        <v>45765</v>
      </c>
    </row>
    <row r="13" spans="1:13" x14ac:dyDescent="0.25">
      <c r="A13" s="181">
        <v>45783</v>
      </c>
      <c r="B13" s="177" t="str">
        <v>24051-FS10</v>
      </c>
      <c r="C13" s="177" t="str">
        <v>TN Titans Stadium</v>
      </c>
      <c r="D13" s="177" t="str">
        <v>Marc Ribar</v>
      </c>
      <c r="E13" s="189">
        <v>160</v>
      </c>
      <c r="F13" s="189">
        <v>160</v>
      </c>
      <c r="G13" s="177" t="str">
        <v>RTS Titans</v>
      </c>
      <c r="H13" s="191">
        <f t="shared" si="0"/>
        <v>1</v>
      </c>
      <c r="J13" s="246">
        <v>46080</v>
      </c>
      <c r="K13" s="175">
        <v>6</v>
      </c>
      <c r="M13" s="1">
        <v>45769</v>
      </c>
    </row>
    <row r="14" spans="1:13" x14ac:dyDescent="0.25">
      <c r="A14" s="181">
        <v>45784</v>
      </c>
      <c r="B14" s="177" t="str">
        <v>24051-FS11</v>
      </c>
      <c r="C14" s="177" t="str">
        <v>TN Titans Stadium</v>
      </c>
      <c r="D14" s="177" t="str">
        <v>Marc Ribar</v>
      </c>
      <c r="E14" s="189">
        <v>160</v>
      </c>
      <c r="F14" s="189">
        <v>160</v>
      </c>
      <c r="G14" s="177" t="str">
        <v>RTS Titans</v>
      </c>
      <c r="H14" s="191">
        <f t="shared" si="0"/>
        <v>1</v>
      </c>
      <c r="J14" s="246">
        <v>46097</v>
      </c>
      <c r="K14" s="175">
        <v>13</v>
      </c>
      <c r="M14" s="1">
        <v>45770</v>
      </c>
    </row>
    <row r="15" spans="1:13" x14ac:dyDescent="0.25">
      <c r="A15" s="181">
        <v>45791</v>
      </c>
      <c r="B15" s="177" t="str">
        <v>24051-FS12</v>
      </c>
      <c r="C15" s="177" t="str">
        <v>TN Titans Stadium</v>
      </c>
      <c r="D15" s="177" t="str">
        <v>Marc Ribar</v>
      </c>
      <c r="E15" s="189">
        <v>160</v>
      </c>
      <c r="F15" s="189">
        <v>160</v>
      </c>
      <c r="G15" s="177" t="str">
        <v>RTS Titans</v>
      </c>
      <c r="H15" s="191">
        <f t="shared" si="0"/>
        <v>1</v>
      </c>
      <c r="J15" s="246">
        <v>46127</v>
      </c>
      <c r="K15" s="175">
        <v>10</v>
      </c>
      <c r="M15" s="1">
        <v>45783</v>
      </c>
    </row>
    <row r="16" spans="1:13" x14ac:dyDescent="0.25">
      <c r="A16" s="181">
        <v>45796</v>
      </c>
      <c r="B16" s="177" t="str">
        <v>24051-FS13</v>
      </c>
      <c r="C16" s="177" t="str">
        <v>TN Titans Stadium</v>
      </c>
      <c r="D16" s="177" t="str">
        <v>Marc Ribar</v>
      </c>
      <c r="E16" s="189">
        <v>110</v>
      </c>
      <c r="F16" s="189">
        <v>110</v>
      </c>
      <c r="G16" s="177" t="str">
        <v>RTS Titans</v>
      </c>
      <c r="H16" s="191">
        <f t="shared" si="0"/>
        <v>1</v>
      </c>
      <c r="J16" s="246">
        <v>46129</v>
      </c>
      <c r="K16" s="175">
        <v>8</v>
      </c>
      <c r="M16" s="1">
        <v>45784</v>
      </c>
    </row>
    <row r="17" spans="1:13" x14ac:dyDescent="0.25">
      <c r="A17" s="181">
        <v>45798</v>
      </c>
      <c r="B17" s="177" t="str">
        <v>24051-FS14</v>
      </c>
      <c r="C17" s="177" t="str">
        <v>TN Titans Stadium</v>
      </c>
      <c r="D17" s="177" t="str">
        <v>Marc Ribar</v>
      </c>
      <c r="E17" s="189">
        <v>110</v>
      </c>
      <c r="F17" s="189">
        <v>110</v>
      </c>
      <c r="G17" s="177" t="str">
        <v>RTS Titans</v>
      </c>
      <c r="H17" s="191">
        <f t="shared" si="0"/>
        <v>1</v>
      </c>
      <c r="J17" s="246">
        <v>46133</v>
      </c>
      <c r="K17" s="175">
        <v>5</v>
      </c>
      <c r="M17" s="1">
        <v>45791</v>
      </c>
    </row>
    <row r="18" spans="1:13" x14ac:dyDescent="0.25">
      <c r="A18" s="181">
        <v>45799</v>
      </c>
      <c r="B18" s="177" t="str">
        <v>24051-FS15</v>
      </c>
      <c r="C18" s="177" t="str">
        <v>TN Titans Stadium</v>
      </c>
      <c r="D18" s="177" t="str">
        <v>Marc Ribar</v>
      </c>
      <c r="E18" s="189">
        <v>110</v>
      </c>
      <c r="F18" s="189">
        <v>110</v>
      </c>
      <c r="G18" s="177" t="str">
        <v>RTS Titans</v>
      </c>
      <c r="H18" s="191">
        <f t="shared" si="0"/>
        <v>1</v>
      </c>
      <c r="J18" s="247">
        <v>46136</v>
      </c>
      <c r="K18" s="176">
        <v>8</v>
      </c>
      <c r="M18" s="1">
        <v>45796</v>
      </c>
    </row>
    <row r="19" spans="1:13" ht="15.75" thickBot="1" x14ac:dyDescent="0.3">
      <c r="A19" s="181">
        <v>45810</v>
      </c>
      <c r="B19" s="177" t="str">
        <v>24051-FS25</v>
      </c>
      <c r="C19" s="177" t="str">
        <v>TN Titans Stadium</v>
      </c>
      <c r="D19" s="177" t="str">
        <v>Marc Ribar</v>
      </c>
      <c r="E19" s="189">
        <v>50</v>
      </c>
      <c r="F19" s="189">
        <v>50</v>
      </c>
      <c r="G19" s="177" t="str">
        <v>RTS Titans</v>
      </c>
      <c r="H19" s="191">
        <f t="shared" si="0"/>
        <v>2</v>
      </c>
      <c r="J19" s="195" t="s">
        <v>2794</v>
      </c>
      <c r="M19" s="1">
        <v>45798</v>
      </c>
    </row>
    <row r="20" spans="1:13" x14ac:dyDescent="0.25">
      <c r="A20" s="181">
        <v>45810</v>
      </c>
      <c r="B20" s="177" t="str">
        <v>24051-FS26</v>
      </c>
      <c r="C20" s="177" t="str">
        <v>TN Titans Stadium</v>
      </c>
      <c r="D20" s="177" t="str">
        <v>Marc Ribar</v>
      </c>
      <c r="E20" s="189">
        <v>169</v>
      </c>
      <c r="F20" s="189">
        <v>169</v>
      </c>
      <c r="G20" s="177" t="str">
        <v>RTS Titans</v>
      </c>
      <c r="H20" s="191">
        <f t="shared" si="0"/>
        <v>2</v>
      </c>
      <c r="J20" s="260"/>
      <c r="K20" s="261"/>
      <c r="M20" s="1">
        <v>45799</v>
      </c>
    </row>
    <row r="21" spans="1:13" x14ac:dyDescent="0.25">
      <c r="A21" s="181">
        <v>45819</v>
      </c>
      <c r="B21" s="177" t="str">
        <v>24051-FS212</v>
      </c>
      <c r="C21" s="177" t="str">
        <v>TN Titans Stadium</v>
      </c>
      <c r="D21" s="177" t="str">
        <v>Marc Ribar</v>
      </c>
      <c r="E21" s="189">
        <v>26</v>
      </c>
      <c r="F21" s="189">
        <v>26</v>
      </c>
      <c r="G21" s="177" t="str">
        <v>RTS Titans</v>
      </c>
      <c r="H21" s="191">
        <f t="shared" si="0"/>
        <v>3</v>
      </c>
      <c r="J21" s="262" t="s">
        <v>2795</v>
      </c>
      <c r="K21" s="263">
        <f ca="1">TODAY()</f>
        <v>46128</v>
      </c>
      <c r="M21" s="1">
        <v>45810</v>
      </c>
    </row>
    <row r="22" spans="1:13" x14ac:dyDescent="0.25">
      <c r="A22" s="181">
        <v>45819</v>
      </c>
      <c r="B22" s="177" t="str">
        <v>24051-FS29</v>
      </c>
      <c r="C22" s="177" t="str">
        <v>TN Titans Stadium</v>
      </c>
      <c r="D22" s="177" t="str">
        <v>Marc Ribar</v>
      </c>
      <c r="E22" s="189">
        <v>78</v>
      </c>
      <c r="F22" s="189">
        <v>78</v>
      </c>
      <c r="G22" s="177" t="str">
        <v>RTS Titans</v>
      </c>
      <c r="H22" s="191">
        <f t="shared" si="0"/>
        <v>3</v>
      </c>
      <c r="J22" s="262" t="s">
        <v>2796</v>
      </c>
      <c r="K22" s="264">
        <f ca="1">COUNTIF(A:A,K21)</f>
        <v>2</v>
      </c>
      <c r="M22" s="1">
        <v>45819</v>
      </c>
    </row>
    <row r="23" spans="1:13" x14ac:dyDescent="0.25">
      <c r="A23" s="181">
        <v>45819</v>
      </c>
      <c r="B23" s="177" t="str">
        <v>24051-FS30</v>
      </c>
      <c r="C23" s="177" t="str">
        <v>TN Titans Stadium</v>
      </c>
      <c r="D23" s="177" t="str">
        <v>Marc Ribar</v>
      </c>
      <c r="E23" s="189">
        <v>128</v>
      </c>
      <c r="F23" s="189">
        <v>128</v>
      </c>
      <c r="G23" s="177" t="str">
        <v>RTS Titans</v>
      </c>
      <c r="H23" s="191">
        <f t="shared" si="0"/>
        <v>3</v>
      </c>
      <c r="J23" s="262"/>
      <c r="K23" s="265"/>
      <c r="M23" s="1">
        <v>45820</v>
      </c>
    </row>
    <row r="24" spans="1:13" x14ac:dyDescent="0.25">
      <c r="A24" s="181">
        <v>45820</v>
      </c>
      <c r="B24" s="177" t="str">
        <v>24051-FS31</v>
      </c>
      <c r="C24" s="177" t="str">
        <v>TN Titans Stadium</v>
      </c>
      <c r="D24" s="177" t="str">
        <v>Marc Ribar</v>
      </c>
      <c r="E24" s="189">
        <v>128</v>
      </c>
      <c r="F24" s="189">
        <v>128</v>
      </c>
      <c r="G24" s="177" t="str">
        <v>RTS Titans</v>
      </c>
      <c r="H24" s="191">
        <f t="shared" si="0"/>
        <v>1</v>
      </c>
      <c r="J24" s="3" t="str" cm="1">
        <f t="array" aca="1" ref="J24:J25" ca="1">IFERROR(_xlfn._xlws.FILTER(B5:B300,A5:A300=K21,"None scheduled"),"None scheduled")</f>
        <v>24074-FS06</v>
      </c>
      <c r="K24" s="265"/>
      <c r="M24" s="1">
        <v>45821</v>
      </c>
    </row>
    <row r="25" spans="1:13" x14ac:dyDescent="0.25">
      <c r="A25" s="181">
        <v>45821</v>
      </c>
      <c r="B25" s="177" t="str">
        <v>24051-FS32</v>
      </c>
      <c r="C25" s="177" t="str">
        <v>TN Titans Stadium</v>
      </c>
      <c r="D25" s="177" t="str">
        <v>Marc Ribar</v>
      </c>
      <c r="E25" s="189">
        <v>128</v>
      </c>
      <c r="F25" s="189">
        <v>128</v>
      </c>
      <c r="G25" s="177" t="str">
        <v>RTS Titans</v>
      </c>
      <c r="H25" s="191">
        <f t="shared" si="0"/>
        <v>1</v>
      </c>
      <c r="J25" s="3" t="str">
        <f ca="1"/>
        <v>26014-04-ST02</v>
      </c>
      <c r="K25" s="265"/>
      <c r="M25" s="1">
        <v>45825</v>
      </c>
    </row>
    <row r="26" spans="1:13" ht="15.75" thickBot="1" x14ac:dyDescent="0.3">
      <c r="A26" s="181">
        <v>45825</v>
      </c>
      <c r="B26" s="177" t="str">
        <v>24082-FL03</v>
      </c>
      <c r="C26" s="177" t="str">
        <v>GTN Cable</v>
      </c>
      <c r="D26" s="177" t="str">
        <v>Josh McPherson, Nick Akins</v>
      </c>
      <c r="E26" s="189">
        <v>0</v>
      </c>
      <c r="F26" s="189">
        <v>32</v>
      </c>
      <c r="G26" s="177" t="str">
        <v>Ready to Ship</v>
      </c>
      <c r="H26" s="191">
        <f t="shared" si="0"/>
        <v>1</v>
      </c>
      <c r="J26" s="266"/>
      <c r="K26" s="267"/>
      <c r="M26" s="1">
        <v>45826</v>
      </c>
    </row>
    <row r="27" spans="1:13" x14ac:dyDescent="0.25">
      <c r="A27" s="181">
        <v>45826</v>
      </c>
      <c r="B27" s="177" t="str">
        <v>24051-FS33</v>
      </c>
      <c r="C27" s="177" t="str">
        <v>TN Titans Stadium</v>
      </c>
      <c r="D27" s="177" t="str">
        <v>Marc Ribar</v>
      </c>
      <c r="E27" s="189">
        <v>161</v>
      </c>
      <c r="F27" s="189">
        <v>161</v>
      </c>
      <c r="G27" s="177" t="str">
        <v>RTS Titans</v>
      </c>
      <c r="H27" s="191">
        <f t="shared" si="0"/>
        <v>2</v>
      </c>
      <c r="J27" s="259" t="s">
        <v>2797</v>
      </c>
      <c r="L27" s="255"/>
      <c r="M27" s="1">
        <v>45827</v>
      </c>
    </row>
    <row r="28" spans="1:13" x14ac:dyDescent="0.25">
      <c r="A28" s="181">
        <v>45826</v>
      </c>
      <c r="B28" s="177" t="str">
        <v>24051-BM01</v>
      </c>
      <c r="C28" s="177" t="str">
        <v>TN Titans Stadium</v>
      </c>
      <c r="D28" s="177" t="str">
        <v>Marc Ribar</v>
      </c>
      <c r="E28" s="189">
        <v>0</v>
      </c>
      <c r="F28" s="189">
        <v>1900</v>
      </c>
      <c r="G28" s="177" t="str">
        <v>RTS Titans</v>
      </c>
      <c r="H28" s="191">
        <f t="shared" si="0"/>
        <v>2</v>
      </c>
      <c r="J28" s="250" t="s">
        <v>2798</v>
      </c>
      <c r="K28" s="248">
        <v>45764</v>
      </c>
      <c r="L28" s="256"/>
      <c r="M28" s="1">
        <v>45828</v>
      </c>
    </row>
    <row r="29" spans="1:13" x14ac:dyDescent="0.25">
      <c r="A29" s="181">
        <v>45827</v>
      </c>
      <c r="B29" s="177" t="str">
        <v>24051-FS200</v>
      </c>
      <c r="C29" s="177" t="str">
        <v>TN Titans Stadium</v>
      </c>
      <c r="D29" s="177" t="str">
        <v>Marc Ribar</v>
      </c>
      <c r="E29" s="189">
        <v>131</v>
      </c>
      <c r="F29" s="189">
        <v>131</v>
      </c>
      <c r="G29" s="177" t="str">
        <v>RTS Titans</v>
      </c>
      <c r="H29" s="191">
        <f t="shared" si="0"/>
        <v>2</v>
      </c>
      <c r="J29" s="251" t="s">
        <v>2799</v>
      </c>
      <c r="K29" s="174">
        <f>COUNTIF(A:A,K28)</f>
        <v>1</v>
      </c>
      <c r="L29" s="256"/>
      <c r="M29" s="1">
        <v>45833</v>
      </c>
    </row>
    <row r="30" spans="1:13" x14ac:dyDescent="0.25">
      <c r="A30" s="181">
        <v>45827</v>
      </c>
      <c r="B30" s="177" t="str">
        <v>24051-FS34</v>
      </c>
      <c r="C30" s="177" t="str">
        <v>TN Titans Stadium</v>
      </c>
      <c r="D30" s="177" t="str">
        <v>Marc Ribar</v>
      </c>
      <c r="E30" s="189">
        <v>161</v>
      </c>
      <c r="F30" s="189">
        <v>161</v>
      </c>
      <c r="G30" s="177" t="str">
        <v>RTS Titans</v>
      </c>
      <c r="H30" s="191">
        <f t="shared" si="0"/>
        <v>2</v>
      </c>
      <c r="J30" s="309" t="s">
        <v>2786</v>
      </c>
      <c r="K30" s="310"/>
      <c r="L30" s="311"/>
      <c r="M30" s="1">
        <v>45839</v>
      </c>
    </row>
    <row r="31" spans="1:13" x14ac:dyDescent="0.25">
      <c r="A31" s="181">
        <v>45828</v>
      </c>
      <c r="B31" s="177" t="str">
        <v>24051-FS35</v>
      </c>
      <c r="C31" s="177" t="str">
        <v>TN Titans Stadium</v>
      </c>
      <c r="D31" s="177" t="str">
        <v>Marc Ribar</v>
      </c>
      <c r="E31" s="189">
        <v>160</v>
      </c>
      <c r="F31" s="189">
        <v>160</v>
      </c>
      <c r="G31" s="177" t="str">
        <v>RTS Titans</v>
      </c>
      <c r="H31" s="191">
        <f t="shared" si="0"/>
        <v>1</v>
      </c>
      <c r="J31" s="252" t="s">
        <v>2800</v>
      </c>
      <c r="K31" s="249" t="s">
        <v>3</v>
      </c>
      <c r="L31" s="257" t="s">
        <v>80</v>
      </c>
      <c r="M31" s="1">
        <v>45841</v>
      </c>
    </row>
    <row r="32" spans="1:13" x14ac:dyDescent="0.25">
      <c r="A32" s="181">
        <v>45833</v>
      </c>
      <c r="B32" s="177" t="str">
        <v>24051-FS206</v>
      </c>
      <c r="C32" s="177" t="str">
        <v>TN Titans Stadium</v>
      </c>
      <c r="D32" s="177" t="str">
        <v>Marc Ribar</v>
      </c>
      <c r="E32" s="189">
        <v>72</v>
      </c>
      <c r="F32" s="189">
        <v>72</v>
      </c>
      <c r="G32" s="177" t="str">
        <v>RTS Titans</v>
      </c>
      <c r="H32" s="191">
        <f t="shared" si="0"/>
        <v>1</v>
      </c>
      <c r="J32" s="253" t="str" cm="1">
        <f t="array" ref="J32:L32">IFERROR(_xlfn._xlws.FILTER(_xlfn.HSTACK(B5:B300,C5:C300,G5:G300),A5:A300=K28,"No jobs"),"No jobs")</f>
        <v>24051-FS02</v>
      </c>
      <c r="K32" t="str">
        <v>TN Titans Stadium</v>
      </c>
      <c r="L32" s="256" t="str">
        <v>RTS Titans</v>
      </c>
      <c r="M32" s="1">
        <v>45849</v>
      </c>
    </row>
    <row r="33" spans="1:13" x14ac:dyDescent="0.25">
      <c r="A33" s="181">
        <v>45839</v>
      </c>
      <c r="B33" s="177" t="str">
        <v>25016-MU101</v>
      </c>
      <c r="C33" s="177" t="str">
        <v>Rockdale CJAC</v>
      </c>
      <c r="D33" s="177" t="str">
        <v>Dillon Bowman</v>
      </c>
      <c r="E33" s="189">
        <v>4</v>
      </c>
      <c r="F33" s="189">
        <v>5</v>
      </c>
      <c r="G33" s="177" t="str">
        <v>Ready to Ship</v>
      </c>
      <c r="H33" s="191">
        <f t="shared" si="0"/>
        <v>6</v>
      </c>
      <c r="J33" s="253"/>
      <c r="L33" s="256"/>
      <c r="M33" s="1">
        <v>45852</v>
      </c>
    </row>
    <row r="34" spans="1:13" x14ac:dyDescent="0.25">
      <c r="A34" s="181">
        <v>45839</v>
      </c>
      <c r="B34" s="177" t="str">
        <v>25016-MU103</v>
      </c>
      <c r="C34" s="177" t="str">
        <v>Rockdale CJAC</v>
      </c>
      <c r="D34" s="177" t="str">
        <v>Dillon Bowman</v>
      </c>
      <c r="E34" s="189">
        <v>0</v>
      </c>
      <c r="F34" s="189">
        <v>8</v>
      </c>
      <c r="G34" s="177" t="str">
        <v>Ready to Ship</v>
      </c>
      <c r="H34" s="191">
        <f t="shared" si="0"/>
        <v>6</v>
      </c>
      <c r="J34" s="253"/>
      <c r="L34" s="256"/>
      <c r="M34" s="1">
        <v>45853</v>
      </c>
    </row>
    <row r="35" spans="1:13" x14ac:dyDescent="0.25">
      <c r="A35" s="181">
        <v>45839</v>
      </c>
      <c r="B35" s="177" t="str">
        <v>25016-MU121</v>
      </c>
      <c r="C35" s="177" t="str">
        <v>Rockdale CJAC</v>
      </c>
      <c r="D35" s="177" t="str">
        <v>Dillon Bowman</v>
      </c>
      <c r="E35" s="189">
        <v>1</v>
      </c>
      <c r="F35" s="189">
        <v>1</v>
      </c>
      <c r="G35" s="177" t="str">
        <v>Ready to Ship</v>
      </c>
      <c r="H35" s="191">
        <f t="shared" si="0"/>
        <v>6</v>
      </c>
      <c r="J35" s="253"/>
      <c r="L35" s="256"/>
      <c r="M35" s="1">
        <v>45856</v>
      </c>
    </row>
    <row r="36" spans="1:13" x14ac:dyDescent="0.25">
      <c r="A36" s="181">
        <v>45839</v>
      </c>
      <c r="B36" s="177" t="str">
        <v>25016-MU122</v>
      </c>
      <c r="C36" s="177" t="str">
        <v>Rockdale CJAC</v>
      </c>
      <c r="D36" s="177" t="str">
        <v>Dillon Bowman</v>
      </c>
      <c r="E36" s="189">
        <v>0</v>
      </c>
      <c r="F36" s="189">
        <v>2</v>
      </c>
      <c r="G36" s="177" t="str">
        <v>Ready to Ship</v>
      </c>
      <c r="H36" s="191">
        <f t="shared" si="0"/>
        <v>6</v>
      </c>
      <c r="J36" s="253"/>
      <c r="L36" s="256"/>
      <c r="M36" s="1">
        <v>45860</v>
      </c>
    </row>
    <row r="37" spans="1:13" x14ac:dyDescent="0.25">
      <c r="A37" s="181">
        <v>45839</v>
      </c>
      <c r="B37" s="177" t="str">
        <v>25016-MU123</v>
      </c>
      <c r="C37" s="177" t="str">
        <v>Rockdale CJAC</v>
      </c>
      <c r="D37" s="177" t="str">
        <v>Dillon Bowman</v>
      </c>
      <c r="E37" s="189">
        <v>0</v>
      </c>
      <c r="F37" s="189">
        <v>2</v>
      </c>
      <c r="G37" s="177" t="str">
        <v>Ready to Ship</v>
      </c>
      <c r="H37" s="191">
        <f t="shared" si="0"/>
        <v>6</v>
      </c>
      <c r="J37" s="253"/>
      <c r="L37" s="256"/>
      <c r="M37" s="1">
        <v>45861</v>
      </c>
    </row>
    <row r="38" spans="1:13" x14ac:dyDescent="0.25">
      <c r="A38" s="181">
        <v>45839</v>
      </c>
      <c r="B38" s="177" t="str">
        <v>24051-FS01C</v>
      </c>
      <c r="C38" s="177" t="str">
        <v>TN Titans Stadium</v>
      </c>
      <c r="D38" s="177" t="str">
        <v>Marc Ribar</v>
      </c>
      <c r="E38" s="189">
        <v>160</v>
      </c>
      <c r="F38" s="189">
        <v>160</v>
      </c>
      <c r="G38" s="177" t="str">
        <v>RTS Titans</v>
      </c>
      <c r="H38" s="191">
        <f t="shared" si="0"/>
        <v>6</v>
      </c>
      <c r="J38" s="253"/>
      <c r="L38" s="256"/>
      <c r="M38" s="1">
        <v>45869</v>
      </c>
    </row>
    <row r="39" spans="1:13" x14ac:dyDescent="0.25">
      <c r="A39" s="181">
        <v>45841</v>
      </c>
      <c r="B39" s="177" t="str">
        <v>24051-FS10C</v>
      </c>
      <c r="C39" s="177" t="str">
        <v>TN Titans Stadium</v>
      </c>
      <c r="D39" s="177" t="str">
        <v>Marc Ribar</v>
      </c>
      <c r="E39" s="189">
        <v>160</v>
      </c>
      <c r="F39" s="189">
        <v>160</v>
      </c>
      <c r="G39" s="177" t="str">
        <v>RTS Titans</v>
      </c>
      <c r="H39" s="191">
        <f t="shared" si="0"/>
        <v>1</v>
      </c>
      <c r="J39" s="253"/>
      <c r="L39" s="256"/>
      <c r="M39" s="1">
        <v>45873</v>
      </c>
    </row>
    <row r="40" spans="1:13" x14ac:dyDescent="0.25">
      <c r="A40" s="181">
        <v>45849</v>
      </c>
      <c r="B40" s="177" t="str">
        <v>24051-FS33C</v>
      </c>
      <c r="C40" s="177" t="str">
        <v>TN Titans Stadium</v>
      </c>
      <c r="D40" s="177" t="str">
        <v>Marc Ribar</v>
      </c>
      <c r="E40" s="189">
        <v>161</v>
      </c>
      <c r="F40" s="189">
        <v>161</v>
      </c>
      <c r="G40" s="177" t="str">
        <v>RTS Titans</v>
      </c>
      <c r="H40" s="191">
        <f t="shared" si="0"/>
        <v>1</v>
      </c>
      <c r="J40" s="253"/>
      <c r="L40" s="256"/>
      <c r="M40" s="1">
        <v>45875</v>
      </c>
    </row>
    <row r="41" spans="1:13" x14ac:dyDescent="0.25">
      <c r="A41" s="181">
        <v>45852</v>
      </c>
      <c r="B41" s="177" t="str">
        <v>24051-FS37</v>
      </c>
      <c r="C41" s="177" t="str">
        <v>TN Titans Stadium</v>
      </c>
      <c r="D41" s="177" t="str">
        <v>Marc Ribar</v>
      </c>
      <c r="E41" s="189">
        <v>24</v>
      </c>
      <c r="F41" s="189">
        <v>24</v>
      </c>
      <c r="G41" s="177" t="str">
        <v>RTS Titans</v>
      </c>
      <c r="H41" s="191">
        <f t="shared" si="0"/>
        <v>3</v>
      </c>
      <c r="J41" s="253"/>
      <c r="L41" s="256"/>
      <c r="M41" s="1">
        <v>45877</v>
      </c>
    </row>
    <row r="42" spans="1:13" x14ac:dyDescent="0.25">
      <c r="A42" s="181">
        <v>45852</v>
      </c>
      <c r="B42" s="177" t="str">
        <v>24051-FS38</v>
      </c>
      <c r="C42" s="177" t="str">
        <v>TN Titans Stadium</v>
      </c>
      <c r="D42" s="177" t="str">
        <v>Marc Ribar</v>
      </c>
      <c r="E42" s="189">
        <v>90</v>
      </c>
      <c r="F42" s="189">
        <v>90</v>
      </c>
      <c r="G42" s="177" t="str">
        <v>RTS Titans</v>
      </c>
      <c r="H42" s="191">
        <f t="shared" si="0"/>
        <v>3</v>
      </c>
      <c r="J42" s="253"/>
      <c r="L42" s="256"/>
      <c r="M42" s="1">
        <v>45882</v>
      </c>
    </row>
    <row r="43" spans="1:13" x14ac:dyDescent="0.25">
      <c r="A43" s="181">
        <v>45852</v>
      </c>
      <c r="B43" s="177" t="str">
        <v>24051-FS39</v>
      </c>
      <c r="C43" s="177" t="str">
        <v>TN Titans Stadium</v>
      </c>
      <c r="D43" s="177" t="str">
        <v>Marc Ribar</v>
      </c>
      <c r="E43" s="189">
        <v>96</v>
      </c>
      <c r="F43" s="189">
        <v>96</v>
      </c>
      <c r="G43" s="177" t="str">
        <v>RTS Titans</v>
      </c>
      <c r="H43" s="191">
        <f t="shared" si="0"/>
        <v>3</v>
      </c>
      <c r="J43" s="253"/>
      <c r="L43" s="256"/>
      <c r="M43" s="1">
        <v>45883</v>
      </c>
    </row>
    <row r="44" spans="1:13" x14ac:dyDescent="0.25">
      <c r="A44" s="181">
        <v>45853</v>
      </c>
      <c r="B44" s="177" t="str">
        <v>24051-FS40</v>
      </c>
      <c r="C44" s="177" t="str">
        <v>TN Titans Stadium</v>
      </c>
      <c r="D44" s="177" t="str">
        <v>Marc Ribar</v>
      </c>
      <c r="E44" s="189">
        <v>96</v>
      </c>
      <c r="F44" s="189">
        <v>96</v>
      </c>
      <c r="G44" s="177" t="str">
        <v>RTS Titans</v>
      </c>
      <c r="H44" s="191">
        <f t="shared" si="0"/>
        <v>1</v>
      </c>
      <c r="J44" s="253"/>
      <c r="L44" s="256"/>
      <c r="M44" s="1">
        <v>45887</v>
      </c>
    </row>
    <row r="45" spans="1:13" x14ac:dyDescent="0.25">
      <c r="A45" s="181">
        <v>45856</v>
      </c>
      <c r="B45" s="177" t="str">
        <v>24020-FL07</v>
      </c>
      <c r="C45" s="177" t="str">
        <v>QTS ATL2 DC2 Osgood</v>
      </c>
      <c r="D45" s="177" t="str">
        <v>Dillon Bowman</v>
      </c>
      <c r="E45" s="189">
        <v>2</v>
      </c>
      <c r="F45" s="189">
        <v>2</v>
      </c>
      <c r="G45" s="177" t="str">
        <v>Ready to Ship</v>
      </c>
      <c r="H45" s="191">
        <f t="shared" si="0"/>
        <v>1</v>
      </c>
      <c r="J45" s="254"/>
      <c r="K45" s="188"/>
      <c r="L45" s="258"/>
      <c r="M45" s="1">
        <v>45894</v>
      </c>
    </row>
    <row r="46" spans="1:13" x14ac:dyDescent="0.25">
      <c r="A46" s="181">
        <v>45860</v>
      </c>
      <c r="B46" s="177" t="str">
        <v>24051-FS41</v>
      </c>
      <c r="C46" s="177" t="str">
        <v>TN Titans Stadium</v>
      </c>
      <c r="D46" s="177" t="str">
        <v>Marc Ribar</v>
      </c>
      <c r="E46" s="189">
        <v>96</v>
      </c>
      <c r="F46" s="189">
        <v>96</v>
      </c>
      <c r="G46" s="177" t="str">
        <v>RTS Titans</v>
      </c>
      <c r="H46" s="191">
        <f t="shared" si="0"/>
        <v>1</v>
      </c>
      <c r="M46" s="1">
        <v>45897</v>
      </c>
    </row>
    <row r="47" spans="1:13" x14ac:dyDescent="0.25">
      <c r="A47" s="181">
        <v>45861</v>
      </c>
      <c r="B47" s="177" t="str">
        <v>25028-FS01</v>
      </c>
      <c r="C47" s="177" t="str">
        <v>TN Soybean Council</v>
      </c>
      <c r="D47" s="177" t="str">
        <v>Cole Norona</v>
      </c>
      <c r="E47" s="189">
        <v>26</v>
      </c>
      <c r="F47" s="189">
        <v>26</v>
      </c>
      <c r="G47" s="177" t="str">
        <v>Ready to Ship</v>
      </c>
      <c r="H47" s="191">
        <f t="shared" si="0"/>
        <v>1</v>
      </c>
      <c r="M47" s="1">
        <v>45908</v>
      </c>
    </row>
    <row r="48" spans="1:13" x14ac:dyDescent="0.25">
      <c r="A48" s="181">
        <v>45869</v>
      </c>
      <c r="B48" s="177" t="str">
        <v>24051-FS36</v>
      </c>
      <c r="C48" s="177" t="str">
        <v>TN Titans Stadium</v>
      </c>
      <c r="D48" s="177" t="str">
        <v>Marc Ribar</v>
      </c>
      <c r="E48" s="189">
        <v>84</v>
      </c>
      <c r="F48" s="189">
        <v>84</v>
      </c>
      <c r="G48" s="177" t="str">
        <v>RTS Titans</v>
      </c>
      <c r="H48" s="191">
        <f t="shared" si="0"/>
        <v>2</v>
      </c>
      <c r="M48" s="1">
        <v>45916</v>
      </c>
    </row>
    <row r="49" spans="1:13" x14ac:dyDescent="0.25">
      <c r="A49" s="181">
        <v>45869</v>
      </c>
      <c r="B49" s="177" t="str">
        <v>24051-FS215</v>
      </c>
      <c r="C49" s="177" t="str">
        <v>TN Titans Stadium</v>
      </c>
      <c r="D49" s="177" t="str">
        <v>Marc Ribar</v>
      </c>
      <c r="E49" s="189">
        <v>14</v>
      </c>
      <c r="F49" s="189">
        <v>14</v>
      </c>
      <c r="G49" s="177" t="str">
        <v>RTS Titans</v>
      </c>
      <c r="H49" s="191">
        <f t="shared" si="0"/>
        <v>2</v>
      </c>
      <c r="M49" s="1">
        <v>45923</v>
      </c>
    </row>
    <row r="50" spans="1:13" x14ac:dyDescent="0.25">
      <c r="A50" s="181">
        <v>45873</v>
      </c>
      <c r="B50" s="177" t="str">
        <v>24051-FS43</v>
      </c>
      <c r="C50" s="177" t="str">
        <v>TN Titans Stadium</v>
      </c>
      <c r="D50" s="177" t="str">
        <v>Marc Ribar</v>
      </c>
      <c r="E50" s="189">
        <v>160</v>
      </c>
      <c r="F50" s="189">
        <v>160</v>
      </c>
      <c r="G50" s="177" t="str">
        <v>RTS Titans</v>
      </c>
      <c r="H50" s="191">
        <f t="shared" si="0"/>
        <v>1</v>
      </c>
      <c r="M50" s="1">
        <v>45978</v>
      </c>
    </row>
    <row r="51" spans="1:13" x14ac:dyDescent="0.25">
      <c r="A51" s="181">
        <v>45875</v>
      </c>
      <c r="B51" s="177" t="str">
        <v>24057-BM10</v>
      </c>
      <c r="C51" s="177" t="str">
        <v>Rowan BWI 150</v>
      </c>
      <c r="D51" s="177" t="str">
        <v>Dillon Bowman</v>
      </c>
      <c r="E51" s="189">
        <v>0</v>
      </c>
      <c r="F51" s="189">
        <v>11</v>
      </c>
      <c r="G51" s="177" t="str">
        <v>Ready to Ship</v>
      </c>
      <c r="H51" s="191">
        <f t="shared" si="0"/>
        <v>2</v>
      </c>
      <c r="M51" s="1">
        <v>45982</v>
      </c>
    </row>
    <row r="52" spans="1:13" x14ac:dyDescent="0.25">
      <c r="A52" s="181">
        <v>45875</v>
      </c>
      <c r="B52" s="177" t="str">
        <v>24057-FL10</v>
      </c>
      <c r="C52" s="177" t="str">
        <v>Rowan BWI 150</v>
      </c>
      <c r="D52" s="177" t="str">
        <v>Dillon Bowman</v>
      </c>
      <c r="E52" s="189">
        <v>0</v>
      </c>
      <c r="F52" s="189">
        <v>7</v>
      </c>
      <c r="G52" s="177" t="str">
        <v>Ready to Ship</v>
      </c>
      <c r="H52" s="191">
        <f t="shared" si="0"/>
        <v>2</v>
      </c>
      <c r="M52" s="1">
        <v>45985</v>
      </c>
    </row>
    <row r="53" spans="1:13" x14ac:dyDescent="0.25">
      <c r="A53" s="181">
        <v>45877</v>
      </c>
      <c r="B53" s="177" t="str">
        <v>25028-FL02</v>
      </c>
      <c r="C53" s="177" t="str">
        <v>TN Soybean Council</v>
      </c>
      <c r="D53" s="177" t="str">
        <v>Cole Norona</v>
      </c>
      <c r="E53" s="189">
        <v>0</v>
      </c>
      <c r="F53" s="189">
        <v>4</v>
      </c>
      <c r="G53" s="177" t="str">
        <v>Ready to Ship</v>
      </c>
      <c r="H53" s="191">
        <f t="shared" si="0"/>
        <v>1</v>
      </c>
      <c r="M53" s="1">
        <v>45987</v>
      </c>
    </row>
    <row r="54" spans="1:13" x14ac:dyDescent="0.25">
      <c r="A54" s="181">
        <v>45882</v>
      </c>
      <c r="B54" s="177" t="str">
        <v>24051-FS42</v>
      </c>
      <c r="C54" s="177" t="str">
        <v>TN Titans Stadium</v>
      </c>
      <c r="D54" s="177" t="str">
        <v>Marc Ribar</v>
      </c>
      <c r="E54" s="189">
        <v>120</v>
      </c>
      <c r="F54" s="189">
        <v>120</v>
      </c>
      <c r="G54" s="177" t="str">
        <v>RTS Titans</v>
      </c>
      <c r="H54" s="191">
        <f t="shared" si="0"/>
        <v>1</v>
      </c>
      <c r="M54" s="1">
        <v>45994</v>
      </c>
    </row>
    <row r="55" spans="1:13" x14ac:dyDescent="0.25">
      <c r="A55" s="181">
        <v>45883</v>
      </c>
      <c r="B55" s="177" t="str">
        <v>24051-RP11</v>
      </c>
      <c r="C55" s="177" t="str">
        <v>TN Titans Stadium</v>
      </c>
      <c r="D55" s="177" t="str">
        <v>Marc Ribar</v>
      </c>
      <c r="E55" s="189">
        <v>1</v>
      </c>
      <c r="F55" s="189">
        <v>1</v>
      </c>
      <c r="G55" s="177" t="str">
        <v>RTS Titans</v>
      </c>
      <c r="H55" s="191">
        <f t="shared" si="0"/>
        <v>1</v>
      </c>
      <c r="M55" s="1">
        <v>45996</v>
      </c>
    </row>
    <row r="56" spans="1:13" x14ac:dyDescent="0.25">
      <c r="A56" s="181">
        <v>45887</v>
      </c>
      <c r="B56" s="177" t="str">
        <v>24051-FS44</v>
      </c>
      <c r="C56" s="177" t="str">
        <v>TN Titans Stadium</v>
      </c>
      <c r="D56" s="177" t="str">
        <v>Marc Ribar</v>
      </c>
      <c r="E56" s="189">
        <v>120</v>
      </c>
      <c r="F56" s="189">
        <v>120</v>
      </c>
      <c r="G56" s="177" t="str">
        <v>RTS Titans</v>
      </c>
      <c r="H56" s="191">
        <f t="shared" si="0"/>
        <v>1</v>
      </c>
      <c r="M56" s="1">
        <v>45997</v>
      </c>
    </row>
    <row r="57" spans="1:13" x14ac:dyDescent="0.25">
      <c r="A57" s="181">
        <v>45894</v>
      </c>
      <c r="B57" s="177" t="str">
        <v>24051-RP16</v>
      </c>
      <c r="C57" s="177" t="str">
        <v>TN Titans Stadium</v>
      </c>
      <c r="D57" s="177" t="str">
        <v>Marc Ribar</v>
      </c>
      <c r="E57" s="189">
        <v>5</v>
      </c>
      <c r="F57" s="189">
        <v>5</v>
      </c>
      <c r="G57" s="177" t="str">
        <v>RTS Titans</v>
      </c>
      <c r="H57" s="191">
        <f t="shared" si="0"/>
        <v>1</v>
      </c>
      <c r="M57" s="1">
        <v>45999</v>
      </c>
    </row>
    <row r="58" spans="1:13" x14ac:dyDescent="0.25">
      <c r="A58" s="181">
        <v>45897</v>
      </c>
      <c r="B58" s="177" t="str">
        <v>24048-RM02</v>
      </c>
      <c r="C58" s="177" t="str">
        <v>QTS NAL2 DC1</v>
      </c>
      <c r="D58" s="177" t="str">
        <v>Joe Hoyle</v>
      </c>
      <c r="E58" s="189">
        <v>3</v>
      </c>
      <c r="F58" s="189">
        <v>3</v>
      </c>
      <c r="G58" s="177" t="str">
        <v>Ready to Ship</v>
      </c>
      <c r="H58" s="191">
        <f t="shared" si="0"/>
        <v>1</v>
      </c>
      <c r="M58" s="1">
        <v>46003</v>
      </c>
    </row>
    <row r="59" spans="1:13" x14ac:dyDescent="0.25">
      <c r="A59" s="181">
        <v>45908</v>
      </c>
      <c r="B59" s="177" t="str">
        <v>25016-BM201</v>
      </c>
      <c r="C59" s="177" t="str">
        <v>Rockdale CJAC</v>
      </c>
      <c r="D59" s="177" t="str">
        <v>Dillon Bowman</v>
      </c>
      <c r="E59" s="189">
        <v>12</v>
      </c>
      <c r="F59" s="189">
        <v>12</v>
      </c>
      <c r="G59" s="177" t="str">
        <v>Ready to Ship</v>
      </c>
      <c r="H59" s="191">
        <f t="shared" si="0"/>
        <v>2</v>
      </c>
      <c r="M59" s="1">
        <v>46006</v>
      </c>
    </row>
    <row r="60" spans="1:13" x14ac:dyDescent="0.25">
      <c r="A60" s="181">
        <v>45908</v>
      </c>
      <c r="B60" s="177" t="str">
        <v>25016-FL200</v>
      </c>
      <c r="C60" s="177" t="str">
        <v>Rockdale CJAC</v>
      </c>
      <c r="D60" s="177" t="str">
        <v>Dillon Bowman</v>
      </c>
      <c r="E60" s="189">
        <v>8</v>
      </c>
      <c r="F60" s="189">
        <v>8</v>
      </c>
      <c r="G60" s="177" t="str">
        <v>Ready to Ship</v>
      </c>
      <c r="H60" s="191">
        <f t="shared" si="0"/>
        <v>2</v>
      </c>
      <c r="M60" s="1">
        <v>46008</v>
      </c>
    </row>
    <row r="61" spans="1:13" x14ac:dyDescent="0.25">
      <c r="A61" s="181">
        <v>45916</v>
      </c>
      <c r="B61" s="177" t="str">
        <v>24046-FL12</v>
      </c>
      <c r="C61" s="177" t="str">
        <v>UAB Biomedical Research and Psycholgy</v>
      </c>
      <c r="D61" s="177" t="str">
        <v>Wylie McDougall</v>
      </c>
      <c r="E61" s="189">
        <v>0</v>
      </c>
      <c r="F61" s="189">
        <v>119</v>
      </c>
      <c r="G61" s="177" t="str">
        <v>Ready to Ship</v>
      </c>
      <c r="H61" s="191">
        <f t="shared" si="0"/>
        <v>2</v>
      </c>
      <c r="M61" s="1">
        <v>46021</v>
      </c>
    </row>
    <row r="62" spans="1:13" x14ac:dyDescent="0.25">
      <c r="A62" s="181">
        <v>45916</v>
      </c>
      <c r="B62" s="177" t="str">
        <v>24046-FL13</v>
      </c>
      <c r="C62" s="177" t="str">
        <v>UAB Biomedical Research and Psycholgy</v>
      </c>
      <c r="D62" s="177" t="str">
        <v>Wylie McDougall</v>
      </c>
      <c r="E62" s="189">
        <v>0</v>
      </c>
      <c r="F62" s="189">
        <v>53</v>
      </c>
      <c r="G62" s="177" t="str">
        <v>Ready to Ship</v>
      </c>
      <c r="H62" s="191">
        <f t="shared" si="0"/>
        <v>2</v>
      </c>
      <c r="M62" s="1">
        <v>46024</v>
      </c>
    </row>
    <row r="63" spans="1:13" x14ac:dyDescent="0.25">
      <c r="A63" s="181">
        <v>45923</v>
      </c>
      <c r="B63" s="177" t="str">
        <v>24051-RP20</v>
      </c>
      <c r="C63" s="177" t="str">
        <v>TN Titans Stadium</v>
      </c>
      <c r="D63" s="177" t="str">
        <v>Marc Ribar</v>
      </c>
      <c r="E63" s="189">
        <v>46</v>
      </c>
      <c r="F63" s="189">
        <v>46</v>
      </c>
      <c r="G63" s="177" t="str">
        <v>RTS Titans</v>
      </c>
      <c r="H63" s="191">
        <f t="shared" si="0"/>
        <v>1</v>
      </c>
      <c r="M63" s="1">
        <v>46027</v>
      </c>
    </row>
    <row r="64" spans="1:13" x14ac:dyDescent="0.25">
      <c r="A64" s="181">
        <v>45978</v>
      </c>
      <c r="B64" s="177" t="str">
        <v>24051-FS45C</v>
      </c>
      <c r="C64" s="177" t="str">
        <v>TN Titans Stadium</v>
      </c>
      <c r="D64" s="177" t="str">
        <v>Marc Ribar</v>
      </c>
      <c r="E64" s="189">
        <v>26</v>
      </c>
      <c r="F64" s="189">
        <v>26</v>
      </c>
      <c r="G64" s="177" t="str">
        <v>RTS Titans</v>
      </c>
      <c r="H64" s="191">
        <f t="shared" si="0"/>
        <v>1</v>
      </c>
      <c r="M64" s="1">
        <v>46028</v>
      </c>
    </row>
    <row r="65" spans="1:13" x14ac:dyDescent="0.25">
      <c r="A65" s="181">
        <v>45982</v>
      </c>
      <c r="B65" s="177" t="str">
        <v>24051-FS201</v>
      </c>
      <c r="C65" s="177" t="str">
        <v>TN Titans Stadium</v>
      </c>
      <c r="D65" s="177" t="str">
        <v>Marc Ribar</v>
      </c>
      <c r="E65" s="189">
        <v>109</v>
      </c>
      <c r="F65" s="189">
        <v>109</v>
      </c>
      <c r="G65" s="177" t="str">
        <v>RTS Titans</v>
      </c>
      <c r="H65" s="191">
        <f t="shared" si="0"/>
        <v>2</v>
      </c>
      <c r="M65" s="1">
        <v>46030</v>
      </c>
    </row>
    <row r="66" spans="1:13" x14ac:dyDescent="0.25">
      <c r="A66" s="181">
        <v>45982</v>
      </c>
      <c r="B66" s="177" t="str">
        <v>24051-FS205</v>
      </c>
      <c r="C66" s="177" t="str">
        <v>TN Titans Stadium</v>
      </c>
      <c r="D66" s="177" t="str">
        <v>Marc Ribar</v>
      </c>
      <c r="E66" s="189">
        <v>118</v>
      </c>
      <c r="F66" s="189">
        <v>118</v>
      </c>
      <c r="G66" s="177" t="str">
        <v>RTS Titans</v>
      </c>
      <c r="H66" s="191">
        <f t="shared" si="0"/>
        <v>2</v>
      </c>
      <c r="M66" s="1">
        <v>46035</v>
      </c>
    </row>
    <row r="67" spans="1:13" x14ac:dyDescent="0.25">
      <c r="A67" s="181">
        <v>45985</v>
      </c>
      <c r="B67" s="177" t="str">
        <v>24051-FS213</v>
      </c>
      <c r="C67" s="177" t="str">
        <v>TN Titans Stadium</v>
      </c>
      <c r="D67" s="177" t="str">
        <v>Marc Ribar</v>
      </c>
      <c r="E67" s="189">
        <v>138</v>
      </c>
      <c r="F67" s="189">
        <v>138</v>
      </c>
      <c r="G67" s="177" t="str">
        <v>RTS Titans</v>
      </c>
      <c r="H67" s="191">
        <f t="shared" si="0"/>
        <v>2</v>
      </c>
      <c r="M67" s="1">
        <v>46036</v>
      </c>
    </row>
    <row r="68" spans="1:13" x14ac:dyDescent="0.25">
      <c r="A68" s="181">
        <v>45985</v>
      </c>
      <c r="B68" s="177" t="str">
        <v>24051-FS216</v>
      </c>
      <c r="C68" s="177" t="str">
        <v>TN Titans Stadium</v>
      </c>
      <c r="D68" s="177" t="str">
        <v>Marc Ribar</v>
      </c>
      <c r="E68" s="189">
        <v>26</v>
      </c>
      <c r="F68" s="189">
        <v>26</v>
      </c>
      <c r="G68" s="177" t="str">
        <v>RTS Titans</v>
      </c>
      <c r="H68" s="191">
        <f t="shared" si="0"/>
        <v>2</v>
      </c>
      <c r="M68" s="1">
        <v>46037</v>
      </c>
    </row>
    <row r="69" spans="1:13" x14ac:dyDescent="0.25">
      <c r="A69" s="181">
        <v>45987</v>
      </c>
      <c r="B69" s="177" t="str">
        <v>24051-FS45</v>
      </c>
      <c r="C69" s="177" t="str">
        <v>TN Titans Stadium</v>
      </c>
      <c r="D69" s="177" t="str">
        <v>Marc Ribar</v>
      </c>
      <c r="E69" s="189">
        <v>78</v>
      </c>
      <c r="F69" s="189">
        <v>78</v>
      </c>
      <c r="G69" s="177" t="str">
        <v>RTS Titans</v>
      </c>
      <c r="H69" s="191">
        <f t="shared" si="0"/>
        <v>1</v>
      </c>
      <c r="M69" s="1">
        <v>46038</v>
      </c>
    </row>
    <row r="70" spans="1:13" x14ac:dyDescent="0.25">
      <c r="A70" s="181">
        <v>45994</v>
      </c>
      <c r="B70" s="177" t="str">
        <v>24051-FS219</v>
      </c>
      <c r="C70" s="177" t="str">
        <v>TN Titans Stadium</v>
      </c>
      <c r="D70" s="177" t="str">
        <v>Marc Ribar</v>
      </c>
      <c r="E70" s="189">
        <v>109</v>
      </c>
      <c r="F70" s="189">
        <v>109</v>
      </c>
      <c r="G70" s="177" t="str">
        <v>RTS Titans</v>
      </c>
      <c r="H70" s="191">
        <f t="shared" ref="H70:H133" si="1">IF(A70&lt;&gt;"",COUNTIF($A$5:$A$300,A70),"")</f>
        <v>1</v>
      </c>
      <c r="M70" s="1">
        <v>46041</v>
      </c>
    </row>
    <row r="71" spans="1:13" x14ac:dyDescent="0.25">
      <c r="A71" s="181">
        <v>45996</v>
      </c>
      <c r="B71" s="177" t="str">
        <v>24051-FS217</v>
      </c>
      <c r="C71" s="177" t="str">
        <v>TN Titans Stadium</v>
      </c>
      <c r="D71" s="177" t="str">
        <v>Marc Ribar</v>
      </c>
      <c r="E71" s="189">
        <v>12</v>
      </c>
      <c r="F71" s="189">
        <v>12</v>
      </c>
      <c r="G71" s="177" t="str">
        <v>RTS Titans</v>
      </c>
      <c r="H71" s="191">
        <f t="shared" si="1"/>
        <v>2</v>
      </c>
      <c r="M71" s="1">
        <v>46042</v>
      </c>
    </row>
    <row r="72" spans="1:13" x14ac:dyDescent="0.25">
      <c r="A72" s="181">
        <v>45996</v>
      </c>
      <c r="B72" s="177" t="str">
        <v>24051-FS218</v>
      </c>
      <c r="C72" s="177" t="str">
        <v>TN Titans Stadium</v>
      </c>
      <c r="D72" s="177" t="str">
        <v>Marc Ribar</v>
      </c>
      <c r="E72" s="189">
        <v>97</v>
      </c>
      <c r="F72" s="189">
        <v>97</v>
      </c>
      <c r="G72" s="177" t="str">
        <v>RTS Titans</v>
      </c>
      <c r="H72" s="191">
        <f t="shared" si="1"/>
        <v>2</v>
      </c>
      <c r="M72" s="1">
        <v>46043</v>
      </c>
    </row>
    <row r="73" spans="1:13" x14ac:dyDescent="0.25">
      <c r="A73" s="181">
        <v>45997</v>
      </c>
      <c r="B73" s="177" t="str">
        <v>25014-11-ST01</v>
      </c>
      <c r="C73" s="177" t="str">
        <v>R&amp;D</v>
      </c>
      <c r="D73" s="177" t="str">
        <v>TBC</v>
      </c>
      <c r="E73" s="189">
        <v>0</v>
      </c>
      <c r="F73" s="189">
        <v>1</v>
      </c>
      <c r="G73" s="177" t="str">
        <v>Ready to Ship</v>
      </c>
      <c r="H73" s="191">
        <f t="shared" si="1"/>
        <v>2</v>
      </c>
      <c r="M73" s="1">
        <v>46044</v>
      </c>
    </row>
    <row r="74" spans="1:13" x14ac:dyDescent="0.25">
      <c r="A74" s="181">
        <v>45997</v>
      </c>
      <c r="B74" s="177" t="str">
        <v>25014-11-ST02</v>
      </c>
      <c r="C74" s="177" t="str">
        <v>R&amp;D</v>
      </c>
      <c r="D74" s="177" t="str">
        <v>TBC</v>
      </c>
      <c r="E74" s="189">
        <v>0</v>
      </c>
      <c r="F74" s="189">
        <v>232</v>
      </c>
      <c r="G74" s="177" t="str">
        <v>Ready to Ship</v>
      </c>
      <c r="H74" s="191">
        <f t="shared" si="1"/>
        <v>2</v>
      </c>
      <c r="M74" s="1">
        <v>46045</v>
      </c>
    </row>
    <row r="75" spans="1:13" x14ac:dyDescent="0.25">
      <c r="A75" s="181">
        <v>45999</v>
      </c>
      <c r="B75" s="177" t="str">
        <v>24051-FS46C</v>
      </c>
      <c r="C75" s="177" t="str">
        <v>TN Titans Stadium</v>
      </c>
      <c r="D75" s="177" t="str">
        <v>Marc Ribar</v>
      </c>
      <c r="E75" s="189">
        <v>25</v>
      </c>
      <c r="F75" s="189">
        <v>25</v>
      </c>
      <c r="G75" s="177" t="str">
        <v>RTS Titans</v>
      </c>
      <c r="H75" s="191">
        <f t="shared" si="1"/>
        <v>2</v>
      </c>
      <c r="M75" s="1">
        <v>46048</v>
      </c>
    </row>
    <row r="76" spans="1:13" x14ac:dyDescent="0.25">
      <c r="A76" s="181">
        <v>45999</v>
      </c>
      <c r="B76" s="177" t="str">
        <v>24051-FS46</v>
      </c>
      <c r="C76" s="177" t="str">
        <v>TN Titans Stadium</v>
      </c>
      <c r="D76" s="177" t="str">
        <v>Marc Ribar</v>
      </c>
      <c r="E76" s="189">
        <v>75</v>
      </c>
      <c r="F76" s="189">
        <v>75</v>
      </c>
      <c r="G76" s="177" t="str">
        <v>RTS Titans</v>
      </c>
      <c r="H76" s="191">
        <f t="shared" si="1"/>
        <v>2</v>
      </c>
      <c r="M76" s="1">
        <v>46052</v>
      </c>
    </row>
    <row r="77" spans="1:13" x14ac:dyDescent="0.25">
      <c r="A77" s="181">
        <v>46003</v>
      </c>
      <c r="B77" s="177" t="str">
        <v>24051-FS47C</v>
      </c>
      <c r="C77" s="177" t="str">
        <v>TN Titans Stadium</v>
      </c>
      <c r="D77" s="177" t="str">
        <v>Marc Ribar</v>
      </c>
      <c r="E77" s="189">
        <v>99</v>
      </c>
      <c r="F77" s="189">
        <v>99</v>
      </c>
      <c r="G77" s="177" t="str">
        <v>RTS Titans</v>
      </c>
      <c r="H77" s="191">
        <f t="shared" si="1"/>
        <v>2</v>
      </c>
      <c r="M77" s="1">
        <v>46055</v>
      </c>
    </row>
    <row r="78" spans="1:13" x14ac:dyDescent="0.25">
      <c r="A78" s="181">
        <v>46003</v>
      </c>
      <c r="B78" s="177" t="str">
        <v>24051-FS48</v>
      </c>
      <c r="C78" s="177" t="str">
        <v>TN Titans Stadium</v>
      </c>
      <c r="D78" s="177" t="str">
        <v>Marc Ribar</v>
      </c>
      <c r="E78" s="189">
        <v>124</v>
      </c>
      <c r="F78" s="189">
        <v>124</v>
      </c>
      <c r="G78" s="177" t="str">
        <v>RTS Titans</v>
      </c>
      <c r="H78" s="191">
        <f t="shared" si="1"/>
        <v>2</v>
      </c>
      <c r="M78" s="1">
        <v>46058</v>
      </c>
    </row>
    <row r="79" spans="1:13" x14ac:dyDescent="0.25">
      <c r="A79" s="181">
        <v>46006</v>
      </c>
      <c r="B79" s="177" t="str">
        <v>24051-FS49</v>
      </c>
      <c r="C79" s="177" t="str">
        <v>TN Titans Stadium</v>
      </c>
      <c r="D79" s="177" t="str">
        <v>Marc Ribar</v>
      </c>
      <c r="E79" s="189">
        <v>124</v>
      </c>
      <c r="F79" s="189">
        <v>124</v>
      </c>
      <c r="G79" s="177" t="str">
        <v>RTS Titans</v>
      </c>
      <c r="H79" s="191">
        <f t="shared" si="1"/>
        <v>3</v>
      </c>
      <c r="M79" s="1">
        <v>46059</v>
      </c>
    </row>
    <row r="80" spans="1:13" x14ac:dyDescent="0.25">
      <c r="A80" s="181">
        <v>46006</v>
      </c>
      <c r="B80" s="177" t="str">
        <v>24051-FS50</v>
      </c>
      <c r="C80" s="177" t="str">
        <v>TN Titans Stadium</v>
      </c>
      <c r="D80" s="177" t="str">
        <v>Marc Ribar</v>
      </c>
      <c r="E80" s="189">
        <v>124</v>
      </c>
      <c r="F80" s="189">
        <v>124</v>
      </c>
      <c r="G80" s="177" t="str">
        <v>RTS Titans</v>
      </c>
      <c r="H80" s="191">
        <f t="shared" si="1"/>
        <v>3</v>
      </c>
      <c r="M80" s="1">
        <v>46062</v>
      </c>
    </row>
    <row r="81" spans="1:13" x14ac:dyDescent="0.25">
      <c r="A81" s="181">
        <v>46006</v>
      </c>
      <c r="B81" s="177" t="str">
        <v>24051-FS50C</v>
      </c>
      <c r="C81" s="177" t="str">
        <v>TN Titans Stadium</v>
      </c>
      <c r="D81" s="177" t="str">
        <v>Marc Ribar</v>
      </c>
      <c r="E81" s="189">
        <v>24</v>
      </c>
      <c r="F81" s="189">
        <v>24</v>
      </c>
      <c r="G81" s="177" t="str">
        <v>RTS Titans</v>
      </c>
      <c r="H81" s="191">
        <f t="shared" si="1"/>
        <v>3</v>
      </c>
      <c r="M81" s="1">
        <v>46063</v>
      </c>
    </row>
    <row r="82" spans="1:13" x14ac:dyDescent="0.25">
      <c r="A82" s="181">
        <v>46008</v>
      </c>
      <c r="B82" s="177" t="str">
        <v>25029-FL97</v>
      </c>
      <c r="C82" s="177" t="str">
        <v>Lourdes CC Phase 2</v>
      </c>
      <c r="D82" s="177" t="str">
        <v>Dillon Bowman</v>
      </c>
      <c r="E82" s="189">
        <v>0</v>
      </c>
      <c r="F82" s="189">
        <v>1</v>
      </c>
      <c r="G82" s="177" t="str">
        <v>Ready to Ship</v>
      </c>
      <c r="H82" s="191">
        <f t="shared" si="1"/>
        <v>1</v>
      </c>
      <c r="M82" s="1">
        <v>46064</v>
      </c>
    </row>
    <row r="83" spans="1:13" x14ac:dyDescent="0.25">
      <c r="A83" s="181">
        <v>46021</v>
      </c>
      <c r="B83" s="177" t="str">
        <v>25040-FL01</v>
      </c>
      <c r="C83" s="177" t="str">
        <v>Moses Lincoln Vitrine</v>
      </c>
      <c r="D83" s="177" t="str">
        <v>Laura Forero</v>
      </c>
      <c r="E83" s="189">
        <v>0</v>
      </c>
      <c r="F83" s="189">
        <v>1</v>
      </c>
      <c r="G83" s="177" t="str">
        <v>Ready to Ship</v>
      </c>
      <c r="H83" s="191">
        <f t="shared" si="1"/>
        <v>1</v>
      </c>
      <c r="M83" s="1">
        <v>46065</v>
      </c>
    </row>
    <row r="84" spans="1:13" x14ac:dyDescent="0.25">
      <c r="A84" s="181">
        <v>46024</v>
      </c>
      <c r="B84" s="177" t="str">
        <v>24051-FS59</v>
      </c>
      <c r="C84" s="177" t="str">
        <v>TN Titans Stadium</v>
      </c>
      <c r="D84" s="177" t="str">
        <v>Marc Ribar</v>
      </c>
      <c r="E84" s="189">
        <v>158</v>
      </c>
      <c r="F84" s="189">
        <v>158</v>
      </c>
      <c r="G84" s="177" t="str">
        <v>RTS Titans</v>
      </c>
      <c r="H84" s="191">
        <f t="shared" si="1"/>
        <v>1</v>
      </c>
      <c r="M84" s="1">
        <v>46066</v>
      </c>
    </row>
    <row r="85" spans="1:13" x14ac:dyDescent="0.25">
      <c r="A85" s="181">
        <v>46027</v>
      </c>
      <c r="B85" s="177" t="str">
        <v>25007-BM03</v>
      </c>
      <c r="C85" s="177" t="str">
        <v>QTS ATL2 DC10</v>
      </c>
      <c r="D85" s="177" t="str">
        <v>Nick Akins</v>
      </c>
      <c r="E85" s="189">
        <v>0</v>
      </c>
      <c r="F85" s="189">
        <v>80</v>
      </c>
      <c r="G85" s="177" t="str">
        <v>Ready to Ship</v>
      </c>
      <c r="H85" s="191">
        <f t="shared" si="1"/>
        <v>2</v>
      </c>
      <c r="M85" s="1">
        <v>46069</v>
      </c>
    </row>
    <row r="86" spans="1:13" x14ac:dyDescent="0.25">
      <c r="A86" s="181">
        <v>46027</v>
      </c>
      <c r="B86" s="177" t="str">
        <v>25052-BM01</v>
      </c>
      <c r="C86" s="177" t="str">
        <v>TEMA Warehouse</v>
      </c>
      <c r="D86" s="177" t="str">
        <v>Andre Van Der Merwe</v>
      </c>
      <c r="E86" s="189">
        <v>0</v>
      </c>
      <c r="F86" s="189">
        <v>16</v>
      </c>
      <c r="G86" s="177" t="str">
        <v>Ready to Ship</v>
      </c>
      <c r="H86" s="191">
        <f t="shared" si="1"/>
        <v>2</v>
      </c>
      <c r="M86" s="1">
        <v>46071</v>
      </c>
    </row>
    <row r="87" spans="1:13" x14ac:dyDescent="0.25">
      <c r="A87" s="181">
        <v>46028</v>
      </c>
      <c r="B87" s="177" t="str">
        <v>24051-FS51C</v>
      </c>
      <c r="C87" s="177" t="str">
        <v>TN Titans Stadium</v>
      </c>
      <c r="D87" s="177" t="str">
        <v>Marc Ribar</v>
      </c>
      <c r="E87" s="189">
        <v>40</v>
      </c>
      <c r="F87" s="189">
        <v>40</v>
      </c>
      <c r="G87" s="177" t="str">
        <v>RTS Titans</v>
      </c>
      <c r="H87" s="191">
        <f t="shared" si="1"/>
        <v>1</v>
      </c>
      <c r="M87" s="1">
        <v>46072</v>
      </c>
    </row>
    <row r="88" spans="1:13" x14ac:dyDescent="0.25">
      <c r="A88" s="181">
        <v>46030</v>
      </c>
      <c r="B88" s="177" t="str">
        <v>24051-FS51</v>
      </c>
      <c r="C88" s="177" t="str">
        <v>TN Titans Stadium</v>
      </c>
      <c r="D88" s="177" t="str">
        <v>Marc Ribar</v>
      </c>
      <c r="E88" s="189">
        <v>120</v>
      </c>
      <c r="F88" s="189">
        <v>120</v>
      </c>
      <c r="G88" s="177" t="str">
        <v>RTS Titans</v>
      </c>
      <c r="H88" s="191">
        <f t="shared" si="1"/>
        <v>1</v>
      </c>
      <c r="M88" s="1">
        <v>46073</v>
      </c>
    </row>
    <row r="89" spans="1:13" x14ac:dyDescent="0.25">
      <c r="A89" s="181">
        <v>46035</v>
      </c>
      <c r="B89" s="177" t="str">
        <v>24051-FS52C</v>
      </c>
      <c r="C89" s="177" t="str">
        <v>TN Titans Stadium</v>
      </c>
      <c r="D89" s="177" t="str">
        <v>Marc Ribar</v>
      </c>
      <c r="E89" s="189">
        <v>70</v>
      </c>
      <c r="F89" s="189">
        <v>70</v>
      </c>
      <c r="G89" s="177" t="str">
        <v>RTS Titans</v>
      </c>
      <c r="H89" s="191">
        <f t="shared" si="1"/>
        <v>2</v>
      </c>
      <c r="M89" s="1">
        <v>46076</v>
      </c>
    </row>
    <row r="90" spans="1:13" x14ac:dyDescent="0.25">
      <c r="A90" s="181">
        <v>46035</v>
      </c>
      <c r="B90" s="177" t="str">
        <v>24051-FS52</v>
      </c>
      <c r="C90" s="177" t="str">
        <v>TN Titans Stadium</v>
      </c>
      <c r="D90" s="177" t="str">
        <v>Marc Ribar</v>
      </c>
      <c r="E90" s="189">
        <v>210</v>
      </c>
      <c r="F90" s="189">
        <v>210</v>
      </c>
      <c r="G90" s="177" t="str">
        <v>RTS Titans</v>
      </c>
      <c r="H90" s="191">
        <f t="shared" si="1"/>
        <v>2</v>
      </c>
      <c r="M90" s="1">
        <v>46078</v>
      </c>
    </row>
    <row r="91" spans="1:13" x14ac:dyDescent="0.25">
      <c r="A91" s="181">
        <v>46036</v>
      </c>
      <c r="B91" s="177" t="str">
        <v>25017-FL99</v>
      </c>
      <c r="C91" s="177" t="str">
        <v>Nashville Yards Park</v>
      </c>
      <c r="D91" s="177" t="str">
        <v>Dillon Bowman</v>
      </c>
      <c r="E91" s="189">
        <v>0</v>
      </c>
      <c r="F91" s="189">
        <v>2</v>
      </c>
      <c r="G91" s="177" t="str">
        <v>Ready to Ship</v>
      </c>
      <c r="H91" s="191">
        <f t="shared" si="1"/>
        <v>1</v>
      </c>
      <c r="M91" s="1">
        <v>46079</v>
      </c>
    </row>
    <row r="92" spans="1:13" x14ac:dyDescent="0.25">
      <c r="A92" s="181">
        <v>46037</v>
      </c>
      <c r="B92" s="177" t="str">
        <v>25052-FL01</v>
      </c>
      <c r="C92" s="177" t="str">
        <v>TEMA Warehouse</v>
      </c>
      <c r="D92" s="177" t="str">
        <v>Andre Van Der Merwe</v>
      </c>
      <c r="E92" s="189">
        <v>0</v>
      </c>
      <c r="F92" s="189">
        <v>10</v>
      </c>
      <c r="G92" s="177" t="str">
        <v>Ready to Ship</v>
      </c>
      <c r="H92" s="191">
        <f t="shared" si="1"/>
        <v>1</v>
      </c>
      <c r="M92" s="1">
        <v>46080</v>
      </c>
    </row>
    <row r="93" spans="1:13" x14ac:dyDescent="0.25">
      <c r="A93" s="181">
        <v>46038</v>
      </c>
      <c r="B93" s="177" t="str">
        <v>23028-FS99</v>
      </c>
      <c r="C93" s="177" t="str">
        <v>1000 Church YMCA</v>
      </c>
      <c r="D93" s="177" t="str">
        <v>Dillon Bowman</v>
      </c>
      <c r="E93" s="189">
        <v>1</v>
      </c>
      <c r="F93" s="189">
        <v>1</v>
      </c>
      <c r="G93" s="177" t="str">
        <v>Ready to Ship</v>
      </c>
      <c r="H93" s="191">
        <f t="shared" si="1"/>
        <v>1</v>
      </c>
      <c r="M93" s="1">
        <v>46083</v>
      </c>
    </row>
    <row r="94" spans="1:13" x14ac:dyDescent="0.25">
      <c r="A94" s="181">
        <v>46041</v>
      </c>
      <c r="B94" s="177" t="str">
        <v>24051-FS67</v>
      </c>
      <c r="C94" s="177" t="str">
        <v>TN Titans Stadium</v>
      </c>
      <c r="D94" s="177" t="str">
        <v>Marc Ribar</v>
      </c>
      <c r="E94" s="189">
        <v>14</v>
      </c>
      <c r="F94" s="189">
        <v>14</v>
      </c>
      <c r="G94" s="177" t="str">
        <v>RTS Titans</v>
      </c>
      <c r="H94" s="191">
        <f t="shared" si="1"/>
        <v>1</v>
      </c>
      <c r="M94" s="1">
        <v>46084</v>
      </c>
    </row>
    <row r="95" spans="1:13" x14ac:dyDescent="0.25">
      <c r="A95" s="181">
        <v>46042</v>
      </c>
      <c r="B95" s="177" t="str">
        <v>25017-ST02</v>
      </c>
      <c r="C95" s="177" t="str">
        <v>Nashville Yards Park</v>
      </c>
      <c r="D95" s="177" t="str">
        <v>Dillon Bowman</v>
      </c>
      <c r="E95" s="189">
        <v>0</v>
      </c>
      <c r="F95" s="189">
        <v>16</v>
      </c>
      <c r="G95" s="177" t="str">
        <v>QC</v>
      </c>
      <c r="H95" s="191">
        <f t="shared" si="1"/>
        <v>1</v>
      </c>
      <c r="M95" s="1">
        <v>46085</v>
      </c>
    </row>
    <row r="96" spans="1:13" x14ac:dyDescent="0.25">
      <c r="A96" s="181">
        <v>46043</v>
      </c>
      <c r="B96" s="177" t="str">
        <v>24051-FS54</v>
      </c>
      <c r="C96" s="177" t="str">
        <v>TN Titans Stadium</v>
      </c>
      <c r="D96" s="177" t="str">
        <v>Marc Ribar</v>
      </c>
      <c r="E96" s="189">
        <v>149</v>
      </c>
      <c r="F96" s="189">
        <v>149</v>
      </c>
      <c r="G96" s="177" t="str">
        <v>RTS Titans</v>
      </c>
      <c r="H96" s="191">
        <f t="shared" si="1"/>
        <v>3</v>
      </c>
      <c r="M96" s="1">
        <v>46087</v>
      </c>
    </row>
    <row r="97" spans="1:13" x14ac:dyDescent="0.25">
      <c r="A97" s="181">
        <v>46043</v>
      </c>
      <c r="B97" s="177" t="str">
        <v>24051-FS53</v>
      </c>
      <c r="C97" s="177" t="str">
        <v>TN Titans Stadium</v>
      </c>
      <c r="D97" s="177" t="str">
        <v>Marc Ribar</v>
      </c>
      <c r="E97" s="189">
        <v>48</v>
      </c>
      <c r="F97" s="189">
        <v>48</v>
      </c>
      <c r="G97" s="177" t="str">
        <v>RTS Titans</v>
      </c>
      <c r="H97" s="191">
        <f t="shared" si="1"/>
        <v>3</v>
      </c>
      <c r="M97" s="1">
        <v>46093</v>
      </c>
    </row>
    <row r="98" spans="1:13" x14ac:dyDescent="0.25">
      <c r="A98" s="181">
        <v>46043</v>
      </c>
      <c r="B98" s="177" t="str">
        <v>24019-RO07</v>
      </c>
      <c r="C98" s="177" t="str">
        <v>QTS PJC1 DC1</v>
      </c>
      <c r="D98" s="177" t="str">
        <v>Dillon Bowman</v>
      </c>
      <c r="E98" s="189">
        <v>4</v>
      </c>
      <c r="F98" s="189">
        <v>4</v>
      </c>
      <c r="G98" s="177" t="str">
        <v>Ready to Ship</v>
      </c>
      <c r="H98" s="191">
        <f t="shared" si="1"/>
        <v>3</v>
      </c>
      <c r="M98" s="1">
        <v>46094</v>
      </c>
    </row>
    <row r="99" spans="1:13" x14ac:dyDescent="0.25">
      <c r="A99" s="181">
        <v>46044</v>
      </c>
      <c r="B99" s="177" t="str">
        <v>26014-02-ST01</v>
      </c>
      <c r="C99" s="177" t="str">
        <v>2026 R &amp; D</v>
      </c>
      <c r="D99" s="177" t="str">
        <v>TBC</v>
      </c>
      <c r="E99" s="189">
        <v>0</v>
      </c>
      <c r="F99" s="189">
        <v>10</v>
      </c>
      <c r="G99" s="177" t="str">
        <v>QC</v>
      </c>
      <c r="H99" s="191">
        <f t="shared" si="1"/>
        <v>2</v>
      </c>
      <c r="M99" s="1">
        <v>46097</v>
      </c>
    </row>
    <row r="100" spans="1:13" x14ac:dyDescent="0.25">
      <c r="A100" s="181">
        <v>46044</v>
      </c>
      <c r="B100" s="177" t="str">
        <v>24051-FS55</v>
      </c>
      <c r="C100" s="177" t="str">
        <v>TN Titans Stadium</v>
      </c>
      <c r="D100" s="177" t="str">
        <v>Marc Ribar</v>
      </c>
      <c r="E100" s="189">
        <v>149</v>
      </c>
      <c r="F100" s="189">
        <v>149</v>
      </c>
      <c r="G100" s="177" t="str">
        <v>RTS Titans</v>
      </c>
      <c r="H100" s="191">
        <f t="shared" si="1"/>
        <v>2</v>
      </c>
      <c r="M100" s="1">
        <v>46101</v>
      </c>
    </row>
    <row r="101" spans="1:13" x14ac:dyDescent="0.25">
      <c r="A101" s="181">
        <v>46048</v>
      </c>
      <c r="B101" s="177" t="str">
        <v>24071-FS10.R</v>
      </c>
      <c r="C101" s="177" t="str">
        <v>RS Gass State Lab</v>
      </c>
      <c r="D101" s="177" t="str">
        <v>Cole Norona</v>
      </c>
      <c r="E101" s="189">
        <v>0</v>
      </c>
      <c r="F101" s="189">
        <v>0</v>
      </c>
      <c r="G101" s="177" t="str">
        <v>Ready to Ship</v>
      </c>
      <c r="H101" s="191">
        <f t="shared" si="1"/>
        <v>1</v>
      </c>
      <c r="M101" s="1">
        <v>46104</v>
      </c>
    </row>
    <row r="102" spans="1:13" x14ac:dyDescent="0.25">
      <c r="A102" s="181">
        <v>46052</v>
      </c>
      <c r="B102" s="177" t="str">
        <v>24051-FS56</v>
      </c>
      <c r="C102" s="177" t="str">
        <v>TN Titans Stadium</v>
      </c>
      <c r="D102" s="177" t="str">
        <v>Marc Ribar</v>
      </c>
      <c r="E102" s="189">
        <v>149</v>
      </c>
      <c r="F102" s="189">
        <v>149</v>
      </c>
      <c r="G102" s="177" t="str">
        <v>RTS Titans</v>
      </c>
      <c r="H102" s="191">
        <f t="shared" si="1"/>
        <v>2</v>
      </c>
      <c r="M102" s="1">
        <v>46105</v>
      </c>
    </row>
    <row r="103" spans="1:13" x14ac:dyDescent="0.25">
      <c r="A103" s="181">
        <v>46052</v>
      </c>
      <c r="B103" s="177" t="str">
        <v>24030-FL02</v>
      </c>
      <c r="C103" s="177" t="str">
        <v>Vantage TX-21</v>
      </c>
      <c r="D103" s="177" t="str">
        <v>Chris Buttrey</v>
      </c>
      <c r="E103" s="189">
        <v>0</v>
      </c>
      <c r="F103" s="189">
        <v>265</v>
      </c>
      <c r="G103" s="177" t="str">
        <v>Partially Shipped</v>
      </c>
      <c r="H103" s="191">
        <f t="shared" si="1"/>
        <v>2</v>
      </c>
      <c r="M103" s="1">
        <v>46107</v>
      </c>
    </row>
    <row r="104" spans="1:13" x14ac:dyDescent="0.25">
      <c r="A104" s="181">
        <v>46055</v>
      </c>
      <c r="B104" s="177" t="str">
        <v>24051-FS46.1</v>
      </c>
      <c r="C104" s="177" t="str">
        <v>TN Titans Stadium</v>
      </c>
      <c r="D104" s="177" t="str">
        <v>Marc Ribar</v>
      </c>
      <c r="E104" s="189">
        <v>56</v>
      </c>
      <c r="F104" s="189">
        <v>56</v>
      </c>
      <c r="G104" s="177" t="str">
        <v>RTS Titans</v>
      </c>
      <c r="H104" s="191">
        <f t="shared" si="1"/>
        <v>5</v>
      </c>
      <c r="M104" s="1">
        <v>46108</v>
      </c>
    </row>
    <row r="105" spans="1:13" x14ac:dyDescent="0.25">
      <c r="A105" s="181">
        <v>46055</v>
      </c>
      <c r="B105" s="177" t="str">
        <v>24051-FS72</v>
      </c>
      <c r="C105" s="177" t="str">
        <v>TN Titans Stadium</v>
      </c>
      <c r="D105" s="177" t="str">
        <v>Marc Ribar</v>
      </c>
      <c r="E105" s="189">
        <v>104</v>
      </c>
      <c r="F105" s="189">
        <v>104</v>
      </c>
      <c r="G105" s="177" t="str">
        <v>RTS Titans</v>
      </c>
      <c r="H105" s="191">
        <f t="shared" si="1"/>
        <v>5</v>
      </c>
      <c r="M105" s="1">
        <v>46111</v>
      </c>
    </row>
    <row r="106" spans="1:13" x14ac:dyDescent="0.25">
      <c r="A106" s="181">
        <v>46055</v>
      </c>
      <c r="B106" s="177" t="str">
        <v>24051-FS73</v>
      </c>
      <c r="C106" s="177" t="str">
        <v>TN Titans Stadium</v>
      </c>
      <c r="D106" s="177" t="str">
        <v>Marc Ribar</v>
      </c>
      <c r="E106" s="189">
        <v>66</v>
      </c>
      <c r="F106" s="189">
        <v>66</v>
      </c>
      <c r="G106" s="177" t="str">
        <v>RTS Titans</v>
      </c>
      <c r="H106" s="191">
        <f t="shared" si="1"/>
        <v>5</v>
      </c>
      <c r="M106" s="1">
        <v>46112</v>
      </c>
    </row>
    <row r="107" spans="1:13" x14ac:dyDescent="0.25">
      <c r="A107" s="181">
        <v>46055</v>
      </c>
      <c r="B107" s="177" t="str">
        <v>24051-FS56C</v>
      </c>
      <c r="C107" s="177" t="str">
        <v>TN Titans Stadium</v>
      </c>
      <c r="D107" s="177" t="str">
        <v>Marc Ribar</v>
      </c>
      <c r="E107" s="189">
        <v>149</v>
      </c>
      <c r="F107" s="189">
        <v>149</v>
      </c>
      <c r="G107" s="177" t="str">
        <v>RTS Titans</v>
      </c>
      <c r="H107" s="191">
        <f t="shared" si="1"/>
        <v>5</v>
      </c>
      <c r="M107" s="1">
        <v>46115</v>
      </c>
    </row>
    <row r="108" spans="1:13" x14ac:dyDescent="0.25">
      <c r="A108" s="181">
        <v>46055</v>
      </c>
      <c r="B108" s="177" t="str">
        <v>24051-FS74</v>
      </c>
      <c r="C108" s="177" t="str">
        <v>TN Titans Stadium</v>
      </c>
      <c r="D108" s="177" t="str">
        <v>Marc Ribar</v>
      </c>
      <c r="E108" s="189">
        <v>39</v>
      </c>
      <c r="F108" s="189">
        <v>39</v>
      </c>
      <c r="G108" s="177" t="str">
        <v>RTS Titans</v>
      </c>
      <c r="H108" s="191">
        <f t="shared" si="1"/>
        <v>5</v>
      </c>
      <c r="M108" s="1">
        <v>46118</v>
      </c>
    </row>
    <row r="109" spans="1:13" x14ac:dyDescent="0.25">
      <c r="A109" s="181">
        <v>46058</v>
      </c>
      <c r="B109" s="177" t="str">
        <v>24051-FS25.1 FM</v>
      </c>
      <c r="C109" s="177" t="str">
        <v>TN Titans Stadium</v>
      </c>
      <c r="D109" s="177" t="str">
        <v>Marc Ribar</v>
      </c>
      <c r="E109" s="189">
        <v>2</v>
      </c>
      <c r="F109" s="189">
        <v>2</v>
      </c>
      <c r="G109" s="177" t="str">
        <v>RTS Titans</v>
      </c>
      <c r="H109" s="191">
        <f t="shared" si="1"/>
        <v>1</v>
      </c>
      <c r="M109" s="1">
        <v>46119</v>
      </c>
    </row>
    <row r="110" spans="1:13" x14ac:dyDescent="0.25">
      <c r="A110" s="181">
        <v>46059</v>
      </c>
      <c r="B110" s="177" t="str">
        <v>24051-BM02</v>
      </c>
      <c r="C110" s="177" t="str">
        <v>TN Titans Stadium</v>
      </c>
      <c r="D110" s="177" t="str">
        <v>Marc Ribar</v>
      </c>
      <c r="E110" s="189">
        <v>0</v>
      </c>
      <c r="F110" s="189">
        <v>141</v>
      </c>
      <c r="G110" s="177" t="str">
        <v>RTS Titans</v>
      </c>
      <c r="H110" s="191">
        <f t="shared" si="1"/>
        <v>1</v>
      </c>
      <c r="M110" s="1">
        <v>46120</v>
      </c>
    </row>
    <row r="111" spans="1:13" x14ac:dyDescent="0.25">
      <c r="A111" s="181">
        <v>46062</v>
      </c>
      <c r="B111" s="177" t="str">
        <v>24051-FS221</v>
      </c>
      <c r="C111" s="177" t="str">
        <v>TN Titans Stadium</v>
      </c>
      <c r="D111" s="177" t="str">
        <v>Marc Ribar</v>
      </c>
      <c r="E111" s="189">
        <v>13</v>
      </c>
      <c r="F111" s="189">
        <v>13</v>
      </c>
      <c r="G111" s="177" t="str">
        <v>RTS Titans</v>
      </c>
      <c r="H111" s="191">
        <f t="shared" si="1"/>
        <v>5</v>
      </c>
      <c r="M111" s="1">
        <v>46122</v>
      </c>
    </row>
    <row r="112" spans="1:13" x14ac:dyDescent="0.25">
      <c r="A112" s="181">
        <v>46062</v>
      </c>
      <c r="B112" s="177" t="str">
        <v>24051-FS43.1</v>
      </c>
      <c r="C112" s="177" t="str">
        <v>TN Titans Stadium</v>
      </c>
      <c r="D112" s="177" t="str">
        <v>Marc Ribar</v>
      </c>
      <c r="E112" s="189">
        <v>30</v>
      </c>
      <c r="F112" s="189">
        <v>30</v>
      </c>
      <c r="G112" s="177" t="str">
        <v>RTS Titans</v>
      </c>
      <c r="H112" s="191">
        <f t="shared" si="1"/>
        <v>5</v>
      </c>
      <c r="M112" s="1">
        <v>46125</v>
      </c>
    </row>
    <row r="113" spans="1:13" x14ac:dyDescent="0.25">
      <c r="A113" s="181">
        <v>46062</v>
      </c>
      <c r="B113" s="177" t="str">
        <v>24051-FS16C</v>
      </c>
      <c r="C113" s="177" t="str">
        <v>TN Titans Stadium</v>
      </c>
      <c r="D113" s="177" t="str">
        <v>Marc Ribar</v>
      </c>
      <c r="E113" s="189">
        <v>27</v>
      </c>
      <c r="F113" s="189">
        <v>27</v>
      </c>
      <c r="G113" s="177" t="str">
        <v>RTS Titans</v>
      </c>
      <c r="H113" s="191">
        <f t="shared" si="1"/>
        <v>5</v>
      </c>
      <c r="M113" s="1">
        <v>46126</v>
      </c>
    </row>
    <row r="114" spans="1:13" x14ac:dyDescent="0.25">
      <c r="A114" s="181">
        <v>46062</v>
      </c>
      <c r="B114" s="177" t="str">
        <v>24051-FS76</v>
      </c>
      <c r="C114" s="177" t="str">
        <v>TN Titans Stadium</v>
      </c>
      <c r="D114" s="177" t="str">
        <v>Marc Ribar</v>
      </c>
      <c r="E114" s="189">
        <v>152</v>
      </c>
      <c r="F114" s="189">
        <v>152</v>
      </c>
      <c r="G114" s="177" t="str">
        <v>RTS Titans</v>
      </c>
      <c r="H114" s="191">
        <f t="shared" si="1"/>
        <v>5</v>
      </c>
      <c r="M114" s="1">
        <v>46127</v>
      </c>
    </row>
    <row r="115" spans="1:13" x14ac:dyDescent="0.25">
      <c r="A115" s="181">
        <v>46062</v>
      </c>
      <c r="B115" s="177" t="str">
        <v>24051-FS77</v>
      </c>
      <c r="C115" s="177" t="str">
        <v>TN Titans Stadium</v>
      </c>
      <c r="D115" s="177" t="str">
        <v>Marc Ribar</v>
      </c>
      <c r="E115" s="189">
        <v>209</v>
      </c>
      <c r="F115" s="189">
        <v>209</v>
      </c>
      <c r="G115" s="177" t="str">
        <v>RTS Titans</v>
      </c>
      <c r="H115" s="191">
        <f t="shared" si="1"/>
        <v>5</v>
      </c>
      <c r="M115" s="1">
        <v>46128</v>
      </c>
    </row>
    <row r="116" spans="1:13" x14ac:dyDescent="0.25">
      <c r="A116" s="181">
        <v>46063</v>
      </c>
      <c r="B116" s="177" t="str">
        <v>24039-FS14</v>
      </c>
      <c r="C116" s="177" t="str">
        <v>The Visionary</v>
      </c>
      <c r="D116" s="177" t="str">
        <v>Carlos Silva</v>
      </c>
      <c r="E116" s="189">
        <v>176</v>
      </c>
      <c r="F116" s="189">
        <v>197</v>
      </c>
      <c r="G116" s="177" t="str">
        <v>Partially Shipped</v>
      </c>
      <c r="H116" s="191">
        <f t="shared" si="1"/>
        <v>1</v>
      </c>
      <c r="M116" s="1">
        <v>46129</v>
      </c>
    </row>
    <row r="117" spans="1:13" x14ac:dyDescent="0.25">
      <c r="A117" s="181">
        <v>46064</v>
      </c>
      <c r="B117" s="177" t="str">
        <v>24051-FS58</v>
      </c>
      <c r="C117" s="177" t="str">
        <v>TN Titans Stadium</v>
      </c>
      <c r="D117" s="177" t="str">
        <v>Marc Ribar</v>
      </c>
      <c r="E117" s="189">
        <v>158</v>
      </c>
      <c r="F117" s="189">
        <v>158</v>
      </c>
      <c r="G117" s="177" t="str">
        <v>RTS Titans</v>
      </c>
      <c r="H117" s="191">
        <f t="shared" si="1"/>
        <v>1</v>
      </c>
      <c r="M117" s="1">
        <v>46132</v>
      </c>
    </row>
    <row r="118" spans="1:13" x14ac:dyDescent="0.25">
      <c r="A118" s="181">
        <v>46065</v>
      </c>
      <c r="B118" s="177" t="str">
        <v>24051-FS57</v>
      </c>
      <c r="C118" s="177" t="str">
        <v>TN Titans Stadium</v>
      </c>
      <c r="D118" s="177" t="str">
        <v>Marc Ribar</v>
      </c>
      <c r="E118" s="189">
        <v>158</v>
      </c>
      <c r="F118" s="189">
        <v>158</v>
      </c>
      <c r="G118" s="177" t="str">
        <v>RTS Titans</v>
      </c>
      <c r="H118" s="191">
        <f t="shared" si="1"/>
        <v>2</v>
      </c>
      <c r="M118" s="1">
        <v>46136</v>
      </c>
    </row>
    <row r="119" spans="1:13" x14ac:dyDescent="0.25">
      <c r="A119" s="181">
        <v>46065</v>
      </c>
      <c r="B119" s="177" t="str">
        <v>24039-FS15</v>
      </c>
      <c r="C119" s="177" t="str">
        <v>The Visionary</v>
      </c>
      <c r="D119" s="177" t="str">
        <v>Carlos Silva</v>
      </c>
      <c r="E119" s="189">
        <v>73</v>
      </c>
      <c r="F119" s="189">
        <v>99</v>
      </c>
      <c r="G119" s="177" t="str">
        <v>Partially Shipped</v>
      </c>
      <c r="H119" s="191">
        <f t="shared" si="1"/>
        <v>2</v>
      </c>
      <c r="M119" s="1">
        <v>46140</v>
      </c>
    </row>
    <row r="120" spans="1:13" x14ac:dyDescent="0.25">
      <c r="A120" s="181">
        <v>46066</v>
      </c>
      <c r="B120" s="177" t="str">
        <v>24051-FS42.1</v>
      </c>
      <c r="C120" s="177" t="str">
        <v>TN Titans Stadium</v>
      </c>
      <c r="D120" s="177" t="str">
        <v>Marc Ribar</v>
      </c>
      <c r="E120" s="189">
        <v>98</v>
      </c>
      <c r="F120" s="189">
        <v>98</v>
      </c>
      <c r="G120" s="177" t="str">
        <v>RTS Titans</v>
      </c>
      <c r="H120" s="191">
        <f t="shared" si="1"/>
        <v>4</v>
      </c>
      <c r="M120" s="1">
        <v>46142</v>
      </c>
    </row>
    <row r="121" spans="1:13" x14ac:dyDescent="0.25">
      <c r="A121" s="181">
        <v>46066</v>
      </c>
      <c r="B121" s="177" t="str">
        <v>24051-FS75</v>
      </c>
      <c r="C121" s="177" t="str">
        <v>TN Titans Stadium</v>
      </c>
      <c r="D121" s="177" t="str">
        <v>Marc Ribar</v>
      </c>
      <c r="E121" s="189">
        <v>83</v>
      </c>
      <c r="F121" s="189">
        <v>83</v>
      </c>
      <c r="G121" s="177" t="str">
        <v>RTS Titans</v>
      </c>
      <c r="H121" s="191">
        <f t="shared" si="1"/>
        <v>4</v>
      </c>
      <c r="M121" s="1">
        <v>46143</v>
      </c>
    </row>
    <row r="122" spans="1:13" x14ac:dyDescent="0.25">
      <c r="A122" s="181">
        <v>46066</v>
      </c>
      <c r="B122" s="177" t="str">
        <v>24051-FS78</v>
      </c>
      <c r="C122" s="177" t="str">
        <v>TN Titans Stadium</v>
      </c>
      <c r="D122" s="177" t="str">
        <v>Marc Ribar</v>
      </c>
      <c r="E122" s="189">
        <v>180</v>
      </c>
      <c r="F122" s="189">
        <v>180</v>
      </c>
      <c r="G122" s="177" t="str">
        <v>RTS Titans</v>
      </c>
      <c r="H122" s="191">
        <f t="shared" si="1"/>
        <v>4</v>
      </c>
      <c r="M122" s="1">
        <v>46146</v>
      </c>
    </row>
    <row r="123" spans="1:13" x14ac:dyDescent="0.25">
      <c r="A123" s="181">
        <v>46066</v>
      </c>
      <c r="B123" s="177" t="str">
        <v>24051-FS78.1</v>
      </c>
      <c r="C123" s="177" t="str">
        <v>TN Titans Stadium</v>
      </c>
      <c r="D123" s="177" t="str">
        <v>Marc Ribar</v>
      </c>
      <c r="E123" s="189">
        <v>168</v>
      </c>
      <c r="F123" s="189">
        <v>168</v>
      </c>
      <c r="G123" s="177" t="str">
        <v>RTS Titans</v>
      </c>
      <c r="H123" s="191">
        <f t="shared" si="1"/>
        <v>4</v>
      </c>
      <c r="M123" s="1">
        <v>46147</v>
      </c>
    </row>
    <row r="124" spans="1:13" x14ac:dyDescent="0.25">
      <c r="A124" s="181">
        <v>46069</v>
      </c>
      <c r="B124" s="177" t="str">
        <v>24051-FS59C</v>
      </c>
      <c r="C124" s="177" t="str">
        <v>TN Titans Stadium</v>
      </c>
      <c r="D124" s="177" t="str">
        <v>Marc Ribar</v>
      </c>
      <c r="E124" s="189">
        <v>158</v>
      </c>
      <c r="F124" s="189">
        <v>158</v>
      </c>
      <c r="G124" s="177" t="str">
        <v>RTS Titans</v>
      </c>
      <c r="H124" s="191">
        <f t="shared" si="1"/>
        <v>2</v>
      </c>
      <c r="M124" s="1">
        <v>46149</v>
      </c>
    </row>
    <row r="125" spans="1:13" x14ac:dyDescent="0.25">
      <c r="A125" s="181">
        <v>46069</v>
      </c>
      <c r="B125" s="177" t="str">
        <v>24026-BM01</v>
      </c>
      <c r="C125" s="177" t="str">
        <v>1740 Division</v>
      </c>
      <c r="D125" s="177" t="str">
        <v>Chris Buttrey</v>
      </c>
      <c r="E125" s="189">
        <v>0</v>
      </c>
      <c r="F125" s="189">
        <v>200</v>
      </c>
      <c r="G125" s="177" t="str">
        <v>Ready to Ship</v>
      </c>
      <c r="H125" s="191">
        <f t="shared" si="1"/>
        <v>2</v>
      </c>
      <c r="M125" s="1">
        <v>46153</v>
      </c>
    </row>
    <row r="126" spans="1:13" x14ac:dyDescent="0.25">
      <c r="A126" s="181">
        <v>46071</v>
      </c>
      <c r="B126" s="177" t="str">
        <v>25008-FS05</v>
      </c>
      <c r="C126" s="177" t="str">
        <v>Columbia State Tech Center</v>
      </c>
      <c r="D126" s="177" t="str">
        <v>Laura Forero</v>
      </c>
      <c r="E126" s="189">
        <v>101</v>
      </c>
      <c r="F126" s="189">
        <v>101</v>
      </c>
      <c r="G126" s="177" t="str">
        <v>Shipped To Painter</v>
      </c>
      <c r="H126" s="191">
        <f t="shared" si="1"/>
        <v>1</v>
      </c>
      <c r="M126" s="1">
        <v>46156</v>
      </c>
    </row>
    <row r="127" spans="1:13" x14ac:dyDescent="0.25">
      <c r="A127" s="181">
        <v>46072</v>
      </c>
      <c r="B127" s="177" t="str">
        <v>24079-BM04C</v>
      </c>
      <c r="C127" s="177" t="str">
        <v>Nashville Youth Campus</v>
      </c>
      <c r="D127" s="177" t="str">
        <v>Joe Hoyle</v>
      </c>
      <c r="E127" s="189">
        <v>0</v>
      </c>
      <c r="F127" s="189">
        <v>3600</v>
      </c>
      <c r="G127" s="177" t="str">
        <v>Shear</v>
      </c>
      <c r="H127" s="191">
        <f t="shared" si="1"/>
        <v>4</v>
      </c>
      <c r="M127" s="1">
        <v>46157</v>
      </c>
    </row>
    <row r="128" spans="1:13" x14ac:dyDescent="0.25">
      <c r="A128" s="181">
        <v>46072</v>
      </c>
      <c r="B128" s="177" t="str">
        <v>24079-FL07</v>
      </c>
      <c r="C128" s="177" t="str">
        <v>Nashville Youth Campus</v>
      </c>
      <c r="D128" s="177" t="str">
        <v>Joe Hoyle</v>
      </c>
      <c r="E128" s="189">
        <v>0</v>
      </c>
      <c r="F128" s="189">
        <v>220</v>
      </c>
      <c r="G128" s="177" t="str">
        <v>Ready to Ship</v>
      </c>
      <c r="H128" s="191">
        <f t="shared" si="1"/>
        <v>4</v>
      </c>
      <c r="M128" s="1">
        <v>46160</v>
      </c>
    </row>
    <row r="129" spans="1:13" x14ac:dyDescent="0.25">
      <c r="A129" s="181">
        <v>46072</v>
      </c>
      <c r="B129" s="177" t="str">
        <v>24079-FL08</v>
      </c>
      <c r="C129" s="177" t="str">
        <v>Nashville Youth Campus</v>
      </c>
      <c r="D129" s="177" t="str">
        <v>Joe Hoyle</v>
      </c>
      <c r="E129" s="189">
        <v>0</v>
      </c>
      <c r="F129" s="189">
        <v>160</v>
      </c>
      <c r="G129" s="177" t="str">
        <v>Ready to Ship</v>
      </c>
      <c r="H129" s="191">
        <f t="shared" si="1"/>
        <v>4</v>
      </c>
      <c r="M129" s="1">
        <v>46162</v>
      </c>
    </row>
    <row r="130" spans="1:13" x14ac:dyDescent="0.25">
      <c r="A130" s="181">
        <v>46072</v>
      </c>
      <c r="B130" s="177" t="str">
        <v>24079-FL09</v>
      </c>
      <c r="C130" s="177" t="str">
        <v>Nashville Youth Campus</v>
      </c>
      <c r="D130" s="177" t="str">
        <v>Joe Hoyle</v>
      </c>
      <c r="E130" s="189">
        <v>0</v>
      </c>
      <c r="F130" s="189">
        <v>295</v>
      </c>
      <c r="G130" s="177" t="str">
        <v>Ready to Ship</v>
      </c>
      <c r="H130" s="191">
        <f t="shared" si="1"/>
        <v>4</v>
      </c>
      <c r="M130" s="1">
        <v>46163</v>
      </c>
    </row>
    <row r="131" spans="1:13" x14ac:dyDescent="0.25">
      <c r="A131" s="181">
        <v>46073</v>
      </c>
      <c r="B131" s="177" t="str">
        <v>24081-FS01</v>
      </c>
      <c r="C131" s="177" t="str">
        <v>DLR DFW37</v>
      </c>
      <c r="D131" s="177" t="str">
        <v>Cole Norona</v>
      </c>
      <c r="E131" s="189">
        <v>109</v>
      </c>
      <c r="F131" s="189">
        <v>308</v>
      </c>
      <c r="G131" s="177" t="str">
        <v>Shipped To Painter</v>
      </c>
      <c r="H131" s="191">
        <f t="shared" si="1"/>
        <v>7</v>
      </c>
      <c r="M131" s="1">
        <v>46164</v>
      </c>
    </row>
    <row r="132" spans="1:13" x14ac:dyDescent="0.25">
      <c r="A132" s="181">
        <v>46073</v>
      </c>
      <c r="B132" s="177" t="str">
        <v>24081-FS02</v>
      </c>
      <c r="C132" s="177" t="str">
        <v>DLR DFW37</v>
      </c>
      <c r="D132" s="177" t="str">
        <v>Cole Norona</v>
      </c>
      <c r="E132" s="189">
        <v>123</v>
      </c>
      <c r="F132" s="189">
        <v>349</v>
      </c>
      <c r="G132" s="177" t="str">
        <v>Shipped To Painter</v>
      </c>
      <c r="H132" s="191">
        <f t="shared" si="1"/>
        <v>7</v>
      </c>
      <c r="M132" s="1">
        <v>46167</v>
      </c>
    </row>
    <row r="133" spans="1:13" x14ac:dyDescent="0.25">
      <c r="A133" s="181">
        <v>46073</v>
      </c>
      <c r="B133" s="177" t="str">
        <v>24081-FS03</v>
      </c>
      <c r="C133" s="177" t="str">
        <v>DLR DFW37</v>
      </c>
      <c r="D133" s="177" t="str">
        <v>Cole Norona</v>
      </c>
      <c r="E133" s="189">
        <v>24</v>
      </c>
      <c r="F133" s="189">
        <v>88</v>
      </c>
      <c r="G133" s="177" t="str">
        <v>Shipped To Painter</v>
      </c>
      <c r="H133" s="191">
        <f t="shared" si="1"/>
        <v>7</v>
      </c>
      <c r="M133" s="1">
        <v>46168</v>
      </c>
    </row>
    <row r="134" spans="1:13" x14ac:dyDescent="0.25">
      <c r="A134" s="181">
        <v>46073</v>
      </c>
      <c r="B134" s="177" t="str">
        <v>24081-FS04</v>
      </c>
      <c r="C134" s="177" t="str">
        <v>DLR DFW37</v>
      </c>
      <c r="D134" s="177" t="str">
        <v>Cole Norona</v>
      </c>
      <c r="E134" s="189">
        <v>94</v>
      </c>
      <c r="F134" s="189">
        <v>243</v>
      </c>
      <c r="G134" s="177" t="str">
        <v>Shipped To Painter</v>
      </c>
      <c r="H134" s="191">
        <f t="shared" ref="H134:H197" si="2">IF(A134&lt;&gt;"",COUNTIF($A$5:$A$300,A134),"")</f>
        <v>7</v>
      </c>
      <c r="M134" s="1">
        <v>46171</v>
      </c>
    </row>
    <row r="135" spans="1:13" x14ac:dyDescent="0.25">
      <c r="A135" s="181">
        <v>46073</v>
      </c>
      <c r="B135" s="177" t="str">
        <v>24081-FS05</v>
      </c>
      <c r="C135" s="177" t="str">
        <v>DLR DFW37</v>
      </c>
      <c r="D135" s="177" t="str">
        <v>Cole Norona</v>
      </c>
      <c r="E135" s="189">
        <v>111</v>
      </c>
      <c r="F135" s="189">
        <v>345</v>
      </c>
      <c r="G135" s="177" t="str">
        <v>Shipped To Painter</v>
      </c>
      <c r="H135" s="191">
        <f t="shared" si="2"/>
        <v>7</v>
      </c>
      <c r="M135" s="1">
        <v>46173</v>
      </c>
    </row>
    <row r="136" spans="1:13" x14ac:dyDescent="0.25">
      <c r="A136" s="181">
        <v>46073</v>
      </c>
      <c r="B136" s="177" t="str">
        <v>24081-FL01</v>
      </c>
      <c r="C136" s="177" t="str">
        <v>DLR DFW37</v>
      </c>
      <c r="D136" s="177" t="str">
        <v>Cole Norona</v>
      </c>
      <c r="E136" s="189">
        <v>0</v>
      </c>
      <c r="F136" s="189">
        <v>118</v>
      </c>
      <c r="G136" s="177" t="str">
        <v>Shipped To Painter</v>
      </c>
      <c r="H136" s="191">
        <f t="shared" si="2"/>
        <v>7</v>
      </c>
      <c r="M136" s="1">
        <v>46176</v>
      </c>
    </row>
    <row r="137" spans="1:13" x14ac:dyDescent="0.25">
      <c r="A137" s="181">
        <v>46073</v>
      </c>
      <c r="B137" s="177" t="str">
        <v>24051-FS78.2</v>
      </c>
      <c r="C137" s="177" t="str">
        <v>TN Titans Stadium</v>
      </c>
      <c r="D137" s="177" t="str">
        <v>Marc Ribar</v>
      </c>
      <c r="E137" s="189">
        <v>348</v>
      </c>
      <c r="F137" s="189">
        <v>348</v>
      </c>
      <c r="G137" s="177" t="str">
        <v>RTS Titans</v>
      </c>
      <c r="H137" s="191">
        <f t="shared" si="2"/>
        <v>7</v>
      </c>
      <c r="M137" s="1">
        <v>46181</v>
      </c>
    </row>
    <row r="138" spans="1:13" x14ac:dyDescent="0.25">
      <c r="A138" s="181">
        <v>46076</v>
      </c>
      <c r="B138" s="177" t="str">
        <v>24079-FS101</v>
      </c>
      <c r="C138" s="177" t="str">
        <v>Nashville Youth Campus</v>
      </c>
      <c r="D138" s="177" t="str">
        <v>Joe Hoyle</v>
      </c>
      <c r="E138" s="189">
        <v>173</v>
      </c>
      <c r="F138" s="189">
        <v>176</v>
      </c>
      <c r="G138" s="177" t="str">
        <v>Ready to Ship</v>
      </c>
      <c r="H138" s="191">
        <f t="shared" si="2"/>
        <v>2</v>
      </c>
      <c r="M138" s="1">
        <v>46183</v>
      </c>
    </row>
    <row r="139" spans="1:13" x14ac:dyDescent="0.25">
      <c r="A139" s="181">
        <v>46076</v>
      </c>
      <c r="B139" s="177" t="str">
        <v>24079-FS101.1</v>
      </c>
      <c r="C139" s="177" t="str">
        <v>Nashville Youth Campus</v>
      </c>
      <c r="D139" s="177" t="str">
        <v>Joe Hoyle</v>
      </c>
      <c r="E139" s="189">
        <v>163</v>
      </c>
      <c r="F139" s="189">
        <v>189</v>
      </c>
      <c r="G139" s="177" t="str">
        <v>Ready to Ship</v>
      </c>
      <c r="H139" s="191">
        <f t="shared" si="2"/>
        <v>2</v>
      </c>
      <c r="M139" s="1">
        <v>46185</v>
      </c>
    </row>
    <row r="140" spans="1:13" x14ac:dyDescent="0.25">
      <c r="A140" s="181">
        <v>46078</v>
      </c>
      <c r="B140" s="177" t="str">
        <v>25025-BM100</v>
      </c>
      <c r="C140" s="177" t="str">
        <v>QTS MAN1 DC6</v>
      </c>
      <c r="D140" s="177" t="str">
        <v>Dillon Bowman</v>
      </c>
      <c r="E140" s="189">
        <v>0</v>
      </c>
      <c r="F140" s="189">
        <v>870</v>
      </c>
      <c r="G140" s="177" t="str">
        <v>Shipped</v>
      </c>
      <c r="H140" s="191">
        <f t="shared" si="2"/>
        <v>1</v>
      </c>
      <c r="M140" s="1">
        <v>46192</v>
      </c>
    </row>
    <row r="141" spans="1:13" x14ac:dyDescent="0.25">
      <c r="A141" s="181">
        <v>46079</v>
      </c>
      <c r="B141" s="177" t="str">
        <v>25035-FS02.1</v>
      </c>
      <c r="C141" s="177" t="str">
        <v>Titans Jabez</v>
      </c>
      <c r="D141" s="177" t="str">
        <v>Marc Ribar</v>
      </c>
      <c r="E141" s="189">
        <v>0</v>
      </c>
      <c r="F141" s="189">
        <v>27</v>
      </c>
      <c r="G141" s="177" t="str">
        <v>RTS Titans</v>
      </c>
      <c r="H141" s="191">
        <f t="shared" si="2"/>
        <v>2</v>
      </c>
      <c r="M141" s="1">
        <v>46199</v>
      </c>
    </row>
    <row r="142" spans="1:13" x14ac:dyDescent="0.25">
      <c r="A142" s="181">
        <v>46079</v>
      </c>
      <c r="B142" s="177" t="str">
        <v>26014-03-ST01</v>
      </c>
      <c r="C142" s="177" t="str">
        <v>2026 R &amp; D</v>
      </c>
      <c r="D142" s="177" t="str">
        <v>TBC</v>
      </c>
      <c r="E142" s="189">
        <v>0</v>
      </c>
      <c r="F142" s="189">
        <v>3</v>
      </c>
      <c r="G142" s="177" t="str">
        <v>7000 TubeLaser 20</v>
      </c>
      <c r="H142" s="191">
        <f t="shared" si="2"/>
        <v>2</v>
      </c>
      <c r="M142" s="1">
        <v>46209</v>
      </c>
    </row>
    <row r="143" spans="1:13" x14ac:dyDescent="0.25">
      <c r="A143" s="181">
        <v>46080</v>
      </c>
      <c r="B143" s="177" t="str">
        <v>25035-FS02</v>
      </c>
      <c r="C143" s="177" t="str">
        <v>Titans Jabez</v>
      </c>
      <c r="D143" s="177" t="str">
        <v>Marc Ribar</v>
      </c>
      <c r="E143" s="189">
        <v>109</v>
      </c>
      <c r="F143" s="189">
        <v>600</v>
      </c>
      <c r="G143" s="177" t="str">
        <v>Shipped To Painter</v>
      </c>
      <c r="H143" s="191">
        <f t="shared" si="2"/>
        <v>6</v>
      </c>
      <c r="M143" s="1">
        <v>46218</v>
      </c>
    </row>
    <row r="144" spans="1:13" x14ac:dyDescent="0.25">
      <c r="A144" s="181">
        <v>46080</v>
      </c>
      <c r="B144" s="177" t="str">
        <v>24081-FL02</v>
      </c>
      <c r="C144" s="177" t="str">
        <v>DLR DFW37</v>
      </c>
      <c r="D144" s="177" t="str">
        <v>Cole Norona</v>
      </c>
      <c r="E144" s="189">
        <v>0</v>
      </c>
      <c r="F144" s="189">
        <v>78</v>
      </c>
      <c r="G144" s="177" t="str">
        <v>Shipped To Painter</v>
      </c>
      <c r="H144" s="191">
        <f t="shared" si="2"/>
        <v>6</v>
      </c>
      <c r="M144" s="1">
        <v>46225</v>
      </c>
    </row>
    <row r="145" spans="1:13" x14ac:dyDescent="0.25">
      <c r="A145" s="181">
        <v>46080</v>
      </c>
      <c r="B145" s="177" t="str">
        <v>26014-03-ST02</v>
      </c>
      <c r="C145" s="177" t="str">
        <v>2026 R &amp; D</v>
      </c>
      <c r="D145" s="177" t="str">
        <v>TBC</v>
      </c>
      <c r="E145" s="189">
        <v>0</v>
      </c>
      <c r="F145" s="189">
        <v>9</v>
      </c>
      <c r="G145" s="177" t="str">
        <v>TruLaser 3040</v>
      </c>
      <c r="H145" s="191">
        <f t="shared" si="2"/>
        <v>6</v>
      </c>
      <c r="M145" s="1">
        <v>46232</v>
      </c>
    </row>
    <row r="146" spans="1:13" x14ac:dyDescent="0.25">
      <c r="A146" s="181">
        <v>46080</v>
      </c>
      <c r="B146" s="177" t="str">
        <v>26014-03-ST02.1</v>
      </c>
      <c r="C146" s="177" t="str">
        <v>2026 R &amp; D</v>
      </c>
      <c r="D146" s="177" t="str">
        <v>TBC</v>
      </c>
      <c r="E146" s="189">
        <v>0</v>
      </c>
      <c r="F146" s="189">
        <v>10</v>
      </c>
      <c r="G146" s="177" t="str">
        <v>7000 TubeLaser 20</v>
      </c>
      <c r="H146" s="191">
        <f t="shared" si="2"/>
        <v>6</v>
      </c>
      <c r="M146" s="1">
        <v>46241</v>
      </c>
    </row>
    <row r="147" spans="1:13" x14ac:dyDescent="0.25">
      <c r="A147" s="181">
        <v>46080</v>
      </c>
      <c r="B147" s="177" t="str">
        <v>26014-03-ST03</v>
      </c>
      <c r="C147" s="177" t="str">
        <v>2026 R &amp; D</v>
      </c>
      <c r="D147" s="177" t="str">
        <v>TBC</v>
      </c>
      <c r="E147" s="189">
        <v>0</v>
      </c>
      <c r="F147" s="189">
        <v>8</v>
      </c>
      <c r="G147" s="177" t="str">
        <v>7000 TubeLaser 20</v>
      </c>
      <c r="H147" s="191">
        <f t="shared" si="2"/>
        <v>6</v>
      </c>
      <c r="M147" s="1">
        <v>46251</v>
      </c>
    </row>
    <row r="148" spans="1:13" x14ac:dyDescent="0.25">
      <c r="A148" s="181">
        <v>46080</v>
      </c>
      <c r="B148" s="177" t="str">
        <v>26014-03-ST03.1</v>
      </c>
      <c r="C148" s="177" t="str">
        <v>2026 R &amp; D</v>
      </c>
      <c r="D148" s="177" t="str">
        <v>TBC</v>
      </c>
      <c r="E148" s="189">
        <v>0</v>
      </c>
      <c r="F148" s="189">
        <v>6</v>
      </c>
      <c r="G148" s="177" t="str">
        <v>TruLaser 3040</v>
      </c>
      <c r="H148" s="191">
        <f t="shared" si="2"/>
        <v>6</v>
      </c>
    </row>
    <row r="149" spans="1:13" x14ac:dyDescent="0.25">
      <c r="A149" s="181">
        <v>46083</v>
      </c>
      <c r="B149" s="177" t="str">
        <v>24051-FS209.1</v>
      </c>
      <c r="C149" s="177" t="str">
        <v>TN Titans Stadium</v>
      </c>
      <c r="D149" s="177" t="str">
        <v>Marc Ribar</v>
      </c>
      <c r="E149" s="189">
        <v>36</v>
      </c>
      <c r="F149" s="189">
        <v>76</v>
      </c>
      <c r="G149" s="177" t="str">
        <v>RTS Titans</v>
      </c>
      <c r="H149" s="191">
        <f t="shared" si="2"/>
        <v>2</v>
      </c>
    </row>
    <row r="150" spans="1:13" x14ac:dyDescent="0.25">
      <c r="A150" s="181">
        <v>46083</v>
      </c>
      <c r="B150" s="177" t="str">
        <v>25002-FS11.1</v>
      </c>
      <c r="C150" s="177" t="str">
        <v>Med Center Health</v>
      </c>
      <c r="D150" s="177" t="str">
        <v>Carlos Silva</v>
      </c>
      <c r="E150" s="189">
        <v>18</v>
      </c>
      <c r="F150" s="189">
        <v>18</v>
      </c>
      <c r="G150" s="177" t="str">
        <v>Clean and Brake</v>
      </c>
      <c r="H150" s="191">
        <f t="shared" si="2"/>
        <v>2</v>
      </c>
    </row>
    <row r="151" spans="1:13" x14ac:dyDescent="0.25">
      <c r="A151" s="181">
        <v>46085</v>
      </c>
      <c r="B151" s="177" t="str">
        <v>24051-FS86</v>
      </c>
      <c r="C151" s="177" t="str">
        <v>TN Titans Stadium</v>
      </c>
      <c r="D151" s="177" t="str">
        <v>Marc Ribar</v>
      </c>
      <c r="E151" s="189">
        <v>38</v>
      </c>
      <c r="F151" s="189">
        <v>38</v>
      </c>
      <c r="G151" s="177" t="str">
        <v>RTS Titans</v>
      </c>
      <c r="H151" s="191">
        <f t="shared" si="2"/>
        <v>2</v>
      </c>
    </row>
    <row r="152" spans="1:13" x14ac:dyDescent="0.25">
      <c r="A152" s="181">
        <v>46085</v>
      </c>
      <c r="B152" s="177" t="str">
        <v>25002-BM06</v>
      </c>
      <c r="C152" s="177" t="str">
        <v>Med Center Health</v>
      </c>
      <c r="D152" s="177" t="str">
        <v>Carlos Silva</v>
      </c>
      <c r="E152" s="189">
        <v>0</v>
      </c>
      <c r="F152" s="189">
        <v>29</v>
      </c>
      <c r="G152" s="177" t="str">
        <v>Shipped To Painter</v>
      </c>
      <c r="H152" s="191">
        <f t="shared" si="2"/>
        <v>2</v>
      </c>
    </row>
    <row r="153" spans="1:13" x14ac:dyDescent="0.25">
      <c r="A153" s="181">
        <v>46087</v>
      </c>
      <c r="B153" s="177" t="str">
        <v>25035-FS03</v>
      </c>
      <c r="C153" s="177" t="str">
        <v>Titans Jabez</v>
      </c>
      <c r="D153" s="177" t="str">
        <v>Marc Ribar</v>
      </c>
      <c r="E153" s="189">
        <v>160</v>
      </c>
      <c r="F153" s="189">
        <v>320</v>
      </c>
      <c r="G153" s="177" t="str">
        <v>Shipped To Painter</v>
      </c>
      <c r="H153" s="191">
        <f t="shared" si="2"/>
        <v>2</v>
      </c>
    </row>
    <row r="154" spans="1:13" x14ac:dyDescent="0.25">
      <c r="A154" s="181">
        <v>46087</v>
      </c>
      <c r="B154" s="177" t="str">
        <v>23028-FL205</v>
      </c>
      <c r="C154" s="177" t="str">
        <v>1000 Church YMCA</v>
      </c>
      <c r="D154" s="177" t="str">
        <v>Dillon Bowman</v>
      </c>
      <c r="E154" s="189">
        <v>0</v>
      </c>
      <c r="F154" s="189">
        <v>4</v>
      </c>
      <c r="G154" s="177" t="str">
        <v>Ready to Ship</v>
      </c>
      <c r="H154" s="191">
        <f t="shared" si="2"/>
        <v>2</v>
      </c>
    </row>
    <row r="155" spans="1:13" x14ac:dyDescent="0.25">
      <c r="A155" s="181">
        <v>46093</v>
      </c>
      <c r="B155" s="177" t="str">
        <v>24051-FS71.1</v>
      </c>
      <c r="C155" s="177" t="str">
        <v>TN Titans Stadium</v>
      </c>
      <c r="D155" s="177" t="str">
        <v>Marc Ribar</v>
      </c>
      <c r="E155" s="189">
        <v>0</v>
      </c>
      <c r="F155" s="189">
        <v>0</v>
      </c>
      <c r="G155" s="177" t="str">
        <v>RTS Titans</v>
      </c>
      <c r="H155" s="191">
        <f t="shared" si="2"/>
        <v>1</v>
      </c>
    </row>
    <row r="156" spans="1:13" x14ac:dyDescent="0.25">
      <c r="A156" s="181">
        <v>46094</v>
      </c>
      <c r="B156" s="177" t="str">
        <v>25029-MU02</v>
      </c>
      <c r="C156" s="177" t="str">
        <v>Lourdes CC Phase 2</v>
      </c>
      <c r="D156" s="177" t="str">
        <v>Dillon Bowman</v>
      </c>
      <c r="E156" s="189">
        <v>1</v>
      </c>
      <c r="F156" s="189">
        <v>1</v>
      </c>
      <c r="G156" s="177" t="str">
        <v>TruLaser 3040</v>
      </c>
      <c r="H156" s="191">
        <f t="shared" si="2"/>
        <v>2</v>
      </c>
    </row>
    <row r="157" spans="1:13" x14ac:dyDescent="0.25">
      <c r="A157" s="181">
        <v>46094</v>
      </c>
      <c r="B157" s="177" t="str">
        <v>25029-MU03</v>
      </c>
      <c r="C157" s="177" t="str">
        <v>Lourdes CC Phase 2</v>
      </c>
      <c r="D157" s="177" t="str">
        <v>Dillon Bowman</v>
      </c>
      <c r="E157" s="189">
        <v>0</v>
      </c>
      <c r="F157" s="189">
        <v>2</v>
      </c>
      <c r="G157" s="177" t="str">
        <v>TruLaser 3040</v>
      </c>
      <c r="H157" s="191">
        <f t="shared" si="2"/>
        <v>2</v>
      </c>
    </row>
    <row r="158" spans="1:13" x14ac:dyDescent="0.25">
      <c r="A158" s="181">
        <v>46097</v>
      </c>
      <c r="B158" s="177" t="str">
        <v>24051-FS223</v>
      </c>
      <c r="C158" s="177" t="str">
        <v>TN Titans Stadium</v>
      </c>
      <c r="D158" s="177" t="str">
        <v>Marc Ribar</v>
      </c>
      <c r="E158" s="189">
        <v>44</v>
      </c>
      <c r="F158" s="189">
        <v>90</v>
      </c>
      <c r="G158" s="177" t="str">
        <v>Clean and Brake</v>
      </c>
      <c r="H158" s="191">
        <f t="shared" si="2"/>
        <v>13</v>
      </c>
    </row>
    <row r="159" spans="1:13" x14ac:dyDescent="0.25">
      <c r="A159" s="181">
        <v>46097</v>
      </c>
      <c r="B159" s="177" t="str">
        <v>24051-FS224</v>
      </c>
      <c r="C159" s="177" t="str">
        <v>TN Titans Stadium</v>
      </c>
      <c r="D159" s="177" t="str">
        <v>Marc Ribar</v>
      </c>
      <c r="E159" s="189">
        <v>2</v>
      </c>
      <c r="F159" s="189">
        <v>2</v>
      </c>
      <c r="G159" s="177" t="str">
        <v>RTS Titans</v>
      </c>
      <c r="H159" s="191">
        <f t="shared" si="2"/>
        <v>13</v>
      </c>
    </row>
    <row r="160" spans="1:13" x14ac:dyDescent="0.25">
      <c r="A160" s="181">
        <v>46097</v>
      </c>
      <c r="B160" s="177" t="str">
        <v>24051-FS29C</v>
      </c>
      <c r="C160" s="177" t="str">
        <v>TN Titans Stadium</v>
      </c>
      <c r="D160" s="177" t="str">
        <v>Marc Ribar</v>
      </c>
      <c r="E160" s="189">
        <v>26</v>
      </c>
      <c r="F160" s="189">
        <v>26</v>
      </c>
      <c r="G160" s="177" t="str">
        <v>RTS Titans</v>
      </c>
      <c r="H160" s="191">
        <f t="shared" si="2"/>
        <v>13</v>
      </c>
    </row>
    <row r="161" spans="1:8" x14ac:dyDescent="0.25">
      <c r="A161" s="181">
        <v>46097</v>
      </c>
      <c r="B161" s="177" t="str">
        <v>24051-FS82</v>
      </c>
      <c r="C161" s="177" t="str">
        <v>TN Titans Stadium</v>
      </c>
      <c r="D161" s="177" t="str">
        <v>Marc Ribar</v>
      </c>
      <c r="E161" s="189">
        <v>4</v>
      </c>
      <c r="F161" s="189">
        <v>4</v>
      </c>
      <c r="G161" s="177" t="str">
        <v>RTS Titans</v>
      </c>
      <c r="H161" s="191">
        <f t="shared" si="2"/>
        <v>13</v>
      </c>
    </row>
    <row r="162" spans="1:8" x14ac:dyDescent="0.25">
      <c r="A162" s="181">
        <v>46097</v>
      </c>
      <c r="B162" s="177" t="str">
        <v>24051-FS83</v>
      </c>
      <c r="C162" s="177" t="str">
        <v>TN Titans Stadium</v>
      </c>
      <c r="D162" s="177" t="str">
        <v>Marc Ribar</v>
      </c>
      <c r="E162" s="189">
        <v>4</v>
      </c>
      <c r="F162" s="189">
        <v>4</v>
      </c>
      <c r="G162" s="177" t="str">
        <v>RTS Titans</v>
      </c>
      <c r="H162" s="191">
        <f t="shared" si="2"/>
        <v>13</v>
      </c>
    </row>
    <row r="163" spans="1:8" x14ac:dyDescent="0.25">
      <c r="A163" s="181">
        <v>46097</v>
      </c>
      <c r="B163" s="177" t="str">
        <v>24051-FS84</v>
      </c>
      <c r="C163" s="177" t="str">
        <v>TN Titans Stadium</v>
      </c>
      <c r="D163" s="177" t="str">
        <v>Marc Ribar</v>
      </c>
      <c r="E163" s="189">
        <v>24</v>
      </c>
      <c r="F163" s="189">
        <v>24</v>
      </c>
      <c r="G163" s="177" t="str">
        <v>RTS Titans</v>
      </c>
      <c r="H163" s="191">
        <f t="shared" si="2"/>
        <v>13</v>
      </c>
    </row>
    <row r="164" spans="1:8" x14ac:dyDescent="0.25">
      <c r="A164" s="181">
        <v>46097</v>
      </c>
      <c r="B164" s="177" t="str">
        <v>24051-FS85</v>
      </c>
      <c r="C164" s="177" t="str">
        <v>TN Titans Stadium</v>
      </c>
      <c r="D164" s="177" t="str">
        <v>Marc Ribar</v>
      </c>
      <c r="E164" s="189">
        <v>4</v>
      </c>
      <c r="F164" s="189">
        <v>4</v>
      </c>
      <c r="G164" s="177" t="str">
        <v>RTS Titans</v>
      </c>
      <c r="H164" s="191">
        <f t="shared" si="2"/>
        <v>13</v>
      </c>
    </row>
    <row r="165" spans="1:8" x14ac:dyDescent="0.25">
      <c r="A165" s="181">
        <v>46097</v>
      </c>
      <c r="B165" s="177" t="str">
        <v>24079-FS03</v>
      </c>
      <c r="C165" s="177" t="str">
        <v>Nashville Youth Campus</v>
      </c>
      <c r="D165" s="177" t="str">
        <v>Joe Hoyle</v>
      </c>
      <c r="E165" s="189">
        <v>33</v>
      </c>
      <c r="F165" s="189">
        <v>0</v>
      </c>
      <c r="G165" s="177" t="str">
        <v>Evaluation</v>
      </c>
      <c r="H165" s="191">
        <f t="shared" si="2"/>
        <v>13</v>
      </c>
    </row>
    <row r="166" spans="1:8" x14ac:dyDescent="0.25">
      <c r="A166" s="181">
        <v>46097</v>
      </c>
      <c r="B166" s="177" t="str">
        <v>24079-FS102</v>
      </c>
      <c r="C166" s="177" t="str">
        <v>Nashville Youth Campus</v>
      </c>
      <c r="D166" s="177" t="str">
        <v>Joe Hoyle</v>
      </c>
      <c r="E166" s="189">
        <v>192</v>
      </c>
      <c r="F166" s="189">
        <v>198</v>
      </c>
      <c r="G166" s="177" t="str">
        <v>Sketch Check</v>
      </c>
      <c r="H166" s="191">
        <f t="shared" si="2"/>
        <v>13</v>
      </c>
    </row>
    <row r="167" spans="1:8" x14ac:dyDescent="0.25">
      <c r="A167" s="181">
        <v>46097</v>
      </c>
      <c r="B167" s="177" t="str">
        <v>24051-FS26C</v>
      </c>
      <c r="C167" s="177" t="str">
        <v>TN Titans Stadium</v>
      </c>
      <c r="D167" s="177" t="str">
        <v>Marc Ribar</v>
      </c>
      <c r="E167" s="189">
        <v>26</v>
      </c>
      <c r="F167" s="189">
        <v>26</v>
      </c>
      <c r="G167" s="177" t="str">
        <v>RTS Titans</v>
      </c>
      <c r="H167" s="191">
        <f t="shared" si="2"/>
        <v>13</v>
      </c>
    </row>
    <row r="168" spans="1:8" x14ac:dyDescent="0.25">
      <c r="A168" s="181">
        <v>46097</v>
      </c>
      <c r="B168" s="177" t="str">
        <v>24051-FS225</v>
      </c>
      <c r="C168" s="177" t="str">
        <v>TN Titans Stadium</v>
      </c>
      <c r="D168" s="177" t="str">
        <v>Marc Ribar</v>
      </c>
      <c r="E168" s="189">
        <v>26</v>
      </c>
      <c r="F168" s="189">
        <v>0</v>
      </c>
      <c r="G168" s="177" t="str">
        <v>LO</v>
      </c>
      <c r="H168" s="191">
        <f t="shared" si="2"/>
        <v>13</v>
      </c>
    </row>
    <row r="169" spans="1:8" x14ac:dyDescent="0.25">
      <c r="A169" s="181">
        <v>46097</v>
      </c>
      <c r="B169" s="177" t="str">
        <v>25017-RO01</v>
      </c>
      <c r="C169" s="177" t="str">
        <v>Nashville Yards Park</v>
      </c>
      <c r="D169" s="177" t="str">
        <v>Dillon Bowman</v>
      </c>
      <c r="E169" s="189">
        <v>1</v>
      </c>
      <c r="F169" s="189">
        <v>3</v>
      </c>
      <c r="G169" s="177" t="str">
        <v>Ready to Ship</v>
      </c>
      <c r="H169" s="191">
        <f t="shared" si="2"/>
        <v>13</v>
      </c>
    </row>
    <row r="170" spans="1:8" x14ac:dyDescent="0.25">
      <c r="A170" s="181">
        <v>46097</v>
      </c>
      <c r="B170" s="177" t="str">
        <v>24079-FS102.1</v>
      </c>
      <c r="C170" s="177" t="str">
        <v>Nashville Youth Campus</v>
      </c>
      <c r="D170" s="177" t="str">
        <v>Joe Hoyle</v>
      </c>
      <c r="E170" s="189">
        <v>308</v>
      </c>
      <c r="F170" s="189">
        <v>0</v>
      </c>
      <c r="G170" s="177" t="str">
        <v>Sketch</v>
      </c>
      <c r="H170" s="191">
        <f t="shared" si="2"/>
        <v>13</v>
      </c>
    </row>
    <row r="171" spans="1:8" x14ac:dyDescent="0.25">
      <c r="A171" s="181">
        <v>46101</v>
      </c>
      <c r="B171" s="177" t="str">
        <v>24051-FS13C</v>
      </c>
      <c r="C171" s="177" t="str">
        <v>TN Titans Stadium</v>
      </c>
      <c r="D171" s="177" t="str">
        <v>Marc Ribar</v>
      </c>
      <c r="E171" s="189">
        <v>106</v>
      </c>
      <c r="F171" s="189">
        <v>106</v>
      </c>
      <c r="G171" s="177" t="str">
        <v>RTS Titans</v>
      </c>
      <c r="H171" s="191">
        <f t="shared" si="2"/>
        <v>2</v>
      </c>
    </row>
    <row r="172" spans="1:8" x14ac:dyDescent="0.25">
      <c r="A172" s="181">
        <v>46101</v>
      </c>
      <c r="B172" s="177" t="str">
        <v>1040-30791-ST08</v>
      </c>
      <c r="C172" s="177" t="str">
        <v>AFI - YANCEY</v>
      </c>
      <c r="D172" s="177" t="str">
        <v>Hannah Sadloski, Lisa Ellison</v>
      </c>
      <c r="E172" s="189">
        <v>0</v>
      </c>
      <c r="F172" s="189">
        <v>120</v>
      </c>
      <c r="G172" s="177" t="str">
        <v>Ready to Ship</v>
      </c>
      <c r="H172" s="191">
        <f t="shared" si="2"/>
        <v>2</v>
      </c>
    </row>
    <row r="173" spans="1:8" x14ac:dyDescent="0.25">
      <c r="A173" s="181">
        <v>46104</v>
      </c>
      <c r="B173" s="177" t="str">
        <v>25035-FS04</v>
      </c>
      <c r="C173" s="177" t="str">
        <v>Titans Jabez</v>
      </c>
      <c r="D173" s="177" t="str">
        <v>Marc Ribar</v>
      </c>
      <c r="E173" s="189">
        <v>218</v>
      </c>
      <c r="F173" s="189">
        <v>0</v>
      </c>
      <c r="G173" s="177" t="str">
        <v>Sketch</v>
      </c>
      <c r="H173" s="191">
        <f t="shared" si="2"/>
        <v>3</v>
      </c>
    </row>
    <row r="174" spans="1:8" x14ac:dyDescent="0.25">
      <c r="A174" s="181">
        <v>46104</v>
      </c>
      <c r="B174" s="177" t="str">
        <v>26011-ST01</v>
      </c>
      <c r="C174" s="177" t="str">
        <v>2nd Ave Mockup Build</v>
      </c>
      <c r="D174" s="177" t="str">
        <v>Wylie McDougall</v>
      </c>
      <c r="E174" s="189">
        <v>0</v>
      </c>
      <c r="F174" s="189">
        <v>4</v>
      </c>
      <c r="G174" s="177" t="str">
        <v>TruLaser 3040</v>
      </c>
      <c r="H174" s="191">
        <f t="shared" si="2"/>
        <v>3</v>
      </c>
    </row>
    <row r="175" spans="1:8" x14ac:dyDescent="0.25">
      <c r="A175" s="181">
        <v>46104</v>
      </c>
      <c r="B175" s="177" t="str">
        <v>26011-ST1.1</v>
      </c>
      <c r="C175" s="177" t="str">
        <v>2nd Ave Mockup Build</v>
      </c>
      <c r="D175" s="177" t="str">
        <v>Wylie McDougall</v>
      </c>
      <c r="E175" s="189">
        <v>0</v>
      </c>
      <c r="F175" s="189">
        <v>1</v>
      </c>
      <c r="G175" s="177" t="str">
        <v>7000 TubeLaser 20</v>
      </c>
      <c r="H175" s="191">
        <f t="shared" si="2"/>
        <v>3</v>
      </c>
    </row>
    <row r="176" spans="1:8" x14ac:dyDescent="0.25">
      <c r="A176" s="181">
        <v>46107</v>
      </c>
      <c r="B176" s="177" t="str">
        <v>24051-FS76.1</v>
      </c>
      <c r="C176" s="177" t="str">
        <v>TN Titans Stadium</v>
      </c>
      <c r="D176" s="177" t="str">
        <v>Marc Ribar</v>
      </c>
      <c r="E176" s="189">
        <v>74</v>
      </c>
      <c r="F176" s="189">
        <v>74</v>
      </c>
      <c r="G176" s="177" t="str">
        <v>RTS Titans</v>
      </c>
      <c r="H176" s="191">
        <f t="shared" si="2"/>
        <v>2</v>
      </c>
    </row>
    <row r="177" spans="1:8" x14ac:dyDescent="0.25">
      <c r="A177" s="181">
        <v>46107</v>
      </c>
      <c r="B177" s="177" t="str">
        <v>24081-RO01</v>
      </c>
      <c r="C177" s="177" t="str">
        <v>DLR DFW37</v>
      </c>
      <c r="D177" s="177" t="str">
        <v>Cole Norona</v>
      </c>
      <c r="E177" s="189">
        <v>1</v>
      </c>
      <c r="F177" s="189">
        <v>1</v>
      </c>
      <c r="G177" s="177" t="str">
        <v>Shipped To Painter</v>
      </c>
      <c r="H177" s="191">
        <f t="shared" si="2"/>
        <v>2</v>
      </c>
    </row>
    <row r="178" spans="1:8" x14ac:dyDescent="0.25">
      <c r="A178" s="181">
        <v>46108</v>
      </c>
      <c r="B178" s="177" t="str">
        <v>25032-FL01</v>
      </c>
      <c r="C178" s="177" t="str">
        <v>Amazon IAD181</v>
      </c>
      <c r="D178" s="177" t="str">
        <v>Matt Rassmussen</v>
      </c>
      <c r="E178" s="189">
        <v>0</v>
      </c>
      <c r="F178" s="189">
        <v>287</v>
      </c>
      <c r="G178" s="177" t="str">
        <v>Shear</v>
      </c>
      <c r="H178" s="191">
        <f t="shared" si="2"/>
        <v>2</v>
      </c>
    </row>
    <row r="179" spans="1:8" x14ac:dyDescent="0.25">
      <c r="A179" s="181">
        <v>46108</v>
      </c>
      <c r="B179" s="177" t="str">
        <v>25029-MU10</v>
      </c>
      <c r="C179" s="177" t="str">
        <v>Lourdes CC Phase 2</v>
      </c>
      <c r="D179" s="177" t="str">
        <v>Dillon Bowman</v>
      </c>
      <c r="E179" s="189">
        <v>1</v>
      </c>
      <c r="F179" s="189">
        <v>1</v>
      </c>
      <c r="G179" s="177" t="str">
        <v>TruLaser 3040</v>
      </c>
      <c r="H179" s="191">
        <f t="shared" si="2"/>
        <v>2</v>
      </c>
    </row>
    <row r="180" spans="1:8" x14ac:dyDescent="0.25">
      <c r="A180" s="181">
        <v>46111</v>
      </c>
      <c r="B180" s="177" t="str">
        <v>24079-FS04</v>
      </c>
      <c r="C180" s="177" t="str">
        <v>Nashville Youth Campus</v>
      </c>
      <c r="D180" s="177" t="str">
        <v>Joe Hoyle</v>
      </c>
      <c r="E180" s="189">
        <v>173</v>
      </c>
      <c r="F180" s="189">
        <v>0</v>
      </c>
      <c r="G180" s="177" t="str">
        <v>Evaluation</v>
      </c>
      <c r="H180" s="191">
        <f t="shared" si="2"/>
        <v>2</v>
      </c>
    </row>
    <row r="181" spans="1:8" x14ac:dyDescent="0.25">
      <c r="A181" s="181">
        <v>46111</v>
      </c>
      <c r="B181" s="177" t="str">
        <v>24069-RM04</v>
      </c>
      <c r="C181" s="177" t="str">
        <v>TCAT Pulaski</v>
      </c>
      <c r="D181" s="177" t="str">
        <v>Chris Buttrey</v>
      </c>
      <c r="E181" s="189">
        <v>1</v>
      </c>
      <c r="F181" s="189">
        <v>1</v>
      </c>
      <c r="G181" s="177" t="str">
        <v>Shipped To Painter</v>
      </c>
      <c r="H181" s="191">
        <f t="shared" si="2"/>
        <v>2</v>
      </c>
    </row>
    <row r="182" spans="1:8" x14ac:dyDescent="0.25">
      <c r="A182" s="181">
        <v>46118</v>
      </c>
      <c r="B182" s="177" t="str">
        <v>25022-FS11</v>
      </c>
      <c r="C182" s="177" t="str">
        <v>Vantage VA15</v>
      </c>
      <c r="D182" s="177" t="str">
        <v>Thomas Mooers</v>
      </c>
      <c r="E182" s="189">
        <v>72</v>
      </c>
      <c r="F182" s="189">
        <v>72</v>
      </c>
      <c r="G182" s="177" t="str">
        <v>Ready to Ship</v>
      </c>
      <c r="H182" s="191">
        <f t="shared" si="2"/>
        <v>3</v>
      </c>
    </row>
    <row r="183" spans="1:8" x14ac:dyDescent="0.25">
      <c r="A183" s="181">
        <v>46118</v>
      </c>
      <c r="B183" s="177" t="str">
        <v>26014-04-ST01</v>
      </c>
      <c r="C183" s="177" t="str">
        <v>2026 R &amp; D</v>
      </c>
      <c r="D183" s="177" t="str">
        <v>TBC</v>
      </c>
      <c r="E183" s="189">
        <v>0</v>
      </c>
      <c r="F183" s="189">
        <v>8</v>
      </c>
      <c r="G183" s="177" t="str">
        <v>7000 TubeLaser 20</v>
      </c>
      <c r="H183" s="191">
        <f t="shared" si="2"/>
        <v>3</v>
      </c>
    </row>
    <row r="184" spans="1:8" x14ac:dyDescent="0.25">
      <c r="A184" s="181">
        <v>46118</v>
      </c>
      <c r="B184" s="177" t="str">
        <v>26014-04-FS01</v>
      </c>
      <c r="C184" s="177" t="str">
        <v>2026 R &amp; D</v>
      </c>
      <c r="D184" s="177" t="str">
        <v>TBC</v>
      </c>
      <c r="E184" s="189">
        <v>4</v>
      </c>
      <c r="F184" s="189">
        <v>4</v>
      </c>
      <c r="G184" s="177" t="str">
        <v>7000 TruMatic</v>
      </c>
      <c r="H184" s="191">
        <f t="shared" si="2"/>
        <v>3</v>
      </c>
    </row>
    <row r="185" spans="1:8" x14ac:dyDescent="0.25">
      <c r="A185" s="181">
        <v>46119</v>
      </c>
      <c r="B185" s="177" t="str">
        <v>25022-FS07</v>
      </c>
      <c r="C185" s="177" t="str">
        <v>Vantage VA15</v>
      </c>
      <c r="D185" s="177" t="str">
        <v>Thomas Mooers</v>
      </c>
      <c r="E185" s="189">
        <v>52</v>
      </c>
      <c r="F185" s="189">
        <v>0</v>
      </c>
      <c r="G185" s="177" t="str">
        <v>Ready to Ship</v>
      </c>
      <c r="H185" s="191">
        <f t="shared" si="2"/>
        <v>3</v>
      </c>
    </row>
    <row r="186" spans="1:8" x14ac:dyDescent="0.25">
      <c r="A186" s="181">
        <v>46119</v>
      </c>
      <c r="B186" s="177" t="str">
        <v>25022-FS10</v>
      </c>
      <c r="C186" s="177" t="str">
        <v>Vantage VA15</v>
      </c>
      <c r="D186" s="177" t="str">
        <v>Thomas Mooers</v>
      </c>
      <c r="E186" s="189">
        <v>200</v>
      </c>
      <c r="F186" s="189">
        <v>200</v>
      </c>
      <c r="G186" s="177" t="str">
        <v>Ready to Ship</v>
      </c>
      <c r="H186" s="191">
        <f t="shared" si="2"/>
        <v>3</v>
      </c>
    </row>
    <row r="187" spans="1:8" x14ac:dyDescent="0.25">
      <c r="A187" s="181">
        <v>46119</v>
      </c>
      <c r="B187" s="177" t="str">
        <v>25031-FL06</v>
      </c>
      <c r="C187" s="177" t="str">
        <v>LLU Mars US Warehouse</v>
      </c>
      <c r="D187" s="177" t="str">
        <v>Laura Forero</v>
      </c>
      <c r="E187" s="189">
        <v>0</v>
      </c>
      <c r="F187" s="189">
        <v>2</v>
      </c>
      <c r="G187" s="177" t="str">
        <v>Shipped</v>
      </c>
      <c r="H187" s="191">
        <f t="shared" si="2"/>
        <v>3</v>
      </c>
    </row>
    <row r="188" spans="1:8" x14ac:dyDescent="0.25">
      <c r="A188" s="181">
        <v>46120</v>
      </c>
      <c r="B188" s="177" t="str">
        <v>25022-FS08</v>
      </c>
      <c r="C188" s="177" t="str">
        <v>Vantage VA15</v>
      </c>
      <c r="D188" s="177" t="str">
        <v>Thomas Mooers</v>
      </c>
      <c r="E188" s="189">
        <v>60</v>
      </c>
      <c r="F188" s="189">
        <v>60</v>
      </c>
      <c r="G188" s="177" t="str">
        <v>Ready to Ship</v>
      </c>
      <c r="H188" s="191">
        <f t="shared" si="2"/>
        <v>1</v>
      </c>
    </row>
    <row r="189" spans="1:8" x14ac:dyDescent="0.25">
      <c r="A189" s="181">
        <v>46122</v>
      </c>
      <c r="B189" s="177" t="str">
        <v>24079-FL13</v>
      </c>
      <c r="C189" s="177" t="str">
        <v>Nashville Youth Campus</v>
      </c>
      <c r="D189" s="177" t="str">
        <v>Joe Hoyle</v>
      </c>
      <c r="E189" s="189">
        <v>0</v>
      </c>
      <c r="F189" s="189">
        <v>146</v>
      </c>
      <c r="G189" s="177" t="str">
        <v>Ready to Ship</v>
      </c>
      <c r="H189" s="191">
        <f t="shared" si="2"/>
        <v>2</v>
      </c>
    </row>
    <row r="190" spans="1:8" x14ac:dyDescent="0.25">
      <c r="A190" s="181">
        <v>46122</v>
      </c>
      <c r="B190" s="177" t="str">
        <v>1040-30791-ST09</v>
      </c>
      <c r="C190" s="177" t="str">
        <v>AFI - YANCEY</v>
      </c>
      <c r="D190" s="177" t="str">
        <v>Hannah Sadloski, Lisa Ellison</v>
      </c>
      <c r="E190" s="189">
        <v>0</v>
      </c>
      <c r="F190" s="189">
        <v>185</v>
      </c>
      <c r="G190" s="177" t="str">
        <v>Assembly</v>
      </c>
      <c r="H190" s="191">
        <f t="shared" si="2"/>
        <v>2</v>
      </c>
    </row>
    <row r="191" spans="1:8" x14ac:dyDescent="0.25">
      <c r="A191" s="181">
        <v>46125</v>
      </c>
      <c r="B191" s="177" t="str">
        <v>24079-BM04D</v>
      </c>
      <c r="C191" s="177" t="str">
        <v>Nashville Youth Campus</v>
      </c>
      <c r="D191" s="177" t="str">
        <v>Joe Hoyle</v>
      </c>
      <c r="E191" s="189">
        <v>185</v>
      </c>
      <c r="F191" s="189">
        <v>1295</v>
      </c>
      <c r="G191" s="177" t="str">
        <v>TruPunch 5000</v>
      </c>
      <c r="H191" s="191">
        <f t="shared" si="2"/>
        <v>2</v>
      </c>
    </row>
    <row r="192" spans="1:8" x14ac:dyDescent="0.25">
      <c r="A192" s="181">
        <v>46125</v>
      </c>
      <c r="B192" s="177" t="str">
        <v>25005-ST02</v>
      </c>
      <c r="C192" s="177" t="str">
        <v>CAT Financial Nashville HQ</v>
      </c>
      <c r="D192" s="177" t="str">
        <v>Chris Buttrey</v>
      </c>
      <c r="E192" s="189">
        <v>0</v>
      </c>
      <c r="F192" s="189">
        <v>4</v>
      </c>
      <c r="G192" s="177" t="str">
        <v>TruLaser 3040</v>
      </c>
      <c r="H192" s="191">
        <f t="shared" si="2"/>
        <v>2</v>
      </c>
    </row>
    <row r="193" spans="1:8" x14ac:dyDescent="0.25">
      <c r="A193" s="181">
        <v>46126</v>
      </c>
      <c r="B193" s="177" t="str">
        <v>25012-MU07</v>
      </c>
      <c r="C193" s="177" t="str">
        <v>St Jude Hospital</v>
      </c>
      <c r="D193" s="177" t="str">
        <v>Wylie McDougall</v>
      </c>
      <c r="E193" s="189">
        <v>8</v>
      </c>
      <c r="F193" s="189">
        <v>8</v>
      </c>
      <c r="G193" s="177" t="str">
        <v>Clean and Brake</v>
      </c>
      <c r="H193" s="191">
        <f t="shared" si="2"/>
        <v>2</v>
      </c>
    </row>
    <row r="194" spans="1:8" x14ac:dyDescent="0.25">
      <c r="A194" s="181">
        <v>46126</v>
      </c>
      <c r="B194" s="177" t="str">
        <v>26014-05-FS01</v>
      </c>
      <c r="C194" s="177" t="str">
        <v>2026 R &amp; D</v>
      </c>
      <c r="D194" s="177" t="str">
        <v>TBC</v>
      </c>
      <c r="E194" s="189">
        <v>25</v>
      </c>
      <c r="F194" s="189">
        <v>25</v>
      </c>
      <c r="G194" s="177" t="str">
        <v>Ready to Ship</v>
      </c>
      <c r="H194" s="191">
        <f t="shared" si="2"/>
        <v>2</v>
      </c>
    </row>
    <row r="195" spans="1:8" x14ac:dyDescent="0.25">
      <c r="A195" s="181">
        <v>46127</v>
      </c>
      <c r="B195" s="177" t="str">
        <v>24071-FS11</v>
      </c>
      <c r="C195" s="177" t="str">
        <v>RS Gass State Lab</v>
      </c>
      <c r="D195" s="177" t="str">
        <v>Cole Norona</v>
      </c>
      <c r="E195" s="189">
        <v>50</v>
      </c>
      <c r="F195" s="189">
        <v>69</v>
      </c>
      <c r="G195" s="177" t="str">
        <v>Crating</v>
      </c>
      <c r="H195" s="191">
        <f t="shared" si="2"/>
        <v>10</v>
      </c>
    </row>
    <row r="196" spans="1:8" x14ac:dyDescent="0.25">
      <c r="A196" s="181">
        <v>46127</v>
      </c>
      <c r="B196" s="177" t="str">
        <v>24051-FS87</v>
      </c>
      <c r="C196" s="177" t="str">
        <v>TN Titans Stadium</v>
      </c>
      <c r="D196" s="177" t="str">
        <v>Marc Ribar</v>
      </c>
      <c r="E196" s="189">
        <v>54</v>
      </c>
      <c r="F196" s="189">
        <v>54</v>
      </c>
      <c r="G196" s="177" t="str">
        <v>Clean and Brake</v>
      </c>
      <c r="H196" s="191">
        <f t="shared" si="2"/>
        <v>10</v>
      </c>
    </row>
    <row r="197" spans="1:8" x14ac:dyDescent="0.25">
      <c r="A197" s="181">
        <v>46127</v>
      </c>
      <c r="B197" s="177" t="str">
        <v>24051-FS88</v>
      </c>
      <c r="C197" s="177" t="str">
        <v>TN Titans Stadium</v>
      </c>
      <c r="D197" s="177" t="str">
        <v>Marc Ribar</v>
      </c>
      <c r="E197" s="189">
        <v>78</v>
      </c>
      <c r="F197" s="189">
        <v>78</v>
      </c>
      <c r="G197" s="177" t="str">
        <v>RTS Titans</v>
      </c>
      <c r="H197" s="191">
        <f t="shared" si="2"/>
        <v>10</v>
      </c>
    </row>
    <row r="198" spans="1:8" x14ac:dyDescent="0.25">
      <c r="A198" s="181">
        <v>46127</v>
      </c>
      <c r="B198" s="177" t="str">
        <v>24051-FS89</v>
      </c>
      <c r="C198" s="177" t="str">
        <v>TN Titans Stadium</v>
      </c>
      <c r="D198" s="177" t="str">
        <v>Marc Ribar</v>
      </c>
      <c r="E198" s="189">
        <v>40</v>
      </c>
      <c r="F198" s="189">
        <v>40</v>
      </c>
      <c r="G198" s="177" t="str">
        <v>AXYZ 34</v>
      </c>
      <c r="H198" s="191">
        <f t="shared" ref="H198:H261" si="3">IF(A198&lt;&gt;"",COUNTIF($A$5:$A$300,A198),"")</f>
        <v>10</v>
      </c>
    </row>
    <row r="199" spans="1:8" x14ac:dyDescent="0.25">
      <c r="A199" s="181">
        <v>46127</v>
      </c>
      <c r="B199" s="177" t="str">
        <v>24051-FS36.2</v>
      </c>
      <c r="C199" s="177" t="str">
        <v>TN Titans Stadium</v>
      </c>
      <c r="D199" s="177" t="str">
        <v>Marc Ribar</v>
      </c>
      <c r="E199" s="189">
        <v>38</v>
      </c>
      <c r="F199" s="189">
        <v>38</v>
      </c>
      <c r="G199" s="177" t="str">
        <v>Fabrication</v>
      </c>
      <c r="H199" s="191">
        <f t="shared" si="3"/>
        <v>10</v>
      </c>
    </row>
    <row r="200" spans="1:8" x14ac:dyDescent="0.25">
      <c r="A200" s="181">
        <v>46127</v>
      </c>
      <c r="B200" s="177" t="str">
        <v>24051-FS226</v>
      </c>
      <c r="C200" s="177" t="str">
        <v>TN Titans Stadium</v>
      </c>
      <c r="D200" s="177" t="str">
        <v>Marc Ribar</v>
      </c>
      <c r="E200" s="189">
        <v>26</v>
      </c>
      <c r="F200" s="189">
        <v>26</v>
      </c>
      <c r="G200" s="177" t="str">
        <v>Fabrication</v>
      </c>
      <c r="H200" s="191">
        <f t="shared" si="3"/>
        <v>10</v>
      </c>
    </row>
    <row r="201" spans="1:8" x14ac:dyDescent="0.25">
      <c r="A201" s="181">
        <v>46127</v>
      </c>
      <c r="B201" s="177" t="str">
        <v>24079-BM01B</v>
      </c>
      <c r="C201" s="177" t="str">
        <v>Nashville Youth Campus</v>
      </c>
      <c r="D201" s="177" t="str">
        <v>Joe Hoyle</v>
      </c>
      <c r="E201" s="189">
        <v>0</v>
      </c>
      <c r="F201" s="189">
        <v>2217</v>
      </c>
      <c r="G201" s="177" t="str">
        <v>Shear</v>
      </c>
      <c r="H201" s="191">
        <f t="shared" si="3"/>
        <v>10</v>
      </c>
    </row>
    <row r="202" spans="1:8" x14ac:dyDescent="0.25">
      <c r="A202" s="181">
        <v>46127</v>
      </c>
      <c r="B202" s="177" t="str">
        <v>25017-RO02</v>
      </c>
      <c r="C202" s="177" t="str">
        <v>Nashville Yards Park</v>
      </c>
      <c r="D202" s="177" t="str">
        <v>Dillon Bowman</v>
      </c>
      <c r="E202" s="189">
        <v>1</v>
      </c>
      <c r="F202" s="189">
        <v>3</v>
      </c>
      <c r="G202" s="177" t="str">
        <v>Clean and Brake</v>
      </c>
      <c r="H202" s="191">
        <f t="shared" si="3"/>
        <v>10</v>
      </c>
    </row>
    <row r="203" spans="1:8" x14ac:dyDescent="0.25">
      <c r="A203" s="181">
        <v>46127</v>
      </c>
      <c r="B203" s="177" t="str">
        <v>25010-RO06</v>
      </c>
      <c r="C203" s="177" t="str">
        <v>TOA Spring Hill MOB</v>
      </c>
      <c r="D203" s="177" t="str">
        <v>Cole Norona</v>
      </c>
      <c r="E203" s="189">
        <v>6</v>
      </c>
      <c r="F203" s="189">
        <v>0</v>
      </c>
      <c r="G203" s="177" t="str">
        <v>LO</v>
      </c>
      <c r="H203" s="191">
        <f t="shared" si="3"/>
        <v>10</v>
      </c>
    </row>
    <row r="204" spans="1:8" x14ac:dyDescent="0.25">
      <c r="A204" s="181">
        <v>46127</v>
      </c>
      <c r="B204" s="177" t="str">
        <v>25010-RO07</v>
      </c>
      <c r="C204" s="177" t="str">
        <v>TOA Spring Hill MOB</v>
      </c>
      <c r="D204" s="177" t="str">
        <v>Cole Norona</v>
      </c>
      <c r="E204" s="189">
        <v>3</v>
      </c>
      <c r="F204" s="189">
        <v>0</v>
      </c>
      <c r="G204" s="177" t="str">
        <v>LO</v>
      </c>
      <c r="H204" s="191">
        <f t="shared" si="3"/>
        <v>10</v>
      </c>
    </row>
    <row r="205" spans="1:8" x14ac:dyDescent="0.25">
      <c r="A205" s="181">
        <v>46128</v>
      </c>
      <c r="B205" s="177" t="str">
        <v>24074-FS06</v>
      </c>
      <c r="C205" s="177" t="str">
        <v>DIDD ACM</v>
      </c>
      <c r="D205" s="177" t="str">
        <v>Dillon Bowman</v>
      </c>
      <c r="E205" s="189">
        <v>40</v>
      </c>
      <c r="F205" s="189">
        <v>40</v>
      </c>
      <c r="G205" s="177" t="str">
        <v>Ready to Ship</v>
      </c>
      <c r="H205" s="191">
        <f t="shared" si="3"/>
        <v>2</v>
      </c>
    </row>
    <row r="206" spans="1:8" x14ac:dyDescent="0.25">
      <c r="A206" s="181">
        <v>46128</v>
      </c>
      <c r="B206" s="177" t="str">
        <v>26014-04-ST02</v>
      </c>
      <c r="C206" s="177" t="str">
        <v>2026 R &amp; D</v>
      </c>
      <c r="D206" s="177" t="str">
        <v>TBC</v>
      </c>
      <c r="E206" s="189">
        <v>0</v>
      </c>
      <c r="F206" s="189">
        <v>15</v>
      </c>
      <c r="G206" s="177" t="str">
        <v>TruLaser 3040</v>
      </c>
      <c r="H206" s="191">
        <f t="shared" si="3"/>
        <v>2</v>
      </c>
    </row>
    <row r="207" spans="1:8" x14ac:dyDescent="0.25">
      <c r="A207" s="181">
        <v>46129</v>
      </c>
      <c r="B207" s="177" t="str">
        <v>25075-FS01</v>
      </c>
      <c r="C207" s="177" t="str">
        <v>St Thomas West Canopy Replace</v>
      </c>
      <c r="D207" s="177" t="str">
        <v>Chris Buttrey</v>
      </c>
      <c r="E207" s="189">
        <v>82</v>
      </c>
      <c r="F207" s="189">
        <v>92</v>
      </c>
      <c r="G207" s="177" t="str">
        <v>Crating</v>
      </c>
      <c r="H207" s="191">
        <f t="shared" si="3"/>
        <v>8</v>
      </c>
    </row>
    <row r="208" spans="1:8" x14ac:dyDescent="0.25">
      <c r="A208" s="181">
        <v>46129</v>
      </c>
      <c r="B208" s="177" t="str">
        <v>25002-FS13</v>
      </c>
      <c r="C208" s="177" t="str">
        <v>Med Center Health</v>
      </c>
      <c r="D208" s="177" t="str">
        <v>Carlos Silva</v>
      </c>
      <c r="E208" s="189">
        <v>30</v>
      </c>
      <c r="F208" s="189">
        <v>0</v>
      </c>
      <c r="G208" s="177" t="str">
        <v>LO</v>
      </c>
      <c r="H208" s="191">
        <f t="shared" si="3"/>
        <v>8</v>
      </c>
    </row>
    <row r="209" spans="1:8" x14ac:dyDescent="0.25">
      <c r="A209" s="181">
        <v>46129</v>
      </c>
      <c r="B209" s="177" t="str">
        <v>24069-RM05</v>
      </c>
      <c r="C209" s="177" t="str">
        <v>TCAT Pulaski</v>
      </c>
      <c r="D209" s="177" t="str">
        <v>Chris Buttrey</v>
      </c>
      <c r="E209" s="189">
        <v>1</v>
      </c>
      <c r="F209" s="189">
        <v>1</v>
      </c>
      <c r="G209" s="177" t="str">
        <v>Shipped To Painter</v>
      </c>
      <c r="H209" s="191">
        <f t="shared" si="3"/>
        <v>8</v>
      </c>
    </row>
    <row r="210" spans="1:8" x14ac:dyDescent="0.25">
      <c r="A210" s="181">
        <v>46129</v>
      </c>
      <c r="B210" s="177" t="str">
        <v>26014-06-ST01</v>
      </c>
      <c r="C210" s="177" t="str">
        <v>2026 R &amp; D</v>
      </c>
      <c r="D210" s="177" t="str">
        <v>TBC</v>
      </c>
      <c r="E210" s="189">
        <v>0</v>
      </c>
      <c r="F210" s="189">
        <v>45</v>
      </c>
      <c r="G210" s="177" t="str">
        <v>7000 TubeLaser 28</v>
      </c>
      <c r="H210" s="191">
        <f t="shared" si="3"/>
        <v>8</v>
      </c>
    </row>
    <row r="211" spans="1:8" x14ac:dyDescent="0.25">
      <c r="A211" s="181">
        <v>46129</v>
      </c>
      <c r="B211" s="177" t="str">
        <v>25007-RM01</v>
      </c>
      <c r="C211" s="177" t="str">
        <v>QTS ATL2 DC10</v>
      </c>
      <c r="D211" s="177" t="str">
        <v>Nick Akins</v>
      </c>
      <c r="E211" s="189">
        <v>1</v>
      </c>
      <c r="F211" s="189">
        <v>1</v>
      </c>
      <c r="G211" s="177" t="str">
        <v>Crating</v>
      </c>
      <c r="H211" s="191">
        <f t="shared" si="3"/>
        <v>8</v>
      </c>
    </row>
    <row r="212" spans="1:8" x14ac:dyDescent="0.25">
      <c r="A212" s="181">
        <v>46129</v>
      </c>
      <c r="B212" s="177" t="str">
        <v>25061-BM01</v>
      </c>
      <c r="C212" s="177" t="str">
        <v>BNA Concourse A</v>
      </c>
      <c r="D212" s="177" t="str">
        <v>Andre Van Der Merwe</v>
      </c>
      <c r="E212" s="189">
        <v>0</v>
      </c>
      <c r="F212" s="189">
        <v>21</v>
      </c>
      <c r="G212" s="177" t="str">
        <v>Ready to Ship</v>
      </c>
      <c r="H212" s="191">
        <f t="shared" si="3"/>
        <v>8</v>
      </c>
    </row>
    <row r="213" spans="1:8" x14ac:dyDescent="0.25">
      <c r="A213" s="181">
        <v>46129</v>
      </c>
      <c r="B213" s="177" t="str">
        <v>25061-FL01</v>
      </c>
      <c r="C213" s="177" t="str">
        <v>BNA Concourse A</v>
      </c>
      <c r="D213" s="177" t="str">
        <v>Andre Van Der Merwe</v>
      </c>
      <c r="E213" s="189">
        <v>0</v>
      </c>
      <c r="F213" s="189">
        <v>48</v>
      </c>
      <c r="G213" s="177" t="str">
        <v>Cidan</v>
      </c>
      <c r="H213" s="191">
        <f t="shared" si="3"/>
        <v>8</v>
      </c>
    </row>
    <row r="214" spans="1:8" x14ac:dyDescent="0.25">
      <c r="A214" s="181">
        <v>46129</v>
      </c>
      <c r="B214" s="177" t="str">
        <v>25025-FL11</v>
      </c>
      <c r="C214" s="177" t="str">
        <v>QTS MAN1 DC6</v>
      </c>
      <c r="D214" s="177" t="str">
        <v>Dillon Bowman</v>
      </c>
      <c r="E214" s="189">
        <v>0</v>
      </c>
      <c r="F214" s="189">
        <v>10</v>
      </c>
      <c r="G214" s="177" t="str">
        <v>Ready to Ship</v>
      </c>
      <c r="H214" s="191">
        <f t="shared" si="3"/>
        <v>8</v>
      </c>
    </row>
    <row r="215" spans="1:8" x14ac:dyDescent="0.25">
      <c r="A215" s="181">
        <v>46132</v>
      </c>
      <c r="B215" s="177" t="str">
        <v>24074-FS07</v>
      </c>
      <c r="C215" s="177" t="str">
        <v>DIDD ACM</v>
      </c>
      <c r="D215" s="177" t="str">
        <v>Dillon Bowman</v>
      </c>
      <c r="E215" s="189">
        <v>155</v>
      </c>
      <c r="F215" s="189">
        <v>218</v>
      </c>
      <c r="G215" s="177" t="str">
        <v>CNC Programming</v>
      </c>
      <c r="H215" s="191">
        <f t="shared" si="3"/>
        <v>2</v>
      </c>
    </row>
    <row r="216" spans="1:8" x14ac:dyDescent="0.25">
      <c r="A216" s="181">
        <v>46132</v>
      </c>
      <c r="B216" s="177" t="str">
        <v>26009-FS01</v>
      </c>
      <c r="C216" s="177" t="str">
        <v>5th &amp; Summer Leasing Office</v>
      </c>
      <c r="D216" s="177" t="str">
        <v>Cole Norona</v>
      </c>
      <c r="E216" s="189">
        <v>9</v>
      </c>
      <c r="F216" s="189">
        <v>0</v>
      </c>
      <c r="G216" s="177" t="str">
        <v>LO Check</v>
      </c>
      <c r="H216" s="191">
        <f t="shared" si="3"/>
        <v>2</v>
      </c>
    </row>
    <row r="217" spans="1:8" x14ac:dyDescent="0.25">
      <c r="A217" s="181">
        <v>46133</v>
      </c>
      <c r="B217" s="177" t="str">
        <v>24039-FL35</v>
      </c>
      <c r="C217" s="177" t="str">
        <v>The Visionary</v>
      </c>
      <c r="D217" s="177" t="str">
        <v>Carlos Silva</v>
      </c>
      <c r="E217" s="189">
        <v>0</v>
      </c>
      <c r="F217" s="189">
        <v>62</v>
      </c>
      <c r="G217" s="177" t="str">
        <v>Ready to Ship</v>
      </c>
      <c r="H217" s="191">
        <f t="shared" si="3"/>
        <v>5</v>
      </c>
    </row>
    <row r="218" spans="1:8" x14ac:dyDescent="0.25">
      <c r="A218" s="181">
        <v>46133</v>
      </c>
      <c r="B218" s="177" t="str">
        <v>24039-BM18</v>
      </c>
      <c r="C218" s="177" t="str">
        <v>The Visionary</v>
      </c>
      <c r="D218" s="177" t="str">
        <v>Carlos Silva</v>
      </c>
      <c r="E218" s="189">
        <v>0</v>
      </c>
      <c r="F218" s="189">
        <v>36</v>
      </c>
      <c r="G218" s="177" t="str">
        <v>Ready to Ship</v>
      </c>
      <c r="H218" s="191">
        <f t="shared" si="3"/>
        <v>5</v>
      </c>
    </row>
    <row r="219" spans="1:8" x14ac:dyDescent="0.25">
      <c r="A219" s="181">
        <v>46133</v>
      </c>
      <c r="B219" s="177" t="str">
        <v>24039-FL36</v>
      </c>
      <c r="C219" s="177" t="str">
        <v>The Visionary</v>
      </c>
      <c r="D219" s="177" t="str">
        <v>Carlos Silva</v>
      </c>
      <c r="E219" s="189">
        <v>0</v>
      </c>
      <c r="F219" s="189">
        <v>60</v>
      </c>
      <c r="G219" s="177" t="str">
        <v>Shear</v>
      </c>
      <c r="H219" s="191">
        <f t="shared" si="3"/>
        <v>5</v>
      </c>
    </row>
    <row r="220" spans="1:8" x14ac:dyDescent="0.25">
      <c r="A220" s="181">
        <v>46133</v>
      </c>
      <c r="B220" s="177" t="str">
        <v>24039-FL37</v>
      </c>
      <c r="C220" s="177" t="str">
        <v>The Visionary</v>
      </c>
      <c r="D220" s="177" t="str">
        <v>Carlos Silva</v>
      </c>
      <c r="E220" s="189">
        <v>0</v>
      </c>
      <c r="F220" s="189">
        <v>16</v>
      </c>
      <c r="G220" s="177" t="str">
        <v>Shear</v>
      </c>
      <c r="H220" s="191">
        <f t="shared" si="3"/>
        <v>5</v>
      </c>
    </row>
    <row r="221" spans="1:8" x14ac:dyDescent="0.25">
      <c r="A221" s="181">
        <v>46133</v>
      </c>
      <c r="B221" s="177" t="str">
        <v>24039-BM19</v>
      </c>
      <c r="C221" s="177" t="str">
        <v>The Visionary</v>
      </c>
      <c r="D221" s="177" t="str">
        <v>Carlos Silva</v>
      </c>
      <c r="E221" s="189">
        <v>0</v>
      </c>
      <c r="F221" s="189">
        <v>340</v>
      </c>
      <c r="G221" s="177" t="str">
        <v>Shear</v>
      </c>
      <c r="H221" s="191">
        <f t="shared" si="3"/>
        <v>5</v>
      </c>
    </row>
    <row r="222" spans="1:8" x14ac:dyDescent="0.25">
      <c r="A222" s="181">
        <v>46135</v>
      </c>
      <c r="B222" s="177" t="str">
        <v>25022-RM01</v>
      </c>
      <c r="C222" s="177" t="str">
        <v>Vantage VA15</v>
      </c>
      <c r="D222" s="177" t="str">
        <v>Thomas Mooers</v>
      </c>
      <c r="E222" s="189">
        <v>4</v>
      </c>
      <c r="F222" s="189">
        <v>4</v>
      </c>
      <c r="G222" s="177" t="str">
        <v>AXYZ 34</v>
      </c>
      <c r="H222" s="191">
        <f t="shared" si="3"/>
        <v>2</v>
      </c>
    </row>
    <row r="223" spans="1:8" x14ac:dyDescent="0.25">
      <c r="A223" s="181">
        <v>46135</v>
      </c>
      <c r="B223" s="177" t="str">
        <v>25022-RM02</v>
      </c>
      <c r="C223" s="177" t="str">
        <v>Vantage VA15</v>
      </c>
      <c r="D223" s="177" t="str">
        <v>Thomas Mooers</v>
      </c>
      <c r="E223" s="189">
        <v>1</v>
      </c>
      <c r="F223" s="189">
        <v>1</v>
      </c>
      <c r="G223" s="177" t="str">
        <v>AXYZ 34</v>
      </c>
      <c r="H223" s="191">
        <f t="shared" si="3"/>
        <v>2</v>
      </c>
    </row>
    <row r="224" spans="1:8" x14ac:dyDescent="0.25">
      <c r="A224" s="181">
        <v>46136</v>
      </c>
      <c r="B224" s="177" t="str">
        <v>25030-FS01</v>
      </c>
      <c r="C224" s="177" t="str">
        <v>510 W Tremont</v>
      </c>
      <c r="D224" s="177" t="str">
        <v>Laura Forero</v>
      </c>
      <c r="E224" s="189">
        <v>88</v>
      </c>
      <c r="F224" s="189">
        <v>0</v>
      </c>
      <c r="G224" s="177" t="str">
        <v>Correction</v>
      </c>
      <c r="H224" s="191">
        <f t="shared" si="3"/>
        <v>8</v>
      </c>
    </row>
    <row r="225" spans="1:8" x14ac:dyDescent="0.25">
      <c r="A225" s="181">
        <v>46136</v>
      </c>
      <c r="B225" s="177" t="str">
        <v>25030-FS02</v>
      </c>
      <c r="C225" s="177" t="str">
        <v>510 W Tremont</v>
      </c>
      <c r="D225" s="177" t="str">
        <v>Laura Forero</v>
      </c>
      <c r="E225" s="189">
        <v>84</v>
      </c>
      <c r="F225" s="189">
        <v>0</v>
      </c>
      <c r="G225" s="177" t="str">
        <v>Sketch</v>
      </c>
      <c r="H225" s="191">
        <f t="shared" si="3"/>
        <v>8</v>
      </c>
    </row>
    <row r="226" spans="1:8" x14ac:dyDescent="0.25">
      <c r="A226" s="181">
        <v>46136</v>
      </c>
      <c r="B226" s="177" t="str">
        <v>24051-FS90</v>
      </c>
      <c r="C226" s="177" t="str">
        <v>TN Titans Stadium</v>
      </c>
      <c r="D226" s="177" t="str">
        <v>Marc Ribar</v>
      </c>
      <c r="E226" s="189">
        <v>117</v>
      </c>
      <c r="F226" s="189">
        <v>0</v>
      </c>
      <c r="G226" s="177" t="str">
        <v>Float</v>
      </c>
      <c r="H226" s="191">
        <f t="shared" si="3"/>
        <v>8</v>
      </c>
    </row>
    <row r="227" spans="1:8" x14ac:dyDescent="0.25">
      <c r="A227" s="181">
        <v>46136</v>
      </c>
      <c r="B227" s="177" t="str">
        <v>24051-FS91</v>
      </c>
      <c r="C227" s="177" t="str">
        <v>TN Titans Stadium</v>
      </c>
      <c r="D227" s="177" t="str">
        <v>Marc Ribar</v>
      </c>
      <c r="E227" s="189">
        <v>36</v>
      </c>
      <c r="F227" s="189">
        <v>0</v>
      </c>
      <c r="G227" s="177" t="str">
        <v>Float</v>
      </c>
      <c r="H227" s="191">
        <f t="shared" si="3"/>
        <v>8</v>
      </c>
    </row>
    <row r="228" spans="1:8" x14ac:dyDescent="0.25">
      <c r="A228" s="181">
        <v>46136</v>
      </c>
      <c r="B228" s="177" t="str">
        <v>24051-FS227</v>
      </c>
      <c r="C228" s="177" t="str">
        <v>TN Titans Stadium</v>
      </c>
      <c r="D228" s="177" t="str">
        <v>Marc Ribar</v>
      </c>
      <c r="E228" s="189">
        <v>119</v>
      </c>
      <c r="F228" s="189">
        <v>0</v>
      </c>
      <c r="G228" s="177" t="str">
        <v>Float</v>
      </c>
      <c r="H228" s="191">
        <f t="shared" si="3"/>
        <v>8</v>
      </c>
    </row>
    <row r="229" spans="1:8" x14ac:dyDescent="0.25">
      <c r="A229" s="181">
        <v>46136</v>
      </c>
      <c r="B229" s="177" t="str">
        <v>25061-FS01</v>
      </c>
      <c r="C229" s="177" t="str">
        <v>BNA Concourse A</v>
      </c>
      <c r="D229" s="177" t="str">
        <v>Andre Van Der Merwe</v>
      </c>
      <c r="E229" s="189">
        <v>3</v>
      </c>
      <c r="F229" s="189">
        <v>3</v>
      </c>
      <c r="G229" s="177" t="str">
        <v>Ready to Ship</v>
      </c>
      <c r="H229" s="191">
        <f t="shared" si="3"/>
        <v>8</v>
      </c>
    </row>
    <row r="230" spans="1:8" x14ac:dyDescent="0.25">
      <c r="A230" s="181">
        <v>46136</v>
      </c>
      <c r="B230" s="177" t="str">
        <v>25022-FS12</v>
      </c>
      <c r="C230" s="177" t="str">
        <v>Vantage VA15</v>
      </c>
      <c r="D230" s="177" t="str">
        <v>Thomas Mooers</v>
      </c>
      <c r="E230" s="189">
        <v>76</v>
      </c>
      <c r="F230" s="189">
        <v>77</v>
      </c>
      <c r="G230" s="177" t="str">
        <v>Crating</v>
      </c>
      <c r="H230" s="191">
        <f t="shared" si="3"/>
        <v>8</v>
      </c>
    </row>
    <row r="231" spans="1:8" x14ac:dyDescent="0.25">
      <c r="A231" s="181">
        <v>46136</v>
      </c>
      <c r="B231" s="177" t="str">
        <v>24051-FL01</v>
      </c>
      <c r="C231" s="177" t="str">
        <v>TN Titans Stadium</v>
      </c>
      <c r="D231" s="177" t="str">
        <v>Marc Ribar</v>
      </c>
      <c r="E231" s="189">
        <v>0</v>
      </c>
      <c r="F231" s="189">
        <v>25</v>
      </c>
      <c r="G231" s="177" t="str">
        <v>Release to Shop</v>
      </c>
      <c r="H231" s="191">
        <f t="shared" si="3"/>
        <v>8</v>
      </c>
    </row>
    <row r="232" spans="1:8" x14ac:dyDescent="0.25">
      <c r="A232" s="181">
        <v>46139</v>
      </c>
      <c r="B232" s="177" t="str">
        <v>24026-FS01</v>
      </c>
      <c r="C232" s="177" t="str">
        <v>1740 Division</v>
      </c>
      <c r="D232" s="177" t="str">
        <v>Chris Buttrey</v>
      </c>
      <c r="E232" s="189">
        <v>23</v>
      </c>
      <c r="F232" s="189">
        <v>23</v>
      </c>
      <c r="G232" s="177" t="str">
        <v>AXYZ 34</v>
      </c>
      <c r="H232" s="191">
        <f t="shared" si="3"/>
        <v>2</v>
      </c>
    </row>
    <row r="233" spans="1:8" x14ac:dyDescent="0.25">
      <c r="A233" s="181">
        <v>46139</v>
      </c>
      <c r="B233" s="177" t="str">
        <v>25022-RO03</v>
      </c>
      <c r="C233" s="177" t="str">
        <v>Vantage VA15</v>
      </c>
      <c r="D233" s="177" t="str">
        <v>Thomas Mooers</v>
      </c>
      <c r="E233" s="189">
        <v>3</v>
      </c>
      <c r="F233" s="189">
        <v>3</v>
      </c>
      <c r="G233" s="177" t="str">
        <v>AXYZ 34</v>
      </c>
      <c r="H233" s="191">
        <f t="shared" si="3"/>
        <v>2</v>
      </c>
    </row>
    <row r="234" spans="1:8" x14ac:dyDescent="0.25">
      <c r="A234" s="181">
        <v>46140</v>
      </c>
      <c r="B234" s="177" t="str">
        <v>24051-FS93</v>
      </c>
      <c r="C234" s="177" t="str">
        <v>TN Titans Stadium</v>
      </c>
      <c r="D234" s="177" t="str">
        <v>Marc Ribar</v>
      </c>
      <c r="E234" s="189">
        <v>131</v>
      </c>
      <c r="F234" s="189">
        <v>133</v>
      </c>
      <c r="G234" s="177" t="str">
        <v>Correction</v>
      </c>
      <c r="H234" s="191">
        <f t="shared" si="3"/>
        <v>4</v>
      </c>
    </row>
    <row r="235" spans="1:8" x14ac:dyDescent="0.25">
      <c r="A235" s="181">
        <v>46140</v>
      </c>
      <c r="B235" s="177" t="str">
        <v>24051-FS94</v>
      </c>
      <c r="C235" s="177" t="str">
        <v>TN Titans Stadium</v>
      </c>
      <c r="D235" s="177" t="str">
        <v>Marc Ribar</v>
      </c>
      <c r="E235" s="189">
        <v>79</v>
      </c>
      <c r="F235" s="189">
        <v>0</v>
      </c>
      <c r="G235" s="177" t="str">
        <v>Float</v>
      </c>
      <c r="H235" s="191">
        <f t="shared" si="3"/>
        <v>4</v>
      </c>
    </row>
    <row r="236" spans="1:8" x14ac:dyDescent="0.25">
      <c r="A236" s="181">
        <v>46140</v>
      </c>
      <c r="B236" s="177" t="str">
        <v>24051-FS95</v>
      </c>
      <c r="C236" s="177" t="str">
        <v>TN Titans Stadium</v>
      </c>
      <c r="D236" s="177" t="str">
        <v>Marc Ribar</v>
      </c>
      <c r="E236" s="189">
        <v>96</v>
      </c>
      <c r="F236" s="189">
        <v>0</v>
      </c>
      <c r="G236" s="177" t="str">
        <v>Float</v>
      </c>
      <c r="H236" s="191">
        <f t="shared" si="3"/>
        <v>4</v>
      </c>
    </row>
    <row r="237" spans="1:8" x14ac:dyDescent="0.25">
      <c r="A237" s="181">
        <v>46140</v>
      </c>
      <c r="B237" s="177" t="str">
        <v>24051-FS228</v>
      </c>
      <c r="C237" s="177" t="str">
        <v>TN Titans Stadium</v>
      </c>
      <c r="D237" s="177" t="str">
        <v>Marc Ribar</v>
      </c>
      <c r="E237" s="189">
        <v>95</v>
      </c>
      <c r="F237" s="189">
        <v>0</v>
      </c>
      <c r="G237" s="177" t="str">
        <v>Float</v>
      </c>
      <c r="H237" s="191">
        <f t="shared" si="3"/>
        <v>4</v>
      </c>
    </row>
    <row r="238" spans="1:8" x14ac:dyDescent="0.25">
      <c r="A238" s="181">
        <v>46142</v>
      </c>
      <c r="B238" s="177" t="str">
        <v>25067-FS02</v>
      </c>
      <c r="C238" s="177" t="str">
        <v>Harison Bend</v>
      </c>
      <c r="D238" s="177" t="str">
        <v>Andre Van Der Merwe</v>
      </c>
      <c r="E238" s="189">
        <v>29</v>
      </c>
      <c r="F238" s="189">
        <v>29</v>
      </c>
      <c r="G238" s="177" t="str">
        <v>AXYZ 34</v>
      </c>
      <c r="H238" s="191">
        <f t="shared" si="3"/>
        <v>1</v>
      </c>
    </row>
    <row r="239" spans="1:8" x14ac:dyDescent="0.25">
      <c r="A239" s="181">
        <v>46143</v>
      </c>
      <c r="B239" s="177" t="str">
        <v>24051-FS92</v>
      </c>
      <c r="C239" s="177" t="str">
        <v>TN Titans Stadium</v>
      </c>
      <c r="D239" s="177" t="str">
        <v>Marc Ribar</v>
      </c>
      <c r="E239" s="189">
        <v>104</v>
      </c>
      <c r="F239" s="189">
        <v>0</v>
      </c>
      <c r="G239" s="177" t="str">
        <v>Float</v>
      </c>
      <c r="H239" s="191">
        <f t="shared" si="3"/>
        <v>4</v>
      </c>
    </row>
    <row r="240" spans="1:8" x14ac:dyDescent="0.25">
      <c r="A240" s="181">
        <v>46143</v>
      </c>
      <c r="B240" s="177" t="str">
        <v>24051-FS96</v>
      </c>
      <c r="C240" s="177" t="str">
        <v>TN Titans Stadium</v>
      </c>
      <c r="D240" s="177" t="str">
        <v>Marc Ribar</v>
      </c>
      <c r="E240" s="189">
        <v>52</v>
      </c>
      <c r="F240" s="189">
        <v>0</v>
      </c>
      <c r="G240" s="177" t="str">
        <v>Float</v>
      </c>
      <c r="H240" s="191">
        <f t="shared" si="3"/>
        <v>4</v>
      </c>
    </row>
    <row r="241" spans="1:8" x14ac:dyDescent="0.25">
      <c r="A241" s="181">
        <v>46143</v>
      </c>
      <c r="B241" s="177" t="str">
        <v>24051-FS229</v>
      </c>
      <c r="C241" s="177" t="str">
        <v>TN Titans Stadium</v>
      </c>
      <c r="D241" s="177" t="str">
        <v>Marc Ribar</v>
      </c>
      <c r="E241" s="189">
        <v>109</v>
      </c>
      <c r="F241" s="189">
        <v>0</v>
      </c>
      <c r="G241" s="177" t="str">
        <v>Float</v>
      </c>
      <c r="H241" s="191">
        <f t="shared" si="3"/>
        <v>4</v>
      </c>
    </row>
    <row r="242" spans="1:8" x14ac:dyDescent="0.25">
      <c r="A242" s="181">
        <v>46143</v>
      </c>
      <c r="B242" s="177" t="str">
        <v>24051-FS230</v>
      </c>
      <c r="C242" s="177" t="str">
        <v>TN Titans Stadium</v>
      </c>
      <c r="D242" s="177" t="str">
        <v>Marc Ribar</v>
      </c>
      <c r="E242" s="189">
        <v>67</v>
      </c>
      <c r="F242" s="189">
        <v>0</v>
      </c>
      <c r="G242" s="177" t="str">
        <v>Float</v>
      </c>
      <c r="H242" s="191">
        <f t="shared" si="3"/>
        <v>4</v>
      </c>
    </row>
    <row r="243" spans="1:8" x14ac:dyDescent="0.25">
      <c r="A243" s="181">
        <v>46146</v>
      </c>
      <c r="B243" s="177" t="str">
        <v>24051-FS231</v>
      </c>
      <c r="C243" s="177" t="str">
        <v>TN Titans Stadium</v>
      </c>
      <c r="D243" s="177" t="str">
        <v>Marc Ribar</v>
      </c>
      <c r="E243" s="189">
        <v>1</v>
      </c>
      <c r="F243" s="189">
        <v>0</v>
      </c>
      <c r="G243" s="177" t="str">
        <v>Float</v>
      </c>
      <c r="H243" s="191">
        <f t="shared" si="3"/>
        <v>2</v>
      </c>
    </row>
    <row r="244" spans="1:8" x14ac:dyDescent="0.25">
      <c r="A244" s="181">
        <v>46146</v>
      </c>
      <c r="B244" s="177" t="str">
        <v>25002-FS14</v>
      </c>
      <c r="C244" s="177" t="str">
        <v>Med Center Health</v>
      </c>
      <c r="D244" s="177" t="str">
        <v>Carlos Silva</v>
      </c>
      <c r="E244" s="189" t="str">
        <v>00</v>
      </c>
      <c r="F244" s="189">
        <v>0</v>
      </c>
      <c r="G244" s="177" t="str">
        <v>Evaluation</v>
      </c>
      <c r="H244" s="191">
        <f t="shared" si="3"/>
        <v>2</v>
      </c>
    </row>
    <row r="245" spans="1:8" x14ac:dyDescent="0.25">
      <c r="A245" s="181">
        <v>46147</v>
      </c>
      <c r="B245" s="177" t="str">
        <v>25006-FS03</v>
      </c>
      <c r="C245" s="177" t="str">
        <v>MALETA Housing and Dining</v>
      </c>
      <c r="D245" s="177" t="str">
        <v>Cole Norona</v>
      </c>
      <c r="E245" s="189">
        <v>216</v>
      </c>
      <c r="F245" s="189">
        <v>0</v>
      </c>
      <c r="G245" s="177" t="str">
        <v>Correction</v>
      </c>
      <c r="H245" s="191">
        <f t="shared" si="3"/>
        <v>1</v>
      </c>
    </row>
    <row r="246" spans="1:8" x14ac:dyDescent="0.25">
      <c r="A246" s="181">
        <v>46149</v>
      </c>
      <c r="B246" s="177" t="str">
        <v>24074-FS08</v>
      </c>
      <c r="C246" s="177" t="str">
        <v>DIDD ACM</v>
      </c>
      <c r="D246" s="177" t="str">
        <v>Dillon Bowman</v>
      </c>
      <c r="E246" s="189">
        <v>186</v>
      </c>
      <c r="F246" s="189">
        <v>0</v>
      </c>
      <c r="G246" s="177" t="str">
        <v>LO Check</v>
      </c>
      <c r="H246" s="191">
        <f t="shared" si="3"/>
        <v>1</v>
      </c>
    </row>
    <row r="247" spans="1:8" x14ac:dyDescent="0.25">
      <c r="A247" s="181">
        <v>46153</v>
      </c>
      <c r="B247" s="177" t="str">
        <v>25006-FS05</v>
      </c>
      <c r="C247" s="177" t="str">
        <v>MALETA Housing and Dining</v>
      </c>
      <c r="D247" s="177" t="str">
        <v>Cole Norona</v>
      </c>
      <c r="E247" s="189">
        <v>18</v>
      </c>
      <c r="F247" s="189">
        <v>0</v>
      </c>
      <c r="G247" s="177" t="str">
        <v>LO Check</v>
      </c>
      <c r="H247" s="191">
        <f t="shared" si="3"/>
        <v>4</v>
      </c>
    </row>
    <row r="248" spans="1:8" x14ac:dyDescent="0.25">
      <c r="A248" s="181">
        <v>46153</v>
      </c>
      <c r="B248" s="177" t="str">
        <v>24079-FS103</v>
      </c>
      <c r="C248" s="177" t="str">
        <v>Nashville Youth Campus</v>
      </c>
      <c r="D248" s="177" t="str">
        <v>Joe Hoyle</v>
      </c>
      <c r="E248" s="189">
        <v>111</v>
      </c>
      <c r="F248" s="189">
        <v>0</v>
      </c>
      <c r="G248" s="177" t="str">
        <v>LO Check</v>
      </c>
      <c r="H248" s="191">
        <f t="shared" si="3"/>
        <v>4</v>
      </c>
    </row>
    <row r="249" spans="1:8" x14ac:dyDescent="0.25">
      <c r="A249" s="181">
        <v>46153</v>
      </c>
      <c r="B249" s="177" t="str">
        <v>25010-FS09</v>
      </c>
      <c r="C249" s="177" t="str">
        <v>TOA Spring Hill MOB</v>
      </c>
      <c r="D249" s="177" t="str">
        <v>Cole Norona</v>
      </c>
      <c r="E249" s="189">
        <v>111</v>
      </c>
      <c r="F249" s="189">
        <v>0</v>
      </c>
      <c r="G249" s="177" t="str">
        <v>Correction</v>
      </c>
      <c r="H249" s="191">
        <f t="shared" si="3"/>
        <v>4</v>
      </c>
    </row>
    <row r="250" spans="1:8" x14ac:dyDescent="0.25">
      <c r="A250" s="181">
        <v>46153</v>
      </c>
      <c r="B250" s="177" t="str">
        <v>25029-FS50</v>
      </c>
      <c r="C250" s="177" t="str">
        <v>Lourdes CC Phase 2</v>
      </c>
      <c r="D250" s="177" t="str">
        <v>Dillon Bowman</v>
      </c>
      <c r="E250" s="189">
        <v>8</v>
      </c>
      <c r="F250" s="189">
        <v>4</v>
      </c>
      <c r="G250" s="177" t="str">
        <v>Correction</v>
      </c>
      <c r="H250" s="191">
        <f t="shared" si="3"/>
        <v>4</v>
      </c>
    </row>
    <row r="251" spans="1:8" x14ac:dyDescent="0.25">
      <c r="A251" s="181">
        <v>46156</v>
      </c>
      <c r="B251" s="177" t="str">
        <v>24074-FS09</v>
      </c>
      <c r="C251" s="177" t="str">
        <v>DIDD ACM</v>
      </c>
      <c r="D251" s="177" t="str">
        <v>Dillon Bowman</v>
      </c>
      <c r="E251" s="189">
        <v>120</v>
      </c>
      <c r="F251" s="189">
        <v>0</v>
      </c>
      <c r="G251" s="177" t="str">
        <v>LO Check</v>
      </c>
      <c r="H251" s="191">
        <f t="shared" si="3"/>
        <v>1</v>
      </c>
    </row>
    <row r="252" spans="1:8" x14ac:dyDescent="0.25">
      <c r="A252" s="181">
        <v>46157</v>
      </c>
      <c r="B252" s="177" t="str">
        <v>25006-FS04</v>
      </c>
      <c r="C252" s="177" t="str">
        <v>MALETA Housing and Dining</v>
      </c>
      <c r="D252" s="177" t="str">
        <v>Cole Norona</v>
      </c>
      <c r="E252" s="189">
        <v>232</v>
      </c>
      <c r="F252" s="189">
        <v>0</v>
      </c>
      <c r="G252" s="177" t="str">
        <v>LO Check</v>
      </c>
      <c r="H252" s="191">
        <f t="shared" si="3"/>
        <v>5</v>
      </c>
    </row>
    <row r="253" spans="1:8" x14ac:dyDescent="0.25">
      <c r="A253" s="181">
        <v>46157</v>
      </c>
      <c r="B253" s="177" t="str">
        <v>25029-ST52</v>
      </c>
      <c r="C253" s="177" t="str">
        <v>Lourdes CC Phase 2</v>
      </c>
      <c r="D253" s="177" t="str">
        <v>Dillon Bowman</v>
      </c>
      <c r="E253" s="189">
        <v>0</v>
      </c>
      <c r="F253" s="189">
        <v>10</v>
      </c>
      <c r="G253" s="177" t="str">
        <v>Correction</v>
      </c>
      <c r="H253" s="191">
        <f t="shared" si="3"/>
        <v>5</v>
      </c>
    </row>
    <row r="254" spans="1:8" x14ac:dyDescent="0.25">
      <c r="A254" s="181">
        <v>46157</v>
      </c>
      <c r="B254" s="177" t="str">
        <v>25029-ST70</v>
      </c>
      <c r="C254" s="177" t="str">
        <v>Lourdes CC Phase 2</v>
      </c>
      <c r="D254" s="177" t="str">
        <v>Dillon Bowman</v>
      </c>
      <c r="E254" s="189">
        <v>0</v>
      </c>
      <c r="F254" s="189">
        <v>6</v>
      </c>
      <c r="G254" s="177" t="str">
        <v>Sketch Check</v>
      </c>
      <c r="H254" s="191">
        <f t="shared" si="3"/>
        <v>5</v>
      </c>
    </row>
    <row r="255" spans="1:8" x14ac:dyDescent="0.25">
      <c r="A255" s="181">
        <v>46157</v>
      </c>
      <c r="B255" s="177" t="str">
        <v>25029-ST71</v>
      </c>
      <c r="C255" s="177" t="str">
        <v>Lourdes CC Phase 2</v>
      </c>
      <c r="D255" s="177" t="str">
        <v>Dillon Bowman</v>
      </c>
      <c r="E255" s="189">
        <v>0</v>
      </c>
      <c r="F255" s="189">
        <v>1</v>
      </c>
      <c r="G255" s="177" t="str">
        <v>Sketch</v>
      </c>
      <c r="H255" s="191">
        <f t="shared" si="3"/>
        <v>5</v>
      </c>
    </row>
    <row r="256" spans="1:8" x14ac:dyDescent="0.25">
      <c r="A256" s="181">
        <v>46157</v>
      </c>
      <c r="B256" s="177" t="str">
        <v>25029-ST72</v>
      </c>
      <c r="C256" s="177" t="str">
        <v>Lourdes CC Phase 2</v>
      </c>
      <c r="D256" s="177" t="str">
        <v>Dillon Bowman</v>
      </c>
      <c r="E256" s="189">
        <v>0</v>
      </c>
      <c r="F256" s="189">
        <v>1</v>
      </c>
      <c r="G256" s="177" t="str">
        <v>Sketch Check</v>
      </c>
      <c r="H256" s="191">
        <f t="shared" si="3"/>
        <v>5</v>
      </c>
    </row>
    <row r="257" spans="1:8" x14ac:dyDescent="0.25">
      <c r="A257" s="181">
        <v>46160</v>
      </c>
      <c r="B257" s="177" t="str">
        <v>25029-ST51</v>
      </c>
      <c r="C257" s="177" t="str">
        <v>Lourdes CC Phase 2</v>
      </c>
      <c r="D257" s="177" t="str">
        <v>Dillon Bowman</v>
      </c>
      <c r="E257" s="189">
        <v>0</v>
      </c>
      <c r="F257" s="189">
        <v>10</v>
      </c>
      <c r="G257" s="177" t="str">
        <v>Correction</v>
      </c>
      <c r="H257" s="191">
        <f t="shared" si="3"/>
        <v>3</v>
      </c>
    </row>
    <row r="258" spans="1:8" x14ac:dyDescent="0.25">
      <c r="A258" s="181">
        <v>46160</v>
      </c>
      <c r="B258" s="177" t="str">
        <v>24079-FS201</v>
      </c>
      <c r="C258" s="177" t="str">
        <v>Nashville Youth Campus</v>
      </c>
      <c r="D258" s="177" t="str">
        <v>Joe Hoyle</v>
      </c>
      <c r="E258" s="189">
        <v>41</v>
      </c>
      <c r="F258" s="189">
        <v>0</v>
      </c>
      <c r="G258" s="177" t="str">
        <v>LO</v>
      </c>
      <c r="H258" s="191">
        <f t="shared" si="3"/>
        <v>3</v>
      </c>
    </row>
    <row r="259" spans="1:8" x14ac:dyDescent="0.25">
      <c r="A259" s="181">
        <v>46160</v>
      </c>
      <c r="B259" s="177" t="str">
        <v>24079-FS302</v>
      </c>
      <c r="C259" s="177" t="str">
        <v>Nashville Youth Campus</v>
      </c>
      <c r="D259" s="177" t="str">
        <v>Joe Hoyle</v>
      </c>
      <c r="E259" s="189">
        <v>188</v>
      </c>
      <c r="F259" s="189">
        <v>0</v>
      </c>
      <c r="G259" s="177" t="str">
        <v>LO</v>
      </c>
      <c r="H259" s="191">
        <f t="shared" si="3"/>
        <v>3</v>
      </c>
    </row>
    <row r="260" spans="1:8" x14ac:dyDescent="0.25">
      <c r="A260" s="181">
        <v>46162</v>
      </c>
      <c r="B260" s="177" t="str">
        <v>25008-FS07</v>
      </c>
      <c r="C260" s="177" t="str">
        <v>Columbia State Tech Center</v>
      </c>
      <c r="D260" s="177" t="str">
        <v>Laura Forero</v>
      </c>
      <c r="E260" s="189">
        <v>58</v>
      </c>
      <c r="F260" s="189">
        <v>0</v>
      </c>
      <c r="G260" s="177" t="str">
        <v>Evaluation</v>
      </c>
      <c r="H260" s="191">
        <f t="shared" si="3"/>
        <v>1</v>
      </c>
    </row>
    <row r="261" spans="1:8" x14ac:dyDescent="0.25">
      <c r="A261" s="181">
        <v>46163</v>
      </c>
      <c r="B261" s="177" t="str">
        <v>24074-FS10</v>
      </c>
      <c r="C261" s="177" t="str">
        <v>DIDD ACM</v>
      </c>
      <c r="D261" s="177" t="str">
        <v>Dillon Bowman</v>
      </c>
      <c r="E261" s="189">
        <v>130</v>
      </c>
      <c r="F261" s="189">
        <v>0</v>
      </c>
      <c r="G261" s="177" t="str">
        <v>LO Check</v>
      </c>
      <c r="H261" s="191">
        <f t="shared" si="3"/>
        <v>1</v>
      </c>
    </row>
    <row r="262" spans="1:8" x14ac:dyDescent="0.25">
      <c r="A262" s="181">
        <v>46164</v>
      </c>
      <c r="B262" s="177" t="str">
        <v>24073-FS01</v>
      </c>
      <c r="C262" s="177" t="str">
        <v>DIDD Perf</v>
      </c>
      <c r="D262" s="177" t="str">
        <v>Dillon Bowman</v>
      </c>
      <c r="E262" s="189">
        <v>53</v>
      </c>
      <c r="F262" s="189">
        <v>0</v>
      </c>
      <c r="G262" s="177" t="str">
        <v>Sketch</v>
      </c>
      <c r="H262" s="191">
        <f t="shared" ref="H262:H297" si="4">IF(A262&lt;&gt;"",COUNTIF($A$5:$A$300,A262),"")</f>
        <v>4</v>
      </c>
    </row>
    <row r="263" spans="1:8" x14ac:dyDescent="0.25">
      <c r="A263" s="181">
        <v>46164</v>
      </c>
      <c r="B263" s="177" t="str">
        <v>25044-FS01</v>
      </c>
      <c r="C263" s="177" t="str">
        <v>MALETA Firing Range</v>
      </c>
      <c r="D263" s="177" t="str">
        <v>Cole Norona</v>
      </c>
      <c r="E263" s="189">
        <v>125</v>
      </c>
      <c r="F263" s="189">
        <v>0</v>
      </c>
      <c r="G263" s="177" t="str">
        <v>LO</v>
      </c>
      <c r="H263" s="191">
        <f t="shared" si="4"/>
        <v>4</v>
      </c>
    </row>
    <row r="264" spans="1:8" x14ac:dyDescent="0.25">
      <c r="A264" s="181">
        <v>46164</v>
      </c>
      <c r="B264" s="177" t="str">
        <v>25044-FS01.1</v>
      </c>
      <c r="C264" s="177" t="str">
        <v>MALETA Firing Range</v>
      </c>
      <c r="D264" s="177" t="str">
        <v>Cole Norona</v>
      </c>
      <c r="E264" s="189">
        <v>34</v>
      </c>
      <c r="F264" s="189">
        <v>0</v>
      </c>
      <c r="G264" s="177" t="str">
        <v>LO</v>
      </c>
      <c r="H264" s="191">
        <f t="shared" si="4"/>
        <v>4</v>
      </c>
    </row>
    <row r="265" spans="1:8" x14ac:dyDescent="0.25">
      <c r="A265" s="181">
        <v>46164</v>
      </c>
      <c r="B265" s="177" t="str">
        <v>25065-MU01</v>
      </c>
      <c r="C265" s="177" t="str">
        <v>Crosswinds Casino Resort</v>
      </c>
      <c r="D265" s="177" t="str">
        <v>Matt Rassmussen</v>
      </c>
      <c r="E265" s="189">
        <v>18</v>
      </c>
      <c r="F265" s="189">
        <v>14</v>
      </c>
      <c r="G265" s="177" t="str">
        <v>Sketch Check</v>
      </c>
      <c r="H265" s="191">
        <f t="shared" si="4"/>
        <v>4</v>
      </c>
    </row>
    <row r="266" spans="1:8" x14ac:dyDescent="0.25">
      <c r="A266" s="181">
        <v>46167</v>
      </c>
      <c r="B266" s="177" t="str">
        <v>25006-FS06</v>
      </c>
      <c r="C266" s="177" t="str">
        <v>MALETA Housing and Dining</v>
      </c>
      <c r="D266" s="177" t="str">
        <v>Cole Norona</v>
      </c>
      <c r="E266" s="189">
        <v>246</v>
      </c>
      <c r="F266" s="189">
        <v>0</v>
      </c>
      <c r="G266" s="177" t="str">
        <v>LO Check</v>
      </c>
      <c r="H266" s="191">
        <f t="shared" si="4"/>
        <v>4</v>
      </c>
    </row>
    <row r="267" spans="1:8" x14ac:dyDescent="0.25">
      <c r="A267" s="181">
        <v>46167</v>
      </c>
      <c r="B267" s="177" t="str">
        <v>25037-FS01</v>
      </c>
      <c r="C267" s="177" t="str">
        <v>Chestnut Street Office</v>
      </c>
      <c r="D267" s="177" t="str">
        <v>Laura Forero</v>
      </c>
      <c r="E267" s="189">
        <v>218</v>
      </c>
      <c r="F267" s="189">
        <v>0</v>
      </c>
      <c r="G267" s="177" t="str">
        <v>LO Check</v>
      </c>
      <c r="H267" s="191">
        <f t="shared" si="4"/>
        <v>4</v>
      </c>
    </row>
    <row r="268" spans="1:8" x14ac:dyDescent="0.25">
      <c r="A268" s="181">
        <v>46167</v>
      </c>
      <c r="B268" s="177" t="str">
        <v>24079-FS301</v>
      </c>
      <c r="C268" s="177" t="str">
        <v>Nashville Youth Campus</v>
      </c>
      <c r="D268" s="177" t="str">
        <v>Joe Hoyle</v>
      </c>
      <c r="E268" s="189">
        <v>143</v>
      </c>
      <c r="F268" s="189">
        <v>0</v>
      </c>
      <c r="G268" s="177" t="str">
        <v>LO</v>
      </c>
      <c r="H268" s="191">
        <f t="shared" si="4"/>
        <v>4</v>
      </c>
    </row>
    <row r="269" spans="1:8" x14ac:dyDescent="0.25">
      <c r="A269" s="181">
        <v>46167</v>
      </c>
      <c r="B269" s="177" t="str">
        <v>24079-FS303</v>
      </c>
      <c r="C269" s="177" t="str">
        <v>Nashville Youth Campus</v>
      </c>
      <c r="D269" s="177" t="str">
        <v>Joe Hoyle</v>
      </c>
      <c r="E269" s="189">
        <v>165</v>
      </c>
      <c r="F269" s="189">
        <v>0</v>
      </c>
      <c r="G269" s="177" t="str">
        <v>LO</v>
      </c>
      <c r="H269" s="191">
        <f t="shared" si="4"/>
        <v>4</v>
      </c>
    </row>
    <row r="270" spans="1:8" x14ac:dyDescent="0.25">
      <c r="A270" s="181">
        <v>46168</v>
      </c>
      <c r="B270" s="177" t="str">
        <v>25041-FS02</v>
      </c>
      <c r="C270" s="177" t="str">
        <v>Wedgewood Bldg E</v>
      </c>
      <c r="D270" s="177" t="str">
        <v>Wylie McDougall</v>
      </c>
      <c r="E270" s="189">
        <v>31</v>
      </c>
      <c r="F270" s="189">
        <v>0</v>
      </c>
      <c r="G270" s="177" t="str">
        <v>LO</v>
      </c>
      <c r="H270" s="191">
        <f t="shared" si="4"/>
        <v>1</v>
      </c>
    </row>
    <row r="271" spans="1:8" x14ac:dyDescent="0.25">
      <c r="A271" s="181">
        <v>46171</v>
      </c>
      <c r="B271" s="177" t="str">
        <v>25065-MU02</v>
      </c>
      <c r="C271" s="177" t="str">
        <v>Crosswinds Casino Resort</v>
      </c>
      <c r="D271" s="177" t="str">
        <v>Matt Rassmussen</v>
      </c>
      <c r="E271" s="189">
        <v>15</v>
      </c>
      <c r="F271" s="189">
        <v>13</v>
      </c>
      <c r="G271" s="177" t="str">
        <v>LO</v>
      </c>
      <c r="H271" s="191">
        <f t="shared" si="4"/>
        <v>10</v>
      </c>
    </row>
    <row r="272" spans="1:8" x14ac:dyDescent="0.25">
      <c r="A272" s="181">
        <v>46171</v>
      </c>
      <c r="B272" s="177" t="str">
        <v>25065-MU03</v>
      </c>
      <c r="C272" s="177" t="str">
        <v>Crosswinds Casino Resort</v>
      </c>
      <c r="D272" s="177" t="str">
        <v>Matt Rassmussen</v>
      </c>
      <c r="E272" s="189">
        <v>6</v>
      </c>
      <c r="F272" s="189">
        <v>6</v>
      </c>
      <c r="G272" s="177" t="str">
        <v>LO</v>
      </c>
      <c r="H272" s="191">
        <f t="shared" si="4"/>
        <v>10</v>
      </c>
    </row>
    <row r="273" spans="1:8" x14ac:dyDescent="0.25">
      <c r="A273" s="181">
        <v>46171</v>
      </c>
      <c r="B273" s="177" t="str">
        <v>25065-MU04</v>
      </c>
      <c r="C273" s="177" t="str">
        <v>Crosswinds Casino Resort</v>
      </c>
      <c r="D273" s="177" t="str">
        <v>Matt Rassmussen</v>
      </c>
      <c r="E273" s="189">
        <v>15</v>
      </c>
      <c r="F273" s="189">
        <v>13</v>
      </c>
      <c r="G273" s="177" t="str">
        <v>LO</v>
      </c>
      <c r="H273" s="191">
        <f t="shared" si="4"/>
        <v>10</v>
      </c>
    </row>
    <row r="274" spans="1:8" x14ac:dyDescent="0.25">
      <c r="A274" s="181">
        <v>46171</v>
      </c>
      <c r="B274" s="177" t="str">
        <v>25065-MU05</v>
      </c>
      <c r="C274" s="177" t="str">
        <v>Crosswinds Casino Resort</v>
      </c>
      <c r="D274" s="177" t="str">
        <v>Matt Rassmussen</v>
      </c>
      <c r="E274" s="189">
        <v>3</v>
      </c>
      <c r="F274" s="189">
        <v>1</v>
      </c>
      <c r="G274" s="177" t="str">
        <v>Evaluation</v>
      </c>
      <c r="H274" s="191">
        <f t="shared" si="4"/>
        <v>10</v>
      </c>
    </row>
    <row r="275" spans="1:8" x14ac:dyDescent="0.25">
      <c r="A275" s="181">
        <v>46171</v>
      </c>
      <c r="B275" s="177" t="str">
        <v>25065-MU11</v>
      </c>
      <c r="C275" s="177" t="str">
        <v>Crosswinds Casino Resort</v>
      </c>
      <c r="D275" s="177" t="str">
        <v>Matt Rassmussen</v>
      </c>
      <c r="E275" s="189">
        <v>1</v>
      </c>
      <c r="F275" s="189">
        <v>1</v>
      </c>
      <c r="G275" s="177" t="str">
        <v>Evaluation</v>
      </c>
      <c r="H275" s="191">
        <f t="shared" si="4"/>
        <v>10</v>
      </c>
    </row>
    <row r="276" spans="1:8" x14ac:dyDescent="0.25">
      <c r="A276" s="181">
        <v>46171</v>
      </c>
      <c r="B276" s="177" t="str">
        <v>25065-MU12</v>
      </c>
      <c r="C276" s="177" t="str">
        <v>Crosswinds Casino Resort</v>
      </c>
      <c r="D276" s="177" t="str">
        <v>Matt Rassmussen</v>
      </c>
      <c r="E276" s="189">
        <v>0</v>
      </c>
      <c r="F276" s="189">
        <v>2</v>
      </c>
      <c r="G276" s="177" t="str">
        <v>Evaluation</v>
      </c>
      <c r="H276" s="191">
        <f t="shared" si="4"/>
        <v>10</v>
      </c>
    </row>
    <row r="277" spans="1:8" x14ac:dyDescent="0.25">
      <c r="A277" s="181">
        <v>46171</v>
      </c>
      <c r="B277" s="177" t="str">
        <v>25065-MU13</v>
      </c>
      <c r="C277" s="177" t="str">
        <v>Crosswinds Casino Resort</v>
      </c>
      <c r="D277" s="177" t="str">
        <v>Matt Rassmussen</v>
      </c>
      <c r="E277" s="189">
        <v>0</v>
      </c>
      <c r="F277" s="189">
        <v>1</v>
      </c>
      <c r="G277" s="177" t="str">
        <v>Evaluation</v>
      </c>
      <c r="H277" s="191">
        <f t="shared" si="4"/>
        <v>10</v>
      </c>
    </row>
    <row r="278" spans="1:8" x14ac:dyDescent="0.25">
      <c r="A278" s="181">
        <v>46171</v>
      </c>
      <c r="B278" s="177" t="str">
        <v>25065-MU14</v>
      </c>
      <c r="C278" s="177" t="str">
        <v>Crosswinds Casino Resort</v>
      </c>
      <c r="D278" s="177" t="str">
        <v>Matt Rassmussen</v>
      </c>
      <c r="E278" s="189">
        <v>0</v>
      </c>
      <c r="F278" s="189">
        <v>3</v>
      </c>
      <c r="G278" s="177" t="str">
        <v>Evaluation</v>
      </c>
      <c r="H278" s="191">
        <f t="shared" si="4"/>
        <v>10</v>
      </c>
    </row>
    <row r="279" spans="1:8" x14ac:dyDescent="0.25">
      <c r="A279" s="181">
        <v>46171</v>
      </c>
      <c r="B279" s="177" t="str">
        <v>25065-MU15</v>
      </c>
      <c r="C279" s="177" t="str">
        <v>Crosswinds Casino Resort</v>
      </c>
      <c r="D279" s="177" t="str">
        <v>Matt Rassmussen</v>
      </c>
      <c r="E279" s="189">
        <v>0</v>
      </c>
      <c r="F279" s="189">
        <v>6</v>
      </c>
      <c r="G279" s="177" t="str">
        <v>Evaluation</v>
      </c>
      <c r="H279" s="191">
        <f t="shared" si="4"/>
        <v>10</v>
      </c>
    </row>
    <row r="280" spans="1:8" x14ac:dyDescent="0.25">
      <c r="A280" s="181">
        <v>46171</v>
      </c>
      <c r="B280" s="177" t="str">
        <v>25065-MU20</v>
      </c>
      <c r="C280" s="177" t="str">
        <v>Crosswinds Casino Resort</v>
      </c>
      <c r="D280" s="177" t="str">
        <v>Matt Rassmussen</v>
      </c>
      <c r="E280" s="189">
        <v>0</v>
      </c>
      <c r="F280" s="189">
        <v>3</v>
      </c>
      <c r="G280" s="177" t="str">
        <v>Evaluation</v>
      </c>
      <c r="H280" s="191">
        <f t="shared" si="4"/>
        <v>10</v>
      </c>
    </row>
    <row r="281" spans="1:8" x14ac:dyDescent="0.25">
      <c r="A281" s="181">
        <v>46173</v>
      </c>
      <c r="B281" s="177" t="str">
        <v>25044-FS02</v>
      </c>
      <c r="C281" s="177" t="str">
        <v>MALETA Firing Range</v>
      </c>
      <c r="D281" s="177" t="str">
        <v>Cole Norona</v>
      </c>
      <c r="E281" s="189">
        <v>135</v>
      </c>
      <c r="F281" s="189">
        <v>0</v>
      </c>
      <c r="G281" s="177" t="str">
        <v>LO</v>
      </c>
      <c r="H281" s="191">
        <f t="shared" si="4"/>
        <v>1</v>
      </c>
    </row>
    <row r="282" spans="1:8" x14ac:dyDescent="0.25">
      <c r="A282" s="181">
        <v>46176</v>
      </c>
      <c r="B282" s="177" t="str">
        <v>25006-FS07</v>
      </c>
      <c r="C282" s="177" t="str">
        <v>MALETA Housing and Dining</v>
      </c>
      <c r="D282" s="177" t="str">
        <v>Cole Norona</v>
      </c>
      <c r="E282" s="189">
        <v>190</v>
      </c>
      <c r="F282" s="189">
        <v>0</v>
      </c>
      <c r="G282" s="177" t="str">
        <v>LO Check</v>
      </c>
      <c r="H282" s="191">
        <f t="shared" si="4"/>
        <v>1</v>
      </c>
    </row>
    <row r="283" spans="1:8" x14ac:dyDescent="0.25">
      <c r="A283" s="181">
        <v>46181</v>
      </c>
      <c r="B283" s="177" t="str">
        <v>25037-FS02</v>
      </c>
      <c r="C283" s="177" t="str">
        <v>Chestnut Street Office</v>
      </c>
      <c r="D283" s="177" t="str">
        <v>Laura Forero</v>
      </c>
      <c r="E283" s="189">
        <v>204</v>
      </c>
      <c r="F283" s="189">
        <v>0</v>
      </c>
      <c r="G283" s="177" t="str">
        <v>LO</v>
      </c>
      <c r="H283" s="191">
        <f t="shared" si="4"/>
        <v>1</v>
      </c>
    </row>
    <row r="284" spans="1:8" x14ac:dyDescent="0.25">
      <c r="A284" s="181">
        <v>46183</v>
      </c>
      <c r="B284" s="177" t="str">
        <v>25044-FS03</v>
      </c>
      <c r="C284" s="177" t="str">
        <v>MALETA Firing Range</v>
      </c>
      <c r="D284" s="177" t="str">
        <v>Cole Norona</v>
      </c>
      <c r="E284" s="189">
        <v>150</v>
      </c>
      <c r="F284" s="189">
        <v>0</v>
      </c>
      <c r="G284" s="177" t="str">
        <v>LO</v>
      </c>
      <c r="H284" s="191">
        <f t="shared" si="4"/>
        <v>1</v>
      </c>
    </row>
    <row r="285" spans="1:8" x14ac:dyDescent="0.25">
      <c r="A285" s="181">
        <v>46185</v>
      </c>
      <c r="B285" s="177" t="str">
        <v>25006-FS08</v>
      </c>
      <c r="C285" s="177" t="str">
        <v>MALETA Housing and Dining</v>
      </c>
      <c r="D285" s="177" t="str">
        <v>Cole Norona</v>
      </c>
      <c r="E285" s="189">
        <v>83</v>
      </c>
      <c r="F285" s="189">
        <v>0</v>
      </c>
      <c r="G285" s="177" t="str">
        <v>LO Check</v>
      </c>
      <c r="H285" s="191">
        <f t="shared" si="4"/>
        <v>2</v>
      </c>
    </row>
    <row r="286" spans="1:8" x14ac:dyDescent="0.25">
      <c r="A286" s="181">
        <v>46185</v>
      </c>
      <c r="B286" s="177" t="str">
        <v>25012-FS02</v>
      </c>
      <c r="C286" s="177" t="str">
        <v>St Jude Hospital</v>
      </c>
      <c r="D286" s="177" t="str">
        <v>Wylie McDougall</v>
      </c>
      <c r="E286" s="189">
        <v>60</v>
      </c>
      <c r="F286" s="189">
        <v>60</v>
      </c>
      <c r="G286" s="177" t="str">
        <v>AXYZ 34</v>
      </c>
      <c r="H286" s="191">
        <f t="shared" si="4"/>
        <v>2</v>
      </c>
    </row>
    <row r="287" spans="1:8" x14ac:dyDescent="0.25">
      <c r="A287" s="181">
        <v>46192</v>
      </c>
      <c r="B287" s="177" t="str">
        <v>25044-FS04</v>
      </c>
      <c r="C287" s="177" t="str">
        <v>MALETA Firing Range</v>
      </c>
      <c r="D287" s="177" t="str">
        <v>Cole Norona</v>
      </c>
      <c r="E287" s="189">
        <v>113</v>
      </c>
      <c r="F287" s="189">
        <v>0</v>
      </c>
      <c r="G287" s="177" t="str">
        <v>LO</v>
      </c>
      <c r="H287" s="191">
        <f t="shared" si="4"/>
        <v>1</v>
      </c>
    </row>
    <row r="288" spans="1:8" x14ac:dyDescent="0.25">
      <c r="A288" s="182">
        <v>46199</v>
      </c>
      <c r="B288" s="178" t="str">
        <v>25044-FS05</v>
      </c>
      <c r="C288" s="178" t="str">
        <v>MALETA Firing Range</v>
      </c>
      <c r="D288" s="178" t="str">
        <v>Cole Norona</v>
      </c>
      <c r="E288" s="190">
        <v>111</v>
      </c>
      <c r="F288" s="190">
        <v>0</v>
      </c>
      <c r="G288" s="178" t="str">
        <v>LO</v>
      </c>
      <c r="H288" s="191">
        <f t="shared" si="4"/>
        <v>1</v>
      </c>
    </row>
    <row r="289" spans="1:8" x14ac:dyDescent="0.25">
      <c r="A289" s="1">
        <v>46209</v>
      </c>
      <c r="B289" t="str">
        <v>25044-FS06</v>
      </c>
      <c r="C289" t="str">
        <v>MALETA Firing Range</v>
      </c>
      <c r="D289" t="str">
        <v>Cole Norona</v>
      </c>
      <c r="E289">
        <v>203</v>
      </c>
      <c r="F289">
        <v>0</v>
      </c>
      <c r="G289" t="str">
        <v>LO</v>
      </c>
      <c r="H289" s="191">
        <f t="shared" si="4"/>
        <v>1</v>
      </c>
    </row>
    <row r="290" spans="1:8" x14ac:dyDescent="0.25">
      <c r="A290" s="1">
        <v>46218</v>
      </c>
      <c r="B290" t="str">
        <v>25044-FS07</v>
      </c>
      <c r="C290" t="str">
        <v>MALETA Firing Range</v>
      </c>
      <c r="D290" t="str">
        <v>Cole Norona</v>
      </c>
      <c r="E290">
        <v>160</v>
      </c>
      <c r="F290">
        <v>0</v>
      </c>
      <c r="G290" t="str">
        <v>LO</v>
      </c>
      <c r="H290" s="191">
        <f t="shared" si="4"/>
        <v>1</v>
      </c>
    </row>
    <row r="291" spans="1:8" x14ac:dyDescent="0.25">
      <c r="A291" s="1">
        <v>46225</v>
      </c>
      <c r="B291" t="str">
        <v>25044-FS08</v>
      </c>
      <c r="C291" t="str">
        <v>MALETA Firing Range</v>
      </c>
      <c r="D291" t="str">
        <v>Cole Norona</v>
      </c>
      <c r="E291">
        <v>163</v>
      </c>
      <c r="F291">
        <v>0</v>
      </c>
      <c r="G291" t="str">
        <v>LO</v>
      </c>
      <c r="H291" s="191">
        <f t="shared" si="4"/>
        <v>1</v>
      </c>
    </row>
    <row r="292" spans="1:8" x14ac:dyDescent="0.25">
      <c r="A292" s="1">
        <v>46232</v>
      </c>
      <c r="B292" t="str">
        <v>25044-FS09</v>
      </c>
      <c r="C292" t="str">
        <v>MALETA Firing Range</v>
      </c>
      <c r="D292" t="str">
        <v>Cole Norona</v>
      </c>
      <c r="E292">
        <v>86</v>
      </c>
      <c r="F292">
        <v>0</v>
      </c>
      <c r="G292" t="str">
        <v>LO</v>
      </c>
      <c r="H292" s="191">
        <f t="shared" si="4"/>
        <v>2</v>
      </c>
    </row>
    <row r="293" spans="1:8" x14ac:dyDescent="0.25">
      <c r="A293" s="1">
        <v>46232</v>
      </c>
      <c r="B293" t="str">
        <v>25044-FS01.2</v>
      </c>
      <c r="C293" t="str">
        <v>MALETA Firing Range</v>
      </c>
      <c r="D293" t="str">
        <v>Cole Norona</v>
      </c>
      <c r="E293">
        <v>193</v>
      </c>
      <c r="F293">
        <v>0</v>
      </c>
      <c r="G293" t="str">
        <v>LO</v>
      </c>
      <c r="H293" s="191">
        <f t="shared" si="4"/>
        <v>2</v>
      </c>
    </row>
    <row r="294" spans="1:8" x14ac:dyDescent="0.25">
      <c r="A294" s="1">
        <v>46241</v>
      </c>
      <c r="B294" t="str">
        <v>25044-FS10</v>
      </c>
      <c r="C294" t="str">
        <v>MALETA Firing Range</v>
      </c>
      <c r="D294" t="str">
        <v>Cole Norona</v>
      </c>
      <c r="E294">
        <v>185</v>
      </c>
      <c r="F294">
        <v>0</v>
      </c>
      <c r="G294" t="str">
        <v>LO</v>
      </c>
      <c r="H294" s="191">
        <f t="shared" si="4"/>
        <v>1</v>
      </c>
    </row>
    <row r="295" spans="1:8" x14ac:dyDescent="0.25">
      <c r="A295" s="1">
        <v>46251</v>
      </c>
      <c r="B295" t="str">
        <v>25044-FS11</v>
      </c>
      <c r="C295" t="str">
        <v>MALETA Firing Range</v>
      </c>
      <c r="D295" t="str">
        <v>Cole Norona</v>
      </c>
      <c r="E295">
        <v>185</v>
      </c>
      <c r="F295">
        <v>0</v>
      </c>
      <c r="G295" t="str">
        <v>LO</v>
      </c>
      <c r="H295" s="191">
        <f t="shared" si="4"/>
        <v>1</v>
      </c>
    </row>
    <row r="296" spans="1:8" x14ac:dyDescent="0.25">
      <c r="A296" s="1"/>
      <c r="H296" s="191" t="str">
        <f t="shared" si="4"/>
        <v/>
      </c>
    </row>
    <row r="297" spans="1:8" x14ac:dyDescent="0.25">
      <c r="A297" s="1"/>
      <c r="H297" s="191" t="str">
        <f t="shared" si="4"/>
        <v/>
      </c>
    </row>
    <row r="298" spans="1:8" x14ac:dyDescent="0.25">
      <c r="A298" s="1"/>
    </row>
    <row r="299" spans="1:8" x14ac:dyDescent="0.25">
      <c r="A299" s="1"/>
    </row>
    <row r="300" spans="1:8" x14ac:dyDescent="0.25">
      <c r="A300" s="1"/>
    </row>
  </sheetData>
  <autoFilter ref="A4:H289" xr:uid="{D07E0FC3-1986-4656-B14D-B6D3F90FD0AE}"/>
  <mergeCells count="3">
    <mergeCell ref="A1:H1"/>
    <mergeCell ref="A2:H2"/>
    <mergeCell ref="J30:L30"/>
  </mergeCells>
  <conditionalFormatting sqref="A5:H300 A6:G289 H6:H297">
    <cfRule type="expression" dxfId="14" priority="1">
      <formula>AND($A5&lt;&gt;"", $A5&lt;=TODAY())</formula>
    </cfRule>
  </conditionalFormatting>
  <dataValidations count="1">
    <dataValidation type="list" allowBlank="1" showInputMessage="1" showErrorMessage="1" sqref="K28" xr:uid="{BACDA35F-7A66-49DA-B7C0-19E9ABF9A6D7}">
      <formula1>$M$8:$M$147</formula1>
    </dataValidation>
  </dataValidation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C9594-3CF5-423F-9C42-950234C36653}">
  <sheetPr>
    <tabColor rgb="FFC8A855"/>
  </sheetPr>
  <dimension ref="A1:G326"/>
  <sheetViews>
    <sheetView zoomScale="115" zoomScaleNormal="115" workbookViewId="0">
      <pane ySplit="4" topLeftCell="A241" activePane="bottomLeft" state="frozen"/>
      <selection pane="bottomLeft" activeCell="D261" sqref="D261"/>
    </sheetView>
  </sheetViews>
  <sheetFormatPr defaultRowHeight="15" outlineLevelCol="3" x14ac:dyDescent="0.25"/>
  <cols>
    <col min="1" max="1" width="21" style="287" customWidth="1" outlineLevel="3" collapsed="1"/>
    <col min="2" max="2" width="70.7109375" style="288" customWidth="1"/>
    <col min="3" max="3" width="22.85546875" customWidth="1"/>
    <col min="4" max="4" width="26.7109375" customWidth="1"/>
    <col min="5" max="5" width="22.85546875" customWidth="1"/>
    <col min="6" max="6" width="19" customWidth="1"/>
    <col min="7" max="7" width="18.28515625" customWidth="1"/>
  </cols>
  <sheetData>
    <row r="1" spans="1:7" ht="50.25" customHeight="1" x14ac:dyDescent="0.25">
      <c r="A1" s="157" t="s">
        <v>2801</v>
      </c>
      <c r="B1" s="83" t="s">
        <v>2735</v>
      </c>
      <c r="C1" s="63" t="s">
        <v>4264</v>
      </c>
      <c r="D1" s="77" t="str">
        <f ca="1">IF(C1="","",IF(IFERROR(VLOOKUP(C1,'Job Operations'!A5:Y304,25,FALSE),"")="","❌ NOT FOUND",IF(VLOOKUP(C1,'Job Operations'!A5:Y304,25,FALSE)&lt;TODAY(),"🔴 LATE","🟢 ON TIME")))</f>
        <v>❌ NOT FOUND</v>
      </c>
      <c r="E1" s="77" t="str">
        <f>IF(C1="","",IFERROR(VLOOKUP(C1,'Job Operations'!A5:B304,2,FALSE),""))</f>
        <v/>
      </c>
      <c r="F1" s="77" t="str">
        <f>IF(C1="","",IFERROR("Ship: "&amp;TEXT(VLOOKUP(C1,'Job Operations'!A5:I304,9,FALSE),"mm/dd/yyyy"),""))</f>
        <v/>
      </c>
      <c r="G1" s="77" t="str">
        <f>IF(C1="","",IFERROR("Station: "&amp;VLOOKUP(C1,'Job Operations'!A5:L304,12,FALSE),""))</f>
        <v/>
      </c>
    </row>
    <row r="2" spans="1:7" ht="27" customHeight="1" x14ac:dyDescent="0.25">
      <c r="A2" s="324" t="s">
        <v>1738</v>
      </c>
      <c r="B2" s="326" t="s">
        <v>4212</v>
      </c>
      <c r="C2" s="256" t="str">
        <f>IFERROR(VLOOKUP(A2,'Production Schedule'!$B:$CC,80,FALSE),"")</f>
        <v>Ready to Ship</v>
      </c>
      <c r="D2" s="323" t="str">
        <f ca="1">IF(F2="⚠️ CHANGED",NOW(),"—")</f>
        <v>—</v>
      </c>
      <c r="E2" s="328" t="str">
        <f>C2</f>
        <v>Ready to Ship</v>
      </c>
      <c r="F2" s="328" t="str">
        <f>IF(AND(C2&lt;&gt;"",E2&lt;&gt;"",C2&lt;&gt;E2),"⚠️ CHANGED","—")</f>
        <v>—</v>
      </c>
      <c r="G2" s="328"/>
    </row>
    <row r="3" spans="1:7" ht="32.25" customHeight="1" x14ac:dyDescent="0.25">
      <c r="A3" s="324" t="s">
        <v>2454</v>
      </c>
      <c r="B3" s="326" t="s">
        <v>4213</v>
      </c>
      <c r="C3" s="328" t="str">
        <f>IFERROR(VLOOKUP(A3,'Production Schedule'!$B:$CC,80,FALSE),"")</f>
        <v>Assembly</v>
      </c>
      <c r="D3" s="323" t="str">
        <f ca="1">IF(F3="⚠️ CHANGED",NOW(),"—")</f>
        <v>—</v>
      </c>
      <c r="E3" s="328" t="str">
        <f>C3</f>
        <v>Assembly</v>
      </c>
      <c r="F3" s="328" t="str">
        <f>IF(AND(C3&lt;&gt;"",E3&lt;&gt;"",C3&lt;&gt;E3),"⚠️ CHANGED","—")</f>
        <v>—</v>
      </c>
      <c r="G3" s="328"/>
    </row>
    <row r="4" spans="1:7" ht="32.25" customHeight="1" x14ac:dyDescent="0.25">
      <c r="A4" s="324" t="s">
        <v>1749</v>
      </c>
      <c r="B4" s="326"/>
      <c r="C4" s="328" t="str">
        <f>IFERROR(VLOOKUP(A4,'Production Schedule'!$B:$CC,80,FALSE),"")</f>
        <v>Extrusion Saw</v>
      </c>
      <c r="D4" s="323" t="str">
        <f ca="1">IF(F4="⚠️ CHANGED",NOW(),"—")</f>
        <v>—</v>
      </c>
      <c r="E4" s="328" t="str">
        <f>C4</f>
        <v>Extrusion Saw</v>
      </c>
      <c r="F4" s="328" t="str">
        <f>IF(AND(C4&lt;&gt;"",E4&lt;&gt;"",C4&lt;&gt;E4),"⚠️ CHANGED","—")</f>
        <v>—</v>
      </c>
      <c r="G4" s="328"/>
    </row>
    <row r="5" spans="1:7" x14ac:dyDescent="0.25">
      <c r="A5" s="63" t="s">
        <v>1838</v>
      </c>
      <c r="B5" s="64" t="s">
        <v>4212</v>
      </c>
      <c r="C5" t="str">
        <f>IFERROR(VLOOKUP(A5,'Production Schedule'!$B:$CC,80,FALSE),"")</f>
        <v>Ready to Ship</v>
      </c>
      <c r="D5" s="323" t="str">
        <f ca="1">IF(F5="⚠️ CHANGED",NOW(),"—")</f>
        <v>—</v>
      </c>
      <c r="E5" t="str">
        <f>C5</f>
        <v>Ready to Ship</v>
      </c>
      <c r="F5" t="str">
        <f>IF(AND(C5&lt;&gt;"",E5&lt;&gt;"",C5&lt;&gt;E5),"⚠️ CHANGED","—")</f>
        <v>—</v>
      </c>
    </row>
    <row r="6" spans="1:7" x14ac:dyDescent="0.25">
      <c r="A6" s="63" t="s">
        <v>1110</v>
      </c>
      <c r="B6" s="64" t="s">
        <v>4212</v>
      </c>
      <c r="C6" s="328" t="str">
        <f>IFERROR(VLOOKUP(A6,'Production Schedule'!$B:$CC,80,FALSE),"")</f>
        <v>Ready to Ship</v>
      </c>
      <c r="D6" s="323" t="str">
        <f ca="1">IF(F6="⚠️ CHANGED",NOW(),"—")</f>
        <v>—</v>
      </c>
      <c r="E6" s="328" t="str">
        <f>C6</f>
        <v>Ready to Ship</v>
      </c>
      <c r="F6" s="328" t="str">
        <f>IF(AND(C6&lt;&gt;"",E6&lt;&gt;"",C6&lt;&gt;E6),"⚠️ CHANGED","—")</f>
        <v>—</v>
      </c>
    </row>
    <row r="7" spans="1:7" ht="15" customHeight="1" x14ac:dyDescent="0.25">
      <c r="A7" s="63" t="s">
        <v>1122</v>
      </c>
      <c r="B7" s="64" t="s">
        <v>4212</v>
      </c>
      <c r="C7" t="str">
        <f>IFERROR(VLOOKUP(A7,'Production Schedule'!$B:$CC,80,FALSE),"")</f>
        <v>Ready to Ship</v>
      </c>
      <c r="D7" s="323" t="str">
        <f ca="1">IF(F7="⚠️ CHANGED",NOW(),"—")</f>
        <v>—</v>
      </c>
      <c r="E7" t="str">
        <f>C7</f>
        <v>Ready to Ship</v>
      </c>
      <c r="F7" t="str">
        <f>IF(AND(C7&lt;&gt;"",E7&lt;&gt;"",C7&lt;&gt;E7),"⚠️ CHANGED","—")</f>
        <v>—</v>
      </c>
    </row>
    <row r="8" spans="1:7" x14ac:dyDescent="0.25">
      <c r="A8" s="63" t="s">
        <v>1527</v>
      </c>
      <c r="B8" s="64" t="s">
        <v>4212</v>
      </c>
      <c r="C8" t="str">
        <f>IFERROR(VLOOKUP(A8,'Production Schedule'!$B:$CC,80,FALSE),"")</f>
        <v>Ready to Ship</v>
      </c>
      <c r="D8" s="323" t="str">
        <f ca="1">IF(F8="⚠️ CHANGED",NOW(),"—")</f>
        <v>—</v>
      </c>
      <c r="E8" t="str">
        <f>C8</f>
        <v>Ready to Ship</v>
      </c>
      <c r="F8" t="str">
        <f>IF(AND(C8&lt;&gt;"",E8&lt;&gt;"",C8&lt;&gt;E8),"⚠️ CHANGED","—")</f>
        <v>—</v>
      </c>
    </row>
    <row r="9" spans="1:7" x14ac:dyDescent="0.25">
      <c r="A9" s="63" t="s">
        <v>1544</v>
      </c>
      <c r="B9" s="64" t="s">
        <v>4212</v>
      </c>
      <c r="C9" t="str">
        <f>IFERROR(VLOOKUP(A9,'Production Schedule'!$B:$CC,80,FALSE),"")</f>
        <v>Ready to Ship</v>
      </c>
      <c r="D9" s="323" t="str">
        <f ca="1">IF(F9="⚠️ CHANGED",NOW(),"—")</f>
        <v>—</v>
      </c>
      <c r="E9" t="str">
        <f>C9</f>
        <v>Ready to Ship</v>
      </c>
      <c r="F9" t="str">
        <f>IF(AND(C9&lt;&gt;"",E9&lt;&gt;"",C9&lt;&gt;E9),"⚠️ CHANGED","—")</f>
        <v>—</v>
      </c>
    </row>
    <row r="10" spans="1:7" x14ac:dyDescent="0.25">
      <c r="A10" s="63" t="s">
        <v>607</v>
      </c>
      <c r="B10" s="64" t="s">
        <v>4212</v>
      </c>
      <c r="C10" t="str">
        <f>IFERROR(VLOOKUP(A10,'Production Schedule'!$B:$CC,80,FALSE),"")</f>
        <v>Ready to Ship</v>
      </c>
      <c r="D10" s="323" t="str">
        <f ca="1">IF(F10="⚠️ CHANGED",NOW(),"—")</f>
        <v>—</v>
      </c>
      <c r="E10" t="str">
        <f>C10</f>
        <v>Ready to Ship</v>
      </c>
      <c r="F10" t="str">
        <f>IF(AND(C10&lt;&gt;"",E10&lt;&gt;"",C10&lt;&gt;E10),"⚠️ CHANGED","—")</f>
        <v>—</v>
      </c>
    </row>
    <row r="11" spans="1:7" x14ac:dyDescent="0.25">
      <c r="A11" s="63" t="s">
        <v>617</v>
      </c>
      <c r="B11" s="64" t="s">
        <v>4214</v>
      </c>
      <c r="C11" t="str">
        <f>IFERROR(VLOOKUP(A11,'Production Schedule'!$B:$CC,80,FALSE),"")</f>
        <v>AXYZ 34</v>
      </c>
      <c r="D11" s="323" t="str">
        <f ca="1">IF(F11="⚠️ CHANGED",NOW(),"—")</f>
        <v>—</v>
      </c>
      <c r="E11" t="str">
        <f>C11</f>
        <v>AXYZ 34</v>
      </c>
      <c r="F11" t="str">
        <f>IF(AND(C11&lt;&gt;"",E11&lt;&gt;"",C11&lt;&gt;E11),"⚠️ CHANGED","—")</f>
        <v>—</v>
      </c>
    </row>
    <row r="12" spans="1:7" ht="45" x14ac:dyDescent="0.25">
      <c r="A12" s="63" t="s">
        <v>1484</v>
      </c>
      <c r="B12" s="64" t="s">
        <v>4215</v>
      </c>
      <c r="C12" t="str">
        <f>IFERROR(VLOOKUP(A12,'Production Schedule'!$B:$CC,80,FALSE),"")</f>
        <v>Partially Shipped</v>
      </c>
      <c r="D12" s="323" t="str">
        <f ca="1">IF(F12="⚠️ CHANGED",NOW(),"—")</f>
        <v>—</v>
      </c>
      <c r="E12" t="str">
        <f>C12</f>
        <v>Partially Shipped</v>
      </c>
      <c r="F12" t="str">
        <f>IF(AND(C12&lt;&gt;"",E12&lt;&gt;"",C12&lt;&gt;E12),"⚠️ CHANGED","—")</f>
        <v>—</v>
      </c>
    </row>
    <row r="13" spans="1:7" x14ac:dyDescent="0.25">
      <c r="A13" s="63" t="s">
        <v>2557</v>
      </c>
      <c r="B13" s="64" t="s">
        <v>4212</v>
      </c>
      <c r="C13" t="str">
        <f>IFERROR(VLOOKUP(A13,'Production Schedule'!$B:$CC,80,FALSE),"")</f>
        <v>Ready to Ship</v>
      </c>
      <c r="D13" s="323" t="str">
        <f ca="1">IF(F13="⚠️ CHANGED",NOW(),"—")</f>
        <v>—</v>
      </c>
      <c r="E13" t="str">
        <f>C13</f>
        <v>Ready to Ship</v>
      </c>
      <c r="F13" t="str">
        <f>IF(AND(C13&lt;&gt;"",E13&lt;&gt;"",C13&lt;&gt;E13),"⚠️ CHANGED","—")</f>
        <v>—</v>
      </c>
    </row>
    <row r="14" spans="1:7" x14ac:dyDescent="0.25">
      <c r="A14" s="63" t="s">
        <v>2562</v>
      </c>
      <c r="B14" s="64" t="s">
        <v>4216</v>
      </c>
      <c r="C14" t="str">
        <f>IFERROR(VLOOKUP(A14,'Production Schedule'!$B:$CC,80,FALSE),"")</f>
        <v>Shear</v>
      </c>
      <c r="D14" s="323" t="str">
        <f ca="1">IF(F14="⚠️ CHANGED",NOW(),"—")</f>
        <v>—</v>
      </c>
      <c r="E14" t="str">
        <f>C14</f>
        <v>Shear</v>
      </c>
      <c r="F14" t="str">
        <f>IF(AND(C14&lt;&gt;"",E14&lt;&gt;"",C14&lt;&gt;E14),"⚠️ CHANGED","—")</f>
        <v>—</v>
      </c>
    </row>
    <row r="15" spans="1:7" x14ac:dyDescent="0.25">
      <c r="A15" s="63" t="s">
        <v>2549</v>
      </c>
      <c r="B15" s="64" t="s">
        <v>4212</v>
      </c>
      <c r="C15" t="str">
        <f>IFERROR(VLOOKUP(A15,'Production Schedule'!$B:$CC,80,FALSE),"")</f>
        <v>Ready to Ship</v>
      </c>
      <c r="D15" s="323" t="str">
        <f ca="1">IF(F15="⚠️ CHANGED",NOW(),"—")</f>
        <v>—</v>
      </c>
      <c r="E15" t="str">
        <f>C15</f>
        <v>Ready to Ship</v>
      </c>
      <c r="F15" t="str">
        <f>IF(AND(C15&lt;&gt;"",E15&lt;&gt;"",C15&lt;&gt;E15),"⚠️ CHANGED","—")</f>
        <v>—</v>
      </c>
    </row>
    <row r="16" spans="1:7" x14ac:dyDescent="0.25">
      <c r="A16" s="63" t="s">
        <v>2564</v>
      </c>
      <c r="B16" s="64" t="s">
        <v>4216</v>
      </c>
      <c r="C16" t="str">
        <f>IFERROR(VLOOKUP(A16,'Production Schedule'!$B:$CC,80,FALSE),"")</f>
        <v>Shear</v>
      </c>
      <c r="D16" s="323" t="str">
        <f ca="1">IF(F16="⚠️ CHANGED",NOW(),"—")</f>
        <v>—</v>
      </c>
      <c r="E16" t="str">
        <f>C16</f>
        <v>Shear</v>
      </c>
      <c r="F16" t="str">
        <f>IF(AND(C16&lt;&gt;"",E16&lt;&gt;"",C16&lt;&gt;E16),"⚠️ CHANGED","—")</f>
        <v>—</v>
      </c>
    </row>
    <row r="17" spans="1:6" x14ac:dyDescent="0.25">
      <c r="A17" s="63" t="s">
        <v>2555</v>
      </c>
      <c r="B17" s="64" t="s">
        <v>4216</v>
      </c>
      <c r="C17" t="str">
        <f>IFERROR(VLOOKUP(A17,'Production Schedule'!$B:$CC,80,FALSE),"")</f>
        <v>Shear</v>
      </c>
      <c r="D17" s="323" t="str">
        <f ca="1">IF(F17="⚠️ CHANGED",NOW(),"—")</f>
        <v>—</v>
      </c>
      <c r="E17" t="str">
        <f>C17</f>
        <v>Shear</v>
      </c>
      <c r="F17" t="str">
        <f>IF(AND(C17&lt;&gt;"",E17&lt;&gt;"",C17&lt;&gt;E17),"⚠️ CHANGED","—")</f>
        <v>—</v>
      </c>
    </row>
    <row r="18" spans="1:6" x14ac:dyDescent="0.25">
      <c r="A18" s="63" t="s">
        <v>1611</v>
      </c>
      <c r="B18" s="64" t="s">
        <v>4217</v>
      </c>
      <c r="C18" t="str">
        <f>IFERROR(VLOOKUP(A18,'Production Schedule'!$B:$CC,80,FALSE),"")</f>
        <v>Partially Shipped</v>
      </c>
      <c r="D18" s="323" t="str">
        <f ca="1">IF(F18="⚠️ CHANGED",NOW(),"—")</f>
        <v>—</v>
      </c>
      <c r="E18" t="str">
        <f>C18</f>
        <v>Partially Shipped</v>
      </c>
      <c r="F18" t="str">
        <f>IF(AND(C18&lt;&gt;"",E18&lt;&gt;"",C18&lt;&gt;E18),"⚠️ CHANGED","—")</f>
        <v>—</v>
      </c>
    </row>
    <row r="19" spans="1:6" x14ac:dyDescent="0.25">
      <c r="A19" s="63" t="s">
        <v>1623</v>
      </c>
      <c r="B19" s="64" t="s">
        <v>4217</v>
      </c>
      <c r="C19" t="str">
        <f>IFERROR(VLOOKUP(A19,'Production Schedule'!$B:$CC,80,FALSE),"")</f>
        <v>Partially Shipped</v>
      </c>
      <c r="D19" s="323" t="str">
        <f ca="1">IF(F19="⚠️ CHANGED",NOW(),"—")</f>
        <v>—</v>
      </c>
      <c r="E19" t="str">
        <f>C19</f>
        <v>Partially Shipped</v>
      </c>
      <c r="F19" t="str">
        <f>IF(AND(C19&lt;&gt;"",E19&lt;&gt;"",C19&lt;&gt;E19),"⚠️ CHANGED","—")</f>
        <v>—</v>
      </c>
    </row>
    <row r="20" spans="1:6" x14ac:dyDescent="0.25">
      <c r="A20" s="63" t="s">
        <v>1569</v>
      </c>
      <c r="B20" s="64" t="s">
        <v>4212</v>
      </c>
      <c r="C20" t="str">
        <f>IFERROR(VLOOKUP(A20,'Production Schedule'!$B:$CC,80,FALSE),"")</f>
        <v>Ready to Ship</v>
      </c>
      <c r="D20" s="323" t="str">
        <f ca="1">IF(F20="⚠️ CHANGED",NOW(),"—")</f>
        <v>—</v>
      </c>
      <c r="E20" t="str">
        <f>C20</f>
        <v>Ready to Ship</v>
      </c>
      <c r="F20" t="str">
        <f>IF(AND(C20&lt;&gt;"",E20&lt;&gt;"",C20&lt;&gt;E20),"⚠️ CHANGED","—")</f>
        <v>—</v>
      </c>
    </row>
    <row r="21" spans="1:6" x14ac:dyDescent="0.25">
      <c r="A21" s="63" t="s">
        <v>1578</v>
      </c>
      <c r="B21" s="64" t="s">
        <v>4212</v>
      </c>
      <c r="C21" t="str">
        <f>IFERROR(VLOOKUP(A21,'Production Schedule'!$B:$CC,80,FALSE),"")</f>
        <v>Ready to Ship</v>
      </c>
      <c r="D21" s="323" t="str">
        <f ca="1">IF(F21="⚠️ CHANGED",NOW(),"—")</f>
        <v>—</v>
      </c>
      <c r="E21" t="str">
        <f>C21</f>
        <v>Ready to Ship</v>
      </c>
      <c r="F21" t="str">
        <f>IF(AND(C21&lt;&gt;"",E21&lt;&gt;"",C21&lt;&gt;E21),"⚠️ CHANGED","—")</f>
        <v>—</v>
      </c>
    </row>
    <row r="22" spans="1:6" x14ac:dyDescent="0.25">
      <c r="A22" s="63" t="s">
        <v>4192</v>
      </c>
      <c r="B22" s="64" t="s">
        <v>4218</v>
      </c>
      <c r="D22" s="328"/>
    </row>
    <row r="23" spans="1:6" x14ac:dyDescent="0.25">
      <c r="A23" s="63" t="s">
        <v>1004</v>
      </c>
      <c r="B23" s="64" t="s">
        <v>4212</v>
      </c>
      <c r="C23" t="str">
        <f>IFERROR(VLOOKUP(A23,'Production Schedule'!$B:$CC,80,FALSE),"")</f>
        <v>Ready to Ship</v>
      </c>
      <c r="D23" s="323" t="str">
        <f ca="1">IF(F23="⚠️ CHANGED",NOW(),"—")</f>
        <v>—</v>
      </c>
      <c r="E23" t="str">
        <f>C23</f>
        <v>Ready to Ship</v>
      </c>
      <c r="F23" t="str">
        <f>IF(AND(C23&lt;&gt;"",E23&lt;&gt;"",C23&lt;&gt;E23),"⚠️ CHANGED","—")</f>
        <v>—</v>
      </c>
    </row>
    <row r="24" spans="1:6" x14ac:dyDescent="0.25">
      <c r="A24" s="63" t="s">
        <v>1022</v>
      </c>
      <c r="B24" s="64" t="s">
        <v>4219</v>
      </c>
      <c r="C24" t="str">
        <f>IFERROR(VLOOKUP(A24,'Production Schedule'!$B:$CC,80,FALSE),"")</f>
        <v>RTS Titans</v>
      </c>
      <c r="D24" s="323" t="str">
        <f ca="1">IF(F24="⚠️ CHANGED",NOW(),"—")</f>
        <v>—</v>
      </c>
      <c r="E24" t="str">
        <f>C24</f>
        <v>RTS Titans</v>
      </c>
      <c r="F24" t="str">
        <f>IF(AND(C24&lt;&gt;"",E24&lt;&gt;"",C24&lt;&gt;E24),"⚠️ CHANGED","—")</f>
        <v>—</v>
      </c>
    </row>
    <row r="25" spans="1:6" x14ac:dyDescent="0.25">
      <c r="A25" s="63" t="s">
        <v>1028</v>
      </c>
      <c r="B25" s="64" t="s">
        <v>4219</v>
      </c>
      <c r="C25" t="str">
        <f>IFERROR(VLOOKUP(A25,'Production Schedule'!$B:$CC,80,FALSE),"")</f>
        <v>RTS Titans</v>
      </c>
      <c r="D25" s="323" t="str">
        <f ca="1">IF(F25="⚠️ CHANGED",NOW(),"—")</f>
        <v>—</v>
      </c>
      <c r="E25" t="str">
        <f>C25</f>
        <v>RTS Titans</v>
      </c>
      <c r="F25" t="str">
        <f>IF(AND(C25&lt;&gt;"",E25&lt;&gt;"",C25&lt;&gt;E25),"⚠️ CHANGED","—")</f>
        <v>—</v>
      </c>
    </row>
    <row r="26" spans="1:6" x14ac:dyDescent="0.25">
      <c r="A26" s="63" t="s">
        <v>2609</v>
      </c>
      <c r="B26" s="64" t="s">
        <v>4220</v>
      </c>
      <c r="C26" t="str">
        <f>IFERROR(VLOOKUP(A26,'Production Schedule'!$B:$CC,80,FALSE),"")</f>
        <v>Release to Shop</v>
      </c>
      <c r="D26" s="323" t="str">
        <f ca="1">IF(F26="⚠️ CHANGED",NOW(),"—")</f>
        <v>—</v>
      </c>
      <c r="E26" t="str">
        <f>C26</f>
        <v>Release to Shop</v>
      </c>
      <c r="F26" t="str">
        <f>IF(AND(C26&lt;&gt;"",E26&lt;&gt;"",C26&lt;&gt;E26),"⚠️ CHANGED","—")</f>
        <v>—</v>
      </c>
    </row>
    <row r="27" spans="1:6" x14ac:dyDescent="0.25">
      <c r="A27" s="63" t="s">
        <v>1158</v>
      </c>
      <c r="B27" s="64" t="s">
        <v>4219</v>
      </c>
      <c r="C27" t="str">
        <f>IFERROR(VLOOKUP(A27,'Production Schedule'!$B:$CC,80,FALSE),"")</f>
        <v>RTS Titans</v>
      </c>
      <c r="D27" s="323" t="str">
        <f ca="1">IF(F27="⚠️ CHANGED",NOW(),"—")</f>
        <v>—</v>
      </c>
      <c r="E27" t="str">
        <f>C27</f>
        <v>RTS Titans</v>
      </c>
      <c r="F27" t="str">
        <f>IF(AND(C27&lt;&gt;"",E27&lt;&gt;"",C27&lt;&gt;E27),"⚠️ CHANGED","—")</f>
        <v>—</v>
      </c>
    </row>
    <row r="28" spans="1:6" x14ac:dyDescent="0.25">
      <c r="A28" s="63" t="s">
        <v>1164</v>
      </c>
      <c r="B28" s="64" t="s">
        <v>4219</v>
      </c>
      <c r="C28" t="str">
        <f>IFERROR(VLOOKUP(A28,'Production Schedule'!$B:$CC,80,FALSE),"")</f>
        <v>RTS Titans</v>
      </c>
      <c r="D28" s="323" t="str">
        <f ca="1">IF(F28="⚠️ CHANGED",NOW(),"—")</f>
        <v>—</v>
      </c>
      <c r="E28" t="str">
        <f>C28</f>
        <v>RTS Titans</v>
      </c>
      <c r="F28" t="str">
        <f>IF(AND(C28&lt;&gt;"",E28&lt;&gt;"",C28&lt;&gt;E28),"⚠️ CHANGED","—")</f>
        <v>—</v>
      </c>
    </row>
    <row r="29" spans="1:6" x14ac:dyDescent="0.25">
      <c r="A29" s="63" t="s">
        <v>1172</v>
      </c>
      <c r="B29" s="64" t="s">
        <v>4219</v>
      </c>
      <c r="C29" t="str">
        <f>IFERROR(VLOOKUP(A29,'Production Schedule'!$B:$CC,80,FALSE),"")</f>
        <v>RTS Titans</v>
      </c>
      <c r="D29" s="323" t="str">
        <f ca="1">IF(F29="⚠️ CHANGED",NOW(),"—")</f>
        <v>—</v>
      </c>
      <c r="E29" t="str">
        <f>C29</f>
        <v>RTS Titans</v>
      </c>
      <c r="F29" t="str">
        <f>IF(AND(C29&lt;&gt;"",E29&lt;&gt;"",C29&lt;&gt;E29),"⚠️ CHANGED","—")</f>
        <v>—</v>
      </c>
    </row>
    <row r="30" spans="1:6" ht="45" customHeight="1" x14ac:dyDescent="0.25">
      <c r="A30" s="63" t="s">
        <v>1178</v>
      </c>
      <c r="B30" s="64" t="s">
        <v>4219</v>
      </c>
      <c r="C30" t="str">
        <f>IFERROR(VLOOKUP(A30,'Production Schedule'!$B:$CC,80,FALSE),"")</f>
        <v>RTS Titans</v>
      </c>
      <c r="D30" s="323" t="str">
        <f ca="1">IF(F30="⚠️ CHANGED",NOW(),"—")</f>
        <v>—</v>
      </c>
      <c r="E30" t="str">
        <f>C30</f>
        <v>RTS Titans</v>
      </c>
      <c r="F30" t="str">
        <f>IF(AND(C30&lt;&gt;"",E30&lt;&gt;"",C30&lt;&gt;E30),"⚠️ CHANGED","—")</f>
        <v>—</v>
      </c>
    </row>
    <row r="31" spans="1:6" x14ac:dyDescent="0.25">
      <c r="A31" s="63" t="s">
        <v>938</v>
      </c>
      <c r="B31" s="64" t="s">
        <v>4217</v>
      </c>
      <c r="C31" t="str">
        <f>IFERROR(VLOOKUP(A31,'Production Schedule'!$B:$CC,80,FALSE),"")</f>
        <v>Partially Shipped</v>
      </c>
      <c r="D31" s="323" t="str">
        <f ca="1">IF(F31="⚠️ CHANGED",NOW(),"—")</f>
        <v>—</v>
      </c>
      <c r="E31" t="str">
        <f>C31</f>
        <v>Partially Shipped</v>
      </c>
      <c r="F31" t="str">
        <f>IF(AND(C31&lt;&gt;"",E31&lt;&gt;"",C31&lt;&gt;E31),"⚠️ CHANGED","—")</f>
        <v>—</v>
      </c>
    </row>
    <row r="32" spans="1:6" x14ac:dyDescent="0.25">
      <c r="A32" s="63" t="s">
        <v>947</v>
      </c>
      <c r="B32" s="64" t="s">
        <v>4217</v>
      </c>
      <c r="C32" t="str">
        <f>IFERROR(VLOOKUP(A32,'Production Schedule'!$B:$CC,80,FALSE),"")</f>
        <v>Partially Shipped</v>
      </c>
      <c r="D32" s="323" t="str">
        <f ca="1">IF(F32="⚠️ CHANGED",NOW(),"—")</f>
        <v>—</v>
      </c>
      <c r="E32" t="str">
        <f>C32</f>
        <v>Partially Shipped</v>
      </c>
      <c r="F32" t="str">
        <f>IF(AND(C32&lt;&gt;"",E32&lt;&gt;"",C32&lt;&gt;E32),"⚠️ CHANGED","—")</f>
        <v>—</v>
      </c>
    </row>
    <row r="33" spans="1:6" x14ac:dyDescent="0.25">
      <c r="A33" s="63" t="s">
        <v>954</v>
      </c>
      <c r="B33" s="64" t="s">
        <v>4217</v>
      </c>
      <c r="C33" t="str">
        <f>IFERROR(VLOOKUP(A33,'Production Schedule'!$B:$CC,80,FALSE),"")</f>
        <v>Partially Shipped</v>
      </c>
      <c r="D33" s="323" t="str">
        <f ca="1">IF(F33="⚠️ CHANGED",NOW(),"—")</f>
        <v>—</v>
      </c>
      <c r="E33" t="str">
        <f>C33</f>
        <v>Partially Shipped</v>
      </c>
      <c r="F33" t="str">
        <f>IF(AND(C33&lt;&gt;"",E33&lt;&gt;"",C33&lt;&gt;E33),"⚠️ CHANGED","—")</f>
        <v>—</v>
      </c>
    </row>
    <row r="34" spans="1:6" x14ac:dyDescent="0.25">
      <c r="A34" s="63" t="s">
        <v>962</v>
      </c>
      <c r="B34" s="64" t="s">
        <v>4219</v>
      </c>
      <c r="C34" t="str">
        <f>IFERROR(VLOOKUP(A34,'Production Schedule'!$B:$CC,80,FALSE),"")</f>
        <v>RTS Titans</v>
      </c>
      <c r="D34" s="323" t="str">
        <f ca="1">IF(F34="⚠️ CHANGED",NOW(),"—")</f>
        <v>—</v>
      </c>
      <c r="E34" t="str">
        <f>C34</f>
        <v>RTS Titans</v>
      </c>
      <c r="F34" t="str">
        <f>IF(AND(C34&lt;&gt;"",E34&lt;&gt;"",C34&lt;&gt;E34),"⚠️ CHANGED","—")</f>
        <v>—</v>
      </c>
    </row>
    <row r="35" spans="1:6" x14ac:dyDescent="0.25">
      <c r="A35" s="63" t="s">
        <v>1406</v>
      </c>
      <c r="B35" s="64" t="s">
        <v>4219</v>
      </c>
      <c r="C35" t="str">
        <f>IFERROR(VLOOKUP(A35,'Production Schedule'!$B:$CC,80,FALSE),"")</f>
        <v>RTS Titans</v>
      </c>
      <c r="D35" s="323" t="str">
        <f ca="1">IF(F35="⚠️ CHANGED",NOW(),"—")</f>
        <v>—</v>
      </c>
      <c r="E35" t="str">
        <f>C35</f>
        <v>RTS Titans</v>
      </c>
      <c r="F35" t="str">
        <f>IF(AND(C35&lt;&gt;"",E35&lt;&gt;"",C35&lt;&gt;E35),"⚠️ CHANGED","—")</f>
        <v>—</v>
      </c>
    </row>
    <row r="36" spans="1:6" x14ac:dyDescent="0.25">
      <c r="A36" s="63" t="s">
        <v>1412</v>
      </c>
      <c r="B36" s="64" t="s">
        <v>4219</v>
      </c>
      <c r="C36" t="str">
        <f>IFERROR(VLOOKUP(A36,'Production Schedule'!$B:$CC,80,FALSE),"")</f>
        <v>RTS Titans</v>
      </c>
      <c r="D36" s="323" t="str">
        <f ca="1">IF(F36="⚠️ CHANGED",NOW(),"—")</f>
        <v>—</v>
      </c>
      <c r="E36" t="str">
        <f>C36</f>
        <v>RTS Titans</v>
      </c>
      <c r="F36" t="str">
        <f>IF(AND(C36&lt;&gt;"",E36&lt;&gt;"",C36&lt;&gt;E36),"⚠️ CHANGED","—")</f>
        <v>—</v>
      </c>
    </row>
    <row r="37" spans="1:6" x14ac:dyDescent="0.25">
      <c r="A37" s="63" t="s">
        <v>1417</v>
      </c>
      <c r="B37" s="64" t="s">
        <v>4219</v>
      </c>
      <c r="C37" t="str">
        <f>IFERROR(VLOOKUP(A37,'Production Schedule'!$B:$CC,80,FALSE),"")</f>
        <v>RTS Titans</v>
      </c>
      <c r="D37" s="323" t="str">
        <f ca="1">IF(F37="⚠️ CHANGED",NOW(),"—")</f>
        <v>—</v>
      </c>
      <c r="E37" t="str">
        <f>C37</f>
        <v>RTS Titans</v>
      </c>
      <c r="F37" t="str">
        <f>IF(AND(C37&lt;&gt;"",E37&lt;&gt;"",C37&lt;&gt;E37),"⚠️ CHANGED","—")</f>
        <v>—</v>
      </c>
    </row>
    <row r="38" spans="1:6" x14ac:dyDescent="0.25">
      <c r="A38" s="63" t="s">
        <v>1423</v>
      </c>
      <c r="B38" s="64" t="s">
        <v>4219</v>
      </c>
      <c r="C38" t="str">
        <f>IFERROR(VLOOKUP(A38,'Production Schedule'!$B:$CC,80,FALSE),"")</f>
        <v>RTS Titans</v>
      </c>
      <c r="D38" s="323" t="str">
        <f ca="1">IF(F38="⚠️ CHANGED",NOW(),"—")</f>
        <v>—</v>
      </c>
      <c r="E38" t="str">
        <f>C38</f>
        <v>RTS Titans</v>
      </c>
      <c r="F38" t="str">
        <f>IF(AND(C38&lt;&gt;"",E38&lt;&gt;"",C38&lt;&gt;E38),"⚠️ CHANGED","—")</f>
        <v>—</v>
      </c>
    </row>
    <row r="39" spans="1:6" x14ac:dyDescent="0.25">
      <c r="A39" s="63" t="s">
        <v>1431</v>
      </c>
      <c r="B39" s="64" t="s">
        <v>4219</v>
      </c>
      <c r="C39" t="str">
        <f>IFERROR(VLOOKUP(A39,'Production Schedule'!$B:$CC,80,FALSE),"")</f>
        <v>RTS Titans</v>
      </c>
      <c r="D39" s="323" t="str">
        <f ca="1">IF(F39="⚠️ CHANGED",NOW(),"—")</f>
        <v>—</v>
      </c>
      <c r="E39" t="str">
        <f>C39</f>
        <v>RTS Titans</v>
      </c>
      <c r="F39" t="str">
        <f>IF(AND(C39&lt;&gt;"",E39&lt;&gt;"",C39&lt;&gt;E39),"⚠️ CHANGED","—")</f>
        <v>—</v>
      </c>
    </row>
    <row r="40" spans="1:6" x14ac:dyDescent="0.25">
      <c r="A40" s="63" t="s">
        <v>1556</v>
      </c>
      <c r="B40" s="64" t="s">
        <v>4219</v>
      </c>
      <c r="C40" t="str">
        <f>IFERROR(VLOOKUP(A40,'Production Schedule'!$B:$CC,80,FALSE),"")</f>
        <v>RTS Titans</v>
      </c>
      <c r="D40" s="323" t="str">
        <f ca="1">IF(F40="⚠️ CHANGED",NOW(),"—")</f>
        <v>—</v>
      </c>
      <c r="E40" t="str">
        <f>C40</f>
        <v>RTS Titans</v>
      </c>
      <c r="F40" t="str">
        <f>IF(AND(C40&lt;&gt;"",E40&lt;&gt;"",C40&lt;&gt;E40),"⚠️ CHANGED","—")</f>
        <v>—</v>
      </c>
    </row>
    <row r="41" spans="1:6" x14ac:dyDescent="0.25">
      <c r="A41" s="63" t="s">
        <v>1560</v>
      </c>
      <c r="B41" s="64" t="s">
        <v>4219</v>
      </c>
      <c r="C41" t="str">
        <f>IFERROR(VLOOKUP(A41,'Production Schedule'!$B:$CC,80,FALSE),"")</f>
        <v>RTS Titans</v>
      </c>
      <c r="D41" s="323" t="str">
        <f ca="1">IF(F41="⚠️ CHANGED",NOW(),"—")</f>
        <v>—</v>
      </c>
      <c r="E41" t="str">
        <f>C41</f>
        <v>RTS Titans</v>
      </c>
      <c r="F41" t="str">
        <f>IF(AND(C41&lt;&gt;"",E41&lt;&gt;"",C41&lt;&gt;E41),"⚠️ CHANGED","—")</f>
        <v>—</v>
      </c>
    </row>
    <row r="42" spans="1:6" x14ac:dyDescent="0.25">
      <c r="A42" s="63" t="s">
        <v>1331</v>
      </c>
      <c r="B42" s="64" t="s">
        <v>4219</v>
      </c>
      <c r="C42" t="str">
        <f>IFERROR(VLOOKUP(A42,'Production Schedule'!$B:$CC,80,FALSE),"")</f>
        <v>RTS Titans</v>
      </c>
      <c r="D42" s="323" t="str">
        <f ca="1">IF(F42="⚠️ CHANGED",NOW(),"—")</f>
        <v>—</v>
      </c>
      <c r="E42" t="str">
        <f>C42</f>
        <v>RTS Titans</v>
      </c>
      <c r="F42" t="str">
        <f>IF(AND(C42&lt;&gt;"",E42&lt;&gt;"",C42&lt;&gt;E42),"⚠️ CHANGED","—")</f>
        <v>—</v>
      </c>
    </row>
    <row r="43" spans="1:6" x14ac:dyDescent="0.25">
      <c r="A43" s="63" t="s">
        <v>227</v>
      </c>
      <c r="B43" s="64" t="s">
        <v>4219</v>
      </c>
      <c r="C43" t="str">
        <f>IFERROR(VLOOKUP(A43,'Production Schedule'!$B:$CC,80,FALSE),"")</f>
        <v>RTS Titans</v>
      </c>
      <c r="D43" s="323" t="str">
        <f ca="1">IF(F43="⚠️ CHANGED",NOW(),"—")</f>
        <v>—</v>
      </c>
      <c r="E43" t="str">
        <f>C43</f>
        <v>RTS Titans</v>
      </c>
      <c r="F43" t="str">
        <f>IF(AND(C43&lt;&gt;"",E43&lt;&gt;"",C43&lt;&gt;E43),"⚠️ CHANGED","—")</f>
        <v>—</v>
      </c>
    </row>
    <row r="44" spans="1:6" x14ac:dyDescent="0.25">
      <c r="A44" s="63" t="s">
        <v>252</v>
      </c>
      <c r="B44" s="64" t="s">
        <v>4219</v>
      </c>
      <c r="C44" t="str">
        <f>IFERROR(VLOOKUP(A44,'Production Schedule'!$B:$CC,80,FALSE),"")</f>
        <v>RTS Titans</v>
      </c>
      <c r="D44" s="323" t="str">
        <f ca="1">IF(F44="⚠️ CHANGED",NOW(),"—")</f>
        <v>—</v>
      </c>
      <c r="E44" t="str">
        <f>C44</f>
        <v>RTS Titans</v>
      </c>
      <c r="F44" t="str">
        <f>IF(AND(C44&lt;&gt;"",E44&lt;&gt;"",C44&lt;&gt;E44),"⚠️ CHANGED","—")</f>
        <v>—</v>
      </c>
    </row>
    <row r="45" spans="1:6" x14ac:dyDescent="0.25">
      <c r="A45" s="63" t="s">
        <v>263</v>
      </c>
      <c r="B45" s="64" t="s">
        <v>4219</v>
      </c>
      <c r="C45" t="str">
        <f>IFERROR(VLOOKUP(A45,'Production Schedule'!$B:$CC,80,FALSE),"")</f>
        <v>RTS Titans</v>
      </c>
      <c r="D45" s="323" t="str">
        <f ca="1">IF(F45="⚠️ CHANGED",NOW(),"—")</f>
        <v>—</v>
      </c>
      <c r="E45" t="str">
        <f>C45</f>
        <v>RTS Titans</v>
      </c>
      <c r="F45" t="str">
        <f>IF(AND(C45&lt;&gt;"",E45&lt;&gt;"",C45&lt;&gt;E45),"⚠️ CHANGED","—")</f>
        <v>—</v>
      </c>
    </row>
    <row r="46" spans="1:6" x14ac:dyDescent="0.25">
      <c r="A46" s="63" t="s">
        <v>273</v>
      </c>
      <c r="B46" s="64" t="s">
        <v>4219</v>
      </c>
      <c r="C46" t="str">
        <f>IFERROR(VLOOKUP(A46,'Production Schedule'!$B:$CC,80,FALSE),"")</f>
        <v>RTS Titans</v>
      </c>
      <c r="D46" s="323" t="str">
        <f ca="1">IF(F46="⚠️ CHANGED",NOW(),"—")</f>
        <v>—</v>
      </c>
      <c r="E46" t="str">
        <f>C46</f>
        <v>RTS Titans</v>
      </c>
      <c r="F46" t="str">
        <f>IF(AND(C46&lt;&gt;"",E46&lt;&gt;"",C46&lt;&gt;E46),"⚠️ CHANGED","—")</f>
        <v>—</v>
      </c>
    </row>
    <row r="47" spans="1:6" ht="30" x14ac:dyDescent="0.25">
      <c r="A47" s="63" t="s">
        <v>282</v>
      </c>
      <c r="B47" s="64" t="s">
        <v>4221</v>
      </c>
      <c r="C47" t="str">
        <f>IFERROR(VLOOKUP(A47,'Production Schedule'!$B:$CC,80,FALSE),"")</f>
        <v>RTS Titans</v>
      </c>
      <c r="D47" s="323" t="str">
        <f ca="1">IF(F47="⚠️ CHANGED",NOW(),"—")</f>
        <v>—</v>
      </c>
      <c r="E47" t="str">
        <f>C47</f>
        <v>RTS Titans</v>
      </c>
      <c r="F47" t="str">
        <f>IF(AND(C47&lt;&gt;"",E47&lt;&gt;"",C47&lt;&gt;E47),"⚠️ CHANGED","—")</f>
        <v>—</v>
      </c>
    </row>
    <row r="48" spans="1:6" x14ac:dyDescent="0.25">
      <c r="A48" s="63" t="s">
        <v>294</v>
      </c>
      <c r="B48" s="64" t="s">
        <v>4219</v>
      </c>
      <c r="C48" t="str">
        <f>IFERROR(VLOOKUP(A48,'Production Schedule'!$B:$CC,80,FALSE),"")</f>
        <v>RTS Titans</v>
      </c>
      <c r="D48" s="323" t="str">
        <f ca="1">IF(F48="⚠️ CHANGED",NOW(),"—")</f>
        <v>—</v>
      </c>
      <c r="E48" t="str">
        <f>C48</f>
        <v>RTS Titans</v>
      </c>
      <c r="F48" t="str">
        <f>IF(AND(C48&lt;&gt;"",E48&lt;&gt;"",C48&lt;&gt;E48),"⚠️ CHANGED","—")</f>
        <v>—</v>
      </c>
    </row>
    <row r="49" spans="1:6" x14ac:dyDescent="0.25">
      <c r="A49" s="63" t="s">
        <v>1222</v>
      </c>
      <c r="B49" s="64" t="s">
        <v>4219</v>
      </c>
      <c r="C49" t="str">
        <f>IFERROR(VLOOKUP(A49,'Production Schedule'!$B:$CC,80,FALSE),"")</f>
        <v>RTS Titans</v>
      </c>
      <c r="D49" s="323" t="str">
        <f ca="1">IF(F49="⚠️ CHANGED",NOW(),"—")</f>
        <v>—</v>
      </c>
      <c r="E49" t="str">
        <f>C49</f>
        <v>RTS Titans</v>
      </c>
      <c r="F49" t="str">
        <f>IF(AND(C49&lt;&gt;"",E49&lt;&gt;"",C49&lt;&gt;E49),"⚠️ CHANGED","—")</f>
        <v>—</v>
      </c>
    </row>
    <row r="50" spans="1:6" x14ac:dyDescent="0.25">
      <c r="A50" s="63" t="s">
        <v>1227</v>
      </c>
      <c r="B50" s="64" t="s">
        <v>4219</v>
      </c>
      <c r="C50" t="str">
        <f>IFERROR(VLOOKUP(A50,'Production Schedule'!$B:$CC,80,FALSE),"")</f>
        <v>RTS Titans</v>
      </c>
      <c r="D50" s="323" t="str">
        <f ca="1">IF(F50="⚠️ CHANGED",NOW(),"—")</f>
        <v>—</v>
      </c>
      <c r="E50" t="str">
        <f>C50</f>
        <v>RTS Titans</v>
      </c>
      <c r="F50" t="str">
        <f>IF(AND(C50&lt;&gt;"",E50&lt;&gt;"",C50&lt;&gt;E50),"⚠️ CHANGED","—")</f>
        <v>—</v>
      </c>
    </row>
    <row r="51" spans="1:6" x14ac:dyDescent="0.25">
      <c r="A51" s="63" t="s">
        <v>1478</v>
      </c>
      <c r="B51" s="64" t="s">
        <v>4219</v>
      </c>
      <c r="C51" t="str">
        <f>IFERROR(VLOOKUP(A51,'Production Schedule'!$B:$CC,80,FALSE),"")</f>
        <v>RTS Titans</v>
      </c>
      <c r="D51" s="323" t="str">
        <f ca="1">IF(F51="⚠️ CHANGED",NOW(),"—")</f>
        <v>—</v>
      </c>
      <c r="E51" t="str">
        <f>C51</f>
        <v>RTS Titans</v>
      </c>
      <c r="F51" t="str">
        <f>IF(AND(C51&lt;&gt;"",E51&lt;&gt;"",C51&lt;&gt;E51),"⚠️ CHANGED","—")</f>
        <v>—</v>
      </c>
    </row>
    <row r="52" spans="1:6" x14ac:dyDescent="0.25">
      <c r="A52" s="63" t="s">
        <v>424</v>
      </c>
      <c r="B52" s="64" t="s">
        <v>4219</v>
      </c>
      <c r="C52" t="str">
        <f>IFERROR(VLOOKUP(A52,'Production Schedule'!$B:$CC,80,FALSE),"")</f>
        <v>RTS Titans</v>
      </c>
      <c r="D52" s="323" t="str">
        <f ca="1">IF(F52="⚠️ CHANGED",NOW(),"—")</f>
        <v>—</v>
      </c>
      <c r="E52" t="str">
        <f>C52</f>
        <v>RTS Titans</v>
      </c>
      <c r="F52" t="str">
        <f>IF(AND(C52&lt;&gt;"",E52&lt;&gt;"",C52&lt;&gt;E52),"⚠️ CHANGED","—")</f>
        <v>—</v>
      </c>
    </row>
    <row r="53" spans="1:6" x14ac:dyDescent="0.25">
      <c r="A53" s="63" t="s">
        <v>431</v>
      </c>
      <c r="B53" s="64" t="s">
        <v>4219</v>
      </c>
      <c r="C53" t="str">
        <f>IFERROR(VLOOKUP(A53,'Production Schedule'!$B:$CC,80,FALSE),"")</f>
        <v>RTS Titans</v>
      </c>
      <c r="D53" s="323" t="str">
        <f ca="1">IF(F53="⚠️ CHANGED",NOW(),"—")</f>
        <v>—</v>
      </c>
      <c r="E53" t="str">
        <f>C53</f>
        <v>RTS Titans</v>
      </c>
      <c r="F53" t="str">
        <f>IF(AND(C53&lt;&gt;"",E53&lt;&gt;"",C53&lt;&gt;E53),"⚠️ CHANGED","—")</f>
        <v>—</v>
      </c>
    </row>
    <row r="54" spans="1:6" x14ac:dyDescent="0.25">
      <c r="A54" s="63" t="s">
        <v>436</v>
      </c>
      <c r="B54" s="64" t="s">
        <v>4219</v>
      </c>
      <c r="C54" t="str">
        <f>IFERROR(VLOOKUP(A54,'Production Schedule'!$B:$CC,80,FALSE),"")</f>
        <v>RTS Titans</v>
      </c>
      <c r="D54" s="323" t="str">
        <f ca="1">IF(F54="⚠️ CHANGED",NOW(),"—")</f>
        <v>—</v>
      </c>
      <c r="E54" t="str">
        <f>C54</f>
        <v>RTS Titans</v>
      </c>
      <c r="F54" t="str">
        <f>IF(AND(C54&lt;&gt;"",E54&lt;&gt;"",C54&lt;&gt;E54),"⚠️ CHANGED","—")</f>
        <v>—</v>
      </c>
    </row>
    <row r="55" spans="1:6" x14ac:dyDescent="0.25">
      <c r="A55" s="63" t="s">
        <v>442</v>
      </c>
      <c r="B55" s="64" t="s">
        <v>4219</v>
      </c>
      <c r="C55" t="str">
        <f>IFERROR(VLOOKUP(A55,'Production Schedule'!$B:$CC,80,FALSE),"")</f>
        <v>RTS Titans</v>
      </c>
      <c r="D55" s="323" t="str">
        <f ca="1">IF(F55="⚠️ CHANGED",NOW(),"—")</f>
        <v>—</v>
      </c>
      <c r="E55" t="str">
        <f>C55</f>
        <v>RTS Titans</v>
      </c>
      <c r="F55" t="str">
        <f>IF(AND(C55&lt;&gt;"",E55&lt;&gt;"",C55&lt;&gt;E55),"⚠️ CHANGED","—")</f>
        <v>—</v>
      </c>
    </row>
    <row r="56" spans="1:6" ht="60" x14ac:dyDescent="0.25">
      <c r="A56" s="63" t="s">
        <v>452</v>
      </c>
      <c r="B56" s="64" t="s">
        <v>4222</v>
      </c>
      <c r="C56" t="str">
        <f>IFERROR(VLOOKUP(A56,'Production Schedule'!$B:$CC,80,FALSE),"")</f>
        <v>Clean and Brake</v>
      </c>
      <c r="D56" s="323" t="str">
        <f ca="1">IF(F56="⚠️ CHANGED",NOW(),"—")</f>
        <v>—</v>
      </c>
      <c r="E56" t="str">
        <f>C56</f>
        <v>Clean and Brake</v>
      </c>
      <c r="F56" t="str">
        <f>IF(AND(C56&lt;&gt;"",E56&lt;&gt;"",C56&lt;&gt;E56),"⚠️ CHANGED","—")</f>
        <v>—</v>
      </c>
    </row>
    <row r="57" spans="1:6" ht="30" x14ac:dyDescent="0.25">
      <c r="A57" s="63" t="s">
        <v>460</v>
      </c>
      <c r="B57" s="64" t="s">
        <v>4223</v>
      </c>
      <c r="C57" t="str">
        <f>IFERROR(VLOOKUP(A57,'Production Schedule'!$B:$CC,80,FALSE),"")</f>
        <v>RTS Titans</v>
      </c>
      <c r="D57" s="323" t="str">
        <f ca="1">IF(F57="⚠️ CHANGED",NOW(),"—")</f>
        <v>—</v>
      </c>
      <c r="E57" t="str">
        <f>C57</f>
        <v>RTS Titans</v>
      </c>
      <c r="F57" t="str">
        <f>IF(AND(C57&lt;&gt;"",E57&lt;&gt;"",C57&lt;&gt;E57),"⚠️ CHANGED","—")</f>
        <v>—</v>
      </c>
    </row>
    <row r="58" spans="1:6" ht="30" x14ac:dyDescent="0.25">
      <c r="A58" s="63" t="s">
        <v>1565</v>
      </c>
      <c r="B58" s="64" t="s">
        <v>4224</v>
      </c>
      <c r="C58" t="str">
        <f>IFERROR(VLOOKUP(A58,'Production Schedule'!$B:$CC,80,FALSE),"")</f>
        <v>LO</v>
      </c>
      <c r="D58" s="323" t="str">
        <f ca="1">IF(F58="⚠️ CHANGED",NOW(),"—")</f>
        <v>—</v>
      </c>
      <c r="E58" t="str">
        <f>C58</f>
        <v>LO</v>
      </c>
      <c r="F58" t="str">
        <f>IF(AND(C58&lt;&gt;"",E58&lt;&gt;"",C58&lt;&gt;E58),"⚠️ CHANGED","—")</f>
        <v>—</v>
      </c>
    </row>
    <row r="59" spans="1:6" x14ac:dyDescent="0.25">
      <c r="A59" s="63" t="s">
        <v>1899</v>
      </c>
      <c r="B59" s="64" t="s">
        <v>4225</v>
      </c>
      <c r="C59" t="str">
        <f>IFERROR(VLOOKUP(A59,'Production Schedule'!$B:$CC,80,FALSE),"")</f>
        <v>Fabrication</v>
      </c>
      <c r="D59" s="323" t="str">
        <f ca="1">IF(F59="⚠️ CHANGED",NOW(),"—")</f>
        <v>—</v>
      </c>
      <c r="E59" t="str">
        <f>C59</f>
        <v>Fabrication</v>
      </c>
      <c r="F59" t="str">
        <f>IF(AND(C59&lt;&gt;"",E59&lt;&gt;"",C59&lt;&gt;E59),"⚠️ CHANGED","—")</f>
        <v>—</v>
      </c>
    </row>
    <row r="60" spans="1:6" x14ac:dyDescent="0.25">
      <c r="A60" s="63" t="s">
        <v>2029</v>
      </c>
      <c r="B60" s="64" t="s">
        <v>4226</v>
      </c>
      <c r="C60" t="str">
        <f>IFERROR(VLOOKUP(A60,'Production Schedule'!$B:$CC,80,FALSE),"")</f>
        <v>Float</v>
      </c>
      <c r="D60" s="323" t="str">
        <f ca="1">IF(F60="⚠️ CHANGED",NOW(),"—")</f>
        <v>—</v>
      </c>
      <c r="E60" t="str">
        <f>C60</f>
        <v>Float</v>
      </c>
      <c r="F60" t="str">
        <f>IF(AND(C60&lt;&gt;"",E60&lt;&gt;"",C60&lt;&gt;E60),"⚠️ CHANGED","—")</f>
        <v>—</v>
      </c>
    </row>
    <row r="61" spans="1:6" x14ac:dyDescent="0.25">
      <c r="A61" s="63" t="s">
        <v>2071</v>
      </c>
      <c r="B61" s="64" t="s">
        <v>4226</v>
      </c>
      <c r="C61" t="str">
        <f>IFERROR(VLOOKUP(A61,'Production Schedule'!$B:$CC,80,FALSE),"")</f>
        <v>Float</v>
      </c>
      <c r="D61" s="323" t="str">
        <f ca="1">IF(F61="⚠️ CHANGED",NOW(),"—")</f>
        <v>—</v>
      </c>
      <c r="E61" t="str">
        <f>C61</f>
        <v>Float</v>
      </c>
      <c r="F61" t="str">
        <f>IF(AND(C61&lt;&gt;"",E61&lt;&gt;"",C61&lt;&gt;E61),"⚠️ CHANGED","—")</f>
        <v>—</v>
      </c>
    </row>
    <row r="62" spans="1:6" x14ac:dyDescent="0.25">
      <c r="A62" s="63" t="s">
        <v>2077</v>
      </c>
      <c r="B62" s="64" t="s">
        <v>4226</v>
      </c>
      <c r="C62" t="str">
        <f>IFERROR(VLOOKUP(A62,'Production Schedule'!$B:$CC,80,FALSE),"")</f>
        <v>Float</v>
      </c>
      <c r="D62" s="323" t="str">
        <f ca="1">IF(F62="⚠️ CHANGED",NOW(),"—")</f>
        <v>—</v>
      </c>
      <c r="E62" t="str">
        <f>C62</f>
        <v>Float</v>
      </c>
      <c r="F62" t="str">
        <f>IF(AND(C62&lt;&gt;"",E62&lt;&gt;"",C62&lt;&gt;E62),"⚠️ CHANGED","—")</f>
        <v>—</v>
      </c>
    </row>
    <row r="63" spans="1:6" x14ac:dyDescent="0.25">
      <c r="A63" s="63" t="s">
        <v>2079</v>
      </c>
      <c r="B63" s="64" t="s">
        <v>4226</v>
      </c>
      <c r="C63" t="str">
        <f>IFERROR(VLOOKUP(A63,'Production Schedule'!$B:$CC,80,FALSE),"")</f>
        <v>Float</v>
      </c>
      <c r="D63" s="323" t="str">
        <f ca="1">IF(F63="⚠️ CHANGED",NOW(),"—")</f>
        <v>—</v>
      </c>
      <c r="E63" t="str">
        <f>C63</f>
        <v>Float</v>
      </c>
      <c r="F63" t="str">
        <f>IF(AND(C63&lt;&gt;"",E63&lt;&gt;"",C63&lt;&gt;E63),"⚠️ CHANGED","—")</f>
        <v>—</v>
      </c>
    </row>
    <row r="64" spans="1:6" x14ac:dyDescent="0.25">
      <c r="A64" s="63" t="s">
        <v>243</v>
      </c>
      <c r="B64" s="64" t="s">
        <v>4226</v>
      </c>
      <c r="C64" t="str">
        <f>IFERROR(VLOOKUP(A64,'Production Schedule'!$B:$CC,80,FALSE),"")</f>
        <v>Float</v>
      </c>
      <c r="D64" s="323" t="str">
        <f ca="1">IF(F64="⚠️ CHANGED",NOW(),"—")</f>
        <v>—</v>
      </c>
      <c r="E64" t="str">
        <f>C64</f>
        <v>Float</v>
      </c>
      <c r="F64" t="str">
        <f>IF(AND(C64&lt;&gt;"",E64&lt;&gt;"",C64&lt;&gt;E64),"⚠️ CHANGED","—")</f>
        <v>—</v>
      </c>
    </row>
    <row r="65" spans="1:6" x14ac:dyDescent="0.25">
      <c r="A65" s="63" t="s">
        <v>1399</v>
      </c>
      <c r="B65" s="64" t="s">
        <v>4219</v>
      </c>
      <c r="C65" t="str">
        <f>IFERROR(VLOOKUP(A65,'Production Schedule'!$B:$CC,80,FALSE),"")</f>
        <v>RTS Titans</v>
      </c>
      <c r="D65" s="323" t="str">
        <f ca="1">IF(F65="⚠️ CHANGED",NOW(),"—")</f>
        <v>—</v>
      </c>
      <c r="E65" t="str">
        <f>C65</f>
        <v>RTS Titans</v>
      </c>
      <c r="F65" t="str">
        <f>IF(AND(C65&lt;&gt;"",E65&lt;&gt;"",C65&lt;&gt;E65),"⚠️ CHANGED","—")</f>
        <v>—</v>
      </c>
    </row>
    <row r="66" spans="1:6" x14ac:dyDescent="0.25">
      <c r="A66" s="63" t="s">
        <v>1493</v>
      </c>
      <c r="B66" s="64" t="s">
        <v>4219</v>
      </c>
      <c r="C66" t="str">
        <f>IFERROR(VLOOKUP(A66,'Production Schedule'!$B:$CC,80,FALSE),"")</f>
        <v>RTS Titans</v>
      </c>
      <c r="D66" s="323" t="str">
        <f ca="1">IF(F66="⚠️ CHANGED",NOW(),"—")</f>
        <v>—</v>
      </c>
      <c r="E66" t="str">
        <f>C66</f>
        <v>RTS Titans</v>
      </c>
      <c r="F66" t="str">
        <f>IF(AND(C66&lt;&gt;"",E66&lt;&gt;"",C66&lt;&gt;E66),"⚠️ CHANGED","—")</f>
        <v>—</v>
      </c>
    </row>
    <row r="67" spans="1:6" x14ac:dyDescent="0.25">
      <c r="A67" s="63" t="s">
        <v>1501</v>
      </c>
      <c r="B67" s="64" t="s">
        <v>4219</v>
      </c>
      <c r="C67" t="str">
        <f>IFERROR(VLOOKUP(A67,'Production Schedule'!$B:$CC,80,FALSE),"")</f>
        <v>RTS Titans</v>
      </c>
      <c r="D67" s="323" t="str">
        <f ca="1">IF(F67="⚠️ CHANGED",NOW(),"—")</f>
        <v>—</v>
      </c>
      <c r="E67" t="str">
        <f>C67</f>
        <v>RTS Titans</v>
      </c>
      <c r="F67" t="str">
        <f>IF(AND(C67&lt;&gt;"",E67&lt;&gt;"",C67&lt;&gt;E67),"⚠️ CHANGED","—")</f>
        <v>—</v>
      </c>
    </row>
    <row r="68" spans="1:6" x14ac:dyDescent="0.25">
      <c r="A68" s="63" t="s">
        <v>1508</v>
      </c>
      <c r="B68" s="64" t="s">
        <v>4219</v>
      </c>
      <c r="C68" t="str">
        <f>IFERROR(VLOOKUP(A68,'Production Schedule'!$B:$CC,80,FALSE),"")</f>
        <v>RTS Titans</v>
      </c>
      <c r="D68" s="323" t="str">
        <f ca="1">IF(F68="⚠️ CHANGED",NOW(),"—")</f>
        <v>—</v>
      </c>
      <c r="E68" t="str">
        <f>C68</f>
        <v>RTS Titans</v>
      </c>
      <c r="F68" t="str">
        <f>IF(AND(C68&lt;&gt;"",E68&lt;&gt;"",C68&lt;&gt;E68),"⚠️ CHANGED","—")</f>
        <v>—</v>
      </c>
    </row>
    <row r="69" spans="1:6" x14ac:dyDescent="0.25">
      <c r="A69" s="63" t="s">
        <v>543</v>
      </c>
      <c r="B69" s="64" t="s">
        <v>4219</v>
      </c>
      <c r="C69" t="str">
        <f>IFERROR(VLOOKUP(A69,'Production Schedule'!$B:$CC,80,FALSE),"")</f>
        <v>RTS Titans</v>
      </c>
      <c r="D69" s="323" t="str">
        <f ca="1">IF(F69="⚠️ CHANGED",NOW(),"—")</f>
        <v>—</v>
      </c>
      <c r="E69" t="str">
        <f>C69</f>
        <v>RTS Titans</v>
      </c>
      <c r="F69" t="str">
        <f>IF(AND(C69&lt;&gt;"",E69&lt;&gt;"",C69&lt;&gt;E69),"⚠️ CHANGED","—")</f>
        <v>—</v>
      </c>
    </row>
    <row r="70" spans="1:6" x14ac:dyDescent="0.25">
      <c r="A70" s="63" t="s">
        <v>549</v>
      </c>
      <c r="B70" s="64" t="s">
        <v>4219</v>
      </c>
      <c r="C70" t="str">
        <f>IFERROR(VLOOKUP(A70,'Production Schedule'!$B:$CC,80,FALSE),"")</f>
        <v>RTS Titans</v>
      </c>
      <c r="D70" s="323" t="str">
        <f ca="1">IF(F70="⚠️ CHANGED",NOW(),"—")</f>
        <v>—</v>
      </c>
      <c r="E70" t="str">
        <f>C70</f>
        <v>RTS Titans</v>
      </c>
      <c r="F70" t="str">
        <f>IF(AND(C70&lt;&gt;"",E70&lt;&gt;"",C70&lt;&gt;E70),"⚠️ CHANGED","—")</f>
        <v>—</v>
      </c>
    </row>
    <row r="71" spans="1:6" x14ac:dyDescent="0.25">
      <c r="A71" s="63" t="s">
        <v>557</v>
      </c>
      <c r="B71" s="64" t="s">
        <v>4219</v>
      </c>
      <c r="C71" t="str">
        <f>IFERROR(VLOOKUP(A71,'Production Schedule'!$B:$CC,80,FALSE),"")</f>
        <v>RTS Titans</v>
      </c>
      <c r="D71" s="323" t="str">
        <f ca="1">IF(F71="⚠️ CHANGED",NOW(),"—")</f>
        <v>—</v>
      </c>
      <c r="E71" t="str">
        <f>C71</f>
        <v>RTS Titans</v>
      </c>
      <c r="F71" t="str">
        <f>IF(AND(C71&lt;&gt;"",E71&lt;&gt;"",C71&lt;&gt;E71),"⚠️ CHANGED","—")</f>
        <v>—</v>
      </c>
    </row>
    <row r="72" spans="1:6" x14ac:dyDescent="0.25">
      <c r="A72" s="63" t="s">
        <v>563</v>
      </c>
      <c r="B72" s="64" t="s">
        <v>4219</v>
      </c>
      <c r="C72" t="str">
        <f>IFERROR(VLOOKUP(A72,'Production Schedule'!$B:$CC,80,FALSE),"")</f>
        <v>RTS Titans</v>
      </c>
      <c r="D72" s="323" t="str">
        <f ca="1">IF(F72="⚠️ CHANGED",NOW(),"—")</f>
        <v>—</v>
      </c>
      <c r="E72" t="str">
        <f>C72</f>
        <v>RTS Titans</v>
      </c>
      <c r="F72" t="str">
        <f>IF(AND(C72&lt;&gt;"",E72&lt;&gt;"",C72&lt;&gt;E72),"⚠️ CHANGED","—")</f>
        <v>—</v>
      </c>
    </row>
    <row r="73" spans="1:6" x14ac:dyDescent="0.25">
      <c r="A73" s="63" t="s">
        <v>567</v>
      </c>
      <c r="B73" s="64" t="s">
        <v>4219</v>
      </c>
      <c r="C73" t="str">
        <f>IFERROR(VLOOKUP(A73,'Production Schedule'!$B:$CC,80,FALSE),"")</f>
        <v>RTS Titans</v>
      </c>
      <c r="D73" s="323" t="str">
        <f ca="1">IF(F73="⚠️ CHANGED",NOW(),"—")</f>
        <v>—</v>
      </c>
      <c r="E73" t="str">
        <f>C73</f>
        <v>RTS Titans</v>
      </c>
      <c r="F73" t="str">
        <f>IF(AND(C73&lt;&gt;"",E73&lt;&gt;"",C73&lt;&gt;E73),"⚠️ CHANGED","—")</f>
        <v>—</v>
      </c>
    </row>
    <row r="74" spans="1:6" x14ac:dyDescent="0.25">
      <c r="A74" s="63" t="s">
        <v>572</v>
      </c>
      <c r="B74" s="64" t="s">
        <v>4219</v>
      </c>
      <c r="C74" t="str">
        <f>IFERROR(VLOOKUP(A74,'Production Schedule'!$B:$CC,80,FALSE),"")</f>
        <v>RTS Titans</v>
      </c>
      <c r="D74" s="323" t="str">
        <f ca="1">IF(F74="⚠️ CHANGED",NOW(),"—")</f>
        <v>—</v>
      </c>
      <c r="E74" t="str">
        <f>C74</f>
        <v>RTS Titans</v>
      </c>
      <c r="F74" t="str">
        <f>IF(AND(C74&lt;&gt;"",E74&lt;&gt;"",C74&lt;&gt;E74),"⚠️ CHANGED","—")</f>
        <v>—</v>
      </c>
    </row>
    <row r="75" spans="1:6" x14ac:dyDescent="0.25">
      <c r="A75" s="63" t="s">
        <v>578</v>
      </c>
      <c r="B75" s="64" t="s">
        <v>4219</v>
      </c>
      <c r="C75" t="str">
        <f>IFERROR(VLOOKUP(A75,'Production Schedule'!$B:$CC,80,FALSE),"")</f>
        <v>RTS Titans</v>
      </c>
      <c r="D75" s="323" t="str">
        <f ca="1">IF(F75="⚠️ CHANGED",NOW(),"—")</f>
        <v>—</v>
      </c>
      <c r="E75" t="str">
        <f>C75</f>
        <v>RTS Titans</v>
      </c>
      <c r="F75" t="str">
        <f>IF(AND(C75&lt;&gt;"",E75&lt;&gt;"",C75&lt;&gt;E75),"⚠️ CHANGED","—")</f>
        <v>—</v>
      </c>
    </row>
    <row r="76" spans="1:6" x14ac:dyDescent="0.25">
      <c r="A76" s="63" t="s">
        <v>587</v>
      </c>
      <c r="B76" s="64" t="s">
        <v>4219</v>
      </c>
      <c r="C76" t="str">
        <f>IFERROR(VLOOKUP(A76,'Production Schedule'!$B:$CC,80,FALSE),"")</f>
        <v>RTS Titans</v>
      </c>
      <c r="D76" s="323" t="str">
        <f ca="1">IF(F76="⚠️ CHANGED",NOW(),"—")</f>
        <v>—</v>
      </c>
      <c r="E76" t="str">
        <f>C76</f>
        <v>RTS Titans</v>
      </c>
      <c r="F76" t="str">
        <f>IF(AND(C76&lt;&gt;"",E76&lt;&gt;"",C76&lt;&gt;E76),"⚠️ CHANGED","—")</f>
        <v>—</v>
      </c>
    </row>
    <row r="77" spans="1:6" x14ac:dyDescent="0.25">
      <c r="A77" s="63" t="s">
        <v>593</v>
      </c>
      <c r="B77" s="64" t="s">
        <v>4219</v>
      </c>
      <c r="C77" t="str">
        <f>IFERROR(VLOOKUP(A77,'Production Schedule'!$B:$CC,80,FALSE),"")</f>
        <v>RTS Titans</v>
      </c>
      <c r="D77" s="323" t="str">
        <f ca="1">IF(F77="⚠️ CHANGED",NOW(),"—")</f>
        <v>—</v>
      </c>
      <c r="E77" t="str">
        <f>C77</f>
        <v>RTS Titans</v>
      </c>
      <c r="F77" t="str">
        <f>IF(AND(C77&lt;&gt;"",E77&lt;&gt;"",C77&lt;&gt;E77),"⚠️ CHANGED","—")</f>
        <v>—</v>
      </c>
    </row>
    <row r="78" spans="1:6" x14ac:dyDescent="0.25">
      <c r="A78" s="63" t="s">
        <v>598</v>
      </c>
      <c r="B78" s="64" t="s">
        <v>4227</v>
      </c>
      <c r="C78" t="str">
        <f>IFERROR(VLOOKUP(A78,'Production Schedule'!$B:$CC,80,FALSE),"")</f>
        <v>RTS Titans</v>
      </c>
      <c r="D78" s="323" t="str">
        <f ca="1">IF(F78="⚠️ CHANGED",NOW(),"—")</f>
        <v>—</v>
      </c>
      <c r="E78" t="str">
        <f>C78</f>
        <v>RTS Titans</v>
      </c>
      <c r="F78" t="str">
        <f>IF(AND(C78&lt;&gt;"",E78&lt;&gt;"",C78&lt;&gt;E78),"⚠️ CHANGED","—")</f>
        <v>—</v>
      </c>
    </row>
    <row r="79" spans="1:6" x14ac:dyDescent="0.25">
      <c r="A79" s="63" t="s">
        <v>1893</v>
      </c>
      <c r="B79" s="64" t="s">
        <v>4225</v>
      </c>
      <c r="C79" t="str">
        <f>IFERROR(VLOOKUP(A79,'Production Schedule'!$B:$CC,80,FALSE),"")</f>
        <v>Fabrication</v>
      </c>
      <c r="D79" s="323" t="str">
        <f ca="1">IF(F79="⚠️ CHANGED",NOW(),"—")</f>
        <v>—</v>
      </c>
      <c r="E79" t="str">
        <f>C79</f>
        <v>Fabrication</v>
      </c>
      <c r="F79" t="str">
        <f>IF(AND(C79&lt;&gt;"",E79&lt;&gt;"",C79&lt;&gt;E79),"⚠️ CHANGED","—")</f>
        <v>—</v>
      </c>
    </row>
    <row r="80" spans="1:6" x14ac:dyDescent="0.25">
      <c r="A80" s="63" t="s">
        <v>865</v>
      </c>
      <c r="B80" s="64" t="s">
        <v>4219</v>
      </c>
      <c r="C80" t="str">
        <f>IFERROR(VLOOKUP(A80,'Production Schedule'!$B:$CC,80,FALSE),"")</f>
        <v>RTS Titans</v>
      </c>
      <c r="D80" s="323" t="str">
        <f ca="1">IF(F80="⚠️ CHANGED",NOW(),"—")</f>
        <v>—</v>
      </c>
      <c r="E80" t="str">
        <f>C80</f>
        <v>RTS Titans</v>
      </c>
      <c r="F80" t="str">
        <f>IF(AND(C80&lt;&gt;"",E80&lt;&gt;"",C80&lt;&gt;E80),"⚠️ CHANGED","—")</f>
        <v>—</v>
      </c>
    </row>
    <row r="81" spans="1:6" x14ac:dyDescent="0.25">
      <c r="A81" s="63" t="s">
        <v>872</v>
      </c>
      <c r="B81" s="64" t="s">
        <v>4219</v>
      </c>
      <c r="C81" t="str">
        <f>IFERROR(VLOOKUP(A81,'Production Schedule'!$B:$CC,80,FALSE),"")</f>
        <v>RTS Titans</v>
      </c>
      <c r="D81" s="323" t="str">
        <f ca="1">IF(F81="⚠️ CHANGED",NOW(),"—")</f>
        <v>—</v>
      </c>
      <c r="E81" t="str">
        <f>C81</f>
        <v>RTS Titans</v>
      </c>
      <c r="F81" t="str">
        <f>IF(AND(C81&lt;&gt;"",E81&lt;&gt;"",C81&lt;&gt;E81),"⚠️ CHANGED","—")</f>
        <v>—</v>
      </c>
    </row>
    <row r="82" spans="1:6" x14ac:dyDescent="0.25">
      <c r="A82" s="63" t="s">
        <v>878</v>
      </c>
      <c r="B82" s="64" t="s">
        <v>4219</v>
      </c>
      <c r="C82" t="str">
        <f>IFERROR(VLOOKUP(A82,'Production Schedule'!$B:$CC,80,FALSE),"")</f>
        <v>RTS Titans</v>
      </c>
      <c r="D82" s="323" t="str">
        <f ca="1">IF(F82="⚠️ CHANGED",NOW(),"—")</f>
        <v>—</v>
      </c>
      <c r="E82" t="str">
        <f>C82</f>
        <v>RTS Titans</v>
      </c>
      <c r="F82" t="str">
        <f>IF(AND(C82&lt;&gt;"",E82&lt;&gt;"",C82&lt;&gt;E82),"⚠️ CHANGED","—")</f>
        <v>—</v>
      </c>
    </row>
    <row r="83" spans="1:6" x14ac:dyDescent="0.25">
      <c r="A83" s="63" t="s">
        <v>882</v>
      </c>
      <c r="B83" s="64" t="s">
        <v>4219</v>
      </c>
      <c r="C83" t="str">
        <f>IFERROR(VLOOKUP(A83,'Production Schedule'!$B:$CC,80,FALSE),"")</f>
        <v>RTS Titans</v>
      </c>
      <c r="D83" s="323" t="str">
        <f ca="1">IF(F83="⚠️ CHANGED",NOW(),"—")</f>
        <v>—</v>
      </c>
      <c r="E83" t="str">
        <f>C83</f>
        <v>RTS Titans</v>
      </c>
      <c r="F83" t="str">
        <f>IF(AND(C83&lt;&gt;"",E83&lt;&gt;"",C83&lt;&gt;E83),"⚠️ CHANGED","—")</f>
        <v>—</v>
      </c>
    </row>
    <row r="84" spans="1:6" x14ac:dyDescent="0.25">
      <c r="A84" s="63" t="s">
        <v>887</v>
      </c>
      <c r="B84" s="64" t="s">
        <v>4219</v>
      </c>
      <c r="C84" t="str">
        <f>IFERROR(VLOOKUP(A84,'Production Schedule'!$B:$CC,80,FALSE),"")</f>
        <v>RTS Titans</v>
      </c>
      <c r="D84" s="323" t="str">
        <f ca="1">IF(F84="⚠️ CHANGED",NOW(),"—")</f>
        <v>—</v>
      </c>
      <c r="E84" t="str">
        <f>C84</f>
        <v>RTS Titans</v>
      </c>
      <c r="F84" t="str">
        <f>IF(AND(C84&lt;&gt;"",E84&lt;&gt;"",C84&lt;&gt;E84),"⚠️ CHANGED","—")</f>
        <v>—</v>
      </c>
    </row>
    <row r="85" spans="1:6" x14ac:dyDescent="0.25">
      <c r="A85" s="63" t="s">
        <v>893</v>
      </c>
      <c r="B85" s="64" t="s">
        <v>4219</v>
      </c>
      <c r="C85" t="str">
        <f>IFERROR(VLOOKUP(A85,'Production Schedule'!$B:$CC,80,FALSE),"")</f>
        <v>RTS Titans</v>
      </c>
      <c r="D85" s="323" t="str">
        <f ca="1">IF(F85="⚠️ CHANGED",NOW(),"—")</f>
        <v>—</v>
      </c>
      <c r="E85" t="str">
        <f>C85</f>
        <v>RTS Titans</v>
      </c>
      <c r="F85" t="str">
        <f>IF(AND(C85&lt;&gt;"",E85&lt;&gt;"",C85&lt;&gt;E85),"⚠️ CHANGED","—")</f>
        <v>—</v>
      </c>
    </row>
    <row r="86" spans="1:6" x14ac:dyDescent="0.25">
      <c r="A86" s="63" t="s">
        <v>969</v>
      </c>
      <c r="B86" s="64" t="s">
        <v>4219</v>
      </c>
      <c r="C86" t="str">
        <f>IFERROR(VLOOKUP(A86,'Production Schedule'!$B:$CC,80,FALSE),"")</f>
        <v>RTS Titans</v>
      </c>
      <c r="D86" s="323" t="str">
        <f ca="1">IF(F86="⚠️ CHANGED",NOW(),"—")</f>
        <v>—</v>
      </c>
      <c r="E86" t="str">
        <f>C86</f>
        <v>RTS Titans</v>
      </c>
      <c r="F86" t="str">
        <f>IF(AND(C86&lt;&gt;"",E86&lt;&gt;"",C86&lt;&gt;E86),"⚠️ CHANGED","—")</f>
        <v>—</v>
      </c>
    </row>
    <row r="87" spans="1:6" x14ac:dyDescent="0.25">
      <c r="A87" s="63" t="s">
        <v>975</v>
      </c>
      <c r="B87" s="64" t="s">
        <v>4219</v>
      </c>
      <c r="C87" t="str">
        <f>IFERROR(VLOOKUP(A87,'Production Schedule'!$B:$CC,80,FALSE),"")</f>
        <v>RTS Titans</v>
      </c>
      <c r="D87" s="323" t="str">
        <f ca="1">IF(F87="⚠️ CHANGED",NOW(),"—")</f>
        <v>—</v>
      </c>
      <c r="E87" t="str">
        <f>C87</f>
        <v>RTS Titans</v>
      </c>
      <c r="F87" t="str">
        <f>IF(AND(C87&lt;&gt;"",E87&lt;&gt;"",C87&lt;&gt;E87),"⚠️ CHANGED","—")</f>
        <v>—</v>
      </c>
    </row>
    <row r="88" spans="1:6" x14ac:dyDescent="0.25">
      <c r="A88" s="63" t="s">
        <v>982</v>
      </c>
      <c r="B88" s="64" t="s">
        <v>4219</v>
      </c>
      <c r="C88" t="str">
        <f>IFERROR(VLOOKUP(A88,'Production Schedule'!$B:$CC,80,FALSE),"")</f>
        <v>RTS Titans</v>
      </c>
      <c r="D88" s="323" t="str">
        <f ca="1">IF(F88="⚠️ CHANGED",NOW(),"—")</f>
        <v>—</v>
      </c>
      <c r="E88" t="str">
        <f>C88</f>
        <v>RTS Titans</v>
      </c>
      <c r="F88" t="str">
        <f>IF(AND(C88&lt;&gt;"",E88&lt;&gt;"",C88&lt;&gt;E88),"⚠️ CHANGED","—")</f>
        <v>—</v>
      </c>
    </row>
    <row r="89" spans="1:6" x14ac:dyDescent="0.25">
      <c r="A89" s="63" t="s">
        <v>989</v>
      </c>
      <c r="B89" s="64" t="s">
        <v>4219</v>
      </c>
      <c r="C89" t="str">
        <f>IFERROR(VLOOKUP(A89,'Production Schedule'!$B:$CC,80,FALSE),"")</f>
        <v>RTS Titans</v>
      </c>
      <c r="D89" s="323" t="str">
        <f ca="1">IF(F89="⚠️ CHANGED",NOW(),"—")</f>
        <v>—</v>
      </c>
      <c r="E89" t="str">
        <f>C89</f>
        <v>RTS Titans</v>
      </c>
      <c r="F89" t="str">
        <f>IF(AND(C89&lt;&gt;"",E89&lt;&gt;"",C89&lt;&gt;E89),"⚠️ CHANGED","—")</f>
        <v>—</v>
      </c>
    </row>
    <row r="90" spans="1:6" x14ac:dyDescent="0.25">
      <c r="A90" s="63" t="s">
        <v>994</v>
      </c>
      <c r="B90" s="64" t="s">
        <v>4219</v>
      </c>
      <c r="C90" t="str">
        <f>IFERROR(VLOOKUP(A90,'Production Schedule'!$B:$CC,80,FALSE),"")</f>
        <v>RTS Titans</v>
      </c>
      <c r="D90" s="323" t="str">
        <f ca="1">IF(F90="⚠️ CHANGED",NOW(),"—")</f>
        <v>—</v>
      </c>
      <c r="E90" t="str">
        <f>C90</f>
        <v>RTS Titans</v>
      </c>
      <c r="F90" t="str">
        <f>IF(AND(C90&lt;&gt;"",E90&lt;&gt;"",C90&lt;&gt;E90),"⚠️ CHANGED","—")</f>
        <v>—</v>
      </c>
    </row>
    <row r="91" spans="1:6" x14ac:dyDescent="0.25">
      <c r="A91" s="63" t="s">
        <v>1514</v>
      </c>
      <c r="B91" s="64" t="s">
        <v>4219</v>
      </c>
      <c r="C91" t="str">
        <f>IFERROR(VLOOKUP(A91,'Production Schedule'!$B:$CC,80,FALSE),"")</f>
        <v>RTS Titans</v>
      </c>
      <c r="D91" s="323" t="str">
        <f ca="1">IF(F91="⚠️ CHANGED",NOW(),"—")</f>
        <v>—</v>
      </c>
      <c r="E91" t="str">
        <f>C91</f>
        <v>RTS Titans</v>
      </c>
      <c r="F91" t="str">
        <f>IF(AND(C91&lt;&gt;"",E91&lt;&gt;"",C91&lt;&gt;E91),"⚠️ CHANGED","—")</f>
        <v>—</v>
      </c>
    </row>
    <row r="92" spans="1:6" x14ac:dyDescent="0.25">
      <c r="A92" s="63" t="s">
        <v>1521</v>
      </c>
      <c r="B92" s="64" t="s">
        <v>4219</v>
      </c>
      <c r="C92" t="str">
        <f>IFERROR(VLOOKUP(A92,'Production Schedule'!$B:$CC,80,FALSE),"")</f>
        <v>RTS Titans</v>
      </c>
      <c r="D92" s="323" t="str">
        <f ca="1">IF(F92="⚠️ CHANGED",NOW(),"—")</f>
        <v>—</v>
      </c>
      <c r="E92" t="str">
        <f>C92</f>
        <v>RTS Titans</v>
      </c>
      <c r="F92" t="str">
        <f>IF(AND(C92&lt;&gt;"",E92&lt;&gt;"",C92&lt;&gt;E92),"⚠️ CHANGED","—")</f>
        <v>—</v>
      </c>
    </row>
    <row r="93" spans="1:6" x14ac:dyDescent="0.25">
      <c r="A93" s="63" t="s">
        <v>345</v>
      </c>
      <c r="B93" s="64" t="s">
        <v>4219</v>
      </c>
      <c r="C93" t="str">
        <f>IFERROR(VLOOKUP(A93,'Production Schedule'!$B:$CC,80,FALSE),"")</f>
        <v>RTS Titans</v>
      </c>
      <c r="D93" s="323" t="str">
        <f ca="1">IF(F93="⚠️ CHANGED",NOW(),"—")</f>
        <v>—</v>
      </c>
      <c r="E93" t="str">
        <f>C93</f>
        <v>RTS Titans</v>
      </c>
      <c r="F93" t="str">
        <f>IF(AND(C93&lt;&gt;"",E93&lt;&gt;"",C93&lt;&gt;E93),"⚠️ CHANGED","—")</f>
        <v>—</v>
      </c>
    </row>
    <row r="94" spans="1:6" x14ac:dyDescent="0.25">
      <c r="A94" s="63" t="s">
        <v>358</v>
      </c>
      <c r="B94" s="64" t="s">
        <v>4219</v>
      </c>
      <c r="C94" t="str">
        <f>IFERROR(VLOOKUP(A94,'Production Schedule'!$B:$CC,80,FALSE),"")</f>
        <v>RTS Titans</v>
      </c>
      <c r="D94" s="323" t="str">
        <f ca="1">IF(F94="⚠️ CHANGED",NOW(),"—")</f>
        <v>—</v>
      </c>
      <c r="E94" t="str">
        <f>C94</f>
        <v>RTS Titans</v>
      </c>
      <c r="F94" t="str">
        <f>IF(AND(C94&lt;&gt;"",E94&lt;&gt;"",C94&lt;&gt;E94),"⚠️ CHANGED","—")</f>
        <v>—</v>
      </c>
    </row>
    <row r="95" spans="1:6" x14ac:dyDescent="0.25">
      <c r="A95" s="63" t="s">
        <v>370</v>
      </c>
      <c r="B95" s="64" t="s">
        <v>4219</v>
      </c>
      <c r="C95" t="str">
        <f>IFERROR(VLOOKUP(A95,'Production Schedule'!$B:$CC,80,FALSE),"")</f>
        <v>RTS Titans</v>
      </c>
      <c r="D95" s="323" t="str">
        <f ca="1">IF(F95="⚠️ CHANGED",NOW(),"—")</f>
        <v>—</v>
      </c>
      <c r="E95" t="str">
        <f>C95</f>
        <v>RTS Titans</v>
      </c>
      <c r="F95" t="str">
        <f>IF(AND(C95&lt;&gt;"",E95&lt;&gt;"",C95&lt;&gt;E95),"⚠️ CHANGED","—")</f>
        <v>—</v>
      </c>
    </row>
    <row r="96" spans="1:6" x14ac:dyDescent="0.25">
      <c r="A96" s="63" t="s">
        <v>378</v>
      </c>
      <c r="B96" s="64" t="s">
        <v>4219</v>
      </c>
      <c r="C96" t="str">
        <f>IFERROR(VLOOKUP(A96,'Production Schedule'!$B:$CC,80,FALSE),"")</f>
        <v>RTS Titans</v>
      </c>
      <c r="D96" s="323" t="str">
        <f ca="1">IF(F96="⚠️ CHANGED",NOW(),"—")</f>
        <v>—</v>
      </c>
      <c r="E96" t="str">
        <f>C96</f>
        <v>RTS Titans</v>
      </c>
      <c r="F96" t="str">
        <f>IF(AND(C96&lt;&gt;"",E96&lt;&gt;"",C96&lt;&gt;E96),"⚠️ CHANGED","—")</f>
        <v>—</v>
      </c>
    </row>
    <row r="97" spans="1:6" x14ac:dyDescent="0.25">
      <c r="A97" s="63" t="s">
        <v>387</v>
      </c>
      <c r="B97" s="64" t="s">
        <v>4219</v>
      </c>
      <c r="C97" t="str">
        <f>IFERROR(VLOOKUP(A97,'Production Schedule'!$B:$CC,80,FALSE),"")</f>
        <v>RTS Titans</v>
      </c>
      <c r="D97" s="323" t="str">
        <f ca="1">IF(F97="⚠️ CHANGED",NOW(),"—")</f>
        <v>—</v>
      </c>
      <c r="E97" t="str">
        <f>C97</f>
        <v>RTS Titans</v>
      </c>
      <c r="F97" t="str">
        <f>IF(AND(C97&lt;&gt;"",E97&lt;&gt;"",C97&lt;&gt;E97),"⚠️ CHANGED","—")</f>
        <v>—</v>
      </c>
    </row>
    <row r="98" spans="1:6" x14ac:dyDescent="0.25">
      <c r="A98" s="63" t="s">
        <v>394</v>
      </c>
      <c r="B98" s="64" t="s">
        <v>4219</v>
      </c>
      <c r="C98" t="str">
        <f>IFERROR(VLOOKUP(A98,'Production Schedule'!$B:$CC,80,FALSE),"")</f>
        <v>RTS Titans</v>
      </c>
      <c r="D98" s="323" t="str">
        <f ca="1">IF(F98="⚠️ CHANGED",NOW(),"—")</f>
        <v>—</v>
      </c>
      <c r="E98" t="str">
        <f>C98</f>
        <v>RTS Titans</v>
      </c>
      <c r="F98" t="str">
        <f>IF(AND(C98&lt;&gt;"",E98&lt;&gt;"",C98&lt;&gt;E98),"⚠️ CHANGED","—")</f>
        <v>—</v>
      </c>
    </row>
    <row r="99" spans="1:6" x14ac:dyDescent="0.25">
      <c r="A99" s="63" t="s">
        <v>400</v>
      </c>
      <c r="B99" s="64" t="s">
        <v>4219</v>
      </c>
      <c r="C99" t="str">
        <f>IFERROR(VLOOKUP(A99,'Production Schedule'!$B:$CC,80,FALSE),"")</f>
        <v>RTS Titans</v>
      </c>
      <c r="D99" s="323" t="str">
        <f ca="1">IF(F99="⚠️ CHANGED",NOW(),"—")</f>
        <v>—</v>
      </c>
      <c r="E99" t="str">
        <f>C99</f>
        <v>RTS Titans</v>
      </c>
      <c r="F99" t="str">
        <f>IF(AND(C99&lt;&gt;"",E99&lt;&gt;"",C99&lt;&gt;E99),"⚠️ CHANGED","—")</f>
        <v>—</v>
      </c>
    </row>
    <row r="100" spans="1:6" x14ac:dyDescent="0.25">
      <c r="A100" s="63" t="s">
        <v>407</v>
      </c>
      <c r="B100" s="64" t="s">
        <v>4219</v>
      </c>
      <c r="C100" t="str">
        <f>IFERROR(VLOOKUP(A100,'Production Schedule'!$B:$CC,80,FALSE),"")</f>
        <v>RTS Titans</v>
      </c>
      <c r="D100" s="323" t="str">
        <f ca="1">IF(F100="⚠️ CHANGED",NOW(),"—")</f>
        <v>—</v>
      </c>
      <c r="E100" t="str">
        <f>C100</f>
        <v>RTS Titans</v>
      </c>
      <c r="F100" t="str">
        <f>IF(AND(C100&lt;&gt;"",E100&lt;&gt;"",C100&lt;&gt;E100),"⚠️ CHANGED","—")</f>
        <v>—</v>
      </c>
    </row>
    <row r="101" spans="1:6" x14ac:dyDescent="0.25">
      <c r="A101" s="63" t="s">
        <v>416</v>
      </c>
      <c r="B101" s="64" t="s">
        <v>4219</v>
      </c>
      <c r="C101" t="str">
        <f>IFERROR(VLOOKUP(A101,'Production Schedule'!$B:$CC,80,FALSE),"")</f>
        <v>RTS Titans</v>
      </c>
      <c r="D101" s="323" t="str">
        <f ca="1">IF(F101="⚠️ CHANGED",NOW(),"—")</f>
        <v>—</v>
      </c>
      <c r="E101" t="str">
        <f>C101</f>
        <v>RTS Titans</v>
      </c>
      <c r="F101" t="str">
        <f>IF(AND(C101&lt;&gt;"",E101&lt;&gt;"",C101&lt;&gt;E101),"⚠️ CHANGED","—")</f>
        <v>—</v>
      </c>
    </row>
    <row r="102" spans="1:6" x14ac:dyDescent="0.25">
      <c r="A102" s="63" t="s">
        <v>1472</v>
      </c>
      <c r="B102" s="64" t="s">
        <v>4219</v>
      </c>
      <c r="C102" t="str">
        <f>IFERROR(VLOOKUP(A102,'Production Schedule'!$B:$CC,80,FALSE),"")</f>
        <v>RTS Titans</v>
      </c>
      <c r="D102" s="323" t="str">
        <f ca="1">IF(F102="⚠️ CHANGED",NOW(),"—")</f>
        <v>—</v>
      </c>
      <c r="E102" t="str">
        <f>C102</f>
        <v>RTS Titans</v>
      </c>
      <c r="F102" t="str">
        <f>IF(AND(C102&lt;&gt;"",E102&lt;&gt;"",C102&lt;&gt;E102),"⚠️ CHANGED","—")</f>
        <v>—</v>
      </c>
    </row>
    <row r="103" spans="1:6" x14ac:dyDescent="0.25">
      <c r="A103" s="63" t="s">
        <v>1460</v>
      </c>
      <c r="B103" s="64" t="s">
        <v>4219</v>
      </c>
      <c r="C103" t="str">
        <f>IFERROR(VLOOKUP(A103,'Production Schedule'!$B:$CC,80,FALSE),"")</f>
        <v>RTS Titans</v>
      </c>
      <c r="D103" s="323" t="str">
        <f ca="1">IF(F103="⚠️ CHANGED",NOW(),"—")</f>
        <v>—</v>
      </c>
      <c r="E103" t="str">
        <f>C103</f>
        <v>RTS Titans</v>
      </c>
      <c r="F103" t="str">
        <f>IF(AND(C103&lt;&gt;"",E103&lt;&gt;"",C103&lt;&gt;E103),"⚠️ CHANGED","—")</f>
        <v>—</v>
      </c>
    </row>
    <row r="104" spans="1:6" x14ac:dyDescent="0.25">
      <c r="A104" s="63" t="s">
        <v>1467</v>
      </c>
      <c r="B104" s="64" t="s">
        <v>4219</v>
      </c>
      <c r="C104" t="str">
        <f>IFERROR(VLOOKUP(A104,'Production Schedule'!$B:$CC,80,FALSE),"")</f>
        <v>RTS Titans</v>
      </c>
      <c r="D104" s="323" t="str">
        <f ca="1">IF(F104="⚠️ CHANGED",NOW(),"—")</f>
        <v>—</v>
      </c>
      <c r="E104" t="str">
        <f>C104</f>
        <v>RTS Titans</v>
      </c>
      <c r="F104" t="str">
        <f>IF(AND(C104&lt;&gt;"",E104&lt;&gt;"",C104&lt;&gt;E104),"⚠️ CHANGED","—")</f>
        <v>—</v>
      </c>
    </row>
    <row r="105" spans="1:6" x14ac:dyDescent="0.25">
      <c r="A105" s="63" t="s">
        <v>529</v>
      </c>
      <c r="B105" s="64" t="s">
        <v>4219</v>
      </c>
      <c r="C105" t="str">
        <f>IFERROR(VLOOKUP(A105,'Production Schedule'!$B:$CC,80,FALSE),"")</f>
        <v>RTS Titans</v>
      </c>
      <c r="D105" s="323" t="str">
        <f ca="1">IF(F105="⚠️ CHANGED",NOW(),"—")</f>
        <v>—</v>
      </c>
      <c r="E105" t="str">
        <f>C105</f>
        <v>RTS Titans</v>
      </c>
      <c r="F105" t="str">
        <f>IF(AND(C105&lt;&gt;"",E105&lt;&gt;"",C105&lt;&gt;E105),"⚠️ CHANGED","—")</f>
        <v>—</v>
      </c>
    </row>
    <row r="106" spans="1:6" x14ac:dyDescent="0.25">
      <c r="A106" s="63" t="s">
        <v>537</v>
      </c>
      <c r="B106" s="64" t="s">
        <v>4219</v>
      </c>
      <c r="C106" t="str">
        <f>IFERROR(VLOOKUP(A106,'Production Schedule'!$B:$CC,80,FALSE),"")</f>
        <v>RTS Titans</v>
      </c>
      <c r="D106" s="323" t="str">
        <f ca="1">IF(F106="⚠️ CHANGED",NOW(),"—")</f>
        <v>—</v>
      </c>
      <c r="E106" t="str">
        <f>C106</f>
        <v>RTS Titans</v>
      </c>
      <c r="F106" t="str">
        <f>IF(AND(C106&lt;&gt;"",E106&lt;&gt;"",C106&lt;&gt;E106),"⚠️ CHANGED","—")</f>
        <v>—</v>
      </c>
    </row>
    <row r="107" spans="1:6" x14ac:dyDescent="0.25">
      <c r="A107" s="63" t="s">
        <v>488</v>
      </c>
      <c r="B107" s="64" t="s">
        <v>4219</v>
      </c>
      <c r="C107" t="str">
        <f>IFERROR(VLOOKUP(A107,'Production Schedule'!$B:$CC,80,FALSE),"")</f>
        <v>RTS Titans</v>
      </c>
      <c r="D107" s="323" t="str">
        <f ca="1">IF(F107="⚠️ CHANGED",NOW(),"—")</f>
        <v>—</v>
      </c>
      <c r="E107" t="str">
        <f>C107</f>
        <v>RTS Titans</v>
      </c>
      <c r="F107" t="str">
        <f>IF(AND(C107&lt;&gt;"",E107&lt;&gt;"",C107&lt;&gt;E107),"⚠️ CHANGED","—")</f>
        <v>—</v>
      </c>
    </row>
    <row r="108" spans="1:6" x14ac:dyDescent="0.25">
      <c r="A108" s="63" t="s">
        <v>494</v>
      </c>
      <c r="B108" s="64" t="s">
        <v>4219</v>
      </c>
      <c r="C108" t="str">
        <f>IFERROR(VLOOKUP(A108,'Production Schedule'!$B:$CC,80,FALSE),"")</f>
        <v>RTS Titans</v>
      </c>
      <c r="D108" s="323" t="str">
        <f ca="1">IF(F108="⚠️ CHANGED",NOW(),"—")</f>
        <v>—</v>
      </c>
      <c r="E108" t="str">
        <f>C108</f>
        <v>RTS Titans</v>
      </c>
      <c r="F108" t="str">
        <f>IF(AND(C108&lt;&gt;"",E108&lt;&gt;"",C108&lt;&gt;E108),"⚠️ CHANGED","—")</f>
        <v>—</v>
      </c>
    </row>
    <row r="109" spans="1:6" x14ac:dyDescent="0.25">
      <c r="A109" s="63" t="s">
        <v>501</v>
      </c>
      <c r="B109" s="64" t="s">
        <v>4219</v>
      </c>
      <c r="C109" t="str">
        <f>IFERROR(VLOOKUP(A109,'Production Schedule'!$B:$CC,80,FALSE),"")</f>
        <v>RTS Titans</v>
      </c>
      <c r="D109" s="323" t="str">
        <f ca="1">IF(F109="⚠️ CHANGED",NOW(),"—")</f>
        <v>—</v>
      </c>
      <c r="E109" t="str">
        <f>C109</f>
        <v>RTS Titans</v>
      </c>
      <c r="F109" t="str">
        <f>IF(AND(C109&lt;&gt;"",E109&lt;&gt;"",C109&lt;&gt;E109),"⚠️ CHANGED","—")</f>
        <v>—</v>
      </c>
    </row>
    <row r="110" spans="1:6" x14ac:dyDescent="0.25">
      <c r="A110" s="63" t="s">
        <v>507</v>
      </c>
      <c r="B110" s="64" t="s">
        <v>4219</v>
      </c>
      <c r="C110" t="str">
        <f>IFERROR(VLOOKUP(A110,'Production Schedule'!$B:$CC,80,FALSE),"")</f>
        <v>RTS Titans</v>
      </c>
      <c r="D110" s="323" t="str">
        <f ca="1">IF(F110="⚠️ CHANGED",NOW(),"—")</f>
        <v>—</v>
      </c>
      <c r="E110" t="str">
        <f>C110</f>
        <v>RTS Titans</v>
      </c>
      <c r="F110" t="str">
        <f>IF(AND(C110&lt;&gt;"",E110&lt;&gt;"",C110&lt;&gt;E110),"⚠️ CHANGED","—")</f>
        <v>—</v>
      </c>
    </row>
    <row r="111" spans="1:6" x14ac:dyDescent="0.25">
      <c r="A111" s="63" t="s">
        <v>514</v>
      </c>
      <c r="B111" s="64" t="s">
        <v>4219</v>
      </c>
      <c r="C111" t="str">
        <f>IFERROR(VLOOKUP(A111,'Production Schedule'!$B:$CC,80,FALSE),"")</f>
        <v>RTS Titans</v>
      </c>
      <c r="D111" s="323" t="str">
        <f ca="1">IF(F111="⚠️ CHANGED",NOW(),"—")</f>
        <v>—</v>
      </c>
      <c r="E111" t="str">
        <f>C111</f>
        <v>RTS Titans</v>
      </c>
      <c r="F111" t="str">
        <f>IF(AND(C111&lt;&gt;"",E111&lt;&gt;"",C111&lt;&gt;E111),"⚠️ CHANGED","—")</f>
        <v>—</v>
      </c>
    </row>
    <row r="112" spans="1:6" x14ac:dyDescent="0.25">
      <c r="A112" s="63" t="s">
        <v>521</v>
      </c>
      <c r="B112" s="64" t="s">
        <v>4219</v>
      </c>
      <c r="C112" t="str">
        <f>IFERROR(VLOOKUP(A112,'Production Schedule'!$B:$CC,80,FALSE),"")</f>
        <v>RTS Titans</v>
      </c>
      <c r="D112" s="323" t="str">
        <f ca="1">IF(F112="⚠️ CHANGED",NOW(),"—")</f>
        <v>—</v>
      </c>
      <c r="E112" t="str">
        <f>C112</f>
        <v>RTS Titans</v>
      </c>
      <c r="F112" t="str">
        <f>IF(AND(C112&lt;&gt;"",E112&lt;&gt;"",C112&lt;&gt;E112),"⚠️ CHANGED","—")</f>
        <v>—</v>
      </c>
    </row>
    <row r="113" spans="1:6" x14ac:dyDescent="0.25">
      <c r="A113" s="63" t="s">
        <v>466</v>
      </c>
      <c r="B113" s="64" t="s">
        <v>4219</v>
      </c>
      <c r="C113" t="str">
        <f>IFERROR(VLOOKUP(A113,'Production Schedule'!$B:$CC,80,FALSE),"")</f>
        <v>RTS Titans</v>
      </c>
      <c r="D113" s="323" t="str">
        <f ca="1">IF(F113="⚠️ CHANGED",NOW(),"—")</f>
        <v>—</v>
      </c>
      <c r="E113" t="str">
        <f>C113</f>
        <v>RTS Titans</v>
      </c>
      <c r="F113" t="str">
        <f>IF(AND(C113&lt;&gt;"",E113&lt;&gt;"",C113&lt;&gt;E113),"⚠️ CHANGED","—")</f>
        <v>—</v>
      </c>
    </row>
    <row r="114" spans="1:6" x14ac:dyDescent="0.25">
      <c r="A114" s="63" t="s">
        <v>1984</v>
      </c>
      <c r="B114" s="64" t="s">
        <v>4219</v>
      </c>
      <c r="C114" t="str">
        <f>IFERROR(VLOOKUP(A114,'Production Schedule'!$B:$CC,80,FALSE),"")</f>
        <v>RTS Titans</v>
      </c>
      <c r="D114" s="323" t="str">
        <f ca="1">IF(F114="⚠️ CHANGED",NOW(),"—")</f>
        <v>—</v>
      </c>
      <c r="E114" t="str">
        <f>C114</f>
        <v>RTS Titans</v>
      </c>
      <c r="F114" t="str">
        <f>IF(AND(C114&lt;&gt;"",E114&lt;&gt;"",C114&lt;&gt;E114),"⚠️ CHANGED","—")</f>
        <v>—</v>
      </c>
    </row>
    <row r="115" spans="1:6" x14ac:dyDescent="0.25">
      <c r="A115" s="63" t="s">
        <v>474</v>
      </c>
      <c r="B115" s="64" t="s">
        <v>4219</v>
      </c>
      <c r="C115" t="str">
        <f>IFERROR(VLOOKUP(A115,'Production Schedule'!$B:$CC,80,FALSE),"")</f>
        <v>RTS Titans</v>
      </c>
      <c r="D115" s="323" t="str">
        <f ca="1">IF(F115="⚠️ CHANGED",NOW(),"—")</f>
        <v>—</v>
      </c>
      <c r="E115" t="str">
        <f>C115</f>
        <v>RTS Titans</v>
      </c>
      <c r="F115" t="str">
        <f>IF(AND(C115&lt;&gt;"",E115&lt;&gt;"",C115&lt;&gt;E115),"⚠️ CHANGED","—")</f>
        <v>—</v>
      </c>
    </row>
    <row r="116" spans="1:6" x14ac:dyDescent="0.25">
      <c r="A116" s="63" t="s">
        <v>481</v>
      </c>
      <c r="B116" s="64" t="s">
        <v>4219</v>
      </c>
      <c r="C116" t="str">
        <f>IFERROR(VLOOKUP(A116,'Production Schedule'!$B:$CC,80,FALSE),"")</f>
        <v>RTS Titans</v>
      </c>
      <c r="D116" s="323" t="str">
        <f ca="1">IF(F116="⚠️ CHANGED",NOW(),"—")</f>
        <v>—</v>
      </c>
      <c r="E116" t="str">
        <f>C116</f>
        <v>RTS Titans</v>
      </c>
      <c r="F116" t="str">
        <f>IF(AND(C116&lt;&gt;"",E116&lt;&gt;"",C116&lt;&gt;E116),"⚠️ CHANGED","—")</f>
        <v>—</v>
      </c>
    </row>
    <row r="117" spans="1:6" x14ac:dyDescent="0.25">
      <c r="A117" s="63" t="s">
        <v>1438</v>
      </c>
      <c r="B117" s="64" t="s">
        <v>4219</v>
      </c>
      <c r="C117" t="str">
        <f>IFERROR(VLOOKUP(A117,'Production Schedule'!$B:$CC,80,FALSE),"")</f>
        <v>RTS Titans</v>
      </c>
      <c r="D117" s="323" t="str">
        <f ca="1">IF(F117="⚠️ CHANGED",NOW(),"—")</f>
        <v>—</v>
      </c>
      <c r="E117" t="str">
        <f>C117</f>
        <v>RTS Titans</v>
      </c>
      <c r="F117" t="str">
        <f>IF(AND(C117&lt;&gt;"",E117&lt;&gt;"",C117&lt;&gt;E117),"⚠️ CHANGED","—")</f>
        <v>—</v>
      </c>
    </row>
    <row r="118" spans="1:6" x14ac:dyDescent="0.25">
      <c r="A118" s="63" t="s">
        <v>1445</v>
      </c>
      <c r="B118" s="64" t="s">
        <v>4219</v>
      </c>
      <c r="C118" t="str">
        <f>IFERROR(VLOOKUP(A118,'Production Schedule'!$B:$CC,80,FALSE),"")</f>
        <v>RTS Titans</v>
      </c>
      <c r="D118" s="323" t="str">
        <f ca="1">IF(F118="⚠️ CHANGED",NOW(),"—")</f>
        <v>—</v>
      </c>
      <c r="E118" t="str">
        <f>C118</f>
        <v>RTS Titans</v>
      </c>
      <c r="F118" t="str">
        <f>IF(AND(C118&lt;&gt;"",E118&lt;&gt;"",C118&lt;&gt;E118),"⚠️ CHANGED","—")</f>
        <v>—</v>
      </c>
    </row>
    <row r="119" spans="1:6" x14ac:dyDescent="0.25">
      <c r="A119" s="63" t="s">
        <v>1452</v>
      </c>
      <c r="B119" s="64" t="s">
        <v>4219</v>
      </c>
      <c r="C119" t="str">
        <f>IFERROR(VLOOKUP(A119,'Production Schedule'!$B:$CC,80,FALSE),"")</f>
        <v>RTS Titans</v>
      </c>
      <c r="D119" s="323" t="str">
        <f ca="1">IF(F119="⚠️ CHANGED",NOW(),"—")</f>
        <v>—</v>
      </c>
      <c r="E119" t="str">
        <f>C119</f>
        <v>RTS Titans</v>
      </c>
      <c r="F119" t="str">
        <f>IF(AND(C119&lt;&gt;"",E119&lt;&gt;"",C119&lt;&gt;E119),"⚠️ CHANGED","—")</f>
        <v>—</v>
      </c>
    </row>
    <row r="120" spans="1:6" x14ac:dyDescent="0.25">
      <c r="A120" s="63" t="s">
        <v>1654</v>
      </c>
      <c r="B120" s="64" t="s">
        <v>4219</v>
      </c>
      <c r="C120" t="str">
        <f>IFERROR(VLOOKUP(A120,'Production Schedule'!$B:$CC,80,FALSE),"")</f>
        <v>RTS Titans</v>
      </c>
      <c r="D120" s="323" t="str">
        <f ca="1">IF(F120="⚠️ CHANGED",NOW(),"—")</f>
        <v>—</v>
      </c>
      <c r="E120" t="str">
        <f>C120</f>
        <v>RTS Titans</v>
      </c>
      <c r="F120" t="str">
        <f>IF(AND(C120&lt;&gt;"",E120&lt;&gt;"",C120&lt;&gt;E120),"⚠️ CHANGED","—")</f>
        <v>—</v>
      </c>
    </row>
    <row r="121" spans="1:6" x14ac:dyDescent="0.25">
      <c r="A121" s="63" t="s">
        <v>1585</v>
      </c>
      <c r="B121" s="64" t="s">
        <v>4219</v>
      </c>
      <c r="C121" t="str">
        <f>IFERROR(VLOOKUP(A121,'Production Schedule'!$B:$CC,80,FALSE),"")</f>
        <v>RTS Titans</v>
      </c>
      <c r="D121" s="323" t="str">
        <f ca="1">IF(F121="⚠️ CHANGED",NOW(),"—")</f>
        <v>—</v>
      </c>
      <c r="E121" t="str">
        <f>C121</f>
        <v>RTS Titans</v>
      </c>
      <c r="F121" t="str">
        <f>IF(AND(C121&lt;&gt;"",E121&lt;&gt;"",C121&lt;&gt;E121),"⚠️ CHANGED","—")</f>
        <v>—</v>
      </c>
    </row>
    <row r="122" spans="1:6" x14ac:dyDescent="0.25">
      <c r="A122" s="63" t="s">
        <v>1591</v>
      </c>
      <c r="B122" s="64" t="s">
        <v>4219</v>
      </c>
      <c r="C122" t="str">
        <f>IFERROR(VLOOKUP(A122,'Production Schedule'!$B:$CC,80,FALSE),"")</f>
        <v>RTS Titans</v>
      </c>
      <c r="D122" s="323" t="str">
        <f ca="1">IF(F122="⚠️ CHANGED",NOW(),"—")</f>
        <v>—</v>
      </c>
      <c r="E122" t="str">
        <f>C122</f>
        <v>RTS Titans</v>
      </c>
      <c r="F122" t="str">
        <f>IF(AND(C122&lt;&gt;"",E122&lt;&gt;"",C122&lt;&gt;E122),"⚠️ CHANGED","—")</f>
        <v>—</v>
      </c>
    </row>
    <row r="123" spans="1:6" x14ac:dyDescent="0.25">
      <c r="A123" s="63" t="s">
        <v>1597</v>
      </c>
      <c r="B123" s="64" t="s">
        <v>4219</v>
      </c>
      <c r="C123" t="str">
        <f>IFERROR(VLOOKUP(A123,'Production Schedule'!$B:$CC,80,FALSE),"")</f>
        <v>RTS Titans</v>
      </c>
      <c r="D123" s="323" t="str">
        <f ca="1">IF(F123="⚠️ CHANGED",NOW(),"—")</f>
        <v>—</v>
      </c>
      <c r="E123" t="str">
        <f>C123</f>
        <v>RTS Titans</v>
      </c>
      <c r="F123" t="str">
        <f>IF(AND(C123&lt;&gt;"",E123&lt;&gt;"",C123&lt;&gt;E123),"⚠️ CHANGED","—")</f>
        <v>—</v>
      </c>
    </row>
    <row r="124" spans="1:6" x14ac:dyDescent="0.25">
      <c r="A124" s="63" t="s">
        <v>1603</v>
      </c>
      <c r="B124" s="64" t="s">
        <v>4219</v>
      </c>
      <c r="C124" t="str">
        <f>IFERROR(VLOOKUP(A124,'Production Schedule'!$B:$CC,80,FALSE),"")</f>
        <v>RTS Titans</v>
      </c>
      <c r="D124" s="323" t="str">
        <f ca="1">IF(F124="⚠️ CHANGED",NOW(),"—")</f>
        <v>—</v>
      </c>
      <c r="E124" t="str">
        <f>C124</f>
        <v>RTS Titans</v>
      </c>
      <c r="F124" t="str">
        <f>IF(AND(C124&lt;&gt;"",E124&lt;&gt;"",C124&lt;&gt;E124),"⚠️ CHANGED","—")</f>
        <v>—</v>
      </c>
    </row>
    <row r="125" spans="1:6" x14ac:dyDescent="0.25">
      <c r="A125" s="63" t="s">
        <v>640</v>
      </c>
      <c r="B125" s="64" t="s">
        <v>4219</v>
      </c>
      <c r="C125" t="str">
        <f>IFERROR(VLOOKUP(A125,'Production Schedule'!$B:$CC,80,FALSE),"")</f>
        <v>RTS Titans</v>
      </c>
      <c r="D125" s="323" t="str">
        <f ca="1">IF(F125="⚠️ CHANGED",NOW(),"—")</f>
        <v>—</v>
      </c>
      <c r="E125" t="str">
        <f>C125</f>
        <v>RTS Titans</v>
      </c>
      <c r="F125" t="str">
        <f>IF(AND(C125&lt;&gt;"",E125&lt;&gt;"",C125&lt;&gt;E125),"⚠️ CHANGED","—")</f>
        <v>—</v>
      </c>
    </row>
    <row r="126" spans="1:6" x14ac:dyDescent="0.25">
      <c r="A126" s="63" t="s">
        <v>647</v>
      </c>
      <c r="B126" s="64" t="s">
        <v>4219</v>
      </c>
      <c r="C126" t="str">
        <f>IFERROR(VLOOKUP(A126,'Production Schedule'!$B:$CC,80,FALSE),"")</f>
        <v>RTS Titans</v>
      </c>
      <c r="D126" s="323" t="str">
        <f ca="1">IF(F126="⚠️ CHANGED",NOW(),"—")</f>
        <v>—</v>
      </c>
      <c r="E126" t="str">
        <f>C126</f>
        <v>RTS Titans</v>
      </c>
      <c r="F126" t="str">
        <f>IF(AND(C126&lt;&gt;"",E126&lt;&gt;"",C126&lt;&gt;E126),"⚠️ CHANGED","—")</f>
        <v>—</v>
      </c>
    </row>
    <row r="127" spans="1:6" x14ac:dyDescent="0.25">
      <c r="A127" s="63" t="s">
        <v>654</v>
      </c>
      <c r="B127" s="64" t="s">
        <v>4219</v>
      </c>
      <c r="C127" t="str">
        <f>IFERROR(VLOOKUP(A127,'Production Schedule'!$B:$CC,80,FALSE),"")</f>
        <v>RTS Titans</v>
      </c>
      <c r="D127" s="323" t="str">
        <f ca="1">IF(F127="⚠️ CHANGED",NOW(),"—")</f>
        <v>—</v>
      </c>
      <c r="E127" t="str">
        <f>C127</f>
        <v>RTS Titans</v>
      </c>
      <c r="F127" t="str">
        <f>IF(AND(C127&lt;&gt;"",E127&lt;&gt;"",C127&lt;&gt;E127),"⚠️ CHANGED","—")</f>
        <v>—</v>
      </c>
    </row>
    <row r="128" spans="1:6" x14ac:dyDescent="0.25">
      <c r="A128" s="63" t="s">
        <v>661</v>
      </c>
      <c r="B128" s="64" t="s">
        <v>4219</v>
      </c>
      <c r="C128" t="str">
        <f>IFERROR(VLOOKUP(A128,'Production Schedule'!$B:$CC,80,FALSE),"")</f>
        <v>RTS Titans</v>
      </c>
      <c r="D128" s="323" t="str">
        <f ca="1">IF(F128="⚠️ CHANGED",NOW(),"—")</f>
        <v>—</v>
      </c>
      <c r="E128" t="str">
        <f>C128</f>
        <v>RTS Titans</v>
      </c>
      <c r="F128" t="str">
        <f>IF(AND(C128&lt;&gt;"",E128&lt;&gt;"",C128&lt;&gt;E128),"⚠️ CHANGED","—")</f>
        <v>—</v>
      </c>
    </row>
    <row r="129" spans="1:6" x14ac:dyDescent="0.25">
      <c r="A129" s="63" t="s">
        <v>1672</v>
      </c>
      <c r="B129" s="64" t="s">
        <v>4219</v>
      </c>
      <c r="C129" t="str">
        <f>IFERROR(VLOOKUP(A129,'Production Schedule'!$B:$CC,80,FALSE),"")</f>
        <v>RTS Titans</v>
      </c>
      <c r="D129" s="323" t="str">
        <f ca="1">IF(F129="⚠️ CHANGED",NOW(),"—")</f>
        <v>—</v>
      </c>
      <c r="E129" t="str">
        <f>C129</f>
        <v>RTS Titans</v>
      </c>
      <c r="F129" t="str">
        <f>IF(AND(C129&lt;&gt;"",E129&lt;&gt;"",C129&lt;&gt;E129),"⚠️ CHANGED","—")</f>
        <v>—</v>
      </c>
    </row>
    <row r="130" spans="1:6" x14ac:dyDescent="0.25">
      <c r="A130" s="63" t="s">
        <v>1870</v>
      </c>
      <c r="B130" s="64" t="s">
        <v>4228</v>
      </c>
      <c r="C130" t="str">
        <f>IFERROR(VLOOKUP(A130,'Production Schedule'!$B:$CC,80,FALSE),"")</f>
        <v>Clean and Brake</v>
      </c>
      <c r="D130" s="323" t="str">
        <f ca="1">IF(F130="⚠️ CHANGED",NOW(),"—")</f>
        <v>—</v>
      </c>
      <c r="E130" t="str">
        <f>C130</f>
        <v>Clean and Brake</v>
      </c>
      <c r="F130" t="str">
        <f>IF(AND(C130&lt;&gt;"",E130&lt;&gt;"",C130&lt;&gt;E130),"⚠️ CHANGED","—")</f>
        <v>—</v>
      </c>
    </row>
    <row r="131" spans="1:6" x14ac:dyDescent="0.25">
      <c r="A131" s="63" t="s">
        <v>1878</v>
      </c>
      <c r="B131" s="64" t="s">
        <v>4219</v>
      </c>
      <c r="C131" t="str">
        <f>IFERROR(VLOOKUP(A131,'Production Schedule'!$B:$CC,80,FALSE),"")</f>
        <v>RTS Titans</v>
      </c>
      <c r="D131" s="323" t="str">
        <f ca="1">IF(F131="⚠️ CHANGED",NOW(),"—")</f>
        <v>—</v>
      </c>
      <c r="E131" t="str">
        <f>C131</f>
        <v>RTS Titans</v>
      </c>
      <c r="F131" t="str">
        <f>IF(AND(C131&lt;&gt;"",E131&lt;&gt;"",C131&lt;&gt;E131),"⚠️ CHANGED","—")</f>
        <v>—</v>
      </c>
    </row>
    <row r="132" spans="1:6" ht="30" x14ac:dyDescent="0.25">
      <c r="A132" s="63" t="s">
        <v>1886</v>
      </c>
      <c r="B132" s="64" t="s">
        <v>4229</v>
      </c>
      <c r="C132" t="str">
        <f>IFERROR(VLOOKUP(A132,'Production Schedule'!$B:$CC,80,FALSE),"")</f>
        <v>AXYZ 34</v>
      </c>
      <c r="D132" s="323" t="str">
        <f ca="1">IF(F132="⚠️ CHANGED",NOW(),"—")</f>
        <v>—</v>
      </c>
      <c r="E132" t="str">
        <f>C132</f>
        <v>AXYZ 34</v>
      </c>
      <c r="F132" t="str">
        <f>IF(AND(C132&lt;&gt;"",E132&lt;&gt;"",C132&lt;&gt;E132),"⚠️ CHANGED","—")</f>
        <v>—</v>
      </c>
    </row>
    <row r="133" spans="1:6" x14ac:dyDescent="0.25">
      <c r="A133" s="63" t="s">
        <v>2022</v>
      </c>
      <c r="B133" s="64" t="s">
        <v>4226</v>
      </c>
      <c r="C133" t="str">
        <f>IFERROR(VLOOKUP(A133,'Production Schedule'!$B:$CC,80,FALSE),"")</f>
        <v>Float</v>
      </c>
      <c r="D133" s="323" t="str">
        <f ca="1">IF(F133="⚠️ CHANGED",NOW(),"—")</f>
        <v>—</v>
      </c>
      <c r="E133" t="str">
        <f>C133</f>
        <v>Float</v>
      </c>
      <c r="F133" t="str">
        <f>IF(AND(C133&lt;&gt;"",E133&lt;&gt;"",C133&lt;&gt;E133),"⚠️ CHANGED","—")</f>
        <v>—</v>
      </c>
    </row>
    <row r="134" spans="1:6" x14ac:dyDescent="0.25">
      <c r="A134" s="63" t="s">
        <v>2026</v>
      </c>
      <c r="B134" s="64" t="s">
        <v>4226</v>
      </c>
      <c r="C134" t="str">
        <f>IFERROR(VLOOKUP(A134,'Production Schedule'!$B:$CC,80,FALSE),"")</f>
        <v>Float</v>
      </c>
      <c r="D134" s="323" t="str">
        <f ca="1">IF(F134="⚠️ CHANGED",NOW(),"—")</f>
        <v>—</v>
      </c>
      <c r="E134" t="str">
        <f>C134</f>
        <v>Float</v>
      </c>
      <c r="F134" t="str">
        <f>IF(AND(C134&lt;&gt;"",E134&lt;&gt;"",C134&lt;&gt;E134),"⚠️ CHANGED","—")</f>
        <v>—</v>
      </c>
    </row>
    <row r="135" spans="1:6" x14ac:dyDescent="0.25">
      <c r="A135" s="63" t="s">
        <v>2037</v>
      </c>
      <c r="B135" s="64" t="s">
        <v>4226</v>
      </c>
      <c r="C135" t="str">
        <f>IFERROR(VLOOKUP(A135,'Production Schedule'!$B:$CC,80,FALSE),"")</f>
        <v>Float</v>
      </c>
      <c r="D135" s="323" t="str">
        <f ca="1">IF(F135="⚠️ CHANGED",NOW(),"—")</f>
        <v>—</v>
      </c>
      <c r="E135" t="str">
        <f>C135</f>
        <v>Float</v>
      </c>
      <c r="F135" t="str">
        <f>IF(AND(C135&lt;&gt;"",E135&lt;&gt;"",C135&lt;&gt;E135),"⚠️ CHANGED","—")</f>
        <v>—</v>
      </c>
    </row>
    <row r="136" spans="1:6" ht="30" x14ac:dyDescent="0.25">
      <c r="A136" s="63" t="s">
        <v>2040</v>
      </c>
      <c r="B136" s="64" t="s">
        <v>4230</v>
      </c>
      <c r="C136" t="str">
        <f>IFERROR(VLOOKUP(A136,'Production Schedule'!$B:$CC,80,FALSE),"")</f>
        <v>Correction</v>
      </c>
      <c r="D136" s="323" t="str">
        <f ca="1">IF(F136="⚠️ CHANGED",NOW(),"—")</f>
        <v>—</v>
      </c>
      <c r="E136" t="str">
        <f>C136</f>
        <v>Correction</v>
      </c>
      <c r="F136" t="str">
        <f>IF(AND(C136&lt;&gt;"",E136&lt;&gt;"",C136&lt;&gt;E136),"⚠️ CHANGED","—")</f>
        <v>—</v>
      </c>
    </row>
    <row r="137" spans="1:6" x14ac:dyDescent="0.25">
      <c r="A137" s="63" t="s">
        <v>2051</v>
      </c>
      <c r="B137" s="64" t="s">
        <v>4226</v>
      </c>
      <c r="C137" t="str">
        <f>IFERROR(VLOOKUP(A137,'Production Schedule'!$B:$CC,80,FALSE),"")</f>
        <v>Float</v>
      </c>
      <c r="D137" s="323" t="str">
        <f ca="1">IF(F137="⚠️ CHANGED",NOW(),"—")</f>
        <v>—</v>
      </c>
      <c r="E137" t="str">
        <f>C137</f>
        <v>Float</v>
      </c>
      <c r="F137" t="str">
        <f>IF(AND(C137&lt;&gt;"",E137&lt;&gt;"",C137&lt;&gt;E137),"⚠️ CHANGED","—")</f>
        <v>—</v>
      </c>
    </row>
    <row r="138" spans="1:6" x14ac:dyDescent="0.25">
      <c r="A138" s="63" t="s">
        <v>2068</v>
      </c>
      <c r="B138" s="64" t="s">
        <v>4226</v>
      </c>
      <c r="C138" t="str">
        <f>IFERROR(VLOOKUP(A138,'Production Schedule'!$B:$CC,80,FALSE),"")</f>
        <v>Float</v>
      </c>
      <c r="D138" s="323" t="str">
        <f ca="1">IF(F138="⚠️ CHANGED",NOW(),"—")</f>
        <v>—</v>
      </c>
      <c r="E138" t="str">
        <f>C138</f>
        <v>Float</v>
      </c>
      <c r="F138" t="str">
        <f>IF(AND(C138&lt;&gt;"",E138&lt;&gt;"",C138&lt;&gt;E138),"⚠️ CHANGED","—")</f>
        <v>—</v>
      </c>
    </row>
    <row r="139" spans="1:6" x14ac:dyDescent="0.25">
      <c r="A139" s="63" t="s">
        <v>2074</v>
      </c>
      <c r="B139" s="64" t="s">
        <v>4226</v>
      </c>
      <c r="C139" t="str">
        <f>IFERROR(VLOOKUP(A139,'Production Schedule'!$B:$CC,80,FALSE),"")</f>
        <v>Float</v>
      </c>
      <c r="D139" s="323" t="str">
        <f ca="1">IF(F139="⚠️ CHANGED",NOW(),"—")</f>
        <v>—</v>
      </c>
      <c r="E139" t="str">
        <f>C139</f>
        <v>Float</v>
      </c>
      <c r="F139" t="str">
        <f>IF(AND(C139&lt;&gt;"",E139&lt;&gt;"",C139&lt;&gt;E139),"⚠️ CHANGED","—")</f>
        <v>—</v>
      </c>
    </row>
    <row r="140" spans="1:6" x14ac:dyDescent="0.25">
      <c r="A140" s="63" t="s">
        <v>668</v>
      </c>
      <c r="B140" s="64" t="s">
        <v>4219</v>
      </c>
      <c r="C140" t="str">
        <f>IFERROR(VLOOKUP(A140,'Production Schedule'!$B:$CC,80,FALSE),"")</f>
        <v>RTS Titans</v>
      </c>
      <c r="D140" s="323" t="str">
        <f ca="1">IF(F140="⚠️ CHANGED",NOW(),"—")</f>
        <v>—</v>
      </c>
      <c r="E140" t="str">
        <f>C140</f>
        <v>RTS Titans</v>
      </c>
      <c r="F140" t="str">
        <f>IF(AND(C140&lt;&gt;"",E140&lt;&gt;"",C140&lt;&gt;E140),"⚠️ CHANGED","—")</f>
        <v>—</v>
      </c>
    </row>
    <row r="141" spans="1:6" x14ac:dyDescent="0.25">
      <c r="A141" s="63" t="s">
        <v>685</v>
      </c>
      <c r="B141" s="64" t="s">
        <v>4219</v>
      </c>
      <c r="C141" t="str">
        <f>IFERROR(VLOOKUP(A141,'Production Schedule'!$B:$CC,80,FALSE),"")</f>
        <v>RTS Titans</v>
      </c>
      <c r="D141" s="323" t="str">
        <f ca="1">IF(F141="⚠️ CHANGED",NOW(),"—")</f>
        <v>—</v>
      </c>
      <c r="E141" t="str">
        <f>C141</f>
        <v>RTS Titans</v>
      </c>
      <c r="F141" t="str">
        <f>IF(AND(C141&lt;&gt;"",E141&lt;&gt;"",C141&lt;&gt;E141),"⚠️ CHANGED","—")</f>
        <v>—</v>
      </c>
    </row>
    <row r="142" spans="1:6" x14ac:dyDescent="0.25">
      <c r="A142" s="63" t="s">
        <v>695</v>
      </c>
      <c r="B142" s="64" t="s">
        <v>4219</v>
      </c>
      <c r="C142" t="str">
        <f>IFERROR(VLOOKUP(A142,'Production Schedule'!$B:$CC,80,FALSE),"")</f>
        <v>RTS Titans</v>
      </c>
      <c r="D142" s="323" t="str">
        <f ca="1">IF(F142="⚠️ CHANGED",NOW(),"—")</f>
        <v>—</v>
      </c>
      <c r="E142" t="str">
        <f>C142</f>
        <v>RTS Titans</v>
      </c>
      <c r="F142" t="str">
        <f>IF(AND(C142&lt;&gt;"",E142&lt;&gt;"",C142&lt;&gt;E142),"⚠️ CHANGED","—")</f>
        <v>—</v>
      </c>
    </row>
    <row r="143" spans="1:6" x14ac:dyDescent="0.25">
      <c r="A143" s="63" t="s">
        <v>702</v>
      </c>
      <c r="B143" s="64" t="s">
        <v>4219</v>
      </c>
      <c r="C143" t="str">
        <f>IFERROR(VLOOKUP(A143,'Production Schedule'!$B:$CC,80,FALSE),"")</f>
        <v>RTS Titans</v>
      </c>
      <c r="D143" s="323" t="str">
        <f ca="1">IF(F143="⚠️ CHANGED",NOW(),"—")</f>
        <v>—</v>
      </c>
      <c r="E143" t="str">
        <f>C143</f>
        <v>RTS Titans</v>
      </c>
      <c r="F143" t="str">
        <f>IF(AND(C143&lt;&gt;"",E143&lt;&gt;"",C143&lt;&gt;E143),"⚠️ CHANGED","—")</f>
        <v>—</v>
      </c>
    </row>
    <row r="144" spans="1:6" x14ac:dyDescent="0.25">
      <c r="A144" s="63" t="s">
        <v>707</v>
      </c>
      <c r="B144" s="64" t="s">
        <v>4219</v>
      </c>
      <c r="C144" t="str">
        <f>IFERROR(VLOOKUP(A144,'Production Schedule'!$B:$CC,80,FALSE),"")</f>
        <v>RTS Titans</v>
      </c>
      <c r="D144" s="323" t="str">
        <f ca="1">IF(F144="⚠️ CHANGED",NOW(),"—")</f>
        <v>—</v>
      </c>
      <c r="E144" t="str">
        <f>C144</f>
        <v>RTS Titans</v>
      </c>
      <c r="F144" t="str">
        <f>IF(AND(C144&lt;&gt;"",E144&lt;&gt;"",C144&lt;&gt;E144),"⚠️ CHANGED","—")</f>
        <v>—</v>
      </c>
    </row>
    <row r="145" spans="1:6" x14ac:dyDescent="0.25">
      <c r="A145" s="63" t="s">
        <v>1207</v>
      </c>
      <c r="B145" s="64" t="s">
        <v>4219</v>
      </c>
      <c r="C145" t="str">
        <f>IFERROR(VLOOKUP(A145,'Production Schedule'!$B:$CC,80,FALSE),"")</f>
        <v>RTS Titans</v>
      </c>
      <c r="D145" s="323" t="str">
        <f ca="1">IF(F145="⚠️ CHANGED",NOW(),"—")</f>
        <v>—</v>
      </c>
      <c r="E145" t="str">
        <f>C145</f>
        <v>RTS Titans</v>
      </c>
      <c r="F145" t="str">
        <f>IF(AND(C145&lt;&gt;"",E145&lt;&gt;"",C145&lt;&gt;E145),"⚠️ CHANGED","—")</f>
        <v>—</v>
      </c>
    </row>
    <row r="146" spans="1:6" x14ac:dyDescent="0.25">
      <c r="A146" s="63" t="s">
        <v>680</v>
      </c>
      <c r="B146" s="64" t="s">
        <v>4219</v>
      </c>
      <c r="C146" t="str">
        <f>IFERROR(VLOOKUP(A146,'Production Schedule'!$B:$CC,80,FALSE),"")</f>
        <v>RTS Titans</v>
      </c>
      <c r="D146" s="323" t="str">
        <f ca="1">IF(F146="⚠️ CHANGED",NOW(),"—")</f>
        <v>—</v>
      </c>
      <c r="E146" t="str">
        <f>C146</f>
        <v>RTS Titans</v>
      </c>
      <c r="F146" t="str">
        <f>IF(AND(C146&lt;&gt;"",E146&lt;&gt;"",C146&lt;&gt;E146),"⚠️ CHANGED","—")</f>
        <v>—</v>
      </c>
    </row>
    <row r="147" spans="1:6" x14ac:dyDescent="0.25">
      <c r="A147" s="63" t="s">
        <v>4184</v>
      </c>
      <c r="B147" s="64" t="s">
        <v>4218</v>
      </c>
      <c r="D147" s="328"/>
    </row>
    <row r="148" spans="1:6" x14ac:dyDescent="0.25">
      <c r="A148" s="63" t="s">
        <v>1274</v>
      </c>
      <c r="B148" s="64" t="s">
        <v>4212</v>
      </c>
      <c r="C148" t="str">
        <f>IFERROR(VLOOKUP(A148,'Production Schedule'!$B:$CC,80,FALSE),"")</f>
        <v>Ready to Ship</v>
      </c>
      <c r="D148" s="323" t="str">
        <f ca="1">IF(F148="⚠️ CHANGED",NOW(),"—")</f>
        <v>—</v>
      </c>
      <c r="E148" t="str">
        <f>C148</f>
        <v>Ready to Ship</v>
      </c>
      <c r="F148" t="str">
        <f>IF(AND(C148&lt;&gt;"",E148&lt;&gt;"",C148&lt;&gt;E148),"⚠️ CHANGED","—")</f>
        <v>—</v>
      </c>
    </row>
    <row r="149" spans="1:6" x14ac:dyDescent="0.25">
      <c r="A149" s="63" t="s">
        <v>1297</v>
      </c>
      <c r="B149" s="64" t="s">
        <v>4212</v>
      </c>
      <c r="C149" t="str">
        <f>IFERROR(VLOOKUP(A149,'Production Schedule'!$B:$CC,80,FALSE),"")</f>
        <v>Ready to Ship</v>
      </c>
      <c r="D149" s="323" t="str">
        <f ca="1">IF(F149="⚠️ CHANGED",NOW(),"—")</f>
        <v>—</v>
      </c>
      <c r="E149" t="str">
        <f>C149</f>
        <v>Ready to Ship</v>
      </c>
      <c r="F149" t="str">
        <f>IF(AND(C149&lt;&gt;"",E149&lt;&gt;"",C149&lt;&gt;E149),"⚠️ CHANGED","—")</f>
        <v>—</v>
      </c>
    </row>
    <row r="150" spans="1:6" x14ac:dyDescent="0.25">
      <c r="A150" s="63" t="s">
        <v>177</v>
      </c>
      <c r="B150" s="64" t="s">
        <v>4212</v>
      </c>
      <c r="C150" t="str">
        <f>IFERROR(VLOOKUP(A150,'Production Schedule'!$B:$CC,80,FALSE),"")</f>
        <v>Ready to Ship</v>
      </c>
      <c r="D150" s="323" t="str">
        <f ca="1">IF(F150="⚠️ CHANGED",NOW(),"—")</f>
        <v>—</v>
      </c>
      <c r="E150" t="str">
        <f>C150</f>
        <v>Ready to Ship</v>
      </c>
      <c r="F150" t="str">
        <f>IF(AND(C150&lt;&gt;"",E150&lt;&gt;"",C150&lt;&gt;E150),"⚠️ CHANGED","—")</f>
        <v>—</v>
      </c>
    </row>
    <row r="151" spans="1:6" x14ac:dyDescent="0.25">
      <c r="A151" s="63" t="s">
        <v>1820</v>
      </c>
      <c r="B151" s="64" t="s">
        <v>4231</v>
      </c>
      <c r="C151" t="str">
        <f>IFERROR(VLOOKUP(A151,'Production Schedule'!$B:$CC,80,FALSE),"")</f>
        <v>Shipped To Painter</v>
      </c>
      <c r="D151" s="323" t="str">
        <f ca="1">IF(F151="⚠️ CHANGED",NOW(),"—")</f>
        <v>—</v>
      </c>
      <c r="E151" t="str">
        <f>C151</f>
        <v>Shipped To Painter</v>
      </c>
      <c r="F151" t="str">
        <f>IF(AND(C151&lt;&gt;"",E151&lt;&gt;"",C151&lt;&gt;E151),"⚠️ CHANGED","—")</f>
        <v>—</v>
      </c>
    </row>
    <row r="152" spans="1:6" x14ac:dyDescent="0.25">
      <c r="A152" s="63" t="s">
        <v>1835</v>
      </c>
      <c r="B152" s="64" t="s">
        <v>4231</v>
      </c>
      <c r="C152" t="str">
        <f>IFERROR(VLOOKUP(A152,'Production Schedule'!$B:$CC,80,FALSE),"")</f>
        <v>Shipped To Painter</v>
      </c>
      <c r="D152" s="323" t="str">
        <f ca="1">IF(F152="⚠️ CHANGED",NOW(),"—")</f>
        <v>—</v>
      </c>
      <c r="E152" t="str">
        <f>C152</f>
        <v>Shipped To Painter</v>
      </c>
      <c r="F152" t="str">
        <f>IF(AND(C152&lt;&gt;"",E152&lt;&gt;"",C152&lt;&gt;E152),"⚠️ CHANGED","—")</f>
        <v>—</v>
      </c>
    </row>
    <row r="153" spans="1:6" x14ac:dyDescent="0.25">
      <c r="A153" s="63" t="s">
        <v>207</v>
      </c>
      <c r="B153" s="64" t="s">
        <v>4212</v>
      </c>
      <c r="C153" t="str">
        <f>IFERROR(VLOOKUP(A153,'Production Schedule'!$B:$CC,80,FALSE),"")</f>
        <v>Ready to Ship</v>
      </c>
      <c r="D153" s="323" t="str">
        <f ca="1">IF(F153="⚠️ CHANGED",NOW(),"—")</f>
        <v>—</v>
      </c>
      <c r="E153" t="str">
        <f>C153</f>
        <v>Ready to Ship</v>
      </c>
      <c r="F153" t="str">
        <f>IF(AND(C153&lt;&gt;"",E153&lt;&gt;"",C153&lt;&gt;E153),"⚠️ CHANGED","—")</f>
        <v>—</v>
      </c>
    </row>
    <row r="154" spans="1:6" ht="60" x14ac:dyDescent="0.25">
      <c r="A154" s="63" t="s">
        <v>223</v>
      </c>
      <c r="B154" s="64" t="s">
        <v>4232</v>
      </c>
      <c r="C154" t="str">
        <f>IFERROR(VLOOKUP(A154,'Production Schedule'!$B:$CC,80,FALSE),"")</f>
        <v>Crating</v>
      </c>
      <c r="D154" s="323" t="str">
        <f ca="1">IF(F154="⚠️ CHANGED",NOW(),"—")</f>
        <v>—</v>
      </c>
      <c r="E154" t="str">
        <f>C154</f>
        <v>Crating</v>
      </c>
      <c r="F154" t="str">
        <f>IF(AND(C154&lt;&gt;"",E154&lt;&gt;"",C154&lt;&gt;E154),"⚠️ CHANGED","—")</f>
        <v>—</v>
      </c>
    </row>
    <row r="155" spans="1:6" x14ac:dyDescent="0.25">
      <c r="A155" s="63" t="s">
        <v>2637</v>
      </c>
      <c r="B155" s="64" t="s">
        <v>4233</v>
      </c>
      <c r="C155" t="str">
        <f>IFERROR(VLOOKUP(A155,'Production Schedule'!$B:$CC,80,FALSE),"")</f>
        <v>Shipped</v>
      </c>
      <c r="D155" s="323" t="str">
        <f ca="1">IF(F155="⚠️ CHANGED",NOW(),"—")</f>
        <v>—</v>
      </c>
      <c r="E155" t="str">
        <f>C155</f>
        <v>Shipped</v>
      </c>
      <c r="F155" t="str">
        <f>IF(AND(C155&lt;&gt;"",E155&lt;&gt;"",C155&lt;&gt;E155),"⚠️ CHANGED","—")</f>
        <v>—</v>
      </c>
    </row>
    <row r="156" spans="1:6" x14ac:dyDescent="0.25">
      <c r="A156" s="63" t="s">
        <v>4185</v>
      </c>
      <c r="B156" s="64" t="s">
        <v>4218</v>
      </c>
      <c r="D156" s="328"/>
    </row>
    <row r="157" spans="1:6" x14ac:dyDescent="0.25">
      <c r="A157" s="63" t="s">
        <v>2206</v>
      </c>
      <c r="B157" s="64" t="s">
        <v>4234</v>
      </c>
      <c r="C157" t="str">
        <f>IFERROR(VLOOKUP(A157,'Production Schedule'!$B:$CC,80,FALSE),"")</f>
        <v>Sketch</v>
      </c>
      <c r="D157" s="323" t="str">
        <f ca="1">IF(F157="⚠️ CHANGED",NOW(),"—")</f>
        <v>—</v>
      </c>
      <c r="E157" t="str">
        <f>C157</f>
        <v>Sketch</v>
      </c>
      <c r="F157" t="str">
        <f>IF(AND(C157&lt;&gt;"",E157&lt;&gt;"",C157&lt;&gt;E157),"⚠️ CHANGED","—")</f>
        <v>—</v>
      </c>
    </row>
    <row r="158" spans="1:6" x14ac:dyDescent="0.25">
      <c r="A158" s="63" t="s">
        <v>1304</v>
      </c>
      <c r="B158" s="64" t="s">
        <v>4212</v>
      </c>
      <c r="C158" t="str">
        <f>IFERROR(VLOOKUP(A158,'Production Schedule'!$B:$CC,80,FALSE),"")</f>
        <v>Ready to Ship</v>
      </c>
      <c r="D158" s="323" t="str">
        <f ca="1">IF(F158="⚠️ CHANGED",NOW(),"—")</f>
        <v>—</v>
      </c>
      <c r="E158" t="str">
        <f>C158</f>
        <v>Ready to Ship</v>
      </c>
      <c r="F158" t="str">
        <f>IF(AND(C158&lt;&gt;"",E158&lt;&gt;"",C158&lt;&gt;E158),"⚠️ CHANGED","—")</f>
        <v>—</v>
      </c>
    </row>
    <row r="159" spans="1:6" ht="30" x14ac:dyDescent="0.25">
      <c r="A159" s="63" t="s">
        <v>1318</v>
      </c>
      <c r="B159" s="64" t="s">
        <v>4235</v>
      </c>
      <c r="C159" t="str">
        <f>IFERROR(VLOOKUP(A159,'Production Schedule'!$B:$CC,80,FALSE),"")</f>
        <v>CNC Programming</v>
      </c>
      <c r="D159" s="323" t="str">
        <f ca="1">IF(F159="⚠️ CHANGED",NOW(),"—")</f>
        <v>—</v>
      </c>
      <c r="E159" t="str">
        <f>C159</f>
        <v>CNC Programming</v>
      </c>
      <c r="F159" t="str">
        <f>IF(AND(C159&lt;&gt;"",E159&lt;&gt;"",C159&lt;&gt;E159),"⚠️ CHANGED","—")</f>
        <v>—</v>
      </c>
    </row>
    <row r="160" spans="1:6" x14ac:dyDescent="0.25">
      <c r="A160" s="63" t="s">
        <v>2092</v>
      </c>
      <c r="B160" s="64" t="s">
        <v>4236</v>
      </c>
      <c r="C160" t="str">
        <f>IFERROR(VLOOKUP(A160,'Production Schedule'!$B:$CC,80,FALSE),"")</f>
        <v>LO Check</v>
      </c>
      <c r="D160" s="323" t="str">
        <f ca="1">IF(F160="⚠️ CHANGED",NOW(),"—")</f>
        <v>—</v>
      </c>
      <c r="E160" t="str">
        <f>C160</f>
        <v>LO Check</v>
      </c>
      <c r="F160" t="str">
        <f>IF(AND(C160&lt;&gt;"",E160&lt;&gt;"",C160&lt;&gt;E160),"⚠️ CHANGED","—")</f>
        <v>—</v>
      </c>
    </row>
    <row r="161" spans="1:6" ht="30" customHeight="1" x14ac:dyDescent="0.25">
      <c r="A161" s="63" t="s">
        <v>2098</v>
      </c>
      <c r="B161" s="64" t="s">
        <v>4236</v>
      </c>
      <c r="C161" t="str">
        <f>IFERROR(VLOOKUP(A161,'Production Schedule'!$B:$CC,80,FALSE),"")</f>
        <v>LO Check</v>
      </c>
      <c r="D161" s="323" t="str">
        <f ca="1">IF(F161="⚠️ CHANGED",NOW(),"—")</f>
        <v>—</v>
      </c>
      <c r="E161" t="str">
        <f>C161</f>
        <v>LO Check</v>
      </c>
      <c r="F161" t="str">
        <f>IF(AND(C161&lt;&gt;"",E161&lt;&gt;"",C161&lt;&gt;E161),"⚠️ CHANGED","—")</f>
        <v>—</v>
      </c>
    </row>
    <row r="162" spans="1:6" x14ac:dyDescent="0.25">
      <c r="A162" s="63" t="s">
        <v>1315</v>
      </c>
      <c r="B162" s="64" t="s">
        <v>4236</v>
      </c>
      <c r="C162" t="str">
        <f>IFERROR(VLOOKUP(A162,'Production Schedule'!$B:$CC,80,FALSE),"")</f>
        <v>LO Check</v>
      </c>
      <c r="D162" s="323" t="str">
        <f ca="1">IF(F162="⚠️ CHANGED",NOW(),"—")</f>
        <v>—</v>
      </c>
      <c r="E162" t="str">
        <f>C162</f>
        <v>LO Check</v>
      </c>
      <c r="F162" t="str">
        <f>IF(AND(C162&lt;&gt;"",E162&lt;&gt;"",C162&lt;&gt;E162),"⚠️ CHANGED","—")</f>
        <v>—</v>
      </c>
    </row>
    <row r="163" spans="1:6" x14ac:dyDescent="0.25">
      <c r="A163" s="63" t="s">
        <v>2081</v>
      </c>
      <c r="B163" s="64" t="s">
        <v>4216</v>
      </c>
      <c r="C163" t="str">
        <f>IFERROR(VLOOKUP(A163,'Production Schedule'!$B:$CC,80,FALSE),"")</f>
        <v>Shear</v>
      </c>
      <c r="D163" s="323" t="str">
        <f ca="1">IF(F163="⚠️ CHANGED",NOW(),"—")</f>
        <v>—</v>
      </c>
      <c r="E163" t="str">
        <f>C163</f>
        <v>Shear</v>
      </c>
      <c r="F163" t="str">
        <f>IF(AND(C163&lt;&gt;"",E163&lt;&gt;"",C163&lt;&gt;E163),"⚠️ CHANGED","—")</f>
        <v>—</v>
      </c>
    </row>
    <row r="164" spans="1:6" x14ac:dyDescent="0.25">
      <c r="A164" s="63" t="s">
        <v>1338</v>
      </c>
      <c r="B164" s="64" t="s">
        <v>4216</v>
      </c>
      <c r="C164" t="str">
        <f>IFERROR(VLOOKUP(A164,'Production Schedule'!$B:$CC,80,FALSE),"")</f>
        <v>Shear</v>
      </c>
      <c r="D164" s="323" t="str">
        <f ca="1">IF(F164="⚠️ CHANGED",NOW(),"—")</f>
        <v>—</v>
      </c>
      <c r="E164" t="str">
        <f>C164</f>
        <v>Shear</v>
      </c>
      <c r="F164" t="str">
        <f>IF(AND(C164&lt;&gt;"",E164&lt;&gt;"",C164&lt;&gt;E164),"⚠️ CHANGED","—")</f>
        <v>—</v>
      </c>
    </row>
    <row r="165" spans="1:6" x14ac:dyDescent="0.25">
      <c r="A165" s="63" t="s">
        <v>2054</v>
      </c>
      <c r="B165" s="64" t="s">
        <v>4237</v>
      </c>
      <c r="C165" t="str">
        <f>IFERROR(VLOOKUP(A165,'Production Schedule'!$B:$CC,80,FALSE),"")</f>
        <v>TruPunch 5000</v>
      </c>
      <c r="D165" s="323" t="str">
        <f ca="1">IF(F165="⚠️ CHANGED",NOW(),"—")</f>
        <v>—</v>
      </c>
      <c r="E165" t="str">
        <f>C165</f>
        <v>TruPunch 5000</v>
      </c>
      <c r="F165" t="str">
        <f>IF(AND(C165&lt;&gt;"",E165&lt;&gt;"",C165&lt;&gt;E165),"⚠️ CHANGED","—")</f>
        <v>—</v>
      </c>
    </row>
    <row r="166" spans="1:6" x14ac:dyDescent="0.25">
      <c r="A166" s="63" t="s">
        <v>1351</v>
      </c>
      <c r="B166" s="64" t="s">
        <v>4212</v>
      </c>
      <c r="C166" t="str">
        <f>IFERROR(VLOOKUP(A166,'Production Schedule'!$B:$CC,80,FALSE),"")</f>
        <v>Ready to Ship</v>
      </c>
      <c r="D166" s="323" t="str">
        <f ca="1">IF(F166="⚠️ CHANGED",NOW(),"—")</f>
        <v>—</v>
      </c>
      <c r="E166" t="str">
        <f>C166</f>
        <v>Ready to Ship</v>
      </c>
      <c r="F166" t="str">
        <f>IF(AND(C166&lt;&gt;"",E166&lt;&gt;"",C166&lt;&gt;E166),"⚠️ CHANGED","—")</f>
        <v>—</v>
      </c>
    </row>
    <row r="167" spans="1:6" x14ac:dyDescent="0.25">
      <c r="A167" s="63" t="s">
        <v>1360</v>
      </c>
      <c r="B167" s="64" t="s">
        <v>4212</v>
      </c>
      <c r="C167" t="str">
        <f>IFERROR(VLOOKUP(A167,'Production Schedule'!$B:$CC,80,FALSE),"")</f>
        <v>Ready to Ship</v>
      </c>
      <c r="D167" s="323" t="str">
        <f ca="1">IF(F167="⚠️ CHANGED",NOW(),"—")</f>
        <v>—</v>
      </c>
      <c r="E167" t="str">
        <f>C167</f>
        <v>Ready to Ship</v>
      </c>
      <c r="F167" t="str">
        <f>IF(AND(C167&lt;&gt;"",E167&lt;&gt;"",C167&lt;&gt;E167),"⚠️ CHANGED","—")</f>
        <v>—</v>
      </c>
    </row>
    <row r="168" spans="1:6" x14ac:dyDescent="0.25">
      <c r="A168" s="63" t="s">
        <v>1368</v>
      </c>
      <c r="B168" s="64" t="s">
        <v>4212</v>
      </c>
      <c r="C168" t="str">
        <f>IFERROR(VLOOKUP(A168,'Production Schedule'!$B:$CC,80,FALSE),"")</f>
        <v>Ready to Ship</v>
      </c>
      <c r="D168" s="323" t="str">
        <f ca="1">IF(F168="⚠️ CHANGED",NOW(),"—")</f>
        <v>—</v>
      </c>
      <c r="E168" t="str">
        <f>C168</f>
        <v>Ready to Ship</v>
      </c>
      <c r="F168" t="str">
        <f>IF(AND(C168&lt;&gt;"",E168&lt;&gt;"",C168&lt;&gt;E168),"⚠️ CHANGED","—")</f>
        <v>—</v>
      </c>
    </row>
    <row r="169" spans="1:6" x14ac:dyDescent="0.25">
      <c r="A169" s="63" t="s">
        <v>1358</v>
      </c>
      <c r="B169" s="64" t="s">
        <v>4212</v>
      </c>
      <c r="C169" t="str">
        <f>IFERROR(VLOOKUP(A169,'Production Schedule'!$B:$CC,80,FALSE),"")</f>
        <v>Ready to Ship</v>
      </c>
      <c r="D169" s="323" t="str">
        <f ca="1">IF(F169="⚠️ CHANGED",NOW(),"—")</f>
        <v>—</v>
      </c>
      <c r="E169" t="str">
        <f>C169</f>
        <v>Ready to Ship</v>
      </c>
      <c r="F169" t="str">
        <f>IF(AND(C169&lt;&gt;"",E169&lt;&gt;"",C169&lt;&gt;E169),"⚠️ CHANGED","—")</f>
        <v>—</v>
      </c>
    </row>
    <row r="170" spans="1:6" x14ac:dyDescent="0.25">
      <c r="A170" s="63" t="s">
        <v>4161</v>
      </c>
      <c r="B170" s="64" t="s">
        <v>4218</v>
      </c>
      <c r="D170" s="328"/>
    </row>
    <row r="171" spans="1:6" x14ac:dyDescent="0.25">
      <c r="A171" s="63" t="s">
        <v>899</v>
      </c>
      <c r="B171" s="64" t="s">
        <v>4238</v>
      </c>
      <c r="C171" t="str">
        <f>IFERROR(VLOOKUP(A171,'Production Schedule'!$B:$CC,80,FALSE),"")</f>
        <v>Evaluation</v>
      </c>
      <c r="D171" s="323" t="str">
        <f ca="1">IF(F171="⚠️ CHANGED",NOW(),"—")</f>
        <v>—</v>
      </c>
      <c r="E171" t="str">
        <f>C171</f>
        <v>Evaluation</v>
      </c>
      <c r="F171" t="str">
        <f>IF(AND(C171&lt;&gt;"",E171&lt;&gt;"",C171&lt;&gt;E171),"⚠️ CHANGED","—")</f>
        <v>—</v>
      </c>
    </row>
    <row r="172" spans="1:6" x14ac:dyDescent="0.25">
      <c r="A172" s="63" t="s">
        <v>1682</v>
      </c>
      <c r="B172" s="64" t="s">
        <v>4238</v>
      </c>
      <c r="C172" t="str">
        <f>IFERROR(VLOOKUP(A172,'Production Schedule'!$B:$CC,80,FALSE),"")</f>
        <v>Evaluation</v>
      </c>
      <c r="D172" s="323" t="str">
        <f ca="1">IF(F172="⚠️ CHANGED",NOW(),"—")</f>
        <v>—</v>
      </c>
      <c r="E172" t="str">
        <f>C172</f>
        <v>Evaluation</v>
      </c>
      <c r="F172" t="str">
        <f>IF(AND(C172&lt;&gt;"",E172&lt;&gt;"",C172&lt;&gt;E172),"⚠️ CHANGED","—")</f>
        <v>—</v>
      </c>
    </row>
    <row r="173" spans="1:6" x14ac:dyDescent="0.25">
      <c r="A173" s="63" t="s">
        <v>914</v>
      </c>
      <c r="B173" s="64" t="s">
        <v>4212</v>
      </c>
      <c r="C173" t="str">
        <f>IFERROR(VLOOKUP(A173,'Production Schedule'!$B:$CC,80,FALSE),"")</f>
        <v>Ready to Ship</v>
      </c>
      <c r="D173" s="323" t="str">
        <f ca="1">IF(F173="⚠️ CHANGED",NOW(),"—")</f>
        <v>—</v>
      </c>
      <c r="E173" t="str">
        <f>C173</f>
        <v>Ready to Ship</v>
      </c>
      <c r="F173" t="str">
        <f>IF(AND(C173&lt;&gt;"",E173&lt;&gt;"",C173&lt;&gt;E173),"⚠️ CHANGED","—")</f>
        <v>—</v>
      </c>
    </row>
    <row r="174" spans="1:6" x14ac:dyDescent="0.25">
      <c r="A174" s="63" t="s">
        <v>2155</v>
      </c>
      <c r="B174" s="64" t="s">
        <v>4212</v>
      </c>
      <c r="C174" t="str">
        <f>IFERROR(VLOOKUP(A174,'Production Schedule'!$B:$CC,80,FALSE),"")</f>
        <v>Ready to Ship</v>
      </c>
      <c r="D174" s="323" t="str">
        <f ca="1">IF(F174="⚠️ CHANGED",NOW(),"—")</f>
        <v>—</v>
      </c>
      <c r="E174" t="str">
        <f>C174</f>
        <v>Ready to Ship</v>
      </c>
      <c r="F174" t="str">
        <f>IF(AND(C174&lt;&gt;"",E174&lt;&gt;"",C174&lt;&gt;E174),"⚠️ CHANGED","—")</f>
        <v>—</v>
      </c>
    </row>
    <row r="175" spans="1:6" x14ac:dyDescent="0.25">
      <c r="A175" s="63" t="s">
        <v>928</v>
      </c>
      <c r="B175" s="64" t="s">
        <v>4239</v>
      </c>
      <c r="C175" t="str">
        <f>IFERROR(VLOOKUP(A175,'Production Schedule'!$B:$CC,80,FALSE),"")</f>
        <v>Sketch Check</v>
      </c>
      <c r="D175" s="323" t="str">
        <f ca="1">IF(F175="⚠️ CHANGED",NOW(),"—")</f>
        <v>—</v>
      </c>
      <c r="E175" t="str">
        <f>C175</f>
        <v>Sketch Check</v>
      </c>
      <c r="F175" t="str">
        <f>IF(AND(C175&lt;&gt;"",E175&lt;&gt;"",C175&lt;&gt;E175),"⚠️ CHANGED","—")</f>
        <v>—</v>
      </c>
    </row>
    <row r="176" spans="1:6" x14ac:dyDescent="0.25">
      <c r="A176" s="63" t="s">
        <v>2488</v>
      </c>
      <c r="B176" s="64" t="s">
        <v>4234</v>
      </c>
      <c r="C176" t="str">
        <f>IFERROR(VLOOKUP(A176,'Production Schedule'!$B:$CC,80,FALSE),"")</f>
        <v>Sketch</v>
      </c>
      <c r="D176" s="323" t="str">
        <f ca="1">IF(F176="⚠️ CHANGED",NOW(),"—")</f>
        <v>—</v>
      </c>
      <c r="E176" t="str">
        <f>C176</f>
        <v>Sketch</v>
      </c>
      <c r="F176" t="str">
        <f>IF(AND(C176&lt;&gt;"",E176&lt;&gt;"",C176&lt;&gt;E176),"⚠️ CHANGED","—")</f>
        <v>—</v>
      </c>
    </row>
    <row r="177" spans="1:6" x14ac:dyDescent="0.25">
      <c r="A177" s="63" t="s">
        <v>2043</v>
      </c>
      <c r="B177" s="64" t="s">
        <v>4236</v>
      </c>
      <c r="C177" t="str">
        <f>IFERROR(VLOOKUP(A177,'Production Schedule'!$B:$CC,80,FALSE),"")</f>
        <v>LO Check</v>
      </c>
      <c r="D177" s="323" t="str">
        <f ca="1">IF(F177="⚠️ CHANGED",NOW(),"—")</f>
        <v>—</v>
      </c>
      <c r="E177" t="str">
        <f>C177</f>
        <v>LO Check</v>
      </c>
      <c r="F177" t="str">
        <f>IF(AND(C177&lt;&gt;"",E177&lt;&gt;"",C177&lt;&gt;E177),"⚠️ CHANGED","—")</f>
        <v>—</v>
      </c>
    </row>
    <row r="178" spans="1:6" x14ac:dyDescent="0.25">
      <c r="A178" s="63" t="s">
        <v>2491</v>
      </c>
      <c r="B178" s="64" t="s">
        <v>4240</v>
      </c>
      <c r="C178" t="str">
        <f>IFERROR(VLOOKUP(A178,'Production Schedule'!$B:$CC,80,FALSE),"")</f>
        <v>LO</v>
      </c>
      <c r="D178" s="323" t="str">
        <f ca="1">IF(F178="⚠️ CHANGED",NOW(),"—")</f>
        <v>—</v>
      </c>
      <c r="E178" t="str">
        <f>C178</f>
        <v>LO</v>
      </c>
      <c r="F178" t="str">
        <f>IF(AND(C178&lt;&gt;"",E178&lt;&gt;"",C178&lt;&gt;E178),"⚠️ CHANGED","—")</f>
        <v>—</v>
      </c>
    </row>
    <row r="179" spans="1:6" x14ac:dyDescent="0.25">
      <c r="A179" s="63" t="s">
        <v>2644</v>
      </c>
      <c r="B179" s="64" t="s">
        <v>4240</v>
      </c>
      <c r="C179" t="str">
        <f>IFERROR(VLOOKUP(A179,'Production Schedule'!$B:$CC,80,FALSE),"")</f>
        <v>LO</v>
      </c>
      <c r="D179" s="323" t="str">
        <f ca="1">IF(F179="⚠️ CHANGED",NOW(),"—")</f>
        <v>—</v>
      </c>
      <c r="E179" t="str">
        <f>C179</f>
        <v>LO</v>
      </c>
      <c r="F179" t="str">
        <f>IF(AND(C179&lt;&gt;"",E179&lt;&gt;"",C179&lt;&gt;E179),"⚠️ CHANGED","—")</f>
        <v>—</v>
      </c>
    </row>
    <row r="180" spans="1:6" x14ac:dyDescent="0.25">
      <c r="A180" s="63" t="s">
        <v>2649</v>
      </c>
      <c r="B180" s="64" t="s">
        <v>4240</v>
      </c>
      <c r="C180" t="str">
        <f>IFERROR(VLOOKUP(A180,'Production Schedule'!$B:$CC,80,FALSE),"")</f>
        <v>LO</v>
      </c>
      <c r="D180" s="323" t="str">
        <f ca="1">IF(F180="⚠️ CHANGED",NOW(),"—")</f>
        <v>—</v>
      </c>
      <c r="E180" t="str">
        <f>C180</f>
        <v>LO</v>
      </c>
      <c r="F180" t="str">
        <f>IF(AND(C180&lt;&gt;"",E180&lt;&gt;"",C180&lt;&gt;E180),"⚠️ CHANGED","—")</f>
        <v>—</v>
      </c>
    </row>
    <row r="181" spans="1:6" x14ac:dyDescent="0.25">
      <c r="A181" s="63" t="s">
        <v>912</v>
      </c>
      <c r="B181" s="64" t="s">
        <v>4240</v>
      </c>
      <c r="C181" t="str">
        <f>IFERROR(VLOOKUP(A181,'Production Schedule'!$B:$CC,80,FALSE),"")</f>
        <v>LO</v>
      </c>
      <c r="D181" s="323" t="str">
        <f ca="1">IF(F181="⚠️ CHANGED",NOW(),"—")</f>
        <v>—</v>
      </c>
      <c r="E181" t="str">
        <f>C181</f>
        <v>LO</v>
      </c>
      <c r="F181" t="str">
        <f>IF(AND(C181&lt;&gt;"",E181&lt;&gt;"",C181&lt;&gt;E181),"⚠️ CHANGED","—")</f>
        <v>—</v>
      </c>
    </row>
    <row r="182" spans="1:6" x14ac:dyDescent="0.25">
      <c r="A182" s="63" t="s">
        <v>2716</v>
      </c>
      <c r="B182" s="64" t="s">
        <v>4234</v>
      </c>
      <c r="C182" t="str">
        <f>IFERROR(VLOOKUP(A182,'Production Schedule'!$B:$CC,80,FALSE),"")</f>
        <v>Sketch</v>
      </c>
      <c r="D182" s="323" t="str">
        <f ca="1">IF(F182="⚠️ CHANGED",NOW(),"—")</f>
        <v>—</v>
      </c>
      <c r="E182" t="str">
        <f>C182</f>
        <v>Sketch</v>
      </c>
      <c r="F182" t="str">
        <f>IF(AND(C182&lt;&gt;"",E182&lt;&gt;"",C182&lt;&gt;E182),"⚠️ CHANGED","—")</f>
        <v>—</v>
      </c>
    </row>
    <row r="183" spans="1:6" x14ac:dyDescent="0.25">
      <c r="A183" s="63" t="s">
        <v>2630</v>
      </c>
      <c r="B183" s="64" t="s">
        <v>4233</v>
      </c>
      <c r="C183" t="str">
        <f>IFERROR(VLOOKUP(A183,'Production Schedule'!$B:$CC,80,FALSE),"")</f>
        <v>Shipped</v>
      </c>
      <c r="D183" s="323" t="str">
        <f ca="1">IF(F183="⚠️ CHANGED",NOW(),"—")</f>
        <v>—</v>
      </c>
      <c r="E183" t="str">
        <f>C183</f>
        <v>Shipped</v>
      </c>
      <c r="F183" t="str">
        <f>IF(AND(C183&lt;&gt;"",E183&lt;&gt;"",C183&lt;&gt;E183),"⚠️ CHANGED","—")</f>
        <v>—</v>
      </c>
    </row>
    <row r="184" spans="1:6" x14ac:dyDescent="0.25">
      <c r="A184" s="63" t="s">
        <v>1377</v>
      </c>
      <c r="B184" s="64" t="s">
        <v>4231</v>
      </c>
      <c r="C184" t="str">
        <f>IFERROR(VLOOKUP(A184,'Production Schedule'!$B:$CC,80,FALSE),"")</f>
        <v>Shipped To Painter</v>
      </c>
      <c r="D184" s="323" t="str">
        <f ca="1">IF(F184="⚠️ CHANGED",NOW(),"—")</f>
        <v>—</v>
      </c>
      <c r="E184" t="str">
        <f>C184</f>
        <v>Shipped To Painter</v>
      </c>
      <c r="F184" t="str">
        <f>IF(AND(C184&lt;&gt;"",E184&lt;&gt;"",C184&lt;&gt;E184),"⚠️ CHANGED","—")</f>
        <v>—</v>
      </c>
    </row>
    <row r="185" spans="1:6" ht="30" customHeight="1" x14ac:dyDescent="0.25">
      <c r="A185" s="63" t="s">
        <v>1384</v>
      </c>
      <c r="B185" s="64" t="s">
        <v>4231</v>
      </c>
      <c r="C185" t="str">
        <f>IFERROR(VLOOKUP(A185,'Production Schedule'!$B:$CC,80,FALSE),"")</f>
        <v>Shipped To Painter</v>
      </c>
      <c r="D185" s="323" t="str">
        <f ca="1">IF(F185="⚠️ CHANGED",NOW(),"—")</f>
        <v>—</v>
      </c>
      <c r="E185" t="str">
        <f>C185</f>
        <v>Shipped To Painter</v>
      </c>
      <c r="F185" t="str">
        <f>IF(AND(C185&lt;&gt;"",E185&lt;&gt;"",C185&lt;&gt;E185),"⚠️ CHANGED","—")</f>
        <v>—</v>
      </c>
    </row>
    <row r="186" spans="1:6" x14ac:dyDescent="0.25">
      <c r="A186" s="63" t="s">
        <v>1054</v>
      </c>
      <c r="B186" s="64" t="s">
        <v>4231</v>
      </c>
      <c r="C186" t="str">
        <f>IFERROR(VLOOKUP(A186,'Production Schedule'!$B:$CC,80,FALSE),"")</f>
        <v>Shipped To Painter</v>
      </c>
      <c r="D186" s="323" t="str">
        <f ca="1">IF(F186="⚠️ CHANGED",NOW(),"—")</f>
        <v>—</v>
      </c>
      <c r="E186" t="str">
        <f>C186</f>
        <v>Shipped To Painter</v>
      </c>
      <c r="F186" t="str">
        <f>IF(AND(C186&lt;&gt;"",E186&lt;&gt;"",C186&lt;&gt;E186),"⚠️ CHANGED","—")</f>
        <v>—</v>
      </c>
    </row>
    <row r="187" spans="1:6" x14ac:dyDescent="0.25">
      <c r="A187" s="63" t="s">
        <v>1073</v>
      </c>
      <c r="B187" s="64" t="s">
        <v>4231</v>
      </c>
      <c r="C187" t="str">
        <f>IFERROR(VLOOKUP(A187,'Production Schedule'!$B:$CC,80,FALSE),"")</f>
        <v>Shipped To Painter</v>
      </c>
      <c r="D187" s="323" t="str">
        <f ca="1">IF(F187="⚠️ CHANGED",NOW(),"—")</f>
        <v>—</v>
      </c>
      <c r="E187" t="str">
        <f>C187</f>
        <v>Shipped To Painter</v>
      </c>
      <c r="F187" t="str">
        <f>IF(AND(C187&lt;&gt;"",E187&lt;&gt;"",C187&lt;&gt;E187),"⚠️ CHANGED","—")</f>
        <v>—</v>
      </c>
    </row>
    <row r="188" spans="1:6" x14ac:dyDescent="0.25">
      <c r="A188" s="63" t="s">
        <v>1084</v>
      </c>
      <c r="B188" s="64" t="s">
        <v>4231</v>
      </c>
      <c r="C188" t="str">
        <f>IFERROR(VLOOKUP(A188,'Production Schedule'!$B:$CC,80,FALSE),"")</f>
        <v>Shipped To Painter</v>
      </c>
      <c r="D188" s="323" t="str">
        <f ca="1">IF(F188="⚠️ CHANGED",NOW(),"—")</f>
        <v>—</v>
      </c>
      <c r="E188" t="str">
        <f>C188</f>
        <v>Shipped To Painter</v>
      </c>
      <c r="F188" t="str">
        <f>IF(AND(C188&lt;&gt;"",E188&lt;&gt;"",C188&lt;&gt;E188),"⚠️ CHANGED","—")</f>
        <v>—</v>
      </c>
    </row>
    <row r="189" spans="1:6" x14ac:dyDescent="0.25">
      <c r="A189" s="63" t="s">
        <v>1093</v>
      </c>
      <c r="B189" s="64" t="s">
        <v>4231</v>
      </c>
      <c r="C189" t="str">
        <f>IFERROR(VLOOKUP(A189,'Production Schedule'!$B:$CC,80,FALSE),"")</f>
        <v>Shipped To Painter</v>
      </c>
      <c r="D189" s="323" t="str">
        <f ca="1">IF(F189="⚠️ CHANGED",NOW(),"—")</f>
        <v>—</v>
      </c>
      <c r="E189" t="str">
        <f>C189</f>
        <v>Shipped To Painter</v>
      </c>
      <c r="F189" t="str">
        <f>IF(AND(C189&lt;&gt;"",E189&lt;&gt;"",C189&lt;&gt;E189),"⚠️ CHANGED","—")</f>
        <v>—</v>
      </c>
    </row>
    <row r="190" spans="1:6" x14ac:dyDescent="0.25">
      <c r="A190" s="63" t="s">
        <v>1069</v>
      </c>
      <c r="B190" s="64" t="s">
        <v>4231</v>
      </c>
      <c r="C190" t="str">
        <f>IFERROR(VLOOKUP(A190,'Production Schedule'!$B:$CC,80,FALSE),"")</f>
        <v>Shipped To Painter</v>
      </c>
      <c r="D190" s="323" t="str">
        <f ca="1">IF(F190="⚠️ CHANGED",NOW(),"—")</f>
        <v>—</v>
      </c>
      <c r="E190" t="str">
        <f>C190</f>
        <v>Shipped To Painter</v>
      </c>
      <c r="F190" t="str">
        <f>IF(AND(C190&lt;&gt;"",E190&lt;&gt;"",C190&lt;&gt;E190),"⚠️ CHANGED","—")</f>
        <v>—</v>
      </c>
    </row>
    <row r="191" spans="1:6" ht="45" customHeight="1" x14ac:dyDescent="0.25">
      <c r="A191" s="63" t="s">
        <v>2121</v>
      </c>
      <c r="B191" s="64" t="s">
        <v>4231</v>
      </c>
      <c r="C191" t="str">
        <f>IFERROR(VLOOKUP(A191,'Production Schedule'!$B:$CC,80,FALSE),"")</f>
        <v>Shipped To Painter</v>
      </c>
      <c r="D191" s="323" t="str">
        <f ca="1">IF(F191="⚠️ CHANGED",NOW(),"—")</f>
        <v>—</v>
      </c>
      <c r="E191" t="str">
        <f>C191</f>
        <v>Shipped To Painter</v>
      </c>
      <c r="F191" t="str">
        <f>IF(AND(C191&lt;&gt;"",E191&lt;&gt;"",C191&lt;&gt;E191),"⚠️ CHANGED","—")</f>
        <v>—</v>
      </c>
    </row>
    <row r="192" spans="1:6" x14ac:dyDescent="0.25">
      <c r="A192" s="63" t="s">
        <v>757</v>
      </c>
      <c r="B192" s="64" t="s">
        <v>4212</v>
      </c>
      <c r="C192" t="str">
        <f>IFERROR(VLOOKUP(A192,'Production Schedule'!$B:$CC,80,FALSE),"")</f>
        <v>Ready to Ship</v>
      </c>
      <c r="D192" s="323" t="str">
        <f ca="1">IF(F192="⚠️ CHANGED",NOW(),"—")</f>
        <v>—</v>
      </c>
      <c r="E192" t="str">
        <f>C192</f>
        <v>Ready to Ship</v>
      </c>
      <c r="F192" t="str">
        <f>IF(AND(C192&lt;&gt;"",E192&lt;&gt;"",C192&lt;&gt;E192),"⚠️ CHANGED","—")</f>
        <v>—</v>
      </c>
    </row>
    <row r="193" spans="1:6" x14ac:dyDescent="0.25">
      <c r="A193" s="63" t="s">
        <v>1727</v>
      </c>
      <c r="B193" s="64" t="s">
        <v>4231</v>
      </c>
      <c r="C193" t="str">
        <f>IFERROR(VLOOKUP(A193,'Production Schedule'!$B:$CC,80,FALSE),"")</f>
        <v>Shipped To Painter</v>
      </c>
      <c r="D193" s="323" t="str">
        <f ca="1">IF(F193="⚠️ CHANGED",NOW(),"—")</f>
        <v>—</v>
      </c>
      <c r="E193" t="str">
        <f>C193</f>
        <v>Shipped To Painter</v>
      </c>
      <c r="F193" t="str">
        <f>IF(AND(C193&lt;&gt;"",E193&lt;&gt;"",C193&lt;&gt;E193),"⚠️ CHANGED","—")</f>
        <v>—</v>
      </c>
    </row>
    <row r="194" spans="1:6" x14ac:dyDescent="0.25">
      <c r="A194" s="63" t="s">
        <v>4100</v>
      </c>
      <c r="B194" s="64" t="s">
        <v>4218</v>
      </c>
      <c r="C194">
        <f>IFERROR(VLOOKUP(A194,'Production Schedule'!$B:$CC,80,FALSE),"")</f>
        <v>0</v>
      </c>
      <c r="D194" s="328" t="s">
        <v>4159</v>
      </c>
      <c r="E194">
        <f>C194</f>
        <v>0</v>
      </c>
      <c r="F194" t="str">
        <f>IF(C194=E194,"—","⚠️ CHANGED")</f>
        <v>—</v>
      </c>
    </row>
    <row r="195" spans="1:6" ht="60" x14ac:dyDescent="0.25">
      <c r="A195" s="63" t="s">
        <v>303</v>
      </c>
      <c r="B195" s="64" t="s">
        <v>4241</v>
      </c>
      <c r="C195" t="str">
        <f>IFERROR(VLOOKUP(A195,'Production Schedule'!$B:$CC,80,FALSE),"")</f>
        <v>Clean and Brake</v>
      </c>
      <c r="D195" s="323" t="str">
        <f ca="1">IF(F195="⚠️ CHANGED",NOW(),"—")</f>
        <v>—</v>
      </c>
      <c r="E195" t="str">
        <f>C195</f>
        <v>Clean and Brake</v>
      </c>
      <c r="F195" t="str">
        <f>IF(AND(C195&lt;&gt;"",E195&lt;&gt;"",C195&lt;&gt;E195),"⚠️ CHANGED","—")</f>
        <v>—</v>
      </c>
    </row>
    <row r="196" spans="1:6" x14ac:dyDescent="0.25">
      <c r="A196" s="63" t="s">
        <v>2031</v>
      </c>
      <c r="B196" s="64" t="s">
        <v>4240</v>
      </c>
      <c r="C196" t="str">
        <f>IFERROR(VLOOKUP(A196,'Production Schedule'!$B:$CC,80,FALSE),"")</f>
        <v>LO</v>
      </c>
      <c r="D196" s="323" t="str">
        <f ca="1">IF(F196="⚠️ CHANGED",NOW(),"—")</f>
        <v>—</v>
      </c>
      <c r="E196" t="str">
        <f>C196</f>
        <v>LO</v>
      </c>
      <c r="F196" t="str">
        <f>IF(AND(C196&lt;&gt;"",E196&lt;&gt;"",C196&lt;&gt;E196),"⚠️ CHANGED","—")</f>
        <v>—</v>
      </c>
    </row>
    <row r="197" spans="1:6" x14ac:dyDescent="0.25">
      <c r="A197" s="63" t="s">
        <v>2508</v>
      </c>
      <c r="B197" s="64" t="s">
        <v>4238</v>
      </c>
      <c r="C197" t="str">
        <f>IFERROR(VLOOKUP(A197,'Production Schedule'!$B:$CC,80,FALSE),"")</f>
        <v>Evaluation</v>
      </c>
      <c r="D197" s="323" t="str">
        <f ca="1">IF(F197="⚠️ CHANGED",NOW(),"—")</f>
        <v>—</v>
      </c>
      <c r="E197" t="str">
        <f>C197</f>
        <v>Evaluation</v>
      </c>
      <c r="F197" t="str">
        <f>IF(AND(C197&lt;&gt;"",E197&lt;&gt;"",C197&lt;&gt;E197),"⚠️ CHANGED","—")</f>
        <v>—</v>
      </c>
    </row>
    <row r="198" spans="1:6" x14ac:dyDescent="0.25">
      <c r="A198" s="63" t="s">
        <v>320</v>
      </c>
      <c r="B198" s="64" t="s">
        <v>4238</v>
      </c>
      <c r="C198" t="str">
        <f>IFERROR(VLOOKUP(A198,'Production Schedule'!$B:$CC,80,FALSE),"")</f>
        <v>Evaluation</v>
      </c>
      <c r="D198" s="323" t="str">
        <f ca="1">IF(F198="⚠️ CHANGED",NOW(),"—")</f>
        <v>—</v>
      </c>
      <c r="E198" t="str">
        <f>C198</f>
        <v>Evaluation</v>
      </c>
      <c r="F198" t="str">
        <f>IF(AND(C198&lt;&gt;"",E198&lt;&gt;"",C198&lt;&gt;E198),"⚠️ CHANGED","—")</f>
        <v>—</v>
      </c>
    </row>
    <row r="199" spans="1:6" x14ac:dyDescent="0.25">
      <c r="A199" s="63" t="s">
        <v>4090</v>
      </c>
      <c r="B199" s="64" t="s">
        <v>4218</v>
      </c>
      <c r="C199">
        <f>IFERROR(VLOOKUP(A199,'Production Schedule'!$B:$CC,80,FALSE),"")</f>
        <v>0</v>
      </c>
      <c r="D199" s="328" t="s">
        <v>4159</v>
      </c>
      <c r="E199">
        <f>C199</f>
        <v>0</v>
      </c>
      <c r="F199" t="str">
        <f>IF(C199=E199,"—","⚠️ CHANGED")</f>
        <v>—</v>
      </c>
    </row>
    <row r="200" spans="1:6" x14ac:dyDescent="0.25">
      <c r="A200" s="63" t="s">
        <v>2458</v>
      </c>
      <c r="B200" s="64" t="s">
        <v>4242</v>
      </c>
      <c r="C200" t="str">
        <f>IFERROR(VLOOKUP(A200,'Production Schedule'!$B:$CC,80,FALSE),"")</f>
        <v>TruLaser 3040</v>
      </c>
      <c r="D200" s="323" t="str">
        <f ca="1">IF(F200="⚠️ CHANGED",NOW(),"—")</f>
        <v>—</v>
      </c>
      <c r="E200" t="str">
        <f>C200</f>
        <v>TruLaser 3040</v>
      </c>
      <c r="F200" t="str">
        <f>IF(AND(C200&lt;&gt;"",E200&lt;&gt;"",C200&lt;&gt;E200),"⚠️ CHANGED","—")</f>
        <v>—</v>
      </c>
    </row>
    <row r="201" spans="1:6" ht="30" x14ac:dyDescent="0.25">
      <c r="A201" s="63" t="s">
        <v>1942</v>
      </c>
      <c r="B201" s="64" t="s">
        <v>4243</v>
      </c>
      <c r="C201" t="str">
        <f>IFERROR(VLOOKUP(A201,'Production Schedule'!$B:$CC,80,FALSE),"")</f>
        <v>Correction</v>
      </c>
      <c r="D201" s="323" t="str">
        <f ca="1">IF(F201="⚠️ CHANGED",NOW(),"—")</f>
        <v>—</v>
      </c>
      <c r="E201" t="str">
        <f>C201</f>
        <v>Correction</v>
      </c>
      <c r="F201" t="str">
        <f>IF(AND(C201&lt;&gt;"",E201&lt;&gt;"",C201&lt;&gt;E201),"⚠️ CHANGED","—")</f>
        <v>—</v>
      </c>
    </row>
    <row r="202" spans="1:6" x14ac:dyDescent="0.25">
      <c r="A202" s="63" t="s">
        <v>1953</v>
      </c>
      <c r="B202" s="64" t="s">
        <v>4244</v>
      </c>
      <c r="C202" t="str">
        <f>IFERROR(VLOOKUP(A202,'Production Schedule'!$B:$CC,80,FALSE),"")</f>
        <v>LO Check</v>
      </c>
      <c r="D202" s="323" t="str">
        <f ca="1">IF(F202="⚠️ CHANGED",NOW(),"—")</f>
        <v>—</v>
      </c>
      <c r="E202" t="str">
        <f>C202</f>
        <v>LO Check</v>
      </c>
      <c r="F202" t="str">
        <f>IF(AND(C202&lt;&gt;"",E202&lt;&gt;"",C202&lt;&gt;E202),"⚠️ CHANGED","—")</f>
        <v>—</v>
      </c>
    </row>
    <row r="203" spans="1:6" ht="30" x14ac:dyDescent="0.25">
      <c r="A203" s="63" t="s">
        <v>1959</v>
      </c>
      <c r="B203" s="64" t="s">
        <v>4245</v>
      </c>
      <c r="C203" t="str">
        <f>IFERROR(VLOOKUP(A203,'Production Schedule'!$B:$CC,80,FALSE),"")</f>
        <v>LO Check</v>
      </c>
      <c r="D203" s="323" t="str">
        <f ca="1">IF(F203="⚠️ CHANGED",NOW(),"—")</f>
        <v>—</v>
      </c>
      <c r="E203" t="str">
        <f>C203</f>
        <v>LO Check</v>
      </c>
      <c r="F203" t="str">
        <f>IF(AND(C203&lt;&gt;"",E203&lt;&gt;"",C203&lt;&gt;E203),"⚠️ CHANGED","—")</f>
        <v>—</v>
      </c>
    </row>
    <row r="204" spans="1:6" x14ac:dyDescent="0.25">
      <c r="A204" s="63" t="s">
        <v>1978</v>
      </c>
      <c r="B204" s="64" t="s">
        <v>4244</v>
      </c>
      <c r="C204" t="str">
        <f>IFERROR(VLOOKUP(A204,'Production Schedule'!$B:$CC,80,FALSE),"")</f>
        <v>LO Check</v>
      </c>
      <c r="D204" s="323" t="str">
        <f ca="1">IF(F204="⚠️ CHANGED",NOW(),"—")</f>
        <v>—</v>
      </c>
      <c r="E204" t="str">
        <f>C204</f>
        <v>LO Check</v>
      </c>
      <c r="F204" t="str">
        <f>IF(AND(C204&lt;&gt;"",E204&lt;&gt;"",C204&lt;&gt;E204),"⚠️ CHANGED","—")</f>
        <v>—</v>
      </c>
    </row>
    <row r="205" spans="1:6" x14ac:dyDescent="0.25">
      <c r="A205" s="63" t="s">
        <v>2434</v>
      </c>
      <c r="B205" s="64" t="s">
        <v>4244</v>
      </c>
      <c r="C205" t="str">
        <f>IFERROR(VLOOKUP(A205,'Production Schedule'!$B:$CC,80,FALSE),"")</f>
        <v>LO Check</v>
      </c>
      <c r="D205" s="323" t="str">
        <f ca="1">IF(F205="⚠️ CHANGED",NOW(),"—")</f>
        <v>—</v>
      </c>
      <c r="E205" t="str">
        <f>C205</f>
        <v>LO Check</v>
      </c>
      <c r="F205" t="str">
        <f>IF(AND(C205&lt;&gt;"",E205&lt;&gt;"",C205&lt;&gt;E205),"⚠️ CHANGED","—")</f>
        <v>—</v>
      </c>
    </row>
    <row r="206" spans="1:6" x14ac:dyDescent="0.25">
      <c r="A206" s="63" t="s">
        <v>2440</v>
      </c>
      <c r="B206" s="64" t="s">
        <v>4244</v>
      </c>
      <c r="C206" t="str">
        <f>IFERROR(VLOOKUP(A206,'Production Schedule'!$B:$CC,80,FALSE),"")</f>
        <v>LO Check</v>
      </c>
      <c r="D206" s="323" t="str">
        <f ca="1">IF(F206="⚠️ CHANGED",NOW(),"—")</f>
        <v>—</v>
      </c>
      <c r="E206" t="str">
        <f>C206</f>
        <v>LO Check</v>
      </c>
      <c r="F206" t="str">
        <f>IF(AND(C206&lt;&gt;"",E206&lt;&gt;"",C206&lt;&gt;E206),"⚠️ CHANGED","—")</f>
        <v>—</v>
      </c>
    </row>
    <row r="207" spans="1:6" x14ac:dyDescent="0.25">
      <c r="A207" s="63" t="s">
        <v>2685</v>
      </c>
      <c r="B207" s="64" t="s">
        <v>4246</v>
      </c>
      <c r="C207" t="str">
        <f>IFERROR(VLOOKUP(A207,'Production Schedule'!$B:$CC,80,FALSE),"")</f>
        <v>LO</v>
      </c>
      <c r="D207" s="323" t="str">
        <f ca="1">IF(F207="⚠️ CHANGED",NOW(),"—")</f>
        <v>—</v>
      </c>
      <c r="E207" t="str">
        <f>C207</f>
        <v>LO</v>
      </c>
      <c r="F207" t="str">
        <f>IF(AND(C207&lt;&gt;"",E207&lt;&gt;"",C207&lt;&gt;E207),"⚠️ CHANGED","—")</f>
        <v>—</v>
      </c>
    </row>
    <row r="208" spans="1:6" x14ac:dyDescent="0.25">
      <c r="A208" s="63" t="s">
        <v>2689</v>
      </c>
      <c r="B208" s="64" t="s">
        <v>4246</v>
      </c>
      <c r="C208" t="str">
        <f>IFERROR(VLOOKUP(A208,'Production Schedule'!$B:$CC,80,FALSE),"")</f>
        <v>LO</v>
      </c>
      <c r="D208" s="323" t="str">
        <f ca="1">IF(F208="⚠️ CHANGED",NOW(),"—")</f>
        <v>—</v>
      </c>
      <c r="E208" t="str">
        <f>C208</f>
        <v>LO</v>
      </c>
      <c r="F208" t="str">
        <f>IF(AND(C208&lt;&gt;"",E208&lt;&gt;"",C208&lt;&gt;E208),"⚠️ CHANGED","—")</f>
        <v>—</v>
      </c>
    </row>
    <row r="209" spans="1:6" x14ac:dyDescent="0.25">
      <c r="A209" s="63" t="s">
        <v>2694</v>
      </c>
      <c r="B209" s="64" t="s">
        <v>4246</v>
      </c>
      <c r="C209" t="str">
        <f>IFERROR(VLOOKUP(A209,'Production Schedule'!$B:$CC,80,FALSE),"")</f>
        <v>LO</v>
      </c>
      <c r="D209" s="323" t="str">
        <f ca="1">IF(F209="⚠️ CHANGED",NOW(),"—")</f>
        <v>—</v>
      </c>
      <c r="E209" t="str">
        <f>C209</f>
        <v>LO</v>
      </c>
      <c r="F209" t="str">
        <f>IF(AND(C209&lt;&gt;"",E209&lt;&gt;"",C209&lt;&gt;E209),"⚠️ CHANGED","—")</f>
        <v>—</v>
      </c>
    </row>
    <row r="210" spans="1:6" x14ac:dyDescent="0.25">
      <c r="A210" s="63" t="s">
        <v>2698</v>
      </c>
      <c r="B210" s="64" t="s">
        <v>4246</v>
      </c>
      <c r="C210" t="str">
        <f>IFERROR(VLOOKUP(A210,'Production Schedule'!$B:$CC,80,FALSE),"")</f>
        <v>LO</v>
      </c>
      <c r="D210" s="323" t="str">
        <f ca="1">IF(F210="⚠️ CHANGED",NOW(),"—")</f>
        <v>—</v>
      </c>
      <c r="E210" t="str">
        <f>C210</f>
        <v>LO</v>
      </c>
      <c r="F210" t="str">
        <f>IF(AND(C210&lt;&gt;"",E210&lt;&gt;"",C210&lt;&gt;E210),"⚠️ CHANGED","—")</f>
        <v>—</v>
      </c>
    </row>
    <row r="211" spans="1:6" x14ac:dyDescent="0.25">
      <c r="A211" s="63" t="s">
        <v>1950</v>
      </c>
      <c r="B211" s="64" t="s">
        <v>4246</v>
      </c>
      <c r="C211" t="str">
        <f>IFERROR(VLOOKUP(A211,'Production Schedule'!$B:$CC,80,FALSE),"")</f>
        <v>LO</v>
      </c>
      <c r="D211" s="323" t="str">
        <f ca="1">IF(F211="⚠️ CHANGED",NOW(),"—")</f>
        <v>—</v>
      </c>
      <c r="E211" t="str">
        <f>C211</f>
        <v>LO</v>
      </c>
      <c r="F211" t="str">
        <f>IF(AND(C211&lt;&gt;"",E211&lt;&gt;"",C211&lt;&gt;E211),"⚠️ CHANGED","—")</f>
        <v>—</v>
      </c>
    </row>
    <row r="212" spans="1:6" x14ac:dyDescent="0.25">
      <c r="A212" s="63" t="s">
        <v>1133</v>
      </c>
      <c r="B212" s="64" t="s">
        <v>4212</v>
      </c>
      <c r="C212" t="str">
        <f>IFERROR(VLOOKUP(A212,'Production Schedule'!$B:$CC,80,FALSE),"")</f>
        <v>Ready to Ship</v>
      </c>
      <c r="D212" s="323" t="str">
        <f ca="1">IF(F212="⚠️ CHANGED",NOW(),"—")</f>
        <v>—</v>
      </c>
      <c r="E212" t="str">
        <f>C212</f>
        <v>Ready to Ship</v>
      </c>
      <c r="F212" t="str">
        <f>IF(AND(C212&lt;&gt;"",E212&lt;&gt;"",C212&lt;&gt;E212),"⚠️ CHANGED","—")</f>
        <v>—</v>
      </c>
    </row>
    <row r="213" spans="1:6" x14ac:dyDescent="0.25">
      <c r="A213" s="63" t="s">
        <v>2528</v>
      </c>
      <c r="B213" s="64" t="s">
        <v>4247</v>
      </c>
      <c r="C213" t="str">
        <f>IFERROR(VLOOKUP(A213,'Production Schedule'!$B:$CC,80,FALSE),"")</f>
        <v>Crating</v>
      </c>
      <c r="D213" s="323" t="str">
        <f ca="1">IF(F213="⚠️ CHANGED",NOW(),"—")</f>
        <v>—</v>
      </c>
      <c r="E213" t="str">
        <f>C213</f>
        <v>Crating</v>
      </c>
      <c r="F213" t="str">
        <f>IF(AND(C213&lt;&gt;"",E213&lt;&gt;"",C213&lt;&gt;E213),"⚠️ CHANGED","—")</f>
        <v>—</v>
      </c>
    </row>
    <row r="214" spans="1:6" x14ac:dyDescent="0.25">
      <c r="A214" s="63" t="s">
        <v>1143</v>
      </c>
      <c r="B214" s="64" t="s">
        <v>4231</v>
      </c>
      <c r="C214" t="str">
        <f>IFERROR(VLOOKUP(A214,'Production Schedule'!$B:$CC,80,FALSE),"")</f>
        <v>Shipped To Painter</v>
      </c>
      <c r="D214" s="323" t="str">
        <f ca="1">IF(F214="⚠️ CHANGED",NOW(),"—")</f>
        <v>—</v>
      </c>
      <c r="E214" t="str">
        <f>C214</f>
        <v>Shipped To Painter</v>
      </c>
      <c r="F214" t="str">
        <f>IF(AND(C214&lt;&gt;"",E214&lt;&gt;"",C214&lt;&gt;E214),"⚠️ CHANGED","—")</f>
        <v>—</v>
      </c>
    </row>
    <row r="215" spans="1:6" x14ac:dyDescent="0.25">
      <c r="A215" s="63" t="s">
        <v>1156</v>
      </c>
      <c r="B215" s="64" t="s">
        <v>4238</v>
      </c>
      <c r="C215" t="str">
        <f>IFERROR(VLOOKUP(A215,'Production Schedule'!$B:$CC,80,FALSE),"")</f>
        <v>Evaluation</v>
      </c>
      <c r="D215" s="323" t="str">
        <f ca="1">IF(F215="⚠️ CHANGED",NOW(),"—")</f>
        <v>—</v>
      </c>
      <c r="E215" t="str">
        <f>C215</f>
        <v>Evaluation</v>
      </c>
      <c r="F215" t="str">
        <f>IF(AND(C215&lt;&gt;"",E215&lt;&gt;"",C215&lt;&gt;E215),"⚠️ CHANGED","—")</f>
        <v>—</v>
      </c>
    </row>
    <row r="216" spans="1:6" x14ac:dyDescent="0.25">
      <c r="A216" s="63" t="s">
        <v>2134</v>
      </c>
      <c r="B216" s="64" t="s">
        <v>4248</v>
      </c>
      <c r="C216" t="str">
        <f>IFERROR(VLOOKUP(A216,'Production Schedule'!$B:$CC,80,FALSE),"")</f>
        <v>Correction</v>
      </c>
      <c r="D216" s="323" t="str">
        <f ca="1">IF(F216="⚠️ CHANGED",NOW(),"—")</f>
        <v>—</v>
      </c>
      <c r="E216" t="str">
        <f>C216</f>
        <v>Correction</v>
      </c>
      <c r="F216" t="str">
        <f>IF(AND(C216&lt;&gt;"",E216&lt;&gt;"",C216&lt;&gt;E216),"⚠️ CHANGED","—")</f>
        <v>—</v>
      </c>
    </row>
    <row r="217" spans="1:6" x14ac:dyDescent="0.25">
      <c r="A217" s="63" t="s">
        <v>2584</v>
      </c>
      <c r="B217" s="64" t="s">
        <v>4240</v>
      </c>
      <c r="C217" t="str">
        <f>IFERROR(VLOOKUP(A217,'Production Schedule'!$B:$CC,80,FALSE),"")</f>
        <v>LO</v>
      </c>
      <c r="D217" s="323" t="str">
        <f ca="1">IF(F217="⚠️ CHANGED",NOW(),"—")</f>
        <v>—</v>
      </c>
      <c r="E217" t="str">
        <f>C217</f>
        <v>LO</v>
      </c>
      <c r="F217" t="str">
        <f>IF(AND(C217&lt;&gt;"",E217&lt;&gt;"",C217&lt;&gt;E217),"⚠️ CHANGED","—")</f>
        <v>—</v>
      </c>
    </row>
    <row r="218" spans="1:6" x14ac:dyDescent="0.25">
      <c r="A218" s="63" t="s">
        <v>2590</v>
      </c>
      <c r="B218" s="64" t="s">
        <v>4240</v>
      </c>
      <c r="C218" t="str">
        <f>IFERROR(VLOOKUP(A218,'Production Schedule'!$B:$CC,80,FALSE),"")</f>
        <v>LO</v>
      </c>
      <c r="D218" s="323" t="str">
        <f ca="1">IF(F218="⚠️ CHANGED",NOW(),"—")</f>
        <v>—</v>
      </c>
      <c r="E218" t="str">
        <f>C218</f>
        <v>LO</v>
      </c>
      <c r="F218" t="str">
        <f>IF(AND(C218&lt;&gt;"",E218&lt;&gt;"",C218&lt;&gt;E218),"⚠️ CHANGED","—")</f>
        <v>—</v>
      </c>
    </row>
    <row r="219" spans="1:6" x14ac:dyDescent="0.25">
      <c r="A219" s="63" t="s">
        <v>2541</v>
      </c>
      <c r="B219" s="64" t="s">
        <v>4249</v>
      </c>
      <c r="C219" t="str">
        <f>IFERROR(VLOOKUP(A219,'Production Schedule'!$B:$CC,80,FALSE),"")</f>
        <v>AXYZ 34</v>
      </c>
      <c r="D219" s="323" t="str">
        <f ca="1">IF(F219="⚠️ CHANGED",NOW(),"—")</f>
        <v>—</v>
      </c>
      <c r="E219" t="str">
        <f>C219</f>
        <v>AXYZ 34</v>
      </c>
      <c r="F219" t="str">
        <f>IF(AND(C219&lt;&gt;"",E219&lt;&gt;"",C219&lt;&gt;E219),"⚠️ CHANGED","—")</f>
        <v>—</v>
      </c>
    </row>
    <row r="220" spans="1:6" x14ac:dyDescent="0.25">
      <c r="A220" s="63" t="s">
        <v>2443</v>
      </c>
      <c r="B220" s="64" t="s">
        <v>4250</v>
      </c>
      <c r="C220" t="str">
        <f>IFERROR(VLOOKUP(A220,'Production Schedule'!$B:$CC,80,FALSE),"")</f>
        <v>Clean and Brake</v>
      </c>
      <c r="D220" s="323" t="str">
        <f ca="1">IF(F220="⚠️ CHANGED",NOW(),"—")</f>
        <v>—</v>
      </c>
      <c r="E220" t="str">
        <f>C220</f>
        <v>Clean and Brake</v>
      </c>
      <c r="F220" t="str">
        <f>IF(AND(C220&lt;&gt;"",E220&lt;&gt;"",C220&lt;&gt;E220),"⚠️ CHANGED","—")</f>
        <v>—</v>
      </c>
    </row>
    <row r="221" spans="1:6" x14ac:dyDescent="0.25">
      <c r="A221" s="63" t="s">
        <v>766</v>
      </c>
      <c r="B221" s="64" t="s">
        <v>4212</v>
      </c>
      <c r="C221" t="str">
        <f>IFERROR(VLOOKUP(A221,'Production Schedule'!$B:$CC,80,FALSE),"")</f>
        <v>Ready to Ship</v>
      </c>
      <c r="D221" s="323" t="str">
        <f ca="1">IF(F221="⚠️ CHANGED",NOW(),"—")</f>
        <v>—</v>
      </c>
      <c r="E221" t="str">
        <f>C221</f>
        <v>Ready to Ship</v>
      </c>
      <c r="F221" t="str">
        <f>IF(AND(C221&lt;&gt;"",E221&lt;&gt;"",C221&lt;&gt;E221),"⚠️ CHANGED","—")</f>
        <v>—</v>
      </c>
    </row>
    <row r="222" spans="1:6" x14ac:dyDescent="0.25">
      <c r="A222" s="63" t="s">
        <v>778</v>
      </c>
      <c r="B222" s="64" t="s">
        <v>4212</v>
      </c>
      <c r="C222" t="str">
        <f>IFERROR(VLOOKUP(A222,'Production Schedule'!$B:$CC,80,FALSE),"")</f>
        <v>Ready to Ship</v>
      </c>
      <c r="D222" s="323" t="str">
        <f ca="1">IF(F222="⚠️ CHANGED",NOW(),"—")</f>
        <v>—</v>
      </c>
      <c r="E222" t="str">
        <f>C222</f>
        <v>Ready to Ship</v>
      </c>
      <c r="F222" t="str">
        <f>IF(AND(C222&lt;&gt;"",E222&lt;&gt;"",C222&lt;&gt;E222),"⚠️ CHANGED","—")</f>
        <v>—</v>
      </c>
    </row>
    <row r="223" spans="1:6" x14ac:dyDescent="0.25">
      <c r="A223" s="63" t="s">
        <v>792</v>
      </c>
      <c r="B223" s="64" t="s">
        <v>4212</v>
      </c>
      <c r="C223" t="str">
        <f>IFERROR(VLOOKUP(A223,'Production Schedule'!$B:$CC,80,FALSE),"")</f>
        <v>Ready to Ship</v>
      </c>
      <c r="D223" s="323" t="str">
        <f ca="1">IF(F223="⚠️ CHANGED",NOW(),"—")</f>
        <v>—</v>
      </c>
      <c r="E223" t="str">
        <f>C223</f>
        <v>Ready to Ship</v>
      </c>
      <c r="F223" t="str">
        <f>IF(AND(C223&lt;&gt;"",E223&lt;&gt;"",C223&lt;&gt;E223),"⚠️ CHANGED","—")</f>
        <v>—</v>
      </c>
    </row>
    <row r="224" spans="1:6" x14ac:dyDescent="0.25">
      <c r="A224" s="63" t="s">
        <v>804</v>
      </c>
      <c r="B224" s="64" t="s">
        <v>4212</v>
      </c>
      <c r="C224" t="str">
        <f>IFERROR(VLOOKUP(A224,'Production Schedule'!$B:$CC,80,FALSE),"")</f>
        <v>Ready to Ship</v>
      </c>
      <c r="D224" s="323" t="str">
        <f ca="1">IF(F224="⚠️ CHANGED",NOW(),"—")</f>
        <v>—</v>
      </c>
      <c r="E224" t="str">
        <f>C224</f>
        <v>Ready to Ship</v>
      </c>
      <c r="F224" t="str">
        <f>IF(AND(C224&lt;&gt;"",E224&lt;&gt;"",C224&lt;&gt;E224),"⚠️ CHANGED","—")</f>
        <v>—</v>
      </c>
    </row>
    <row r="225" spans="1:6" x14ac:dyDescent="0.25">
      <c r="A225" s="63" t="s">
        <v>813</v>
      </c>
      <c r="B225" s="64" t="s">
        <v>4212</v>
      </c>
      <c r="C225" t="str">
        <f>IFERROR(VLOOKUP(A225,'Production Schedule'!$B:$CC,80,FALSE),"")</f>
        <v>Ready to Ship</v>
      </c>
      <c r="D225" s="323" t="str">
        <f ca="1">IF(F225="⚠️ CHANGED",NOW(),"—")</f>
        <v>—</v>
      </c>
      <c r="E225" t="str">
        <f>C225</f>
        <v>Ready to Ship</v>
      </c>
      <c r="F225" t="str">
        <f>IF(AND(C225&lt;&gt;"",E225&lt;&gt;"",C225&lt;&gt;E225),"⚠️ CHANGED","—")</f>
        <v>—</v>
      </c>
    </row>
    <row r="226" spans="1:6" x14ac:dyDescent="0.25">
      <c r="A226" s="63" t="s">
        <v>827</v>
      </c>
      <c r="B226" s="64" t="s">
        <v>4212</v>
      </c>
      <c r="C226" t="str">
        <f>IFERROR(VLOOKUP(A226,'Production Schedule'!$B:$CC,80,FALSE),"")</f>
        <v>Ready to Ship</v>
      </c>
      <c r="D226" s="323" t="str">
        <f ca="1">IF(F226="⚠️ CHANGED",NOW(),"—")</f>
        <v>—</v>
      </c>
      <c r="E226" t="str">
        <f>C226</f>
        <v>Ready to Ship</v>
      </c>
      <c r="F226" t="str">
        <f>IF(AND(C226&lt;&gt;"",E226&lt;&gt;"",C226&lt;&gt;E226),"⚠️ CHANGED","—")</f>
        <v>—</v>
      </c>
    </row>
    <row r="227" spans="1:6" x14ac:dyDescent="0.25">
      <c r="A227" s="63" t="s">
        <v>834</v>
      </c>
      <c r="B227" s="64" t="s">
        <v>4212</v>
      </c>
      <c r="C227" t="str">
        <f>IFERROR(VLOOKUP(A227,'Production Schedule'!$B:$CC,80,FALSE),"")</f>
        <v>Ready to Ship</v>
      </c>
      <c r="D227" s="323" t="str">
        <f ca="1">IF(F227="⚠️ CHANGED",NOW(),"—")</f>
        <v>—</v>
      </c>
      <c r="E227" t="str">
        <f>C227</f>
        <v>Ready to Ship</v>
      </c>
      <c r="F227" t="str">
        <f>IF(AND(C227&lt;&gt;"",E227&lt;&gt;"",C227&lt;&gt;E227),"⚠️ CHANGED","—")</f>
        <v>—</v>
      </c>
    </row>
    <row r="228" spans="1:6" x14ac:dyDescent="0.25">
      <c r="A228" s="63" t="s">
        <v>842</v>
      </c>
      <c r="B228" s="64" t="s">
        <v>4212</v>
      </c>
      <c r="C228" t="str">
        <f>IFERROR(VLOOKUP(A228,'Production Schedule'!$B:$CC,80,FALSE),"")</f>
        <v>Ready to Ship</v>
      </c>
      <c r="D228" s="323" t="str">
        <f ca="1">IF(F228="⚠️ CHANGED",NOW(),"—")</f>
        <v>—</v>
      </c>
      <c r="E228" t="str">
        <f>C228</f>
        <v>Ready to Ship</v>
      </c>
      <c r="F228" t="str">
        <f>IF(AND(C228&lt;&gt;"",E228&lt;&gt;"",C228&lt;&gt;E228),"⚠️ CHANGED","—")</f>
        <v>—</v>
      </c>
    </row>
    <row r="229" spans="1:6" x14ac:dyDescent="0.25">
      <c r="A229" s="63" t="s">
        <v>822</v>
      </c>
      <c r="B229" s="64" t="s">
        <v>4212</v>
      </c>
      <c r="C229" t="str">
        <f>IFERROR(VLOOKUP(A229,'Production Schedule'!$B:$CC,80,FALSE),"")</f>
        <v>Ready to Ship</v>
      </c>
      <c r="D229" s="323" t="str">
        <f ca="1">IF(F229="⚠️ CHANGED",NOW(),"—")</f>
        <v>—</v>
      </c>
      <c r="E229" t="str">
        <f>C229</f>
        <v>Ready to Ship</v>
      </c>
      <c r="F229" t="str">
        <f>IF(AND(C229&lt;&gt;"",E229&lt;&gt;"",C229&lt;&gt;E229),"⚠️ CHANGED","—")</f>
        <v>—</v>
      </c>
    </row>
    <row r="230" spans="1:6" x14ac:dyDescent="0.25">
      <c r="A230" s="63" t="s">
        <v>853</v>
      </c>
      <c r="B230" s="64" t="s">
        <v>4212</v>
      </c>
      <c r="C230" t="str">
        <f>IFERROR(VLOOKUP(A230,'Production Schedule'!$B:$CC,80,FALSE),"")</f>
        <v>Ready to Ship</v>
      </c>
      <c r="D230" s="323" t="str">
        <f ca="1">IF(F230="⚠️ CHANGED",NOW(),"—")</f>
        <v>—</v>
      </c>
      <c r="E230" t="str">
        <f>C230</f>
        <v>Ready to Ship</v>
      </c>
      <c r="F230" t="str">
        <f>IF(AND(C230&lt;&gt;"",E230&lt;&gt;"",C230&lt;&gt;E230),"⚠️ CHANGED","—")</f>
        <v>—</v>
      </c>
    </row>
    <row r="231" spans="1:6" x14ac:dyDescent="0.25">
      <c r="A231" s="63" t="s">
        <v>1846</v>
      </c>
      <c r="B231" s="64" t="s">
        <v>4212</v>
      </c>
      <c r="C231" t="str">
        <f>IFERROR(VLOOKUP(A231,'Production Schedule'!$B:$CC,80,FALSE),"")</f>
        <v>Ready to Ship</v>
      </c>
      <c r="D231" s="323" t="str">
        <f ca="1">IF(F231="⚠️ CHANGED",NOW(),"—")</f>
        <v>—</v>
      </c>
      <c r="E231" t="str">
        <f>C231</f>
        <v>Ready to Ship</v>
      </c>
      <c r="F231" t="str">
        <f>IF(AND(C231&lt;&gt;"",E231&lt;&gt;"",C231&lt;&gt;E231),"⚠️ CHANGED","—")</f>
        <v>—</v>
      </c>
    </row>
    <row r="232" spans="1:6" ht="45" x14ac:dyDescent="0.25">
      <c r="A232" s="63" t="s">
        <v>1856</v>
      </c>
      <c r="B232" s="64" t="s">
        <v>4251</v>
      </c>
      <c r="C232" t="str">
        <f>IFERROR(VLOOKUP(A232,'Production Schedule'!$B:$CC,80,FALSE),"")</f>
        <v>Clean and Brake</v>
      </c>
      <c r="D232" s="323" t="str">
        <f ca="1">IF(F232="⚠️ CHANGED",NOW(),"—")</f>
        <v>—</v>
      </c>
      <c r="E232" t="str">
        <f>C232</f>
        <v>Clean and Brake</v>
      </c>
      <c r="F232" t="str">
        <f>IF(AND(C232&lt;&gt;"",E232&lt;&gt;"",C232&lt;&gt;E232),"⚠️ CHANGED","—")</f>
        <v>—</v>
      </c>
    </row>
    <row r="233" spans="1:6" x14ac:dyDescent="0.25">
      <c r="A233" s="63" t="s">
        <v>1388</v>
      </c>
      <c r="B233" s="64" t="s">
        <v>4252</v>
      </c>
      <c r="C233" t="str">
        <f>IFERROR(VLOOKUP(A233,'Production Schedule'!$B:$CC,80,FALSE),"")</f>
        <v>QC</v>
      </c>
      <c r="D233" s="323" t="str">
        <f ca="1">IF(F233="⚠️ CHANGED",NOW(),"—")</f>
        <v>—</v>
      </c>
      <c r="E233" t="str">
        <f>C233</f>
        <v>QC</v>
      </c>
      <c r="F233" t="str">
        <f>IF(AND(C233&lt;&gt;"",E233&lt;&gt;"",C233&lt;&gt;E233),"⚠️ CHANGED","—")</f>
        <v>—</v>
      </c>
    </row>
    <row r="234" spans="1:6" ht="30" x14ac:dyDescent="0.25">
      <c r="A234" s="63" t="s">
        <v>2730</v>
      </c>
      <c r="B234" s="64" t="s">
        <v>4263</v>
      </c>
      <c r="C234" t="str">
        <f>IFERROR(VLOOKUP(A234,'Production Schedule'!$B:$CC,80,FALSE),"")</f>
        <v>Shear</v>
      </c>
      <c r="D234" s="323" t="str">
        <f ca="1">IF(F234="⚠️ CHANGED",NOW(),"—")</f>
        <v>—</v>
      </c>
      <c r="E234" t="str">
        <f>C234</f>
        <v>Shear</v>
      </c>
      <c r="F234" t="str">
        <f>IF(AND(C234&lt;&gt;"",E234&lt;&gt;"",C234&lt;&gt;E234),"⚠️ CHANGED","—")</f>
        <v>—</v>
      </c>
    </row>
    <row r="235" spans="1:6" x14ac:dyDescent="0.25">
      <c r="A235" s="63" t="s">
        <v>1777</v>
      </c>
      <c r="B235" s="64" t="s">
        <v>4212</v>
      </c>
      <c r="C235" t="str">
        <f>IFERROR(VLOOKUP(A235,'Production Schedule'!$B:$CC,80,FALSE),"")</f>
        <v>Ready to Ship</v>
      </c>
      <c r="D235" s="323" t="str">
        <f ca="1">IF(F235="⚠️ CHANGED",NOW(),"—")</f>
        <v>—</v>
      </c>
      <c r="E235" t="str">
        <f>C235</f>
        <v>Ready to Ship</v>
      </c>
      <c r="F235" t="str">
        <f>IF(AND(C235&lt;&gt;"",E235&lt;&gt;"",C235&lt;&gt;E235),"⚠️ CHANGED","—")</f>
        <v>—</v>
      </c>
    </row>
    <row r="236" spans="1:6" x14ac:dyDescent="0.25">
      <c r="A236" s="63" t="s">
        <v>1808</v>
      </c>
      <c r="B236" s="64" t="s">
        <v>4212</v>
      </c>
      <c r="C236" t="str">
        <f>IFERROR(VLOOKUP(A236,'Production Schedule'!$B:$CC,80,FALSE),"")</f>
        <v>Ready to Ship</v>
      </c>
      <c r="D236" s="323" t="str">
        <f ca="1">IF(F236="⚠️ CHANGED",NOW(),"—")</f>
        <v>—</v>
      </c>
      <c r="E236" t="str">
        <f>C236</f>
        <v>Ready to Ship</v>
      </c>
      <c r="F236" t="str">
        <f>IF(AND(C236&lt;&gt;"",E236&lt;&gt;"",C236&lt;&gt;E236),"⚠️ CHANGED","—")</f>
        <v>—</v>
      </c>
    </row>
    <row r="237" spans="1:6" x14ac:dyDescent="0.25">
      <c r="A237" s="63" t="s">
        <v>1921</v>
      </c>
      <c r="B237" s="64" t="s">
        <v>4212</v>
      </c>
      <c r="C237" t="str">
        <f>IFERROR(VLOOKUP(A237,'Production Schedule'!$B:$CC,80,FALSE),"")</f>
        <v>Ready to Ship</v>
      </c>
      <c r="D237" s="323" t="str">
        <f ca="1">IF(F237="⚠️ CHANGED",NOW(),"—")</f>
        <v>—</v>
      </c>
      <c r="E237" t="str">
        <f>C237</f>
        <v>Ready to Ship</v>
      </c>
      <c r="F237" t="str">
        <f>IF(AND(C237&lt;&gt;"",E237&lt;&gt;"",C237&lt;&gt;E237),"⚠️ CHANGED","—")</f>
        <v>—</v>
      </c>
    </row>
    <row r="238" spans="1:6" x14ac:dyDescent="0.25">
      <c r="A238" s="63" t="s">
        <v>1932</v>
      </c>
      <c r="B238" s="64" t="s">
        <v>4212</v>
      </c>
      <c r="C238" t="str">
        <f>IFERROR(VLOOKUP(A238,'Production Schedule'!$B:$CC,80,FALSE),"")</f>
        <v>Ready to Ship</v>
      </c>
      <c r="D238" s="323" t="str">
        <f ca="1">IF(F238="⚠️ CHANGED",NOW(),"—")</f>
        <v>—</v>
      </c>
      <c r="E238" t="str">
        <f>C238</f>
        <v>Ready to Ship</v>
      </c>
      <c r="F238" t="str">
        <f>IF(AND(C238&lt;&gt;"",E238&lt;&gt;"",C238&lt;&gt;E238),"⚠️ CHANGED","—")</f>
        <v>—</v>
      </c>
    </row>
    <row r="239" spans="1:6" x14ac:dyDescent="0.25">
      <c r="A239" s="63" t="s">
        <v>1791</v>
      </c>
      <c r="B239" s="64" t="s">
        <v>4247</v>
      </c>
      <c r="C239" t="str">
        <f>IFERROR(VLOOKUP(A239,'Production Schedule'!$B:$CC,80,FALSE),"")</f>
        <v>Crating</v>
      </c>
      <c r="D239" s="323" t="str">
        <f ca="1">IF(F239="⚠️ CHANGED",NOW(),"—")</f>
        <v>—</v>
      </c>
      <c r="E239" t="str">
        <f>C239</f>
        <v>Crating</v>
      </c>
      <c r="F239" t="str">
        <f>IF(AND(C239&lt;&gt;"",E239&lt;&gt;"",C239&lt;&gt;E239),"⚠️ CHANGED","—")</f>
        <v>—</v>
      </c>
    </row>
    <row r="240" spans="1:6" x14ac:dyDescent="0.25">
      <c r="A240" s="63" t="s">
        <v>2614</v>
      </c>
      <c r="B240" s="64" t="s">
        <v>4249</v>
      </c>
      <c r="C240" t="str">
        <f>IFERROR(VLOOKUP(A240,'Production Schedule'!$B:$CC,80,FALSE),"")</f>
        <v>AXYZ 34</v>
      </c>
      <c r="D240" s="323" t="str">
        <f ca="1">IF(F240="⚠️ CHANGED",NOW(),"—")</f>
        <v>—</v>
      </c>
      <c r="E240" t="str">
        <f>C240</f>
        <v>AXYZ 34</v>
      </c>
      <c r="F240" t="str">
        <f>IF(AND(C240&lt;&gt;"",E240&lt;&gt;"",C240&lt;&gt;E240),"⚠️ CHANGED","—")</f>
        <v>—</v>
      </c>
    </row>
    <row r="241" spans="1:6" x14ac:dyDescent="0.25">
      <c r="A241" s="63" t="s">
        <v>2621</v>
      </c>
      <c r="B241" s="64" t="s">
        <v>4249</v>
      </c>
      <c r="C241" t="str">
        <f>IFERROR(VLOOKUP(A241,'Production Schedule'!$B:$CC,80,FALSE),"")</f>
        <v>AXYZ 34</v>
      </c>
      <c r="D241" s="323" t="str">
        <f ca="1">IF(F241="⚠️ CHANGED",NOW(),"—")</f>
        <v>—</v>
      </c>
      <c r="E241" t="str">
        <f>C241</f>
        <v>AXYZ 34</v>
      </c>
      <c r="F241" t="str">
        <f>IF(AND(C241&lt;&gt;"",E241&lt;&gt;"",C241&lt;&gt;E241),"⚠️ CHANGED","—")</f>
        <v>—</v>
      </c>
    </row>
    <row r="242" spans="1:6" x14ac:dyDescent="0.25">
      <c r="A242" s="63" t="s">
        <v>2658</v>
      </c>
      <c r="B242" s="64" t="s">
        <v>4249</v>
      </c>
      <c r="C242" t="str">
        <f>IFERROR(VLOOKUP(A242,'Production Schedule'!$B:$CC,80,FALSE),"")</f>
        <v>AXYZ 34</v>
      </c>
      <c r="D242" s="323" t="str">
        <f ca="1">IF(F242="⚠️ CHANGED",NOW(),"—")</f>
        <v>—</v>
      </c>
      <c r="E242" t="str">
        <f>C242</f>
        <v>AXYZ 34</v>
      </c>
      <c r="F242" t="str">
        <f>IF(AND(C242&lt;&gt;"",E242&lt;&gt;"",C242&lt;&gt;E242),"⚠️ CHANGED","—")</f>
        <v>—</v>
      </c>
    </row>
    <row r="243" spans="1:6" x14ac:dyDescent="0.25">
      <c r="A243" s="63" t="s">
        <v>1284</v>
      </c>
      <c r="B243" s="64" t="s">
        <v>4233</v>
      </c>
      <c r="C243" t="str">
        <f>IFERROR(VLOOKUP(A243,'Production Schedule'!$B:$CC,80,FALSE),"")</f>
        <v>Shipped</v>
      </c>
      <c r="D243" s="323" t="str">
        <f ca="1">IF(F243="⚠️ CHANGED",NOW(),"—")</f>
        <v>—</v>
      </c>
      <c r="E243" t="str">
        <f>C243</f>
        <v>Shipped</v>
      </c>
      <c r="F243" t="str">
        <f>IF(AND(C243&lt;&gt;"",E243&lt;&gt;"",C243&lt;&gt;E243),"⚠️ CHANGED","—")</f>
        <v>—</v>
      </c>
    </row>
    <row r="244" spans="1:6" x14ac:dyDescent="0.25">
      <c r="A244" s="63" t="s">
        <v>2666</v>
      </c>
      <c r="B244" s="64" t="s">
        <v>4254</v>
      </c>
      <c r="C244" t="str">
        <f>IFERROR(VLOOKUP(A244,'Production Schedule'!$B:$CC,80,FALSE),"")</f>
        <v>Ready to Ship</v>
      </c>
      <c r="D244" s="323" t="str">
        <f ca="1">IF(F244="⚠️ CHANGED",NOW(),"—")</f>
        <v>—</v>
      </c>
      <c r="E244" t="str">
        <f>C244</f>
        <v>Ready to Ship</v>
      </c>
      <c r="F244" t="str">
        <f>IF(AND(C244&lt;&gt;"",E244&lt;&gt;"",C244&lt;&gt;E244),"⚠️ CHANGED","—")</f>
        <v>—</v>
      </c>
    </row>
    <row r="245" spans="1:6" x14ac:dyDescent="0.25">
      <c r="A245" s="63" t="s">
        <v>2674</v>
      </c>
      <c r="B245" s="64" t="s">
        <v>4255</v>
      </c>
      <c r="C245" t="str">
        <f>IFERROR(VLOOKUP(A245,'Production Schedule'!$B:$CC,80,FALSE),"")</f>
        <v>Ready to Ship</v>
      </c>
      <c r="D245" s="323" t="str">
        <f ca="1">IF(F245="⚠️ CHANGED",NOW(),"—")</f>
        <v>—</v>
      </c>
      <c r="E245" t="str">
        <f>C245</f>
        <v>Ready to Ship</v>
      </c>
      <c r="F245" t="str">
        <f>IF(AND(C245&lt;&gt;"",E245&lt;&gt;"",C245&lt;&gt;E245),"⚠️ CHANGED","—")</f>
        <v>—</v>
      </c>
    </row>
    <row r="246" spans="1:6" x14ac:dyDescent="0.25">
      <c r="A246" s="63" t="s">
        <v>1245</v>
      </c>
      <c r="B246" s="64" t="s">
        <v>4212</v>
      </c>
      <c r="C246" t="str">
        <f>IFERROR(VLOOKUP(A246,'Production Schedule'!$B:$CC,80,FALSE),"")</f>
        <v>Ready to Ship</v>
      </c>
      <c r="D246" s="323" t="str">
        <f ca="1">IF(F246="⚠️ CHANGED",NOW(),"—")</f>
        <v>—</v>
      </c>
      <c r="E246" t="str">
        <f>C246</f>
        <v>Ready to Ship</v>
      </c>
      <c r="F246" t="str">
        <f>IF(AND(C246&lt;&gt;"",E246&lt;&gt;"",C246&lt;&gt;E246),"⚠️ CHANGED","—")</f>
        <v>—</v>
      </c>
    </row>
    <row r="247" spans="1:6" x14ac:dyDescent="0.25">
      <c r="A247" s="63" t="s">
        <v>1254</v>
      </c>
      <c r="B247" s="64" t="s">
        <v>4212</v>
      </c>
      <c r="C247" t="str">
        <f>IFERROR(VLOOKUP(A247,'Production Schedule'!$B:$CC,80,FALSE),"")</f>
        <v>Ready to Ship</v>
      </c>
      <c r="D247" s="323" t="str">
        <f ca="1">IF(F247="⚠️ CHANGED",NOW(),"—")</f>
        <v>—</v>
      </c>
      <c r="E247" t="str">
        <f>C247</f>
        <v>Ready to Ship</v>
      </c>
      <c r="F247" t="str">
        <f>IF(AND(C247&lt;&gt;"",E247&lt;&gt;"",C247&lt;&gt;E247),"⚠️ CHANGED","—")</f>
        <v>—</v>
      </c>
    </row>
    <row r="248" spans="1:6" x14ac:dyDescent="0.25">
      <c r="A248" s="63" t="s">
        <v>1263</v>
      </c>
      <c r="B248" s="64" t="s">
        <v>4212</v>
      </c>
      <c r="C248" t="str">
        <f>IFERROR(VLOOKUP(A248,'Production Schedule'!$B:$CC,80,FALSE),"")</f>
        <v>Ready to Ship</v>
      </c>
      <c r="D248" s="323" t="str">
        <f ca="1">IF(F248="⚠️ CHANGED",NOW(),"—")</f>
        <v>—</v>
      </c>
      <c r="E248" t="str">
        <f>C248</f>
        <v>Ready to Ship</v>
      </c>
      <c r="F248" t="str">
        <f>IF(AND(C248&lt;&gt;"",E248&lt;&gt;"",C248&lt;&gt;E248),"⚠️ CHANGED","—")</f>
        <v>—</v>
      </c>
    </row>
    <row r="249" spans="1:6" x14ac:dyDescent="0.25">
      <c r="A249" s="63" t="s">
        <v>2178</v>
      </c>
      <c r="B249" s="64" t="s">
        <v>4248</v>
      </c>
      <c r="C249" t="str">
        <f>IFERROR(VLOOKUP(A249,'Production Schedule'!$B:$CC,80,FALSE),"")</f>
        <v>Correction</v>
      </c>
      <c r="D249" s="323" t="str">
        <f ca="1">IF(F249="⚠️ CHANGED",NOW(),"—")</f>
        <v>—</v>
      </c>
      <c r="E249" t="str">
        <f>C249</f>
        <v>Correction</v>
      </c>
      <c r="F249" t="str">
        <f>IF(AND(C249&lt;&gt;"",E249&lt;&gt;"",C249&lt;&gt;E249),"⚠️ CHANGED","—")</f>
        <v>—</v>
      </c>
    </row>
    <row r="250" spans="1:6" x14ac:dyDescent="0.25">
      <c r="A250" s="63" t="s">
        <v>1858</v>
      </c>
      <c r="B250" s="64" t="s">
        <v>4242</v>
      </c>
      <c r="C250" t="str">
        <f>IFERROR(VLOOKUP(A250,'Production Schedule'!$B:$CC,80,FALSE),"")</f>
        <v>TruLaser 3040</v>
      </c>
      <c r="D250" s="323" t="str">
        <f ca="1">IF(F250="⚠️ CHANGED",NOW(),"—")</f>
        <v>—</v>
      </c>
      <c r="E250" t="str">
        <f>C250</f>
        <v>TruLaser 3040</v>
      </c>
      <c r="F250" t="str">
        <f>IF(AND(C250&lt;&gt;"",E250&lt;&gt;"",C250&lt;&gt;E250),"⚠️ CHANGED","—")</f>
        <v>—</v>
      </c>
    </row>
    <row r="251" spans="1:6" x14ac:dyDescent="0.25">
      <c r="A251" s="63" t="s">
        <v>1967</v>
      </c>
      <c r="B251" s="64" t="s">
        <v>4242</v>
      </c>
      <c r="C251" t="str">
        <f>IFERROR(VLOOKUP(A251,'Production Schedule'!$B:$CC,80,FALSE),"")</f>
        <v>TruLaser 3040</v>
      </c>
      <c r="D251" s="323" t="str">
        <f ca="1">IF(F251="⚠️ CHANGED",NOW(),"—")</f>
        <v>—</v>
      </c>
      <c r="E251" t="str">
        <f>C251</f>
        <v>TruLaser 3040</v>
      </c>
      <c r="F251" t="str">
        <f>IF(AND(C251&lt;&gt;"",E251&lt;&gt;"",C251&lt;&gt;E251),"⚠️ CHANGED","—")</f>
        <v>—</v>
      </c>
    </row>
    <row r="252" spans="1:6" x14ac:dyDescent="0.25">
      <c r="A252" s="63" t="s">
        <v>1867</v>
      </c>
      <c r="B252" s="64" t="s">
        <v>4242</v>
      </c>
      <c r="C252" t="str">
        <f>IFERROR(VLOOKUP(A252,'Production Schedule'!$B:$CC,80,FALSE),"")</f>
        <v>TruLaser 3040</v>
      </c>
      <c r="D252" s="323" t="str">
        <f ca="1">IF(F252="⚠️ CHANGED",NOW(),"—")</f>
        <v>—</v>
      </c>
      <c r="E252" t="str">
        <f>C252</f>
        <v>TruLaser 3040</v>
      </c>
      <c r="F252" t="str">
        <f>IF(AND(C252&lt;&gt;"",E252&lt;&gt;"",C252&lt;&gt;E252),"⚠️ CHANGED","—")</f>
        <v>—</v>
      </c>
    </row>
    <row r="253" spans="1:6" x14ac:dyDescent="0.25">
      <c r="A253" s="63" t="s">
        <v>2217</v>
      </c>
      <c r="B253" s="64" t="s">
        <v>4248</v>
      </c>
      <c r="C253" t="str">
        <f>IFERROR(VLOOKUP(A253,'Production Schedule'!$B:$CC,80,FALSE),"")</f>
        <v>Correction</v>
      </c>
      <c r="D253" s="323" t="str">
        <f ca="1">IF(F253="⚠️ CHANGED",NOW(),"—")</f>
        <v>—</v>
      </c>
      <c r="E253" t="str">
        <f>C253</f>
        <v>Correction</v>
      </c>
      <c r="F253" t="str">
        <f>IF(AND(C253&lt;&gt;"",E253&lt;&gt;"",C253&lt;&gt;E253),"⚠️ CHANGED","—")</f>
        <v>—</v>
      </c>
    </row>
    <row r="254" spans="1:6" x14ac:dyDescent="0.25">
      <c r="A254" s="63" t="s">
        <v>2225</v>
      </c>
      <c r="B254" s="64" t="s">
        <v>4248</v>
      </c>
      <c r="C254" t="str">
        <f>IFERROR(VLOOKUP(A254,'Production Schedule'!$B:$CC,80,FALSE),"")</f>
        <v>Correction</v>
      </c>
      <c r="D254" s="323" t="str">
        <f ca="1">IF(F254="⚠️ CHANGED",NOW(),"—")</f>
        <v>—</v>
      </c>
      <c r="E254" t="str">
        <f>C254</f>
        <v>Correction</v>
      </c>
      <c r="F254" t="str">
        <f>IF(AND(C254&lt;&gt;"",E254&lt;&gt;"",C254&lt;&gt;E254),"⚠️ CHANGED","—")</f>
        <v>—</v>
      </c>
    </row>
    <row r="255" spans="1:6" x14ac:dyDescent="0.25">
      <c r="A255" s="63" t="s">
        <v>2404</v>
      </c>
      <c r="B255" s="64" t="s">
        <v>4239</v>
      </c>
      <c r="C255" t="str">
        <f>IFERROR(VLOOKUP(A255,'Production Schedule'!$B:$CC,80,FALSE),"")</f>
        <v>Sketch Check</v>
      </c>
      <c r="D255" s="323" t="str">
        <f ca="1">IF(F255="⚠️ CHANGED",NOW(),"—")</f>
        <v>—</v>
      </c>
      <c r="E255" t="str">
        <f>C255</f>
        <v>Sketch Check</v>
      </c>
      <c r="F255" t="str">
        <f>IF(AND(C255&lt;&gt;"",E255&lt;&gt;"",C255&lt;&gt;E255),"⚠️ CHANGED","—")</f>
        <v>—</v>
      </c>
    </row>
    <row r="256" spans="1:6" x14ac:dyDescent="0.25">
      <c r="A256" s="63" t="s">
        <v>2410</v>
      </c>
      <c r="B256" s="64" t="s">
        <v>4234</v>
      </c>
      <c r="C256" t="str">
        <f>IFERROR(VLOOKUP(A256,'Production Schedule'!$B:$CC,80,FALSE),"")</f>
        <v>Sketch</v>
      </c>
      <c r="D256" s="323" t="str">
        <f ca="1">IF(F256="⚠️ CHANGED",NOW(),"—")</f>
        <v>—</v>
      </c>
      <c r="E256" t="str">
        <f>C256</f>
        <v>Sketch</v>
      </c>
      <c r="F256" t="str">
        <f>IF(AND(C256&lt;&gt;"",E256&lt;&gt;"",C256&lt;&gt;E256),"⚠️ CHANGED","—")</f>
        <v>—</v>
      </c>
    </row>
    <row r="257" spans="1:6" x14ac:dyDescent="0.25">
      <c r="A257" s="63" t="s">
        <v>2417</v>
      </c>
      <c r="B257" s="64" t="s">
        <v>4239</v>
      </c>
      <c r="C257" t="str">
        <f>IFERROR(VLOOKUP(A257,'Production Schedule'!$B:$CC,80,FALSE),"")</f>
        <v>Sketch Check</v>
      </c>
      <c r="D257" s="323" t="str">
        <f ca="1">IF(F257="⚠️ CHANGED",NOW(),"—")</f>
        <v>—</v>
      </c>
      <c r="E257" t="str">
        <f>C257</f>
        <v>Sketch Check</v>
      </c>
      <c r="F257" t="str">
        <f>IF(AND(C257&lt;&gt;"",E257&lt;&gt;"",C257&lt;&gt;E257),"⚠️ CHANGED","—")</f>
        <v>—</v>
      </c>
    </row>
    <row r="258" spans="1:6" x14ac:dyDescent="0.25">
      <c r="A258" s="63" t="s">
        <v>2223</v>
      </c>
      <c r="B258" s="64" t="s">
        <v>4234</v>
      </c>
      <c r="C258" t="str">
        <f>IFERROR(VLOOKUP(A258,'Production Schedule'!$B:$CC,80,FALSE),"")</f>
        <v>Sketch</v>
      </c>
      <c r="D258" s="323" t="str">
        <f ca="1">IF(F258="⚠️ CHANGED",NOW(),"—")</f>
        <v>—</v>
      </c>
      <c r="E258" t="str">
        <f>C258</f>
        <v>Sketch</v>
      </c>
      <c r="F258" t="str">
        <f>IF(AND(C258&lt;&gt;"",E258&lt;&gt;"",C258&lt;&gt;E258),"⚠️ CHANGED","—")</f>
        <v>—</v>
      </c>
    </row>
    <row r="259" spans="1:6" x14ac:dyDescent="0.25">
      <c r="A259" s="63" t="s">
        <v>1904</v>
      </c>
      <c r="B259" s="64" t="s">
        <v>4248</v>
      </c>
      <c r="C259" t="str">
        <f>IFERROR(VLOOKUP(A259,'Production Schedule'!$B:$CC,80,FALSE),"")</f>
        <v>Correction</v>
      </c>
      <c r="D259" s="323" t="str">
        <f ca="1">IF(F259="⚠️ CHANGED",NOW(),"—")</f>
        <v>—</v>
      </c>
      <c r="E259" t="str">
        <f>C259</f>
        <v>Correction</v>
      </c>
      <c r="F259" t="str">
        <f>IF(AND(C259&lt;&gt;"",E259&lt;&gt;"",C259&lt;&gt;E259),"⚠️ CHANGED","—")</f>
        <v>—</v>
      </c>
    </row>
    <row r="260" spans="1:6" x14ac:dyDescent="0.25">
      <c r="A260" s="63" t="s">
        <v>1913</v>
      </c>
      <c r="B260" s="64" t="s">
        <v>4234</v>
      </c>
      <c r="C260" t="str">
        <f>IFERROR(VLOOKUP(A260,'Production Schedule'!$B:$CC,80,FALSE),"")</f>
        <v>Sketch</v>
      </c>
      <c r="D260" s="323" t="str">
        <f ca="1">IF(F260="⚠️ CHANGED",NOW(),"—")</f>
        <v>—</v>
      </c>
      <c r="E260" t="str">
        <f>C260</f>
        <v>Sketch</v>
      </c>
      <c r="F260" t="str">
        <f>IF(AND(C260&lt;&gt;"",E260&lt;&gt;"",C260&lt;&gt;E260),"⚠️ CHANGED","—")</f>
        <v>—</v>
      </c>
    </row>
    <row r="261" spans="1:6" x14ac:dyDescent="0.25">
      <c r="A261" s="63" t="s">
        <v>2498</v>
      </c>
      <c r="B261" s="64" t="s">
        <v>4233</v>
      </c>
      <c r="C261" t="str">
        <f>IFERROR(VLOOKUP(A261,'Production Schedule'!$B:$CC,80,FALSE),"")</f>
        <v>Shipped</v>
      </c>
      <c r="D261" s="323" t="str">
        <f ca="1">IF(F261="⚠️ CHANGED",NOW(),"—")</f>
        <v>—</v>
      </c>
      <c r="E261" t="str">
        <f>C261</f>
        <v>Shipped</v>
      </c>
      <c r="F261" t="str">
        <f>IF(AND(C261&lt;&gt;"",E261&lt;&gt;"",C261&lt;&gt;E261),"⚠️ CHANGED","—")</f>
        <v>—</v>
      </c>
    </row>
    <row r="262" spans="1:6" x14ac:dyDescent="0.25">
      <c r="A262" s="63" t="s">
        <v>4110</v>
      </c>
      <c r="B262" s="64" t="s">
        <v>4253</v>
      </c>
      <c r="C262" t="str">
        <f>IFERROR(VLOOKUP(A262,'Production Schedule'!$B:$CC,80,FALSE),"")</f>
        <v>Shear</v>
      </c>
      <c r="D262" s="328" t="s">
        <v>4159</v>
      </c>
      <c r="E262" t="str">
        <f>C262</f>
        <v>Shear</v>
      </c>
      <c r="F262" t="str">
        <f>IF(C262=E262,"—","⚠️ CHANGED")</f>
        <v>—</v>
      </c>
    </row>
    <row r="263" spans="1:6" x14ac:dyDescent="0.25">
      <c r="A263" s="63" t="s">
        <v>4123</v>
      </c>
      <c r="B263" s="64" t="s">
        <v>4256</v>
      </c>
      <c r="C263" t="str">
        <f>IFERROR(VLOOKUP(A263,'Production Schedule'!$B:$CC,80,FALSE),"")</f>
        <v>CNC Programming</v>
      </c>
      <c r="D263" s="325" t="s">
        <v>4159</v>
      </c>
      <c r="E263" t="str">
        <f>C263</f>
        <v>CNC Programming</v>
      </c>
      <c r="F263" t="str">
        <f>IF(C263=E263,"—","⚠️ CHANGED")</f>
        <v>—</v>
      </c>
    </row>
    <row r="264" spans="1:6" x14ac:dyDescent="0.25">
      <c r="A264" s="63" t="s">
        <v>1040</v>
      </c>
      <c r="B264" s="64" t="s">
        <v>4216</v>
      </c>
      <c r="C264" t="str">
        <f>IFERROR(VLOOKUP(A264,'Production Schedule'!$B:$CC,80,FALSE),"")</f>
        <v>Shear</v>
      </c>
      <c r="D264" s="323" t="str">
        <f ca="1">IF(F264="⚠️ CHANGED",NOW(),"—")</f>
        <v>—</v>
      </c>
      <c r="E264" t="str">
        <f>C264</f>
        <v>Shear</v>
      </c>
      <c r="F264" t="str">
        <f>IF(AND(C264&lt;&gt;"",E264&lt;&gt;"",C264&lt;&gt;E264),"⚠️ CHANGED","—")</f>
        <v>—</v>
      </c>
    </row>
    <row r="265" spans="1:6" x14ac:dyDescent="0.25">
      <c r="A265" s="63" t="s">
        <v>1635</v>
      </c>
      <c r="B265" s="64" t="s">
        <v>4231</v>
      </c>
      <c r="C265" t="str">
        <f>IFERROR(VLOOKUP(A265,'Production Schedule'!$B:$CC,80,FALSE),"")</f>
        <v>Shipped To Painter</v>
      </c>
      <c r="D265" s="323" t="str">
        <f ca="1">IF(F265="⚠️ CHANGED",NOW(),"—")</f>
        <v>—</v>
      </c>
      <c r="E265" t="str">
        <f>C265</f>
        <v>Shipped To Painter</v>
      </c>
      <c r="F265" t="str">
        <f>IF(AND(C265&lt;&gt;"",E265&lt;&gt;"",C265&lt;&gt;E265),"⚠️ CHANGED","—")</f>
        <v>—</v>
      </c>
    </row>
    <row r="266" spans="1:6" x14ac:dyDescent="0.25">
      <c r="A266" s="63" t="s">
        <v>717</v>
      </c>
      <c r="B266" s="64" t="s">
        <v>4219</v>
      </c>
      <c r="C266" t="str">
        <f>IFERROR(VLOOKUP(A266,'Production Schedule'!$B:$CC,80,FALSE),"")</f>
        <v>RTS Titans</v>
      </c>
      <c r="D266" s="323" t="str">
        <f ca="1">IF(F266="⚠️ CHANGED",NOW(),"—")</f>
        <v>—</v>
      </c>
      <c r="E266" t="str">
        <f>C266</f>
        <v>RTS Titans</v>
      </c>
      <c r="F266" t="str">
        <f>IF(AND(C266&lt;&gt;"",E266&lt;&gt;"",C266&lt;&gt;E266),"⚠️ CHANGED","—")</f>
        <v>—</v>
      </c>
    </row>
    <row r="267" spans="1:6" x14ac:dyDescent="0.25">
      <c r="A267" s="63" t="s">
        <v>730</v>
      </c>
      <c r="B267" s="64" t="s">
        <v>4231</v>
      </c>
      <c r="C267" t="str">
        <f>IFERROR(VLOOKUP(A267,'Production Schedule'!$B:$CC,80,FALSE),"")</f>
        <v>Shipped To Painter</v>
      </c>
      <c r="D267" s="323" t="str">
        <f ca="1">IF(F267="⚠️ CHANGED",NOW(),"—")</f>
        <v>—</v>
      </c>
      <c r="E267" t="str">
        <f>C267</f>
        <v>Shipped To Painter</v>
      </c>
      <c r="F267" t="str">
        <f>IF(AND(C267&lt;&gt;"",E267&lt;&gt;"",C267&lt;&gt;E267),"⚠️ CHANGED","—")</f>
        <v>—</v>
      </c>
    </row>
    <row r="268" spans="1:6" x14ac:dyDescent="0.25">
      <c r="A268" s="63" t="s">
        <v>725</v>
      </c>
      <c r="B268" s="64" t="s">
        <v>4234</v>
      </c>
      <c r="C268" t="str">
        <f>IFERROR(VLOOKUP(A268,'Production Schedule'!$B:$CC,80,FALSE),"")</f>
        <v>Sketch</v>
      </c>
      <c r="D268" s="323" t="str">
        <f ca="1">IF(F268="⚠️ CHANGED",NOW(),"—")</f>
        <v>—</v>
      </c>
      <c r="E268" t="str">
        <f>C268</f>
        <v>Sketch</v>
      </c>
      <c r="F268" t="str">
        <f>IF(AND(C268&lt;&gt;"",E268&lt;&gt;"",C268&lt;&gt;E268),"⚠️ CHANGED","—")</f>
        <v>—</v>
      </c>
    </row>
    <row r="269" spans="1:6" x14ac:dyDescent="0.25">
      <c r="A269" s="63" t="s">
        <v>4176</v>
      </c>
      <c r="B269" s="64" t="s">
        <v>4265</v>
      </c>
      <c r="D269" s="328"/>
    </row>
    <row r="270" spans="1:6" x14ac:dyDescent="0.25">
      <c r="A270" s="63" t="s">
        <v>2239</v>
      </c>
      <c r="B270" s="64" t="s">
        <v>4236</v>
      </c>
      <c r="C270" t="str">
        <f>IFERROR(VLOOKUP(A270,'Production Schedule'!$B:$CC,80,FALSE),"")</f>
        <v>LO Check</v>
      </c>
      <c r="D270" s="323" t="str">
        <f ca="1">IF(F270="⚠️ CHANGED",NOW(),"—")</f>
        <v>—</v>
      </c>
      <c r="E270" t="str">
        <f>C270</f>
        <v>LO Check</v>
      </c>
      <c r="F270" t="str">
        <f>IF(AND(C270&lt;&gt;"",E270&lt;&gt;"",C270&lt;&gt;E270),"⚠️ CHANGED","—")</f>
        <v>—</v>
      </c>
    </row>
    <row r="271" spans="1:6" x14ac:dyDescent="0.25">
      <c r="A271" s="63" t="s">
        <v>2249</v>
      </c>
      <c r="B271" s="64" t="s">
        <v>4240</v>
      </c>
      <c r="C271" t="str">
        <f>IFERROR(VLOOKUP(A271,'Production Schedule'!$B:$CC,80,FALSE),"")</f>
        <v>LO</v>
      </c>
      <c r="D271" s="323" t="str">
        <f ca="1">IF(F271="⚠️ CHANGED",NOW(),"—")</f>
        <v>—</v>
      </c>
      <c r="E271" t="str">
        <f>C271</f>
        <v>LO</v>
      </c>
      <c r="F271" t="str">
        <f>IF(AND(C271&lt;&gt;"",E271&lt;&gt;"",C271&lt;&gt;E271),"⚠️ CHANGED","—")</f>
        <v>—</v>
      </c>
    </row>
    <row r="272" spans="1:6" x14ac:dyDescent="0.25">
      <c r="A272" s="63" t="s">
        <v>1233</v>
      </c>
      <c r="B272" s="64" t="s">
        <v>4212</v>
      </c>
      <c r="C272" t="str">
        <f>IFERROR(VLOOKUP(A272,'Production Schedule'!$B:$CC,80,FALSE),"")</f>
        <v>Ready to Ship</v>
      </c>
      <c r="D272" s="323" t="str">
        <f ca="1">IF(F272="⚠️ CHANGED",NOW(),"—")</f>
        <v>—</v>
      </c>
      <c r="E272" t="str">
        <f>C272</f>
        <v>Ready to Ship</v>
      </c>
      <c r="F272" t="str">
        <f>IF(AND(C272&lt;&gt;"",E272&lt;&gt;"",C272&lt;&gt;E272),"⚠️ CHANGED","—")</f>
        <v>—</v>
      </c>
    </row>
    <row r="273" spans="1:6" x14ac:dyDescent="0.25">
      <c r="A273" s="63" t="s">
        <v>2423</v>
      </c>
      <c r="B273" s="64" t="s">
        <v>4240</v>
      </c>
      <c r="C273" t="str">
        <f>IFERROR(VLOOKUP(A273,'Production Schedule'!$B:$CC,80,FALSE),"")</f>
        <v>LO</v>
      </c>
      <c r="D273" s="323" t="str">
        <f ca="1">IF(F273="⚠️ CHANGED",NOW(),"—")</f>
        <v>—</v>
      </c>
      <c r="E273" t="str">
        <f>C273</f>
        <v>LO</v>
      </c>
      <c r="F273" t="str">
        <f>IF(AND(C273&lt;&gt;"",E273&lt;&gt;"",C273&lt;&gt;E273),"⚠️ CHANGED","—")</f>
        <v>—</v>
      </c>
    </row>
    <row r="274" spans="1:6" x14ac:dyDescent="0.25">
      <c r="A274" s="63" t="s">
        <v>2254</v>
      </c>
      <c r="B274" s="64" t="s">
        <v>4240</v>
      </c>
      <c r="C274" t="str">
        <f>IFERROR(VLOOKUP(A274,'Production Schedule'!$B:$CC,80,FALSE),"")</f>
        <v>LO</v>
      </c>
      <c r="D274" s="323" t="str">
        <f ca="1">IF(F274="⚠️ CHANGED",NOW(),"—")</f>
        <v>—</v>
      </c>
      <c r="E274" t="str">
        <f>C274</f>
        <v>LO</v>
      </c>
      <c r="F274" t="str">
        <f>IF(AND(C274&lt;&gt;"",E274&lt;&gt;"",C274&lt;&gt;E274),"⚠️ CHANGED","—")</f>
        <v>—</v>
      </c>
    </row>
    <row r="275" spans="1:6" x14ac:dyDescent="0.25">
      <c r="A275" s="63" t="s">
        <v>2307</v>
      </c>
      <c r="B275" s="64" t="s">
        <v>4240</v>
      </c>
      <c r="C275" t="str">
        <f>IFERROR(VLOOKUP(A275,'Production Schedule'!$B:$CC,80,FALSE),"")</f>
        <v>LO</v>
      </c>
      <c r="D275" s="323" t="str">
        <f ca="1">IF(F275="⚠️ CHANGED",NOW(),"—")</f>
        <v>—</v>
      </c>
      <c r="E275" t="str">
        <f>C275</f>
        <v>LO</v>
      </c>
      <c r="F275" t="str">
        <f>IF(AND(C275&lt;&gt;"",E275&lt;&gt;"",C275&lt;&gt;E275),"⚠️ CHANGED","—")</f>
        <v>—</v>
      </c>
    </row>
    <row r="276" spans="1:6" x14ac:dyDescent="0.25">
      <c r="A276" s="63" t="s">
        <v>2315</v>
      </c>
      <c r="B276" s="64" t="s">
        <v>4240</v>
      </c>
      <c r="C276" t="str">
        <f>IFERROR(VLOOKUP(A276,'Production Schedule'!$B:$CC,80,FALSE),"")</f>
        <v>LO</v>
      </c>
      <c r="D276" s="323" t="str">
        <f ca="1">IF(F276="⚠️ CHANGED",NOW(),"—")</f>
        <v>—</v>
      </c>
      <c r="E276" t="str">
        <f>C276</f>
        <v>LO</v>
      </c>
      <c r="F276" t="str">
        <f>IF(AND(C276&lt;&gt;"",E276&lt;&gt;"",C276&lt;&gt;E276),"⚠️ CHANGED","—")</f>
        <v>—</v>
      </c>
    </row>
    <row r="277" spans="1:6" x14ac:dyDescent="0.25">
      <c r="A277" s="63" t="s">
        <v>2266</v>
      </c>
      <c r="B277" s="64" t="s">
        <v>4240</v>
      </c>
      <c r="C277" t="str">
        <f>IFERROR(VLOOKUP(A277,'Production Schedule'!$B:$CC,80,FALSE),"")</f>
        <v>LO</v>
      </c>
      <c r="D277" s="323" t="str">
        <f ca="1">IF(F277="⚠️ CHANGED",NOW(),"—")</f>
        <v>—</v>
      </c>
      <c r="E277" t="str">
        <f>C277</f>
        <v>LO</v>
      </c>
      <c r="F277" t="str">
        <f>IF(AND(C277&lt;&gt;"",E277&lt;&gt;"",C277&lt;&gt;E277),"⚠️ CHANGED","—")</f>
        <v>—</v>
      </c>
    </row>
    <row r="278" spans="1:6" x14ac:dyDescent="0.25">
      <c r="A278" s="63" t="s">
        <v>2269</v>
      </c>
      <c r="B278" s="64" t="s">
        <v>4240</v>
      </c>
      <c r="C278" t="str">
        <f>IFERROR(VLOOKUP(A278,'Production Schedule'!$B:$CC,80,FALSE),"")</f>
        <v>LO</v>
      </c>
      <c r="D278" s="323" t="str">
        <f ca="1">IF(F278="⚠️ CHANGED",NOW(),"—")</f>
        <v>—</v>
      </c>
      <c r="E278" t="str">
        <f>C278</f>
        <v>LO</v>
      </c>
      <c r="F278" t="str">
        <f>IF(AND(C278&lt;&gt;"",E278&lt;&gt;"",C278&lt;&gt;E278),"⚠️ CHANGED","—")</f>
        <v>—</v>
      </c>
    </row>
    <row r="279" spans="1:6" x14ac:dyDescent="0.25">
      <c r="A279" s="63" t="s">
        <v>2272</v>
      </c>
      <c r="B279" s="64" t="s">
        <v>4240</v>
      </c>
      <c r="C279" t="str">
        <f>IFERROR(VLOOKUP(A279,'Production Schedule'!$B:$CC,80,FALSE),"")</f>
        <v>LO</v>
      </c>
      <c r="D279" s="323" t="str">
        <f ca="1">IF(F279="⚠️ CHANGED",NOW(),"—")</f>
        <v>—</v>
      </c>
      <c r="E279" t="str">
        <f>C279</f>
        <v>LO</v>
      </c>
      <c r="F279" t="str">
        <f>IF(AND(C279&lt;&gt;"",E279&lt;&gt;"",C279&lt;&gt;E279),"⚠️ CHANGED","—")</f>
        <v>—</v>
      </c>
    </row>
    <row r="280" spans="1:6" x14ac:dyDescent="0.25">
      <c r="A280" s="63" t="s">
        <v>2276</v>
      </c>
      <c r="B280" s="64" t="s">
        <v>4240</v>
      </c>
      <c r="C280" t="str">
        <f>IFERROR(VLOOKUP(A280,'Production Schedule'!$B:$CC,80,FALSE),"")</f>
        <v>LO</v>
      </c>
      <c r="D280" s="323" t="str">
        <f ca="1">IF(F280="⚠️ CHANGED",NOW(),"—")</f>
        <v>—</v>
      </c>
      <c r="E280" t="str">
        <f>C280</f>
        <v>LO</v>
      </c>
      <c r="F280" t="str">
        <f>IF(AND(C280&lt;&gt;"",E280&lt;&gt;"",C280&lt;&gt;E280),"⚠️ CHANGED","—")</f>
        <v>—</v>
      </c>
    </row>
    <row r="281" spans="1:6" x14ac:dyDescent="0.25">
      <c r="A281" s="63" t="s">
        <v>2280</v>
      </c>
      <c r="B281" s="64" t="s">
        <v>4240</v>
      </c>
      <c r="C281" t="str">
        <f>IFERROR(VLOOKUP(A281,'Production Schedule'!$B:$CC,80,FALSE),"")</f>
        <v>LO</v>
      </c>
      <c r="D281" s="323" t="str">
        <f ca="1">IF(F281="⚠️ CHANGED",NOW(),"—")</f>
        <v>—</v>
      </c>
      <c r="E281" t="str">
        <f>C281</f>
        <v>LO</v>
      </c>
      <c r="F281" t="str">
        <f>IF(AND(C281&lt;&gt;"",E281&lt;&gt;"",C281&lt;&gt;E281),"⚠️ CHANGED","—")</f>
        <v>—</v>
      </c>
    </row>
    <row r="282" spans="1:6" x14ac:dyDescent="0.25">
      <c r="A282" s="63" t="s">
        <v>2286</v>
      </c>
      <c r="B282" s="64" t="s">
        <v>4240</v>
      </c>
      <c r="C282" t="str">
        <f>IFERROR(VLOOKUP(A282,'Production Schedule'!$B:$CC,80,FALSE),"")</f>
        <v>LO</v>
      </c>
      <c r="D282" s="323" t="str">
        <f ca="1">IF(F282="⚠️ CHANGED",NOW(),"—")</f>
        <v>—</v>
      </c>
      <c r="E282" t="str">
        <f>C282</f>
        <v>LO</v>
      </c>
      <c r="F282" t="str">
        <f>IF(AND(C282&lt;&gt;"",E282&lt;&gt;"",C282&lt;&gt;E282),"⚠️ CHANGED","—")</f>
        <v>—</v>
      </c>
    </row>
    <row r="283" spans="1:6" x14ac:dyDescent="0.25">
      <c r="A283" s="63" t="s">
        <v>2290</v>
      </c>
      <c r="B283" s="64" t="s">
        <v>4240</v>
      </c>
      <c r="C283" t="str">
        <f>IFERROR(VLOOKUP(A283,'Production Schedule'!$B:$CC,80,FALSE),"")</f>
        <v>LO</v>
      </c>
      <c r="D283" s="323" t="str">
        <f ca="1">IF(F283="⚠️ CHANGED",NOW(),"—")</f>
        <v>—</v>
      </c>
      <c r="E283" t="str">
        <f>C283</f>
        <v>LO</v>
      </c>
      <c r="F283" t="str">
        <f>IF(AND(C283&lt;&gt;"",E283&lt;&gt;"",C283&lt;&gt;E283),"⚠️ CHANGED","—")</f>
        <v>—</v>
      </c>
    </row>
    <row r="284" spans="1:6" x14ac:dyDescent="0.25">
      <c r="A284" s="63" t="s">
        <v>2294</v>
      </c>
      <c r="B284" s="64" t="s">
        <v>4240</v>
      </c>
      <c r="C284" t="str">
        <f>IFERROR(VLOOKUP(A284,'Production Schedule'!$B:$CC,80,FALSE),"")</f>
        <v>LO</v>
      </c>
      <c r="D284" s="323" t="str">
        <f ca="1">IF(F284="⚠️ CHANGED",NOW(),"—")</f>
        <v>—</v>
      </c>
      <c r="E284" t="str">
        <f>C284</f>
        <v>LO</v>
      </c>
      <c r="F284" t="str">
        <f>IF(AND(C284&lt;&gt;"",E284&lt;&gt;"",C284&lt;&gt;E284),"⚠️ CHANGED","—")</f>
        <v>—</v>
      </c>
    </row>
    <row r="285" spans="1:6" x14ac:dyDescent="0.25">
      <c r="A285" s="63" t="s">
        <v>2298</v>
      </c>
      <c r="B285" s="64" t="s">
        <v>4240</v>
      </c>
      <c r="C285" t="str">
        <f>IFERROR(VLOOKUP(A285,'Production Schedule'!$B:$CC,80,FALSE),"")</f>
        <v>LO</v>
      </c>
      <c r="D285" s="323" t="str">
        <f ca="1">IF(F285="⚠️ CHANGED",NOW(),"—")</f>
        <v>—</v>
      </c>
      <c r="E285" t="str">
        <f>C285</f>
        <v>LO</v>
      </c>
      <c r="F285" t="str">
        <f>IF(AND(C285&lt;&gt;"",E285&lt;&gt;"",C285&lt;&gt;E285),"⚠️ CHANGED","—")</f>
        <v>—</v>
      </c>
    </row>
    <row r="286" spans="1:6" x14ac:dyDescent="0.25">
      <c r="A286" s="63" t="s">
        <v>2263</v>
      </c>
      <c r="B286" s="64" t="s">
        <v>4240</v>
      </c>
      <c r="C286" t="str">
        <f>IFERROR(VLOOKUP(A286,'Production Schedule'!$B:$CC,80,FALSE),"")</f>
        <v>LO</v>
      </c>
      <c r="D286" s="323" t="str">
        <f ca="1">IF(F286="⚠️ CHANGED",NOW(),"—")</f>
        <v>—</v>
      </c>
      <c r="E286" t="str">
        <f>C286</f>
        <v>LO</v>
      </c>
      <c r="F286" t="str">
        <f>IF(AND(C286&lt;&gt;"",E286&lt;&gt;"",C286&lt;&gt;E286),"⚠️ CHANGED","—")</f>
        <v>—</v>
      </c>
    </row>
    <row r="287" spans="1:6" x14ac:dyDescent="0.25">
      <c r="A287" s="63" t="s">
        <v>1186</v>
      </c>
      <c r="B287" s="64" t="s">
        <v>4212</v>
      </c>
      <c r="C287" t="str">
        <f>IFERROR(VLOOKUP(A287,'Production Schedule'!$B:$CC,80,FALSE),"")</f>
        <v>Ready to Ship</v>
      </c>
      <c r="D287" s="323" t="str">
        <f ca="1">IF(F287="⚠️ CHANGED",NOW(),"—")</f>
        <v>—</v>
      </c>
      <c r="E287" t="str">
        <f>C287</f>
        <v>Ready to Ship</v>
      </c>
      <c r="F287" t="str">
        <f>IF(AND(C287&lt;&gt;"",E287&lt;&gt;"",C287&lt;&gt;E287),"⚠️ CHANGED","—")</f>
        <v>—</v>
      </c>
    </row>
    <row r="288" spans="1:6" x14ac:dyDescent="0.25">
      <c r="A288" s="63" t="s">
        <v>1197</v>
      </c>
      <c r="B288" s="64" t="s">
        <v>4212</v>
      </c>
      <c r="C288" t="str">
        <f>IFERROR(VLOOKUP(A288,'Production Schedule'!$B:$CC,80,FALSE),"")</f>
        <v>Ready to Ship</v>
      </c>
      <c r="D288" s="323" t="str">
        <f ca="1">IF(F288="⚠️ CHANGED",NOW(),"—")</f>
        <v>—</v>
      </c>
      <c r="E288" t="str">
        <f>C288</f>
        <v>Ready to Ship</v>
      </c>
      <c r="F288" t="str">
        <f>IF(AND(C288&lt;&gt;"",E288&lt;&gt;"",C288&lt;&gt;E288),"⚠️ CHANGED","—")</f>
        <v>—</v>
      </c>
    </row>
    <row r="289" spans="1:6" x14ac:dyDescent="0.25">
      <c r="A289" s="63" t="s">
        <v>4142</v>
      </c>
      <c r="B289" s="64" t="s">
        <v>4256</v>
      </c>
      <c r="C289" t="str">
        <f>IFERROR(VLOOKUP(A289,'Production Schedule'!$B:$CC,80,FALSE),"")</f>
        <v>CNC Programming</v>
      </c>
      <c r="D289" s="325" t="s">
        <v>4159</v>
      </c>
      <c r="E289" t="str">
        <f>C289</f>
        <v>CNC Programming</v>
      </c>
      <c r="F289" t="str">
        <f>IF(C289=E289,"—","⚠️ CHANGED")</f>
        <v>—</v>
      </c>
    </row>
    <row r="290" spans="1:6" x14ac:dyDescent="0.25">
      <c r="A290" s="324" t="s">
        <v>2600</v>
      </c>
      <c r="B290" s="326" t="s">
        <v>4212</v>
      </c>
      <c r="C290" t="str">
        <f>IFERROR(VLOOKUP(A290,'Production Schedule'!$B:$CC,80,FALSE),"")</f>
        <v>Ready to Ship</v>
      </c>
      <c r="D290" s="323" t="str">
        <f ca="1">IF(F290="⚠️ CHANGED",NOW(),"—")</f>
        <v>—</v>
      </c>
      <c r="E290" t="str">
        <f>C290</f>
        <v>Ready to Ship</v>
      </c>
      <c r="F290" t="str">
        <f>IF(AND(C290&lt;&gt;"",E290&lt;&gt;"",C290&lt;&gt;E290),"⚠️ CHANGED","—")</f>
        <v>—</v>
      </c>
    </row>
    <row r="291" spans="1:6" x14ac:dyDescent="0.25">
      <c r="A291" s="324" t="s">
        <v>2604</v>
      </c>
      <c r="B291" s="326" t="s">
        <v>4257</v>
      </c>
      <c r="C291" t="str">
        <f>IFERROR(VLOOKUP(A291,'Production Schedule'!$B:$CC,80,FALSE),"")</f>
        <v>Cidan</v>
      </c>
      <c r="D291" s="323" t="str">
        <f ca="1">IF(F291="⚠️ CHANGED",NOW(),"—")</f>
        <v>—</v>
      </c>
      <c r="E291" t="str">
        <f>C291</f>
        <v>Cidan</v>
      </c>
      <c r="F291" t="str">
        <f>IF(AND(C291&lt;&gt;"",E291&lt;&gt;"",C291&lt;&gt;E291),"⚠️ CHANGED","—")</f>
        <v>—</v>
      </c>
    </row>
    <row r="292" spans="1:6" x14ac:dyDescent="0.25">
      <c r="A292" s="324" t="s">
        <v>2109</v>
      </c>
      <c r="B292" s="326" t="s">
        <v>4212</v>
      </c>
      <c r="C292" t="str">
        <f>IFERROR(VLOOKUP(A292,'Production Schedule'!$B:$CC,80,FALSE),"")</f>
        <v>Ready to Ship</v>
      </c>
      <c r="D292" s="323" t="str">
        <f ca="1">IF(F292="⚠️ CHANGED",NOW(),"—")</f>
        <v>—</v>
      </c>
      <c r="E292" t="str">
        <f>C292</f>
        <v>Ready to Ship</v>
      </c>
      <c r="F292" t="str">
        <f>IF(AND(C292&lt;&gt;"",E292&lt;&gt;"",C292&lt;&gt;E292),"⚠️ CHANGED","—")</f>
        <v>—</v>
      </c>
    </row>
    <row r="293" spans="1:6" x14ac:dyDescent="0.25">
      <c r="A293" s="324" t="s">
        <v>2343</v>
      </c>
      <c r="B293" s="326" t="s">
        <v>4239</v>
      </c>
      <c r="C293" t="str">
        <f>IFERROR(VLOOKUP(A293,'Production Schedule'!$B:$CC,80,FALSE),"")</f>
        <v>Sketch Check</v>
      </c>
      <c r="D293" s="323" t="str">
        <f ca="1">IF(F293="⚠️ CHANGED",NOW(),"—")</f>
        <v>—</v>
      </c>
      <c r="E293" t="str">
        <f>C293</f>
        <v>Sketch Check</v>
      </c>
      <c r="F293" t="str">
        <f>IF(AND(C293&lt;&gt;"",E293&lt;&gt;"",C293&lt;&gt;E293),"⚠️ CHANGED","—")</f>
        <v>—</v>
      </c>
    </row>
    <row r="294" spans="1:6" x14ac:dyDescent="0.25">
      <c r="A294" s="324" t="s">
        <v>2353</v>
      </c>
      <c r="B294" s="326" t="s">
        <v>4240</v>
      </c>
      <c r="C294" t="str">
        <f>IFERROR(VLOOKUP(A294,'Production Schedule'!$B:$CC,80,FALSE),"")</f>
        <v>LO</v>
      </c>
      <c r="D294" s="323" t="str">
        <f ca="1">IF(F294="⚠️ CHANGED",NOW(),"—")</f>
        <v>—</v>
      </c>
      <c r="E294" t="str">
        <f>C294</f>
        <v>LO</v>
      </c>
      <c r="F294" t="str">
        <f>IF(AND(C294&lt;&gt;"",E294&lt;&gt;"",C294&lt;&gt;E294),"⚠️ CHANGED","—")</f>
        <v>—</v>
      </c>
    </row>
    <row r="295" spans="1:6" x14ac:dyDescent="0.25">
      <c r="A295" s="287" t="s">
        <v>2358</v>
      </c>
      <c r="B295" s="288" t="s">
        <v>4240</v>
      </c>
      <c r="C295" t="str">
        <f>IFERROR(VLOOKUP(A295,'Production Schedule'!$B:$CC,80,FALSE),"")</f>
        <v>LO</v>
      </c>
      <c r="D295" s="323" t="str">
        <f ca="1">IF(F295="⚠️ CHANGED",NOW(),"—")</f>
        <v>—</v>
      </c>
      <c r="E295" t="str">
        <f>C295</f>
        <v>LO</v>
      </c>
      <c r="F295" t="str">
        <f>IF(AND(C295&lt;&gt;"",E295&lt;&gt;"",C295&lt;&gt;E295),"⚠️ CHANGED","—")</f>
        <v>—</v>
      </c>
    </row>
    <row r="296" spans="1:6" x14ac:dyDescent="0.25">
      <c r="A296" s="287" t="s">
        <v>2364</v>
      </c>
      <c r="B296" s="288" t="s">
        <v>4240</v>
      </c>
      <c r="C296" t="str">
        <f>IFERROR(VLOOKUP(A296,'Production Schedule'!$B:$CC,80,FALSE),"")</f>
        <v>LO</v>
      </c>
      <c r="D296" s="323" t="str">
        <f ca="1">IF(F296="⚠️ CHANGED",NOW(),"—")</f>
        <v>—</v>
      </c>
      <c r="E296" t="str">
        <f>C296</f>
        <v>LO</v>
      </c>
      <c r="F296" t="str">
        <f>IF(AND(C296&lt;&gt;"",E296&lt;&gt;"",C296&lt;&gt;E296),"⚠️ CHANGED","—")</f>
        <v>—</v>
      </c>
    </row>
    <row r="297" spans="1:6" x14ac:dyDescent="0.25">
      <c r="A297" s="287" t="s">
        <v>2369</v>
      </c>
      <c r="B297" s="288" t="s">
        <v>4238</v>
      </c>
      <c r="C297" t="str">
        <f>IFERROR(VLOOKUP(A297,'Production Schedule'!$B:$CC,80,FALSE),"")</f>
        <v>Evaluation</v>
      </c>
      <c r="D297" s="323" t="str">
        <f ca="1">IF(F297="⚠️ CHANGED",NOW(),"—")</f>
        <v>—</v>
      </c>
      <c r="E297" t="str">
        <f>C297</f>
        <v>Evaluation</v>
      </c>
      <c r="F297" t="str">
        <f>IF(AND(C297&lt;&gt;"",E297&lt;&gt;"",C297&lt;&gt;E297),"⚠️ CHANGED","—")</f>
        <v>—</v>
      </c>
    </row>
    <row r="298" spans="1:6" x14ac:dyDescent="0.25">
      <c r="A298" s="287" t="s">
        <v>2375</v>
      </c>
      <c r="B298" s="288" t="s">
        <v>4238</v>
      </c>
      <c r="C298" t="str">
        <f>IFERROR(VLOOKUP(A298,'Production Schedule'!$B:$CC,80,FALSE),"")</f>
        <v>Evaluation</v>
      </c>
      <c r="D298" s="323" t="str">
        <f ca="1">IF(F298="⚠️ CHANGED",NOW(),"—")</f>
        <v>—</v>
      </c>
      <c r="E298" t="str">
        <f>C298</f>
        <v>Evaluation</v>
      </c>
      <c r="F298" t="str">
        <f>IF(AND(C298&lt;&gt;"",E298&lt;&gt;"",C298&lt;&gt;E298),"⚠️ CHANGED","—")</f>
        <v>—</v>
      </c>
    </row>
    <row r="299" spans="1:6" x14ac:dyDescent="0.25">
      <c r="A299" s="287" t="s">
        <v>2381</v>
      </c>
      <c r="B299" s="288" t="s">
        <v>4238</v>
      </c>
      <c r="C299" t="str">
        <f>IFERROR(VLOOKUP(A299,'Production Schedule'!$B:$CC,80,FALSE),"")</f>
        <v>Evaluation</v>
      </c>
      <c r="D299" s="323" t="str">
        <f ca="1">IF(F299="⚠️ CHANGED",NOW(),"—")</f>
        <v>—</v>
      </c>
      <c r="E299" t="str">
        <f>C299</f>
        <v>Evaluation</v>
      </c>
      <c r="F299" t="str">
        <f>IF(AND(C299&lt;&gt;"",E299&lt;&gt;"",C299&lt;&gt;E299),"⚠️ CHANGED","—")</f>
        <v>—</v>
      </c>
    </row>
    <row r="300" spans="1:6" x14ac:dyDescent="0.25">
      <c r="A300" s="287" t="s">
        <v>2386</v>
      </c>
      <c r="B300" s="288" t="s">
        <v>4238</v>
      </c>
      <c r="C300" t="str">
        <f>IFERROR(VLOOKUP(A300,'Production Schedule'!$B:$CC,80,FALSE),"")</f>
        <v>Evaluation</v>
      </c>
      <c r="D300" s="323" t="str">
        <f ca="1">IF(F300="⚠️ CHANGED",NOW(),"—")</f>
        <v>—</v>
      </c>
      <c r="E300" t="str">
        <f>C300</f>
        <v>Evaluation</v>
      </c>
      <c r="F300" t="str">
        <f>IF(AND(C300&lt;&gt;"",E300&lt;&gt;"",C300&lt;&gt;E300),"⚠️ CHANGED","—")</f>
        <v>—</v>
      </c>
    </row>
    <row r="301" spans="1:6" x14ac:dyDescent="0.25">
      <c r="A301" s="287" t="s">
        <v>2391</v>
      </c>
      <c r="B301" s="288" t="s">
        <v>4238</v>
      </c>
      <c r="C301" t="str">
        <f>IFERROR(VLOOKUP(A301,'Production Schedule'!$B:$CC,80,FALSE),"")</f>
        <v>Evaluation</v>
      </c>
      <c r="D301" s="323" t="str">
        <f ca="1">IF(F301="⚠️ CHANGED",NOW(),"—")</f>
        <v>—</v>
      </c>
      <c r="E301" t="str">
        <f>C301</f>
        <v>Evaluation</v>
      </c>
      <c r="F301" t="str">
        <f>IF(AND(C301&lt;&gt;"",E301&lt;&gt;"",C301&lt;&gt;E301),"⚠️ CHANGED","—")</f>
        <v>—</v>
      </c>
    </row>
    <row r="302" spans="1:6" x14ac:dyDescent="0.25">
      <c r="A302" s="287" t="s">
        <v>2396</v>
      </c>
      <c r="B302" s="288" t="s">
        <v>4238</v>
      </c>
      <c r="C302" t="str">
        <f>IFERROR(VLOOKUP(A302,'Production Schedule'!$B:$CC,80,FALSE),"")</f>
        <v>Evaluation</v>
      </c>
      <c r="D302" s="323" t="str">
        <f ca="1">IF(F302="⚠️ CHANGED",NOW(),"—")</f>
        <v>—</v>
      </c>
      <c r="E302" t="str">
        <f>C302</f>
        <v>Evaluation</v>
      </c>
      <c r="F302" t="str">
        <f>IF(AND(C302&lt;&gt;"",E302&lt;&gt;"",C302&lt;&gt;E302),"⚠️ CHANGED","—")</f>
        <v>—</v>
      </c>
    </row>
    <row r="303" spans="1:6" x14ac:dyDescent="0.25">
      <c r="A303" s="287" t="s">
        <v>2350</v>
      </c>
      <c r="B303" s="288" t="s">
        <v>4238</v>
      </c>
      <c r="C303" t="str">
        <f>IFERROR(VLOOKUP(A303,'Production Schedule'!$B:$CC,80,FALSE),"")</f>
        <v>Evaluation</v>
      </c>
      <c r="D303" s="323" t="str">
        <f ca="1">IF(F303="⚠️ CHANGED",NOW(),"—")</f>
        <v>—</v>
      </c>
      <c r="E303" t="str">
        <f>C303</f>
        <v>Evaluation</v>
      </c>
      <c r="F303" t="str">
        <f>IF(AND(C303&lt;&gt;"",E303&lt;&gt;"",C303&lt;&gt;E303),"⚠️ CHANGED","—")</f>
        <v>—</v>
      </c>
    </row>
    <row r="304" spans="1:6" x14ac:dyDescent="0.25">
      <c r="A304" s="287" t="s">
        <v>2724</v>
      </c>
      <c r="B304" s="288" t="s">
        <v>4253</v>
      </c>
      <c r="C304" t="str">
        <f>IFERROR(VLOOKUP(A304,'Production Schedule'!$B:$CC,80,FALSE),"")</f>
        <v>Shear</v>
      </c>
      <c r="D304" s="323" t="str">
        <f ca="1">IF(F304="⚠️ CHANGED",NOW(),"—")</f>
        <v>—</v>
      </c>
      <c r="E304" t="str">
        <f>C304</f>
        <v>Shear</v>
      </c>
      <c r="F304" t="str">
        <f>IF(AND(C304&lt;&gt;"",E304&lt;&gt;"",C304&lt;&gt;E304),"⚠️ CHANGED","—")</f>
        <v>—</v>
      </c>
    </row>
    <row r="305" spans="1:6" x14ac:dyDescent="0.25">
      <c r="A305" s="287" t="s">
        <v>1795</v>
      </c>
      <c r="B305" s="288" t="s">
        <v>4258</v>
      </c>
      <c r="C305" t="str">
        <f>IFERROR(VLOOKUP(A305,'Production Schedule'!$B:$CC,80,FALSE),"")</f>
        <v>AXYZ 34</v>
      </c>
      <c r="D305" s="323" t="str">
        <f ca="1">IF(F305="⚠️ CHANGED",NOW(),"—")</f>
        <v>—</v>
      </c>
      <c r="E305" t="str">
        <f>C305</f>
        <v>AXYZ 34</v>
      </c>
      <c r="F305" t="str">
        <f>IF(AND(C305&lt;&gt;"",E305&lt;&gt;"",C305&lt;&gt;E305),"⚠️ CHANGED","—")</f>
        <v>—</v>
      </c>
    </row>
    <row r="306" spans="1:6" x14ac:dyDescent="0.25">
      <c r="A306" s="287" t="s">
        <v>1765</v>
      </c>
      <c r="B306" s="288" t="s">
        <v>4247</v>
      </c>
      <c r="C306" t="str">
        <f>IFERROR(VLOOKUP(A306,'Production Schedule'!$B:$CC,80,FALSE),"")</f>
        <v>Crating</v>
      </c>
      <c r="D306" s="323" t="str">
        <f ca="1">IF(F306="⚠️ CHANGED",NOW(),"—")</f>
        <v>—</v>
      </c>
      <c r="E306" t="str">
        <f>C306</f>
        <v>Crating</v>
      </c>
      <c r="F306" t="str">
        <f>IF(AND(C306&lt;&gt;"",E306&lt;&gt;"",C306&lt;&gt;E306),"⚠️ CHANGED","—")</f>
        <v>—</v>
      </c>
    </row>
    <row r="307" spans="1:6" x14ac:dyDescent="0.25">
      <c r="A307" s="287" t="s">
        <v>4200</v>
      </c>
      <c r="B307" s="288" t="s">
        <v>4218</v>
      </c>
      <c r="D307" s="328"/>
    </row>
    <row r="308" spans="1:6" x14ac:dyDescent="0.25">
      <c r="A308" s="287" t="s">
        <v>2013</v>
      </c>
      <c r="B308" s="288" t="s">
        <v>4236</v>
      </c>
      <c r="C308" t="str">
        <f>IFERROR(VLOOKUP(A308,'Production Schedule'!$B:$CC,80,FALSE),"")</f>
        <v>LO Check</v>
      </c>
      <c r="D308" s="323" t="str">
        <f ca="1">IF(F308="⚠️ CHANGED",NOW(),"—")</f>
        <v>—</v>
      </c>
      <c r="E308" t="str">
        <f>C308</f>
        <v>LO Check</v>
      </c>
      <c r="F308" t="str">
        <f>IF(AND(C308&lt;&gt;"",E308&lt;&gt;"",C308&lt;&gt;E308),"⚠️ CHANGED","—")</f>
        <v>—</v>
      </c>
    </row>
    <row r="309" spans="1:6" x14ac:dyDescent="0.25">
      <c r="A309" s="287" t="s">
        <v>1993</v>
      </c>
      <c r="B309" s="288" t="s">
        <v>4242</v>
      </c>
      <c r="C309" t="str">
        <f>IFERROR(VLOOKUP(A309,'Production Schedule'!$B:$CC,80,FALSE),"")</f>
        <v>TruLaser 3040</v>
      </c>
      <c r="D309" s="323" t="str">
        <f ca="1">IF(F309="⚠️ CHANGED",NOW(),"—")</f>
        <v>—</v>
      </c>
      <c r="E309" t="str">
        <f>C309</f>
        <v>TruLaser 3040</v>
      </c>
      <c r="F309" t="str">
        <f>IF(AND(C309&lt;&gt;"",E309&lt;&gt;"",C309&lt;&gt;E309),"⚠️ CHANGED","—")</f>
        <v>—</v>
      </c>
    </row>
    <row r="310" spans="1:6" x14ac:dyDescent="0.25">
      <c r="A310" s="287" t="s">
        <v>2004</v>
      </c>
      <c r="B310" s="288" t="s">
        <v>4259</v>
      </c>
      <c r="C310" t="str">
        <f>IFERROR(VLOOKUP(A310,'Production Schedule'!$B:$CC,80,FALSE),"")</f>
        <v>7000 TubeLaser 20</v>
      </c>
      <c r="D310" s="323" t="str">
        <f ca="1">IF(F310="⚠️ CHANGED",NOW(),"—")</f>
        <v>—</v>
      </c>
      <c r="E310" t="str">
        <f>C310</f>
        <v>7000 TubeLaser 20</v>
      </c>
      <c r="F310" t="str">
        <f>IF(AND(C310&lt;&gt;"",E310&lt;&gt;"",C310&lt;&gt;E310),"⚠️ CHANGED","—")</f>
        <v>—</v>
      </c>
    </row>
    <row r="311" spans="1:6" x14ac:dyDescent="0.25">
      <c r="A311" s="287" t="s">
        <v>324</v>
      </c>
      <c r="B311" s="288" t="s">
        <v>4252</v>
      </c>
      <c r="C311" t="str">
        <f>IFERROR(VLOOKUP(A311,'Production Schedule'!$B:$CC,80,FALSE),"")</f>
        <v>QC</v>
      </c>
      <c r="D311" s="323" t="str">
        <f ca="1">IF(F311="⚠️ CHANGED",NOW(),"—")</f>
        <v>—</v>
      </c>
      <c r="E311" t="str">
        <f>C311</f>
        <v>QC</v>
      </c>
      <c r="F311" t="str">
        <f>IF(AND(C311&lt;&gt;"",E311&lt;&gt;"",C311&lt;&gt;E311),"⚠️ CHANGED","—")</f>
        <v>—</v>
      </c>
    </row>
    <row r="312" spans="1:6" x14ac:dyDescent="0.25">
      <c r="A312" s="287" t="s">
        <v>1660</v>
      </c>
      <c r="B312" s="288" t="s">
        <v>4259</v>
      </c>
      <c r="C312" t="str">
        <f>IFERROR(VLOOKUP(A312,'Production Schedule'!$B:$CC,80,FALSE),"")</f>
        <v>7000 TubeLaser 20</v>
      </c>
      <c r="D312" s="323" t="str">
        <f ca="1">IF(F312="⚠️ CHANGED",NOW(),"—")</f>
        <v>—</v>
      </c>
      <c r="E312" t="str">
        <f>C312</f>
        <v>7000 TubeLaser 20</v>
      </c>
      <c r="F312" t="str">
        <f>IF(AND(C312&lt;&gt;"",E312&lt;&gt;"",C312&lt;&gt;E312),"⚠️ CHANGED","—")</f>
        <v>—</v>
      </c>
    </row>
    <row r="313" spans="1:6" x14ac:dyDescent="0.25">
      <c r="A313" s="287" t="s">
        <v>1690</v>
      </c>
      <c r="B313" s="288" t="s">
        <v>4242</v>
      </c>
      <c r="C313" t="str">
        <f>IFERROR(VLOOKUP(A313,'Production Schedule'!$B:$CC,80,FALSE),"")</f>
        <v>TruLaser 3040</v>
      </c>
      <c r="D313" s="323" t="str">
        <f ca="1">IF(F313="⚠️ CHANGED",NOW(),"—")</f>
        <v>—</v>
      </c>
      <c r="E313" t="str">
        <f>C313</f>
        <v>TruLaser 3040</v>
      </c>
      <c r="F313" t="str">
        <f>IF(AND(C313&lt;&gt;"",E313&lt;&gt;"",C313&lt;&gt;E313),"⚠️ CHANGED","—")</f>
        <v>—</v>
      </c>
    </row>
    <row r="314" spans="1:6" x14ac:dyDescent="0.25">
      <c r="A314" s="287" t="s">
        <v>1699</v>
      </c>
      <c r="B314" s="288" t="s">
        <v>4259</v>
      </c>
      <c r="C314" t="str">
        <f>IFERROR(VLOOKUP(A314,'Production Schedule'!$B:$CC,80,FALSE),"")</f>
        <v>7000 TubeLaser 20</v>
      </c>
      <c r="D314" s="323" t="str">
        <f ca="1">IF(F314="⚠️ CHANGED",NOW(),"—")</f>
        <v>—</v>
      </c>
      <c r="E314" t="str">
        <f>C314</f>
        <v>7000 TubeLaser 20</v>
      </c>
      <c r="F314" t="str">
        <f>IF(AND(C314&lt;&gt;"",E314&lt;&gt;"",C314&lt;&gt;E314),"⚠️ CHANGED","—")</f>
        <v>—</v>
      </c>
    </row>
    <row r="315" spans="1:6" x14ac:dyDescent="0.25">
      <c r="A315" s="287" t="s">
        <v>1710</v>
      </c>
      <c r="B315" s="288" t="s">
        <v>4259</v>
      </c>
      <c r="C315" t="str">
        <f>IFERROR(VLOOKUP(A315,'Production Schedule'!$B:$CC,80,FALSE),"")</f>
        <v>7000 TubeLaser 20</v>
      </c>
      <c r="D315" s="323" t="str">
        <f ca="1">IF(F315="⚠️ CHANGED",NOW(),"—")</f>
        <v>—</v>
      </c>
      <c r="E315" t="str">
        <f>C315</f>
        <v>7000 TubeLaser 20</v>
      </c>
      <c r="F315" t="str">
        <f>IF(AND(C315&lt;&gt;"",E315&lt;&gt;"",C315&lt;&gt;E315),"⚠️ CHANGED","—")</f>
        <v>—</v>
      </c>
    </row>
    <row r="316" spans="1:6" x14ac:dyDescent="0.25">
      <c r="A316" s="287" t="s">
        <v>1669</v>
      </c>
      <c r="B316" s="288" t="s">
        <v>4242</v>
      </c>
      <c r="C316" t="str">
        <f>IFERROR(VLOOKUP(A316,'Production Schedule'!$B:$CC,80,FALSE),"")</f>
        <v>TruLaser 3040</v>
      </c>
      <c r="D316" s="323" t="str">
        <f ca="1">IF(F316="⚠️ CHANGED",NOW(),"—")</f>
        <v>—</v>
      </c>
      <c r="E316" t="str">
        <f>C316</f>
        <v>TruLaser 3040</v>
      </c>
      <c r="F316" t="str">
        <f>IF(AND(C316&lt;&gt;"",E316&lt;&gt;"",C316&lt;&gt;E316),"⚠️ CHANGED","—")</f>
        <v>—</v>
      </c>
    </row>
    <row r="317" spans="1:6" x14ac:dyDescent="0.25">
      <c r="A317" s="287" t="s">
        <v>2334</v>
      </c>
      <c r="B317" s="288" t="s">
        <v>4260</v>
      </c>
      <c r="C317" t="str">
        <f>IFERROR(VLOOKUP(A317,'Production Schedule'!$B:$CC,80,FALSE),"")</f>
        <v>7000 TruMatic</v>
      </c>
      <c r="D317" s="323" t="str">
        <f ca="1">IF(F317="⚠️ CHANGED",NOW(),"—")</f>
        <v>—</v>
      </c>
      <c r="E317" t="str">
        <f>C317</f>
        <v>7000 TruMatic</v>
      </c>
      <c r="F317" t="str">
        <f>IF(AND(C317&lt;&gt;"",E317&lt;&gt;"",C317&lt;&gt;E317),"⚠️ CHANGED","—")</f>
        <v>—</v>
      </c>
    </row>
    <row r="318" spans="1:6" x14ac:dyDescent="0.25">
      <c r="A318" s="287" t="s">
        <v>2323</v>
      </c>
      <c r="B318" s="288" t="s">
        <v>4259</v>
      </c>
      <c r="C318" t="str">
        <f>IFERROR(VLOOKUP(A318,'Production Schedule'!$B:$CC,80,FALSE),"")</f>
        <v>7000 TubeLaser 20</v>
      </c>
      <c r="D318" s="323" t="str">
        <f ca="1">IF(F318="⚠️ CHANGED",NOW(),"—")</f>
        <v>—</v>
      </c>
      <c r="E318" t="str">
        <f>C318</f>
        <v>7000 TubeLaser 20</v>
      </c>
      <c r="F318" t="str">
        <f>IF(AND(C318&lt;&gt;"",E318&lt;&gt;"",C318&lt;&gt;E318),"⚠️ CHANGED","—")</f>
        <v>—</v>
      </c>
    </row>
    <row r="319" spans="1:6" x14ac:dyDescent="0.25">
      <c r="A319" s="287" t="s">
        <v>2331</v>
      </c>
      <c r="B319" s="288" t="s">
        <v>4242</v>
      </c>
      <c r="C319" t="str">
        <f>IFERROR(VLOOKUP(A319,'Production Schedule'!$B:$CC,80,FALSE),"")</f>
        <v>TruLaser 3040</v>
      </c>
      <c r="D319" s="323" t="str">
        <f ca="1">IF(F319="⚠️ CHANGED",NOW(),"—")</f>
        <v>—</v>
      </c>
      <c r="E319" t="str">
        <f>C319</f>
        <v>TruLaser 3040</v>
      </c>
      <c r="F319" t="str">
        <f>IF(AND(C319&lt;&gt;"",E319&lt;&gt;"",C319&lt;&gt;E319),"⚠️ CHANGED","—")</f>
        <v>—</v>
      </c>
    </row>
    <row r="320" spans="1:6" x14ac:dyDescent="0.25">
      <c r="A320" s="287" t="s">
        <v>2478</v>
      </c>
      <c r="B320" s="288" t="s">
        <v>4212</v>
      </c>
      <c r="C320" t="str">
        <f>IFERROR(VLOOKUP(A320,'Production Schedule'!$B:$CC,80,FALSE),"")</f>
        <v>Ready to Ship</v>
      </c>
      <c r="D320" s="323" t="str">
        <f ca="1">IF(F320="⚠️ CHANGED",NOW(),"—")</f>
        <v>—</v>
      </c>
      <c r="E320" t="str">
        <f>C320</f>
        <v>Ready to Ship</v>
      </c>
      <c r="F320" t="str">
        <f>IF(AND(C320&lt;&gt;"",E320&lt;&gt;"",C320&lt;&gt;E320),"⚠️ CHANGED","—")</f>
        <v>—</v>
      </c>
    </row>
    <row r="321" spans="1:7" x14ac:dyDescent="0.25">
      <c r="A321" s="287" t="s">
        <v>2515</v>
      </c>
      <c r="B321" s="288" t="s">
        <v>4261</v>
      </c>
      <c r="C321" t="str">
        <f>IFERROR(VLOOKUP(A321,'Production Schedule'!$B:$CC,80,FALSE),"")</f>
        <v>7000 TubeLaser 28</v>
      </c>
      <c r="D321" s="323" t="str">
        <f ca="1">IF(F321="⚠️ CHANGED",NOW(),"—")</f>
        <v>—</v>
      </c>
      <c r="E321" t="str">
        <f>C321</f>
        <v>7000 TubeLaser 28</v>
      </c>
      <c r="F321" t="str">
        <f>IF(AND(C321&lt;&gt;"",E321&lt;&gt;"",C321&lt;&gt;E321),"⚠️ CHANGED","—")</f>
        <v>—</v>
      </c>
    </row>
    <row r="322" spans="1:7" x14ac:dyDescent="0.25">
      <c r="A322" s="344" t="s">
        <v>2806</v>
      </c>
      <c r="B322" s="346" t="s">
        <v>4218</v>
      </c>
    </row>
    <row r="323" spans="1:7" x14ac:dyDescent="0.25">
      <c r="A323" s="327" t="s">
        <v>1</v>
      </c>
      <c r="B323" s="345" t="s">
        <v>4262</v>
      </c>
      <c r="C323" s="212" t="s">
        <v>2738</v>
      </c>
      <c r="D323" s="212" t="s">
        <v>4157</v>
      </c>
      <c r="E323" s="212" t="s">
        <v>4155</v>
      </c>
      <c r="F323" s="322" t="s">
        <v>4156</v>
      </c>
    </row>
    <row r="324" spans="1:7" ht="15" customHeight="1" x14ac:dyDescent="0.3">
      <c r="A324" s="312" t="s">
        <v>2805</v>
      </c>
      <c r="B324" s="295" t="s">
        <v>4218</v>
      </c>
      <c r="C324" s="46"/>
      <c r="D324" s="46"/>
      <c r="E324" s="46"/>
      <c r="F324" s="46"/>
      <c r="G324" s="46"/>
    </row>
    <row r="325" spans="1:7" x14ac:dyDescent="0.25">
      <c r="A325" s="17"/>
      <c r="B325" s="133" t="s">
        <v>2802</v>
      </c>
      <c r="C325" s="324" t="s">
        <v>617</v>
      </c>
      <c r="D325" s="8" t="str">
        <f>IF(C325="","",IF(ISNUMBER(MATCH("*"&amp;C325&amp;"*",A330:A536,0)),"Row: "&amp;(MATCH("*"&amp;C325&amp;"*",A330:A536,0)+4),"Not Found"))</f>
        <v>Not Found</v>
      </c>
      <c r="E325" s="132" t="s">
        <v>2803</v>
      </c>
      <c r="F325" s="8"/>
      <c r="G325" s="8"/>
    </row>
    <row r="326" spans="1:7" ht="15" customHeight="1" x14ac:dyDescent="0.35">
      <c r="A326" s="8"/>
      <c r="B326" s="213" t="s">
        <v>2804</v>
      </c>
      <c r="C326" s="8"/>
      <c r="D326" s="8"/>
      <c r="E326" s="8"/>
      <c r="F326" s="8"/>
      <c r="G326" s="8"/>
    </row>
  </sheetData>
  <sortState xmlns:xlrd2="http://schemas.microsoft.com/office/spreadsheetml/2017/richdata2" ref="A7:B213">
    <sortCondition ref="A9:A213"/>
  </sortState>
  <mergeCells count="1">
    <mergeCell ref="A4:B4"/>
  </mergeCells>
  <phoneticPr fontId="32" type="noConversion"/>
  <conditionalFormatting sqref="A5:B289">
    <cfRule type="expression" dxfId="13" priority="4">
      <formula>AND($C$2&lt;&gt;"",ISNUMBER(SEARCH($C$2,$A5)))</formula>
    </cfRule>
  </conditionalFormatting>
  <conditionalFormatting sqref="C1:C2">
    <cfRule type="expression" dxfId="12" priority="1">
      <formula>AND($C$2&lt;&gt;"",ISNUMBER(SEARCH($C$2,$A1)))</formula>
    </cfRule>
  </conditionalFormatting>
  <conditionalFormatting sqref="D1">
    <cfRule type="containsText" dxfId="11" priority="49" operator="containsText" text="LATE">
      <formula>NOT(ISERROR(SEARCH("LATE",D1)))</formula>
    </cfRule>
    <cfRule type="containsText" dxfId="10" priority="50" operator="containsText" text="ON TIME">
      <formula>NOT(ISERROR(SEARCH("ON TIME",D1)))</formula>
    </cfRule>
  </conditionalFormatting>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28300-AE3D-4CA3-859F-186B4224135E}">
  <sheetPr>
    <tabColor rgb="FF1B2A4A"/>
  </sheetPr>
  <dimension ref="A1:AB324"/>
  <sheetViews>
    <sheetView workbookViewId="0">
      <pane ySplit="4" topLeftCell="A116" activePane="bottomLeft" state="frozen"/>
      <selection pane="bottomLeft" sqref="A1:XFD1048576"/>
    </sheetView>
  </sheetViews>
  <sheetFormatPr defaultRowHeight="15" x14ac:dyDescent="0.25"/>
  <cols>
    <col min="1" max="1" width="29.5703125" customWidth="1"/>
    <col min="2" max="2" width="38.140625" customWidth="1"/>
    <col min="3" max="3" width="34.28515625" customWidth="1"/>
    <col min="4" max="4" width="18.42578125" bestFit="1" customWidth="1"/>
    <col min="5" max="5" width="16.7109375" bestFit="1" customWidth="1"/>
    <col min="6" max="6" width="16.42578125" customWidth="1"/>
    <col min="7" max="7" width="21" customWidth="1"/>
    <col min="8" max="8" width="13.140625" customWidth="1"/>
    <col min="9" max="9" width="11.140625" bestFit="1" customWidth="1"/>
    <col min="10" max="10" width="9.85546875" customWidth="1"/>
    <col min="11" max="11" width="6.42578125" customWidth="1"/>
    <col min="12" max="12" width="18.140625" customWidth="1"/>
    <col min="13" max="13" width="15.28515625" style="3" bestFit="1" customWidth="1"/>
    <col min="14" max="14" width="16.140625" style="4" customWidth="1"/>
    <col min="15" max="15" width="15.42578125" style="3" bestFit="1" customWidth="1"/>
    <col min="16" max="16" width="16.140625" style="4" customWidth="1"/>
    <col min="17" max="17" width="12" style="3" customWidth="1"/>
    <col min="18" max="18" width="16.140625" style="4" customWidth="1"/>
    <col min="19" max="19" width="6.7109375" style="3" customWidth="1"/>
    <col min="20" max="20" width="16.140625" style="4" customWidth="1"/>
    <col min="21" max="21" width="5.85546875" style="3" customWidth="1"/>
    <col min="22" max="22" width="16.140625" style="4" customWidth="1"/>
    <col min="23" max="23" width="6" style="3" customWidth="1"/>
    <col min="24" max="24" width="16.140625" style="4" customWidth="1"/>
    <col min="25" max="25" width="17.140625" style="2" customWidth="1"/>
    <col min="26" max="26" width="38.140625" style="2" customWidth="1"/>
    <col min="27" max="27" width="2.7109375" hidden="1" customWidth="1"/>
    <col min="28" max="28" width="21.5703125" bestFit="1" customWidth="1"/>
  </cols>
  <sheetData>
    <row r="1" spans="1:28" ht="50.1" customHeight="1" x14ac:dyDescent="0.25">
      <c r="A1" s="157"/>
      <c r="B1" s="77"/>
      <c r="C1" s="83" t="s">
        <v>2735</v>
      </c>
      <c r="D1" s="84" t="s">
        <v>2685</v>
      </c>
      <c r="E1" s="77" t="str">
        <f ca="1">IF(D1="","← Type an ID here",IF(COUNTIF(A5:A304,D1)=0,"❌ ID NOT FOUND",IF(INDEX(Y5:Y304,MATCH(D1,A5:A304,0))="","⚠ No Ship Date",IF(INDEX(Y5:Y304,MATCH(D1,A5:A304,0))&lt;TODAY(),"🔴 LATE","🟢 ON TIME"))))</f>
        <v>🟢 ON TIME</v>
      </c>
      <c r="F1" s="77" t="str">
        <f>IF(D1="","",IF(COUNTIF(A5:A304,D1)=0,"","Ship: "&amp;TEXT(INDEX(I5:I304,MATCH(D1,A5:A304,0)),"mm/dd/yyyy")))</f>
        <v>Ship: 06/19/2026</v>
      </c>
      <c r="G1" s="77" t="str">
        <f>IF(D1="","",IF(COUNTIF(A5:A304,D1)=0,"","Crating By: "&amp;TEXT(INDEX(Y5:Y304,MATCH(D1,A5:A304,0)),"mm/dd/yyyy")))</f>
        <v>Crating By: 06/17/2026</v>
      </c>
      <c r="H1" s="77" t="str">
        <f>IF(D1="","",IF(COUNTIF(A5:A304,D1)=0,"","Station: "&amp;INDEX(L5:L304,MATCH(D1,A5:A304,0))))</f>
        <v>Station: LO</v>
      </c>
      <c r="I1" s="77"/>
      <c r="J1" s="77"/>
      <c r="K1" s="77"/>
      <c r="L1" s="77"/>
      <c r="M1" s="85"/>
      <c r="N1" s="86"/>
      <c r="O1" s="9"/>
      <c r="P1" s="11"/>
      <c r="Q1" s="9"/>
      <c r="R1" s="11"/>
      <c r="S1" s="9"/>
      <c r="T1" s="11"/>
      <c r="U1" s="9"/>
      <c r="V1" s="11"/>
      <c r="W1" s="9"/>
      <c r="X1" s="11"/>
      <c r="Y1" s="12"/>
      <c r="Z1" s="12"/>
      <c r="AA1" s="12"/>
      <c r="AB1" s="12"/>
    </row>
    <row r="2" spans="1:28" ht="5.0999999999999996" customHeight="1" x14ac:dyDescent="0.25">
      <c r="A2" s="160"/>
      <c r="B2" s="8"/>
      <c r="C2" s="8"/>
      <c r="D2" s="16"/>
      <c r="E2" s="8"/>
      <c r="F2" s="8"/>
      <c r="G2" s="8"/>
      <c r="H2" s="8"/>
      <c r="I2" s="8"/>
      <c r="J2" s="8"/>
      <c r="K2" s="8"/>
      <c r="L2" s="8"/>
      <c r="M2" s="10"/>
      <c r="N2" s="13"/>
      <c r="O2" s="10"/>
      <c r="P2" s="13"/>
      <c r="Q2" s="10"/>
      <c r="R2" s="13"/>
      <c r="S2" s="10"/>
      <c r="T2" s="13"/>
      <c r="U2" s="10"/>
      <c r="V2" s="13"/>
      <c r="W2" s="10"/>
      <c r="X2" s="13"/>
      <c r="Y2" s="12"/>
      <c r="Z2" s="12"/>
      <c r="AA2" s="12"/>
      <c r="AB2" s="12"/>
    </row>
    <row r="3" spans="1:28" ht="5.0999999999999996" customHeight="1" x14ac:dyDescent="0.25">
      <c r="A3" s="160"/>
      <c r="B3" s="8"/>
      <c r="C3" s="8"/>
      <c r="D3" s="8"/>
      <c r="E3" s="8"/>
      <c r="F3" s="8"/>
      <c r="G3" s="8"/>
      <c r="H3" s="8"/>
      <c r="I3" s="8"/>
      <c r="J3" s="8"/>
      <c r="K3" s="8"/>
      <c r="L3" s="8"/>
      <c r="M3" s="10"/>
      <c r="N3" s="13"/>
      <c r="O3" s="10"/>
      <c r="P3" s="13"/>
      <c r="Q3" s="10"/>
      <c r="R3" s="13"/>
      <c r="S3" s="10"/>
      <c r="T3" s="13"/>
      <c r="U3" s="10"/>
      <c r="V3" s="13"/>
      <c r="W3" s="10"/>
      <c r="X3" s="13"/>
      <c r="Y3" s="12"/>
      <c r="Z3" s="12"/>
      <c r="AA3" s="12"/>
      <c r="AB3" s="12"/>
    </row>
    <row r="4" spans="1:28" x14ac:dyDescent="0.25">
      <c r="A4" s="87" t="s">
        <v>1</v>
      </c>
      <c r="B4" s="88" t="s">
        <v>3</v>
      </c>
      <c r="C4" s="88" t="s">
        <v>5</v>
      </c>
      <c r="D4" s="88" t="s">
        <v>7</v>
      </c>
      <c r="E4" s="88" t="s">
        <v>17</v>
      </c>
      <c r="F4" s="88" t="s">
        <v>18</v>
      </c>
      <c r="G4" s="88" t="s">
        <v>25</v>
      </c>
      <c r="H4" s="88" t="s">
        <v>47</v>
      </c>
      <c r="I4" s="88" t="s">
        <v>54</v>
      </c>
      <c r="J4" s="89" t="s">
        <v>135</v>
      </c>
      <c r="K4" s="88" t="s">
        <v>59</v>
      </c>
      <c r="L4" s="88" t="s">
        <v>2738</v>
      </c>
      <c r="M4" s="88" t="s">
        <v>2739</v>
      </c>
      <c r="N4" s="89" t="s">
        <v>2807</v>
      </c>
      <c r="O4" s="24" t="s">
        <v>2740</v>
      </c>
      <c r="P4" s="25" t="s">
        <v>2807</v>
      </c>
      <c r="Q4" s="24" t="s">
        <v>2741</v>
      </c>
      <c r="R4" s="25" t="s">
        <v>2807</v>
      </c>
      <c r="S4" s="24" t="s">
        <v>2808</v>
      </c>
      <c r="T4" s="25" t="s">
        <v>2807</v>
      </c>
      <c r="U4" s="24" t="s">
        <v>2809</v>
      </c>
      <c r="V4" s="25" t="s">
        <v>2807</v>
      </c>
      <c r="W4" s="24" t="s">
        <v>2810</v>
      </c>
      <c r="X4" s="25" t="s">
        <v>2807</v>
      </c>
      <c r="Y4" s="47" t="s">
        <v>2811</v>
      </c>
      <c r="Z4" s="47" t="s">
        <v>2742</v>
      </c>
      <c r="AA4" s="48" t="s">
        <v>2812</v>
      </c>
      <c r="AB4" s="47" t="s">
        <v>2813</v>
      </c>
    </row>
    <row r="5" spans="1:28" x14ac:dyDescent="0.25">
      <c r="A5" s="90" t="str" cm="1">
        <f t="array" ref="A5:A324">_xlfn.LET(
  _xlpm.ids,'Production Schedule'!B2:B500,
  _xlpm.stations,'Production Schedule'!CC2:CC500,
  _xlpm.ships,'Production Schedule'!BC2:BC500,
  _xlpm.mask,_xlpm.ids&lt;&gt;"",
  _xlpm.fids,_xlfn._xlws.FILTER(_xlpm.ids,_xlpm.mask,""),
  _xlpm.fstations,_xlfn._xlws.FILTER(_xlpm.stations,_xlpm.mask,""),
  _xlpm.fships,_xlfn._xlws.FILTER(_xlpm.ships,_xlpm.mask,0),
  _xlpm.skey,IF((_xlpm.fstations="Ready to Ship")+(_xlpm.fstations="RTS Titans")+(_xlpm.fstations="Shipped")+(_xlpm.fstations="Shipped To Painter")+(_xlpm.fstations="Partially Shipped")+(_xlpm.fstations="QC")+(_xlpm.fstations="Crating")&gt;0,2,1),
  _xlfn.SORTBY(_xlpm.fids,_xlpm.skey,1,_xlpm.fships,1)
)</f>
        <v>24079-BM04C</v>
      </c>
      <c r="B5" s="90" t="str">
        <f>IF(A5="","",IFERROR(VLOOKUP(A5,'Production Schedule'!$B:$FU,3,FALSE),""))</f>
        <v>Nashville Youth Campus</v>
      </c>
      <c r="C5" s="90" t="str">
        <f>IF(A5="","",IFERROR(VLOOKUP(A5,'Production Schedule'!$B:$FU,5,FALSE),""))</f>
        <v>Joe Hoyle</v>
      </c>
      <c r="D5" s="90">
        <f>IF(A5="","",IFERROR(VLOOKUP(A5,'Production Schedule'!$B:$FU,7,FALSE),""))</f>
        <v>0</v>
      </c>
      <c r="E5" s="90">
        <f>IF(A5="","",IFERROR(VLOOKUP(A5,'Production Schedule'!$B:$FU,17,FALSE),""))</f>
        <v>0</v>
      </c>
      <c r="F5" s="90">
        <f>IF(A5="","",IFERROR(VLOOKUP(A5,'Production Schedule'!$B:$FU,18,FALSE),""))</f>
        <v>3600</v>
      </c>
      <c r="G5" s="90" t="str">
        <f>IF(A5="","",IFERROR(VLOOKUP(A5,'Production Schedule'!$B:$FU,25,FALSE),""))</f>
        <v>Steel Sheet</v>
      </c>
      <c r="H5" s="91">
        <f>IF(A5="","",IFERROR(VLOOKUP(A5,'Production Schedule'!$B:$FU,47,FALSE),""))</f>
        <v>46037.384175798608</v>
      </c>
      <c r="I5" s="91">
        <f>IF(A5="","",IFERROR(VLOOKUP(A5,'Production Schedule'!$B:$FU,54,FALSE),""))</f>
        <v>46072</v>
      </c>
      <c r="J5" s="92">
        <f>IF(A5="","",IFERROR(VLOOKUP(A5,'Production Schedule'!$B:$FU,135,FALSE),""))</f>
        <v>40</v>
      </c>
      <c r="K5" s="90" t="str">
        <f>IF(A5="","",IFERROR(VLOOKUP(A5,'Production Schedule'!$B:$FU,59,FALSE),""))</f>
        <v>NO</v>
      </c>
      <c r="L5" s="90" t="str">
        <f>IF(A5="","",IFERROR(VLOOKUP(A5,'Production Schedule'!$B:$FU,80,FALSE),""))</f>
        <v>Shear</v>
      </c>
      <c r="M5" s="93" t="str" cm="1">
        <f t="array" ref="M5">IF(A5="","",IFERROR(TRIM(INDEX(_xlfn.TEXTSPLIT(IFERROR(VLOOKUP(A5,'Production Schedule'!$B:$FU,150,FALSE),""),CHAR(10)),1)),""))</f>
        <v>7000 TruMatic</v>
      </c>
      <c r="N5" s="94">
        <f t="shared" ref="N5:N68" si="0">IF(AND(M5&lt;&gt;"",I5&lt;&gt;""),_xlfn.LET(_xlpm.hM,IF(OR(M5="AXYZ Titans Line",M5="AXYZ"),ROUND(E5/7,1),IF(OR(M5="Clean and Brake",M5="Clean and brake"),72,IF(OR(M5="Fab",M5="Fabrication"),72,IF(M5="Assembly",72,IF(M5="Tube Laser",72,IF(M5="7000 TruMatic",72,IF(M5="TruLaser 3040",72,IF(M5="Extrusion Saw",72,IF(M5="Powder Coat",192,IF(M5="Brake",72,IF(M5="Cidan",80,IF(M5="Shear",80,IF(M5="Weld",80,IF(M5="Flat Laser",24,IF(M5="Post Paint",24,IF(M5="TruPunch",24,IF(M5="Roller",72,0))))))))))))))))),_xlpm.hO,IF(OR(O5="AXYZ Titans Line",O5="AXYZ"),ROUND(E5/7,1),IF(OR(O5="Clean and Brake",O5="Clean and brake"),72,IF(OR(O5="Fab",O5="Fabrication"),72,IF(O5="Assembly",72,IF(O5="Tube Laser",72,IF(O5="7000 TruMatic",72,IF(O5="TruLaser 3040",72,IF(O5="Extrusion Saw",72,IF(O5="Powder Coat",192,IF(O5="Brake",72,IF(O5="Cidan",80,IF(O5="Shear",80,IF(O5="Weld",80,IF(O5="Flat Laser",24,IF(O5="Post Paint",24,IF(O5="TruPunch",24,IF(O5="Roller",72,0))))))))))))))))),_xlpm.hQ,IF(OR(Q5="AXYZ Titans Line",Q5="AXYZ"),ROUND(E5/7,1),IF(OR(Q5="Clean and Brake",Q5="Clean and brake"),72,IF(OR(Q5="Fab",Q5="Fabrication"),72,IF(Q5="Assembly",72,IF(Q5="Tube Laser",72,IF(Q5="7000 TruMatic",72,IF(Q5="TruLaser 3040",72,IF(Q5="Extrusion Saw",72,IF(Q5="Powder Coat",192,IF(Q5="Brake",72,IF(Q5="Cidan",80,IF(Q5="Shear",80,IF(Q5="Weld",80,IF(Q5="Flat Laser",24,IF(Q5="Post Paint",24,IF(Q5="TruPunch",24,IF(Q5="Roller",72,0))))))))))))))))),_xlpm.hS,IF(OR(S5="AXYZ Titans Line",S5="AXYZ"),ROUND(E5/7,1),IF(OR(S5="Clean and Brake",S5="Clean and brake"),72,IF(OR(S5="Fab",S5="Fabrication"),72,IF(S5="Assembly",72,IF(S5="Tube Laser",72,IF(S5="7000 TruMatic",72,IF(S5="TruLaser 3040",72,IF(S5="Extrusion Saw",72,IF(S5="Powder Coat",192,IF(S5="Brake",72,IF(S5="Cidan",80,IF(S5="Shear",80,IF(S5="Weld",80,IF(S5="Flat Laser",24,IF(S5="Post Paint",24,IF(S5="TruPunch",24,IF(S5="Roller",72,0))))))))))))))))),_xlpm.hU,IF(OR(U5="AXYZ Titans Line",U5="AXYZ"),ROUND(E5/7,1),IF(OR(U5="Clean and Brake",U5="Clean and brake"),72,IF(OR(U5="Fab",U5="Fabrication"),72,IF(U5="Assembly",72,IF(U5="Tube Laser",72,IF(U5="7000 TruMatic",72,IF(U5="TruLaser 3040",72,IF(U5="Extrusion Saw",72,IF(U5="Powder Coat",192,IF(U5="Brake",72,IF(U5="Cidan",80,IF(U5="Shear",80,IF(U5="Weld",80,IF(U5="Flat Laser",24,IF(U5="Post Paint",24,IF(U5="TruPunch",24,IF(U5="Roller",72,0))))))))))))))))),_xlpm.hW,IF(OR(W5="AXYZ Titans Line",W5="AXYZ"),ROUND(E5/7,1),IF(OR(W5="Clean and Brake",W5="Clean and brake"),72,IF(OR(W5="Fab",W5="Fabrication"),72,IF(W5="Assembly",72,IF(W5="Tube Laser",72,IF(W5="7000 TruMatic",72,IF(W5="TruLaser 3040",72,IF(W5="Extrusion Saw",72,IF(W5="Powder Coat",192,IF(W5="Brake",72,IF(W5="Cidan",80,IF(W5="Shear",80,IF(W5="Weld",80,IF(W5="Flat Laser",24,IF(W5="Post Paint",24,IF(W5="TruPunch",24,IF(W5="Roller",72,0))))))))))))))))),_xlpm.total,_xlpm.hM+_xlpm.hO+_xlpm.hQ+_xlpm.hS+_xlpm.hU+_xlpm.hW+16,WORKDAY.INTL(I5,-ROUNDUP(_xlpm.total/8,0),"0000001")),"")</f>
        <v>46009</v>
      </c>
      <c r="O5" s="54" t="str" cm="1">
        <f t="array" ref="O5">IF(A5="","",IFERROR(TRIM(INDEX(_xlfn.TEXTSPLIT(IFERROR(VLOOKUP(A5,'Production Schedule'!$B:$FU,150,FALSE),""),CHAR(10)),2)),""))</f>
        <v>Brake</v>
      </c>
      <c r="P5" s="55">
        <f t="shared" ref="P5:P68" si="1">IF(AND(O5&lt;&gt;"",I5&lt;&gt;""),_xlfn.LET(_xlpm.hO,IF(OR(O5="AXYZ Titans Line",O5="AXYZ"),ROUND(E5/7,1),IF(OR(O5="Clean and Brake",O5="Clean and brake"),72,IF(OR(O5="Fab",O5="Fabrication"),72,IF(O5="Assembly",72,IF(O5="Tube Laser",72,IF(O5="7000 TruMatic",72,IF(O5="TruLaser 3040",72,IF(O5="Extrusion Saw",72,IF(O5="Powder Coat",192,IF(O5="Brake",72,IF(O5="Cidan",80,IF(O5="Shear",80,IF(O5="Weld",80,IF(O5="Flat Laser",24,IF(O5="Post Paint",24,IF(O5="TruPunch",24,IF(O5="Roller",72,0))))))))))))))))),_xlpm.hQ,IF(OR(Q5="AXYZ Titans Line",Q5="AXYZ"),ROUND(E5/7,1),IF(OR(Q5="Clean and Brake",Q5="Clean and brake"),72,IF(OR(Q5="Fab",Q5="Fabrication"),72,IF(Q5="Assembly",72,IF(Q5="Tube Laser",72,IF(Q5="7000 TruMatic",72,IF(Q5="TruLaser 3040",72,IF(Q5="Extrusion Saw",72,IF(Q5="Powder Coat",192,IF(Q5="Brake",72,IF(Q5="Cidan",80,IF(Q5="Shear",80,IF(Q5="Weld",80,IF(Q5="Flat Laser",24,IF(Q5="Post Paint",24,IF(Q5="TruPunch",24,IF(Q5="Roller",72,0))))))))))))))))),_xlpm.hS,IF(OR(S5="AXYZ Titans Line",S5="AXYZ"),ROUND(E5/7,1),IF(OR(S5="Clean and Brake",S5="Clean and brake"),72,IF(OR(S5="Fab",S5="Fabrication"),72,IF(S5="Assembly",72,IF(S5="Tube Laser",72,IF(S5="7000 TruMatic",72,IF(S5="TruLaser 3040",72,IF(S5="Extrusion Saw",72,IF(S5="Powder Coat",192,IF(S5="Brake",72,IF(S5="Cidan",80,IF(S5="Shear",80,IF(S5="Weld",80,IF(S5="Flat Laser",24,IF(S5="Post Paint",24,IF(S5="TruPunch",24,IF(S5="Roller",72,0))))))))))))))))),_xlpm.hU,IF(OR(U5="AXYZ Titans Line",U5="AXYZ"),ROUND(E5/7,1),IF(OR(U5="Clean and Brake",U5="Clean and brake"),72,IF(OR(U5="Fab",U5="Fabrication"),72,IF(U5="Assembly",72,IF(U5="Tube Laser",72,IF(U5="7000 TruMatic",72,IF(U5="TruLaser 3040",72,IF(U5="Extrusion Saw",72,IF(U5="Powder Coat",192,IF(U5="Brake",72,IF(U5="Cidan",80,IF(U5="Shear",80,IF(U5="Weld",80,IF(U5="Flat Laser",24,IF(U5="Post Paint",24,IF(U5="TruPunch",24,IF(U5="Roller",72,0))))))))))))))))),_xlpm.hW,IF(OR(W5="AXYZ Titans Line",W5="AXYZ"),ROUND(E5/7,1),IF(OR(W5="Clean and Brake",W5="Clean and brake"),72,IF(OR(W5="Fab",W5="Fabrication"),72,IF(W5="Assembly",72,IF(W5="Tube Laser",72,IF(W5="7000 TruMatic",72,IF(W5="TruLaser 3040",72,IF(W5="Extrusion Saw",72,IF(W5="Powder Coat",192,IF(W5="Brake",72,IF(W5="Cidan",80,IF(W5="Shear",80,IF(W5="Weld",80,IF(W5="Flat Laser",24,IF(W5="Post Paint",24,IF(W5="TruPunch",24,IF(W5="Roller",72,0))))))))))))))))),_xlpm.total,_xlpm.hO+_xlpm.hQ+_xlpm.hS+_xlpm.hU+_xlpm.hW+16,WORKDAY.INTL(I5,-ROUNDUP(_xlpm.total/8,0),"0000001")),"")</f>
        <v>46020</v>
      </c>
      <c r="Q5" s="56" t="str" cm="1">
        <f t="array" ref="Q5">IF(A5="","",IFERROR(TRIM(INDEX(_xlfn.TEXTSPLIT(IFERROR(VLOOKUP(A5,'Production Schedule'!$B:$FU,150,FALSE),""),CHAR(10)),3)),""))</f>
        <v>Powder Coat</v>
      </c>
      <c r="R5" s="55">
        <f t="shared" ref="R5:R68" si="2">IF(AND(Q5&lt;&gt;"",I5&lt;&gt;""),_xlfn.LET(_xlpm.hQ,IF(OR(Q5="AXYZ Titans Line",Q5="AXYZ"),ROUND(E5/7,1),IF(OR(Q5="Clean and Brake",Q5="Clean and brake"),72,IF(OR(Q5="Fab",Q5="Fabrication"),72,IF(Q5="Assembly",72,IF(Q5="Tube Laser",72,IF(Q5="7000 TruMatic",72,IF(Q5="TruLaser 3040",72,IF(Q5="Extrusion Saw",72,IF(Q5="Powder Coat",192,IF(Q5="Brake",72,IF(Q5="Cidan",80,IF(Q5="Shear",80,IF(Q5="Weld",80,IF(Q5="Flat Laser",24,IF(Q5="Post Paint",24,IF(Q5="TruPunch",24,IF(Q5="Roller",72,0))))))))))))))))),_xlpm.hS,IF(OR(S5="AXYZ Titans Line",S5="AXYZ"),ROUND(E5/7,1),IF(OR(S5="Clean and Brake",S5="Clean and brake"),72,IF(OR(S5="Fab",S5="Fabrication"),72,IF(S5="Assembly",72,IF(S5="Tube Laser",72,IF(S5="7000 TruMatic",72,IF(S5="TruLaser 3040",72,IF(S5="Extrusion Saw",72,IF(S5="Powder Coat",192,IF(S5="Brake",72,IF(S5="Cidan",80,IF(S5="Shear",80,IF(S5="Weld",80,IF(S5="Flat Laser",24,IF(S5="Post Paint",24,IF(S5="TruPunch",24,IF(S5="Roller",72,0))))))))))))))))),_xlpm.hU,IF(OR(U5="AXYZ Titans Line",U5="AXYZ"),ROUND(E5/7,1),IF(OR(U5="Clean and Brake",U5="Clean and brake"),72,IF(OR(U5="Fab",U5="Fabrication"),72,IF(U5="Assembly",72,IF(U5="Tube Laser",72,IF(U5="7000 TruMatic",72,IF(U5="TruLaser 3040",72,IF(U5="Extrusion Saw",72,IF(U5="Powder Coat",192,IF(U5="Brake",72,IF(U5="Cidan",80,IF(U5="Shear",80,IF(U5="Weld",80,IF(U5="Flat Laser",24,IF(U5="Post Paint",24,IF(U5="TruPunch",24,IF(U5="Roller",72,0))))))))))))))))),_xlpm.hW,IF(OR(W5="AXYZ Titans Line",W5="AXYZ"),ROUND(E5/7,1),IF(OR(W5="Clean and Brake",W5="Clean and brake"),72,IF(OR(W5="Fab",W5="Fabrication"),72,IF(W5="Assembly",72,IF(W5="Tube Laser",72,IF(W5="7000 TruMatic",72,IF(W5="TruLaser 3040",72,IF(W5="Extrusion Saw",72,IF(W5="Powder Coat",192,IF(W5="Brake",72,IF(W5="Cidan",80,IF(W5="Shear",80,IF(W5="Weld",80,IF(W5="Flat Laser",24,IF(W5="Post Paint",24,IF(W5="TruPunch",24,IF(W5="Roller",72,0))))))))))))))))),_xlpm.total,_xlpm.hQ+_xlpm.hS+_xlpm.hU+_xlpm.hW+16,WORKDAY.INTL(I5,-ROUNDUP(_xlpm.total/8,0),"0000001")),"")</f>
        <v>46030</v>
      </c>
      <c r="S5" s="54" t="str" cm="1">
        <f t="array" ref="S5">IF(A5="","",IFERROR(TRIM(INDEX(_xlfn.TEXTSPLIT(IFERROR(VLOOKUP(A5,'Production Schedule'!$B:$FU,150,FALSE),""),CHAR(10)),4)),""))</f>
        <v>Shear</v>
      </c>
      <c r="T5" s="55">
        <f t="shared" ref="T5:T68" si="3">IF(AND(S5&lt;&gt;"",I5&lt;&gt;""),_xlfn.LET(_xlpm.hS,IF(OR(S5="AXYZ Titans Line",S5="AXYZ"),ROUND(E5/7,1),IF(OR(S5="Clean and Brake",S5="Clean and brake"),72,IF(OR(S5="Fab",S5="Fabrication"),72,IF(S5="Assembly",72,IF(S5="Tube Laser",72,IF(S5="7000 TruMatic",72,IF(S5="TruLaser 3040",72,IF(S5="Extrusion Saw",72,IF(S5="Powder Coat",192,IF(S5="Brake",72,IF(S5="Cidan",80,IF(S5="Shear",80,IF(S5="Weld",80,IF(S5="Flat Laser",24,IF(S5="Post Paint",24,IF(S5="TruPunch",24,IF(S5="Roller",72,0))))))))))))))))),_xlpm.hU,IF(OR(U5="AXYZ Titans Line",U5="AXYZ"),ROUND(E5/7,1),IF(OR(U5="Clean and Brake",U5="Clean and brake"),72,IF(OR(U5="Fab",U5="Fabrication"),72,IF(U5="Assembly",72,IF(U5="Tube Laser",72,IF(U5="7000 TruMatic",72,IF(U5="TruLaser 3040",72,IF(U5="Extrusion Saw",72,IF(U5="Powder Coat",192,IF(U5="Brake",72,IF(U5="Cidan",80,IF(U5="Shear",80,IF(U5="Weld",80,IF(U5="Flat Laser",24,IF(U5="Post Paint",24,IF(U5="TruPunch",24,IF(U5="Roller",72,0))))))))))))))))),_xlpm.hW,IF(OR(W5="AXYZ Titans Line",W5="AXYZ"),ROUND(E5/7,1),IF(OR(W5="Clean and Brake",W5="Clean and brake"),72,IF(OR(W5="Fab",W5="Fabrication"),72,IF(W5="Assembly",72,IF(W5="Tube Laser",72,IF(W5="7000 TruMatic",72,IF(W5="TruLaser 3040",72,IF(W5="Extrusion Saw",72,IF(W5="Powder Coat",192,IF(W5="Brake",72,IF(W5="Cidan",80,IF(W5="Shear",80,IF(W5="Weld",80,IF(W5="Flat Laser",24,IF(W5="Post Paint",24,IF(W5="TruPunch",24,IF(W5="Roller",72,0))))))))))))))))),_xlpm.total,_xlpm.hS+_xlpm.hU+_xlpm.hW+16,WORKDAY.INTL(I5,-ROUNDUP(_xlpm.total/8,0),"0000001")),"")</f>
        <v>46058</v>
      </c>
      <c r="U5" s="54" t="str" cm="1">
        <f t="array" ref="U5">IF(A5="","",IFERROR(TRIM(INDEX(_xlfn.TEXTSPLIT(IFERROR(VLOOKUP(A5,'Production Schedule'!$B:$FU,150,FALSE),""),CHAR(10)),5)),""))</f>
        <v/>
      </c>
      <c r="V5" s="55" t="str">
        <f t="shared" ref="V5:V68" si="4">IF(AND(U5&lt;&gt;"",I5&lt;&gt;""),_xlfn.LET(_xlpm.hU,IF(OR(U5="AXYZ Titans Line",U5="AXYZ"),ROUND(E5/7,1),IF(OR(U5="Clean and Brake",U5="Clean and brake"),72,IF(OR(U5="Fab",U5="Fabrication"),72,IF(U5="Assembly",72,IF(U5="Tube Laser",72,IF(U5="7000 TruMatic",72,IF(U5="TruLaser 3040",72,IF(U5="Extrusion Saw",72,IF(U5="Powder Coat",192,IF(U5="Brake",72,IF(U5="Cidan",80,IF(U5="Shear",80,IF(U5="Weld",80,IF(U5="Flat Laser",24,IF(U5="Post Paint",24,IF(U5="TruPunch",24,IF(U5="Roller",72,0))))))))))))))))),_xlpm.hW,IF(OR(W5="AXYZ Titans Line",W5="AXYZ"),ROUND(E5/7,1),IF(OR(W5="Clean and Brake",W5="Clean and brake"),72,IF(OR(W5="Fab",W5="Fabrication"),72,IF(W5="Assembly",72,IF(W5="Tube Laser",72,IF(W5="7000 TruMatic",72,IF(W5="TruLaser 3040",72,IF(W5="Extrusion Saw",72,IF(W5="Powder Coat",192,IF(W5="Brake",72,IF(W5="Cidan",80,IF(W5="Shear",80,IF(W5="Weld",80,IF(W5="Flat Laser",24,IF(W5="Post Paint",24,IF(W5="TruPunch",24,IF(W5="Roller",72,0))))))))))))))))),_xlpm.total,_xlpm.hU+_xlpm.hW+16,WORKDAY.INTL(I5,-ROUNDUP(_xlpm.total/8,0),"0000001")),"")</f>
        <v/>
      </c>
      <c r="W5" s="54" t="str" cm="1">
        <f t="array" ref="W5">IF(A5="","",IFERROR(TRIM(INDEX(_xlfn.TEXTSPLIT(IFERROR(VLOOKUP(A5,'Production Schedule'!$B:$FU,150,FALSE),""),CHAR(10)),6)),""))</f>
        <v/>
      </c>
      <c r="X5" s="55" t="str">
        <f t="shared" ref="X5:X68" si="5">IF(AND(W5&lt;&gt;"",I5&lt;&gt;""),_xlfn.LET(_xlpm.hW,IF(OR(W5="AXYZ Titans Line",W5="AXYZ"),ROUND(E5/7,1),IF(OR(W5="Clean and Brake",W5="Clean and brake"),72,IF(OR(W5="Fab",W5="Fabrication"),72,IF(W5="Assembly",72,IF(W5="Tube Laser",72,IF(W5="7000 TruMatic",72,IF(W5="TruLaser 3040",72,IF(W5="Extrusion Saw",72,IF(W5="Powder Coat",192,IF(W5="Brake",72,IF(W5="Cidan",80,IF(W5="Shear",80,IF(W5="Weld",80,IF(W5="Flat Laser",24,IF(W5="Post Paint",24,IF(W5="TruPunch",24,IF(W5="Roller",72,0))))))))))))))))),_xlpm.total,_xlpm.hW+16,WORKDAY.INTL(I5,-ROUNDUP(_xlpm.total/8,0),"0000001")),"")</f>
        <v/>
      </c>
      <c r="Y5" s="57">
        <f t="shared" ref="Y5:Y68" si="6">IF(I5="","",WORKDAY.INTL(I5,-2,"0000001"))</f>
        <v>46070</v>
      </c>
      <c r="Z5" s="58" t="str">
        <f>IF(A5="","",IF(IFERROR(VLOOKUP(A5,Notes!A:B,2,FALSE),"")=0,"",VLOOKUP(A5,Notes!A:B,2,FALSE)))</f>
        <v>04/15/2026…Shear*04/16/2026…Shear</v>
      </c>
      <c r="AA5" s="18">
        <f t="shared" ref="AA5:AA68" si="7">IF(OR(L5="Ready to Ship",L5="RTS Titans",L5="Shipped",L5="Shipped To Painter",L5="Partially Shipped",L5="QC",L5="Crating"),2,1)</f>
        <v>1</v>
      </c>
    </row>
    <row r="6" spans="1:28" x14ac:dyDescent="0.25">
      <c r="A6" s="50" t="str">
        <v>26014-03-ST01</v>
      </c>
      <c r="B6" s="50" t="str">
        <f>IF(A6="","",IFERROR(VLOOKUP(A6,'Production Schedule'!$B:$FU,3,FALSE),""))</f>
        <v>2026 R &amp; D</v>
      </c>
      <c r="C6" s="50" t="str">
        <f>IF(A6="","",IFERROR(VLOOKUP(A6,'Production Schedule'!$B:$FU,5,FALSE),""))</f>
        <v>TBC</v>
      </c>
      <c r="D6" s="50" t="str">
        <f>IF(A6="","",IFERROR(VLOOKUP(A6,'Production Schedule'!$B:$FU,7,FALSE),""))</f>
        <v>CUSTOM ARCH</v>
      </c>
      <c r="E6" s="50">
        <f>IF(A6="","",IFERROR(VLOOKUP(A6,'Production Schedule'!$B:$FU,17,FALSE),""))</f>
        <v>0</v>
      </c>
      <c r="F6" s="50">
        <f>IF(A6="","",IFERROR(VLOOKUP(A6,'Production Schedule'!$B:$FU,18,FALSE),""))</f>
        <v>3</v>
      </c>
      <c r="G6" s="50">
        <f>IF(A6="","",IFERROR(VLOOKUP(A6,'Production Schedule'!$B:$FU,25,FALSE),""))</f>
        <v>0</v>
      </c>
      <c r="H6" s="51">
        <f>IF(A6="","",IFERROR(VLOOKUP(A6,'Production Schedule'!$B:$FU,47,FALSE),""))</f>
        <v>46065.708329386573</v>
      </c>
      <c r="I6" s="51">
        <f>IF(A6="","",IFERROR(VLOOKUP(A6,'Production Schedule'!$B:$FU,54,FALSE),""))</f>
        <v>46079</v>
      </c>
      <c r="J6" s="53">
        <f>IF(A6="","",IFERROR(VLOOKUP(A6,'Production Schedule'!$B:$FU,135,FALSE),""))</f>
        <v>32</v>
      </c>
      <c r="K6" s="50" t="str">
        <f>IF(A6="","",IFERROR(VLOOKUP(A6,'Production Schedule'!$B:$FU,59,FALSE),""))</f>
        <v>YES</v>
      </c>
      <c r="L6" s="49" t="str">
        <f>IF(A6="","",IFERROR(VLOOKUP(A6,'Production Schedule'!$B:$FU,80,FALSE),""))</f>
        <v>7000 TubeLaser 20</v>
      </c>
      <c r="M6" s="54" t="str" cm="1">
        <f t="array" ref="M6">IF(A6="","",IFERROR(TRIM(INDEX(_xlfn.TEXTSPLIT(IFERROR(VLOOKUP(A6,'Production Schedule'!$B:$FU,150,FALSE),""),CHAR(10)),1)),""))</f>
        <v>Assembly</v>
      </c>
      <c r="N6" s="55">
        <f t="shared" si="0"/>
        <v>46066</v>
      </c>
      <c r="O6" s="56" t="str" cm="1">
        <f t="array" ref="O6">IF(A6="","",IFERROR(TRIM(INDEX(_xlfn.TEXTSPLIT(IFERROR(VLOOKUP(A6,'Production Schedule'!$B:$FU,150,FALSE),""),CHAR(10)),2)),""))</f>
        <v/>
      </c>
      <c r="P6" s="55" t="str">
        <f t="shared" si="1"/>
        <v/>
      </c>
      <c r="Q6" s="54" t="str" cm="1">
        <f t="array" ref="Q6">IF(A6="","",IFERROR(TRIM(INDEX(_xlfn.TEXTSPLIT(IFERROR(VLOOKUP(A6,'Production Schedule'!$B:$FU,150,FALSE),""),CHAR(10)),3)),""))</f>
        <v/>
      </c>
      <c r="R6" s="55" t="str">
        <f t="shared" si="2"/>
        <v/>
      </c>
      <c r="S6" s="54" t="str" cm="1">
        <f t="array" ref="S6">IF(A6="","",IFERROR(TRIM(INDEX(_xlfn.TEXTSPLIT(IFERROR(VLOOKUP(A6,'Production Schedule'!$B:$FU,150,FALSE),""),CHAR(10)),4)),""))</f>
        <v/>
      </c>
      <c r="T6" s="55" t="str">
        <f t="shared" si="3"/>
        <v/>
      </c>
      <c r="U6" s="54" t="str" cm="1">
        <f t="array" ref="U6">IF(A6="","",IFERROR(TRIM(INDEX(_xlfn.TEXTSPLIT(IFERROR(VLOOKUP(A6,'Production Schedule'!$B:$FU,150,FALSE),""),CHAR(10)),5)),""))</f>
        <v/>
      </c>
      <c r="V6" s="55" t="str">
        <f t="shared" si="4"/>
        <v/>
      </c>
      <c r="W6" s="54" t="str" cm="1">
        <f t="array" ref="W6">IF(A6="","",IFERROR(TRIM(INDEX(_xlfn.TEXTSPLIT(IFERROR(VLOOKUP(A6,'Production Schedule'!$B:$FU,150,FALSE),""),CHAR(10)),6)),""))</f>
        <v/>
      </c>
      <c r="X6" s="55" t="str">
        <f t="shared" si="5"/>
        <v/>
      </c>
      <c r="Y6" s="57">
        <f t="shared" si="6"/>
        <v>46077</v>
      </c>
      <c r="Z6" s="58" t="str">
        <f>IF(A6="","",IF(IFERROR(VLOOKUP(A6,Notes!A:B,2,FALSE),"")=0,"",VLOOKUP(A6,Notes!A:B,2,FALSE)))</f>
        <v>04/16/2026…7000 TubeLaser 20</v>
      </c>
      <c r="AA6" s="20">
        <f t="shared" si="7"/>
        <v>1</v>
      </c>
    </row>
    <row r="7" spans="1:28" x14ac:dyDescent="0.25">
      <c r="A7" s="50" t="str">
        <v>26014-03-ST02</v>
      </c>
      <c r="B7" s="50" t="str">
        <f>IF(A7="","",IFERROR(VLOOKUP(A7,'Production Schedule'!$B:$FU,3,FALSE),""))</f>
        <v>2026 R &amp; D</v>
      </c>
      <c r="C7" s="50" t="str">
        <f>IF(A7="","",IFERROR(VLOOKUP(A7,'Production Schedule'!$B:$FU,5,FALSE),""))</f>
        <v>TBC</v>
      </c>
      <c r="D7" s="50" t="str">
        <f>IF(A7="","",IFERROR(VLOOKUP(A7,'Production Schedule'!$B:$FU,7,FALSE),""))</f>
        <v>CUSTOM ARCH</v>
      </c>
      <c r="E7" s="50">
        <f>IF(A7="","",IFERROR(VLOOKUP(A7,'Production Schedule'!$B:$FU,17,FALSE),""))</f>
        <v>0</v>
      </c>
      <c r="F7" s="50">
        <f>IF(A7="","",IFERROR(VLOOKUP(A7,'Production Schedule'!$B:$FU,18,FALSE),""))</f>
        <v>9</v>
      </c>
      <c r="G7" s="50" t="str">
        <f>IF(A7="","",IFERROR(VLOOKUP(A7,'Production Schedule'!$B:$FU,25,FALSE),""))</f>
        <v>Alum Sheet</v>
      </c>
      <c r="H7" s="51">
        <f>IF(A7="","",IFERROR(VLOOKUP(A7,'Production Schedule'!$B:$FU,47,FALSE),""))</f>
        <v>46070.729668043983</v>
      </c>
      <c r="I7" s="51">
        <f>IF(A7="","",IFERROR(VLOOKUP(A7,'Production Schedule'!$B:$FU,54,FALSE),""))</f>
        <v>46080</v>
      </c>
      <c r="J7" s="53">
        <f>IF(A7="","",IFERROR(VLOOKUP(A7,'Production Schedule'!$B:$FU,135,FALSE),""))</f>
        <v>24</v>
      </c>
      <c r="K7" s="50" t="str">
        <f>IF(A7="","",IFERROR(VLOOKUP(A7,'Production Schedule'!$B:$FU,59,FALSE),""))</f>
        <v>YES</v>
      </c>
      <c r="L7" s="49" t="str">
        <f>IF(A7="","",IFERROR(VLOOKUP(A7,'Production Schedule'!$B:$FU,80,FALSE),""))</f>
        <v>TruLaser 3040</v>
      </c>
      <c r="M7" s="54" t="str" cm="1">
        <f t="array" ref="M7">IF(A7="","",IFERROR(TRIM(INDEX(_xlfn.TEXTSPLIT(IFERROR(VLOOKUP(A7,'Production Schedule'!$B:$FU,150,FALSE),""),CHAR(10)),1)),""))</f>
        <v>7000 TruMatic</v>
      </c>
      <c r="N7" s="55">
        <f t="shared" si="0"/>
        <v>46045</v>
      </c>
      <c r="O7" s="56" t="str" cm="1">
        <f t="array" ref="O7">IF(A7="","",IFERROR(TRIM(INDEX(_xlfn.TEXTSPLIT(IFERROR(VLOOKUP(A7,'Production Schedule'!$B:$FU,150,FALSE),""),CHAR(10)),2)),""))</f>
        <v>Brake</v>
      </c>
      <c r="P7" s="55">
        <f t="shared" si="1"/>
        <v>46056</v>
      </c>
      <c r="Q7" s="54" t="str" cm="1">
        <f t="array" ref="Q7">IF(A7="","",IFERROR(TRIM(INDEX(_xlfn.TEXTSPLIT(IFERROR(VLOOKUP(A7,'Production Schedule'!$B:$FU,150,FALSE),""),CHAR(10)),3)),""))</f>
        <v>Weld</v>
      </c>
      <c r="R7" s="55">
        <f t="shared" si="2"/>
        <v>46066</v>
      </c>
      <c r="S7" s="54" t="str" cm="1">
        <f t="array" ref="S7">IF(A7="","",IFERROR(TRIM(INDEX(_xlfn.TEXTSPLIT(IFERROR(VLOOKUP(A7,'Production Schedule'!$B:$FU,150,FALSE),""),CHAR(10)),4)),""))</f>
        <v/>
      </c>
      <c r="T7" s="55" t="str">
        <f t="shared" si="3"/>
        <v/>
      </c>
      <c r="U7" s="54" t="str" cm="1">
        <f t="array" ref="U7">IF(A7="","",IFERROR(TRIM(INDEX(_xlfn.TEXTSPLIT(IFERROR(VLOOKUP(A7,'Production Schedule'!$B:$FU,150,FALSE),""),CHAR(10)),5)),""))</f>
        <v/>
      </c>
      <c r="V7" s="55" t="str">
        <f t="shared" si="4"/>
        <v/>
      </c>
      <c r="W7" s="54" t="str" cm="1">
        <f t="array" ref="W7">IF(A7="","",IFERROR(TRIM(INDEX(_xlfn.TEXTSPLIT(IFERROR(VLOOKUP(A7,'Production Schedule'!$B:$FU,150,FALSE),""),CHAR(10)),6)),""))</f>
        <v/>
      </c>
      <c r="X7" s="55" t="str">
        <f t="shared" si="5"/>
        <v/>
      </c>
      <c r="Y7" s="57">
        <f t="shared" si="6"/>
        <v>46078</v>
      </c>
      <c r="Z7" s="58" t="str">
        <f>IF(A7="","",IF(IFERROR(VLOOKUP(A7,Notes!A:B,2,FALSE),"")=0,"",VLOOKUP(A7,Notes!A:B,2,FALSE)))</f>
        <v>04/16/2026…TruLaser 3040</v>
      </c>
      <c r="AA7" s="18">
        <f t="shared" si="7"/>
        <v>1</v>
      </c>
    </row>
    <row r="8" spans="1:28" x14ac:dyDescent="0.25">
      <c r="A8" s="50" t="str">
        <v>26014-03-ST02.1</v>
      </c>
      <c r="B8" s="50" t="str">
        <f>IF(A8="","",IFERROR(VLOOKUP(A8,'Production Schedule'!$B:$FU,3,FALSE),""))</f>
        <v>2026 R &amp; D</v>
      </c>
      <c r="C8" s="50" t="str">
        <f>IF(A8="","",IFERROR(VLOOKUP(A8,'Production Schedule'!$B:$FU,5,FALSE),""))</f>
        <v>TBC</v>
      </c>
      <c r="D8" s="50" t="str">
        <f>IF(A8="","",IFERROR(VLOOKUP(A8,'Production Schedule'!$B:$FU,7,FALSE),""))</f>
        <v>CUSTOM ARCH</v>
      </c>
      <c r="E8" s="50">
        <f>IF(A8="","",IFERROR(VLOOKUP(A8,'Production Schedule'!$B:$FU,17,FALSE),""))</f>
        <v>0</v>
      </c>
      <c r="F8" s="50">
        <f>IF(A8="","",IFERROR(VLOOKUP(A8,'Production Schedule'!$B:$FU,18,FALSE),""))</f>
        <v>10</v>
      </c>
      <c r="G8" s="50" t="str">
        <f>IF(A8="","",IFERROR(VLOOKUP(A8,'Production Schedule'!$B:$FU,25,FALSE),""))</f>
        <v>Alum Pipe</v>
      </c>
      <c r="H8" s="51">
        <f>IF(A8="","",IFERROR(VLOOKUP(A8,'Production Schedule'!$B:$FU,47,FALSE),""))</f>
        <v>46070.732139872685</v>
      </c>
      <c r="I8" s="51">
        <f>IF(A8="","",IFERROR(VLOOKUP(A8,'Production Schedule'!$B:$FU,54,FALSE),""))</f>
        <v>46080</v>
      </c>
      <c r="J8" s="53">
        <f>IF(A8="","",IFERROR(VLOOKUP(A8,'Production Schedule'!$B:$FU,135,FALSE),""))</f>
        <v>2</v>
      </c>
      <c r="K8" s="50" t="str">
        <f>IF(A8="","",IFERROR(VLOOKUP(A8,'Production Schedule'!$B:$FU,59,FALSE),""))</f>
        <v>YES</v>
      </c>
      <c r="L8" s="49" t="str">
        <f>IF(A8="","",IFERROR(VLOOKUP(A8,'Production Schedule'!$B:$FU,80,FALSE),""))</f>
        <v>7000 TubeLaser 20</v>
      </c>
      <c r="M8" s="54" t="str" cm="1">
        <f t="array" ref="M8">IF(A8="","",IFERROR(TRIM(INDEX(_xlfn.TEXTSPLIT(IFERROR(VLOOKUP(A8,'Production Schedule'!$B:$FU,150,FALSE),""),CHAR(10)),1)),""))</f>
        <v>Tube Laser</v>
      </c>
      <c r="N8" s="55">
        <f t="shared" si="0"/>
        <v>46056</v>
      </c>
      <c r="O8" s="56" t="str" cm="1">
        <f t="array" ref="O8">IF(A8="","",IFERROR(TRIM(INDEX(_xlfn.TEXTSPLIT(IFERROR(VLOOKUP(A8,'Production Schedule'!$B:$FU,150,FALSE),""),CHAR(10)),2)),""))</f>
        <v>Weld</v>
      </c>
      <c r="P8" s="55">
        <f t="shared" si="1"/>
        <v>46066</v>
      </c>
      <c r="Q8" s="54" t="str" cm="1">
        <f t="array" ref="Q8">IF(A8="","",IFERROR(TRIM(INDEX(_xlfn.TEXTSPLIT(IFERROR(VLOOKUP(A8,'Production Schedule'!$B:$FU,150,FALSE),""),CHAR(10)),3)),""))</f>
        <v/>
      </c>
      <c r="R8" s="55" t="str">
        <f t="shared" si="2"/>
        <v/>
      </c>
      <c r="S8" s="54" t="str" cm="1">
        <f t="array" ref="S8">IF(A8="","",IFERROR(TRIM(INDEX(_xlfn.TEXTSPLIT(IFERROR(VLOOKUP(A8,'Production Schedule'!$B:$FU,150,FALSE),""),CHAR(10)),4)),""))</f>
        <v/>
      </c>
      <c r="T8" s="55" t="str">
        <f t="shared" si="3"/>
        <v/>
      </c>
      <c r="U8" s="54" t="str" cm="1">
        <f t="array" ref="U8">IF(A8="","",IFERROR(TRIM(INDEX(_xlfn.TEXTSPLIT(IFERROR(VLOOKUP(A8,'Production Schedule'!$B:$FU,150,FALSE),""),CHAR(10)),5)),""))</f>
        <v/>
      </c>
      <c r="V8" s="55" t="str">
        <f t="shared" si="4"/>
        <v/>
      </c>
      <c r="W8" s="54" t="str" cm="1">
        <f t="array" ref="W8">IF(A8="","",IFERROR(TRIM(INDEX(_xlfn.TEXTSPLIT(IFERROR(VLOOKUP(A8,'Production Schedule'!$B:$FU,150,FALSE),""),CHAR(10)),6)),""))</f>
        <v/>
      </c>
      <c r="X8" s="55" t="str">
        <f t="shared" si="5"/>
        <v/>
      </c>
      <c r="Y8" s="57">
        <f t="shared" si="6"/>
        <v>46078</v>
      </c>
      <c r="Z8" s="58" t="str">
        <f>IF(A8="","",IF(IFERROR(VLOOKUP(A8,Notes!A:B,2,FALSE),"")=0,"",VLOOKUP(A8,Notes!A:B,2,FALSE)))</f>
        <v>04/16/2026…7000 TubeLaser 20</v>
      </c>
      <c r="AA8" s="20">
        <f t="shared" si="7"/>
        <v>1</v>
      </c>
    </row>
    <row r="9" spans="1:28" x14ac:dyDescent="0.25">
      <c r="A9" s="50" t="str">
        <v>26014-03-ST03</v>
      </c>
      <c r="B9" s="50" t="str">
        <f>IF(A9="","",IFERROR(VLOOKUP(A9,'Production Schedule'!$B:$FU,3,FALSE),""))</f>
        <v>2026 R &amp; D</v>
      </c>
      <c r="C9" s="50" t="str">
        <f>IF(A9="","",IFERROR(VLOOKUP(A9,'Production Schedule'!$B:$FU,5,FALSE),""))</f>
        <v>TBC</v>
      </c>
      <c r="D9" s="50" t="str">
        <f>IF(A9="","",IFERROR(VLOOKUP(A9,'Production Schedule'!$B:$FU,7,FALSE),""))</f>
        <v>CUSTOM ARCH</v>
      </c>
      <c r="E9" s="50">
        <f>IF(A9="","",IFERROR(VLOOKUP(A9,'Production Schedule'!$B:$FU,17,FALSE),""))</f>
        <v>0</v>
      </c>
      <c r="F9" s="50">
        <f>IF(A9="","",IFERROR(VLOOKUP(A9,'Production Schedule'!$B:$FU,18,FALSE),""))</f>
        <v>8</v>
      </c>
      <c r="G9" s="50" t="str">
        <f>IF(A9="","",IFERROR(VLOOKUP(A9,'Production Schedule'!$B:$FU,25,FALSE),""))</f>
        <v>SS Angle</v>
      </c>
      <c r="H9" s="51">
        <f>IF(A9="","",IFERROR(VLOOKUP(A9,'Production Schedule'!$B:$FU,47,FALSE),""))</f>
        <v>46070.744797847219</v>
      </c>
      <c r="I9" s="51">
        <f>IF(A9="","",IFERROR(VLOOKUP(A9,'Production Schedule'!$B:$FU,54,FALSE),""))</f>
        <v>46080</v>
      </c>
      <c r="J9" s="53">
        <f>IF(A9="","",IFERROR(VLOOKUP(A9,'Production Schedule'!$B:$FU,135,FALSE),""))</f>
        <v>12</v>
      </c>
      <c r="K9" s="50" t="str">
        <f>IF(A9="","",IFERROR(VLOOKUP(A9,'Production Schedule'!$B:$FU,59,FALSE),""))</f>
        <v>YES</v>
      </c>
      <c r="L9" s="50" t="str">
        <f>IF(A9="","",IFERROR(VLOOKUP(A9,'Production Schedule'!$B:$FU,80,FALSE),""))</f>
        <v>7000 TubeLaser 20</v>
      </c>
      <c r="M9" s="54" t="str" cm="1">
        <f t="array" ref="M9">IF(A9="","",IFERROR(TRIM(INDEX(_xlfn.TEXTSPLIT(IFERROR(VLOOKUP(A9,'Production Schedule'!$B:$FU,150,FALSE),""),CHAR(10)),1)),""))</f>
        <v>Tube Laser</v>
      </c>
      <c r="N9" s="55">
        <f t="shared" si="0"/>
        <v>46056</v>
      </c>
      <c r="O9" s="54" t="str" cm="1">
        <f t="array" ref="O9">IF(A9="","",IFERROR(TRIM(INDEX(_xlfn.TEXTSPLIT(IFERROR(VLOOKUP(A9,'Production Schedule'!$B:$FU,150,FALSE),""),CHAR(10)),2)),""))</f>
        <v>Weld</v>
      </c>
      <c r="P9" s="55">
        <f t="shared" si="1"/>
        <v>46066</v>
      </c>
      <c r="Q9" s="56" t="str" cm="1">
        <f t="array" ref="Q9">IF(A9="","",IFERROR(TRIM(INDEX(_xlfn.TEXTSPLIT(IFERROR(VLOOKUP(A9,'Production Schedule'!$B:$FU,150,FALSE),""),CHAR(10)),3)),""))</f>
        <v/>
      </c>
      <c r="R9" s="55" t="str">
        <f t="shared" si="2"/>
        <v/>
      </c>
      <c r="S9" s="54" t="str" cm="1">
        <f t="array" ref="S9">IF(A9="","",IFERROR(TRIM(INDEX(_xlfn.TEXTSPLIT(IFERROR(VLOOKUP(A9,'Production Schedule'!$B:$FU,150,FALSE),""),CHAR(10)),4)),""))</f>
        <v/>
      </c>
      <c r="T9" s="55" t="str">
        <f t="shared" si="3"/>
        <v/>
      </c>
      <c r="U9" s="54" t="str" cm="1">
        <f t="array" ref="U9">IF(A9="","",IFERROR(TRIM(INDEX(_xlfn.TEXTSPLIT(IFERROR(VLOOKUP(A9,'Production Schedule'!$B:$FU,150,FALSE),""),CHAR(10)),5)),""))</f>
        <v/>
      </c>
      <c r="V9" s="55" t="str">
        <f t="shared" si="4"/>
        <v/>
      </c>
      <c r="W9" s="54" t="str" cm="1">
        <f t="array" ref="W9">IF(A9="","",IFERROR(TRIM(INDEX(_xlfn.TEXTSPLIT(IFERROR(VLOOKUP(A9,'Production Schedule'!$B:$FU,150,FALSE),""),CHAR(10)),6)),""))</f>
        <v/>
      </c>
      <c r="X9" s="55" t="str">
        <f t="shared" si="5"/>
        <v/>
      </c>
      <c r="Y9" s="57">
        <f t="shared" si="6"/>
        <v>46078</v>
      </c>
      <c r="Z9" s="58" t="str">
        <f>IF(A9="","",IF(IFERROR(VLOOKUP(A9,Notes!A:B,2,FALSE),"")=0,"",VLOOKUP(A9,Notes!A:B,2,FALSE)))</f>
        <v>04/16/2026…7000 TubeLaser 20</v>
      </c>
      <c r="AA9" s="18">
        <f t="shared" si="7"/>
        <v>1</v>
      </c>
    </row>
    <row r="10" spans="1:28" x14ac:dyDescent="0.25">
      <c r="A10" s="50" t="str">
        <v>26014-03-ST03.1</v>
      </c>
      <c r="B10" s="50" t="str">
        <f>IF(A10="","",IFERROR(VLOOKUP(A10,'Production Schedule'!$B:$FU,3,FALSE),""))</f>
        <v>2026 R &amp; D</v>
      </c>
      <c r="C10" s="50" t="str">
        <f>IF(A10="","",IFERROR(VLOOKUP(A10,'Production Schedule'!$B:$FU,5,FALSE),""))</f>
        <v>TBC</v>
      </c>
      <c r="D10" s="50" t="str">
        <f>IF(A10="","",IFERROR(VLOOKUP(A10,'Production Schedule'!$B:$FU,7,FALSE),""))</f>
        <v>CUSTOM ARCH</v>
      </c>
      <c r="E10" s="50">
        <f>IF(A10="","",IFERROR(VLOOKUP(A10,'Production Schedule'!$B:$FU,17,FALSE),""))</f>
        <v>0</v>
      </c>
      <c r="F10" s="50">
        <f>IF(A10="","",IFERROR(VLOOKUP(A10,'Production Schedule'!$B:$FU,18,FALSE),""))</f>
        <v>6</v>
      </c>
      <c r="G10" s="50" t="str">
        <f>IF(A10="","",IFERROR(VLOOKUP(A10,'Production Schedule'!$B:$FU,25,FALSE),""))</f>
        <v>SS Sheet</v>
      </c>
      <c r="H10" s="51">
        <f>IF(A10="","",IFERROR(VLOOKUP(A10,'Production Schedule'!$B:$FU,47,FALSE),""))</f>
        <v>46070.748183807867</v>
      </c>
      <c r="I10" s="51">
        <f>IF(A10="","",IFERROR(VLOOKUP(A10,'Production Schedule'!$B:$FU,54,FALSE),""))</f>
        <v>46080</v>
      </c>
      <c r="J10" s="53">
        <f>IF(A10="","",IFERROR(VLOOKUP(A10,'Production Schedule'!$B:$FU,135,FALSE),""))</f>
        <v>3</v>
      </c>
      <c r="K10" s="50" t="str">
        <f>IF(A10="","",IFERROR(VLOOKUP(A10,'Production Schedule'!$B:$FU,59,FALSE),""))</f>
        <v>YES</v>
      </c>
      <c r="L10" s="49" t="str">
        <f>IF(A10="","",IFERROR(VLOOKUP(A10,'Production Schedule'!$B:$FU,80,FALSE),""))</f>
        <v>TruLaser 3040</v>
      </c>
      <c r="M10" s="54" t="str" cm="1">
        <f t="array" ref="M10">IF(A10="","",IFERROR(TRIM(INDEX(_xlfn.TEXTSPLIT(IFERROR(VLOOKUP(A10,'Production Schedule'!$B:$FU,150,FALSE),""),CHAR(10)),1)),""))</f>
        <v>Brake</v>
      </c>
      <c r="N10" s="55">
        <f t="shared" si="0"/>
        <v>46045</v>
      </c>
      <c r="O10" s="56" t="str" cm="1">
        <f t="array" ref="O10">IF(A10="","",IFERROR(TRIM(INDEX(_xlfn.TEXTSPLIT(IFERROR(VLOOKUP(A10,'Production Schedule'!$B:$FU,150,FALSE),""),CHAR(10)),2)),""))</f>
        <v>TruLaser 3040</v>
      </c>
      <c r="P10" s="55">
        <f t="shared" si="1"/>
        <v>46056</v>
      </c>
      <c r="Q10" s="54" t="str" cm="1">
        <f t="array" ref="Q10">IF(A10="","",IFERROR(TRIM(INDEX(_xlfn.TEXTSPLIT(IFERROR(VLOOKUP(A10,'Production Schedule'!$B:$FU,150,FALSE),""),CHAR(10)),3)),""))</f>
        <v>Weld</v>
      </c>
      <c r="R10" s="55">
        <f t="shared" si="2"/>
        <v>46066</v>
      </c>
      <c r="S10" s="54" t="str" cm="1">
        <f t="array" ref="S10">IF(A10="","",IFERROR(TRIM(INDEX(_xlfn.TEXTSPLIT(IFERROR(VLOOKUP(A10,'Production Schedule'!$B:$FU,150,FALSE),""),CHAR(10)),4)),""))</f>
        <v/>
      </c>
      <c r="T10" s="55" t="str">
        <f t="shared" si="3"/>
        <v/>
      </c>
      <c r="U10" s="54" t="str" cm="1">
        <f t="array" ref="U10">IF(A10="","",IFERROR(TRIM(INDEX(_xlfn.TEXTSPLIT(IFERROR(VLOOKUP(A10,'Production Schedule'!$B:$FU,150,FALSE),""),CHAR(10)),5)),""))</f>
        <v/>
      </c>
      <c r="V10" s="55" t="str">
        <f t="shared" si="4"/>
        <v/>
      </c>
      <c r="W10" s="54" t="str" cm="1">
        <f t="array" ref="W10">IF(A10="","",IFERROR(TRIM(INDEX(_xlfn.TEXTSPLIT(IFERROR(VLOOKUP(A10,'Production Schedule'!$B:$FU,150,FALSE),""),CHAR(10)),6)),""))</f>
        <v/>
      </c>
      <c r="X10" s="55" t="str">
        <f t="shared" si="5"/>
        <v/>
      </c>
      <c r="Y10" s="57">
        <f t="shared" si="6"/>
        <v>46078</v>
      </c>
      <c r="Z10" s="58" t="str">
        <f>IF(A10="","",IF(IFERROR(VLOOKUP(A10,Notes!A:B,2,FALSE),"")=0,"",VLOOKUP(A10,Notes!A:B,2,FALSE)))</f>
        <v>04/16/2026…TruLaser 3040</v>
      </c>
      <c r="AA10" s="20">
        <f t="shared" si="7"/>
        <v>1</v>
      </c>
    </row>
    <row r="11" spans="1:28" x14ac:dyDescent="0.25">
      <c r="A11" s="50" t="str">
        <v>25002-FS11.1</v>
      </c>
      <c r="B11" s="50" t="str">
        <f>IF(A11="","",IFERROR(VLOOKUP(A11,'Production Schedule'!$B:$FU,3,FALSE),""))</f>
        <v>Med Center Health</v>
      </c>
      <c r="C11" s="50" t="str">
        <f>IF(A11="","",IFERROR(VLOOKUP(A11,'Production Schedule'!$B:$FU,5,FALSE),""))</f>
        <v>Carlos Silva</v>
      </c>
      <c r="D11" s="50">
        <f>IF(A11="","",IFERROR(VLOOKUP(A11,'Production Schedule'!$B:$FU,7,FALSE),""))</f>
        <v>600</v>
      </c>
      <c r="E11" s="50">
        <f>IF(A11="","",IFERROR(VLOOKUP(A11,'Production Schedule'!$B:$FU,17,FALSE),""))</f>
        <v>18</v>
      </c>
      <c r="F11" s="50">
        <f>IF(A11="","",IFERROR(VLOOKUP(A11,'Production Schedule'!$B:$FU,18,FALSE),""))</f>
        <v>18</v>
      </c>
      <c r="G11" s="50" t="str">
        <f>IF(A11="","",IFERROR(VLOOKUP(A11,'Production Schedule'!$B:$FU,25,FALSE),""))</f>
        <v>FR ACM</v>
      </c>
      <c r="H11" s="51">
        <f>IF(A11="","",IFERROR(VLOOKUP(A11,'Production Schedule'!$B:$FU,47,FALSE),""))</f>
        <v>46058.420464027775</v>
      </c>
      <c r="I11" s="51">
        <f>IF(A11="","",IFERROR(VLOOKUP(A11,'Production Schedule'!$B:$FU,54,FALSE),""))</f>
        <v>46083</v>
      </c>
      <c r="J11" s="53">
        <f>IF(A11="","",IFERROR(VLOOKUP(A11,'Production Schedule'!$B:$FU,135,FALSE),""))</f>
        <v>20</v>
      </c>
      <c r="K11" s="50" t="str">
        <f>IF(A11="","",IFERROR(VLOOKUP(A11,'Production Schedule'!$B:$FU,59,FALSE),""))</f>
        <v>YES</v>
      </c>
      <c r="L11" s="49" t="str">
        <f>IF(A11="","",IFERROR(VLOOKUP(A11,'Production Schedule'!$B:$FU,80,FALSE),""))</f>
        <v>Clean and Brake</v>
      </c>
      <c r="M11" s="54" t="str" cm="1">
        <f t="array" ref="M11">IF(A11="","",IFERROR(TRIM(INDEX(_xlfn.TEXTSPLIT(IFERROR(VLOOKUP(A11,'Production Schedule'!$B:$FU,150,FALSE),""),CHAR(10)),1)),""))</f>
        <v>AXYZ Titans Line</v>
      </c>
      <c r="N11" s="55">
        <f t="shared" si="0"/>
        <v>46058</v>
      </c>
      <c r="O11" s="54" t="str" cm="1">
        <f t="array" ref="O11">IF(A11="","",IFERROR(TRIM(INDEX(_xlfn.TEXTSPLIT(IFERROR(VLOOKUP(A11,'Production Schedule'!$B:$FU,150,FALSE),""),CHAR(10)),2)),""))</f>
        <v>Clean and Brake</v>
      </c>
      <c r="P11" s="55">
        <f t="shared" si="1"/>
        <v>46059</v>
      </c>
      <c r="Q11" s="54" t="str" cm="1">
        <f t="array" ref="Q11">IF(A11="","",IFERROR(TRIM(INDEX(_xlfn.TEXTSPLIT(IFERROR(VLOOKUP(A11,'Production Schedule'!$B:$FU,150,FALSE),""),CHAR(10)),3)),""))</f>
        <v>Fab</v>
      </c>
      <c r="R11" s="55">
        <f t="shared" si="2"/>
        <v>46070</v>
      </c>
      <c r="S11" s="56" t="str" cm="1">
        <f t="array" ref="S11">IF(A11="","",IFERROR(TRIM(INDEX(_xlfn.TEXTSPLIT(IFERROR(VLOOKUP(A11,'Production Schedule'!$B:$FU,150,FALSE),""),CHAR(10)),4)),""))</f>
        <v/>
      </c>
      <c r="T11" s="55" t="str">
        <f t="shared" si="3"/>
        <v/>
      </c>
      <c r="U11" s="54" t="str" cm="1">
        <f t="array" ref="U11">IF(A11="","",IFERROR(TRIM(INDEX(_xlfn.TEXTSPLIT(IFERROR(VLOOKUP(A11,'Production Schedule'!$B:$FU,150,FALSE),""),CHAR(10)),5)),""))</f>
        <v/>
      </c>
      <c r="V11" s="55" t="str">
        <f t="shared" si="4"/>
        <v/>
      </c>
      <c r="W11" s="54" t="str" cm="1">
        <f t="array" ref="W11">IF(A11="","",IFERROR(TRIM(INDEX(_xlfn.TEXTSPLIT(IFERROR(VLOOKUP(A11,'Production Schedule'!$B:$FU,150,FALSE),""),CHAR(10)),6)),""))</f>
        <v/>
      </c>
      <c r="X11" s="55" t="str">
        <f t="shared" si="5"/>
        <v/>
      </c>
      <c r="Y11" s="57">
        <f t="shared" si="6"/>
        <v>46080</v>
      </c>
      <c r="Z11" s="58" t="str">
        <f>IF(A11="","",IF(IFERROR(VLOOKUP(A11,Notes!A:B,2,FALSE),"")=0,"",VLOOKUP(A11,Notes!A:B,2,FALSE)))</f>
        <v>Received Radius Templete, waiting for Roller Maint.**03/23 Roller should be back up this morning*03/24 Roller still down AM*03/26…C&amp;B*03/27…Still at C&amp;B needs to roll then back to C&amp;B*03/31…No Update*04/02…Roller still down.*04/09…Roller still down.*04/16/2026…Clean and Brake</v>
      </c>
      <c r="AA11" s="18">
        <f t="shared" si="7"/>
        <v>1</v>
      </c>
    </row>
    <row r="12" spans="1:28" x14ac:dyDescent="0.25">
      <c r="A12" s="50" t="str">
        <v>25029-MU02</v>
      </c>
      <c r="B12" s="50" t="str">
        <f>IF(A12="","",IFERROR(VLOOKUP(A12,'Production Schedule'!$B:$FU,3,FALSE),""))</f>
        <v>Lourdes CC Phase 2</v>
      </c>
      <c r="C12" s="50" t="str">
        <f>IF(A12="","",IFERROR(VLOOKUP(A12,'Production Schedule'!$B:$FU,5,FALSE),""))</f>
        <v>Dillon Bowman</v>
      </c>
      <c r="D12" s="50" t="str">
        <f>IF(A12="","",IFERROR(VLOOKUP(A12,'Production Schedule'!$B:$FU,7,FALSE),""))</f>
        <v>CUSTOM ARCH</v>
      </c>
      <c r="E12" s="50">
        <f>IF(A12="","",IFERROR(VLOOKUP(A12,'Production Schedule'!$B:$FU,17,FALSE),""))</f>
        <v>1</v>
      </c>
      <c r="F12" s="50">
        <f>IF(A12="","",IFERROR(VLOOKUP(A12,'Production Schedule'!$B:$FU,18,FALSE),""))</f>
        <v>1</v>
      </c>
      <c r="G12" s="50" t="str">
        <f>IF(A12="","",IFERROR(VLOOKUP(A12,'Production Schedule'!$B:$FU,25,FALSE),""))</f>
        <v>Alum Sheet</v>
      </c>
      <c r="H12" s="51">
        <f>IF(A12="","",IFERROR(VLOOKUP(A12,'Production Schedule'!$B:$FU,47,FALSE),""))</f>
        <v>46084.612017789354</v>
      </c>
      <c r="I12" s="51">
        <f>IF(A12="","",IFERROR(VLOOKUP(A12,'Production Schedule'!$B:$FU,54,FALSE),""))</f>
        <v>46094</v>
      </c>
      <c r="J12" s="53">
        <f>IF(A12="","",IFERROR(VLOOKUP(A12,'Production Schedule'!$B:$FU,135,FALSE),""))</f>
        <v>2</v>
      </c>
      <c r="K12" s="50" t="str">
        <f>IF(A12="","",IFERROR(VLOOKUP(A12,'Production Schedule'!$B:$FU,59,FALSE),""))</f>
        <v>YES</v>
      </c>
      <c r="L12" s="50" t="str">
        <f>IF(A12="","",IFERROR(VLOOKUP(A12,'Production Schedule'!$B:$FU,80,FALSE),""))</f>
        <v>TruLaser 3040</v>
      </c>
      <c r="M12" s="54" t="str" cm="1">
        <f t="array" ref="M12">IF(A12="","",IFERROR(TRIM(INDEX(_xlfn.TEXTSPLIT(IFERROR(VLOOKUP(A12,'Production Schedule'!$B:$FU,150,FALSE),""),CHAR(10)),1)),""))</f>
        <v>TruLaser 3040</v>
      </c>
      <c r="N12" s="55">
        <f t="shared" si="0"/>
        <v>46081</v>
      </c>
      <c r="O12" s="54" t="str" cm="1">
        <f t="array" ref="O12">IF(A12="","",IFERROR(TRIM(INDEX(_xlfn.TEXTSPLIT(IFERROR(VLOOKUP(A12,'Production Schedule'!$B:$FU,150,FALSE),""),CHAR(10)),2)),""))</f>
        <v/>
      </c>
      <c r="P12" s="55" t="str">
        <f t="shared" si="1"/>
        <v/>
      </c>
      <c r="Q12" s="56" t="str" cm="1">
        <f t="array" ref="Q12">IF(A12="","",IFERROR(TRIM(INDEX(_xlfn.TEXTSPLIT(IFERROR(VLOOKUP(A12,'Production Schedule'!$B:$FU,150,FALSE),""),CHAR(10)),3)),""))</f>
        <v/>
      </c>
      <c r="R12" s="55" t="str">
        <f t="shared" si="2"/>
        <v/>
      </c>
      <c r="S12" s="54" t="str" cm="1">
        <f t="array" ref="S12">IF(A12="","",IFERROR(TRIM(INDEX(_xlfn.TEXTSPLIT(IFERROR(VLOOKUP(A12,'Production Schedule'!$B:$FU,150,FALSE),""),CHAR(10)),4)),""))</f>
        <v/>
      </c>
      <c r="T12" s="55" t="str">
        <f t="shared" si="3"/>
        <v/>
      </c>
      <c r="U12" s="54" t="str" cm="1">
        <f t="array" ref="U12">IF(A12="","",IFERROR(TRIM(INDEX(_xlfn.TEXTSPLIT(IFERROR(VLOOKUP(A12,'Production Schedule'!$B:$FU,150,FALSE),""),CHAR(10)),5)),""))</f>
        <v/>
      </c>
      <c r="V12" s="55" t="str">
        <f t="shared" si="4"/>
        <v/>
      </c>
      <c r="W12" s="54" t="str" cm="1">
        <f t="array" ref="W12">IF(A12="","",IFERROR(TRIM(INDEX(_xlfn.TEXTSPLIT(IFERROR(VLOOKUP(A12,'Production Schedule'!$B:$FU,150,FALSE),""),CHAR(10)),6)),""))</f>
        <v/>
      </c>
      <c r="X12" s="55" t="str">
        <f t="shared" si="5"/>
        <v/>
      </c>
      <c r="Y12" s="57">
        <f t="shared" si="6"/>
        <v>46092</v>
      </c>
      <c r="Z12" s="58" t="str">
        <f>IF(A12="","",IF(IFERROR(VLOOKUP(A12,Notes!A:B,2,FALSE),"")=0,"",VLOOKUP(A12,Notes!A:B,2,FALSE)))</f>
        <v>04/16/2026…TruLaser 3040</v>
      </c>
      <c r="AA12" s="20">
        <f t="shared" si="7"/>
        <v>1</v>
      </c>
    </row>
    <row r="13" spans="1:28" x14ac:dyDescent="0.25">
      <c r="A13" s="50" t="str">
        <v>25029-MU03</v>
      </c>
      <c r="B13" s="50" t="str">
        <f>IF(A13="","",IFERROR(VLOOKUP(A13,'Production Schedule'!$B:$FU,3,FALSE),""))</f>
        <v>Lourdes CC Phase 2</v>
      </c>
      <c r="C13" s="50" t="str">
        <f>IF(A13="","",IFERROR(VLOOKUP(A13,'Production Schedule'!$B:$FU,5,FALSE),""))</f>
        <v>Dillon Bowman</v>
      </c>
      <c r="D13" s="50" t="str">
        <f>IF(A13="","",IFERROR(VLOOKUP(A13,'Production Schedule'!$B:$FU,7,FALSE),""))</f>
        <v>CUSTOM ARCH</v>
      </c>
      <c r="E13" s="50">
        <f>IF(A13="","",IFERROR(VLOOKUP(A13,'Production Schedule'!$B:$FU,17,FALSE),""))</f>
        <v>0</v>
      </c>
      <c r="F13" s="50">
        <f>IF(A13="","",IFERROR(VLOOKUP(A13,'Production Schedule'!$B:$FU,18,FALSE),""))</f>
        <v>2</v>
      </c>
      <c r="G13" s="50" t="str">
        <f>IF(A13="","",IFERROR(VLOOKUP(A13,'Production Schedule'!$B:$FU,25,FALSE),""))</f>
        <v>Steel Sheet</v>
      </c>
      <c r="H13" s="51">
        <f>IF(A13="","",IFERROR(VLOOKUP(A13,'Production Schedule'!$B:$FU,47,FALSE),""))</f>
        <v>46092.34184335648</v>
      </c>
      <c r="I13" s="51">
        <f>IF(A13="","",IFERROR(VLOOKUP(A13,'Production Schedule'!$B:$FU,54,FALSE),""))</f>
        <v>46094</v>
      </c>
      <c r="J13" s="53">
        <f>IF(A13="","",IFERROR(VLOOKUP(A13,'Production Schedule'!$B:$FU,135,FALSE),""))</f>
        <v>2</v>
      </c>
      <c r="K13" s="50" t="str">
        <f>IF(A13="","",IFERROR(VLOOKUP(A13,'Production Schedule'!$B:$FU,59,FALSE),""))</f>
        <v>YES</v>
      </c>
      <c r="L13" s="52" t="str">
        <f>IF(A13="","",IFERROR(VLOOKUP(A13,'Production Schedule'!$B:$FU,80,FALSE),""))</f>
        <v>TruLaser 3040</v>
      </c>
      <c r="M13" s="54" t="str" cm="1">
        <f t="array" ref="M13">IF(A13="","",IFERROR(TRIM(INDEX(_xlfn.TEXTSPLIT(IFERROR(VLOOKUP(A13,'Production Schedule'!$B:$FU,150,FALSE),""),CHAR(10)),1)),""))</f>
        <v>TruLaser 3040</v>
      </c>
      <c r="N13" s="55">
        <f t="shared" si="0"/>
        <v>46070</v>
      </c>
      <c r="O13" s="54" t="str" cm="1">
        <f t="array" ref="O13">IF(A13="","",IFERROR(TRIM(INDEX(_xlfn.TEXTSPLIT(IFERROR(VLOOKUP(A13,'Production Schedule'!$B:$FU,150,FALSE),""),CHAR(10)),2)),""))</f>
        <v>Weld</v>
      </c>
      <c r="P13" s="55">
        <f t="shared" si="1"/>
        <v>46080</v>
      </c>
      <c r="Q13" s="54" t="str" cm="1">
        <f t="array" ref="Q13">IF(A13="","",IFERROR(TRIM(INDEX(_xlfn.TEXTSPLIT(IFERROR(VLOOKUP(A13,'Production Schedule'!$B:$FU,150,FALSE),""),CHAR(10)),3)),""))</f>
        <v/>
      </c>
      <c r="R13" s="55" t="str">
        <f t="shared" si="2"/>
        <v/>
      </c>
      <c r="S13" s="54" t="str" cm="1">
        <f t="array" ref="S13">IF(A13="","",IFERROR(TRIM(INDEX(_xlfn.TEXTSPLIT(IFERROR(VLOOKUP(A13,'Production Schedule'!$B:$FU,150,FALSE),""),CHAR(10)),4)),""))</f>
        <v/>
      </c>
      <c r="T13" s="55" t="str">
        <f t="shared" si="3"/>
        <v/>
      </c>
      <c r="U13" s="54" t="str" cm="1">
        <f t="array" ref="U13">IF(A13="","",IFERROR(TRIM(INDEX(_xlfn.TEXTSPLIT(IFERROR(VLOOKUP(A13,'Production Schedule'!$B:$FU,150,FALSE),""),CHAR(10)),5)),""))</f>
        <v/>
      </c>
      <c r="V13" s="55" t="str">
        <f t="shared" si="4"/>
        <v/>
      </c>
      <c r="W13" s="54" t="str" cm="1">
        <f t="array" ref="W13">IF(A13="","",IFERROR(TRIM(INDEX(_xlfn.TEXTSPLIT(IFERROR(VLOOKUP(A13,'Production Schedule'!$B:$FU,150,FALSE),""),CHAR(10)),6)),""))</f>
        <v/>
      </c>
      <c r="X13" s="55" t="str">
        <f t="shared" si="5"/>
        <v/>
      </c>
      <c r="Y13" s="57">
        <f t="shared" si="6"/>
        <v>46092</v>
      </c>
      <c r="Z13" s="58" t="str">
        <f>IF(A13="","",IF(IFERROR(VLOOKUP(A13,Notes!A:B,2,FALSE),"")=0,"",VLOOKUP(A13,Notes!A:B,2,FALSE)))</f>
        <v>04/16/2026…TruLaser 3040</v>
      </c>
      <c r="AA13" s="18">
        <f t="shared" si="7"/>
        <v>1</v>
      </c>
    </row>
    <row r="14" spans="1:28" x14ac:dyDescent="0.25">
      <c r="A14" s="50" t="str">
        <v>24051-FS223</v>
      </c>
      <c r="B14" s="50" t="str">
        <f>IF(A14="","",IFERROR(VLOOKUP(A14,'Production Schedule'!$B:$FU,3,FALSE),""))</f>
        <v>TN Titans Stadium</v>
      </c>
      <c r="C14" s="50" t="str">
        <f>IF(A14="","",IFERROR(VLOOKUP(A14,'Production Schedule'!$B:$FU,5,FALSE),""))</f>
        <v>Marc Ribar</v>
      </c>
      <c r="D14" s="50">
        <f>IF(A14="","",IFERROR(VLOOKUP(A14,'Production Schedule'!$B:$FU,7,FALSE),""))</f>
        <v>400</v>
      </c>
      <c r="E14" s="50">
        <f>IF(A14="","",IFERROR(VLOOKUP(A14,'Production Schedule'!$B:$FU,17,FALSE),""))</f>
        <v>44</v>
      </c>
      <c r="F14" s="50">
        <f>IF(A14="","",IFERROR(VLOOKUP(A14,'Production Schedule'!$B:$FU,18,FALSE),""))</f>
        <v>90</v>
      </c>
      <c r="G14" s="50" t="str">
        <f>IF(A14="","",IFERROR(VLOOKUP(A14,'Production Schedule'!$B:$FU,25,FALSE),""))</f>
        <v>FR ACM</v>
      </c>
      <c r="H14" s="51">
        <f>IF(A14="","",IFERROR(VLOOKUP(A14,'Production Schedule'!$B:$FU,47,FALSE),""))</f>
        <v>46055.456795520833</v>
      </c>
      <c r="I14" s="51">
        <f>IF(A14="","",IFERROR(VLOOKUP(A14,'Production Schedule'!$B:$FU,54,FALSE),""))</f>
        <v>46097</v>
      </c>
      <c r="J14" s="53">
        <f>IF(A14="","",IFERROR(VLOOKUP(A14,'Production Schedule'!$B:$FU,135,FALSE),""))</f>
        <v>40</v>
      </c>
      <c r="K14" s="50" t="str">
        <f>IF(A14="","",IFERROR(VLOOKUP(A14,'Production Schedule'!$B:$FU,59,FALSE),""))</f>
        <v>YES</v>
      </c>
      <c r="L14" s="49" t="str">
        <f>IF(A14="","",IFERROR(VLOOKUP(A14,'Production Schedule'!$B:$FU,80,FALSE),""))</f>
        <v>Clean and Brake</v>
      </c>
      <c r="M14" s="54" t="str" cm="1">
        <f t="array" ref="M14">IF(A14="","",IFERROR(TRIM(INDEX(_xlfn.TEXTSPLIT(IFERROR(VLOOKUP(A14,'Production Schedule'!$B:$FU,150,FALSE),""),CHAR(10)),1)),""))</f>
        <v>AXYZ Titans Line</v>
      </c>
      <c r="N14" s="55">
        <f t="shared" si="0"/>
        <v>46072</v>
      </c>
      <c r="O14" s="56" t="str" cm="1">
        <f t="array" ref="O14">IF(A14="","",IFERROR(TRIM(INDEX(_xlfn.TEXTSPLIT(IFERROR(VLOOKUP(A14,'Production Schedule'!$B:$FU,150,FALSE),""),CHAR(10)),2)),""))</f>
        <v>Clean and Brake</v>
      </c>
      <c r="P14" s="55">
        <f t="shared" si="1"/>
        <v>46073</v>
      </c>
      <c r="Q14" s="54" t="str" cm="1">
        <f t="array" ref="Q14">IF(A14="","",IFERROR(TRIM(INDEX(_xlfn.TEXTSPLIT(IFERROR(VLOOKUP(A14,'Production Schedule'!$B:$FU,150,FALSE),""),CHAR(10)),3)),""))</f>
        <v>Fab</v>
      </c>
      <c r="R14" s="55">
        <f t="shared" si="2"/>
        <v>46084</v>
      </c>
      <c r="S14" s="54" t="str" cm="1">
        <f t="array" ref="S14">IF(A14="","",IFERROR(TRIM(INDEX(_xlfn.TEXTSPLIT(IFERROR(VLOOKUP(A14,'Production Schedule'!$B:$FU,150,FALSE),""),CHAR(10)),4)),""))</f>
        <v/>
      </c>
      <c r="T14" s="55" t="str">
        <f t="shared" si="3"/>
        <v/>
      </c>
      <c r="U14" s="54" t="str" cm="1">
        <f t="array" ref="U14">IF(A14="","",IFERROR(TRIM(INDEX(_xlfn.TEXTSPLIT(IFERROR(VLOOKUP(A14,'Production Schedule'!$B:$FU,150,FALSE),""),CHAR(10)),5)),""))</f>
        <v/>
      </c>
      <c r="V14" s="55" t="str">
        <f t="shared" si="4"/>
        <v/>
      </c>
      <c r="W14" s="54" t="str" cm="1">
        <f t="array" ref="W14">IF(A14="","",IFERROR(TRIM(INDEX(_xlfn.TEXTSPLIT(IFERROR(VLOOKUP(A14,'Production Schedule'!$B:$FU,150,FALSE),""),CHAR(10)),6)),""))</f>
        <v/>
      </c>
      <c r="X14" s="55" t="str">
        <f t="shared" si="5"/>
        <v/>
      </c>
      <c r="Y14" s="57">
        <f t="shared" si="6"/>
        <v>46094</v>
      </c>
      <c r="Z14" s="58" t="str">
        <f>IF(A14="","",IF(IFERROR(VLOOKUP(A14,Notes!A:B,2,FALSE),"")=0,"",VLOOKUP(A14,Notes!A:B,2,FALSE)))</f>
        <v>03/23...Next for Titans--1 of 3 still late*03/24 Corrections*03/26…Titans line*03/30…Affected by Roller being down.  Panals too large to run in small roller.*03/31…No update*04/02…Roller still down.*04/09…Roller still down.*04/16/2026…Clean and Brake</v>
      </c>
      <c r="AA14" s="20">
        <f t="shared" si="7"/>
        <v>1</v>
      </c>
    </row>
    <row r="15" spans="1:28" x14ac:dyDescent="0.25">
      <c r="A15" s="50" t="str">
        <v>24079-FS03</v>
      </c>
      <c r="B15" s="50" t="str">
        <f>IF(A15="","",IFERROR(VLOOKUP(A15,'Production Schedule'!$B:$FU,3,FALSE),""))</f>
        <v>Nashville Youth Campus</v>
      </c>
      <c r="C15" s="50" t="str">
        <f>IF(A15="","",IFERROR(VLOOKUP(A15,'Production Schedule'!$B:$FU,5,FALSE),""))</f>
        <v>Joe Hoyle</v>
      </c>
      <c r="D15" s="50" t="str">
        <f>IF(A15="","",IFERROR(VLOOKUP(A15,'Production Schedule'!$B:$FU,7,FALSE),""))</f>
        <v>---</v>
      </c>
      <c r="E15" s="50">
        <f>IF(A15="","",IFERROR(VLOOKUP(A15,'Production Schedule'!$B:$FU,17,FALSE),""))</f>
        <v>33</v>
      </c>
      <c r="F15" s="50">
        <f>IF(A15="","",IFERROR(VLOOKUP(A15,'Production Schedule'!$B:$FU,18,FALSE),""))</f>
        <v>0</v>
      </c>
      <c r="G15" s="50" t="str">
        <f>IF(A15="","",IFERROR(VLOOKUP(A15,'Production Schedule'!$B:$FU,25,FALSE),""))</f>
        <v>LAYOUT ONLY</v>
      </c>
      <c r="H15" s="51">
        <f>IF(A15="","",IFERROR(VLOOKUP(A15,'Production Schedule'!$B:$FU,47,FALSE),""))</f>
        <v>46041.665355972225</v>
      </c>
      <c r="I15" s="51">
        <f>IF(A15="","",IFERROR(VLOOKUP(A15,'Production Schedule'!$B:$FU,54,FALSE),""))</f>
        <v>46097</v>
      </c>
      <c r="J15" s="53">
        <f>IF(A15="","",IFERROR(VLOOKUP(A15,'Production Schedule'!$B:$FU,135,FALSE),""))</f>
        <v>0</v>
      </c>
      <c r="K15" s="50" t="str">
        <f>IF(A15="","",IFERROR(VLOOKUP(A15,'Production Schedule'!$B:$FU,59,FALSE),""))</f>
        <v>YES</v>
      </c>
      <c r="L15" s="52" t="str">
        <f>IF(A15="","",IFERROR(VLOOKUP(A15,'Production Schedule'!$B:$FU,80,FALSE),""))</f>
        <v>Evaluation</v>
      </c>
      <c r="M15" s="54" t="str" cm="1">
        <f t="array" ref="M15">IF(A15="","",IFERROR(TRIM(INDEX(_xlfn.TEXTSPLIT(IFERROR(VLOOKUP(A15,'Production Schedule'!$B:$FU,150,FALSE),""),CHAR(10)),1)),""))</f>
        <v/>
      </c>
      <c r="N15" s="55" t="str">
        <f t="shared" si="0"/>
        <v/>
      </c>
      <c r="O15" s="54" t="str" cm="1">
        <f t="array" ref="O15">IF(A15="","",IFERROR(TRIM(INDEX(_xlfn.TEXTSPLIT(IFERROR(VLOOKUP(A15,'Production Schedule'!$B:$FU,150,FALSE),""),CHAR(10)),2)),""))</f>
        <v/>
      </c>
      <c r="P15" s="55" t="str">
        <f t="shared" si="1"/>
        <v/>
      </c>
      <c r="Q15" s="54" t="str" cm="1">
        <f t="array" ref="Q15">IF(A15="","",IFERROR(TRIM(INDEX(_xlfn.TEXTSPLIT(IFERROR(VLOOKUP(A15,'Production Schedule'!$B:$FU,150,FALSE),""),CHAR(10)),3)),""))</f>
        <v/>
      </c>
      <c r="R15" s="55" t="str">
        <f t="shared" si="2"/>
        <v/>
      </c>
      <c r="S15" s="54" t="str" cm="1">
        <f t="array" ref="S15">IF(A15="","",IFERROR(TRIM(INDEX(_xlfn.TEXTSPLIT(IFERROR(VLOOKUP(A15,'Production Schedule'!$B:$FU,150,FALSE),""),CHAR(10)),4)),""))</f>
        <v/>
      </c>
      <c r="T15" s="55" t="str">
        <f t="shared" si="3"/>
        <v/>
      </c>
      <c r="U15" s="54" t="str" cm="1">
        <f t="array" ref="U15">IF(A15="","",IFERROR(TRIM(INDEX(_xlfn.TEXTSPLIT(IFERROR(VLOOKUP(A15,'Production Schedule'!$B:$FU,150,FALSE),""),CHAR(10)),5)),""))</f>
        <v/>
      </c>
      <c r="V15" s="55" t="str">
        <f t="shared" si="4"/>
        <v/>
      </c>
      <c r="W15" s="54" t="str" cm="1">
        <f t="array" ref="W15">IF(A15="","",IFERROR(TRIM(INDEX(_xlfn.TEXTSPLIT(IFERROR(VLOOKUP(A15,'Production Schedule'!$B:$FU,150,FALSE),""),CHAR(10)),6)),""))</f>
        <v/>
      </c>
      <c r="X15" s="55" t="str">
        <f t="shared" si="5"/>
        <v/>
      </c>
      <c r="Y15" s="57">
        <f t="shared" si="6"/>
        <v>46094</v>
      </c>
      <c r="Z15" s="58" t="str">
        <f>IF(A15="","",IF(IFERROR(VLOOKUP(A15,Notes!A:B,2,FALSE),"")=0,"",VLOOKUP(A15,Notes!A:B,2,FALSE)))</f>
        <v>04/16/2026…Evaluation</v>
      </c>
      <c r="AA15" s="18">
        <f t="shared" si="7"/>
        <v>1</v>
      </c>
    </row>
    <row r="16" spans="1:28" x14ac:dyDescent="0.25">
      <c r="A16" s="50" t="str">
        <v>24079-FS102</v>
      </c>
      <c r="B16" s="50" t="str">
        <f>IF(A16="","",IFERROR(VLOOKUP(A16,'Production Schedule'!$B:$FU,3,FALSE),""))</f>
        <v>Nashville Youth Campus</v>
      </c>
      <c r="C16" s="50" t="str">
        <f>IF(A16="","",IFERROR(VLOOKUP(A16,'Production Schedule'!$B:$FU,5,FALSE),""))</f>
        <v>Joe Hoyle</v>
      </c>
      <c r="D16" s="50">
        <f>IF(A16="","",IFERROR(VLOOKUP(A16,'Production Schedule'!$B:$FU,7,FALSE),""))</f>
        <v>400</v>
      </c>
      <c r="E16" s="50">
        <f>IF(A16="","",IFERROR(VLOOKUP(A16,'Production Schedule'!$B:$FU,17,FALSE),""))</f>
        <v>192</v>
      </c>
      <c r="F16" s="50">
        <f>IF(A16="","",IFERROR(VLOOKUP(A16,'Production Schedule'!$B:$FU,18,FALSE),""))</f>
        <v>198</v>
      </c>
      <c r="G16" s="50" t="str">
        <f>IF(A16="","",IFERROR(VLOOKUP(A16,'Production Schedule'!$B:$FU,25,FALSE),""))</f>
        <v>FR ACM</v>
      </c>
      <c r="H16" s="51">
        <f>IF(A16="","",IFERROR(VLOOKUP(A16,'Production Schedule'!$B:$FU,47,FALSE),""))</f>
        <v>46041.64982929398</v>
      </c>
      <c r="I16" s="51">
        <f>IF(A16="","",IFERROR(VLOOKUP(A16,'Production Schedule'!$B:$FU,54,FALSE),""))</f>
        <v>46097</v>
      </c>
      <c r="J16" s="53">
        <f>IF(A16="","",IFERROR(VLOOKUP(A16,'Production Schedule'!$B:$FU,135,FALSE),""))</f>
        <v>462</v>
      </c>
      <c r="K16" s="50" t="str">
        <f>IF(A16="","",IFERROR(VLOOKUP(A16,'Production Schedule'!$B:$FU,59,FALSE),""))</f>
        <v>YES</v>
      </c>
      <c r="L16" s="52" t="str">
        <f>IF(A16="","",IFERROR(VLOOKUP(A16,'Production Schedule'!$B:$FU,80,FALSE),""))</f>
        <v>Sketch Check</v>
      </c>
      <c r="M16" s="54" t="str" cm="1">
        <f t="array" ref="M16">IF(A16="","",IFERROR(TRIM(INDEX(_xlfn.TEXTSPLIT(IFERROR(VLOOKUP(A16,'Production Schedule'!$B:$FU,150,FALSE),""),CHAR(10)),1)),""))</f>
        <v>AXYZ Titans Line</v>
      </c>
      <c r="N16" s="55">
        <f t="shared" si="0"/>
        <v>46069</v>
      </c>
      <c r="O16" s="54" t="str" cm="1">
        <f t="array" ref="O16">IF(A16="","",IFERROR(TRIM(INDEX(_xlfn.TEXTSPLIT(IFERROR(VLOOKUP(A16,'Production Schedule'!$B:$FU,150,FALSE),""),CHAR(10)),2)),""))</f>
        <v>Clean and Brake</v>
      </c>
      <c r="P16" s="55">
        <f t="shared" si="1"/>
        <v>46073</v>
      </c>
      <c r="Q16" s="54" t="str" cm="1">
        <f t="array" ref="Q16">IF(A16="","",IFERROR(TRIM(INDEX(_xlfn.TEXTSPLIT(IFERROR(VLOOKUP(A16,'Production Schedule'!$B:$FU,150,FALSE),""),CHAR(10)),3)),""))</f>
        <v>Fab</v>
      </c>
      <c r="R16" s="55">
        <f t="shared" si="2"/>
        <v>46084</v>
      </c>
      <c r="S16" s="54" t="str" cm="1">
        <f t="array" ref="S16">IF(A16="","",IFERROR(TRIM(INDEX(_xlfn.TEXTSPLIT(IFERROR(VLOOKUP(A16,'Production Schedule'!$B:$FU,150,FALSE),""),CHAR(10)),4)),""))</f>
        <v/>
      </c>
      <c r="T16" s="55" t="str">
        <f t="shared" si="3"/>
        <v/>
      </c>
      <c r="U16" s="54" t="str" cm="1">
        <f t="array" ref="U16">IF(A16="","",IFERROR(TRIM(INDEX(_xlfn.TEXTSPLIT(IFERROR(VLOOKUP(A16,'Production Schedule'!$B:$FU,150,FALSE),""),CHAR(10)),5)),""))</f>
        <v/>
      </c>
      <c r="V16" s="55" t="str">
        <f t="shared" si="4"/>
        <v/>
      </c>
      <c r="W16" s="54" t="str" cm="1">
        <f t="array" ref="W16">IF(A16="","",IFERROR(TRIM(INDEX(_xlfn.TEXTSPLIT(IFERROR(VLOOKUP(A16,'Production Schedule'!$B:$FU,150,FALSE),""),CHAR(10)),6)),""))</f>
        <v/>
      </c>
      <c r="X16" s="55" t="str">
        <f t="shared" si="5"/>
        <v/>
      </c>
      <c r="Y16" s="57">
        <f t="shared" si="6"/>
        <v>46094</v>
      </c>
      <c r="Z16" s="58" t="str">
        <f>IF(A16="","",IF(IFERROR(VLOOKUP(A16,Notes!A:B,2,FALSE),"")=0,"",VLOOKUP(A16,Notes!A:B,2,FALSE)))</f>
        <v>04/16/2026…Sketch Check</v>
      </c>
      <c r="AA16" s="20">
        <f t="shared" si="7"/>
        <v>1</v>
      </c>
    </row>
    <row r="17" spans="1:27" x14ac:dyDescent="0.25">
      <c r="A17" s="50" t="str">
        <v>24051-FS225</v>
      </c>
      <c r="B17" s="50" t="str">
        <f>IF(A17="","",IFERROR(VLOOKUP(A17,'Production Schedule'!$B:$FU,3,FALSE),""))</f>
        <v>TN Titans Stadium</v>
      </c>
      <c r="C17" s="50" t="str">
        <f>IF(A17="","",IFERROR(VLOOKUP(A17,'Production Schedule'!$B:$FU,5,FALSE),""))</f>
        <v>Marc Ribar</v>
      </c>
      <c r="D17" s="50">
        <f>IF(A17="","",IFERROR(VLOOKUP(A17,'Production Schedule'!$B:$FU,7,FALSE),""))</f>
        <v>400</v>
      </c>
      <c r="E17" s="50">
        <f>IF(A17="","",IFERROR(VLOOKUP(A17,'Production Schedule'!$B:$FU,17,FALSE),""))</f>
        <v>26</v>
      </c>
      <c r="F17" s="50">
        <f>IF(A17="","",IFERROR(VLOOKUP(A17,'Production Schedule'!$B:$FU,18,FALSE),""))</f>
        <v>0</v>
      </c>
      <c r="G17" s="50" t="str">
        <f>IF(A17="","",IFERROR(VLOOKUP(A17,'Production Schedule'!$B:$FU,25,FALSE),""))</f>
        <v>FR ACM</v>
      </c>
      <c r="H17" s="51">
        <f>IF(A17="","",IFERROR(VLOOKUP(A17,'Production Schedule'!$B:$FU,47,FALSE),""))</f>
        <v>46055.645146261573</v>
      </c>
      <c r="I17" s="51">
        <f>IF(A17="","",IFERROR(VLOOKUP(A17,'Production Schedule'!$B:$FU,54,FALSE),""))</f>
        <v>46097</v>
      </c>
      <c r="J17" s="53">
        <f>IF(A17="","",IFERROR(VLOOKUP(A17,'Production Schedule'!$B:$FU,135,FALSE),""))</f>
        <v>8</v>
      </c>
      <c r="K17" s="50" t="str">
        <f>IF(A17="","",IFERROR(VLOOKUP(A17,'Production Schedule'!$B:$FU,59,FALSE),""))</f>
        <v>YES</v>
      </c>
      <c r="L17" s="52" t="str">
        <f>IF(A17="","",IFERROR(VLOOKUP(A17,'Production Schedule'!$B:$FU,80,FALSE),""))</f>
        <v>LO</v>
      </c>
      <c r="M17" s="54" t="str" cm="1">
        <f t="array" ref="M17">IF(A17="","",IFERROR(TRIM(INDEX(_xlfn.TEXTSPLIT(IFERROR(VLOOKUP(A17,'Production Schedule'!$B:$FU,150,FALSE),""),CHAR(10)),1)),""))</f>
        <v/>
      </c>
      <c r="N17" s="55" t="str">
        <f t="shared" si="0"/>
        <v/>
      </c>
      <c r="O17" s="54" t="str" cm="1">
        <f t="array" ref="O17">IF(A17="","",IFERROR(TRIM(INDEX(_xlfn.TEXTSPLIT(IFERROR(VLOOKUP(A17,'Production Schedule'!$B:$FU,150,FALSE),""),CHAR(10)),2)),""))</f>
        <v/>
      </c>
      <c r="P17" s="55" t="str">
        <f t="shared" si="1"/>
        <v/>
      </c>
      <c r="Q17" s="54" t="str" cm="1">
        <f t="array" ref="Q17">IF(A17="","",IFERROR(TRIM(INDEX(_xlfn.TEXTSPLIT(IFERROR(VLOOKUP(A17,'Production Schedule'!$B:$FU,150,FALSE),""),CHAR(10)),3)),""))</f>
        <v/>
      </c>
      <c r="R17" s="55" t="str">
        <f t="shared" si="2"/>
        <v/>
      </c>
      <c r="S17" s="54" t="str" cm="1">
        <f t="array" ref="S17">IF(A17="","",IFERROR(TRIM(INDEX(_xlfn.TEXTSPLIT(IFERROR(VLOOKUP(A17,'Production Schedule'!$B:$FU,150,FALSE),""),CHAR(10)),4)),""))</f>
        <v/>
      </c>
      <c r="T17" s="55" t="str">
        <f t="shared" si="3"/>
        <v/>
      </c>
      <c r="U17" s="54" t="str" cm="1">
        <f t="array" ref="U17">IF(A17="","",IFERROR(TRIM(INDEX(_xlfn.TEXTSPLIT(IFERROR(VLOOKUP(A17,'Production Schedule'!$B:$FU,150,FALSE),""),CHAR(10)),5)),""))</f>
        <v/>
      </c>
      <c r="V17" s="55" t="str">
        <f t="shared" si="4"/>
        <v/>
      </c>
      <c r="W17" s="54" t="str" cm="1">
        <f t="array" ref="W17">IF(A17="","",IFERROR(TRIM(INDEX(_xlfn.TEXTSPLIT(IFERROR(VLOOKUP(A17,'Production Schedule'!$B:$FU,150,FALSE),""),CHAR(10)),6)),""))</f>
        <v/>
      </c>
      <c r="X17" s="55" t="str">
        <f t="shared" si="5"/>
        <v/>
      </c>
      <c r="Y17" s="57">
        <f t="shared" si="6"/>
        <v>46094</v>
      </c>
      <c r="Z17" s="58" t="str">
        <f>IF(A17="","",IF(IFERROR(VLOOKUP(A17,Notes!A:B,2,FALSE),"")=0,"",VLOOKUP(A17,Notes!A:B,2,FALSE)))</f>
        <v>03/23...Next for Titans--1 of 3 still late*03/24 Lay Out*03/26…LO*03/30…LO*03/31…LO*04/02…LO*04/09…LO*04/16/2026…LO</v>
      </c>
      <c r="AA17" s="18">
        <f t="shared" si="7"/>
        <v>1</v>
      </c>
    </row>
    <row r="18" spans="1:27" x14ac:dyDescent="0.25">
      <c r="A18" s="50" t="str">
        <v>24079-FS102.1</v>
      </c>
      <c r="B18" s="50" t="str">
        <f>IF(A18="","",IFERROR(VLOOKUP(A18,'Production Schedule'!$B:$FU,3,FALSE),""))</f>
        <v>Nashville Youth Campus</v>
      </c>
      <c r="C18" s="50" t="str">
        <f>IF(A18="","",IFERROR(VLOOKUP(A18,'Production Schedule'!$B:$FU,5,FALSE),""))</f>
        <v>Joe Hoyle</v>
      </c>
      <c r="D18" s="50">
        <f>IF(A18="","",IFERROR(VLOOKUP(A18,'Production Schedule'!$B:$FU,7,FALSE),""))</f>
        <v>400</v>
      </c>
      <c r="E18" s="50">
        <f>IF(A18="","",IFERROR(VLOOKUP(A18,'Production Schedule'!$B:$FU,17,FALSE),""))</f>
        <v>308</v>
      </c>
      <c r="F18" s="50">
        <f>IF(A18="","",IFERROR(VLOOKUP(A18,'Production Schedule'!$B:$FU,18,FALSE),""))</f>
        <v>0</v>
      </c>
      <c r="G18" s="50" t="str">
        <f>IF(A18="","",IFERROR(VLOOKUP(A18,'Production Schedule'!$B:$FU,25,FALSE),""))</f>
        <v>FR ACM</v>
      </c>
      <c r="H18" s="51">
        <f>IF(A18="","",IFERROR(VLOOKUP(A18,'Production Schedule'!$B:$FU,47,FALSE),""))</f>
        <v>46114.741053240738</v>
      </c>
      <c r="I18" s="51">
        <f>IF(A18="","",IFERROR(VLOOKUP(A18,'Production Schedule'!$B:$FU,54,FALSE),""))</f>
        <v>46097</v>
      </c>
      <c r="J18" s="53">
        <f>IF(A18="","",IFERROR(VLOOKUP(A18,'Production Schedule'!$B:$FU,135,FALSE),""))</f>
        <v>462</v>
      </c>
      <c r="K18" s="50" t="str">
        <f>IF(A18="","",IFERROR(VLOOKUP(A18,'Production Schedule'!$B:$FU,59,FALSE),""))</f>
        <v>YES</v>
      </c>
      <c r="L18" s="52" t="str">
        <f>IF(A18="","",IFERROR(VLOOKUP(A18,'Production Schedule'!$B:$FU,80,FALSE),""))</f>
        <v>Sketch</v>
      </c>
      <c r="M18" s="54" t="str" cm="1">
        <f t="array" ref="M18">IF(A18="","",IFERROR(TRIM(INDEX(_xlfn.TEXTSPLIT(IFERROR(VLOOKUP(A18,'Production Schedule'!$B:$FU,150,FALSE),""),CHAR(10)),1)),""))</f>
        <v>AXYZ Titans Line</v>
      </c>
      <c r="N18" s="55">
        <f t="shared" si="0"/>
        <v>46066</v>
      </c>
      <c r="O18" s="54" t="str" cm="1">
        <f t="array" ref="O18">IF(A18="","",IFERROR(TRIM(INDEX(_xlfn.TEXTSPLIT(IFERROR(VLOOKUP(A18,'Production Schedule'!$B:$FU,150,FALSE),""),CHAR(10)),2)),""))</f>
        <v>Clean and Brake</v>
      </c>
      <c r="P18" s="55">
        <f t="shared" si="1"/>
        <v>46073</v>
      </c>
      <c r="Q18" s="54" t="str" cm="1">
        <f t="array" ref="Q18">IF(A18="","",IFERROR(TRIM(INDEX(_xlfn.TEXTSPLIT(IFERROR(VLOOKUP(A18,'Production Schedule'!$B:$FU,150,FALSE),""),CHAR(10)),3)),""))</f>
        <v>Fab</v>
      </c>
      <c r="R18" s="55">
        <f t="shared" si="2"/>
        <v>46084</v>
      </c>
      <c r="S18" s="54" t="str" cm="1">
        <f t="array" ref="S18">IF(A18="","",IFERROR(TRIM(INDEX(_xlfn.TEXTSPLIT(IFERROR(VLOOKUP(A18,'Production Schedule'!$B:$FU,150,FALSE),""),CHAR(10)),4)),""))</f>
        <v/>
      </c>
      <c r="T18" s="55" t="str">
        <f t="shared" si="3"/>
        <v/>
      </c>
      <c r="U18" s="54" t="str" cm="1">
        <f t="array" ref="U18">IF(A18="","",IFERROR(TRIM(INDEX(_xlfn.TEXTSPLIT(IFERROR(VLOOKUP(A18,'Production Schedule'!$B:$FU,150,FALSE),""),CHAR(10)),5)),""))</f>
        <v/>
      </c>
      <c r="V18" s="55" t="str">
        <f t="shared" si="4"/>
        <v/>
      </c>
      <c r="W18" s="54" t="str" cm="1">
        <f t="array" ref="W18">IF(A18="","",IFERROR(TRIM(INDEX(_xlfn.TEXTSPLIT(IFERROR(VLOOKUP(A18,'Production Schedule'!$B:$FU,150,FALSE),""),CHAR(10)),6)),""))</f>
        <v/>
      </c>
      <c r="X18" s="55" t="str">
        <f t="shared" si="5"/>
        <v/>
      </c>
      <c r="Y18" s="57">
        <f t="shared" si="6"/>
        <v>46094</v>
      </c>
      <c r="Z18" s="58" t="str">
        <f>IF(A18="","",IF(IFERROR(VLOOKUP(A18,Notes!A:B,2,FALSE),"")=0,"",VLOOKUP(A18,Notes!A:B,2,FALSE)))</f>
        <v>04/16/2026…Sketch</v>
      </c>
      <c r="AA18" s="20">
        <f t="shared" si="7"/>
        <v>1</v>
      </c>
    </row>
    <row r="19" spans="1:27" x14ac:dyDescent="0.25">
      <c r="A19" s="50" t="str">
        <v>25035-FS04</v>
      </c>
      <c r="B19" s="50" t="str">
        <f>IF(A19="","",IFERROR(VLOOKUP(A19,'Production Schedule'!$B:$FU,3,FALSE),""))</f>
        <v>Titans Jabez</v>
      </c>
      <c r="C19" s="50" t="str">
        <f>IF(A19="","",IFERROR(VLOOKUP(A19,'Production Schedule'!$B:$FU,5,FALSE),""))</f>
        <v>Marc Ribar</v>
      </c>
      <c r="D19" s="50">
        <f>IF(A19="","",IFERROR(VLOOKUP(A19,'Production Schedule'!$B:$FU,7,FALSE),""))</f>
        <v>400</v>
      </c>
      <c r="E19" s="50">
        <f>IF(A19="","",IFERROR(VLOOKUP(A19,'Production Schedule'!$B:$FU,17,FALSE),""))</f>
        <v>218</v>
      </c>
      <c r="F19" s="50">
        <f>IF(A19="","",IFERROR(VLOOKUP(A19,'Production Schedule'!$B:$FU,18,FALSE),""))</f>
        <v>0</v>
      </c>
      <c r="G19" s="50" t="str">
        <f>IF(A19="","",IFERROR(VLOOKUP(A19,'Production Schedule'!$B:$FU,25,FALSE),""))</f>
        <v>FR ACM</v>
      </c>
      <c r="H19" s="51">
        <f>IF(A19="","",IFERROR(VLOOKUP(A19,'Production Schedule'!$B:$FU,47,FALSE),""))</f>
        <v>46057.496999537034</v>
      </c>
      <c r="I19" s="51">
        <f>IF(A19="","",IFERROR(VLOOKUP(A19,'Production Schedule'!$B:$FU,54,FALSE),""))</f>
        <v>46104</v>
      </c>
      <c r="J19" s="53">
        <f>IF(A19="","",IFERROR(VLOOKUP(A19,'Production Schedule'!$B:$FU,135,FALSE),""))</f>
        <v>230</v>
      </c>
      <c r="K19" s="50" t="str">
        <f>IF(A19="","",IFERROR(VLOOKUP(A19,'Production Schedule'!$B:$FU,59,FALSE),""))</f>
        <v>YES</v>
      </c>
      <c r="L19" s="49" t="str">
        <f>IF(A19="","",IFERROR(VLOOKUP(A19,'Production Schedule'!$B:$FU,80,FALSE),""))</f>
        <v>Sketch</v>
      </c>
      <c r="M19" s="54" t="str" cm="1">
        <f t="array" ref="M19">IF(A19="","",IFERROR(TRIM(INDEX(_xlfn.TEXTSPLIT(IFERROR(VLOOKUP(A19,'Production Schedule'!$B:$FU,150,FALSE),""),CHAR(10)),1)),""))</f>
        <v>AXYZ Titans Line</v>
      </c>
      <c r="N19" s="55">
        <f t="shared" si="0"/>
        <v>46076</v>
      </c>
      <c r="O19" s="56" t="str" cm="1">
        <f t="array" ref="O19">IF(A19="","",IFERROR(TRIM(INDEX(_xlfn.TEXTSPLIT(IFERROR(VLOOKUP(A19,'Production Schedule'!$B:$FU,150,FALSE),""),CHAR(10)),2)),""))</f>
        <v>Clean and Brake</v>
      </c>
      <c r="P19" s="55">
        <f t="shared" si="1"/>
        <v>46080</v>
      </c>
      <c r="Q19" s="54" t="str" cm="1">
        <f t="array" ref="Q19">IF(A19="","",IFERROR(TRIM(INDEX(_xlfn.TEXTSPLIT(IFERROR(VLOOKUP(A19,'Production Schedule'!$B:$FU,150,FALSE),""),CHAR(10)),3)),""))</f>
        <v>Fab</v>
      </c>
      <c r="R19" s="55">
        <f t="shared" si="2"/>
        <v>46091</v>
      </c>
      <c r="S19" s="54" t="str" cm="1">
        <f t="array" ref="S19">IF(A19="","",IFERROR(TRIM(INDEX(_xlfn.TEXTSPLIT(IFERROR(VLOOKUP(A19,'Production Schedule'!$B:$FU,150,FALSE),""),CHAR(10)),4)),""))</f>
        <v/>
      </c>
      <c r="T19" s="55" t="str">
        <f t="shared" si="3"/>
        <v/>
      </c>
      <c r="U19" s="54" t="str" cm="1">
        <f t="array" ref="U19">IF(A19="","",IFERROR(TRIM(INDEX(_xlfn.TEXTSPLIT(IFERROR(VLOOKUP(A19,'Production Schedule'!$B:$FU,150,FALSE),""),CHAR(10)),5)),""))</f>
        <v/>
      </c>
      <c r="V19" s="55" t="str">
        <f t="shared" si="4"/>
        <v/>
      </c>
      <c r="W19" s="54" t="str" cm="1">
        <f t="array" ref="W19">IF(A19="","",IFERROR(TRIM(INDEX(_xlfn.TEXTSPLIT(IFERROR(VLOOKUP(A19,'Production Schedule'!$B:$FU,150,FALSE),""),CHAR(10)),6)),""))</f>
        <v/>
      </c>
      <c r="X19" s="55" t="str">
        <f t="shared" si="5"/>
        <v/>
      </c>
      <c r="Y19" s="57">
        <f t="shared" si="6"/>
        <v>46101</v>
      </c>
      <c r="Z19" s="58" t="str">
        <f>IF(A19="","",IF(IFERROR(VLOOKUP(A19,Notes!A:B,2,FALSE),"")=0,"",VLOOKUP(A19,Notes!A:B,2,FALSE)))</f>
        <v>04/16/2026…Sketch</v>
      </c>
      <c r="AA19" s="18">
        <f t="shared" si="7"/>
        <v>1</v>
      </c>
    </row>
    <row r="20" spans="1:27" x14ac:dyDescent="0.25">
      <c r="A20" s="50" t="str">
        <v>26011-ST01</v>
      </c>
      <c r="B20" s="50" t="str">
        <f>IF(A20="","",IFERROR(VLOOKUP(A20,'Production Schedule'!$B:$FU,3,FALSE),""))</f>
        <v>2nd Ave Mockup Build</v>
      </c>
      <c r="C20" s="50" t="str">
        <f>IF(A20="","",IFERROR(VLOOKUP(A20,'Production Schedule'!$B:$FU,5,FALSE),""))</f>
        <v>Wylie McDougall</v>
      </c>
      <c r="D20" s="50" t="str">
        <f>IF(A20="","",IFERROR(VLOOKUP(A20,'Production Schedule'!$B:$FU,7,FALSE),""))</f>
        <v>CUSTOM ARCH</v>
      </c>
      <c r="E20" s="50">
        <f>IF(A20="","",IFERROR(VLOOKUP(A20,'Production Schedule'!$B:$FU,17,FALSE),""))</f>
        <v>0</v>
      </c>
      <c r="F20" s="50">
        <f>IF(A20="","",IFERROR(VLOOKUP(A20,'Production Schedule'!$B:$FU,18,FALSE),""))</f>
        <v>4</v>
      </c>
      <c r="G20" s="50" t="str">
        <f>IF(A20="","",IFERROR(VLOOKUP(A20,'Production Schedule'!$B:$FU,25,FALSE),""))</f>
        <v>Alum Sheet</v>
      </c>
      <c r="H20" s="51">
        <f>IF(A20="","",IFERROR(VLOOKUP(A20,'Production Schedule'!$B:$FU,47,FALSE),""))</f>
        <v>46092.690452824078</v>
      </c>
      <c r="I20" s="51">
        <f>IF(A20="","",IFERROR(VLOOKUP(A20,'Production Schedule'!$B:$FU,54,FALSE),""))</f>
        <v>46104</v>
      </c>
      <c r="J20" s="53">
        <f>IF(A20="","",IFERROR(VLOOKUP(A20,'Production Schedule'!$B:$FU,135,FALSE),""))</f>
        <v>3</v>
      </c>
      <c r="K20" s="50" t="str">
        <f>IF(A20="","",IFERROR(VLOOKUP(A20,'Production Schedule'!$B:$FU,59,FALSE),""))</f>
        <v>YES</v>
      </c>
      <c r="L20" s="49" t="str">
        <f>IF(A20="","",IFERROR(VLOOKUP(A20,'Production Schedule'!$B:$FU,80,FALSE),""))</f>
        <v>TruLaser 3040</v>
      </c>
      <c r="M20" s="54" t="str" cm="1">
        <f t="array" ref="M20">IF(A20="","",IFERROR(TRIM(INDEX(_xlfn.TEXTSPLIT(IFERROR(VLOOKUP(A20,'Production Schedule'!$B:$FU,150,FALSE),""),CHAR(10)),1)),""))</f>
        <v>Brake</v>
      </c>
      <c r="N20" s="55">
        <f t="shared" si="0"/>
        <v>46069</v>
      </c>
      <c r="O20" s="56" t="str" cm="1">
        <f t="array" ref="O20">IF(A20="","",IFERROR(TRIM(INDEX(_xlfn.TEXTSPLIT(IFERROR(VLOOKUP(A20,'Production Schedule'!$B:$FU,150,FALSE),""),CHAR(10)),2)),""))</f>
        <v>TruLaser 3040</v>
      </c>
      <c r="P20" s="55">
        <f t="shared" si="1"/>
        <v>46079</v>
      </c>
      <c r="Q20" s="54" t="str" cm="1">
        <f t="array" ref="Q20">IF(A20="","",IFERROR(TRIM(INDEX(_xlfn.TEXTSPLIT(IFERROR(VLOOKUP(A20,'Production Schedule'!$B:$FU,150,FALSE),""),CHAR(10)),3)),""))</f>
        <v>Weld</v>
      </c>
      <c r="R20" s="55">
        <f t="shared" si="2"/>
        <v>46090</v>
      </c>
      <c r="S20" s="54" t="str" cm="1">
        <f t="array" ref="S20">IF(A20="","",IFERROR(TRIM(INDEX(_xlfn.TEXTSPLIT(IFERROR(VLOOKUP(A20,'Production Schedule'!$B:$FU,150,FALSE),""),CHAR(10)),4)),""))</f>
        <v/>
      </c>
      <c r="T20" s="55" t="str">
        <f t="shared" si="3"/>
        <v/>
      </c>
      <c r="U20" s="54" t="str" cm="1">
        <f t="array" ref="U20">IF(A20="","",IFERROR(TRIM(INDEX(_xlfn.TEXTSPLIT(IFERROR(VLOOKUP(A20,'Production Schedule'!$B:$FU,150,FALSE),""),CHAR(10)),5)),""))</f>
        <v/>
      </c>
      <c r="V20" s="55" t="str">
        <f t="shared" si="4"/>
        <v/>
      </c>
      <c r="W20" s="54" t="str" cm="1">
        <f t="array" ref="W20">IF(A20="","",IFERROR(TRIM(INDEX(_xlfn.TEXTSPLIT(IFERROR(VLOOKUP(A20,'Production Schedule'!$B:$FU,150,FALSE),""),CHAR(10)),6)),""))</f>
        <v/>
      </c>
      <c r="X20" s="55" t="str">
        <f t="shared" si="5"/>
        <v/>
      </c>
      <c r="Y20" s="57">
        <f t="shared" si="6"/>
        <v>46101</v>
      </c>
      <c r="Z20" s="58" t="str">
        <f>IF(A20="","",IF(IFERROR(VLOOKUP(A20,Notes!A:B,2,FALSE),"")=0,"",VLOOKUP(A20,Notes!A:B,2,FALSE)))</f>
        <v>04/16/2026…TruLaser 3040</v>
      </c>
      <c r="AA20" s="20">
        <f t="shared" si="7"/>
        <v>1</v>
      </c>
    </row>
    <row r="21" spans="1:27" x14ac:dyDescent="0.25">
      <c r="A21" s="50" t="str">
        <v>26011-ST1.1</v>
      </c>
      <c r="B21" s="50" t="str">
        <f>IF(A21="","",IFERROR(VLOOKUP(A21,'Production Schedule'!$B:$FU,3,FALSE),""))</f>
        <v>2nd Ave Mockup Build</v>
      </c>
      <c r="C21" s="50" t="str">
        <f>IF(A21="","",IFERROR(VLOOKUP(A21,'Production Schedule'!$B:$FU,5,FALSE),""))</f>
        <v>Wylie McDougall</v>
      </c>
      <c r="D21" s="50" t="str">
        <f>IF(A21="","",IFERROR(VLOOKUP(A21,'Production Schedule'!$B:$FU,7,FALSE),""))</f>
        <v>TUBE SUPPORT SYSTEM</v>
      </c>
      <c r="E21" s="50">
        <f>IF(A21="","",IFERROR(VLOOKUP(A21,'Production Schedule'!$B:$FU,17,FALSE),""))</f>
        <v>0</v>
      </c>
      <c r="F21" s="50">
        <f>IF(A21="","",IFERROR(VLOOKUP(A21,'Production Schedule'!$B:$FU,18,FALSE),""))</f>
        <v>1</v>
      </c>
      <c r="G21" s="50" t="str">
        <f>IF(A21="","",IFERROR(VLOOKUP(A21,'Production Schedule'!$B:$FU,25,FALSE),""))</f>
        <v>Alum Angle</v>
      </c>
      <c r="H21" s="51">
        <f>IF(A21="","",IFERROR(VLOOKUP(A21,'Production Schedule'!$B:$FU,47,FALSE),""))</f>
        <v>46092.691697245369</v>
      </c>
      <c r="I21" s="51">
        <f>IF(A21="","",IFERROR(VLOOKUP(A21,'Production Schedule'!$B:$FU,54,FALSE),""))</f>
        <v>46104</v>
      </c>
      <c r="J21" s="53">
        <f>IF(A21="","",IFERROR(VLOOKUP(A21,'Production Schedule'!$B:$FU,135,FALSE),""))</f>
        <v>1</v>
      </c>
      <c r="K21" s="50" t="str">
        <f>IF(A21="","",IFERROR(VLOOKUP(A21,'Production Schedule'!$B:$FU,59,FALSE),""))</f>
        <v>YES</v>
      </c>
      <c r="L21" s="52" t="str">
        <f>IF(A21="","",IFERROR(VLOOKUP(A21,'Production Schedule'!$B:$FU,80,FALSE),""))</f>
        <v>7000 TubeLaser 20</v>
      </c>
      <c r="M21" s="54" t="str" cm="1">
        <f t="array" ref="M21">IF(A21="","",IFERROR(TRIM(INDEX(_xlfn.TEXTSPLIT(IFERROR(VLOOKUP(A21,'Production Schedule'!$B:$FU,150,FALSE),""),CHAR(10)),1)),""))</f>
        <v>7000 TubeLaser 20</v>
      </c>
      <c r="N21" s="55">
        <f t="shared" si="0"/>
        <v>46101</v>
      </c>
      <c r="O21" s="54" t="str" cm="1">
        <f t="array" ref="O21">IF(A21="","",IFERROR(TRIM(INDEX(_xlfn.TEXTSPLIT(IFERROR(VLOOKUP(A21,'Production Schedule'!$B:$FU,150,FALSE),""),CHAR(10)),2)),""))</f>
        <v/>
      </c>
      <c r="P21" s="55" t="str">
        <f t="shared" si="1"/>
        <v/>
      </c>
      <c r="Q21" s="54" t="str" cm="1">
        <f t="array" ref="Q21">IF(A21="","",IFERROR(TRIM(INDEX(_xlfn.TEXTSPLIT(IFERROR(VLOOKUP(A21,'Production Schedule'!$B:$FU,150,FALSE),""),CHAR(10)),3)),""))</f>
        <v/>
      </c>
      <c r="R21" s="55" t="str">
        <f t="shared" si="2"/>
        <v/>
      </c>
      <c r="S21" s="54" t="str" cm="1">
        <f t="array" ref="S21">IF(A21="","",IFERROR(TRIM(INDEX(_xlfn.TEXTSPLIT(IFERROR(VLOOKUP(A21,'Production Schedule'!$B:$FU,150,FALSE),""),CHAR(10)),4)),""))</f>
        <v/>
      </c>
      <c r="T21" s="55" t="str">
        <f t="shared" si="3"/>
        <v/>
      </c>
      <c r="U21" s="54" t="str" cm="1">
        <f t="array" ref="U21">IF(A21="","",IFERROR(TRIM(INDEX(_xlfn.TEXTSPLIT(IFERROR(VLOOKUP(A21,'Production Schedule'!$B:$FU,150,FALSE),""),CHAR(10)),5)),""))</f>
        <v/>
      </c>
      <c r="V21" s="55" t="str">
        <f t="shared" si="4"/>
        <v/>
      </c>
      <c r="W21" s="54" t="str" cm="1">
        <f t="array" ref="W21">IF(A21="","",IFERROR(TRIM(INDEX(_xlfn.TEXTSPLIT(IFERROR(VLOOKUP(A21,'Production Schedule'!$B:$FU,150,FALSE),""),CHAR(10)),6)),""))</f>
        <v/>
      </c>
      <c r="X21" s="55" t="str">
        <f t="shared" si="5"/>
        <v/>
      </c>
      <c r="Y21" s="57">
        <f t="shared" si="6"/>
        <v>46101</v>
      </c>
      <c r="Z21" s="58" t="str">
        <f>IF(A21="","",IF(IFERROR(VLOOKUP(A21,Notes!A:B,2,FALSE),"")=0,"",VLOOKUP(A21,Notes!A:B,2,FALSE)))</f>
        <v>04/16/2026…7000 TubeLaser 20</v>
      </c>
      <c r="AA21" s="18">
        <f t="shared" si="7"/>
        <v>1</v>
      </c>
    </row>
    <row r="22" spans="1:27" x14ac:dyDescent="0.25">
      <c r="A22" s="50" t="str">
        <v>25032-FL01</v>
      </c>
      <c r="B22" s="50" t="str">
        <f>IF(A22="","",IFERROR(VLOOKUP(A22,'Production Schedule'!$B:$FU,3,FALSE),""))</f>
        <v>Amazon IAD181</v>
      </c>
      <c r="C22" s="50" t="str">
        <f>IF(A22="","",IFERROR(VLOOKUP(A22,'Production Schedule'!$B:$FU,5,FALSE),""))</f>
        <v>Matt Rassmussen</v>
      </c>
      <c r="D22" s="50">
        <f>IF(A22="","",IFERROR(VLOOKUP(A22,'Production Schedule'!$B:$FU,7,FALSE),""))</f>
        <v>0</v>
      </c>
      <c r="E22" s="50">
        <f>IF(A22="","",IFERROR(VLOOKUP(A22,'Production Schedule'!$B:$FU,17,FALSE),""))</f>
        <v>0</v>
      </c>
      <c r="F22" s="50">
        <f>IF(A22="","",IFERROR(VLOOKUP(A22,'Production Schedule'!$B:$FU,18,FALSE),""))</f>
        <v>287</v>
      </c>
      <c r="G22" s="50" t="str">
        <f>IF(A22="","",IFERROR(VLOOKUP(A22,'Production Schedule'!$B:$FU,25,FALSE),""))</f>
        <v>Steel Sheet</v>
      </c>
      <c r="H22" s="51">
        <f>IF(A22="","",IFERROR(VLOOKUP(A22,'Production Schedule'!$B:$FU,47,FALSE),""))</f>
        <v>46057.364187268518</v>
      </c>
      <c r="I22" s="51">
        <f>IF(A22="","",IFERROR(VLOOKUP(A22,'Production Schedule'!$B:$FU,54,FALSE),""))</f>
        <v>46108</v>
      </c>
      <c r="J22" s="53">
        <f>IF(A22="","",IFERROR(VLOOKUP(A22,'Production Schedule'!$B:$FU,135,FALSE),""))</f>
        <v>16</v>
      </c>
      <c r="K22" s="50" t="str">
        <f>IF(A22="","",IFERROR(VLOOKUP(A22,'Production Schedule'!$B:$FU,59,FALSE),""))</f>
        <v>YES</v>
      </c>
      <c r="L22" s="49" t="str">
        <f>IF(A22="","",IFERROR(VLOOKUP(A22,'Production Schedule'!$B:$FU,80,FALSE),""))</f>
        <v>Shear</v>
      </c>
      <c r="M22" s="54" t="str" cm="1">
        <f t="array" ref="M22">IF(A22="","",IFERROR(TRIM(INDEX(_xlfn.TEXTSPLIT(IFERROR(VLOOKUP(A22,'Production Schedule'!$B:$FU,150,FALSE),""),CHAR(10)),1)),""))</f>
        <v>Cidan</v>
      </c>
      <c r="N22" s="55">
        <f t="shared" si="0"/>
        <v>46083</v>
      </c>
      <c r="O22" s="56" t="str" cm="1">
        <f t="array" ref="O22">IF(A22="","",IFERROR(TRIM(INDEX(_xlfn.TEXTSPLIT(IFERROR(VLOOKUP(A22,'Production Schedule'!$B:$FU,150,FALSE),""),CHAR(10)),2)),""))</f>
        <v>Shear</v>
      </c>
      <c r="P22" s="55">
        <f t="shared" si="1"/>
        <v>46094</v>
      </c>
      <c r="Q22" s="54" t="str" cm="1">
        <f t="array" ref="Q22">IF(A22="","",IFERROR(TRIM(INDEX(_xlfn.TEXTSPLIT(IFERROR(VLOOKUP(A22,'Production Schedule'!$B:$FU,150,FALSE),""),CHAR(10)),3)),""))</f>
        <v/>
      </c>
      <c r="R22" s="55" t="str">
        <f t="shared" si="2"/>
        <v/>
      </c>
      <c r="S22" s="54" t="str" cm="1">
        <f t="array" ref="S22">IF(A22="","",IFERROR(TRIM(INDEX(_xlfn.TEXTSPLIT(IFERROR(VLOOKUP(A22,'Production Schedule'!$B:$FU,150,FALSE),""),CHAR(10)),4)),""))</f>
        <v/>
      </c>
      <c r="T22" s="55" t="str">
        <f t="shared" si="3"/>
        <v/>
      </c>
      <c r="U22" s="54" t="str" cm="1">
        <f t="array" ref="U22">IF(A22="","",IFERROR(TRIM(INDEX(_xlfn.TEXTSPLIT(IFERROR(VLOOKUP(A22,'Production Schedule'!$B:$FU,150,FALSE),""),CHAR(10)),5)),""))</f>
        <v/>
      </c>
      <c r="V22" s="55" t="str">
        <f t="shared" si="4"/>
        <v/>
      </c>
      <c r="W22" s="54" t="str" cm="1">
        <f t="array" ref="W22">IF(A22="","",IFERROR(TRIM(INDEX(_xlfn.TEXTSPLIT(IFERROR(VLOOKUP(A22,'Production Schedule'!$B:$FU,150,FALSE),""),CHAR(10)),6)),""))</f>
        <v/>
      </c>
      <c r="X22" s="55" t="str">
        <f t="shared" si="5"/>
        <v/>
      </c>
      <c r="Y22" s="57">
        <f t="shared" si="6"/>
        <v>46106</v>
      </c>
      <c r="Z22" s="58" t="str">
        <f>IF(A22="","",IF(IFERROR(VLOOKUP(A22,Notes!A:B,2,FALSE),"")=0,"",VLOOKUP(A22,Notes!A:B,2,FALSE)))</f>
        <v>04/15/2026…Shear*04/16/2026…Shear</v>
      </c>
      <c r="AA22" s="20">
        <f t="shared" si="7"/>
        <v>1</v>
      </c>
    </row>
    <row r="23" spans="1:27" x14ac:dyDescent="0.25">
      <c r="A23" s="50" t="str">
        <v>25029-MU10</v>
      </c>
      <c r="B23" s="50" t="str">
        <f>IF(A23="","",IFERROR(VLOOKUP(A23,'Production Schedule'!$B:$FU,3,FALSE),""))</f>
        <v>Lourdes CC Phase 2</v>
      </c>
      <c r="C23" s="50" t="str">
        <f>IF(A23="","",IFERROR(VLOOKUP(A23,'Production Schedule'!$B:$FU,5,FALSE),""))</f>
        <v>Dillon Bowman</v>
      </c>
      <c r="D23" s="50" t="str">
        <f>IF(A23="","",IFERROR(VLOOKUP(A23,'Production Schedule'!$B:$FU,7,FALSE),""))</f>
        <v>CUSTOM ARCH</v>
      </c>
      <c r="E23" s="50">
        <f>IF(A23="","",IFERROR(VLOOKUP(A23,'Production Schedule'!$B:$FU,17,FALSE),""))</f>
        <v>1</v>
      </c>
      <c r="F23" s="50">
        <f>IF(A23="","",IFERROR(VLOOKUP(A23,'Production Schedule'!$B:$FU,18,FALSE),""))</f>
        <v>1</v>
      </c>
      <c r="G23" s="50" t="str">
        <f>IF(A23="","",IFERROR(VLOOKUP(A23,'Production Schedule'!$B:$FU,25,FALSE),""))</f>
        <v>Alum Sheet</v>
      </c>
      <c r="H23" s="51">
        <f>IF(A23="","",IFERROR(VLOOKUP(A23,'Production Schedule'!$B:$FU,47,FALSE),""))</f>
        <v>46105.470113217591</v>
      </c>
      <c r="I23" s="51">
        <f>IF(A23="","",IFERROR(VLOOKUP(A23,'Production Schedule'!$B:$FU,54,FALSE),""))</f>
        <v>46108</v>
      </c>
      <c r="J23" s="53">
        <f>IF(A23="","",IFERROR(VLOOKUP(A23,'Production Schedule'!$B:$FU,135,FALSE),""))</f>
        <v>2</v>
      </c>
      <c r="K23" s="50" t="str">
        <f>IF(A23="","",IFERROR(VLOOKUP(A23,'Production Schedule'!$B:$FU,59,FALSE),""))</f>
        <v>YES</v>
      </c>
      <c r="L23" s="52" t="str">
        <f>IF(A23="","",IFERROR(VLOOKUP(A23,'Production Schedule'!$B:$FU,80,FALSE),""))</f>
        <v>TruLaser 3040</v>
      </c>
      <c r="M23" s="54" t="str" cm="1">
        <f t="array" ref="M23">IF(A23="","",IFERROR(TRIM(INDEX(_xlfn.TEXTSPLIT(IFERROR(VLOOKUP(A23,'Production Schedule'!$B:$FU,150,FALSE),""),CHAR(10)),1)),""))</f>
        <v>TruLaser 3040</v>
      </c>
      <c r="N23" s="55">
        <f t="shared" si="0"/>
        <v>46095</v>
      </c>
      <c r="O23" s="54" t="str" cm="1">
        <f t="array" ref="O23">IF(A23="","",IFERROR(TRIM(INDEX(_xlfn.TEXTSPLIT(IFERROR(VLOOKUP(A23,'Production Schedule'!$B:$FU,150,FALSE),""),CHAR(10)),2)),""))</f>
        <v/>
      </c>
      <c r="P23" s="55" t="str">
        <f t="shared" si="1"/>
        <v/>
      </c>
      <c r="Q23" s="54" t="str" cm="1">
        <f t="array" ref="Q23">IF(A23="","",IFERROR(TRIM(INDEX(_xlfn.TEXTSPLIT(IFERROR(VLOOKUP(A23,'Production Schedule'!$B:$FU,150,FALSE),""),CHAR(10)),3)),""))</f>
        <v/>
      </c>
      <c r="R23" s="55" t="str">
        <f t="shared" si="2"/>
        <v/>
      </c>
      <c r="S23" s="54" t="str" cm="1">
        <f t="array" ref="S23">IF(A23="","",IFERROR(TRIM(INDEX(_xlfn.TEXTSPLIT(IFERROR(VLOOKUP(A23,'Production Schedule'!$B:$FU,150,FALSE),""),CHAR(10)),4)),""))</f>
        <v/>
      </c>
      <c r="T23" s="55" t="str">
        <f t="shared" si="3"/>
        <v/>
      </c>
      <c r="U23" s="54" t="str" cm="1">
        <f t="array" ref="U23">IF(A23="","",IFERROR(TRIM(INDEX(_xlfn.TEXTSPLIT(IFERROR(VLOOKUP(A23,'Production Schedule'!$B:$FU,150,FALSE),""),CHAR(10)),5)),""))</f>
        <v/>
      </c>
      <c r="V23" s="55" t="str">
        <f t="shared" si="4"/>
        <v/>
      </c>
      <c r="W23" s="54" t="str" cm="1">
        <f t="array" ref="W23">IF(A23="","",IFERROR(TRIM(INDEX(_xlfn.TEXTSPLIT(IFERROR(VLOOKUP(A23,'Production Schedule'!$B:$FU,150,FALSE),""),CHAR(10)),6)),""))</f>
        <v/>
      </c>
      <c r="X23" s="55" t="str">
        <f t="shared" si="5"/>
        <v/>
      </c>
      <c r="Y23" s="57">
        <f t="shared" si="6"/>
        <v>46106</v>
      </c>
      <c r="Z23" s="58" t="str">
        <f>IF(A23="","",IF(IFERROR(VLOOKUP(A23,Notes!A:B,2,FALSE),"")=0,"",VLOOKUP(A23,Notes!A:B,2,FALSE)))</f>
        <v>04/16/2026…TruLaser 3040</v>
      </c>
      <c r="AA23" s="18">
        <f t="shared" si="7"/>
        <v>1</v>
      </c>
    </row>
    <row r="24" spans="1:27" x14ac:dyDescent="0.25">
      <c r="A24" s="50" t="str">
        <v>24079-FS04</v>
      </c>
      <c r="B24" s="50" t="str">
        <f>IF(A24="","",IFERROR(VLOOKUP(A24,'Production Schedule'!$B:$FU,3,FALSE),""))</f>
        <v>Nashville Youth Campus</v>
      </c>
      <c r="C24" s="50" t="str">
        <f>IF(A24="","",IFERROR(VLOOKUP(A24,'Production Schedule'!$B:$FU,5,FALSE),""))</f>
        <v>Joe Hoyle</v>
      </c>
      <c r="D24" s="50" t="str">
        <f>IF(A24="","",IFERROR(VLOOKUP(A24,'Production Schedule'!$B:$FU,7,FALSE),""))</f>
        <v>---</v>
      </c>
      <c r="E24" s="50">
        <f>IF(A24="","",IFERROR(VLOOKUP(A24,'Production Schedule'!$B:$FU,17,FALSE),""))</f>
        <v>173</v>
      </c>
      <c r="F24" s="50">
        <f>IF(A24="","",IFERROR(VLOOKUP(A24,'Production Schedule'!$B:$FU,18,FALSE),""))</f>
        <v>0</v>
      </c>
      <c r="G24" s="50" t="str">
        <f>IF(A24="","",IFERROR(VLOOKUP(A24,'Production Schedule'!$B:$FU,25,FALSE),""))</f>
        <v>LAYOUT ONLY</v>
      </c>
      <c r="H24" s="51">
        <f>IF(A24="","",IFERROR(VLOOKUP(A24,'Production Schedule'!$B:$FU,47,FALSE),""))</f>
        <v>46069.517283078705</v>
      </c>
      <c r="I24" s="51">
        <f>IF(A24="","",IFERROR(VLOOKUP(A24,'Production Schedule'!$B:$FU,54,FALSE),""))</f>
        <v>46111</v>
      </c>
      <c r="J24" s="53">
        <f>IF(A24="","",IFERROR(VLOOKUP(A24,'Production Schedule'!$B:$FU,135,FALSE),""))</f>
        <v>0</v>
      </c>
      <c r="K24" s="50" t="str">
        <f>IF(A24="","",IFERROR(VLOOKUP(A24,'Production Schedule'!$B:$FU,59,FALSE),""))</f>
        <v>YES</v>
      </c>
      <c r="L24" s="49" t="str">
        <f>IF(A24="","",IFERROR(VLOOKUP(A24,'Production Schedule'!$B:$FU,80,FALSE),""))</f>
        <v>Evaluation</v>
      </c>
      <c r="M24" s="54" t="str" cm="1">
        <f t="array" ref="M24">IF(A24="","",IFERROR(TRIM(INDEX(_xlfn.TEXTSPLIT(IFERROR(VLOOKUP(A24,'Production Schedule'!$B:$FU,150,FALSE),""),CHAR(10)),1)),""))</f>
        <v/>
      </c>
      <c r="N24" s="55" t="str">
        <f t="shared" si="0"/>
        <v/>
      </c>
      <c r="O24" s="56" t="str" cm="1">
        <f t="array" ref="O24">IF(A24="","",IFERROR(TRIM(INDEX(_xlfn.TEXTSPLIT(IFERROR(VLOOKUP(A24,'Production Schedule'!$B:$FU,150,FALSE),""),CHAR(10)),2)),""))</f>
        <v/>
      </c>
      <c r="P24" s="55" t="str">
        <f t="shared" si="1"/>
        <v/>
      </c>
      <c r="Q24" s="54" t="str" cm="1">
        <f t="array" ref="Q24">IF(A24="","",IFERROR(TRIM(INDEX(_xlfn.TEXTSPLIT(IFERROR(VLOOKUP(A24,'Production Schedule'!$B:$FU,150,FALSE),""),CHAR(10)),3)),""))</f>
        <v/>
      </c>
      <c r="R24" s="55" t="str">
        <f t="shared" si="2"/>
        <v/>
      </c>
      <c r="S24" s="54" t="str" cm="1">
        <f t="array" ref="S24">IF(A24="","",IFERROR(TRIM(INDEX(_xlfn.TEXTSPLIT(IFERROR(VLOOKUP(A24,'Production Schedule'!$B:$FU,150,FALSE),""),CHAR(10)),4)),""))</f>
        <v/>
      </c>
      <c r="T24" s="55" t="str">
        <f t="shared" si="3"/>
        <v/>
      </c>
      <c r="U24" s="54" t="str" cm="1">
        <f t="array" ref="U24">IF(A24="","",IFERROR(TRIM(INDEX(_xlfn.TEXTSPLIT(IFERROR(VLOOKUP(A24,'Production Schedule'!$B:$FU,150,FALSE),""),CHAR(10)),5)),""))</f>
        <v/>
      </c>
      <c r="V24" s="55" t="str">
        <f t="shared" si="4"/>
        <v/>
      </c>
      <c r="W24" s="54" t="str" cm="1">
        <f t="array" ref="W24">IF(A24="","",IFERROR(TRIM(INDEX(_xlfn.TEXTSPLIT(IFERROR(VLOOKUP(A24,'Production Schedule'!$B:$FU,150,FALSE),""),CHAR(10)),6)),""))</f>
        <v/>
      </c>
      <c r="X24" s="55" t="str">
        <f t="shared" si="5"/>
        <v/>
      </c>
      <c r="Y24" s="57">
        <f t="shared" si="6"/>
        <v>46108</v>
      </c>
      <c r="Z24" s="58" t="str">
        <f>IF(A24="","",IF(IFERROR(VLOOKUP(A24,Notes!A:B,2,FALSE),"")=0,"",VLOOKUP(A24,Notes!A:B,2,FALSE)))</f>
        <v>04/16/2026…Evaluation</v>
      </c>
      <c r="AA24" s="20">
        <f t="shared" si="7"/>
        <v>1</v>
      </c>
    </row>
    <row r="25" spans="1:27" x14ac:dyDescent="0.25">
      <c r="A25" s="50" t="str">
        <v>26014-04-ST01</v>
      </c>
      <c r="B25" s="50" t="str">
        <f>IF(A25="","",IFERROR(VLOOKUP(A25,'Production Schedule'!$B:$FU,3,FALSE),""))</f>
        <v>2026 R &amp; D</v>
      </c>
      <c r="C25" s="50" t="str">
        <f>IF(A25="","",IFERROR(VLOOKUP(A25,'Production Schedule'!$B:$FU,5,FALSE),""))</f>
        <v>TBC</v>
      </c>
      <c r="D25" s="50" t="str">
        <f>IF(A25="","",IFERROR(VLOOKUP(A25,'Production Schedule'!$B:$FU,7,FALSE),""))</f>
        <v>GRAVITY</v>
      </c>
      <c r="E25" s="50">
        <f>IF(A25="","",IFERROR(VLOOKUP(A25,'Production Schedule'!$B:$FU,17,FALSE),""))</f>
        <v>0</v>
      </c>
      <c r="F25" s="50">
        <f>IF(A25="","",IFERROR(VLOOKUP(A25,'Production Schedule'!$B:$FU,18,FALSE),""))</f>
        <v>8</v>
      </c>
      <c r="G25" s="50" t="str">
        <f>IF(A25="","",IFERROR(VLOOKUP(A25,'Production Schedule'!$B:$FU,25,FALSE),""))</f>
        <v>Alum Tube</v>
      </c>
      <c r="H25" s="51">
        <f>IF(A25="","",IFERROR(VLOOKUP(A25,'Production Schedule'!$B:$FU,47,FALSE),""))</f>
        <v>46112.29160290509</v>
      </c>
      <c r="I25" s="51">
        <f>IF(A25="","",IFERROR(VLOOKUP(A25,'Production Schedule'!$B:$FU,54,FALSE),""))</f>
        <v>46118</v>
      </c>
      <c r="J25" s="53">
        <f>IF(A25="","",IFERROR(VLOOKUP(A25,'Production Schedule'!$B:$FU,135,FALSE),""))</f>
        <v>10</v>
      </c>
      <c r="K25" s="50" t="str">
        <f>IF(A25="","",IFERROR(VLOOKUP(A25,'Production Schedule'!$B:$FU,59,FALSE),""))</f>
        <v>YES</v>
      </c>
      <c r="L25" s="49" t="str">
        <f>IF(A25="","",IFERROR(VLOOKUP(A25,'Production Schedule'!$B:$FU,80,FALSE),""))</f>
        <v>7000 TubeLaser 20</v>
      </c>
      <c r="M25" s="54" t="str" cm="1">
        <f t="array" ref="M25">IF(A25="","",IFERROR(TRIM(INDEX(_xlfn.TEXTSPLIT(IFERROR(VLOOKUP(A25,'Production Schedule'!$B:$FU,150,FALSE),""),CHAR(10)),1)),""))</f>
        <v>Tube Laser</v>
      </c>
      <c r="N25" s="55">
        <f t="shared" si="0"/>
        <v>46093</v>
      </c>
      <c r="O25" s="56" t="str" cm="1">
        <f t="array" ref="O25">IF(A25="","",IFERROR(TRIM(INDEX(_xlfn.TEXTSPLIT(IFERROR(VLOOKUP(A25,'Production Schedule'!$B:$FU,150,FALSE),""),CHAR(10)),2)),""))</f>
        <v>Weld</v>
      </c>
      <c r="P25" s="55">
        <f t="shared" si="1"/>
        <v>46104</v>
      </c>
      <c r="Q25" s="54" t="str" cm="1">
        <f t="array" ref="Q25">IF(A25="","",IFERROR(TRIM(INDEX(_xlfn.TEXTSPLIT(IFERROR(VLOOKUP(A25,'Production Schedule'!$B:$FU,150,FALSE),""),CHAR(10)),3)),""))</f>
        <v/>
      </c>
      <c r="R25" s="55" t="str">
        <f t="shared" si="2"/>
        <v/>
      </c>
      <c r="S25" s="54" t="str" cm="1">
        <f t="array" ref="S25">IF(A25="","",IFERROR(TRIM(INDEX(_xlfn.TEXTSPLIT(IFERROR(VLOOKUP(A25,'Production Schedule'!$B:$FU,150,FALSE),""),CHAR(10)),4)),""))</f>
        <v/>
      </c>
      <c r="T25" s="55" t="str">
        <f t="shared" si="3"/>
        <v/>
      </c>
      <c r="U25" s="54" t="str" cm="1">
        <f t="array" ref="U25">IF(A25="","",IFERROR(TRIM(INDEX(_xlfn.TEXTSPLIT(IFERROR(VLOOKUP(A25,'Production Schedule'!$B:$FU,150,FALSE),""),CHAR(10)),5)),""))</f>
        <v/>
      </c>
      <c r="V25" s="55" t="str">
        <f t="shared" si="4"/>
        <v/>
      </c>
      <c r="W25" s="54" t="str" cm="1">
        <f t="array" ref="W25">IF(A25="","",IFERROR(TRIM(INDEX(_xlfn.TEXTSPLIT(IFERROR(VLOOKUP(A25,'Production Schedule'!$B:$FU,150,FALSE),""),CHAR(10)),6)),""))</f>
        <v/>
      </c>
      <c r="X25" s="55" t="str">
        <f t="shared" si="5"/>
        <v/>
      </c>
      <c r="Y25" s="57">
        <f t="shared" si="6"/>
        <v>46115</v>
      </c>
      <c r="Z25" s="58" t="str">
        <f>IF(A25="","",IF(IFERROR(VLOOKUP(A25,Notes!A:B,2,FALSE),"")=0,"",VLOOKUP(A25,Notes!A:B,2,FALSE)))</f>
        <v>04/16/2026…7000 TubeLaser 20</v>
      </c>
      <c r="AA25" s="18">
        <f t="shared" si="7"/>
        <v>1</v>
      </c>
    </row>
    <row r="26" spans="1:27" x14ac:dyDescent="0.25">
      <c r="A26" s="50" t="str">
        <v>26014-04-FS01</v>
      </c>
      <c r="B26" s="50" t="str">
        <f>IF(A26="","",IFERROR(VLOOKUP(A26,'Production Schedule'!$B:$FU,3,FALSE),""))</f>
        <v>2026 R &amp; D</v>
      </c>
      <c r="C26" s="50" t="str">
        <f>IF(A26="","",IFERROR(VLOOKUP(A26,'Production Schedule'!$B:$FU,5,FALSE),""))</f>
        <v>TBC</v>
      </c>
      <c r="D26" s="50" t="str">
        <f>IF(A26="","",IFERROR(VLOOKUP(A26,'Production Schedule'!$B:$FU,7,FALSE),""))</f>
        <v>GRAVITY</v>
      </c>
      <c r="E26" s="50">
        <f>IF(A26="","",IFERROR(VLOOKUP(A26,'Production Schedule'!$B:$FU,17,FALSE),""))</f>
        <v>4</v>
      </c>
      <c r="F26" s="50">
        <f>IF(A26="","",IFERROR(VLOOKUP(A26,'Production Schedule'!$B:$FU,18,FALSE),""))</f>
        <v>4</v>
      </c>
      <c r="G26" s="50" t="str">
        <f>IF(A26="","",IFERROR(VLOOKUP(A26,'Production Schedule'!$B:$FU,25,FALSE),""))</f>
        <v>Alum Sheet</v>
      </c>
      <c r="H26" s="51">
        <f>IF(A26="","",IFERROR(VLOOKUP(A26,'Production Schedule'!$B:$FU,47,FALSE),""))</f>
        <v>46112.298790370369</v>
      </c>
      <c r="I26" s="51">
        <f>IF(A26="","",IFERROR(VLOOKUP(A26,'Production Schedule'!$B:$FU,54,FALSE),""))</f>
        <v>46118</v>
      </c>
      <c r="J26" s="53">
        <f>IF(A26="","",IFERROR(VLOOKUP(A26,'Production Schedule'!$B:$FU,135,FALSE),""))</f>
        <v>10</v>
      </c>
      <c r="K26" s="50" t="str">
        <f>IF(A26="","",IFERROR(VLOOKUP(A26,'Production Schedule'!$B:$FU,59,FALSE),""))</f>
        <v>NO</v>
      </c>
      <c r="L26" s="52" t="str">
        <f>IF(A26="","",IFERROR(VLOOKUP(A26,'Production Schedule'!$B:$FU,80,FALSE),""))</f>
        <v>7000 TruMatic</v>
      </c>
      <c r="M26" s="54" t="str" cm="1">
        <f t="array" ref="M26">IF(A26="","",IFERROR(TRIM(INDEX(_xlfn.TEXTSPLIT(IFERROR(VLOOKUP(A26,'Production Schedule'!$B:$FU,150,FALSE),""),CHAR(10)),1)),""))</f>
        <v>7000 TruMatic</v>
      </c>
      <c r="N26" s="55">
        <f t="shared" si="0"/>
        <v>46094</v>
      </c>
      <c r="O26" s="54" t="str" cm="1">
        <f t="array" ref="O26">IF(A26="","",IFERROR(TRIM(INDEX(_xlfn.TEXTSPLIT(IFERROR(VLOOKUP(A26,'Production Schedule'!$B:$FU,150,FALSE),""),CHAR(10)),2)),""))</f>
        <v>Brake</v>
      </c>
      <c r="P26" s="55">
        <f t="shared" si="1"/>
        <v>46105</v>
      </c>
      <c r="Q26" s="54" t="str" cm="1">
        <f t="array" ref="Q26">IF(A26="","",IFERROR(TRIM(INDEX(_xlfn.TEXTSPLIT(IFERROR(VLOOKUP(A26,'Production Schedule'!$B:$FU,150,FALSE),""),CHAR(10)),3)),""))</f>
        <v/>
      </c>
      <c r="R26" s="55" t="str">
        <f t="shared" si="2"/>
        <v/>
      </c>
      <c r="S26" s="54" t="str" cm="1">
        <f t="array" ref="S26">IF(A26="","",IFERROR(TRIM(INDEX(_xlfn.TEXTSPLIT(IFERROR(VLOOKUP(A26,'Production Schedule'!$B:$FU,150,FALSE),""),CHAR(10)),4)),""))</f>
        <v/>
      </c>
      <c r="T26" s="55" t="str">
        <f t="shared" si="3"/>
        <v/>
      </c>
      <c r="U26" s="54" t="str" cm="1">
        <f t="array" ref="U26">IF(A26="","",IFERROR(TRIM(INDEX(_xlfn.TEXTSPLIT(IFERROR(VLOOKUP(A26,'Production Schedule'!$B:$FU,150,FALSE),""),CHAR(10)),5)),""))</f>
        <v/>
      </c>
      <c r="V26" s="55" t="str">
        <f t="shared" si="4"/>
        <v/>
      </c>
      <c r="W26" s="54" t="str" cm="1">
        <f t="array" ref="W26">IF(A26="","",IFERROR(TRIM(INDEX(_xlfn.TEXTSPLIT(IFERROR(VLOOKUP(A26,'Production Schedule'!$B:$FU,150,FALSE),""),CHAR(10)),6)),""))</f>
        <v/>
      </c>
      <c r="X26" s="55" t="str">
        <f t="shared" si="5"/>
        <v/>
      </c>
      <c r="Y26" s="57">
        <f t="shared" si="6"/>
        <v>46115</v>
      </c>
      <c r="Z26" s="58" t="str">
        <f>IF(A26="","",IF(IFERROR(VLOOKUP(A26,Notes!A:B,2,FALSE),"")=0,"",VLOOKUP(A26,Notes!A:B,2,FALSE)))</f>
        <v>04/16/2026…7000 TruMatic</v>
      </c>
      <c r="AA26" s="20">
        <f t="shared" si="7"/>
        <v>1</v>
      </c>
    </row>
    <row r="27" spans="1:27" x14ac:dyDescent="0.25">
      <c r="A27" s="50" t="str">
        <v>1040-30791-ST09</v>
      </c>
      <c r="B27" s="50" t="str">
        <f>IF(A27="","",IFERROR(VLOOKUP(A27,'Production Schedule'!$B:$FU,3,FALSE),""))</f>
        <v>AFI - YANCEY</v>
      </c>
      <c r="C27" s="50" t="str">
        <f>IF(A27="","",IFERROR(VLOOKUP(A27,'Production Schedule'!$B:$FU,5,FALSE),""))</f>
        <v>Hannah Sadloski, Lisa Ellison</v>
      </c>
      <c r="D27" s="50" t="str">
        <f>IF(A27="","",IFERROR(VLOOKUP(A27,'Production Schedule'!$B:$FU,7,FALSE),""))</f>
        <v>---</v>
      </c>
      <c r="E27" s="50">
        <f>IF(A27="","",IFERROR(VLOOKUP(A27,'Production Schedule'!$B:$FU,17,FALSE),""))</f>
        <v>0</v>
      </c>
      <c r="F27" s="50">
        <f>IF(A27="","",IFERROR(VLOOKUP(A27,'Production Schedule'!$B:$FU,18,FALSE),""))</f>
        <v>185</v>
      </c>
      <c r="G27" s="50" t="str">
        <f>IF(A27="","",IFERROR(VLOOKUP(A27,'Production Schedule'!$B:$FU,25,FALSE),""))</f>
        <v>Alum Tube</v>
      </c>
      <c r="H27" s="51">
        <f>IF(A27="","",IFERROR(VLOOKUP(A27,'Production Schedule'!$B:$FU,47,FALSE),""))</f>
        <v>46113.59800583333</v>
      </c>
      <c r="I27" s="51">
        <f>IF(A27="","",IFERROR(VLOOKUP(A27,'Production Schedule'!$B:$FU,54,FALSE),""))</f>
        <v>46122</v>
      </c>
      <c r="J27" s="53">
        <f>IF(A27="","",IFERROR(VLOOKUP(A27,'Production Schedule'!$B:$FU,135,FALSE),""))</f>
        <v>0</v>
      </c>
      <c r="K27" s="50" t="str">
        <f>IF(A27="","",IFERROR(VLOOKUP(A27,'Production Schedule'!$B:$FU,59,FALSE),""))</f>
        <v>YES</v>
      </c>
      <c r="L27" s="49" t="str">
        <f>IF(A27="","",IFERROR(VLOOKUP(A27,'Production Schedule'!$B:$FU,80,FALSE),""))</f>
        <v>Assembly</v>
      </c>
      <c r="M27" s="54" t="str" cm="1">
        <f t="array" ref="M27">IF(A27="","",IFERROR(TRIM(INDEX(_xlfn.TEXTSPLIT(IFERROR(VLOOKUP(A27,'Production Schedule'!$B:$FU,150,FALSE),""),CHAR(10)),1)),""))</f>
        <v>Assembly</v>
      </c>
      <c r="N27" s="55">
        <f t="shared" si="0"/>
        <v>46099</v>
      </c>
      <c r="O27" s="56" t="str" cm="1">
        <f t="array" ref="O27">IF(A27="","",IFERROR(TRIM(INDEX(_xlfn.TEXTSPLIT(IFERROR(VLOOKUP(A27,'Production Schedule'!$B:$FU,150,FALSE),""),CHAR(10)),2)),""))</f>
        <v>Extrusion Saw</v>
      </c>
      <c r="P27" s="55">
        <f t="shared" si="1"/>
        <v>46109</v>
      </c>
      <c r="Q27" s="54" t="str" cm="1">
        <f t="array" ref="Q27">IF(A27="","",IFERROR(TRIM(INDEX(_xlfn.TEXTSPLIT(IFERROR(VLOOKUP(A27,'Production Schedule'!$B:$FU,150,FALSE),""),CHAR(10)),3)),""))</f>
        <v/>
      </c>
      <c r="R27" s="55" t="str">
        <f t="shared" si="2"/>
        <v/>
      </c>
      <c r="S27" s="54" t="str" cm="1">
        <f t="array" ref="S27">IF(A27="","",IFERROR(TRIM(INDEX(_xlfn.TEXTSPLIT(IFERROR(VLOOKUP(A27,'Production Schedule'!$B:$FU,150,FALSE),""),CHAR(10)),4)),""))</f>
        <v/>
      </c>
      <c r="T27" s="55" t="str">
        <f t="shared" si="3"/>
        <v/>
      </c>
      <c r="U27" s="54" t="str" cm="1">
        <f t="array" ref="U27">IF(A27="","",IFERROR(TRIM(INDEX(_xlfn.TEXTSPLIT(IFERROR(VLOOKUP(A27,'Production Schedule'!$B:$FU,150,FALSE),""),CHAR(10)),5)),""))</f>
        <v/>
      </c>
      <c r="V27" s="55" t="str">
        <f t="shared" si="4"/>
        <v/>
      </c>
      <c r="W27" s="54" t="str" cm="1">
        <f t="array" ref="W27">IF(A27="","",IFERROR(TRIM(INDEX(_xlfn.TEXTSPLIT(IFERROR(VLOOKUP(A27,'Production Schedule'!$B:$FU,150,FALSE),""),CHAR(10)),6)),""))</f>
        <v/>
      </c>
      <c r="X27" s="55" t="str">
        <f t="shared" si="5"/>
        <v/>
      </c>
      <c r="Y27" s="57">
        <f t="shared" si="6"/>
        <v>46120</v>
      </c>
      <c r="Z27" s="58" t="str">
        <f>IF(A27="","",IF(IFERROR(VLOOKUP(A27,Notes!A:B,2,FALSE),"")=0,"",VLOOKUP(A27,Notes!A:B,2,FALSE)))</f>
        <v>04/16/2026…Assembly</v>
      </c>
      <c r="AA27" s="18">
        <f t="shared" si="7"/>
        <v>1</v>
      </c>
    </row>
    <row r="28" spans="1:27" x14ac:dyDescent="0.25">
      <c r="A28" s="50" t="str">
        <v>24079-BM04D</v>
      </c>
      <c r="B28" s="50" t="str">
        <f>IF(A28="","",IFERROR(VLOOKUP(A28,'Production Schedule'!$B:$FU,3,FALSE),""))</f>
        <v>Nashville Youth Campus</v>
      </c>
      <c r="C28" s="50" t="str">
        <f>IF(A28="","",IFERROR(VLOOKUP(A28,'Production Schedule'!$B:$FU,5,FALSE),""))</f>
        <v>Joe Hoyle</v>
      </c>
      <c r="D28" s="50">
        <f>IF(A28="","",IFERROR(VLOOKUP(A28,'Production Schedule'!$B:$FU,7,FALSE),""))</f>
        <v>0</v>
      </c>
      <c r="E28" s="50">
        <f>IF(A28="","",IFERROR(VLOOKUP(A28,'Production Schedule'!$B:$FU,17,FALSE),""))</f>
        <v>185</v>
      </c>
      <c r="F28" s="50">
        <f>IF(A28="","",IFERROR(VLOOKUP(A28,'Production Schedule'!$B:$FU,18,FALSE),""))</f>
        <v>1295</v>
      </c>
      <c r="G28" s="50" t="str">
        <f>IF(A28="","",IFERROR(VLOOKUP(A28,'Production Schedule'!$B:$FU,25,FALSE),""))</f>
        <v>Steel Sheet</v>
      </c>
      <c r="H28" s="51">
        <f>IF(A28="","",IFERROR(VLOOKUP(A28,'Production Schedule'!$B:$FU,47,FALSE),""))</f>
        <v>46097.583973171299</v>
      </c>
      <c r="I28" s="51">
        <f>IF(A28="","",IFERROR(VLOOKUP(A28,'Production Schedule'!$B:$FU,54,FALSE),""))</f>
        <v>46125</v>
      </c>
      <c r="J28" s="53">
        <f>IF(A28="","",IFERROR(VLOOKUP(A28,'Production Schedule'!$B:$FU,135,FALSE),""))</f>
        <v>40</v>
      </c>
      <c r="K28" s="50" t="str">
        <f>IF(A28="","",IFERROR(VLOOKUP(A28,'Production Schedule'!$B:$FU,59,FALSE),""))</f>
        <v>YES</v>
      </c>
      <c r="L28" s="52" t="str">
        <f>IF(A28="","",IFERROR(VLOOKUP(A28,'Production Schedule'!$B:$FU,80,FALSE),""))</f>
        <v>TruPunch 5000</v>
      </c>
      <c r="M28" s="54" t="str" cm="1">
        <f t="array" ref="M28">IF(A28="","",IFERROR(TRIM(INDEX(_xlfn.TEXTSPLIT(IFERROR(VLOOKUP(A28,'Production Schedule'!$B:$FU,150,FALSE),""),CHAR(10)),1)),""))</f>
        <v>Brake</v>
      </c>
      <c r="N28" s="55">
        <f t="shared" si="0"/>
        <v>46072</v>
      </c>
      <c r="O28" s="54" t="str" cm="1">
        <f t="array" ref="O28">IF(A28="","",IFERROR(TRIM(INDEX(_xlfn.TEXTSPLIT(IFERROR(VLOOKUP(A28,'Production Schedule'!$B:$FU,150,FALSE),""),CHAR(10)),2)),""))</f>
        <v>Powder Coat</v>
      </c>
      <c r="P28" s="55">
        <f t="shared" si="1"/>
        <v>46083</v>
      </c>
      <c r="Q28" s="54" t="str" cm="1">
        <f t="array" ref="Q28">IF(A28="","",IFERROR(TRIM(INDEX(_xlfn.TEXTSPLIT(IFERROR(VLOOKUP(A28,'Production Schedule'!$B:$FU,150,FALSE),""),CHAR(10)),3)),""))</f>
        <v>Shear</v>
      </c>
      <c r="R28" s="55">
        <f t="shared" si="2"/>
        <v>46111</v>
      </c>
      <c r="S28" s="54" t="str" cm="1">
        <f t="array" ref="S28">IF(A28="","",IFERROR(TRIM(INDEX(_xlfn.TEXTSPLIT(IFERROR(VLOOKUP(A28,'Production Schedule'!$B:$FU,150,FALSE),""),CHAR(10)),4)),""))</f>
        <v>TruPunch 5000</v>
      </c>
      <c r="T28" s="55">
        <f t="shared" si="3"/>
        <v>46122</v>
      </c>
      <c r="U28" s="54" t="str" cm="1">
        <f t="array" ref="U28">IF(A28="","",IFERROR(TRIM(INDEX(_xlfn.TEXTSPLIT(IFERROR(VLOOKUP(A28,'Production Schedule'!$B:$FU,150,FALSE),""),CHAR(10)),5)),""))</f>
        <v/>
      </c>
      <c r="V28" s="55" t="str">
        <f t="shared" si="4"/>
        <v/>
      </c>
      <c r="W28" s="54" t="str" cm="1">
        <f t="array" ref="W28">IF(A28="","",IFERROR(TRIM(INDEX(_xlfn.TEXTSPLIT(IFERROR(VLOOKUP(A28,'Production Schedule'!$B:$FU,150,FALSE),""),CHAR(10)),6)),""))</f>
        <v/>
      </c>
      <c r="X28" s="55" t="str">
        <f t="shared" si="5"/>
        <v/>
      </c>
      <c r="Y28" s="57">
        <f t="shared" si="6"/>
        <v>46122</v>
      </c>
      <c r="Z28" s="58" t="str">
        <f>IF(A28="","",IF(IFERROR(VLOOKUP(A28,Notes!A:B,2,FALSE),"")=0,"",VLOOKUP(A28,Notes!A:B,2,FALSE)))</f>
        <v>04/16/2026…TruPunch 5000</v>
      </c>
      <c r="AA28" s="20">
        <f t="shared" si="7"/>
        <v>1</v>
      </c>
    </row>
    <row r="29" spans="1:27" x14ac:dyDescent="0.25">
      <c r="A29" s="50" t="str">
        <v>25005-ST02</v>
      </c>
      <c r="B29" s="50" t="str">
        <f>IF(A29="","",IFERROR(VLOOKUP(A29,'Production Schedule'!$B:$FU,3,FALSE),""))</f>
        <v>CAT Financial Nashville HQ</v>
      </c>
      <c r="C29" s="50" t="str">
        <f>IF(A29="","",IFERROR(VLOOKUP(A29,'Production Schedule'!$B:$FU,5,FALSE),""))</f>
        <v>Chris Buttrey</v>
      </c>
      <c r="D29" s="50" t="str">
        <f>IF(A29="","",IFERROR(VLOOKUP(A29,'Production Schedule'!$B:$FU,7,FALSE),""))</f>
        <v>CUSTOM ARCH</v>
      </c>
      <c r="E29" s="50">
        <f>IF(A29="","",IFERROR(VLOOKUP(A29,'Production Schedule'!$B:$FU,17,FALSE),""))</f>
        <v>0</v>
      </c>
      <c r="F29" s="50">
        <f>IF(A29="","",IFERROR(VLOOKUP(A29,'Production Schedule'!$B:$FU,18,FALSE),""))</f>
        <v>4</v>
      </c>
      <c r="G29" s="50" t="str">
        <f>IF(A29="","",IFERROR(VLOOKUP(A29,'Production Schedule'!$B:$FU,25,FALSE),""))</f>
        <v>Steel Sheet</v>
      </c>
      <c r="H29" s="51">
        <f>IF(A29="","",IFERROR(VLOOKUP(A29,'Production Schedule'!$B:$FU,47,FALSE),""))</f>
        <v>46114.342279143515</v>
      </c>
      <c r="I29" s="51">
        <f>IF(A29="","",IFERROR(VLOOKUP(A29,'Production Schedule'!$B:$FU,54,FALSE),""))</f>
        <v>46125</v>
      </c>
      <c r="J29" s="53">
        <f>IF(A29="","",IFERROR(VLOOKUP(A29,'Production Schedule'!$B:$FU,135,FALSE),""))</f>
        <v>4</v>
      </c>
      <c r="K29" s="50" t="str">
        <f>IF(A29="","",IFERROR(VLOOKUP(A29,'Production Schedule'!$B:$FU,59,FALSE),""))</f>
        <v>NO</v>
      </c>
      <c r="L29" s="49" t="str">
        <f>IF(A29="","",IFERROR(VLOOKUP(A29,'Production Schedule'!$B:$FU,80,FALSE),""))</f>
        <v>TruLaser 3040</v>
      </c>
      <c r="M29" s="54" t="str" cm="1">
        <f t="array" ref="M29">IF(A29="","",IFERROR(TRIM(INDEX(_xlfn.TEXTSPLIT(IFERROR(VLOOKUP(A29,'Production Schedule'!$B:$FU,150,FALSE),""),CHAR(10)),1)),""))</f>
        <v>Brake</v>
      </c>
      <c r="N29" s="55">
        <f t="shared" si="0"/>
        <v>46063</v>
      </c>
      <c r="O29" s="56" t="str" cm="1">
        <f t="array" ref="O29">IF(A29="","",IFERROR(TRIM(INDEX(_xlfn.TEXTSPLIT(IFERROR(VLOOKUP(A29,'Production Schedule'!$B:$FU,150,FALSE),""),CHAR(10)),2)),""))</f>
        <v>Fab</v>
      </c>
      <c r="P29" s="55">
        <f t="shared" si="1"/>
        <v>46073</v>
      </c>
      <c r="Q29" s="54" t="str" cm="1">
        <f t="array" ref="Q29">IF(A29="","",IFERROR(TRIM(INDEX(_xlfn.TEXTSPLIT(IFERROR(VLOOKUP(A29,'Production Schedule'!$B:$FU,150,FALSE),""),CHAR(10)),3)),""))</f>
        <v>Powder Coat</v>
      </c>
      <c r="R29" s="55">
        <f t="shared" si="2"/>
        <v>46084</v>
      </c>
      <c r="S29" s="54" t="str" cm="1">
        <f t="array" ref="S29">IF(A29="","",IFERROR(TRIM(INDEX(_xlfn.TEXTSPLIT(IFERROR(VLOOKUP(A29,'Production Schedule'!$B:$FU,150,FALSE),""),CHAR(10)),4)),""))</f>
        <v>TruLaser 3040</v>
      </c>
      <c r="T29" s="55">
        <f t="shared" si="3"/>
        <v>46112</v>
      </c>
      <c r="U29" s="54" t="str" cm="1">
        <f t="array" ref="U29">IF(A29="","",IFERROR(TRIM(INDEX(_xlfn.TEXTSPLIT(IFERROR(VLOOKUP(A29,'Production Schedule'!$B:$FU,150,FALSE),""),CHAR(10)),5)),""))</f>
        <v/>
      </c>
      <c r="V29" s="55" t="str">
        <f t="shared" si="4"/>
        <v/>
      </c>
      <c r="W29" s="54" t="str" cm="1">
        <f t="array" ref="W29">IF(A29="","",IFERROR(TRIM(INDEX(_xlfn.TEXTSPLIT(IFERROR(VLOOKUP(A29,'Production Schedule'!$B:$FU,150,FALSE),""),CHAR(10)),6)),""))</f>
        <v/>
      </c>
      <c r="X29" s="55" t="str">
        <f t="shared" si="5"/>
        <v/>
      </c>
      <c r="Y29" s="57">
        <f t="shared" si="6"/>
        <v>46122</v>
      </c>
      <c r="Z29" s="58" t="str">
        <f>IF(A29="","",IF(IFERROR(VLOOKUP(A29,Notes!A:B,2,FALSE),"")=0,"",VLOOKUP(A29,Notes!A:B,2,FALSE)))</f>
        <v>04/16/2026…TruLaser 3040</v>
      </c>
      <c r="AA29" s="18">
        <f t="shared" si="7"/>
        <v>1</v>
      </c>
    </row>
    <row r="30" spans="1:27" x14ac:dyDescent="0.25">
      <c r="A30" s="50" t="str">
        <v>25012-MU07</v>
      </c>
      <c r="B30" s="50" t="str">
        <f>IF(A30="","",IFERROR(VLOOKUP(A30,'Production Schedule'!$B:$FU,3,FALSE),""))</f>
        <v>St Jude Hospital</v>
      </c>
      <c r="C30" s="50" t="str">
        <f>IF(A30="","",IFERROR(VLOOKUP(A30,'Production Schedule'!$B:$FU,5,FALSE),""))</f>
        <v>Wylie McDougall</v>
      </c>
      <c r="D30" s="50">
        <f>IF(A30="","",IFERROR(VLOOKUP(A30,'Production Schedule'!$B:$FU,7,FALSE),""))</f>
        <v>400</v>
      </c>
      <c r="E30" s="50">
        <f>IF(A30="","",IFERROR(VLOOKUP(A30,'Production Schedule'!$B:$FU,17,FALSE),""))</f>
        <v>8</v>
      </c>
      <c r="F30" s="50">
        <f>IF(A30="","",IFERROR(VLOOKUP(A30,'Production Schedule'!$B:$FU,18,FALSE),""))</f>
        <v>8</v>
      </c>
      <c r="G30" s="50" t="str">
        <f>IF(A30="","",IFERROR(VLOOKUP(A30,'Production Schedule'!$B:$FU,25,FALSE),""))</f>
        <v>FR ACM</v>
      </c>
      <c r="H30" s="51">
        <f>IF(A30="","",IFERROR(VLOOKUP(A30,'Production Schedule'!$B:$FU,47,FALSE),""))</f>
        <v>46113.51101199074</v>
      </c>
      <c r="I30" s="51">
        <f>IF(A30="","",IFERROR(VLOOKUP(A30,'Production Schedule'!$B:$FU,54,FALSE),""))</f>
        <v>46126</v>
      </c>
      <c r="J30" s="53">
        <f>IF(A30="","",IFERROR(VLOOKUP(A30,'Production Schedule'!$B:$FU,135,FALSE),""))</f>
        <v>2</v>
      </c>
      <c r="K30" s="50" t="str">
        <f>IF(A30="","",IFERROR(VLOOKUP(A30,'Production Schedule'!$B:$FU,59,FALSE),""))</f>
        <v>YES</v>
      </c>
      <c r="L30" s="50" t="str">
        <f>IF(A30="","",IFERROR(VLOOKUP(A30,'Production Schedule'!$B:$FU,80,FALSE),""))</f>
        <v>Clean and Brake</v>
      </c>
      <c r="M30" s="54" t="str" cm="1">
        <f t="array" ref="M30">IF(A30="","",IFERROR(TRIM(INDEX(_xlfn.TEXTSPLIT(IFERROR(VLOOKUP(A30,'Production Schedule'!$B:$FU,150,FALSE),""),CHAR(10)),1)),""))</f>
        <v>AXYZ</v>
      </c>
      <c r="N30" s="55">
        <f t="shared" si="0"/>
        <v>46112</v>
      </c>
      <c r="O30" s="54" t="str" cm="1">
        <f t="array" ref="O30">IF(A30="","",IFERROR(TRIM(INDEX(_xlfn.TEXTSPLIT(IFERROR(VLOOKUP(A30,'Production Schedule'!$B:$FU,150,FALSE),""),CHAR(10)),2)),""))</f>
        <v>Clean and Brake</v>
      </c>
      <c r="P30" s="55">
        <f t="shared" si="1"/>
        <v>46113</v>
      </c>
      <c r="Q30" s="54" t="str" cm="1">
        <f t="array" ref="Q30">IF(A30="","",IFERROR(TRIM(INDEX(_xlfn.TEXTSPLIT(IFERROR(VLOOKUP(A30,'Production Schedule'!$B:$FU,150,FALSE),""),CHAR(10)),3)),""))</f>
        <v/>
      </c>
      <c r="R30" s="55" t="str">
        <f t="shared" si="2"/>
        <v/>
      </c>
      <c r="S30" s="54" t="str" cm="1">
        <f t="array" ref="S30">IF(A30="","",IFERROR(TRIM(INDEX(_xlfn.TEXTSPLIT(IFERROR(VLOOKUP(A30,'Production Schedule'!$B:$FU,150,FALSE),""),CHAR(10)),4)),""))</f>
        <v/>
      </c>
      <c r="T30" s="55" t="str">
        <f t="shared" si="3"/>
        <v/>
      </c>
      <c r="U30" s="54" t="str" cm="1">
        <f t="array" ref="U30">IF(A30="","",IFERROR(TRIM(INDEX(_xlfn.TEXTSPLIT(IFERROR(VLOOKUP(A30,'Production Schedule'!$B:$FU,150,FALSE),""),CHAR(10)),5)),""))</f>
        <v/>
      </c>
      <c r="V30" s="55" t="str">
        <f t="shared" si="4"/>
        <v/>
      </c>
      <c r="W30" s="54" t="str" cm="1">
        <f t="array" ref="W30">IF(A30="","",IFERROR(TRIM(INDEX(_xlfn.TEXTSPLIT(IFERROR(VLOOKUP(A30,'Production Schedule'!$B:$FU,150,FALSE),""),CHAR(10)),6)),""))</f>
        <v/>
      </c>
      <c r="X30" s="55" t="str">
        <f t="shared" si="5"/>
        <v/>
      </c>
      <c r="Y30" s="57">
        <f t="shared" si="6"/>
        <v>46123</v>
      </c>
      <c r="Z30" s="58" t="str">
        <f>IF(A30="","",IF(IFERROR(VLOOKUP(A30,Notes!A:B,2,FALSE),"")=0,"",VLOOKUP(A30,Notes!A:B,2,FALSE)))</f>
        <v>04/16/2026…Clean and Brake</v>
      </c>
      <c r="AA30" s="20">
        <f t="shared" si="7"/>
        <v>1</v>
      </c>
    </row>
    <row r="31" spans="1:27" x14ac:dyDescent="0.25">
      <c r="A31" s="50" t="str">
        <v>24051-FS87</v>
      </c>
      <c r="B31" s="50" t="str">
        <f>IF(A31="","",IFERROR(VLOOKUP(A31,'Production Schedule'!$B:$FU,3,FALSE),""))</f>
        <v>TN Titans Stadium</v>
      </c>
      <c r="C31" s="50" t="str">
        <f>IF(A31="","",IFERROR(VLOOKUP(A31,'Production Schedule'!$B:$FU,5,FALSE),""))</f>
        <v>Marc Ribar</v>
      </c>
      <c r="D31" s="50">
        <f>IF(A31="","",IFERROR(VLOOKUP(A31,'Production Schedule'!$B:$FU,7,FALSE),""))</f>
        <v>400</v>
      </c>
      <c r="E31" s="50">
        <f>IF(A31="","",IFERROR(VLOOKUP(A31,'Production Schedule'!$B:$FU,17,FALSE),""))</f>
        <v>54</v>
      </c>
      <c r="F31" s="50">
        <f>IF(A31="","",IFERROR(VLOOKUP(A31,'Production Schedule'!$B:$FU,18,FALSE),""))</f>
        <v>54</v>
      </c>
      <c r="G31" s="50" t="str">
        <f>IF(A31="","",IFERROR(VLOOKUP(A31,'Production Schedule'!$B:$FU,25,FALSE),""))</f>
        <v>FR ACM</v>
      </c>
      <c r="H31" s="51">
        <f>IF(A31="","",IFERROR(VLOOKUP(A31,'Production Schedule'!$B:$FU,47,FALSE),""))</f>
        <v>46085.356951851849</v>
      </c>
      <c r="I31" s="51">
        <f>IF(A31="","",IFERROR(VLOOKUP(A31,'Production Schedule'!$B:$FU,54,FALSE),""))</f>
        <v>46127</v>
      </c>
      <c r="J31" s="53">
        <f>IF(A31="","",IFERROR(VLOOKUP(A31,'Production Schedule'!$B:$FU,135,FALSE),""))</f>
        <v>16</v>
      </c>
      <c r="K31" s="50" t="str">
        <f>IF(A31="","",IFERROR(VLOOKUP(A31,'Production Schedule'!$B:$FU,59,FALSE),""))</f>
        <v>YES</v>
      </c>
      <c r="L31" s="49" t="str">
        <f>IF(A31="","",IFERROR(VLOOKUP(A31,'Production Schedule'!$B:$FU,80,FALSE),""))</f>
        <v>Clean and Brake</v>
      </c>
      <c r="M31" s="56" t="str" cm="1">
        <f t="array" ref="M31">IF(A31="","",IFERROR(TRIM(INDEX(_xlfn.TEXTSPLIT(IFERROR(VLOOKUP(A31,'Production Schedule'!$B:$FU,150,FALSE),""),CHAR(10)),1)),""))</f>
        <v>AXYZ Titans Line</v>
      </c>
      <c r="N31" s="55">
        <f t="shared" si="0"/>
        <v>46102</v>
      </c>
      <c r="O31" s="54" t="str" cm="1">
        <f t="array" ref="O31">IF(A31="","",IFERROR(TRIM(INDEX(_xlfn.TEXTSPLIT(IFERROR(VLOOKUP(A31,'Production Schedule'!$B:$FU,150,FALSE),""),CHAR(10)),2)),""))</f>
        <v>Clean and Brake</v>
      </c>
      <c r="P31" s="55">
        <f t="shared" si="1"/>
        <v>46104</v>
      </c>
      <c r="Q31" s="54" t="str" cm="1">
        <f t="array" ref="Q31">IF(A31="","",IFERROR(TRIM(INDEX(_xlfn.TEXTSPLIT(IFERROR(VLOOKUP(A31,'Production Schedule'!$B:$FU,150,FALSE),""),CHAR(10)),3)),""))</f>
        <v>Fab</v>
      </c>
      <c r="R31" s="55">
        <f t="shared" si="2"/>
        <v>46114</v>
      </c>
      <c r="S31" s="54" t="str" cm="1">
        <f t="array" ref="S31">IF(A31="","",IFERROR(TRIM(INDEX(_xlfn.TEXTSPLIT(IFERROR(VLOOKUP(A31,'Production Schedule'!$B:$FU,150,FALSE),""),CHAR(10)),4)),""))</f>
        <v/>
      </c>
      <c r="T31" s="55" t="str">
        <f t="shared" si="3"/>
        <v/>
      </c>
      <c r="U31" s="54" t="str" cm="1">
        <f t="array" ref="U31">IF(A31="","",IFERROR(TRIM(INDEX(_xlfn.TEXTSPLIT(IFERROR(VLOOKUP(A31,'Production Schedule'!$B:$FU,150,FALSE),""),CHAR(10)),5)),""))</f>
        <v/>
      </c>
      <c r="V31" s="55" t="str">
        <f t="shared" si="4"/>
        <v/>
      </c>
      <c r="W31" s="54" t="str" cm="1">
        <f t="array" ref="W31">IF(A31="","",IFERROR(TRIM(INDEX(_xlfn.TEXTSPLIT(IFERROR(VLOOKUP(A31,'Production Schedule'!$B:$FU,150,FALSE),""),CHAR(10)),6)),""))</f>
        <v/>
      </c>
      <c r="X31" s="55" t="str">
        <f t="shared" si="5"/>
        <v/>
      </c>
      <c r="Y31" s="57">
        <f t="shared" si="6"/>
        <v>46125</v>
      </c>
      <c r="Z31" s="58" t="str">
        <f>IF(A31="","",IF(IFERROR(VLOOKUP(A31,Notes!A:B,2,FALSE),"")=0,"",VLOOKUP(A31,Notes!A:B,2,FALSE)))</f>
        <v>Must be RTS on Friday 04/17*04/16/2026…Clean and Brake</v>
      </c>
      <c r="AA31" s="18">
        <f t="shared" si="7"/>
        <v>1</v>
      </c>
    </row>
    <row r="32" spans="1:27" x14ac:dyDescent="0.25">
      <c r="A32" s="50" t="str">
        <v>24051-FS89</v>
      </c>
      <c r="B32" s="50" t="str">
        <f>IF(A32="","",IFERROR(VLOOKUP(A32,'Production Schedule'!$B:$FU,3,FALSE),""))</f>
        <v>TN Titans Stadium</v>
      </c>
      <c r="C32" s="50" t="str">
        <f>IF(A32="","",IFERROR(VLOOKUP(A32,'Production Schedule'!$B:$FU,5,FALSE),""))</f>
        <v>Marc Ribar</v>
      </c>
      <c r="D32" s="50">
        <f>IF(A32="","",IFERROR(VLOOKUP(A32,'Production Schedule'!$B:$FU,7,FALSE),""))</f>
        <v>400</v>
      </c>
      <c r="E32" s="50">
        <f>IF(A32="","",IFERROR(VLOOKUP(A32,'Production Schedule'!$B:$FU,17,FALSE),""))</f>
        <v>40</v>
      </c>
      <c r="F32" s="50">
        <f>IF(A32="","",IFERROR(VLOOKUP(A32,'Production Schedule'!$B:$FU,18,FALSE),""))</f>
        <v>40</v>
      </c>
      <c r="G32" s="50" t="str">
        <f>IF(A32="","",IFERROR(VLOOKUP(A32,'Production Schedule'!$B:$FU,25,FALSE),""))</f>
        <v>FR ACM</v>
      </c>
      <c r="H32" s="51">
        <f>IF(A32="","",IFERROR(VLOOKUP(A32,'Production Schedule'!$B:$FU,47,FALSE),""))</f>
        <v>46085.484926620367</v>
      </c>
      <c r="I32" s="51">
        <f>IF(A32="","",IFERROR(VLOOKUP(A32,'Production Schedule'!$B:$FU,54,FALSE),""))</f>
        <v>46127</v>
      </c>
      <c r="J32" s="53">
        <f>IF(A32="","",IFERROR(VLOOKUP(A32,'Production Schedule'!$B:$FU,135,FALSE),""))</f>
        <v>40</v>
      </c>
      <c r="K32" s="50" t="str">
        <f>IF(A32="","",IFERROR(VLOOKUP(A32,'Production Schedule'!$B:$FU,59,FALSE),""))</f>
        <v>YES</v>
      </c>
      <c r="L32" s="49" t="str">
        <f>IF(A32="","",IFERROR(VLOOKUP(A32,'Production Schedule'!$B:$FU,80,FALSE),""))</f>
        <v>AXYZ 34</v>
      </c>
      <c r="M32" s="56" t="str" cm="1">
        <f t="array" ref="M32">IF(A32="","",IFERROR(TRIM(INDEX(_xlfn.TEXTSPLIT(IFERROR(VLOOKUP(A32,'Production Schedule'!$B:$FU,150,FALSE),""),CHAR(10)),1)),""))</f>
        <v>AXYZ Titans Line</v>
      </c>
      <c r="N32" s="55">
        <f t="shared" si="0"/>
        <v>46102</v>
      </c>
      <c r="O32" s="54" t="str" cm="1">
        <f t="array" ref="O32">IF(A32="","",IFERROR(TRIM(INDEX(_xlfn.TEXTSPLIT(IFERROR(VLOOKUP(A32,'Production Schedule'!$B:$FU,150,FALSE),""),CHAR(10)),2)),""))</f>
        <v>Clean and Brake</v>
      </c>
      <c r="P32" s="55">
        <f t="shared" si="1"/>
        <v>46104</v>
      </c>
      <c r="Q32" s="54" t="str" cm="1">
        <f t="array" ref="Q32">IF(A32="","",IFERROR(TRIM(INDEX(_xlfn.TEXTSPLIT(IFERROR(VLOOKUP(A32,'Production Schedule'!$B:$FU,150,FALSE),""),CHAR(10)),3)),""))</f>
        <v>Fab</v>
      </c>
      <c r="R32" s="55">
        <f t="shared" si="2"/>
        <v>46114</v>
      </c>
      <c r="S32" s="54" t="str" cm="1">
        <f t="array" ref="S32">IF(A32="","",IFERROR(TRIM(INDEX(_xlfn.TEXTSPLIT(IFERROR(VLOOKUP(A32,'Production Schedule'!$B:$FU,150,FALSE),""),CHAR(10)),4)),""))</f>
        <v/>
      </c>
      <c r="T32" s="55" t="str">
        <f t="shared" si="3"/>
        <v/>
      </c>
      <c r="U32" s="54" t="str" cm="1">
        <f t="array" ref="U32">IF(A32="","",IFERROR(TRIM(INDEX(_xlfn.TEXTSPLIT(IFERROR(VLOOKUP(A32,'Production Schedule'!$B:$FU,150,FALSE),""),CHAR(10)),5)),""))</f>
        <v/>
      </c>
      <c r="V32" s="55" t="str">
        <f t="shared" si="4"/>
        <v/>
      </c>
      <c r="W32" s="54" t="str" cm="1">
        <f t="array" ref="W32">IF(A32="","",IFERROR(TRIM(INDEX(_xlfn.TEXTSPLIT(IFERROR(VLOOKUP(A32,'Production Schedule'!$B:$FU,150,FALSE),""),CHAR(10)),6)),""))</f>
        <v/>
      </c>
      <c r="X32" s="55" t="str">
        <f t="shared" si="5"/>
        <v/>
      </c>
      <c r="Y32" s="57">
        <f t="shared" si="6"/>
        <v>46125</v>
      </c>
      <c r="Z32" s="58" t="str">
        <f>IF(A32="","",IF(IFERROR(VLOOKUP(A32,Notes!A:B,2,FALSE),"")=0,"",VLOOKUP(A32,Notes!A:B,2,FALSE)))</f>
        <v>04/14...Next Titans Requesting//Scheduled to be released to the shop 04/16.*04/16/2026…AXYZ 34</v>
      </c>
      <c r="AA32" s="20">
        <f t="shared" si="7"/>
        <v>1</v>
      </c>
    </row>
    <row r="33" spans="1:27" x14ac:dyDescent="0.25">
      <c r="A33" s="18" t="str">
        <v>24051-FS36.2</v>
      </c>
      <c r="B33" s="18" t="str">
        <f>IF(A33="","",IFERROR(VLOOKUP(A33,'Production Schedule'!$B:$FU,3,FALSE),""))</f>
        <v>TN Titans Stadium</v>
      </c>
      <c r="C33" s="18" t="str">
        <f>IF(A33="","",IFERROR(VLOOKUP(A33,'Production Schedule'!$B:$FU,5,FALSE),""))</f>
        <v>Marc Ribar</v>
      </c>
      <c r="D33" s="18">
        <f>IF(A33="","",IFERROR(VLOOKUP(A33,'Production Schedule'!$B:$FU,7,FALSE),""))</f>
        <v>400</v>
      </c>
      <c r="E33" s="18">
        <f>IF(A33="","",IFERROR(VLOOKUP(A33,'Production Schedule'!$B:$FU,17,FALSE),""))</f>
        <v>38</v>
      </c>
      <c r="F33" s="18">
        <f>IF(A33="","",IFERROR(VLOOKUP(A33,'Production Schedule'!$B:$FU,18,FALSE),""))</f>
        <v>38</v>
      </c>
      <c r="G33" s="18" t="str">
        <f>IF(A33="","",IFERROR(VLOOKUP(A33,'Production Schedule'!$B:$FU,25,FALSE),""))</f>
        <v>FR ACM</v>
      </c>
      <c r="H33" s="19">
        <f>IF(A33="","",IFERROR(VLOOKUP(A33,'Production Schedule'!$B:$FU,47,FALSE),""))</f>
        <v>46085.567017060188</v>
      </c>
      <c r="I33" s="19">
        <f>IF(A33="","",IFERROR(VLOOKUP(A33,'Production Schedule'!$B:$FU,54,FALSE),""))</f>
        <v>46127</v>
      </c>
      <c r="J33" s="26">
        <f>IF(A33="","",IFERROR(VLOOKUP(A33,'Production Schedule'!$B:$FU,135,FALSE),""))</f>
        <v>40</v>
      </c>
      <c r="K33" s="18" t="str">
        <f>IF(A33="","",IFERROR(VLOOKUP(A33,'Production Schedule'!$B:$FU,59,FALSE),""))</f>
        <v>YES</v>
      </c>
      <c r="L33" s="38" t="str">
        <f>IF(A33="","",IFERROR(VLOOKUP(A33,'Production Schedule'!$B:$FU,80,FALSE),""))</f>
        <v>Fabrication</v>
      </c>
      <c r="M33" s="27" t="str" cm="1">
        <f t="array" ref="M33">IF(A33="","",IFERROR(TRIM(INDEX(_xlfn.TEXTSPLIT(IFERROR(VLOOKUP(A33,'Production Schedule'!$B:$FU,150,FALSE),""),CHAR(10)),1)),""))</f>
        <v>AXYZ Titans Line</v>
      </c>
      <c r="N33" s="28">
        <f t="shared" si="0"/>
        <v>46102</v>
      </c>
      <c r="O33" s="27" t="str" cm="1">
        <f t="array" ref="O33">IF(A33="","",IFERROR(TRIM(INDEX(_xlfn.TEXTSPLIT(IFERROR(VLOOKUP(A33,'Production Schedule'!$B:$FU,150,FALSE),""),CHAR(10)),2)),""))</f>
        <v>Clean and Brake</v>
      </c>
      <c r="P33" s="28">
        <f t="shared" si="1"/>
        <v>46104</v>
      </c>
      <c r="Q33" s="27" t="str" cm="1">
        <f t="array" ref="Q33">IF(A33="","",IFERROR(TRIM(INDEX(_xlfn.TEXTSPLIT(IFERROR(VLOOKUP(A33,'Production Schedule'!$B:$FU,150,FALSE),""),CHAR(10)),3)),""))</f>
        <v>Fab</v>
      </c>
      <c r="R33" s="28">
        <f t="shared" si="2"/>
        <v>46114</v>
      </c>
      <c r="S33" s="27" t="str" cm="1">
        <f t="array" ref="S33">IF(A33="","",IFERROR(TRIM(INDEX(_xlfn.TEXTSPLIT(IFERROR(VLOOKUP(A33,'Production Schedule'!$B:$FU,150,FALSE),""),CHAR(10)),4)),""))</f>
        <v/>
      </c>
      <c r="T33" s="28" t="str">
        <f t="shared" si="3"/>
        <v/>
      </c>
      <c r="U33" s="27" t="str" cm="1">
        <f t="array" ref="U33">IF(A33="","",IFERROR(TRIM(INDEX(_xlfn.TEXTSPLIT(IFERROR(VLOOKUP(A33,'Production Schedule'!$B:$FU,150,FALSE),""),CHAR(10)),5)),""))</f>
        <v/>
      </c>
      <c r="V33" s="28" t="str">
        <f t="shared" si="4"/>
        <v/>
      </c>
      <c r="W33" s="27" t="str" cm="1">
        <f t="array" ref="W33">IF(A33="","",IFERROR(TRIM(INDEX(_xlfn.TEXTSPLIT(IFERROR(VLOOKUP(A33,'Production Schedule'!$B:$FU,150,FALSE),""),CHAR(10)),6)),""))</f>
        <v/>
      </c>
      <c r="X33" s="28" t="str">
        <f t="shared" si="5"/>
        <v/>
      </c>
      <c r="Y33" s="30">
        <f t="shared" si="6"/>
        <v>46125</v>
      </c>
      <c r="Z33" s="31" t="str">
        <f>IF(A33="","",IF(IFERROR(VLOOKUP(A33,Notes!A:B,2,FALSE),"")=0,"",VLOOKUP(A33,Notes!A:B,2,FALSE)))</f>
        <v>04/16/2026…Fabrication</v>
      </c>
      <c r="AA33" s="18">
        <f t="shared" si="7"/>
        <v>1</v>
      </c>
    </row>
    <row r="34" spans="1:27" x14ac:dyDescent="0.25">
      <c r="A34" s="20" t="str">
        <v>24051-FS226</v>
      </c>
      <c r="B34" s="20" t="str">
        <f>IF(A34="","",IFERROR(VLOOKUP(A34,'Production Schedule'!$B:$FU,3,FALSE),""))</f>
        <v>TN Titans Stadium</v>
      </c>
      <c r="C34" s="20" t="str">
        <f>IF(A34="","",IFERROR(VLOOKUP(A34,'Production Schedule'!$B:$FU,5,FALSE),""))</f>
        <v>Marc Ribar</v>
      </c>
      <c r="D34" s="20">
        <f>IF(A34="","",IFERROR(VLOOKUP(A34,'Production Schedule'!$B:$FU,7,FALSE),""))</f>
        <v>400</v>
      </c>
      <c r="E34" s="20">
        <f>IF(A34="","",IFERROR(VLOOKUP(A34,'Production Schedule'!$B:$FU,17,FALSE),""))</f>
        <v>26</v>
      </c>
      <c r="F34" s="20">
        <f>IF(A34="","",IFERROR(VLOOKUP(A34,'Production Schedule'!$B:$FU,18,FALSE),""))</f>
        <v>26</v>
      </c>
      <c r="G34" s="20" t="str">
        <f>IF(A34="","",IFERROR(VLOOKUP(A34,'Production Schedule'!$B:$FU,25,FALSE),""))</f>
        <v>FR ACM</v>
      </c>
      <c r="H34" s="21">
        <f>IF(A34="","",IFERROR(VLOOKUP(A34,'Production Schedule'!$B:$FU,47,FALSE),""))</f>
        <v>46085.581638796299</v>
      </c>
      <c r="I34" s="21">
        <f>IF(A34="","",IFERROR(VLOOKUP(A34,'Production Schedule'!$B:$FU,54,FALSE),""))</f>
        <v>46127</v>
      </c>
      <c r="J34" s="32">
        <f>IF(A34="","",IFERROR(VLOOKUP(A34,'Production Schedule'!$B:$FU,135,FALSE),""))</f>
        <v>40</v>
      </c>
      <c r="K34" s="20" t="str">
        <f>IF(A34="","",IFERROR(VLOOKUP(A34,'Production Schedule'!$B:$FU,59,FALSE),""))</f>
        <v>YES</v>
      </c>
      <c r="L34" s="39" t="str">
        <f>IF(A34="","",IFERROR(VLOOKUP(A34,'Production Schedule'!$B:$FU,80,FALSE),""))</f>
        <v>Fabrication</v>
      </c>
      <c r="M34" s="33" t="str" cm="1">
        <f t="array" ref="M34">IF(A34="","",IFERROR(TRIM(INDEX(_xlfn.TEXTSPLIT(IFERROR(VLOOKUP(A34,'Production Schedule'!$B:$FU,150,FALSE),""),CHAR(10)),1)),""))</f>
        <v>AXYZ Titans Line</v>
      </c>
      <c r="N34" s="34">
        <f t="shared" si="0"/>
        <v>46102</v>
      </c>
      <c r="O34" s="33" t="str" cm="1">
        <f t="array" ref="O34">IF(A34="","",IFERROR(TRIM(INDEX(_xlfn.TEXTSPLIT(IFERROR(VLOOKUP(A34,'Production Schedule'!$B:$FU,150,FALSE),""),CHAR(10)),2)),""))</f>
        <v>Clean and Brake</v>
      </c>
      <c r="P34" s="34">
        <f t="shared" si="1"/>
        <v>46104</v>
      </c>
      <c r="Q34" s="33" t="str" cm="1">
        <f t="array" ref="Q34">IF(A34="","",IFERROR(TRIM(INDEX(_xlfn.TEXTSPLIT(IFERROR(VLOOKUP(A34,'Production Schedule'!$B:$FU,150,FALSE),""),CHAR(10)),3)),""))</f>
        <v>Fab</v>
      </c>
      <c r="R34" s="34">
        <f t="shared" si="2"/>
        <v>46114</v>
      </c>
      <c r="S34" s="33" t="str" cm="1">
        <f t="array" ref="S34">IF(A34="","",IFERROR(TRIM(INDEX(_xlfn.TEXTSPLIT(IFERROR(VLOOKUP(A34,'Production Schedule'!$B:$FU,150,FALSE),""),CHAR(10)),4)),""))</f>
        <v/>
      </c>
      <c r="T34" s="34" t="str">
        <f t="shared" si="3"/>
        <v/>
      </c>
      <c r="U34" s="33" t="str" cm="1">
        <f t="array" ref="U34">IF(A34="","",IFERROR(TRIM(INDEX(_xlfn.TEXTSPLIT(IFERROR(VLOOKUP(A34,'Production Schedule'!$B:$FU,150,FALSE),""),CHAR(10)),5)),""))</f>
        <v/>
      </c>
      <c r="V34" s="34" t="str">
        <f t="shared" si="4"/>
        <v/>
      </c>
      <c r="W34" s="33" t="str" cm="1">
        <f t="array" ref="W34">IF(A34="","",IFERROR(TRIM(INDEX(_xlfn.TEXTSPLIT(IFERROR(VLOOKUP(A34,'Production Schedule'!$B:$FU,150,FALSE),""),CHAR(10)),6)),""))</f>
        <v/>
      </c>
      <c r="X34" s="34" t="str">
        <f t="shared" si="5"/>
        <v/>
      </c>
      <c r="Y34" s="36">
        <f t="shared" si="6"/>
        <v>46125</v>
      </c>
      <c r="Z34" s="37" t="str">
        <f>IF(A34="","",IF(IFERROR(VLOOKUP(A34,Notes!A:B,2,FALSE),"")=0,"",VLOOKUP(A34,Notes!A:B,2,FALSE)))</f>
        <v>04/16/2026…Fabrication</v>
      </c>
      <c r="AA34" s="20">
        <f t="shared" si="7"/>
        <v>1</v>
      </c>
    </row>
    <row r="35" spans="1:27" x14ac:dyDescent="0.25">
      <c r="A35" s="18" t="str">
        <v>24079-BM01B</v>
      </c>
      <c r="B35" s="18" t="str">
        <f>IF(A35="","",IFERROR(VLOOKUP(A35,'Production Schedule'!$B:$FU,3,FALSE),""))</f>
        <v>Nashville Youth Campus</v>
      </c>
      <c r="C35" s="18" t="str">
        <f>IF(A35="","",IFERROR(VLOOKUP(A35,'Production Schedule'!$B:$FU,5,FALSE),""))</f>
        <v>Joe Hoyle</v>
      </c>
      <c r="D35" s="18">
        <f>IF(A35="","",IFERROR(VLOOKUP(A35,'Production Schedule'!$B:$FU,7,FALSE),""))</f>
        <v>0</v>
      </c>
      <c r="E35" s="18">
        <f>IF(A35="","",IFERROR(VLOOKUP(A35,'Production Schedule'!$B:$FU,17,FALSE),""))</f>
        <v>0</v>
      </c>
      <c r="F35" s="18">
        <f>IF(A35="","",IFERROR(VLOOKUP(A35,'Production Schedule'!$B:$FU,18,FALSE),""))</f>
        <v>2217</v>
      </c>
      <c r="G35" s="18" t="str">
        <f>IF(A35="","",IFERROR(VLOOKUP(A35,'Production Schedule'!$B:$FU,25,FALSE),""))</f>
        <v>Galv Sheet</v>
      </c>
      <c r="H35" s="19">
        <f>IF(A35="","",IFERROR(VLOOKUP(A35,'Production Schedule'!$B:$FU,47,FALSE),""))</f>
        <v>46099.550627928242</v>
      </c>
      <c r="I35" s="19">
        <f>IF(A35="","",IFERROR(VLOOKUP(A35,'Production Schedule'!$B:$FU,54,FALSE),""))</f>
        <v>46127</v>
      </c>
      <c r="J35" s="26">
        <f>IF(A35="","",IFERROR(VLOOKUP(A35,'Production Schedule'!$B:$FU,135,FALSE),""))</f>
        <v>80</v>
      </c>
      <c r="K35" s="18" t="str">
        <f>IF(A35="","",IFERROR(VLOOKUP(A35,'Production Schedule'!$B:$FU,59,FALSE),""))</f>
        <v>YES</v>
      </c>
      <c r="L35" s="49" t="str">
        <f>IF(A35="","",IFERROR(VLOOKUP(A35,'Production Schedule'!$B:$FU,80,FALSE),""))</f>
        <v>Shear</v>
      </c>
      <c r="M35" s="27" t="str" cm="1">
        <f t="array" ref="M35">IF(A35="","",IFERROR(TRIM(INDEX(_xlfn.TEXTSPLIT(IFERROR(VLOOKUP(A35,'Production Schedule'!$B:$FU,150,FALSE),""),CHAR(10)),1)),""))</f>
        <v>Cidan</v>
      </c>
      <c r="N35" s="28">
        <f t="shared" si="0"/>
        <v>46101</v>
      </c>
      <c r="O35" s="29" t="str" cm="1">
        <f t="array" ref="O35">IF(A35="","",IFERROR(TRIM(INDEX(_xlfn.TEXTSPLIT(IFERROR(VLOOKUP(A35,'Production Schedule'!$B:$FU,150,FALSE),""),CHAR(10)),2)),""))</f>
        <v>Shear</v>
      </c>
      <c r="P35" s="28">
        <f t="shared" si="1"/>
        <v>46113</v>
      </c>
      <c r="Q35" s="27" t="str" cm="1">
        <f t="array" ref="Q35">IF(A35="","",IFERROR(TRIM(INDEX(_xlfn.TEXTSPLIT(IFERROR(VLOOKUP(A35,'Production Schedule'!$B:$FU,150,FALSE),""),CHAR(10)),3)),""))</f>
        <v>TruPunch 5000</v>
      </c>
      <c r="R35" s="28">
        <f t="shared" si="2"/>
        <v>46125</v>
      </c>
      <c r="S35" s="27" t="str" cm="1">
        <f t="array" ref="S35">IF(A35="","",IFERROR(TRIM(INDEX(_xlfn.TEXTSPLIT(IFERROR(VLOOKUP(A35,'Production Schedule'!$B:$FU,150,FALSE),""),CHAR(10)),4)),""))</f>
        <v/>
      </c>
      <c r="T35" s="28" t="str">
        <f t="shared" si="3"/>
        <v/>
      </c>
      <c r="U35" s="27" t="str" cm="1">
        <f t="array" ref="U35">IF(A35="","",IFERROR(TRIM(INDEX(_xlfn.TEXTSPLIT(IFERROR(VLOOKUP(A35,'Production Schedule'!$B:$FU,150,FALSE),""),CHAR(10)),5)),""))</f>
        <v/>
      </c>
      <c r="V35" s="28" t="str">
        <f t="shared" si="4"/>
        <v/>
      </c>
      <c r="W35" s="27" t="str" cm="1">
        <f t="array" ref="W35">IF(A35="","",IFERROR(TRIM(INDEX(_xlfn.TEXTSPLIT(IFERROR(VLOOKUP(A35,'Production Schedule'!$B:$FU,150,FALSE),""),CHAR(10)),6)),""))</f>
        <v/>
      </c>
      <c r="X35" s="28" t="str">
        <f t="shared" si="5"/>
        <v/>
      </c>
      <c r="Y35" s="30">
        <f t="shared" si="6"/>
        <v>46125</v>
      </c>
      <c r="Z35" s="31" t="str">
        <f>IF(A35="","",IF(IFERROR(VLOOKUP(A35,Notes!A:B,2,FALSE),"")=0,"",VLOOKUP(A35,Notes!A:B,2,FALSE)))</f>
        <v>04/15/2026…Shear*04/16/2026…Shear</v>
      </c>
      <c r="AA35" s="18">
        <f t="shared" si="7"/>
        <v>1</v>
      </c>
    </row>
    <row r="36" spans="1:27" x14ac:dyDescent="0.25">
      <c r="A36" s="20" t="str">
        <v>25017-RO02</v>
      </c>
      <c r="B36" s="20" t="str">
        <f>IF(A36="","",IFERROR(VLOOKUP(A36,'Production Schedule'!$B:$FU,3,FALSE),""))</f>
        <v>Nashville Yards Park</v>
      </c>
      <c r="C36" s="20" t="str">
        <f>IF(A36="","",IFERROR(VLOOKUP(A36,'Production Schedule'!$B:$FU,5,FALSE),""))</f>
        <v>Dillon Bowman</v>
      </c>
      <c r="D36" s="20">
        <f>IF(A36="","",IFERROR(VLOOKUP(A36,'Production Schedule'!$B:$FU,7,FALSE),""))</f>
        <v>400</v>
      </c>
      <c r="E36" s="20">
        <f>IF(A36="","",IFERROR(VLOOKUP(A36,'Production Schedule'!$B:$FU,17,FALSE),""))</f>
        <v>1</v>
      </c>
      <c r="F36" s="20">
        <f>IF(A36="","",IFERROR(VLOOKUP(A36,'Production Schedule'!$B:$FU,18,FALSE),""))</f>
        <v>3</v>
      </c>
      <c r="G36" s="20" t="str">
        <f>IF(A36="","",IFERROR(VLOOKUP(A36,'Production Schedule'!$B:$FU,25,FALSE),""))</f>
        <v>FR ACM</v>
      </c>
      <c r="H36" s="21">
        <f>IF(A36="","",IFERROR(VLOOKUP(A36,'Production Schedule'!$B:$FU,47,FALSE),""))</f>
        <v>46105.528923217593</v>
      </c>
      <c r="I36" s="21">
        <f>IF(A36="","",IFERROR(VLOOKUP(A36,'Production Schedule'!$B:$FU,54,FALSE),""))</f>
        <v>46127</v>
      </c>
      <c r="J36" s="32">
        <f>IF(A36="","",IFERROR(VLOOKUP(A36,'Production Schedule'!$B:$FU,135,FALSE),""))</f>
        <v>3</v>
      </c>
      <c r="K36" s="20" t="str">
        <f>IF(A36="","",IFERROR(VLOOKUP(A36,'Production Schedule'!$B:$FU,59,FALSE),""))</f>
        <v>YES</v>
      </c>
      <c r="L36" s="49" t="str">
        <f>IF(A36="","",IFERROR(VLOOKUP(A36,'Production Schedule'!$B:$FU,80,FALSE),""))</f>
        <v>Clean and Brake</v>
      </c>
      <c r="M36" s="33" t="str" cm="1">
        <f t="array" ref="M36">IF(A36="","",IFERROR(TRIM(INDEX(_xlfn.TEXTSPLIT(IFERROR(VLOOKUP(A36,'Production Schedule'!$B:$FU,150,FALSE),""),CHAR(10)),1)),""))</f>
        <v>AXYZ Titans Line</v>
      </c>
      <c r="N36" s="34">
        <f t="shared" si="0"/>
        <v>46092</v>
      </c>
      <c r="O36" s="35" t="str" cm="1">
        <f t="array" ref="O36">IF(A36="","",IFERROR(TRIM(INDEX(_xlfn.TEXTSPLIT(IFERROR(VLOOKUP(A36,'Production Schedule'!$B:$FU,150,FALSE),""),CHAR(10)),2)),""))</f>
        <v>Clean and Brake</v>
      </c>
      <c r="P36" s="34">
        <f t="shared" si="1"/>
        <v>46093</v>
      </c>
      <c r="Q36" s="33" t="str" cm="1">
        <f t="array" ref="Q36">IF(A36="","",IFERROR(TRIM(INDEX(_xlfn.TEXTSPLIT(IFERROR(VLOOKUP(A36,'Production Schedule'!$B:$FU,150,FALSE),""),CHAR(10)),3)),""))</f>
        <v>Fab</v>
      </c>
      <c r="R36" s="34">
        <f t="shared" si="2"/>
        <v>46104</v>
      </c>
      <c r="S36" s="33" t="str" cm="1">
        <f t="array" ref="S36">IF(A36="","",IFERROR(TRIM(INDEX(_xlfn.TEXTSPLIT(IFERROR(VLOOKUP(A36,'Production Schedule'!$B:$FU,150,FALSE),""),CHAR(10)),4)),""))</f>
        <v>Roller</v>
      </c>
      <c r="T36" s="34">
        <f t="shared" si="3"/>
        <v>46114</v>
      </c>
      <c r="U36" s="33" t="str" cm="1">
        <f t="array" ref="U36">IF(A36="","",IFERROR(TRIM(INDEX(_xlfn.TEXTSPLIT(IFERROR(VLOOKUP(A36,'Production Schedule'!$B:$FU,150,FALSE),""),CHAR(10)),5)),""))</f>
        <v/>
      </c>
      <c r="V36" s="34" t="str">
        <f t="shared" si="4"/>
        <v/>
      </c>
      <c r="W36" s="33" t="str" cm="1">
        <f t="array" ref="W36">IF(A36="","",IFERROR(TRIM(INDEX(_xlfn.TEXTSPLIT(IFERROR(VLOOKUP(A36,'Production Schedule'!$B:$FU,150,FALSE),""),CHAR(10)),6)),""))</f>
        <v/>
      </c>
      <c r="X36" s="34" t="str">
        <f t="shared" si="5"/>
        <v/>
      </c>
      <c r="Y36" s="36">
        <f t="shared" si="6"/>
        <v>46125</v>
      </c>
      <c r="Z36" s="37" t="str">
        <f>IF(A36="","",IF(IFERROR(VLOOKUP(A36,Notes!A:B,2,FALSE),"")=0,"",VLOOKUP(A36,Notes!A:B,2,FALSE)))</f>
        <v>03/27…C&amp;B, needs to roll then back to C&amp;B*03/30…Affected by Roller being down.*03/31…No Update*04/02…Roller still down.*04/09…Roller still down.*04/16/2026…Clean and Brake</v>
      </c>
      <c r="AA36" s="20">
        <f t="shared" si="7"/>
        <v>1</v>
      </c>
    </row>
    <row r="37" spans="1:27" x14ac:dyDescent="0.25">
      <c r="A37" s="18" t="str">
        <v>25010-RO06</v>
      </c>
      <c r="B37" s="18" t="str">
        <f>IF(A37="","",IFERROR(VLOOKUP(A37,'Production Schedule'!$B:$FU,3,FALSE),""))</f>
        <v>TOA Spring Hill MOB</v>
      </c>
      <c r="C37" s="18" t="str">
        <f>IF(A37="","",IFERROR(VLOOKUP(A37,'Production Schedule'!$B:$FU,5,FALSE),""))</f>
        <v>Cole Norona</v>
      </c>
      <c r="D37" s="18">
        <f>IF(A37="","",IFERROR(VLOOKUP(A37,'Production Schedule'!$B:$FU,7,FALSE),""))</f>
        <v>400</v>
      </c>
      <c r="E37" s="18">
        <f>IF(A37="","",IFERROR(VLOOKUP(A37,'Production Schedule'!$B:$FU,17,FALSE),""))</f>
        <v>6</v>
      </c>
      <c r="F37" s="18">
        <f>IF(A37="","",IFERROR(VLOOKUP(A37,'Production Schedule'!$B:$FU,18,FALSE),""))</f>
        <v>0</v>
      </c>
      <c r="G37" s="18" t="str">
        <f>IF(A37="","",IFERROR(VLOOKUP(A37,'Production Schedule'!$B:$FU,25,FALSE),""))</f>
        <v>FR ACM</v>
      </c>
      <c r="H37" s="19">
        <f>IF(A37="","",IFERROR(VLOOKUP(A37,'Production Schedule'!$B:$FU,47,FALSE),""))</f>
        <v>46121.376097905093</v>
      </c>
      <c r="I37" s="19">
        <f>IF(A37="","",IFERROR(VLOOKUP(A37,'Production Schedule'!$B:$FU,54,FALSE),""))</f>
        <v>46127</v>
      </c>
      <c r="J37" s="26">
        <f>IF(A37="","",IFERROR(VLOOKUP(A37,'Production Schedule'!$B:$FU,135,FALSE),""))</f>
        <v>8</v>
      </c>
      <c r="K37" s="18" t="str">
        <f>IF(A37="","",IFERROR(VLOOKUP(A37,'Production Schedule'!$B:$FU,59,FALSE),""))</f>
        <v>YES</v>
      </c>
      <c r="L37" s="49" t="str">
        <f>IF(A37="","",IFERROR(VLOOKUP(A37,'Production Schedule'!$B:$FU,80,FALSE),""))</f>
        <v>LO</v>
      </c>
      <c r="M37" s="29" t="str" cm="1">
        <f t="array" ref="M37">IF(A37="","",IFERROR(TRIM(INDEX(_xlfn.TEXTSPLIT(IFERROR(VLOOKUP(A37,'Production Schedule'!$B:$FU,150,FALSE),""),CHAR(10)),1)),""))</f>
        <v>AXYZ</v>
      </c>
      <c r="N37" s="28">
        <f t="shared" si="0"/>
        <v>46102</v>
      </c>
      <c r="O37" s="27" t="str" cm="1">
        <f t="array" ref="O37">IF(A37="","",IFERROR(TRIM(INDEX(_xlfn.TEXTSPLIT(IFERROR(VLOOKUP(A37,'Production Schedule'!$B:$FU,150,FALSE),""),CHAR(10)),2)),""))</f>
        <v>Clean and Brake</v>
      </c>
      <c r="P37" s="28">
        <f t="shared" si="1"/>
        <v>46104</v>
      </c>
      <c r="Q37" s="27" t="str" cm="1">
        <f t="array" ref="Q37">IF(A37="","",IFERROR(TRIM(INDEX(_xlfn.TEXTSPLIT(IFERROR(VLOOKUP(A37,'Production Schedule'!$B:$FU,150,FALSE),""),CHAR(10)),3)),""))</f>
        <v>Fab</v>
      </c>
      <c r="R37" s="28">
        <f t="shared" si="2"/>
        <v>46114</v>
      </c>
      <c r="S37" s="27" t="str" cm="1">
        <f t="array" ref="S37">IF(A37="","",IFERROR(TRIM(INDEX(_xlfn.TEXTSPLIT(IFERROR(VLOOKUP(A37,'Production Schedule'!$B:$FU,150,FALSE),""),CHAR(10)),4)),""))</f>
        <v/>
      </c>
      <c r="T37" s="28" t="str">
        <f t="shared" si="3"/>
        <v/>
      </c>
      <c r="U37" s="27" t="str" cm="1">
        <f t="array" ref="U37">IF(A37="","",IFERROR(TRIM(INDEX(_xlfn.TEXTSPLIT(IFERROR(VLOOKUP(A37,'Production Schedule'!$B:$FU,150,FALSE),""),CHAR(10)),5)),""))</f>
        <v/>
      </c>
      <c r="V37" s="28" t="str">
        <f t="shared" si="4"/>
        <v/>
      </c>
      <c r="W37" s="27" t="str" cm="1">
        <f t="array" ref="W37">IF(A37="","",IFERROR(TRIM(INDEX(_xlfn.TEXTSPLIT(IFERROR(VLOOKUP(A37,'Production Schedule'!$B:$FU,150,FALSE),""),CHAR(10)),6)),""))</f>
        <v/>
      </c>
      <c r="X37" s="28" t="str">
        <f t="shared" si="5"/>
        <v/>
      </c>
      <c r="Y37" s="30">
        <f t="shared" si="6"/>
        <v>46125</v>
      </c>
      <c r="Z37" s="31" t="str">
        <f>IF(A37="","",IF(IFERROR(VLOOKUP(A37,Notes!A:B,2,FALSE),"")=0,"",VLOOKUP(A37,Notes!A:B,2,FALSE)))</f>
        <v>04/16/2026…LO</v>
      </c>
      <c r="AA37" s="18">
        <f t="shared" si="7"/>
        <v>1</v>
      </c>
    </row>
    <row r="38" spans="1:27" x14ac:dyDescent="0.25">
      <c r="A38" s="20" t="str">
        <v>25010-RO07</v>
      </c>
      <c r="B38" s="20" t="str">
        <f>IF(A38="","",IFERROR(VLOOKUP(A38,'Production Schedule'!$B:$FU,3,FALSE),""))</f>
        <v>TOA Spring Hill MOB</v>
      </c>
      <c r="C38" s="20" t="str">
        <f>IF(A38="","",IFERROR(VLOOKUP(A38,'Production Schedule'!$B:$FU,5,FALSE),""))</f>
        <v>Cole Norona</v>
      </c>
      <c r="D38" s="20">
        <f>IF(A38="","",IFERROR(VLOOKUP(A38,'Production Schedule'!$B:$FU,7,FALSE),""))</f>
        <v>400</v>
      </c>
      <c r="E38" s="20">
        <f>IF(A38="","",IFERROR(VLOOKUP(A38,'Production Schedule'!$B:$FU,17,FALSE),""))</f>
        <v>3</v>
      </c>
      <c r="F38" s="20">
        <f>IF(A38="","",IFERROR(VLOOKUP(A38,'Production Schedule'!$B:$FU,18,FALSE),""))</f>
        <v>0</v>
      </c>
      <c r="G38" s="20" t="str">
        <f>IF(A38="","",IFERROR(VLOOKUP(A38,'Production Schedule'!$B:$FU,25,FALSE),""))</f>
        <v>FR ACM</v>
      </c>
      <c r="H38" s="21">
        <f>IF(A38="","",IFERROR(VLOOKUP(A38,'Production Schedule'!$B:$FU,47,FALSE),""))</f>
        <v>46121.379088252317</v>
      </c>
      <c r="I38" s="21">
        <f>IF(A38="","",IFERROR(VLOOKUP(A38,'Production Schedule'!$B:$FU,54,FALSE),""))</f>
        <v>46127</v>
      </c>
      <c r="J38" s="32">
        <f>IF(A38="","",IFERROR(VLOOKUP(A38,'Production Schedule'!$B:$FU,135,FALSE),""))</f>
        <v>5</v>
      </c>
      <c r="K38" s="20" t="str">
        <f>IF(A38="","",IFERROR(VLOOKUP(A38,'Production Schedule'!$B:$FU,59,FALSE),""))</f>
        <v>YES</v>
      </c>
      <c r="L38" s="39" t="str">
        <f>IF(A38="","",IFERROR(VLOOKUP(A38,'Production Schedule'!$B:$FU,80,FALSE),""))</f>
        <v>LO</v>
      </c>
      <c r="M38" s="33" t="str" cm="1">
        <f t="array" ref="M38">IF(A38="","",IFERROR(TRIM(INDEX(_xlfn.TEXTSPLIT(IFERROR(VLOOKUP(A38,'Production Schedule'!$B:$FU,150,FALSE),""),CHAR(10)),1)),""))</f>
        <v>AXYZ</v>
      </c>
      <c r="N38" s="34">
        <f t="shared" si="0"/>
        <v>46102</v>
      </c>
      <c r="O38" s="33" t="str" cm="1">
        <f t="array" ref="O38">IF(A38="","",IFERROR(TRIM(INDEX(_xlfn.TEXTSPLIT(IFERROR(VLOOKUP(A38,'Production Schedule'!$B:$FU,150,FALSE),""),CHAR(10)),2)),""))</f>
        <v>Clean and Brake</v>
      </c>
      <c r="P38" s="34">
        <f t="shared" si="1"/>
        <v>46104</v>
      </c>
      <c r="Q38" s="33" t="str" cm="1">
        <f t="array" ref="Q38">IF(A38="","",IFERROR(TRIM(INDEX(_xlfn.TEXTSPLIT(IFERROR(VLOOKUP(A38,'Production Schedule'!$B:$FU,150,FALSE),""),CHAR(10)),3)),""))</f>
        <v>Fab</v>
      </c>
      <c r="R38" s="34">
        <f t="shared" si="2"/>
        <v>46114</v>
      </c>
      <c r="S38" s="33" t="str" cm="1">
        <f t="array" ref="S38">IF(A38="","",IFERROR(TRIM(INDEX(_xlfn.TEXTSPLIT(IFERROR(VLOOKUP(A38,'Production Schedule'!$B:$FU,150,FALSE),""),CHAR(10)),4)),""))</f>
        <v/>
      </c>
      <c r="T38" s="34" t="str">
        <f t="shared" si="3"/>
        <v/>
      </c>
      <c r="U38" s="33" t="str" cm="1">
        <f t="array" ref="U38">IF(A38="","",IFERROR(TRIM(INDEX(_xlfn.TEXTSPLIT(IFERROR(VLOOKUP(A38,'Production Schedule'!$B:$FU,150,FALSE),""),CHAR(10)),5)),""))</f>
        <v/>
      </c>
      <c r="V38" s="34" t="str">
        <f t="shared" si="4"/>
        <v/>
      </c>
      <c r="W38" s="33" t="str" cm="1">
        <f t="array" ref="W38">IF(A38="","",IFERROR(TRIM(INDEX(_xlfn.TEXTSPLIT(IFERROR(VLOOKUP(A38,'Production Schedule'!$B:$FU,150,FALSE),""),CHAR(10)),6)),""))</f>
        <v/>
      </c>
      <c r="X38" s="34" t="str">
        <f t="shared" si="5"/>
        <v/>
      </c>
      <c r="Y38" s="36">
        <f t="shared" si="6"/>
        <v>46125</v>
      </c>
      <c r="Z38" s="37" t="str">
        <f>IF(A38="","",IF(IFERROR(VLOOKUP(A38,Notes!A:B,2,FALSE),"")=0,"",VLOOKUP(A38,Notes!A:B,2,FALSE)))</f>
        <v>04/16/2026…LO</v>
      </c>
      <c r="AA38" s="20">
        <f t="shared" si="7"/>
        <v>1</v>
      </c>
    </row>
    <row r="39" spans="1:27" x14ac:dyDescent="0.25">
      <c r="A39" s="18" t="str">
        <v>25029-ST73</v>
      </c>
      <c r="B39" s="18" t="str">
        <f>IF(A39="","",IFERROR(VLOOKUP(A39,'Production Schedule'!$B:$FU,3,FALSE),""))</f>
        <v>Lourdes CC Phase 2</v>
      </c>
      <c r="C39" s="18" t="str">
        <f>IF(A39="","",IFERROR(VLOOKUP(A39,'Production Schedule'!$B:$FU,5,FALSE),""))</f>
        <v>Dillon Bowman</v>
      </c>
      <c r="D39" s="18" t="str">
        <f>IF(A39="","",IFERROR(VLOOKUP(A39,'Production Schedule'!$B:$FU,7,FALSE),""))</f>
        <v>CUSTOM ARCH</v>
      </c>
      <c r="E39" s="18">
        <f>IF(A39="","",IFERROR(VLOOKUP(A39,'Production Schedule'!$B:$FU,17,FALSE),""))</f>
        <v>0</v>
      </c>
      <c r="F39" s="18">
        <f>IF(A39="","",IFERROR(VLOOKUP(A39,'Production Schedule'!$B:$FU,18,FALSE),""))</f>
        <v>6</v>
      </c>
      <c r="G39" s="18" t="str">
        <f>IF(A39="","",IFERROR(VLOOKUP(A39,'Production Schedule'!$B:$FU,25,FALSE),""))</f>
        <v>Steel Custom Shape</v>
      </c>
      <c r="H39" s="19">
        <f>IF(A39="","",IFERROR(VLOOKUP(A39,'Production Schedule'!$B:$FU,47,FALSE),""))</f>
        <v>46125.439194270832</v>
      </c>
      <c r="I39" s="19">
        <f>IF(A39="","",IFERROR(VLOOKUP(A39,'Production Schedule'!$B:$FU,54,FALSE),""))</f>
        <v>46127</v>
      </c>
      <c r="J39" s="26">
        <f>IF(A39="","",IFERROR(VLOOKUP(A39,'Production Schedule'!$B:$FU,135,FALSE),""))</f>
        <v>2</v>
      </c>
      <c r="K39" s="18" t="str">
        <f>IF(A39="","",IFERROR(VLOOKUP(A39,'Production Schedule'!$B:$FU,59,FALSE),""))</f>
        <v>YES</v>
      </c>
      <c r="L39" s="38" t="str">
        <f>IF(A39="","",IFERROR(VLOOKUP(A39,'Production Schedule'!$B:$FU,80,FALSE),""))</f>
        <v>Sketch</v>
      </c>
      <c r="M39" s="27" t="str" cm="1">
        <f t="array" ref="M39">IF(A39="","",IFERROR(TRIM(INDEX(_xlfn.TEXTSPLIT(IFERROR(VLOOKUP(A39,'Production Schedule'!$B:$FU,150,FALSE),""),CHAR(10)),1)),""))</f>
        <v/>
      </c>
      <c r="N39" s="28" t="str">
        <f t="shared" si="0"/>
        <v/>
      </c>
      <c r="O39" s="27" t="str" cm="1">
        <f t="array" ref="O39">IF(A39="","",IFERROR(TRIM(INDEX(_xlfn.TEXTSPLIT(IFERROR(VLOOKUP(A39,'Production Schedule'!$B:$FU,150,FALSE),""),CHAR(10)),2)),""))</f>
        <v/>
      </c>
      <c r="P39" s="28" t="str">
        <f t="shared" si="1"/>
        <v/>
      </c>
      <c r="Q39" s="27" t="str" cm="1">
        <f t="array" ref="Q39">IF(A39="","",IFERROR(TRIM(INDEX(_xlfn.TEXTSPLIT(IFERROR(VLOOKUP(A39,'Production Schedule'!$B:$FU,150,FALSE),""),CHAR(10)),3)),""))</f>
        <v/>
      </c>
      <c r="R39" s="28" t="str">
        <f t="shared" si="2"/>
        <v/>
      </c>
      <c r="S39" s="27" t="str" cm="1">
        <f t="array" ref="S39">IF(A39="","",IFERROR(TRIM(INDEX(_xlfn.TEXTSPLIT(IFERROR(VLOOKUP(A39,'Production Schedule'!$B:$FU,150,FALSE),""),CHAR(10)),4)),""))</f>
        <v/>
      </c>
      <c r="T39" s="28" t="str">
        <f t="shared" si="3"/>
        <v/>
      </c>
      <c r="U39" s="27" t="str" cm="1">
        <f t="array" ref="U39">IF(A39="","",IFERROR(TRIM(INDEX(_xlfn.TEXTSPLIT(IFERROR(VLOOKUP(A39,'Production Schedule'!$B:$FU,150,FALSE),""),CHAR(10)),5)),""))</f>
        <v/>
      </c>
      <c r="V39" s="28" t="str">
        <f t="shared" si="4"/>
        <v/>
      </c>
      <c r="W39" s="27" t="str" cm="1">
        <f t="array" ref="W39">IF(A39="","",IFERROR(TRIM(INDEX(_xlfn.TEXTSPLIT(IFERROR(VLOOKUP(A39,'Production Schedule'!$B:$FU,150,FALSE),""),CHAR(10)),6)),""))</f>
        <v/>
      </c>
      <c r="X39" s="28" t="str">
        <f t="shared" si="5"/>
        <v/>
      </c>
      <c r="Y39" s="30">
        <f t="shared" si="6"/>
        <v>46125</v>
      </c>
      <c r="Z39" s="31" t="str">
        <f>IF(A39="","",IF(IFERROR(VLOOKUP(A39,Notes!A:B,2,FALSE),"")=0,"",VLOOKUP(A39,Notes!A:B,2,FALSE)))</f>
        <v>04/16/2026…Sketch</v>
      </c>
      <c r="AA39" s="18">
        <f t="shared" si="7"/>
        <v>1</v>
      </c>
    </row>
    <row r="40" spans="1:27" x14ac:dyDescent="0.25">
      <c r="A40" s="20" t="str">
        <v>26014-04-ST02</v>
      </c>
      <c r="B40" s="20" t="str">
        <f>IF(A40="","",IFERROR(VLOOKUP(A40,'Production Schedule'!$B:$FU,3,FALSE),""))</f>
        <v>2026 R &amp; D</v>
      </c>
      <c r="C40" s="20" t="str">
        <f>IF(A40="","",IFERROR(VLOOKUP(A40,'Production Schedule'!$B:$FU,5,FALSE),""))</f>
        <v>TBC</v>
      </c>
      <c r="D40" s="20" t="str">
        <f>IF(A40="","",IFERROR(VLOOKUP(A40,'Production Schedule'!$B:$FU,7,FALSE),""))</f>
        <v>GRAVITY</v>
      </c>
      <c r="E40" s="20">
        <f>IF(A40="","",IFERROR(VLOOKUP(A40,'Production Schedule'!$B:$FU,17,FALSE),""))</f>
        <v>0</v>
      </c>
      <c r="F40" s="20">
        <f>IF(A40="","",IFERROR(VLOOKUP(A40,'Production Schedule'!$B:$FU,18,FALSE),""))</f>
        <v>15</v>
      </c>
      <c r="G40" s="20" t="str">
        <f>IF(A40="","",IFERROR(VLOOKUP(A40,'Production Schedule'!$B:$FU,25,FALSE),""))</f>
        <v>Alum Sheet</v>
      </c>
      <c r="H40" s="21">
        <f>IF(A40="","",IFERROR(VLOOKUP(A40,'Production Schedule'!$B:$FU,47,FALSE),""))</f>
        <v>46114.406674907405</v>
      </c>
      <c r="I40" s="21">
        <f>IF(A40="","",IFERROR(VLOOKUP(A40,'Production Schedule'!$B:$FU,54,FALSE),""))</f>
        <v>46128</v>
      </c>
      <c r="J40" s="32">
        <f>IF(A40="","",IFERROR(VLOOKUP(A40,'Production Schedule'!$B:$FU,135,FALSE),""))</f>
        <v>1</v>
      </c>
      <c r="K40" s="20" t="str">
        <f>IF(A40="","",IFERROR(VLOOKUP(A40,'Production Schedule'!$B:$FU,59,FALSE),""))</f>
        <v>NO</v>
      </c>
      <c r="L40" s="39" t="str">
        <f>IF(A40="","",IFERROR(VLOOKUP(A40,'Production Schedule'!$B:$FU,80,FALSE),""))</f>
        <v>TruLaser 3040</v>
      </c>
      <c r="M40" s="33" t="str" cm="1">
        <f t="array" ref="M40">IF(A40="","",IFERROR(TRIM(INDEX(_xlfn.TEXTSPLIT(IFERROR(VLOOKUP(A40,'Production Schedule'!$B:$FU,150,FALSE),""),CHAR(10)),1)),""))</f>
        <v>Brake</v>
      </c>
      <c r="N40" s="34">
        <f t="shared" si="0"/>
        <v>46065</v>
      </c>
      <c r="O40" s="33" t="str" cm="1">
        <f t="array" ref="O40">IF(A40="","",IFERROR(TRIM(INDEX(_xlfn.TEXTSPLIT(IFERROR(VLOOKUP(A40,'Production Schedule'!$B:$FU,150,FALSE),""),CHAR(10)),2)),""))</f>
        <v>Powder Coat</v>
      </c>
      <c r="P40" s="34">
        <f t="shared" si="1"/>
        <v>46076</v>
      </c>
      <c r="Q40" s="33" t="str" cm="1">
        <f t="array" ref="Q40">IF(A40="","",IFERROR(TRIM(INDEX(_xlfn.TEXTSPLIT(IFERROR(VLOOKUP(A40,'Production Schedule'!$B:$FU,150,FALSE),""),CHAR(10)),3)),""))</f>
        <v>TruLaser 3040</v>
      </c>
      <c r="R40" s="34">
        <f t="shared" si="2"/>
        <v>46104</v>
      </c>
      <c r="S40" s="33" t="str" cm="1">
        <f t="array" ref="S40">IF(A40="","",IFERROR(TRIM(INDEX(_xlfn.TEXTSPLIT(IFERROR(VLOOKUP(A40,'Production Schedule'!$B:$FU,150,FALSE),""),CHAR(10)),4)),""))</f>
        <v>Weld</v>
      </c>
      <c r="T40" s="34">
        <f t="shared" si="3"/>
        <v>46114</v>
      </c>
      <c r="U40" s="33" t="str" cm="1">
        <f t="array" ref="U40">IF(A40="","",IFERROR(TRIM(INDEX(_xlfn.TEXTSPLIT(IFERROR(VLOOKUP(A40,'Production Schedule'!$B:$FU,150,FALSE),""),CHAR(10)),5)),""))</f>
        <v/>
      </c>
      <c r="V40" s="34" t="str">
        <f t="shared" si="4"/>
        <v/>
      </c>
      <c r="W40" s="33" t="str" cm="1">
        <f t="array" ref="W40">IF(A40="","",IFERROR(TRIM(INDEX(_xlfn.TEXTSPLIT(IFERROR(VLOOKUP(A40,'Production Schedule'!$B:$FU,150,FALSE),""),CHAR(10)),6)),""))</f>
        <v/>
      </c>
      <c r="X40" s="34" t="str">
        <f t="shared" si="5"/>
        <v/>
      </c>
      <c r="Y40" s="36">
        <f t="shared" si="6"/>
        <v>46126</v>
      </c>
      <c r="Z40" s="37" t="str">
        <f>IF(A40="","",IF(IFERROR(VLOOKUP(A40,Notes!A:B,2,FALSE),"")=0,"",VLOOKUP(A40,Notes!A:B,2,FALSE)))</f>
        <v>04/16/2026…TruLaser 3040</v>
      </c>
      <c r="AA40" s="20">
        <f t="shared" si="7"/>
        <v>1</v>
      </c>
    </row>
    <row r="41" spans="1:27" x14ac:dyDescent="0.25">
      <c r="A41" s="18" t="str">
        <v>25002-FS13</v>
      </c>
      <c r="B41" s="18" t="str">
        <f>IF(A41="","",IFERROR(VLOOKUP(A41,'Production Schedule'!$B:$FU,3,FALSE),""))</f>
        <v>Med Center Health</v>
      </c>
      <c r="C41" s="18" t="str">
        <f>IF(A41="","",IFERROR(VLOOKUP(A41,'Production Schedule'!$B:$FU,5,FALSE),""))</f>
        <v>Carlos Silva</v>
      </c>
      <c r="D41" s="18">
        <f>IF(A41="","",IFERROR(VLOOKUP(A41,'Production Schedule'!$B:$FU,7,FALSE),""))</f>
        <v>600</v>
      </c>
      <c r="E41" s="18">
        <f>IF(A41="","",IFERROR(VLOOKUP(A41,'Production Schedule'!$B:$FU,17,FALSE),""))</f>
        <v>30</v>
      </c>
      <c r="F41" s="18">
        <f>IF(A41="","",IFERROR(VLOOKUP(A41,'Production Schedule'!$B:$FU,18,FALSE),""))</f>
        <v>0</v>
      </c>
      <c r="G41" s="18" t="str">
        <f>IF(A41="","",IFERROR(VLOOKUP(A41,'Production Schedule'!$B:$FU,25,FALSE),""))</f>
        <v>FR ACM</v>
      </c>
      <c r="H41" s="19">
        <f>IF(A41="","",IFERROR(VLOOKUP(A41,'Production Schedule'!$B:$FU,47,FALSE),""))</f>
        <v>46094.61378728009</v>
      </c>
      <c r="I41" s="19">
        <f>IF(A41="","",IFERROR(VLOOKUP(A41,'Production Schedule'!$B:$FU,54,FALSE),""))</f>
        <v>46129</v>
      </c>
      <c r="J41" s="26">
        <f>IF(A41="","",IFERROR(VLOOKUP(A41,'Production Schedule'!$B:$FU,135,FALSE),""))</f>
        <v>8</v>
      </c>
      <c r="K41" s="18" t="str">
        <f>IF(A41="","",IFERROR(VLOOKUP(A41,'Production Schedule'!$B:$FU,59,FALSE),""))</f>
        <v>YES</v>
      </c>
      <c r="L41" s="49" t="str">
        <f>IF(A41="","",IFERROR(VLOOKUP(A41,'Production Schedule'!$B:$FU,80,FALSE),""))</f>
        <v>LO</v>
      </c>
      <c r="M41" s="29" t="str" cm="1">
        <f t="array" ref="M41">IF(A41="","",IFERROR(TRIM(INDEX(_xlfn.TEXTSPLIT(IFERROR(VLOOKUP(A41,'Production Schedule'!$B:$FU,150,FALSE),""),CHAR(10)),1)),""))</f>
        <v>AXYZ</v>
      </c>
      <c r="N41" s="28">
        <f t="shared" si="0"/>
        <v>46105</v>
      </c>
      <c r="O41" s="27" t="str" cm="1">
        <f t="array" ref="O41">IF(A41="","",IFERROR(TRIM(INDEX(_xlfn.TEXTSPLIT(IFERROR(VLOOKUP(A41,'Production Schedule'!$B:$FU,150,FALSE),""),CHAR(10)),2)),""))</f>
        <v>Clean and Brake</v>
      </c>
      <c r="P41" s="28">
        <f t="shared" si="1"/>
        <v>46106</v>
      </c>
      <c r="Q41" s="27" t="str" cm="1">
        <f t="array" ref="Q41">IF(A41="","",IFERROR(TRIM(INDEX(_xlfn.TEXTSPLIT(IFERROR(VLOOKUP(A41,'Production Schedule'!$B:$FU,150,FALSE),""),CHAR(10)),3)),""))</f>
        <v>Fab</v>
      </c>
      <c r="R41" s="28">
        <f t="shared" si="2"/>
        <v>46116</v>
      </c>
      <c r="S41" s="27" t="str" cm="1">
        <f t="array" ref="S41">IF(A41="","",IFERROR(TRIM(INDEX(_xlfn.TEXTSPLIT(IFERROR(VLOOKUP(A41,'Production Schedule'!$B:$FU,150,FALSE),""),CHAR(10)),4)),""))</f>
        <v/>
      </c>
      <c r="T41" s="28" t="str">
        <f t="shared" si="3"/>
        <v/>
      </c>
      <c r="U41" s="27" t="str" cm="1">
        <f t="array" ref="U41">IF(A41="","",IFERROR(TRIM(INDEX(_xlfn.TEXTSPLIT(IFERROR(VLOOKUP(A41,'Production Schedule'!$B:$FU,150,FALSE),""),CHAR(10)),5)),""))</f>
        <v/>
      </c>
      <c r="V41" s="28" t="str">
        <f t="shared" si="4"/>
        <v/>
      </c>
      <c r="W41" s="27" t="str" cm="1">
        <f t="array" ref="W41">IF(A41="","",IFERROR(TRIM(INDEX(_xlfn.TEXTSPLIT(IFERROR(VLOOKUP(A41,'Production Schedule'!$B:$FU,150,FALSE),""),CHAR(10)),6)),""))</f>
        <v/>
      </c>
      <c r="X41" s="28" t="str">
        <f t="shared" si="5"/>
        <v/>
      </c>
      <c r="Y41" s="30">
        <f t="shared" si="6"/>
        <v>46127</v>
      </c>
      <c r="Z41" s="31" t="str">
        <f>IF(A41="","",IF(IFERROR(VLOOKUP(A41,Notes!A:B,2,FALSE),"")=0,"",VLOOKUP(A41,Notes!A:B,2,FALSE)))</f>
        <v>04/16/2026…LO</v>
      </c>
      <c r="AA41" s="18">
        <f t="shared" si="7"/>
        <v>1</v>
      </c>
    </row>
    <row r="42" spans="1:27" x14ac:dyDescent="0.25">
      <c r="A42" s="20" t="str">
        <v>26014-06-ST01</v>
      </c>
      <c r="B42" s="20" t="str">
        <f>IF(A42="","",IFERROR(VLOOKUP(A42,'Production Schedule'!$B:$FU,3,FALSE),""))</f>
        <v>2026 R &amp; D</v>
      </c>
      <c r="C42" s="20" t="str">
        <f>IF(A42="","",IFERROR(VLOOKUP(A42,'Production Schedule'!$B:$FU,5,FALSE),""))</f>
        <v>TBC</v>
      </c>
      <c r="D42" s="20" t="str">
        <f>IF(A42="","",IFERROR(VLOOKUP(A42,'Production Schedule'!$B:$FU,7,FALSE),""))</f>
        <v>CUSTOM ARCH</v>
      </c>
      <c r="E42" s="20">
        <f>IF(A42="","",IFERROR(VLOOKUP(A42,'Production Schedule'!$B:$FU,17,FALSE),""))</f>
        <v>0</v>
      </c>
      <c r="F42" s="20">
        <f>IF(A42="","",IFERROR(VLOOKUP(A42,'Production Schedule'!$B:$FU,18,FALSE),""))</f>
        <v>45</v>
      </c>
      <c r="G42" s="20" t="str">
        <f>IF(A42="","",IFERROR(VLOOKUP(A42,'Production Schedule'!$B:$FU,25,FALSE),""))</f>
        <v>Steel Tube</v>
      </c>
      <c r="H42" s="21">
        <f>IF(A42="","",IFERROR(VLOOKUP(A42,'Production Schedule'!$B:$FU,47,FALSE),""))</f>
        <v>46119.289051215281</v>
      </c>
      <c r="I42" s="21">
        <f>IF(A42="","",IFERROR(VLOOKUP(A42,'Production Schedule'!$B:$FU,54,FALSE),""))</f>
        <v>46129</v>
      </c>
      <c r="J42" s="32">
        <f>IF(A42="","",IFERROR(VLOOKUP(A42,'Production Schedule'!$B:$FU,135,FALSE),""))</f>
        <v>15</v>
      </c>
      <c r="K42" s="20" t="str">
        <f>IF(A42="","",IFERROR(VLOOKUP(A42,'Production Schedule'!$B:$FU,59,FALSE),""))</f>
        <v>NO</v>
      </c>
      <c r="L42" s="49" t="str">
        <f>IF(A42="","",IFERROR(VLOOKUP(A42,'Production Schedule'!$B:$FU,80,FALSE),""))</f>
        <v>7000 TubeLaser 28</v>
      </c>
      <c r="M42" s="33" t="str" cm="1">
        <f t="array" ref="M42">IF(A42="","",IFERROR(TRIM(INDEX(_xlfn.TEXTSPLIT(IFERROR(VLOOKUP(A42,'Production Schedule'!$B:$FU,150,FALSE),""),CHAR(10)),1)),""))</f>
        <v>Tube Laser</v>
      </c>
      <c r="N42" s="34">
        <f t="shared" si="0"/>
        <v>46105</v>
      </c>
      <c r="O42" s="35" t="str" cm="1">
        <f t="array" ref="O42">IF(A42="","",IFERROR(TRIM(INDEX(_xlfn.TEXTSPLIT(IFERROR(VLOOKUP(A42,'Production Schedule'!$B:$FU,150,FALSE),""),CHAR(10)),2)),""))</f>
        <v>Weld</v>
      </c>
      <c r="P42" s="34">
        <f t="shared" si="1"/>
        <v>46115</v>
      </c>
      <c r="Q42" s="33" t="str" cm="1">
        <f t="array" ref="Q42">IF(A42="","",IFERROR(TRIM(INDEX(_xlfn.TEXTSPLIT(IFERROR(VLOOKUP(A42,'Production Schedule'!$B:$FU,150,FALSE),""),CHAR(10)),3)),""))</f>
        <v/>
      </c>
      <c r="R42" s="34" t="str">
        <f t="shared" si="2"/>
        <v/>
      </c>
      <c r="S42" s="33" t="str" cm="1">
        <f t="array" ref="S42">IF(A42="","",IFERROR(TRIM(INDEX(_xlfn.TEXTSPLIT(IFERROR(VLOOKUP(A42,'Production Schedule'!$B:$FU,150,FALSE),""),CHAR(10)),4)),""))</f>
        <v/>
      </c>
      <c r="T42" s="34" t="str">
        <f t="shared" si="3"/>
        <v/>
      </c>
      <c r="U42" s="33" t="str" cm="1">
        <f t="array" ref="U42">IF(A42="","",IFERROR(TRIM(INDEX(_xlfn.TEXTSPLIT(IFERROR(VLOOKUP(A42,'Production Schedule'!$B:$FU,150,FALSE),""),CHAR(10)),5)),""))</f>
        <v/>
      </c>
      <c r="V42" s="34" t="str">
        <f t="shared" si="4"/>
        <v/>
      </c>
      <c r="W42" s="33" t="str" cm="1">
        <f t="array" ref="W42">IF(A42="","",IFERROR(TRIM(INDEX(_xlfn.TEXTSPLIT(IFERROR(VLOOKUP(A42,'Production Schedule'!$B:$FU,150,FALSE),""),CHAR(10)),6)),""))</f>
        <v/>
      </c>
      <c r="X42" s="34" t="str">
        <f t="shared" si="5"/>
        <v/>
      </c>
      <c r="Y42" s="36">
        <f t="shared" si="6"/>
        <v>46127</v>
      </c>
      <c r="Z42" s="37" t="str">
        <f>IF(A42="","",IF(IFERROR(VLOOKUP(A42,Notes!A:B,2,FALSE),"")=0,"",VLOOKUP(A42,Notes!A:B,2,FALSE)))</f>
        <v>04/16/2026…7000 TubeLaser 28</v>
      </c>
      <c r="AA42" s="20">
        <f t="shared" si="7"/>
        <v>1</v>
      </c>
    </row>
    <row r="43" spans="1:27" x14ac:dyDescent="0.25">
      <c r="A43" s="18" t="str">
        <v>25061-FL01</v>
      </c>
      <c r="B43" s="18" t="str">
        <f>IF(A43="","",IFERROR(VLOOKUP(A43,'Production Schedule'!$B:$FU,3,FALSE),""))</f>
        <v>BNA Concourse A</v>
      </c>
      <c r="C43" s="18" t="str">
        <f>IF(A43="","",IFERROR(VLOOKUP(A43,'Production Schedule'!$B:$FU,5,FALSE),""))</f>
        <v>Andre Van Der Merwe</v>
      </c>
      <c r="D43" s="18">
        <f>IF(A43="","",IFERROR(VLOOKUP(A43,'Production Schedule'!$B:$FU,7,FALSE),""))</f>
        <v>0</v>
      </c>
      <c r="E43" s="18">
        <f>IF(A43="","",IFERROR(VLOOKUP(A43,'Production Schedule'!$B:$FU,17,FALSE),""))</f>
        <v>0</v>
      </c>
      <c r="F43" s="18">
        <f>IF(A43="","",IFERROR(VLOOKUP(A43,'Production Schedule'!$B:$FU,18,FALSE),""))</f>
        <v>48</v>
      </c>
      <c r="G43" s="18" t="str">
        <f>IF(A43="","",IFERROR(VLOOKUP(A43,'Production Schedule'!$B:$FU,25,FALSE),""))</f>
        <v>Galv Sheet</v>
      </c>
      <c r="H43" s="19">
        <f>IF(A43="","",IFERROR(VLOOKUP(A43,'Production Schedule'!$B:$FU,47,FALSE),""))</f>
        <v>46121.677300347219</v>
      </c>
      <c r="I43" s="19">
        <f>IF(A43="","",IFERROR(VLOOKUP(A43,'Production Schedule'!$B:$FU,54,FALSE),""))</f>
        <v>46129</v>
      </c>
      <c r="J43" s="26">
        <f>IF(A43="","",IFERROR(VLOOKUP(A43,'Production Schedule'!$B:$FU,135,FALSE),""))</f>
        <v>16</v>
      </c>
      <c r="K43" s="18" t="str">
        <f>IF(A43="","",IFERROR(VLOOKUP(A43,'Production Schedule'!$B:$FU,59,FALSE),""))</f>
        <v>YES</v>
      </c>
      <c r="L43" s="38" t="str">
        <f>IF(A43="","",IFERROR(VLOOKUP(A43,'Production Schedule'!$B:$FU,80,FALSE),""))</f>
        <v>Cidan</v>
      </c>
      <c r="M43" s="27" t="str" cm="1">
        <f t="array" ref="M43">IF(A43="","",IFERROR(TRIM(INDEX(_xlfn.TEXTSPLIT(IFERROR(VLOOKUP(A43,'Production Schedule'!$B:$FU,150,FALSE),""),CHAR(10)),1)),""))</f>
        <v>Cidan</v>
      </c>
      <c r="N43" s="28">
        <f t="shared" si="0"/>
        <v>46104</v>
      </c>
      <c r="O43" s="27" t="str" cm="1">
        <f t="array" ref="O43">IF(A43="","",IFERROR(TRIM(INDEX(_xlfn.TEXTSPLIT(IFERROR(VLOOKUP(A43,'Production Schedule'!$B:$FU,150,FALSE),""),CHAR(10)),2)),""))</f>
        <v>Shear</v>
      </c>
      <c r="P43" s="28">
        <f t="shared" si="1"/>
        <v>46115</v>
      </c>
      <c r="Q43" s="27" t="str" cm="1">
        <f t="array" ref="Q43">IF(A43="","",IFERROR(TRIM(INDEX(_xlfn.TEXTSPLIT(IFERROR(VLOOKUP(A43,'Production Schedule'!$B:$FU,150,FALSE),""),CHAR(10)),3)),""))</f>
        <v/>
      </c>
      <c r="R43" s="28" t="str">
        <f t="shared" si="2"/>
        <v/>
      </c>
      <c r="S43" s="27" t="str" cm="1">
        <f t="array" ref="S43">IF(A43="","",IFERROR(TRIM(INDEX(_xlfn.TEXTSPLIT(IFERROR(VLOOKUP(A43,'Production Schedule'!$B:$FU,150,FALSE),""),CHAR(10)),4)),""))</f>
        <v/>
      </c>
      <c r="T43" s="28" t="str">
        <f t="shared" si="3"/>
        <v/>
      </c>
      <c r="U43" s="27" t="str" cm="1">
        <f t="array" ref="U43">IF(A43="","",IFERROR(TRIM(INDEX(_xlfn.TEXTSPLIT(IFERROR(VLOOKUP(A43,'Production Schedule'!$B:$FU,150,FALSE),""),CHAR(10)),5)),""))</f>
        <v/>
      </c>
      <c r="V43" s="28" t="str">
        <f t="shared" si="4"/>
        <v/>
      </c>
      <c r="W43" s="27" t="str" cm="1">
        <f t="array" ref="W43">IF(A43="","",IFERROR(TRIM(INDEX(_xlfn.TEXTSPLIT(IFERROR(VLOOKUP(A43,'Production Schedule'!$B:$FU,150,FALSE),""),CHAR(10)),6)),""))</f>
        <v/>
      </c>
      <c r="X43" s="28" t="str">
        <f t="shared" si="5"/>
        <v/>
      </c>
      <c r="Y43" s="30">
        <f t="shared" si="6"/>
        <v>46127</v>
      </c>
      <c r="Z43" s="31" t="str">
        <f>IF(A43="","",IF(IFERROR(VLOOKUP(A43,Notes!A:B,2,FALSE),"")=0,"",VLOOKUP(A43,Notes!A:B,2,FALSE)))</f>
        <v>04/15/2026…Shear*04/16/2026…Cidan</v>
      </c>
      <c r="AA43" s="18">
        <f t="shared" si="7"/>
        <v>1</v>
      </c>
    </row>
    <row r="44" spans="1:27" x14ac:dyDescent="0.25">
      <c r="A44" s="20" t="str">
        <v>25036-FL22</v>
      </c>
      <c r="B44" s="20" t="str">
        <f>IF(A44="","",IFERROR(VLOOKUP(A44,'Production Schedule'!$B:$FU,3,FALSE),""))</f>
        <v>TCAT Chattanooga</v>
      </c>
      <c r="C44" s="20" t="str">
        <f>IF(A44="","",IFERROR(VLOOKUP(A44,'Production Schedule'!$B:$FU,5,FALSE),""))</f>
        <v>Josh McPherson</v>
      </c>
      <c r="D44" s="20">
        <f>IF(A44="","",IFERROR(VLOOKUP(A44,'Production Schedule'!$B:$FU,7,FALSE),""))</f>
        <v>0</v>
      </c>
      <c r="E44" s="20">
        <f>IF(A44="","",IFERROR(VLOOKUP(A44,'Production Schedule'!$B:$FU,17,FALSE),""))</f>
        <v>0</v>
      </c>
      <c r="F44" s="20">
        <f>IF(A44="","",IFERROR(VLOOKUP(A44,'Production Schedule'!$B:$FU,18,FALSE),""))</f>
        <v>10</v>
      </c>
      <c r="G44" s="20" t="str">
        <f>IF(A44="","",IFERROR(VLOOKUP(A44,'Production Schedule'!$B:$FU,25,FALSE),""))</f>
        <v>Steel Sheet</v>
      </c>
      <c r="H44" s="21">
        <f>IF(A44="","",IFERROR(VLOOKUP(A44,'Production Schedule'!$B:$FU,47,FALSE),""))</f>
        <v>46128.523623518522</v>
      </c>
      <c r="I44" s="21">
        <f>IF(A44="","",IFERROR(VLOOKUP(A44,'Production Schedule'!$B:$FU,54,FALSE),""))</f>
        <v>46129</v>
      </c>
      <c r="J44" s="32">
        <f>IF(A44="","",IFERROR(VLOOKUP(A44,'Production Schedule'!$B:$FU,135,FALSE),""))</f>
        <v>10</v>
      </c>
      <c r="K44" s="20" t="str">
        <f>IF(A44="","",IFERROR(VLOOKUP(A44,'Production Schedule'!$B:$FU,59,FALSE),""))</f>
        <v>NO</v>
      </c>
      <c r="L44" s="49" t="str">
        <f>IF(A44="","",IFERROR(VLOOKUP(A44,'Production Schedule'!$B:$FU,80,FALSE),""))</f>
        <v>Sketch Check</v>
      </c>
      <c r="M44" s="35" t="str" cm="1">
        <f t="array" ref="M44">IF(A44="","",IFERROR(TRIM(INDEX(_xlfn.TEXTSPLIT(IFERROR(VLOOKUP(A44,'Production Schedule'!$B:$FU,150,FALSE),""),CHAR(10)),1)),""))</f>
        <v>Cidan</v>
      </c>
      <c r="N44" s="34">
        <f t="shared" si="0"/>
        <v>46104</v>
      </c>
      <c r="O44" s="33" t="str" cm="1">
        <f t="array" ref="O44">IF(A44="","",IFERROR(TRIM(INDEX(_xlfn.TEXTSPLIT(IFERROR(VLOOKUP(A44,'Production Schedule'!$B:$FU,150,FALSE),""),CHAR(10)),2)),""))</f>
        <v>Shear</v>
      </c>
      <c r="P44" s="34">
        <f t="shared" si="1"/>
        <v>46115</v>
      </c>
      <c r="Q44" s="33" t="str" cm="1">
        <f t="array" ref="Q44">IF(A44="","",IFERROR(TRIM(INDEX(_xlfn.TEXTSPLIT(IFERROR(VLOOKUP(A44,'Production Schedule'!$B:$FU,150,FALSE),""),CHAR(10)),3)),""))</f>
        <v/>
      </c>
      <c r="R44" s="34" t="str">
        <f t="shared" si="2"/>
        <v/>
      </c>
      <c r="S44" s="33" t="str" cm="1">
        <f t="array" ref="S44">IF(A44="","",IFERROR(TRIM(INDEX(_xlfn.TEXTSPLIT(IFERROR(VLOOKUP(A44,'Production Schedule'!$B:$FU,150,FALSE),""),CHAR(10)),4)),""))</f>
        <v/>
      </c>
      <c r="T44" s="34" t="str">
        <f t="shared" si="3"/>
        <v/>
      </c>
      <c r="U44" s="33" t="str" cm="1">
        <f t="array" ref="U44">IF(A44="","",IFERROR(TRIM(INDEX(_xlfn.TEXTSPLIT(IFERROR(VLOOKUP(A44,'Production Schedule'!$B:$FU,150,FALSE),""),CHAR(10)),5)),""))</f>
        <v/>
      </c>
      <c r="V44" s="34" t="str">
        <f t="shared" si="4"/>
        <v/>
      </c>
      <c r="W44" s="33" t="str" cm="1">
        <f t="array" ref="W44">IF(A44="","",IFERROR(TRIM(INDEX(_xlfn.TEXTSPLIT(IFERROR(VLOOKUP(A44,'Production Schedule'!$B:$FU,150,FALSE),""),CHAR(10)),6)),""))</f>
        <v/>
      </c>
      <c r="X44" s="34" t="str">
        <f t="shared" si="5"/>
        <v/>
      </c>
      <c r="Y44" s="36">
        <f t="shared" si="6"/>
        <v>46127</v>
      </c>
      <c r="Z44" s="37" t="str">
        <f>IF(A44="","",IF(IFERROR(VLOOKUP(A44,Notes!A:B,2,FALSE),"")=0,"",VLOOKUP(A44,Notes!A:B,2,FALSE)))</f>
        <v xml:space="preserve">04/16/2026…MUST RUN FRIDAY AND FINISH BY EOS.  REFER TO EMAIL. </v>
      </c>
      <c r="AA44" s="20">
        <f t="shared" si="7"/>
        <v>1</v>
      </c>
    </row>
    <row r="45" spans="1:27" x14ac:dyDescent="0.25">
      <c r="A45" s="18" t="str">
        <v>24074-FS07</v>
      </c>
      <c r="B45" s="18" t="str">
        <f>IF(A45="","",IFERROR(VLOOKUP(A45,'Production Schedule'!$B:$FU,3,FALSE),""))</f>
        <v>DIDD ACM</v>
      </c>
      <c r="C45" s="18" t="str">
        <f>IF(A45="","",IFERROR(VLOOKUP(A45,'Production Schedule'!$B:$FU,5,FALSE),""))</f>
        <v>Dillon Bowman</v>
      </c>
      <c r="D45" s="18">
        <f>IF(A45="","",IFERROR(VLOOKUP(A45,'Production Schedule'!$B:$FU,7,FALSE),""))</f>
        <v>400</v>
      </c>
      <c r="E45" s="18">
        <f>IF(A45="","",IFERROR(VLOOKUP(A45,'Production Schedule'!$B:$FU,17,FALSE),""))</f>
        <v>155</v>
      </c>
      <c r="F45" s="18">
        <f>IF(A45="","",IFERROR(VLOOKUP(A45,'Production Schedule'!$B:$FU,18,FALSE),""))</f>
        <v>218</v>
      </c>
      <c r="G45" s="18" t="str">
        <f>IF(A45="","",IFERROR(VLOOKUP(A45,'Production Schedule'!$B:$FU,25,FALSE),""))</f>
        <v>FR ACM</v>
      </c>
      <c r="H45" s="19">
        <f>IF(A45="","",IFERROR(VLOOKUP(A45,'Production Schedule'!$B:$FU,47,FALSE),""))</f>
        <v>46062.465621030089</v>
      </c>
      <c r="I45" s="19">
        <f>IF(A45="","",IFERROR(VLOOKUP(A45,'Production Schedule'!$B:$FU,54,FALSE),""))</f>
        <v>46132</v>
      </c>
      <c r="J45" s="26">
        <f>IF(A45="","",IFERROR(VLOOKUP(A45,'Production Schedule'!$B:$FU,135,FALSE),""))</f>
        <v>385</v>
      </c>
      <c r="K45" s="18" t="str">
        <f>IF(A45="","",IFERROR(VLOOKUP(A45,'Production Schedule'!$B:$FU,59,FALSE),""))</f>
        <v>YES</v>
      </c>
      <c r="L45" s="49" t="str">
        <f>IF(A45="","",IFERROR(VLOOKUP(A45,'Production Schedule'!$B:$FU,80,FALSE),""))</f>
        <v>CNC Programming</v>
      </c>
      <c r="M45" s="27" t="str" cm="1">
        <f t="array" ref="M45">IF(A45="","",IFERROR(TRIM(INDEX(_xlfn.TEXTSPLIT(IFERROR(VLOOKUP(A45,'Production Schedule'!$B:$FU,150,FALSE),""),CHAR(10)),1)),""))</f>
        <v>AXYZ Titans Line</v>
      </c>
      <c r="N45" s="28">
        <f t="shared" si="0"/>
        <v>46094</v>
      </c>
      <c r="O45" s="29" t="str" cm="1">
        <f t="array" ref="O45">IF(A45="","",IFERROR(TRIM(INDEX(_xlfn.TEXTSPLIT(IFERROR(VLOOKUP(A45,'Production Schedule'!$B:$FU,150,FALSE),""),CHAR(10)),2)),""))</f>
        <v>Clean and Brake</v>
      </c>
      <c r="P45" s="28">
        <f t="shared" si="1"/>
        <v>46098</v>
      </c>
      <c r="Q45" s="27" t="str" cm="1">
        <f t="array" ref="Q45">IF(A45="","",IFERROR(TRIM(INDEX(_xlfn.TEXTSPLIT(IFERROR(VLOOKUP(A45,'Production Schedule'!$B:$FU,150,FALSE),""),CHAR(10)),3)),""))</f>
        <v>Fab</v>
      </c>
      <c r="R45" s="28">
        <f t="shared" si="2"/>
        <v>46108</v>
      </c>
      <c r="S45" s="27" t="str" cm="1">
        <f t="array" ref="S45">IF(A45="","",IFERROR(TRIM(INDEX(_xlfn.TEXTSPLIT(IFERROR(VLOOKUP(A45,'Production Schedule'!$B:$FU,150,FALSE),""),CHAR(10)),4)),""))</f>
        <v>Roller</v>
      </c>
      <c r="T45" s="28">
        <f t="shared" si="3"/>
        <v>46119</v>
      </c>
      <c r="U45" s="27" t="str" cm="1">
        <f t="array" ref="U45">IF(A45="","",IFERROR(TRIM(INDEX(_xlfn.TEXTSPLIT(IFERROR(VLOOKUP(A45,'Production Schedule'!$B:$FU,150,FALSE),""),CHAR(10)),5)),""))</f>
        <v/>
      </c>
      <c r="V45" s="28" t="str">
        <f t="shared" si="4"/>
        <v/>
      </c>
      <c r="W45" s="27" t="str" cm="1">
        <f t="array" ref="W45">IF(A45="","",IFERROR(TRIM(INDEX(_xlfn.TEXTSPLIT(IFERROR(VLOOKUP(A45,'Production Schedule'!$B:$FU,150,FALSE),""),CHAR(10)),6)),""))</f>
        <v/>
      </c>
      <c r="X45" s="28" t="str">
        <f t="shared" si="5"/>
        <v/>
      </c>
      <c r="Y45" s="30">
        <f t="shared" si="6"/>
        <v>46129</v>
      </c>
      <c r="Z45" s="31" t="str">
        <f>IF(A45="","",IF(IFERROR(VLOOKUP(A45,Notes!A:B,2,FALSE),"")=0,"",VLOOKUP(A45,Notes!A:B,2,FALSE)))</f>
        <v>*03/30...4' Panals Rolled*04/02…Sketch*04/09…CNC*04/16/2026…CNC Programming</v>
      </c>
      <c r="AA45" s="18">
        <f t="shared" si="7"/>
        <v>1</v>
      </c>
    </row>
    <row r="46" spans="1:27" x14ac:dyDescent="0.25">
      <c r="A46" s="20" t="str">
        <v>26009-FS01</v>
      </c>
      <c r="B46" s="20" t="str">
        <f>IF(A46="","",IFERROR(VLOOKUP(A46,'Production Schedule'!$B:$FU,3,FALSE),""))</f>
        <v>5th &amp; Summer Leasing Office</v>
      </c>
      <c r="C46" s="20" t="str">
        <f>IF(A46="","",IFERROR(VLOOKUP(A46,'Production Schedule'!$B:$FU,5,FALSE),""))</f>
        <v>Cole Norona</v>
      </c>
      <c r="D46" s="20">
        <f>IF(A46="","",IFERROR(VLOOKUP(A46,'Production Schedule'!$B:$FU,7,FALSE),""))</f>
        <v>400</v>
      </c>
      <c r="E46" s="20">
        <f>IF(A46="","",IFERROR(VLOOKUP(A46,'Production Schedule'!$B:$FU,17,FALSE),""))</f>
        <v>9</v>
      </c>
      <c r="F46" s="20">
        <f>IF(A46="","",IFERROR(VLOOKUP(A46,'Production Schedule'!$B:$FU,18,FALSE),""))</f>
        <v>0</v>
      </c>
      <c r="G46" s="20" t="str">
        <f>IF(A46="","",IFERROR(VLOOKUP(A46,'Production Schedule'!$B:$FU,25,FALSE),""))</f>
        <v>FR ACM</v>
      </c>
      <c r="H46" s="21">
        <f>IF(A46="","",IFERROR(VLOOKUP(A46,'Production Schedule'!$B:$FU,47,FALSE),""))</f>
        <v>46094.346073067129</v>
      </c>
      <c r="I46" s="21">
        <f>IF(A46="","",IFERROR(VLOOKUP(A46,'Production Schedule'!$B:$FU,54,FALSE),""))</f>
        <v>46132</v>
      </c>
      <c r="J46" s="32">
        <f>IF(A46="","",IFERROR(VLOOKUP(A46,'Production Schedule'!$B:$FU,135,FALSE),""))</f>
        <v>16</v>
      </c>
      <c r="K46" s="20" t="str">
        <f>IF(A46="","",IFERROR(VLOOKUP(A46,'Production Schedule'!$B:$FU,59,FALSE),""))</f>
        <v>YES</v>
      </c>
      <c r="L46" s="49" t="str">
        <f>IF(A46="","",IFERROR(VLOOKUP(A46,'Production Schedule'!$B:$FU,80,FALSE),""))</f>
        <v>LO Check</v>
      </c>
      <c r="M46" s="33" t="str" cm="1">
        <f t="array" ref="M46">IF(A46="","",IFERROR(TRIM(INDEX(_xlfn.TEXTSPLIT(IFERROR(VLOOKUP(A46,'Production Schedule'!$B:$FU,150,FALSE),""),CHAR(10)),1)),""))</f>
        <v>AXYZ</v>
      </c>
      <c r="N46" s="34">
        <f t="shared" si="0"/>
        <v>46107</v>
      </c>
      <c r="O46" s="35" t="str" cm="1">
        <f t="array" ref="O46">IF(A46="","",IFERROR(TRIM(INDEX(_xlfn.TEXTSPLIT(IFERROR(VLOOKUP(A46,'Production Schedule'!$B:$FU,150,FALSE),""),CHAR(10)),2)),""))</f>
        <v>Clean and Brake</v>
      </c>
      <c r="P46" s="34">
        <f t="shared" si="1"/>
        <v>46108</v>
      </c>
      <c r="Q46" s="33" t="str" cm="1">
        <f t="array" ref="Q46">IF(A46="","",IFERROR(TRIM(INDEX(_xlfn.TEXTSPLIT(IFERROR(VLOOKUP(A46,'Production Schedule'!$B:$FU,150,FALSE),""),CHAR(10)),3)),""))</f>
        <v>Fab</v>
      </c>
      <c r="R46" s="34">
        <f t="shared" si="2"/>
        <v>46119</v>
      </c>
      <c r="S46" s="33" t="str" cm="1">
        <f t="array" ref="S46">IF(A46="","",IFERROR(TRIM(INDEX(_xlfn.TEXTSPLIT(IFERROR(VLOOKUP(A46,'Production Schedule'!$B:$FU,150,FALSE),""),CHAR(10)),4)),""))</f>
        <v/>
      </c>
      <c r="T46" s="34" t="str">
        <f t="shared" si="3"/>
        <v/>
      </c>
      <c r="U46" s="33" t="str" cm="1">
        <f t="array" ref="U46">IF(A46="","",IFERROR(TRIM(INDEX(_xlfn.TEXTSPLIT(IFERROR(VLOOKUP(A46,'Production Schedule'!$B:$FU,150,FALSE),""),CHAR(10)),5)),""))</f>
        <v/>
      </c>
      <c r="V46" s="34" t="str">
        <f t="shared" si="4"/>
        <v/>
      </c>
      <c r="W46" s="33" t="str" cm="1">
        <f t="array" ref="W46">IF(A46="","",IFERROR(TRIM(INDEX(_xlfn.TEXTSPLIT(IFERROR(VLOOKUP(A46,'Production Schedule'!$B:$FU,150,FALSE),""),CHAR(10)),6)),""))</f>
        <v/>
      </c>
      <c r="X46" s="34" t="str">
        <f t="shared" si="5"/>
        <v/>
      </c>
      <c r="Y46" s="36">
        <f t="shared" si="6"/>
        <v>46129</v>
      </c>
      <c r="Z46" s="37" t="str">
        <f>IF(A46="","",IF(IFERROR(VLOOKUP(A46,Notes!A:B,2,FALSE),"")=0,"",VLOOKUP(A46,Notes!A:B,2,FALSE)))</f>
        <v>04/16/2026…LO Check</v>
      </c>
      <c r="AA46" s="20">
        <f t="shared" si="7"/>
        <v>1</v>
      </c>
    </row>
    <row r="47" spans="1:27" x14ac:dyDescent="0.25">
      <c r="A47" s="18" t="str">
        <v>24046-RO06</v>
      </c>
      <c r="B47" s="18" t="str">
        <f>IF(A47="","",IFERROR(VLOOKUP(A47,'Production Schedule'!$B:$FU,3,FALSE),""))</f>
        <v>UAB Biomedical Research and Psycholgy</v>
      </c>
      <c r="C47" s="18" t="str">
        <f>IF(A47="","",IFERROR(VLOOKUP(A47,'Production Schedule'!$B:$FU,5,FALSE),""))</f>
        <v>Wylie McDougall</v>
      </c>
      <c r="D47" s="18">
        <f>IF(A47="","",IFERROR(VLOOKUP(A47,'Production Schedule'!$B:$FU,7,FALSE),""))</f>
        <v>400</v>
      </c>
      <c r="E47" s="18">
        <f>IF(A47="","",IFERROR(VLOOKUP(A47,'Production Schedule'!$B:$FU,17,FALSE),""))</f>
        <v>17</v>
      </c>
      <c r="F47" s="18">
        <f>IF(A47="","",IFERROR(VLOOKUP(A47,'Production Schedule'!$B:$FU,18,FALSE),""))</f>
        <v>18</v>
      </c>
      <c r="G47" s="18" t="str">
        <f>IF(A47="","",IFERROR(VLOOKUP(A47,'Production Schedule'!$B:$FU,25,FALSE),""))</f>
        <v>FR ACM</v>
      </c>
      <c r="H47" s="19">
        <f>IF(A47="","",IFERROR(VLOOKUP(A47,'Production Schedule'!$B:$FU,47,FALSE),""))</f>
        <v>46128.550303773147</v>
      </c>
      <c r="I47" s="19">
        <f>IF(A47="","",IFERROR(VLOOKUP(A47,'Production Schedule'!$B:$FU,54,FALSE),""))</f>
        <v>46132</v>
      </c>
      <c r="J47" s="26">
        <f>IF(A47="","",IFERROR(VLOOKUP(A47,'Production Schedule'!$B:$FU,135,FALSE),""))</f>
        <v>4</v>
      </c>
      <c r="K47" s="18" t="str">
        <f>IF(A47="","",IFERROR(VLOOKUP(A47,'Production Schedule'!$B:$FU,59,FALSE),""))</f>
        <v>YES</v>
      </c>
      <c r="L47" s="49">
        <f>IF(A47="","",IFERROR(VLOOKUP(A47,'Production Schedule'!$B:$FU,80,FALSE),""))</f>
        <v>0</v>
      </c>
      <c r="M47" s="29" t="str" cm="1">
        <f t="array" ref="M47">IF(A47="","",IFERROR(TRIM(INDEX(_xlfn.TEXTSPLIT(IFERROR(VLOOKUP(A47,'Production Schedule'!$B:$FU,150,FALSE),""),CHAR(10)),1)),""))</f>
        <v/>
      </c>
      <c r="N47" s="28" t="str">
        <f t="shared" si="0"/>
        <v/>
      </c>
      <c r="O47" s="27" t="str" cm="1">
        <f t="array" ref="O47">IF(A47="","",IFERROR(TRIM(INDEX(_xlfn.TEXTSPLIT(IFERROR(VLOOKUP(A47,'Production Schedule'!$B:$FU,150,FALSE),""),CHAR(10)),2)),""))</f>
        <v/>
      </c>
      <c r="P47" s="28" t="str">
        <f t="shared" si="1"/>
        <v/>
      </c>
      <c r="Q47" s="27" t="str" cm="1">
        <f t="array" ref="Q47">IF(A47="","",IFERROR(TRIM(INDEX(_xlfn.TEXTSPLIT(IFERROR(VLOOKUP(A47,'Production Schedule'!$B:$FU,150,FALSE),""),CHAR(10)),3)),""))</f>
        <v/>
      </c>
      <c r="R47" s="28" t="str">
        <f t="shared" si="2"/>
        <v/>
      </c>
      <c r="S47" s="27" t="str" cm="1">
        <f t="array" ref="S47">IF(A47="","",IFERROR(TRIM(INDEX(_xlfn.TEXTSPLIT(IFERROR(VLOOKUP(A47,'Production Schedule'!$B:$FU,150,FALSE),""),CHAR(10)),4)),""))</f>
        <v/>
      </c>
      <c r="T47" s="28" t="str">
        <f t="shared" si="3"/>
        <v/>
      </c>
      <c r="U47" s="27" t="str" cm="1">
        <f t="array" ref="U47">IF(A47="","",IFERROR(TRIM(INDEX(_xlfn.TEXTSPLIT(IFERROR(VLOOKUP(A47,'Production Schedule'!$B:$FU,150,FALSE),""),CHAR(10)),5)),""))</f>
        <v/>
      </c>
      <c r="V47" s="28" t="str">
        <f t="shared" si="4"/>
        <v/>
      </c>
      <c r="W47" s="27" t="str" cm="1">
        <f t="array" ref="W47">IF(A47="","",IFERROR(TRIM(INDEX(_xlfn.TEXTSPLIT(IFERROR(VLOOKUP(A47,'Production Schedule'!$B:$FU,150,FALSE),""),CHAR(10)),6)),""))</f>
        <v/>
      </c>
      <c r="X47" s="28" t="str">
        <f t="shared" si="5"/>
        <v/>
      </c>
      <c r="Y47" s="30">
        <f t="shared" si="6"/>
        <v>46129</v>
      </c>
      <c r="Z47" s="31" t="str">
        <f>IF(A47="","",IF(IFERROR(VLOOKUP(A47,Notes!A:B,2,FALSE),"")=0,"",VLOOKUP(A47,Notes!A:B,2,FALSE)))</f>
        <v>04/16/2026…</v>
      </c>
      <c r="AA47" s="18">
        <f t="shared" si="7"/>
        <v>1</v>
      </c>
    </row>
    <row r="48" spans="1:27" x14ac:dyDescent="0.25">
      <c r="A48" s="20" t="str">
        <v>24039-FL36</v>
      </c>
      <c r="B48" s="20" t="str">
        <f>IF(A48="","",IFERROR(VLOOKUP(A48,'Production Schedule'!$B:$FU,3,FALSE),""))</f>
        <v>The Visionary</v>
      </c>
      <c r="C48" s="20" t="str">
        <f>IF(A48="","",IFERROR(VLOOKUP(A48,'Production Schedule'!$B:$FU,5,FALSE),""))</f>
        <v>Carlos Silva</v>
      </c>
      <c r="D48" s="20">
        <f>IF(A48="","",IFERROR(VLOOKUP(A48,'Production Schedule'!$B:$FU,7,FALSE),""))</f>
        <v>0</v>
      </c>
      <c r="E48" s="20">
        <f>IF(A48="","",IFERROR(VLOOKUP(A48,'Production Schedule'!$B:$FU,17,FALSE),""))</f>
        <v>0</v>
      </c>
      <c r="F48" s="20">
        <f>IF(A48="","",IFERROR(VLOOKUP(A48,'Production Schedule'!$B:$FU,18,FALSE),""))</f>
        <v>60</v>
      </c>
      <c r="G48" s="20" t="str">
        <f>IF(A48="","",IFERROR(VLOOKUP(A48,'Production Schedule'!$B:$FU,25,FALSE),""))</f>
        <v>Alum Sheet</v>
      </c>
      <c r="H48" s="21">
        <f>IF(A48="","",IFERROR(VLOOKUP(A48,'Production Schedule'!$B:$FU,47,FALSE),""))</f>
        <v>46119.635939525462</v>
      </c>
      <c r="I48" s="21">
        <f>IF(A48="","",IFERROR(VLOOKUP(A48,'Production Schedule'!$B:$FU,54,FALSE),""))</f>
        <v>46133</v>
      </c>
      <c r="J48" s="32">
        <f>IF(A48="","",IFERROR(VLOOKUP(A48,'Production Schedule'!$B:$FU,135,FALSE),""))</f>
        <v>8</v>
      </c>
      <c r="K48" s="20" t="str">
        <f>IF(A48="","",IFERROR(VLOOKUP(A48,'Production Schedule'!$B:$FU,59,FALSE),""))</f>
        <v>YES</v>
      </c>
      <c r="L48" s="49" t="str">
        <f>IF(A48="","",IFERROR(VLOOKUP(A48,'Production Schedule'!$B:$FU,80,FALSE),""))</f>
        <v>Shear</v>
      </c>
      <c r="M48" s="33" t="str" cm="1">
        <f t="array" ref="M48">IF(A48="","",IFERROR(TRIM(INDEX(_xlfn.TEXTSPLIT(IFERROR(VLOOKUP(A48,'Production Schedule'!$B:$FU,150,FALSE),""),CHAR(10)),1)),""))</f>
        <v>Cidan</v>
      </c>
      <c r="N48" s="34">
        <f t="shared" si="0"/>
        <v>46107</v>
      </c>
      <c r="O48" s="35" t="str" cm="1">
        <f t="array" ref="O48">IF(A48="","",IFERROR(TRIM(INDEX(_xlfn.TEXTSPLIT(IFERROR(VLOOKUP(A48,'Production Schedule'!$B:$FU,150,FALSE),""),CHAR(10)),2)),""))</f>
        <v>Shear</v>
      </c>
      <c r="P48" s="34">
        <f t="shared" si="1"/>
        <v>46119</v>
      </c>
      <c r="Q48" s="33" t="str" cm="1">
        <f t="array" ref="Q48">IF(A48="","",IFERROR(TRIM(INDEX(_xlfn.TEXTSPLIT(IFERROR(VLOOKUP(A48,'Production Schedule'!$B:$FU,150,FALSE),""),CHAR(10)),3)),""))</f>
        <v/>
      </c>
      <c r="R48" s="34" t="str">
        <f t="shared" si="2"/>
        <v/>
      </c>
      <c r="S48" s="33" t="str" cm="1">
        <f t="array" ref="S48">IF(A48="","",IFERROR(TRIM(INDEX(_xlfn.TEXTSPLIT(IFERROR(VLOOKUP(A48,'Production Schedule'!$B:$FU,150,FALSE),""),CHAR(10)),4)),""))</f>
        <v/>
      </c>
      <c r="T48" s="34" t="str">
        <f t="shared" si="3"/>
        <v/>
      </c>
      <c r="U48" s="33" t="str" cm="1">
        <f t="array" ref="U48">IF(A48="","",IFERROR(TRIM(INDEX(_xlfn.TEXTSPLIT(IFERROR(VLOOKUP(A48,'Production Schedule'!$B:$FU,150,FALSE),""),CHAR(10)),5)),""))</f>
        <v/>
      </c>
      <c r="V48" s="34" t="str">
        <f t="shared" si="4"/>
        <v/>
      </c>
      <c r="W48" s="33" t="str" cm="1">
        <f t="array" ref="W48">IF(A48="","",IFERROR(TRIM(INDEX(_xlfn.TEXTSPLIT(IFERROR(VLOOKUP(A48,'Production Schedule'!$B:$FU,150,FALSE),""),CHAR(10)),6)),""))</f>
        <v/>
      </c>
      <c r="X48" s="34" t="str">
        <f t="shared" si="5"/>
        <v/>
      </c>
      <c r="Y48" s="36">
        <f t="shared" si="6"/>
        <v>46130</v>
      </c>
      <c r="Z48" s="37" t="str">
        <f>IF(A48="","",IF(IFERROR(VLOOKUP(A48,Notes!A:B,2,FALSE),"")=0,"",VLOOKUP(A48,Notes!A:B,2,FALSE)))</f>
        <v>04/15/2026…Shear*04/16/2026…Shear</v>
      </c>
      <c r="AA48" s="20">
        <f t="shared" si="7"/>
        <v>1</v>
      </c>
    </row>
    <row r="49" spans="1:27" x14ac:dyDescent="0.25">
      <c r="A49" s="18" t="str">
        <v>24039-FL37</v>
      </c>
      <c r="B49" s="18" t="str">
        <f>IF(A49="","",IFERROR(VLOOKUP(A49,'Production Schedule'!$B:$FU,3,FALSE),""))</f>
        <v>The Visionary</v>
      </c>
      <c r="C49" s="18" t="str">
        <f>IF(A49="","",IFERROR(VLOOKUP(A49,'Production Schedule'!$B:$FU,5,FALSE),""))</f>
        <v>Carlos Silva</v>
      </c>
      <c r="D49" s="18">
        <f>IF(A49="","",IFERROR(VLOOKUP(A49,'Production Schedule'!$B:$FU,7,FALSE),""))</f>
        <v>0</v>
      </c>
      <c r="E49" s="18">
        <f>IF(A49="","",IFERROR(VLOOKUP(A49,'Production Schedule'!$B:$FU,17,FALSE),""))</f>
        <v>0</v>
      </c>
      <c r="F49" s="18">
        <f>IF(A49="","",IFERROR(VLOOKUP(A49,'Production Schedule'!$B:$FU,18,FALSE),""))</f>
        <v>16</v>
      </c>
      <c r="G49" s="18" t="str">
        <f>IF(A49="","",IFERROR(VLOOKUP(A49,'Production Schedule'!$B:$FU,25,FALSE),""))</f>
        <v>Alum Sheet</v>
      </c>
      <c r="H49" s="19">
        <f>IF(A49="","",IFERROR(VLOOKUP(A49,'Production Schedule'!$B:$FU,47,FALSE),""))</f>
        <v>46119.641795393516</v>
      </c>
      <c r="I49" s="19">
        <f>IF(A49="","",IFERROR(VLOOKUP(A49,'Production Schedule'!$B:$FU,54,FALSE),""))</f>
        <v>46133</v>
      </c>
      <c r="J49" s="26">
        <f>IF(A49="","",IFERROR(VLOOKUP(A49,'Production Schedule'!$B:$FU,135,FALSE),""))</f>
        <v>6</v>
      </c>
      <c r="K49" s="18" t="str">
        <f>IF(A49="","",IFERROR(VLOOKUP(A49,'Production Schedule'!$B:$FU,59,FALSE),""))</f>
        <v>YES</v>
      </c>
      <c r="L49" s="18" t="str">
        <f>IF(A49="","",IFERROR(VLOOKUP(A49,'Production Schedule'!$B:$FU,80,FALSE),""))</f>
        <v>Shear</v>
      </c>
      <c r="M49" s="27" t="str" cm="1">
        <f t="array" ref="M49">IF(A49="","",IFERROR(TRIM(INDEX(_xlfn.TEXTSPLIT(IFERROR(VLOOKUP(A49,'Production Schedule'!$B:$FU,150,FALSE),""),CHAR(10)),1)),""))</f>
        <v>Cidan</v>
      </c>
      <c r="N49" s="28">
        <f t="shared" si="0"/>
        <v>46107</v>
      </c>
      <c r="O49" s="27" t="str" cm="1">
        <f t="array" ref="O49">IF(A49="","",IFERROR(TRIM(INDEX(_xlfn.TEXTSPLIT(IFERROR(VLOOKUP(A49,'Production Schedule'!$B:$FU,150,FALSE),""),CHAR(10)),2)),""))</f>
        <v>Shear</v>
      </c>
      <c r="P49" s="28">
        <f t="shared" si="1"/>
        <v>46119</v>
      </c>
      <c r="Q49" s="27" t="str" cm="1">
        <f t="array" ref="Q49">IF(A49="","",IFERROR(TRIM(INDEX(_xlfn.TEXTSPLIT(IFERROR(VLOOKUP(A49,'Production Schedule'!$B:$FU,150,FALSE),""),CHAR(10)),3)),""))</f>
        <v/>
      </c>
      <c r="R49" s="28" t="str">
        <f t="shared" si="2"/>
        <v/>
      </c>
      <c r="S49" s="27" t="str" cm="1">
        <f t="array" ref="S49">IF(A49="","",IFERROR(TRIM(INDEX(_xlfn.TEXTSPLIT(IFERROR(VLOOKUP(A49,'Production Schedule'!$B:$FU,150,FALSE),""),CHAR(10)),4)),""))</f>
        <v/>
      </c>
      <c r="T49" s="28" t="str">
        <f t="shared" si="3"/>
        <v/>
      </c>
      <c r="U49" s="27" t="str" cm="1">
        <f t="array" ref="U49">IF(A49="","",IFERROR(TRIM(INDEX(_xlfn.TEXTSPLIT(IFERROR(VLOOKUP(A49,'Production Schedule'!$B:$FU,150,FALSE),""),CHAR(10)),5)),""))</f>
        <v/>
      </c>
      <c r="V49" s="28" t="str">
        <f t="shared" si="4"/>
        <v/>
      </c>
      <c r="W49" s="27" t="str" cm="1">
        <f t="array" ref="W49">IF(A49="","",IFERROR(TRIM(INDEX(_xlfn.TEXTSPLIT(IFERROR(VLOOKUP(A49,'Production Schedule'!$B:$FU,150,FALSE),""),CHAR(10)),6)),""))</f>
        <v/>
      </c>
      <c r="X49" s="28" t="str">
        <f t="shared" si="5"/>
        <v/>
      </c>
      <c r="Y49" s="30">
        <f t="shared" si="6"/>
        <v>46130</v>
      </c>
      <c r="Z49" s="31" t="str">
        <f>IF(A49="","",IF(IFERROR(VLOOKUP(A49,Notes!A:B,2,FALSE),"")=0,"",VLOOKUP(A49,Notes!A:B,2,FALSE)))</f>
        <v>04/15/2026…Shear*04/16/2026…Shear</v>
      </c>
      <c r="AA49" s="18">
        <f t="shared" si="7"/>
        <v>1</v>
      </c>
    </row>
    <row r="50" spans="1:27" x14ac:dyDescent="0.25">
      <c r="A50" s="20" t="str">
        <v>24039-BM19</v>
      </c>
      <c r="B50" s="20" t="str">
        <f>IF(A50="","",IFERROR(VLOOKUP(A50,'Production Schedule'!$B:$FU,3,FALSE),""))</f>
        <v>The Visionary</v>
      </c>
      <c r="C50" s="20" t="str">
        <f>IF(A50="","",IFERROR(VLOOKUP(A50,'Production Schedule'!$B:$FU,5,FALSE),""))</f>
        <v>Carlos Silva</v>
      </c>
      <c r="D50" s="20">
        <f>IF(A50="","",IFERROR(VLOOKUP(A50,'Production Schedule'!$B:$FU,7,FALSE),""))</f>
        <v>0</v>
      </c>
      <c r="E50" s="20">
        <f>IF(A50="","",IFERROR(VLOOKUP(A50,'Production Schedule'!$B:$FU,17,FALSE),""))</f>
        <v>0</v>
      </c>
      <c r="F50" s="20">
        <f>IF(A50="","",IFERROR(VLOOKUP(A50,'Production Schedule'!$B:$FU,18,FALSE),""))</f>
        <v>340</v>
      </c>
      <c r="G50" s="20" t="str">
        <f>IF(A50="","",IFERROR(VLOOKUP(A50,'Production Schedule'!$B:$FU,25,FALSE),""))</f>
        <v>Galv Sheet</v>
      </c>
      <c r="H50" s="21">
        <f>IF(A50="","",IFERROR(VLOOKUP(A50,'Production Schedule'!$B:$FU,47,FALSE),""))</f>
        <v>46119.651727418983</v>
      </c>
      <c r="I50" s="21">
        <f>IF(A50="","",IFERROR(VLOOKUP(A50,'Production Schedule'!$B:$FU,54,FALSE),""))</f>
        <v>46133</v>
      </c>
      <c r="J50" s="32">
        <f>IF(A50="","",IFERROR(VLOOKUP(A50,'Production Schedule'!$B:$FU,135,FALSE),""))</f>
        <v>6</v>
      </c>
      <c r="K50" s="20" t="str">
        <f>IF(A50="","",IFERROR(VLOOKUP(A50,'Production Schedule'!$B:$FU,59,FALSE),""))</f>
        <v>YES</v>
      </c>
      <c r="L50" s="39" t="str">
        <f>IF(A50="","",IFERROR(VLOOKUP(A50,'Production Schedule'!$B:$FU,80,FALSE),""))</f>
        <v>Shear</v>
      </c>
      <c r="M50" s="33" t="str" cm="1">
        <f t="array" ref="M50">IF(A50="","",IFERROR(TRIM(INDEX(_xlfn.TEXTSPLIT(IFERROR(VLOOKUP(A50,'Production Schedule'!$B:$FU,150,FALSE),""),CHAR(10)),1)),""))</f>
        <v>Cidan</v>
      </c>
      <c r="N50" s="34">
        <f t="shared" si="0"/>
        <v>46107</v>
      </c>
      <c r="O50" s="33" t="str" cm="1">
        <f t="array" ref="O50">IF(A50="","",IFERROR(TRIM(INDEX(_xlfn.TEXTSPLIT(IFERROR(VLOOKUP(A50,'Production Schedule'!$B:$FU,150,FALSE),""),CHAR(10)),2)),""))</f>
        <v>Shear</v>
      </c>
      <c r="P50" s="34">
        <f t="shared" si="1"/>
        <v>46119</v>
      </c>
      <c r="Q50" s="33" t="str" cm="1">
        <f t="array" ref="Q50">IF(A50="","",IFERROR(TRIM(INDEX(_xlfn.TEXTSPLIT(IFERROR(VLOOKUP(A50,'Production Schedule'!$B:$FU,150,FALSE),""),CHAR(10)),3)),""))</f>
        <v/>
      </c>
      <c r="R50" s="34" t="str">
        <f t="shared" si="2"/>
        <v/>
      </c>
      <c r="S50" s="33" t="str" cm="1">
        <f t="array" ref="S50">IF(A50="","",IFERROR(TRIM(INDEX(_xlfn.TEXTSPLIT(IFERROR(VLOOKUP(A50,'Production Schedule'!$B:$FU,150,FALSE),""),CHAR(10)),4)),""))</f>
        <v/>
      </c>
      <c r="T50" s="34" t="str">
        <f t="shared" si="3"/>
        <v/>
      </c>
      <c r="U50" s="33" t="str" cm="1">
        <f t="array" ref="U50">IF(A50="","",IFERROR(TRIM(INDEX(_xlfn.TEXTSPLIT(IFERROR(VLOOKUP(A50,'Production Schedule'!$B:$FU,150,FALSE),""),CHAR(10)),5)),""))</f>
        <v/>
      </c>
      <c r="V50" s="34" t="str">
        <f t="shared" si="4"/>
        <v/>
      </c>
      <c r="W50" s="33" t="str" cm="1">
        <f t="array" ref="W50">IF(A50="","",IFERROR(TRIM(INDEX(_xlfn.TEXTSPLIT(IFERROR(VLOOKUP(A50,'Production Schedule'!$B:$FU,150,FALSE),""),CHAR(10)),6)),""))</f>
        <v/>
      </c>
      <c r="X50" s="34" t="str">
        <f t="shared" si="5"/>
        <v/>
      </c>
      <c r="Y50" s="36">
        <f t="shared" si="6"/>
        <v>46130</v>
      </c>
      <c r="Z50" s="37" t="str">
        <f>IF(A50="","",IF(IFERROR(VLOOKUP(A50,Notes!A:B,2,FALSE),"")=0,"",VLOOKUP(A50,Notes!A:B,2,FALSE)))</f>
        <v>04/15/2026…Shear*04/16/2026…Shear</v>
      </c>
      <c r="AA50" s="20">
        <f t="shared" si="7"/>
        <v>1</v>
      </c>
    </row>
    <row r="51" spans="1:27" x14ac:dyDescent="0.25">
      <c r="A51" s="18" t="str">
        <v>25022-BM06</v>
      </c>
      <c r="B51" s="18" t="str">
        <f>IF(A51="","",IFERROR(VLOOKUP(A51,'Production Schedule'!$B:$FU,3,FALSE),""))</f>
        <v>Vantage VA15</v>
      </c>
      <c r="C51" s="18" t="str">
        <f>IF(A51="","",IFERROR(VLOOKUP(A51,'Production Schedule'!$B:$FU,5,FALSE),""))</f>
        <v>Thomas Mooers</v>
      </c>
      <c r="D51" s="18">
        <f>IF(A51="","",IFERROR(VLOOKUP(A51,'Production Schedule'!$B:$FU,7,FALSE),""))</f>
        <v>0</v>
      </c>
      <c r="E51" s="18">
        <f>IF(A51="","",IFERROR(VLOOKUP(A51,'Production Schedule'!$B:$FU,17,FALSE),""))</f>
        <v>0</v>
      </c>
      <c r="F51" s="18">
        <f>IF(A51="","",IFERROR(VLOOKUP(A51,'Production Schedule'!$B:$FU,18,FALSE),""))</f>
        <v>500</v>
      </c>
      <c r="G51" s="18" t="str">
        <f>IF(A51="","",IFERROR(VLOOKUP(A51,'Production Schedule'!$B:$FU,25,FALSE),""))</f>
        <v>Galv Sheet</v>
      </c>
      <c r="H51" s="19">
        <f>IF(A51="","",IFERROR(VLOOKUP(A51,'Production Schedule'!$B:$FU,47,FALSE),""))</f>
        <v>46127.375304398149</v>
      </c>
      <c r="I51" s="19">
        <f>IF(A51="","",IFERROR(VLOOKUP(A51,'Production Schedule'!$B:$FU,54,FALSE),""))</f>
        <v>46134</v>
      </c>
      <c r="J51" s="26">
        <f>IF(A51="","",IFERROR(VLOOKUP(A51,'Production Schedule'!$B:$FU,135,FALSE),""))</f>
        <v>10</v>
      </c>
      <c r="K51" s="18" t="str">
        <f>IF(A51="","",IFERROR(VLOOKUP(A51,'Production Schedule'!$B:$FU,59,FALSE),""))</f>
        <v>YES</v>
      </c>
      <c r="L51" s="38" t="str">
        <f>IF(A51="","",IFERROR(VLOOKUP(A51,'Production Schedule'!$B:$FU,80,FALSE),""))</f>
        <v>Shear</v>
      </c>
      <c r="M51" s="27" t="str" cm="1">
        <f t="array" ref="M51">IF(A51="","",IFERROR(TRIM(INDEX(_xlfn.TEXTSPLIT(IFERROR(VLOOKUP(A51,'Production Schedule'!$B:$FU,150,FALSE),""),CHAR(10)),1)),""))</f>
        <v>Cidan</v>
      </c>
      <c r="N51" s="28">
        <f t="shared" si="0"/>
        <v>46108</v>
      </c>
      <c r="O51" s="27" t="str" cm="1">
        <f t="array" ref="O51">IF(A51="","",IFERROR(TRIM(INDEX(_xlfn.TEXTSPLIT(IFERROR(VLOOKUP(A51,'Production Schedule'!$B:$FU,150,FALSE),""),CHAR(10)),2)),""))</f>
        <v>Shear</v>
      </c>
      <c r="P51" s="28">
        <f t="shared" si="1"/>
        <v>46120</v>
      </c>
      <c r="Q51" s="27" t="str" cm="1">
        <f t="array" ref="Q51">IF(A51="","",IFERROR(TRIM(INDEX(_xlfn.TEXTSPLIT(IFERROR(VLOOKUP(A51,'Production Schedule'!$B:$FU,150,FALSE),""),CHAR(10)),3)),""))</f>
        <v/>
      </c>
      <c r="R51" s="28" t="str">
        <f t="shared" si="2"/>
        <v/>
      </c>
      <c r="S51" s="27" t="str" cm="1">
        <f t="array" ref="S51">IF(A51="","",IFERROR(TRIM(INDEX(_xlfn.TEXTSPLIT(IFERROR(VLOOKUP(A51,'Production Schedule'!$B:$FU,150,FALSE),""),CHAR(10)),4)),""))</f>
        <v/>
      </c>
      <c r="T51" s="28" t="str">
        <f t="shared" si="3"/>
        <v/>
      </c>
      <c r="U51" s="27" t="str" cm="1">
        <f t="array" ref="U51">IF(A51="","",IFERROR(TRIM(INDEX(_xlfn.TEXTSPLIT(IFERROR(VLOOKUP(A51,'Production Schedule'!$B:$FU,150,FALSE),""),CHAR(10)),5)),""))</f>
        <v/>
      </c>
      <c r="V51" s="28" t="str">
        <f t="shared" si="4"/>
        <v/>
      </c>
      <c r="W51" s="27" t="str" cm="1">
        <f t="array" ref="W51">IF(A51="","",IFERROR(TRIM(INDEX(_xlfn.TEXTSPLIT(IFERROR(VLOOKUP(A51,'Production Schedule'!$B:$FU,150,FALSE),""),CHAR(10)),6)),""))</f>
        <v/>
      </c>
      <c r="X51" s="28" t="str">
        <f t="shared" si="5"/>
        <v/>
      </c>
      <c r="Y51" s="30">
        <f t="shared" si="6"/>
        <v>46132</v>
      </c>
      <c r="Z51" s="31" t="str">
        <f>IF(A51="","",IF(IFERROR(VLOOKUP(A51,Notes!A:B,2,FALSE),"")=0,"",VLOOKUP(A51,Notes!A:B,2,FALSE)))</f>
        <v>04/16/2026…Shear..PLEASE RUN THIS JOB NEXT IN SHEAR/CIDAN CANNOT MISS SHIPDATE</v>
      </c>
      <c r="AA51" s="18">
        <f t="shared" si="7"/>
        <v>1</v>
      </c>
    </row>
    <row r="52" spans="1:27" x14ac:dyDescent="0.25">
      <c r="A52" s="20" t="str">
        <v>25031-RO01</v>
      </c>
      <c r="B52" s="20" t="str">
        <f>IF(A52="","",IFERROR(VLOOKUP(A52,'Production Schedule'!$B:$FU,3,FALSE),""))</f>
        <v>LLU Mars US Warehouse</v>
      </c>
      <c r="C52" s="20" t="str">
        <f>IF(A52="","",IFERROR(VLOOKUP(A52,'Production Schedule'!$B:$FU,5,FALSE),""))</f>
        <v>Laura Forero</v>
      </c>
      <c r="D52" s="20">
        <f>IF(A52="","",IFERROR(VLOOKUP(A52,'Production Schedule'!$B:$FU,7,FALSE),""))</f>
        <v>400</v>
      </c>
      <c r="E52" s="20">
        <f>IF(A52="","",IFERROR(VLOOKUP(A52,'Production Schedule'!$B:$FU,17,FALSE),""))</f>
        <v>3</v>
      </c>
      <c r="F52" s="20">
        <f>IF(A52="","",IFERROR(VLOOKUP(A52,'Production Schedule'!$B:$FU,18,FALSE),""))</f>
        <v>3</v>
      </c>
      <c r="G52" s="20" t="str">
        <f>IF(A52="","",IFERROR(VLOOKUP(A52,'Production Schedule'!$B:$FU,25,FALSE),""))</f>
        <v>FR ACM</v>
      </c>
      <c r="H52" s="21">
        <f>IF(A52="","",IFERROR(VLOOKUP(A52,'Production Schedule'!$B:$FU,47,FALSE),""))</f>
        <v>46127.465510752314</v>
      </c>
      <c r="I52" s="21">
        <f>IF(A52="","",IFERROR(VLOOKUP(A52,'Production Schedule'!$B:$FU,54,FALSE),""))</f>
        <v>46134</v>
      </c>
      <c r="J52" s="32">
        <f>IF(A52="","",IFERROR(VLOOKUP(A52,'Production Schedule'!$B:$FU,135,FALSE),""))</f>
        <v>5</v>
      </c>
      <c r="K52" s="20" t="str">
        <f>IF(A52="","",IFERROR(VLOOKUP(A52,'Production Schedule'!$B:$FU,59,FALSE),""))</f>
        <v>YES</v>
      </c>
      <c r="L52" s="39" t="str">
        <f>IF(A52="","",IFERROR(VLOOKUP(A52,'Production Schedule'!$B:$FU,80,FALSE),""))</f>
        <v>CNC Programming</v>
      </c>
      <c r="M52" s="33" t="str" cm="1">
        <f t="array" ref="M52">IF(A52="","",IFERROR(TRIM(INDEX(_xlfn.TEXTSPLIT(IFERROR(VLOOKUP(A52,'Production Schedule'!$B:$FU,150,FALSE),""),CHAR(10)),1)),""))</f>
        <v>Clean and Brake</v>
      </c>
      <c r="N52" s="34">
        <f t="shared" si="0"/>
        <v>46111</v>
      </c>
      <c r="O52" s="33" t="str" cm="1">
        <f t="array" ref="O52">IF(A52="","",IFERROR(TRIM(INDEX(_xlfn.TEXTSPLIT(IFERROR(VLOOKUP(A52,'Production Schedule'!$B:$FU,150,FALSE),""),CHAR(10)),2)),""))</f>
        <v>Fab</v>
      </c>
      <c r="P52" s="34">
        <f t="shared" si="1"/>
        <v>46121</v>
      </c>
      <c r="Q52" s="33" t="str" cm="1">
        <f t="array" ref="Q52">IF(A52="","",IFERROR(TRIM(INDEX(_xlfn.TEXTSPLIT(IFERROR(VLOOKUP(A52,'Production Schedule'!$B:$FU,150,FALSE),""),CHAR(10)),3)),""))</f>
        <v/>
      </c>
      <c r="R52" s="34" t="str">
        <f t="shared" si="2"/>
        <v/>
      </c>
      <c r="S52" s="33" t="str" cm="1">
        <f t="array" ref="S52">IF(A52="","",IFERROR(TRIM(INDEX(_xlfn.TEXTSPLIT(IFERROR(VLOOKUP(A52,'Production Schedule'!$B:$FU,150,FALSE),""),CHAR(10)),4)),""))</f>
        <v/>
      </c>
      <c r="T52" s="34" t="str">
        <f t="shared" si="3"/>
        <v/>
      </c>
      <c r="U52" s="33" t="str" cm="1">
        <f t="array" ref="U52">IF(A52="","",IFERROR(TRIM(INDEX(_xlfn.TEXTSPLIT(IFERROR(VLOOKUP(A52,'Production Schedule'!$B:$FU,150,FALSE),""),CHAR(10)),5)),""))</f>
        <v/>
      </c>
      <c r="V52" s="34" t="str">
        <f t="shared" si="4"/>
        <v/>
      </c>
      <c r="W52" s="33" t="str" cm="1">
        <f t="array" ref="W52">IF(A52="","",IFERROR(TRIM(INDEX(_xlfn.TEXTSPLIT(IFERROR(VLOOKUP(A52,'Production Schedule'!$B:$FU,150,FALSE),""),CHAR(10)),6)),""))</f>
        <v/>
      </c>
      <c r="X52" s="34" t="str">
        <f t="shared" si="5"/>
        <v/>
      </c>
      <c r="Y52" s="36">
        <f t="shared" si="6"/>
        <v>46132</v>
      </c>
      <c r="Z52" s="37" t="str">
        <f>IF(A52="","",IF(IFERROR(VLOOKUP(A52,Notes!A:B,2,FALSE),"")=0,"",VLOOKUP(A52,Notes!A:B,2,FALSE)))</f>
        <v>04/16/2026…CNC Programming</v>
      </c>
      <c r="AA52" s="20">
        <f t="shared" si="7"/>
        <v>1</v>
      </c>
    </row>
    <row r="53" spans="1:27" x14ac:dyDescent="0.25">
      <c r="A53" s="18" t="str">
        <v>25031-FL08</v>
      </c>
      <c r="B53" s="18" t="str">
        <f>IF(A53="","",IFERROR(VLOOKUP(A53,'Production Schedule'!$B:$FU,3,FALSE),""))</f>
        <v>LLU Mars US Warehouse</v>
      </c>
      <c r="C53" s="18" t="str">
        <f>IF(A53="","",IFERROR(VLOOKUP(A53,'Production Schedule'!$B:$FU,5,FALSE),""))</f>
        <v>Laura Forero</v>
      </c>
      <c r="D53" s="18">
        <f>IF(A53="","",IFERROR(VLOOKUP(A53,'Production Schedule'!$B:$FU,7,FALSE),""))</f>
        <v>0</v>
      </c>
      <c r="E53" s="18">
        <f>IF(A53="","",IFERROR(VLOOKUP(A53,'Production Schedule'!$B:$FU,17,FALSE),""))</f>
        <v>0</v>
      </c>
      <c r="F53" s="18">
        <f>IF(A53="","",IFERROR(VLOOKUP(A53,'Production Schedule'!$B:$FU,18,FALSE),""))</f>
        <v>6</v>
      </c>
      <c r="G53" s="18" t="str">
        <f>IF(A53="","",IFERROR(VLOOKUP(A53,'Production Schedule'!$B:$FU,25,FALSE),""))</f>
        <v>Alum Sheet</v>
      </c>
      <c r="H53" s="19">
        <f>IF(A53="","",IFERROR(VLOOKUP(A53,'Production Schedule'!$B:$FU,47,FALSE),""))</f>
        <v>46127.467151770834</v>
      </c>
      <c r="I53" s="19">
        <f>IF(A53="","",IFERROR(VLOOKUP(A53,'Production Schedule'!$B:$FU,54,FALSE),""))</f>
        <v>46134</v>
      </c>
      <c r="J53" s="26">
        <f>IF(A53="","",IFERROR(VLOOKUP(A53,'Production Schedule'!$B:$FU,135,FALSE),""))</f>
        <v>2</v>
      </c>
      <c r="K53" s="18" t="str">
        <f>IF(A53="","",IFERROR(VLOOKUP(A53,'Production Schedule'!$B:$FU,59,FALSE),""))</f>
        <v>YES</v>
      </c>
      <c r="L53" s="49" t="str">
        <f>IF(A53="","",IFERROR(VLOOKUP(A53,'Production Schedule'!$B:$FU,80,FALSE),""))</f>
        <v>Shear</v>
      </c>
      <c r="M53" s="27" t="str" cm="1">
        <f t="array" ref="M53">IF(A53="","",IFERROR(TRIM(INDEX(_xlfn.TEXTSPLIT(IFERROR(VLOOKUP(A53,'Production Schedule'!$B:$FU,150,FALSE),""),CHAR(10)),1)),""))</f>
        <v>Cidan</v>
      </c>
      <c r="N53" s="28">
        <f t="shared" si="0"/>
        <v>46108</v>
      </c>
      <c r="O53" s="29" t="str" cm="1">
        <f t="array" ref="O53">IF(A53="","",IFERROR(TRIM(INDEX(_xlfn.TEXTSPLIT(IFERROR(VLOOKUP(A53,'Production Schedule'!$B:$FU,150,FALSE),""),CHAR(10)),2)),""))</f>
        <v>Shear</v>
      </c>
      <c r="P53" s="28">
        <f t="shared" si="1"/>
        <v>46120</v>
      </c>
      <c r="Q53" s="27" t="str" cm="1">
        <f t="array" ref="Q53">IF(A53="","",IFERROR(TRIM(INDEX(_xlfn.TEXTSPLIT(IFERROR(VLOOKUP(A53,'Production Schedule'!$B:$FU,150,FALSE),""),CHAR(10)),3)),""))</f>
        <v/>
      </c>
      <c r="R53" s="28" t="str">
        <f t="shared" si="2"/>
        <v/>
      </c>
      <c r="S53" s="27" t="str" cm="1">
        <f t="array" ref="S53">IF(A53="","",IFERROR(TRIM(INDEX(_xlfn.TEXTSPLIT(IFERROR(VLOOKUP(A53,'Production Schedule'!$B:$FU,150,FALSE),""),CHAR(10)),4)),""))</f>
        <v/>
      </c>
      <c r="T53" s="28" t="str">
        <f t="shared" si="3"/>
        <v/>
      </c>
      <c r="U53" s="27" t="str" cm="1">
        <f t="array" ref="U53">IF(A53="","",IFERROR(TRIM(INDEX(_xlfn.TEXTSPLIT(IFERROR(VLOOKUP(A53,'Production Schedule'!$B:$FU,150,FALSE),""),CHAR(10)),5)),""))</f>
        <v/>
      </c>
      <c r="V53" s="28" t="str">
        <f t="shared" si="4"/>
        <v/>
      </c>
      <c r="W53" s="27" t="str" cm="1">
        <f t="array" ref="W53">IF(A53="","",IFERROR(TRIM(INDEX(_xlfn.TEXTSPLIT(IFERROR(VLOOKUP(A53,'Production Schedule'!$B:$FU,150,FALSE),""),CHAR(10)),6)),""))</f>
        <v/>
      </c>
      <c r="X53" s="28" t="str">
        <f t="shared" si="5"/>
        <v/>
      </c>
      <c r="Y53" s="30">
        <f t="shared" si="6"/>
        <v>46132</v>
      </c>
      <c r="Z53" s="31" t="str">
        <f>IF(A53="","",IF(IFERROR(VLOOKUP(A53,Notes!A:B,2,FALSE),"")=0,"",VLOOKUP(A53,Notes!A:B,2,FALSE)))</f>
        <v>04/16/2026…Shear</v>
      </c>
      <c r="AA53" s="18">
        <f t="shared" si="7"/>
        <v>1</v>
      </c>
    </row>
    <row r="54" spans="1:27" x14ac:dyDescent="0.25">
      <c r="A54" s="20" t="str">
        <v>25022-RM01</v>
      </c>
      <c r="B54" s="20" t="str">
        <f>IF(A54="","",IFERROR(VLOOKUP(A54,'Production Schedule'!$B:$FU,3,FALSE),""))</f>
        <v>Vantage VA15</v>
      </c>
      <c r="C54" s="20" t="str">
        <f>IF(A54="","",IFERROR(VLOOKUP(A54,'Production Schedule'!$B:$FU,5,FALSE),""))</f>
        <v>Thomas Mooers</v>
      </c>
      <c r="D54" s="20">
        <f>IF(A54="","",IFERROR(VLOOKUP(A54,'Production Schedule'!$B:$FU,7,FALSE),""))</f>
        <v>400</v>
      </c>
      <c r="E54" s="20">
        <f>IF(A54="","",IFERROR(VLOOKUP(A54,'Production Schedule'!$B:$FU,17,FALSE),""))</f>
        <v>4</v>
      </c>
      <c r="F54" s="20">
        <f>IF(A54="","",IFERROR(VLOOKUP(A54,'Production Schedule'!$B:$FU,18,FALSE),""))</f>
        <v>4</v>
      </c>
      <c r="G54" s="20" t="str">
        <f>IF(A54="","",IFERROR(VLOOKUP(A54,'Production Schedule'!$B:$FU,25,FALSE),""))</f>
        <v>FR ACM</v>
      </c>
      <c r="H54" s="21">
        <f>IF(A54="","",IFERROR(VLOOKUP(A54,'Production Schedule'!$B:$FU,47,FALSE),""))</f>
        <v>46122.577820046296</v>
      </c>
      <c r="I54" s="21">
        <f>IF(A54="","",IFERROR(VLOOKUP(A54,'Production Schedule'!$B:$FU,54,FALSE),""))</f>
        <v>46135</v>
      </c>
      <c r="J54" s="32">
        <f>IF(A54="","",IFERROR(VLOOKUP(A54,'Production Schedule'!$B:$FU,135,FALSE),""))</f>
        <v>8</v>
      </c>
      <c r="K54" s="20" t="str">
        <f>IF(A54="","",IFERROR(VLOOKUP(A54,'Production Schedule'!$B:$FU,59,FALSE),""))</f>
        <v>YES</v>
      </c>
      <c r="L54" s="39" t="str">
        <f>IF(A54="","",IFERROR(VLOOKUP(A54,'Production Schedule'!$B:$FU,80,FALSE),""))</f>
        <v>AXYZ 34</v>
      </c>
      <c r="M54" s="33" t="str" cm="1">
        <f t="array" ref="M54">IF(A54="","",IFERROR(TRIM(INDEX(_xlfn.TEXTSPLIT(IFERROR(VLOOKUP(A54,'Production Schedule'!$B:$FU,150,FALSE),""),CHAR(10)),1)),""))</f>
        <v>AXYZ</v>
      </c>
      <c r="N54" s="34">
        <f t="shared" si="0"/>
        <v>46111</v>
      </c>
      <c r="O54" s="33" t="str" cm="1">
        <f t="array" ref="O54">IF(A54="","",IFERROR(TRIM(INDEX(_xlfn.TEXTSPLIT(IFERROR(VLOOKUP(A54,'Production Schedule'!$B:$FU,150,FALSE),""),CHAR(10)),2)),""))</f>
        <v>Clean and Brake</v>
      </c>
      <c r="P54" s="34">
        <f t="shared" si="1"/>
        <v>46112</v>
      </c>
      <c r="Q54" s="33" t="str" cm="1">
        <f t="array" ref="Q54">IF(A54="","",IFERROR(TRIM(INDEX(_xlfn.TEXTSPLIT(IFERROR(VLOOKUP(A54,'Production Schedule'!$B:$FU,150,FALSE),""),CHAR(10)),3)),""))</f>
        <v>Fab</v>
      </c>
      <c r="R54" s="34">
        <f t="shared" si="2"/>
        <v>46122</v>
      </c>
      <c r="S54" s="33" t="str" cm="1">
        <f t="array" ref="S54">IF(A54="","",IFERROR(TRIM(INDEX(_xlfn.TEXTSPLIT(IFERROR(VLOOKUP(A54,'Production Schedule'!$B:$FU,150,FALSE),""),CHAR(10)),4)),""))</f>
        <v/>
      </c>
      <c r="T54" s="34" t="str">
        <f t="shared" si="3"/>
        <v/>
      </c>
      <c r="U54" s="33" t="str" cm="1">
        <f t="array" ref="U54">IF(A54="","",IFERROR(TRIM(INDEX(_xlfn.TEXTSPLIT(IFERROR(VLOOKUP(A54,'Production Schedule'!$B:$FU,150,FALSE),""),CHAR(10)),5)),""))</f>
        <v/>
      </c>
      <c r="V54" s="34" t="str">
        <f t="shared" si="4"/>
        <v/>
      </c>
      <c r="W54" s="33" t="str" cm="1">
        <f t="array" ref="W54">IF(A54="","",IFERROR(TRIM(INDEX(_xlfn.TEXTSPLIT(IFERROR(VLOOKUP(A54,'Production Schedule'!$B:$FU,150,FALSE),""),CHAR(10)),6)),""))</f>
        <v/>
      </c>
      <c r="X54" s="34" t="str">
        <f t="shared" si="5"/>
        <v/>
      </c>
      <c r="Y54" s="36">
        <f t="shared" si="6"/>
        <v>46133</v>
      </c>
      <c r="Z54" s="37" t="str">
        <f>IF(A54="","",IF(IFERROR(VLOOKUP(A54,Notes!A:B,2,FALSE),"")=0,"",VLOOKUP(A54,Notes!A:B,2,FALSE)))</f>
        <v>04/16/2026…AXYZ 34</v>
      </c>
      <c r="AA54" s="20">
        <f t="shared" si="7"/>
        <v>1</v>
      </c>
    </row>
    <row r="55" spans="1:27" x14ac:dyDescent="0.25">
      <c r="A55" s="18" t="str">
        <v>25022-RM02</v>
      </c>
      <c r="B55" s="18" t="str">
        <f>IF(A55="","",IFERROR(VLOOKUP(A55,'Production Schedule'!$B:$FU,3,FALSE),""))</f>
        <v>Vantage VA15</v>
      </c>
      <c r="C55" s="18" t="str">
        <f>IF(A55="","",IFERROR(VLOOKUP(A55,'Production Schedule'!$B:$FU,5,FALSE),""))</f>
        <v>Thomas Mooers</v>
      </c>
      <c r="D55" s="18">
        <f>IF(A55="","",IFERROR(VLOOKUP(A55,'Production Schedule'!$B:$FU,7,FALSE),""))</f>
        <v>400</v>
      </c>
      <c r="E55" s="18">
        <f>IF(A55="","",IFERROR(VLOOKUP(A55,'Production Schedule'!$B:$FU,17,FALSE),""))</f>
        <v>1</v>
      </c>
      <c r="F55" s="18">
        <f>IF(A55="","",IFERROR(VLOOKUP(A55,'Production Schedule'!$B:$FU,18,FALSE),""))</f>
        <v>1</v>
      </c>
      <c r="G55" s="18" t="str">
        <f>IF(A55="","",IFERROR(VLOOKUP(A55,'Production Schedule'!$B:$FU,25,FALSE),""))</f>
        <v>FR ACM</v>
      </c>
      <c r="H55" s="19">
        <f>IF(A55="","",IFERROR(VLOOKUP(A55,'Production Schedule'!$B:$FU,47,FALSE),""))</f>
        <v>46122.601353124999</v>
      </c>
      <c r="I55" s="19">
        <f>IF(A55="","",IFERROR(VLOOKUP(A55,'Production Schedule'!$B:$FU,54,FALSE),""))</f>
        <v>46135</v>
      </c>
      <c r="J55" s="26">
        <f>IF(A55="","",IFERROR(VLOOKUP(A55,'Production Schedule'!$B:$FU,135,FALSE),""))</f>
        <v>1</v>
      </c>
      <c r="K55" s="18" t="str">
        <f>IF(A55="","",IFERROR(VLOOKUP(A55,'Production Schedule'!$B:$FU,59,FALSE),""))</f>
        <v>YES</v>
      </c>
      <c r="L55" s="49" t="str">
        <f>IF(A55="","",IFERROR(VLOOKUP(A55,'Production Schedule'!$B:$FU,80,FALSE),""))</f>
        <v>AXYZ 34</v>
      </c>
      <c r="M55" s="27" t="str" cm="1">
        <f t="array" ref="M55">IF(A55="","",IFERROR(TRIM(INDEX(_xlfn.TEXTSPLIT(IFERROR(VLOOKUP(A55,'Production Schedule'!$B:$FU,150,FALSE),""),CHAR(10)),1)),""))</f>
        <v>AXYZ</v>
      </c>
      <c r="N55" s="28">
        <f t="shared" si="0"/>
        <v>46111</v>
      </c>
      <c r="O55" s="29" t="str" cm="1">
        <f t="array" ref="O55">IF(A55="","",IFERROR(TRIM(INDEX(_xlfn.TEXTSPLIT(IFERROR(VLOOKUP(A55,'Production Schedule'!$B:$FU,150,FALSE),""),CHAR(10)),2)),""))</f>
        <v>Clean and Brake</v>
      </c>
      <c r="P55" s="28">
        <f t="shared" si="1"/>
        <v>46112</v>
      </c>
      <c r="Q55" s="27" t="str" cm="1">
        <f t="array" ref="Q55">IF(A55="","",IFERROR(TRIM(INDEX(_xlfn.TEXTSPLIT(IFERROR(VLOOKUP(A55,'Production Schedule'!$B:$FU,150,FALSE),""),CHAR(10)),3)),""))</f>
        <v>Fab</v>
      </c>
      <c r="R55" s="28">
        <f t="shared" si="2"/>
        <v>46122</v>
      </c>
      <c r="S55" s="27" t="str" cm="1">
        <f t="array" ref="S55">IF(A55="","",IFERROR(TRIM(INDEX(_xlfn.TEXTSPLIT(IFERROR(VLOOKUP(A55,'Production Schedule'!$B:$FU,150,FALSE),""),CHAR(10)),4)),""))</f>
        <v/>
      </c>
      <c r="T55" s="28" t="str">
        <f t="shared" si="3"/>
        <v/>
      </c>
      <c r="U55" s="27" t="str" cm="1">
        <f t="array" ref="U55">IF(A55="","",IFERROR(TRIM(INDEX(_xlfn.TEXTSPLIT(IFERROR(VLOOKUP(A55,'Production Schedule'!$B:$FU,150,FALSE),""),CHAR(10)),5)),""))</f>
        <v/>
      </c>
      <c r="V55" s="28" t="str">
        <f t="shared" si="4"/>
        <v/>
      </c>
      <c r="W55" s="27" t="str" cm="1">
        <f t="array" ref="W55">IF(A55="","",IFERROR(TRIM(INDEX(_xlfn.TEXTSPLIT(IFERROR(VLOOKUP(A55,'Production Schedule'!$B:$FU,150,FALSE),""),CHAR(10)),6)),""))</f>
        <v/>
      </c>
      <c r="X55" s="28" t="str">
        <f t="shared" si="5"/>
        <v/>
      </c>
      <c r="Y55" s="30">
        <f t="shared" si="6"/>
        <v>46133</v>
      </c>
      <c r="Z55" s="31" t="str">
        <f>IF(A55="","",IF(IFERROR(VLOOKUP(A55,Notes!A:B,2,FALSE),"")=0,"",VLOOKUP(A55,Notes!A:B,2,FALSE)))</f>
        <v>04/16/2026…AXYZ 34</v>
      </c>
      <c r="AA55" s="18">
        <f t="shared" si="7"/>
        <v>1</v>
      </c>
    </row>
    <row r="56" spans="1:27" x14ac:dyDescent="0.25">
      <c r="A56" s="20" t="str">
        <v>25067-FL02</v>
      </c>
      <c r="B56" s="20" t="str">
        <f>IF(A56="","",IFERROR(VLOOKUP(A56,'Production Schedule'!$B:$FU,3,FALSE),""))</f>
        <v>Harison Bend</v>
      </c>
      <c r="C56" s="20" t="str">
        <f>IF(A56="","",IFERROR(VLOOKUP(A56,'Production Schedule'!$B:$FU,5,FALSE),""))</f>
        <v>Andre Van Der Merwe</v>
      </c>
      <c r="D56" s="20">
        <f>IF(A56="","",IFERROR(VLOOKUP(A56,'Production Schedule'!$B:$FU,7,FALSE),""))</f>
        <v>0</v>
      </c>
      <c r="E56" s="20">
        <f>IF(A56="","",IFERROR(VLOOKUP(A56,'Production Schedule'!$B:$FU,17,FALSE),""))</f>
        <v>0</v>
      </c>
      <c r="F56" s="20">
        <f>IF(A56="","",IFERROR(VLOOKUP(A56,'Production Schedule'!$B:$FU,18,FALSE),""))</f>
        <v>8</v>
      </c>
      <c r="G56" s="20" t="str">
        <f>IF(A56="","",IFERROR(VLOOKUP(A56,'Production Schedule'!$B:$FU,25,FALSE),""))</f>
        <v>Alum Sheet</v>
      </c>
      <c r="H56" s="21">
        <f>IF(A56="","",IFERROR(VLOOKUP(A56,'Production Schedule'!$B:$FU,47,FALSE),""))</f>
        <v>46127.331920150464</v>
      </c>
      <c r="I56" s="21">
        <f>IF(A56="","",IFERROR(VLOOKUP(A56,'Production Schedule'!$B:$FU,54,FALSE),""))</f>
        <v>46135</v>
      </c>
      <c r="J56" s="32">
        <f>IF(A56="","",IFERROR(VLOOKUP(A56,'Production Schedule'!$B:$FU,135,FALSE),""))</f>
        <v>4</v>
      </c>
      <c r="K56" s="20" t="str">
        <f>IF(A56="","",IFERROR(VLOOKUP(A56,'Production Schedule'!$B:$FU,59,FALSE),""))</f>
        <v>YES</v>
      </c>
      <c r="L56" s="39" t="str">
        <f>IF(A56="","",IFERROR(VLOOKUP(A56,'Production Schedule'!$B:$FU,80,FALSE),""))</f>
        <v>Shear</v>
      </c>
      <c r="M56" s="33" t="str" cm="1">
        <f t="array" ref="M56">IF(A56="","",IFERROR(TRIM(INDEX(_xlfn.TEXTSPLIT(IFERROR(VLOOKUP(A56,'Production Schedule'!$B:$FU,150,FALSE),""),CHAR(10)),1)),""))</f>
        <v>Cidan</v>
      </c>
      <c r="N56" s="34">
        <f t="shared" si="0"/>
        <v>46109</v>
      </c>
      <c r="O56" s="33" t="str" cm="1">
        <f t="array" ref="O56">IF(A56="","",IFERROR(TRIM(INDEX(_xlfn.TEXTSPLIT(IFERROR(VLOOKUP(A56,'Production Schedule'!$B:$FU,150,FALSE),""),CHAR(10)),2)),""))</f>
        <v>Shear</v>
      </c>
      <c r="P56" s="34">
        <f t="shared" si="1"/>
        <v>46121</v>
      </c>
      <c r="Q56" s="33" t="str" cm="1">
        <f t="array" ref="Q56">IF(A56="","",IFERROR(TRIM(INDEX(_xlfn.TEXTSPLIT(IFERROR(VLOOKUP(A56,'Production Schedule'!$B:$FU,150,FALSE),""),CHAR(10)),3)),""))</f>
        <v/>
      </c>
      <c r="R56" s="34" t="str">
        <f t="shared" si="2"/>
        <v/>
      </c>
      <c r="S56" s="33" t="str" cm="1">
        <f t="array" ref="S56">IF(A56="","",IFERROR(TRIM(INDEX(_xlfn.TEXTSPLIT(IFERROR(VLOOKUP(A56,'Production Schedule'!$B:$FU,150,FALSE),""),CHAR(10)),4)),""))</f>
        <v/>
      </c>
      <c r="T56" s="34" t="str">
        <f t="shared" si="3"/>
        <v/>
      </c>
      <c r="U56" s="33" t="str" cm="1">
        <f t="array" ref="U56">IF(A56="","",IFERROR(TRIM(INDEX(_xlfn.TEXTSPLIT(IFERROR(VLOOKUP(A56,'Production Schedule'!$B:$FU,150,FALSE),""),CHAR(10)),5)),""))</f>
        <v/>
      </c>
      <c r="V56" s="34" t="str">
        <f t="shared" si="4"/>
        <v/>
      </c>
      <c r="W56" s="33" t="str" cm="1">
        <f t="array" ref="W56">IF(A56="","",IFERROR(TRIM(INDEX(_xlfn.TEXTSPLIT(IFERROR(VLOOKUP(A56,'Production Schedule'!$B:$FU,150,FALSE),""),CHAR(10)),6)),""))</f>
        <v/>
      </c>
      <c r="X56" s="34" t="str">
        <f t="shared" si="5"/>
        <v/>
      </c>
      <c r="Y56" s="36">
        <f t="shared" si="6"/>
        <v>46133</v>
      </c>
      <c r="Z56" s="37" t="str">
        <f>IF(A56="","",IF(IFERROR(VLOOKUP(A56,Notes!A:B,2,FALSE),"")=0,"",VLOOKUP(A56,Notes!A:B,2,FALSE)))</f>
        <v>04/16/2026…Shear</v>
      </c>
      <c r="AA56" s="20">
        <f t="shared" si="7"/>
        <v>1</v>
      </c>
    </row>
    <row r="57" spans="1:27" x14ac:dyDescent="0.25">
      <c r="A57" s="18" t="str">
        <v>25059-RM05</v>
      </c>
      <c r="B57" s="18" t="str">
        <f>IF(A57="","",IFERROR(VLOOKUP(A57,'Production Schedule'!$B:$FU,3,FALSE),""))</f>
        <v>Allen Samuels CDJR and LC</v>
      </c>
      <c r="C57" s="18" t="str">
        <f>IF(A57="","",IFERROR(VLOOKUP(A57,'Production Schedule'!$B:$FU,5,FALSE),""))</f>
        <v>Andre Van Der Merwe</v>
      </c>
      <c r="D57" s="18">
        <f>IF(A57="","",IFERROR(VLOOKUP(A57,'Production Schedule'!$B:$FU,7,FALSE),""))</f>
        <v>408</v>
      </c>
      <c r="E57" s="18">
        <f>IF(A57="","",IFERROR(VLOOKUP(A57,'Production Schedule'!$B:$FU,17,FALSE),""))</f>
        <v>1</v>
      </c>
      <c r="F57" s="18">
        <f>IF(A57="","",IFERROR(VLOOKUP(A57,'Production Schedule'!$B:$FU,18,FALSE),""))</f>
        <v>1</v>
      </c>
      <c r="G57" s="18" t="str">
        <f>IF(A57="","",IFERROR(VLOOKUP(A57,'Production Schedule'!$B:$FU,25,FALSE),""))</f>
        <v>FR ACM</v>
      </c>
      <c r="H57" s="19">
        <f>IF(A57="","",IFERROR(VLOOKUP(A57,'Production Schedule'!$B:$FU,47,FALSE),""))</f>
        <v>46127.67659221065</v>
      </c>
      <c r="I57" s="19">
        <f>IF(A57="","",IFERROR(VLOOKUP(A57,'Production Schedule'!$B:$FU,54,FALSE),""))</f>
        <v>46135</v>
      </c>
      <c r="J57" s="26">
        <f>IF(A57="","",IFERROR(VLOOKUP(A57,'Production Schedule'!$B:$FU,135,FALSE),""))</f>
        <v>4</v>
      </c>
      <c r="K57" s="18" t="str">
        <f>IF(A57="","",IFERROR(VLOOKUP(A57,'Production Schedule'!$B:$FU,59,FALSE),""))</f>
        <v>YES</v>
      </c>
      <c r="L57" s="38" t="str">
        <f>IF(A57="","",IFERROR(VLOOKUP(A57,'Production Schedule'!$B:$FU,80,FALSE),""))</f>
        <v>CNC Programming</v>
      </c>
      <c r="M57" s="27" t="str" cm="1">
        <f t="array" ref="M57">IF(A57="","",IFERROR(TRIM(INDEX(_xlfn.TEXTSPLIT(IFERROR(VLOOKUP(A57,'Production Schedule'!$B:$FU,150,FALSE),""),CHAR(10)),1)),""))</f>
        <v>AXYZ</v>
      </c>
      <c r="N57" s="28">
        <f t="shared" si="0"/>
        <v>46111</v>
      </c>
      <c r="O57" s="27" t="str" cm="1">
        <f t="array" ref="O57">IF(A57="","",IFERROR(TRIM(INDEX(_xlfn.TEXTSPLIT(IFERROR(VLOOKUP(A57,'Production Schedule'!$B:$FU,150,FALSE),""),CHAR(10)),2)),""))</f>
        <v>Clean and Brake</v>
      </c>
      <c r="P57" s="28">
        <f t="shared" si="1"/>
        <v>46112</v>
      </c>
      <c r="Q57" s="27" t="str" cm="1">
        <f t="array" ref="Q57">IF(A57="","",IFERROR(TRIM(INDEX(_xlfn.TEXTSPLIT(IFERROR(VLOOKUP(A57,'Production Schedule'!$B:$FU,150,FALSE),""),CHAR(10)),3)),""))</f>
        <v>Fab</v>
      </c>
      <c r="R57" s="28">
        <f t="shared" si="2"/>
        <v>46122</v>
      </c>
      <c r="S57" s="27" t="str" cm="1">
        <f t="array" ref="S57">IF(A57="","",IFERROR(TRIM(INDEX(_xlfn.TEXTSPLIT(IFERROR(VLOOKUP(A57,'Production Schedule'!$B:$FU,150,FALSE),""),CHAR(10)),4)),""))</f>
        <v/>
      </c>
      <c r="T57" s="28" t="str">
        <f t="shared" si="3"/>
        <v/>
      </c>
      <c r="U57" s="27" t="str" cm="1">
        <f t="array" ref="U57">IF(A57="","",IFERROR(TRIM(INDEX(_xlfn.TEXTSPLIT(IFERROR(VLOOKUP(A57,'Production Schedule'!$B:$FU,150,FALSE),""),CHAR(10)),5)),""))</f>
        <v/>
      </c>
      <c r="V57" s="28" t="str">
        <f t="shared" si="4"/>
        <v/>
      </c>
      <c r="W57" s="27" t="str" cm="1">
        <f t="array" ref="W57">IF(A57="","",IFERROR(TRIM(INDEX(_xlfn.TEXTSPLIT(IFERROR(VLOOKUP(A57,'Production Schedule'!$B:$FU,150,FALSE),""),CHAR(10)),6)),""))</f>
        <v/>
      </c>
      <c r="X57" s="28" t="str">
        <f t="shared" si="5"/>
        <v/>
      </c>
      <c r="Y57" s="30">
        <f t="shared" si="6"/>
        <v>46133</v>
      </c>
      <c r="Z57" s="31" t="str">
        <f>IF(A57="","",IF(IFERROR(VLOOKUP(A57,Notes!A:B,2,FALSE),"")=0,"",VLOOKUP(A57,Notes!A:B,2,FALSE)))</f>
        <v>04/16/2026…CNC Programming</v>
      </c>
      <c r="AA57" s="18">
        <f t="shared" si="7"/>
        <v>1</v>
      </c>
    </row>
    <row r="58" spans="1:27" x14ac:dyDescent="0.25">
      <c r="A58" s="20" t="str">
        <v>25030-FS01</v>
      </c>
      <c r="B58" s="20" t="str">
        <f>IF(A58="","",IFERROR(VLOOKUP(A58,'Production Schedule'!$B:$FU,3,FALSE),""))</f>
        <v>510 W Tremont</v>
      </c>
      <c r="C58" s="20" t="str">
        <f>IF(A58="","",IFERROR(VLOOKUP(A58,'Production Schedule'!$B:$FU,5,FALSE),""))</f>
        <v>Laura Forero</v>
      </c>
      <c r="D58" s="20">
        <f>IF(A58="","",IFERROR(VLOOKUP(A58,'Production Schedule'!$B:$FU,7,FALSE),""))</f>
        <v>400</v>
      </c>
      <c r="E58" s="20">
        <f>IF(A58="","",IFERROR(VLOOKUP(A58,'Production Schedule'!$B:$FU,17,FALSE),""))</f>
        <v>88</v>
      </c>
      <c r="F58" s="20">
        <f>IF(A58="","",IFERROR(VLOOKUP(A58,'Production Schedule'!$B:$FU,18,FALSE),""))</f>
        <v>0</v>
      </c>
      <c r="G58" s="20" t="str">
        <f>IF(A58="","",IFERROR(VLOOKUP(A58,'Production Schedule'!$B:$FU,25,FALSE),""))</f>
        <v>FR ACM</v>
      </c>
      <c r="H58" s="21">
        <f>IF(A58="","",IFERROR(VLOOKUP(A58,'Production Schedule'!$B:$FU,47,FALSE),""))</f>
        <v>46086.637547916667</v>
      </c>
      <c r="I58" s="21">
        <f>IF(A58="","",IFERROR(VLOOKUP(A58,'Production Schedule'!$B:$FU,54,FALSE),""))</f>
        <v>46136</v>
      </c>
      <c r="J58" s="32">
        <f>IF(A58="","",IFERROR(VLOOKUP(A58,'Production Schedule'!$B:$FU,135,FALSE),""))</f>
        <v>240</v>
      </c>
      <c r="K58" s="20" t="str">
        <f>IF(A58="","",IFERROR(VLOOKUP(A58,'Production Schedule'!$B:$FU,59,FALSE),""))</f>
        <v>YES</v>
      </c>
      <c r="L58" s="49" t="str">
        <f>IF(A58="","",IFERROR(VLOOKUP(A58,'Production Schedule'!$B:$FU,80,FALSE),""))</f>
        <v>Correction</v>
      </c>
      <c r="M58" s="33" t="str" cm="1">
        <f t="array" ref="M58">IF(A58="","",IFERROR(TRIM(INDEX(_xlfn.TEXTSPLIT(IFERROR(VLOOKUP(A58,'Production Schedule'!$B:$FU,150,FALSE),""),CHAR(10)),1)),""))</f>
        <v>AXYZ</v>
      </c>
      <c r="N58" s="34">
        <f t="shared" si="0"/>
        <v>46111</v>
      </c>
      <c r="O58" s="35" t="str" cm="1">
        <f t="array" ref="O58">IF(A58="","",IFERROR(TRIM(INDEX(_xlfn.TEXTSPLIT(IFERROR(VLOOKUP(A58,'Production Schedule'!$B:$FU,150,FALSE),""),CHAR(10)),2)),""))</f>
        <v>Clean and Brake</v>
      </c>
      <c r="P58" s="34">
        <f t="shared" si="1"/>
        <v>46113</v>
      </c>
      <c r="Q58" s="33" t="str" cm="1">
        <f t="array" ref="Q58">IF(A58="","",IFERROR(TRIM(INDEX(_xlfn.TEXTSPLIT(IFERROR(VLOOKUP(A58,'Production Schedule'!$B:$FU,150,FALSE),""),CHAR(10)),3)),""))</f>
        <v>Fab</v>
      </c>
      <c r="R58" s="34">
        <f t="shared" si="2"/>
        <v>46123</v>
      </c>
      <c r="S58" s="33" t="str" cm="1">
        <f t="array" ref="S58">IF(A58="","",IFERROR(TRIM(INDEX(_xlfn.TEXTSPLIT(IFERROR(VLOOKUP(A58,'Production Schedule'!$B:$FU,150,FALSE),""),CHAR(10)),4)),""))</f>
        <v/>
      </c>
      <c r="T58" s="34" t="str">
        <f t="shared" si="3"/>
        <v/>
      </c>
      <c r="U58" s="33" t="str" cm="1">
        <f t="array" ref="U58">IF(A58="","",IFERROR(TRIM(INDEX(_xlfn.TEXTSPLIT(IFERROR(VLOOKUP(A58,'Production Schedule'!$B:$FU,150,FALSE),""),CHAR(10)),5)),""))</f>
        <v/>
      </c>
      <c r="V58" s="34" t="str">
        <f t="shared" si="4"/>
        <v/>
      </c>
      <c r="W58" s="33" t="str" cm="1">
        <f t="array" ref="W58">IF(A58="","",IFERROR(TRIM(INDEX(_xlfn.TEXTSPLIT(IFERROR(VLOOKUP(A58,'Production Schedule'!$B:$FU,150,FALSE),""),CHAR(10)),6)),""))</f>
        <v/>
      </c>
      <c r="X58" s="34" t="str">
        <f t="shared" si="5"/>
        <v/>
      </c>
      <c r="Y58" s="36">
        <f t="shared" si="6"/>
        <v>46134</v>
      </c>
      <c r="Z58" s="37" t="str">
        <f>IF(A58="","",IF(IFERROR(VLOOKUP(A58,Notes!A:B,2,FALSE),"")=0,"",VLOOKUP(A58,Notes!A:B,2,FALSE)))</f>
        <v>04/16/2026…Correction</v>
      </c>
      <c r="AA58" s="20">
        <f t="shared" si="7"/>
        <v>1</v>
      </c>
    </row>
    <row r="59" spans="1:27" x14ac:dyDescent="0.25">
      <c r="A59" s="18" t="str">
        <v>25030-FS02</v>
      </c>
      <c r="B59" s="18" t="str">
        <f>IF(A59="","",IFERROR(VLOOKUP(A59,'Production Schedule'!$B:$FU,3,FALSE),""))</f>
        <v>510 W Tremont</v>
      </c>
      <c r="C59" s="18" t="str">
        <f>IF(A59="","",IFERROR(VLOOKUP(A59,'Production Schedule'!$B:$FU,5,FALSE),""))</f>
        <v>Laura Forero</v>
      </c>
      <c r="D59" s="18">
        <f>IF(A59="","",IFERROR(VLOOKUP(A59,'Production Schedule'!$B:$FU,7,FALSE),""))</f>
        <v>400</v>
      </c>
      <c r="E59" s="18">
        <f>IF(A59="","",IFERROR(VLOOKUP(A59,'Production Schedule'!$B:$FU,17,FALSE),""))</f>
        <v>84</v>
      </c>
      <c r="F59" s="18">
        <f>IF(A59="","",IFERROR(VLOOKUP(A59,'Production Schedule'!$B:$FU,18,FALSE),""))</f>
        <v>0</v>
      </c>
      <c r="G59" s="18" t="str">
        <f>IF(A59="","",IFERROR(VLOOKUP(A59,'Production Schedule'!$B:$FU,25,FALSE),""))</f>
        <v>FR ACM</v>
      </c>
      <c r="H59" s="19">
        <f>IF(A59="","",IFERROR(VLOOKUP(A59,'Production Schedule'!$B:$FU,47,FALSE),""))</f>
        <v>46086.6777215162</v>
      </c>
      <c r="I59" s="19">
        <f>IF(A59="","",IFERROR(VLOOKUP(A59,'Production Schedule'!$B:$FU,54,FALSE),""))</f>
        <v>46136</v>
      </c>
      <c r="J59" s="26">
        <f>IF(A59="","",IFERROR(VLOOKUP(A59,'Production Schedule'!$B:$FU,135,FALSE),""))</f>
        <v>240</v>
      </c>
      <c r="K59" s="18" t="str">
        <f>IF(A59="","",IFERROR(VLOOKUP(A59,'Production Schedule'!$B:$FU,59,FALSE),""))</f>
        <v>YES</v>
      </c>
      <c r="L59" s="49" t="str">
        <f>IF(A59="","",IFERROR(VLOOKUP(A59,'Production Schedule'!$B:$FU,80,FALSE),""))</f>
        <v>Sketch</v>
      </c>
      <c r="M59" s="29" t="str" cm="1">
        <f t="array" ref="M59">IF(A59="","",IFERROR(TRIM(INDEX(_xlfn.TEXTSPLIT(IFERROR(VLOOKUP(A59,'Production Schedule'!$B:$FU,150,FALSE),""),CHAR(10)),1)),""))</f>
        <v>AXYZ</v>
      </c>
      <c r="N59" s="28">
        <f t="shared" si="0"/>
        <v>46111</v>
      </c>
      <c r="O59" s="27" t="str" cm="1">
        <f t="array" ref="O59">IF(A59="","",IFERROR(TRIM(INDEX(_xlfn.TEXTSPLIT(IFERROR(VLOOKUP(A59,'Production Schedule'!$B:$FU,150,FALSE),""),CHAR(10)),2)),""))</f>
        <v>Clean and Brake</v>
      </c>
      <c r="P59" s="28">
        <f t="shared" si="1"/>
        <v>46113</v>
      </c>
      <c r="Q59" s="27" t="str" cm="1">
        <f t="array" ref="Q59">IF(A59="","",IFERROR(TRIM(INDEX(_xlfn.TEXTSPLIT(IFERROR(VLOOKUP(A59,'Production Schedule'!$B:$FU,150,FALSE),""),CHAR(10)),3)),""))</f>
        <v>Fab</v>
      </c>
      <c r="R59" s="28">
        <f t="shared" si="2"/>
        <v>46123</v>
      </c>
      <c r="S59" s="27" t="str" cm="1">
        <f t="array" ref="S59">IF(A59="","",IFERROR(TRIM(INDEX(_xlfn.TEXTSPLIT(IFERROR(VLOOKUP(A59,'Production Schedule'!$B:$FU,150,FALSE),""),CHAR(10)),4)),""))</f>
        <v/>
      </c>
      <c r="T59" s="28" t="str">
        <f t="shared" si="3"/>
        <v/>
      </c>
      <c r="U59" s="27" t="str" cm="1">
        <f t="array" ref="U59">IF(A59="","",IFERROR(TRIM(INDEX(_xlfn.TEXTSPLIT(IFERROR(VLOOKUP(A59,'Production Schedule'!$B:$FU,150,FALSE),""),CHAR(10)),5)),""))</f>
        <v/>
      </c>
      <c r="V59" s="28" t="str">
        <f t="shared" si="4"/>
        <v/>
      </c>
      <c r="W59" s="27" t="str" cm="1">
        <f t="array" ref="W59">IF(A59="","",IFERROR(TRIM(INDEX(_xlfn.TEXTSPLIT(IFERROR(VLOOKUP(A59,'Production Schedule'!$B:$FU,150,FALSE),""),CHAR(10)),6)),""))</f>
        <v/>
      </c>
      <c r="X59" s="28" t="str">
        <f t="shared" si="5"/>
        <v/>
      </c>
      <c r="Y59" s="30">
        <f t="shared" si="6"/>
        <v>46134</v>
      </c>
      <c r="Z59" s="31" t="str">
        <f>IF(A59="","",IF(IFERROR(VLOOKUP(A59,Notes!A:B,2,FALSE),"")=0,"",VLOOKUP(A59,Notes!A:B,2,FALSE)))</f>
        <v>04/16/2026…Sketch</v>
      </c>
      <c r="AA59" s="18">
        <f t="shared" si="7"/>
        <v>1</v>
      </c>
    </row>
    <row r="60" spans="1:27" x14ac:dyDescent="0.25">
      <c r="A60" s="20" t="str">
        <v>24051-FS90</v>
      </c>
      <c r="B60" s="20" t="str">
        <f>IF(A60="","",IFERROR(VLOOKUP(A60,'Production Schedule'!$B:$FU,3,FALSE),""))</f>
        <v>TN Titans Stadium</v>
      </c>
      <c r="C60" s="20" t="str">
        <f>IF(A60="","",IFERROR(VLOOKUP(A60,'Production Schedule'!$B:$FU,5,FALSE),""))</f>
        <v>Marc Ribar</v>
      </c>
      <c r="D60" s="20">
        <f>IF(A60="","",IFERROR(VLOOKUP(A60,'Production Schedule'!$B:$FU,7,FALSE),""))</f>
        <v>400</v>
      </c>
      <c r="E60" s="20">
        <f>IF(A60="","",IFERROR(VLOOKUP(A60,'Production Schedule'!$B:$FU,17,FALSE),""))</f>
        <v>117</v>
      </c>
      <c r="F60" s="20">
        <f>IF(A60="","",IFERROR(VLOOKUP(A60,'Production Schedule'!$B:$FU,18,FALSE),""))</f>
        <v>0</v>
      </c>
      <c r="G60" s="20" t="str">
        <f>IF(A60="","",IFERROR(VLOOKUP(A60,'Production Schedule'!$B:$FU,25,FALSE),""))</f>
        <v>FR ACM</v>
      </c>
      <c r="H60" s="21">
        <f>IF(A60="","",IFERROR(VLOOKUP(A60,'Production Schedule'!$B:$FU,47,FALSE),""))</f>
        <v>46094.592681875001</v>
      </c>
      <c r="I60" s="21">
        <f>IF(A60="","",IFERROR(VLOOKUP(A60,'Production Schedule'!$B:$FU,54,FALSE),""))</f>
        <v>46136</v>
      </c>
      <c r="J60" s="32">
        <f>IF(A60="","",IFERROR(VLOOKUP(A60,'Production Schedule'!$B:$FU,135,FALSE),""))</f>
        <v>240</v>
      </c>
      <c r="K60" s="20" t="str">
        <f>IF(A60="","",IFERROR(VLOOKUP(A60,'Production Schedule'!$B:$FU,59,FALSE),""))</f>
        <v>YES</v>
      </c>
      <c r="L60" s="39" t="str">
        <f>IF(A60="","",IFERROR(VLOOKUP(A60,'Production Schedule'!$B:$FU,80,FALSE),""))</f>
        <v>Float</v>
      </c>
      <c r="M60" s="33" t="str" cm="1">
        <f t="array" ref="M60">IF(A60="","",IFERROR(TRIM(INDEX(_xlfn.TEXTSPLIT(IFERROR(VLOOKUP(A60,'Production Schedule'!$B:$FU,150,FALSE),""),CHAR(10)),1)),""))</f>
        <v>AXYZ</v>
      </c>
      <c r="N60" s="34">
        <f t="shared" si="0"/>
        <v>46109</v>
      </c>
      <c r="O60" s="33" t="str" cm="1">
        <f t="array" ref="O60">IF(A60="","",IFERROR(TRIM(INDEX(_xlfn.TEXTSPLIT(IFERROR(VLOOKUP(A60,'Production Schedule'!$B:$FU,150,FALSE),""),CHAR(10)),2)),""))</f>
        <v>Clean and Brake</v>
      </c>
      <c r="P60" s="34">
        <f t="shared" si="1"/>
        <v>46113</v>
      </c>
      <c r="Q60" s="33" t="str" cm="1">
        <f t="array" ref="Q60">IF(A60="","",IFERROR(TRIM(INDEX(_xlfn.TEXTSPLIT(IFERROR(VLOOKUP(A60,'Production Schedule'!$B:$FU,150,FALSE),""),CHAR(10)),3)),""))</f>
        <v>Fab</v>
      </c>
      <c r="R60" s="34">
        <f t="shared" si="2"/>
        <v>46123</v>
      </c>
      <c r="S60" s="33" t="str" cm="1">
        <f t="array" ref="S60">IF(A60="","",IFERROR(TRIM(INDEX(_xlfn.TEXTSPLIT(IFERROR(VLOOKUP(A60,'Production Schedule'!$B:$FU,150,FALSE),""),CHAR(10)),4)),""))</f>
        <v/>
      </c>
      <c r="T60" s="34" t="str">
        <f t="shared" si="3"/>
        <v/>
      </c>
      <c r="U60" s="33" t="str" cm="1">
        <f t="array" ref="U60">IF(A60="","",IFERROR(TRIM(INDEX(_xlfn.TEXTSPLIT(IFERROR(VLOOKUP(A60,'Production Schedule'!$B:$FU,150,FALSE),""),CHAR(10)),5)),""))</f>
        <v/>
      </c>
      <c r="V60" s="34" t="str">
        <f t="shared" si="4"/>
        <v/>
      </c>
      <c r="W60" s="33" t="str" cm="1">
        <f t="array" ref="W60">IF(A60="","",IFERROR(TRIM(INDEX(_xlfn.TEXTSPLIT(IFERROR(VLOOKUP(A60,'Production Schedule'!$B:$FU,150,FALSE),""),CHAR(10)),6)),""))</f>
        <v/>
      </c>
      <c r="X60" s="34" t="str">
        <f t="shared" si="5"/>
        <v/>
      </c>
      <c r="Y60" s="36">
        <f t="shared" si="6"/>
        <v>46134</v>
      </c>
      <c r="Z60" s="37" t="str">
        <f>IF(A60="","",IF(IFERROR(VLOOKUP(A60,Notes!A:B,2,FALSE),"")=0,"",VLOOKUP(A60,Notes!A:B,2,FALSE)))</f>
        <v>04/16/2026…Float</v>
      </c>
      <c r="AA60" s="20">
        <f t="shared" si="7"/>
        <v>1</v>
      </c>
    </row>
    <row r="61" spans="1:27" x14ac:dyDescent="0.25">
      <c r="A61" s="18" t="str">
        <v>24051-FS91</v>
      </c>
      <c r="B61" s="18" t="str">
        <f>IF(A61="","",IFERROR(VLOOKUP(A61,'Production Schedule'!$B:$FU,3,FALSE),""))</f>
        <v>TN Titans Stadium</v>
      </c>
      <c r="C61" s="18" t="str">
        <f>IF(A61="","",IFERROR(VLOOKUP(A61,'Production Schedule'!$B:$FU,5,FALSE),""))</f>
        <v>Marc Ribar</v>
      </c>
      <c r="D61" s="18">
        <f>IF(A61="","",IFERROR(VLOOKUP(A61,'Production Schedule'!$B:$FU,7,FALSE),""))</f>
        <v>400</v>
      </c>
      <c r="E61" s="18">
        <f>IF(A61="","",IFERROR(VLOOKUP(A61,'Production Schedule'!$B:$FU,17,FALSE),""))</f>
        <v>36</v>
      </c>
      <c r="F61" s="18">
        <f>IF(A61="","",IFERROR(VLOOKUP(A61,'Production Schedule'!$B:$FU,18,FALSE),""))</f>
        <v>0</v>
      </c>
      <c r="G61" s="18" t="str">
        <f>IF(A61="","",IFERROR(VLOOKUP(A61,'Production Schedule'!$B:$FU,25,FALSE),""))</f>
        <v>FR ACM</v>
      </c>
      <c r="H61" s="19">
        <f>IF(A61="","",IFERROR(VLOOKUP(A61,'Production Schedule'!$B:$FU,47,FALSE),""))</f>
        <v>46094.601426631947</v>
      </c>
      <c r="I61" s="19">
        <f>IF(A61="","",IFERROR(VLOOKUP(A61,'Production Schedule'!$B:$FU,54,FALSE),""))</f>
        <v>46136</v>
      </c>
      <c r="J61" s="26">
        <f>IF(A61="","",IFERROR(VLOOKUP(A61,'Production Schedule'!$B:$FU,135,FALSE),""))</f>
        <v>40</v>
      </c>
      <c r="K61" s="18" t="str">
        <f>IF(A61="","",IFERROR(VLOOKUP(A61,'Production Schedule'!$B:$FU,59,FALSE),""))</f>
        <v>YES</v>
      </c>
      <c r="L61" s="38" t="str">
        <f>IF(A61="","",IFERROR(VLOOKUP(A61,'Production Schedule'!$B:$FU,80,FALSE),""))</f>
        <v>Float</v>
      </c>
      <c r="M61" s="27" t="str" cm="1">
        <f t="array" ref="M61">IF(A61="","",IFERROR(TRIM(INDEX(_xlfn.TEXTSPLIT(IFERROR(VLOOKUP(A61,'Production Schedule'!$B:$FU,150,FALSE),""),CHAR(10)),1)),""))</f>
        <v>AXYZ</v>
      </c>
      <c r="N61" s="28">
        <f t="shared" si="0"/>
        <v>46112</v>
      </c>
      <c r="O61" s="27" t="str" cm="1">
        <f t="array" ref="O61">IF(A61="","",IFERROR(TRIM(INDEX(_xlfn.TEXTSPLIT(IFERROR(VLOOKUP(A61,'Production Schedule'!$B:$FU,150,FALSE),""),CHAR(10)),2)),""))</f>
        <v>Clean and Brake</v>
      </c>
      <c r="P61" s="28">
        <f t="shared" si="1"/>
        <v>46113</v>
      </c>
      <c r="Q61" s="27" t="str" cm="1">
        <f t="array" ref="Q61">IF(A61="","",IFERROR(TRIM(INDEX(_xlfn.TEXTSPLIT(IFERROR(VLOOKUP(A61,'Production Schedule'!$B:$FU,150,FALSE),""),CHAR(10)),3)),""))</f>
        <v>Fab</v>
      </c>
      <c r="R61" s="28">
        <f t="shared" si="2"/>
        <v>46123</v>
      </c>
      <c r="S61" s="27" t="str" cm="1">
        <f t="array" ref="S61">IF(A61="","",IFERROR(TRIM(INDEX(_xlfn.TEXTSPLIT(IFERROR(VLOOKUP(A61,'Production Schedule'!$B:$FU,150,FALSE),""),CHAR(10)),4)),""))</f>
        <v/>
      </c>
      <c r="T61" s="28" t="str">
        <f t="shared" si="3"/>
        <v/>
      </c>
      <c r="U61" s="27" t="str" cm="1">
        <f t="array" ref="U61">IF(A61="","",IFERROR(TRIM(INDEX(_xlfn.TEXTSPLIT(IFERROR(VLOOKUP(A61,'Production Schedule'!$B:$FU,150,FALSE),""),CHAR(10)),5)),""))</f>
        <v/>
      </c>
      <c r="V61" s="28" t="str">
        <f t="shared" si="4"/>
        <v/>
      </c>
      <c r="W61" s="27" t="str" cm="1">
        <f t="array" ref="W61">IF(A61="","",IFERROR(TRIM(INDEX(_xlfn.TEXTSPLIT(IFERROR(VLOOKUP(A61,'Production Schedule'!$B:$FU,150,FALSE),""),CHAR(10)),6)),""))</f>
        <v/>
      </c>
      <c r="X61" s="28" t="str">
        <f t="shared" si="5"/>
        <v/>
      </c>
      <c r="Y61" s="30">
        <f t="shared" si="6"/>
        <v>46134</v>
      </c>
      <c r="Z61" s="31" t="str">
        <f>IF(A61="","",IF(IFERROR(VLOOKUP(A61,Notes!A:B,2,FALSE),"")=0,"",VLOOKUP(A61,Notes!A:B,2,FALSE)))</f>
        <v>04/16/2026…Float</v>
      </c>
      <c r="AA61" s="18">
        <f t="shared" si="7"/>
        <v>1</v>
      </c>
    </row>
    <row r="62" spans="1:27" x14ac:dyDescent="0.25">
      <c r="A62" s="20" t="str">
        <v>24051-FS227</v>
      </c>
      <c r="B62" s="20" t="str">
        <f>IF(A62="","",IFERROR(VLOOKUP(A62,'Production Schedule'!$B:$FU,3,FALSE),""))</f>
        <v>TN Titans Stadium</v>
      </c>
      <c r="C62" s="20" t="str">
        <f>IF(A62="","",IFERROR(VLOOKUP(A62,'Production Schedule'!$B:$FU,5,FALSE),""))</f>
        <v>Marc Ribar</v>
      </c>
      <c r="D62" s="20">
        <f>IF(A62="","",IFERROR(VLOOKUP(A62,'Production Schedule'!$B:$FU,7,FALSE),""))</f>
        <v>400</v>
      </c>
      <c r="E62" s="20">
        <f>IF(A62="","",IFERROR(VLOOKUP(A62,'Production Schedule'!$B:$FU,17,FALSE),""))</f>
        <v>119</v>
      </c>
      <c r="F62" s="20">
        <f>IF(A62="","",IFERROR(VLOOKUP(A62,'Production Schedule'!$B:$FU,18,FALSE),""))</f>
        <v>0</v>
      </c>
      <c r="G62" s="20" t="str">
        <f>IF(A62="","",IFERROR(VLOOKUP(A62,'Production Schedule'!$B:$FU,25,FALSE),""))</f>
        <v>FR ACM</v>
      </c>
      <c r="H62" s="21">
        <f>IF(A62="","",IFERROR(VLOOKUP(A62,'Production Schedule'!$B:$FU,47,FALSE),""))</f>
        <v>46094.613119571761</v>
      </c>
      <c r="I62" s="21">
        <f>IF(A62="","",IFERROR(VLOOKUP(A62,'Production Schedule'!$B:$FU,54,FALSE),""))</f>
        <v>46136</v>
      </c>
      <c r="J62" s="32">
        <f>IF(A62="","",IFERROR(VLOOKUP(A62,'Production Schedule'!$B:$FU,135,FALSE),""))</f>
        <v>200</v>
      </c>
      <c r="K62" s="20" t="str">
        <f>IF(A62="","",IFERROR(VLOOKUP(A62,'Production Schedule'!$B:$FU,59,FALSE),""))</f>
        <v>YES</v>
      </c>
      <c r="L62" s="49" t="str">
        <f>IF(A62="","",IFERROR(VLOOKUP(A62,'Production Schedule'!$B:$FU,80,FALSE),""))</f>
        <v>Float</v>
      </c>
      <c r="M62" s="33" t="str" cm="1">
        <f t="array" ref="M62">IF(A62="","",IFERROR(TRIM(INDEX(_xlfn.TEXTSPLIT(IFERROR(VLOOKUP(A62,'Production Schedule'!$B:$FU,150,FALSE),""),CHAR(10)),1)),""))</f>
        <v>AXYZ</v>
      </c>
      <c r="N62" s="34">
        <f t="shared" si="0"/>
        <v>46109</v>
      </c>
      <c r="O62" s="35" t="str" cm="1">
        <f t="array" ref="O62">IF(A62="","",IFERROR(TRIM(INDEX(_xlfn.TEXTSPLIT(IFERROR(VLOOKUP(A62,'Production Schedule'!$B:$FU,150,FALSE),""),CHAR(10)),2)),""))</f>
        <v>Clean and Brake</v>
      </c>
      <c r="P62" s="34">
        <f t="shared" si="1"/>
        <v>46113</v>
      </c>
      <c r="Q62" s="33" t="str" cm="1">
        <f t="array" ref="Q62">IF(A62="","",IFERROR(TRIM(INDEX(_xlfn.TEXTSPLIT(IFERROR(VLOOKUP(A62,'Production Schedule'!$B:$FU,150,FALSE),""),CHAR(10)),3)),""))</f>
        <v>Fab</v>
      </c>
      <c r="R62" s="34">
        <f t="shared" si="2"/>
        <v>46123</v>
      </c>
      <c r="S62" s="33" t="str" cm="1">
        <f t="array" ref="S62">IF(A62="","",IFERROR(TRIM(INDEX(_xlfn.TEXTSPLIT(IFERROR(VLOOKUP(A62,'Production Schedule'!$B:$FU,150,FALSE),""),CHAR(10)),4)),""))</f>
        <v/>
      </c>
      <c r="T62" s="34" t="str">
        <f t="shared" si="3"/>
        <v/>
      </c>
      <c r="U62" s="33" t="str" cm="1">
        <f t="array" ref="U62">IF(A62="","",IFERROR(TRIM(INDEX(_xlfn.TEXTSPLIT(IFERROR(VLOOKUP(A62,'Production Schedule'!$B:$FU,150,FALSE),""),CHAR(10)),5)),""))</f>
        <v/>
      </c>
      <c r="V62" s="34" t="str">
        <f t="shared" si="4"/>
        <v/>
      </c>
      <c r="W62" s="33" t="str" cm="1">
        <f t="array" ref="W62">IF(A62="","",IFERROR(TRIM(INDEX(_xlfn.TEXTSPLIT(IFERROR(VLOOKUP(A62,'Production Schedule'!$B:$FU,150,FALSE),""),CHAR(10)),6)),""))</f>
        <v/>
      </c>
      <c r="X62" s="34" t="str">
        <f t="shared" si="5"/>
        <v/>
      </c>
      <c r="Y62" s="36">
        <f t="shared" si="6"/>
        <v>46134</v>
      </c>
      <c r="Z62" s="37" t="str">
        <f>IF(A62="","",IF(IFERROR(VLOOKUP(A62,Notes!A:B,2,FALSE),"")=0,"",VLOOKUP(A62,Notes!A:B,2,FALSE)))</f>
        <v>04/16/2026…Float</v>
      </c>
      <c r="AA62" s="20">
        <f t="shared" si="7"/>
        <v>1</v>
      </c>
    </row>
    <row r="63" spans="1:27" x14ac:dyDescent="0.25">
      <c r="A63" s="18" t="str">
        <v>24051-FL01</v>
      </c>
      <c r="B63" s="18" t="str">
        <f>IF(A63="","",IFERROR(VLOOKUP(A63,'Production Schedule'!$B:$FU,3,FALSE),""))</f>
        <v>TN Titans Stadium</v>
      </c>
      <c r="C63" s="18" t="str">
        <f>IF(A63="","",IFERROR(VLOOKUP(A63,'Production Schedule'!$B:$FU,5,FALSE),""))</f>
        <v>Marc Ribar</v>
      </c>
      <c r="D63" s="18">
        <f>IF(A63="","",IFERROR(VLOOKUP(A63,'Production Schedule'!$B:$FU,7,FALSE),""))</f>
        <v>0</v>
      </c>
      <c r="E63" s="18">
        <f>IF(A63="","",IFERROR(VLOOKUP(A63,'Production Schedule'!$B:$FU,17,FALSE),""))</f>
        <v>0</v>
      </c>
      <c r="F63" s="18">
        <f>IF(A63="","",IFERROR(VLOOKUP(A63,'Production Schedule'!$B:$FU,18,FALSE),""))</f>
        <v>25</v>
      </c>
      <c r="G63" s="18" t="str">
        <f>IF(A63="","",IFERROR(VLOOKUP(A63,'Production Schedule'!$B:$FU,25,FALSE),""))</f>
        <v>Alum Sheet</v>
      </c>
      <c r="H63" s="19">
        <f>IF(A63="","",IFERROR(VLOOKUP(A63,'Production Schedule'!$B:$FU,47,FALSE),""))</f>
        <v>46122.395785810186</v>
      </c>
      <c r="I63" s="19">
        <f>IF(A63="","",IFERROR(VLOOKUP(A63,'Production Schedule'!$B:$FU,54,FALSE),""))</f>
        <v>46136</v>
      </c>
      <c r="J63" s="26">
        <f>IF(A63="","",IFERROR(VLOOKUP(A63,'Production Schedule'!$B:$FU,135,FALSE),""))</f>
        <v>16</v>
      </c>
      <c r="K63" s="18" t="str">
        <f>IF(A63="","",IFERROR(VLOOKUP(A63,'Production Schedule'!$B:$FU,59,FALSE),""))</f>
        <v>YES</v>
      </c>
      <c r="L63" s="49" t="str">
        <f>IF(A63="","",IFERROR(VLOOKUP(A63,'Production Schedule'!$B:$FU,80,FALSE),""))</f>
        <v>Release to Shop</v>
      </c>
      <c r="M63" s="27" t="str" cm="1">
        <f t="array" ref="M63">IF(A63="","",IFERROR(TRIM(INDEX(_xlfn.TEXTSPLIT(IFERROR(VLOOKUP(A63,'Production Schedule'!$B:$FU,150,FALSE),""),CHAR(10)),1)),""))</f>
        <v>7000 TruMatic</v>
      </c>
      <c r="N63" s="28">
        <f t="shared" si="0"/>
        <v>46113</v>
      </c>
      <c r="O63" s="29" t="str" cm="1">
        <f t="array" ref="O63">IF(A63="","",IFERROR(TRIM(INDEX(_xlfn.TEXTSPLIT(IFERROR(VLOOKUP(A63,'Production Schedule'!$B:$FU,150,FALSE),""),CHAR(10)),2)),""))</f>
        <v>Brake</v>
      </c>
      <c r="P63" s="28">
        <f t="shared" si="1"/>
        <v>46123</v>
      </c>
      <c r="Q63" s="27" t="str" cm="1">
        <f t="array" ref="Q63">IF(A63="","",IFERROR(TRIM(INDEX(_xlfn.TEXTSPLIT(IFERROR(VLOOKUP(A63,'Production Schedule'!$B:$FU,150,FALSE),""),CHAR(10)),3)),""))</f>
        <v/>
      </c>
      <c r="R63" s="28" t="str">
        <f t="shared" si="2"/>
        <v/>
      </c>
      <c r="S63" s="27" t="str" cm="1">
        <f t="array" ref="S63">IF(A63="","",IFERROR(TRIM(INDEX(_xlfn.TEXTSPLIT(IFERROR(VLOOKUP(A63,'Production Schedule'!$B:$FU,150,FALSE),""),CHAR(10)),4)),""))</f>
        <v/>
      </c>
      <c r="T63" s="28" t="str">
        <f t="shared" si="3"/>
        <v/>
      </c>
      <c r="U63" s="27" t="str" cm="1">
        <f t="array" ref="U63">IF(A63="","",IFERROR(TRIM(INDEX(_xlfn.TEXTSPLIT(IFERROR(VLOOKUP(A63,'Production Schedule'!$B:$FU,150,FALSE),""),CHAR(10)),5)),""))</f>
        <v/>
      </c>
      <c r="V63" s="28" t="str">
        <f t="shared" si="4"/>
        <v/>
      </c>
      <c r="W63" s="27" t="str" cm="1">
        <f t="array" ref="W63">IF(A63="","",IFERROR(TRIM(INDEX(_xlfn.TEXTSPLIT(IFERROR(VLOOKUP(A63,'Production Schedule'!$B:$FU,150,FALSE),""),CHAR(10)),6)),""))</f>
        <v/>
      </c>
      <c r="X63" s="28" t="str">
        <f t="shared" si="5"/>
        <v/>
      </c>
      <c r="Y63" s="30">
        <f t="shared" si="6"/>
        <v>46134</v>
      </c>
      <c r="Z63" s="31" t="str">
        <f>IF(A63="","",IF(IFERROR(VLOOKUP(A63,Notes!A:B,2,FALSE),"")=0,"",VLOOKUP(A63,Notes!A:B,2,FALSE)))</f>
        <v>04/16/2026…Release to Shop</v>
      </c>
      <c r="AA63" s="18">
        <f t="shared" si="7"/>
        <v>1</v>
      </c>
    </row>
    <row r="64" spans="1:27" x14ac:dyDescent="0.25">
      <c r="A64" s="20" t="str">
        <v>1040-30791-ST10</v>
      </c>
      <c r="B64" s="20" t="str">
        <f>IF(A64="","",IFERROR(VLOOKUP(A64,'Production Schedule'!$B:$FU,3,FALSE),""))</f>
        <v>AFI - YANCEY</v>
      </c>
      <c r="C64" s="20" t="str">
        <f>IF(A64="","",IFERROR(VLOOKUP(A64,'Production Schedule'!$B:$FU,5,FALSE),""))</f>
        <v>Hannah Sadloski, Lisa Ellison</v>
      </c>
      <c r="D64" s="20" t="str">
        <f>IF(A64="","",IFERROR(VLOOKUP(A64,'Production Schedule'!$B:$FU,7,FALSE),""))</f>
        <v>---</v>
      </c>
      <c r="E64" s="20">
        <f>IF(A64="","",IFERROR(VLOOKUP(A64,'Production Schedule'!$B:$FU,17,FALSE),""))</f>
        <v>0</v>
      </c>
      <c r="F64" s="20">
        <f>IF(A64="","",IFERROR(VLOOKUP(A64,'Production Schedule'!$B:$FU,18,FALSE),""))</f>
        <v>185</v>
      </c>
      <c r="G64" s="20" t="str">
        <f>IF(A64="","",IFERROR(VLOOKUP(A64,'Production Schedule'!$B:$FU,25,FALSE),""))</f>
        <v>Alum Tube</v>
      </c>
      <c r="H64" s="21">
        <f>IF(A64="","",IFERROR(VLOOKUP(A64,'Production Schedule'!$B:$FU,47,FALSE),""))</f>
        <v>46126.547300381942</v>
      </c>
      <c r="I64" s="21">
        <f>IF(A64="","",IFERROR(VLOOKUP(A64,'Production Schedule'!$B:$FU,54,FALSE),""))</f>
        <v>46136</v>
      </c>
      <c r="J64" s="32">
        <f>IF(A64="","",IFERROR(VLOOKUP(A64,'Production Schedule'!$B:$FU,135,FALSE),""))</f>
        <v>0</v>
      </c>
      <c r="K64" s="20" t="str">
        <f>IF(A64="","",IFERROR(VLOOKUP(A64,'Production Schedule'!$B:$FU,59,FALSE),""))</f>
        <v>YES</v>
      </c>
      <c r="L64" s="49" t="str">
        <f>IF(A64="","",IFERROR(VLOOKUP(A64,'Production Schedule'!$B:$FU,80,FALSE),""))</f>
        <v>Extrusion Saw</v>
      </c>
      <c r="M64" s="33" t="str" cm="1">
        <f t="array" ref="M64">IF(A64="","",IFERROR(TRIM(INDEX(_xlfn.TEXTSPLIT(IFERROR(VLOOKUP(A64,'Production Schedule'!$B:$FU,150,FALSE),""),CHAR(10)),1)),""))</f>
        <v>Assembly</v>
      </c>
      <c r="N64" s="34">
        <f t="shared" si="0"/>
        <v>46113</v>
      </c>
      <c r="O64" s="35" t="str" cm="1">
        <f t="array" ref="O64">IF(A64="","",IFERROR(TRIM(INDEX(_xlfn.TEXTSPLIT(IFERROR(VLOOKUP(A64,'Production Schedule'!$B:$FU,150,FALSE),""),CHAR(10)),2)),""))</f>
        <v>Extrusion Saw</v>
      </c>
      <c r="P64" s="34">
        <f t="shared" si="1"/>
        <v>46123</v>
      </c>
      <c r="Q64" s="33" t="str" cm="1">
        <f t="array" ref="Q64">IF(A64="","",IFERROR(TRIM(INDEX(_xlfn.TEXTSPLIT(IFERROR(VLOOKUP(A64,'Production Schedule'!$B:$FU,150,FALSE),""),CHAR(10)),3)),""))</f>
        <v/>
      </c>
      <c r="R64" s="34" t="str">
        <f t="shared" si="2"/>
        <v/>
      </c>
      <c r="S64" s="33" t="str" cm="1">
        <f t="array" ref="S64">IF(A64="","",IFERROR(TRIM(INDEX(_xlfn.TEXTSPLIT(IFERROR(VLOOKUP(A64,'Production Schedule'!$B:$FU,150,FALSE),""),CHAR(10)),4)),""))</f>
        <v/>
      </c>
      <c r="T64" s="34" t="str">
        <f t="shared" si="3"/>
        <v/>
      </c>
      <c r="U64" s="33" t="str" cm="1">
        <f t="array" ref="U64">IF(A64="","",IFERROR(TRIM(INDEX(_xlfn.TEXTSPLIT(IFERROR(VLOOKUP(A64,'Production Schedule'!$B:$FU,150,FALSE),""),CHAR(10)),5)),""))</f>
        <v/>
      </c>
      <c r="V64" s="34" t="str">
        <f t="shared" si="4"/>
        <v/>
      </c>
      <c r="W64" s="33" t="str" cm="1">
        <f t="array" ref="W64">IF(A64="","",IFERROR(TRIM(INDEX(_xlfn.TEXTSPLIT(IFERROR(VLOOKUP(A64,'Production Schedule'!$B:$FU,150,FALSE),""),CHAR(10)),6)),""))</f>
        <v/>
      </c>
      <c r="X64" s="34" t="str">
        <f t="shared" si="5"/>
        <v/>
      </c>
      <c r="Y64" s="36">
        <f t="shared" si="6"/>
        <v>46134</v>
      </c>
      <c r="Z64" s="37" t="str">
        <f>IF(A64="","",IF(IFERROR(VLOOKUP(A64,Notes!A:B,2,FALSE),"")=0,"",VLOOKUP(A64,Notes!A:B,2,FALSE)))</f>
        <v/>
      </c>
      <c r="AA64" s="20">
        <f t="shared" si="7"/>
        <v>1</v>
      </c>
    </row>
    <row r="65" spans="1:27" x14ac:dyDescent="0.25">
      <c r="A65" s="18" t="str">
        <v>24079-RM01</v>
      </c>
      <c r="B65" s="18" t="str">
        <f>IF(A65="","",IFERROR(VLOOKUP(A65,'Production Schedule'!$B:$FU,3,FALSE),""))</f>
        <v>Nashville Youth Campus</v>
      </c>
      <c r="C65" s="18" t="str">
        <f>IF(A65="","",IFERROR(VLOOKUP(A65,'Production Schedule'!$B:$FU,5,FALSE),""))</f>
        <v>Joe Hoyle</v>
      </c>
      <c r="D65" s="18">
        <f>IF(A65="","",IFERROR(VLOOKUP(A65,'Production Schedule'!$B:$FU,7,FALSE),""))</f>
        <v>400</v>
      </c>
      <c r="E65" s="18">
        <f>IF(A65="","",IFERROR(VLOOKUP(A65,'Production Schedule'!$B:$FU,17,FALSE),""))</f>
        <v>37</v>
      </c>
      <c r="F65" s="18">
        <f>IF(A65="","",IFERROR(VLOOKUP(A65,'Production Schedule'!$B:$FU,18,FALSE),""))</f>
        <v>39</v>
      </c>
      <c r="G65" s="18" t="str">
        <f>IF(A65="","",IFERROR(VLOOKUP(A65,'Production Schedule'!$B:$FU,25,FALSE),""))</f>
        <v>FR ACM</v>
      </c>
      <c r="H65" s="19">
        <f>IF(A65="","",IFERROR(VLOOKUP(A65,'Production Schedule'!$B:$FU,47,FALSE),""))</f>
        <v>46126.632157071763</v>
      </c>
      <c r="I65" s="19">
        <f>IF(A65="","",IFERROR(VLOOKUP(A65,'Production Schedule'!$B:$FU,54,FALSE),""))</f>
        <v>46136</v>
      </c>
      <c r="J65" s="26">
        <f>IF(A65="","",IFERROR(VLOOKUP(A65,'Production Schedule'!$B:$FU,135,FALSE),""))</f>
        <v>40</v>
      </c>
      <c r="K65" s="18" t="str">
        <f>IF(A65="","",IFERROR(VLOOKUP(A65,'Production Schedule'!$B:$FU,59,FALSE),""))</f>
        <v>YES</v>
      </c>
      <c r="L65" s="49" t="str">
        <f>IF(A65="","",IFERROR(VLOOKUP(A65,'Production Schedule'!$B:$FU,80,FALSE),""))</f>
        <v>Sketch</v>
      </c>
      <c r="M65" s="27" t="str" cm="1">
        <f t="array" ref="M65">IF(A65="","",IFERROR(TRIM(INDEX(_xlfn.TEXTSPLIT(IFERROR(VLOOKUP(A65,'Production Schedule'!$B:$FU,150,FALSE),""),CHAR(10)),1)),""))</f>
        <v>AXYZ</v>
      </c>
      <c r="N65" s="28">
        <f t="shared" si="0"/>
        <v>46112</v>
      </c>
      <c r="O65" s="29" t="str" cm="1">
        <f t="array" ref="O65">IF(A65="","",IFERROR(TRIM(INDEX(_xlfn.TEXTSPLIT(IFERROR(VLOOKUP(A65,'Production Schedule'!$B:$FU,150,FALSE),""),CHAR(10)),2)),""))</f>
        <v>Clean and Brake</v>
      </c>
      <c r="P65" s="28">
        <f t="shared" si="1"/>
        <v>46113</v>
      </c>
      <c r="Q65" s="27" t="str" cm="1">
        <f t="array" ref="Q65">IF(A65="","",IFERROR(TRIM(INDEX(_xlfn.TEXTSPLIT(IFERROR(VLOOKUP(A65,'Production Schedule'!$B:$FU,150,FALSE),""),CHAR(10)),3)),""))</f>
        <v>Fab</v>
      </c>
      <c r="R65" s="28">
        <f t="shared" si="2"/>
        <v>46123</v>
      </c>
      <c r="S65" s="27" t="str" cm="1">
        <f t="array" ref="S65">IF(A65="","",IFERROR(TRIM(INDEX(_xlfn.TEXTSPLIT(IFERROR(VLOOKUP(A65,'Production Schedule'!$B:$FU,150,FALSE),""),CHAR(10)),4)),""))</f>
        <v/>
      </c>
      <c r="T65" s="28" t="str">
        <f t="shared" si="3"/>
        <v/>
      </c>
      <c r="U65" s="27" t="str" cm="1">
        <f t="array" ref="U65">IF(A65="","",IFERROR(TRIM(INDEX(_xlfn.TEXTSPLIT(IFERROR(VLOOKUP(A65,'Production Schedule'!$B:$FU,150,FALSE),""),CHAR(10)),5)),""))</f>
        <v/>
      </c>
      <c r="V65" s="28" t="str">
        <f t="shared" si="4"/>
        <v/>
      </c>
      <c r="W65" s="27" t="str" cm="1">
        <f t="array" ref="W65">IF(A65="","",IFERROR(TRIM(INDEX(_xlfn.TEXTSPLIT(IFERROR(VLOOKUP(A65,'Production Schedule'!$B:$FU,150,FALSE),""),CHAR(10)),6)),""))</f>
        <v/>
      </c>
      <c r="X65" s="28" t="str">
        <f t="shared" si="5"/>
        <v/>
      </c>
      <c r="Y65" s="30">
        <f t="shared" si="6"/>
        <v>46134</v>
      </c>
      <c r="Z65" s="31" t="str">
        <f>IF(A65="","",IF(IFERROR(VLOOKUP(A65,Notes!A:B,2,FALSE),"")=0,"",VLOOKUP(A65,Notes!A:B,2,FALSE)))</f>
        <v>04/16/2026…Sketch</v>
      </c>
      <c r="AA65" s="18">
        <f t="shared" si="7"/>
        <v>1</v>
      </c>
    </row>
    <row r="66" spans="1:27" x14ac:dyDescent="0.25">
      <c r="A66" s="20" t="str">
        <v>24026-FS01</v>
      </c>
      <c r="B66" s="20" t="str">
        <f>IF(A66="","",IFERROR(VLOOKUP(A66,'Production Schedule'!$B:$FU,3,FALSE),""))</f>
        <v>1740 Division</v>
      </c>
      <c r="C66" s="20" t="str">
        <f>IF(A66="","",IFERROR(VLOOKUP(A66,'Production Schedule'!$B:$FU,5,FALSE),""))</f>
        <v>Chris Buttrey</v>
      </c>
      <c r="D66" s="20" t="str">
        <f>IF(A66="","",IFERROR(VLOOKUP(A66,'Production Schedule'!$B:$FU,7,FALSE),""))</f>
        <v>400 CAULK</v>
      </c>
      <c r="E66" s="20">
        <f>IF(A66="","",IFERROR(VLOOKUP(A66,'Production Schedule'!$B:$FU,17,FALSE),""))</f>
        <v>23</v>
      </c>
      <c r="F66" s="20">
        <f>IF(A66="","",IFERROR(VLOOKUP(A66,'Production Schedule'!$B:$FU,18,FALSE),""))</f>
        <v>23</v>
      </c>
      <c r="G66" s="20" t="str">
        <f>IF(A66="","",IFERROR(VLOOKUP(A66,'Production Schedule'!$B:$FU,25,FALSE),""))</f>
        <v>FR ACM</v>
      </c>
      <c r="H66" s="21">
        <f>IF(A66="","",IFERROR(VLOOKUP(A66,'Production Schedule'!$B:$FU,47,FALSE),""))</f>
        <v>46038.453543275464</v>
      </c>
      <c r="I66" s="21">
        <f>IF(A66="","",IFERROR(VLOOKUP(A66,'Production Schedule'!$B:$FU,54,FALSE),""))</f>
        <v>46139</v>
      </c>
      <c r="J66" s="32">
        <f>IF(A66="","",IFERROR(VLOOKUP(A66,'Production Schedule'!$B:$FU,135,FALSE),""))</f>
        <v>30</v>
      </c>
      <c r="K66" s="20" t="str">
        <f>IF(A66="","",IFERROR(VLOOKUP(A66,'Production Schedule'!$B:$FU,59,FALSE),""))</f>
        <v>YES</v>
      </c>
      <c r="L66" s="39" t="str">
        <f>IF(A66="","",IFERROR(VLOOKUP(A66,'Production Schedule'!$B:$FU,80,FALSE),""))</f>
        <v>AXYZ 34</v>
      </c>
      <c r="M66" s="33" t="str" cm="1">
        <f t="array" ref="M66">IF(A66="","",IFERROR(TRIM(INDEX(_xlfn.TEXTSPLIT(IFERROR(VLOOKUP(A66,'Production Schedule'!$B:$FU,150,FALSE),""),CHAR(10)),1)),""))</f>
        <v>AXYZ Titans Line</v>
      </c>
      <c r="N66" s="34">
        <f t="shared" si="0"/>
        <v>46114</v>
      </c>
      <c r="O66" s="33" t="str" cm="1">
        <f t="array" ref="O66">IF(A66="","",IFERROR(TRIM(INDEX(_xlfn.TEXTSPLIT(IFERROR(VLOOKUP(A66,'Production Schedule'!$B:$FU,150,FALSE),""),CHAR(10)),2)),""))</f>
        <v>Clean and Brake</v>
      </c>
      <c r="P66" s="34">
        <f t="shared" si="1"/>
        <v>46115</v>
      </c>
      <c r="Q66" s="33" t="str" cm="1">
        <f t="array" ref="Q66">IF(A66="","",IFERROR(TRIM(INDEX(_xlfn.TEXTSPLIT(IFERROR(VLOOKUP(A66,'Production Schedule'!$B:$FU,150,FALSE),""),CHAR(10)),3)),""))</f>
        <v>Fab</v>
      </c>
      <c r="R66" s="34">
        <f t="shared" si="2"/>
        <v>46126</v>
      </c>
      <c r="S66" s="33" t="str" cm="1">
        <f t="array" ref="S66">IF(A66="","",IFERROR(TRIM(INDEX(_xlfn.TEXTSPLIT(IFERROR(VLOOKUP(A66,'Production Schedule'!$B:$FU,150,FALSE),""),CHAR(10)),4)),""))</f>
        <v/>
      </c>
      <c r="T66" s="34" t="str">
        <f t="shared" si="3"/>
        <v/>
      </c>
      <c r="U66" s="33" t="str" cm="1">
        <f t="array" ref="U66">IF(A66="","",IFERROR(TRIM(INDEX(_xlfn.TEXTSPLIT(IFERROR(VLOOKUP(A66,'Production Schedule'!$B:$FU,150,FALSE),""),CHAR(10)),5)),""))</f>
        <v/>
      </c>
      <c r="V66" s="34" t="str">
        <f t="shared" si="4"/>
        <v/>
      </c>
      <c r="W66" s="33" t="str" cm="1">
        <f t="array" ref="W66">IF(A66="","",IFERROR(TRIM(INDEX(_xlfn.TEXTSPLIT(IFERROR(VLOOKUP(A66,'Production Schedule'!$B:$FU,150,FALSE),""),CHAR(10)),6)),""))</f>
        <v/>
      </c>
      <c r="X66" s="34" t="str">
        <f t="shared" si="5"/>
        <v/>
      </c>
      <c r="Y66" s="36">
        <f t="shared" si="6"/>
        <v>46136</v>
      </c>
      <c r="Z66" s="37" t="str">
        <f>IF(A66="","",IF(IFERROR(VLOOKUP(A66,Notes!A:B,2,FALSE),"")=0,"",VLOOKUP(A66,Notes!A:B,2,FALSE)))</f>
        <v>04/15...Date adjusted to 04/27.*04/16/2026…AXYZ 34</v>
      </c>
      <c r="AA66" s="20">
        <f t="shared" si="7"/>
        <v>1</v>
      </c>
    </row>
    <row r="67" spans="1:27" x14ac:dyDescent="0.25">
      <c r="A67" s="18" t="str">
        <v>25022-RO03</v>
      </c>
      <c r="B67" s="18" t="str">
        <f>IF(A67="","",IFERROR(VLOOKUP(A67,'Production Schedule'!$B:$FU,3,FALSE),""))</f>
        <v>Vantage VA15</v>
      </c>
      <c r="C67" s="18" t="str">
        <f>IF(A67="","",IFERROR(VLOOKUP(A67,'Production Schedule'!$B:$FU,5,FALSE),""))</f>
        <v>Thomas Mooers</v>
      </c>
      <c r="D67" s="18">
        <f>IF(A67="","",IFERROR(VLOOKUP(A67,'Production Schedule'!$B:$FU,7,FALSE),""))</f>
        <v>400</v>
      </c>
      <c r="E67" s="18">
        <f>IF(A67="","",IFERROR(VLOOKUP(A67,'Production Schedule'!$B:$FU,17,FALSE),""))</f>
        <v>3</v>
      </c>
      <c r="F67" s="18">
        <f>IF(A67="","",IFERROR(VLOOKUP(A67,'Production Schedule'!$B:$FU,18,FALSE),""))</f>
        <v>3</v>
      </c>
      <c r="G67" s="18" t="str">
        <f>IF(A67="","",IFERROR(VLOOKUP(A67,'Production Schedule'!$B:$FU,25,FALSE),""))</f>
        <v>FR ACM</v>
      </c>
      <c r="H67" s="19">
        <f>IF(A67="","",IFERROR(VLOOKUP(A67,'Production Schedule'!$B:$FU,47,FALSE),""))</f>
        <v>46125.355487777779</v>
      </c>
      <c r="I67" s="19">
        <f>IF(A67="","",IFERROR(VLOOKUP(A67,'Production Schedule'!$B:$FU,54,FALSE),""))</f>
        <v>46139</v>
      </c>
      <c r="J67" s="26">
        <f>IF(A67="","",IFERROR(VLOOKUP(A67,'Production Schedule'!$B:$FU,135,FALSE),""))</f>
        <v>3</v>
      </c>
      <c r="K67" s="18" t="str">
        <f>IF(A67="","",IFERROR(VLOOKUP(A67,'Production Schedule'!$B:$FU,59,FALSE),""))</f>
        <v>YES</v>
      </c>
      <c r="L67" s="18" t="str">
        <f>IF(A67="","",IFERROR(VLOOKUP(A67,'Production Schedule'!$B:$FU,80,FALSE),""))</f>
        <v>AXYZ 34</v>
      </c>
      <c r="M67" s="27" t="str" cm="1">
        <f t="array" ref="M67">IF(A67="","",IFERROR(TRIM(INDEX(_xlfn.TEXTSPLIT(IFERROR(VLOOKUP(A67,'Production Schedule'!$B:$FU,150,FALSE),""),CHAR(10)),1)),""))</f>
        <v>AXYZ</v>
      </c>
      <c r="N67" s="28">
        <f t="shared" si="0"/>
        <v>46114</v>
      </c>
      <c r="O67" s="27" t="str" cm="1">
        <f t="array" ref="O67">IF(A67="","",IFERROR(TRIM(INDEX(_xlfn.TEXTSPLIT(IFERROR(VLOOKUP(A67,'Production Schedule'!$B:$FU,150,FALSE),""),CHAR(10)),2)),""))</f>
        <v>Clean and Brake</v>
      </c>
      <c r="P67" s="28">
        <f t="shared" si="1"/>
        <v>46115</v>
      </c>
      <c r="Q67" s="29" t="str" cm="1">
        <f t="array" ref="Q67">IF(A67="","",IFERROR(TRIM(INDEX(_xlfn.TEXTSPLIT(IFERROR(VLOOKUP(A67,'Production Schedule'!$B:$FU,150,FALSE),""),CHAR(10)),3)),""))</f>
        <v>Fab</v>
      </c>
      <c r="R67" s="28">
        <f t="shared" si="2"/>
        <v>46126</v>
      </c>
      <c r="S67" s="27" t="str" cm="1">
        <f t="array" ref="S67">IF(A67="","",IFERROR(TRIM(INDEX(_xlfn.TEXTSPLIT(IFERROR(VLOOKUP(A67,'Production Schedule'!$B:$FU,150,FALSE),""),CHAR(10)),4)),""))</f>
        <v/>
      </c>
      <c r="T67" s="28" t="str">
        <f t="shared" si="3"/>
        <v/>
      </c>
      <c r="U67" s="27" t="str" cm="1">
        <f t="array" ref="U67">IF(A67="","",IFERROR(TRIM(INDEX(_xlfn.TEXTSPLIT(IFERROR(VLOOKUP(A67,'Production Schedule'!$B:$FU,150,FALSE),""),CHAR(10)),5)),""))</f>
        <v/>
      </c>
      <c r="V67" s="28" t="str">
        <f t="shared" si="4"/>
        <v/>
      </c>
      <c r="W67" s="27" t="str" cm="1">
        <f t="array" ref="W67">IF(A67="","",IFERROR(TRIM(INDEX(_xlfn.TEXTSPLIT(IFERROR(VLOOKUP(A67,'Production Schedule'!$B:$FU,150,FALSE),""),CHAR(10)),6)),""))</f>
        <v/>
      </c>
      <c r="X67" s="28" t="str">
        <f t="shared" si="5"/>
        <v/>
      </c>
      <c r="Y67" s="30">
        <f t="shared" si="6"/>
        <v>46136</v>
      </c>
      <c r="Z67" s="31" t="str">
        <f>IF(A67="","",IF(IFERROR(VLOOKUP(A67,Notes!A:B,2,FALSE),"")=0,"",VLOOKUP(A67,Notes!A:B,2,FALSE)))</f>
        <v>04/16/2026…AXYZ 34</v>
      </c>
      <c r="AA67" s="18">
        <f t="shared" si="7"/>
        <v>1</v>
      </c>
    </row>
    <row r="68" spans="1:27" x14ac:dyDescent="0.25">
      <c r="A68" s="20" t="str">
        <v>24051-FS93</v>
      </c>
      <c r="B68" s="20" t="str">
        <f>IF(A68="","",IFERROR(VLOOKUP(A68,'Production Schedule'!$B:$FU,3,FALSE),""))</f>
        <v>TN Titans Stadium</v>
      </c>
      <c r="C68" s="20" t="str">
        <f>IF(A68="","",IFERROR(VLOOKUP(A68,'Production Schedule'!$B:$FU,5,FALSE),""))</f>
        <v>Marc Ribar</v>
      </c>
      <c r="D68" s="20">
        <f>IF(A68="","",IFERROR(VLOOKUP(A68,'Production Schedule'!$B:$FU,7,FALSE),""))</f>
        <v>400</v>
      </c>
      <c r="E68" s="20">
        <f>IF(A68="","",IFERROR(VLOOKUP(A68,'Production Schedule'!$B:$FU,17,FALSE),""))</f>
        <v>131</v>
      </c>
      <c r="F68" s="20">
        <f>IF(A68="","",IFERROR(VLOOKUP(A68,'Production Schedule'!$B:$FU,18,FALSE),""))</f>
        <v>133</v>
      </c>
      <c r="G68" s="20" t="str">
        <f>IF(A68="","",IFERROR(VLOOKUP(A68,'Production Schedule'!$B:$FU,25,FALSE),""))</f>
        <v>FR ACM</v>
      </c>
      <c r="H68" s="21">
        <f>IF(A68="","",IFERROR(VLOOKUP(A68,'Production Schedule'!$B:$FU,47,FALSE),""))</f>
        <v>46097.479122337965</v>
      </c>
      <c r="I68" s="21">
        <f>IF(A68="","",IFERROR(VLOOKUP(A68,'Production Schedule'!$B:$FU,54,FALSE),""))</f>
        <v>46140</v>
      </c>
      <c r="J68" s="32">
        <f>IF(A68="","",IFERROR(VLOOKUP(A68,'Production Schedule'!$B:$FU,135,FALSE),""))</f>
        <v>200</v>
      </c>
      <c r="K68" s="20" t="str">
        <f>IF(A68="","",IFERROR(VLOOKUP(A68,'Production Schedule'!$B:$FU,59,FALSE),""))</f>
        <v>YES</v>
      </c>
      <c r="L68" s="39" t="str">
        <f>IF(A68="","",IFERROR(VLOOKUP(A68,'Production Schedule'!$B:$FU,80,FALSE),""))</f>
        <v>Correction</v>
      </c>
      <c r="M68" s="33" t="str" cm="1">
        <f t="array" ref="M68">IF(A68="","",IFERROR(TRIM(INDEX(_xlfn.TEXTSPLIT(IFERROR(VLOOKUP(A68,'Production Schedule'!$B:$FU,150,FALSE),""),CHAR(10)),1)),""))</f>
        <v>AXYZ</v>
      </c>
      <c r="N68" s="34">
        <f t="shared" si="0"/>
        <v>46113</v>
      </c>
      <c r="O68" s="33" t="str" cm="1">
        <f t="array" ref="O68">IF(A68="","",IFERROR(TRIM(INDEX(_xlfn.TEXTSPLIT(IFERROR(VLOOKUP(A68,'Production Schedule'!$B:$FU,150,FALSE),""),CHAR(10)),2)),""))</f>
        <v>Clean and Brake</v>
      </c>
      <c r="P68" s="34">
        <f t="shared" si="1"/>
        <v>46116</v>
      </c>
      <c r="Q68" s="33" t="str" cm="1">
        <f t="array" ref="Q68">IF(A68="","",IFERROR(TRIM(INDEX(_xlfn.TEXTSPLIT(IFERROR(VLOOKUP(A68,'Production Schedule'!$B:$FU,150,FALSE),""),CHAR(10)),3)),""))</f>
        <v>Fab</v>
      </c>
      <c r="R68" s="34">
        <f t="shared" si="2"/>
        <v>46127</v>
      </c>
      <c r="S68" s="33" t="str" cm="1">
        <f t="array" ref="S68">IF(A68="","",IFERROR(TRIM(INDEX(_xlfn.TEXTSPLIT(IFERROR(VLOOKUP(A68,'Production Schedule'!$B:$FU,150,FALSE),""),CHAR(10)),4)),""))</f>
        <v/>
      </c>
      <c r="T68" s="34" t="str">
        <f t="shared" si="3"/>
        <v/>
      </c>
      <c r="U68" s="33" t="str" cm="1">
        <f t="array" ref="U68">IF(A68="","",IFERROR(TRIM(INDEX(_xlfn.TEXTSPLIT(IFERROR(VLOOKUP(A68,'Production Schedule'!$B:$FU,150,FALSE),""),CHAR(10)),5)),""))</f>
        <v/>
      </c>
      <c r="V68" s="34" t="str">
        <f t="shared" si="4"/>
        <v/>
      </c>
      <c r="W68" s="33" t="str" cm="1">
        <f t="array" ref="W68">IF(A68="","",IFERROR(TRIM(INDEX(_xlfn.TEXTSPLIT(IFERROR(VLOOKUP(A68,'Production Schedule'!$B:$FU,150,FALSE),""),CHAR(10)),6)),""))</f>
        <v/>
      </c>
      <c r="X68" s="34" t="str">
        <f t="shared" si="5"/>
        <v/>
      </c>
      <c r="Y68" s="36">
        <f t="shared" si="6"/>
        <v>46137</v>
      </c>
      <c r="Z68" s="37" t="str">
        <f>IF(A68="","",IF(IFERROR(VLOOKUP(A68,Notes!A:B,2,FALSE),"")=0,"",VLOOKUP(A68,Notes!A:B,2,FALSE)))</f>
        <v>04/14...Next Titans Requesting//Scheduled to be released to the shop 04/20.*04/16/2026…Correction</v>
      </c>
      <c r="AA68" s="20">
        <f t="shared" si="7"/>
        <v>1</v>
      </c>
    </row>
    <row r="69" spans="1:27" x14ac:dyDescent="0.25">
      <c r="A69" s="18" t="str">
        <v>24051-FS94</v>
      </c>
      <c r="B69" s="18" t="str">
        <f>IF(A69="","",IFERROR(VLOOKUP(A69,'Production Schedule'!$B:$FU,3,FALSE),""))</f>
        <v>TN Titans Stadium</v>
      </c>
      <c r="C69" s="18" t="str">
        <f>IF(A69="","",IFERROR(VLOOKUP(A69,'Production Schedule'!$B:$FU,5,FALSE),""))</f>
        <v>Marc Ribar</v>
      </c>
      <c r="D69" s="18">
        <f>IF(A69="","",IFERROR(VLOOKUP(A69,'Production Schedule'!$B:$FU,7,FALSE),""))</f>
        <v>400</v>
      </c>
      <c r="E69" s="18">
        <f>IF(A69="","",IFERROR(VLOOKUP(A69,'Production Schedule'!$B:$FU,17,FALSE),""))</f>
        <v>79</v>
      </c>
      <c r="F69" s="18">
        <f>IF(A69="","",IFERROR(VLOOKUP(A69,'Production Schedule'!$B:$FU,18,FALSE),""))</f>
        <v>0</v>
      </c>
      <c r="G69" s="18" t="str">
        <f>IF(A69="","",IFERROR(VLOOKUP(A69,'Production Schedule'!$B:$FU,25,FALSE),""))</f>
        <v>FR ACM</v>
      </c>
      <c r="H69" s="19">
        <f>IF(A69="","",IFERROR(VLOOKUP(A69,'Production Schedule'!$B:$FU,47,FALSE),""))</f>
        <v>46097.532545428243</v>
      </c>
      <c r="I69" s="19">
        <f>IF(A69="","",IFERROR(VLOOKUP(A69,'Production Schedule'!$B:$FU,54,FALSE),""))</f>
        <v>46140</v>
      </c>
      <c r="J69" s="26">
        <f>IF(A69="","",IFERROR(VLOOKUP(A69,'Production Schedule'!$B:$FU,135,FALSE),""))</f>
        <v>140</v>
      </c>
      <c r="K69" s="18" t="str">
        <f>IF(A69="","",IFERROR(VLOOKUP(A69,'Production Schedule'!$B:$FU,59,FALSE),""))</f>
        <v>YES</v>
      </c>
      <c r="L69" s="38" t="str">
        <f>IF(A69="","",IFERROR(VLOOKUP(A69,'Production Schedule'!$B:$FU,80,FALSE),""))</f>
        <v>Float</v>
      </c>
      <c r="M69" s="27" t="str" cm="1">
        <f t="array" ref="M69">IF(A69="","",IFERROR(TRIM(INDEX(_xlfn.TEXTSPLIT(IFERROR(VLOOKUP(A69,'Production Schedule'!$B:$FU,150,FALSE),""),CHAR(10)),1)),""))</f>
        <v>AXYZ</v>
      </c>
      <c r="N69" s="28">
        <f t="shared" ref="N69:N132" si="8">IF(AND(M69&lt;&gt;"",I69&lt;&gt;""),_xlfn.LET(_xlpm.hM,IF(OR(M69="AXYZ Titans Line",M69="AXYZ"),ROUND(E69/7,1),IF(OR(M69="Clean and Brake",M69="Clean and brake"),72,IF(OR(M69="Fab",M69="Fabrication"),72,IF(M69="Assembly",72,IF(M69="Tube Laser",72,IF(M69="7000 TruMatic",72,IF(M69="TruLaser 3040",72,IF(M69="Extrusion Saw",72,IF(M69="Powder Coat",192,IF(M69="Brake",72,IF(M69="Cidan",80,IF(M69="Shear",80,IF(M69="Weld",80,IF(M69="Flat Laser",24,IF(M69="Post Paint",24,IF(M69="TruPunch",24,IF(M69="Roller",72,0))))))))))))))))),_xlpm.hO,IF(OR(O69="AXYZ Titans Line",O69="AXYZ"),ROUND(E69/7,1),IF(OR(O69="Clean and Brake",O69="Clean and brake"),72,IF(OR(O69="Fab",O69="Fabrication"),72,IF(O69="Assembly",72,IF(O69="Tube Laser",72,IF(O69="7000 TruMatic",72,IF(O69="TruLaser 3040",72,IF(O69="Extrusion Saw",72,IF(O69="Powder Coat",192,IF(O69="Brake",72,IF(O69="Cidan",80,IF(O69="Shear",80,IF(O69="Weld",80,IF(O69="Flat Laser",24,IF(O69="Post Paint",24,IF(O69="TruPunch",24,IF(O69="Roller",72,0))))))))))))))))),_xlpm.hQ,IF(OR(Q69="AXYZ Titans Line",Q69="AXYZ"),ROUND(E69/7,1),IF(OR(Q69="Clean and Brake",Q69="Clean and brake"),72,IF(OR(Q69="Fab",Q69="Fabrication"),72,IF(Q69="Assembly",72,IF(Q69="Tube Laser",72,IF(Q69="7000 TruMatic",72,IF(Q69="TruLaser 3040",72,IF(Q69="Extrusion Saw",72,IF(Q69="Powder Coat",192,IF(Q69="Brake",72,IF(Q69="Cidan",80,IF(Q69="Shear",80,IF(Q69="Weld",80,IF(Q69="Flat Laser",24,IF(Q69="Post Paint",24,IF(Q69="TruPunch",24,IF(Q69="Roller",72,0))))))))))))))))),_xlpm.hS,IF(OR(S69="AXYZ Titans Line",S69="AXYZ"),ROUND(E69/7,1),IF(OR(S69="Clean and Brake",S69="Clean and brake"),72,IF(OR(S69="Fab",S69="Fabrication"),72,IF(S69="Assembly",72,IF(S69="Tube Laser",72,IF(S69="7000 TruMatic",72,IF(S69="TruLaser 3040",72,IF(S69="Extrusion Saw",72,IF(S69="Powder Coat",192,IF(S69="Brake",72,IF(S69="Cidan",80,IF(S69="Shear",80,IF(S69="Weld",80,IF(S69="Flat Laser",24,IF(S69="Post Paint",24,IF(S69="TruPunch",24,IF(S69="Roller",72,0))))))))))))))))),_xlpm.hU,IF(OR(U69="AXYZ Titans Line",U69="AXYZ"),ROUND(E69/7,1),IF(OR(U69="Clean and Brake",U69="Clean and brake"),72,IF(OR(U69="Fab",U69="Fabrication"),72,IF(U69="Assembly",72,IF(U69="Tube Laser",72,IF(U69="7000 TruMatic",72,IF(U69="TruLaser 3040",72,IF(U69="Extrusion Saw",72,IF(U69="Powder Coat",192,IF(U69="Brake",72,IF(U69="Cidan",80,IF(U69="Shear",80,IF(U69="Weld",80,IF(U69="Flat Laser",24,IF(U69="Post Paint",24,IF(U69="TruPunch",24,IF(U69="Roller",72,0))))))))))))))))),_xlpm.hW,IF(OR(W69="AXYZ Titans Line",W69="AXYZ"),ROUND(E69/7,1),IF(OR(W69="Clean and Brake",W69="Clean and brake"),72,IF(OR(W69="Fab",W69="Fabrication"),72,IF(W69="Assembly",72,IF(W69="Tube Laser",72,IF(W69="7000 TruMatic",72,IF(W69="TruLaser 3040",72,IF(W69="Extrusion Saw",72,IF(W69="Powder Coat",192,IF(W69="Brake",72,IF(W69="Cidan",80,IF(W69="Shear",80,IF(W69="Weld",80,IF(W69="Flat Laser",24,IF(W69="Post Paint",24,IF(W69="TruPunch",24,IF(W69="Roller",72,0))))))))))))))))),_xlpm.total,_xlpm.hM+_xlpm.hO+_xlpm.hQ+_xlpm.hS+_xlpm.hU+_xlpm.hW+16,WORKDAY.INTL(I69,-ROUNDUP(_xlpm.total/8,0),"0000001")),"")</f>
        <v>46114</v>
      </c>
      <c r="O69" s="27" t="str" cm="1">
        <f t="array" ref="O69">IF(A69="","",IFERROR(TRIM(INDEX(_xlfn.TEXTSPLIT(IFERROR(VLOOKUP(A69,'Production Schedule'!$B:$FU,150,FALSE),""),CHAR(10)),2)),""))</f>
        <v>Clean and Brake</v>
      </c>
      <c r="P69" s="28">
        <f t="shared" ref="P69:P132" si="9">IF(AND(O69&lt;&gt;"",I69&lt;&gt;""),_xlfn.LET(_xlpm.hO,IF(OR(O69="AXYZ Titans Line",O69="AXYZ"),ROUND(E69/7,1),IF(OR(O69="Clean and Brake",O69="Clean and brake"),72,IF(OR(O69="Fab",O69="Fabrication"),72,IF(O69="Assembly",72,IF(O69="Tube Laser",72,IF(O69="7000 TruMatic",72,IF(O69="TruLaser 3040",72,IF(O69="Extrusion Saw",72,IF(O69="Powder Coat",192,IF(O69="Brake",72,IF(O69="Cidan",80,IF(O69="Shear",80,IF(O69="Weld",80,IF(O69="Flat Laser",24,IF(O69="Post Paint",24,IF(O69="TruPunch",24,IF(O69="Roller",72,0))))))))))))))))),_xlpm.hQ,IF(OR(Q69="AXYZ Titans Line",Q69="AXYZ"),ROUND(E69/7,1),IF(OR(Q69="Clean and Brake",Q69="Clean and brake"),72,IF(OR(Q69="Fab",Q69="Fabrication"),72,IF(Q69="Assembly",72,IF(Q69="Tube Laser",72,IF(Q69="7000 TruMatic",72,IF(Q69="TruLaser 3040",72,IF(Q69="Extrusion Saw",72,IF(Q69="Powder Coat",192,IF(Q69="Brake",72,IF(Q69="Cidan",80,IF(Q69="Shear",80,IF(Q69="Weld",80,IF(Q69="Flat Laser",24,IF(Q69="Post Paint",24,IF(Q69="TruPunch",24,IF(Q69="Roller",72,0))))))))))))))))),_xlpm.hS,IF(OR(S69="AXYZ Titans Line",S69="AXYZ"),ROUND(E69/7,1),IF(OR(S69="Clean and Brake",S69="Clean and brake"),72,IF(OR(S69="Fab",S69="Fabrication"),72,IF(S69="Assembly",72,IF(S69="Tube Laser",72,IF(S69="7000 TruMatic",72,IF(S69="TruLaser 3040",72,IF(S69="Extrusion Saw",72,IF(S69="Powder Coat",192,IF(S69="Brake",72,IF(S69="Cidan",80,IF(S69="Shear",80,IF(S69="Weld",80,IF(S69="Flat Laser",24,IF(S69="Post Paint",24,IF(S69="TruPunch",24,IF(S69="Roller",72,0))))))))))))))))),_xlpm.hU,IF(OR(U69="AXYZ Titans Line",U69="AXYZ"),ROUND(E69/7,1),IF(OR(U69="Clean and Brake",U69="Clean and brake"),72,IF(OR(U69="Fab",U69="Fabrication"),72,IF(U69="Assembly",72,IF(U69="Tube Laser",72,IF(U69="7000 TruMatic",72,IF(U69="TruLaser 3040",72,IF(U69="Extrusion Saw",72,IF(U69="Powder Coat",192,IF(U69="Brake",72,IF(U69="Cidan",80,IF(U69="Shear",80,IF(U69="Weld",80,IF(U69="Flat Laser",24,IF(U69="Post Paint",24,IF(U69="TruPunch",24,IF(U69="Roller",72,0))))))))))))))))),_xlpm.hW,IF(OR(W69="AXYZ Titans Line",W69="AXYZ"),ROUND(E69/7,1),IF(OR(W69="Clean and Brake",W69="Clean and brake"),72,IF(OR(W69="Fab",W69="Fabrication"),72,IF(W69="Assembly",72,IF(W69="Tube Laser",72,IF(W69="7000 TruMatic",72,IF(W69="TruLaser 3040",72,IF(W69="Extrusion Saw",72,IF(W69="Powder Coat",192,IF(W69="Brake",72,IF(W69="Cidan",80,IF(W69="Shear",80,IF(W69="Weld",80,IF(W69="Flat Laser",24,IF(W69="Post Paint",24,IF(W69="TruPunch",24,IF(W69="Roller",72,0))))))))))))))))),_xlpm.total,_xlpm.hO+_xlpm.hQ+_xlpm.hS+_xlpm.hU+_xlpm.hW+16,WORKDAY.INTL(I69,-ROUNDUP(_xlpm.total/8,0),"0000001")),"")</f>
        <v>46116</v>
      </c>
      <c r="Q69" s="27" t="str" cm="1">
        <f t="array" ref="Q69">IF(A69="","",IFERROR(TRIM(INDEX(_xlfn.TEXTSPLIT(IFERROR(VLOOKUP(A69,'Production Schedule'!$B:$FU,150,FALSE),""),CHAR(10)),3)),""))</f>
        <v>Fab</v>
      </c>
      <c r="R69" s="28">
        <f t="shared" ref="R69:R132" si="10">IF(AND(Q69&lt;&gt;"",I69&lt;&gt;""),_xlfn.LET(_xlpm.hQ,IF(OR(Q69="AXYZ Titans Line",Q69="AXYZ"),ROUND(E69/7,1),IF(OR(Q69="Clean and Brake",Q69="Clean and brake"),72,IF(OR(Q69="Fab",Q69="Fabrication"),72,IF(Q69="Assembly",72,IF(Q69="Tube Laser",72,IF(Q69="7000 TruMatic",72,IF(Q69="TruLaser 3040",72,IF(Q69="Extrusion Saw",72,IF(Q69="Powder Coat",192,IF(Q69="Brake",72,IF(Q69="Cidan",80,IF(Q69="Shear",80,IF(Q69="Weld",80,IF(Q69="Flat Laser",24,IF(Q69="Post Paint",24,IF(Q69="TruPunch",24,IF(Q69="Roller",72,0))))))))))))))))),_xlpm.hS,IF(OR(S69="AXYZ Titans Line",S69="AXYZ"),ROUND(E69/7,1),IF(OR(S69="Clean and Brake",S69="Clean and brake"),72,IF(OR(S69="Fab",S69="Fabrication"),72,IF(S69="Assembly",72,IF(S69="Tube Laser",72,IF(S69="7000 TruMatic",72,IF(S69="TruLaser 3040",72,IF(S69="Extrusion Saw",72,IF(S69="Powder Coat",192,IF(S69="Brake",72,IF(S69="Cidan",80,IF(S69="Shear",80,IF(S69="Weld",80,IF(S69="Flat Laser",24,IF(S69="Post Paint",24,IF(S69="TruPunch",24,IF(S69="Roller",72,0))))))))))))))))),_xlpm.hU,IF(OR(U69="AXYZ Titans Line",U69="AXYZ"),ROUND(E69/7,1),IF(OR(U69="Clean and Brake",U69="Clean and brake"),72,IF(OR(U69="Fab",U69="Fabrication"),72,IF(U69="Assembly",72,IF(U69="Tube Laser",72,IF(U69="7000 TruMatic",72,IF(U69="TruLaser 3040",72,IF(U69="Extrusion Saw",72,IF(U69="Powder Coat",192,IF(U69="Brake",72,IF(U69="Cidan",80,IF(U69="Shear",80,IF(U69="Weld",80,IF(U69="Flat Laser",24,IF(U69="Post Paint",24,IF(U69="TruPunch",24,IF(U69="Roller",72,0))))))))))))))))),_xlpm.hW,IF(OR(W69="AXYZ Titans Line",W69="AXYZ"),ROUND(E69/7,1),IF(OR(W69="Clean and Brake",W69="Clean and brake"),72,IF(OR(W69="Fab",W69="Fabrication"),72,IF(W69="Assembly",72,IF(W69="Tube Laser",72,IF(W69="7000 TruMatic",72,IF(W69="TruLaser 3040",72,IF(W69="Extrusion Saw",72,IF(W69="Powder Coat",192,IF(W69="Brake",72,IF(W69="Cidan",80,IF(W69="Shear",80,IF(W69="Weld",80,IF(W69="Flat Laser",24,IF(W69="Post Paint",24,IF(W69="TruPunch",24,IF(W69="Roller",72,0))))))))))))))))),_xlpm.total,_xlpm.hQ+_xlpm.hS+_xlpm.hU+_xlpm.hW+16,WORKDAY.INTL(I69,-ROUNDUP(_xlpm.total/8,0),"0000001")),"")</f>
        <v>46127</v>
      </c>
      <c r="S69" s="27" t="str" cm="1">
        <f t="array" ref="S69">IF(A69="","",IFERROR(TRIM(INDEX(_xlfn.TEXTSPLIT(IFERROR(VLOOKUP(A69,'Production Schedule'!$B:$FU,150,FALSE),""),CHAR(10)),4)),""))</f>
        <v/>
      </c>
      <c r="T69" s="28" t="str">
        <f t="shared" ref="T69:T132" si="11">IF(AND(S69&lt;&gt;"",I69&lt;&gt;""),_xlfn.LET(_xlpm.hS,IF(OR(S69="AXYZ Titans Line",S69="AXYZ"),ROUND(E69/7,1),IF(OR(S69="Clean and Brake",S69="Clean and brake"),72,IF(OR(S69="Fab",S69="Fabrication"),72,IF(S69="Assembly",72,IF(S69="Tube Laser",72,IF(S69="7000 TruMatic",72,IF(S69="TruLaser 3040",72,IF(S69="Extrusion Saw",72,IF(S69="Powder Coat",192,IF(S69="Brake",72,IF(S69="Cidan",80,IF(S69="Shear",80,IF(S69="Weld",80,IF(S69="Flat Laser",24,IF(S69="Post Paint",24,IF(S69="TruPunch",24,IF(S69="Roller",72,0))))))))))))))))),_xlpm.hU,IF(OR(U69="AXYZ Titans Line",U69="AXYZ"),ROUND(E69/7,1),IF(OR(U69="Clean and Brake",U69="Clean and brake"),72,IF(OR(U69="Fab",U69="Fabrication"),72,IF(U69="Assembly",72,IF(U69="Tube Laser",72,IF(U69="7000 TruMatic",72,IF(U69="TruLaser 3040",72,IF(U69="Extrusion Saw",72,IF(U69="Powder Coat",192,IF(U69="Brake",72,IF(U69="Cidan",80,IF(U69="Shear",80,IF(U69="Weld",80,IF(U69="Flat Laser",24,IF(U69="Post Paint",24,IF(U69="TruPunch",24,IF(U69="Roller",72,0))))))))))))))))),_xlpm.hW,IF(OR(W69="AXYZ Titans Line",W69="AXYZ"),ROUND(E69/7,1),IF(OR(W69="Clean and Brake",W69="Clean and brake"),72,IF(OR(W69="Fab",W69="Fabrication"),72,IF(W69="Assembly",72,IF(W69="Tube Laser",72,IF(W69="7000 TruMatic",72,IF(W69="TruLaser 3040",72,IF(W69="Extrusion Saw",72,IF(W69="Powder Coat",192,IF(W69="Brake",72,IF(W69="Cidan",80,IF(W69="Shear",80,IF(W69="Weld",80,IF(W69="Flat Laser",24,IF(W69="Post Paint",24,IF(W69="TruPunch",24,IF(W69="Roller",72,0))))))))))))))))),_xlpm.total,_xlpm.hS+_xlpm.hU+_xlpm.hW+16,WORKDAY.INTL(I69,-ROUNDUP(_xlpm.total/8,0),"0000001")),"")</f>
        <v/>
      </c>
      <c r="U69" s="27" t="str" cm="1">
        <f t="array" ref="U69">IF(A69="","",IFERROR(TRIM(INDEX(_xlfn.TEXTSPLIT(IFERROR(VLOOKUP(A69,'Production Schedule'!$B:$FU,150,FALSE),""),CHAR(10)),5)),""))</f>
        <v/>
      </c>
      <c r="V69" s="28" t="str">
        <f t="shared" ref="V69:V132" si="12">IF(AND(U69&lt;&gt;"",I69&lt;&gt;""),_xlfn.LET(_xlpm.hU,IF(OR(U69="AXYZ Titans Line",U69="AXYZ"),ROUND(E69/7,1),IF(OR(U69="Clean and Brake",U69="Clean and brake"),72,IF(OR(U69="Fab",U69="Fabrication"),72,IF(U69="Assembly",72,IF(U69="Tube Laser",72,IF(U69="7000 TruMatic",72,IF(U69="TruLaser 3040",72,IF(U69="Extrusion Saw",72,IF(U69="Powder Coat",192,IF(U69="Brake",72,IF(U69="Cidan",80,IF(U69="Shear",80,IF(U69="Weld",80,IF(U69="Flat Laser",24,IF(U69="Post Paint",24,IF(U69="TruPunch",24,IF(U69="Roller",72,0))))))))))))))))),_xlpm.hW,IF(OR(W69="AXYZ Titans Line",W69="AXYZ"),ROUND(E69/7,1),IF(OR(W69="Clean and Brake",W69="Clean and brake"),72,IF(OR(W69="Fab",W69="Fabrication"),72,IF(W69="Assembly",72,IF(W69="Tube Laser",72,IF(W69="7000 TruMatic",72,IF(W69="TruLaser 3040",72,IF(W69="Extrusion Saw",72,IF(W69="Powder Coat",192,IF(W69="Brake",72,IF(W69="Cidan",80,IF(W69="Shear",80,IF(W69="Weld",80,IF(W69="Flat Laser",24,IF(W69="Post Paint",24,IF(W69="TruPunch",24,IF(W69="Roller",72,0))))))))))))))))),_xlpm.total,_xlpm.hU+_xlpm.hW+16,WORKDAY.INTL(I69,-ROUNDUP(_xlpm.total/8,0),"0000001")),"")</f>
        <v/>
      </c>
      <c r="W69" s="27" t="str" cm="1">
        <f t="array" ref="W69">IF(A69="","",IFERROR(TRIM(INDEX(_xlfn.TEXTSPLIT(IFERROR(VLOOKUP(A69,'Production Schedule'!$B:$FU,150,FALSE),""),CHAR(10)),6)),""))</f>
        <v/>
      </c>
      <c r="X69" s="28" t="str">
        <f t="shared" ref="X69:X132" si="13">IF(AND(W69&lt;&gt;"",I69&lt;&gt;""),_xlfn.LET(_xlpm.hW,IF(OR(W69="AXYZ Titans Line",W69="AXYZ"),ROUND(E69/7,1),IF(OR(W69="Clean and Brake",W69="Clean and brake"),72,IF(OR(W69="Fab",W69="Fabrication"),72,IF(W69="Assembly",72,IF(W69="Tube Laser",72,IF(W69="7000 TruMatic",72,IF(W69="TruLaser 3040",72,IF(W69="Extrusion Saw",72,IF(W69="Powder Coat",192,IF(W69="Brake",72,IF(W69="Cidan",80,IF(W69="Shear",80,IF(W69="Weld",80,IF(W69="Flat Laser",24,IF(W69="Post Paint",24,IF(W69="TruPunch",24,IF(W69="Roller",72,0))))))))))))))))),_xlpm.total,_xlpm.hW+16,WORKDAY.INTL(I69,-ROUNDUP(_xlpm.total/8,0),"0000001")),"")</f>
        <v/>
      </c>
      <c r="Y69" s="30">
        <f t="shared" ref="Y69:Y132" si="14">IF(I69="","",WORKDAY.INTL(I69,-2,"0000001"))</f>
        <v>46137</v>
      </c>
      <c r="Z69" s="31" t="str">
        <f>IF(A69="","",IF(IFERROR(VLOOKUP(A69,Notes!A:B,2,FALSE),"")=0,"",VLOOKUP(A69,Notes!A:B,2,FALSE)))</f>
        <v>04/16/2026…Float</v>
      </c>
      <c r="AA69" s="18">
        <f t="shared" ref="AA69:AA132" si="15">IF(OR(L69="Ready to Ship",L69="RTS Titans",L69="Shipped",L69="Shipped To Painter",L69="Partially Shipped",L69="QC",L69="Crating"),2,1)</f>
        <v>1</v>
      </c>
    </row>
    <row r="70" spans="1:27" x14ac:dyDescent="0.25">
      <c r="A70" s="20" t="str">
        <v>24051-FS95</v>
      </c>
      <c r="B70" s="20" t="str">
        <f>IF(A70="","",IFERROR(VLOOKUP(A70,'Production Schedule'!$B:$FU,3,FALSE),""))</f>
        <v>TN Titans Stadium</v>
      </c>
      <c r="C70" s="20" t="str">
        <f>IF(A70="","",IFERROR(VLOOKUP(A70,'Production Schedule'!$B:$FU,5,FALSE),""))</f>
        <v>Marc Ribar</v>
      </c>
      <c r="D70" s="20">
        <f>IF(A70="","",IFERROR(VLOOKUP(A70,'Production Schedule'!$B:$FU,7,FALSE),""))</f>
        <v>400</v>
      </c>
      <c r="E70" s="20">
        <f>IF(A70="","",IFERROR(VLOOKUP(A70,'Production Schedule'!$B:$FU,17,FALSE),""))</f>
        <v>96</v>
      </c>
      <c r="F70" s="20">
        <f>IF(A70="","",IFERROR(VLOOKUP(A70,'Production Schedule'!$B:$FU,18,FALSE),""))</f>
        <v>0</v>
      </c>
      <c r="G70" s="20" t="str">
        <f>IF(A70="","",IFERROR(VLOOKUP(A70,'Production Schedule'!$B:$FU,25,FALSE),""))</f>
        <v>FR ACM</v>
      </c>
      <c r="H70" s="21">
        <f>IF(A70="","",IFERROR(VLOOKUP(A70,'Production Schedule'!$B:$FU,47,FALSE),""))</f>
        <v>46097.64937515046</v>
      </c>
      <c r="I70" s="21">
        <f>IF(A70="","",IFERROR(VLOOKUP(A70,'Production Schedule'!$B:$FU,54,FALSE),""))</f>
        <v>46140</v>
      </c>
      <c r="J70" s="32">
        <f>IF(A70="","",IFERROR(VLOOKUP(A70,'Production Schedule'!$B:$FU,135,FALSE),""))</f>
        <v>200</v>
      </c>
      <c r="K70" s="20" t="str">
        <f>IF(A70="","",IFERROR(VLOOKUP(A70,'Production Schedule'!$B:$FU,59,FALSE),""))</f>
        <v>YES</v>
      </c>
      <c r="L70" s="39" t="str">
        <f>IF(A70="","",IFERROR(VLOOKUP(A70,'Production Schedule'!$B:$FU,80,FALSE),""))</f>
        <v>Float</v>
      </c>
      <c r="M70" s="33" t="str" cm="1">
        <f t="array" ref="M70">IF(A70="","",IFERROR(TRIM(INDEX(_xlfn.TEXTSPLIT(IFERROR(VLOOKUP(A70,'Production Schedule'!$B:$FU,150,FALSE),""),CHAR(10)),1)),""))</f>
        <v>AXYZ</v>
      </c>
      <c r="N70" s="34">
        <f t="shared" si="8"/>
        <v>46114</v>
      </c>
      <c r="O70" s="33" t="str" cm="1">
        <f t="array" ref="O70">IF(A70="","",IFERROR(TRIM(INDEX(_xlfn.TEXTSPLIT(IFERROR(VLOOKUP(A70,'Production Schedule'!$B:$FU,150,FALSE),""),CHAR(10)),2)),""))</f>
        <v>Clean and Brake</v>
      </c>
      <c r="P70" s="34">
        <f t="shared" si="9"/>
        <v>46116</v>
      </c>
      <c r="Q70" s="33" t="str" cm="1">
        <f t="array" ref="Q70">IF(A70="","",IFERROR(TRIM(INDEX(_xlfn.TEXTSPLIT(IFERROR(VLOOKUP(A70,'Production Schedule'!$B:$FU,150,FALSE),""),CHAR(10)),3)),""))</f>
        <v>Fab</v>
      </c>
      <c r="R70" s="34">
        <f t="shared" si="10"/>
        <v>46127</v>
      </c>
      <c r="S70" s="33" t="str" cm="1">
        <f t="array" ref="S70">IF(A70="","",IFERROR(TRIM(INDEX(_xlfn.TEXTSPLIT(IFERROR(VLOOKUP(A70,'Production Schedule'!$B:$FU,150,FALSE),""),CHAR(10)),4)),""))</f>
        <v/>
      </c>
      <c r="T70" s="34" t="str">
        <f t="shared" si="11"/>
        <v/>
      </c>
      <c r="U70" s="33" t="str" cm="1">
        <f t="array" ref="U70">IF(A70="","",IFERROR(TRIM(INDEX(_xlfn.TEXTSPLIT(IFERROR(VLOOKUP(A70,'Production Schedule'!$B:$FU,150,FALSE),""),CHAR(10)),5)),""))</f>
        <v/>
      </c>
      <c r="V70" s="34" t="str">
        <f t="shared" si="12"/>
        <v/>
      </c>
      <c r="W70" s="33" t="str" cm="1">
        <f t="array" ref="W70">IF(A70="","",IFERROR(TRIM(INDEX(_xlfn.TEXTSPLIT(IFERROR(VLOOKUP(A70,'Production Schedule'!$B:$FU,150,FALSE),""),CHAR(10)),6)),""))</f>
        <v/>
      </c>
      <c r="X70" s="34" t="str">
        <f t="shared" si="13"/>
        <v/>
      </c>
      <c r="Y70" s="36">
        <f t="shared" si="14"/>
        <v>46137</v>
      </c>
      <c r="Z70" s="37" t="str">
        <f>IF(A70="","",IF(IFERROR(VLOOKUP(A70,Notes!A:B,2,FALSE),"")=0,"",VLOOKUP(A70,Notes!A:B,2,FALSE)))</f>
        <v>04/16/2026…Float</v>
      </c>
      <c r="AA70" s="20">
        <f t="shared" si="15"/>
        <v>1</v>
      </c>
    </row>
    <row r="71" spans="1:27" x14ac:dyDescent="0.25">
      <c r="A71" s="18" t="str">
        <v>24051-FS228</v>
      </c>
      <c r="B71" s="18" t="str">
        <f>IF(A71="","",IFERROR(VLOOKUP(A71,'Production Schedule'!$B:$FU,3,FALSE),""))</f>
        <v>TN Titans Stadium</v>
      </c>
      <c r="C71" s="18" t="str">
        <f>IF(A71="","",IFERROR(VLOOKUP(A71,'Production Schedule'!$B:$FU,5,FALSE),""))</f>
        <v>Marc Ribar</v>
      </c>
      <c r="D71" s="18">
        <f>IF(A71="","",IFERROR(VLOOKUP(A71,'Production Schedule'!$B:$FU,7,FALSE),""))</f>
        <v>400</v>
      </c>
      <c r="E71" s="18">
        <f>IF(A71="","",IFERROR(VLOOKUP(A71,'Production Schedule'!$B:$FU,17,FALSE),""))</f>
        <v>95</v>
      </c>
      <c r="F71" s="18">
        <f>IF(A71="","",IFERROR(VLOOKUP(A71,'Production Schedule'!$B:$FU,18,FALSE),""))</f>
        <v>0</v>
      </c>
      <c r="G71" s="18" t="str">
        <f>IF(A71="","",IFERROR(VLOOKUP(A71,'Production Schedule'!$B:$FU,25,FALSE),""))</f>
        <v>FR ACM</v>
      </c>
      <c r="H71" s="19">
        <f>IF(A71="","",IFERROR(VLOOKUP(A71,'Production Schedule'!$B:$FU,47,FALSE),""))</f>
        <v>46097.659128310188</v>
      </c>
      <c r="I71" s="19">
        <f>IF(A71="","",IFERROR(VLOOKUP(A71,'Production Schedule'!$B:$FU,54,FALSE),""))</f>
        <v>46140</v>
      </c>
      <c r="J71" s="26">
        <f>IF(A71="","",IFERROR(VLOOKUP(A71,'Production Schedule'!$B:$FU,135,FALSE),""))</f>
        <v>200</v>
      </c>
      <c r="K71" s="18" t="str">
        <f>IF(A71="","",IFERROR(VLOOKUP(A71,'Production Schedule'!$B:$FU,59,FALSE),""))</f>
        <v>YES</v>
      </c>
      <c r="L71" s="38" t="str">
        <f>IF(A71="","",IFERROR(VLOOKUP(A71,'Production Schedule'!$B:$FU,80,FALSE),""))</f>
        <v>Float</v>
      </c>
      <c r="M71" s="27" t="str" cm="1">
        <f t="array" ref="M71">IF(A71="","",IFERROR(TRIM(INDEX(_xlfn.TEXTSPLIT(IFERROR(VLOOKUP(A71,'Production Schedule'!$B:$FU,150,FALSE),""),CHAR(10)),1)),""))</f>
        <v>AXYZ</v>
      </c>
      <c r="N71" s="28">
        <f t="shared" si="8"/>
        <v>46114</v>
      </c>
      <c r="O71" s="27" t="str" cm="1">
        <f t="array" ref="O71">IF(A71="","",IFERROR(TRIM(INDEX(_xlfn.TEXTSPLIT(IFERROR(VLOOKUP(A71,'Production Schedule'!$B:$FU,150,FALSE),""),CHAR(10)),2)),""))</f>
        <v>Clean and Brake</v>
      </c>
      <c r="P71" s="28">
        <f t="shared" si="9"/>
        <v>46116</v>
      </c>
      <c r="Q71" s="27" t="str" cm="1">
        <f t="array" ref="Q71">IF(A71="","",IFERROR(TRIM(INDEX(_xlfn.TEXTSPLIT(IFERROR(VLOOKUP(A71,'Production Schedule'!$B:$FU,150,FALSE),""),CHAR(10)),3)),""))</f>
        <v>Fab</v>
      </c>
      <c r="R71" s="28">
        <f t="shared" si="10"/>
        <v>46127</v>
      </c>
      <c r="S71" s="27" t="str" cm="1">
        <f t="array" ref="S71">IF(A71="","",IFERROR(TRIM(INDEX(_xlfn.TEXTSPLIT(IFERROR(VLOOKUP(A71,'Production Schedule'!$B:$FU,150,FALSE),""),CHAR(10)),4)),""))</f>
        <v/>
      </c>
      <c r="T71" s="28" t="str">
        <f t="shared" si="11"/>
        <v/>
      </c>
      <c r="U71" s="27" t="str" cm="1">
        <f t="array" ref="U71">IF(A71="","",IFERROR(TRIM(INDEX(_xlfn.TEXTSPLIT(IFERROR(VLOOKUP(A71,'Production Schedule'!$B:$FU,150,FALSE),""),CHAR(10)),5)),""))</f>
        <v/>
      </c>
      <c r="V71" s="28" t="str">
        <f t="shared" si="12"/>
        <v/>
      </c>
      <c r="W71" s="27" t="str" cm="1">
        <f t="array" ref="W71">IF(A71="","",IFERROR(TRIM(INDEX(_xlfn.TEXTSPLIT(IFERROR(VLOOKUP(A71,'Production Schedule'!$B:$FU,150,FALSE),""),CHAR(10)),6)),""))</f>
        <v/>
      </c>
      <c r="X71" s="28" t="str">
        <f t="shared" si="13"/>
        <v/>
      </c>
      <c r="Y71" s="30">
        <f t="shared" si="14"/>
        <v>46137</v>
      </c>
      <c r="Z71" s="31" t="str">
        <f>IF(A71="","",IF(IFERROR(VLOOKUP(A71,Notes!A:B,2,FALSE),"")=0,"",VLOOKUP(A71,Notes!A:B,2,FALSE)))</f>
        <v>04/16/2026…Float</v>
      </c>
      <c r="AA71" s="18">
        <f t="shared" si="15"/>
        <v>1</v>
      </c>
    </row>
    <row r="72" spans="1:27" x14ac:dyDescent="0.25">
      <c r="A72" s="20" t="str">
        <v>25002-BM07</v>
      </c>
      <c r="B72" s="20" t="str">
        <f>IF(A72="","",IFERROR(VLOOKUP(A72,'Production Schedule'!$B:$FU,3,FALSE),""))</f>
        <v>Med Center Health</v>
      </c>
      <c r="C72" s="20" t="str">
        <f>IF(A72="","",IFERROR(VLOOKUP(A72,'Production Schedule'!$B:$FU,5,FALSE),""))</f>
        <v>Carlos Silva</v>
      </c>
      <c r="D72" s="20">
        <f>IF(A72="","",IFERROR(VLOOKUP(A72,'Production Schedule'!$B:$FU,7,FALSE),""))</f>
        <v>0</v>
      </c>
      <c r="E72" s="20">
        <f>IF(A72="","",IFERROR(VLOOKUP(A72,'Production Schedule'!$B:$FU,17,FALSE),""))</f>
        <v>0</v>
      </c>
      <c r="F72" s="20">
        <f>IF(A72="","",IFERROR(VLOOKUP(A72,'Production Schedule'!$B:$FU,18,FALSE),""))</f>
        <v>24</v>
      </c>
      <c r="G72" s="20" t="str">
        <f>IF(A72="","",IFERROR(VLOOKUP(A72,'Production Schedule'!$B:$FU,25,FALSE),""))</f>
        <v>Galv Sheet</v>
      </c>
      <c r="H72" s="21">
        <f>IF(A72="","",IFERROR(VLOOKUP(A72,'Production Schedule'!$B:$FU,47,FALSE),""))</f>
        <v>46127.695032129632</v>
      </c>
      <c r="I72" s="21">
        <f>IF(A72="","",IFERROR(VLOOKUP(A72,'Production Schedule'!$B:$FU,54,FALSE),""))</f>
        <v>46141</v>
      </c>
      <c r="J72" s="32">
        <f>IF(A72="","",IFERROR(VLOOKUP(A72,'Production Schedule'!$B:$FU,135,FALSE),""))</f>
        <v>6</v>
      </c>
      <c r="K72" s="20" t="str">
        <f>IF(A72="","",IFERROR(VLOOKUP(A72,'Production Schedule'!$B:$FU,59,FALSE),""))</f>
        <v>YES</v>
      </c>
      <c r="L72" s="39">
        <f>IF(A72="","",IFERROR(VLOOKUP(A72,'Production Schedule'!$B:$FU,80,FALSE),""))</f>
        <v>0</v>
      </c>
      <c r="M72" s="33" t="str" cm="1">
        <f t="array" ref="M72">IF(A72="","",IFERROR(TRIM(INDEX(_xlfn.TEXTSPLIT(IFERROR(VLOOKUP(A72,'Production Schedule'!$B:$FU,150,FALSE),""),CHAR(10)),1)),""))</f>
        <v/>
      </c>
      <c r="N72" s="34" t="str">
        <f t="shared" si="8"/>
        <v/>
      </c>
      <c r="O72" s="33" t="str" cm="1">
        <f t="array" ref="O72">IF(A72="","",IFERROR(TRIM(INDEX(_xlfn.TEXTSPLIT(IFERROR(VLOOKUP(A72,'Production Schedule'!$B:$FU,150,FALSE),""),CHAR(10)),2)),""))</f>
        <v/>
      </c>
      <c r="P72" s="34" t="str">
        <f t="shared" si="9"/>
        <v/>
      </c>
      <c r="Q72" s="33" t="str" cm="1">
        <f t="array" ref="Q72">IF(A72="","",IFERROR(TRIM(INDEX(_xlfn.TEXTSPLIT(IFERROR(VLOOKUP(A72,'Production Schedule'!$B:$FU,150,FALSE),""),CHAR(10)),3)),""))</f>
        <v/>
      </c>
      <c r="R72" s="34" t="str">
        <f t="shared" si="10"/>
        <v/>
      </c>
      <c r="S72" s="33" t="str" cm="1">
        <f t="array" ref="S72">IF(A72="","",IFERROR(TRIM(INDEX(_xlfn.TEXTSPLIT(IFERROR(VLOOKUP(A72,'Production Schedule'!$B:$FU,150,FALSE),""),CHAR(10)),4)),""))</f>
        <v/>
      </c>
      <c r="T72" s="34" t="str">
        <f t="shared" si="11"/>
        <v/>
      </c>
      <c r="U72" s="33" t="str" cm="1">
        <f t="array" ref="U72">IF(A72="","",IFERROR(TRIM(INDEX(_xlfn.TEXTSPLIT(IFERROR(VLOOKUP(A72,'Production Schedule'!$B:$FU,150,FALSE),""),CHAR(10)),5)),""))</f>
        <v/>
      </c>
      <c r="V72" s="34" t="str">
        <f t="shared" si="12"/>
        <v/>
      </c>
      <c r="W72" s="33" t="str" cm="1">
        <f t="array" ref="W72">IF(A72="","",IFERROR(TRIM(INDEX(_xlfn.TEXTSPLIT(IFERROR(VLOOKUP(A72,'Production Schedule'!$B:$FU,150,FALSE),""),CHAR(10)),6)),""))</f>
        <v/>
      </c>
      <c r="X72" s="34" t="str">
        <f t="shared" si="13"/>
        <v/>
      </c>
      <c r="Y72" s="36">
        <f t="shared" si="14"/>
        <v>46139</v>
      </c>
      <c r="Z72" s="37" t="str">
        <f>IF(A72="","",IF(IFERROR(VLOOKUP(A72,Notes!A:B,2,FALSE),"")=0,"",VLOOKUP(A72,Notes!A:B,2,FALSE)))</f>
        <v>04/16/2026…</v>
      </c>
      <c r="AA72" s="20">
        <f t="shared" si="15"/>
        <v>1</v>
      </c>
    </row>
    <row r="73" spans="1:27" x14ac:dyDescent="0.25">
      <c r="A73" s="18" t="str">
        <v>25067-FS02</v>
      </c>
      <c r="B73" s="18" t="str">
        <f>IF(A73="","",IFERROR(VLOOKUP(A73,'Production Schedule'!$B:$FU,3,FALSE),""))</f>
        <v>Harison Bend</v>
      </c>
      <c r="C73" s="18" t="str">
        <f>IF(A73="","",IFERROR(VLOOKUP(A73,'Production Schedule'!$B:$FU,5,FALSE),""))</f>
        <v>Andre Van Der Merwe</v>
      </c>
      <c r="D73" s="18" t="str">
        <f>IF(A73="","",IFERROR(VLOOKUP(A73,'Production Schedule'!$B:$FU,7,FALSE),""))</f>
        <v>400 CAULK</v>
      </c>
      <c r="E73" s="18">
        <f>IF(A73="","",IFERROR(VLOOKUP(A73,'Production Schedule'!$B:$FU,17,FALSE),""))</f>
        <v>29</v>
      </c>
      <c r="F73" s="18">
        <f>IF(A73="","",IFERROR(VLOOKUP(A73,'Production Schedule'!$B:$FU,18,FALSE),""))</f>
        <v>29</v>
      </c>
      <c r="G73" s="18" t="str">
        <f>IF(A73="","",IFERROR(VLOOKUP(A73,'Production Schedule'!$B:$FU,25,FALSE),""))</f>
        <v>FR ACM</v>
      </c>
      <c r="H73" s="19">
        <f>IF(A73="","",IFERROR(VLOOKUP(A73,'Production Schedule'!$B:$FU,47,FALSE),""))</f>
        <v>46078.474049560187</v>
      </c>
      <c r="I73" s="19">
        <f>IF(A73="","",IFERROR(VLOOKUP(A73,'Production Schedule'!$B:$FU,54,FALSE),""))</f>
        <v>46142</v>
      </c>
      <c r="J73" s="26">
        <f>IF(A73="","",IFERROR(VLOOKUP(A73,'Production Schedule'!$B:$FU,135,FALSE),""))</f>
        <v>35</v>
      </c>
      <c r="K73" s="18" t="str">
        <f>IF(A73="","",IFERROR(VLOOKUP(A73,'Production Schedule'!$B:$FU,59,FALSE),""))</f>
        <v>YES</v>
      </c>
      <c r="L73" s="38" t="str">
        <f>IF(A73="","",IFERROR(VLOOKUP(A73,'Production Schedule'!$B:$FU,80,FALSE),""))</f>
        <v>AXYZ 34</v>
      </c>
      <c r="M73" s="27" t="str" cm="1">
        <f t="array" ref="M73">IF(A73="","",IFERROR(TRIM(INDEX(_xlfn.TEXTSPLIT(IFERROR(VLOOKUP(A73,'Production Schedule'!$B:$FU,150,FALSE),""),CHAR(10)),1)),""))</f>
        <v>AXYZ Titans Line</v>
      </c>
      <c r="N73" s="28">
        <f t="shared" si="8"/>
        <v>46118</v>
      </c>
      <c r="O73" s="27" t="str" cm="1">
        <f t="array" ref="O73">IF(A73="","",IFERROR(TRIM(INDEX(_xlfn.TEXTSPLIT(IFERROR(VLOOKUP(A73,'Production Schedule'!$B:$FU,150,FALSE),""),CHAR(10)),2)),""))</f>
        <v>Clean and Brake</v>
      </c>
      <c r="P73" s="28">
        <f t="shared" si="9"/>
        <v>46119</v>
      </c>
      <c r="Q73" s="27" t="str" cm="1">
        <f t="array" ref="Q73">IF(A73="","",IFERROR(TRIM(INDEX(_xlfn.TEXTSPLIT(IFERROR(VLOOKUP(A73,'Production Schedule'!$B:$FU,150,FALSE),""),CHAR(10)),3)),""))</f>
        <v>Fab</v>
      </c>
      <c r="R73" s="28">
        <f t="shared" si="10"/>
        <v>46129</v>
      </c>
      <c r="S73" s="27" t="str" cm="1">
        <f t="array" ref="S73">IF(A73="","",IFERROR(TRIM(INDEX(_xlfn.TEXTSPLIT(IFERROR(VLOOKUP(A73,'Production Schedule'!$B:$FU,150,FALSE),""),CHAR(10)),4)),""))</f>
        <v/>
      </c>
      <c r="T73" s="28" t="str">
        <f t="shared" si="11"/>
        <v/>
      </c>
      <c r="U73" s="27" t="str" cm="1">
        <f t="array" ref="U73">IF(A73="","",IFERROR(TRIM(INDEX(_xlfn.TEXTSPLIT(IFERROR(VLOOKUP(A73,'Production Schedule'!$B:$FU,150,FALSE),""),CHAR(10)),5)),""))</f>
        <v/>
      </c>
      <c r="V73" s="28" t="str">
        <f t="shared" si="12"/>
        <v/>
      </c>
      <c r="W73" s="27" t="str" cm="1">
        <f t="array" ref="W73">IF(A73="","",IFERROR(TRIM(INDEX(_xlfn.TEXTSPLIT(IFERROR(VLOOKUP(A73,'Production Schedule'!$B:$FU,150,FALSE),""),CHAR(10)),6)),""))</f>
        <v/>
      </c>
      <c r="X73" s="28" t="str">
        <f t="shared" si="13"/>
        <v/>
      </c>
      <c r="Y73" s="30">
        <f t="shared" si="14"/>
        <v>46140</v>
      </c>
      <c r="Z73" s="31" t="str">
        <f>IF(A73="","",IF(IFERROR(VLOOKUP(A73,Notes!A:B,2,FALSE),"")=0,"",VLOOKUP(A73,Notes!A:B,2,FALSE)))</f>
        <v>04/15…CNC...Confirmed Shipdate of 04/22 with PM.*04/16/2026…AXYZ 34</v>
      </c>
      <c r="AA73" s="18">
        <f t="shared" si="15"/>
        <v>1</v>
      </c>
    </row>
    <row r="74" spans="1:27" x14ac:dyDescent="0.25">
      <c r="A74" s="20" t="str">
        <v>24051-FS92</v>
      </c>
      <c r="B74" s="20" t="str">
        <f>IF(A74="","",IFERROR(VLOOKUP(A74,'Production Schedule'!$B:$FU,3,FALSE),""))</f>
        <v>TN Titans Stadium</v>
      </c>
      <c r="C74" s="20" t="str">
        <f>IF(A74="","",IFERROR(VLOOKUP(A74,'Production Schedule'!$B:$FU,5,FALSE),""))</f>
        <v>Marc Ribar</v>
      </c>
      <c r="D74" s="20">
        <f>IF(A74="","",IFERROR(VLOOKUP(A74,'Production Schedule'!$B:$FU,7,FALSE),""))</f>
        <v>400</v>
      </c>
      <c r="E74" s="20">
        <f>IF(A74="","",IFERROR(VLOOKUP(A74,'Production Schedule'!$B:$FU,17,FALSE),""))</f>
        <v>104</v>
      </c>
      <c r="F74" s="20">
        <f>IF(A74="","",IFERROR(VLOOKUP(A74,'Production Schedule'!$B:$FU,18,FALSE),""))</f>
        <v>0</v>
      </c>
      <c r="G74" s="20" t="str">
        <f>IF(A74="","",IFERROR(VLOOKUP(A74,'Production Schedule'!$B:$FU,25,FALSE),""))</f>
        <v>FR ACM</v>
      </c>
      <c r="H74" s="21">
        <f>IF(A74="","",IFERROR(VLOOKUP(A74,'Production Schedule'!$B:$FU,47,FALSE),""))</f>
        <v>46094.672165555552</v>
      </c>
      <c r="I74" s="21">
        <f>IF(A74="","",IFERROR(VLOOKUP(A74,'Production Schedule'!$B:$FU,54,FALSE),""))</f>
        <v>46143</v>
      </c>
      <c r="J74" s="32">
        <f>IF(A74="","",IFERROR(VLOOKUP(A74,'Production Schedule'!$B:$FU,135,FALSE),""))</f>
        <v>80</v>
      </c>
      <c r="K74" s="20" t="str">
        <f>IF(A74="","",IFERROR(VLOOKUP(A74,'Production Schedule'!$B:$FU,59,FALSE),""))</f>
        <v>YES</v>
      </c>
      <c r="L74" s="39" t="str">
        <f>IF(A74="","",IFERROR(VLOOKUP(A74,'Production Schedule'!$B:$FU,80,FALSE),""))</f>
        <v>Float</v>
      </c>
      <c r="M74" s="33" t="str" cm="1">
        <f t="array" ref="M74">IF(A74="","",IFERROR(TRIM(INDEX(_xlfn.TEXTSPLIT(IFERROR(VLOOKUP(A74,'Production Schedule'!$B:$FU,150,FALSE),""),CHAR(10)),1)),""))</f>
        <v>AXYZ</v>
      </c>
      <c r="N74" s="34">
        <f t="shared" si="8"/>
        <v>46118</v>
      </c>
      <c r="O74" s="33" t="str" cm="1">
        <f t="array" ref="O74">IF(A74="","",IFERROR(TRIM(INDEX(_xlfn.TEXTSPLIT(IFERROR(VLOOKUP(A74,'Production Schedule'!$B:$FU,150,FALSE),""),CHAR(10)),2)),""))</f>
        <v>Clean and Brake</v>
      </c>
      <c r="P74" s="34">
        <f t="shared" si="9"/>
        <v>46120</v>
      </c>
      <c r="Q74" s="33" t="str" cm="1">
        <f t="array" ref="Q74">IF(A74="","",IFERROR(TRIM(INDEX(_xlfn.TEXTSPLIT(IFERROR(VLOOKUP(A74,'Production Schedule'!$B:$FU,150,FALSE),""),CHAR(10)),3)),""))</f>
        <v>Fab</v>
      </c>
      <c r="R74" s="34">
        <f t="shared" si="10"/>
        <v>46130</v>
      </c>
      <c r="S74" s="33" t="str" cm="1">
        <f t="array" ref="S74">IF(A74="","",IFERROR(TRIM(INDEX(_xlfn.TEXTSPLIT(IFERROR(VLOOKUP(A74,'Production Schedule'!$B:$FU,150,FALSE),""),CHAR(10)),4)),""))</f>
        <v/>
      </c>
      <c r="T74" s="34" t="str">
        <f t="shared" si="11"/>
        <v/>
      </c>
      <c r="U74" s="33" t="str" cm="1">
        <f t="array" ref="U74">IF(A74="","",IFERROR(TRIM(INDEX(_xlfn.TEXTSPLIT(IFERROR(VLOOKUP(A74,'Production Schedule'!$B:$FU,150,FALSE),""),CHAR(10)),5)),""))</f>
        <v/>
      </c>
      <c r="V74" s="34" t="str">
        <f t="shared" si="12"/>
        <v/>
      </c>
      <c r="W74" s="33" t="str" cm="1">
        <f t="array" ref="W74">IF(A74="","",IFERROR(TRIM(INDEX(_xlfn.TEXTSPLIT(IFERROR(VLOOKUP(A74,'Production Schedule'!$B:$FU,150,FALSE),""),CHAR(10)),6)),""))</f>
        <v/>
      </c>
      <c r="X74" s="34" t="str">
        <f t="shared" si="13"/>
        <v/>
      </c>
      <c r="Y74" s="36">
        <f t="shared" si="14"/>
        <v>46141</v>
      </c>
      <c r="Z74" s="37" t="str">
        <f>IF(A74="","",IF(IFERROR(VLOOKUP(A74,Notes!A:B,2,FALSE),"")=0,"",VLOOKUP(A74,Notes!A:B,2,FALSE)))</f>
        <v>04/16/2026…Float</v>
      </c>
      <c r="AA74" s="20">
        <f t="shared" si="15"/>
        <v>1</v>
      </c>
    </row>
    <row r="75" spans="1:27" x14ac:dyDescent="0.25">
      <c r="A75" s="18" t="str">
        <v>24051-FS96</v>
      </c>
      <c r="B75" s="18" t="str">
        <f>IF(A75="","",IFERROR(VLOOKUP(A75,'Production Schedule'!$B:$FU,3,FALSE),""))</f>
        <v>TN Titans Stadium</v>
      </c>
      <c r="C75" s="18" t="str">
        <f>IF(A75="","",IFERROR(VLOOKUP(A75,'Production Schedule'!$B:$FU,5,FALSE),""))</f>
        <v>Marc Ribar</v>
      </c>
      <c r="D75" s="18">
        <f>IF(A75="","",IFERROR(VLOOKUP(A75,'Production Schedule'!$B:$FU,7,FALSE),""))</f>
        <v>400</v>
      </c>
      <c r="E75" s="18">
        <f>IF(A75="","",IFERROR(VLOOKUP(A75,'Production Schedule'!$B:$FU,17,FALSE),""))</f>
        <v>52</v>
      </c>
      <c r="F75" s="18">
        <f>IF(A75="","",IFERROR(VLOOKUP(A75,'Production Schedule'!$B:$FU,18,FALSE),""))</f>
        <v>0</v>
      </c>
      <c r="G75" s="18" t="str">
        <f>IF(A75="","",IFERROR(VLOOKUP(A75,'Production Schedule'!$B:$FU,25,FALSE),""))</f>
        <v>FR ACM</v>
      </c>
      <c r="H75" s="19">
        <f>IF(A75="","",IFERROR(VLOOKUP(A75,'Production Schedule'!$B:$FU,47,FALSE),""))</f>
        <v>46098.308981539354</v>
      </c>
      <c r="I75" s="19">
        <f>IF(A75="","",IFERROR(VLOOKUP(A75,'Production Schedule'!$B:$FU,54,FALSE),""))</f>
        <v>46143</v>
      </c>
      <c r="J75" s="26">
        <f>IF(A75="","",IFERROR(VLOOKUP(A75,'Production Schedule'!$B:$FU,135,FALSE),""))</f>
        <v>100</v>
      </c>
      <c r="K75" s="18" t="str">
        <f>IF(A75="","",IFERROR(VLOOKUP(A75,'Production Schedule'!$B:$FU,59,FALSE),""))</f>
        <v>YES</v>
      </c>
      <c r="L75" s="38" t="str">
        <f>IF(A75="","",IFERROR(VLOOKUP(A75,'Production Schedule'!$B:$FU,80,FALSE),""))</f>
        <v>Float</v>
      </c>
      <c r="M75" s="27" t="str" cm="1">
        <f t="array" ref="M75">IF(A75="","",IFERROR(TRIM(INDEX(_xlfn.TEXTSPLIT(IFERROR(VLOOKUP(A75,'Production Schedule'!$B:$FU,150,FALSE),""),CHAR(10)),1)),""))</f>
        <v>AXYZ</v>
      </c>
      <c r="N75" s="28">
        <f t="shared" si="8"/>
        <v>46119</v>
      </c>
      <c r="O75" s="27" t="str" cm="1">
        <f t="array" ref="O75">IF(A75="","",IFERROR(TRIM(INDEX(_xlfn.TEXTSPLIT(IFERROR(VLOOKUP(A75,'Production Schedule'!$B:$FU,150,FALSE),""),CHAR(10)),2)),""))</f>
        <v>Clean and Brake</v>
      </c>
      <c r="P75" s="28">
        <f t="shared" si="9"/>
        <v>46120</v>
      </c>
      <c r="Q75" s="27" t="str" cm="1">
        <f t="array" ref="Q75">IF(A75="","",IFERROR(TRIM(INDEX(_xlfn.TEXTSPLIT(IFERROR(VLOOKUP(A75,'Production Schedule'!$B:$FU,150,FALSE),""),CHAR(10)),3)),""))</f>
        <v>Fab</v>
      </c>
      <c r="R75" s="28">
        <f t="shared" si="10"/>
        <v>46130</v>
      </c>
      <c r="S75" s="27" t="str" cm="1">
        <f t="array" ref="S75">IF(A75="","",IFERROR(TRIM(INDEX(_xlfn.TEXTSPLIT(IFERROR(VLOOKUP(A75,'Production Schedule'!$B:$FU,150,FALSE),""),CHAR(10)),4)),""))</f>
        <v/>
      </c>
      <c r="T75" s="28" t="str">
        <f t="shared" si="11"/>
        <v/>
      </c>
      <c r="U75" s="27" t="str" cm="1">
        <f t="array" ref="U75">IF(A75="","",IFERROR(TRIM(INDEX(_xlfn.TEXTSPLIT(IFERROR(VLOOKUP(A75,'Production Schedule'!$B:$FU,150,FALSE),""),CHAR(10)),5)),""))</f>
        <v/>
      </c>
      <c r="V75" s="28" t="str">
        <f t="shared" si="12"/>
        <v/>
      </c>
      <c r="W75" s="27" t="str" cm="1">
        <f t="array" ref="W75">IF(A75="","",IFERROR(TRIM(INDEX(_xlfn.TEXTSPLIT(IFERROR(VLOOKUP(A75,'Production Schedule'!$B:$FU,150,FALSE),""),CHAR(10)),6)),""))</f>
        <v/>
      </c>
      <c r="X75" s="28" t="str">
        <f t="shared" si="13"/>
        <v/>
      </c>
      <c r="Y75" s="30">
        <f t="shared" si="14"/>
        <v>46141</v>
      </c>
      <c r="Z75" s="31" t="str">
        <f>IF(A75="","",IF(IFERROR(VLOOKUP(A75,Notes!A:B,2,FALSE),"")=0,"",VLOOKUP(A75,Notes!A:B,2,FALSE)))</f>
        <v>04/16/2026…Float</v>
      </c>
      <c r="AA75" s="18">
        <f t="shared" si="15"/>
        <v>1</v>
      </c>
    </row>
    <row r="76" spans="1:27" x14ac:dyDescent="0.25">
      <c r="A76" s="20" t="str">
        <v>24051-FS229</v>
      </c>
      <c r="B76" s="20" t="str">
        <f>IF(A76="","",IFERROR(VLOOKUP(A76,'Production Schedule'!$B:$FU,3,FALSE),""))</f>
        <v>TN Titans Stadium</v>
      </c>
      <c r="C76" s="20" t="str">
        <f>IF(A76="","",IFERROR(VLOOKUP(A76,'Production Schedule'!$B:$FU,5,FALSE),""))</f>
        <v>Marc Ribar</v>
      </c>
      <c r="D76" s="20">
        <f>IF(A76="","",IFERROR(VLOOKUP(A76,'Production Schedule'!$B:$FU,7,FALSE),""))</f>
        <v>400</v>
      </c>
      <c r="E76" s="20">
        <f>IF(A76="","",IFERROR(VLOOKUP(A76,'Production Schedule'!$B:$FU,17,FALSE),""))</f>
        <v>109</v>
      </c>
      <c r="F76" s="20">
        <f>IF(A76="","",IFERROR(VLOOKUP(A76,'Production Schedule'!$B:$FU,18,FALSE),""))</f>
        <v>0</v>
      </c>
      <c r="G76" s="20" t="str">
        <f>IF(A76="","",IFERROR(VLOOKUP(A76,'Production Schedule'!$B:$FU,25,FALSE),""))</f>
        <v>FR ACM</v>
      </c>
      <c r="H76" s="21">
        <f>IF(A76="","",IFERROR(VLOOKUP(A76,'Production Schedule'!$B:$FU,47,FALSE),""))</f>
        <v>46098.328354710648</v>
      </c>
      <c r="I76" s="21">
        <f>IF(A76="","",IFERROR(VLOOKUP(A76,'Production Schedule'!$B:$FU,54,FALSE),""))</f>
        <v>46143</v>
      </c>
      <c r="J76" s="32">
        <f>IF(A76="","",IFERROR(VLOOKUP(A76,'Production Schedule'!$B:$FU,135,FALSE),""))</f>
        <v>200</v>
      </c>
      <c r="K76" s="20" t="str">
        <f>IF(A76="","",IFERROR(VLOOKUP(A76,'Production Schedule'!$B:$FU,59,FALSE),""))</f>
        <v>YES</v>
      </c>
      <c r="L76" s="39" t="str">
        <f>IF(A76="","",IFERROR(VLOOKUP(A76,'Production Schedule'!$B:$FU,80,FALSE),""))</f>
        <v>Float</v>
      </c>
      <c r="M76" s="33" t="str" cm="1">
        <f t="array" ref="M76">IF(A76="","",IFERROR(TRIM(INDEX(_xlfn.TEXTSPLIT(IFERROR(VLOOKUP(A76,'Production Schedule'!$B:$FU,150,FALSE),""),CHAR(10)),1)),""))</f>
        <v>AXYZ</v>
      </c>
      <c r="N76" s="34">
        <f t="shared" si="8"/>
        <v>46118</v>
      </c>
      <c r="O76" s="33" t="str" cm="1">
        <f t="array" ref="O76">IF(A76="","",IFERROR(TRIM(INDEX(_xlfn.TEXTSPLIT(IFERROR(VLOOKUP(A76,'Production Schedule'!$B:$FU,150,FALSE),""),CHAR(10)),2)),""))</f>
        <v>Clean and Brake</v>
      </c>
      <c r="P76" s="34">
        <f t="shared" si="9"/>
        <v>46120</v>
      </c>
      <c r="Q76" s="33" t="str" cm="1">
        <f t="array" ref="Q76">IF(A76="","",IFERROR(TRIM(INDEX(_xlfn.TEXTSPLIT(IFERROR(VLOOKUP(A76,'Production Schedule'!$B:$FU,150,FALSE),""),CHAR(10)),3)),""))</f>
        <v>Fab</v>
      </c>
      <c r="R76" s="34">
        <f t="shared" si="10"/>
        <v>46130</v>
      </c>
      <c r="S76" s="33" t="str" cm="1">
        <f t="array" ref="S76">IF(A76="","",IFERROR(TRIM(INDEX(_xlfn.TEXTSPLIT(IFERROR(VLOOKUP(A76,'Production Schedule'!$B:$FU,150,FALSE),""),CHAR(10)),4)),""))</f>
        <v/>
      </c>
      <c r="T76" s="34" t="str">
        <f t="shared" si="11"/>
        <v/>
      </c>
      <c r="U76" s="33" t="str" cm="1">
        <f t="array" ref="U76">IF(A76="","",IFERROR(TRIM(INDEX(_xlfn.TEXTSPLIT(IFERROR(VLOOKUP(A76,'Production Schedule'!$B:$FU,150,FALSE),""),CHAR(10)),5)),""))</f>
        <v/>
      </c>
      <c r="V76" s="34" t="str">
        <f t="shared" si="12"/>
        <v/>
      </c>
      <c r="W76" s="33" t="str" cm="1">
        <f t="array" ref="W76">IF(A76="","",IFERROR(TRIM(INDEX(_xlfn.TEXTSPLIT(IFERROR(VLOOKUP(A76,'Production Schedule'!$B:$FU,150,FALSE),""),CHAR(10)),6)),""))</f>
        <v/>
      </c>
      <c r="X76" s="34" t="str">
        <f t="shared" si="13"/>
        <v/>
      </c>
      <c r="Y76" s="36">
        <f t="shared" si="14"/>
        <v>46141</v>
      </c>
      <c r="Z76" s="37" t="str">
        <f>IF(A76="","",IF(IFERROR(VLOOKUP(A76,Notes!A:B,2,FALSE),"")=0,"",VLOOKUP(A76,Notes!A:B,2,FALSE)))</f>
        <v>04/16/2026…Float</v>
      </c>
      <c r="AA76" s="20">
        <f t="shared" si="15"/>
        <v>1</v>
      </c>
    </row>
    <row r="77" spans="1:27" x14ac:dyDescent="0.25">
      <c r="A77" s="18" t="str">
        <v>24051-FS230</v>
      </c>
      <c r="B77" s="18" t="str">
        <f>IF(A77="","",IFERROR(VLOOKUP(A77,'Production Schedule'!$B:$FU,3,FALSE),""))</f>
        <v>TN Titans Stadium</v>
      </c>
      <c r="C77" s="18" t="str">
        <f>IF(A77="","",IFERROR(VLOOKUP(A77,'Production Schedule'!$B:$FU,5,FALSE),""))</f>
        <v>Marc Ribar</v>
      </c>
      <c r="D77" s="18">
        <f>IF(A77="","",IFERROR(VLOOKUP(A77,'Production Schedule'!$B:$FU,7,FALSE),""))</f>
        <v>400</v>
      </c>
      <c r="E77" s="18">
        <f>IF(A77="","",IFERROR(VLOOKUP(A77,'Production Schedule'!$B:$FU,17,FALSE),""))</f>
        <v>67</v>
      </c>
      <c r="F77" s="18">
        <f>IF(A77="","",IFERROR(VLOOKUP(A77,'Production Schedule'!$B:$FU,18,FALSE),""))</f>
        <v>0</v>
      </c>
      <c r="G77" s="18" t="str">
        <f>IF(A77="","",IFERROR(VLOOKUP(A77,'Production Schedule'!$B:$FU,25,FALSE),""))</f>
        <v>FR ACM</v>
      </c>
      <c r="H77" s="19">
        <f>IF(A77="","",IFERROR(VLOOKUP(A77,'Production Schedule'!$B:$FU,47,FALSE),""))</f>
        <v>46098.381216666668</v>
      </c>
      <c r="I77" s="19">
        <f>IF(A77="","",IFERROR(VLOOKUP(A77,'Production Schedule'!$B:$FU,54,FALSE),""))</f>
        <v>46143</v>
      </c>
      <c r="J77" s="26">
        <f>IF(A77="","",IFERROR(VLOOKUP(A77,'Production Schedule'!$B:$FU,135,FALSE),""))</f>
        <v>40</v>
      </c>
      <c r="K77" s="18" t="str">
        <f>IF(A77="","",IFERROR(VLOOKUP(A77,'Production Schedule'!$B:$FU,59,FALSE),""))</f>
        <v>YES</v>
      </c>
      <c r="L77" s="38" t="str">
        <f>IF(A77="","",IFERROR(VLOOKUP(A77,'Production Schedule'!$B:$FU,80,FALSE),""))</f>
        <v>Float</v>
      </c>
      <c r="M77" s="27" t="str" cm="1">
        <f t="array" ref="M77">IF(A77="","",IFERROR(TRIM(INDEX(_xlfn.TEXTSPLIT(IFERROR(VLOOKUP(A77,'Production Schedule'!$B:$FU,150,FALSE),""),CHAR(10)),1)),""))</f>
        <v>AXYZ</v>
      </c>
      <c r="N77" s="28">
        <f t="shared" si="8"/>
        <v>46118</v>
      </c>
      <c r="O77" s="27" t="str" cm="1">
        <f t="array" ref="O77">IF(A77="","",IFERROR(TRIM(INDEX(_xlfn.TEXTSPLIT(IFERROR(VLOOKUP(A77,'Production Schedule'!$B:$FU,150,FALSE),""),CHAR(10)),2)),""))</f>
        <v>Clean and Brake</v>
      </c>
      <c r="P77" s="28">
        <f t="shared" si="9"/>
        <v>46120</v>
      </c>
      <c r="Q77" s="27" t="str" cm="1">
        <f t="array" ref="Q77">IF(A77="","",IFERROR(TRIM(INDEX(_xlfn.TEXTSPLIT(IFERROR(VLOOKUP(A77,'Production Schedule'!$B:$FU,150,FALSE),""),CHAR(10)),3)),""))</f>
        <v>Fab</v>
      </c>
      <c r="R77" s="28">
        <f t="shared" si="10"/>
        <v>46130</v>
      </c>
      <c r="S77" s="27" t="str" cm="1">
        <f t="array" ref="S77">IF(A77="","",IFERROR(TRIM(INDEX(_xlfn.TEXTSPLIT(IFERROR(VLOOKUP(A77,'Production Schedule'!$B:$FU,150,FALSE),""),CHAR(10)),4)),""))</f>
        <v/>
      </c>
      <c r="T77" s="28" t="str">
        <f t="shared" si="11"/>
        <v/>
      </c>
      <c r="U77" s="27" t="str" cm="1">
        <f t="array" ref="U77">IF(A77="","",IFERROR(TRIM(INDEX(_xlfn.TEXTSPLIT(IFERROR(VLOOKUP(A77,'Production Schedule'!$B:$FU,150,FALSE),""),CHAR(10)),5)),""))</f>
        <v/>
      </c>
      <c r="V77" s="28" t="str">
        <f t="shared" si="12"/>
        <v/>
      </c>
      <c r="W77" s="27" t="str" cm="1">
        <f t="array" ref="W77">IF(A77="","",IFERROR(TRIM(INDEX(_xlfn.TEXTSPLIT(IFERROR(VLOOKUP(A77,'Production Schedule'!$B:$FU,150,FALSE),""),CHAR(10)),6)),""))</f>
        <v/>
      </c>
      <c r="X77" s="28" t="str">
        <f t="shared" si="13"/>
        <v/>
      </c>
      <c r="Y77" s="30">
        <f t="shared" si="14"/>
        <v>46141</v>
      </c>
      <c r="Z77" s="31" t="str">
        <f>IF(A77="","",IF(IFERROR(VLOOKUP(A77,Notes!A:B,2,FALSE),"")=0,"",VLOOKUP(A77,Notes!A:B,2,FALSE)))</f>
        <v>04/16/2026…Float</v>
      </c>
      <c r="AA77" s="18">
        <f t="shared" si="15"/>
        <v>1</v>
      </c>
    </row>
    <row r="78" spans="1:27" x14ac:dyDescent="0.25">
      <c r="A78" s="20" t="str">
        <v>24051-FS231</v>
      </c>
      <c r="B78" s="20" t="str">
        <f>IF(A78="","",IFERROR(VLOOKUP(A78,'Production Schedule'!$B:$FU,3,FALSE),""))</f>
        <v>TN Titans Stadium</v>
      </c>
      <c r="C78" s="20" t="str">
        <f>IF(A78="","",IFERROR(VLOOKUP(A78,'Production Schedule'!$B:$FU,5,FALSE),""))</f>
        <v>Marc Ribar</v>
      </c>
      <c r="D78" s="20">
        <f>IF(A78="","",IFERROR(VLOOKUP(A78,'Production Schedule'!$B:$FU,7,FALSE),""))</f>
        <v>400</v>
      </c>
      <c r="E78" s="20">
        <f>IF(A78="","",IFERROR(VLOOKUP(A78,'Production Schedule'!$B:$FU,17,FALSE),""))</f>
        <v>1</v>
      </c>
      <c r="F78" s="20">
        <f>IF(A78="","",IFERROR(VLOOKUP(A78,'Production Schedule'!$B:$FU,18,FALSE),""))</f>
        <v>0</v>
      </c>
      <c r="G78" s="20" t="str">
        <f>IF(A78="","",IFERROR(VLOOKUP(A78,'Production Schedule'!$B:$FU,25,FALSE),""))</f>
        <v>FR ACM</v>
      </c>
      <c r="H78" s="21">
        <f>IF(A78="","",IFERROR(VLOOKUP(A78,'Production Schedule'!$B:$FU,47,FALSE),""))</f>
        <v>46114.624883252312</v>
      </c>
      <c r="I78" s="21">
        <f>IF(A78="","",IFERROR(VLOOKUP(A78,'Production Schedule'!$B:$FU,54,FALSE),""))</f>
        <v>46146</v>
      </c>
      <c r="J78" s="32">
        <f>IF(A78="","",IFERROR(VLOOKUP(A78,'Production Schedule'!$B:$FU,135,FALSE),""))</f>
        <v>4</v>
      </c>
      <c r="K78" s="20" t="str">
        <f>IF(A78="","",IFERROR(VLOOKUP(A78,'Production Schedule'!$B:$FU,59,FALSE),""))</f>
        <v>YES</v>
      </c>
      <c r="L78" s="39" t="str">
        <f>IF(A78="","",IFERROR(VLOOKUP(A78,'Production Schedule'!$B:$FU,80,FALSE),""))</f>
        <v>Float</v>
      </c>
      <c r="M78" s="33" t="str" cm="1">
        <f t="array" ref="M78">IF(A78="","",IFERROR(TRIM(INDEX(_xlfn.TEXTSPLIT(IFERROR(VLOOKUP(A78,'Production Schedule'!$B:$FU,150,FALSE),""),CHAR(10)),1)),""))</f>
        <v>AXYZ</v>
      </c>
      <c r="N78" s="34">
        <f t="shared" si="8"/>
        <v>46121</v>
      </c>
      <c r="O78" s="33" t="str" cm="1">
        <f t="array" ref="O78">IF(A78="","",IFERROR(TRIM(INDEX(_xlfn.TEXTSPLIT(IFERROR(VLOOKUP(A78,'Production Schedule'!$B:$FU,150,FALSE),""),CHAR(10)),2)),""))</f>
        <v>Clean and Brake</v>
      </c>
      <c r="P78" s="34">
        <f t="shared" si="9"/>
        <v>46122</v>
      </c>
      <c r="Q78" s="33" t="str" cm="1">
        <f t="array" ref="Q78">IF(A78="","",IFERROR(TRIM(INDEX(_xlfn.TEXTSPLIT(IFERROR(VLOOKUP(A78,'Production Schedule'!$B:$FU,150,FALSE),""),CHAR(10)),3)),""))</f>
        <v>Fab</v>
      </c>
      <c r="R78" s="34">
        <f t="shared" si="10"/>
        <v>46133</v>
      </c>
      <c r="S78" s="33" t="str" cm="1">
        <f t="array" ref="S78">IF(A78="","",IFERROR(TRIM(INDEX(_xlfn.TEXTSPLIT(IFERROR(VLOOKUP(A78,'Production Schedule'!$B:$FU,150,FALSE),""),CHAR(10)),4)),""))</f>
        <v/>
      </c>
      <c r="T78" s="34" t="str">
        <f t="shared" si="11"/>
        <v/>
      </c>
      <c r="U78" s="33" t="str" cm="1">
        <f t="array" ref="U78">IF(A78="","",IFERROR(TRIM(INDEX(_xlfn.TEXTSPLIT(IFERROR(VLOOKUP(A78,'Production Schedule'!$B:$FU,150,FALSE),""),CHAR(10)),5)),""))</f>
        <v/>
      </c>
      <c r="V78" s="34" t="str">
        <f t="shared" si="12"/>
        <v/>
      </c>
      <c r="W78" s="33" t="str" cm="1">
        <f t="array" ref="W78">IF(A78="","",IFERROR(TRIM(INDEX(_xlfn.TEXTSPLIT(IFERROR(VLOOKUP(A78,'Production Schedule'!$B:$FU,150,FALSE),""),CHAR(10)),6)),""))</f>
        <v/>
      </c>
      <c r="X78" s="34" t="str">
        <f t="shared" si="13"/>
        <v/>
      </c>
      <c r="Y78" s="36">
        <f t="shared" si="14"/>
        <v>46143</v>
      </c>
      <c r="Z78" s="37" t="str">
        <f>IF(A78="","",IF(IFERROR(VLOOKUP(A78,Notes!A:B,2,FALSE),"")=0,"",VLOOKUP(A78,Notes!A:B,2,FALSE)))</f>
        <v>04/16/2026…Float</v>
      </c>
      <c r="AA78" s="20">
        <f t="shared" si="15"/>
        <v>1</v>
      </c>
    </row>
    <row r="79" spans="1:27" x14ac:dyDescent="0.25">
      <c r="A79" s="18" t="str">
        <v>25002-FS14</v>
      </c>
      <c r="B79" s="18" t="str">
        <f>IF(A79="","",IFERROR(VLOOKUP(A79,'Production Schedule'!$B:$FU,3,FALSE),""))</f>
        <v>Med Center Health</v>
      </c>
      <c r="C79" s="18" t="str">
        <f>IF(A79="","",IFERROR(VLOOKUP(A79,'Production Schedule'!$B:$FU,5,FALSE),""))</f>
        <v>Carlos Silva</v>
      </c>
      <c r="D79" s="18">
        <f>IF(A79="","",IFERROR(VLOOKUP(A79,'Production Schedule'!$B:$FU,7,FALSE),""))</f>
        <v>600</v>
      </c>
      <c r="E79" s="18" t="str">
        <f>IF(A79="","",IFERROR(VLOOKUP(A79,'Production Schedule'!$B:$FU,17,FALSE),""))</f>
        <v>00</v>
      </c>
      <c r="F79" s="18">
        <f>IF(A79="","",IFERROR(VLOOKUP(A79,'Production Schedule'!$B:$FU,18,FALSE),""))</f>
        <v>0</v>
      </c>
      <c r="G79" s="18" t="str">
        <f>IF(A79="","",IFERROR(VLOOKUP(A79,'Production Schedule'!$B:$FU,25,FALSE),""))</f>
        <v>FR ACM</v>
      </c>
      <c r="H79" s="19">
        <f>IF(A79="","",IFERROR(VLOOKUP(A79,'Production Schedule'!$B:$FU,47,FALSE),""))</f>
        <v>46118.654899479166</v>
      </c>
      <c r="I79" s="19">
        <f>IF(A79="","",IFERROR(VLOOKUP(A79,'Production Schedule'!$B:$FU,54,FALSE),""))</f>
        <v>46146</v>
      </c>
      <c r="J79" s="26">
        <f>IF(A79="","",IFERROR(VLOOKUP(A79,'Production Schedule'!$B:$FU,135,FALSE),""))</f>
        <v>10</v>
      </c>
      <c r="K79" s="18" t="str">
        <f>IF(A79="","",IFERROR(VLOOKUP(A79,'Production Schedule'!$B:$FU,59,FALSE),""))</f>
        <v>NO</v>
      </c>
      <c r="L79" s="38" t="str">
        <f>IF(A79="","",IFERROR(VLOOKUP(A79,'Production Schedule'!$B:$FU,80,FALSE),""))</f>
        <v>Evaluation</v>
      </c>
      <c r="M79" s="27" t="str" cm="1">
        <f t="array" ref="M79">IF(A79="","",IFERROR(TRIM(INDEX(_xlfn.TEXTSPLIT(IFERROR(VLOOKUP(A79,'Production Schedule'!$B:$FU,150,FALSE),""),CHAR(10)),1)),""))</f>
        <v>AXYZ</v>
      </c>
      <c r="N79" s="28">
        <f t="shared" si="8"/>
        <v>46122</v>
      </c>
      <c r="O79" s="27" t="str" cm="1">
        <f t="array" ref="O79">IF(A79="","",IFERROR(TRIM(INDEX(_xlfn.TEXTSPLIT(IFERROR(VLOOKUP(A79,'Production Schedule'!$B:$FU,150,FALSE),""),CHAR(10)),2)),""))</f>
        <v>Clean and Brake</v>
      </c>
      <c r="P79" s="28">
        <f t="shared" si="9"/>
        <v>46122</v>
      </c>
      <c r="Q79" s="27" t="str" cm="1">
        <f t="array" ref="Q79">IF(A79="","",IFERROR(TRIM(INDEX(_xlfn.TEXTSPLIT(IFERROR(VLOOKUP(A79,'Production Schedule'!$B:$FU,150,FALSE),""),CHAR(10)),3)),""))</f>
        <v>Fab</v>
      </c>
      <c r="R79" s="28">
        <f t="shared" si="10"/>
        <v>46133</v>
      </c>
      <c r="S79" s="27" t="str" cm="1">
        <f t="array" ref="S79">IF(A79="","",IFERROR(TRIM(INDEX(_xlfn.TEXTSPLIT(IFERROR(VLOOKUP(A79,'Production Schedule'!$B:$FU,150,FALSE),""),CHAR(10)),4)),""))</f>
        <v/>
      </c>
      <c r="T79" s="28" t="str">
        <f t="shared" si="11"/>
        <v/>
      </c>
      <c r="U79" s="27" t="str" cm="1">
        <f t="array" ref="U79">IF(A79="","",IFERROR(TRIM(INDEX(_xlfn.TEXTSPLIT(IFERROR(VLOOKUP(A79,'Production Schedule'!$B:$FU,150,FALSE),""),CHAR(10)),5)),""))</f>
        <v/>
      </c>
      <c r="V79" s="28" t="str">
        <f t="shared" si="12"/>
        <v/>
      </c>
      <c r="W79" s="27" t="str" cm="1">
        <f t="array" ref="W79">IF(A79="","",IFERROR(TRIM(INDEX(_xlfn.TEXTSPLIT(IFERROR(VLOOKUP(A79,'Production Schedule'!$B:$FU,150,FALSE),""),CHAR(10)),6)),""))</f>
        <v/>
      </c>
      <c r="X79" s="28" t="str">
        <f t="shared" si="13"/>
        <v/>
      </c>
      <c r="Y79" s="30">
        <f t="shared" si="14"/>
        <v>46143</v>
      </c>
      <c r="Z79" s="31" t="str">
        <f>IF(A79="","",IF(IFERROR(VLOOKUP(A79,Notes!A:B,2,FALSE),"")=0,"",VLOOKUP(A79,Notes!A:B,2,FALSE)))</f>
        <v>04/16/2026…Evaluation</v>
      </c>
      <c r="AA79" s="18">
        <f t="shared" si="15"/>
        <v>1</v>
      </c>
    </row>
    <row r="80" spans="1:27" x14ac:dyDescent="0.25">
      <c r="A80" s="20" t="str">
        <v>25006-FS03</v>
      </c>
      <c r="B80" s="20" t="str">
        <f>IF(A80="","",IFERROR(VLOOKUP(A80,'Production Schedule'!$B:$FU,3,FALSE),""))</f>
        <v>MALETA Housing and Dining</v>
      </c>
      <c r="C80" s="20" t="str">
        <f>IF(A80="","",IFERROR(VLOOKUP(A80,'Production Schedule'!$B:$FU,5,FALSE),""))</f>
        <v>Cole Norona</v>
      </c>
      <c r="D80" s="20">
        <f>IF(A80="","",IFERROR(VLOOKUP(A80,'Production Schedule'!$B:$FU,7,FALSE),""))</f>
        <v>400</v>
      </c>
      <c r="E80" s="20">
        <f>IF(A80="","",IFERROR(VLOOKUP(A80,'Production Schedule'!$B:$FU,17,FALSE),""))</f>
        <v>216</v>
      </c>
      <c r="F80" s="20">
        <f>IF(A80="","",IFERROR(VLOOKUP(A80,'Production Schedule'!$B:$FU,18,FALSE),""))</f>
        <v>0</v>
      </c>
      <c r="G80" s="20" t="str">
        <f>IF(A80="","",IFERROR(VLOOKUP(A80,'Production Schedule'!$B:$FU,25,FALSE),""))</f>
        <v>FR ACM</v>
      </c>
      <c r="H80" s="21">
        <f>IF(A80="","",IFERROR(VLOOKUP(A80,'Production Schedule'!$B:$FU,47,FALSE),""))</f>
        <v>46092.329027025466</v>
      </c>
      <c r="I80" s="21">
        <f>IF(A80="","",IFERROR(VLOOKUP(A80,'Production Schedule'!$B:$FU,54,FALSE),""))</f>
        <v>46147</v>
      </c>
      <c r="J80" s="32">
        <f>IF(A80="","",IFERROR(VLOOKUP(A80,'Production Schedule'!$B:$FU,135,FALSE),""))</f>
        <v>360</v>
      </c>
      <c r="K80" s="20" t="str">
        <f>IF(A80="","",IFERROR(VLOOKUP(A80,'Production Schedule'!$B:$FU,59,FALSE),""))</f>
        <v>YES</v>
      </c>
      <c r="L80" s="39" t="str">
        <f>IF(A80="","",IFERROR(VLOOKUP(A80,'Production Schedule'!$B:$FU,80,FALSE),""))</f>
        <v>Correction</v>
      </c>
      <c r="M80" s="33" t="str" cm="1">
        <f t="array" ref="M80">IF(A80="","",IFERROR(TRIM(INDEX(_xlfn.TEXTSPLIT(IFERROR(VLOOKUP(A80,'Production Schedule'!$B:$FU,150,FALSE),""),CHAR(10)),1)),""))</f>
        <v>AXYZ</v>
      </c>
      <c r="N80" s="34">
        <f t="shared" si="8"/>
        <v>46119</v>
      </c>
      <c r="O80" s="33" t="str" cm="1">
        <f t="array" ref="O80">IF(A80="","",IFERROR(TRIM(INDEX(_xlfn.TEXTSPLIT(IFERROR(VLOOKUP(A80,'Production Schedule'!$B:$FU,150,FALSE),""),CHAR(10)),2)),""))</f>
        <v>Clean and Brake</v>
      </c>
      <c r="P80" s="34">
        <f t="shared" si="9"/>
        <v>46123</v>
      </c>
      <c r="Q80" s="33" t="str" cm="1">
        <f t="array" ref="Q80">IF(A80="","",IFERROR(TRIM(INDEX(_xlfn.TEXTSPLIT(IFERROR(VLOOKUP(A80,'Production Schedule'!$B:$FU,150,FALSE),""),CHAR(10)),3)),""))</f>
        <v>Fab</v>
      </c>
      <c r="R80" s="34">
        <f t="shared" si="10"/>
        <v>46134</v>
      </c>
      <c r="S80" s="33" t="str" cm="1">
        <f t="array" ref="S80">IF(A80="","",IFERROR(TRIM(INDEX(_xlfn.TEXTSPLIT(IFERROR(VLOOKUP(A80,'Production Schedule'!$B:$FU,150,FALSE),""),CHAR(10)),4)),""))</f>
        <v/>
      </c>
      <c r="T80" s="34" t="str">
        <f t="shared" si="11"/>
        <v/>
      </c>
      <c r="U80" s="33" t="str" cm="1">
        <f t="array" ref="U80">IF(A80="","",IFERROR(TRIM(INDEX(_xlfn.TEXTSPLIT(IFERROR(VLOOKUP(A80,'Production Schedule'!$B:$FU,150,FALSE),""),CHAR(10)),5)),""))</f>
        <v/>
      </c>
      <c r="V80" s="34" t="str">
        <f t="shared" si="12"/>
        <v/>
      </c>
      <c r="W80" s="33" t="str" cm="1">
        <f t="array" ref="W80">IF(A80="","",IFERROR(TRIM(INDEX(_xlfn.TEXTSPLIT(IFERROR(VLOOKUP(A80,'Production Schedule'!$B:$FU,150,FALSE),""),CHAR(10)),6)),""))</f>
        <v/>
      </c>
      <c r="X80" s="34" t="str">
        <f t="shared" si="13"/>
        <v/>
      </c>
      <c r="Y80" s="36">
        <f t="shared" si="14"/>
        <v>46144</v>
      </c>
      <c r="Z80" s="37" t="str">
        <f>IF(A80="","",IF(IFERROR(VLOOKUP(A80,Notes!A:B,2,FALSE),"")=0,"",VLOOKUP(A80,Notes!A:B,2,FALSE)))</f>
        <v>Not expected out of engineering before 04/15…Needs to ship 05/12*HOAR*04/16/2026…Correction</v>
      </c>
      <c r="AA80" s="20">
        <f t="shared" si="15"/>
        <v>1</v>
      </c>
    </row>
    <row r="81" spans="1:27" x14ac:dyDescent="0.25">
      <c r="A81" s="18" t="str">
        <v>25002-FS16</v>
      </c>
      <c r="B81" s="18" t="str">
        <f>IF(A81="","",IFERROR(VLOOKUP(A81,'Production Schedule'!$B:$FU,3,FALSE),""))</f>
        <v>Med Center Health</v>
      </c>
      <c r="C81" s="18" t="str">
        <f>IF(A81="","",IFERROR(VLOOKUP(A81,'Production Schedule'!$B:$FU,5,FALSE),""))</f>
        <v>Carlos Silva</v>
      </c>
      <c r="D81" s="18">
        <f>IF(A81="","",IFERROR(VLOOKUP(A81,'Production Schedule'!$B:$FU,7,FALSE),""))</f>
        <v>600</v>
      </c>
      <c r="E81" s="18" t="str">
        <f>IF(A81="","",IFERROR(VLOOKUP(A81,'Production Schedule'!$B:$FU,17,FALSE),""))</f>
        <v>00</v>
      </c>
      <c r="F81" s="18">
        <f>IF(A81="","",IFERROR(VLOOKUP(A81,'Production Schedule'!$B:$FU,18,FALSE),""))</f>
        <v>0</v>
      </c>
      <c r="G81" s="18" t="str">
        <f>IF(A81="","",IFERROR(VLOOKUP(A81,'Production Schedule'!$B:$FU,25,FALSE),""))</f>
        <v>FR ACM</v>
      </c>
      <c r="H81" s="19">
        <f>IF(A81="","",IFERROR(VLOOKUP(A81,'Production Schedule'!$B:$FU,47,FALSE),""))</f>
        <v>46127.492728043981</v>
      </c>
      <c r="I81" s="19">
        <f>IF(A81="","",IFERROR(VLOOKUP(A81,'Production Schedule'!$B:$FU,54,FALSE),""))</f>
        <v>46148</v>
      </c>
      <c r="J81" s="26">
        <f>IF(A81="","",IFERROR(VLOOKUP(A81,'Production Schedule'!$B:$FU,135,FALSE),""))</f>
        <v>20</v>
      </c>
      <c r="K81" s="18" t="str">
        <f>IF(A81="","",IFERROR(VLOOKUP(A81,'Production Schedule'!$B:$FU,59,FALSE),""))</f>
        <v>YES</v>
      </c>
      <c r="L81" s="38">
        <f>IF(A81="","",IFERROR(VLOOKUP(A81,'Production Schedule'!$B:$FU,80,FALSE),""))</f>
        <v>0</v>
      </c>
      <c r="M81" s="27" t="str" cm="1">
        <f t="array" ref="M81">IF(A81="","",IFERROR(TRIM(INDEX(_xlfn.TEXTSPLIT(IFERROR(VLOOKUP(A81,'Production Schedule'!$B:$FU,150,FALSE),""),CHAR(10)),1)),""))</f>
        <v/>
      </c>
      <c r="N81" s="28" t="str">
        <f t="shared" si="8"/>
        <v/>
      </c>
      <c r="O81" s="27" t="str" cm="1">
        <f t="array" ref="O81">IF(A81="","",IFERROR(TRIM(INDEX(_xlfn.TEXTSPLIT(IFERROR(VLOOKUP(A81,'Production Schedule'!$B:$FU,150,FALSE),""),CHAR(10)),2)),""))</f>
        <v/>
      </c>
      <c r="P81" s="28" t="str">
        <f t="shared" si="9"/>
        <v/>
      </c>
      <c r="Q81" s="27" t="str" cm="1">
        <f t="array" ref="Q81">IF(A81="","",IFERROR(TRIM(INDEX(_xlfn.TEXTSPLIT(IFERROR(VLOOKUP(A81,'Production Schedule'!$B:$FU,150,FALSE),""),CHAR(10)),3)),""))</f>
        <v/>
      </c>
      <c r="R81" s="28" t="str">
        <f t="shared" si="10"/>
        <v/>
      </c>
      <c r="S81" s="27" t="str" cm="1">
        <f t="array" ref="S81">IF(A81="","",IFERROR(TRIM(INDEX(_xlfn.TEXTSPLIT(IFERROR(VLOOKUP(A81,'Production Schedule'!$B:$FU,150,FALSE),""),CHAR(10)),4)),""))</f>
        <v/>
      </c>
      <c r="T81" s="28" t="str">
        <f t="shared" si="11"/>
        <v/>
      </c>
      <c r="U81" s="27" t="str" cm="1">
        <f t="array" ref="U81">IF(A81="","",IFERROR(TRIM(INDEX(_xlfn.TEXTSPLIT(IFERROR(VLOOKUP(A81,'Production Schedule'!$B:$FU,150,FALSE),""),CHAR(10)),5)),""))</f>
        <v/>
      </c>
      <c r="V81" s="28" t="str">
        <f t="shared" si="12"/>
        <v/>
      </c>
      <c r="W81" s="27" t="str" cm="1">
        <f t="array" ref="W81">IF(A81="","",IFERROR(TRIM(INDEX(_xlfn.TEXTSPLIT(IFERROR(VLOOKUP(A81,'Production Schedule'!$B:$FU,150,FALSE),""),CHAR(10)),6)),""))</f>
        <v/>
      </c>
      <c r="X81" s="28" t="str">
        <f t="shared" si="13"/>
        <v/>
      </c>
      <c r="Y81" s="30">
        <f t="shared" si="14"/>
        <v>46146</v>
      </c>
      <c r="Z81" s="31" t="str">
        <f>IF(A81="","",IF(IFERROR(VLOOKUP(A81,Notes!A:B,2,FALSE),"")=0,"",VLOOKUP(A81,Notes!A:B,2,FALSE)))</f>
        <v>04/16/2026…</v>
      </c>
      <c r="AA81" s="18">
        <f t="shared" si="15"/>
        <v>1</v>
      </c>
    </row>
    <row r="82" spans="1:27" x14ac:dyDescent="0.25">
      <c r="A82" s="20" t="str">
        <v>24074-FS08</v>
      </c>
      <c r="B82" s="20" t="str">
        <f>IF(A82="","",IFERROR(VLOOKUP(A82,'Production Schedule'!$B:$FU,3,FALSE),""))</f>
        <v>DIDD ACM</v>
      </c>
      <c r="C82" s="20" t="str">
        <f>IF(A82="","",IFERROR(VLOOKUP(A82,'Production Schedule'!$B:$FU,5,FALSE),""))</f>
        <v>Dillon Bowman</v>
      </c>
      <c r="D82" s="20">
        <f>IF(A82="","",IFERROR(VLOOKUP(A82,'Production Schedule'!$B:$FU,7,FALSE),""))</f>
        <v>400</v>
      </c>
      <c r="E82" s="20">
        <f>IF(A82="","",IFERROR(VLOOKUP(A82,'Production Schedule'!$B:$FU,17,FALSE),""))</f>
        <v>186</v>
      </c>
      <c r="F82" s="20">
        <f>IF(A82="","",IFERROR(VLOOKUP(A82,'Production Schedule'!$B:$FU,18,FALSE),""))</f>
        <v>0</v>
      </c>
      <c r="G82" s="20" t="str">
        <f>IF(A82="","",IFERROR(VLOOKUP(A82,'Production Schedule'!$B:$FU,25,FALSE),""))</f>
        <v>FR ACM</v>
      </c>
      <c r="H82" s="21">
        <f>IF(A82="","",IFERROR(VLOOKUP(A82,'Production Schedule'!$B:$FU,47,FALSE),""))</f>
        <v>46100.354510092591</v>
      </c>
      <c r="I82" s="21">
        <f>IF(A82="","",IFERROR(VLOOKUP(A82,'Production Schedule'!$B:$FU,54,FALSE),""))</f>
        <v>46149</v>
      </c>
      <c r="J82" s="32">
        <f>IF(A82="","",IFERROR(VLOOKUP(A82,'Production Schedule'!$B:$FU,135,FALSE),""))</f>
        <v>335</v>
      </c>
      <c r="K82" s="20" t="str">
        <f>IF(A82="","",IFERROR(VLOOKUP(A82,'Production Schedule'!$B:$FU,59,FALSE),""))</f>
        <v>YES</v>
      </c>
      <c r="L82" s="39" t="str">
        <f>IF(A82="","",IFERROR(VLOOKUP(A82,'Production Schedule'!$B:$FU,80,FALSE),""))</f>
        <v>LO Check</v>
      </c>
      <c r="M82" s="33" t="str" cm="1">
        <f t="array" ref="M82">IF(A82="","",IFERROR(TRIM(INDEX(_xlfn.TEXTSPLIT(IFERROR(VLOOKUP(A82,'Production Schedule'!$B:$FU,150,FALSE),""),CHAR(10)),1)),""))</f>
        <v>AXYZ</v>
      </c>
      <c r="N82" s="34">
        <f t="shared" si="8"/>
        <v>46121</v>
      </c>
      <c r="O82" s="33" t="str" cm="1">
        <f t="array" ref="O82">IF(A82="","",IFERROR(TRIM(INDEX(_xlfn.TEXTSPLIT(IFERROR(VLOOKUP(A82,'Production Schedule'!$B:$FU,150,FALSE),""),CHAR(10)),2)),""))</f>
        <v>Clean and Brake</v>
      </c>
      <c r="P82" s="34">
        <f t="shared" si="9"/>
        <v>46126</v>
      </c>
      <c r="Q82" s="33" t="str" cm="1">
        <f t="array" ref="Q82">IF(A82="","",IFERROR(TRIM(INDEX(_xlfn.TEXTSPLIT(IFERROR(VLOOKUP(A82,'Production Schedule'!$B:$FU,150,FALSE),""),CHAR(10)),3)),""))</f>
        <v>Fab</v>
      </c>
      <c r="R82" s="34">
        <f t="shared" si="10"/>
        <v>46136</v>
      </c>
      <c r="S82" s="33" t="str" cm="1">
        <f t="array" ref="S82">IF(A82="","",IFERROR(TRIM(INDEX(_xlfn.TEXTSPLIT(IFERROR(VLOOKUP(A82,'Production Schedule'!$B:$FU,150,FALSE),""),CHAR(10)),4)),""))</f>
        <v/>
      </c>
      <c r="T82" s="34" t="str">
        <f t="shared" si="11"/>
        <v/>
      </c>
      <c r="U82" s="33" t="str" cm="1">
        <f t="array" ref="U82">IF(A82="","",IFERROR(TRIM(INDEX(_xlfn.TEXTSPLIT(IFERROR(VLOOKUP(A82,'Production Schedule'!$B:$FU,150,FALSE),""),CHAR(10)),5)),""))</f>
        <v/>
      </c>
      <c r="V82" s="34" t="str">
        <f t="shared" si="12"/>
        <v/>
      </c>
      <c r="W82" s="33" t="str" cm="1">
        <f t="array" ref="W82">IF(A82="","",IFERROR(TRIM(INDEX(_xlfn.TEXTSPLIT(IFERROR(VLOOKUP(A82,'Production Schedule'!$B:$FU,150,FALSE),""),CHAR(10)),6)),""))</f>
        <v/>
      </c>
      <c r="X82" s="34" t="str">
        <f t="shared" si="13"/>
        <v/>
      </c>
      <c r="Y82" s="36">
        <f t="shared" si="14"/>
        <v>46147</v>
      </c>
      <c r="Z82" s="37" t="str">
        <f>IF(A82="","",IF(IFERROR(VLOOKUP(A82,Notes!A:B,2,FALSE),"")=0,"",VLOOKUP(A82,Notes!A:B,2,FALSE)))</f>
        <v>04/16/2026…LO Check</v>
      </c>
      <c r="AA82" s="20">
        <f t="shared" si="15"/>
        <v>1</v>
      </c>
    </row>
    <row r="83" spans="1:27" x14ac:dyDescent="0.25">
      <c r="A83" s="18" t="str">
        <v>25006-FS05</v>
      </c>
      <c r="B83" s="18" t="str">
        <f>IF(A83="","",IFERROR(VLOOKUP(A83,'Production Schedule'!$B:$FU,3,FALSE),""))</f>
        <v>MALETA Housing and Dining</v>
      </c>
      <c r="C83" s="18" t="str">
        <f>IF(A83="","",IFERROR(VLOOKUP(A83,'Production Schedule'!$B:$FU,5,FALSE),""))</f>
        <v>Cole Norona</v>
      </c>
      <c r="D83" s="18">
        <f>IF(A83="","",IFERROR(VLOOKUP(A83,'Production Schedule'!$B:$FU,7,FALSE),""))</f>
        <v>400</v>
      </c>
      <c r="E83" s="18">
        <f>IF(A83="","",IFERROR(VLOOKUP(A83,'Production Schedule'!$B:$FU,17,FALSE),""))</f>
        <v>18</v>
      </c>
      <c r="F83" s="18">
        <f>IF(A83="","",IFERROR(VLOOKUP(A83,'Production Schedule'!$B:$FU,18,FALSE),""))</f>
        <v>0</v>
      </c>
      <c r="G83" s="18" t="str">
        <f>IF(A83="","",IFERROR(VLOOKUP(A83,'Production Schedule'!$B:$FU,25,FALSE),""))</f>
        <v>FR ACM</v>
      </c>
      <c r="H83" s="19">
        <f>IF(A83="","",IFERROR(VLOOKUP(A83,'Production Schedule'!$B:$FU,47,FALSE),""))</f>
        <v>46092.339094722221</v>
      </c>
      <c r="I83" s="19">
        <f>IF(A83="","",IFERROR(VLOOKUP(A83,'Production Schedule'!$B:$FU,54,FALSE),""))</f>
        <v>46153</v>
      </c>
      <c r="J83" s="26">
        <f>IF(A83="","",IFERROR(VLOOKUP(A83,'Production Schedule'!$B:$FU,135,FALSE),""))</f>
        <v>30</v>
      </c>
      <c r="K83" s="18" t="str">
        <f>IF(A83="","",IFERROR(VLOOKUP(A83,'Production Schedule'!$B:$FU,59,FALSE),""))</f>
        <v>YES</v>
      </c>
      <c r="L83" s="38" t="str">
        <f>IF(A83="","",IFERROR(VLOOKUP(A83,'Production Schedule'!$B:$FU,80,FALSE),""))</f>
        <v>LO Check</v>
      </c>
      <c r="M83" s="27" t="str" cm="1">
        <f t="array" ref="M83">IF(A83="","",IFERROR(TRIM(INDEX(_xlfn.TEXTSPLIT(IFERROR(VLOOKUP(A83,'Production Schedule'!$B:$FU,150,FALSE),""),CHAR(10)),1)),""))</f>
        <v>AXYZ</v>
      </c>
      <c r="N83" s="28">
        <f t="shared" si="8"/>
        <v>46128</v>
      </c>
      <c r="O83" s="27" t="str" cm="1">
        <f t="array" ref="O83">IF(A83="","",IFERROR(TRIM(INDEX(_xlfn.TEXTSPLIT(IFERROR(VLOOKUP(A83,'Production Schedule'!$B:$FU,150,FALSE),""),CHAR(10)),2)),""))</f>
        <v>Clean and Brake</v>
      </c>
      <c r="P83" s="28">
        <f t="shared" si="9"/>
        <v>46129</v>
      </c>
      <c r="Q83" s="27" t="str" cm="1">
        <f t="array" ref="Q83">IF(A83="","",IFERROR(TRIM(INDEX(_xlfn.TEXTSPLIT(IFERROR(VLOOKUP(A83,'Production Schedule'!$B:$FU,150,FALSE),""),CHAR(10)),3)),""))</f>
        <v>Fab</v>
      </c>
      <c r="R83" s="28">
        <f t="shared" si="10"/>
        <v>46140</v>
      </c>
      <c r="S83" s="27" t="str" cm="1">
        <f t="array" ref="S83">IF(A83="","",IFERROR(TRIM(INDEX(_xlfn.TEXTSPLIT(IFERROR(VLOOKUP(A83,'Production Schedule'!$B:$FU,150,FALSE),""),CHAR(10)),4)),""))</f>
        <v/>
      </c>
      <c r="T83" s="28" t="str">
        <f t="shared" si="11"/>
        <v/>
      </c>
      <c r="U83" s="27" t="str" cm="1">
        <f t="array" ref="U83">IF(A83="","",IFERROR(TRIM(INDEX(_xlfn.TEXTSPLIT(IFERROR(VLOOKUP(A83,'Production Schedule'!$B:$FU,150,FALSE),""),CHAR(10)),5)),""))</f>
        <v/>
      </c>
      <c r="V83" s="28" t="str">
        <f t="shared" si="12"/>
        <v/>
      </c>
      <c r="W83" s="27" t="str" cm="1">
        <f t="array" ref="W83">IF(A83="","",IFERROR(TRIM(INDEX(_xlfn.TEXTSPLIT(IFERROR(VLOOKUP(A83,'Production Schedule'!$B:$FU,150,FALSE),""),CHAR(10)),6)),""))</f>
        <v/>
      </c>
      <c r="X83" s="28" t="str">
        <f t="shared" si="13"/>
        <v/>
      </c>
      <c r="Y83" s="30">
        <f t="shared" si="14"/>
        <v>46150</v>
      </c>
      <c r="Z83" s="31" t="str">
        <f>IF(A83="","",IF(IFERROR(VLOOKUP(A83,Notes!A:B,2,FALSE),"")=0,"",VLOOKUP(A83,Notes!A:B,2,FALSE)))</f>
        <v>Not expected out of engineering before 04/17…Needs to ship 05/12*HOAR*04/16/2026…LO Check</v>
      </c>
      <c r="AA83" s="18">
        <f t="shared" si="15"/>
        <v>1</v>
      </c>
    </row>
    <row r="84" spans="1:27" x14ac:dyDescent="0.25">
      <c r="A84" s="20" t="str">
        <v>24079-FS103</v>
      </c>
      <c r="B84" s="20" t="str">
        <f>IF(A84="","",IFERROR(VLOOKUP(A84,'Production Schedule'!$B:$FU,3,FALSE),""))</f>
        <v>Nashville Youth Campus</v>
      </c>
      <c r="C84" s="20" t="str">
        <f>IF(A84="","",IFERROR(VLOOKUP(A84,'Production Schedule'!$B:$FU,5,FALSE),""))</f>
        <v>Joe Hoyle</v>
      </c>
      <c r="D84" s="20">
        <f>IF(A84="","",IFERROR(VLOOKUP(A84,'Production Schedule'!$B:$FU,7,FALSE),""))</f>
        <v>400</v>
      </c>
      <c r="E84" s="20">
        <f>IF(A84="","",IFERROR(VLOOKUP(A84,'Production Schedule'!$B:$FU,17,FALSE),""))</f>
        <v>111</v>
      </c>
      <c r="F84" s="20">
        <f>IF(A84="","",IFERROR(VLOOKUP(A84,'Production Schedule'!$B:$FU,18,FALSE),""))</f>
        <v>0</v>
      </c>
      <c r="G84" s="20" t="str">
        <f>IF(A84="","",IFERROR(VLOOKUP(A84,'Production Schedule'!$B:$FU,25,FALSE),""))</f>
        <v>FR ACM</v>
      </c>
      <c r="H84" s="21">
        <f>IF(A84="","",IFERROR(VLOOKUP(A84,'Production Schedule'!$B:$FU,47,FALSE),""))</f>
        <v>46097.519807118057</v>
      </c>
      <c r="I84" s="21">
        <f>IF(A84="","",IFERROR(VLOOKUP(A84,'Production Schedule'!$B:$FU,54,FALSE),""))</f>
        <v>46153</v>
      </c>
      <c r="J84" s="32">
        <f>IF(A84="","",IFERROR(VLOOKUP(A84,'Production Schedule'!$B:$FU,135,FALSE),""))</f>
        <v>80</v>
      </c>
      <c r="K84" s="20" t="str">
        <f>IF(A84="","",IFERROR(VLOOKUP(A84,'Production Schedule'!$B:$FU,59,FALSE),""))</f>
        <v>YES</v>
      </c>
      <c r="L84" s="39" t="str">
        <f>IF(A84="","",IFERROR(VLOOKUP(A84,'Production Schedule'!$B:$FU,80,FALSE),""))</f>
        <v>LO Check</v>
      </c>
      <c r="M84" s="33" t="str" cm="1">
        <f t="array" ref="M84">IF(A84="","",IFERROR(TRIM(INDEX(_xlfn.TEXTSPLIT(IFERROR(VLOOKUP(A84,'Production Schedule'!$B:$FU,150,FALSE),""),CHAR(10)),1)),""))</f>
        <v>AXYZ</v>
      </c>
      <c r="N84" s="34">
        <f t="shared" si="8"/>
        <v>46127</v>
      </c>
      <c r="O84" s="33" t="str" cm="1">
        <f t="array" ref="O84">IF(A84="","",IFERROR(TRIM(INDEX(_xlfn.TEXTSPLIT(IFERROR(VLOOKUP(A84,'Production Schedule'!$B:$FU,150,FALSE),""),CHAR(10)),2)),""))</f>
        <v>Clean and Brake</v>
      </c>
      <c r="P84" s="34">
        <f t="shared" si="9"/>
        <v>46129</v>
      </c>
      <c r="Q84" s="33" t="str" cm="1">
        <f t="array" ref="Q84">IF(A84="","",IFERROR(TRIM(INDEX(_xlfn.TEXTSPLIT(IFERROR(VLOOKUP(A84,'Production Schedule'!$B:$FU,150,FALSE),""),CHAR(10)),3)),""))</f>
        <v>Fab</v>
      </c>
      <c r="R84" s="34">
        <f t="shared" si="10"/>
        <v>46140</v>
      </c>
      <c r="S84" s="33" t="str" cm="1">
        <f t="array" ref="S84">IF(A84="","",IFERROR(TRIM(INDEX(_xlfn.TEXTSPLIT(IFERROR(VLOOKUP(A84,'Production Schedule'!$B:$FU,150,FALSE),""),CHAR(10)),4)),""))</f>
        <v/>
      </c>
      <c r="T84" s="34" t="str">
        <f t="shared" si="11"/>
        <v/>
      </c>
      <c r="U84" s="33" t="str" cm="1">
        <f t="array" ref="U84">IF(A84="","",IFERROR(TRIM(INDEX(_xlfn.TEXTSPLIT(IFERROR(VLOOKUP(A84,'Production Schedule'!$B:$FU,150,FALSE),""),CHAR(10)),5)),""))</f>
        <v/>
      </c>
      <c r="V84" s="34" t="str">
        <f t="shared" si="12"/>
        <v/>
      </c>
      <c r="W84" s="33" t="str" cm="1">
        <f t="array" ref="W84">IF(A84="","",IFERROR(TRIM(INDEX(_xlfn.TEXTSPLIT(IFERROR(VLOOKUP(A84,'Production Schedule'!$B:$FU,150,FALSE),""),CHAR(10)),6)),""))</f>
        <v/>
      </c>
      <c r="X84" s="34" t="str">
        <f t="shared" si="13"/>
        <v/>
      </c>
      <c r="Y84" s="36">
        <f t="shared" si="14"/>
        <v>46150</v>
      </c>
      <c r="Z84" s="37" t="str">
        <f>IF(A84="","",IF(IFERROR(VLOOKUP(A84,Notes!A:B,2,FALSE),"")=0,"",VLOOKUP(A84,Notes!A:B,2,FALSE)))</f>
        <v>04/16/2026…LO Check</v>
      </c>
      <c r="AA84" s="20">
        <f t="shared" si="15"/>
        <v>1</v>
      </c>
    </row>
    <row r="85" spans="1:27" x14ac:dyDescent="0.25">
      <c r="A85" s="18" t="str">
        <v>25010-FS09</v>
      </c>
      <c r="B85" s="18" t="str">
        <f>IF(A85="","",IFERROR(VLOOKUP(A85,'Production Schedule'!$B:$FU,3,FALSE),""))</f>
        <v>TOA Spring Hill MOB</v>
      </c>
      <c r="C85" s="18" t="str">
        <f>IF(A85="","",IFERROR(VLOOKUP(A85,'Production Schedule'!$B:$FU,5,FALSE),""))</f>
        <v>Cole Norona</v>
      </c>
      <c r="D85" s="18">
        <f>IF(A85="","",IFERROR(VLOOKUP(A85,'Production Schedule'!$B:$FU,7,FALSE),""))</f>
        <v>400</v>
      </c>
      <c r="E85" s="18">
        <f>IF(A85="","",IFERROR(VLOOKUP(A85,'Production Schedule'!$B:$FU,17,FALSE),""))</f>
        <v>111</v>
      </c>
      <c r="F85" s="18">
        <f>IF(A85="","",IFERROR(VLOOKUP(A85,'Production Schedule'!$B:$FU,18,FALSE),""))</f>
        <v>0</v>
      </c>
      <c r="G85" s="18" t="str">
        <f>IF(A85="","",IFERROR(VLOOKUP(A85,'Production Schedule'!$B:$FU,25,FALSE),""))</f>
        <v>FR ACM</v>
      </c>
      <c r="H85" s="19">
        <f>IF(A85="","",IFERROR(VLOOKUP(A85,'Production Schedule'!$B:$FU,47,FALSE),""))</f>
        <v>46104.529389502313</v>
      </c>
      <c r="I85" s="19">
        <f>IF(A85="","",IFERROR(VLOOKUP(A85,'Production Schedule'!$B:$FU,54,FALSE),""))</f>
        <v>46153</v>
      </c>
      <c r="J85" s="26">
        <f>IF(A85="","",IFERROR(VLOOKUP(A85,'Production Schedule'!$B:$FU,135,FALSE),""))</f>
        <v>40</v>
      </c>
      <c r="K85" s="18" t="str">
        <f>IF(A85="","",IFERROR(VLOOKUP(A85,'Production Schedule'!$B:$FU,59,FALSE),""))</f>
        <v>YES</v>
      </c>
      <c r="L85" s="38" t="str">
        <f>IF(A85="","",IFERROR(VLOOKUP(A85,'Production Schedule'!$B:$FU,80,FALSE),""))</f>
        <v>Correction</v>
      </c>
      <c r="M85" s="27" t="str" cm="1">
        <f t="array" ref="M85">IF(A85="","",IFERROR(TRIM(INDEX(_xlfn.TEXTSPLIT(IFERROR(VLOOKUP(A85,'Production Schedule'!$B:$FU,150,FALSE),""),CHAR(10)),1)),""))</f>
        <v>AXYZ</v>
      </c>
      <c r="N85" s="28">
        <f t="shared" si="8"/>
        <v>46127</v>
      </c>
      <c r="O85" s="27" t="str" cm="1">
        <f t="array" ref="O85">IF(A85="","",IFERROR(TRIM(INDEX(_xlfn.TEXTSPLIT(IFERROR(VLOOKUP(A85,'Production Schedule'!$B:$FU,150,FALSE),""),CHAR(10)),2)),""))</f>
        <v>Clean and Brake</v>
      </c>
      <c r="P85" s="28">
        <f t="shared" si="9"/>
        <v>46129</v>
      </c>
      <c r="Q85" s="27" t="str" cm="1">
        <f t="array" ref="Q85">IF(A85="","",IFERROR(TRIM(INDEX(_xlfn.TEXTSPLIT(IFERROR(VLOOKUP(A85,'Production Schedule'!$B:$FU,150,FALSE),""),CHAR(10)),3)),""))</f>
        <v>Fab</v>
      </c>
      <c r="R85" s="28">
        <f t="shared" si="10"/>
        <v>46140</v>
      </c>
      <c r="S85" s="27" t="str" cm="1">
        <f t="array" ref="S85">IF(A85="","",IFERROR(TRIM(INDEX(_xlfn.TEXTSPLIT(IFERROR(VLOOKUP(A85,'Production Schedule'!$B:$FU,150,FALSE),""),CHAR(10)),4)),""))</f>
        <v/>
      </c>
      <c r="T85" s="28" t="str">
        <f t="shared" si="11"/>
        <v/>
      </c>
      <c r="U85" s="27" t="str" cm="1">
        <f t="array" ref="U85">IF(A85="","",IFERROR(TRIM(INDEX(_xlfn.TEXTSPLIT(IFERROR(VLOOKUP(A85,'Production Schedule'!$B:$FU,150,FALSE),""),CHAR(10)),5)),""))</f>
        <v/>
      </c>
      <c r="V85" s="28" t="str">
        <f t="shared" si="12"/>
        <v/>
      </c>
      <c r="W85" s="27" t="str" cm="1">
        <f t="array" ref="W85">IF(A85="","",IFERROR(TRIM(INDEX(_xlfn.TEXTSPLIT(IFERROR(VLOOKUP(A85,'Production Schedule'!$B:$FU,150,FALSE),""),CHAR(10)),6)),""))</f>
        <v/>
      </c>
      <c r="X85" s="28" t="str">
        <f t="shared" si="13"/>
        <v/>
      </c>
      <c r="Y85" s="30">
        <f t="shared" si="14"/>
        <v>46150</v>
      </c>
      <c r="Z85" s="31" t="str">
        <f>IF(A85="","",IF(IFERROR(VLOOKUP(A85,Notes!A:B,2,FALSE),"")=0,"",VLOOKUP(A85,Notes!A:B,2,FALSE)))</f>
        <v>04/16/2026…Correction</v>
      </c>
      <c r="AA85" s="18">
        <f t="shared" si="15"/>
        <v>1</v>
      </c>
    </row>
    <row r="86" spans="1:27" x14ac:dyDescent="0.25">
      <c r="A86" s="20" t="str">
        <v>25029-FS50</v>
      </c>
      <c r="B86" s="20" t="str">
        <f>IF(A86="","",IFERROR(VLOOKUP(A86,'Production Schedule'!$B:$FU,3,FALSE),""))</f>
        <v>Lourdes CC Phase 2</v>
      </c>
      <c r="C86" s="20" t="str">
        <f>IF(A86="","",IFERROR(VLOOKUP(A86,'Production Schedule'!$B:$FU,5,FALSE),""))</f>
        <v>Dillon Bowman</v>
      </c>
      <c r="D86" s="20" t="str">
        <f>IF(A86="","",IFERROR(VLOOKUP(A86,'Production Schedule'!$B:$FU,7,FALSE),""))</f>
        <v>GRAVITY</v>
      </c>
      <c r="E86" s="20">
        <f>IF(A86="","",IFERROR(VLOOKUP(A86,'Production Schedule'!$B:$FU,17,FALSE),""))</f>
        <v>8</v>
      </c>
      <c r="F86" s="20">
        <f>IF(A86="","",IFERROR(VLOOKUP(A86,'Production Schedule'!$B:$FU,18,FALSE),""))</f>
        <v>4</v>
      </c>
      <c r="G86" s="20" t="str">
        <f>IF(A86="","",IFERROR(VLOOKUP(A86,'Production Schedule'!$B:$FU,25,FALSE),""))</f>
        <v>Alum Sheet</v>
      </c>
      <c r="H86" s="21">
        <f>IF(A86="","",IFERROR(VLOOKUP(A86,'Production Schedule'!$B:$FU,47,FALSE),""))</f>
        <v>46105.546635810184</v>
      </c>
      <c r="I86" s="21">
        <f>IF(A86="","",IFERROR(VLOOKUP(A86,'Production Schedule'!$B:$FU,54,FALSE),""))</f>
        <v>46153</v>
      </c>
      <c r="J86" s="32">
        <f>IF(A86="","",IFERROR(VLOOKUP(A86,'Production Schedule'!$B:$FU,135,FALSE),""))</f>
        <v>16</v>
      </c>
      <c r="K86" s="20" t="str">
        <f>IF(A86="","",IFERROR(VLOOKUP(A86,'Production Schedule'!$B:$FU,59,FALSE),""))</f>
        <v>NO</v>
      </c>
      <c r="L86" s="39" t="str">
        <f>IF(A86="","",IFERROR(VLOOKUP(A86,'Production Schedule'!$B:$FU,80,FALSE),""))</f>
        <v>Correction</v>
      </c>
      <c r="M86" s="33" t="str" cm="1">
        <f t="array" ref="M86">IF(A86="","",IFERROR(TRIM(INDEX(_xlfn.TEXTSPLIT(IFERROR(VLOOKUP(A86,'Production Schedule'!$B:$FU,150,FALSE),""),CHAR(10)),1)),""))</f>
        <v>Brake</v>
      </c>
      <c r="N86" s="34">
        <f t="shared" si="8"/>
        <v>46140</v>
      </c>
      <c r="O86" s="33" t="str" cm="1">
        <f t="array" ref="O86">IF(A86="","",IFERROR(TRIM(INDEX(_xlfn.TEXTSPLIT(IFERROR(VLOOKUP(A86,'Production Schedule'!$B:$FU,150,FALSE),""),CHAR(10)),2)),""))</f>
        <v>Punch</v>
      </c>
      <c r="P86" s="34">
        <f t="shared" si="9"/>
        <v>46150</v>
      </c>
      <c r="Q86" s="33" t="str" cm="1">
        <f t="array" ref="Q86">IF(A86="","",IFERROR(TRIM(INDEX(_xlfn.TEXTSPLIT(IFERROR(VLOOKUP(A86,'Production Schedule'!$B:$FU,150,FALSE),""),CHAR(10)),3)),""))</f>
        <v/>
      </c>
      <c r="R86" s="34" t="str">
        <f t="shared" si="10"/>
        <v/>
      </c>
      <c r="S86" s="33" t="str" cm="1">
        <f t="array" ref="S86">IF(A86="","",IFERROR(TRIM(INDEX(_xlfn.TEXTSPLIT(IFERROR(VLOOKUP(A86,'Production Schedule'!$B:$FU,150,FALSE),""),CHAR(10)),4)),""))</f>
        <v/>
      </c>
      <c r="T86" s="34" t="str">
        <f t="shared" si="11"/>
        <v/>
      </c>
      <c r="U86" s="33" t="str" cm="1">
        <f t="array" ref="U86">IF(A86="","",IFERROR(TRIM(INDEX(_xlfn.TEXTSPLIT(IFERROR(VLOOKUP(A86,'Production Schedule'!$B:$FU,150,FALSE),""),CHAR(10)),5)),""))</f>
        <v/>
      </c>
      <c r="V86" s="34" t="str">
        <f t="shared" si="12"/>
        <v/>
      </c>
      <c r="W86" s="33" t="str" cm="1">
        <f t="array" ref="W86">IF(A86="","",IFERROR(TRIM(INDEX(_xlfn.TEXTSPLIT(IFERROR(VLOOKUP(A86,'Production Schedule'!$B:$FU,150,FALSE),""),CHAR(10)),6)),""))</f>
        <v/>
      </c>
      <c r="X86" s="34" t="str">
        <f t="shared" si="13"/>
        <v/>
      </c>
      <c r="Y86" s="36">
        <f t="shared" si="14"/>
        <v>46150</v>
      </c>
      <c r="Z86" s="37" t="str">
        <f>IF(A86="","",IF(IFERROR(VLOOKUP(A86,Notes!A:B,2,FALSE),"")=0,"",VLOOKUP(A86,Notes!A:B,2,FALSE)))</f>
        <v>04/16/2026…Correction</v>
      </c>
      <c r="AA86" s="20">
        <f t="shared" si="15"/>
        <v>1</v>
      </c>
    </row>
    <row r="87" spans="1:27" x14ac:dyDescent="0.25">
      <c r="A87" s="18" t="str">
        <v>25002-FS15</v>
      </c>
      <c r="B87" s="18" t="str">
        <f>IF(A87="","",IFERROR(VLOOKUP(A87,'Production Schedule'!$B:$FU,3,FALSE),""))</f>
        <v>Med Center Health</v>
      </c>
      <c r="C87" s="18" t="str">
        <f>IF(A87="","",IFERROR(VLOOKUP(A87,'Production Schedule'!$B:$FU,5,FALSE),""))</f>
        <v>Carlos Silva</v>
      </c>
      <c r="D87" s="18">
        <f>IF(A87="","",IFERROR(VLOOKUP(A87,'Production Schedule'!$B:$FU,7,FALSE),""))</f>
        <v>600</v>
      </c>
      <c r="E87" s="18">
        <f>IF(A87="","",IFERROR(VLOOKUP(A87,'Production Schedule'!$B:$FU,17,FALSE),""))</f>
        <v>12</v>
      </c>
      <c r="F87" s="18">
        <f>IF(A87="","",IFERROR(VLOOKUP(A87,'Production Schedule'!$B:$FU,18,FALSE),""))</f>
        <v>0</v>
      </c>
      <c r="G87" s="18" t="str">
        <f>IF(A87="","",IFERROR(VLOOKUP(A87,'Production Schedule'!$B:$FU,25,FALSE),""))</f>
        <v>FR ACM</v>
      </c>
      <c r="H87" s="19">
        <f>IF(A87="","",IFERROR(VLOOKUP(A87,'Production Schedule'!$B:$FU,47,FALSE),""))</f>
        <v>46125.460017442128</v>
      </c>
      <c r="I87" s="19">
        <f>IF(A87="","",IFERROR(VLOOKUP(A87,'Production Schedule'!$B:$FU,54,FALSE),""))</f>
        <v>46153</v>
      </c>
      <c r="J87" s="26">
        <f>IF(A87="","",IFERROR(VLOOKUP(A87,'Production Schedule'!$B:$FU,135,FALSE),""))</f>
        <v>8</v>
      </c>
      <c r="K87" s="18" t="str">
        <f>IF(A87="","",IFERROR(VLOOKUP(A87,'Production Schedule'!$B:$FU,59,FALSE),""))</f>
        <v>YES</v>
      </c>
      <c r="L87" s="38" t="str">
        <f>IF(A87="","",IFERROR(VLOOKUP(A87,'Production Schedule'!$B:$FU,80,FALSE),""))</f>
        <v>Evaluation</v>
      </c>
      <c r="M87" s="27" t="str" cm="1">
        <f t="array" ref="M87">IF(A87="","",IFERROR(TRIM(INDEX(_xlfn.TEXTSPLIT(IFERROR(VLOOKUP(A87,'Production Schedule'!$B:$FU,150,FALSE),""),CHAR(10)),1)),""))</f>
        <v>AXYZ</v>
      </c>
      <c r="N87" s="28">
        <f t="shared" si="8"/>
        <v>46128</v>
      </c>
      <c r="O87" s="27" t="str" cm="1">
        <f t="array" ref="O87">IF(A87="","",IFERROR(TRIM(INDEX(_xlfn.TEXTSPLIT(IFERROR(VLOOKUP(A87,'Production Schedule'!$B:$FU,150,FALSE),""),CHAR(10)),2)),""))</f>
        <v>Clean and Brake</v>
      </c>
      <c r="P87" s="28">
        <f t="shared" si="9"/>
        <v>46129</v>
      </c>
      <c r="Q87" s="27" t="str" cm="1">
        <f t="array" ref="Q87">IF(A87="","",IFERROR(TRIM(INDEX(_xlfn.TEXTSPLIT(IFERROR(VLOOKUP(A87,'Production Schedule'!$B:$FU,150,FALSE),""),CHAR(10)),3)),""))</f>
        <v>Fab</v>
      </c>
      <c r="R87" s="28">
        <f t="shared" si="10"/>
        <v>46140</v>
      </c>
      <c r="S87" s="27" t="str" cm="1">
        <f t="array" ref="S87">IF(A87="","",IFERROR(TRIM(INDEX(_xlfn.TEXTSPLIT(IFERROR(VLOOKUP(A87,'Production Schedule'!$B:$FU,150,FALSE),""),CHAR(10)),4)),""))</f>
        <v/>
      </c>
      <c r="T87" s="28" t="str">
        <f t="shared" si="11"/>
        <v/>
      </c>
      <c r="U87" s="27" t="str" cm="1">
        <f t="array" ref="U87">IF(A87="","",IFERROR(TRIM(INDEX(_xlfn.TEXTSPLIT(IFERROR(VLOOKUP(A87,'Production Schedule'!$B:$FU,150,FALSE),""),CHAR(10)),5)),""))</f>
        <v/>
      </c>
      <c r="V87" s="28" t="str">
        <f t="shared" si="12"/>
        <v/>
      </c>
      <c r="W87" s="27" t="str" cm="1">
        <f t="array" ref="W87">IF(A87="","",IFERROR(TRIM(INDEX(_xlfn.TEXTSPLIT(IFERROR(VLOOKUP(A87,'Production Schedule'!$B:$FU,150,FALSE),""),CHAR(10)),6)),""))</f>
        <v/>
      </c>
      <c r="X87" s="28" t="str">
        <f t="shared" si="13"/>
        <v/>
      </c>
      <c r="Y87" s="30">
        <f t="shared" si="14"/>
        <v>46150</v>
      </c>
      <c r="Z87" s="31" t="str">
        <f>IF(A87="","",IF(IFERROR(VLOOKUP(A87,Notes!A:B,2,FALSE),"")=0,"",VLOOKUP(A87,Notes!A:B,2,FALSE)))</f>
        <v>04/16/2026…Evaluation</v>
      </c>
      <c r="AA87" s="18">
        <f t="shared" si="15"/>
        <v>1</v>
      </c>
    </row>
    <row r="88" spans="1:27" x14ac:dyDescent="0.25">
      <c r="A88" s="20" t="str">
        <v>24074-FS09</v>
      </c>
      <c r="B88" s="20" t="str">
        <f>IF(A88="","",IFERROR(VLOOKUP(A88,'Production Schedule'!$B:$FU,3,FALSE),""))</f>
        <v>DIDD ACM</v>
      </c>
      <c r="C88" s="20" t="str">
        <f>IF(A88="","",IFERROR(VLOOKUP(A88,'Production Schedule'!$B:$FU,5,FALSE),""))</f>
        <v>Dillon Bowman</v>
      </c>
      <c r="D88" s="20">
        <f>IF(A88="","",IFERROR(VLOOKUP(A88,'Production Schedule'!$B:$FU,7,FALSE),""))</f>
        <v>400</v>
      </c>
      <c r="E88" s="20">
        <f>IF(A88="","",IFERROR(VLOOKUP(A88,'Production Schedule'!$B:$FU,17,FALSE),""))</f>
        <v>120</v>
      </c>
      <c r="F88" s="20">
        <f>IF(A88="","",IFERROR(VLOOKUP(A88,'Production Schedule'!$B:$FU,18,FALSE),""))</f>
        <v>0</v>
      </c>
      <c r="G88" s="20" t="str">
        <f>IF(A88="","",IFERROR(VLOOKUP(A88,'Production Schedule'!$B:$FU,25,FALSE),""))</f>
        <v>FR ACM</v>
      </c>
      <c r="H88" s="21">
        <f>IF(A88="","",IFERROR(VLOOKUP(A88,'Production Schedule'!$B:$FU,47,FALSE),""))</f>
        <v>46100.357967731485</v>
      </c>
      <c r="I88" s="21">
        <f>IF(A88="","",IFERROR(VLOOKUP(A88,'Production Schedule'!$B:$FU,54,FALSE),""))</f>
        <v>46156</v>
      </c>
      <c r="J88" s="32">
        <f>IF(A88="","",IFERROR(VLOOKUP(A88,'Production Schedule'!$B:$FU,135,FALSE),""))</f>
        <v>200</v>
      </c>
      <c r="K88" s="20" t="str">
        <f>IF(A88="","",IFERROR(VLOOKUP(A88,'Production Schedule'!$B:$FU,59,FALSE),""))</f>
        <v>YES</v>
      </c>
      <c r="L88" s="20" t="str">
        <f>IF(A88="","",IFERROR(VLOOKUP(A88,'Production Schedule'!$B:$FU,80,FALSE),""))</f>
        <v>LO Check</v>
      </c>
      <c r="M88" s="33" t="str" cm="1">
        <f t="array" ref="M88">IF(A88="","",IFERROR(TRIM(INDEX(_xlfn.TEXTSPLIT(IFERROR(VLOOKUP(A88,'Production Schedule'!$B:$FU,150,FALSE),""),CHAR(10)),1)),""))</f>
        <v>AXYZ</v>
      </c>
      <c r="N88" s="34">
        <f t="shared" si="8"/>
        <v>46129</v>
      </c>
      <c r="O88" s="35" t="str" cm="1">
        <f t="array" ref="O88">IF(A88="","",IFERROR(TRIM(INDEX(_xlfn.TEXTSPLIT(IFERROR(VLOOKUP(A88,'Production Schedule'!$B:$FU,150,FALSE),""),CHAR(10)),2)),""))</f>
        <v>Clean and Brake</v>
      </c>
      <c r="P88" s="34">
        <f t="shared" si="9"/>
        <v>46133</v>
      </c>
      <c r="Q88" s="33" t="str" cm="1">
        <f t="array" ref="Q88">IF(A88="","",IFERROR(TRIM(INDEX(_xlfn.TEXTSPLIT(IFERROR(VLOOKUP(A88,'Production Schedule'!$B:$FU,150,FALSE),""),CHAR(10)),3)),""))</f>
        <v>Fab</v>
      </c>
      <c r="R88" s="34">
        <f t="shared" si="10"/>
        <v>46143</v>
      </c>
      <c r="S88" s="33" t="str" cm="1">
        <f t="array" ref="S88">IF(A88="","",IFERROR(TRIM(INDEX(_xlfn.TEXTSPLIT(IFERROR(VLOOKUP(A88,'Production Schedule'!$B:$FU,150,FALSE),""),CHAR(10)),4)),""))</f>
        <v/>
      </c>
      <c r="T88" s="34" t="str">
        <f t="shared" si="11"/>
        <v/>
      </c>
      <c r="U88" s="33" t="str" cm="1">
        <f t="array" ref="U88">IF(A88="","",IFERROR(TRIM(INDEX(_xlfn.TEXTSPLIT(IFERROR(VLOOKUP(A88,'Production Schedule'!$B:$FU,150,FALSE),""),CHAR(10)),5)),""))</f>
        <v/>
      </c>
      <c r="V88" s="34" t="str">
        <f t="shared" si="12"/>
        <v/>
      </c>
      <c r="W88" s="33" t="str" cm="1">
        <f t="array" ref="W88">IF(A88="","",IFERROR(TRIM(INDEX(_xlfn.TEXTSPLIT(IFERROR(VLOOKUP(A88,'Production Schedule'!$B:$FU,150,FALSE),""),CHAR(10)),6)),""))</f>
        <v/>
      </c>
      <c r="X88" s="34" t="str">
        <f t="shared" si="13"/>
        <v/>
      </c>
      <c r="Y88" s="36">
        <f t="shared" si="14"/>
        <v>46154</v>
      </c>
      <c r="Z88" s="37" t="str">
        <f>IF(A88="","",IF(IFERROR(VLOOKUP(A88,Notes!A:B,2,FALSE),"")=0,"",VLOOKUP(A88,Notes!A:B,2,FALSE)))</f>
        <v>04/16/2026…LO Check</v>
      </c>
      <c r="AA88" s="20">
        <f t="shared" si="15"/>
        <v>1</v>
      </c>
    </row>
    <row r="89" spans="1:27" x14ac:dyDescent="0.25">
      <c r="A89" s="18" t="str">
        <v>24079-FL14</v>
      </c>
      <c r="B89" s="18" t="str">
        <f>IF(A89="","",IFERROR(VLOOKUP(A89,'Production Schedule'!$B:$FU,3,FALSE),""))</f>
        <v>Nashville Youth Campus</v>
      </c>
      <c r="C89" s="18" t="str">
        <f>IF(A89="","",IFERROR(VLOOKUP(A89,'Production Schedule'!$B:$FU,5,FALSE),""))</f>
        <v>Joe Hoyle</v>
      </c>
      <c r="D89" s="18">
        <f>IF(A89="","",IFERROR(VLOOKUP(A89,'Production Schedule'!$B:$FU,7,FALSE),""))</f>
        <v>0</v>
      </c>
      <c r="E89" s="18">
        <f>IF(A89="","",IFERROR(VLOOKUP(A89,'Production Schedule'!$B:$FU,17,FALSE),""))</f>
        <v>0</v>
      </c>
      <c r="F89" s="18">
        <f>IF(A89="","",IFERROR(VLOOKUP(A89,'Production Schedule'!$B:$FU,18,FALSE),""))</f>
        <v>520</v>
      </c>
      <c r="G89" s="18" t="str">
        <f>IF(A89="","",IFERROR(VLOOKUP(A89,'Production Schedule'!$B:$FU,25,FALSE),""))</f>
        <v>Alum Sheet</v>
      </c>
      <c r="H89" s="19">
        <f>IF(A89="","",IFERROR(VLOOKUP(A89,'Production Schedule'!$B:$FU,47,FALSE),""))</f>
        <v>46128.44106582176</v>
      </c>
      <c r="I89" s="19">
        <f>IF(A89="","",IFERROR(VLOOKUP(A89,'Production Schedule'!$B:$FU,54,FALSE),""))</f>
        <v>46156</v>
      </c>
      <c r="J89" s="26">
        <f>IF(A89="","",IFERROR(VLOOKUP(A89,'Production Schedule'!$B:$FU,135,FALSE),""))</f>
        <v>40</v>
      </c>
      <c r="K89" s="18" t="str">
        <f>IF(A89="","",IFERROR(VLOOKUP(A89,'Production Schedule'!$B:$FU,59,FALSE),""))</f>
        <v>NO</v>
      </c>
      <c r="L89" s="38" t="str">
        <f>IF(A89="","",IFERROR(VLOOKUP(A89,'Production Schedule'!$B:$FU,80,FALSE),""))</f>
        <v>Evaluation</v>
      </c>
      <c r="M89" s="27" t="str" cm="1">
        <f t="array" ref="M89">IF(A89="","",IFERROR(TRIM(INDEX(_xlfn.TEXTSPLIT(IFERROR(VLOOKUP(A89,'Production Schedule'!$B:$FU,150,FALSE),""),CHAR(10)),1)),""))</f>
        <v/>
      </c>
      <c r="N89" s="28" t="str">
        <f t="shared" si="8"/>
        <v/>
      </c>
      <c r="O89" s="27" t="str" cm="1">
        <f t="array" ref="O89">IF(A89="","",IFERROR(TRIM(INDEX(_xlfn.TEXTSPLIT(IFERROR(VLOOKUP(A89,'Production Schedule'!$B:$FU,150,FALSE),""),CHAR(10)),2)),""))</f>
        <v/>
      </c>
      <c r="P89" s="28" t="str">
        <f t="shared" si="9"/>
        <v/>
      </c>
      <c r="Q89" s="27" t="str" cm="1">
        <f t="array" ref="Q89">IF(A89="","",IFERROR(TRIM(INDEX(_xlfn.TEXTSPLIT(IFERROR(VLOOKUP(A89,'Production Schedule'!$B:$FU,150,FALSE),""),CHAR(10)),3)),""))</f>
        <v/>
      </c>
      <c r="R89" s="28" t="str">
        <f t="shared" si="10"/>
        <v/>
      </c>
      <c r="S89" s="27" t="str" cm="1">
        <f t="array" ref="S89">IF(A89="","",IFERROR(TRIM(INDEX(_xlfn.TEXTSPLIT(IFERROR(VLOOKUP(A89,'Production Schedule'!$B:$FU,150,FALSE),""),CHAR(10)),4)),""))</f>
        <v/>
      </c>
      <c r="T89" s="28" t="str">
        <f t="shared" si="11"/>
        <v/>
      </c>
      <c r="U89" s="27" t="str" cm="1">
        <f t="array" ref="U89">IF(A89="","",IFERROR(TRIM(INDEX(_xlfn.TEXTSPLIT(IFERROR(VLOOKUP(A89,'Production Schedule'!$B:$FU,150,FALSE),""),CHAR(10)),5)),""))</f>
        <v/>
      </c>
      <c r="V89" s="28" t="str">
        <f t="shared" si="12"/>
        <v/>
      </c>
      <c r="W89" s="27" t="str" cm="1">
        <f t="array" ref="W89">IF(A89="","",IFERROR(TRIM(INDEX(_xlfn.TEXTSPLIT(IFERROR(VLOOKUP(A89,'Production Schedule'!$B:$FU,150,FALSE),""),CHAR(10)),6)),""))</f>
        <v/>
      </c>
      <c r="X89" s="28" t="str">
        <f t="shared" si="13"/>
        <v/>
      </c>
      <c r="Y89" s="30">
        <f t="shared" si="14"/>
        <v>46154</v>
      </c>
      <c r="Z89" s="31" t="str">
        <f>IF(A89="","",IF(IFERROR(VLOOKUP(A89,Notes!A:B,2,FALSE),"")=0,"",VLOOKUP(A89,Notes!A:B,2,FALSE)))</f>
        <v>04/16/2026…</v>
      </c>
      <c r="AA89" s="18">
        <f t="shared" si="15"/>
        <v>1</v>
      </c>
    </row>
    <row r="90" spans="1:27" x14ac:dyDescent="0.25">
      <c r="A90" s="20" t="str">
        <v>25006-FS04</v>
      </c>
      <c r="B90" s="20" t="str">
        <f>IF(A90="","",IFERROR(VLOOKUP(A90,'Production Schedule'!$B:$FU,3,FALSE),""))</f>
        <v>MALETA Housing and Dining</v>
      </c>
      <c r="C90" s="20" t="str">
        <f>IF(A90="","",IFERROR(VLOOKUP(A90,'Production Schedule'!$B:$FU,5,FALSE),""))</f>
        <v>Cole Norona</v>
      </c>
      <c r="D90" s="20">
        <f>IF(A90="","",IFERROR(VLOOKUP(A90,'Production Schedule'!$B:$FU,7,FALSE),""))</f>
        <v>400</v>
      </c>
      <c r="E90" s="20">
        <f>IF(A90="","",IFERROR(VLOOKUP(A90,'Production Schedule'!$B:$FU,17,FALSE),""))</f>
        <v>232</v>
      </c>
      <c r="F90" s="20">
        <f>IF(A90="","",IFERROR(VLOOKUP(A90,'Production Schedule'!$B:$FU,18,FALSE),""))</f>
        <v>0</v>
      </c>
      <c r="G90" s="20" t="str">
        <f>IF(A90="","",IFERROR(VLOOKUP(A90,'Production Schedule'!$B:$FU,25,FALSE),""))</f>
        <v>FR ACM</v>
      </c>
      <c r="H90" s="21">
        <f>IF(A90="","",IFERROR(VLOOKUP(A90,'Production Schedule'!$B:$FU,47,FALSE),""))</f>
        <v>46092.330309594909</v>
      </c>
      <c r="I90" s="21">
        <f>IF(A90="","",IFERROR(VLOOKUP(A90,'Production Schedule'!$B:$FU,54,FALSE),""))</f>
        <v>46157</v>
      </c>
      <c r="J90" s="32">
        <f>IF(A90="","",IFERROR(VLOOKUP(A90,'Production Schedule'!$B:$FU,135,FALSE),""))</f>
        <v>360</v>
      </c>
      <c r="K90" s="20" t="str">
        <f>IF(A90="","",IFERROR(VLOOKUP(A90,'Production Schedule'!$B:$FU,59,FALSE),""))</f>
        <v>YES</v>
      </c>
      <c r="L90" s="39" t="str">
        <f>IF(A90="","",IFERROR(VLOOKUP(A90,'Production Schedule'!$B:$FU,80,FALSE),""))</f>
        <v>LO Check</v>
      </c>
      <c r="M90" s="33" t="str" cm="1">
        <f t="array" ref="M90">IF(A90="","",IFERROR(TRIM(INDEX(_xlfn.TEXTSPLIT(IFERROR(VLOOKUP(A90,'Production Schedule'!$B:$FU,150,FALSE),""),CHAR(10)),1)),""))</f>
        <v>AXYZ</v>
      </c>
      <c r="N90" s="34">
        <f t="shared" si="8"/>
        <v>46128</v>
      </c>
      <c r="O90" s="33" t="str" cm="1">
        <f t="array" ref="O90">IF(A90="","",IFERROR(TRIM(INDEX(_xlfn.TEXTSPLIT(IFERROR(VLOOKUP(A90,'Production Schedule'!$B:$FU,150,FALSE),""),CHAR(10)),2)),""))</f>
        <v>Clean and Brake</v>
      </c>
      <c r="P90" s="34">
        <f t="shared" si="9"/>
        <v>46134</v>
      </c>
      <c r="Q90" s="33" t="str" cm="1">
        <f t="array" ref="Q90">IF(A90="","",IFERROR(TRIM(INDEX(_xlfn.TEXTSPLIT(IFERROR(VLOOKUP(A90,'Production Schedule'!$B:$FU,150,FALSE),""),CHAR(10)),3)),""))</f>
        <v>Fab</v>
      </c>
      <c r="R90" s="34">
        <f t="shared" si="10"/>
        <v>46144</v>
      </c>
      <c r="S90" s="33" t="str" cm="1">
        <f t="array" ref="S90">IF(A90="","",IFERROR(TRIM(INDEX(_xlfn.TEXTSPLIT(IFERROR(VLOOKUP(A90,'Production Schedule'!$B:$FU,150,FALSE),""),CHAR(10)),4)),""))</f>
        <v/>
      </c>
      <c r="T90" s="34" t="str">
        <f t="shared" si="11"/>
        <v/>
      </c>
      <c r="U90" s="33" t="str" cm="1">
        <f t="array" ref="U90">IF(A90="","",IFERROR(TRIM(INDEX(_xlfn.TEXTSPLIT(IFERROR(VLOOKUP(A90,'Production Schedule'!$B:$FU,150,FALSE),""),CHAR(10)),5)),""))</f>
        <v/>
      </c>
      <c r="V90" s="34" t="str">
        <f t="shared" si="12"/>
        <v/>
      </c>
      <c r="W90" s="33" t="str" cm="1">
        <f t="array" ref="W90">IF(A90="","",IFERROR(TRIM(INDEX(_xlfn.TEXTSPLIT(IFERROR(VLOOKUP(A90,'Production Schedule'!$B:$FU,150,FALSE),""),CHAR(10)),6)),""))</f>
        <v/>
      </c>
      <c r="X90" s="34" t="str">
        <f t="shared" si="13"/>
        <v/>
      </c>
      <c r="Y90" s="36">
        <f t="shared" si="14"/>
        <v>46155</v>
      </c>
      <c r="Z90" s="37" t="str">
        <f>IF(A90="","",IF(IFERROR(VLOOKUP(A90,Notes!A:B,2,FALSE),"")=0,"",VLOOKUP(A90,Notes!A:B,2,FALSE)))</f>
        <v>HOAR*04/16/2026…LO Check</v>
      </c>
      <c r="AA90" s="20">
        <f t="shared" si="15"/>
        <v>1</v>
      </c>
    </row>
    <row r="91" spans="1:27" x14ac:dyDescent="0.25">
      <c r="A91" s="18" t="str">
        <v>25029-ST52</v>
      </c>
      <c r="B91" s="18" t="str">
        <f>IF(A91="","",IFERROR(VLOOKUP(A91,'Production Schedule'!$B:$FU,3,FALSE),""))</f>
        <v>Lourdes CC Phase 2</v>
      </c>
      <c r="C91" s="18" t="str">
        <f>IF(A91="","",IFERROR(VLOOKUP(A91,'Production Schedule'!$B:$FU,5,FALSE),""))</f>
        <v>Dillon Bowman</v>
      </c>
      <c r="D91" s="18" t="str">
        <f>IF(A91="","",IFERROR(VLOOKUP(A91,'Production Schedule'!$B:$FU,7,FALSE),""))</f>
        <v>TUBE SUPPORT SYSTEM</v>
      </c>
      <c r="E91" s="18">
        <f>IF(A91="","",IFERROR(VLOOKUP(A91,'Production Schedule'!$B:$FU,17,FALSE),""))</f>
        <v>0</v>
      </c>
      <c r="F91" s="18">
        <f>IF(A91="","",IFERROR(VLOOKUP(A91,'Production Schedule'!$B:$FU,18,FALSE),""))</f>
        <v>10</v>
      </c>
      <c r="G91" s="18" t="str">
        <f>IF(A91="","",IFERROR(VLOOKUP(A91,'Production Schedule'!$B:$FU,25,FALSE),""))</f>
        <v>Alum Sheet</v>
      </c>
      <c r="H91" s="19">
        <f>IF(A91="","",IFERROR(VLOOKUP(A91,'Production Schedule'!$B:$FU,47,FALSE),""))</f>
        <v>46107.405239745371</v>
      </c>
      <c r="I91" s="19">
        <f>IF(A91="","",IFERROR(VLOOKUP(A91,'Production Schedule'!$B:$FU,54,FALSE),""))</f>
        <v>46157</v>
      </c>
      <c r="J91" s="26">
        <f>IF(A91="","",IFERROR(VLOOKUP(A91,'Production Schedule'!$B:$FU,135,FALSE),""))</f>
        <v>3</v>
      </c>
      <c r="K91" s="18" t="str">
        <f>IF(A91="","",IFERROR(VLOOKUP(A91,'Production Schedule'!$B:$FU,59,FALSE),""))</f>
        <v>NO</v>
      </c>
      <c r="L91" s="18" t="str">
        <f>IF(A91="","",IFERROR(VLOOKUP(A91,'Production Schedule'!$B:$FU,80,FALSE),""))</f>
        <v>Correction</v>
      </c>
      <c r="M91" s="27" t="str" cm="1">
        <f t="array" ref="M91">IF(A91="","",IFERROR(TRIM(INDEX(_xlfn.TEXTSPLIT(IFERROR(VLOOKUP(A91,'Production Schedule'!$B:$FU,150,FALSE),""),CHAR(10)),1)),""))</f>
        <v>Flat Laser</v>
      </c>
      <c r="N91" s="28">
        <f t="shared" si="8"/>
        <v>46123</v>
      </c>
      <c r="O91" s="27" t="str" cm="1">
        <f t="array" ref="O91">IF(A91="","",IFERROR(TRIM(INDEX(_xlfn.TEXTSPLIT(IFERROR(VLOOKUP(A91,'Production Schedule'!$B:$FU,150,FALSE),""),CHAR(10)),2)),""))</f>
        <v>Powder Coat</v>
      </c>
      <c r="P91" s="28">
        <f t="shared" si="9"/>
        <v>46127</v>
      </c>
      <c r="Q91" s="27" t="str" cm="1">
        <f t="array" ref="Q91">IF(A91="","",IFERROR(TRIM(INDEX(_xlfn.TEXTSPLIT(IFERROR(VLOOKUP(A91,'Production Schedule'!$B:$FU,150,FALSE),""),CHAR(10)),3)),""))</f>
        <v/>
      </c>
      <c r="R91" s="28" t="str">
        <f t="shared" si="10"/>
        <v/>
      </c>
      <c r="S91" s="27" t="str" cm="1">
        <f t="array" ref="S91">IF(A91="","",IFERROR(TRIM(INDEX(_xlfn.TEXTSPLIT(IFERROR(VLOOKUP(A91,'Production Schedule'!$B:$FU,150,FALSE),""),CHAR(10)),4)),""))</f>
        <v/>
      </c>
      <c r="T91" s="28" t="str">
        <f t="shared" si="11"/>
        <v/>
      </c>
      <c r="U91" s="27" t="str" cm="1">
        <f t="array" ref="U91">IF(A91="","",IFERROR(TRIM(INDEX(_xlfn.TEXTSPLIT(IFERROR(VLOOKUP(A91,'Production Schedule'!$B:$FU,150,FALSE),""),CHAR(10)),5)),""))</f>
        <v/>
      </c>
      <c r="V91" s="28" t="str">
        <f t="shared" si="12"/>
        <v/>
      </c>
      <c r="W91" s="27" t="str" cm="1">
        <f t="array" ref="W91">IF(A91="","",IFERROR(TRIM(INDEX(_xlfn.TEXTSPLIT(IFERROR(VLOOKUP(A91,'Production Schedule'!$B:$FU,150,FALSE),""),CHAR(10)),6)),""))</f>
        <v/>
      </c>
      <c r="X91" s="28" t="str">
        <f t="shared" si="13"/>
        <v/>
      </c>
      <c r="Y91" s="30">
        <f t="shared" si="14"/>
        <v>46155</v>
      </c>
      <c r="Z91" s="31" t="str">
        <f>IF(A91="","",IF(IFERROR(VLOOKUP(A91,Notes!A:B,2,FALSE),"")=0,"",VLOOKUP(A91,Notes!A:B,2,FALSE)))</f>
        <v>04/16/2026…Correction</v>
      </c>
      <c r="AA91" s="18">
        <f t="shared" si="15"/>
        <v>1</v>
      </c>
    </row>
    <row r="92" spans="1:27" x14ac:dyDescent="0.25">
      <c r="A92" s="20" t="str">
        <v>25029-ST70</v>
      </c>
      <c r="B92" s="20" t="str">
        <f>IF(A92="","",IFERROR(VLOOKUP(A92,'Production Schedule'!$B:$FU,3,FALSE),""))</f>
        <v>Lourdes CC Phase 2</v>
      </c>
      <c r="C92" s="20" t="str">
        <f>IF(A92="","",IFERROR(VLOOKUP(A92,'Production Schedule'!$B:$FU,5,FALSE),""))</f>
        <v>Dillon Bowman</v>
      </c>
      <c r="D92" s="20" t="str">
        <f>IF(A92="","",IFERROR(VLOOKUP(A92,'Production Schedule'!$B:$FU,7,FALSE),""))</f>
        <v>CUSTOM ARCH</v>
      </c>
      <c r="E92" s="20">
        <f>IF(A92="","",IFERROR(VLOOKUP(A92,'Production Schedule'!$B:$FU,17,FALSE),""))</f>
        <v>0</v>
      </c>
      <c r="F92" s="20">
        <f>IF(A92="","",IFERROR(VLOOKUP(A92,'Production Schedule'!$B:$FU,18,FALSE),""))</f>
        <v>6</v>
      </c>
      <c r="G92" s="20" t="str">
        <f>IF(A92="","",IFERROR(VLOOKUP(A92,'Production Schedule'!$B:$FU,25,FALSE),""))</f>
        <v>Steel Sheet</v>
      </c>
      <c r="H92" s="21">
        <f>IF(A92="","",IFERROR(VLOOKUP(A92,'Production Schedule'!$B:$FU,47,FALSE),""))</f>
        <v>46112.61362405093</v>
      </c>
      <c r="I92" s="21">
        <f>IF(A92="","",IFERROR(VLOOKUP(A92,'Production Schedule'!$B:$FU,54,FALSE),""))</f>
        <v>46157</v>
      </c>
      <c r="J92" s="32">
        <f>IF(A92="","",IFERROR(VLOOKUP(A92,'Production Schedule'!$B:$FU,135,FALSE),""))</f>
        <v>2</v>
      </c>
      <c r="K92" s="20" t="str">
        <f>IF(A92="","",IFERROR(VLOOKUP(A92,'Production Schedule'!$B:$FU,59,FALSE),""))</f>
        <v>NO</v>
      </c>
      <c r="L92" s="39" t="str">
        <f>IF(A92="","",IFERROR(VLOOKUP(A92,'Production Schedule'!$B:$FU,80,FALSE),""))</f>
        <v>Sketch Check</v>
      </c>
      <c r="M92" s="33" t="str" cm="1">
        <f t="array" ref="M92">IF(A92="","",IFERROR(TRIM(INDEX(_xlfn.TEXTSPLIT(IFERROR(VLOOKUP(A92,'Production Schedule'!$B:$FU,150,FALSE),""),CHAR(10)),1)),""))</f>
        <v>Flat Laser</v>
      </c>
      <c r="N92" s="34">
        <f t="shared" si="8"/>
        <v>46151</v>
      </c>
      <c r="O92" s="33" t="str" cm="1">
        <f t="array" ref="O92">IF(A92="","",IFERROR(TRIM(INDEX(_xlfn.TEXTSPLIT(IFERROR(VLOOKUP(A92,'Production Schedule'!$B:$FU,150,FALSE),""),CHAR(10)),2)),""))</f>
        <v/>
      </c>
      <c r="P92" s="34" t="str">
        <f t="shared" si="9"/>
        <v/>
      </c>
      <c r="Q92" s="33" t="str" cm="1">
        <f t="array" ref="Q92">IF(A92="","",IFERROR(TRIM(INDEX(_xlfn.TEXTSPLIT(IFERROR(VLOOKUP(A92,'Production Schedule'!$B:$FU,150,FALSE),""),CHAR(10)),3)),""))</f>
        <v/>
      </c>
      <c r="R92" s="34" t="str">
        <f t="shared" si="10"/>
        <v/>
      </c>
      <c r="S92" s="33" t="str" cm="1">
        <f t="array" ref="S92">IF(A92="","",IFERROR(TRIM(INDEX(_xlfn.TEXTSPLIT(IFERROR(VLOOKUP(A92,'Production Schedule'!$B:$FU,150,FALSE),""),CHAR(10)),4)),""))</f>
        <v/>
      </c>
      <c r="T92" s="34" t="str">
        <f t="shared" si="11"/>
        <v/>
      </c>
      <c r="U92" s="33" t="str" cm="1">
        <f t="array" ref="U92">IF(A92="","",IFERROR(TRIM(INDEX(_xlfn.TEXTSPLIT(IFERROR(VLOOKUP(A92,'Production Schedule'!$B:$FU,150,FALSE),""),CHAR(10)),5)),""))</f>
        <v/>
      </c>
      <c r="V92" s="34" t="str">
        <f t="shared" si="12"/>
        <v/>
      </c>
      <c r="W92" s="33" t="str" cm="1">
        <f t="array" ref="W92">IF(A92="","",IFERROR(TRIM(INDEX(_xlfn.TEXTSPLIT(IFERROR(VLOOKUP(A92,'Production Schedule'!$B:$FU,150,FALSE),""),CHAR(10)),6)),""))</f>
        <v/>
      </c>
      <c r="X92" s="34" t="str">
        <f t="shared" si="13"/>
        <v/>
      </c>
      <c r="Y92" s="36">
        <f t="shared" si="14"/>
        <v>46155</v>
      </c>
      <c r="Z92" s="37" t="str">
        <f>IF(A92="","",IF(IFERROR(VLOOKUP(A92,Notes!A:B,2,FALSE),"")=0,"",VLOOKUP(A92,Notes!A:B,2,FALSE)))</f>
        <v>04/16/2026…Sketch Check</v>
      </c>
      <c r="AA92" s="20">
        <f t="shared" si="15"/>
        <v>1</v>
      </c>
    </row>
    <row r="93" spans="1:27" x14ac:dyDescent="0.25">
      <c r="A93" s="18" t="str">
        <v>25029-ST71</v>
      </c>
      <c r="B93" s="18" t="str">
        <f>IF(A93="","",IFERROR(VLOOKUP(A93,'Production Schedule'!$B:$FU,3,FALSE),""))</f>
        <v>Lourdes CC Phase 2</v>
      </c>
      <c r="C93" s="18" t="str">
        <f>IF(A93="","",IFERROR(VLOOKUP(A93,'Production Schedule'!$B:$FU,5,FALSE),""))</f>
        <v>Dillon Bowman</v>
      </c>
      <c r="D93" s="18" t="str">
        <f>IF(A93="","",IFERROR(VLOOKUP(A93,'Production Schedule'!$B:$FU,7,FALSE),""))</f>
        <v>CUSTOM ARCH</v>
      </c>
      <c r="E93" s="18">
        <f>IF(A93="","",IFERROR(VLOOKUP(A93,'Production Schedule'!$B:$FU,17,FALSE),""))</f>
        <v>0</v>
      </c>
      <c r="F93" s="18">
        <f>IF(A93="","",IFERROR(VLOOKUP(A93,'Production Schedule'!$B:$FU,18,FALSE),""))</f>
        <v>1</v>
      </c>
      <c r="G93" s="18" t="str">
        <f>IF(A93="","",IFERROR(VLOOKUP(A93,'Production Schedule'!$B:$FU,25,FALSE),""))</f>
        <v>Steel Tube</v>
      </c>
      <c r="H93" s="19">
        <f>IF(A93="","",IFERROR(VLOOKUP(A93,'Production Schedule'!$B:$FU,47,FALSE),""))</f>
        <v>46112.615960717594</v>
      </c>
      <c r="I93" s="19">
        <f>IF(A93="","",IFERROR(VLOOKUP(A93,'Production Schedule'!$B:$FU,54,FALSE),""))</f>
        <v>46157</v>
      </c>
      <c r="J93" s="26">
        <f>IF(A93="","",IFERROR(VLOOKUP(A93,'Production Schedule'!$B:$FU,135,FALSE),""))</f>
        <v>3</v>
      </c>
      <c r="K93" s="18" t="str">
        <f>IF(A93="","",IFERROR(VLOOKUP(A93,'Production Schedule'!$B:$FU,59,FALSE),""))</f>
        <v>NO</v>
      </c>
      <c r="L93" s="38" t="str">
        <f>IF(A93="","",IFERROR(VLOOKUP(A93,'Production Schedule'!$B:$FU,80,FALSE),""))</f>
        <v>Sketch</v>
      </c>
      <c r="M93" s="27" t="str" cm="1">
        <f t="array" ref="M93">IF(A93="","",IFERROR(TRIM(INDEX(_xlfn.TEXTSPLIT(IFERROR(VLOOKUP(A93,'Production Schedule'!$B:$FU,150,FALSE),""),CHAR(10)),1)),""))</f>
        <v>Tube Laser</v>
      </c>
      <c r="N93" s="28">
        <f t="shared" si="8"/>
        <v>46144</v>
      </c>
      <c r="O93" s="27" t="str" cm="1">
        <f t="array" ref="O93">IF(A93="","",IFERROR(TRIM(INDEX(_xlfn.TEXTSPLIT(IFERROR(VLOOKUP(A93,'Production Schedule'!$B:$FU,150,FALSE),""),CHAR(10)),2)),""))</f>
        <v/>
      </c>
      <c r="P93" s="28" t="str">
        <f t="shared" si="9"/>
        <v/>
      </c>
      <c r="Q93" s="27" t="str" cm="1">
        <f t="array" ref="Q93">IF(A93="","",IFERROR(TRIM(INDEX(_xlfn.TEXTSPLIT(IFERROR(VLOOKUP(A93,'Production Schedule'!$B:$FU,150,FALSE),""),CHAR(10)),3)),""))</f>
        <v/>
      </c>
      <c r="R93" s="28" t="str">
        <f t="shared" si="10"/>
        <v/>
      </c>
      <c r="S93" s="27" t="str" cm="1">
        <f t="array" ref="S93">IF(A93="","",IFERROR(TRIM(INDEX(_xlfn.TEXTSPLIT(IFERROR(VLOOKUP(A93,'Production Schedule'!$B:$FU,150,FALSE),""),CHAR(10)),4)),""))</f>
        <v/>
      </c>
      <c r="T93" s="28" t="str">
        <f t="shared" si="11"/>
        <v/>
      </c>
      <c r="U93" s="27" t="str" cm="1">
        <f t="array" ref="U93">IF(A93="","",IFERROR(TRIM(INDEX(_xlfn.TEXTSPLIT(IFERROR(VLOOKUP(A93,'Production Schedule'!$B:$FU,150,FALSE),""),CHAR(10)),5)),""))</f>
        <v/>
      </c>
      <c r="V93" s="28" t="str">
        <f t="shared" si="12"/>
        <v/>
      </c>
      <c r="W93" s="27" t="str" cm="1">
        <f t="array" ref="W93">IF(A93="","",IFERROR(TRIM(INDEX(_xlfn.TEXTSPLIT(IFERROR(VLOOKUP(A93,'Production Schedule'!$B:$FU,150,FALSE),""),CHAR(10)),6)),""))</f>
        <v/>
      </c>
      <c r="X93" s="28" t="str">
        <f t="shared" si="13"/>
        <v/>
      </c>
      <c r="Y93" s="30">
        <f t="shared" si="14"/>
        <v>46155</v>
      </c>
      <c r="Z93" s="31" t="str">
        <f>IF(A93="","",IF(IFERROR(VLOOKUP(A93,Notes!A:B,2,FALSE),"")=0,"",VLOOKUP(A93,Notes!A:B,2,FALSE)))</f>
        <v>04/16/2026…Sketch</v>
      </c>
      <c r="AA93" s="18">
        <f t="shared" si="15"/>
        <v>1</v>
      </c>
    </row>
    <row r="94" spans="1:27" x14ac:dyDescent="0.25">
      <c r="A94" s="20" t="str">
        <v>25029-ST72</v>
      </c>
      <c r="B94" s="20" t="str">
        <f>IF(A94="","",IFERROR(VLOOKUP(A94,'Production Schedule'!$B:$FU,3,FALSE),""))</f>
        <v>Lourdes CC Phase 2</v>
      </c>
      <c r="C94" s="20" t="str">
        <f>IF(A94="","",IFERROR(VLOOKUP(A94,'Production Schedule'!$B:$FU,5,FALSE),""))</f>
        <v>Dillon Bowman</v>
      </c>
      <c r="D94" s="20" t="str">
        <f>IF(A94="","",IFERROR(VLOOKUP(A94,'Production Schedule'!$B:$FU,7,FALSE),""))</f>
        <v>CUSTOM ARCH</v>
      </c>
      <c r="E94" s="20">
        <f>IF(A94="","",IFERROR(VLOOKUP(A94,'Production Schedule'!$B:$FU,17,FALSE),""))</f>
        <v>0</v>
      </c>
      <c r="F94" s="20">
        <f>IF(A94="","",IFERROR(VLOOKUP(A94,'Production Schedule'!$B:$FU,18,FALSE),""))</f>
        <v>1</v>
      </c>
      <c r="G94" s="20" t="str">
        <f>IF(A94="","",IFERROR(VLOOKUP(A94,'Production Schedule'!$B:$FU,25,FALSE),""))</f>
        <v>Steel Sheet</v>
      </c>
      <c r="H94" s="21">
        <f>IF(A94="","",IFERROR(VLOOKUP(A94,'Production Schedule'!$B:$FU,47,FALSE),""))</f>
        <v>46112.617983634256</v>
      </c>
      <c r="I94" s="21">
        <f>IF(A94="","",IFERROR(VLOOKUP(A94,'Production Schedule'!$B:$FU,54,FALSE),""))</f>
        <v>46157</v>
      </c>
      <c r="J94" s="32">
        <f>IF(A94="","",IFERROR(VLOOKUP(A94,'Production Schedule'!$B:$FU,135,FALSE),""))</f>
        <v>10</v>
      </c>
      <c r="K94" s="20" t="str">
        <f>IF(A94="","",IFERROR(VLOOKUP(A94,'Production Schedule'!$B:$FU,59,FALSE),""))</f>
        <v>NO</v>
      </c>
      <c r="L94" s="20" t="str">
        <f>IF(A94="","",IFERROR(VLOOKUP(A94,'Production Schedule'!$B:$FU,80,FALSE),""))</f>
        <v>Sketch Check</v>
      </c>
      <c r="M94" s="33" t="str" cm="1">
        <f t="array" ref="M94">IF(A94="","",IFERROR(TRIM(INDEX(_xlfn.TEXTSPLIT(IFERROR(VLOOKUP(A94,'Production Schedule'!$B:$FU,150,FALSE),""),CHAR(10)),1)),""))</f>
        <v>Flat Laser</v>
      </c>
      <c r="N94" s="34">
        <f t="shared" si="8"/>
        <v>46151</v>
      </c>
      <c r="O94" s="33" t="str" cm="1">
        <f t="array" ref="O94">IF(A94="","",IFERROR(TRIM(INDEX(_xlfn.TEXTSPLIT(IFERROR(VLOOKUP(A94,'Production Schedule'!$B:$FU,150,FALSE),""),CHAR(10)),2)),""))</f>
        <v/>
      </c>
      <c r="P94" s="34" t="str">
        <f t="shared" si="9"/>
        <v/>
      </c>
      <c r="Q94" s="33" t="str" cm="1">
        <f t="array" ref="Q94">IF(A94="","",IFERROR(TRIM(INDEX(_xlfn.TEXTSPLIT(IFERROR(VLOOKUP(A94,'Production Schedule'!$B:$FU,150,FALSE),""),CHAR(10)),3)),""))</f>
        <v/>
      </c>
      <c r="R94" s="34" t="str">
        <f t="shared" si="10"/>
        <v/>
      </c>
      <c r="S94" s="33" t="str" cm="1">
        <f t="array" ref="S94">IF(A94="","",IFERROR(TRIM(INDEX(_xlfn.TEXTSPLIT(IFERROR(VLOOKUP(A94,'Production Schedule'!$B:$FU,150,FALSE),""),CHAR(10)),4)),""))</f>
        <v/>
      </c>
      <c r="T94" s="34" t="str">
        <f t="shared" si="11"/>
        <v/>
      </c>
      <c r="U94" s="33" t="str" cm="1">
        <f t="array" ref="U94">IF(A94="","",IFERROR(TRIM(INDEX(_xlfn.TEXTSPLIT(IFERROR(VLOOKUP(A94,'Production Schedule'!$B:$FU,150,FALSE),""),CHAR(10)),5)),""))</f>
        <v/>
      </c>
      <c r="V94" s="34" t="str">
        <f t="shared" si="12"/>
        <v/>
      </c>
      <c r="W94" s="33" t="str" cm="1">
        <f t="array" ref="W94">IF(A94="","",IFERROR(TRIM(INDEX(_xlfn.TEXTSPLIT(IFERROR(VLOOKUP(A94,'Production Schedule'!$B:$FU,150,FALSE),""),CHAR(10)),6)),""))</f>
        <v/>
      </c>
      <c r="X94" s="34" t="str">
        <f t="shared" si="13"/>
        <v/>
      </c>
      <c r="Y94" s="36">
        <f t="shared" si="14"/>
        <v>46155</v>
      </c>
      <c r="Z94" s="37" t="str">
        <f>IF(A94="","",IF(IFERROR(VLOOKUP(A94,Notes!A:B,2,FALSE),"")=0,"",VLOOKUP(A94,Notes!A:B,2,FALSE)))</f>
        <v>04/16/2026…Sketch Check</v>
      </c>
      <c r="AA94" s="20">
        <f t="shared" si="15"/>
        <v>1</v>
      </c>
    </row>
    <row r="95" spans="1:27" x14ac:dyDescent="0.25">
      <c r="A95" s="18" t="str">
        <v>25029-ST51</v>
      </c>
      <c r="B95" s="18" t="str">
        <f>IF(A95="","",IFERROR(VLOOKUP(A95,'Production Schedule'!$B:$FU,3,FALSE),""))</f>
        <v>Lourdes CC Phase 2</v>
      </c>
      <c r="C95" s="18" t="str">
        <f>IF(A95="","",IFERROR(VLOOKUP(A95,'Production Schedule'!$B:$FU,5,FALSE),""))</f>
        <v>Dillon Bowman</v>
      </c>
      <c r="D95" s="18" t="str">
        <f>IF(A95="","",IFERROR(VLOOKUP(A95,'Production Schedule'!$B:$FU,7,FALSE),""))</f>
        <v>GRAVITY</v>
      </c>
      <c r="E95" s="18">
        <f>IF(A95="","",IFERROR(VLOOKUP(A95,'Production Schedule'!$B:$FU,17,FALSE),""))</f>
        <v>0</v>
      </c>
      <c r="F95" s="18">
        <f>IF(A95="","",IFERROR(VLOOKUP(A95,'Production Schedule'!$B:$FU,18,FALSE),""))</f>
        <v>10</v>
      </c>
      <c r="G95" s="18" t="str">
        <f>IF(A95="","",IFERROR(VLOOKUP(A95,'Production Schedule'!$B:$FU,25,FALSE),""))</f>
        <v>Alum Tube</v>
      </c>
      <c r="H95" s="19">
        <f>IF(A95="","",IFERROR(VLOOKUP(A95,'Production Schedule'!$B:$FU,47,FALSE),""))</f>
        <v>46107.395573611109</v>
      </c>
      <c r="I95" s="19">
        <f>IF(A95="","",IFERROR(VLOOKUP(A95,'Production Schedule'!$B:$FU,54,FALSE),""))</f>
        <v>46160</v>
      </c>
      <c r="J95" s="26">
        <f>IF(A95="","",IFERROR(VLOOKUP(A95,'Production Schedule'!$B:$FU,135,FALSE),""))</f>
        <v>5</v>
      </c>
      <c r="K95" s="18" t="str">
        <f>IF(A95="","",IFERROR(VLOOKUP(A95,'Production Schedule'!$B:$FU,59,FALSE),""))</f>
        <v>NO</v>
      </c>
      <c r="L95" s="38" t="str">
        <f>IF(A95="","",IFERROR(VLOOKUP(A95,'Production Schedule'!$B:$FU,80,FALSE),""))</f>
        <v>Correction</v>
      </c>
      <c r="M95" s="27" t="str" cm="1">
        <f t="array" ref="M95">IF(A95="","",IFERROR(TRIM(INDEX(_xlfn.TEXTSPLIT(IFERROR(VLOOKUP(A95,'Production Schedule'!$B:$FU,150,FALSE),""),CHAR(10)),1)),""))</f>
        <v>Powder Coat</v>
      </c>
      <c r="N95" s="28">
        <f t="shared" si="8"/>
        <v>46129</v>
      </c>
      <c r="O95" s="27" t="str" cm="1">
        <f t="array" ref="O95">IF(A95="","",IFERROR(TRIM(INDEX(_xlfn.TEXTSPLIT(IFERROR(VLOOKUP(A95,'Production Schedule'!$B:$FU,150,FALSE),""),CHAR(10)),2)),""))</f>
        <v/>
      </c>
      <c r="P95" s="28" t="str">
        <f t="shared" si="9"/>
        <v/>
      </c>
      <c r="Q95" s="27" t="str" cm="1">
        <f t="array" ref="Q95">IF(A95="","",IFERROR(TRIM(INDEX(_xlfn.TEXTSPLIT(IFERROR(VLOOKUP(A95,'Production Schedule'!$B:$FU,150,FALSE),""),CHAR(10)),3)),""))</f>
        <v/>
      </c>
      <c r="R95" s="28" t="str">
        <f t="shared" si="10"/>
        <v/>
      </c>
      <c r="S95" s="27" t="str" cm="1">
        <f t="array" ref="S95">IF(A95="","",IFERROR(TRIM(INDEX(_xlfn.TEXTSPLIT(IFERROR(VLOOKUP(A95,'Production Schedule'!$B:$FU,150,FALSE),""),CHAR(10)),4)),""))</f>
        <v/>
      </c>
      <c r="T95" s="28" t="str">
        <f t="shared" si="11"/>
        <v/>
      </c>
      <c r="U95" s="27" t="str" cm="1">
        <f t="array" ref="U95">IF(A95="","",IFERROR(TRIM(INDEX(_xlfn.TEXTSPLIT(IFERROR(VLOOKUP(A95,'Production Schedule'!$B:$FU,150,FALSE),""),CHAR(10)),5)),""))</f>
        <v/>
      </c>
      <c r="V95" s="28" t="str">
        <f t="shared" si="12"/>
        <v/>
      </c>
      <c r="W95" s="27" t="str" cm="1">
        <f t="array" ref="W95">IF(A95="","",IFERROR(TRIM(INDEX(_xlfn.TEXTSPLIT(IFERROR(VLOOKUP(A95,'Production Schedule'!$B:$FU,150,FALSE),""),CHAR(10)),6)),""))</f>
        <v/>
      </c>
      <c r="X95" s="28" t="str">
        <f t="shared" si="13"/>
        <v/>
      </c>
      <c r="Y95" s="30">
        <f t="shared" si="14"/>
        <v>46157</v>
      </c>
      <c r="Z95" s="31" t="str">
        <f>IF(A95="","",IF(IFERROR(VLOOKUP(A95,Notes!A:B,2,FALSE),"")=0,"",VLOOKUP(A95,Notes!A:B,2,FALSE)))</f>
        <v>04/16/2026…Correction</v>
      </c>
      <c r="AA95" s="18">
        <f t="shared" si="15"/>
        <v>1</v>
      </c>
    </row>
    <row r="96" spans="1:27" x14ac:dyDescent="0.25">
      <c r="A96" s="20" t="str">
        <v>24079-FS201</v>
      </c>
      <c r="B96" s="20" t="str">
        <f>IF(A96="","",IFERROR(VLOOKUP(A96,'Production Schedule'!$B:$FU,3,FALSE),""))</f>
        <v>Nashville Youth Campus</v>
      </c>
      <c r="C96" s="20" t="str">
        <f>IF(A96="","",IFERROR(VLOOKUP(A96,'Production Schedule'!$B:$FU,5,FALSE),""))</f>
        <v>Joe Hoyle</v>
      </c>
      <c r="D96" s="20">
        <f>IF(A96="","",IFERROR(VLOOKUP(A96,'Production Schedule'!$B:$FU,7,FALSE),""))</f>
        <v>400</v>
      </c>
      <c r="E96" s="20">
        <f>IF(A96="","",IFERROR(VLOOKUP(A96,'Production Schedule'!$B:$FU,17,FALSE),""))</f>
        <v>41</v>
      </c>
      <c r="F96" s="20">
        <f>IF(A96="","",IFERROR(VLOOKUP(A96,'Production Schedule'!$B:$FU,18,FALSE),""))</f>
        <v>0</v>
      </c>
      <c r="G96" s="20" t="str">
        <f>IF(A96="","",IFERROR(VLOOKUP(A96,'Production Schedule'!$B:$FU,25,FALSE),""))</f>
        <v>FR ACM</v>
      </c>
      <c r="H96" s="21">
        <f>IF(A96="","",IFERROR(VLOOKUP(A96,'Production Schedule'!$B:$FU,47,FALSE),""))</f>
        <v>46118.538882175926</v>
      </c>
      <c r="I96" s="21">
        <f>IF(A96="","",IFERROR(VLOOKUP(A96,'Production Schedule'!$B:$FU,54,FALSE),""))</f>
        <v>46160</v>
      </c>
      <c r="J96" s="32">
        <f>IF(A96="","",IFERROR(VLOOKUP(A96,'Production Schedule'!$B:$FU,135,FALSE),""))</f>
        <v>60</v>
      </c>
      <c r="K96" s="20" t="str">
        <f>IF(A96="","",IFERROR(VLOOKUP(A96,'Production Schedule'!$B:$FU,59,FALSE),""))</f>
        <v>YES</v>
      </c>
      <c r="L96" s="39" t="str">
        <f>IF(A96="","",IFERROR(VLOOKUP(A96,'Production Schedule'!$B:$FU,80,FALSE),""))</f>
        <v>LO</v>
      </c>
      <c r="M96" s="33" t="str" cm="1">
        <f t="array" ref="M96">IF(A96="","",IFERROR(TRIM(INDEX(_xlfn.TEXTSPLIT(IFERROR(VLOOKUP(A96,'Production Schedule'!$B:$FU,150,FALSE),""),CHAR(10)),1)),""))</f>
        <v>AXYZ</v>
      </c>
      <c r="N96" s="34">
        <f t="shared" si="8"/>
        <v>46135</v>
      </c>
      <c r="O96" s="33" t="str" cm="1">
        <f t="array" ref="O96">IF(A96="","",IFERROR(TRIM(INDEX(_xlfn.TEXTSPLIT(IFERROR(VLOOKUP(A96,'Production Schedule'!$B:$FU,150,FALSE),""),CHAR(10)),2)),""))</f>
        <v>Clean and Brake</v>
      </c>
      <c r="P96" s="34">
        <f t="shared" si="9"/>
        <v>46136</v>
      </c>
      <c r="Q96" s="33" t="str" cm="1">
        <f t="array" ref="Q96">IF(A96="","",IFERROR(TRIM(INDEX(_xlfn.TEXTSPLIT(IFERROR(VLOOKUP(A96,'Production Schedule'!$B:$FU,150,FALSE),""),CHAR(10)),3)),""))</f>
        <v>Fab</v>
      </c>
      <c r="R96" s="34">
        <f t="shared" si="10"/>
        <v>46147</v>
      </c>
      <c r="S96" s="33" t="str" cm="1">
        <f t="array" ref="S96">IF(A96="","",IFERROR(TRIM(INDEX(_xlfn.TEXTSPLIT(IFERROR(VLOOKUP(A96,'Production Schedule'!$B:$FU,150,FALSE),""),CHAR(10)),4)),""))</f>
        <v/>
      </c>
      <c r="T96" s="34" t="str">
        <f t="shared" si="11"/>
        <v/>
      </c>
      <c r="U96" s="33" t="str" cm="1">
        <f t="array" ref="U96">IF(A96="","",IFERROR(TRIM(INDEX(_xlfn.TEXTSPLIT(IFERROR(VLOOKUP(A96,'Production Schedule'!$B:$FU,150,FALSE),""),CHAR(10)),5)),""))</f>
        <v/>
      </c>
      <c r="V96" s="34" t="str">
        <f t="shared" si="12"/>
        <v/>
      </c>
      <c r="W96" s="33" t="str" cm="1">
        <f t="array" ref="W96">IF(A96="","",IFERROR(TRIM(INDEX(_xlfn.TEXTSPLIT(IFERROR(VLOOKUP(A96,'Production Schedule'!$B:$FU,150,FALSE),""),CHAR(10)),6)),""))</f>
        <v/>
      </c>
      <c r="X96" s="34" t="str">
        <f t="shared" si="13"/>
        <v/>
      </c>
      <c r="Y96" s="36">
        <f t="shared" si="14"/>
        <v>46157</v>
      </c>
      <c r="Z96" s="37" t="str">
        <f>IF(A96="","",IF(IFERROR(VLOOKUP(A96,Notes!A:B,2,FALSE),"")=0,"",VLOOKUP(A96,Notes!A:B,2,FALSE)))</f>
        <v>04/16/2026…LO</v>
      </c>
      <c r="AA96" s="20">
        <f t="shared" si="15"/>
        <v>1</v>
      </c>
    </row>
    <row r="97" spans="1:27" x14ac:dyDescent="0.25">
      <c r="A97" s="18" t="str">
        <v>24079-FS302</v>
      </c>
      <c r="B97" s="18" t="str">
        <f>IF(A97="","",IFERROR(VLOOKUP(A97,'Production Schedule'!$B:$FU,3,FALSE),""))</f>
        <v>Nashville Youth Campus</v>
      </c>
      <c r="C97" s="18" t="str">
        <f>IF(A97="","",IFERROR(VLOOKUP(A97,'Production Schedule'!$B:$FU,5,FALSE),""))</f>
        <v>Joe Hoyle</v>
      </c>
      <c r="D97" s="18">
        <f>IF(A97="","",IFERROR(VLOOKUP(A97,'Production Schedule'!$B:$FU,7,FALSE),""))</f>
        <v>400</v>
      </c>
      <c r="E97" s="18">
        <f>IF(A97="","",IFERROR(VLOOKUP(A97,'Production Schedule'!$B:$FU,17,FALSE),""))</f>
        <v>188</v>
      </c>
      <c r="F97" s="18">
        <f>IF(A97="","",IFERROR(VLOOKUP(A97,'Production Schedule'!$B:$FU,18,FALSE),""))</f>
        <v>0</v>
      </c>
      <c r="G97" s="18" t="str">
        <f>IF(A97="","",IFERROR(VLOOKUP(A97,'Production Schedule'!$B:$FU,25,FALSE),""))</f>
        <v>FR ACM</v>
      </c>
      <c r="H97" s="19">
        <f>IF(A97="","",IFERROR(VLOOKUP(A97,'Production Schedule'!$B:$FU,47,FALSE),""))</f>
        <v>46124.824432743058</v>
      </c>
      <c r="I97" s="19">
        <f>IF(A97="","",IFERROR(VLOOKUP(A97,'Production Schedule'!$B:$FU,54,FALSE),""))</f>
        <v>46160</v>
      </c>
      <c r="J97" s="26">
        <f>IF(A97="","",IFERROR(VLOOKUP(A97,'Production Schedule'!$B:$FU,135,FALSE),""))</f>
        <v>220</v>
      </c>
      <c r="K97" s="18" t="str">
        <f>IF(A97="","",IFERROR(VLOOKUP(A97,'Production Schedule'!$B:$FU,59,FALSE),""))</f>
        <v>YES</v>
      </c>
      <c r="L97" s="38" t="str">
        <f>IF(A97="","",IFERROR(VLOOKUP(A97,'Production Schedule'!$B:$FU,80,FALSE),""))</f>
        <v>LO</v>
      </c>
      <c r="M97" s="27" t="str" cm="1">
        <f t="array" ref="M97">IF(A97="","",IFERROR(TRIM(INDEX(_xlfn.TEXTSPLIT(IFERROR(VLOOKUP(A97,'Production Schedule'!$B:$FU,150,FALSE),""),CHAR(10)),1)),""))</f>
        <v>AXYZ</v>
      </c>
      <c r="N97" s="28">
        <f t="shared" si="8"/>
        <v>46132</v>
      </c>
      <c r="O97" s="27" t="str" cm="1">
        <f t="array" ref="O97">IF(A97="","",IFERROR(TRIM(INDEX(_xlfn.TEXTSPLIT(IFERROR(VLOOKUP(A97,'Production Schedule'!$B:$FU,150,FALSE),""),CHAR(10)),2)),""))</f>
        <v>Clean and Brake</v>
      </c>
      <c r="P97" s="28">
        <f t="shared" si="9"/>
        <v>46136</v>
      </c>
      <c r="Q97" s="27" t="str" cm="1">
        <f t="array" ref="Q97">IF(A97="","",IFERROR(TRIM(INDEX(_xlfn.TEXTSPLIT(IFERROR(VLOOKUP(A97,'Production Schedule'!$B:$FU,150,FALSE),""),CHAR(10)),3)),""))</f>
        <v>Fab</v>
      </c>
      <c r="R97" s="28">
        <f t="shared" si="10"/>
        <v>46147</v>
      </c>
      <c r="S97" s="27" t="str" cm="1">
        <f t="array" ref="S97">IF(A97="","",IFERROR(TRIM(INDEX(_xlfn.TEXTSPLIT(IFERROR(VLOOKUP(A97,'Production Schedule'!$B:$FU,150,FALSE),""),CHAR(10)),4)),""))</f>
        <v/>
      </c>
      <c r="T97" s="28" t="str">
        <f t="shared" si="11"/>
        <v/>
      </c>
      <c r="U97" s="27" t="str" cm="1">
        <f t="array" ref="U97">IF(A97="","",IFERROR(TRIM(INDEX(_xlfn.TEXTSPLIT(IFERROR(VLOOKUP(A97,'Production Schedule'!$B:$FU,150,FALSE),""),CHAR(10)),5)),""))</f>
        <v/>
      </c>
      <c r="V97" s="28" t="str">
        <f t="shared" si="12"/>
        <v/>
      </c>
      <c r="W97" s="27" t="str" cm="1">
        <f t="array" ref="W97">IF(A97="","",IFERROR(TRIM(INDEX(_xlfn.TEXTSPLIT(IFERROR(VLOOKUP(A97,'Production Schedule'!$B:$FU,150,FALSE),""),CHAR(10)),6)),""))</f>
        <v/>
      </c>
      <c r="X97" s="28" t="str">
        <f t="shared" si="13"/>
        <v/>
      </c>
      <c r="Y97" s="30">
        <f t="shared" si="14"/>
        <v>46157</v>
      </c>
      <c r="Z97" s="31" t="str">
        <f>IF(A97="","",IF(IFERROR(VLOOKUP(A97,Notes!A:B,2,FALSE),"")=0,"",VLOOKUP(A97,Notes!A:B,2,FALSE)))</f>
        <v>04/16/2026…LO</v>
      </c>
      <c r="AA97" s="18">
        <f t="shared" si="15"/>
        <v>1</v>
      </c>
    </row>
    <row r="98" spans="1:27" x14ac:dyDescent="0.25">
      <c r="A98" s="20" t="str">
        <v>25008-FS07</v>
      </c>
      <c r="B98" s="20" t="str">
        <f>IF(A98="","",IFERROR(VLOOKUP(A98,'Production Schedule'!$B:$FU,3,FALSE),""))</f>
        <v>Columbia State Tech Center</v>
      </c>
      <c r="C98" s="20" t="str">
        <f>IF(A98="","",IFERROR(VLOOKUP(A98,'Production Schedule'!$B:$FU,5,FALSE),""))</f>
        <v>Laura Forero</v>
      </c>
      <c r="D98" s="20" t="str">
        <f>IF(A98="","",IFERROR(VLOOKUP(A98,'Production Schedule'!$B:$FU,7,FALSE),""))</f>
        <v>400 CAULK</v>
      </c>
      <c r="E98" s="20">
        <f>IF(A98="","",IFERROR(VLOOKUP(A98,'Production Schedule'!$B:$FU,17,FALSE),""))</f>
        <v>58</v>
      </c>
      <c r="F98" s="20">
        <f>IF(A98="","",IFERROR(VLOOKUP(A98,'Production Schedule'!$B:$FU,18,FALSE),""))</f>
        <v>0</v>
      </c>
      <c r="G98" s="20" t="str">
        <f>IF(A98="","",IFERROR(VLOOKUP(A98,'Production Schedule'!$B:$FU,25,FALSE),""))</f>
        <v>FR ACM</v>
      </c>
      <c r="H98" s="21">
        <f>IF(A98="","",IFERROR(VLOOKUP(A98,'Production Schedule'!$B:$FU,47,FALSE),""))</f>
        <v>46108.491368425923</v>
      </c>
      <c r="I98" s="21">
        <f>IF(A98="","",IFERROR(VLOOKUP(A98,'Production Schedule'!$B:$FU,54,FALSE),""))</f>
        <v>46162</v>
      </c>
      <c r="J98" s="32">
        <f>IF(A98="","",IFERROR(VLOOKUP(A98,'Production Schedule'!$B:$FU,135,FALSE),""))</f>
        <v>110</v>
      </c>
      <c r="K98" s="20" t="str">
        <f>IF(A98="","",IFERROR(VLOOKUP(A98,'Production Schedule'!$B:$FU,59,FALSE),""))</f>
        <v>YES</v>
      </c>
      <c r="L98" s="39" t="str">
        <f>IF(A98="","",IFERROR(VLOOKUP(A98,'Production Schedule'!$B:$FU,80,FALSE),""))</f>
        <v>Evaluation</v>
      </c>
      <c r="M98" s="33" t="str" cm="1">
        <f t="array" ref="M98">IF(A98="","",IFERROR(TRIM(INDEX(_xlfn.TEXTSPLIT(IFERROR(VLOOKUP(A98,'Production Schedule'!$B:$FU,150,FALSE),""),CHAR(10)),1)),""))</f>
        <v>AXYZ</v>
      </c>
      <c r="N98" s="34">
        <f t="shared" si="8"/>
        <v>46136</v>
      </c>
      <c r="O98" s="33" t="str" cm="1">
        <f t="array" ref="O98">IF(A98="","",IFERROR(TRIM(INDEX(_xlfn.TEXTSPLIT(IFERROR(VLOOKUP(A98,'Production Schedule'!$B:$FU,150,FALSE),""),CHAR(10)),2)),""))</f>
        <v>Clean and Brake</v>
      </c>
      <c r="P98" s="34">
        <f t="shared" si="9"/>
        <v>46139</v>
      </c>
      <c r="Q98" s="33" t="str" cm="1">
        <f t="array" ref="Q98">IF(A98="","",IFERROR(TRIM(INDEX(_xlfn.TEXTSPLIT(IFERROR(VLOOKUP(A98,'Production Schedule'!$B:$FU,150,FALSE),""),CHAR(10)),3)),""))</f>
        <v>Fab</v>
      </c>
      <c r="R98" s="34">
        <f t="shared" si="10"/>
        <v>46149</v>
      </c>
      <c r="S98" s="33" t="str" cm="1">
        <f t="array" ref="S98">IF(A98="","",IFERROR(TRIM(INDEX(_xlfn.TEXTSPLIT(IFERROR(VLOOKUP(A98,'Production Schedule'!$B:$FU,150,FALSE),""),CHAR(10)),4)),""))</f>
        <v/>
      </c>
      <c r="T98" s="34" t="str">
        <f t="shared" si="11"/>
        <v/>
      </c>
      <c r="U98" s="33" t="str" cm="1">
        <f t="array" ref="U98">IF(A98="","",IFERROR(TRIM(INDEX(_xlfn.TEXTSPLIT(IFERROR(VLOOKUP(A98,'Production Schedule'!$B:$FU,150,FALSE),""),CHAR(10)),5)),""))</f>
        <v/>
      </c>
      <c r="V98" s="34" t="str">
        <f t="shared" si="12"/>
        <v/>
      </c>
      <c r="W98" s="33" t="str" cm="1">
        <f t="array" ref="W98">IF(A98="","",IFERROR(TRIM(INDEX(_xlfn.TEXTSPLIT(IFERROR(VLOOKUP(A98,'Production Schedule'!$B:$FU,150,FALSE),""),CHAR(10)),6)),""))</f>
        <v/>
      </c>
      <c r="X98" s="34" t="str">
        <f t="shared" si="13"/>
        <v/>
      </c>
      <c r="Y98" s="36">
        <f t="shared" si="14"/>
        <v>46160</v>
      </c>
      <c r="Z98" s="37" t="str">
        <f>IF(A98="","",IF(IFERROR(VLOOKUP(A98,Notes!A:B,2,FALSE),"")=0,"",VLOOKUP(A98,Notes!A:B,2,FALSE)))</f>
        <v>04/16/2026…Evaluation</v>
      </c>
      <c r="AA98" s="20">
        <f t="shared" si="15"/>
        <v>1</v>
      </c>
    </row>
    <row r="99" spans="1:27" x14ac:dyDescent="0.25">
      <c r="A99" s="18" t="str">
        <v>24074-FS10</v>
      </c>
      <c r="B99" s="18" t="str">
        <f>IF(A99="","",IFERROR(VLOOKUP(A99,'Production Schedule'!$B:$FU,3,FALSE),""))</f>
        <v>DIDD ACM</v>
      </c>
      <c r="C99" s="18" t="str">
        <f>IF(A99="","",IFERROR(VLOOKUP(A99,'Production Schedule'!$B:$FU,5,FALSE),""))</f>
        <v>Dillon Bowman</v>
      </c>
      <c r="D99" s="18">
        <f>IF(A99="","",IFERROR(VLOOKUP(A99,'Production Schedule'!$B:$FU,7,FALSE),""))</f>
        <v>400</v>
      </c>
      <c r="E99" s="18">
        <f>IF(A99="","",IFERROR(VLOOKUP(A99,'Production Schedule'!$B:$FU,17,FALSE),""))</f>
        <v>130</v>
      </c>
      <c r="F99" s="18">
        <f>IF(A99="","",IFERROR(VLOOKUP(A99,'Production Schedule'!$B:$FU,18,FALSE),""))</f>
        <v>0</v>
      </c>
      <c r="G99" s="18" t="str">
        <f>IF(A99="","",IFERROR(VLOOKUP(A99,'Production Schedule'!$B:$FU,25,FALSE),""))</f>
        <v>FR ACM</v>
      </c>
      <c r="H99" s="19">
        <f>IF(A99="","",IFERROR(VLOOKUP(A99,'Production Schedule'!$B:$FU,47,FALSE),""))</f>
        <v>46100.360725104169</v>
      </c>
      <c r="I99" s="19">
        <f>IF(A99="","",IFERROR(VLOOKUP(A99,'Production Schedule'!$B:$FU,54,FALSE),""))</f>
        <v>46163</v>
      </c>
      <c r="J99" s="26">
        <f>IF(A99="","",IFERROR(VLOOKUP(A99,'Production Schedule'!$B:$FU,135,FALSE),""))</f>
        <v>234</v>
      </c>
      <c r="K99" s="18" t="str">
        <f>IF(A99="","",IFERROR(VLOOKUP(A99,'Production Schedule'!$B:$FU,59,FALSE),""))</f>
        <v>YES</v>
      </c>
      <c r="L99" s="38" t="str">
        <f>IF(A99="","",IFERROR(VLOOKUP(A99,'Production Schedule'!$B:$FU,80,FALSE),""))</f>
        <v>LO Check</v>
      </c>
      <c r="M99" s="27" t="str" cm="1">
        <f t="array" ref="M99">IF(A99="","",IFERROR(TRIM(INDEX(_xlfn.TEXTSPLIT(IFERROR(VLOOKUP(A99,'Production Schedule'!$B:$FU,150,FALSE),""),CHAR(10)),1)),""))</f>
        <v>AXYZ</v>
      </c>
      <c r="N99" s="28">
        <f t="shared" si="8"/>
        <v>46136</v>
      </c>
      <c r="O99" s="27" t="str" cm="1">
        <f t="array" ref="O99">IF(A99="","",IFERROR(TRIM(INDEX(_xlfn.TEXTSPLIT(IFERROR(VLOOKUP(A99,'Production Schedule'!$B:$FU,150,FALSE),""),CHAR(10)),2)),""))</f>
        <v>Clean and Brake</v>
      </c>
      <c r="P99" s="28">
        <f t="shared" si="9"/>
        <v>46140</v>
      </c>
      <c r="Q99" s="27" t="str" cm="1">
        <f t="array" ref="Q99">IF(A99="","",IFERROR(TRIM(INDEX(_xlfn.TEXTSPLIT(IFERROR(VLOOKUP(A99,'Production Schedule'!$B:$FU,150,FALSE),""),CHAR(10)),3)),""))</f>
        <v>Fab</v>
      </c>
      <c r="R99" s="28">
        <f t="shared" si="10"/>
        <v>46150</v>
      </c>
      <c r="S99" s="27" t="str" cm="1">
        <f t="array" ref="S99">IF(A99="","",IFERROR(TRIM(INDEX(_xlfn.TEXTSPLIT(IFERROR(VLOOKUP(A99,'Production Schedule'!$B:$FU,150,FALSE),""),CHAR(10)),4)),""))</f>
        <v/>
      </c>
      <c r="T99" s="28" t="str">
        <f t="shared" si="11"/>
        <v/>
      </c>
      <c r="U99" s="27" t="str" cm="1">
        <f t="array" ref="U99">IF(A99="","",IFERROR(TRIM(INDEX(_xlfn.TEXTSPLIT(IFERROR(VLOOKUP(A99,'Production Schedule'!$B:$FU,150,FALSE),""),CHAR(10)),5)),""))</f>
        <v/>
      </c>
      <c r="V99" s="28" t="str">
        <f t="shared" si="12"/>
        <v/>
      </c>
      <c r="W99" s="27" t="str" cm="1">
        <f t="array" ref="W99">IF(A99="","",IFERROR(TRIM(INDEX(_xlfn.TEXTSPLIT(IFERROR(VLOOKUP(A99,'Production Schedule'!$B:$FU,150,FALSE),""),CHAR(10)),6)),""))</f>
        <v/>
      </c>
      <c r="X99" s="28" t="str">
        <f t="shared" si="13"/>
        <v/>
      </c>
      <c r="Y99" s="30">
        <f t="shared" si="14"/>
        <v>46161</v>
      </c>
      <c r="Z99" s="31" t="str">
        <f>IF(A99="","",IF(IFERROR(VLOOKUP(A99,Notes!A:B,2,FALSE),"")=0,"",VLOOKUP(A99,Notes!A:B,2,FALSE)))</f>
        <v>04/16/2026…LO Check</v>
      </c>
      <c r="AA99" s="18">
        <f t="shared" si="15"/>
        <v>1</v>
      </c>
    </row>
    <row r="100" spans="1:27" x14ac:dyDescent="0.25">
      <c r="A100" s="20" t="str">
        <v>24073-FS01</v>
      </c>
      <c r="B100" s="20" t="str">
        <f>IF(A100="","",IFERROR(VLOOKUP(A100,'Production Schedule'!$B:$FU,3,FALSE),""))</f>
        <v>DIDD Perf</v>
      </c>
      <c r="C100" s="20" t="str">
        <f>IF(A100="","",IFERROR(VLOOKUP(A100,'Production Schedule'!$B:$FU,5,FALSE),""))</f>
        <v>Dillon Bowman</v>
      </c>
      <c r="D100" s="20" t="str">
        <f>IF(A100="","",IFERROR(VLOOKUP(A100,'Production Schedule'!$B:$FU,7,FALSE),""))</f>
        <v>TUBE SUPPORT SYSTEM</v>
      </c>
      <c r="E100" s="20">
        <f>IF(A100="","",IFERROR(VLOOKUP(A100,'Production Schedule'!$B:$FU,17,FALSE),""))</f>
        <v>53</v>
      </c>
      <c r="F100" s="20">
        <f>IF(A100="","",IFERROR(VLOOKUP(A100,'Production Schedule'!$B:$FU,18,FALSE),""))</f>
        <v>0</v>
      </c>
      <c r="G100" s="20" t="str">
        <f>IF(A100="","",IFERROR(VLOOKUP(A100,'Production Schedule'!$B:$FU,25,FALSE),""))</f>
        <v>Alum Sheet</v>
      </c>
      <c r="H100" s="21">
        <f>IF(A100="","",IFERROR(VLOOKUP(A100,'Production Schedule'!$B:$FU,47,FALSE),""))</f>
        <v>46106.358396944444</v>
      </c>
      <c r="I100" s="21">
        <f>IF(A100="","",IFERROR(VLOOKUP(A100,'Production Schedule'!$B:$FU,54,FALSE),""))</f>
        <v>46164</v>
      </c>
      <c r="J100" s="32">
        <f>IF(A100="","",IFERROR(VLOOKUP(A100,'Production Schedule'!$B:$FU,135,FALSE),""))</f>
        <v>100</v>
      </c>
      <c r="K100" s="20" t="str">
        <f>IF(A100="","",IFERROR(VLOOKUP(A100,'Production Schedule'!$B:$FU,59,FALSE),""))</f>
        <v>YES</v>
      </c>
      <c r="L100" s="39" t="str">
        <f>IF(A100="","",IFERROR(VLOOKUP(A100,'Production Schedule'!$B:$FU,80,FALSE),""))</f>
        <v>Sketch</v>
      </c>
      <c r="M100" s="33" t="str" cm="1">
        <f t="array" ref="M100">IF(A100="","",IFERROR(TRIM(INDEX(_xlfn.TEXTSPLIT(IFERROR(VLOOKUP(A100,'Production Schedule'!$B:$FU,150,FALSE),""),CHAR(10)),1)),""))</f>
        <v>Brake</v>
      </c>
      <c r="N100" s="34">
        <f t="shared" si="8"/>
        <v>46148</v>
      </c>
      <c r="O100" s="33" t="str" cm="1">
        <f t="array" ref="O100">IF(A100="","",IFERROR(TRIM(INDEX(_xlfn.TEXTSPLIT(IFERROR(VLOOKUP(A100,'Production Schedule'!$B:$FU,150,FALSE),""),CHAR(10)),2)),""))</f>
        <v>Post Paint</v>
      </c>
      <c r="P100" s="34">
        <f t="shared" si="9"/>
        <v>46158</v>
      </c>
      <c r="Q100" s="33" t="str" cm="1">
        <f t="array" ref="Q100">IF(A100="","",IFERROR(TRIM(INDEX(_xlfn.TEXTSPLIT(IFERROR(VLOOKUP(A100,'Production Schedule'!$B:$FU,150,FALSE),""),CHAR(10)),3)),""))</f>
        <v>Punch</v>
      </c>
      <c r="R100" s="34">
        <f t="shared" si="10"/>
        <v>46162</v>
      </c>
      <c r="S100" s="33" t="str" cm="1">
        <f t="array" ref="S100">IF(A100="","",IFERROR(TRIM(INDEX(_xlfn.TEXTSPLIT(IFERROR(VLOOKUP(A100,'Production Schedule'!$B:$FU,150,FALSE),""),CHAR(10)),4)),""))</f>
        <v/>
      </c>
      <c r="T100" s="34" t="str">
        <f t="shared" si="11"/>
        <v/>
      </c>
      <c r="U100" s="33" t="str" cm="1">
        <f t="array" ref="U100">IF(A100="","",IFERROR(TRIM(INDEX(_xlfn.TEXTSPLIT(IFERROR(VLOOKUP(A100,'Production Schedule'!$B:$FU,150,FALSE),""),CHAR(10)),5)),""))</f>
        <v/>
      </c>
      <c r="V100" s="34" t="str">
        <f t="shared" si="12"/>
        <v/>
      </c>
      <c r="W100" s="33" t="str" cm="1">
        <f t="array" ref="W100">IF(A100="","",IFERROR(TRIM(INDEX(_xlfn.TEXTSPLIT(IFERROR(VLOOKUP(A100,'Production Schedule'!$B:$FU,150,FALSE),""),CHAR(10)),6)),""))</f>
        <v/>
      </c>
      <c r="X100" s="34" t="str">
        <f t="shared" si="13"/>
        <v/>
      </c>
      <c r="Y100" s="36">
        <f t="shared" si="14"/>
        <v>46162</v>
      </c>
      <c r="Z100" s="37" t="str">
        <f>IF(A100="","",IF(IFERROR(VLOOKUP(A100,Notes!A:B,2,FALSE),"")=0,"",VLOOKUP(A100,Notes!A:B,2,FALSE)))</f>
        <v>04/16/2026…Sketch</v>
      </c>
      <c r="AA100" s="20">
        <f t="shared" si="15"/>
        <v>1</v>
      </c>
    </row>
    <row r="101" spans="1:27" x14ac:dyDescent="0.25">
      <c r="A101" s="18" t="str">
        <v>25044-FS01</v>
      </c>
      <c r="B101" s="18" t="str">
        <f>IF(A101="","",IFERROR(VLOOKUP(A101,'Production Schedule'!$B:$FU,3,FALSE),""))</f>
        <v>MALETA Firing Range</v>
      </c>
      <c r="C101" s="18" t="str">
        <f>IF(A101="","",IFERROR(VLOOKUP(A101,'Production Schedule'!$B:$FU,5,FALSE),""))</f>
        <v>Cole Norona</v>
      </c>
      <c r="D101" s="18">
        <f>IF(A101="","",IFERROR(VLOOKUP(A101,'Production Schedule'!$B:$FU,7,FALSE),""))</f>
        <v>400</v>
      </c>
      <c r="E101" s="18">
        <f>IF(A101="","",IFERROR(VLOOKUP(A101,'Production Schedule'!$B:$FU,17,FALSE),""))</f>
        <v>125</v>
      </c>
      <c r="F101" s="18">
        <f>IF(A101="","",IFERROR(VLOOKUP(A101,'Production Schedule'!$B:$FU,18,FALSE),""))</f>
        <v>0</v>
      </c>
      <c r="G101" s="18" t="str">
        <f>IF(A101="","",IFERROR(VLOOKUP(A101,'Production Schedule'!$B:$FU,25,FALSE),""))</f>
        <v>FR ACM</v>
      </c>
      <c r="H101" s="19">
        <f>IF(A101="","",IFERROR(VLOOKUP(A101,'Production Schedule'!$B:$FU,47,FALSE),""))</f>
        <v>46111.629448645836</v>
      </c>
      <c r="I101" s="19">
        <f>IF(A101="","",IFERROR(VLOOKUP(A101,'Production Schedule'!$B:$FU,54,FALSE),""))</f>
        <v>46164</v>
      </c>
      <c r="J101" s="26">
        <f>IF(A101="","",IFERROR(VLOOKUP(A101,'Production Schedule'!$B:$FU,135,FALSE),""))</f>
        <v>200</v>
      </c>
      <c r="K101" s="18" t="str">
        <f>IF(A101="","",IFERROR(VLOOKUP(A101,'Production Schedule'!$B:$FU,59,FALSE),""))</f>
        <v>YES</v>
      </c>
      <c r="L101" s="38" t="str">
        <f>IF(A101="","",IFERROR(VLOOKUP(A101,'Production Schedule'!$B:$FU,80,FALSE),""))</f>
        <v>LO</v>
      </c>
      <c r="M101" s="27" t="str" cm="1">
        <f t="array" ref="M101">IF(A101="","",IFERROR(TRIM(INDEX(_xlfn.TEXTSPLIT(IFERROR(VLOOKUP(A101,'Production Schedule'!$B:$FU,150,FALSE),""),CHAR(10)),1)),""))</f>
        <v>AXYZ</v>
      </c>
      <c r="N101" s="28">
        <f t="shared" si="8"/>
        <v>46137</v>
      </c>
      <c r="O101" s="27" t="str" cm="1">
        <f t="array" ref="O101">IF(A101="","",IFERROR(TRIM(INDEX(_xlfn.TEXTSPLIT(IFERROR(VLOOKUP(A101,'Production Schedule'!$B:$FU,150,FALSE),""),CHAR(10)),2)),""))</f>
        <v>Clean and Brake</v>
      </c>
      <c r="P101" s="28">
        <f t="shared" si="9"/>
        <v>46141</v>
      </c>
      <c r="Q101" s="27" t="str" cm="1">
        <f t="array" ref="Q101">IF(A101="","",IFERROR(TRIM(INDEX(_xlfn.TEXTSPLIT(IFERROR(VLOOKUP(A101,'Production Schedule'!$B:$FU,150,FALSE),""),CHAR(10)),3)),""))</f>
        <v>Fab</v>
      </c>
      <c r="R101" s="28">
        <f t="shared" si="10"/>
        <v>46151</v>
      </c>
      <c r="S101" s="27" t="str" cm="1">
        <f t="array" ref="S101">IF(A101="","",IFERROR(TRIM(INDEX(_xlfn.TEXTSPLIT(IFERROR(VLOOKUP(A101,'Production Schedule'!$B:$FU,150,FALSE),""),CHAR(10)),4)),""))</f>
        <v/>
      </c>
      <c r="T101" s="28" t="str">
        <f t="shared" si="11"/>
        <v/>
      </c>
      <c r="U101" s="27" t="str" cm="1">
        <f t="array" ref="U101">IF(A101="","",IFERROR(TRIM(INDEX(_xlfn.TEXTSPLIT(IFERROR(VLOOKUP(A101,'Production Schedule'!$B:$FU,150,FALSE),""),CHAR(10)),5)),""))</f>
        <v/>
      </c>
      <c r="V101" s="28" t="str">
        <f t="shared" si="12"/>
        <v/>
      </c>
      <c r="W101" s="27" t="str" cm="1">
        <f t="array" ref="W101">IF(A101="","",IFERROR(TRIM(INDEX(_xlfn.TEXTSPLIT(IFERROR(VLOOKUP(A101,'Production Schedule'!$B:$FU,150,FALSE),""),CHAR(10)),6)),""))</f>
        <v/>
      </c>
      <c r="X101" s="28" t="str">
        <f t="shared" si="13"/>
        <v/>
      </c>
      <c r="Y101" s="30">
        <f t="shared" si="14"/>
        <v>46162</v>
      </c>
      <c r="Z101" s="31" t="str">
        <f>IF(A101="","",IF(IFERROR(VLOOKUP(A101,Notes!A:B,2,FALSE),"")=0,"",VLOOKUP(A101,Notes!A:B,2,FALSE)))</f>
        <v>04/16/2026…LO</v>
      </c>
      <c r="AA101" s="18">
        <f t="shared" si="15"/>
        <v>1</v>
      </c>
    </row>
    <row r="102" spans="1:27" x14ac:dyDescent="0.25">
      <c r="A102" s="20" t="str">
        <v>25044-FS01.1</v>
      </c>
      <c r="B102" s="20" t="str">
        <f>IF(A102="","",IFERROR(VLOOKUP(A102,'Production Schedule'!$B:$FU,3,FALSE),""))</f>
        <v>MALETA Firing Range</v>
      </c>
      <c r="C102" s="20" t="str">
        <f>IF(A102="","",IFERROR(VLOOKUP(A102,'Production Schedule'!$B:$FU,5,FALSE),""))</f>
        <v>Cole Norona</v>
      </c>
      <c r="D102" s="20">
        <f>IF(A102="","",IFERROR(VLOOKUP(A102,'Production Schedule'!$B:$FU,7,FALSE),""))</f>
        <v>400</v>
      </c>
      <c r="E102" s="20">
        <f>IF(A102="","",IFERROR(VLOOKUP(A102,'Production Schedule'!$B:$FU,17,FALSE),""))</f>
        <v>34</v>
      </c>
      <c r="F102" s="20">
        <f>IF(A102="","",IFERROR(VLOOKUP(A102,'Production Schedule'!$B:$FU,18,FALSE),""))</f>
        <v>0</v>
      </c>
      <c r="G102" s="20" t="str">
        <f>IF(A102="","",IFERROR(VLOOKUP(A102,'Production Schedule'!$B:$FU,25,FALSE),""))</f>
        <v>FR ACM</v>
      </c>
      <c r="H102" s="21">
        <f>IF(A102="","",IFERROR(VLOOKUP(A102,'Production Schedule'!$B:$FU,47,FALSE),""))</f>
        <v>46111.664674131942</v>
      </c>
      <c r="I102" s="21">
        <f>IF(A102="","",IFERROR(VLOOKUP(A102,'Production Schedule'!$B:$FU,54,FALSE),""))</f>
        <v>46164</v>
      </c>
      <c r="J102" s="32">
        <f>IF(A102="","",IFERROR(VLOOKUP(A102,'Production Schedule'!$B:$FU,135,FALSE),""))</f>
        <v>57</v>
      </c>
      <c r="K102" s="20" t="str">
        <f>IF(A102="","",IFERROR(VLOOKUP(A102,'Production Schedule'!$B:$FU,59,FALSE),""))</f>
        <v>YES</v>
      </c>
      <c r="L102" s="39" t="str">
        <f>IF(A102="","",IFERROR(VLOOKUP(A102,'Production Schedule'!$B:$FU,80,FALSE),""))</f>
        <v>LO</v>
      </c>
      <c r="M102" s="33" t="str" cm="1">
        <f t="array" ref="M102">IF(A102="","",IFERROR(TRIM(INDEX(_xlfn.TEXTSPLIT(IFERROR(VLOOKUP(A102,'Production Schedule'!$B:$FU,150,FALSE),""),CHAR(10)),1)),""))</f>
        <v>AXYZ</v>
      </c>
      <c r="N102" s="34">
        <f t="shared" si="8"/>
        <v>46140</v>
      </c>
      <c r="O102" s="33" t="str" cm="1">
        <f t="array" ref="O102">IF(A102="","",IFERROR(TRIM(INDEX(_xlfn.TEXTSPLIT(IFERROR(VLOOKUP(A102,'Production Schedule'!$B:$FU,150,FALSE),""),CHAR(10)),2)),""))</f>
        <v>Clean and Brake</v>
      </c>
      <c r="P102" s="34">
        <f t="shared" si="9"/>
        <v>46141</v>
      </c>
      <c r="Q102" s="33" t="str" cm="1">
        <f t="array" ref="Q102">IF(A102="","",IFERROR(TRIM(INDEX(_xlfn.TEXTSPLIT(IFERROR(VLOOKUP(A102,'Production Schedule'!$B:$FU,150,FALSE),""),CHAR(10)),3)),""))</f>
        <v>Fab</v>
      </c>
      <c r="R102" s="34">
        <f t="shared" si="10"/>
        <v>46151</v>
      </c>
      <c r="S102" s="33" t="str" cm="1">
        <f t="array" ref="S102">IF(A102="","",IFERROR(TRIM(INDEX(_xlfn.TEXTSPLIT(IFERROR(VLOOKUP(A102,'Production Schedule'!$B:$FU,150,FALSE),""),CHAR(10)),4)),""))</f>
        <v/>
      </c>
      <c r="T102" s="34" t="str">
        <f t="shared" si="11"/>
        <v/>
      </c>
      <c r="U102" s="33" t="str" cm="1">
        <f t="array" ref="U102">IF(A102="","",IFERROR(TRIM(INDEX(_xlfn.TEXTSPLIT(IFERROR(VLOOKUP(A102,'Production Schedule'!$B:$FU,150,FALSE),""),CHAR(10)),5)),""))</f>
        <v/>
      </c>
      <c r="V102" s="34" t="str">
        <f t="shared" si="12"/>
        <v/>
      </c>
      <c r="W102" s="33" t="str" cm="1">
        <f t="array" ref="W102">IF(A102="","",IFERROR(TRIM(INDEX(_xlfn.TEXTSPLIT(IFERROR(VLOOKUP(A102,'Production Schedule'!$B:$FU,150,FALSE),""),CHAR(10)),6)),""))</f>
        <v/>
      </c>
      <c r="X102" s="34" t="str">
        <f t="shared" si="13"/>
        <v/>
      </c>
      <c r="Y102" s="36">
        <f t="shared" si="14"/>
        <v>46162</v>
      </c>
      <c r="Z102" s="37" t="str">
        <f>IF(A102="","",IF(IFERROR(VLOOKUP(A102,Notes!A:B,2,FALSE),"")=0,"",VLOOKUP(A102,Notes!A:B,2,FALSE)))</f>
        <v>04/16/2026…LO</v>
      </c>
      <c r="AA102" s="20">
        <f t="shared" si="15"/>
        <v>1</v>
      </c>
    </row>
    <row r="103" spans="1:27" x14ac:dyDescent="0.25">
      <c r="A103" s="18" t="str">
        <v>25065-MU01</v>
      </c>
      <c r="B103" s="18" t="str">
        <f>IF(A103="","",IFERROR(VLOOKUP(A103,'Production Schedule'!$B:$FU,3,FALSE),""))</f>
        <v>Crosswinds Casino Resort</v>
      </c>
      <c r="C103" s="18" t="str">
        <f>IF(A103="","",IFERROR(VLOOKUP(A103,'Production Schedule'!$B:$FU,5,FALSE),""))</f>
        <v>Matt Rassmussen</v>
      </c>
      <c r="D103" s="18">
        <f>IF(A103="","",IFERROR(VLOOKUP(A103,'Production Schedule'!$B:$FU,7,FALSE),""))</f>
        <v>400</v>
      </c>
      <c r="E103" s="18">
        <f>IF(A103="","",IFERROR(VLOOKUP(A103,'Production Schedule'!$B:$FU,17,FALSE),""))</f>
        <v>18</v>
      </c>
      <c r="F103" s="18">
        <f>IF(A103="","",IFERROR(VLOOKUP(A103,'Production Schedule'!$B:$FU,18,FALSE),""))</f>
        <v>14</v>
      </c>
      <c r="G103" s="18" t="str">
        <f>IF(A103="","",IFERROR(VLOOKUP(A103,'Production Schedule'!$B:$FU,25,FALSE),""))</f>
        <v>FR ACM</v>
      </c>
      <c r="H103" s="19">
        <f>IF(A103="","",IFERROR(VLOOKUP(A103,'Production Schedule'!$B:$FU,47,FALSE),""))</f>
        <v>46112.430175532405</v>
      </c>
      <c r="I103" s="19">
        <f>IF(A103="","",IFERROR(VLOOKUP(A103,'Production Schedule'!$B:$FU,54,FALSE),""))</f>
        <v>46164</v>
      </c>
      <c r="J103" s="26">
        <f>IF(A103="","",IFERROR(VLOOKUP(A103,'Production Schedule'!$B:$FU,135,FALSE),""))</f>
        <v>20</v>
      </c>
      <c r="K103" s="18" t="str">
        <f>IF(A103="","",IFERROR(VLOOKUP(A103,'Production Schedule'!$B:$FU,59,FALSE),""))</f>
        <v>NO</v>
      </c>
      <c r="L103" s="38" t="str">
        <f>IF(A103="","",IFERROR(VLOOKUP(A103,'Production Schedule'!$B:$FU,80,FALSE),""))</f>
        <v>Sketch Check</v>
      </c>
      <c r="M103" s="27" t="str" cm="1">
        <f t="array" ref="M103">IF(A103="","",IFERROR(TRIM(INDEX(_xlfn.TEXTSPLIT(IFERROR(VLOOKUP(A103,'Production Schedule'!$B:$FU,150,FALSE),""),CHAR(10)),1)),""))</f>
        <v>AXYZ</v>
      </c>
      <c r="N103" s="28">
        <f t="shared" si="8"/>
        <v>46140</v>
      </c>
      <c r="O103" s="27" t="str" cm="1">
        <f t="array" ref="O103">IF(A103="","",IFERROR(TRIM(INDEX(_xlfn.TEXTSPLIT(IFERROR(VLOOKUP(A103,'Production Schedule'!$B:$FU,150,FALSE),""),CHAR(10)),2)),""))</f>
        <v>Clean and Brake</v>
      </c>
      <c r="P103" s="28">
        <f t="shared" si="9"/>
        <v>46141</v>
      </c>
      <c r="Q103" s="27" t="str" cm="1">
        <f t="array" ref="Q103">IF(A103="","",IFERROR(TRIM(INDEX(_xlfn.TEXTSPLIT(IFERROR(VLOOKUP(A103,'Production Schedule'!$B:$FU,150,FALSE),""),CHAR(10)),3)),""))</f>
        <v>Fab</v>
      </c>
      <c r="R103" s="28">
        <f t="shared" si="10"/>
        <v>46151</v>
      </c>
      <c r="S103" s="27" t="str" cm="1">
        <f t="array" ref="S103">IF(A103="","",IFERROR(TRIM(INDEX(_xlfn.TEXTSPLIT(IFERROR(VLOOKUP(A103,'Production Schedule'!$B:$FU,150,FALSE),""),CHAR(10)),4)),""))</f>
        <v/>
      </c>
      <c r="T103" s="28" t="str">
        <f t="shared" si="11"/>
        <v/>
      </c>
      <c r="U103" s="27" t="str" cm="1">
        <f t="array" ref="U103">IF(A103="","",IFERROR(TRIM(INDEX(_xlfn.TEXTSPLIT(IFERROR(VLOOKUP(A103,'Production Schedule'!$B:$FU,150,FALSE),""),CHAR(10)),5)),""))</f>
        <v/>
      </c>
      <c r="V103" s="28" t="str">
        <f t="shared" si="12"/>
        <v/>
      </c>
      <c r="W103" s="27" t="str" cm="1">
        <f t="array" ref="W103">IF(A103="","",IFERROR(TRIM(INDEX(_xlfn.TEXTSPLIT(IFERROR(VLOOKUP(A103,'Production Schedule'!$B:$FU,150,FALSE),""),CHAR(10)),6)),""))</f>
        <v/>
      </c>
      <c r="X103" s="28" t="str">
        <f t="shared" si="13"/>
        <v/>
      </c>
      <c r="Y103" s="30">
        <f t="shared" si="14"/>
        <v>46162</v>
      </c>
      <c r="Z103" s="31" t="str">
        <f>IF(A103="","",IF(IFERROR(VLOOKUP(A103,Notes!A:B,2,FALSE),"")=0,"",VLOOKUP(A103,Notes!A:B,2,FALSE)))</f>
        <v>04/16/2026…Sketch Check</v>
      </c>
      <c r="AA103" s="18">
        <f t="shared" si="15"/>
        <v>1</v>
      </c>
    </row>
    <row r="104" spans="1:27" x14ac:dyDescent="0.25">
      <c r="A104" s="20" t="str">
        <v>25006-FS06</v>
      </c>
      <c r="B104" s="20" t="str">
        <f>IF(A104="","",IFERROR(VLOOKUP(A104,'Production Schedule'!$B:$FU,3,FALSE),""))</f>
        <v>MALETA Housing and Dining</v>
      </c>
      <c r="C104" s="20" t="str">
        <f>IF(A104="","",IFERROR(VLOOKUP(A104,'Production Schedule'!$B:$FU,5,FALSE),""))</f>
        <v>Cole Norona</v>
      </c>
      <c r="D104" s="20">
        <f>IF(A104="","",IFERROR(VLOOKUP(A104,'Production Schedule'!$B:$FU,7,FALSE),""))</f>
        <v>400</v>
      </c>
      <c r="E104" s="20">
        <f>IF(A104="","",IFERROR(VLOOKUP(A104,'Production Schedule'!$B:$FU,17,FALSE),""))</f>
        <v>246</v>
      </c>
      <c r="F104" s="20">
        <f>IF(A104="","",IFERROR(VLOOKUP(A104,'Production Schedule'!$B:$FU,18,FALSE),""))</f>
        <v>0</v>
      </c>
      <c r="G104" s="20" t="str">
        <f>IF(A104="","",IFERROR(VLOOKUP(A104,'Production Schedule'!$B:$FU,25,FALSE),""))</f>
        <v>FR ACM</v>
      </c>
      <c r="H104" s="21">
        <f>IF(A104="","",IFERROR(VLOOKUP(A104,'Production Schedule'!$B:$FU,47,FALSE),""))</f>
        <v>46092.342471597221</v>
      </c>
      <c r="I104" s="21">
        <f>IF(A104="","",IFERROR(VLOOKUP(A104,'Production Schedule'!$B:$FU,54,FALSE),""))</f>
        <v>46167</v>
      </c>
      <c r="J104" s="32">
        <f>IF(A104="","",IFERROR(VLOOKUP(A104,'Production Schedule'!$B:$FU,135,FALSE),""))</f>
        <v>400</v>
      </c>
      <c r="K104" s="20" t="str">
        <f>IF(A104="","",IFERROR(VLOOKUP(A104,'Production Schedule'!$B:$FU,59,FALSE),""))</f>
        <v>YES</v>
      </c>
      <c r="L104" s="39" t="str">
        <f>IF(A104="","",IFERROR(VLOOKUP(A104,'Production Schedule'!$B:$FU,80,FALSE),""))</f>
        <v>LO Check</v>
      </c>
      <c r="M104" s="33" t="str" cm="1">
        <f t="array" ref="M104">IF(A104="","",IFERROR(TRIM(INDEX(_xlfn.TEXTSPLIT(IFERROR(VLOOKUP(A104,'Production Schedule'!$B:$FU,150,FALSE),""),CHAR(10)),1)),""))</f>
        <v>AXYZ</v>
      </c>
      <c r="N104" s="34">
        <f t="shared" si="8"/>
        <v>46137</v>
      </c>
      <c r="O104" s="33" t="str" cm="1">
        <f t="array" ref="O104">IF(A104="","",IFERROR(TRIM(INDEX(_xlfn.TEXTSPLIT(IFERROR(VLOOKUP(A104,'Production Schedule'!$B:$FU,150,FALSE),""),CHAR(10)),2)),""))</f>
        <v>Clean and Brake</v>
      </c>
      <c r="P104" s="34">
        <f t="shared" si="9"/>
        <v>46143</v>
      </c>
      <c r="Q104" s="33" t="str" cm="1">
        <f t="array" ref="Q104">IF(A104="","",IFERROR(TRIM(INDEX(_xlfn.TEXTSPLIT(IFERROR(VLOOKUP(A104,'Production Schedule'!$B:$FU,150,FALSE),""),CHAR(10)),3)),""))</f>
        <v>Fab</v>
      </c>
      <c r="R104" s="34">
        <f t="shared" si="10"/>
        <v>46154</v>
      </c>
      <c r="S104" s="33" t="str" cm="1">
        <f t="array" ref="S104">IF(A104="","",IFERROR(TRIM(INDEX(_xlfn.TEXTSPLIT(IFERROR(VLOOKUP(A104,'Production Schedule'!$B:$FU,150,FALSE),""),CHAR(10)),4)),""))</f>
        <v/>
      </c>
      <c r="T104" s="34" t="str">
        <f t="shared" si="11"/>
        <v/>
      </c>
      <c r="U104" s="33" t="str" cm="1">
        <f t="array" ref="U104">IF(A104="","",IFERROR(TRIM(INDEX(_xlfn.TEXTSPLIT(IFERROR(VLOOKUP(A104,'Production Schedule'!$B:$FU,150,FALSE),""),CHAR(10)),5)),""))</f>
        <v/>
      </c>
      <c r="V104" s="34" t="str">
        <f t="shared" si="12"/>
        <v/>
      </c>
      <c r="W104" s="33" t="str" cm="1">
        <f t="array" ref="W104">IF(A104="","",IFERROR(TRIM(INDEX(_xlfn.TEXTSPLIT(IFERROR(VLOOKUP(A104,'Production Schedule'!$B:$FU,150,FALSE),""),CHAR(10)),6)),""))</f>
        <v/>
      </c>
      <c r="X104" s="34" t="str">
        <f t="shared" si="13"/>
        <v/>
      </c>
      <c r="Y104" s="36">
        <f t="shared" si="14"/>
        <v>46164</v>
      </c>
      <c r="Z104" s="37" t="str">
        <f>IF(A104="","",IF(IFERROR(VLOOKUP(A104,Notes!A:B,2,FALSE),"")=0,"",VLOOKUP(A104,Notes!A:B,2,FALSE)))</f>
        <v>HOAR*04/16/2026…LO Check</v>
      </c>
      <c r="AA104" s="20">
        <f t="shared" si="15"/>
        <v>1</v>
      </c>
    </row>
    <row r="105" spans="1:27" x14ac:dyDescent="0.25">
      <c r="A105" s="18" t="str">
        <v>25037-FS01</v>
      </c>
      <c r="B105" s="18" t="str">
        <f>IF(A105="","",IFERROR(VLOOKUP(A105,'Production Schedule'!$B:$FU,3,FALSE),""))</f>
        <v>Chestnut Street Office</v>
      </c>
      <c r="C105" s="18" t="str">
        <f>IF(A105="","",IFERROR(VLOOKUP(A105,'Production Schedule'!$B:$FU,5,FALSE),""))</f>
        <v>Laura Forero</v>
      </c>
      <c r="D105" s="18">
        <f>IF(A105="","",IFERROR(VLOOKUP(A105,'Production Schedule'!$B:$FU,7,FALSE),""))</f>
        <v>400</v>
      </c>
      <c r="E105" s="18">
        <f>IF(A105="","",IFERROR(VLOOKUP(A105,'Production Schedule'!$B:$FU,17,FALSE),""))</f>
        <v>218</v>
      </c>
      <c r="F105" s="18">
        <f>IF(A105="","",IFERROR(VLOOKUP(A105,'Production Schedule'!$B:$FU,18,FALSE),""))</f>
        <v>0</v>
      </c>
      <c r="G105" s="18" t="str">
        <f>IF(A105="","",IFERROR(VLOOKUP(A105,'Production Schedule'!$B:$FU,25,FALSE),""))</f>
        <v>FR ACM</v>
      </c>
      <c r="H105" s="19">
        <f>IF(A105="","",IFERROR(VLOOKUP(A105,'Production Schedule'!$B:$FU,47,FALSE),""))</f>
        <v>46111.395017731484</v>
      </c>
      <c r="I105" s="19">
        <f>IF(A105="","",IFERROR(VLOOKUP(A105,'Production Schedule'!$B:$FU,54,FALSE),""))</f>
        <v>46167</v>
      </c>
      <c r="J105" s="26">
        <f>IF(A105="","",IFERROR(VLOOKUP(A105,'Production Schedule'!$B:$FU,135,FALSE),""))</f>
        <v>475</v>
      </c>
      <c r="K105" s="18" t="str">
        <f>IF(A105="","",IFERROR(VLOOKUP(A105,'Production Schedule'!$B:$FU,59,FALSE),""))</f>
        <v>YES</v>
      </c>
      <c r="L105" s="38" t="str">
        <f>IF(A105="","",IFERROR(VLOOKUP(A105,'Production Schedule'!$B:$FU,80,FALSE),""))</f>
        <v>LO Check</v>
      </c>
      <c r="M105" s="27" t="str" cm="1">
        <f t="array" ref="M105">IF(A105="","",IFERROR(TRIM(INDEX(_xlfn.TEXTSPLIT(IFERROR(VLOOKUP(A105,'Production Schedule'!$B:$FU,150,FALSE),""),CHAR(10)),1)),""))</f>
        <v>AXYZ</v>
      </c>
      <c r="N105" s="28">
        <f t="shared" si="8"/>
        <v>46139</v>
      </c>
      <c r="O105" s="27" t="str" cm="1">
        <f t="array" ref="O105">IF(A105="","",IFERROR(TRIM(INDEX(_xlfn.TEXTSPLIT(IFERROR(VLOOKUP(A105,'Production Schedule'!$B:$FU,150,FALSE),""),CHAR(10)),2)),""))</f>
        <v>Clean and Brake</v>
      </c>
      <c r="P105" s="28">
        <f t="shared" si="9"/>
        <v>46143</v>
      </c>
      <c r="Q105" s="27" t="str" cm="1">
        <f t="array" ref="Q105">IF(A105="","",IFERROR(TRIM(INDEX(_xlfn.TEXTSPLIT(IFERROR(VLOOKUP(A105,'Production Schedule'!$B:$FU,150,FALSE),""),CHAR(10)),3)),""))</f>
        <v>Fab</v>
      </c>
      <c r="R105" s="28">
        <f t="shared" si="10"/>
        <v>46154</v>
      </c>
      <c r="S105" s="27" t="str" cm="1">
        <f t="array" ref="S105">IF(A105="","",IFERROR(TRIM(INDEX(_xlfn.TEXTSPLIT(IFERROR(VLOOKUP(A105,'Production Schedule'!$B:$FU,150,FALSE),""),CHAR(10)),4)),""))</f>
        <v/>
      </c>
      <c r="T105" s="28" t="str">
        <f t="shared" si="11"/>
        <v/>
      </c>
      <c r="U105" s="27" t="str" cm="1">
        <f t="array" ref="U105">IF(A105="","",IFERROR(TRIM(INDEX(_xlfn.TEXTSPLIT(IFERROR(VLOOKUP(A105,'Production Schedule'!$B:$FU,150,FALSE),""),CHAR(10)),5)),""))</f>
        <v/>
      </c>
      <c r="V105" s="28" t="str">
        <f t="shared" si="12"/>
        <v/>
      </c>
      <c r="W105" s="27" t="str" cm="1">
        <f t="array" ref="W105">IF(A105="","",IFERROR(TRIM(INDEX(_xlfn.TEXTSPLIT(IFERROR(VLOOKUP(A105,'Production Schedule'!$B:$FU,150,FALSE),""),CHAR(10)),6)),""))</f>
        <v/>
      </c>
      <c r="X105" s="28" t="str">
        <f t="shared" si="13"/>
        <v/>
      </c>
      <c r="Y105" s="30">
        <f t="shared" si="14"/>
        <v>46164</v>
      </c>
      <c r="Z105" s="31" t="str">
        <f>IF(A105="","",IF(IFERROR(VLOOKUP(A105,Notes!A:B,2,FALSE),"")=0,"",VLOOKUP(A105,Notes!A:B,2,FALSE)))</f>
        <v>04/16/2026…LO Check</v>
      </c>
      <c r="AA105" s="18">
        <f t="shared" si="15"/>
        <v>1</v>
      </c>
    </row>
    <row r="106" spans="1:27" x14ac:dyDescent="0.25">
      <c r="A106" s="20" t="str">
        <v>24079-FS301</v>
      </c>
      <c r="B106" s="20" t="str">
        <f>IF(A106="","",IFERROR(VLOOKUP(A106,'Production Schedule'!$B:$FU,3,FALSE),""))</f>
        <v>Nashville Youth Campus</v>
      </c>
      <c r="C106" s="20" t="str">
        <f>IF(A106="","",IFERROR(VLOOKUP(A106,'Production Schedule'!$B:$FU,5,FALSE),""))</f>
        <v>Joe Hoyle</v>
      </c>
      <c r="D106" s="20">
        <f>IF(A106="","",IFERROR(VLOOKUP(A106,'Production Schedule'!$B:$FU,7,FALSE),""))</f>
        <v>400</v>
      </c>
      <c r="E106" s="20">
        <f>IF(A106="","",IFERROR(VLOOKUP(A106,'Production Schedule'!$B:$FU,17,FALSE),""))</f>
        <v>143</v>
      </c>
      <c r="F106" s="20">
        <f>IF(A106="","",IFERROR(VLOOKUP(A106,'Production Schedule'!$B:$FU,18,FALSE),""))</f>
        <v>0</v>
      </c>
      <c r="G106" s="20" t="str">
        <f>IF(A106="","",IFERROR(VLOOKUP(A106,'Production Schedule'!$B:$FU,25,FALSE),""))</f>
        <v>FR ACM</v>
      </c>
      <c r="H106" s="21">
        <f>IF(A106="","",IFERROR(VLOOKUP(A106,'Production Schedule'!$B:$FU,47,FALSE),""))</f>
        <v>46124.818365601852</v>
      </c>
      <c r="I106" s="21">
        <f>IF(A106="","",IFERROR(VLOOKUP(A106,'Production Schedule'!$B:$FU,54,FALSE),""))</f>
        <v>46167</v>
      </c>
      <c r="J106" s="32">
        <f>IF(A106="","",IFERROR(VLOOKUP(A106,'Production Schedule'!$B:$FU,135,FALSE),""))</f>
        <v>180</v>
      </c>
      <c r="K106" s="20" t="str">
        <f>IF(A106="","",IFERROR(VLOOKUP(A106,'Production Schedule'!$B:$FU,59,FALSE),""))</f>
        <v>YES</v>
      </c>
      <c r="L106" s="39" t="str">
        <f>IF(A106="","",IFERROR(VLOOKUP(A106,'Production Schedule'!$B:$FU,80,FALSE),""))</f>
        <v>LO</v>
      </c>
      <c r="M106" s="33" t="str" cm="1">
        <f t="array" ref="M106">IF(A106="","",IFERROR(TRIM(INDEX(_xlfn.TEXTSPLIT(IFERROR(VLOOKUP(A106,'Production Schedule'!$B:$FU,150,FALSE),""),CHAR(10)),1)),""))</f>
        <v>AXYZ</v>
      </c>
      <c r="N106" s="34">
        <f t="shared" si="8"/>
        <v>46140</v>
      </c>
      <c r="O106" s="33" t="str" cm="1">
        <f t="array" ref="O106">IF(A106="","",IFERROR(TRIM(INDEX(_xlfn.TEXTSPLIT(IFERROR(VLOOKUP(A106,'Production Schedule'!$B:$FU,150,FALSE),""),CHAR(10)),2)),""))</f>
        <v>Clean and Brake</v>
      </c>
      <c r="P106" s="34">
        <f t="shared" si="9"/>
        <v>46143</v>
      </c>
      <c r="Q106" s="33" t="str" cm="1">
        <f t="array" ref="Q106">IF(A106="","",IFERROR(TRIM(INDEX(_xlfn.TEXTSPLIT(IFERROR(VLOOKUP(A106,'Production Schedule'!$B:$FU,150,FALSE),""),CHAR(10)),3)),""))</f>
        <v>Fab</v>
      </c>
      <c r="R106" s="34">
        <f t="shared" si="10"/>
        <v>46154</v>
      </c>
      <c r="S106" s="33" t="str" cm="1">
        <f t="array" ref="S106">IF(A106="","",IFERROR(TRIM(INDEX(_xlfn.TEXTSPLIT(IFERROR(VLOOKUP(A106,'Production Schedule'!$B:$FU,150,FALSE),""),CHAR(10)),4)),""))</f>
        <v/>
      </c>
      <c r="T106" s="34" t="str">
        <f t="shared" si="11"/>
        <v/>
      </c>
      <c r="U106" s="33" t="str" cm="1">
        <f t="array" ref="U106">IF(A106="","",IFERROR(TRIM(INDEX(_xlfn.TEXTSPLIT(IFERROR(VLOOKUP(A106,'Production Schedule'!$B:$FU,150,FALSE),""),CHAR(10)),5)),""))</f>
        <v/>
      </c>
      <c r="V106" s="34" t="str">
        <f t="shared" si="12"/>
        <v/>
      </c>
      <c r="W106" s="33" t="str" cm="1">
        <f t="array" ref="W106">IF(A106="","",IFERROR(TRIM(INDEX(_xlfn.TEXTSPLIT(IFERROR(VLOOKUP(A106,'Production Schedule'!$B:$FU,150,FALSE),""),CHAR(10)),6)),""))</f>
        <v/>
      </c>
      <c r="X106" s="34" t="str">
        <f t="shared" si="13"/>
        <v/>
      </c>
      <c r="Y106" s="36">
        <f t="shared" si="14"/>
        <v>46164</v>
      </c>
      <c r="Z106" s="37" t="str">
        <f>IF(A106="","",IF(IFERROR(VLOOKUP(A106,Notes!A:B,2,FALSE),"")=0,"",VLOOKUP(A106,Notes!A:B,2,FALSE)))</f>
        <v>04/16/2026…LO</v>
      </c>
      <c r="AA106" s="20">
        <f t="shared" si="15"/>
        <v>1</v>
      </c>
    </row>
    <row r="107" spans="1:27" x14ac:dyDescent="0.25">
      <c r="A107" s="18" t="str">
        <v>24079-FS303</v>
      </c>
      <c r="B107" s="18" t="str">
        <f>IF(A107="","",IFERROR(VLOOKUP(A107,'Production Schedule'!$B:$FU,3,FALSE),""))</f>
        <v>Nashville Youth Campus</v>
      </c>
      <c r="C107" s="18" t="str">
        <f>IF(A107="","",IFERROR(VLOOKUP(A107,'Production Schedule'!$B:$FU,5,FALSE),""))</f>
        <v>Joe Hoyle</v>
      </c>
      <c r="D107" s="18">
        <f>IF(A107="","",IFERROR(VLOOKUP(A107,'Production Schedule'!$B:$FU,7,FALSE),""))</f>
        <v>400</v>
      </c>
      <c r="E107" s="18">
        <f>IF(A107="","",IFERROR(VLOOKUP(A107,'Production Schedule'!$B:$FU,17,FALSE),""))</f>
        <v>165</v>
      </c>
      <c r="F107" s="18">
        <f>IF(A107="","",IFERROR(VLOOKUP(A107,'Production Schedule'!$B:$FU,18,FALSE),""))</f>
        <v>0</v>
      </c>
      <c r="G107" s="18" t="str">
        <f>IF(A107="","",IFERROR(VLOOKUP(A107,'Production Schedule'!$B:$FU,25,FALSE),""))</f>
        <v>FR ACM</v>
      </c>
      <c r="H107" s="19">
        <f>IF(A107="","",IFERROR(VLOOKUP(A107,'Production Schedule'!$B:$FU,47,FALSE),""))</f>
        <v>46124.829200462962</v>
      </c>
      <c r="I107" s="19">
        <f>IF(A107="","",IFERROR(VLOOKUP(A107,'Production Schedule'!$B:$FU,54,FALSE),""))</f>
        <v>46167</v>
      </c>
      <c r="J107" s="26">
        <f>IF(A107="","",IFERROR(VLOOKUP(A107,'Production Schedule'!$B:$FU,135,FALSE),""))</f>
        <v>180</v>
      </c>
      <c r="K107" s="18" t="str">
        <f>IF(A107="","",IFERROR(VLOOKUP(A107,'Production Schedule'!$B:$FU,59,FALSE),""))</f>
        <v>YES</v>
      </c>
      <c r="L107" s="38" t="str">
        <f>IF(A107="","",IFERROR(VLOOKUP(A107,'Production Schedule'!$B:$FU,80,FALSE),""))</f>
        <v>LO</v>
      </c>
      <c r="M107" s="27" t="str" cm="1">
        <f t="array" ref="M107">IF(A107="","",IFERROR(TRIM(INDEX(_xlfn.TEXTSPLIT(IFERROR(VLOOKUP(A107,'Production Schedule'!$B:$FU,150,FALSE),""),CHAR(10)),1)),""))</f>
        <v>AXYZ</v>
      </c>
      <c r="N107" s="28">
        <f t="shared" si="8"/>
        <v>46140</v>
      </c>
      <c r="O107" s="27" t="str" cm="1">
        <f t="array" ref="O107">IF(A107="","",IFERROR(TRIM(INDEX(_xlfn.TEXTSPLIT(IFERROR(VLOOKUP(A107,'Production Schedule'!$B:$FU,150,FALSE),""),CHAR(10)),2)),""))</f>
        <v>Clean and Brake</v>
      </c>
      <c r="P107" s="28">
        <f t="shared" si="9"/>
        <v>46143</v>
      </c>
      <c r="Q107" s="27" t="str" cm="1">
        <f t="array" ref="Q107">IF(A107="","",IFERROR(TRIM(INDEX(_xlfn.TEXTSPLIT(IFERROR(VLOOKUP(A107,'Production Schedule'!$B:$FU,150,FALSE),""),CHAR(10)),3)),""))</f>
        <v>Fab</v>
      </c>
      <c r="R107" s="28">
        <f t="shared" si="10"/>
        <v>46154</v>
      </c>
      <c r="S107" s="27" t="str" cm="1">
        <f t="array" ref="S107">IF(A107="","",IFERROR(TRIM(INDEX(_xlfn.TEXTSPLIT(IFERROR(VLOOKUP(A107,'Production Schedule'!$B:$FU,150,FALSE),""),CHAR(10)),4)),""))</f>
        <v/>
      </c>
      <c r="T107" s="28" t="str">
        <f t="shared" si="11"/>
        <v/>
      </c>
      <c r="U107" s="27" t="str" cm="1">
        <f t="array" ref="U107">IF(A107="","",IFERROR(TRIM(INDEX(_xlfn.TEXTSPLIT(IFERROR(VLOOKUP(A107,'Production Schedule'!$B:$FU,150,FALSE),""),CHAR(10)),5)),""))</f>
        <v/>
      </c>
      <c r="V107" s="28" t="str">
        <f t="shared" si="12"/>
        <v/>
      </c>
      <c r="W107" s="27" t="str" cm="1">
        <f t="array" ref="W107">IF(A107="","",IFERROR(TRIM(INDEX(_xlfn.TEXTSPLIT(IFERROR(VLOOKUP(A107,'Production Schedule'!$B:$FU,150,FALSE),""),CHAR(10)),6)),""))</f>
        <v/>
      </c>
      <c r="X107" s="28" t="str">
        <f t="shared" si="13"/>
        <v/>
      </c>
      <c r="Y107" s="30">
        <f t="shared" si="14"/>
        <v>46164</v>
      </c>
      <c r="Z107" s="31" t="str">
        <f>IF(A107="","",IF(IFERROR(VLOOKUP(A107,Notes!A:B,2,FALSE),"")=0,"",VLOOKUP(A107,Notes!A:B,2,FALSE)))</f>
        <v>04/16/2026…LO</v>
      </c>
      <c r="AA107" s="18">
        <f t="shared" si="15"/>
        <v>1</v>
      </c>
    </row>
    <row r="108" spans="1:27" x14ac:dyDescent="0.25">
      <c r="A108" s="20" t="str">
        <v>25041-FS02</v>
      </c>
      <c r="B108" s="20" t="str">
        <f>IF(A108="","",IFERROR(VLOOKUP(A108,'Production Schedule'!$B:$FU,3,FALSE),""))</f>
        <v>Wedgewood Bldg E</v>
      </c>
      <c r="C108" s="20" t="str">
        <f>IF(A108="","",IFERROR(VLOOKUP(A108,'Production Schedule'!$B:$FU,5,FALSE),""))</f>
        <v>Wylie McDougall</v>
      </c>
      <c r="D108" s="20">
        <f>IF(A108="","",IFERROR(VLOOKUP(A108,'Production Schedule'!$B:$FU,7,FALSE),""))</f>
        <v>400</v>
      </c>
      <c r="E108" s="20">
        <f>IF(A108="","",IFERROR(VLOOKUP(A108,'Production Schedule'!$B:$FU,17,FALSE),""))</f>
        <v>31</v>
      </c>
      <c r="F108" s="20">
        <f>IF(A108="","",IFERROR(VLOOKUP(A108,'Production Schedule'!$B:$FU,18,FALSE),""))</f>
        <v>0</v>
      </c>
      <c r="G108" s="20" t="str">
        <f>IF(A108="","",IFERROR(VLOOKUP(A108,'Production Schedule'!$B:$FU,25,FALSE),""))</f>
        <v>FR ACM</v>
      </c>
      <c r="H108" s="21">
        <f>IF(A108="","",IFERROR(VLOOKUP(A108,'Production Schedule'!$B:$FU,47,FALSE),""))</f>
        <v>46112.660786296299</v>
      </c>
      <c r="I108" s="21">
        <f>IF(A108="","",IFERROR(VLOOKUP(A108,'Production Schedule'!$B:$FU,54,FALSE),""))</f>
        <v>46168</v>
      </c>
      <c r="J108" s="32">
        <f>IF(A108="","",IFERROR(VLOOKUP(A108,'Production Schedule'!$B:$FU,135,FALSE),""))</f>
        <v>50</v>
      </c>
      <c r="K108" s="20" t="str">
        <f>IF(A108="","",IFERROR(VLOOKUP(A108,'Production Schedule'!$B:$FU,59,FALSE),""))</f>
        <v>YES</v>
      </c>
      <c r="L108" s="39" t="str">
        <f>IF(A108="","",IFERROR(VLOOKUP(A108,'Production Schedule'!$B:$FU,80,FALSE),""))</f>
        <v>LO</v>
      </c>
      <c r="M108" s="33" t="str" cm="1">
        <f t="array" ref="M108">IF(A108="","",IFERROR(TRIM(INDEX(_xlfn.TEXTSPLIT(IFERROR(VLOOKUP(A108,'Production Schedule'!$B:$FU,150,FALSE),""),CHAR(10)),1)),""))</f>
        <v>AXYZ</v>
      </c>
      <c r="N108" s="34">
        <f t="shared" si="8"/>
        <v>46133</v>
      </c>
      <c r="O108" s="33" t="str" cm="1">
        <f t="array" ref="O108">IF(A108="","",IFERROR(TRIM(INDEX(_xlfn.TEXTSPLIT(IFERROR(VLOOKUP(A108,'Production Schedule'!$B:$FU,150,FALSE),""),CHAR(10)),2)),""))</f>
        <v>Clean and Brake</v>
      </c>
      <c r="P108" s="34">
        <f t="shared" si="9"/>
        <v>46134</v>
      </c>
      <c r="Q108" s="33" t="str" cm="1">
        <f t="array" ref="Q108">IF(A108="","",IFERROR(TRIM(INDEX(_xlfn.TEXTSPLIT(IFERROR(VLOOKUP(A108,'Production Schedule'!$B:$FU,150,FALSE),""),CHAR(10)),3)),""))</f>
        <v>Fab</v>
      </c>
      <c r="R108" s="34">
        <f t="shared" si="10"/>
        <v>46144</v>
      </c>
      <c r="S108" s="33" t="str" cm="1">
        <f t="array" ref="S108">IF(A108="","",IFERROR(TRIM(INDEX(_xlfn.TEXTSPLIT(IFERROR(VLOOKUP(A108,'Production Schedule'!$B:$FU,150,FALSE),""),CHAR(10)),4)),""))</f>
        <v>Roller</v>
      </c>
      <c r="T108" s="34">
        <f t="shared" si="11"/>
        <v>46155</v>
      </c>
      <c r="U108" s="33" t="str" cm="1">
        <f t="array" ref="U108">IF(A108="","",IFERROR(TRIM(INDEX(_xlfn.TEXTSPLIT(IFERROR(VLOOKUP(A108,'Production Schedule'!$B:$FU,150,FALSE),""),CHAR(10)),5)),""))</f>
        <v/>
      </c>
      <c r="V108" s="34" t="str">
        <f t="shared" si="12"/>
        <v/>
      </c>
      <c r="W108" s="33" t="str" cm="1">
        <f t="array" ref="W108">IF(A108="","",IFERROR(TRIM(INDEX(_xlfn.TEXTSPLIT(IFERROR(VLOOKUP(A108,'Production Schedule'!$B:$FU,150,FALSE),""),CHAR(10)),6)),""))</f>
        <v/>
      </c>
      <c r="X108" s="34" t="str">
        <f t="shared" si="13"/>
        <v/>
      </c>
      <c r="Y108" s="36">
        <f t="shared" si="14"/>
        <v>46165</v>
      </c>
      <c r="Z108" s="37" t="str">
        <f>IF(A108="","",IF(IFERROR(VLOOKUP(A108,Notes!A:B,2,FALSE),"")=0,"",VLOOKUP(A108,Notes!A:B,2,FALSE)))</f>
        <v>04/16/2026…LO</v>
      </c>
      <c r="AA108" s="20">
        <f t="shared" si="15"/>
        <v>1</v>
      </c>
    </row>
    <row r="109" spans="1:27" x14ac:dyDescent="0.25">
      <c r="A109" s="18" t="str">
        <v>25065-MU02</v>
      </c>
      <c r="B109" s="18" t="str">
        <f>IF(A109="","",IFERROR(VLOOKUP(A109,'Production Schedule'!$B:$FU,3,FALSE),""))</f>
        <v>Crosswinds Casino Resort</v>
      </c>
      <c r="C109" s="18" t="str">
        <f>IF(A109="","",IFERROR(VLOOKUP(A109,'Production Schedule'!$B:$FU,5,FALSE),""))</f>
        <v>Matt Rassmussen</v>
      </c>
      <c r="D109" s="18">
        <f>IF(A109="","",IFERROR(VLOOKUP(A109,'Production Schedule'!$B:$FU,7,FALSE),""))</f>
        <v>400</v>
      </c>
      <c r="E109" s="18">
        <f>IF(A109="","",IFERROR(VLOOKUP(A109,'Production Schedule'!$B:$FU,17,FALSE),""))</f>
        <v>15</v>
      </c>
      <c r="F109" s="18">
        <f>IF(A109="","",IFERROR(VLOOKUP(A109,'Production Schedule'!$B:$FU,18,FALSE),""))</f>
        <v>13</v>
      </c>
      <c r="G109" s="18" t="str">
        <f>IF(A109="","",IFERROR(VLOOKUP(A109,'Production Schedule'!$B:$FU,25,FALSE),""))</f>
        <v>FR ACM</v>
      </c>
      <c r="H109" s="19">
        <f>IF(A109="","",IFERROR(VLOOKUP(A109,'Production Schedule'!$B:$FU,47,FALSE),""))</f>
        <v>46112.432260439811</v>
      </c>
      <c r="I109" s="19">
        <f>IF(A109="","",IFERROR(VLOOKUP(A109,'Production Schedule'!$B:$FU,54,FALSE),""))</f>
        <v>46171</v>
      </c>
      <c r="J109" s="26">
        <f>IF(A109="","",IFERROR(VLOOKUP(A109,'Production Schedule'!$B:$FU,135,FALSE),""))</f>
        <v>18</v>
      </c>
      <c r="K109" s="18" t="str">
        <f>IF(A109="","",IFERROR(VLOOKUP(A109,'Production Schedule'!$B:$FU,59,FALSE),""))</f>
        <v>NO</v>
      </c>
      <c r="L109" s="38" t="str">
        <f>IF(A109="","",IFERROR(VLOOKUP(A109,'Production Schedule'!$B:$FU,80,FALSE),""))</f>
        <v>LO</v>
      </c>
      <c r="M109" s="27" t="str" cm="1">
        <f t="array" ref="M109">IF(A109="","",IFERROR(TRIM(INDEX(_xlfn.TEXTSPLIT(IFERROR(VLOOKUP(A109,'Production Schedule'!$B:$FU,150,FALSE),""),CHAR(10)),1)),""))</f>
        <v>AXYZ</v>
      </c>
      <c r="N109" s="28">
        <f t="shared" si="8"/>
        <v>46147</v>
      </c>
      <c r="O109" s="27" t="str" cm="1">
        <f t="array" ref="O109">IF(A109="","",IFERROR(TRIM(INDEX(_xlfn.TEXTSPLIT(IFERROR(VLOOKUP(A109,'Production Schedule'!$B:$FU,150,FALSE),""),CHAR(10)),2)),""))</f>
        <v>Clean and Brake</v>
      </c>
      <c r="P109" s="28">
        <f t="shared" si="9"/>
        <v>46148</v>
      </c>
      <c r="Q109" s="27" t="str" cm="1">
        <f t="array" ref="Q109">IF(A109="","",IFERROR(TRIM(INDEX(_xlfn.TEXTSPLIT(IFERROR(VLOOKUP(A109,'Production Schedule'!$B:$FU,150,FALSE),""),CHAR(10)),3)),""))</f>
        <v>Fab</v>
      </c>
      <c r="R109" s="28">
        <f t="shared" si="10"/>
        <v>46158</v>
      </c>
      <c r="S109" s="27" t="str" cm="1">
        <f t="array" ref="S109">IF(A109="","",IFERROR(TRIM(INDEX(_xlfn.TEXTSPLIT(IFERROR(VLOOKUP(A109,'Production Schedule'!$B:$FU,150,FALSE),""),CHAR(10)),4)),""))</f>
        <v/>
      </c>
      <c r="T109" s="28" t="str">
        <f t="shared" si="11"/>
        <v/>
      </c>
      <c r="U109" s="27" t="str" cm="1">
        <f t="array" ref="U109">IF(A109="","",IFERROR(TRIM(INDEX(_xlfn.TEXTSPLIT(IFERROR(VLOOKUP(A109,'Production Schedule'!$B:$FU,150,FALSE),""),CHAR(10)),5)),""))</f>
        <v/>
      </c>
      <c r="V109" s="28" t="str">
        <f t="shared" si="12"/>
        <v/>
      </c>
      <c r="W109" s="27" t="str" cm="1">
        <f t="array" ref="W109">IF(A109="","",IFERROR(TRIM(INDEX(_xlfn.TEXTSPLIT(IFERROR(VLOOKUP(A109,'Production Schedule'!$B:$FU,150,FALSE),""),CHAR(10)),6)),""))</f>
        <v/>
      </c>
      <c r="X109" s="28" t="str">
        <f t="shared" si="13"/>
        <v/>
      </c>
      <c r="Y109" s="30">
        <f t="shared" si="14"/>
        <v>46169</v>
      </c>
      <c r="Z109" s="31" t="str">
        <f>IF(A109="","",IF(IFERROR(VLOOKUP(A109,Notes!A:B,2,FALSE),"")=0,"",VLOOKUP(A109,Notes!A:B,2,FALSE)))</f>
        <v>04/16/2026…LO</v>
      </c>
      <c r="AA109" s="18">
        <f t="shared" si="15"/>
        <v>1</v>
      </c>
    </row>
    <row r="110" spans="1:27" x14ac:dyDescent="0.25">
      <c r="A110" s="20" t="str">
        <v>25065-MU03</v>
      </c>
      <c r="B110" s="20" t="str">
        <f>IF(A110="","",IFERROR(VLOOKUP(A110,'Production Schedule'!$B:$FU,3,FALSE),""))</f>
        <v>Crosswinds Casino Resort</v>
      </c>
      <c r="C110" s="20" t="str">
        <f>IF(A110="","",IFERROR(VLOOKUP(A110,'Production Schedule'!$B:$FU,5,FALSE),""))</f>
        <v>Matt Rassmussen</v>
      </c>
      <c r="D110" s="20">
        <f>IF(A110="","",IFERROR(VLOOKUP(A110,'Production Schedule'!$B:$FU,7,FALSE),""))</f>
        <v>400</v>
      </c>
      <c r="E110" s="20">
        <f>IF(A110="","",IFERROR(VLOOKUP(A110,'Production Schedule'!$B:$FU,17,FALSE),""))</f>
        <v>6</v>
      </c>
      <c r="F110" s="20">
        <f>IF(A110="","",IFERROR(VLOOKUP(A110,'Production Schedule'!$B:$FU,18,FALSE),""))</f>
        <v>6</v>
      </c>
      <c r="G110" s="20" t="str">
        <f>IF(A110="","",IFERROR(VLOOKUP(A110,'Production Schedule'!$B:$FU,25,FALSE),""))</f>
        <v>FR ACM</v>
      </c>
      <c r="H110" s="21">
        <f>IF(A110="","",IFERROR(VLOOKUP(A110,'Production Schedule'!$B:$FU,47,FALSE),""))</f>
        <v>46112.433764097223</v>
      </c>
      <c r="I110" s="21">
        <f>IF(A110="","",IFERROR(VLOOKUP(A110,'Production Schedule'!$B:$FU,54,FALSE),""))</f>
        <v>46171</v>
      </c>
      <c r="J110" s="32">
        <f>IF(A110="","",IFERROR(VLOOKUP(A110,'Production Schedule'!$B:$FU,135,FALSE),""))</f>
        <v>8</v>
      </c>
      <c r="K110" s="20" t="str">
        <f>IF(A110="","",IFERROR(VLOOKUP(A110,'Production Schedule'!$B:$FU,59,FALSE),""))</f>
        <v>NO</v>
      </c>
      <c r="L110" s="39" t="str">
        <f>IF(A110="","",IFERROR(VLOOKUP(A110,'Production Schedule'!$B:$FU,80,FALSE),""))</f>
        <v>LO</v>
      </c>
      <c r="M110" s="33" t="str" cm="1">
        <f t="array" ref="M110">IF(A110="","",IFERROR(TRIM(INDEX(_xlfn.TEXTSPLIT(IFERROR(VLOOKUP(A110,'Production Schedule'!$B:$FU,150,FALSE),""),CHAR(10)),1)),""))</f>
        <v>AXYZ</v>
      </c>
      <c r="N110" s="34">
        <f t="shared" si="8"/>
        <v>46147</v>
      </c>
      <c r="O110" s="33" t="str" cm="1">
        <f t="array" ref="O110">IF(A110="","",IFERROR(TRIM(INDEX(_xlfn.TEXTSPLIT(IFERROR(VLOOKUP(A110,'Production Schedule'!$B:$FU,150,FALSE),""),CHAR(10)),2)),""))</f>
        <v>Clean and Brake</v>
      </c>
      <c r="P110" s="34">
        <f t="shared" si="9"/>
        <v>46148</v>
      </c>
      <c r="Q110" s="33" t="str" cm="1">
        <f t="array" ref="Q110">IF(A110="","",IFERROR(TRIM(INDEX(_xlfn.TEXTSPLIT(IFERROR(VLOOKUP(A110,'Production Schedule'!$B:$FU,150,FALSE),""),CHAR(10)),3)),""))</f>
        <v>Fab</v>
      </c>
      <c r="R110" s="34">
        <f t="shared" si="10"/>
        <v>46158</v>
      </c>
      <c r="S110" s="33" t="str" cm="1">
        <f t="array" ref="S110">IF(A110="","",IFERROR(TRIM(INDEX(_xlfn.TEXTSPLIT(IFERROR(VLOOKUP(A110,'Production Schedule'!$B:$FU,150,FALSE),""),CHAR(10)),4)),""))</f>
        <v/>
      </c>
      <c r="T110" s="34" t="str">
        <f t="shared" si="11"/>
        <v/>
      </c>
      <c r="U110" s="33" t="str" cm="1">
        <f t="array" ref="U110">IF(A110="","",IFERROR(TRIM(INDEX(_xlfn.TEXTSPLIT(IFERROR(VLOOKUP(A110,'Production Schedule'!$B:$FU,150,FALSE),""),CHAR(10)),5)),""))</f>
        <v/>
      </c>
      <c r="V110" s="34" t="str">
        <f t="shared" si="12"/>
        <v/>
      </c>
      <c r="W110" s="33" t="str" cm="1">
        <f t="array" ref="W110">IF(A110="","",IFERROR(TRIM(INDEX(_xlfn.TEXTSPLIT(IFERROR(VLOOKUP(A110,'Production Schedule'!$B:$FU,150,FALSE),""),CHAR(10)),6)),""))</f>
        <v/>
      </c>
      <c r="X110" s="34" t="str">
        <f t="shared" si="13"/>
        <v/>
      </c>
      <c r="Y110" s="36">
        <f t="shared" si="14"/>
        <v>46169</v>
      </c>
      <c r="Z110" s="37" t="str">
        <f>IF(A110="","",IF(IFERROR(VLOOKUP(A110,Notes!A:B,2,FALSE),"")=0,"",VLOOKUP(A110,Notes!A:B,2,FALSE)))</f>
        <v>04/16/2026…LO</v>
      </c>
      <c r="AA110" s="20">
        <f t="shared" si="15"/>
        <v>1</v>
      </c>
    </row>
    <row r="111" spans="1:27" x14ac:dyDescent="0.25">
      <c r="A111" s="18" t="str">
        <v>25065-MU04</v>
      </c>
      <c r="B111" s="18" t="str">
        <f>IF(A111="","",IFERROR(VLOOKUP(A111,'Production Schedule'!$B:$FU,3,FALSE),""))</f>
        <v>Crosswinds Casino Resort</v>
      </c>
      <c r="C111" s="18" t="str">
        <f>IF(A111="","",IFERROR(VLOOKUP(A111,'Production Schedule'!$B:$FU,5,FALSE),""))</f>
        <v>Matt Rassmussen</v>
      </c>
      <c r="D111" s="18">
        <f>IF(A111="","",IFERROR(VLOOKUP(A111,'Production Schedule'!$B:$FU,7,FALSE),""))</f>
        <v>400</v>
      </c>
      <c r="E111" s="18">
        <f>IF(A111="","",IFERROR(VLOOKUP(A111,'Production Schedule'!$B:$FU,17,FALSE),""))</f>
        <v>15</v>
      </c>
      <c r="F111" s="18">
        <f>IF(A111="","",IFERROR(VLOOKUP(A111,'Production Schedule'!$B:$FU,18,FALSE),""))</f>
        <v>13</v>
      </c>
      <c r="G111" s="18" t="str">
        <f>IF(A111="","",IFERROR(VLOOKUP(A111,'Production Schedule'!$B:$FU,25,FALSE),""))</f>
        <v>FR ACM</v>
      </c>
      <c r="H111" s="19">
        <f>IF(A111="","",IFERROR(VLOOKUP(A111,'Production Schedule'!$B:$FU,47,FALSE),""))</f>
        <v>46112.435537256948</v>
      </c>
      <c r="I111" s="19">
        <f>IF(A111="","",IFERROR(VLOOKUP(A111,'Production Schedule'!$B:$FU,54,FALSE),""))</f>
        <v>46171</v>
      </c>
      <c r="J111" s="26">
        <f>IF(A111="","",IFERROR(VLOOKUP(A111,'Production Schedule'!$B:$FU,135,FALSE),""))</f>
        <v>20</v>
      </c>
      <c r="K111" s="18" t="str">
        <f>IF(A111="","",IFERROR(VLOOKUP(A111,'Production Schedule'!$B:$FU,59,FALSE),""))</f>
        <v>NO</v>
      </c>
      <c r="L111" s="38" t="str">
        <f>IF(A111="","",IFERROR(VLOOKUP(A111,'Production Schedule'!$B:$FU,80,FALSE),""))</f>
        <v>LO</v>
      </c>
      <c r="M111" s="27" t="str" cm="1">
        <f t="array" ref="M111">IF(A111="","",IFERROR(TRIM(INDEX(_xlfn.TEXTSPLIT(IFERROR(VLOOKUP(A111,'Production Schedule'!$B:$FU,150,FALSE),""),CHAR(10)),1)),""))</f>
        <v>AXYZ</v>
      </c>
      <c r="N111" s="28">
        <f t="shared" si="8"/>
        <v>46147</v>
      </c>
      <c r="O111" s="27" t="str" cm="1">
        <f t="array" ref="O111">IF(A111="","",IFERROR(TRIM(INDEX(_xlfn.TEXTSPLIT(IFERROR(VLOOKUP(A111,'Production Schedule'!$B:$FU,150,FALSE),""),CHAR(10)),2)),""))</f>
        <v>Clean and Brake</v>
      </c>
      <c r="P111" s="28">
        <f t="shared" si="9"/>
        <v>46148</v>
      </c>
      <c r="Q111" s="27" t="str" cm="1">
        <f t="array" ref="Q111">IF(A111="","",IFERROR(TRIM(INDEX(_xlfn.TEXTSPLIT(IFERROR(VLOOKUP(A111,'Production Schedule'!$B:$FU,150,FALSE),""),CHAR(10)),3)),""))</f>
        <v>Fab</v>
      </c>
      <c r="R111" s="28">
        <f t="shared" si="10"/>
        <v>46158</v>
      </c>
      <c r="S111" s="27" t="str" cm="1">
        <f t="array" ref="S111">IF(A111="","",IFERROR(TRIM(INDEX(_xlfn.TEXTSPLIT(IFERROR(VLOOKUP(A111,'Production Schedule'!$B:$FU,150,FALSE),""),CHAR(10)),4)),""))</f>
        <v/>
      </c>
      <c r="T111" s="28" t="str">
        <f t="shared" si="11"/>
        <v/>
      </c>
      <c r="U111" s="27" t="str" cm="1">
        <f t="array" ref="U111">IF(A111="","",IFERROR(TRIM(INDEX(_xlfn.TEXTSPLIT(IFERROR(VLOOKUP(A111,'Production Schedule'!$B:$FU,150,FALSE),""),CHAR(10)),5)),""))</f>
        <v/>
      </c>
      <c r="V111" s="28" t="str">
        <f t="shared" si="12"/>
        <v/>
      </c>
      <c r="W111" s="27" t="str" cm="1">
        <f t="array" ref="W111">IF(A111="","",IFERROR(TRIM(INDEX(_xlfn.TEXTSPLIT(IFERROR(VLOOKUP(A111,'Production Schedule'!$B:$FU,150,FALSE),""),CHAR(10)),6)),""))</f>
        <v/>
      </c>
      <c r="X111" s="28" t="str">
        <f t="shared" si="13"/>
        <v/>
      </c>
      <c r="Y111" s="30">
        <f t="shared" si="14"/>
        <v>46169</v>
      </c>
      <c r="Z111" s="31" t="str">
        <f>IF(A111="","",IF(IFERROR(VLOOKUP(A111,Notes!A:B,2,FALSE),"")=0,"",VLOOKUP(A111,Notes!A:B,2,FALSE)))</f>
        <v>04/16/2026…LO</v>
      </c>
      <c r="AA111" s="18">
        <f t="shared" si="15"/>
        <v>1</v>
      </c>
    </row>
    <row r="112" spans="1:27" x14ac:dyDescent="0.25">
      <c r="A112" s="20" t="str">
        <v>25065-MU05</v>
      </c>
      <c r="B112" s="20" t="str">
        <f>IF(A112="","",IFERROR(VLOOKUP(A112,'Production Schedule'!$B:$FU,3,FALSE),""))</f>
        <v>Crosswinds Casino Resort</v>
      </c>
      <c r="C112" s="20" t="str">
        <f>IF(A112="","",IFERROR(VLOOKUP(A112,'Production Schedule'!$B:$FU,5,FALSE),""))</f>
        <v>Matt Rassmussen</v>
      </c>
      <c r="D112" s="20" t="str">
        <f>IF(A112="","",IFERROR(VLOOKUP(A112,'Production Schedule'!$B:$FU,7,FALSE),""))</f>
        <v>CUSTOM ARCH</v>
      </c>
      <c r="E112" s="20">
        <f>IF(A112="","",IFERROR(VLOOKUP(A112,'Production Schedule'!$B:$FU,17,FALSE),""))</f>
        <v>3</v>
      </c>
      <c r="F112" s="20">
        <f>IF(A112="","",IFERROR(VLOOKUP(A112,'Production Schedule'!$B:$FU,18,FALSE),""))</f>
        <v>1</v>
      </c>
      <c r="G112" s="20" t="str">
        <f>IF(A112="","",IFERROR(VLOOKUP(A112,'Production Schedule'!$B:$FU,25,FALSE),""))</f>
        <v>Steel Sheet</v>
      </c>
      <c r="H112" s="21">
        <f>IF(A112="","",IFERROR(VLOOKUP(A112,'Production Schedule'!$B:$FU,47,FALSE),""))</f>
        <v>46112.439324791667</v>
      </c>
      <c r="I112" s="21">
        <f>IF(A112="","",IFERROR(VLOOKUP(A112,'Production Schedule'!$B:$FU,54,FALSE),""))</f>
        <v>46171</v>
      </c>
      <c r="J112" s="32">
        <f>IF(A112="","",IFERROR(VLOOKUP(A112,'Production Schedule'!$B:$FU,135,FALSE),""))</f>
        <v>1</v>
      </c>
      <c r="K112" s="20" t="str">
        <f>IF(A112="","",IFERROR(VLOOKUP(A112,'Production Schedule'!$B:$FU,59,FALSE),""))</f>
        <v>NO</v>
      </c>
      <c r="L112" s="39" t="str">
        <f>IF(A112="","",IFERROR(VLOOKUP(A112,'Production Schedule'!$B:$FU,80,FALSE),""))</f>
        <v>Evaluation</v>
      </c>
      <c r="M112" s="33" t="str" cm="1">
        <f t="array" ref="M112">IF(A112="","",IFERROR(TRIM(INDEX(_xlfn.TEXTSPLIT(IFERROR(VLOOKUP(A112,'Production Schedule'!$B:$FU,150,FALSE),""),CHAR(10)),1)),""))</f>
        <v>Cidan</v>
      </c>
      <c r="N112" s="34">
        <f t="shared" si="8"/>
        <v>46146</v>
      </c>
      <c r="O112" s="33" t="str" cm="1">
        <f t="array" ref="O112">IF(A112="","",IFERROR(TRIM(INDEX(_xlfn.TEXTSPLIT(IFERROR(VLOOKUP(A112,'Production Schedule'!$B:$FU,150,FALSE),""),CHAR(10)),2)),""))</f>
        <v>Shear</v>
      </c>
      <c r="P112" s="34">
        <f t="shared" si="9"/>
        <v>46157</v>
      </c>
      <c r="Q112" s="33" t="str" cm="1">
        <f t="array" ref="Q112">IF(A112="","",IFERROR(TRIM(INDEX(_xlfn.TEXTSPLIT(IFERROR(VLOOKUP(A112,'Production Schedule'!$B:$FU,150,FALSE),""),CHAR(10)),3)),""))</f>
        <v/>
      </c>
      <c r="R112" s="34" t="str">
        <f t="shared" si="10"/>
        <v/>
      </c>
      <c r="S112" s="33" t="str" cm="1">
        <f t="array" ref="S112">IF(A112="","",IFERROR(TRIM(INDEX(_xlfn.TEXTSPLIT(IFERROR(VLOOKUP(A112,'Production Schedule'!$B:$FU,150,FALSE),""),CHAR(10)),4)),""))</f>
        <v/>
      </c>
      <c r="T112" s="34" t="str">
        <f t="shared" si="11"/>
        <v/>
      </c>
      <c r="U112" s="33" t="str" cm="1">
        <f t="array" ref="U112">IF(A112="","",IFERROR(TRIM(INDEX(_xlfn.TEXTSPLIT(IFERROR(VLOOKUP(A112,'Production Schedule'!$B:$FU,150,FALSE),""),CHAR(10)),5)),""))</f>
        <v/>
      </c>
      <c r="V112" s="34" t="str">
        <f t="shared" si="12"/>
        <v/>
      </c>
      <c r="W112" s="33" t="str" cm="1">
        <f t="array" ref="W112">IF(A112="","",IFERROR(TRIM(INDEX(_xlfn.TEXTSPLIT(IFERROR(VLOOKUP(A112,'Production Schedule'!$B:$FU,150,FALSE),""),CHAR(10)),6)),""))</f>
        <v/>
      </c>
      <c r="X112" s="34" t="str">
        <f t="shared" si="13"/>
        <v/>
      </c>
      <c r="Y112" s="36">
        <f t="shared" si="14"/>
        <v>46169</v>
      </c>
      <c r="Z112" s="37" t="str">
        <f>IF(A112="","",IF(IFERROR(VLOOKUP(A112,Notes!A:B,2,FALSE),"")=0,"",VLOOKUP(A112,Notes!A:B,2,FALSE)))</f>
        <v>04/16/2026…Evaluation</v>
      </c>
      <c r="AA112" s="20">
        <f t="shared" si="15"/>
        <v>1</v>
      </c>
    </row>
    <row r="113" spans="1:27" x14ac:dyDescent="0.25">
      <c r="A113" s="18" t="str">
        <v>25065-MU11</v>
      </c>
      <c r="B113" s="18" t="str">
        <f>IF(A113="","",IFERROR(VLOOKUP(A113,'Production Schedule'!$B:$FU,3,FALSE),""))</f>
        <v>Crosswinds Casino Resort</v>
      </c>
      <c r="C113" s="18" t="str">
        <f>IF(A113="","",IFERROR(VLOOKUP(A113,'Production Schedule'!$B:$FU,5,FALSE),""))</f>
        <v>Matt Rassmussen</v>
      </c>
      <c r="D113" s="18" t="str">
        <f>IF(A113="","",IFERROR(VLOOKUP(A113,'Production Schedule'!$B:$FU,7,FALSE),""))</f>
        <v>CUSTOM ARCH</v>
      </c>
      <c r="E113" s="18">
        <f>IF(A113="","",IFERROR(VLOOKUP(A113,'Production Schedule'!$B:$FU,17,FALSE),""))</f>
        <v>1</v>
      </c>
      <c r="F113" s="18">
        <f>IF(A113="","",IFERROR(VLOOKUP(A113,'Production Schedule'!$B:$FU,18,FALSE),""))</f>
        <v>1</v>
      </c>
      <c r="G113" s="18" t="str">
        <f>IF(A113="","",IFERROR(VLOOKUP(A113,'Production Schedule'!$B:$FU,25,FALSE),""))</f>
        <v>Alum Sheet</v>
      </c>
      <c r="H113" s="19">
        <f>IF(A113="","",IFERROR(VLOOKUP(A113,'Production Schedule'!$B:$FU,47,FALSE),""))</f>
        <v>46112.442800925928</v>
      </c>
      <c r="I113" s="19">
        <f>IF(A113="","",IFERROR(VLOOKUP(A113,'Production Schedule'!$B:$FU,54,FALSE),""))</f>
        <v>46171</v>
      </c>
      <c r="J113" s="26">
        <f>IF(A113="","",IFERROR(VLOOKUP(A113,'Production Schedule'!$B:$FU,135,FALSE),""))</f>
        <v>1</v>
      </c>
      <c r="K113" s="18" t="str">
        <f>IF(A113="","",IFERROR(VLOOKUP(A113,'Production Schedule'!$B:$FU,59,FALSE),""))</f>
        <v>NO</v>
      </c>
      <c r="L113" s="38" t="str">
        <f>IF(A113="","",IFERROR(VLOOKUP(A113,'Production Schedule'!$B:$FU,80,FALSE),""))</f>
        <v>Evaluation</v>
      </c>
      <c r="M113" s="27" t="str" cm="1">
        <f t="array" ref="M113">IF(A113="","",IFERROR(TRIM(INDEX(_xlfn.TEXTSPLIT(IFERROR(VLOOKUP(A113,'Production Schedule'!$B:$FU,150,FALSE),""),CHAR(10)),1)),""))</f>
        <v>Cidan</v>
      </c>
      <c r="N113" s="28">
        <f t="shared" si="8"/>
        <v>46146</v>
      </c>
      <c r="O113" s="27" t="str" cm="1">
        <f t="array" ref="O113">IF(A113="","",IFERROR(TRIM(INDEX(_xlfn.TEXTSPLIT(IFERROR(VLOOKUP(A113,'Production Schedule'!$B:$FU,150,FALSE),""),CHAR(10)),2)),""))</f>
        <v>Shear</v>
      </c>
      <c r="P113" s="28">
        <f t="shared" si="9"/>
        <v>46157</v>
      </c>
      <c r="Q113" s="27" t="str" cm="1">
        <f t="array" ref="Q113">IF(A113="","",IFERROR(TRIM(INDEX(_xlfn.TEXTSPLIT(IFERROR(VLOOKUP(A113,'Production Schedule'!$B:$FU,150,FALSE),""),CHAR(10)),3)),""))</f>
        <v/>
      </c>
      <c r="R113" s="28" t="str">
        <f t="shared" si="10"/>
        <v/>
      </c>
      <c r="S113" s="27" t="str" cm="1">
        <f t="array" ref="S113">IF(A113="","",IFERROR(TRIM(INDEX(_xlfn.TEXTSPLIT(IFERROR(VLOOKUP(A113,'Production Schedule'!$B:$FU,150,FALSE),""),CHAR(10)),4)),""))</f>
        <v/>
      </c>
      <c r="T113" s="28" t="str">
        <f t="shared" si="11"/>
        <v/>
      </c>
      <c r="U113" s="27" t="str" cm="1">
        <f t="array" ref="U113">IF(A113="","",IFERROR(TRIM(INDEX(_xlfn.TEXTSPLIT(IFERROR(VLOOKUP(A113,'Production Schedule'!$B:$FU,150,FALSE),""),CHAR(10)),5)),""))</f>
        <v/>
      </c>
      <c r="V113" s="28" t="str">
        <f t="shared" si="12"/>
        <v/>
      </c>
      <c r="W113" s="27" t="str" cm="1">
        <f t="array" ref="W113">IF(A113="","",IFERROR(TRIM(INDEX(_xlfn.TEXTSPLIT(IFERROR(VLOOKUP(A113,'Production Schedule'!$B:$FU,150,FALSE),""),CHAR(10)),6)),""))</f>
        <v/>
      </c>
      <c r="X113" s="28" t="str">
        <f t="shared" si="13"/>
        <v/>
      </c>
      <c r="Y113" s="30">
        <f t="shared" si="14"/>
        <v>46169</v>
      </c>
      <c r="Z113" s="31" t="str">
        <f>IF(A113="","",IF(IFERROR(VLOOKUP(A113,Notes!A:B,2,FALSE),"")=0,"",VLOOKUP(A113,Notes!A:B,2,FALSE)))</f>
        <v>04/16/2026…Evaluation</v>
      </c>
      <c r="AA113" s="18">
        <f t="shared" si="15"/>
        <v>1</v>
      </c>
    </row>
    <row r="114" spans="1:27" x14ac:dyDescent="0.25">
      <c r="A114" s="20" t="str">
        <v>25065-MU12</v>
      </c>
      <c r="B114" s="20" t="str">
        <f>IF(A114="","",IFERROR(VLOOKUP(A114,'Production Schedule'!$B:$FU,3,FALSE),""))</f>
        <v>Crosswinds Casino Resort</v>
      </c>
      <c r="C114" s="20" t="str">
        <f>IF(A114="","",IFERROR(VLOOKUP(A114,'Production Schedule'!$B:$FU,5,FALSE),""))</f>
        <v>Matt Rassmussen</v>
      </c>
      <c r="D114" s="20" t="str">
        <f>IF(A114="","",IFERROR(VLOOKUP(A114,'Production Schedule'!$B:$FU,7,FALSE),""))</f>
        <v>CUSTOM ARCH</v>
      </c>
      <c r="E114" s="20">
        <f>IF(A114="","",IFERROR(VLOOKUP(A114,'Production Schedule'!$B:$FU,17,FALSE),""))</f>
        <v>0</v>
      </c>
      <c r="F114" s="20">
        <f>IF(A114="","",IFERROR(VLOOKUP(A114,'Production Schedule'!$B:$FU,18,FALSE),""))</f>
        <v>2</v>
      </c>
      <c r="G114" s="20" t="str">
        <f>IF(A114="","",IFERROR(VLOOKUP(A114,'Production Schedule'!$B:$FU,25,FALSE),""))</f>
        <v>Alum Sheet</v>
      </c>
      <c r="H114" s="21">
        <f>IF(A114="","",IFERROR(VLOOKUP(A114,'Production Schedule'!$B:$FU,47,FALSE),""))</f>
        <v>46112.444181423612</v>
      </c>
      <c r="I114" s="21">
        <f>IF(A114="","",IFERROR(VLOOKUP(A114,'Production Schedule'!$B:$FU,54,FALSE),""))</f>
        <v>46171</v>
      </c>
      <c r="J114" s="32">
        <f>IF(A114="","",IFERROR(VLOOKUP(A114,'Production Schedule'!$B:$FU,135,FALSE),""))</f>
        <v>1</v>
      </c>
      <c r="K114" s="20" t="str">
        <f>IF(A114="","",IFERROR(VLOOKUP(A114,'Production Schedule'!$B:$FU,59,FALSE),""))</f>
        <v>NO</v>
      </c>
      <c r="L114" s="39" t="str">
        <f>IF(A114="","",IFERROR(VLOOKUP(A114,'Production Schedule'!$B:$FU,80,FALSE),""))</f>
        <v>Evaluation</v>
      </c>
      <c r="M114" s="33" t="str" cm="1">
        <f t="array" ref="M114">IF(A114="","",IFERROR(TRIM(INDEX(_xlfn.TEXTSPLIT(IFERROR(VLOOKUP(A114,'Production Schedule'!$B:$FU,150,FALSE),""),CHAR(10)),1)),""))</f>
        <v>Cidan</v>
      </c>
      <c r="N114" s="34">
        <f t="shared" si="8"/>
        <v>46146</v>
      </c>
      <c r="O114" s="33" t="str" cm="1">
        <f t="array" ref="O114">IF(A114="","",IFERROR(TRIM(INDEX(_xlfn.TEXTSPLIT(IFERROR(VLOOKUP(A114,'Production Schedule'!$B:$FU,150,FALSE),""),CHAR(10)),2)),""))</f>
        <v>Shear</v>
      </c>
      <c r="P114" s="34">
        <f t="shared" si="9"/>
        <v>46157</v>
      </c>
      <c r="Q114" s="33" t="str" cm="1">
        <f t="array" ref="Q114">IF(A114="","",IFERROR(TRIM(INDEX(_xlfn.TEXTSPLIT(IFERROR(VLOOKUP(A114,'Production Schedule'!$B:$FU,150,FALSE),""),CHAR(10)),3)),""))</f>
        <v/>
      </c>
      <c r="R114" s="34" t="str">
        <f t="shared" si="10"/>
        <v/>
      </c>
      <c r="S114" s="33" t="str" cm="1">
        <f t="array" ref="S114">IF(A114="","",IFERROR(TRIM(INDEX(_xlfn.TEXTSPLIT(IFERROR(VLOOKUP(A114,'Production Schedule'!$B:$FU,150,FALSE),""),CHAR(10)),4)),""))</f>
        <v/>
      </c>
      <c r="T114" s="34" t="str">
        <f t="shared" si="11"/>
        <v/>
      </c>
      <c r="U114" s="33" t="str" cm="1">
        <f t="array" ref="U114">IF(A114="","",IFERROR(TRIM(INDEX(_xlfn.TEXTSPLIT(IFERROR(VLOOKUP(A114,'Production Schedule'!$B:$FU,150,FALSE),""),CHAR(10)),5)),""))</f>
        <v/>
      </c>
      <c r="V114" s="34" t="str">
        <f t="shared" si="12"/>
        <v/>
      </c>
      <c r="W114" s="33" t="str" cm="1">
        <f t="array" ref="W114">IF(A114="","",IFERROR(TRIM(INDEX(_xlfn.TEXTSPLIT(IFERROR(VLOOKUP(A114,'Production Schedule'!$B:$FU,150,FALSE),""),CHAR(10)),6)),""))</f>
        <v/>
      </c>
      <c r="X114" s="34" t="str">
        <f t="shared" si="13"/>
        <v/>
      </c>
      <c r="Y114" s="36">
        <f t="shared" si="14"/>
        <v>46169</v>
      </c>
      <c r="Z114" s="37" t="str">
        <f>IF(A114="","",IF(IFERROR(VLOOKUP(A114,Notes!A:B,2,FALSE),"")=0,"",VLOOKUP(A114,Notes!A:B,2,FALSE)))</f>
        <v>04/16/2026…Evaluation</v>
      </c>
      <c r="AA114" s="20">
        <f t="shared" si="15"/>
        <v>1</v>
      </c>
    </row>
    <row r="115" spans="1:27" x14ac:dyDescent="0.25">
      <c r="A115" s="18" t="str">
        <v>25065-MU13</v>
      </c>
      <c r="B115" s="18" t="str">
        <f>IF(A115="","",IFERROR(VLOOKUP(A115,'Production Schedule'!$B:$FU,3,FALSE),""))</f>
        <v>Crosswinds Casino Resort</v>
      </c>
      <c r="C115" s="18" t="str">
        <f>IF(A115="","",IFERROR(VLOOKUP(A115,'Production Schedule'!$B:$FU,5,FALSE),""))</f>
        <v>Matt Rassmussen</v>
      </c>
      <c r="D115" s="18" t="str">
        <f>IF(A115="","",IFERROR(VLOOKUP(A115,'Production Schedule'!$B:$FU,7,FALSE),""))</f>
        <v>CUSTOM ARCH</v>
      </c>
      <c r="E115" s="18">
        <f>IF(A115="","",IFERROR(VLOOKUP(A115,'Production Schedule'!$B:$FU,17,FALSE),""))</f>
        <v>0</v>
      </c>
      <c r="F115" s="18">
        <f>IF(A115="","",IFERROR(VLOOKUP(A115,'Production Schedule'!$B:$FU,18,FALSE),""))</f>
        <v>1</v>
      </c>
      <c r="G115" s="18" t="str">
        <f>IF(A115="","",IFERROR(VLOOKUP(A115,'Production Schedule'!$B:$FU,25,FALSE),""))</f>
        <v>Alum Sheet</v>
      </c>
      <c r="H115" s="19">
        <f>IF(A115="","",IFERROR(VLOOKUP(A115,'Production Schedule'!$B:$FU,47,FALSE),""))</f>
        <v>46112.445281296299</v>
      </c>
      <c r="I115" s="19">
        <f>IF(A115="","",IFERROR(VLOOKUP(A115,'Production Schedule'!$B:$FU,54,FALSE),""))</f>
        <v>46171</v>
      </c>
      <c r="J115" s="26">
        <f>IF(A115="","",IFERROR(VLOOKUP(A115,'Production Schedule'!$B:$FU,135,FALSE),""))</f>
        <v>1</v>
      </c>
      <c r="K115" s="18" t="str">
        <f>IF(A115="","",IFERROR(VLOOKUP(A115,'Production Schedule'!$B:$FU,59,FALSE),""))</f>
        <v>NO</v>
      </c>
      <c r="L115" s="38" t="str">
        <f>IF(A115="","",IFERROR(VLOOKUP(A115,'Production Schedule'!$B:$FU,80,FALSE),""))</f>
        <v>Evaluation</v>
      </c>
      <c r="M115" s="27" t="str" cm="1">
        <f t="array" ref="M115">IF(A115="","",IFERROR(TRIM(INDEX(_xlfn.TEXTSPLIT(IFERROR(VLOOKUP(A115,'Production Schedule'!$B:$FU,150,FALSE),""),CHAR(10)),1)),""))</f>
        <v>Cidan</v>
      </c>
      <c r="N115" s="28">
        <f t="shared" si="8"/>
        <v>46146</v>
      </c>
      <c r="O115" s="27" t="str" cm="1">
        <f t="array" ref="O115">IF(A115="","",IFERROR(TRIM(INDEX(_xlfn.TEXTSPLIT(IFERROR(VLOOKUP(A115,'Production Schedule'!$B:$FU,150,FALSE),""),CHAR(10)),2)),""))</f>
        <v>Shear</v>
      </c>
      <c r="P115" s="28">
        <f t="shared" si="9"/>
        <v>46157</v>
      </c>
      <c r="Q115" s="27" t="str" cm="1">
        <f t="array" ref="Q115">IF(A115="","",IFERROR(TRIM(INDEX(_xlfn.TEXTSPLIT(IFERROR(VLOOKUP(A115,'Production Schedule'!$B:$FU,150,FALSE),""),CHAR(10)),3)),""))</f>
        <v/>
      </c>
      <c r="R115" s="28" t="str">
        <f t="shared" si="10"/>
        <v/>
      </c>
      <c r="S115" s="27" t="str" cm="1">
        <f t="array" ref="S115">IF(A115="","",IFERROR(TRIM(INDEX(_xlfn.TEXTSPLIT(IFERROR(VLOOKUP(A115,'Production Schedule'!$B:$FU,150,FALSE),""),CHAR(10)),4)),""))</f>
        <v/>
      </c>
      <c r="T115" s="28" t="str">
        <f t="shared" si="11"/>
        <v/>
      </c>
      <c r="U115" s="27" t="str" cm="1">
        <f t="array" ref="U115">IF(A115="","",IFERROR(TRIM(INDEX(_xlfn.TEXTSPLIT(IFERROR(VLOOKUP(A115,'Production Schedule'!$B:$FU,150,FALSE),""),CHAR(10)),5)),""))</f>
        <v/>
      </c>
      <c r="V115" s="28" t="str">
        <f t="shared" si="12"/>
        <v/>
      </c>
      <c r="W115" s="27" t="str" cm="1">
        <f t="array" ref="W115">IF(A115="","",IFERROR(TRIM(INDEX(_xlfn.TEXTSPLIT(IFERROR(VLOOKUP(A115,'Production Schedule'!$B:$FU,150,FALSE),""),CHAR(10)),6)),""))</f>
        <v/>
      </c>
      <c r="X115" s="28" t="str">
        <f t="shared" si="13"/>
        <v/>
      </c>
      <c r="Y115" s="30">
        <f t="shared" si="14"/>
        <v>46169</v>
      </c>
      <c r="Z115" s="31" t="str">
        <f>IF(A115="","",IF(IFERROR(VLOOKUP(A115,Notes!A:B,2,FALSE),"")=0,"",VLOOKUP(A115,Notes!A:B,2,FALSE)))</f>
        <v>04/16/2026…Evaluation</v>
      </c>
      <c r="AA115" s="18">
        <f t="shared" si="15"/>
        <v>1</v>
      </c>
    </row>
    <row r="116" spans="1:27" x14ac:dyDescent="0.25">
      <c r="A116" s="20" t="str">
        <v>25065-MU14</v>
      </c>
      <c r="B116" s="20" t="str">
        <f>IF(A116="","",IFERROR(VLOOKUP(A116,'Production Schedule'!$B:$FU,3,FALSE),""))</f>
        <v>Crosswinds Casino Resort</v>
      </c>
      <c r="C116" s="20" t="str">
        <f>IF(A116="","",IFERROR(VLOOKUP(A116,'Production Schedule'!$B:$FU,5,FALSE),""))</f>
        <v>Matt Rassmussen</v>
      </c>
      <c r="D116" s="20" t="str">
        <f>IF(A116="","",IFERROR(VLOOKUP(A116,'Production Schedule'!$B:$FU,7,FALSE),""))</f>
        <v>CUSTOM ARCH</v>
      </c>
      <c r="E116" s="20">
        <f>IF(A116="","",IFERROR(VLOOKUP(A116,'Production Schedule'!$B:$FU,17,FALSE),""))</f>
        <v>0</v>
      </c>
      <c r="F116" s="20">
        <f>IF(A116="","",IFERROR(VLOOKUP(A116,'Production Schedule'!$B:$FU,18,FALSE),""))</f>
        <v>3</v>
      </c>
      <c r="G116" s="20" t="str">
        <f>IF(A116="","",IFERROR(VLOOKUP(A116,'Production Schedule'!$B:$FU,25,FALSE),""))</f>
        <v>Alum Sheet</v>
      </c>
      <c r="H116" s="21">
        <f>IF(A116="","",IFERROR(VLOOKUP(A116,'Production Schedule'!$B:$FU,47,FALSE),""))</f>
        <v>46112.446534236115</v>
      </c>
      <c r="I116" s="21">
        <f>IF(A116="","",IFERROR(VLOOKUP(A116,'Production Schedule'!$B:$FU,54,FALSE),""))</f>
        <v>46171</v>
      </c>
      <c r="J116" s="32">
        <f>IF(A116="","",IFERROR(VLOOKUP(A116,'Production Schedule'!$B:$FU,135,FALSE),""))</f>
        <v>1</v>
      </c>
      <c r="K116" s="20" t="str">
        <f>IF(A116="","",IFERROR(VLOOKUP(A116,'Production Schedule'!$B:$FU,59,FALSE),""))</f>
        <v>NO</v>
      </c>
      <c r="L116" s="39" t="str">
        <f>IF(A116="","",IFERROR(VLOOKUP(A116,'Production Schedule'!$B:$FU,80,FALSE),""))</f>
        <v>Evaluation</v>
      </c>
      <c r="M116" s="33" t="str" cm="1">
        <f t="array" ref="M116">IF(A116="","",IFERROR(TRIM(INDEX(_xlfn.TEXTSPLIT(IFERROR(VLOOKUP(A116,'Production Schedule'!$B:$FU,150,FALSE),""),CHAR(10)),1)),""))</f>
        <v>Cidan</v>
      </c>
      <c r="N116" s="34">
        <f t="shared" si="8"/>
        <v>46146</v>
      </c>
      <c r="O116" s="33" t="str" cm="1">
        <f t="array" ref="O116">IF(A116="","",IFERROR(TRIM(INDEX(_xlfn.TEXTSPLIT(IFERROR(VLOOKUP(A116,'Production Schedule'!$B:$FU,150,FALSE),""),CHAR(10)),2)),""))</f>
        <v>Shear</v>
      </c>
      <c r="P116" s="34">
        <f t="shared" si="9"/>
        <v>46157</v>
      </c>
      <c r="Q116" s="33" t="str" cm="1">
        <f t="array" ref="Q116">IF(A116="","",IFERROR(TRIM(INDEX(_xlfn.TEXTSPLIT(IFERROR(VLOOKUP(A116,'Production Schedule'!$B:$FU,150,FALSE),""),CHAR(10)),3)),""))</f>
        <v/>
      </c>
      <c r="R116" s="34" t="str">
        <f t="shared" si="10"/>
        <v/>
      </c>
      <c r="S116" s="33" t="str" cm="1">
        <f t="array" ref="S116">IF(A116="","",IFERROR(TRIM(INDEX(_xlfn.TEXTSPLIT(IFERROR(VLOOKUP(A116,'Production Schedule'!$B:$FU,150,FALSE),""),CHAR(10)),4)),""))</f>
        <v/>
      </c>
      <c r="T116" s="34" t="str">
        <f t="shared" si="11"/>
        <v/>
      </c>
      <c r="U116" s="33" t="str" cm="1">
        <f t="array" ref="U116">IF(A116="","",IFERROR(TRIM(INDEX(_xlfn.TEXTSPLIT(IFERROR(VLOOKUP(A116,'Production Schedule'!$B:$FU,150,FALSE),""),CHAR(10)),5)),""))</f>
        <v/>
      </c>
      <c r="V116" s="34" t="str">
        <f t="shared" si="12"/>
        <v/>
      </c>
      <c r="W116" s="33" t="str" cm="1">
        <f t="array" ref="W116">IF(A116="","",IFERROR(TRIM(INDEX(_xlfn.TEXTSPLIT(IFERROR(VLOOKUP(A116,'Production Schedule'!$B:$FU,150,FALSE),""),CHAR(10)),6)),""))</f>
        <v/>
      </c>
      <c r="X116" s="34" t="str">
        <f t="shared" si="13"/>
        <v/>
      </c>
      <c r="Y116" s="36">
        <f t="shared" si="14"/>
        <v>46169</v>
      </c>
      <c r="Z116" s="37" t="str">
        <f>IF(A116="","",IF(IFERROR(VLOOKUP(A116,Notes!A:B,2,FALSE),"")=0,"",VLOOKUP(A116,Notes!A:B,2,FALSE)))</f>
        <v>04/16/2026…Evaluation</v>
      </c>
      <c r="AA116" s="20">
        <f t="shared" si="15"/>
        <v>1</v>
      </c>
    </row>
    <row r="117" spans="1:27" x14ac:dyDescent="0.25">
      <c r="A117" s="18" t="str">
        <v>25065-MU15</v>
      </c>
      <c r="B117" s="18" t="str">
        <f>IF(A117="","",IFERROR(VLOOKUP(A117,'Production Schedule'!$B:$FU,3,FALSE),""))</f>
        <v>Crosswinds Casino Resort</v>
      </c>
      <c r="C117" s="18" t="str">
        <f>IF(A117="","",IFERROR(VLOOKUP(A117,'Production Schedule'!$B:$FU,5,FALSE),""))</f>
        <v>Matt Rassmussen</v>
      </c>
      <c r="D117" s="18" t="str">
        <f>IF(A117="","",IFERROR(VLOOKUP(A117,'Production Schedule'!$B:$FU,7,FALSE),""))</f>
        <v>CUSTOM ARCH</v>
      </c>
      <c r="E117" s="18">
        <f>IF(A117="","",IFERROR(VLOOKUP(A117,'Production Schedule'!$B:$FU,17,FALSE),""))</f>
        <v>0</v>
      </c>
      <c r="F117" s="18">
        <f>IF(A117="","",IFERROR(VLOOKUP(A117,'Production Schedule'!$B:$FU,18,FALSE),""))</f>
        <v>6</v>
      </c>
      <c r="G117" s="18" t="str">
        <f>IF(A117="","",IFERROR(VLOOKUP(A117,'Production Schedule'!$B:$FU,25,FALSE),""))</f>
        <v>Steel Sheet</v>
      </c>
      <c r="H117" s="19">
        <f>IF(A117="","",IFERROR(VLOOKUP(A117,'Production Schedule'!$B:$FU,47,FALSE),""))</f>
        <v>46112.448047060185</v>
      </c>
      <c r="I117" s="19">
        <f>IF(A117="","",IFERROR(VLOOKUP(A117,'Production Schedule'!$B:$FU,54,FALSE),""))</f>
        <v>46171</v>
      </c>
      <c r="J117" s="26">
        <f>IF(A117="","",IFERROR(VLOOKUP(A117,'Production Schedule'!$B:$FU,135,FALSE),""))</f>
        <v>1</v>
      </c>
      <c r="K117" s="18" t="str">
        <f>IF(A117="","",IFERROR(VLOOKUP(A117,'Production Schedule'!$B:$FU,59,FALSE),""))</f>
        <v>NO</v>
      </c>
      <c r="L117" s="38" t="str">
        <f>IF(A117="","",IFERROR(VLOOKUP(A117,'Production Schedule'!$B:$FU,80,FALSE),""))</f>
        <v>Evaluation</v>
      </c>
      <c r="M117" s="27" t="str" cm="1">
        <f t="array" ref="M117">IF(A117="","",IFERROR(TRIM(INDEX(_xlfn.TEXTSPLIT(IFERROR(VLOOKUP(A117,'Production Schedule'!$B:$FU,150,FALSE),""),CHAR(10)),1)),""))</f>
        <v>Cidan</v>
      </c>
      <c r="N117" s="28">
        <f t="shared" si="8"/>
        <v>46146</v>
      </c>
      <c r="O117" s="27" t="str" cm="1">
        <f t="array" ref="O117">IF(A117="","",IFERROR(TRIM(INDEX(_xlfn.TEXTSPLIT(IFERROR(VLOOKUP(A117,'Production Schedule'!$B:$FU,150,FALSE),""),CHAR(10)),2)),""))</f>
        <v>Shear</v>
      </c>
      <c r="P117" s="28">
        <f t="shared" si="9"/>
        <v>46157</v>
      </c>
      <c r="Q117" s="27" t="str" cm="1">
        <f t="array" ref="Q117">IF(A117="","",IFERROR(TRIM(INDEX(_xlfn.TEXTSPLIT(IFERROR(VLOOKUP(A117,'Production Schedule'!$B:$FU,150,FALSE),""),CHAR(10)),3)),""))</f>
        <v/>
      </c>
      <c r="R117" s="28" t="str">
        <f t="shared" si="10"/>
        <v/>
      </c>
      <c r="S117" s="27" t="str" cm="1">
        <f t="array" ref="S117">IF(A117="","",IFERROR(TRIM(INDEX(_xlfn.TEXTSPLIT(IFERROR(VLOOKUP(A117,'Production Schedule'!$B:$FU,150,FALSE),""),CHAR(10)),4)),""))</f>
        <v/>
      </c>
      <c r="T117" s="28" t="str">
        <f t="shared" si="11"/>
        <v/>
      </c>
      <c r="U117" s="27" t="str" cm="1">
        <f t="array" ref="U117">IF(A117="","",IFERROR(TRIM(INDEX(_xlfn.TEXTSPLIT(IFERROR(VLOOKUP(A117,'Production Schedule'!$B:$FU,150,FALSE),""),CHAR(10)),5)),""))</f>
        <v/>
      </c>
      <c r="V117" s="28" t="str">
        <f t="shared" si="12"/>
        <v/>
      </c>
      <c r="W117" s="27" t="str" cm="1">
        <f t="array" ref="W117">IF(A117="","",IFERROR(TRIM(INDEX(_xlfn.TEXTSPLIT(IFERROR(VLOOKUP(A117,'Production Schedule'!$B:$FU,150,FALSE),""),CHAR(10)),6)),""))</f>
        <v/>
      </c>
      <c r="X117" s="28" t="str">
        <f t="shared" si="13"/>
        <v/>
      </c>
      <c r="Y117" s="30">
        <f t="shared" si="14"/>
        <v>46169</v>
      </c>
      <c r="Z117" s="31" t="str">
        <f>IF(A117="","",IF(IFERROR(VLOOKUP(A117,Notes!A:B,2,FALSE),"")=0,"",VLOOKUP(A117,Notes!A:B,2,FALSE)))</f>
        <v>04/16/2026…Evaluation</v>
      </c>
      <c r="AA117" s="18">
        <f t="shared" si="15"/>
        <v>1</v>
      </c>
    </row>
    <row r="118" spans="1:27" x14ac:dyDescent="0.25">
      <c r="A118" s="20" t="str">
        <v>25065-MU20</v>
      </c>
      <c r="B118" s="20" t="str">
        <f>IF(A118="","",IFERROR(VLOOKUP(A118,'Production Schedule'!$B:$FU,3,FALSE),""))</f>
        <v>Crosswinds Casino Resort</v>
      </c>
      <c r="C118" s="20" t="str">
        <f>IF(A118="","",IFERROR(VLOOKUP(A118,'Production Schedule'!$B:$FU,5,FALSE),""))</f>
        <v>Matt Rassmussen</v>
      </c>
      <c r="D118" s="20" t="str">
        <f>IF(A118="","",IFERROR(VLOOKUP(A118,'Production Schedule'!$B:$FU,7,FALSE),""))</f>
        <v>CUSTOM ARCH</v>
      </c>
      <c r="E118" s="20">
        <f>IF(A118="","",IFERROR(VLOOKUP(A118,'Production Schedule'!$B:$FU,17,FALSE),""))</f>
        <v>0</v>
      </c>
      <c r="F118" s="20">
        <f>IF(A118="","",IFERROR(VLOOKUP(A118,'Production Schedule'!$B:$FU,18,FALSE),""))</f>
        <v>3</v>
      </c>
      <c r="G118" s="20" t="str">
        <f>IF(A118="","",IFERROR(VLOOKUP(A118,'Production Schedule'!$B:$FU,25,FALSE),""))</f>
        <v>Steel Sheet</v>
      </c>
      <c r="H118" s="21">
        <f>IF(A118="","",IFERROR(VLOOKUP(A118,'Production Schedule'!$B:$FU,47,FALSE),""))</f>
        <v>46112.567915694446</v>
      </c>
      <c r="I118" s="21">
        <f>IF(A118="","",IFERROR(VLOOKUP(A118,'Production Schedule'!$B:$FU,54,FALSE),""))</f>
        <v>46171</v>
      </c>
      <c r="J118" s="32">
        <f>IF(A118="","",IFERROR(VLOOKUP(A118,'Production Schedule'!$B:$FU,135,FALSE),""))</f>
        <v>1</v>
      </c>
      <c r="K118" s="20" t="str">
        <f>IF(A118="","",IFERROR(VLOOKUP(A118,'Production Schedule'!$B:$FU,59,FALSE),""))</f>
        <v>YES</v>
      </c>
      <c r="L118" s="39" t="str">
        <f>IF(A118="","",IFERROR(VLOOKUP(A118,'Production Schedule'!$B:$FU,80,FALSE),""))</f>
        <v>Evaluation</v>
      </c>
      <c r="M118" s="33" t="str" cm="1">
        <f t="array" ref="M118">IF(A118="","",IFERROR(TRIM(INDEX(_xlfn.TEXTSPLIT(IFERROR(VLOOKUP(A118,'Production Schedule'!$B:$FU,150,FALSE),""),CHAR(10)),1)),""))</f>
        <v>Cidan</v>
      </c>
      <c r="N118" s="34">
        <f t="shared" si="8"/>
        <v>46146</v>
      </c>
      <c r="O118" s="33" t="str" cm="1">
        <f t="array" ref="O118">IF(A118="","",IFERROR(TRIM(INDEX(_xlfn.TEXTSPLIT(IFERROR(VLOOKUP(A118,'Production Schedule'!$B:$FU,150,FALSE),""),CHAR(10)),2)),""))</f>
        <v>Shear</v>
      </c>
      <c r="P118" s="34">
        <f t="shared" si="9"/>
        <v>46157</v>
      </c>
      <c r="Q118" s="33" t="str" cm="1">
        <f t="array" ref="Q118">IF(A118="","",IFERROR(TRIM(INDEX(_xlfn.TEXTSPLIT(IFERROR(VLOOKUP(A118,'Production Schedule'!$B:$FU,150,FALSE),""),CHAR(10)),3)),""))</f>
        <v/>
      </c>
      <c r="R118" s="34" t="str">
        <f t="shared" si="10"/>
        <v/>
      </c>
      <c r="S118" s="33" t="str" cm="1">
        <f t="array" ref="S118">IF(A118="","",IFERROR(TRIM(INDEX(_xlfn.TEXTSPLIT(IFERROR(VLOOKUP(A118,'Production Schedule'!$B:$FU,150,FALSE),""),CHAR(10)),4)),""))</f>
        <v/>
      </c>
      <c r="T118" s="34" t="str">
        <f t="shared" si="11"/>
        <v/>
      </c>
      <c r="U118" s="33" t="str" cm="1">
        <f t="array" ref="U118">IF(A118="","",IFERROR(TRIM(INDEX(_xlfn.TEXTSPLIT(IFERROR(VLOOKUP(A118,'Production Schedule'!$B:$FU,150,FALSE),""),CHAR(10)),5)),""))</f>
        <v/>
      </c>
      <c r="V118" s="34" t="str">
        <f t="shared" si="12"/>
        <v/>
      </c>
      <c r="W118" s="33" t="str" cm="1">
        <f t="array" ref="W118">IF(A118="","",IFERROR(TRIM(INDEX(_xlfn.TEXTSPLIT(IFERROR(VLOOKUP(A118,'Production Schedule'!$B:$FU,150,FALSE),""),CHAR(10)),6)),""))</f>
        <v/>
      </c>
      <c r="X118" s="34" t="str">
        <f t="shared" si="13"/>
        <v/>
      </c>
      <c r="Y118" s="36">
        <f t="shared" si="14"/>
        <v>46169</v>
      </c>
      <c r="Z118" s="37" t="str">
        <f>IF(A118="","",IF(IFERROR(VLOOKUP(A118,Notes!A:B,2,FALSE),"")=0,"",VLOOKUP(A118,Notes!A:B,2,FALSE)))</f>
        <v>04/16/2026…Evaluation</v>
      </c>
      <c r="AA118" s="20">
        <f t="shared" si="15"/>
        <v>1</v>
      </c>
    </row>
    <row r="119" spans="1:27" x14ac:dyDescent="0.25">
      <c r="A119" s="18" t="str">
        <v>25044-FS02</v>
      </c>
      <c r="B119" s="18" t="str">
        <f>IF(A119="","",IFERROR(VLOOKUP(A119,'Production Schedule'!$B:$FU,3,FALSE),""))</f>
        <v>MALETA Firing Range</v>
      </c>
      <c r="C119" s="18" t="str">
        <f>IF(A119="","",IFERROR(VLOOKUP(A119,'Production Schedule'!$B:$FU,5,FALSE),""))</f>
        <v>Cole Norona</v>
      </c>
      <c r="D119" s="18">
        <f>IF(A119="","",IFERROR(VLOOKUP(A119,'Production Schedule'!$B:$FU,7,FALSE),""))</f>
        <v>400</v>
      </c>
      <c r="E119" s="18">
        <f>IF(A119="","",IFERROR(VLOOKUP(A119,'Production Schedule'!$B:$FU,17,FALSE),""))</f>
        <v>135</v>
      </c>
      <c r="F119" s="18">
        <f>IF(A119="","",IFERROR(VLOOKUP(A119,'Production Schedule'!$B:$FU,18,FALSE),""))</f>
        <v>0</v>
      </c>
      <c r="G119" s="18" t="str">
        <f>IF(A119="","",IFERROR(VLOOKUP(A119,'Production Schedule'!$B:$FU,25,FALSE),""))</f>
        <v>FR ACM</v>
      </c>
      <c r="H119" s="19">
        <f>IF(A119="","",IFERROR(VLOOKUP(A119,'Production Schedule'!$B:$FU,47,FALSE),""))</f>
        <v>46111.632148680554</v>
      </c>
      <c r="I119" s="19">
        <f>IF(A119="","",IFERROR(VLOOKUP(A119,'Production Schedule'!$B:$FU,54,FALSE),""))</f>
        <v>46173</v>
      </c>
      <c r="J119" s="26">
        <f>IF(A119="","",IFERROR(VLOOKUP(A119,'Production Schedule'!$B:$FU,135,FALSE),""))</f>
        <v>210</v>
      </c>
      <c r="K119" s="18" t="str">
        <f>IF(A119="","",IFERROR(VLOOKUP(A119,'Production Schedule'!$B:$FU,59,FALSE),""))</f>
        <v>YES</v>
      </c>
      <c r="L119" s="38" t="str">
        <f>IF(A119="","",IFERROR(VLOOKUP(A119,'Production Schedule'!$B:$FU,80,FALSE),""))</f>
        <v>LO</v>
      </c>
      <c r="M119" s="27" t="str" cm="1">
        <f t="array" ref="M119">IF(A119="","",IFERROR(TRIM(INDEX(_xlfn.TEXTSPLIT(IFERROR(VLOOKUP(A119,'Production Schedule'!$B:$FU,150,FALSE),""),CHAR(10)),1)),""))</f>
        <v>AXYZ</v>
      </c>
      <c r="N119" s="28">
        <f t="shared" si="8"/>
        <v>46147</v>
      </c>
      <c r="O119" s="27" t="str" cm="1">
        <f t="array" ref="O119">IF(A119="","",IFERROR(TRIM(INDEX(_xlfn.TEXTSPLIT(IFERROR(VLOOKUP(A119,'Production Schedule'!$B:$FU,150,FALSE),""),CHAR(10)),2)),""))</f>
        <v>Clean and Brake</v>
      </c>
      <c r="P119" s="28">
        <f t="shared" si="9"/>
        <v>46150</v>
      </c>
      <c r="Q119" s="27" t="str" cm="1">
        <f t="array" ref="Q119">IF(A119="","",IFERROR(TRIM(INDEX(_xlfn.TEXTSPLIT(IFERROR(VLOOKUP(A119,'Production Schedule'!$B:$FU,150,FALSE),""),CHAR(10)),3)),""))</f>
        <v>Fab</v>
      </c>
      <c r="R119" s="28">
        <f t="shared" si="10"/>
        <v>46161</v>
      </c>
      <c r="S119" s="27" t="str" cm="1">
        <f t="array" ref="S119">IF(A119="","",IFERROR(TRIM(INDEX(_xlfn.TEXTSPLIT(IFERROR(VLOOKUP(A119,'Production Schedule'!$B:$FU,150,FALSE),""),CHAR(10)),4)),""))</f>
        <v/>
      </c>
      <c r="T119" s="28" t="str">
        <f t="shared" si="11"/>
        <v/>
      </c>
      <c r="U119" s="27" t="str" cm="1">
        <f t="array" ref="U119">IF(A119="","",IFERROR(TRIM(INDEX(_xlfn.TEXTSPLIT(IFERROR(VLOOKUP(A119,'Production Schedule'!$B:$FU,150,FALSE),""),CHAR(10)),5)),""))</f>
        <v/>
      </c>
      <c r="V119" s="28" t="str">
        <f t="shared" si="12"/>
        <v/>
      </c>
      <c r="W119" s="27" t="str" cm="1">
        <f t="array" ref="W119">IF(A119="","",IFERROR(TRIM(INDEX(_xlfn.TEXTSPLIT(IFERROR(VLOOKUP(A119,'Production Schedule'!$B:$FU,150,FALSE),""),CHAR(10)),6)),""))</f>
        <v/>
      </c>
      <c r="X119" s="28" t="str">
        <f t="shared" si="13"/>
        <v/>
      </c>
      <c r="Y119" s="30">
        <f t="shared" si="14"/>
        <v>46171</v>
      </c>
      <c r="Z119" s="31" t="str">
        <f>IF(A119="","",IF(IFERROR(VLOOKUP(A119,Notes!A:B,2,FALSE),"")=0,"",VLOOKUP(A119,Notes!A:B,2,FALSE)))</f>
        <v>04/16/2026…LO</v>
      </c>
      <c r="AA119" s="18">
        <f t="shared" si="15"/>
        <v>1</v>
      </c>
    </row>
    <row r="120" spans="1:27" x14ac:dyDescent="0.25">
      <c r="A120" s="20" t="str">
        <v>25006-FS07</v>
      </c>
      <c r="B120" s="20" t="str">
        <f>IF(A120="","",IFERROR(VLOOKUP(A120,'Production Schedule'!$B:$FU,3,FALSE),""))</f>
        <v>MALETA Housing and Dining</v>
      </c>
      <c r="C120" s="20" t="str">
        <f>IF(A120="","",IFERROR(VLOOKUP(A120,'Production Schedule'!$B:$FU,5,FALSE),""))</f>
        <v>Cole Norona</v>
      </c>
      <c r="D120" s="20">
        <f>IF(A120="","",IFERROR(VLOOKUP(A120,'Production Schedule'!$B:$FU,7,FALSE),""))</f>
        <v>400</v>
      </c>
      <c r="E120" s="20">
        <f>IF(A120="","",IFERROR(VLOOKUP(A120,'Production Schedule'!$B:$FU,17,FALSE),""))</f>
        <v>190</v>
      </c>
      <c r="F120" s="20">
        <f>IF(A120="","",IFERROR(VLOOKUP(A120,'Production Schedule'!$B:$FU,18,FALSE),""))</f>
        <v>0</v>
      </c>
      <c r="G120" s="20" t="str">
        <f>IF(A120="","",IFERROR(VLOOKUP(A120,'Production Schedule'!$B:$FU,25,FALSE),""))</f>
        <v>FR ACM</v>
      </c>
      <c r="H120" s="21">
        <f>IF(A120="","",IFERROR(VLOOKUP(A120,'Production Schedule'!$B:$FU,47,FALSE),""))</f>
        <v>46113.367210671298</v>
      </c>
      <c r="I120" s="21">
        <f>IF(A120="","",IFERROR(VLOOKUP(A120,'Production Schedule'!$B:$FU,54,FALSE),""))</f>
        <v>46176</v>
      </c>
      <c r="J120" s="32">
        <f>IF(A120="","",IFERROR(VLOOKUP(A120,'Production Schedule'!$B:$FU,135,FALSE),""))</f>
        <v>300</v>
      </c>
      <c r="K120" s="20" t="str">
        <f>IF(A120="","",IFERROR(VLOOKUP(A120,'Production Schedule'!$B:$FU,59,FALSE),""))</f>
        <v>YES</v>
      </c>
      <c r="L120" s="39" t="str">
        <f>IF(A120="","",IFERROR(VLOOKUP(A120,'Production Schedule'!$B:$FU,80,FALSE),""))</f>
        <v>LO Check</v>
      </c>
      <c r="M120" s="33" t="str" cm="1">
        <f t="array" ref="M120">IF(A120="","",IFERROR(TRIM(INDEX(_xlfn.TEXTSPLIT(IFERROR(VLOOKUP(A120,'Production Schedule'!$B:$FU,150,FALSE),""),CHAR(10)),1)),""))</f>
        <v>AXYZ</v>
      </c>
      <c r="N120" s="34">
        <f t="shared" si="8"/>
        <v>46148</v>
      </c>
      <c r="O120" s="33" t="str" cm="1">
        <f t="array" ref="O120">IF(A120="","",IFERROR(TRIM(INDEX(_xlfn.TEXTSPLIT(IFERROR(VLOOKUP(A120,'Production Schedule'!$B:$FU,150,FALSE),""),CHAR(10)),2)),""))</f>
        <v>Clean and Brake</v>
      </c>
      <c r="P120" s="34">
        <f t="shared" si="9"/>
        <v>46153</v>
      </c>
      <c r="Q120" s="33" t="str" cm="1">
        <f t="array" ref="Q120">IF(A120="","",IFERROR(TRIM(INDEX(_xlfn.TEXTSPLIT(IFERROR(VLOOKUP(A120,'Production Schedule'!$B:$FU,150,FALSE),""),CHAR(10)),3)),""))</f>
        <v>Fab</v>
      </c>
      <c r="R120" s="34">
        <f t="shared" si="10"/>
        <v>46163</v>
      </c>
      <c r="S120" s="33" t="str" cm="1">
        <f t="array" ref="S120">IF(A120="","",IFERROR(TRIM(INDEX(_xlfn.TEXTSPLIT(IFERROR(VLOOKUP(A120,'Production Schedule'!$B:$FU,150,FALSE),""),CHAR(10)),4)),""))</f>
        <v/>
      </c>
      <c r="T120" s="34" t="str">
        <f t="shared" si="11"/>
        <v/>
      </c>
      <c r="U120" s="33" t="str" cm="1">
        <f t="array" ref="U120">IF(A120="","",IFERROR(TRIM(INDEX(_xlfn.TEXTSPLIT(IFERROR(VLOOKUP(A120,'Production Schedule'!$B:$FU,150,FALSE),""),CHAR(10)),5)),""))</f>
        <v/>
      </c>
      <c r="V120" s="34" t="str">
        <f t="shared" si="12"/>
        <v/>
      </c>
      <c r="W120" s="33" t="str" cm="1">
        <f t="array" ref="W120">IF(A120="","",IFERROR(TRIM(INDEX(_xlfn.TEXTSPLIT(IFERROR(VLOOKUP(A120,'Production Schedule'!$B:$FU,150,FALSE),""),CHAR(10)),6)),""))</f>
        <v/>
      </c>
      <c r="X120" s="34" t="str">
        <f t="shared" si="13"/>
        <v/>
      </c>
      <c r="Y120" s="36">
        <f t="shared" si="14"/>
        <v>46174</v>
      </c>
      <c r="Z120" s="37" t="str">
        <f>IF(A120="","",IF(IFERROR(VLOOKUP(A120,Notes!A:B,2,FALSE),"")=0,"",VLOOKUP(A120,Notes!A:B,2,FALSE)))</f>
        <v>HOAR*04/16/2026…LO Check</v>
      </c>
      <c r="AA120" s="20">
        <f t="shared" si="15"/>
        <v>1</v>
      </c>
    </row>
    <row r="121" spans="1:27" x14ac:dyDescent="0.25">
      <c r="A121" s="18" t="str">
        <v>25037-FS02</v>
      </c>
      <c r="B121" s="18" t="str">
        <f>IF(A121="","",IFERROR(VLOOKUP(A121,'Production Schedule'!$B:$FU,3,FALSE),""))</f>
        <v>Chestnut Street Office</v>
      </c>
      <c r="C121" s="18" t="str">
        <f>IF(A121="","",IFERROR(VLOOKUP(A121,'Production Schedule'!$B:$FU,5,FALSE),""))</f>
        <v>Laura Forero</v>
      </c>
      <c r="D121" s="18">
        <f>IF(A121="","",IFERROR(VLOOKUP(A121,'Production Schedule'!$B:$FU,7,FALSE),""))</f>
        <v>400</v>
      </c>
      <c r="E121" s="18">
        <f>IF(A121="","",IFERROR(VLOOKUP(A121,'Production Schedule'!$B:$FU,17,FALSE),""))</f>
        <v>204</v>
      </c>
      <c r="F121" s="18">
        <f>IF(A121="","",IFERROR(VLOOKUP(A121,'Production Schedule'!$B:$FU,18,FALSE),""))</f>
        <v>0</v>
      </c>
      <c r="G121" s="18" t="str">
        <f>IF(A121="","",IFERROR(VLOOKUP(A121,'Production Schedule'!$B:$FU,25,FALSE),""))</f>
        <v>FR ACM</v>
      </c>
      <c r="H121" s="19">
        <f>IF(A121="","",IFERROR(VLOOKUP(A121,'Production Schedule'!$B:$FU,47,FALSE),""))</f>
        <v>46111.404765810184</v>
      </c>
      <c r="I121" s="19">
        <f>IF(A121="","",IFERROR(VLOOKUP(A121,'Production Schedule'!$B:$FU,54,FALSE),""))</f>
        <v>46181</v>
      </c>
      <c r="J121" s="26">
        <f>IF(A121="","",IFERROR(VLOOKUP(A121,'Production Schedule'!$B:$FU,135,FALSE),""))</f>
        <v>450</v>
      </c>
      <c r="K121" s="18" t="str">
        <f>IF(A121="","",IFERROR(VLOOKUP(A121,'Production Schedule'!$B:$FU,59,FALSE),""))</f>
        <v>YES</v>
      </c>
      <c r="L121" s="38" t="str">
        <f>IF(A121="","",IFERROR(VLOOKUP(A121,'Production Schedule'!$B:$FU,80,FALSE),""))</f>
        <v>LO</v>
      </c>
      <c r="M121" s="27" t="str" cm="1">
        <f t="array" ref="M121">IF(A121="","",IFERROR(TRIM(INDEX(_xlfn.TEXTSPLIT(IFERROR(VLOOKUP(A121,'Production Schedule'!$B:$FU,150,FALSE),""),CHAR(10)),1)),""))</f>
        <v>AXYZ</v>
      </c>
      <c r="N121" s="28">
        <f t="shared" si="8"/>
        <v>46153</v>
      </c>
      <c r="O121" s="27" t="str" cm="1">
        <f t="array" ref="O121">IF(A121="","",IFERROR(TRIM(INDEX(_xlfn.TEXTSPLIT(IFERROR(VLOOKUP(A121,'Production Schedule'!$B:$FU,150,FALSE),""),CHAR(10)),2)),""))</f>
        <v>Clean and Brake</v>
      </c>
      <c r="P121" s="28">
        <f t="shared" si="9"/>
        <v>46157</v>
      </c>
      <c r="Q121" s="27" t="str" cm="1">
        <f t="array" ref="Q121">IF(A121="","",IFERROR(TRIM(INDEX(_xlfn.TEXTSPLIT(IFERROR(VLOOKUP(A121,'Production Schedule'!$B:$FU,150,FALSE),""),CHAR(10)),3)),""))</f>
        <v>Fab</v>
      </c>
      <c r="R121" s="28">
        <f t="shared" si="10"/>
        <v>46168</v>
      </c>
      <c r="S121" s="27" t="str" cm="1">
        <f t="array" ref="S121">IF(A121="","",IFERROR(TRIM(INDEX(_xlfn.TEXTSPLIT(IFERROR(VLOOKUP(A121,'Production Schedule'!$B:$FU,150,FALSE),""),CHAR(10)),4)),""))</f>
        <v/>
      </c>
      <c r="T121" s="28" t="str">
        <f t="shared" si="11"/>
        <v/>
      </c>
      <c r="U121" s="27" t="str" cm="1">
        <f t="array" ref="U121">IF(A121="","",IFERROR(TRIM(INDEX(_xlfn.TEXTSPLIT(IFERROR(VLOOKUP(A121,'Production Schedule'!$B:$FU,150,FALSE),""),CHAR(10)),5)),""))</f>
        <v/>
      </c>
      <c r="V121" s="28" t="str">
        <f t="shared" si="12"/>
        <v/>
      </c>
      <c r="W121" s="27" t="str" cm="1">
        <f t="array" ref="W121">IF(A121="","",IFERROR(TRIM(INDEX(_xlfn.TEXTSPLIT(IFERROR(VLOOKUP(A121,'Production Schedule'!$B:$FU,150,FALSE),""),CHAR(10)),6)),""))</f>
        <v/>
      </c>
      <c r="X121" s="28" t="str">
        <f t="shared" si="13"/>
        <v/>
      </c>
      <c r="Y121" s="30">
        <f t="shared" si="14"/>
        <v>46178</v>
      </c>
      <c r="Z121" s="31" t="str">
        <f>IF(A121="","",IF(IFERROR(VLOOKUP(A121,Notes!A:B,2,FALSE),"")=0,"",VLOOKUP(A121,Notes!A:B,2,FALSE)))</f>
        <v>04/16/2026…LO</v>
      </c>
      <c r="AA121" s="18">
        <f t="shared" si="15"/>
        <v>1</v>
      </c>
    </row>
    <row r="122" spans="1:27" x14ac:dyDescent="0.25">
      <c r="A122" s="20" t="str">
        <v>25044-FS03</v>
      </c>
      <c r="B122" s="20" t="str">
        <f>IF(A122="","",IFERROR(VLOOKUP(A122,'Production Schedule'!$B:$FU,3,FALSE),""))</f>
        <v>MALETA Firing Range</v>
      </c>
      <c r="C122" s="20" t="str">
        <f>IF(A122="","",IFERROR(VLOOKUP(A122,'Production Schedule'!$B:$FU,5,FALSE),""))</f>
        <v>Cole Norona</v>
      </c>
      <c r="D122" s="20">
        <f>IF(A122="","",IFERROR(VLOOKUP(A122,'Production Schedule'!$B:$FU,7,FALSE),""))</f>
        <v>400</v>
      </c>
      <c r="E122" s="20">
        <f>IF(A122="","",IFERROR(VLOOKUP(A122,'Production Schedule'!$B:$FU,17,FALSE),""))</f>
        <v>150</v>
      </c>
      <c r="F122" s="20">
        <f>IF(A122="","",IFERROR(VLOOKUP(A122,'Production Schedule'!$B:$FU,18,FALSE),""))</f>
        <v>0</v>
      </c>
      <c r="G122" s="20" t="str">
        <f>IF(A122="","",IFERROR(VLOOKUP(A122,'Production Schedule'!$B:$FU,25,FALSE),""))</f>
        <v>FR ACM</v>
      </c>
      <c r="H122" s="21">
        <f>IF(A122="","",IFERROR(VLOOKUP(A122,'Production Schedule'!$B:$FU,47,FALSE),""))</f>
        <v>46111.634492418983</v>
      </c>
      <c r="I122" s="21">
        <f>IF(A122="","",IFERROR(VLOOKUP(A122,'Production Schedule'!$B:$FU,54,FALSE),""))</f>
        <v>46183</v>
      </c>
      <c r="J122" s="32">
        <f>IF(A122="","",IFERROR(VLOOKUP(A122,'Production Schedule'!$B:$FU,135,FALSE),""))</f>
        <v>245</v>
      </c>
      <c r="K122" s="20" t="str">
        <f>IF(A122="","",IFERROR(VLOOKUP(A122,'Production Schedule'!$B:$FU,59,FALSE),""))</f>
        <v>YES</v>
      </c>
      <c r="L122" s="39" t="str">
        <f>IF(A122="","",IFERROR(VLOOKUP(A122,'Production Schedule'!$B:$FU,80,FALSE),""))</f>
        <v>LO</v>
      </c>
      <c r="M122" s="33" t="str" cm="1">
        <f t="array" ref="M122">IF(A122="","",IFERROR(TRIM(INDEX(_xlfn.TEXTSPLIT(IFERROR(VLOOKUP(A122,'Production Schedule'!$B:$FU,150,FALSE),""),CHAR(10)),1)),""))</f>
        <v>AXYZ</v>
      </c>
      <c r="N122" s="34">
        <f t="shared" si="8"/>
        <v>46156</v>
      </c>
      <c r="O122" s="33" t="str" cm="1">
        <f t="array" ref="O122">IF(A122="","",IFERROR(TRIM(INDEX(_xlfn.TEXTSPLIT(IFERROR(VLOOKUP(A122,'Production Schedule'!$B:$FU,150,FALSE),""),CHAR(10)),2)),""))</f>
        <v>Clean and Brake</v>
      </c>
      <c r="P122" s="34">
        <f t="shared" si="9"/>
        <v>46160</v>
      </c>
      <c r="Q122" s="33" t="str" cm="1">
        <f t="array" ref="Q122">IF(A122="","",IFERROR(TRIM(INDEX(_xlfn.TEXTSPLIT(IFERROR(VLOOKUP(A122,'Production Schedule'!$B:$FU,150,FALSE),""),CHAR(10)),3)),""))</f>
        <v>Fab</v>
      </c>
      <c r="R122" s="34">
        <f t="shared" si="10"/>
        <v>46170</v>
      </c>
      <c r="S122" s="33" t="str" cm="1">
        <f t="array" ref="S122">IF(A122="","",IFERROR(TRIM(INDEX(_xlfn.TEXTSPLIT(IFERROR(VLOOKUP(A122,'Production Schedule'!$B:$FU,150,FALSE),""),CHAR(10)),4)),""))</f>
        <v/>
      </c>
      <c r="T122" s="34" t="str">
        <f t="shared" si="11"/>
        <v/>
      </c>
      <c r="U122" s="33" t="str" cm="1">
        <f t="array" ref="U122">IF(A122="","",IFERROR(TRIM(INDEX(_xlfn.TEXTSPLIT(IFERROR(VLOOKUP(A122,'Production Schedule'!$B:$FU,150,FALSE),""),CHAR(10)),5)),""))</f>
        <v/>
      </c>
      <c r="V122" s="34" t="str">
        <f t="shared" si="12"/>
        <v/>
      </c>
      <c r="W122" s="33" t="str" cm="1">
        <f t="array" ref="W122">IF(A122="","",IFERROR(TRIM(INDEX(_xlfn.TEXTSPLIT(IFERROR(VLOOKUP(A122,'Production Schedule'!$B:$FU,150,FALSE),""),CHAR(10)),6)),""))</f>
        <v/>
      </c>
      <c r="X122" s="34" t="str">
        <f t="shared" si="13"/>
        <v/>
      </c>
      <c r="Y122" s="36">
        <f t="shared" si="14"/>
        <v>46181</v>
      </c>
      <c r="Z122" s="37" t="str">
        <f>IF(A122="","",IF(IFERROR(VLOOKUP(A122,Notes!A:B,2,FALSE),"")=0,"",VLOOKUP(A122,Notes!A:B,2,FALSE)))</f>
        <v>04/16/2026…LO</v>
      </c>
      <c r="AA122" s="20">
        <f t="shared" si="15"/>
        <v>1</v>
      </c>
    </row>
    <row r="123" spans="1:27" x14ac:dyDescent="0.25">
      <c r="A123" s="18" t="str">
        <v>25006-FS08</v>
      </c>
      <c r="B123" s="18" t="str">
        <f>IF(A123="","",IFERROR(VLOOKUP(A123,'Production Schedule'!$B:$FU,3,FALSE),""))</f>
        <v>MALETA Housing and Dining</v>
      </c>
      <c r="C123" s="18" t="str">
        <f>IF(A123="","",IFERROR(VLOOKUP(A123,'Production Schedule'!$B:$FU,5,FALSE),""))</f>
        <v>Cole Norona</v>
      </c>
      <c r="D123" s="18">
        <f>IF(A123="","",IFERROR(VLOOKUP(A123,'Production Schedule'!$B:$FU,7,FALSE),""))</f>
        <v>400</v>
      </c>
      <c r="E123" s="18">
        <f>IF(A123="","",IFERROR(VLOOKUP(A123,'Production Schedule'!$B:$FU,17,FALSE),""))</f>
        <v>83</v>
      </c>
      <c r="F123" s="18">
        <f>IF(A123="","",IFERROR(VLOOKUP(A123,'Production Schedule'!$B:$FU,18,FALSE),""))</f>
        <v>0</v>
      </c>
      <c r="G123" s="18" t="str">
        <f>IF(A123="","",IFERROR(VLOOKUP(A123,'Production Schedule'!$B:$FU,25,FALSE),""))</f>
        <v>FR ACM</v>
      </c>
      <c r="H123" s="19">
        <f>IF(A123="","",IFERROR(VLOOKUP(A123,'Production Schedule'!$B:$FU,47,FALSE),""))</f>
        <v>46113.368783391204</v>
      </c>
      <c r="I123" s="19">
        <f>IF(A123="","",IFERROR(VLOOKUP(A123,'Production Schedule'!$B:$FU,54,FALSE),""))</f>
        <v>46185</v>
      </c>
      <c r="J123" s="26">
        <f>IF(A123="","",IFERROR(VLOOKUP(A123,'Production Schedule'!$B:$FU,135,FALSE),""))</f>
        <v>140</v>
      </c>
      <c r="K123" s="18" t="str">
        <f>IF(A123="","",IFERROR(VLOOKUP(A123,'Production Schedule'!$B:$FU,59,FALSE),""))</f>
        <v>YES</v>
      </c>
      <c r="L123" s="38" t="str">
        <f>IF(A123="","",IFERROR(VLOOKUP(A123,'Production Schedule'!$B:$FU,80,FALSE),""))</f>
        <v>LO Check</v>
      </c>
      <c r="M123" s="27" t="str" cm="1">
        <f t="array" ref="M123">IF(A123="","",IFERROR(TRIM(INDEX(_xlfn.TEXTSPLIT(IFERROR(VLOOKUP(A123,'Production Schedule'!$B:$FU,150,FALSE),""),CHAR(10)),1)),""))</f>
        <v>AXYZ</v>
      </c>
      <c r="N123" s="28">
        <f t="shared" si="8"/>
        <v>46160</v>
      </c>
      <c r="O123" s="27" t="str" cm="1">
        <f t="array" ref="O123">IF(A123="","",IFERROR(TRIM(INDEX(_xlfn.TEXTSPLIT(IFERROR(VLOOKUP(A123,'Production Schedule'!$B:$FU,150,FALSE),""),CHAR(10)),2)),""))</f>
        <v>Clean and Brake</v>
      </c>
      <c r="P123" s="28">
        <f t="shared" si="9"/>
        <v>46162</v>
      </c>
      <c r="Q123" s="27" t="str" cm="1">
        <f t="array" ref="Q123">IF(A123="","",IFERROR(TRIM(INDEX(_xlfn.TEXTSPLIT(IFERROR(VLOOKUP(A123,'Production Schedule'!$B:$FU,150,FALSE),""),CHAR(10)),3)),""))</f>
        <v>Fab</v>
      </c>
      <c r="R123" s="28">
        <f t="shared" si="10"/>
        <v>46172</v>
      </c>
      <c r="S123" s="27" t="str" cm="1">
        <f t="array" ref="S123">IF(A123="","",IFERROR(TRIM(INDEX(_xlfn.TEXTSPLIT(IFERROR(VLOOKUP(A123,'Production Schedule'!$B:$FU,150,FALSE),""),CHAR(10)),4)),""))</f>
        <v/>
      </c>
      <c r="T123" s="28" t="str">
        <f t="shared" si="11"/>
        <v/>
      </c>
      <c r="U123" s="27" t="str" cm="1">
        <f t="array" ref="U123">IF(A123="","",IFERROR(TRIM(INDEX(_xlfn.TEXTSPLIT(IFERROR(VLOOKUP(A123,'Production Schedule'!$B:$FU,150,FALSE),""),CHAR(10)),5)),""))</f>
        <v/>
      </c>
      <c r="V123" s="28" t="str">
        <f t="shared" si="12"/>
        <v/>
      </c>
      <c r="W123" s="27" t="str" cm="1">
        <f t="array" ref="W123">IF(A123="","",IFERROR(TRIM(INDEX(_xlfn.TEXTSPLIT(IFERROR(VLOOKUP(A123,'Production Schedule'!$B:$FU,150,FALSE),""),CHAR(10)),6)),""))</f>
        <v/>
      </c>
      <c r="X123" s="28" t="str">
        <f t="shared" si="13"/>
        <v/>
      </c>
      <c r="Y123" s="30">
        <f t="shared" si="14"/>
        <v>46183</v>
      </c>
      <c r="Z123" s="31" t="str">
        <f>IF(A123="","",IF(IFERROR(VLOOKUP(A123,Notes!A:B,2,FALSE),"")=0,"",VLOOKUP(A123,Notes!A:B,2,FALSE)))</f>
        <v>HOAR*04/16/2026…LO Check</v>
      </c>
      <c r="AA123" s="18">
        <f t="shared" si="15"/>
        <v>1</v>
      </c>
    </row>
    <row r="124" spans="1:27" x14ac:dyDescent="0.25">
      <c r="A124" s="20" t="str">
        <v>25012-FS02</v>
      </c>
      <c r="B124" s="20" t="str">
        <f>IF(A124="","",IFERROR(VLOOKUP(A124,'Production Schedule'!$B:$FU,3,FALSE),""))</f>
        <v>St Jude Hospital</v>
      </c>
      <c r="C124" s="20" t="str">
        <f>IF(A124="","",IFERROR(VLOOKUP(A124,'Production Schedule'!$B:$FU,5,FALSE),""))</f>
        <v>Wylie McDougall</v>
      </c>
      <c r="D124" s="20">
        <f>IF(A124="","",IFERROR(VLOOKUP(A124,'Production Schedule'!$B:$FU,7,FALSE),""))</f>
        <v>400</v>
      </c>
      <c r="E124" s="20">
        <f>IF(A124="","",IFERROR(VLOOKUP(A124,'Production Schedule'!$B:$FU,17,FALSE),""))</f>
        <v>60</v>
      </c>
      <c r="F124" s="20">
        <f>IF(A124="","",IFERROR(VLOOKUP(A124,'Production Schedule'!$B:$FU,18,FALSE),""))</f>
        <v>60</v>
      </c>
      <c r="G124" s="20" t="str">
        <f>IF(A124="","",IFERROR(VLOOKUP(A124,'Production Schedule'!$B:$FU,25,FALSE),""))</f>
        <v>FR ACM</v>
      </c>
      <c r="H124" s="21">
        <f>IF(A124="","",IFERROR(VLOOKUP(A124,'Production Schedule'!$B:$FU,47,FALSE),""))</f>
        <v>46119.388374479167</v>
      </c>
      <c r="I124" s="21">
        <f>IF(A124="","",IFERROR(VLOOKUP(A124,'Production Schedule'!$B:$FU,54,FALSE),""))</f>
        <v>46185</v>
      </c>
      <c r="J124" s="32">
        <f>IF(A124="","",IFERROR(VLOOKUP(A124,'Production Schedule'!$B:$FU,135,FALSE),""))</f>
        <v>120</v>
      </c>
      <c r="K124" s="20" t="str">
        <f>IF(A124="","",IFERROR(VLOOKUP(A124,'Production Schedule'!$B:$FU,59,FALSE),""))</f>
        <v>YES</v>
      </c>
      <c r="L124" s="39" t="str">
        <f>IF(A124="","",IFERROR(VLOOKUP(A124,'Production Schedule'!$B:$FU,80,FALSE),""))</f>
        <v>AXYZ 34</v>
      </c>
      <c r="M124" s="33" t="str" cm="1">
        <f t="array" ref="M124">IF(A124="","",IFERROR(TRIM(INDEX(_xlfn.TEXTSPLIT(IFERROR(VLOOKUP(A124,'Production Schedule'!$B:$FU,150,FALSE),""),CHAR(10)),1)),""))</f>
        <v>AXYZ Titans Line</v>
      </c>
      <c r="N124" s="34">
        <f t="shared" si="8"/>
        <v>46160</v>
      </c>
      <c r="O124" s="33" t="str" cm="1">
        <f t="array" ref="O124">IF(A124="","",IFERROR(TRIM(INDEX(_xlfn.TEXTSPLIT(IFERROR(VLOOKUP(A124,'Production Schedule'!$B:$FU,150,FALSE),""),CHAR(10)),2)),""))</f>
        <v>Clean and Brake</v>
      </c>
      <c r="P124" s="34">
        <f t="shared" si="9"/>
        <v>46162</v>
      </c>
      <c r="Q124" s="33" t="str" cm="1">
        <f t="array" ref="Q124">IF(A124="","",IFERROR(TRIM(INDEX(_xlfn.TEXTSPLIT(IFERROR(VLOOKUP(A124,'Production Schedule'!$B:$FU,150,FALSE),""),CHAR(10)),3)),""))</f>
        <v>Fab</v>
      </c>
      <c r="R124" s="34">
        <f t="shared" si="10"/>
        <v>46172</v>
      </c>
      <c r="S124" s="33" t="str" cm="1">
        <f t="array" ref="S124">IF(A124="","",IFERROR(TRIM(INDEX(_xlfn.TEXTSPLIT(IFERROR(VLOOKUP(A124,'Production Schedule'!$B:$FU,150,FALSE),""),CHAR(10)),4)),""))</f>
        <v/>
      </c>
      <c r="T124" s="34" t="str">
        <f t="shared" si="11"/>
        <v/>
      </c>
      <c r="U124" s="33" t="str" cm="1">
        <f t="array" ref="U124">IF(A124="","",IFERROR(TRIM(INDEX(_xlfn.TEXTSPLIT(IFERROR(VLOOKUP(A124,'Production Schedule'!$B:$FU,150,FALSE),""),CHAR(10)),5)),""))</f>
        <v/>
      </c>
      <c r="V124" s="34" t="str">
        <f t="shared" si="12"/>
        <v/>
      </c>
      <c r="W124" s="33" t="str" cm="1">
        <f t="array" ref="W124">IF(A124="","",IFERROR(TRIM(INDEX(_xlfn.TEXTSPLIT(IFERROR(VLOOKUP(A124,'Production Schedule'!$B:$FU,150,FALSE),""),CHAR(10)),6)),""))</f>
        <v/>
      </c>
      <c r="X124" s="34" t="str">
        <f t="shared" si="13"/>
        <v/>
      </c>
      <c r="Y124" s="36">
        <f t="shared" si="14"/>
        <v>46183</v>
      </c>
      <c r="Z124" s="37" t="str">
        <f>IF(A124="","",IF(IFERROR(VLOOKUP(A124,Notes!A:B,2,FALSE),"")=0,"",VLOOKUP(A124,Notes!A:B,2,FALSE)))</f>
        <v>04/16/2026…AXYZ 34</v>
      </c>
      <c r="AA124" s="20">
        <f t="shared" si="15"/>
        <v>1</v>
      </c>
    </row>
    <row r="125" spans="1:27" x14ac:dyDescent="0.25">
      <c r="A125" s="18" t="str">
        <v>25044-FS04</v>
      </c>
      <c r="B125" s="18" t="str">
        <f>IF(A125="","",IFERROR(VLOOKUP(A125,'Production Schedule'!$B:$FU,3,FALSE),""))</f>
        <v>MALETA Firing Range</v>
      </c>
      <c r="C125" s="18" t="str">
        <f>IF(A125="","",IFERROR(VLOOKUP(A125,'Production Schedule'!$B:$FU,5,FALSE),""))</f>
        <v>Cole Norona</v>
      </c>
      <c r="D125" s="18">
        <f>IF(A125="","",IFERROR(VLOOKUP(A125,'Production Schedule'!$B:$FU,7,FALSE),""))</f>
        <v>400</v>
      </c>
      <c r="E125" s="18">
        <f>IF(A125="","",IFERROR(VLOOKUP(A125,'Production Schedule'!$B:$FU,17,FALSE),""))</f>
        <v>113</v>
      </c>
      <c r="F125" s="18">
        <f>IF(A125="","",IFERROR(VLOOKUP(A125,'Production Schedule'!$B:$FU,18,FALSE),""))</f>
        <v>0</v>
      </c>
      <c r="G125" s="18" t="str">
        <f>IF(A125="","",IFERROR(VLOOKUP(A125,'Production Schedule'!$B:$FU,25,FALSE),""))</f>
        <v>FR ACM</v>
      </c>
      <c r="H125" s="19">
        <f>IF(A125="","",IFERROR(VLOOKUP(A125,'Production Schedule'!$B:$FU,47,FALSE),""))</f>
        <v>46111.636721030096</v>
      </c>
      <c r="I125" s="19">
        <f>IF(A125="","",IFERROR(VLOOKUP(A125,'Production Schedule'!$B:$FU,54,FALSE),""))</f>
        <v>46192</v>
      </c>
      <c r="J125" s="26">
        <f>IF(A125="","",IFERROR(VLOOKUP(A125,'Production Schedule'!$B:$FU,135,FALSE),""))</f>
        <v>190</v>
      </c>
      <c r="K125" s="18" t="str">
        <f>IF(A125="","",IFERROR(VLOOKUP(A125,'Production Schedule'!$B:$FU,59,FALSE),""))</f>
        <v>YES</v>
      </c>
      <c r="L125" s="38" t="str">
        <f>IF(A125="","",IFERROR(VLOOKUP(A125,'Production Schedule'!$B:$FU,80,FALSE),""))</f>
        <v>LO</v>
      </c>
      <c r="M125" s="27" t="str" cm="1">
        <f t="array" ref="M125">IF(A125="","",IFERROR(TRIM(INDEX(_xlfn.TEXTSPLIT(IFERROR(VLOOKUP(A125,'Production Schedule'!$B:$FU,150,FALSE),""),CHAR(10)),1)),""))</f>
        <v>AXYZ</v>
      </c>
      <c r="N125" s="28">
        <f t="shared" si="8"/>
        <v>46165</v>
      </c>
      <c r="O125" s="27" t="str" cm="1">
        <f t="array" ref="O125">IF(A125="","",IFERROR(TRIM(INDEX(_xlfn.TEXTSPLIT(IFERROR(VLOOKUP(A125,'Production Schedule'!$B:$FU,150,FALSE),""),CHAR(10)),2)),""))</f>
        <v>Clean and Brake</v>
      </c>
      <c r="P125" s="28">
        <f t="shared" si="9"/>
        <v>46169</v>
      </c>
      <c r="Q125" s="27" t="str" cm="1">
        <f t="array" ref="Q125">IF(A125="","",IFERROR(TRIM(INDEX(_xlfn.TEXTSPLIT(IFERROR(VLOOKUP(A125,'Production Schedule'!$B:$FU,150,FALSE),""),CHAR(10)),3)),""))</f>
        <v>Fab</v>
      </c>
      <c r="R125" s="28">
        <f t="shared" si="10"/>
        <v>46179</v>
      </c>
      <c r="S125" s="27" t="str" cm="1">
        <f t="array" ref="S125">IF(A125="","",IFERROR(TRIM(INDEX(_xlfn.TEXTSPLIT(IFERROR(VLOOKUP(A125,'Production Schedule'!$B:$FU,150,FALSE),""),CHAR(10)),4)),""))</f>
        <v/>
      </c>
      <c r="T125" s="28" t="str">
        <f t="shared" si="11"/>
        <v/>
      </c>
      <c r="U125" s="27" t="str" cm="1">
        <f t="array" ref="U125">IF(A125="","",IFERROR(TRIM(INDEX(_xlfn.TEXTSPLIT(IFERROR(VLOOKUP(A125,'Production Schedule'!$B:$FU,150,FALSE),""),CHAR(10)),5)),""))</f>
        <v/>
      </c>
      <c r="V125" s="28" t="str">
        <f t="shared" si="12"/>
        <v/>
      </c>
      <c r="W125" s="27" t="str" cm="1">
        <f t="array" ref="W125">IF(A125="","",IFERROR(TRIM(INDEX(_xlfn.TEXTSPLIT(IFERROR(VLOOKUP(A125,'Production Schedule'!$B:$FU,150,FALSE),""),CHAR(10)),6)),""))</f>
        <v/>
      </c>
      <c r="X125" s="28" t="str">
        <f t="shared" si="13"/>
        <v/>
      </c>
      <c r="Y125" s="30">
        <f t="shared" si="14"/>
        <v>46190</v>
      </c>
      <c r="Z125" s="31" t="str">
        <f>IF(A125="","",IF(IFERROR(VLOOKUP(A125,Notes!A:B,2,FALSE),"")=0,"",VLOOKUP(A125,Notes!A:B,2,FALSE)))</f>
        <v>04/16/2026…LO</v>
      </c>
      <c r="AA125" s="18">
        <f t="shared" si="15"/>
        <v>1</v>
      </c>
    </row>
    <row r="126" spans="1:27" x14ac:dyDescent="0.25">
      <c r="A126" s="20" t="str">
        <v>25006-FS09</v>
      </c>
      <c r="B126" s="20" t="str">
        <f>IF(A126="","",IFERROR(VLOOKUP(A126,'Production Schedule'!$B:$FU,3,FALSE),""))</f>
        <v>MALETA Housing and Dining</v>
      </c>
      <c r="C126" s="20" t="str">
        <f>IF(A126="","",IFERROR(VLOOKUP(A126,'Production Schedule'!$B:$FU,5,FALSE),""))</f>
        <v>Cole Norona</v>
      </c>
      <c r="D126" s="20">
        <f>IF(A126="","",IFERROR(VLOOKUP(A126,'Production Schedule'!$B:$FU,7,FALSE),""))</f>
        <v>400</v>
      </c>
      <c r="E126" s="20">
        <f>IF(A126="","",IFERROR(VLOOKUP(A126,'Production Schedule'!$B:$FU,17,FALSE),""))</f>
        <v>152</v>
      </c>
      <c r="F126" s="20">
        <f>IF(A126="","",IFERROR(VLOOKUP(A126,'Production Schedule'!$B:$FU,18,FALSE),""))</f>
        <v>0</v>
      </c>
      <c r="G126" s="20" t="str">
        <f>IF(A126="","",IFERROR(VLOOKUP(A126,'Production Schedule'!$B:$FU,25,FALSE),""))</f>
        <v>FR ACM</v>
      </c>
      <c r="H126" s="21">
        <f>IF(A126="","",IFERROR(VLOOKUP(A126,'Production Schedule'!$B:$FU,47,FALSE),""))</f>
        <v>46125.430021215281</v>
      </c>
      <c r="I126" s="21">
        <f>IF(A126="","",IFERROR(VLOOKUP(A126,'Production Schedule'!$B:$FU,54,FALSE),""))</f>
        <v>46192</v>
      </c>
      <c r="J126" s="32">
        <f>IF(A126="","",IFERROR(VLOOKUP(A126,'Production Schedule'!$B:$FU,135,FALSE),""))</f>
        <v>250</v>
      </c>
      <c r="K126" s="20" t="str">
        <f>IF(A126="","",IFERROR(VLOOKUP(A126,'Production Schedule'!$B:$FU,59,FALSE),""))</f>
        <v>YES</v>
      </c>
      <c r="L126" s="39" t="str">
        <f>IF(A126="","",IFERROR(VLOOKUP(A126,'Production Schedule'!$B:$FU,80,FALSE),""))</f>
        <v>LO</v>
      </c>
      <c r="M126" s="33" t="str" cm="1">
        <f t="array" ref="M126">IF(A126="","",IFERROR(TRIM(INDEX(_xlfn.TEXTSPLIT(IFERROR(VLOOKUP(A126,'Production Schedule'!$B:$FU,150,FALSE),""),CHAR(10)),1)),""))</f>
        <v>AXYZ</v>
      </c>
      <c r="N126" s="34">
        <f t="shared" si="8"/>
        <v>46165</v>
      </c>
      <c r="O126" s="33" t="str" cm="1">
        <f t="array" ref="O126">IF(A126="","",IFERROR(TRIM(INDEX(_xlfn.TEXTSPLIT(IFERROR(VLOOKUP(A126,'Production Schedule'!$B:$FU,150,FALSE),""),CHAR(10)),2)),""))</f>
        <v>Clean and Brake</v>
      </c>
      <c r="P126" s="34">
        <f t="shared" si="9"/>
        <v>46169</v>
      </c>
      <c r="Q126" s="33" t="str" cm="1">
        <f t="array" ref="Q126">IF(A126="","",IFERROR(TRIM(INDEX(_xlfn.TEXTSPLIT(IFERROR(VLOOKUP(A126,'Production Schedule'!$B:$FU,150,FALSE),""),CHAR(10)),3)),""))</f>
        <v>Fab</v>
      </c>
      <c r="R126" s="34">
        <f t="shared" si="10"/>
        <v>46179</v>
      </c>
      <c r="S126" s="33" t="str" cm="1">
        <f t="array" ref="S126">IF(A126="","",IFERROR(TRIM(INDEX(_xlfn.TEXTSPLIT(IFERROR(VLOOKUP(A126,'Production Schedule'!$B:$FU,150,FALSE),""),CHAR(10)),4)),""))</f>
        <v/>
      </c>
      <c r="T126" s="34" t="str">
        <f t="shared" si="11"/>
        <v/>
      </c>
      <c r="U126" s="33" t="str" cm="1">
        <f t="array" ref="U126">IF(A126="","",IFERROR(TRIM(INDEX(_xlfn.TEXTSPLIT(IFERROR(VLOOKUP(A126,'Production Schedule'!$B:$FU,150,FALSE),""),CHAR(10)),5)),""))</f>
        <v/>
      </c>
      <c r="V126" s="34" t="str">
        <f t="shared" si="12"/>
        <v/>
      </c>
      <c r="W126" s="33" t="str" cm="1">
        <f t="array" ref="W126">IF(A126="","",IFERROR(TRIM(INDEX(_xlfn.TEXTSPLIT(IFERROR(VLOOKUP(A126,'Production Schedule'!$B:$FU,150,FALSE),""),CHAR(10)),6)),""))</f>
        <v/>
      </c>
      <c r="X126" s="34" t="str">
        <f t="shared" si="13"/>
        <v/>
      </c>
      <c r="Y126" s="36">
        <f t="shared" si="14"/>
        <v>46190</v>
      </c>
      <c r="Z126" s="37" t="str">
        <f>IF(A126="","",IF(IFERROR(VLOOKUP(A126,Notes!A:B,2,FALSE),"")=0,"",VLOOKUP(A126,Notes!A:B,2,FALSE)))</f>
        <v>HOAR*04/16/2026…LO</v>
      </c>
      <c r="AA126" s="20">
        <f t="shared" si="15"/>
        <v>1</v>
      </c>
    </row>
    <row r="127" spans="1:27" x14ac:dyDescent="0.25">
      <c r="A127" s="18" t="str">
        <v>25044-FS05</v>
      </c>
      <c r="B127" s="18" t="str">
        <f>IF(A127="","",IFERROR(VLOOKUP(A127,'Production Schedule'!$B:$FU,3,FALSE),""))</f>
        <v>MALETA Firing Range</v>
      </c>
      <c r="C127" s="18" t="str">
        <f>IF(A127="","",IFERROR(VLOOKUP(A127,'Production Schedule'!$B:$FU,5,FALSE),""))</f>
        <v>Cole Norona</v>
      </c>
      <c r="D127" s="18">
        <f>IF(A127="","",IFERROR(VLOOKUP(A127,'Production Schedule'!$B:$FU,7,FALSE),""))</f>
        <v>400</v>
      </c>
      <c r="E127" s="18">
        <f>IF(A127="","",IFERROR(VLOOKUP(A127,'Production Schedule'!$B:$FU,17,FALSE),""))</f>
        <v>111</v>
      </c>
      <c r="F127" s="18">
        <f>IF(A127="","",IFERROR(VLOOKUP(A127,'Production Schedule'!$B:$FU,18,FALSE),""))</f>
        <v>0</v>
      </c>
      <c r="G127" s="18" t="str">
        <f>IF(A127="","",IFERROR(VLOOKUP(A127,'Production Schedule'!$B:$FU,25,FALSE),""))</f>
        <v>FR ACM</v>
      </c>
      <c r="H127" s="19">
        <f>IF(A127="","",IFERROR(VLOOKUP(A127,'Production Schedule'!$B:$FU,47,FALSE),""))</f>
        <v>46111.638794791666</v>
      </c>
      <c r="I127" s="19">
        <f>IF(A127="","",IFERROR(VLOOKUP(A127,'Production Schedule'!$B:$FU,54,FALSE),""))</f>
        <v>46199</v>
      </c>
      <c r="J127" s="26">
        <f>IF(A127="","",IFERROR(VLOOKUP(A127,'Production Schedule'!$B:$FU,135,FALSE),""))</f>
        <v>190</v>
      </c>
      <c r="K127" s="18" t="str">
        <f>IF(A127="","",IFERROR(VLOOKUP(A127,'Production Schedule'!$B:$FU,59,FALSE),""))</f>
        <v>YES</v>
      </c>
      <c r="L127" s="38" t="str">
        <f>IF(A127="","",IFERROR(VLOOKUP(A127,'Production Schedule'!$B:$FU,80,FALSE),""))</f>
        <v>LO</v>
      </c>
      <c r="M127" s="27" t="str" cm="1">
        <f t="array" ref="M127">IF(A127="","",IFERROR(TRIM(INDEX(_xlfn.TEXTSPLIT(IFERROR(VLOOKUP(A127,'Production Schedule'!$B:$FU,150,FALSE),""),CHAR(10)),1)),""))</f>
        <v>AXYZ</v>
      </c>
      <c r="N127" s="28">
        <f t="shared" si="8"/>
        <v>46174</v>
      </c>
      <c r="O127" s="27" t="str" cm="1">
        <f t="array" ref="O127">IF(A127="","",IFERROR(TRIM(INDEX(_xlfn.TEXTSPLIT(IFERROR(VLOOKUP(A127,'Production Schedule'!$B:$FU,150,FALSE),""),CHAR(10)),2)),""))</f>
        <v>Clean and Brake</v>
      </c>
      <c r="P127" s="28">
        <f t="shared" si="9"/>
        <v>46176</v>
      </c>
      <c r="Q127" s="27" t="str" cm="1">
        <f t="array" ref="Q127">IF(A127="","",IFERROR(TRIM(INDEX(_xlfn.TEXTSPLIT(IFERROR(VLOOKUP(A127,'Production Schedule'!$B:$FU,150,FALSE),""),CHAR(10)),3)),""))</f>
        <v>Fab</v>
      </c>
      <c r="R127" s="28">
        <f t="shared" si="10"/>
        <v>46186</v>
      </c>
      <c r="S127" s="27" t="str" cm="1">
        <f t="array" ref="S127">IF(A127="","",IFERROR(TRIM(INDEX(_xlfn.TEXTSPLIT(IFERROR(VLOOKUP(A127,'Production Schedule'!$B:$FU,150,FALSE),""),CHAR(10)),4)),""))</f>
        <v/>
      </c>
      <c r="T127" s="28" t="str">
        <f t="shared" si="11"/>
        <v/>
      </c>
      <c r="U127" s="27" t="str" cm="1">
        <f t="array" ref="U127">IF(A127="","",IFERROR(TRIM(INDEX(_xlfn.TEXTSPLIT(IFERROR(VLOOKUP(A127,'Production Schedule'!$B:$FU,150,FALSE),""),CHAR(10)),5)),""))</f>
        <v/>
      </c>
      <c r="V127" s="28" t="str">
        <f t="shared" si="12"/>
        <v/>
      </c>
      <c r="W127" s="27" t="str" cm="1">
        <f t="array" ref="W127">IF(A127="","",IFERROR(TRIM(INDEX(_xlfn.TEXTSPLIT(IFERROR(VLOOKUP(A127,'Production Schedule'!$B:$FU,150,FALSE),""),CHAR(10)),6)),""))</f>
        <v/>
      </c>
      <c r="X127" s="28" t="str">
        <f t="shared" si="13"/>
        <v/>
      </c>
      <c r="Y127" s="30">
        <f t="shared" si="14"/>
        <v>46197</v>
      </c>
      <c r="Z127" s="31" t="str">
        <f>IF(A127="","",IF(IFERROR(VLOOKUP(A127,Notes!A:B,2,FALSE),"")=0,"",VLOOKUP(A127,Notes!A:B,2,FALSE)))</f>
        <v>04/16/2026…LO</v>
      </c>
      <c r="AA127" s="18">
        <f t="shared" si="15"/>
        <v>1</v>
      </c>
    </row>
    <row r="128" spans="1:27" x14ac:dyDescent="0.25">
      <c r="A128" s="20" t="str">
        <v>25006-FS10</v>
      </c>
      <c r="B128" s="20" t="str">
        <f>IF(A128="","",IFERROR(VLOOKUP(A128,'Production Schedule'!$B:$FU,3,FALSE),""))</f>
        <v>MALETA Housing and Dining</v>
      </c>
      <c r="C128" s="20" t="str">
        <f>IF(A128="","",IFERROR(VLOOKUP(A128,'Production Schedule'!$B:$FU,5,FALSE),""))</f>
        <v>Cole Norona</v>
      </c>
      <c r="D128" s="20">
        <f>IF(A128="","",IFERROR(VLOOKUP(A128,'Production Schedule'!$B:$FU,7,FALSE),""))</f>
        <v>400</v>
      </c>
      <c r="E128" s="20">
        <f>IF(A128="","",IFERROR(VLOOKUP(A128,'Production Schedule'!$B:$FU,17,FALSE),""))</f>
        <v>140</v>
      </c>
      <c r="F128" s="20">
        <f>IF(A128="","",IFERROR(VLOOKUP(A128,'Production Schedule'!$B:$FU,18,FALSE),""))</f>
        <v>0</v>
      </c>
      <c r="G128" s="20" t="str">
        <f>IF(A128="","",IFERROR(VLOOKUP(A128,'Production Schedule'!$B:$FU,25,FALSE),""))</f>
        <v>FR ACM</v>
      </c>
      <c r="H128" s="21">
        <f>IF(A128="","",IFERROR(VLOOKUP(A128,'Production Schedule'!$B:$FU,47,FALSE),""))</f>
        <v>46125.436739560188</v>
      </c>
      <c r="I128" s="21">
        <f>IF(A128="","",IFERROR(VLOOKUP(A128,'Production Schedule'!$B:$FU,54,FALSE),""))</f>
        <v>46205</v>
      </c>
      <c r="J128" s="32">
        <f>IF(A128="","",IFERROR(VLOOKUP(A128,'Production Schedule'!$B:$FU,135,FALSE),""))</f>
        <v>235</v>
      </c>
      <c r="K128" s="20" t="str">
        <f>IF(A128="","",IFERROR(VLOOKUP(A128,'Production Schedule'!$B:$FU,59,FALSE),""))</f>
        <v>YES</v>
      </c>
      <c r="L128" s="39" t="str">
        <f>IF(A128="","",IFERROR(VLOOKUP(A128,'Production Schedule'!$B:$FU,80,FALSE),""))</f>
        <v>LO</v>
      </c>
      <c r="M128" s="33" t="str" cm="1">
        <f t="array" ref="M128">IF(A128="","",IFERROR(TRIM(INDEX(_xlfn.TEXTSPLIT(IFERROR(VLOOKUP(A128,'Production Schedule'!$B:$FU,150,FALSE),""),CHAR(10)),1)),""))</f>
        <v>AXYZ</v>
      </c>
      <c r="N128" s="34">
        <f t="shared" si="8"/>
        <v>46189</v>
      </c>
      <c r="O128" s="33" t="str" cm="1">
        <f t="array" ref="O128">IF(A128="","",IFERROR(TRIM(INDEX(_xlfn.TEXTSPLIT(IFERROR(VLOOKUP(A128,'Production Schedule'!$B:$FU,150,FALSE),""),CHAR(10)),2)),""))</f>
        <v>Fab</v>
      </c>
      <c r="P128" s="34">
        <f t="shared" si="9"/>
        <v>46192</v>
      </c>
      <c r="Q128" s="33" t="str" cm="1">
        <f t="array" ref="Q128">IF(A128="","",IFERROR(TRIM(INDEX(_xlfn.TEXTSPLIT(IFERROR(VLOOKUP(A128,'Production Schedule'!$B:$FU,150,FALSE),""),CHAR(10)),3)),""))</f>
        <v/>
      </c>
      <c r="R128" s="34" t="str">
        <f t="shared" si="10"/>
        <v/>
      </c>
      <c r="S128" s="33" t="str" cm="1">
        <f t="array" ref="S128">IF(A128="","",IFERROR(TRIM(INDEX(_xlfn.TEXTSPLIT(IFERROR(VLOOKUP(A128,'Production Schedule'!$B:$FU,150,FALSE),""),CHAR(10)),4)),""))</f>
        <v/>
      </c>
      <c r="T128" s="34" t="str">
        <f t="shared" si="11"/>
        <v/>
      </c>
      <c r="U128" s="33" t="str" cm="1">
        <f t="array" ref="U128">IF(A128="","",IFERROR(TRIM(INDEX(_xlfn.TEXTSPLIT(IFERROR(VLOOKUP(A128,'Production Schedule'!$B:$FU,150,FALSE),""),CHAR(10)),5)),""))</f>
        <v/>
      </c>
      <c r="V128" s="34" t="str">
        <f t="shared" si="12"/>
        <v/>
      </c>
      <c r="W128" s="33" t="str" cm="1">
        <f t="array" ref="W128">IF(A128="","",IFERROR(TRIM(INDEX(_xlfn.TEXTSPLIT(IFERROR(VLOOKUP(A128,'Production Schedule'!$B:$FU,150,FALSE),""),CHAR(10)),6)),""))</f>
        <v/>
      </c>
      <c r="X128" s="34" t="str">
        <f t="shared" si="13"/>
        <v/>
      </c>
      <c r="Y128" s="36">
        <f t="shared" si="14"/>
        <v>46203</v>
      </c>
      <c r="Z128" s="37" t="str">
        <f>IF(A128="","",IF(IFERROR(VLOOKUP(A128,Notes!A:B,2,FALSE),"")=0,"",VLOOKUP(A128,Notes!A:B,2,FALSE)))</f>
        <v>HOAR*04/16/2026…LO</v>
      </c>
      <c r="AA128" s="20">
        <f t="shared" si="15"/>
        <v>1</v>
      </c>
    </row>
    <row r="129" spans="1:27" x14ac:dyDescent="0.25">
      <c r="A129" s="18" t="str">
        <v>25044-FS06</v>
      </c>
      <c r="B129" s="18" t="str">
        <f>IF(A129="","",IFERROR(VLOOKUP(A129,'Production Schedule'!$B:$FU,3,FALSE),""))</f>
        <v>MALETA Firing Range</v>
      </c>
      <c r="C129" s="18" t="str">
        <f>IF(A129="","",IFERROR(VLOOKUP(A129,'Production Schedule'!$B:$FU,5,FALSE),""))</f>
        <v>Cole Norona</v>
      </c>
      <c r="D129" s="18">
        <f>IF(A129="","",IFERROR(VLOOKUP(A129,'Production Schedule'!$B:$FU,7,FALSE),""))</f>
        <v>400</v>
      </c>
      <c r="E129" s="18">
        <f>IF(A129="","",IFERROR(VLOOKUP(A129,'Production Schedule'!$B:$FU,17,FALSE),""))</f>
        <v>203</v>
      </c>
      <c r="F129" s="18">
        <f>IF(A129="","",IFERROR(VLOOKUP(A129,'Production Schedule'!$B:$FU,18,FALSE),""))</f>
        <v>0</v>
      </c>
      <c r="G129" s="18" t="str">
        <f>IF(A129="","",IFERROR(VLOOKUP(A129,'Production Schedule'!$B:$FU,25,FALSE),""))</f>
        <v>FR ACM</v>
      </c>
      <c r="H129" s="19">
        <f>IF(A129="","",IFERROR(VLOOKUP(A129,'Production Schedule'!$B:$FU,47,FALSE),""))</f>
        <v>46111.641704085647</v>
      </c>
      <c r="I129" s="19">
        <f>IF(A129="","",IFERROR(VLOOKUP(A129,'Production Schedule'!$B:$FU,54,FALSE),""))</f>
        <v>46209</v>
      </c>
      <c r="J129" s="26">
        <f>IF(A129="","",IFERROR(VLOOKUP(A129,'Production Schedule'!$B:$FU,135,FALSE),""))</f>
        <v>340</v>
      </c>
      <c r="K129" s="18" t="str">
        <f>IF(A129="","",IFERROR(VLOOKUP(A129,'Production Schedule'!$B:$FU,59,FALSE),""))</f>
        <v>YES</v>
      </c>
      <c r="L129" s="38" t="str">
        <f>IF(A129="","",IFERROR(VLOOKUP(A129,'Production Schedule'!$B:$FU,80,FALSE),""))</f>
        <v>LO</v>
      </c>
      <c r="M129" s="27" t="str" cm="1">
        <f t="array" ref="M129">IF(A129="","",IFERROR(TRIM(INDEX(_xlfn.TEXTSPLIT(IFERROR(VLOOKUP(A129,'Production Schedule'!$B:$FU,150,FALSE),""),CHAR(10)),1)),""))</f>
        <v>AXYZ</v>
      </c>
      <c r="N129" s="28">
        <f t="shared" si="8"/>
        <v>46181</v>
      </c>
      <c r="O129" s="27" t="str" cm="1">
        <f t="array" ref="O129">IF(A129="","",IFERROR(TRIM(INDEX(_xlfn.TEXTSPLIT(IFERROR(VLOOKUP(A129,'Production Schedule'!$B:$FU,150,FALSE),""),CHAR(10)),2)),""))</f>
        <v>Clean and Brake</v>
      </c>
      <c r="P129" s="28">
        <f t="shared" si="9"/>
        <v>46185</v>
      </c>
      <c r="Q129" s="27" t="str" cm="1">
        <f t="array" ref="Q129">IF(A129="","",IFERROR(TRIM(INDEX(_xlfn.TEXTSPLIT(IFERROR(VLOOKUP(A129,'Production Schedule'!$B:$FU,150,FALSE),""),CHAR(10)),3)),""))</f>
        <v>Fab</v>
      </c>
      <c r="R129" s="28">
        <f t="shared" si="10"/>
        <v>46196</v>
      </c>
      <c r="S129" s="27" t="str" cm="1">
        <f t="array" ref="S129">IF(A129="","",IFERROR(TRIM(INDEX(_xlfn.TEXTSPLIT(IFERROR(VLOOKUP(A129,'Production Schedule'!$B:$FU,150,FALSE),""),CHAR(10)),4)),""))</f>
        <v/>
      </c>
      <c r="T129" s="28" t="str">
        <f t="shared" si="11"/>
        <v/>
      </c>
      <c r="U129" s="27" t="str" cm="1">
        <f t="array" ref="U129">IF(A129="","",IFERROR(TRIM(INDEX(_xlfn.TEXTSPLIT(IFERROR(VLOOKUP(A129,'Production Schedule'!$B:$FU,150,FALSE),""),CHAR(10)),5)),""))</f>
        <v/>
      </c>
      <c r="V129" s="28" t="str">
        <f t="shared" si="12"/>
        <v/>
      </c>
      <c r="W129" s="27" t="str" cm="1">
        <f t="array" ref="W129">IF(A129="","",IFERROR(TRIM(INDEX(_xlfn.TEXTSPLIT(IFERROR(VLOOKUP(A129,'Production Schedule'!$B:$FU,150,FALSE),""),CHAR(10)),6)),""))</f>
        <v/>
      </c>
      <c r="X129" s="28" t="str">
        <f t="shared" si="13"/>
        <v/>
      </c>
      <c r="Y129" s="30">
        <f t="shared" si="14"/>
        <v>46206</v>
      </c>
      <c r="Z129" s="31" t="str">
        <f>IF(A129="","",IF(IFERROR(VLOOKUP(A129,Notes!A:B,2,FALSE),"")=0,"",VLOOKUP(A129,Notes!A:B,2,FALSE)))</f>
        <v>04/16/2026…LO</v>
      </c>
      <c r="AA129" s="18">
        <f t="shared" si="15"/>
        <v>1</v>
      </c>
    </row>
    <row r="130" spans="1:27" x14ac:dyDescent="0.25">
      <c r="A130" s="20" t="str">
        <v>25044-FS07</v>
      </c>
      <c r="B130" s="20" t="str">
        <f>IF(A130="","",IFERROR(VLOOKUP(A130,'Production Schedule'!$B:$FU,3,FALSE),""))</f>
        <v>MALETA Firing Range</v>
      </c>
      <c r="C130" s="20" t="str">
        <f>IF(A130="","",IFERROR(VLOOKUP(A130,'Production Schedule'!$B:$FU,5,FALSE),""))</f>
        <v>Cole Norona</v>
      </c>
      <c r="D130" s="20">
        <f>IF(A130="","",IFERROR(VLOOKUP(A130,'Production Schedule'!$B:$FU,7,FALSE),""))</f>
        <v>400</v>
      </c>
      <c r="E130" s="20">
        <f>IF(A130="","",IFERROR(VLOOKUP(A130,'Production Schedule'!$B:$FU,17,FALSE),""))</f>
        <v>160</v>
      </c>
      <c r="F130" s="20">
        <f>IF(A130="","",IFERROR(VLOOKUP(A130,'Production Schedule'!$B:$FU,18,FALSE),""))</f>
        <v>0</v>
      </c>
      <c r="G130" s="20" t="str">
        <f>IF(A130="","",IFERROR(VLOOKUP(A130,'Production Schedule'!$B:$FU,25,FALSE),""))</f>
        <v>FR ACM</v>
      </c>
      <c r="H130" s="21">
        <f>IF(A130="","",IFERROR(VLOOKUP(A130,'Production Schedule'!$B:$FU,47,FALSE),""))</f>
        <v>46111.644240000001</v>
      </c>
      <c r="I130" s="21">
        <f>IF(A130="","",IFERROR(VLOOKUP(A130,'Production Schedule'!$B:$FU,54,FALSE),""))</f>
        <v>46218</v>
      </c>
      <c r="J130" s="32">
        <f>IF(A130="","",IFERROR(VLOOKUP(A130,'Production Schedule'!$B:$FU,135,FALSE),""))</f>
        <v>270</v>
      </c>
      <c r="K130" s="20" t="str">
        <f>IF(A130="","",IFERROR(VLOOKUP(A130,'Production Schedule'!$B:$FU,59,FALSE),""))</f>
        <v>YES</v>
      </c>
      <c r="L130" s="39" t="str">
        <f>IF(A130="","",IFERROR(VLOOKUP(A130,'Production Schedule'!$B:$FU,80,FALSE),""))</f>
        <v>LO</v>
      </c>
      <c r="M130" s="33" t="str" cm="1">
        <f t="array" ref="M130">IF(A130="","",IFERROR(TRIM(INDEX(_xlfn.TEXTSPLIT(IFERROR(VLOOKUP(A130,'Production Schedule'!$B:$FU,150,FALSE),""),CHAR(10)),1)),""))</f>
        <v>AXYZ</v>
      </c>
      <c r="N130" s="34">
        <f t="shared" si="8"/>
        <v>46191</v>
      </c>
      <c r="O130" s="33" t="str" cm="1">
        <f t="array" ref="O130">IF(A130="","",IFERROR(TRIM(INDEX(_xlfn.TEXTSPLIT(IFERROR(VLOOKUP(A130,'Production Schedule'!$B:$FU,150,FALSE),""),CHAR(10)),2)),""))</f>
        <v>Clean and Brake</v>
      </c>
      <c r="P130" s="34">
        <f t="shared" si="9"/>
        <v>46195</v>
      </c>
      <c r="Q130" s="33" t="str" cm="1">
        <f t="array" ref="Q130">IF(A130="","",IFERROR(TRIM(INDEX(_xlfn.TEXTSPLIT(IFERROR(VLOOKUP(A130,'Production Schedule'!$B:$FU,150,FALSE),""),CHAR(10)),3)),""))</f>
        <v>Fab</v>
      </c>
      <c r="R130" s="34">
        <f t="shared" si="10"/>
        <v>46205</v>
      </c>
      <c r="S130" s="33" t="str" cm="1">
        <f t="array" ref="S130">IF(A130="","",IFERROR(TRIM(INDEX(_xlfn.TEXTSPLIT(IFERROR(VLOOKUP(A130,'Production Schedule'!$B:$FU,150,FALSE),""),CHAR(10)),4)),""))</f>
        <v/>
      </c>
      <c r="T130" s="34" t="str">
        <f t="shared" si="11"/>
        <v/>
      </c>
      <c r="U130" s="33" t="str" cm="1">
        <f t="array" ref="U130">IF(A130="","",IFERROR(TRIM(INDEX(_xlfn.TEXTSPLIT(IFERROR(VLOOKUP(A130,'Production Schedule'!$B:$FU,150,FALSE),""),CHAR(10)),5)),""))</f>
        <v/>
      </c>
      <c r="V130" s="34" t="str">
        <f t="shared" si="12"/>
        <v/>
      </c>
      <c r="W130" s="33" t="str" cm="1">
        <f t="array" ref="W130">IF(A130="","",IFERROR(TRIM(INDEX(_xlfn.TEXTSPLIT(IFERROR(VLOOKUP(A130,'Production Schedule'!$B:$FU,150,FALSE),""),CHAR(10)),6)),""))</f>
        <v/>
      </c>
      <c r="X130" s="34" t="str">
        <f t="shared" si="13"/>
        <v/>
      </c>
      <c r="Y130" s="36">
        <f t="shared" si="14"/>
        <v>46216</v>
      </c>
      <c r="Z130" s="37" t="str">
        <f>IF(A130="","",IF(IFERROR(VLOOKUP(A130,Notes!A:B,2,FALSE),"")=0,"",VLOOKUP(A130,Notes!A:B,2,FALSE)))</f>
        <v>04/16/2026…LO</v>
      </c>
      <c r="AA130" s="20">
        <f t="shared" si="15"/>
        <v>1</v>
      </c>
    </row>
    <row r="131" spans="1:27" x14ac:dyDescent="0.25">
      <c r="A131" s="18" t="str">
        <v>25006-FS11</v>
      </c>
      <c r="B131" s="18" t="str">
        <f>IF(A131="","",IFERROR(VLOOKUP(A131,'Production Schedule'!$B:$FU,3,FALSE),""))</f>
        <v>MALETA Housing and Dining</v>
      </c>
      <c r="C131" s="18" t="str">
        <f>IF(A131="","",IFERROR(VLOOKUP(A131,'Production Schedule'!$B:$FU,5,FALSE),""))</f>
        <v>Cole Norona</v>
      </c>
      <c r="D131" s="18">
        <f>IF(A131="","",IFERROR(VLOOKUP(A131,'Production Schedule'!$B:$FU,7,FALSE),""))</f>
        <v>400</v>
      </c>
      <c r="E131" s="18">
        <f>IF(A131="","",IFERROR(VLOOKUP(A131,'Production Schedule'!$B:$FU,17,FALSE),""))</f>
        <v>201</v>
      </c>
      <c r="F131" s="18">
        <f>IF(A131="","",IFERROR(VLOOKUP(A131,'Production Schedule'!$B:$FU,18,FALSE),""))</f>
        <v>0</v>
      </c>
      <c r="G131" s="18" t="str">
        <f>IF(A131="","",IFERROR(VLOOKUP(A131,'Production Schedule'!$B:$FU,25,FALSE),""))</f>
        <v>FR ACM</v>
      </c>
      <c r="H131" s="19">
        <f>IF(A131="","",IFERROR(VLOOKUP(A131,'Production Schedule'!$B:$FU,47,FALSE),""))</f>
        <v>46125.436917928244</v>
      </c>
      <c r="I131" s="19">
        <f>IF(A131="","",IFERROR(VLOOKUP(A131,'Production Schedule'!$B:$FU,54,FALSE),""))</f>
        <v>46218</v>
      </c>
      <c r="J131" s="26">
        <f>IF(A131="","",IFERROR(VLOOKUP(A131,'Production Schedule'!$B:$FU,135,FALSE),""))</f>
        <v>340</v>
      </c>
      <c r="K131" s="18" t="str">
        <f>IF(A131="","",IFERROR(VLOOKUP(A131,'Production Schedule'!$B:$FU,59,FALSE),""))</f>
        <v>YES</v>
      </c>
      <c r="L131" s="38" t="str">
        <f>IF(A131="","",IFERROR(VLOOKUP(A131,'Production Schedule'!$B:$FU,80,FALSE),""))</f>
        <v>LO</v>
      </c>
      <c r="M131" s="27" t="str" cm="1">
        <f t="array" ref="M131">IF(A131="","",IFERROR(TRIM(INDEX(_xlfn.TEXTSPLIT(IFERROR(VLOOKUP(A131,'Production Schedule'!$B:$FU,150,FALSE),""),CHAR(10)),1)),""))</f>
        <v>AXYZ</v>
      </c>
      <c r="N131" s="28">
        <f t="shared" si="8"/>
        <v>46190</v>
      </c>
      <c r="O131" s="27" t="str" cm="1">
        <f t="array" ref="O131">IF(A131="","",IFERROR(TRIM(INDEX(_xlfn.TEXTSPLIT(IFERROR(VLOOKUP(A131,'Production Schedule'!$B:$FU,150,FALSE),""),CHAR(10)),2)),""))</f>
        <v>Clean and Brake</v>
      </c>
      <c r="P131" s="28">
        <f t="shared" si="9"/>
        <v>46195</v>
      </c>
      <c r="Q131" s="27" t="str" cm="1">
        <f t="array" ref="Q131">IF(A131="","",IFERROR(TRIM(INDEX(_xlfn.TEXTSPLIT(IFERROR(VLOOKUP(A131,'Production Schedule'!$B:$FU,150,FALSE),""),CHAR(10)),3)),""))</f>
        <v>Fab</v>
      </c>
      <c r="R131" s="28">
        <f t="shared" si="10"/>
        <v>46205</v>
      </c>
      <c r="S131" s="27" t="str" cm="1">
        <f t="array" ref="S131">IF(A131="","",IFERROR(TRIM(INDEX(_xlfn.TEXTSPLIT(IFERROR(VLOOKUP(A131,'Production Schedule'!$B:$FU,150,FALSE),""),CHAR(10)),4)),""))</f>
        <v/>
      </c>
      <c r="T131" s="28" t="str">
        <f t="shared" si="11"/>
        <v/>
      </c>
      <c r="U131" s="27" t="str" cm="1">
        <f t="array" ref="U131">IF(A131="","",IFERROR(TRIM(INDEX(_xlfn.TEXTSPLIT(IFERROR(VLOOKUP(A131,'Production Schedule'!$B:$FU,150,FALSE),""),CHAR(10)),5)),""))</f>
        <v/>
      </c>
      <c r="V131" s="28" t="str">
        <f t="shared" si="12"/>
        <v/>
      </c>
      <c r="W131" s="27" t="str" cm="1">
        <f t="array" ref="W131">IF(A131="","",IFERROR(TRIM(INDEX(_xlfn.TEXTSPLIT(IFERROR(VLOOKUP(A131,'Production Schedule'!$B:$FU,150,FALSE),""),CHAR(10)),6)),""))</f>
        <v/>
      </c>
      <c r="X131" s="28" t="str">
        <f t="shared" si="13"/>
        <v/>
      </c>
      <c r="Y131" s="30">
        <f t="shared" si="14"/>
        <v>46216</v>
      </c>
      <c r="Z131" s="31" t="str">
        <f>IF(A131="","",IF(IFERROR(VLOOKUP(A131,Notes!A:B,2,FALSE),"")=0,"",VLOOKUP(A131,Notes!A:B,2,FALSE)))</f>
        <v>HOAR*04/16/2026…LO</v>
      </c>
      <c r="AA131" s="18">
        <f t="shared" si="15"/>
        <v>1</v>
      </c>
    </row>
    <row r="132" spans="1:27" x14ac:dyDescent="0.25">
      <c r="A132" s="20" t="str">
        <v>25044-FS08</v>
      </c>
      <c r="B132" s="20" t="str">
        <f>IF(A132="","",IFERROR(VLOOKUP(A132,'Production Schedule'!$B:$FU,3,FALSE),""))</f>
        <v>MALETA Firing Range</v>
      </c>
      <c r="C132" s="20" t="str">
        <f>IF(A132="","",IFERROR(VLOOKUP(A132,'Production Schedule'!$B:$FU,5,FALSE),""))</f>
        <v>Cole Norona</v>
      </c>
      <c r="D132" s="20">
        <f>IF(A132="","",IFERROR(VLOOKUP(A132,'Production Schedule'!$B:$FU,7,FALSE),""))</f>
        <v>400</v>
      </c>
      <c r="E132" s="20">
        <f>IF(A132="","",IFERROR(VLOOKUP(A132,'Production Schedule'!$B:$FU,17,FALSE),""))</f>
        <v>163</v>
      </c>
      <c r="F132" s="20">
        <f>IF(A132="","",IFERROR(VLOOKUP(A132,'Production Schedule'!$B:$FU,18,FALSE),""))</f>
        <v>0</v>
      </c>
      <c r="G132" s="20" t="str">
        <f>IF(A132="","",IFERROR(VLOOKUP(A132,'Production Schedule'!$B:$FU,25,FALSE),""))</f>
        <v>FR ACM</v>
      </c>
      <c r="H132" s="21">
        <f>IF(A132="","",IFERROR(VLOOKUP(A132,'Production Schedule'!$B:$FU,47,FALSE),""))</f>
        <v>46111.64589537037</v>
      </c>
      <c r="I132" s="21">
        <f>IF(A132="","",IFERROR(VLOOKUP(A132,'Production Schedule'!$B:$FU,54,FALSE),""))</f>
        <v>46225</v>
      </c>
      <c r="J132" s="32">
        <f>IF(A132="","",IFERROR(VLOOKUP(A132,'Production Schedule'!$B:$FU,135,FALSE),""))</f>
        <v>270</v>
      </c>
      <c r="K132" s="20" t="str">
        <f>IF(A132="","",IFERROR(VLOOKUP(A132,'Production Schedule'!$B:$FU,59,FALSE),""))</f>
        <v>YES</v>
      </c>
      <c r="L132" s="39" t="str">
        <f>IF(A132="","",IFERROR(VLOOKUP(A132,'Production Schedule'!$B:$FU,80,FALSE),""))</f>
        <v>LO</v>
      </c>
      <c r="M132" s="33" t="str" cm="1">
        <f t="array" ref="M132">IF(A132="","",IFERROR(TRIM(INDEX(_xlfn.TEXTSPLIT(IFERROR(VLOOKUP(A132,'Production Schedule'!$B:$FU,150,FALSE),""),CHAR(10)),1)),""))</f>
        <v>AXYZ</v>
      </c>
      <c r="N132" s="34">
        <f t="shared" si="8"/>
        <v>46198</v>
      </c>
      <c r="O132" s="33" t="str" cm="1">
        <f t="array" ref="O132">IF(A132="","",IFERROR(TRIM(INDEX(_xlfn.TEXTSPLIT(IFERROR(VLOOKUP(A132,'Production Schedule'!$B:$FU,150,FALSE),""),CHAR(10)),2)),""))</f>
        <v>Clean and Brake</v>
      </c>
      <c r="P132" s="34">
        <f t="shared" si="9"/>
        <v>46202</v>
      </c>
      <c r="Q132" s="33" t="str" cm="1">
        <f t="array" ref="Q132">IF(A132="","",IFERROR(TRIM(INDEX(_xlfn.TEXTSPLIT(IFERROR(VLOOKUP(A132,'Production Schedule'!$B:$FU,150,FALSE),""),CHAR(10)),3)),""))</f>
        <v>Fab</v>
      </c>
      <c r="R132" s="34">
        <f t="shared" si="10"/>
        <v>46212</v>
      </c>
      <c r="S132" s="33" t="str" cm="1">
        <f t="array" ref="S132">IF(A132="","",IFERROR(TRIM(INDEX(_xlfn.TEXTSPLIT(IFERROR(VLOOKUP(A132,'Production Schedule'!$B:$FU,150,FALSE),""),CHAR(10)),4)),""))</f>
        <v/>
      </c>
      <c r="T132" s="34" t="str">
        <f t="shared" si="11"/>
        <v/>
      </c>
      <c r="U132" s="33" t="str" cm="1">
        <f t="array" ref="U132">IF(A132="","",IFERROR(TRIM(INDEX(_xlfn.TEXTSPLIT(IFERROR(VLOOKUP(A132,'Production Schedule'!$B:$FU,150,FALSE),""),CHAR(10)),5)),""))</f>
        <v/>
      </c>
      <c r="V132" s="34" t="str">
        <f t="shared" si="12"/>
        <v/>
      </c>
      <c r="W132" s="33" t="str" cm="1">
        <f t="array" ref="W132">IF(A132="","",IFERROR(TRIM(INDEX(_xlfn.TEXTSPLIT(IFERROR(VLOOKUP(A132,'Production Schedule'!$B:$FU,150,FALSE),""),CHAR(10)),6)),""))</f>
        <v/>
      </c>
      <c r="X132" s="34" t="str">
        <f t="shared" si="13"/>
        <v/>
      </c>
      <c r="Y132" s="36">
        <f t="shared" si="14"/>
        <v>46223</v>
      </c>
      <c r="Z132" s="37" t="str">
        <f>IF(A132="","",IF(IFERROR(VLOOKUP(A132,Notes!A:B,2,FALSE),"")=0,"",VLOOKUP(A132,Notes!A:B,2,FALSE)))</f>
        <v>04/16/2026…LO</v>
      </c>
      <c r="AA132" s="20">
        <f t="shared" si="15"/>
        <v>1</v>
      </c>
    </row>
    <row r="133" spans="1:27" x14ac:dyDescent="0.25">
      <c r="A133" s="18" t="str">
        <v>25006-FS12</v>
      </c>
      <c r="B133" s="18" t="str">
        <f>IF(A133="","",IFERROR(VLOOKUP(A133,'Production Schedule'!$B:$FU,3,FALSE),""))</f>
        <v>MALETA Housing and Dining</v>
      </c>
      <c r="C133" s="18" t="str">
        <f>IF(A133="","",IFERROR(VLOOKUP(A133,'Production Schedule'!$B:$FU,5,FALSE),""))</f>
        <v>Cole Norona</v>
      </c>
      <c r="D133" s="18">
        <f>IF(A133="","",IFERROR(VLOOKUP(A133,'Production Schedule'!$B:$FU,7,FALSE),""))</f>
        <v>400</v>
      </c>
      <c r="E133" s="18">
        <f>IF(A133="","",IFERROR(VLOOKUP(A133,'Production Schedule'!$B:$FU,17,FALSE),""))</f>
        <v>192</v>
      </c>
      <c r="F133" s="18">
        <f>IF(A133="","",IFERROR(VLOOKUP(A133,'Production Schedule'!$B:$FU,18,FALSE),""))</f>
        <v>0</v>
      </c>
      <c r="G133" s="18" t="str">
        <f>IF(A133="","",IFERROR(VLOOKUP(A133,'Production Schedule'!$B:$FU,25,FALSE),""))</f>
        <v>FR ACM</v>
      </c>
      <c r="H133" s="19">
        <f>IF(A133="","",IFERROR(VLOOKUP(A133,'Production Schedule'!$B:$FU,47,FALSE),""))</f>
        <v>46125.437119525464</v>
      </c>
      <c r="I133" s="19">
        <f>IF(A133="","",IFERROR(VLOOKUP(A133,'Production Schedule'!$B:$FU,54,FALSE),""))</f>
        <v>46230</v>
      </c>
      <c r="J133" s="26">
        <f>IF(A133="","",IFERROR(VLOOKUP(A133,'Production Schedule'!$B:$FU,135,FALSE),""))</f>
        <v>323</v>
      </c>
      <c r="K133" s="18" t="str">
        <f>IF(A133="","",IFERROR(VLOOKUP(A133,'Production Schedule'!$B:$FU,59,FALSE),""))</f>
        <v>YES</v>
      </c>
      <c r="L133" s="38" t="str">
        <f>IF(A133="","",IFERROR(VLOOKUP(A133,'Production Schedule'!$B:$FU,80,FALSE),""))</f>
        <v>LO</v>
      </c>
      <c r="M133" s="27" t="str" cm="1">
        <f t="array" ref="M133">IF(A133="","",IFERROR(TRIM(INDEX(_xlfn.TEXTSPLIT(IFERROR(VLOOKUP(A133,'Production Schedule'!$B:$FU,150,FALSE),""),CHAR(10)),1)),""))</f>
        <v>AXYZ</v>
      </c>
      <c r="N133" s="28">
        <f t="shared" ref="N133:N196" si="16">IF(AND(M133&lt;&gt;"",I133&lt;&gt;""),_xlfn.LET(_xlpm.hM,IF(OR(M133="AXYZ Titans Line",M133="AXYZ"),ROUND(E133/7,1),IF(OR(M133="Clean and Brake",M133="Clean and brake"),72,IF(OR(M133="Fab",M133="Fabrication"),72,IF(M133="Assembly",72,IF(M133="Tube Laser",72,IF(M133="7000 TruMatic",72,IF(M133="TruLaser 3040",72,IF(M133="Extrusion Saw",72,IF(M133="Powder Coat",192,IF(M133="Brake",72,IF(M133="Cidan",80,IF(M133="Shear",80,IF(M133="Weld",80,IF(M133="Flat Laser",24,IF(M133="Post Paint",24,IF(M133="TruPunch",24,IF(M133="Roller",72,0))))))))))))))))),_xlpm.hO,IF(OR(O133="AXYZ Titans Line",O133="AXYZ"),ROUND(E133/7,1),IF(OR(O133="Clean and Brake",O133="Clean and brake"),72,IF(OR(O133="Fab",O133="Fabrication"),72,IF(O133="Assembly",72,IF(O133="Tube Laser",72,IF(O133="7000 TruMatic",72,IF(O133="TruLaser 3040",72,IF(O133="Extrusion Saw",72,IF(O133="Powder Coat",192,IF(O133="Brake",72,IF(O133="Cidan",80,IF(O133="Shear",80,IF(O133="Weld",80,IF(O133="Flat Laser",24,IF(O133="Post Paint",24,IF(O133="TruPunch",24,IF(O133="Roller",72,0))))))))))))))))),_xlpm.hQ,IF(OR(Q133="AXYZ Titans Line",Q133="AXYZ"),ROUND(E133/7,1),IF(OR(Q133="Clean and Brake",Q133="Clean and brake"),72,IF(OR(Q133="Fab",Q133="Fabrication"),72,IF(Q133="Assembly",72,IF(Q133="Tube Laser",72,IF(Q133="7000 TruMatic",72,IF(Q133="TruLaser 3040",72,IF(Q133="Extrusion Saw",72,IF(Q133="Powder Coat",192,IF(Q133="Brake",72,IF(Q133="Cidan",80,IF(Q133="Shear",80,IF(Q133="Weld",80,IF(Q133="Flat Laser",24,IF(Q133="Post Paint",24,IF(Q133="TruPunch",24,IF(Q133="Roller",72,0))))))))))))))))),_xlpm.hS,IF(OR(S133="AXYZ Titans Line",S133="AXYZ"),ROUND(E133/7,1),IF(OR(S133="Clean and Brake",S133="Clean and brake"),72,IF(OR(S133="Fab",S133="Fabrication"),72,IF(S133="Assembly",72,IF(S133="Tube Laser",72,IF(S133="7000 TruMatic",72,IF(S133="TruLaser 3040",72,IF(S133="Extrusion Saw",72,IF(S133="Powder Coat",192,IF(S133="Brake",72,IF(S133="Cidan",80,IF(S133="Shear",80,IF(S133="Weld",80,IF(S133="Flat Laser",24,IF(S133="Post Paint",24,IF(S133="TruPunch",24,IF(S133="Roller",72,0))))))))))))))))),_xlpm.hU,IF(OR(U133="AXYZ Titans Line",U133="AXYZ"),ROUND(E133/7,1),IF(OR(U133="Clean and Brake",U133="Clean and brake"),72,IF(OR(U133="Fab",U133="Fabrication"),72,IF(U133="Assembly",72,IF(U133="Tube Laser",72,IF(U133="7000 TruMatic",72,IF(U133="TruLaser 3040",72,IF(U133="Extrusion Saw",72,IF(U133="Powder Coat",192,IF(U133="Brake",72,IF(U133="Cidan",80,IF(U133="Shear",80,IF(U133="Weld",80,IF(U133="Flat Laser",24,IF(U133="Post Paint",24,IF(U133="TruPunch",24,IF(U133="Roller",72,0))))))))))))))))),_xlpm.hW,IF(OR(W133="AXYZ Titans Line",W133="AXYZ"),ROUND(E133/7,1),IF(OR(W133="Clean and Brake",W133="Clean and brake"),72,IF(OR(W133="Fab",W133="Fabrication"),72,IF(W133="Assembly",72,IF(W133="Tube Laser",72,IF(W133="7000 TruMatic",72,IF(W133="TruLaser 3040",72,IF(W133="Extrusion Saw",72,IF(W133="Powder Coat",192,IF(W133="Brake",72,IF(W133="Cidan",80,IF(W133="Shear",80,IF(W133="Weld",80,IF(W133="Flat Laser",24,IF(W133="Post Paint",24,IF(W133="TruPunch",24,IF(W133="Roller",72,0))))))))))))))))),_xlpm.total,_xlpm.hM+_xlpm.hO+_xlpm.hQ+_xlpm.hS+_xlpm.hU+_xlpm.hW+16,WORKDAY.INTL(I133,-ROUNDUP(_xlpm.total/8,0),"0000001")),"")</f>
        <v>46202</v>
      </c>
      <c r="O133" s="27" t="str" cm="1">
        <f t="array" ref="O133">IF(A133="","",IFERROR(TRIM(INDEX(_xlfn.TEXTSPLIT(IFERROR(VLOOKUP(A133,'Production Schedule'!$B:$FU,150,FALSE),""),CHAR(10)),2)),""))</f>
        <v>Clean and Brake</v>
      </c>
      <c r="P133" s="28">
        <f t="shared" ref="P133:P196" si="17">IF(AND(O133&lt;&gt;"",I133&lt;&gt;""),_xlfn.LET(_xlpm.hO,IF(OR(O133="AXYZ Titans Line",O133="AXYZ"),ROUND(E133/7,1),IF(OR(O133="Clean and Brake",O133="Clean and brake"),72,IF(OR(O133="Fab",O133="Fabrication"),72,IF(O133="Assembly",72,IF(O133="Tube Laser",72,IF(O133="7000 TruMatic",72,IF(O133="TruLaser 3040",72,IF(O133="Extrusion Saw",72,IF(O133="Powder Coat",192,IF(O133="Brake",72,IF(O133="Cidan",80,IF(O133="Shear",80,IF(O133="Weld",80,IF(O133="Flat Laser",24,IF(O133="Post Paint",24,IF(O133="TruPunch",24,IF(O133="Roller",72,0))))))))))))))))),_xlpm.hQ,IF(OR(Q133="AXYZ Titans Line",Q133="AXYZ"),ROUND(E133/7,1),IF(OR(Q133="Clean and Brake",Q133="Clean and brake"),72,IF(OR(Q133="Fab",Q133="Fabrication"),72,IF(Q133="Assembly",72,IF(Q133="Tube Laser",72,IF(Q133="7000 TruMatic",72,IF(Q133="TruLaser 3040",72,IF(Q133="Extrusion Saw",72,IF(Q133="Powder Coat",192,IF(Q133="Brake",72,IF(Q133="Cidan",80,IF(Q133="Shear",80,IF(Q133="Weld",80,IF(Q133="Flat Laser",24,IF(Q133="Post Paint",24,IF(Q133="TruPunch",24,IF(Q133="Roller",72,0))))))))))))))))),_xlpm.hS,IF(OR(S133="AXYZ Titans Line",S133="AXYZ"),ROUND(E133/7,1),IF(OR(S133="Clean and Brake",S133="Clean and brake"),72,IF(OR(S133="Fab",S133="Fabrication"),72,IF(S133="Assembly",72,IF(S133="Tube Laser",72,IF(S133="7000 TruMatic",72,IF(S133="TruLaser 3040",72,IF(S133="Extrusion Saw",72,IF(S133="Powder Coat",192,IF(S133="Brake",72,IF(S133="Cidan",80,IF(S133="Shear",80,IF(S133="Weld",80,IF(S133="Flat Laser",24,IF(S133="Post Paint",24,IF(S133="TruPunch",24,IF(S133="Roller",72,0))))))))))))))))),_xlpm.hU,IF(OR(U133="AXYZ Titans Line",U133="AXYZ"),ROUND(E133/7,1),IF(OR(U133="Clean and Brake",U133="Clean and brake"),72,IF(OR(U133="Fab",U133="Fabrication"),72,IF(U133="Assembly",72,IF(U133="Tube Laser",72,IF(U133="7000 TruMatic",72,IF(U133="TruLaser 3040",72,IF(U133="Extrusion Saw",72,IF(U133="Powder Coat",192,IF(U133="Brake",72,IF(U133="Cidan",80,IF(U133="Shear",80,IF(U133="Weld",80,IF(U133="Flat Laser",24,IF(U133="Post Paint",24,IF(U133="TruPunch",24,IF(U133="Roller",72,0))))))))))))))))),_xlpm.hW,IF(OR(W133="AXYZ Titans Line",W133="AXYZ"),ROUND(E133/7,1),IF(OR(W133="Clean and Brake",W133="Clean and brake"),72,IF(OR(W133="Fab",W133="Fabrication"),72,IF(W133="Assembly",72,IF(W133="Tube Laser",72,IF(W133="7000 TruMatic",72,IF(W133="TruLaser 3040",72,IF(W133="Extrusion Saw",72,IF(W133="Powder Coat",192,IF(W133="Brake",72,IF(W133="Cidan",80,IF(W133="Shear",80,IF(W133="Weld",80,IF(W133="Flat Laser",24,IF(W133="Post Paint",24,IF(W133="TruPunch",24,IF(W133="Roller",72,0))))))))))))))))),_xlpm.total,_xlpm.hO+_xlpm.hQ+_xlpm.hS+_xlpm.hU+_xlpm.hW+16,WORKDAY.INTL(I133,-ROUNDUP(_xlpm.total/8,0),"0000001")),"")</f>
        <v>46206</v>
      </c>
      <c r="Q133" s="27" t="str" cm="1">
        <f t="array" ref="Q133">IF(A133="","",IFERROR(TRIM(INDEX(_xlfn.TEXTSPLIT(IFERROR(VLOOKUP(A133,'Production Schedule'!$B:$FU,150,FALSE),""),CHAR(10)),3)),""))</f>
        <v>Fab</v>
      </c>
      <c r="R133" s="28">
        <f t="shared" ref="R133:R196" si="18">IF(AND(Q133&lt;&gt;"",I133&lt;&gt;""),_xlfn.LET(_xlpm.hQ,IF(OR(Q133="AXYZ Titans Line",Q133="AXYZ"),ROUND(E133/7,1),IF(OR(Q133="Clean and Brake",Q133="Clean and brake"),72,IF(OR(Q133="Fab",Q133="Fabrication"),72,IF(Q133="Assembly",72,IF(Q133="Tube Laser",72,IF(Q133="7000 TruMatic",72,IF(Q133="TruLaser 3040",72,IF(Q133="Extrusion Saw",72,IF(Q133="Powder Coat",192,IF(Q133="Brake",72,IF(Q133="Cidan",80,IF(Q133="Shear",80,IF(Q133="Weld",80,IF(Q133="Flat Laser",24,IF(Q133="Post Paint",24,IF(Q133="TruPunch",24,IF(Q133="Roller",72,0))))))))))))))))),_xlpm.hS,IF(OR(S133="AXYZ Titans Line",S133="AXYZ"),ROUND(E133/7,1),IF(OR(S133="Clean and Brake",S133="Clean and brake"),72,IF(OR(S133="Fab",S133="Fabrication"),72,IF(S133="Assembly",72,IF(S133="Tube Laser",72,IF(S133="7000 TruMatic",72,IF(S133="TruLaser 3040",72,IF(S133="Extrusion Saw",72,IF(S133="Powder Coat",192,IF(S133="Brake",72,IF(S133="Cidan",80,IF(S133="Shear",80,IF(S133="Weld",80,IF(S133="Flat Laser",24,IF(S133="Post Paint",24,IF(S133="TruPunch",24,IF(S133="Roller",72,0))))))))))))))))),_xlpm.hU,IF(OR(U133="AXYZ Titans Line",U133="AXYZ"),ROUND(E133/7,1),IF(OR(U133="Clean and Brake",U133="Clean and brake"),72,IF(OR(U133="Fab",U133="Fabrication"),72,IF(U133="Assembly",72,IF(U133="Tube Laser",72,IF(U133="7000 TruMatic",72,IF(U133="TruLaser 3040",72,IF(U133="Extrusion Saw",72,IF(U133="Powder Coat",192,IF(U133="Brake",72,IF(U133="Cidan",80,IF(U133="Shear",80,IF(U133="Weld",80,IF(U133="Flat Laser",24,IF(U133="Post Paint",24,IF(U133="TruPunch",24,IF(U133="Roller",72,0))))))))))))))))),_xlpm.hW,IF(OR(W133="AXYZ Titans Line",W133="AXYZ"),ROUND(E133/7,1),IF(OR(W133="Clean and Brake",W133="Clean and brake"),72,IF(OR(W133="Fab",W133="Fabrication"),72,IF(W133="Assembly",72,IF(W133="Tube Laser",72,IF(W133="7000 TruMatic",72,IF(W133="TruLaser 3040",72,IF(W133="Extrusion Saw",72,IF(W133="Powder Coat",192,IF(W133="Brake",72,IF(W133="Cidan",80,IF(W133="Shear",80,IF(W133="Weld",80,IF(W133="Flat Laser",24,IF(W133="Post Paint",24,IF(W133="TruPunch",24,IF(W133="Roller",72,0))))))))))))))))),_xlpm.total,_xlpm.hQ+_xlpm.hS+_xlpm.hU+_xlpm.hW+16,WORKDAY.INTL(I133,-ROUNDUP(_xlpm.total/8,0),"0000001")),"")</f>
        <v>46217</v>
      </c>
      <c r="S133" s="27" t="str" cm="1">
        <f t="array" ref="S133">IF(A133="","",IFERROR(TRIM(INDEX(_xlfn.TEXTSPLIT(IFERROR(VLOOKUP(A133,'Production Schedule'!$B:$FU,150,FALSE),""),CHAR(10)),4)),""))</f>
        <v/>
      </c>
      <c r="T133" s="28" t="str">
        <f t="shared" ref="T133:T196" si="19">IF(AND(S133&lt;&gt;"",I133&lt;&gt;""),_xlfn.LET(_xlpm.hS,IF(OR(S133="AXYZ Titans Line",S133="AXYZ"),ROUND(E133/7,1),IF(OR(S133="Clean and Brake",S133="Clean and brake"),72,IF(OR(S133="Fab",S133="Fabrication"),72,IF(S133="Assembly",72,IF(S133="Tube Laser",72,IF(S133="7000 TruMatic",72,IF(S133="TruLaser 3040",72,IF(S133="Extrusion Saw",72,IF(S133="Powder Coat",192,IF(S133="Brake",72,IF(S133="Cidan",80,IF(S133="Shear",80,IF(S133="Weld",80,IF(S133="Flat Laser",24,IF(S133="Post Paint",24,IF(S133="TruPunch",24,IF(S133="Roller",72,0))))))))))))))))),_xlpm.hU,IF(OR(U133="AXYZ Titans Line",U133="AXYZ"),ROUND(E133/7,1),IF(OR(U133="Clean and Brake",U133="Clean and brake"),72,IF(OR(U133="Fab",U133="Fabrication"),72,IF(U133="Assembly",72,IF(U133="Tube Laser",72,IF(U133="7000 TruMatic",72,IF(U133="TruLaser 3040",72,IF(U133="Extrusion Saw",72,IF(U133="Powder Coat",192,IF(U133="Brake",72,IF(U133="Cidan",80,IF(U133="Shear",80,IF(U133="Weld",80,IF(U133="Flat Laser",24,IF(U133="Post Paint",24,IF(U133="TruPunch",24,IF(U133="Roller",72,0))))))))))))))))),_xlpm.hW,IF(OR(W133="AXYZ Titans Line",W133="AXYZ"),ROUND(E133/7,1),IF(OR(W133="Clean and Brake",W133="Clean and brake"),72,IF(OR(W133="Fab",W133="Fabrication"),72,IF(W133="Assembly",72,IF(W133="Tube Laser",72,IF(W133="7000 TruMatic",72,IF(W133="TruLaser 3040",72,IF(W133="Extrusion Saw",72,IF(W133="Powder Coat",192,IF(W133="Brake",72,IF(W133="Cidan",80,IF(W133="Shear",80,IF(W133="Weld",80,IF(W133="Flat Laser",24,IF(W133="Post Paint",24,IF(W133="TruPunch",24,IF(W133="Roller",72,0))))))))))))))))),_xlpm.total,_xlpm.hS+_xlpm.hU+_xlpm.hW+16,WORKDAY.INTL(I133,-ROUNDUP(_xlpm.total/8,0),"0000001")),"")</f>
        <v/>
      </c>
      <c r="U133" s="27" t="str" cm="1">
        <f t="array" ref="U133">IF(A133="","",IFERROR(TRIM(INDEX(_xlfn.TEXTSPLIT(IFERROR(VLOOKUP(A133,'Production Schedule'!$B:$FU,150,FALSE),""),CHAR(10)),5)),""))</f>
        <v/>
      </c>
      <c r="V133" s="28" t="str">
        <f t="shared" ref="V133:V196" si="20">IF(AND(U133&lt;&gt;"",I133&lt;&gt;""),_xlfn.LET(_xlpm.hU,IF(OR(U133="AXYZ Titans Line",U133="AXYZ"),ROUND(E133/7,1),IF(OR(U133="Clean and Brake",U133="Clean and brake"),72,IF(OR(U133="Fab",U133="Fabrication"),72,IF(U133="Assembly",72,IF(U133="Tube Laser",72,IF(U133="7000 TruMatic",72,IF(U133="TruLaser 3040",72,IF(U133="Extrusion Saw",72,IF(U133="Powder Coat",192,IF(U133="Brake",72,IF(U133="Cidan",80,IF(U133="Shear",80,IF(U133="Weld",80,IF(U133="Flat Laser",24,IF(U133="Post Paint",24,IF(U133="TruPunch",24,IF(U133="Roller",72,0))))))))))))))))),_xlpm.hW,IF(OR(W133="AXYZ Titans Line",W133="AXYZ"),ROUND(E133/7,1),IF(OR(W133="Clean and Brake",W133="Clean and brake"),72,IF(OR(W133="Fab",W133="Fabrication"),72,IF(W133="Assembly",72,IF(W133="Tube Laser",72,IF(W133="7000 TruMatic",72,IF(W133="TruLaser 3040",72,IF(W133="Extrusion Saw",72,IF(W133="Powder Coat",192,IF(W133="Brake",72,IF(W133="Cidan",80,IF(W133="Shear",80,IF(W133="Weld",80,IF(W133="Flat Laser",24,IF(W133="Post Paint",24,IF(W133="TruPunch",24,IF(W133="Roller",72,0))))))))))))))))),_xlpm.total,_xlpm.hU+_xlpm.hW+16,WORKDAY.INTL(I133,-ROUNDUP(_xlpm.total/8,0),"0000001")),"")</f>
        <v/>
      </c>
      <c r="W133" s="27" t="str" cm="1">
        <f t="array" ref="W133">IF(A133="","",IFERROR(TRIM(INDEX(_xlfn.TEXTSPLIT(IFERROR(VLOOKUP(A133,'Production Schedule'!$B:$FU,150,FALSE),""),CHAR(10)),6)),""))</f>
        <v/>
      </c>
      <c r="X133" s="28" t="str">
        <f t="shared" ref="X133:X196" si="21">IF(AND(W133&lt;&gt;"",I133&lt;&gt;""),_xlfn.LET(_xlpm.hW,IF(OR(W133="AXYZ Titans Line",W133="AXYZ"),ROUND(E133/7,1),IF(OR(W133="Clean and Brake",W133="Clean and brake"),72,IF(OR(W133="Fab",W133="Fabrication"),72,IF(W133="Assembly",72,IF(W133="Tube Laser",72,IF(W133="7000 TruMatic",72,IF(W133="TruLaser 3040",72,IF(W133="Extrusion Saw",72,IF(W133="Powder Coat",192,IF(W133="Brake",72,IF(W133="Cidan",80,IF(W133="Shear",80,IF(W133="Weld",80,IF(W133="Flat Laser",24,IF(W133="Post Paint",24,IF(W133="TruPunch",24,IF(W133="Roller",72,0))))))))))))))))),_xlpm.total,_xlpm.hW+16,WORKDAY.INTL(I133,-ROUNDUP(_xlpm.total/8,0),"0000001")),"")</f>
        <v/>
      </c>
      <c r="Y133" s="30">
        <f t="shared" ref="Y133:Y196" si="22">IF(I133="","",WORKDAY.INTL(I133,-2,"0000001"))</f>
        <v>46227</v>
      </c>
      <c r="Z133" s="31" t="str">
        <f>IF(A133="","",IF(IFERROR(VLOOKUP(A133,Notes!A:B,2,FALSE),"")=0,"",VLOOKUP(A133,Notes!A:B,2,FALSE)))</f>
        <v>HOAR*04/16/2026…LO</v>
      </c>
      <c r="AA133" s="18">
        <f t="shared" ref="AA133:AA196" si="23">IF(OR(L133="Ready to Ship",L133="RTS Titans",L133="Shipped",L133="Shipped To Painter",L133="Partially Shipped",L133="QC",L133="Crating"),2,1)</f>
        <v>1</v>
      </c>
    </row>
    <row r="134" spans="1:27" x14ac:dyDescent="0.25">
      <c r="A134" s="20" t="str">
        <v>25044-FS09</v>
      </c>
      <c r="B134" s="20" t="str">
        <f>IF(A134="","",IFERROR(VLOOKUP(A134,'Production Schedule'!$B:$FU,3,FALSE),""))</f>
        <v>MALETA Firing Range</v>
      </c>
      <c r="C134" s="20" t="str">
        <f>IF(A134="","",IFERROR(VLOOKUP(A134,'Production Schedule'!$B:$FU,5,FALSE),""))</f>
        <v>Cole Norona</v>
      </c>
      <c r="D134" s="20">
        <f>IF(A134="","",IFERROR(VLOOKUP(A134,'Production Schedule'!$B:$FU,7,FALSE),""))</f>
        <v>400</v>
      </c>
      <c r="E134" s="20">
        <f>IF(A134="","",IFERROR(VLOOKUP(A134,'Production Schedule'!$B:$FU,17,FALSE),""))</f>
        <v>86</v>
      </c>
      <c r="F134" s="20">
        <f>IF(A134="","",IFERROR(VLOOKUP(A134,'Production Schedule'!$B:$FU,18,FALSE),""))</f>
        <v>0</v>
      </c>
      <c r="G134" s="20" t="str">
        <f>IF(A134="","",IFERROR(VLOOKUP(A134,'Production Schedule'!$B:$FU,25,FALSE),""))</f>
        <v>FR ACM</v>
      </c>
      <c r="H134" s="21">
        <f>IF(A134="","",IFERROR(VLOOKUP(A134,'Production Schedule'!$B:$FU,47,FALSE),""))</f>
        <v>46111.64793684028</v>
      </c>
      <c r="I134" s="21">
        <f>IF(A134="","",IFERROR(VLOOKUP(A134,'Production Schedule'!$B:$FU,54,FALSE),""))</f>
        <v>46232</v>
      </c>
      <c r="J134" s="32">
        <f>IF(A134="","",IFERROR(VLOOKUP(A134,'Production Schedule'!$B:$FU,135,FALSE),""))</f>
        <v>145</v>
      </c>
      <c r="K134" s="20" t="str">
        <f>IF(A134="","",IFERROR(VLOOKUP(A134,'Production Schedule'!$B:$FU,59,FALSE),""))</f>
        <v>YES</v>
      </c>
      <c r="L134" s="39" t="str">
        <f>IF(A134="","",IFERROR(VLOOKUP(A134,'Production Schedule'!$B:$FU,80,FALSE),""))</f>
        <v>LO</v>
      </c>
      <c r="M134" s="33" t="str" cm="1">
        <f t="array" ref="M134">IF(A134="","",IFERROR(TRIM(INDEX(_xlfn.TEXTSPLIT(IFERROR(VLOOKUP(A134,'Production Schedule'!$B:$FU,150,FALSE),""),CHAR(10)),1)),""))</f>
        <v>AXYZ</v>
      </c>
      <c r="N134" s="34">
        <f t="shared" si="16"/>
        <v>46206</v>
      </c>
      <c r="O134" s="33" t="str" cm="1">
        <f t="array" ref="O134">IF(A134="","",IFERROR(TRIM(INDEX(_xlfn.TEXTSPLIT(IFERROR(VLOOKUP(A134,'Production Schedule'!$B:$FU,150,FALSE),""),CHAR(10)),2)),""))</f>
        <v>Clean and Brake</v>
      </c>
      <c r="P134" s="34">
        <f t="shared" si="17"/>
        <v>46209</v>
      </c>
      <c r="Q134" s="33" t="str" cm="1">
        <f t="array" ref="Q134">IF(A134="","",IFERROR(TRIM(INDEX(_xlfn.TEXTSPLIT(IFERROR(VLOOKUP(A134,'Production Schedule'!$B:$FU,150,FALSE),""),CHAR(10)),3)),""))</f>
        <v>Fab</v>
      </c>
      <c r="R134" s="34">
        <f t="shared" si="18"/>
        <v>46219</v>
      </c>
      <c r="S134" s="33" t="str" cm="1">
        <f t="array" ref="S134">IF(A134="","",IFERROR(TRIM(INDEX(_xlfn.TEXTSPLIT(IFERROR(VLOOKUP(A134,'Production Schedule'!$B:$FU,150,FALSE),""),CHAR(10)),4)),""))</f>
        <v/>
      </c>
      <c r="T134" s="34" t="str">
        <f t="shared" si="19"/>
        <v/>
      </c>
      <c r="U134" s="33" t="str" cm="1">
        <f t="array" ref="U134">IF(A134="","",IFERROR(TRIM(INDEX(_xlfn.TEXTSPLIT(IFERROR(VLOOKUP(A134,'Production Schedule'!$B:$FU,150,FALSE),""),CHAR(10)),5)),""))</f>
        <v/>
      </c>
      <c r="V134" s="34" t="str">
        <f t="shared" si="20"/>
        <v/>
      </c>
      <c r="W134" s="33" t="str" cm="1">
        <f t="array" ref="W134">IF(A134="","",IFERROR(TRIM(INDEX(_xlfn.TEXTSPLIT(IFERROR(VLOOKUP(A134,'Production Schedule'!$B:$FU,150,FALSE),""),CHAR(10)),6)),""))</f>
        <v/>
      </c>
      <c r="X134" s="34" t="str">
        <f t="shared" si="21"/>
        <v/>
      </c>
      <c r="Y134" s="36">
        <f t="shared" si="22"/>
        <v>46230</v>
      </c>
      <c r="Z134" s="37" t="str">
        <f>IF(A134="","",IF(IFERROR(VLOOKUP(A134,Notes!A:B,2,FALSE),"")=0,"",VLOOKUP(A134,Notes!A:B,2,FALSE)))</f>
        <v>04/16/2026…LO</v>
      </c>
      <c r="AA134" s="20">
        <f t="shared" si="23"/>
        <v>1</v>
      </c>
    </row>
    <row r="135" spans="1:27" x14ac:dyDescent="0.25">
      <c r="A135" s="18" t="str">
        <v>25044-FS01.2</v>
      </c>
      <c r="B135" s="18" t="str">
        <f>IF(A135="","",IFERROR(VLOOKUP(A135,'Production Schedule'!$B:$FU,3,FALSE),""))</f>
        <v>MALETA Firing Range</v>
      </c>
      <c r="C135" s="18" t="str">
        <f>IF(A135="","",IFERROR(VLOOKUP(A135,'Production Schedule'!$B:$FU,5,FALSE),""))</f>
        <v>Cole Norona</v>
      </c>
      <c r="D135" s="18">
        <f>IF(A135="","",IFERROR(VLOOKUP(A135,'Production Schedule'!$B:$FU,7,FALSE),""))</f>
        <v>400</v>
      </c>
      <c r="E135" s="18">
        <f>IF(A135="","",IFERROR(VLOOKUP(A135,'Production Schedule'!$B:$FU,17,FALSE),""))</f>
        <v>193</v>
      </c>
      <c r="F135" s="18">
        <f>IF(A135="","",IFERROR(VLOOKUP(A135,'Production Schedule'!$B:$FU,18,FALSE),""))</f>
        <v>0</v>
      </c>
      <c r="G135" s="18" t="str">
        <f>IF(A135="","",IFERROR(VLOOKUP(A135,'Production Schedule'!$B:$FU,25,FALSE),""))</f>
        <v>FR ACM</v>
      </c>
      <c r="H135" s="19">
        <f>IF(A135="","",IFERROR(VLOOKUP(A135,'Production Schedule'!$B:$FU,47,FALSE),""))</f>
        <v>46111.667878379631</v>
      </c>
      <c r="I135" s="19">
        <f>IF(A135="","",IFERROR(VLOOKUP(A135,'Production Schedule'!$B:$FU,54,FALSE),""))</f>
        <v>46232</v>
      </c>
      <c r="J135" s="26">
        <f>IF(A135="","",IFERROR(VLOOKUP(A135,'Production Schedule'!$B:$FU,135,FALSE),""))</f>
        <v>325</v>
      </c>
      <c r="K135" s="18" t="str">
        <f>IF(A135="","",IFERROR(VLOOKUP(A135,'Production Schedule'!$B:$FU,59,FALSE),""))</f>
        <v>YES</v>
      </c>
      <c r="L135" s="38" t="str">
        <f>IF(A135="","",IFERROR(VLOOKUP(A135,'Production Schedule'!$B:$FU,80,FALSE),""))</f>
        <v>LO</v>
      </c>
      <c r="M135" s="27" t="str" cm="1">
        <f t="array" ref="M135">IF(A135="","",IFERROR(TRIM(INDEX(_xlfn.TEXTSPLIT(IFERROR(VLOOKUP(A135,'Production Schedule'!$B:$FU,150,FALSE),""),CHAR(10)),1)),""))</f>
        <v>AXYZ</v>
      </c>
      <c r="N135" s="28">
        <f t="shared" si="16"/>
        <v>46204</v>
      </c>
      <c r="O135" s="27" t="str" cm="1">
        <f t="array" ref="O135">IF(A135="","",IFERROR(TRIM(INDEX(_xlfn.TEXTSPLIT(IFERROR(VLOOKUP(A135,'Production Schedule'!$B:$FU,150,FALSE),""),CHAR(10)),2)),""))</f>
        <v>Clean and Brake</v>
      </c>
      <c r="P135" s="28">
        <f t="shared" si="17"/>
        <v>46209</v>
      </c>
      <c r="Q135" s="27" t="str" cm="1">
        <f t="array" ref="Q135">IF(A135="","",IFERROR(TRIM(INDEX(_xlfn.TEXTSPLIT(IFERROR(VLOOKUP(A135,'Production Schedule'!$B:$FU,150,FALSE),""),CHAR(10)),3)),""))</f>
        <v>Fab</v>
      </c>
      <c r="R135" s="28">
        <f t="shared" si="18"/>
        <v>46219</v>
      </c>
      <c r="S135" s="27" t="str" cm="1">
        <f t="array" ref="S135">IF(A135="","",IFERROR(TRIM(INDEX(_xlfn.TEXTSPLIT(IFERROR(VLOOKUP(A135,'Production Schedule'!$B:$FU,150,FALSE),""),CHAR(10)),4)),""))</f>
        <v/>
      </c>
      <c r="T135" s="28" t="str">
        <f t="shared" si="19"/>
        <v/>
      </c>
      <c r="U135" s="27" t="str" cm="1">
        <f t="array" ref="U135">IF(A135="","",IFERROR(TRIM(INDEX(_xlfn.TEXTSPLIT(IFERROR(VLOOKUP(A135,'Production Schedule'!$B:$FU,150,FALSE),""),CHAR(10)),5)),""))</f>
        <v/>
      </c>
      <c r="V135" s="28" t="str">
        <f t="shared" si="20"/>
        <v/>
      </c>
      <c r="W135" s="27" t="str" cm="1">
        <f t="array" ref="W135">IF(A135="","",IFERROR(TRIM(INDEX(_xlfn.TEXTSPLIT(IFERROR(VLOOKUP(A135,'Production Schedule'!$B:$FU,150,FALSE),""),CHAR(10)),6)),""))</f>
        <v/>
      </c>
      <c r="X135" s="28" t="str">
        <f t="shared" si="21"/>
        <v/>
      </c>
      <c r="Y135" s="30">
        <f t="shared" si="22"/>
        <v>46230</v>
      </c>
      <c r="Z135" s="31" t="str">
        <f>IF(A135="","",IF(IFERROR(VLOOKUP(A135,Notes!A:B,2,FALSE),"")=0,"",VLOOKUP(A135,Notes!A:B,2,FALSE)))</f>
        <v>04/16/2026…LO</v>
      </c>
      <c r="AA135" s="18">
        <f t="shared" si="23"/>
        <v>1</v>
      </c>
    </row>
    <row r="136" spans="1:27" x14ac:dyDescent="0.25">
      <c r="A136" s="20" t="str">
        <v>25006-FS13</v>
      </c>
      <c r="B136" s="20" t="str">
        <f>IF(A136="","",IFERROR(VLOOKUP(A136,'Production Schedule'!$B:$FU,3,FALSE),""))</f>
        <v>MALETA Housing and Dining</v>
      </c>
      <c r="C136" s="20" t="str">
        <f>IF(A136="","",IFERROR(VLOOKUP(A136,'Production Schedule'!$B:$FU,5,FALSE),""))</f>
        <v>Cole Norona</v>
      </c>
      <c r="D136" s="20">
        <f>IF(A136="","",IFERROR(VLOOKUP(A136,'Production Schedule'!$B:$FU,7,FALSE),""))</f>
        <v>400</v>
      </c>
      <c r="E136" s="20">
        <f>IF(A136="","",IFERROR(VLOOKUP(A136,'Production Schedule'!$B:$FU,17,FALSE),""))</f>
        <v>28</v>
      </c>
      <c r="F136" s="20">
        <f>IF(A136="","",IFERROR(VLOOKUP(A136,'Production Schedule'!$B:$FU,18,FALSE),""))</f>
        <v>0</v>
      </c>
      <c r="G136" s="20" t="str">
        <f>IF(A136="","",IFERROR(VLOOKUP(A136,'Production Schedule'!$B:$FU,25,FALSE),""))</f>
        <v>FR ACM</v>
      </c>
      <c r="H136" s="21">
        <f>IF(A136="","",IFERROR(VLOOKUP(A136,'Production Schedule'!$B:$FU,47,FALSE),""))</f>
        <v>46125.437300659723</v>
      </c>
      <c r="I136" s="21">
        <f>IF(A136="","",IFERROR(VLOOKUP(A136,'Production Schedule'!$B:$FU,54,FALSE),""))</f>
        <v>46237</v>
      </c>
      <c r="J136" s="32">
        <f>IF(A136="","",IFERROR(VLOOKUP(A136,'Production Schedule'!$B:$FU,135,FALSE),""))</f>
        <v>45</v>
      </c>
      <c r="K136" s="20" t="str">
        <f>IF(A136="","",IFERROR(VLOOKUP(A136,'Production Schedule'!$B:$FU,59,FALSE),""))</f>
        <v>YES</v>
      </c>
      <c r="L136" s="39" t="str">
        <f>IF(A136="","",IFERROR(VLOOKUP(A136,'Production Schedule'!$B:$FU,80,FALSE),""))</f>
        <v>LO</v>
      </c>
      <c r="M136" s="33" t="str" cm="1">
        <f t="array" ref="M136">IF(A136="","",IFERROR(TRIM(INDEX(_xlfn.TEXTSPLIT(IFERROR(VLOOKUP(A136,'Production Schedule'!$B:$FU,150,FALSE),""),CHAR(10)),1)),""))</f>
        <v>AXYZ</v>
      </c>
      <c r="N136" s="34">
        <f t="shared" si="16"/>
        <v>46212</v>
      </c>
      <c r="O136" s="33" t="str" cm="1">
        <f t="array" ref="O136">IF(A136="","",IFERROR(TRIM(INDEX(_xlfn.TEXTSPLIT(IFERROR(VLOOKUP(A136,'Production Schedule'!$B:$FU,150,FALSE),""),CHAR(10)),2)),""))</f>
        <v>Clean and Brake</v>
      </c>
      <c r="P136" s="34">
        <f t="shared" si="17"/>
        <v>46213</v>
      </c>
      <c r="Q136" s="33" t="str" cm="1">
        <f t="array" ref="Q136">IF(A136="","",IFERROR(TRIM(INDEX(_xlfn.TEXTSPLIT(IFERROR(VLOOKUP(A136,'Production Schedule'!$B:$FU,150,FALSE),""),CHAR(10)),3)),""))</f>
        <v>Fab</v>
      </c>
      <c r="R136" s="34">
        <f t="shared" si="18"/>
        <v>46224</v>
      </c>
      <c r="S136" s="33" t="str" cm="1">
        <f t="array" ref="S136">IF(A136="","",IFERROR(TRIM(INDEX(_xlfn.TEXTSPLIT(IFERROR(VLOOKUP(A136,'Production Schedule'!$B:$FU,150,FALSE),""),CHAR(10)),4)),""))</f>
        <v/>
      </c>
      <c r="T136" s="34" t="str">
        <f t="shared" si="19"/>
        <v/>
      </c>
      <c r="U136" s="33" t="str" cm="1">
        <f t="array" ref="U136">IF(A136="","",IFERROR(TRIM(INDEX(_xlfn.TEXTSPLIT(IFERROR(VLOOKUP(A136,'Production Schedule'!$B:$FU,150,FALSE),""),CHAR(10)),5)),""))</f>
        <v/>
      </c>
      <c r="V136" s="34" t="str">
        <f t="shared" si="20"/>
        <v/>
      </c>
      <c r="W136" s="33" t="str" cm="1">
        <f t="array" ref="W136">IF(A136="","",IFERROR(TRIM(INDEX(_xlfn.TEXTSPLIT(IFERROR(VLOOKUP(A136,'Production Schedule'!$B:$FU,150,FALSE),""),CHAR(10)),6)),""))</f>
        <v/>
      </c>
      <c r="X136" s="34" t="str">
        <f t="shared" si="21"/>
        <v/>
      </c>
      <c r="Y136" s="36">
        <f t="shared" si="22"/>
        <v>46234</v>
      </c>
      <c r="Z136" s="37" t="str">
        <f>IF(A136="","",IF(IFERROR(VLOOKUP(A136,Notes!A:B,2,FALSE),"")=0,"",VLOOKUP(A136,Notes!A:B,2,FALSE)))</f>
        <v>HOAR*04/16/2026…LO</v>
      </c>
      <c r="AA136" s="20">
        <f t="shared" si="23"/>
        <v>1</v>
      </c>
    </row>
    <row r="137" spans="1:27" x14ac:dyDescent="0.25">
      <c r="A137" s="18" t="str">
        <v>25044-FS10</v>
      </c>
      <c r="B137" s="18" t="str">
        <f>IF(A137="","",IFERROR(VLOOKUP(A137,'Production Schedule'!$B:$FU,3,FALSE),""))</f>
        <v>MALETA Firing Range</v>
      </c>
      <c r="C137" s="18" t="str">
        <f>IF(A137="","",IFERROR(VLOOKUP(A137,'Production Schedule'!$B:$FU,5,FALSE),""))</f>
        <v>Cole Norona</v>
      </c>
      <c r="D137" s="18">
        <f>IF(A137="","",IFERROR(VLOOKUP(A137,'Production Schedule'!$B:$FU,7,FALSE),""))</f>
        <v>400</v>
      </c>
      <c r="E137" s="18">
        <f>IF(A137="","",IFERROR(VLOOKUP(A137,'Production Schedule'!$B:$FU,17,FALSE),""))</f>
        <v>185</v>
      </c>
      <c r="F137" s="18">
        <f>IF(A137="","",IFERROR(VLOOKUP(A137,'Production Schedule'!$B:$FU,18,FALSE),""))</f>
        <v>0</v>
      </c>
      <c r="G137" s="18" t="str">
        <f>IF(A137="","",IFERROR(VLOOKUP(A137,'Production Schedule'!$B:$FU,25,FALSE),""))</f>
        <v>FR ACM</v>
      </c>
      <c r="H137" s="19">
        <f>IF(A137="","",IFERROR(VLOOKUP(A137,'Production Schedule'!$B:$FU,47,FALSE),""))</f>
        <v>46111.653151921295</v>
      </c>
      <c r="I137" s="19">
        <f>IF(A137="","",IFERROR(VLOOKUP(A137,'Production Schedule'!$B:$FU,54,FALSE),""))</f>
        <v>46241</v>
      </c>
      <c r="J137" s="26">
        <f>IF(A137="","",IFERROR(VLOOKUP(A137,'Production Schedule'!$B:$FU,135,FALSE),""))</f>
        <v>300</v>
      </c>
      <c r="K137" s="18" t="str">
        <f>IF(A137="","",IFERROR(VLOOKUP(A137,'Production Schedule'!$B:$FU,59,FALSE),""))</f>
        <v>YES</v>
      </c>
      <c r="L137" s="38" t="str">
        <f>IF(A137="","",IFERROR(VLOOKUP(A137,'Production Schedule'!$B:$FU,80,FALSE),""))</f>
        <v>LO</v>
      </c>
      <c r="M137" s="27" t="str" cm="1">
        <f t="array" ref="M137">IF(A137="","",IFERROR(TRIM(INDEX(_xlfn.TEXTSPLIT(IFERROR(VLOOKUP(A137,'Production Schedule'!$B:$FU,150,FALSE),""),CHAR(10)),1)),""))</f>
        <v>AXYZ</v>
      </c>
      <c r="N137" s="28">
        <f t="shared" si="16"/>
        <v>46213</v>
      </c>
      <c r="O137" s="27" t="str" cm="1">
        <f t="array" ref="O137">IF(A137="","",IFERROR(TRIM(INDEX(_xlfn.TEXTSPLIT(IFERROR(VLOOKUP(A137,'Production Schedule'!$B:$FU,150,FALSE),""),CHAR(10)),2)),""))</f>
        <v>Clean and Brake</v>
      </c>
      <c r="P137" s="28">
        <f t="shared" si="17"/>
        <v>46218</v>
      </c>
      <c r="Q137" s="27" t="str" cm="1">
        <f t="array" ref="Q137">IF(A137="","",IFERROR(TRIM(INDEX(_xlfn.TEXTSPLIT(IFERROR(VLOOKUP(A137,'Production Schedule'!$B:$FU,150,FALSE),""),CHAR(10)),3)),""))</f>
        <v>Fab</v>
      </c>
      <c r="R137" s="28">
        <f t="shared" si="18"/>
        <v>46228</v>
      </c>
      <c r="S137" s="27" t="str" cm="1">
        <f t="array" ref="S137">IF(A137="","",IFERROR(TRIM(INDEX(_xlfn.TEXTSPLIT(IFERROR(VLOOKUP(A137,'Production Schedule'!$B:$FU,150,FALSE),""),CHAR(10)),4)),""))</f>
        <v/>
      </c>
      <c r="T137" s="28" t="str">
        <f t="shared" si="19"/>
        <v/>
      </c>
      <c r="U137" s="27" t="str" cm="1">
        <f t="array" ref="U137">IF(A137="","",IFERROR(TRIM(INDEX(_xlfn.TEXTSPLIT(IFERROR(VLOOKUP(A137,'Production Schedule'!$B:$FU,150,FALSE),""),CHAR(10)),5)),""))</f>
        <v/>
      </c>
      <c r="V137" s="28" t="str">
        <f t="shared" si="20"/>
        <v/>
      </c>
      <c r="W137" s="27" t="str" cm="1">
        <f t="array" ref="W137">IF(A137="","",IFERROR(TRIM(INDEX(_xlfn.TEXTSPLIT(IFERROR(VLOOKUP(A137,'Production Schedule'!$B:$FU,150,FALSE),""),CHAR(10)),6)),""))</f>
        <v/>
      </c>
      <c r="X137" s="28" t="str">
        <f t="shared" si="21"/>
        <v/>
      </c>
      <c r="Y137" s="30">
        <f t="shared" si="22"/>
        <v>46239</v>
      </c>
      <c r="Z137" s="31" t="str">
        <f>IF(A137="","",IF(IFERROR(VLOOKUP(A137,Notes!A:B,2,FALSE),"")=0,"",VLOOKUP(A137,Notes!A:B,2,FALSE)))</f>
        <v>04/16/2026…LO</v>
      </c>
      <c r="AA137" s="18">
        <f t="shared" si="23"/>
        <v>1</v>
      </c>
    </row>
    <row r="138" spans="1:27" x14ac:dyDescent="0.25">
      <c r="A138" s="20" t="str">
        <v>25044-FS11</v>
      </c>
      <c r="B138" s="20" t="str">
        <f>IF(A138="","",IFERROR(VLOOKUP(A138,'Production Schedule'!$B:$FU,3,FALSE),""))</f>
        <v>MALETA Firing Range</v>
      </c>
      <c r="C138" s="20" t="str">
        <f>IF(A138="","",IFERROR(VLOOKUP(A138,'Production Schedule'!$B:$FU,5,FALSE),""))</f>
        <v>Cole Norona</v>
      </c>
      <c r="D138" s="20">
        <f>IF(A138="","",IFERROR(VLOOKUP(A138,'Production Schedule'!$B:$FU,7,FALSE),""))</f>
        <v>400</v>
      </c>
      <c r="E138" s="20">
        <f>IF(A138="","",IFERROR(VLOOKUP(A138,'Production Schedule'!$B:$FU,17,FALSE),""))</f>
        <v>185</v>
      </c>
      <c r="F138" s="20">
        <f>IF(A138="","",IFERROR(VLOOKUP(A138,'Production Schedule'!$B:$FU,18,FALSE),""))</f>
        <v>0</v>
      </c>
      <c r="G138" s="20" t="str">
        <f>IF(A138="","",IFERROR(VLOOKUP(A138,'Production Schedule'!$B:$FU,25,FALSE),""))</f>
        <v>FR ACM</v>
      </c>
      <c r="H138" s="21">
        <f>IF(A138="","",IFERROR(VLOOKUP(A138,'Production Schedule'!$B:$FU,47,FALSE),""))</f>
        <v>46111.657735752313</v>
      </c>
      <c r="I138" s="21">
        <f>IF(A138="","",IFERROR(VLOOKUP(A138,'Production Schedule'!$B:$FU,54,FALSE),""))</f>
        <v>46251</v>
      </c>
      <c r="J138" s="32">
        <f>IF(A138="","",IFERROR(VLOOKUP(A138,'Production Schedule'!$B:$FU,135,FALSE),""))</f>
        <v>300</v>
      </c>
      <c r="K138" s="20" t="str">
        <f>IF(A138="","",IFERROR(VLOOKUP(A138,'Production Schedule'!$B:$FU,59,FALSE),""))</f>
        <v>YES</v>
      </c>
      <c r="L138" s="39" t="str">
        <f>IF(A138="","",IFERROR(VLOOKUP(A138,'Production Schedule'!$B:$FU,80,FALSE),""))</f>
        <v>LO</v>
      </c>
      <c r="M138" s="33" t="str" cm="1">
        <f t="array" ref="M138">IF(A138="","",IFERROR(TRIM(INDEX(_xlfn.TEXTSPLIT(IFERROR(VLOOKUP(A138,'Production Schedule'!$B:$FU,150,FALSE),""),CHAR(10)),1)),""))</f>
        <v>AXYZ</v>
      </c>
      <c r="N138" s="34">
        <f t="shared" si="16"/>
        <v>46223</v>
      </c>
      <c r="O138" s="33" t="str" cm="1">
        <f t="array" ref="O138">IF(A138="","",IFERROR(TRIM(INDEX(_xlfn.TEXTSPLIT(IFERROR(VLOOKUP(A138,'Production Schedule'!$B:$FU,150,FALSE),""),CHAR(10)),2)),""))</f>
        <v>Clean and Brake</v>
      </c>
      <c r="P138" s="34">
        <f t="shared" si="17"/>
        <v>46227</v>
      </c>
      <c r="Q138" s="33" t="str" cm="1">
        <f t="array" ref="Q138">IF(A138="","",IFERROR(TRIM(INDEX(_xlfn.TEXTSPLIT(IFERROR(VLOOKUP(A138,'Production Schedule'!$B:$FU,150,FALSE),""),CHAR(10)),3)),""))</f>
        <v>Fab</v>
      </c>
      <c r="R138" s="34">
        <f t="shared" si="18"/>
        <v>46238</v>
      </c>
      <c r="S138" s="33" t="str" cm="1">
        <f t="array" ref="S138">IF(A138="","",IFERROR(TRIM(INDEX(_xlfn.TEXTSPLIT(IFERROR(VLOOKUP(A138,'Production Schedule'!$B:$FU,150,FALSE),""),CHAR(10)),4)),""))</f>
        <v/>
      </c>
      <c r="T138" s="34" t="str">
        <f t="shared" si="19"/>
        <v/>
      </c>
      <c r="U138" s="33" t="str" cm="1">
        <f t="array" ref="U138">IF(A138="","",IFERROR(TRIM(INDEX(_xlfn.TEXTSPLIT(IFERROR(VLOOKUP(A138,'Production Schedule'!$B:$FU,150,FALSE),""),CHAR(10)),5)),""))</f>
        <v/>
      </c>
      <c r="V138" s="34" t="str">
        <f t="shared" si="20"/>
        <v/>
      </c>
      <c r="W138" s="33" t="str" cm="1">
        <f t="array" ref="W138">IF(A138="","",IFERROR(TRIM(INDEX(_xlfn.TEXTSPLIT(IFERROR(VLOOKUP(A138,'Production Schedule'!$B:$FU,150,FALSE),""),CHAR(10)),6)),""))</f>
        <v/>
      </c>
      <c r="X138" s="34" t="str">
        <f t="shared" si="21"/>
        <v/>
      </c>
      <c r="Y138" s="36">
        <f t="shared" si="22"/>
        <v>46248</v>
      </c>
      <c r="Z138" s="37" t="str">
        <f>IF(A138="","",IF(IFERROR(VLOOKUP(A138,Notes!A:B,2,FALSE),"")=0,"",VLOOKUP(A138,Notes!A:B,2,FALSE)))</f>
        <v>04/16/2026…LO</v>
      </c>
      <c r="AA138" s="20">
        <f t="shared" si="23"/>
        <v>1</v>
      </c>
    </row>
    <row r="139" spans="1:27" x14ac:dyDescent="0.25">
      <c r="A139" s="18" t="str">
        <v>25075-RP01</v>
      </c>
      <c r="B139" s="18" t="str">
        <f>IF(A139="","",IFERROR(VLOOKUP(A139,'Production Schedule'!$B:$FU,3,FALSE),""))</f>
        <v>St Thomas West Canopy Replace</v>
      </c>
      <c r="C139" s="18" t="str">
        <f>IF(A139="","",IFERROR(VLOOKUP(A139,'Production Schedule'!$B:$FU,5,FALSE),""))</f>
        <v>Chris Buttrey</v>
      </c>
      <c r="D139" s="18">
        <f>IF(A139="","",IFERROR(VLOOKUP(A139,'Production Schedule'!$B:$FU,7,FALSE),""))</f>
        <v>0</v>
      </c>
      <c r="E139" s="18">
        <f>IF(A139="","",IFERROR(VLOOKUP(A139,'Production Schedule'!$B:$FU,17,FALSE),""))</f>
        <v>2</v>
      </c>
      <c r="F139" s="18">
        <f>IF(A139="","",IFERROR(VLOOKUP(A139,'Production Schedule'!$B:$FU,18,FALSE),""))</f>
        <v>6</v>
      </c>
      <c r="G139" s="18">
        <f>IF(A139="","",IFERROR(VLOOKUP(A139,'Production Schedule'!$B:$FU,25,FALSE),""))</f>
        <v>0</v>
      </c>
      <c r="H139" s="19">
        <f>IF(A139="","",IFERROR(VLOOKUP(A139,'Production Schedule'!$B:$FU,47,FALSE),""))</f>
        <v>46128.552160023151</v>
      </c>
      <c r="I139" s="19">
        <f>IF(A139="","",IFERROR(VLOOKUP(A139,'Production Schedule'!$B:$FU,54,FALSE),""))</f>
        <v>0</v>
      </c>
      <c r="J139" s="26">
        <f>IF(A139="","",IFERROR(VLOOKUP(A139,'Production Schedule'!$B:$FU,135,FALSE),""))</f>
        <v>0</v>
      </c>
      <c r="K139" s="18">
        <f>IF(A139="","",IFERROR(VLOOKUP(A139,'Production Schedule'!$B:$FU,59,FALSE),""))</f>
        <v>0</v>
      </c>
      <c r="L139" s="38" t="str">
        <f>IF(A139="","",IFERROR(VLOOKUP(A139,'Production Schedule'!$B:$FU,80,FALSE),""))</f>
        <v>CNC Programming</v>
      </c>
      <c r="M139" s="27" t="str" cm="1">
        <f t="array" ref="M139">IF(A139="","",IFERROR(TRIM(INDEX(_xlfn.TEXTSPLIT(IFERROR(VLOOKUP(A139,'Production Schedule'!$B:$FU,150,FALSE),""),CHAR(10)),1)),""))</f>
        <v>AXYZ 34</v>
      </c>
      <c r="N139" s="28" t="e">
        <f t="shared" si="16"/>
        <v>#NUM!</v>
      </c>
      <c r="O139" s="27" t="str" cm="1">
        <f t="array" ref="O139">IF(A139="","",IFERROR(TRIM(INDEX(_xlfn.TEXTSPLIT(IFERROR(VLOOKUP(A139,'Production Schedule'!$B:$FU,150,FALSE),""),CHAR(10)),2)),""))</f>
        <v>Clean and Brake</v>
      </c>
      <c r="P139" s="28" t="e">
        <f t="shared" si="17"/>
        <v>#NUM!</v>
      </c>
      <c r="Q139" s="27" t="str" cm="1">
        <f t="array" ref="Q139">IF(A139="","",IFERROR(TRIM(INDEX(_xlfn.TEXTSPLIT(IFERROR(VLOOKUP(A139,'Production Schedule'!$B:$FU,150,FALSE),""),CHAR(10)),3)),""))</f>
        <v>Fab</v>
      </c>
      <c r="R139" s="28" t="e">
        <f t="shared" si="18"/>
        <v>#NUM!</v>
      </c>
      <c r="S139" s="27" t="str" cm="1">
        <f t="array" ref="S139">IF(A139="","",IFERROR(TRIM(INDEX(_xlfn.TEXTSPLIT(IFERROR(VLOOKUP(A139,'Production Schedule'!$B:$FU,150,FALSE),""),CHAR(10)),4)),""))</f>
        <v/>
      </c>
      <c r="T139" s="28" t="str">
        <f t="shared" si="19"/>
        <v/>
      </c>
      <c r="U139" s="27" t="str" cm="1">
        <f t="array" ref="U139">IF(A139="","",IFERROR(TRIM(INDEX(_xlfn.TEXTSPLIT(IFERROR(VLOOKUP(A139,'Production Schedule'!$B:$FU,150,FALSE),""),CHAR(10)),5)),""))</f>
        <v/>
      </c>
      <c r="V139" s="28" t="str">
        <f t="shared" si="20"/>
        <v/>
      </c>
      <c r="W139" s="27" t="str" cm="1">
        <f t="array" ref="W139">IF(A139="","",IFERROR(TRIM(INDEX(_xlfn.TEXTSPLIT(IFERROR(VLOOKUP(A139,'Production Schedule'!$B:$FU,150,FALSE),""),CHAR(10)),6)),""))</f>
        <v/>
      </c>
      <c r="X139" s="28" t="str">
        <f t="shared" si="21"/>
        <v/>
      </c>
      <c r="Y139" s="30" t="e">
        <f t="shared" si="22"/>
        <v>#NUM!</v>
      </c>
      <c r="Z139" s="31" t="str">
        <f>IF(A139="","",IF(IFERROR(VLOOKUP(A139,Notes!A:B,2,FALSE),"")=0,"",VLOOKUP(A139,Notes!A:B,2,FALSE)))</f>
        <v>04/16/2026…</v>
      </c>
      <c r="AA139" s="18">
        <f t="shared" si="23"/>
        <v>1</v>
      </c>
    </row>
    <row r="140" spans="1:27" x14ac:dyDescent="0.25">
      <c r="A140" s="20" t="str">
        <v>24051-RP58</v>
      </c>
      <c r="B140" s="20" t="str">
        <f>IF(A140="","",IFERROR(VLOOKUP(A140,'Production Schedule'!$B:$FU,3,FALSE),""))</f>
        <v>TN Titans Stadium</v>
      </c>
      <c r="C140" s="20" t="str">
        <f>IF(A140="","",IFERROR(VLOOKUP(A140,'Production Schedule'!$B:$FU,5,FALSE),""))</f>
        <v>Marc Ribar</v>
      </c>
      <c r="D140" s="20">
        <f>IF(A140="","",IFERROR(VLOOKUP(A140,'Production Schedule'!$B:$FU,7,FALSE),""))</f>
        <v>0</v>
      </c>
      <c r="E140" s="20">
        <f>IF(A140="","",IFERROR(VLOOKUP(A140,'Production Schedule'!$B:$FU,17,FALSE),""))</f>
        <v>1</v>
      </c>
      <c r="F140" s="20">
        <f>IF(A140="","",IFERROR(VLOOKUP(A140,'Production Schedule'!$B:$FU,18,FALSE),""))</f>
        <v>0</v>
      </c>
      <c r="G140" s="20">
        <f>IF(A140="","",IFERROR(VLOOKUP(A140,'Production Schedule'!$B:$FU,25,FALSE),""))</f>
        <v>0</v>
      </c>
      <c r="H140" s="21">
        <f>IF(A140="","",IFERROR(VLOOKUP(A140,'Production Schedule'!$B:$FU,47,FALSE),""))</f>
        <v>46128.554150289354</v>
      </c>
      <c r="I140" s="21">
        <f>IF(A140="","",IFERROR(VLOOKUP(A140,'Production Schedule'!$B:$FU,54,FALSE),""))</f>
        <v>0</v>
      </c>
      <c r="J140" s="32">
        <f>IF(A140="","",IFERROR(VLOOKUP(A140,'Production Schedule'!$B:$FU,135,FALSE),""))</f>
        <v>0</v>
      </c>
      <c r="K140" s="20">
        <f>IF(A140="","",IFERROR(VLOOKUP(A140,'Production Schedule'!$B:$FU,59,FALSE),""))</f>
        <v>0</v>
      </c>
      <c r="L140" s="39" t="str">
        <f>IF(A140="","",IFERROR(VLOOKUP(A140,'Production Schedule'!$B:$FU,80,FALSE),""))</f>
        <v>CNC Programming</v>
      </c>
      <c r="M140" s="33" t="str" cm="1">
        <f t="array" ref="M140">IF(A140="","",IFERROR(TRIM(INDEX(_xlfn.TEXTSPLIT(IFERROR(VLOOKUP(A140,'Production Schedule'!$B:$FU,150,FALSE),""),CHAR(10)),1)),""))</f>
        <v>AXYZ 34</v>
      </c>
      <c r="N140" s="34" t="e">
        <f t="shared" si="16"/>
        <v>#NUM!</v>
      </c>
      <c r="O140" s="33" t="str" cm="1">
        <f t="array" ref="O140">IF(A140="","",IFERROR(TRIM(INDEX(_xlfn.TEXTSPLIT(IFERROR(VLOOKUP(A140,'Production Schedule'!$B:$FU,150,FALSE),""),CHAR(10)),2)),""))</f>
        <v>Clean and Brake</v>
      </c>
      <c r="P140" s="34" t="e">
        <f t="shared" si="17"/>
        <v>#NUM!</v>
      </c>
      <c r="Q140" s="33" t="str" cm="1">
        <f t="array" ref="Q140">IF(A140="","",IFERROR(TRIM(INDEX(_xlfn.TEXTSPLIT(IFERROR(VLOOKUP(A140,'Production Schedule'!$B:$FU,150,FALSE),""),CHAR(10)),3)),""))</f>
        <v>Fab</v>
      </c>
      <c r="R140" s="34" t="e">
        <f t="shared" si="18"/>
        <v>#NUM!</v>
      </c>
      <c r="S140" s="33" t="str" cm="1">
        <f t="array" ref="S140">IF(A140="","",IFERROR(TRIM(INDEX(_xlfn.TEXTSPLIT(IFERROR(VLOOKUP(A140,'Production Schedule'!$B:$FU,150,FALSE),""),CHAR(10)),4)),""))</f>
        <v/>
      </c>
      <c r="T140" s="34" t="str">
        <f t="shared" si="19"/>
        <v/>
      </c>
      <c r="U140" s="33" t="str" cm="1">
        <f t="array" ref="U140">IF(A140="","",IFERROR(TRIM(INDEX(_xlfn.TEXTSPLIT(IFERROR(VLOOKUP(A140,'Production Schedule'!$B:$FU,150,FALSE),""),CHAR(10)),5)),""))</f>
        <v/>
      </c>
      <c r="V140" s="34" t="str">
        <f t="shared" si="20"/>
        <v/>
      </c>
      <c r="W140" s="33" t="str" cm="1">
        <f t="array" ref="W140">IF(A140="","",IFERROR(TRIM(INDEX(_xlfn.TEXTSPLIT(IFERROR(VLOOKUP(A140,'Production Schedule'!$B:$FU,150,FALSE),""),CHAR(10)),6)),""))</f>
        <v/>
      </c>
      <c r="X140" s="34" t="str">
        <f t="shared" si="21"/>
        <v/>
      </c>
      <c r="Y140" s="36" t="e">
        <f t="shared" si="22"/>
        <v>#NUM!</v>
      </c>
      <c r="Z140" s="37" t="str">
        <f>IF(A140="","",IF(IFERROR(VLOOKUP(A140,Notes!A:B,2,FALSE),"")=0,"",VLOOKUP(A140,Notes!A:B,2,FALSE)))</f>
        <v>04/16/2026…</v>
      </c>
      <c r="AA140" s="20">
        <f t="shared" si="23"/>
        <v>1</v>
      </c>
    </row>
    <row r="141" spans="1:27" x14ac:dyDescent="0.25">
      <c r="A141" s="18" t="str">
        <v>24071-RP15</v>
      </c>
      <c r="B141" s="18" t="str">
        <f>IF(A141="","",IFERROR(VLOOKUP(A141,'Production Schedule'!$B:$FU,3,FALSE),""))</f>
        <v>RS Gass State Lab</v>
      </c>
      <c r="C141" s="18" t="str">
        <f>IF(A141="","",IFERROR(VLOOKUP(A141,'Production Schedule'!$B:$FU,5,FALSE),""))</f>
        <v>Cole Norona</v>
      </c>
      <c r="D141" s="18">
        <f>IF(A141="","",IFERROR(VLOOKUP(A141,'Production Schedule'!$B:$FU,7,FALSE),""))</f>
        <v>0</v>
      </c>
      <c r="E141" s="18">
        <f>IF(A141="","",IFERROR(VLOOKUP(A141,'Production Schedule'!$B:$FU,17,FALSE),""))</f>
        <v>0</v>
      </c>
      <c r="F141" s="18">
        <f>IF(A141="","",IFERROR(VLOOKUP(A141,'Production Schedule'!$B:$FU,18,FALSE),""))</f>
        <v>3</v>
      </c>
      <c r="G141" s="18">
        <f>IF(A141="","",IFERROR(VLOOKUP(A141,'Production Schedule'!$B:$FU,25,FALSE),""))</f>
        <v>0</v>
      </c>
      <c r="H141" s="19">
        <f>IF(A141="","",IFERROR(VLOOKUP(A141,'Production Schedule'!$B:$FU,47,FALSE),""))</f>
        <v>46128.556154571757</v>
      </c>
      <c r="I141" s="19">
        <f>IF(A141="","",IFERROR(VLOOKUP(A141,'Production Schedule'!$B:$FU,54,FALSE),""))</f>
        <v>0</v>
      </c>
      <c r="J141" s="26">
        <f>IF(A141="","",IFERROR(VLOOKUP(A141,'Production Schedule'!$B:$FU,135,FALSE),""))</f>
        <v>0</v>
      </c>
      <c r="K141" s="18">
        <f>IF(A141="","",IFERROR(VLOOKUP(A141,'Production Schedule'!$B:$FU,59,FALSE),""))</f>
        <v>0</v>
      </c>
      <c r="L141" s="38" t="str">
        <f>IF(A141="","",IFERROR(VLOOKUP(A141,'Production Schedule'!$B:$FU,80,FALSE),""))</f>
        <v>CNC Programming</v>
      </c>
      <c r="M141" s="27" t="str" cm="1">
        <f t="array" ref="M141">IF(A141="","",IFERROR(TRIM(INDEX(_xlfn.TEXTSPLIT(IFERROR(VLOOKUP(A141,'Production Schedule'!$B:$FU,150,FALSE),""),CHAR(10)),1)),""))</f>
        <v>AXYZ 34</v>
      </c>
      <c r="N141" s="28" t="e">
        <f t="shared" si="16"/>
        <v>#NUM!</v>
      </c>
      <c r="O141" s="27" t="str" cm="1">
        <f t="array" ref="O141">IF(A141="","",IFERROR(TRIM(INDEX(_xlfn.TEXTSPLIT(IFERROR(VLOOKUP(A141,'Production Schedule'!$B:$FU,150,FALSE),""),CHAR(10)),2)),""))</f>
        <v>Clean and Brake</v>
      </c>
      <c r="P141" s="28" t="e">
        <f t="shared" si="17"/>
        <v>#NUM!</v>
      </c>
      <c r="Q141" s="27" t="str" cm="1">
        <f t="array" ref="Q141">IF(A141="","",IFERROR(TRIM(INDEX(_xlfn.TEXTSPLIT(IFERROR(VLOOKUP(A141,'Production Schedule'!$B:$FU,150,FALSE),""),CHAR(10)),3)),""))</f>
        <v>Fab</v>
      </c>
      <c r="R141" s="28" t="e">
        <f t="shared" si="18"/>
        <v>#NUM!</v>
      </c>
      <c r="S141" s="27" t="str" cm="1">
        <f t="array" ref="S141">IF(A141="","",IFERROR(TRIM(INDEX(_xlfn.TEXTSPLIT(IFERROR(VLOOKUP(A141,'Production Schedule'!$B:$FU,150,FALSE),""),CHAR(10)),4)),""))</f>
        <v/>
      </c>
      <c r="T141" s="28" t="str">
        <f t="shared" si="19"/>
        <v/>
      </c>
      <c r="U141" s="27" t="str" cm="1">
        <f t="array" ref="U141">IF(A141="","",IFERROR(TRIM(INDEX(_xlfn.TEXTSPLIT(IFERROR(VLOOKUP(A141,'Production Schedule'!$B:$FU,150,FALSE),""),CHAR(10)),5)),""))</f>
        <v/>
      </c>
      <c r="V141" s="28" t="str">
        <f t="shared" si="20"/>
        <v/>
      </c>
      <c r="W141" s="27" t="str" cm="1">
        <f t="array" ref="W141">IF(A141="","",IFERROR(TRIM(INDEX(_xlfn.TEXTSPLIT(IFERROR(VLOOKUP(A141,'Production Schedule'!$B:$FU,150,FALSE),""),CHAR(10)),6)),""))</f>
        <v/>
      </c>
      <c r="X141" s="28" t="str">
        <f t="shared" si="21"/>
        <v/>
      </c>
      <c r="Y141" s="30" t="e">
        <f t="shared" si="22"/>
        <v>#NUM!</v>
      </c>
      <c r="Z141" s="31" t="str">
        <f>IF(A141="","",IF(IFERROR(VLOOKUP(A141,Notes!A:B,2,FALSE),"")=0,"",VLOOKUP(A141,Notes!A:B,2,FALSE)))</f>
        <v>04/16/2026…</v>
      </c>
      <c r="AA141" s="18">
        <f t="shared" si="23"/>
        <v>1</v>
      </c>
    </row>
    <row r="142" spans="1:27" x14ac:dyDescent="0.25">
      <c r="A142" s="20" t="str">
        <v>24060-BM01</v>
      </c>
      <c r="B142" s="20" t="str">
        <f>IF(A142="","",IFERROR(VLOOKUP(A142,'Production Schedule'!$B:$FU,3,FALSE),""))</f>
        <v>Loves Blacksburg</v>
      </c>
      <c r="C142" s="20" t="str">
        <f>IF(A142="","",IFERROR(VLOOKUP(A142,'Production Schedule'!$B:$FU,5,FALSE),""))</f>
        <v>Cole Norona</v>
      </c>
      <c r="D142" s="20">
        <f>IF(A142="","",IFERROR(VLOOKUP(A142,'Production Schedule'!$B:$FU,7,FALSE),""))</f>
        <v>0</v>
      </c>
      <c r="E142" s="20">
        <f>IF(A142="","",IFERROR(VLOOKUP(A142,'Production Schedule'!$B:$FU,17,FALSE),""))</f>
        <v>0</v>
      </c>
      <c r="F142" s="20">
        <f>IF(A142="","",IFERROR(VLOOKUP(A142,'Production Schedule'!$B:$FU,18,FALSE),""))</f>
        <v>14</v>
      </c>
      <c r="G142" s="20" t="str">
        <f>IF(A142="","",IFERROR(VLOOKUP(A142,'Production Schedule'!$B:$FU,25,FALSE),""))</f>
        <v>Steel Sheet</v>
      </c>
      <c r="H142" s="21">
        <f>IF(A142="","",IFERROR(VLOOKUP(A142,'Production Schedule'!$B:$FU,47,FALSE),""))</f>
        <v>45665.701049629628</v>
      </c>
      <c r="I142" s="21">
        <f>IF(A142="","",IFERROR(VLOOKUP(A142,'Production Schedule'!$B:$FU,54,FALSE),""))</f>
        <v>45709</v>
      </c>
      <c r="J142" s="32">
        <f>IF(A142="","",IFERROR(VLOOKUP(A142,'Production Schedule'!$B:$FU,135,FALSE),""))</f>
        <v>28</v>
      </c>
      <c r="K142" s="20" t="str">
        <f>IF(A142="","",IFERROR(VLOOKUP(A142,'Production Schedule'!$B:$FU,59,FALSE),""))</f>
        <v>YES</v>
      </c>
      <c r="L142" s="39" t="str">
        <f>IF(A142="","",IFERROR(VLOOKUP(A142,'Production Schedule'!$B:$FU,80,FALSE),""))</f>
        <v>Ready to Ship</v>
      </c>
      <c r="M142" s="33" t="str" cm="1">
        <f t="array" ref="M142">IF(A142="","",IFERROR(TRIM(INDEX(_xlfn.TEXTSPLIT(IFERROR(VLOOKUP(A142,'Production Schedule'!$B:$FU,150,FALSE),""),CHAR(10)),1)),""))</f>
        <v>Cidan</v>
      </c>
      <c r="N142" s="34">
        <f t="shared" si="16"/>
        <v>45684</v>
      </c>
      <c r="O142" s="33" t="str" cm="1">
        <f t="array" ref="O142">IF(A142="","",IFERROR(TRIM(INDEX(_xlfn.TEXTSPLIT(IFERROR(VLOOKUP(A142,'Production Schedule'!$B:$FU,150,FALSE),""),CHAR(10)),2)),""))</f>
        <v>Shear</v>
      </c>
      <c r="P142" s="34">
        <f t="shared" si="17"/>
        <v>45695</v>
      </c>
      <c r="Q142" s="33" t="str" cm="1">
        <f t="array" ref="Q142">IF(A142="","",IFERROR(TRIM(INDEX(_xlfn.TEXTSPLIT(IFERROR(VLOOKUP(A142,'Production Schedule'!$B:$FU,150,FALSE),""),CHAR(10)),3)),""))</f>
        <v/>
      </c>
      <c r="R142" s="34" t="str">
        <f t="shared" si="18"/>
        <v/>
      </c>
      <c r="S142" s="33" t="str" cm="1">
        <f t="array" ref="S142">IF(A142="","",IFERROR(TRIM(INDEX(_xlfn.TEXTSPLIT(IFERROR(VLOOKUP(A142,'Production Schedule'!$B:$FU,150,FALSE),""),CHAR(10)),4)),""))</f>
        <v/>
      </c>
      <c r="T142" s="34" t="str">
        <f t="shared" si="19"/>
        <v/>
      </c>
      <c r="U142" s="33" t="str" cm="1">
        <f t="array" ref="U142">IF(A142="","",IFERROR(TRIM(INDEX(_xlfn.TEXTSPLIT(IFERROR(VLOOKUP(A142,'Production Schedule'!$B:$FU,150,FALSE),""),CHAR(10)),5)),""))</f>
        <v/>
      </c>
      <c r="V142" s="34" t="str">
        <f t="shared" si="20"/>
        <v/>
      </c>
      <c r="W142" s="33" t="str" cm="1">
        <f t="array" ref="W142">IF(A142="","",IFERROR(TRIM(INDEX(_xlfn.TEXTSPLIT(IFERROR(VLOOKUP(A142,'Production Schedule'!$B:$FU,150,FALSE),""),CHAR(10)),6)),""))</f>
        <v/>
      </c>
      <c r="X142" s="34" t="str">
        <f t="shared" si="21"/>
        <v/>
      </c>
      <c r="Y142" s="36">
        <f t="shared" si="22"/>
        <v>45707</v>
      </c>
      <c r="Z142" s="37" t="str">
        <f>IF(A142="","",IF(IFERROR(VLOOKUP(A142,Notes!A:B,2,FALSE),"")=0,"",VLOOKUP(A142,Notes!A:B,2,FALSE)))</f>
        <v>04/16/2026…Ready to Ship</v>
      </c>
      <c r="AA142" s="20">
        <f t="shared" si="23"/>
        <v>2</v>
      </c>
    </row>
    <row r="143" spans="1:27" x14ac:dyDescent="0.25">
      <c r="A143" s="18" t="str">
        <v>24001-BM14</v>
      </c>
      <c r="B143" s="18" t="str">
        <f>IF(A143="","",IFERROR(VLOOKUP(A143,'Production Schedule'!$B:$FU,3,FALSE),""))</f>
        <v>McEwen Northside</v>
      </c>
      <c r="C143" s="18" t="str">
        <f>IF(A143="","",IFERROR(VLOOKUP(A143,'Production Schedule'!$B:$FU,5,FALSE),""))</f>
        <v>Josh McPherson</v>
      </c>
      <c r="D143" s="18">
        <f>IF(A143="","",IFERROR(VLOOKUP(A143,'Production Schedule'!$B:$FU,7,FALSE),""))</f>
        <v>0</v>
      </c>
      <c r="E143" s="18">
        <f>IF(A143="","",IFERROR(VLOOKUP(A143,'Production Schedule'!$B:$FU,17,FALSE),""))</f>
        <v>0</v>
      </c>
      <c r="F143" s="18">
        <f>IF(A143="","",IFERROR(VLOOKUP(A143,'Production Schedule'!$B:$FU,18,FALSE),""))</f>
        <v>12</v>
      </c>
      <c r="G143" s="18" t="str">
        <f>IF(A143="","",IFERROR(VLOOKUP(A143,'Production Schedule'!$B:$FU,25,FALSE),""))</f>
        <v>Galv Sheet</v>
      </c>
      <c r="H143" s="19">
        <f>IF(A143="","",IFERROR(VLOOKUP(A143,'Production Schedule'!$B:$FU,47,FALSE),""))</f>
        <v>45699.462165798614</v>
      </c>
      <c r="I143" s="19">
        <f>IF(A143="","",IFERROR(VLOOKUP(A143,'Production Schedule'!$B:$FU,54,FALSE),""))</f>
        <v>45719</v>
      </c>
      <c r="J143" s="26">
        <f>IF(A143="","",IFERROR(VLOOKUP(A143,'Production Schedule'!$B:$FU,135,FALSE),""))</f>
        <v>1</v>
      </c>
      <c r="K143" s="18" t="str">
        <f>IF(A143="","",IFERROR(VLOOKUP(A143,'Production Schedule'!$B:$FU,59,FALSE),""))</f>
        <v>YES</v>
      </c>
      <c r="L143" s="38" t="str">
        <f>IF(A143="","",IFERROR(VLOOKUP(A143,'Production Schedule'!$B:$FU,80,FALSE),""))</f>
        <v>Ready to Ship</v>
      </c>
      <c r="M143" s="27" t="str" cm="1">
        <f t="array" ref="M143">IF(A143="","",IFERROR(TRIM(INDEX(_xlfn.TEXTSPLIT(IFERROR(VLOOKUP(A143,'Production Schedule'!$B:$FU,150,FALSE),""),CHAR(10)),1)),""))</f>
        <v>Cidan</v>
      </c>
      <c r="N143" s="28">
        <f t="shared" si="16"/>
        <v>45693</v>
      </c>
      <c r="O143" s="27" t="str" cm="1">
        <f t="array" ref="O143">IF(A143="","",IFERROR(TRIM(INDEX(_xlfn.TEXTSPLIT(IFERROR(VLOOKUP(A143,'Production Schedule'!$B:$FU,150,FALSE),""),CHAR(10)),2)),""))</f>
        <v>Shear</v>
      </c>
      <c r="P143" s="28">
        <f t="shared" si="17"/>
        <v>45705</v>
      </c>
      <c r="Q143" s="27" t="str" cm="1">
        <f t="array" ref="Q143">IF(A143="","",IFERROR(TRIM(INDEX(_xlfn.TEXTSPLIT(IFERROR(VLOOKUP(A143,'Production Schedule'!$B:$FU,150,FALSE),""),CHAR(10)),3)),""))</f>
        <v/>
      </c>
      <c r="R143" s="28" t="str">
        <f t="shared" si="18"/>
        <v/>
      </c>
      <c r="S143" s="27" t="str" cm="1">
        <f t="array" ref="S143">IF(A143="","",IFERROR(TRIM(INDEX(_xlfn.TEXTSPLIT(IFERROR(VLOOKUP(A143,'Production Schedule'!$B:$FU,150,FALSE),""),CHAR(10)),4)),""))</f>
        <v/>
      </c>
      <c r="T143" s="28" t="str">
        <f t="shared" si="19"/>
        <v/>
      </c>
      <c r="U143" s="27" t="str" cm="1">
        <f t="array" ref="U143">IF(A143="","",IFERROR(TRIM(INDEX(_xlfn.TEXTSPLIT(IFERROR(VLOOKUP(A143,'Production Schedule'!$B:$FU,150,FALSE),""),CHAR(10)),5)),""))</f>
        <v/>
      </c>
      <c r="V143" s="28" t="str">
        <f t="shared" si="20"/>
        <v/>
      </c>
      <c r="W143" s="27" t="str" cm="1">
        <f t="array" ref="W143">IF(A143="","",IFERROR(TRIM(INDEX(_xlfn.TEXTSPLIT(IFERROR(VLOOKUP(A143,'Production Schedule'!$B:$FU,150,FALSE),""),CHAR(10)),6)),""))</f>
        <v/>
      </c>
      <c r="X143" s="28" t="str">
        <f t="shared" si="21"/>
        <v/>
      </c>
      <c r="Y143" s="30">
        <f t="shared" si="22"/>
        <v>45716</v>
      </c>
      <c r="Z143" s="31" t="str">
        <f>IF(A143="","",IF(IFERROR(VLOOKUP(A143,Notes!A:B,2,FALSE),"")=0,"",VLOOKUP(A143,Notes!A:B,2,FALSE)))</f>
        <v>04/16/2026…Ready to Ship</v>
      </c>
      <c r="AA143" s="18">
        <f t="shared" si="23"/>
        <v>2</v>
      </c>
    </row>
    <row r="144" spans="1:27" x14ac:dyDescent="0.25">
      <c r="A144" s="20" t="str">
        <v>24051-FS01</v>
      </c>
      <c r="B144" s="20" t="str">
        <f>IF(A144="","",IFERROR(VLOOKUP(A144,'Production Schedule'!$B:$FU,3,FALSE),""))</f>
        <v>TN Titans Stadium</v>
      </c>
      <c r="C144" s="20" t="str">
        <f>IF(A144="","",IFERROR(VLOOKUP(A144,'Production Schedule'!$B:$FU,5,FALSE),""))</f>
        <v>Marc Ribar</v>
      </c>
      <c r="D144" s="20">
        <f>IF(A144="","",IFERROR(VLOOKUP(A144,'Production Schedule'!$B:$FU,7,FALSE),""))</f>
        <v>400</v>
      </c>
      <c r="E144" s="20">
        <f>IF(A144="","",IFERROR(VLOOKUP(A144,'Production Schedule'!$B:$FU,17,FALSE),""))</f>
        <v>160</v>
      </c>
      <c r="F144" s="20">
        <f>IF(A144="","",IFERROR(VLOOKUP(A144,'Production Schedule'!$B:$FU,18,FALSE),""))</f>
        <v>160</v>
      </c>
      <c r="G144" s="20" t="str">
        <f>IF(A144="","",IFERROR(VLOOKUP(A144,'Production Schedule'!$B:$FU,25,FALSE),""))</f>
        <v>FR ACM</v>
      </c>
      <c r="H144" s="21">
        <f>IF(A144="","",IFERROR(VLOOKUP(A144,'Production Schedule'!$B:$FU,47,FALSE),""))</f>
        <v>45722.470880694447</v>
      </c>
      <c r="I144" s="21">
        <f>IF(A144="","",IFERROR(VLOOKUP(A144,'Production Schedule'!$B:$FU,54,FALSE),""))</f>
        <v>45747</v>
      </c>
      <c r="J144" s="32">
        <f>IF(A144="","",IFERROR(VLOOKUP(A144,'Production Schedule'!$B:$FU,135,FALSE),""))</f>
        <v>360</v>
      </c>
      <c r="K144" s="20" t="str">
        <f>IF(A144="","",IFERROR(VLOOKUP(A144,'Production Schedule'!$B:$FU,59,FALSE),""))</f>
        <v>YES</v>
      </c>
      <c r="L144" s="39" t="str">
        <f>IF(A144="","",IFERROR(VLOOKUP(A144,'Production Schedule'!$B:$FU,80,FALSE),""))</f>
        <v>RTS Titans</v>
      </c>
      <c r="M144" s="33" t="str" cm="1">
        <f t="array" ref="M144">IF(A144="","",IFERROR(TRIM(INDEX(_xlfn.TEXTSPLIT(IFERROR(VLOOKUP(A144,'Production Schedule'!$B:$FU,150,FALSE),""),CHAR(10)),1)),""))</f>
        <v>AXYZ Titans Line</v>
      </c>
      <c r="N144" s="34">
        <f t="shared" si="16"/>
        <v>45720</v>
      </c>
      <c r="O144" s="33" t="str" cm="1">
        <f t="array" ref="O144">IF(A144="","",IFERROR(TRIM(INDEX(_xlfn.TEXTSPLIT(IFERROR(VLOOKUP(A144,'Production Schedule'!$B:$FU,150,FALSE),""),CHAR(10)),2)),""))</f>
        <v>Clean and Brake</v>
      </c>
      <c r="P144" s="34">
        <f t="shared" si="17"/>
        <v>45723</v>
      </c>
      <c r="Q144" s="33" t="str" cm="1">
        <f t="array" ref="Q144">IF(A144="","",IFERROR(TRIM(INDEX(_xlfn.TEXTSPLIT(IFERROR(VLOOKUP(A144,'Production Schedule'!$B:$FU,150,FALSE),""),CHAR(10)),3)),""))</f>
        <v>Fab</v>
      </c>
      <c r="R144" s="34">
        <f t="shared" si="18"/>
        <v>45734</v>
      </c>
      <c r="S144" s="33" t="str" cm="1">
        <f t="array" ref="S144">IF(A144="","",IFERROR(TRIM(INDEX(_xlfn.TEXTSPLIT(IFERROR(VLOOKUP(A144,'Production Schedule'!$B:$FU,150,FALSE),""),CHAR(10)),4)),""))</f>
        <v/>
      </c>
      <c r="T144" s="34" t="str">
        <f t="shared" si="19"/>
        <v/>
      </c>
      <c r="U144" s="33" t="str" cm="1">
        <f t="array" ref="U144">IF(A144="","",IFERROR(TRIM(INDEX(_xlfn.TEXTSPLIT(IFERROR(VLOOKUP(A144,'Production Schedule'!$B:$FU,150,FALSE),""),CHAR(10)),5)),""))</f>
        <v/>
      </c>
      <c r="V144" s="34" t="str">
        <f t="shared" si="20"/>
        <v/>
      </c>
      <c r="W144" s="33" t="str" cm="1">
        <f t="array" ref="W144">IF(A144="","",IFERROR(TRIM(INDEX(_xlfn.TEXTSPLIT(IFERROR(VLOOKUP(A144,'Production Schedule'!$B:$FU,150,FALSE),""),CHAR(10)),6)),""))</f>
        <v/>
      </c>
      <c r="X144" s="34" t="str">
        <f t="shared" si="21"/>
        <v/>
      </c>
      <c r="Y144" s="36">
        <f t="shared" si="22"/>
        <v>45744</v>
      </c>
      <c r="Z144" s="37" t="str">
        <f>IF(A144="","",IF(IFERROR(VLOOKUP(A144,Notes!A:B,2,FALSE),"")=0,"",VLOOKUP(A144,Notes!A:B,2,FALSE)))</f>
        <v>04/16/2026…RTS Titans</v>
      </c>
      <c r="AA144" s="20">
        <f t="shared" si="23"/>
        <v>2</v>
      </c>
    </row>
    <row r="145" spans="1:27" x14ac:dyDescent="0.25">
      <c r="A145" s="18" t="str">
        <v>24051-FS02</v>
      </c>
      <c r="B145" s="18" t="str">
        <f>IF(A145="","",IFERROR(VLOOKUP(A145,'Production Schedule'!$B:$FU,3,FALSE),""))</f>
        <v>TN Titans Stadium</v>
      </c>
      <c r="C145" s="18" t="str">
        <f>IF(A145="","",IFERROR(VLOOKUP(A145,'Production Schedule'!$B:$FU,5,FALSE),""))</f>
        <v>Marc Ribar</v>
      </c>
      <c r="D145" s="18">
        <f>IF(A145="","",IFERROR(VLOOKUP(A145,'Production Schedule'!$B:$FU,7,FALSE),""))</f>
        <v>400</v>
      </c>
      <c r="E145" s="18">
        <f>IF(A145="","",IFERROR(VLOOKUP(A145,'Production Schedule'!$B:$FU,17,FALSE),""))</f>
        <v>158</v>
      </c>
      <c r="F145" s="18">
        <f>IF(A145="","",IFERROR(VLOOKUP(A145,'Production Schedule'!$B:$FU,18,FALSE),""))</f>
        <v>158</v>
      </c>
      <c r="G145" s="18" t="str">
        <f>IF(A145="","",IFERROR(VLOOKUP(A145,'Production Schedule'!$B:$FU,25,FALSE),""))</f>
        <v>FR ACM</v>
      </c>
      <c r="H145" s="19">
        <f>IF(A145="","",IFERROR(VLOOKUP(A145,'Production Schedule'!$B:$FU,47,FALSE),""))</f>
        <v>45722.474623425929</v>
      </c>
      <c r="I145" s="19">
        <f>IF(A145="","",IFERROR(VLOOKUP(A145,'Production Schedule'!$B:$FU,54,FALSE),""))</f>
        <v>45764</v>
      </c>
      <c r="J145" s="26">
        <f>IF(A145="","",IFERROR(VLOOKUP(A145,'Production Schedule'!$B:$FU,135,FALSE),""))</f>
        <v>300</v>
      </c>
      <c r="K145" s="18" t="str">
        <f>IF(A145="","",IFERROR(VLOOKUP(A145,'Production Schedule'!$B:$FU,59,FALSE),""))</f>
        <v>YES</v>
      </c>
      <c r="L145" s="38" t="str">
        <f>IF(A145="","",IFERROR(VLOOKUP(A145,'Production Schedule'!$B:$FU,80,FALSE),""))</f>
        <v>RTS Titans</v>
      </c>
      <c r="M145" s="27" t="str" cm="1">
        <f t="array" ref="M145">IF(A145="","",IFERROR(TRIM(INDEX(_xlfn.TEXTSPLIT(IFERROR(VLOOKUP(A145,'Production Schedule'!$B:$FU,150,FALSE),""),CHAR(10)),1)),""))</f>
        <v>AXYZ Titans Line</v>
      </c>
      <c r="N145" s="28">
        <f t="shared" si="16"/>
        <v>45737</v>
      </c>
      <c r="O145" s="27" t="str" cm="1">
        <f t="array" ref="O145">IF(A145="","",IFERROR(TRIM(INDEX(_xlfn.TEXTSPLIT(IFERROR(VLOOKUP(A145,'Production Schedule'!$B:$FU,150,FALSE),""),CHAR(10)),2)),""))</f>
        <v>Clean and Brake</v>
      </c>
      <c r="P145" s="28">
        <f t="shared" si="17"/>
        <v>45741</v>
      </c>
      <c r="Q145" s="27" t="str" cm="1">
        <f t="array" ref="Q145">IF(A145="","",IFERROR(TRIM(INDEX(_xlfn.TEXTSPLIT(IFERROR(VLOOKUP(A145,'Production Schedule'!$B:$FU,150,FALSE),""),CHAR(10)),3)),""))</f>
        <v>Fab</v>
      </c>
      <c r="R145" s="28">
        <f t="shared" si="18"/>
        <v>45751</v>
      </c>
      <c r="S145" s="27" t="str" cm="1">
        <f t="array" ref="S145">IF(A145="","",IFERROR(TRIM(INDEX(_xlfn.TEXTSPLIT(IFERROR(VLOOKUP(A145,'Production Schedule'!$B:$FU,150,FALSE),""),CHAR(10)),4)),""))</f>
        <v/>
      </c>
      <c r="T145" s="28" t="str">
        <f t="shared" si="19"/>
        <v/>
      </c>
      <c r="U145" s="27" t="str" cm="1">
        <f t="array" ref="U145">IF(A145="","",IFERROR(TRIM(INDEX(_xlfn.TEXTSPLIT(IFERROR(VLOOKUP(A145,'Production Schedule'!$B:$FU,150,FALSE),""),CHAR(10)),5)),""))</f>
        <v/>
      </c>
      <c r="V145" s="28" t="str">
        <f t="shared" si="20"/>
        <v/>
      </c>
      <c r="W145" s="27" t="str" cm="1">
        <f t="array" ref="W145">IF(A145="","",IFERROR(TRIM(INDEX(_xlfn.TEXTSPLIT(IFERROR(VLOOKUP(A145,'Production Schedule'!$B:$FU,150,FALSE),""),CHAR(10)),6)),""))</f>
        <v/>
      </c>
      <c r="X145" s="28" t="str">
        <f t="shared" si="21"/>
        <v/>
      </c>
      <c r="Y145" s="30">
        <f t="shared" si="22"/>
        <v>45762</v>
      </c>
      <c r="Z145" s="31" t="str">
        <f>IF(A145="","",IF(IFERROR(VLOOKUP(A145,Notes!A:B,2,FALSE),"")=0,"",VLOOKUP(A145,Notes!A:B,2,FALSE)))</f>
        <v>04/16/2026…RTS Titans</v>
      </c>
      <c r="AA145" s="18">
        <f t="shared" si="23"/>
        <v>2</v>
      </c>
    </row>
    <row r="146" spans="1:27" x14ac:dyDescent="0.25">
      <c r="A146" s="20" t="str">
        <v>24051-FS03</v>
      </c>
      <c r="B146" s="20" t="str">
        <f>IF(A146="","",IFERROR(VLOOKUP(A146,'Production Schedule'!$B:$FU,3,FALSE),""))</f>
        <v>TN Titans Stadium</v>
      </c>
      <c r="C146" s="20" t="str">
        <f>IF(A146="","",IFERROR(VLOOKUP(A146,'Production Schedule'!$B:$FU,5,FALSE),""))</f>
        <v>Marc Ribar</v>
      </c>
      <c r="D146" s="20">
        <f>IF(A146="","",IFERROR(VLOOKUP(A146,'Production Schedule'!$B:$FU,7,FALSE),""))</f>
        <v>400</v>
      </c>
      <c r="E146" s="20">
        <f>IF(A146="","",IFERROR(VLOOKUP(A146,'Production Schedule'!$B:$FU,17,FALSE),""))</f>
        <v>160</v>
      </c>
      <c r="F146" s="20">
        <f>IF(A146="","",IFERROR(VLOOKUP(A146,'Production Schedule'!$B:$FU,18,FALSE),""))</f>
        <v>160</v>
      </c>
      <c r="G146" s="20" t="str">
        <f>IF(A146="","",IFERROR(VLOOKUP(A146,'Production Schedule'!$B:$FU,25,FALSE),""))</f>
        <v>FR ACM</v>
      </c>
      <c r="H146" s="21">
        <f>IF(A146="","",IFERROR(VLOOKUP(A146,'Production Schedule'!$B:$FU,47,FALSE),""))</f>
        <v>45722.487933460645</v>
      </c>
      <c r="I146" s="21">
        <f>IF(A146="","",IFERROR(VLOOKUP(A146,'Production Schedule'!$B:$FU,54,FALSE),""))</f>
        <v>45765</v>
      </c>
      <c r="J146" s="32">
        <f>IF(A146="","",IFERROR(VLOOKUP(A146,'Production Schedule'!$B:$FU,135,FALSE),""))</f>
        <v>300</v>
      </c>
      <c r="K146" s="20" t="str">
        <f>IF(A146="","",IFERROR(VLOOKUP(A146,'Production Schedule'!$B:$FU,59,FALSE),""))</f>
        <v>YES</v>
      </c>
      <c r="L146" s="39" t="str">
        <f>IF(A146="","",IFERROR(VLOOKUP(A146,'Production Schedule'!$B:$FU,80,FALSE),""))</f>
        <v>RTS Titans</v>
      </c>
      <c r="M146" s="33" t="str" cm="1">
        <f t="array" ref="M146">IF(A146="","",IFERROR(TRIM(INDEX(_xlfn.TEXTSPLIT(IFERROR(VLOOKUP(A146,'Production Schedule'!$B:$FU,150,FALSE),""),CHAR(10)),1)),""))</f>
        <v>AXYZ 34</v>
      </c>
      <c r="N146" s="34">
        <f t="shared" si="16"/>
        <v>45742</v>
      </c>
      <c r="O146" s="33" t="str" cm="1">
        <f t="array" ref="O146">IF(A146="","",IFERROR(TRIM(INDEX(_xlfn.TEXTSPLIT(IFERROR(VLOOKUP(A146,'Production Schedule'!$B:$FU,150,FALSE),""),CHAR(10)),2)),""))</f>
        <v>Clean and Brake</v>
      </c>
      <c r="P146" s="34">
        <f t="shared" si="17"/>
        <v>45742</v>
      </c>
      <c r="Q146" s="33" t="str" cm="1">
        <f t="array" ref="Q146">IF(A146="","",IFERROR(TRIM(INDEX(_xlfn.TEXTSPLIT(IFERROR(VLOOKUP(A146,'Production Schedule'!$B:$FU,150,FALSE),""),CHAR(10)),3)),""))</f>
        <v>Fab</v>
      </c>
      <c r="R146" s="34">
        <f t="shared" si="18"/>
        <v>45752</v>
      </c>
      <c r="S146" s="33" t="str" cm="1">
        <f t="array" ref="S146">IF(A146="","",IFERROR(TRIM(INDEX(_xlfn.TEXTSPLIT(IFERROR(VLOOKUP(A146,'Production Schedule'!$B:$FU,150,FALSE),""),CHAR(10)),4)),""))</f>
        <v/>
      </c>
      <c r="T146" s="34" t="str">
        <f t="shared" si="19"/>
        <v/>
      </c>
      <c r="U146" s="33" t="str" cm="1">
        <f t="array" ref="U146">IF(A146="","",IFERROR(TRIM(INDEX(_xlfn.TEXTSPLIT(IFERROR(VLOOKUP(A146,'Production Schedule'!$B:$FU,150,FALSE),""),CHAR(10)),5)),""))</f>
        <v/>
      </c>
      <c r="V146" s="34" t="str">
        <f t="shared" si="20"/>
        <v/>
      </c>
      <c r="W146" s="33" t="str" cm="1">
        <f t="array" ref="W146">IF(A146="","",IFERROR(TRIM(INDEX(_xlfn.TEXTSPLIT(IFERROR(VLOOKUP(A146,'Production Schedule'!$B:$FU,150,FALSE),""),CHAR(10)),6)),""))</f>
        <v/>
      </c>
      <c r="X146" s="34" t="str">
        <f t="shared" si="21"/>
        <v/>
      </c>
      <c r="Y146" s="36">
        <f t="shared" si="22"/>
        <v>45763</v>
      </c>
      <c r="Z146" s="37" t="str">
        <f>IF(A146="","",IF(IFERROR(VLOOKUP(A146,Notes!A:B,2,FALSE),"")=0,"",VLOOKUP(A146,Notes!A:B,2,FALSE)))</f>
        <v>04/16/2026…RTS Titans</v>
      </c>
      <c r="AA146" s="20">
        <f t="shared" si="23"/>
        <v>2</v>
      </c>
    </row>
    <row r="147" spans="1:27" x14ac:dyDescent="0.25">
      <c r="A147" s="18" t="str">
        <v>24051-FS04</v>
      </c>
      <c r="B147" s="18" t="str">
        <f>IF(A147="","",IFERROR(VLOOKUP(A147,'Production Schedule'!$B:$FU,3,FALSE),""))</f>
        <v>TN Titans Stadium</v>
      </c>
      <c r="C147" s="18" t="str">
        <f>IF(A147="","",IFERROR(VLOOKUP(A147,'Production Schedule'!$B:$FU,5,FALSE),""))</f>
        <v>Marc Ribar</v>
      </c>
      <c r="D147" s="18">
        <f>IF(A147="","",IFERROR(VLOOKUP(A147,'Production Schedule'!$B:$FU,7,FALSE),""))</f>
        <v>400</v>
      </c>
      <c r="E147" s="18">
        <f>IF(A147="","",IFERROR(VLOOKUP(A147,'Production Schedule'!$B:$FU,17,FALSE),""))</f>
        <v>153</v>
      </c>
      <c r="F147" s="18">
        <f>IF(A147="","",IFERROR(VLOOKUP(A147,'Production Schedule'!$B:$FU,18,FALSE),""))</f>
        <v>153</v>
      </c>
      <c r="G147" s="18" t="str">
        <f>IF(A147="","",IFERROR(VLOOKUP(A147,'Production Schedule'!$B:$FU,25,FALSE),""))</f>
        <v>FR ACM</v>
      </c>
      <c r="H147" s="19">
        <f>IF(A147="","",IFERROR(VLOOKUP(A147,'Production Schedule'!$B:$FU,47,FALSE),""))</f>
        <v>45722.640248854164</v>
      </c>
      <c r="I147" s="19">
        <f>IF(A147="","",IFERROR(VLOOKUP(A147,'Production Schedule'!$B:$FU,54,FALSE),""))</f>
        <v>45769</v>
      </c>
      <c r="J147" s="26">
        <f>IF(A147="","",IFERROR(VLOOKUP(A147,'Production Schedule'!$B:$FU,135,FALSE),""))</f>
        <v>300</v>
      </c>
      <c r="K147" s="18" t="str">
        <f>IF(A147="","",IFERROR(VLOOKUP(A147,'Production Schedule'!$B:$FU,59,FALSE),""))</f>
        <v>YES</v>
      </c>
      <c r="L147" s="38" t="str">
        <f>IF(A147="","",IFERROR(VLOOKUP(A147,'Production Schedule'!$B:$FU,80,FALSE),""))</f>
        <v>Partially Shipped</v>
      </c>
      <c r="M147" s="27" t="str" cm="1">
        <f t="array" ref="M147">IF(A147="","",IFERROR(TRIM(INDEX(_xlfn.TEXTSPLIT(IFERROR(VLOOKUP(A147,'Production Schedule'!$B:$FU,150,FALSE),""),CHAR(10)),1)),""))</f>
        <v>AXYZ Titans Line</v>
      </c>
      <c r="N147" s="28">
        <f t="shared" si="16"/>
        <v>45742</v>
      </c>
      <c r="O147" s="27" t="str" cm="1">
        <f t="array" ref="O147">IF(A147="","",IFERROR(TRIM(INDEX(_xlfn.TEXTSPLIT(IFERROR(VLOOKUP(A147,'Production Schedule'!$B:$FU,150,FALSE),""),CHAR(10)),2)),""))</f>
        <v>Clean and Brake</v>
      </c>
      <c r="P147" s="28">
        <f t="shared" si="17"/>
        <v>45745</v>
      </c>
      <c r="Q147" s="27" t="str" cm="1">
        <f t="array" ref="Q147">IF(A147="","",IFERROR(TRIM(INDEX(_xlfn.TEXTSPLIT(IFERROR(VLOOKUP(A147,'Production Schedule'!$B:$FU,150,FALSE),""),CHAR(10)),3)),""))</f>
        <v>Fab</v>
      </c>
      <c r="R147" s="28">
        <f t="shared" si="18"/>
        <v>45756</v>
      </c>
      <c r="S147" s="27" t="str" cm="1">
        <f t="array" ref="S147">IF(A147="","",IFERROR(TRIM(INDEX(_xlfn.TEXTSPLIT(IFERROR(VLOOKUP(A147,'Production Schedule'!$B:$FU,150,FALSE),""),CHAR(10)),4)),""))</f>
        <v/>
      </c>
      <c r="T147" s="28" t="str">
        <f t="shared" si="19"/>
        <v/>
      </c>
      <c r="U147" s="27" t="str" cm="1">
        <f t="array" ref="U147">IF(A147="","",IFERROR(TRIM(INDEX(_xlfn.TEXTSPLIT(IFERROR(VLOOKUP(A147,'Production Schedule'!$B:$FU,150,FALSE),""),CHAR(10)),5)),""))</f>
        <v/>
      </c>
      <c r="V147" s="28" t="str">
        <f t="shared" si="20"/>
        <v/>
      </c>
      <c r="W147" s="27" t="str" cm="1">
        <f t="array" ref="W147">IF(A147="","",IFERROR(TRIM(INDEX(_xlfn.TEXTSPLIT(IFERROR(VLOOKUP(A147,'Production Schedule'!$B:$FU,150,FALSE),""),CHAR(10)),6)),""))</f>
        <v/>
      </c>
      <c r="X147" s="28" t="str">
        <f t="shared" si="21"/>
        <v/>
      </c>
      <c r="Y147" s="30">
        <f t="shared" si="22"/>
        <v>45766</v>
      </c>
      <c r="Z147" s="31" t="str">
        <f>IF(A147="","",IF(IFERROR(VLOOKUP(A147,Notes!A:B,2,FALSE),"")=0,"",VLOOKUP(A147,Notes!A:B,2,FALSE)))</f>
        <v>04/16/2026…Partially Shipped</v>
      </c>
      <c r="AA147" s="18">
        <f t="shared" si="23"/>
        <v>2</v>
      </c>
    </row>
    <row r="148" spans="1:27" x14ac:dyDescent="0.25">
      <c r="A148" s="20" t="str">
        <v>24051-FS05</v>
      </c>
      <c r="B148" s="20" t="str">
        <f>IF(A148="","",IFERROR(VLOOKUP(A148,'Production Schedule'!$B:$FU,3,FALSE),""))</f>
        <v>TN Titans Stadium</v>
      </c>
      <c r="C148" s="20" t="str">
        <f>IF(A148="","",IFERROR(VLOOKUP(A148,'Production Schedule'!$B:$FU,5,FALSE),""))</f>
        <v>Marc Ribar</v>
      </c>
      <c r="D148" s="20">
        <f>IF(A148="","",IFERROR(VLOOKUP(A148,'Production Schedule'!$B:$FU,7,FALSE),""))</f>
        <v>400</v>
      </c>
      <c r="E148" s="20">
        <f>IF(A148="","",IFERROR(VLOOKUP(A148,'Production Schedule'!$B:$FU,17,FALSE),""))</f>
        <v>153</v>
      </c>
      <c r="F148" s="20">
        <f>IF(A148="","",IFERROR(VLOOKUP(A148,'Production Schedule'!$B:$FU,18,FALSE),""))</f>
        <v>153</v>
      </c>
      <c r="G148" s="20" t="str">
        <f>IF(A148="","",IFERROR(VLOOKUP(A148,'Production Schedule'!$B:$FU,25,FALSE),""))</f>
        <v>FR ACM</v>
      </c>
      <c r="H148" s="21">
        <f>IF(A148="","",IFERROR(VLOOKUP(A148,'Production Schedule'!$B:$FU,47,FALSE),""))</f>
        <v>45722.648776134258</v>
      </c>
      <c r="I148" s="21">
        <f>IF(A148="","",IFERROR(VLOOKUP(A148,'Production Schedule'!$B:$FU,54,FALSE),""))</f>
        <v>45769</v>
      </c>
      <c r="J148" s="32">
        <f>IF(A148="","",IFERROR(VLOOKUP(A148,'Production Schedule'!$B:$FU,135,FALSE),""))</f>
        <v>300</v>
      </c>
      <c r="K148" s="20" t="str">
        <f>IF(A148="","",IFERROR(VLOOKUP(A148,'Production Schedule'!$B:$FU,59,FALSE),""))</f>
        <v>YES</v>
      </c>
      <c r="L148" s="39" t="str">
        <f>IF(A148="","",IFERROR(VLOOKUP(A148,'Production Schedule'!$B:$FU,80,FALSE),""))</f>
        <v>Partially Shipped</v>
      </c>
      <c r="M148" s="33" t="str" cm="1">
        <f t="array" ref="M148">IF(A148="","",IFERROR(TRIM(INDEX(_xlfn.TEXTSPLIT(IFERROR(VLOOKUP(A148,'Production Schedule'!$B:$FU,150,FALSE),""),CHAR(10)),1)),""))</f>
        <v>AXYZ Titans Line</v>
      </c>
      <c r="N148" s="34">
        <f t="shared" si="16"/>
        <v>45742</v>
      </c>
      <c r="O148" s="33" t="str" cm="1">
        <f t="array" ref="O148">IF(A148="","",IFERROR(TRIM(INDEX(_xlfn.TEXTSPLIT(IFERROR(VLOOKUP(A148,'Production Schedule'!$B:$FU,150,FALSE),""),CHAR(10)),2)),""))</f>
        <v>Clean and Brake</v>
      </c>
      <c r="P148" s="34">
        <f t="shared" si="17"/>
        <v>45745</v>
      </c>
      <c r="Q148" s="33" t="str" cm="1">
        <f t="array" ref="Q148">IF(A148="","",IFERROR(TRIM(INDEX(_xlfn.TEXTSPLIT(IFERROR(VLOOKUP(A148,'Production Schedule'!$B:$FU,150,FALSE),""),CHAR(10)),3)),""))</f>
        <v>Fab</v>
      </c>
      <c r="R148" s="34">
        <f t="shared" si="18"/>
        <v>45756</v>
      </c>
      <c r="S148" s="33" t="str" cm="1">
        <f t="array" ref="S148">IF(A148="","",IFERROR(TRIM(INDEX(_xlfn.TEXTSPLIT(IFERROR(VLOOKUP(A148,'Production Schedule'!$B:$FU,150,FALSE),""),CHAR(10)),4)),""))</f>
        <v/>
      </c>
      <c r="T148" s="34" t="str">
        <f t="shared" si="19"/>
        <v/>
      </c>
      <c r="U148" s="33" t="str" cm="1">
        <f t="array" ref="U148">IF(A148="","",IFERROR(TRIM(INDEX(_xlfn.TEXTSPLIT(IFERROR(VLOOKUP(A148,'Production Schedule'!$B:$FU,150,FALSE),""),CHAR(10)),5)),""))</f>
        <v/>
      </c>
      <c r="V148" s="34" t="str">
        <f t="shared" si="20"/>
        <v/>
      </c>
      <c r="W148" s="33" t="str" cm="1">
        <f t="array" ref="W148">IF(A148="","",IFERROR(TRIM(INDEX(_xlfn.TEXTSPLIT(IFERROR(VLOOKUP(A148,'Production Schedule'!$B:$FU,150,FALSE),""),CHAR(10)),6)),""))</f>
        <v/>
      </c>
      <c r="X148" s="34" t="str">
        <f t="shared" si="21"/>
        <v/>
      </c>
      <c r="Y148" s="36">
        <f t="shared" si="22"/>
        <v>45766</v>
      </c>
      <c r="Z148" s="37" t="str">
        <f>IF(A148="","",IF(IFERROR(VLOOKUP(A148,Notes!A:B,2,FALSE),"")=0,"",VLOOKUP(A148,Notes!A:B,2,FALSE)))</f>
        <v>04/16/2026…Partially Shipped</v>
      </c>
      <c r="AA148" s="20">
        <f t="shared" si="23"/>
        <v>2</v>
      </c>
    </row>
    <row r="149" spans="1:27" x14ac:dyDescent="0.25">
      <c r="A149" s="18" t="str">
        <v>24051-FS06</v>
      </c>
      <c r="B149" s="18" t="str">
        <f>IF(A149="","",IFERROR(VLOOKUP(A149,'Production Schedule'!$B:$FU,3,FALSE),""))</f>
        <v>TN Titans Stadium</v>
      </c>
      <c r="C149" s="18" t="str">
        <f>IF(A149="","",IFERROR(VLOOKUP(A149,'Production Schedule'!$B:$FU,5,FALSE),""))</f>
        <v>Marc Ribar</v>
      </c>
      <c r="D149" s="18">
        <f>IF(A149="","",IFERROR(VLOOKUP(A149,'Production Schedule'!$B:$FU,7,FALSE),""))</f>
        <v>400</v>
      </c>
      <c r="E149" s="18">
        <f>IF(A149="","",IFERROR(VLOOKUP(A149,'Production Schedule'!$B:$FU,17,FALSE),""))</f>
        <v>153</v>
      </c>
      <c r="F149" s="18">
        <f>IF(A149="","",IFERROR(VLOOKUP(A149,'Production Schedule'!$B:$FU,18,FALSE),""))</f>
        <v>153</v>
      </c>
      <c r="G149" s="18" t="str">
        <f>IF(A149="","",IFERROR(VLOOKUP(A149,'Production Schedule'!$B:$FU,25,FALSE),""))</f>
        <v>FR ACM</v>
      </c>
      <c r="H149" s="19">
        <f>IF(A149="","",IFERROR(VLOOKUP(A149,'Production Schedule'!$B:$FU,47,FALSE),""))</f>
        <v>45722.650667118054</v>
      </c>
      <c r="I149" s="19">
        <f>IF(A149="","",IFERROR(VLOOKUP(A149,'Production Schedule'!$B:$FU,54,FALSE),""))</f>
        <v>45770</v>
      </c>
      <c r="J149" s="26">
        <f>IF(A149="","",IFERROR(VLOOKUP(A149,'Production Schedule'!$B:$FU,135,FALSE),""))</f>
        <v>300</v>
      </c>
      <c r="K149" s="18" t="str">
        <f>IF(A149="","",IFERROR(VLOOKUP(A149,'Production Schedule'!$B:$FU,59,FALSE),""))</f>
        <v>YES</v>
      </c>
      <c r="L149" s="38" t="str">
        <f>IF(A149="","",IFERROR(VLOOKUP(A149,'Production Schedule'!$B:$FU,80,FALSE),""))</f>
        <v>Partially Shipped</v>
      </c>
      <c r="M149" s="27" t="str" cm="1">
        <f t="array" ref="M149">IF(A149="","",IFERROR(TRIM(INDEX(_xlfn.TEXTSPLIT(IFERROR(VLOOKUP(A149,'Production Schedule'!$B:$FU,150,FALSE),""),CHAR(10)),1)),""))</f>
        <v>AXYZ Titans Line</v>
      </c>
      <c r="N149" s="28">
        <f t="shared" si="16"/>
        <v>45743</v>
      </c>
      <c r="O149" s="27" t="str" cm="1">
        <f t="array" ref="O149">IF(A149="","",IFERROR(TRIM(INDEX(_xlfn.TEXTSPLIT(IFERROR(VLOOKUP(A149,'Production Schedule'!$B:$FU,150,FALSE),""),CHAR(10)),2)),""))</f>
        <v>Clean and Brake</v>
      </c>
      <c r="P149" s="28">
        <f t="shared" si="17"/>
        <v>45747</v>
      </c>
      <c r="Q149" s="27" t="str" cm="1">
        <f t="array" ref="Q149">IF(A149="","",IFERROR(TRIM(INDEX(_xlfn.TEXTSPLIT(IFERROR(VLOOKUP(A149,'Production Schedule'!$B:$FU,150,FALSE),""),CHAR(10)),3)),""))</f>
        <v>Fab</v>
      </c>
      <c r="R149" s="28">
        <f t="shared" si="18"/>
        <v>45757</v>
      </c>
      <c r="S149" s="27" t="str" cm="1">
        <f t="array" ref="S149">IF(A149="","",IFERROR(TRIM(INDEX(_xlfn.TEXTSPLIT(IFERROR(VLOOKUP(A149,'Production Schedule'!$B:$FU,150,FALSE),""),CHAR(10)),4)),""))</f>
        <v/>
      </c>
      <c r="T149" s="28" t="str">
        <f t="shared" si="19"/>
        <v/>
      </c>
      <c r="U149" s="27" t="str" cm="1">
        <f t="array" ref="U149">IF(A149="","",IFERROR(TRIM(INDEX(_xlfn.TEXTSPLIT(IFERROR(VLOOKUP(A149,'Production Schedule'!$B:$FU,150,FALSE),""),CHAR(10)),5)),""))</f>
        <v/>
      </c>
      <c r="V149" s="28" t="str">
        <f t="shared" si="20"/>
        <v/>
      </c>
      <c r="W149" s="27" t="str" cm="1">
        <f t="array" ref="W149">IF(A149="","",IFERROR(TRIM(INDEX(_xlfn.TEXTSPLIT(IFERROR(VLOOKUP(A149,'Production Schedule'!$B:$FU,150,FALSE),""),CHAR(10)),6)),""))</f>
        <v/>
      </c>
      <c r="X149" s="28" t="str">
        <f t="shared" si="21"/>
        <v/>
      </c>
      <c r="Y149" s="30">
        <f t="shared" si="22"/>
        <v>45768</v>
      </c>
      <c r="Z149" s="31" t="str">
        <f>IF(A149="","",IF(IFERROR(VLOOKUP(A149,Notes!A:B,2,FALSE),"")=0,"",VLOOKUP(A149,Notes!A:B,2,FALSE)))</f>
        <v>04/16/2026…Partially Shipped</v>
      </c>
      <c r="AA149" s="18">
        <f t="shared" si="23"/>
        <v>2</v>
      </c>
    </row>
    <row r="150" spans="1:27" x14ac:dyDescent="0.25">
      <c r="A150" s="20" t="str">
        <v>24051-FS10</v>
      </c>
      <c r="B150" s="20" t="str">
        <f>IF(A150="","",IFERROR(VLOOKUP(A150,'Production Schedule'!$B:$FU,3,FALSE),""))</f>
        <v>TN Titans Stadium</v>
      </c>
      <c r="C150" s="20" t="str">
        <f>IF(A150="","",IFERROR(VLOOKUP(A150,'Production Schedule'!$B:$FU,5,FALSE),""))</f>
        <v>Marc Ribar</v>
      </c>
      <c r="D150" s="20">
        <f>IF(A150="","",IFERROR(VLOOKUP(A150,'Production Schedule'!$B:$FU,7,FALSE),""))</f>
        <v>400</v>
      </c>
      <c r="E150" s="20">
        <f>IF(A150="","",IFERROR(VLOOKUP(A150,'Production Schedule'!$B:$FU,17,FALSE),""))</f>
        <v>160</v>
      </c>
      <c r="F150" s="20">
        <f>IF(A150="","",IFERROR(VLOOKUP(A150,'Production Schedule'!$B:$FU,18,FALSE),""))</f>
        <v>160</v>
      </c>
      <c r="G150" s="20" t="str">
        <f>IF(A150="","",IFERROR(VLOOKUP(A150,'Production Schedule'!$B:$FU,25,FALSE),""))</f>
        <v>FR ACM</v>
      </c>
      <c r="H150" s="21">
        <f>IF(A150="","",IFERROR(VLOOKUP(A150,'Production Schedule'!$B:$FU,47,FALSE),""))</f>
        <v>45737.230065277778</v>
      </c>
      <c r="I150" s="21">
        <f>IF(A150="","",IFERROR(VLOOKUP(A150,'Production Schedule'!$B:$FU,54,FALSE),""))</f>
        <v>45783</v>
      </c>
      <c r="J150" s="32">
        <f>IF(A150="","",IFERROR(VLOOKUP(A150,'Production Schedule'!$B:$FU,135,FALSE),""))</f>
        <v>300</v>
      </c>
      <c r="K150" s="20" t="str">
        <f>IF(A150="","",IFERROR(VLOOKUP(A150,'Production Schedule'!$B:$FU,59,FALSE),""))</f>
        <v>YES</v>
      </c>
      <c r="L150" s="39" t="str">
        <f>IF(A150="","",IFERROR(VLOOKUP(A150,'Production Schedule'!$B:$FU,80,FALSE),""))</f>
        <v>RTS Titans</v>
      </c>
      <c r="M150" s="33" t="str" cm="1">
        <f t="array" ref="M150">IF(A150="","",IFERROR(TRIM(INDEX(_xlfn.TEXTSPLIT(IFERROR(VLOOKUP(A150,'Production Schedule'!$B:$FU,150,FALSE),""),CHAR(10)),1)),""))</f>
        <v>AXYZ Titans Line</v>
      </c>
      <c r="N150" s="34">
        <f t="shared" si="16"/>
        <v>45756</v>
      </c>
      <c r="O150" s="33" t="str" cm="1">
        <f t="array" ref="O150">IF(A150="","",IFERROR(TRIM(INDEX(_xlfn.TEXTSPLIT(IFERROR(VLOOKUP(A150,'Production Schedule'!$B:$FU,150,FALSE),""),CHAR(10)),2)),""))</f>
        <v>Clean and Brake</v>
      </c>
      <c r="P150" s="34">
        <f t="shared" si="17"/>
        <v>45759</v>
      </c>
      <c r="Q150" s="33" t="str" cm="1">
        <f t="array" ref="Q150">IF(A150="","",IFERROR(TRIM(INDEX(_xlfn.TEXTSPLIT(IFERROR(VLOOKUP(A150,'Production Schedule'!$B:$FU,150,FALSE),""),CHAR(10)),3)),""))</f>
        <v>Fab</v>
      </c>
      <c r="R150" s="34">
        <f t="shared" si="18"/>
        <v>45770</v>
      </c>
      <c r="S150" s="33" t="str" cm="1">
        <f t="array" ref="S150">IF(A150="","",IFERROR(TRIM(INDEX(_xlfn.TEXTSPLIT(IFERROR(VLOOKUP(A150,'Production Schedule'!$B:$FU,150,FALSE),""),CHAR(10)),4)),""))</f>
        <v/>
      </c>
      <c r="T150" s="34" t="str">
        <f t="shared" si="19"/>
        <v/>
      </c>
      <c r="U150" s="33" t="str" cm="1">
        <f t="array" ref="U150">IF(A150="","",IFERROR(TRIM(INDEX(_xlfn.TEXTSPLIT(IFERROR(VLOOKUP(A150,'Production Schedule'!$B:$FU,150,FALSE),""),CHAR(10)),5)),""))</f>
        <v/>
      </c>
      <c r="V150" s="34" t="str">
        <f t="shared" si="20"/>
        <v/>
      </c>
      <c r="W150" s="33" t="str" cm="1">
        <f t="array" ref="W150">IF(A150="","",IFERROR(TRIM(INDEX(_xlfn.TEXTSPLIT(IFERROR(VLOOKUP(A150,'Production Schedule'!$B:$FU,150,FALSE),""),CHAR(10)),6)),""))</f>
        <v/>
      </c>
      <c r="X150" s="34" t="str">
        <f t="shared" si="21"/>
        <v/>
      </c>
      <c r="Y150" s="36">
        <f t="shared" si="22"/>
        <v>45780</v>
      </c>
      <c r="Z150" s="37" t="str">
        <f>IF(A150="","",IF(IFERROR(VLOOKUP(A150,Notes!A:B,2,FALSE),"")=0,"",VLOOKUP(A150,Notes!A:B,2,FALSE)))</f>
        <v>04/16/2026…RTS Titans</v>
      </c>
      <c r="AA150" s="20">
        <f t="shared" si="23"/>
        <v>2</v>
      </c>
    </row>
    <row r="151" spans="1:27" x14ac:dyDescent="0.25">
      <c r="A151" s="18" t="str">
        <v>24051-FS11</v>
      </c>
      <c r="B151" s="18" t="str">
        <f>IF(A151="","",IFERROR(VLOOKUP(A151,'Production Schedule'!$B:$FU,3,FALSE),""))</f>
        <v>TN Titans Stadium</v>
      </c>
      <c r="C151" s="18" t="str">
        <f>IF(A151="","",IFERROR(VLOOKUP(A151,'Production Schedule'!$B:$FU,5,FALSE),""))</f>
        <v>Marc Ribar</v>
      </c>
      <c r="D151" s="18">
        <f>IF(A151="","",IFERROR(VLOOKUP(A151,'Production Schedule'!$B:$FU,7,FALSE),""))</f>
        <v>400</v>
      </c>
      <c r="E151" s="18">
        <f>IF(A151="","",IFERROR(VLOOKUP(A151,'Production Schedule'!$B:$FU,17,FALSE),""))</f>
        <v>160</v>
      </c>
      <c r="F151" s="18">
        <f>IF(A151="","",IFERROR(VLOOKUP(A151,'Production Schedule'!$B:$FU,18,FALSE),""))</f>
        <v>160</v>
      </c>
      <c r="G151" s="18" t="str">
        <f>IF(A151="","",IFERROR(VLOOKUP(A151,'Production Schedule'!$B:$FU,25,FALSE),""))</f>
        <v>FR ACM</v>
      </c>
      <c r="H151" s="19">
        <f>IF(A151="","",IFERROR(VLOOKUP(A151,'Production Schedule'!$B:$FU,47,FALSE),""))</f>
        <v>45737.232616967594</v>
      </c>
      <c r="I151" s="19">
        <f>IF(A151="","",IFERROR(VLOOKUP(A151,'Production Schedule'!$B:$FU,54,FALSE),""))</f>
        <v>45784</v>
      </c>
      <c r="J151" s="26">
        <f>IF(A151="","",IFERROR(VLOOKUP(A151,'Production Schedule'!$B:$FU,135,FALSE),""))</f>
        <v>300</v>
      </c>
      <c r="K151" s="18" t="str">
        <f>IF(A151="","",IFERROR(VLOOKUP(A151,'Production Schedule'!$B:$FU,59,FALSE),""))</f>
        <v>YES</v>
      </c>
      <c r="L151" s="38" t="str">
        <f>IF(A151="","",IFERROR(VLOOKUP(A151,'Production Schedule'!$B:$FU,80,FALSE),""))</f>
        <v>RTS Titans</v>
      </c>
      <c r="M151" s="27" t="str" cm="1">
        <f t="array" ref="M151">IF(A151="","",IFERROR(TRIM(INDEX(_xlfn.TEXTSPLIT(IFERROR(VLOOKUP(A151,'Production Schedule'!$B:$FU,150,FALSE),""),CHAR(10)),1)),""))</f>
        <v>AXYZ Titans Line</v>
      </c>
      <c r="N151" s="28">
        <f t="shared" si="16"/>
        <v>45757</v>
      </c>
      <c r="O151" s="27" t="str" cm="1">
        <f t="array" ref="O151">IF(A151="","",IFERROR(TRIM(INDEX(_xlfn.TEXTSPLIT(IFERROR(VLOOKUP(A151,'Production Schedule'!$B:$FU,150,FALSE),""),CHAR(10)),2)),""))</f>
        <v>Clean and Brake</v>
      </c>
      <c r="P151" s="28">
        <f t="shared" si="17"/>
        <v>45761</v>
      </c>
      <c r="Q151" s="27" t="str" cm="1">
        <f t="array" ref="Q151">IF(A151="","",IFERROR(TRIM(INDEX(_xlfn.TEXTSPLIT(IFERROR(VLOOKUP(A151,'Production Schedule'!$B:$FU,150,FALSE),""),CHAR(10)),3)),""))</f>
        <v>Fab</v>
      </c>
      <c r="R151" s="28">
        <f t="shared" si="18"/>
        <v>45771</v>
      </c>
      <c r="S151" s="27" t="str" cm="1">
        <f t="array" ref="S151">IF(A151="","",IFERROR(TRIM(INDEX(_xlfn.TEXTSPLIT(IFERROR(VLOOKUP(A151,'Production Schedule'!$B:$FU,150,FALSE),""),CHAR(10)),4)),""))</f>
        <v/>
      </c>
      <c r="T151" s="28" t="str">
        <f t="shared" si="19"/>
        <v/>
      </c>
      <c r="U151" s="27" t="str" cm="1">
        <f t="array" ref="U151">IF(A151="","",IFERROR(TRIM(INDEX(_xlfn.TEXTSPLIT(IFERROR(VLOOKUP(A151,'Production Schedule'!$B:$FU,150,FALSE),""),CHAR(10)),5)),""))</f>
        <v/>
      </c>
      <c r="V151" s="28" t="str">
        <f t="shared" si="20"/>
        <v/>
      </c>
      <c r="W151" s="27" t="str" cm="1">
        <f t="array" ref="W151">IF(A151="","",IFERROR(TRIM(INDEX(_xlfn.TEXTSPLIT(IFERROR(VLOOKUP(A151,'Production Schedule'!$B:$FU,150,FALSE),""),CHAR(10)),6)),""))</f>
        <v/>
      </c>
      <c r="X151" s="28" t="str">
        <f t="shared" si="21"/>
        <v/>
      </c>
      <c r="Y151" s="30">
        <f t="shared" si="22"/>
        <v>45782</v>
      </c>
      <c r="Z151" s="31" t="str">
        <f>IF(A151="","",IF(IFERROR(VLOOKUP(A151,Notes!A:B,2,FALSE),"")=0,"",VLOOKUP(A151,Notes!A:B,2,FALSE)))</f>
        <v>04/16/2026…RTS Titans</v>
      </c>
      <c r="AA151" s="18">
        <f t="shared" si="23"/>
        <v>2</v>
      </c>
    </row>
    <row r="152" spans="1:27" x14ac:dyDescent="0.25">
      <c r="A152" s="20" t="str">
        <v>24051-FS12</v>
      </c>
      <c r="B152" s="20" t="str">
        <f>IF(A152="","",IFERROR(VLOOKUP(A152,'Production Schedule'!$B:$FU,3,FALSE),""))</f>
        <v>TN Titans Stadium</v>
      </c>
      <c r="C152" s="20" t="str">
        <f>IF(A152="","",IFERROR(VLOOKUP(A152,'Production Schedule'!$B:$FU,5,FALSE),""))</f>
        <v>Marc Ribar</v>
      </c>
      <c r="D152" s="20">
        <f>IF(A152="","",IFERROR(VLOOKUP(A152,'Production Schedule'!$B:$FU,7,FALSE),""))</f>
        <v>400</v>
      </c>
      <c r="E152" s="20">
        <f>IF(A152="","",IFERROR(VLOOKUP(A152,'Production Schedule'!$B:$FU,17,FALSE),""))</f>
        <v>160</v>
      </c>
      <c r="F152" s="20">
        <f>IF(A152="","",IFERROR(VLOOKUP(A152,'Production Schedule'!$B:$FU,18,FALSE),""))</f>
        <v>160</v>
      </c>
      <c r="G152" s="20" t="str">
        <f>IF(A152="","",IFERROR(VLOOKUP(A152,'Production Schedule'!$B:$FU,25,FALSE),""))</f>
        <v>FR ACM</v>
      </c>
      <c r="H152" s="21">
        <f>IF(A152="","",IFERROR(VLOOKUP(A152,'Production Schedule'!$B:$FU,47,FALSE),""))</f>
        <v>45737.23392353009</v>
      </c>
      <c r="I152" s="21">
        <f>IF(A152="","",IFERROR(VLOOKUP(A152,'Production Schedule'!$B:$FU,54,FALSE),""))</f>
        <v>45791</v>
      </c>
      <c r="J152" s="32">
        <f>IF(A152="","",IFERROR(VLOOKUP(A152,'Production Schedule'!$B:$FU,135,FALSE),""))</f>
        <v>300</v>
      </c>
      <c r="K152" s="20" t="str">
        <f>IF(A152="","",IFERROR(VLOOKUP(A152,'Production Schedule'!$B:$FU,59,FALSE),""))</f>
        <v>YES</v>
      </c>
      <c r="L152" s="39" t="str">
        <f>IF(A152="","",IFERROR(VLOOKUP(A152,'Production Schedule'!$B:$FU,80,FALSE),""))</f>
        <v>RTS Titans</v>
      </c>
      <c r="M152" s="33" t="str" cm="1">
        <f t="array" ref="M152">IF(A152="","",IFERROR(TRIM(INDEX(_xlfn.TEXTSPLIT(IFERROR(VLOOKUP(A152,'Production Schedule'!$B:$FU,150,FALSE),""),CHAR(10)),1)),""))</f>
        <v>AXYZ Titans Line</v>
      </c>
      <c r="N152" s="34">
        <f t="shared" si="16"/>
        <v>45764</v>
      </c>
      <c r="O152" s="33" t="str" cm="1">
        <f t="array" ref="O152">IF(A152="","",IFERROR(TRIM(INDEX(_xlfn.TEXTSPLIT(IFERROR(VLOOKUP(A152,'Production Schedule'!$B:$FU,150,FALSE),""),CHAR(10)),2)),""))</f>
        <v>Clean and Brake</v>
      </c>
      <c r="P152" s="34">
        <f t="shared" si="17"/>
        <v>45768</v>
      </c>
      <c r="Q152" s="33" t="str" cm="1">
        <f t="array" ref="Q152">IF(A152="","",IFERROR(TRIM(INDEX(_xlfn.TEXTSPLIT(IFERROR(VLOOKUP(A152,'Production Schedule'!$B:$FU,150,FALSE),""),CHAR(10)),3)),""))</f>
        <v>Fab</v>
      </c>
      <c r="R152" s="34">
        <f t="shared" si="18"/>
        <v>45778</v>
      </c>
      <c r="S152" s="33" t="str" cm="1">
        <f t="array" ref="S152">IF(A152="","",IFERROR(TRIM(INDEX(_xlfn.TEXTSPLIT(IFERROR(VLOOKUP(A152,'Production Schedule'!$B:$FU,150,FALSE),""),CHAR(10)),4)),""))</f>
        <v/>
      </c>
      <c r="T152" s="34" t="str">
        <f t="shared" si="19"/>
        <v/>
      </c>
      <c r="U152" s="33" t="str" cm="1">
        <f t="array" ref="U152">IF(A152="","",IFERROR(TRIM(INDEX(_xlfn.TEXTSPLIT(IFERROR(VLOOKUP(A152,'Production Schedule'!$B:$FU,150,FALSE),""),CHAR(10)),5)),""))</f>
        <v/>
      </c>
      <c r="V152" s="34" t="str">
        <f t="shared" si="20"/>
        <v/>
      </c>
      <c r="W152" s="33" t="str" cm="1">
        <f t="array" ref="W152">IF(A152="","",IFERROR(TRIM(INDEX(_xlfn.TEXTSPLIT(IFERROR(VLOOKUP(A152,'Production Schedule'!$B:$FU,150,FALSE),""),CHAR(10)),6)),""))</f>
        <v/>
      </c>
      <c r="X152" s="34" t="str">
        <f t="shared" si="21"/>
        <v/>
      </c>
      <c r="Y152" s="36">
        <f t="shared" si="22"/>
        <v>45789</v>
      </c>
      <c r="Z152" s="37" t="str">
        <f>IF(A152="","",IF(IFERROR(VLOOKUP(A152,Notes!A:B,2,FALSE),"")=0,"",VLOOKUP(A152,Notes!A:B,2,FALSE)))</f>
        <v>04/16/2026…RTS Titans</v>
      </c>
      <c r="AA152" s="20">
        <f t="shared" si="23"/>
        <v>2</v>
      </c>
    </row>
    <row r="153" spans="1:27" x14ac:dyDescent="0.25">
      <c r="A153" s="18" t="str">
        <v>24051-FS13</v>
      </c>
      <c r="B153" s="18" t="str">
        <f>IF(A153="","",IFERROR(VLOOKUP(A153,'Production Schedule'!$B:$FU,3,FALSE),""))</f>
        <v>TN Titans Stadium</v>
      </c>
      <c r="C153" s="18" t="str">
        <f>IF(A153="","",IFERROR(VLOOKUP(A153,'Production Schedule'!$B:$FU,5,FALSE),""))</f>
        <v>Marc Ribar</v>
      </c>
      <c r="D153" s="18">
        <f>IF(A153="","",IFERROR(VLOOKUP(A153,'Production Schedule'!$B:$FU,7,FALSE),""))</f>
        <v>400</v>
      </c>
      <c r="E153" s="18">
        <f>IF(A153="","",IFERROR(VLOOKUP(A153,'Production Schedule'!$B:$FU,17,FALSE),""))</f>
        <v>110</v>
      </c>
      <c r="F153" s="18">
        <f>IF(A153="","",IFERROR(VLOOKUP(A153,'Production Schedule'!$B:$FU,18,FALSE),""))</f>
        <v>110</v>
      </c>
      <c r="G153" s="18" t="str">
        <f>IF(A153="","",IFERROR(VLOOKUP(A153,'Production Schedule'!$B:$FU,25,FALSE),""))</f>
        <v>FR ACM</v>
      </c>
      <c r="H153" s="19">
        <f>IF(A153="","",IFERROR(VLOOKUP(A153,'Production Schedule'!$B:$FU,47,FALSE),""))</f>
        <v>45737.601734583332</v>
      </c>
      <c r="I153" s="19">
        <f>IF(A153="","",IFERROR(VLOOKUP(A153,'Production Schedule'!$B:$FU,54,FALSE),""))</f>
        <v>45796</v>
      </c>
      <c r="J153" s="26">
        <f>IF(A153="","",IFERROR(VLOOKUP(A153,'Production Schedule'!$B:$FU,135,FALSE),""))</f>
        <v>300</v>
      </c>
      <c r="K153" s="18" t="str">
        <f>IF(A153="","",IFERROR(VLOOKUP(A153,'Production Schedule'!$B:$FU,59,FALSE),""))</f>
        <v>YES</v>
      </c>
      <c r="L153" s="38" t="str">
        <f>IF(A153="","",IFERROR(VLOOKUP(A153,'Production Schedule'!$B:$FU,80,FALSE),""))</f>
        <v>RTS Titans</v>
      </c>
      <c r="M153" s="27" t="str" cm="1">
        <f t="array" ref="M153">IF(A153="","",IFERROR(TRIM(INDEX(_xlfn.TEXTSPLIT(IFERROR(VLOOKUP(A153,'Production Schedule'!$B:$FU,150,FALSE),""),CHAR(10)),1)),""))</f>
        <v>AXYZ Titans Line</v>
      </c>
      <c r="N153" s="28">
        <f t="shared" si="16"/>
        <v>45770</v>
      </c>
      <c r="O153" s="27" t="str" cm="1">
        <f t="array" ref="O153">IF(A153="","",IFERROR(TRIM(INDEX(_xlfn.TEXTSPLIT(IFERROR(VLOOKUP(A153,'Production Schedule'!$B:$FU,150,FALSE),""),CHAR(10)),2)),""))</f>
        <v>Clean and Brake</v>
      </c>
      <c r="P153" s="28">
        <f t="shared" si="17"/>
        <v>45772</v>
      </c>
      <c r="Q153" s="27" t="str" cm="1">
        <f t="array" ref="Q153">IF(A153="","",IFERROR(TRIM(INDEX(_xlfn.TEXTSPLIT(IFERROR(VLOOKUP(A153,'Production Schedule'!$B:$FU,150,FALSE),""),CHAR(10)),3)),""))</f>
        <v>Fab</v>
      </c>
      <c r="R153" s="28">
        <f t="shared" si="18"/>
        <v>45783</v>
      </c>
      <c r="S153" s="27" t="str" cm="1">
        <f t="array" ref="S153">IF(A153="","",IFERROR(TRIM(INDEX(_xlfn.TEXTSPLIT(IFERROR(VLOOKUP(A153,'Production Schedule'!$B:$FU,150,FALSE),""),CHAR(10)),4)),""))</f>
        <v/>
      </c>
      <c r="T153" s="28" t="str">
        <f t="shared" si="19"/>
        <v/>
      </c>
      <c r="U153" s="27" t="str" cm="1">
        <f t="array" ref="U153">IF(A153="","",IFERROR(TRIM(INDEX(_xlfn.TEXTSPLIT(IFERROR(VLOOKUP(A153,'Production Schedule'!$B:$FU,150,FALSE),""),CHAR(10)),5)),""))</f>
        <v/>
      </c>
      <c r="V153" s="28" t="str">
        <f t="shared" si="20"/>
        <v/>
      </c>
      <c r="W153" s="27" t="str" cm="1">
        <f t="array" ref="W153">IF(A153="","",IFERROR(TRIM(INDEX(_xlfn.TEXTSPLIT(IFERROR(VLOOKUP(A153,'Production Schedule'!$B:$FU,150,FALSE),""),CHAR(10)),6)),""))</f>
        <v/>
      </c>
      <c r="X153" s="28" t="str">
        <f t="shared" si="21"/>
        <v/>
      </c>
      <c r="Y153" s="30">
        <f t="shared" si="22"/>
        <v>45793</v>
      </c>
      <c r="Z153" s="31" t="str">
        <f>IF(A153="","",IF(IFERROR(VLOOKUP(A153,Notes!A:B,2,FALSE),"")=0,"",VLOOKUP(A153,Notes!A:B,2,FALSE)))</f>
        <v>04/16/2026…RTS Titans</v>
      </c>
      <c r="AA153" s="18">
        <f t="shared" si="23"/>
        <v>2</v>
      </c>
    </row>
    <row r="154" spans="1:27" x14ac:dyDescent="0.25">
      <c r="A154" s="20" t="str">
        <v>24051-FS14</v>
      </c>
      <c r="B154" s="20" t="str">
        <f>IF(A154="","",IFERROR(VLOOKUP(A154,'Production Schedule'!$B:$FU,3,FALSE),""))</f>
        <v>TN Titans Stadium</v>
      </c>
      <c r="C154" s="20" t="str">
        <f>IF(A154="","",IFERROR(VLOOKUP(A154,'Production Schedule'!$B:$FU,5,FALSE),""))</f>
        <v>Marc Ribar</v>
      </c>
      <c r="D154" s="20">
        <f>IF(A154="","",IFERROR(VLOOKUP(A154,'Production Schedule'!$B:$FU,7,FALSE),""))</f>
        <v>400</v>
      </c>
      <c r="E154" s="20">
        <f>IF(A154="","",IFERROR(VLOOKUP(A154,'Production Schedule'!$B:$FU,17,FALSE),""))</f>
        <v>110</v>
      </c>
      <c r="F154" s="20">
        <f>IF(A154="","",IFERROR(VLOOKUP(A154,'Production Schedule'!$B:$FU,18,FALSE),""))</f>
        <v>110</v>
      </c>
      <c r="G154" s="20" t="str">
        <f>IF(A154="","",IFERROR(VLOOKUP(A154,'Production Schedule'!$B:$FU,25,FALSE),""))</f>
        <v>FR ACM</v>
      </c>
      <c r="H154" s="21">
        <f>IF(A154="","",IFERROR(VLOOKUP(A154,'Production Schedule'!$B:$FU,47,FALSE),""))</f>
        <v>45737.604700694443</v>
      </c>
      <c r="I154" s="21">
        <f>IF(A154="","",IFERROR(VLOOKUP(A154,'Production Schedule'!$B:$FU,54,FALSE),""))</f>
        <v>45798</v>
      </c>
      <c r="J154" s="32">
        <f>IF(A154="","",IFERROR(VLOOKUP(A154,'Production Schedule'!$B:$FU,135,FALSE),""))</f>
        <v>200</v>
      </c>
      <c r="K154" s="20" t="str">
        <f>IF(A154="","",IFERROR(VLOOKUP(A154,'Production Schedule'!$B:$FU,59,FALSE),""))</f>
        <v>YES</v>
      </c>
      <c r="L154" s="39" t="str">
        <f>IF(A154="","",IFERROR(VLOOKUP(A154,'Production Schedule'!$B:$FU,80,FALSE),""))</f>
        <v>RTS Titans</v>
      </c>
      <c r="M154" s="33" t="str" cm="1">
        <f t="array" ref="M154">IF(A154="","",IFERROR(TRIM(INDEX(_xlfn.TEXTSPLIT(IFERROR(VLOOKUP(A154,'Production Schedule'!$B:$FU,150,FALSE),""),CHAR(10)),1)),""))</f>
        <v>AXYZ Titans Line</v>
      </c>
      <c r="N154" s="34">
        <f t="shared" si="16"/>
        <v>45772</v>
      </c>
      <c r="O154" s="33" t="str" cm="1">
        <f t="array" ref="O154">IF(A154="","",IFERROR(TRIM(INDEX(_xlfn.TEXTSPLIT(IFERROR(VLOOKUP(A154,'Production Schedule'!$B:$FU,150,FALSE),""),CHAR(10)),2)),""))</f>
        <v>Clean and Brake</v>
      </c>
      <c r="P154" s="34">
        <f t="shared" si="17"/>
        <v>45775</v>
      </c>
      <c r="Q154" s="33" t="str" cm="1">
        <f t="array" ref="Q154">IF(A154="","",IFERROR(TRIM(INDEX(_xlfn.TEXTSPLIT(IFERROR(VLOOKUP(A154,'Production Schedule'!$B:$FU,150,FALSE),""),CHAR(10)),3)),""))</f>
        <v>Fab</v>
      </c>
      <c r="R154" s="34">
        <f t="shared" si="18"/>
        <v>45785</v>
      </c>
      <c r="S154" s="33" t="str" cm="1">
        <f t="array" ref="S154">IF(A154="","",IFERROR(TRIM(INDEX(_xlfn.TEXTSPLIT(IFERROR(VLOOKUP(A154,'Production Schedule'!$B:$FU,150,FALSE),""),CHAR(10)),4)),""))</f>
        <v/>
      </c>
      <c r="T154" s="34" t="str">
        <f t="shared" si="19"/>
        <v/>
      </c>
      <c r="U154" s="33" t="str" cm="1">
        <f t="array" ref="U154">IF(A154="","",IFERROR(TRIM(INDEX(_xlfn.TEXTSPLIT(IFERROR(VLOOKUP(A154,'Production Schedule'!$B:$FU,150,FALSE),""),CHAR(10)),5)),""))</f>
        <v/>
      </c>
      <c r="V154" s="34" t="str">
        <f t="shared" si="20"/>
        <v/>
      </c>
      <c r="W154" s="33" t="str" cm="1">
        <f t="array" ref="W154">IF(A154="","",IFERROR(TRIM(INDEX(_xlfn.TEXTSPLIT(IFERROR(VLOOKUP(A154,'Production Schedule'!$B:$FU,150,FALSE),""),CHAR(10)),6)),""))</f>
        <v/>
      </c>
      <c r="X154" s="34" t="str">
        <f t="shared" si="21"/>
        <v/>
      </c>
      <c r="Y154" s="36">
        <f t="shared" si="22"/>
        <v>45796</v>
      </c>
      <c r="Z154" s="37" t="str">
        <f>IF(A154="","",IF(IFERROR(VLOOKUP(A154,Notes!A:B,2,FALSE),"")=0,"",VLOOKUP(A154,Notes!A:B,2,FALSE)))</f>
        <v>04/16/2026…RTS Titans</v>
      </c>
      <c r="AA154" s="20">
        <f t="shared" si="23"/>
        <v>2</v>
      </c>
    </row>
    <row r="155" spans="1:27" x14ac:dyDescent="0.25">
      <c r="A155" s="18" t="str">
        <v>24051-FS15</v>
      </c>
      <c r="B155" s="18" t="str">
        <f>IF(A155="","",IFERROR(VLOOKUP(A155,'Production Schedule'!$B:$FU,3,FALSE),""))</f>
        <v>TN Titans Stadium</v>
      </c>
      <c r="C155" s="18" t="str">
        <f>IF(A155="","",IFERROR(VLOOKUP(A155,'Production Schedule'!$B:$FU,5,FALSE),""))</f>
        <v>Marc Ribar</v>
      </c>
      <c r="D155" s="18">
        <f>IF(A155="","",IFERROR(VLOOKUP(A155,'Production Schedule'!$B:$FU,7,FALSE),""))</f>
        <v>400</v>
      </c>
      <c r="E155" s="18">
        <f>IF(A155="","",IFERROR(VLOOKUP(A155,'Production Schedule'!$B:$FU,17,FALSE),""))</f>
        <v>110</v>
      </c>
      <c r="F155" s="18">
        <f>IF(A155="","",IFERROR(VLOOKUP(A155,'Production Schedule'!$B:$FU,18,FALSE),""))</f>
        <v>110</v>
      </c>
      <c r="G155" s="18" t="str">
        <f>IF(A155="","",IFERROR(VLOOKUP(A155,'Production Schedule'!$B:$FU,25,FALSE),""))</f>
        <v>FR ACM</v>
      </c>
      <c r="H155" s="19">
        <f>IF(A155="","",IFERROR(VLOOKUP(A155,'Production Schedule'!$B:$FU,47,FALSE),""))</f>
        <v>45737.610369166665</v>
      </c>
      <c r="I155" s="19">
        <f>IF(A155="","",IFERROR(VLOOKUP(A155,'Production Schedule'!$B:$FU,54,FALSE),""))</f>
        <v>45799</v>
      </c>
      <c r="J155" s="26">
        <f>IF(A155="","",IFERROR(VLOOKUP(A155,'Production Schedule'!$B:$FU,135,FALSE),""))</f>
        <v>200</v>
      </c>
      <c r="K155" s="18" t="str">
        <f>IF(A155="","",IFERROR(VLOOKUP(A155,'Production Schedule'!$B:$FU,59,FALSE),""))</f>
        <v>YES</v>
      </c>
      <c r="L155" s="38" t="str">
        <f>IF(A155="","",IFERROR(VLOOKUP(A155,'Production Schedule'!$B:$FU,80,FALSE),""))</f>
        <v>RTS Titans</v>
      </c>
      <c r="M155" s="27" t="str" cm="1">
        <f t="array" ref="M155">IF(A155="","",IFERROR(TRIM(INDEX(_xlfn.TEXTSPLIT(IFERROR(VLOOKUP(A155,'Production Schedule'!$B:$FU,150,FALSE),""),CHAR(10)),1)),""))</f>
        <v>AXYZ Titans Line</v>
      </c>
      <c r="N155" s="28">
        <f t="shared" si="16"/>
        <v>45773</v>
      </c>
      <c r="O155" s="27" t="str" cm="1">
        <f t="array" ref="O155">IF(A155="","",IFERROR(TRIM(INDEX(_xlfn.TEXTSPLIT(IFERROR(VLOOKUP(A155,'Production Schedule'!$B:$FU,150,FALSE),""),CHAR(10)),2)),""))</f>
        <v>Clean and Brake</v>
      </c>
      <c r="P155" s="28">
        <f t="shared" si="17"/>
        <v>45776</v>
      </c>
      <c r="Q155" s="27" t="str" cm="1">
        <f t="array" ref="Q155">IF(A155="","",IFERROR(TRIM(INDEX(_xlfn.TEXTSPLIT(IFERROR(VLOOKUP(A155,'Production Schedule'!$B:$FU,150,FALSE),""),CHAR(10)),3)),""))</f>
        <v>Fab</v>
      </c>
      <c r="R155" s="28">
        <f t="shared" si="18"/>
        <v>45786</v>
      </c>
      <c r="S155" s="27" t="str" cm="1">
        <f t="array" ref="S155">IF(A155="","",IFERROR(TRIM(INDEX(_xlfn.TEXTSPLIT(IFERROR(VLOOKUP(A155,'Production Schedule'!$B:$FU,150,FALSE),""),CHAR(10)),4)),""))</f>
        <v/>
      </c>
      <c r="T155" s="28" t="str">
        <f t="shared" si="19"/>
        <v/>
      </c>
      <c r="U155" s="27" t="str" cm="1">
        <f t="array" ref="U155">IF(A155="","",IFERROR(TRIM(INDEX(_xlfn.TEXTSPLIT(IFERROR(VLOOKUP(A155,'Production Schedule'!$B:$FU,150,FALSE),""),CHAR(10)),5)),""))</f>
        <v/>
      </c>
      <c r="V155" s="28" t="str">
        <f t="shared" si="20"/>
        <v/>
      </c>
      <c r="W155" s="27" t="str" cm="1">
        <f t="array" ref="W155">IF(A155="","",IFERROR(TRIM(INDEX(_xlfn.TEXTSPLIT(IFERROR(VLOOKUP(A155,'Production Schedule'!$B:$FU,150,FALSE),""),CHAR(10)),6)),""))</f>
        <v/>
      </c>
      <c r="X155" s="28" t="str">
        <f t="shared" si="21"/>
        <v/>
      </c>
      <c r="Y155" s="30">
        <f t="shared" si="22"/>
        <v>45797</v>
      </c>
      <c r="Z155" s="31" t="str">
        <f>IF(A155="","",IF(IFERROR(VLOOKUP(A155,Notes!A:B,2,FALSE),"")=0,"",VLOOKUP(A155,Notes!A:B,2,FALSE)))</f>
        <v>04/16/2026…RTS Titans</v>
      </c>
      <c r="AA155" s="18">
        <f t="shared" si="23"/>
        <v>2</v>
      </c>
    </row>
    <row r="156" spans="1:27" x14ac:dyDescent="0.25">
      <c r="A156" s="20" t="str">
        <v>24051-FS25</v>
      </c>
      <c r="B156" s="20" t="str">
        <f>IF(A156="","",IFERROR(VLOOKUP(A156,'Production Schedule'!$B:$FU,3,FALSE),""))</f>
        <v>TN Titans Stadium</v>
      </c>
      <c r="C156" s="20" t="str">
        <f>IF(A156="","",IFERROR(VLOOKUP(A156,'Production Schedule'!$B:$FU,5,FALSE),""))</f>
        <v>Marc Ribar</v>
      </c>
      <c r="D156" s="20">
        <f>IF(A156="","",IFERROR(VLOOKUP(A156,'Production Schedule'!$B:$FU,7,FALSE),""))</f>
        <v>400</v>
      </c>
      <c r="E156" s="20">
        <f>IF(A156="","",IFERROR(VLOOKUP(A156,'Production Schedule'!$B:$FU,17,FALSE),""))</f>
        <v>50</v>
      </c>
      <c r="F156" s="20">
        <f>IF(A156="","",IFERROR(VLOOKUP(A156,'Production Schedule'!$B:$FU,18,FALSE),""))</f>
        <v>50</v>
      </c>
      <c r="G156" s="20" t="str">
        <f>IF(A156="","",IFERROR(VLOOKUP(A156,'Production Schedule'!$B:$FU,25,FALSE),""))</f>
        <v>FR ACM</v>
      </c>
      <c r="H156" s="21">
        <f>IF(A156="","",IFERROR(VLOOKUP(A156,'Production Schedule'!$B:$FU,47,FALSE),""))</f>
        <v>45751.591600648149</v>
      </c>
      <c r="I156" s="21">
        <f>IF(A156="","",IFERROR(VLOOKUP(A156,'Production Schedule'!$B:$FU,54,FALSE),""))</f>
        <v>45810</v>
      </c>
      <c r="J156" s="32">
        <f>IF(A156="","",IFERROR(VLOOKUP(A156,'Production Schedule'!$B:$FU,135,FALSE),""))</f>
        <v>100</v>
      </c>
      <c r="K156" s="20" t="str">
        <f>IF(A156="","",IFERROR(VLOOKUP(A156,'Production Schedule'!$B:$FU,59,FALSE),""))</f>
        <v>YES</v>
      </c>
      <c r="L156" s="39" t="str">
        <f>IF(A156="","",IFERROR(VLOOKUP(A156,'Production Schedule'!$B:$FU,80,FALSE),""))</f>
        <v>RTS Titans</v>
      </c>
      <c r="M156" s="33" t="str" cm="1">
        <f t="array" ref="M156">IF(A156="","",IFERROR(TRIM(INDEX(_xlfn.TEXTSPLIT(IFERROR(VLOOKUP(A156,'Production Schedule'!$B:$FU,150,FALSE),""),CHAR(10)),1)),""))</f>
        <v>AXYZ Titans Line</v>
      </c>
      <c r="N156" s="34">
        <f t="shared" si="16"/>
        <v>45785</v>
      </c>
      <c r="O156" s="33" t="str" cm="1">
        <f t="array" ref="O156">IF(A156="","",IFERROR(TRIM(INDEX(_xlfn.TEXTSPLIT(IFERROR(VLOOKUP(A156,'Production Schedule'!$B:$FU,150,FALSE),""),CHAR(10)),2)),""))</f>
        <v>Clean and Brake</v>
      </c>
      <c r="P156" s="34">
        <f t="shared" si="17"/>
        <v>45786</v>
      </c>
      <c r="Q156" s="33" t="str" cm="1">
        <f t="array" ref="Q156">IF(A156="","",IFERROR(TRIM(INDEX(_xlfn.TEXTSPLIT(IFERROR(VLOOKUP(A156,'Production Schedule'!$B:$FU,150,FALSE),""),CHAR(10)),3)),""))</f>
        <v>Fab</v>
      </c>
      <c r="R156" s="34">
        <f t="shared" si="18"/>
        <v>45797</v>
      </c>
      <c r="S156" s="33" t="str" cm="1">
        <f t="array" ref="S156">IF(A156="","",IFERROR(TRIM(INDEX(_xlfn.TEXTSPLIT(IFERROR(VLOOKUP(A156,'Production Schedule'!$B:$FU,150,FALSE),""),CHAR(10)),4)),""))</f>
        <v/>
      </c>
      <c r="T156" s="34" t="str">
        <f t="shared" si="19"/>
        <v/>
      </c>
      <c r="U156" s="33" t="str" cm="1">
        <f t="array" ref="U156">IF(A156="","",IFERROR(TRIM(INDEX(_xlfn.TEXTSPLIT(IFERROR(VLOOKUP(A156,'Production Schedule'!$B:$FU,150,FALSE),""),CHAR(10)),5)),""))</f>
        <v/>
      </c>
      <c r="V156" s="34" t="str">
        <f t="shared" si="20"/>
        <v/>
      </c>
      <c r="W156" s="33" t="str" cm="1">
        <f t="array" ref="W156">IF(A156="","",IFERROR(TRIM(INDEX(_xlfn.TEXTSPLIT(IFERROR(VLOOKUP(A156,'Production Schedule'!$B:$FU,150,FALSE),""),CHAR(10)),6)),""))</f>
        <v/>
      </c>
      <c r="X156" s="34" t="str">
        <f t="shared" si="21"/>
        <v/>
      </c>
      <c r="Y156" s="36">
        <f t="shared" si="22"/>
        <v>45807</v>
      </c>
      <c r="Z156" s="37" t="str">
        <f>IF(A156="","",IF(IFERROR(VLOOKUP(A156,Notes!A:B,2,FALSE),"")=0,"",VLOOKUP(A156,Notes!A:B,2,FALSE)))</f>
        <v>04/16/2026…RTS Titans</v>
      </c>
      <c r="AA156" s="20">
        <f t="shared" si="23"/>
        <v>2</v>
      </c>
    </row>
    <row r="157" spans="1:27" x14ac:dyDescent="0.25">
      <c r="A157" s="18" t="str">
        <v>24051-FS26</v>
      </c>
      <c r="B157" s="18" t="str">
        <f>IF(A157="","",IFERROR(VLOOKUP(A157,'Production Schedule'!$B:$FU,3,FALSE),""))</f>
        <v>TN Titans Stadium</v>
      </c>
      <c r="C157" s="18" t="str">
        <f>IF(A157="","",IFERROR(VLOOKUP(A157,'Production Schedule'!$B:$FU,5,FALSE),""))</f>
        <v>Marc Ribar</v>
      </c>
      <c r="D157" s="18">
        <f>IF(A157="","",IFERROR(VLOOKUP(A157,'Production Schedule'!$B:$FU,7,FALSE),""))</f>
        <v>400</v>
      </c>
      <c r="E157" s="18">
        <f>IF(A157="","",IFERROR(VLOOKUP(A157,'Production Schedule'!$B:$FU,17,FALSE),""))</f>
        <v>169</v>
      </c>
      <c r="F157" s="18">
        <f>IF(A157="","",IFERROR(VLOOKUP(A157,'Production Schedule'!$B:$FU,18,FALSE),""))</f>
        <v>169</v>
      </c>
      <c r="G157" s="18" t="str">
        <f>IF(A157="","",IFERROR(VLOOKUP(A157,'Production Schedule'!$B:$FU,25,FALSE),""))</f>
        <v>FR ACM</v>
      </c>
      <c r="H157" s="19">
        <f>IF(A157="","",IFERROR(VLOOKUP(A157,'Production Schedule'!$B:$FU,47,FALSE),""))</f>
        <v>45751.594140729168</v>
      </c>
      <c r="I157" s="19">
        <f>IF(A157="","",IFERROR(VLOOKUP(A157,'Production Schedule'!$B:$FU,54,FALSE),""))</f>
        <v>45810</v>
      </c>
      <c r="J157" s="26">
        <f>IF(A157="","",IFERROR(VLOOKUP(A157,'Production Schedule'!$B:$FU,135,FALSE),""))</f>
        <v>300</v>
      </c>
      <c r="K157" s="18" t="str">
        <f>IF(A157="","",IFERROR(VLOOKUP(A157,'Production Schedule'!$B:$FU,59,FALSE),""))</f>
        <v>YES</v>
      </c>
      <c r="L157" s="38" t="str">
        <f>IF(A157="","",IFERROR(VLOOKUP(A157,'Production Schedule'!$B:$FU,80,FALSE),""))</f>
        <v>RTS Titans</v>
      </c>
      <c r="M157" s="27" t="str" cm="1">
        <f t="array" ref="M157">IF(A157="","",IFERROR(TRIM(INDEX(_xlfn.TEXTSPLIT(IFERROR(VLOOKUP(A157,'Production Schedule'!$B:$FU,150,FALSE),""),CHAR(10)),1)),""))</f>
        <v>AXYZ Titans Line</v>
      </c>
      <c r="N157" s="28">
        <f t="shared" si="16"/>
        <v>45782</v>
      </c>
      <c r="O157" s="27" t="str" cm="1">
        <f t="array" ref="O157">IF(A157="","",IFERROR(TRIM(INDEX(_xlfn.TEXTSPLIT(IFERROR(VLOOKUP(A157,'Production Schedule'!$B:$FU,150,FALSE),""),CHAR(10)),2)),""))</f>
        <v>Clean and Brake</v>
      </c>
      <c r="P157" s="28">
        <f t="shared" si="17"/>
        <v>45786</v>
      </c>
      <c r="Q157" s="27" t="str" cm="1">
        <f t="array" ref="Q157">IF(A157="","",IFERROR(TRIM(INDEX(_xlfn.TEXTSPLIT(IFERROR(VLOOKUP(A157,'Production Schedule'!$B:$FU,150,FALSE),""),CHAR(10)),3)),""))</f>
        <v>Fab</v>
      </c>
      <c r="R157" s="28">
        <f t="shared" si="18"/>
        <v>45797</v>
      </c>
      <c r="S157" s="27" t="str" cm="1">
        <f t="array" ref="S157">IF(A157="","",IFERROR(TRIM(INDEX(_xlfn.TEXTSPLIT(IFERROR(VLOOKUP(A157,'Production Schedule'!$B:$FU,150,FALSE),""),CHAR(10)),4)),""))</f>
        <v/>
      </c>
      <c r="T157" s="28" t="str">
        <f t="shared" si="19"/>
        <v/>
      </c>
      <c r="U157" s="27" t="str" cm="1">
        <f t="array" ref="U157">IF(A157="","",IFERROR(TRIM(INDEX(_xlfn.TEXTSPLIT(IFERROR(VLOOKUP(A157,'Production Schedule'!$B:$FU,150,FALSE),""),CHAR(10)),5)),""))</f>
        <v/>
      </c>
      <c r="V157" s="28" t="str">
        <f t="shared" si="20"/>
        <v/>
      </c>
      <c r="W157" s="27" t="str" cm="1">
        <f t="array" ref="W157">IF(A157="","",IFERROR(TRIM(INDEX(_xlfn.TEXTSPLIT(IFERROR(VLOOKUP(A157,'Production Schedule'!$B:$FU,150,FALSE),""),CHAR(10)),6)),""))</f>
        <v/>
      </c>
      <c r="X157" s="28" t="str">
        <f t="shared" si="21"/>
        <v/>
      </c>
      <c r="Y157" s="30">
        <f t="shared" si="22"/>
        <v>45807</v>
      </c>
      <c r="Z157" s="31" t="str">
        <f>IF(A157="","",IF(IFERROR(VLOOKUP(A157,Notes!A:B,2,FALSE),"")=0,"",VLOOKUP(A157,Notes!A:B,2,FALSE)))</f>
        <v>04/16/2026…RTS Titans</v>
      </c>
      <c r="AA157" s="18">
        <f t="shared" si="23"/>
        <v>2</v>
      </c>
    </row>
    <row r="158" spans="1:27" x14ac:dyDescent="0.25">
      <c r="A158" s="20" t="str">
        <v>24051-FS212</v>
      </c>
      <c r="B158" s="20" t="str">
        <f>IF(A158="","",IFERROR(VLOOKUP(A158,'Production Schedule'!$B:$FU,3,FALSE),""))</f>
        <v>TN Titans Stadium</v>
      </c>
      <c r="C158" s="20" t="str">
        <f>IF(A158="","",IFERROR(VLOOKUP(A158,'Production Schedule'!$B:$FU,5,FALSE),""))</f>
        <v>Marc Ribar</v>
      </c>
      <c r="D158" s="20">
        <f>IF(A158="","",IFERROR(VLOOKUP(A158,'Production Schedule'!$B:$FU,7,FALSE),""))</f>
        <v>400</v>
      </c>
      <c r="E158" s="20">
        <f>IF(A158="","",IFERROR(VLOOKUP(A158,'Production Schedule'!$B:$FU,17,FALSE),""))</f>
        <v>26</v>
      </c>
      <c r="F158" s="20">
        <f>IF(A158="","",IFERROR(VLOOKUP(A158,'Production Schedule'!$B:$FU,18,FALSE),""))</f>
        <v>26</v>
      </c>
      <c r="G158" s="20" t="str">
        <f>IF(A158="","",IFERROR(VLOOKUP(A158,'Production Schedule'!$B:$FU,25,FALSE),""))</f>
        <v>FR ACM</v>
      </c>
      <c r="H158" s="21">
        <f>IF(A158="","",IFERROR(VLOOKUP(A158,'Production Schedule'!$B:$FU,47,FALSE),""))</f>
        <v>45751.661391458336</v>
      </c>
      <c r="I158" s="21">
        <f>IF(A158="","",IFERROR(VLOOKUP(A158,'Production Schedule'!$B:$FU,54,FALSE),""))</f>
        <v>45819</v>
      </c>
      <c r="J158" s="32">
        <f>IF(A158="","",IFERROR(VLOOKUP(A158,'Production Schedule'!$B:$FU,135,FALSE),""))</f>
        <v>50</v>
      </c>
      <c r="K158" s="20" t="str">
        <f>IF(A158="","",IFERROR(VLOOKUP(A158,'Production Schedule'!$B:$FU,59,FALSE),""))</f>
        <v>NO</v>
      </c>
      <c r="L158" s="39" t="str">
        <f>IF(A158="","",IFERROR(VLOOKUP(A158,'Production Schedule'!$B:$FU,80,FALSE),""))</f>
        <v>RTS Titans</v>
      </c>
      <c r="M158" s="33" t="str" cm="1">
        <f t="array" ref="M158">IF(A158="","",IFERROR(TRIM(INDEX(_xlfn.TEXTSPLIT(IFERROR(VLOOKUP(A158,'Production Schedule'!$B:$FU,150,FALSE),""),CHAR(10)),1)),""))</f>
        <v>AXYZ Titans Line</v>
      </c>
      <c r="N158" s="34">
        <f t="shared" si="16"/>
        <v>45794</v>
      </c>
      <c r="O158" s="33" t="str" cm="1">
        <f t="array" ref="O158">IF(A158="","",IFERROR(TRIM(INDEX(_xlfn.TEXTSPLIT(IFERROR(VLOOKUP(A158,'Production Schedule'!$B:$FU,150,FALSE),""),CHAR(10)),2)),""))</f>
        <v>Clean and Brake</v>
      </c>
      <c r="P158" s="34">
        <f t="shared" si="17"/>
        <v>45796</v>
      </c>
      <c r="Q158" s="33" t="str" cm="1">
        <f t="array" ref="Q158">IF(A158="","",IFERROR(TRIM(INDEX(_xlfn.TEXTSPLIT(IFERROR(VLOOKUP(A158,'Production Schedule'!$B:$FU,150,FALSE),""),CHAR(10)),3)),""))</f>
        <v>Fab</v>
      </c>
      <c r="R158" s="34">
        <f t="shared" si="18"/>
        <v>45806</v>
      </c>
      <c r="S158" s="33" t="str" cm="1">
        <f t="array" ref="S158">IF(A158="","",IFERROR(TRIM(INDEX(_xlfn.TEXTSPLIT(IFERROR(VLOOKUP(A158,'Production Schedule'!$B:$FU,150,FALSE),""),CHAR(10)),4)),""))</f>
        <v/>
      </c>
      <c r="T158" s="34" t="str">
        <f t="shared" si="19"/>
        <v/>
      </c>
      <c r="U158" s="33" t="str" cm="1">
        <f t="array" ref="U158">IF(A158="","",IFERROR(TRIM(INDEX(_xlfn.TEXTSPLIT(IFERROR(VLOOKUP(A158,'Production Schedule'!$B:$FU,150,FALSE),""),CHAR(10)),5)),""))</f>
        <v/>
      </c>
      <c r="V158" s="34" t="str">
        <f t="shared" si="20"/>
        <v/>
      </c>
      <c r="W158" s="33" t="str" cm="1">
        <f t="array" ref="W158">IF(A158="","",IFERROR(TRIM(INDEX(_xlfn.TEXTSPLIT(IFERROR(VLOOKUP(A158,'Production Schedule'!$B:$FU,150,FALSE),""),CHAR(10)),6)),""))</f>
        <v/>
      </c>
      <c r="X158" s="34" t="str">
        <f t="shared" si="21"/>
        <v/>
      </c>
      <c r="Y158" s="36">
        <f t="shared" si="22"/>
        <v>45817</v>
      </c>
      <c r="Z158" s="37" t="str">
        <f>IF(A158="","",IF(IFERROR(VLOOKUP(A158,Notes!A:B,2,FALSE),"")=0,"",VLOOKUP(A158,Notes!A:B,2,FALSE)))</f>
        <v>04/16/2026…RTS Titans</v>
      </c>
      <c r="AA158" s="20">
        <f t="shared" si="23"/>
        <v>2</v>
      </c>
    </row>
    <row r="159" spans="1:27" x14ac:dyDescent="0.25">
      <c r="A159" s="18" t="str">
        <v>24051-FS29</v>
      </c>
      <c r="B159" s="18" t="str">
        <f>IF(A159="","",IFERROR(VLOOKUP(A159,'Production Schedule'!$B:$FU,3,FALSE),""))</f>
        <v>TN Titans Stadium</v>
      </c>
      <c r="C159" s="18" t="str">
        <f>IF(A159="","",IFERROR(VLOOKUP(A159,'Production Schedule'!$B:$FU,5,FALSE),""))</f>
        <v>Marc Ribar</v>
      </c>
      <c r="D159" s="18">
        <f>IF(A159="","",IFERROR(VLOOKUP(A159,'Production Schedule'!$B:$FU,7,FALSE),""))</f>
        <v>400</v>
      </c>
      <c r="E159" s="18">
        <f>IF(A159="","",IFERROR(VLOOKUP(A159,'Production Schedule'!$B:$FU,17,FALSE),""))</f>
        <v>78</v>
      </c>
      <c r="F159" s="18">
        <f>IF(A159="","",IFERROR(VLOOKUP(A159,'Production Schedule'!$B:$FU,18,FALSE),""))</f>
        <v>78</v>
      </c>
      <c r="G159" s="18" t="str">
        <f>IF(A159="","",IFERROR(VLOOKUP(A159,'Production Schedule'!$B:$FU,25,FALSE),""))</f>
        <v>FR ACM</v>
      </c>
      <c r="H159" s="19">
        <f>IF(A159="","",IFERROR(VLOOKUP(A159,'Production Schedule'!$B:$FU,47,FALSE),""))</f>
        <v>45751.659686967592</v>
      </c>
      <c r="I159" s="19">
        <f>IF(A159="","",IFERROR(VLOOKUP(A159,'Production Schedule'!$B:$FU,54,FALSE),""))</f>
        <v>45819</v>
      </c>
      <c r="J159" s="26">
        <f>IF(A159="","",IFERROR(VLOOKUP(A159,'Production Schedule'!$B:$FU,135,FALSE),""))</f>
        <v>200</v>
      </c>
      <c r="K159" s="18" t="str">
        <f>IF(A159="","",IFERROR(VLOOKUP(A159,'Production Schedule'!$B:$FU,59,FALSE),""))</f>
        <v>YES</v>
      </c>
      <c r="L159" s="38" t="str">
        <f>IF(A159="","",IFERROR(VLOOKUP(A159,'Production Schedule'!$B:$FU,80,FALSE),""))</f>
        <v>RTS Titans</v>
      </c>
      <c r="M159" s="27" t="str" cm="1">
        <f t="array" ref="M159">IF(A159="","",IFERROR(TRIM(INDEX(_xlfn.TEXTSPLIT(IFERROR(VLOOKUP(A159,'Production Schedule'!$B:$FU,150,FALSE),""),CHAR(10)),1)),""))</f>
        <v>AXYZ Titans Line</v>
      </c>
      <c r="N159" s="28">
        <f t="shared" si="16"/>
        <v>45793</v>
      </c>
      <c r="O159" s="27" t="str" cm="1">
        <f t="array" ref="O159">IF(A159="","",IFERROR(TRIM(INDEX(_xlfn.TEXTSPLIT(IFERROR(VLOOKUP(A159,'Production Schedule'!$B:$FU,150,FALSE),""),CHAR(10)),2)),""))</f>
        <v>Clean and Brake</v>
      </c>
      <c r="P159" s="28">
        <f t="shared" si="17"/>
        <v>45796</v>
      </c>
      <c r="Q159" s="27" t="str" cm="1">
        <f t="array" ref="Q159">IF(A159="","",IFERROR(TRIM(INDEX(_xlfn.TEXTSPLIT(IFERROR(VLOOKUP(A159,'Production Schedule'!$B:$FU,150,FALSE),""),CHAR(10)),3)),""))</f>
        <v>Fab</v>
      </c>
      <c r="R159" s="28">
        <f t="shared" si="18"/>
        <v>45806</v>
      </c>
      <c r="S159" s="27" t="str" cm="1">
        <f t="array" ref="S159">IF(A159="","",IFERROR(TRIM(INDEX(_xlfn.TEXTSPLIT(IFERROR(VLOOKUP(A159,'Production Schedule'!$B:$FU,150,FALSE),""),CHAR(10)),4)),""))</f>
        <v/>
      </c>
      <c r="T159" s="28" t="str">
        <f t="shared" si="19"/>
        <v/>
      </c>
      <c r="U159" s="27" t="str" cm="1">
        <f t="array" ref="U159">IF(A159="","",IFERROR(TRIM(INDEX(_xlfn.TEXTSPLIT(IFERROR(VLOOKUP(A159,'Production Schedule'!$B:$FU,150,FALSE),""),CHAR(10)),5)),""))</f>
        <v/>
      </c>
      <c r="V159" s="28" t="str">
        <f t="shared" si="20"/>
        <v/>
      </c>
      <c r="W159" s="27" t="str" cm="1">
        <f t="array" ref="W159">IF(A159="","",IFERROR(TRIM(INDEX(_xlfn.TEXTSPLIT(IFERROR(VLOOKUP(A159,'Production Schedule'!$B:$FU,150,FALSE),""),CHAR(10)),6)),""))</f>
        <v/>
      </c>
      <c r="X159" s="28" t="str">
        <f t="shared" si="21"/>
        <v/>
      </c>
      <c r="Y159" s="30">
        <f t="shared" si="22"/>
        <v>45817</v>
      </c>
      <c r="Z159" s="31" t="str">
        <f>IF(A159="","",IF(IFERROR(VLOOKUP(A159,Notes!A:B,2,FALSE),"")=0,"",VLOOKUP(A159,Notes!A:B,2,FALSE)))</f>
        <v>04/16/2026…RTS Titans</v>
      </c>
      <c r="AA159" s="18">
        <f t="shared" si="23"/>
        <v>2</v>
      </c>
    </row>
    <row r="160" spans="1:27" x14ac:dyDescent="0.25">
      <c r="A160" s="20" t="str">
        <v>24051-FS30</v>
      </c>
      <c r="B160" s="20" t="str">
        <f>IF(A160="","",IFERROR(VLOOKUP(A160,'Production Schedule'!$B:$FU,3,FALSE),""))</f>
        <v>TN Titans Stadium</v>
      </c>
      <c r="C160" s="20" t="str">
        <f>IF(A160="","",IFERROR(VLOOKUP(A160,'Production Schedule'!$B:$FU,5,FALSE),""))</f>
        <v>Marc Ribar</v>
      </c>
      <c r="D160" s="20">
        <f>IF(A160="","",IFERROR(VLOOKUP(A160,'Production Schedule'!$B:$FU,7,FALSE),""))</f>
        <v>400</v>
      </c>
      <c r="E160" s="20">
        <f>IF(A160="","",IFERROR(VLOOKUP(A160,'Production Schedule'!$B:$FU,17,FALSE),""))</f>
        <v>128</v>
      </c>
      <c r="F160" s="20">
        <f>IF(A160="","",IFERROR(VLOOKUP(A160,'Production Schedule'!$B:$FU,18,FALSE),""))</f>
        <v>128</v>
      </c>
      <c r="G160" s="20" t="str">
        <f>IF(A160="","",IFERROR(VLOOKUP(A160,'Production Schedule'!$B:$FU,25,FALSE),""))</f>
        <v>FR ACM</v>
      </c>
      <c r="H160" s="21">
        <f>IF(A160="","",IFERROR(VLOOKUP(A160,'Production Schedule'!$B:$FU,47,FALSE),""))</f>
        <v>45754.383562800926</v>
      </c>
      <c r="I160" s="21">
        <f>IF(A160="","",IFERROR(VLOOKUP(A160,'Production Schedule'!$B:$FU,54,FALSE),""))</f>
        <v>45819</v>
      </c>
      <c r="J160" s="32">
        <f>IF(A160="","",IFERROR(VLOOKUP(A160,'Production Schedule'!$B:$FU,135,FALSE),""))</f>
        <v>300</v>
      </c>
      <c r="K160" s="20" t="str">
        <f>IF(A160="","",IFERROR(VLOOKUP(A160,'Production Schedule'!$B:$FU,59,FALSE),""))</f>
        <v>YES</v>
      </c>
      <c r="L160" s="39" t="str">
        <f>IF(A160="","",IFERROR(VLOOKUP(A160,'Production Schedule'!$B:$FU,80,FALSE),""))</f>
        <v>RTS Titans</v>
      </c>
      <c r="M160" s="33" t="str" cm="1">
        <f t="array" ref="M160">IF(A160="","",IFERROR(TRIM(INDEX(_xlfn.TEXTSPLIT(IFERROR(VLOOKUP(A160,'Production Schedule'!$B:$FU,150,FALSE),""),CHAR(10)),1)),""))</f>
        <v>AXYZ Titans Line</v>
      </c>
      <c r="N160" s="34">
        <f t="shared" si="16"/>
        <v>45792</v>
      </c>
      <c r="O160" s="33" t="str" cm="1">
        <f t="array" ref="O160">IF(A160="","",IFERROR(TRIM(INDEX(_xlfn.TEXTSPLIT(IFERROR(VLOOKUP(A160,'Production Schedule'!$B:$FU,150,FALSE),""),CHAR(10)),2)),""))</f>
        <v>Clean and Brake</v>
      </c>
      <c r="P160" s="34">
        <f t="shared" si="17"/>
        <v>45796</v>
      </c>
      <c r="Q160" s="33" t="str" cm="1">
        <f t="array" ref="Q160">IF(A160="","",IFERROR(TRIM(INDEX(_xlfn.TEXTSPLIT(IFERROR(VLOOKUP(A160,'Production Schedule'!$B:$FU,150,FALSE),""),CHAR(10)),3)),""))</f>
        <v>Fab</v>
      </c>
      <c r="R160" s="34">
        <f t="shared" si="18"/>
        <v>45806</v>
      </c>
      <c r="S160" s="33" t="str" cm="1">
        <f t="array" ref="S160">IF(A160="","",IFERROR(TRIM(INDEX(_xlfn.TEXTSPLIT(IFERROR(VLOOKUP(A160,'Production Schedule'!$B:$FU,150,FALSE),""),CHAR(10)),4)),""))</f>
        <v/>
      </c>
      <c r="T160" s="34" t="str">
        <f t="shared" si="19"/>
        <v/>
      </c>
      <c r="U160" s="33" t="str" cm="1">
        <f t="array" ref="U160">IF(A160="","",IFERROR(TRIM(INDEX(_xlfn.TEXTSPLIT(IFERROR(VLOOKUP(A160,'Production Schedule'!$B:$FU,150,FALSE),""),CHAR(10)),5)),""))</f>
        <v/>
      </c>
      <c r="V160" s="34" t="str">
        <f t="shared" si="20"/>
        <v/>
      </c>
      <c r="W160" s="33" t="str" cm="1">
        <f t="array" ref="W160">IF(A160="","",IFERROR(TRIM(INDEX(_xlfn.TEXTSPLIT(IFERROR(VLOOKUP(A160,'Production Schedule'!$B:$FU,150,FALSE),""),CHAR(10)),6)),""))</f>
        <v/>
      </c>
      <c r="X160" s="34" t="str">
        <f t="shared" si="21"/>
        <v/>
      </c>
      <c r="Y160" s="36">
        <f t="shared" si="22"/>
        <v>45817</v>
      </c>
      <c r="Z160" s="37" t="str">
        <f>IF(A160="","",IF(IFERROR(VLOOKUP(A160,Notes!A:B,2,FALSE),"")=0,"",VLOOKUP(A160,Notes!A:B,2,FALSE)))</f>
        <v>04/16/2026…RTS Titans</v>
      </c>
      <c r="AA160" s="20">
        <f t="shared" si="23"/>
        <v>2</v>
      </c>
    </row>
    <row r="161" spans="1:27" x14ac:dyDescent="0.25">
      <c r="A161" s="18" t="str">
        <v>24051-FS31</v>
      </c>
      <c r="B161" s="18" t="str">
        <f>IF(A161="","",IFERROR(VLOOKUP(A161,'Production Schedule'!$B:$FU,3,FALSE),""))</f>
        <v>TN Titans Stadium</v>
      </c>
      <c r="C161" s="18" t="str">
        <f>IF(A161="","",IFERROR(VLOOKUP(A161,'Production Schedule'!$B:$FU,5,FALSE),""))</f>
        <v>Marc Ribar</v>
      </c>
      <c r="D161" s="18">
        <f>IF(A161="","",IFERROR(VLOOKUP(A161,'Production Schedule'!$B:$FU,7,FALSE),""))</f>
        <v>400</v>
      </c>
      <c r="E161" s="18">
        <f>IF(A161="","",IFERROR(VLOOKUP(A161,'Production Schedule'!$B:$FU,17,FALSE),""))</f>
        <v>128</v>
      </c>
      <c r="F161" s="18">
        <f>IF(A161="","",IFERROR(VLOOKUP(A161,'Production Schedule'!$B:$FU,18,FALSE),""))</f>
        <v>128</v>
      </c>
      <c r="G161" s="18" t="str">
        <f>IF(A161="","",IFERROR(VLOOKUP(A161,'Production Schedule'!$B:$FU,25,FALSE),""))</f>
        <v>FR ACM</v>
      </c>
      <c r="H161" s="19">
        <f>IF(A161="","",IFERROR(VLOOKUP(A161,'Production Schedule'!$B:$FU,47,FALSE),""))</f>
        <v>45754.386081168981</v>
      </c>
      <c r="I161" s="19">
        <f>IF(A161="","",IFERROR(VLOOKUP(A161,'Production Schedule'!$B:$FU,54,FALSE),""))</f>
        <v>45820</v>
      </c>
      <c r="J161" s="26">
        <f>IF(A161="","",IFERROR(VLOOKUP(A161,'Production Schedule'!$B:$FU,135,FALSE),""))</f>
        <v>300</v>
      </c>
      <c r="K161" s="18" t="str">
        <f>IF(A161="","",IFERROR(VLOOKUP(A161,'Production Schedule'!$B:$FU,59,FALSE),""))</f>
        <v>YES</v>
      </c>
      <c r="L161" s="38" t="str">
        <f>IF(A161="","",IFERROR(VLOOKUP(A161,'Production Schedule'!$B:$FU,80,FALSE),""))</f>
        <v>RTS Titans</v>
      </c>
      <c r="M161" s="27" t="str" cm="1">
        <f t="array" ref="M161">IF(A161="","",IFERROR(TRIM(INDEX(_xlfn.TEXTSPLIT(IFERROR(VLOOKUP(A161,'Production Schedule'!$B:$FU,150,FALSE),""),CHAR(10)),1)),""))</f>
        <v>AXYZ Titans Line</v>
      </c>
      <c r="N161" s="28">
        <f t="shared" si="16"/>
        <v>45793</v>
      </c>
      <c r="O161" s="27" t="str" cm="1">
        <f t="array" ref="O161">IF(A161="","",IFERROR(TRIM(INDEX(_xlfn.TEXTSPLIT(IFERROR(VLOOKUP(A161,'Production Schedule'!$B:$FU,150,FALSE),""),CHAR(10)),2)),""))</f>
        <v>Clean and Brake</v>
      </c>
      <c r="P161" s="28">
        <f t="shared" si="17"/>
        <v>45797</v>
      </c>
      <c r="Q161" s="27" t="str" cm="1">
        <f t="array" ref="Q161">IF(A161="","",IFERROR(TRIM(INDEX(_xlfn.TEXTSPLIT(IFERROR(VLOOKUP(A161,'Production Schedule'!$B:$FU,150,FALSE),""),CHAR(10)),3)),""))</f>
        <v>Fab</v>
      </c>
      <c r="R161" s="28">
        <f t="shared" si="18"/>
        <v>45807</v>
      </c>
      <c r="S161" s="27" t="str" cm="1">
        <f t="array" ref="S161">IF(A161="","",IFERROR(TRIM(INDEX(_xlfn.TEXTSPLIT(IFERROR(VLOOKUP(A161,'Production Schedule'!$B:$FU,150,FALSE),""),CHAR(10)),4)),""))</f>
        <v/>
      </c>
      <c r="T161" s="28" t="str">
        <f t="shared" si="19"/>
        <v/>
      </c>
      <c r="U161" s="27" t="str" cm="1">
        <f t="array" ref="U161">IF(A161="","",IFERROR(TRIM(INDEX(_xlfn.TEXTSPLIT(IFERROR(VLOOKUP(A161,'Production Schedule'!$B:$FU,150,FALSE),""),CHAR(10)),5)),""))</f>
        <v/>
      </c>
      <c r="V161" s="28" t="str">
        <f t="shared" si="20"/>
        <v/>
      </c>
      <c r="W161" s="27" t="str" cm="1">
        <f t="array" ref="W161">IF(A161="","",IFERROR(TRIM(INDEX(_xlfn.TEXTSPLIT(IFERROR(VLOOKUP(A161,'Production Schedule'!$B:$FU,150,FALSE),""),CHAR(10)),6)),""))</f>
        <v/>
      </c>
      <c r="X161" s="28" t="str">
        <f t="shared" si="21"/>
        <v/>
      </c>
      <c r="Y161" s="30">
        <f t="shared" si="22"/>
        <v>45818</v>
      </c>
      <c r="Z161" s="31" t="str">
        <f>IF(A161="","",IF(IFERROR(VLOOKUP(A161,Notes!A:B,2,FALSE),"")=0,"",VLOOKUP(A161,Notes!A:B,2,FALSE)))</f>
        <v>04/16/2026…RTS Titans</v>
      </c>
      <c r="AA161" s="18">
        <f t="shared" si="23"/>
        <v>2</v>
      </c>
    </row>
    <row r="162" spans="1:27" x14ac:dyDescent="0.25">
      <c r="A162" s="20" t="str">
        <v>24051-FS32</v>
      </c>
      <c r="B162" s="20" t="str">
        <f>IF(A162="","",IFERROR(VLOOKUP(A162,'Production Schedule'!$B:$FU,3,FALSE),""))</f>
        <v>TN Titans Stadium</v>
      </c>
      <c r="C162" s="20" t="str">
        <f>IF(A162="","",IFERROR(VLOOKUP(A162,'Production Schedule'!$B:$FU,5,FALSE),""))</f>
        <v>Marc Ribar</v>
      </c>
      <c r="D162" s="20">
        <f>IF(A162="","",IFERROR(VLOOKUP(A162,'Production Schedule'!$B:$FU,7,FALSE),""))</f>
        <v>400</v>
      </c>
      <c r="E162" s="20">
        <f>IF(A162="","",IFERROR(VLOOKUP(A162,'Production Schedule'!$B:$FU,17,FALSE),""))</f>
        <v>128</v>
      </c>
      <c r="F162" s="20">
        <f>IF(A162="","",IFERROR(VLOOKUP(A162,'Production Schedule'!$B:$FU,18,FALSE),""))</f>
        <v>128</v>
      </c>
      <c r="G162" s="20" t="str">
        <f>IF(A162="","",IFERROR(VLOOKUP(A162,'Production Schedule'!$B:$FU,25,FALSE),""))</f>
        <v>FR ACM</v>
      </c>
      <c r="H162" s="21">
        <f>IF(A162="","",IFERROR(VLOOKUP(A162,'Production Schedule'!$B:$FU,47,FALSE),""))</f>
        <v>45754.398451851848</v>
      </c>
      <c r="I162" s="21">
        <f>IF(A162="","",IFERROR(VLOOKUP(A162,'Production Schedule'!$B:$FU,54,FALSE),""))</f>
        <v>45821</v>
      </c>
      <c r="J162" s="32">
        <f>IF(A162="","",IFERROR(VLOOKUP(A162,'Production Schedule'!$B:$FU,135,FALSE),""))</f>
        <v>200</v>
      </c>
      <c r="K162" s="20" t="str">
        <f>IF(A162="","",IFERROR(VLOOKUP(A162,'Production Schedule'!$B:$FU,59,FALSE),""))</f>
        <v>YES</v>
      </c>
      <c r="L162" s="39" t="str">
        <f>IF(A162="","",IFERROR(VLOOKUP(A162,'Production Schedule'!$B:$FU,80,FALSE),""))</f>
        <v>RTS Titans</v>
      </c>
      <c r="M162" s="33" t="str" cm="1">
        <f t="array" ref="M162">IF(A162="","",IFERROR(TRIM(INDEX(_xlfn.TEXTSPLIT(IFERROR(VLOOKUP(A162,'Production Schedule'!$B:$FU,150,FALSE),""),CHAR(10)),1)),""))</f>
        <v>AXYZ Titans Line</v>
      </c>
      <c r="N162" s="34">
        <f t="shared" si="16"/>
        <v>45794</v>
      </c>
      <c r="O162" s="33" t="str" cm="1">
        <f t="array" ref="O162">IF(A162="","",IFERROR(TRIM(INDEX(_xlfn.TEXTSPLIT(IFERROR(VLOOKUP(A162,'Production Schedule'!$B:$FU,150,FALSE),""),CHAR(10)),2)),""))</f>
        <v>Clean and Brake</v>
      </c>
      <c r="P162" s="34">
        <f t="shared" si="17"/>
        <v>45798</v>
      </c>
      <c r="Q162" s="33" t="str" cm="1">
        <f t="array" ref="Q162">IF(A162="","",IFERROR(TRIM(INDEX(_xlfn.TEXTSPLIT(IFERROR(VLOOKUP(A162,'Production Schedule'!$B:$FU,150,FALSE),""),CHAR(10)),3)),""))</f>
        <v>Fab</v>
      </c>
      <c r="R162" s="34">
        <f t="shared" si="18"/>
        <v>45808</v>
      </c>
      <c r="S162" s="33" t="str" cm="1">
        <f t="array" ref="S162">IF(A162="","",IFERROR(TRIM(INDEX(_xlfn.TEXTSPLIT(IFERROR(VLOOKUP(A162,'Production Schedule'!$B:$FU,150,FALSE),""),CHAR(10)),4)),""))</f>
        <v/>
      </c>
      <c r="T162" s="34" t="str">
        <f t="shared" si="19"/>
        <v/>
      </c>
      <c r="U162" s="33" t="str" cm="1">
        <f t="array" ref="U162">IF(A162="","",IFERROR(TRIM(INDEX(_xlfn.TEXTSPLIT(IFERROR(VLOOKUP(A162,'Production Schedule'!$B:$FU,150,FALSE),""),CHAR(10)),5)),""))</f>
        <v/>
      </c>
      <c r="V162" s="34" t="str">
        <f t="shared" si="20"/>
        <v/>
      </c>
      <c r="W162" s="33" t="str" cm="1">
        <f t="array" ref="W162">IF(A162="","",IFERROR(TRIM(INDEX(_xlfn.TEXTSPLIT(IFERROR(VLOOKUP(A162,'Production Schedule'!$B:$FU,150,FALSE),""),CHAR(10)),6)),""))</f>
        <v/>
      </c>
      <c r="X162" s="34" t="str">
        <f t="shared" si="21"/>
        <v/>
      </c>
      <c r="Y162" s="36">
        <f t="shared" si="22"/>
        <v>45819</v>
      </c>
      <c r="Z162" s="37" t="str">
        <f>IF(A162="","",IF(IFERROR(VLOOKUP(A162,Notes!A:B,2,FALSE),"")=0,"",VLOOKUP(A162,Notes!A:B,2,FALSE)))</f>
        <v>04/16/2026…RTS Titans</v>
      </c>
      <c r="AA162" s="20">
        <f t="shared" si="23"/>
        <v>2</v>
      </c>
    </row>
    <row r="163" spans="1:27" x14ac:dyDescent="0.25">
      <c r="A163" s="18" t="str">
        <v>24082-FL03</v>
      </c>
      <c r="B163" s="18" t="str">
        <f>IF(A163="","",IFERROR(VLOOKUP(A163,'Production Schedule'!$B:$FU,3,FALSE),""))</f>
        <v>GTN Cable</v>
      </c>
      <c r="C163" s="18" t="str">
        <f>IF(A163="","",IFERROR(VLOOKUP(A163,'Production Schedule'!$B:$FU,5,FALSE),""))</f>
        <v>Josh McPherson, Nick Akins</v>
      </c>
      <c r="D163" s="18">
        <f>IF(A163="","",IFERROR(VLOOKUP(A163,'Production Schedule'!$B:$FU,7,FALSE),""))</f>
        <v>0</v>
      </c>
      <c r="E163" s="18">
        <f>IF(A163="","",IFERROR(VLOOKUP(A163,'Production Schedule'!$B:$FU,17,FALSE),""))</f>
        <v>0</v>
      </c>
      <c r="F163" s="18">
        <f>IF(A163="","",IFERROR(VLOOKUP(A163,'Production Schedule'!$B:$FU,18,FALSE),""))</f>
        <v>32</v>
      </c>
      <c r="G163" s="18" t="str">
        <f>IF(A163="","",IFERROR(VLOOKUP(A163,'Production Schedule'!$B:$FU,25,FALSE),""))</f>
        <v>Steel Sheet</v>
      </c>
      <c r="H163" s="19">
        <f>IF(A163="","",IFERROR(VLOOKUP(A163,'Production Schedule'!$B:$FU,47,FALSE),""))</f>
        <v>45820.455545486111</v>
      </c>
      <c r="I163" s="19">
        <f>IF(A163="","",IFERROR(VLOOKUP(A163,'Production Schedule'!$B:$FU,54,FALSE),""))</f>
        <v>45825</v>
      </c>
      <c r="J163" s="26">
        <f>IF(A163="","",IFERROR(VLOOKUP(A163,'Production Schedule'!$B:$FU,135,FALSE),""))</f>
        <v>4</v>
      </c>
      <c r="K163" s="18" t="str">
        <f>IF(A163="","",IFERROR(VLOOKUP(A163,'Production Schedule'!$B:$FU,59,FALSE),""))</f>
        <v>YES</v>
      </c>
      <c r="L163" s="38" t="str">
        <f>IF(A163="","",IFERROR(VLOOKUP(A163,'Production Schedule'!$B:$FU,80,FALSE),""))</f>
        <v>Ready to Ship</v>
      </c>
      <c r="M163" s="27" t="str" cm="1">
        <f t="array" ref="M163">IF(A163="","",IFERROR(TRIM(INDEX(_xlfn.TEXTSPLIT(IFERROR(VLOOKUP(A163,'Production Schedule'!$B:$FU,150,FALSE),""),CHAR(10)),1)),""))</f>
        <v>Cidan</v>
      </c>
      <c r="N163" s="28">
        <f t="shared" si="16"/>
        <v>45799</v>
      </c>
      <c r="O163" s="27" t="str" cm="1">
        <f t="array" ref="O163">IF(A163="","",IFERROR(TRIM(INDEX(_xlfn.TEXTSPLIT(IFERROR(VLOOKUP(A163,'Production Schedule'!$B:$FU,150,FALSE),""),CHAR(10)),2)),""))</f>
        <v>Shear</v>
      </c>
      <c r="P163" s="28">
        <f t="shared" si="17"/>
        <v>45811</v>
      </c>
      <c r="Q163" s="27" t="str" cm="1">
        <f t="array" ref="Q163">IF(A163="","",IFERROR(TRIM(INDEX(_xlfn.TEXTSPLIT(IFERROR(VLOOKUP(A163,'Production Schedule'!$B:$FU,150,FALSE),""),CHAR(10)),3)),""))</f>
        <v/>
      </c>
      <c r="R163" s="28" t="str">
        <f t="shared" si="18"/>
        <v/>
      </c>
      <c r="S163" s="27" t="str" cm="1">
        <f t="array" ref="S163">IF(A163="","",IFERROR(TRIM(INDEX(_xlfn.TEXTSPLIT(IFERROR(VLOOKUP(A163,'Production Schedule'!$B:$FU,150,FALSE),""),CHAR(10)),4)),""))</f>
        <v/>
      </c>
      <c r="T163" s="28" t="str">
        <f t="shared" si="19"/>
        <v/>
      </c>
      <c r="U163" s="27" t="str" cm="1">
        <f t="array" ref="U163">IF(A163="","",IFERROR(TRIM(INDEX(_xlfn.TEXTSPLIT(IFERROR(VLOOKUP(A163,'Production Schedule'!$B:$FU,150,FALSE),""),CHAR(10)),5)),""))</f>
        <v/>
      </c>
      <c r="V163" s="28" t="str">
        <f t="shared" si="20"/>
        <v/>
      </c>
      <c r="W163" s="27" t="str" cm="1">
        <f t="array" ref="W163">IF(A163="","",IFERROR(TRIM(INDEX(_xlfn.TEXTSPLIT(IFERROR(VLOOKUP(A163,'Production Schedule'!$B:$FU,150,FALSE),""),CHAR(10)),6)),""))</f>
        <v/>
      </c>
      <c r="X163" s="28" t="str">
        <f t="shared" si="21"/>
        <v/>
      </c>
      <c r="Y163" s="30">
        <f t="shared" si="22"/>
        <v>45822</v>
      </c>
      <c r="Z163" s="31" t="str">
        <f>IF(A163="","",IF(IFERROR(VLOOKUP(A163,Notes!A:B,2,FALSE),"")=0,"",VLOOKUP(A163,Notes!A:B,2,FALSE)))</f>
        <v>04/16/2026…Ready to Ship</v>
      </c>
      <c r="AA163" s="18">
        <f t="shared" si="23"/>
        <v>2</v>
      </c>
    </row>
    <row r="164" spans="1:27" x14ac:dyDescent="0.25">
      <c r="A164" s="20" t="str">
        <v>24051-FS33</v>
      </c>
      <c r="B164" s="20" t="str">
        <f>IF(A164="","",IFERROR(VLOOKUP(A164,'Production Schedule'!$B:$FU,3,FALSE),""))</f>
        <v>TN Titans Stadium</v>
      </c>
      <c r="C164" s="20" t="str">
        <f>IF(A164="","",IFERROR(VLOOKUP(A164,'Production Schedule'!$B:$FU,5,FALSE),""))</f>
        <v>Marc Ribar</v>
      </c>
      <c r="D164" s="20">
        <f>IF(A164="","",IFERROR(VLOOKUP(A164,'Production Schedule'!$B:$FU,7,FALSE),""))</f>
        <v>400</v>
      </c>
      <c r="E164" s="20">
        <f>IF(A164="","",IFERROR(VLOOKUP(A164,'Production Schedule'!$B:$FU,17,FALSE),""))</f>
        <v>161</v>
      </c>
      <c r="F164" s="20">
        <f>IF(A164="","",IFERROR(VLOOKUP(A164,'Production Schedule'!$B:$FU,18,FALSE),""))</f>
        <v>161</v>
      </c>
      <c r="G164" s="20" t="str">
        <f>IF(A164="","",IFERROR(VLOOKUP(A164,'Production Schedule'!$B:$FU,25,FALSE),""))</f>
        <v>FR ACM</v>
      </c>
      <c r="H164" s="21">
        <f>IF(A164="","",IFERROR(VLOOKUP(A164,'Production Schedule'!$B:$FU,47,FALSE),""))</f>
        <v>45754.677827453706</v>
      </c>
      <c r="I164" s="21">
        <f>IF(A164="","",IFERROR(VLOOKUP(A164,'Production Schedule'!$B:$FU,54,FALSE),""))</f>
        <v>45826</v>
      </c>
      <c r="J164" s="32">
        <f>IF(A164="","",IFERROR(VLOOKUP(A164,'Production Schedule'!$B:$FU,135,FALSE),""))</f>
        <v>300</v>
      </c>
      <c r="K164" s="20" t="str">
        <f>IF(A164="","",IFERROR(VLOOKUP(A164,'Production Schedule'!$B:$FU,59,FALSE),""))</f>
        <v>YES</v>
      </c>
      <c r="L164" s="39" t="str">
        <f>IF(A164="","",IFERROR(VLOOKUP(A164,'Production Schedule'!$B:$FU,80,FALSE),""))</f>
        <v>RTS Titans</v>
      </c>
      <c r="M164" s="33" t="str" cm="1">
        <f t="array" ref="M164">IF(A164="","",IFERROR(TRIM(INDEX(_xlfn.TEXTSPLIT(IFERROR(VLOOKUP(A164,'Production Schedule'!$B:$FU,150,FALSE),""),CHAR(10)),1)),""))</f>
        <v>AXYZ Titans Line</v>
      </c>
      <c r="N164" s="34">
        <f t="shared" si="16"/>
        <v>45799</v>
      </c>
      <c r="O164" s="33" t="str" cm="1">
        <f t="array" ref="O164">IF(A164="","",IFERROR(TRIM(INDEX(_xlfn.TEXTSPLIT(IFERROR(VLOOKUP(A164,'Production Schedule'!$B:$FU,150,FALSE),""),CHAR(10)),2)),""))</f>
        <v>Clean and Brake</v>
      </c>
      <c r="P164" s="34">
        <f t="shared" si="17"/>
        <v>45803</v>
      </c>
      <c r="Q164" s="33" t="str" cm="1">
        <f t="array" ref="Q164">IF(A164="","",IFERROR(TRIM(INDEX(_xlfn.TEXTSPLIT(IFERROR(VLOOKUP(A164,'Production Schedule'!$B:$FU,150,FALSE),""),CHAR(10)),3)),""))</f>
        <v>Fab</v>
      </c>
      <c r="R164" s="34">
        <f t="shared" si="18"/>
        <v>45813</v>
      </c>
      <c r="S164" s="33" t="str" cm="1">
        <f t="array" ref="S164">IF(A164="","",IFERROR(TRIM(INDEX(_xlfn.TEXTSPLIT(IFERROR(VLOOKUP(A164,'Production Schedule'!$B:$FU,150,FALSE),""),CHAR(10)),4)),""))</f>
        <v/>
      </c>
      <c r="T164" s="34" t="str">
        <f t="shared" si="19"/>
        <v/>
      </c>
      <c r="U164" s="33" t="str" cm="1">
        <f t="array" ref="U164">IF(A164="","",IFERROR(TRIM(INDEX(_xlfn.TEXTSPLIT(IFERROR(VLOOKUP(A164,'Production Schedule'!$B:$FU,150,FALSE),""),CHAR(10)),5)),""))</f>
        <v/>
      </c>
      <c r="V164" s="34" t="str">
        <f t="shared" si="20"/>
        <v/>
      </c>
      <c r="W164" s="33" t="str" cm="1">
        <f t="array" ref="W164">IF(A164="","",IFERROR(TRIM(INDEX(_xlfn.TEXTSPLIT(IFERROR(VLOOKUP(A164,'Production Schedule'!$B:$FU,150,FALSE),""),CHAR(10)),6)),""))</f>
        <v/>
      </c>
      <c r="X164" s="34" t="str">
        <f t="shared" si="21"/>
        <v/>
      </c>
      <c r="Y164" s="36">
        <f t="shared" si="22"/>
        <v>45824</v>
      </c>
      <c r="Z164" s="37" t="str">
        <f>IF(A164="","",IF(IFERROR(VLOOKUP(A164,Notes!A:B,2,FALSE),"")=0,"",VLOOKUP(A164,Notes!A:B,2,FALSE)))</f>
        <v>04/16/2026…RTS Titans</v>
      </c>
      <c r="AA164" s="20">
        <f t="shared" si="23"/>
        <v>2</v>
      </c>
    </row>
    <row r="165" spans="1:27" x14ac:dyDescent="0.25">
      <c r="A165" s="18" t="str">
        <v>24051-BM01</v>
      </c>
      <c r="B165" s="18" t="str">
        <f>IF(A165="","",IFERROR(VLOOKUP(A165,'Production Schedule'!$B:$FU,3,FALSE),""))</f>
        <v>TN Titans Stadium</v>
      </c>
      <c r="C165" s="18" t="str">
        <f>IF(A165="","",IFERROR(VLOOKUP(A165,'Production Schedule'!$B:$FU,5,FALSE),""))</f>
        <v>Marc Ribar</v>
      </c>
      <c r="D165" s="18">
        <f>IF(A165="","",IFERROR(VLOOKUP(A165,'Production Schedule'!$B:$FU,7,FALSE),""))</f>
        <v>0</v>
      </c>
      <c r="E165" s="18">
        <f>IF(A165="","",IFERROR(VLOOKUP(A165,'Production Schedule'!$B:$FU,17,FALSE),""))</f>
        <v>0</v>
      </c>
      <c r="F165" s="18">
        <f>IF(A165="","",IFERROR(VLOOKUP(A165,'Production Schedule'!$B:$FU,18,FALSE),""))</f>
        <v>1900</v>
      </c>
      <c r="G165" s="18" t="str">
        <f>IF(A165="","",IFERROR(VLOOKUP(A165,'Production Schedule'!$B:$FU,25,FALSE),""))</f>
        <v>Alum Sheet</v>
      </c>
      <c r="H165" s="19">
        <f>IF(A165="","",IFERROR(VLOOKUP(A165,'Production Schedule'!$B:$FU,47,FALSE),""))</f>
        <v>45721.446087523145</v>
      </c>
      <c r="I165" s="19">
        <f>IF(A165="","",IFERROR(VLOOKUP(A165,'Production Schedule'!$B:$FU,54,FALSE),""))</f>
        <v>45826</v>
      </c>
      <c r="J165" s="26">
        <f>IF(A165="","",IFERROR(VLOOKUP(A165,'Production Schedule'!$B:$FU,135,FALSE),""))</f>
        <v>60</v>
      </c>
      <c r="K165" s="18" t="str">
        <f>IF(A165="","",IFERROR(VLOOKUP(A165,'Production Schedule'!$B:$FU,59,FALSE),""))</f>
        <v>YES</v>
      </c>
      <c r="L165" s="38" t="str">
        <f>IF(A165="","",IFERROR(VLOOKUP(A165,'Production Schedule'!$B:$FU,80,FALSE),""))</f>
        <v>RTS Titans</v>
      </c>
      <c r="M165" s="27" t="str" cm="1">
        <f t="array" ref="M165">IF(A165="","",IFERROR(TRIM(INDEX(_xlfn.TEXTSPLIT(IFERROR(VLOOKUP(A165,'Production Schedule'!$B:$FU,150,FALSE),""),CHAR(10)),1)),""))</f>
        <v>Brake</v>
      </c>
      <c r="N165" s="28">
        <f t="shared" si="16"/>
        <v>45801</v>
      </c>
      <c r="O165" s="27" t="str" cm="1">
        <f t="array" ref="O165">IF(A165="","",IFERROR(TRIM(INDEX(_xlfn.TEXTSPLIT(IFERROR(VLOOKUP(A165,'Production Schedule'!$B:$FU,150,FALSE),""),CHAR(10)),2)),""))</f>
        <v>Shear</v>
      </c>
      <c r="P165" s="28">
        <f t="shared" si="17"/>
        <v>45812</v>
      </c>
      <c r="Q165" s="27" t="str" cm="1">
        <f t="array" ref="Q165">IF(A165="","",IFERROR(TRIM(INDEX(_xlfn.TEXTSPLIT(IFERROR(VLOOKUP(A165,'Production Schedule'!$B:$FU,150,FALSE),""),CHAR(10)),3)),""))</f>
        <v/>
      </c>
      <c r="R165" s="28" t="str">
        <f t="shared" si="18"/>
        <v/>
      </c>
      <c r="S165" s="27" t="str" cm="1">
        <f t="array" ref="S165">IF(A165="","",IFERROR(TRIM(INDEX(_xlfn.TEXTSPLIT(IFERROR(VLOOKUP(A165,'Production Schedule'!$B:$FU,150,FALSE),""),CHAR(10)),4)),""))</f>
        <v/>
      </c>
      <c r="T165" s="28" t="str">
        <f t="shared" si="19"/>
        <v/>
      </c>
      <c r="U165" s="27" t="str" cm="1">
        <f t="array" ref="U165">IF(A165="","",IFERROR(TRIM(INDEX(_xlfn.TEXTSPLIT(IFERROR(VLOOKUP(A165,'Production Schedule'!$B:$FU,150,FALSE),""),CHAR(10)),5)),""))</f>
        <v/>
      </c>
      <c r="V165" s="28" t="str">
        <f t="shared" si="20"/>
        <v/>
      </c>
      <c r="W165" s="27" t="str" cm="1">
        <f t="array" ref="W165">IF(A165="","",IFERROR(TRIM(INDEX(_xlfn.TEXTSPLIT(IFERROR(VLOOKUP(A165,'Production Schedule'!$B:$FU,150,FALSE),""),CHAR(10)),6)),""))</f>
        <v/>
      </c>
      <c r="X165" s="28" t="str">
        <f t="shared" si="21"/>
        <v/>
      </c>
      <c r="Y165" s="30">
        <f t="shared" si="22"/>
        <v>45824</v>
      </c>
      <c r="Z165" s="31" t="str">
        <f>IF(A165="","",IF(IFERROR(VLOOKUP(A165,Notes!A:B,2,FALSE),"")=0,"",VLOOKUP(A165,Notes!A:B,2,FALSE)))</f>
        <v>04/16/2026…RTS Titans</v>
      </c>
      <c r="AA165" s="18">
        <f t="shared" si="23"/>
        <v>2</v>
      </c>
    </row>
    <row r="166" spans="1:27" x14ac:dyDescent="0.25">
      <c r="A166" s="20" t="str">
        <v>24051-FS200</v>
      </c>
      <c r="B166" s="20" t="str">
        <f>IF(A166="","",IFERROR(VLOOKUP(A166,'Production Schedule'!$B:$FU,3,FALSE),""))</f>
        <v>TN Titans Stadium</v>
      </c>
      <c r="C166" s="20" t="str">
        <f>IF(A166="","",IFERROR(VLOOKUP(A166,'Production Schedule'!$B:$FU,5,FALSE),""))</f>
        <v>Marc Ribar</v>
      </c>
      <c r="D166" s="20">
        <f>IF(A166="","",IFERROR(VLOOKUP(A166,'Production Schedule'!$B:$FU,7,FALSE),""))</f>
        <v>400</v>
      </c>
      <c r="E166" s="20">
        <f>IF(A166="","",IFERROR(VLOOKUP(A166,'Production Schedule'!$B:$FU,17,FALSE),""))</f>
        <v>131</v>
      </c>
      <c r="F166" s="20">
        <f>IF(A166="","",IFERROR(VLOOKUP(A166,'Production Schedule'!$B:$FU,18,FALSE),""))</f>
        <v>131</v>
      </c>
      <c r="G166" s="20" t="str">
        <f>IF(A166="","",IFERROR(VLOOKUP(A166,'Production Schedule'!$B:$FU,25,FALSE),""))</f>
        <v>FR ACM</v>
      </c>
      <c r="H166" s="21">
        <f>IF(A166="","",IFERROR(VLOOKUP(A166,'Production Schedule'!$B:$FU,47,FALSE),""))</f>
        <v>45723.679672604165</v>
      </c>
      <c r="I166" s="21">
        <f>IF(A166="","",IFERROR(VLOOKUP(A166,'Production Schedule'!$B:$FU,54,FALSE),""))</f>
        <v>45827</v>
      </c>
      <c r="J166" s="32">
        <f>IF(A166="","",IFERROR(VLOOKUP(A166,'Production Schedule'!$B:$FU,135,FALSE),""))</f>
        <v>300</v>
      </c>
      <c r="K166" s="20" t="str">
        <f>IF(A166="","",IFERROR(VLOOKUP(A166,'Production Schedule'!$B:$FU,59,FALSE),""))</f>
        <v>YES</v>
      </c>
      <c r="L166" s="39" t="str">
        <f>IF(A166="","",IFERROR(VLOOKUP(A166,'Production Schedule'!$B:$FU,80,FALSE),""))</f>
        <v>RTS Titans</v>
      </c>
      <c r="M166" s="33" t="str" cm="1">
        <f t="array" ref="M166">IF(A166="","",IFERROR(TRIM(INDEX(_xlfn.TEXTSPLIT(IFERROR(VLOOKUP(A166,'Production Schedule'!$B:$FU,150,FALSE),""),CHAR(10)),1)),""))</f>
        <v>AXYZ Titans Line</v>
      </c>
      <c r="N166" s="34">
        <f t="shared" si="16"/>
        <v>45800</v>
      </c>
      <c r="O166" s="33" t="str" cm="1">
        <f t="array" ref="O166">IF(A166="","",IFERROR(TRIM(INDEX(_xlfn.TEXTSPLIT(IFERROR(VLOOKUP(A166,'Production Schedule'!$B:$FU,150,FALSE),""),CHAR(10)),2)),""))</f>
        <v>Clean and Brake</v>
      </c>
      <c r="P166" s="34">
        <f t="shared" si="17"/>
        <v>45804</v>
      </c>
      <c r="Q166" s="33" t="str" cm="1">
        <f t="array" ref="Q166">IF(A166="","",IFERROR(TRIM(INDEX(_xlfn.TEXTSPLIT(IFERROR(VLOOKUP(A166,'Production Schedule'!$B:$FU,150,FALSE),""),CHAR(10)),3)),""))</f>
        <v>Fab</v>
      </c>
      <c r="R166" s="34">
        <f t="shared" si="18"/>
        <v>45814</v>
      </c>
      <c r="S166" s="33" t="str" cm="1">
        <f t="array" ref="S166">IF(A166="","",IFERROR(TRIM(INDEX(_xlfn.TEXTSPLIT(IFERROR(VLOOKUP(A166,'Production Schedule'!$B:$FU,150,FALSE),""),CHAR(10)),4)),""))</f>
        <v/>
      </c>
      <c r="T166" s="34" t="str">
        <f t="shared" si="19"/>
        <v/>
      </c>
      <c r="U166" s="33" t="str" cm="1">
        <f t="array" ref="U166">IF(A166="","",IFERROR(TRIM(INDEX(_xlfn.TEXTSPLIT(IFERROR(VLOOKUP(A166,'Production Schedule'!$B:$FU,150,FALSE),""),CHAR(10)),5)),""))</f>
        <v/>
      </c>
      <c r="V166" s="34" t="str">
        <f t="shared" si="20"/>
        <v/>
      </c>
      <c r="W166" s="33" t="str" cm="1">
        <f t="array" ref="W166">IF(A166="","",IFERROR(TRIM(INDEX(_xlfn.TEXTSPLIT(IFERROR(VLOOKUP(A166,'Production Schedule'!$B:$FU,150,FALSE),""),CHAR(10)),6)),""))</f>
        <v/>
      </c>
      <c r="X166" s="34" t="str">
        <f t="shared" si="21"/>
        <v/>
      </c>
      <c r="Y166" s="36">
        <f t="shared" si="22"/>
        <v>45825</v>
      </c>
      <c r="Z166" s="37" t="str">
        <f>IF(A166="","",IF(IFERROR(VLOOKUP(A166,Notes!A:B,2,FALSE),"")=0,"",VLOOKUP(A166,Notes!A:B,2,FALSE)))</f>
        <v>04/16/2026…RTS Titans</v>
      </c>
      <c r="AA166" s="20">
        <f t="shared" si="23"/>
        <v>2</v>
      </c>
    </row>
    <row r="167" spans="1:27" x14ac:dyDescent="0.25">
      <c r="A167" s="18" t="str">
        <v>24051-FS34</v>
      </c>
      <c r="B167" s="18" t="str">
        <f>IF(A167="","",IFERROR(VLOOKUP(A167,'Production Schedule'!$B:$FU,3,FALSE),""))</f>
        <v>TN Titans Stadium</v>
      </c>
      <c r="C167" s="18" t="str">
        <f>IF(A167="","",IFERROR(VLOOKUP(A167,'Production Schedule'!$B:$FU,5,FALSE),""))</f>
        <v>Marc Ribar</v>
      </c>
      <c r="D167" s="18">
        <f>IF(A167="","",IFERROR(VLOOKUP(A167,'Production Schedule'!$B:$FU,7,FALSE),""))</f>
        <v>400</v>
      </c>
      <c r="E167" s="18">
        <f>IF(A167="","",IFERROR(VLOOKUP(A167,'Production Schedule'!$B:$FU,17,FALSE),""))</f>
        <v>161</v>
      </c>
      <c r="F167" s="18">
        <f>IF(A167="","",IFERROR(VLOOKUP(A167,'Production Schedule'!$B:$FU,18,FALSE),""))</f>
        <v>161</v>
      </c>
      <c r="G167" s="18" t="str">
        <f>IF(A167="","",IFERROR(VLOOKUP(A167,'Production Schedule'!$B:$FU,25,FALSE),""))</f>
        <v>FR ACM</v>
      </c>
      <c r="H167" s="19">
        <f>IF(A167="","",IFERROR(VLOOKUP(A167,'Production Schedule'!$B:$FU,47,FALSE),""))</f>
        <v>45754.679017569448</v>
      </c>
      <c r="I167" s="19">
        <f>IF(A167="","",IFERROR(VLOOKUP(A167,'Production Schedule'!$B:$FU,54,FALSE),""))</f>
        <v>45827</v>
      </c>
      <c r="J167" s="26">
        <f>IF(A167="","",IFERROR(VLOOKUP(A167,'Production Schedule'!$B:$FU,135,FALSE),""))</f>
        <v>300</v>
      </c>
      <c r="K167" s="18" t="str">
        <f>IF(A167="","",IFERROR(VLOOKUP(A167,'Production Schedule'!$B:$FU,59,FALSE),""))</f>
        <v>YES</v>
      </c>
      <c r="L167" s="38" t="str">
        <f>IF(A167="","",IFERROR(VLOOKUP(A167,'Production Schedule'!$B:$FU,80,FALSE),""))</f>
        <v>RTS Titans</v>
      </c>
      <c r="M167" s="27" t="str" cm="1">
        <f t="array" ref="M167">IF(A167="","",IFERROR(TRIM(INDEX(_xlfn.TEXTSPLIT(IFERROR(VLOOKUP(A167,'Production Schedule'!$B:$FU,150,FALSE),""),CHAR(10)),1)),""))</f>
        <v>AXYZ Titans Line</v>
      </c>
      <c r="N167" s="28">
        <f t="shared" si="16"/>
        <v>45800</v>
      </c>
      <c r="O167" s="27" t="str" cm="1">
        <f t="array" ref="O167">IF(A167="","",IFERROR(TRIM(INDEX(_xlfn.TEXTSPLIT(IFERROR(VLOOKUP(A167,'Production Schedule'!$B:$FU,150,FALSE),""),CHAR(10)),2)),""))</f>
        <v>Clean and Brake</v>
      </c>
      <c r="P167" s="28">
        <f t="shared" si="17"/>
        <v>45804</v>
      </c>
      <c r="Q167" s="27" t="str" cm="1">
        <f t="array" ref="Q167">IF(A167="","",IFERROR(TRIM(INDEX(_xlfn.TEXTSPLIT(IFERROR(VLOOKUP(A167,'Production Schedule'!$B:$FU,150,FALSE),""),CHAR(10)),3)),""))</f>
        <v>Fab</v>
      </c>
      <c r="R167" s="28">
        <f t="shared" si="18"/>
        <v>45814</v>
      </c>
      <c r="S167" s="27" t="str" cm="1">
        <f t="array" ref="S167">IF(A167="","",IFERROR(TRIM(INDEX(_xlfn.TEXTSPLIT(IFERROR(VLOOKUP(A167,'Production Schedule'!$B:$FU,150,FALSE),""),CHAR(10)),4)),""))</f>
        <v/>
      </c>
      <c r="T167" s="28" t="str">
        <f t="shared" si="19"/>
        <v/>
      </c>
      <c r="U167" s="27" t="str" cm="1">
        <f t="array" ref="U167">IF(A167="","",IFERROR(TRIM(INDEX(_xlfn.TEXTSPLIT(IFERROR(VLOOKUP(A167,'Production Schedule'!$B:$FU,150,FALSE),""),CHAR(10)),5)),""))</f>
        <v/>
      </c>
      <c r="V167" s="28" t="str">
        <f t="shared" si="20"/>
        <v/>
      </c>
      <c r="W167" s="27" t="str" cm="1">
        <f t="array" ref="W167">IF(A167="","",IFERROR(TRIM(INDEX(_xlfn.TEXTSPLIT(IFERROR(VLOOKUP(A167,'Production Schedule'!$B:$FU,150,FALSE),""),CHAR(10)),6)),""))</f>
        <v/>
      </c>
      <c r="X167" s="28" t="str">
        <f t="shared" si="21"/>
        <v/>
      </c>
      <c r="Y167" s="30">
        <f t="shared" si="22"/>
        <v>45825</v>
      </c>
      <c r="Z167" s="31" t="str">
        <f>IF(A167="","",IF(IFERROR(VLOOKUP(A167,Notes!A:B,2,FALSE),"")=0,"",VLOOKUP(A167,Notes!A:B,2,FALSE)))</f>
        <v>04/16/2026…RTS Titans</v>
      </c>
      <c r="AA167" s="18">
        <f t="shared" si="23"/>
        <v>2</v>
      </c>
    </row>
    <row r="168" spans="1:27" x14ac:dyDescent="0.25">
      <c r="A168" s="20" t="str">
        <v>24051-FS35</v>
      </c>
      <c r="B168" s="20" t="str">
        <f>IF(A168="","",IFERROR(VLOOKUP(A168,'Production Schedule'!$B:$FU,3,FALSE),""))</f>
        <v>TN Titans Stadium</v>
      </c>
      <c r="C168" s="20" t="str">
        <f>IF(A168="","",IFERROR(VLOOKUP(A168,'Production Schedule'!$B:$FU,5,FALSE),""))</f>
        <v>Marc Ribar</v>
      </c>
      <c r="D168" s="20">
        <f>IF(A168="","",IFERROR(VLOOKUP(A168,'Production Schedule'!$B:$FU,7,FALSE),""))</f>
        <v>400</v>
      </c>
      <c r="E168" s="20">
        <f>IF(A168="","",IFERROR(VLOOKUP(A168,'Production Schedule'!$B:$FU,17,FALSE),""))</f>
        <v>160</v>
      </c>
      <c r="F168" s="20">
        <f>IF(A168="","",IFERROR(VLOOKUP(A168,'Production Schedule'!$B:$FU,18,FALSE),""))</f>
        <v>160</v>
      </c>
      <c r="G168" s="20" t="str">
        <f>IF(A168="","",IFERROR(VLOOKUP(A168,'Production Schedule'!$B:$FU,25,FALSE),""))</f>
        <v>FR ACM</v>
      </c>
      <c r="H168" s="21">
        <f>IF(A168="","",IFERROR(VLOOKUP(A168,'Production Schedule'!$B:$FU,47,FALSE),""))</f>
        <v>45754.680222106479</v>
      </c>
      <c r="I168" s="21">
        <f>IF(A168="","",IFERROR(VLOOKUP(A168,'Production Schedule'!$B:$FU,54,FALSE),""))</f>
        <v>45828</v>
      </c>
      <c r="J168" s="32">
        <f>IF(A168="","",IFERROR(VLOOKUP(A168,'Production Schedule'!$B:$FU,135,FALSE),""))</f>
        <v>300</v>
      </c>
      <c r="K168" s="20" t="str">
        <f>IF(A168="","",IFERROR(VLOOKUP(A168,'Production Schedule'!$B:$FU,59,FALSE),""))</f>
        <v>YES</v>
      </c>
      <c r="L168" s="39" t="str">
        <f>IF(A168="","",IFERROR(VLOOKUP(A168,'Production Schedule'!$B:$FU,80,FALSE),""))</f>
        <v>RTS Titans</v>
      </c>
      <c r="M168" s="33" t="str" cm="1">
        <f t="array" ref="M168">IF(A168="","",IFERROR(TRIM(INDEX(_xlfn.TEXTSPLIT(IFERROR(VLOOKUP(A168,'Production Schedule'!$B:$FU,150,FALSE),""),CHAR(10)),1)),""))</f>
        <v>AXYZ Titans Line</v>
      </c>
      <c r="N168" s="34">
        <f t="shared" si="16"/>
        <v>45801</v>
      </c>
      <c r="O168" s="33" t="str" cm="1">
        <f t="array" ref="O168">IF(A168="","",IFERROR(TRIM(INDEX(_xlfn.TEXTSPLIT(IFERROR(VLOOKUP(A168,'Production Schedule'!$B:$FU,150,FALSE),""),CHAR(10)),2)),""))</f>
        <v>Clean and Brake</v>
      </c>
      <c r="P168" s="34">
        <f t="shared" si="17"/>
        <v>45805</v>
      </c>
      <c r="Q168" s="33" t="str" cm="1">
        <f t="array" ref="Q168">IF(A168="","",IFERROR(TRIM(INDEX(_xlfn.TEXTSPLIT(IFERROR(VLOOKUP(A168,'Production Schedule'!$B:$FU,150,FALSE),""),CHAR(10)),3)),""))</f>
        <v>Fab</v>
      </c>
      <c r="R168" s="34">
        <f t="shared" si="18"/>
        <v>45815</v>
      </c>
      <c r="S168" s="33" t="str" cm="1">
        <f t="array" ref="S168">IF(A168="","",IFERROR(TRIM(INDEX(_xlfn.TEXTSPLIT(IFERROR(VLOOKUP(A168,'Production Schedule'!$B:$FU,150,FALSE),""),CHAR(10)),4)),""))</f>
        <v/>
      </c>
      <c r="T168" s="34" t="str">
        <f t="shared" si="19"/>
        <v/>
      </c>
      <c r="U168" s="33" t="str" cm="1">
        <f t="array" ref="U168">IF(A168="","",IFERROR(TRIM(INDEX(_xlfn.TEXTSPLIT(IFERROR(VLOOKUP(A168,'Production Schedule'!$B:$FU,150,FALSE),""),CHAR(10)),5)),""))</f>
        <v/>
      </c>
      <c r="V168" s="34" t="str">
        <f t="shared" si="20"/>
        <v/>
      </c>
      <c r="W168" s="33" t="str" cm="1">
        <f t="array" ref="W168">IF(A168="","",IFERROR(TRIM(INDEX(_xlfn.TEXTSPLIT(IFERROR(VLOOKUP(A168,'Production Schedule'!$B:$FU,150,FALSE),""),CHAR(10)),6)),""))</f>
        <v/>
      </c>
      <c r="X168" s="34" t="str">
        <f t="shared" si="21"/>
        <v/>
      </c>
      <c r="Y168" s="36">
        <f t="shared" si="22"/>
        <v>45826</v>
      </c>
      <c r="Z168" s="37" t="str">
        <f>IF(A168="","",IF(IFERROR(VLOOKUP(A168,Notes!A:B,2,FALSE),"")=0,"",VLOOKUP(A168,Notes!A:B,2,FALSE)))</f>
        <v>04/16/2026…RTS Titans</v>
      </c>
      <c r="AA168" s="20">
        <f t="shared" si="23"/>
        <v>2</v>
      </c>
    </row>
    <row r="169" spans="1:27" x14ac:dyDescent="0.25">
      <c r="A169" s="18" t="str">
        <v>24051-FS206</v>
      </c>
      <c r="B169" s="18" t="str">
        <f>IF(A169="","",IFERROR(VLOOKUP(A169,'Production Schedule'!$B:$FU,3,FALSE),""))</f>
        <v>TN Titans Stadium</v>
      </c>
      <c r="C169" s="18" t="str">
        <f>IF(A169="","",IFERROR(VLOOKUP(A169,'Production Schedule'!$B:$FU,5,FALSE),""))</f>
        <v>Marc Ribar</v>
      </c>
      <c r="D169" s="18">
        <f>IF(A169="","",IFERROR(VLOOKUP(A169,'Production Schedule'!$B:$FU,7,FALSE),""))</f>
        <v>400</v>
      </c>
      <c r="E169" s="18">
        <f>IF(A169="","",IFERROR(VLOOKUP(A169,'Production Schedule'!$B:$FU,17,FALSE),""))</f>
        <v>72</v>
      </c>
      <c r="F169" s="18">
        <f>IF(A169="","",IFERROR(VLOOKUP(A169,'Production Schedule'!$B:$FU,18,FALSE),""))</f>
        <v>72</v>
      </c>
      <c r="G169" s="18" t="str">
        <f>IF(A169="","",IFERROR(VLOOKUP(A169,'Production Schedule'!$B:$FU,25,FALSE),""))</f>
        <v>FR ACM</v>
      </c>
      <c r="H169" s="19">
        <f>IF(A169="","",IFERROR(VLOOKUP(A169,'Production Schedule'!$B:$FU,47,FALSE),""))</f>
        <v>45737.619340243058</v>
      </c>
      <c r="I169" s="19">
        <f>IF(A169="","",IFERROR(VLOOKUP(A169,'Production Schedule'!$B:$FU,54,FALSE),""))</f>
        <v>45833</v>
      </c>
      <c r="J169" s="26">
        <f>IF(A169="","",IFERROR(VLOOKUP(A169,'Production Schedule'!$B:$FU,135,FALSE),""))</f>
        <v>200</v>
      </c>
      <c r="K169" s="18" t="str">
        <f>IF(A169="","",IFERROR(VLOOKUP(A169,'Production Schedule'!$B:$FU,59,FALSE),""))</f>
        <v>NO</v>
      </c>
      <c r="L169" s="38" t="str">
        <f>IF(A169="","",IFERROR(VLOOKUP(A169,'Production Schedule'!$B:$FU,80,FALSE),""))</f>
        <v>RTS Titans</v>
      </c>
      <c r="M169" s="27" t="str" cm="1">
        <f t="array" ref="M169">IF(A169="","",IFERROR(TRIM(INDEX(_xlfn.TEXTSPLIT(IFERROR(VLOOKUP(A169,'Production Schedule'!$B:$FU,150,FALSE),""),CHAR(10)),1)),""))</f>
        <v>AXYZ Titans Line</v>
      </c>
      <c r="N169" s="28">
        <f t="shared" si="16"/>
        <v>45807</v>
      </c>
      <c r="O169" s="27" t="str" cm="1">
        <f t="array" ref="O169">IF(A169="","",IFERROR(TRIM(INDEX(_xlfn.TEXTSPLIT(IFERROR(VLOOKUP(A169,'Production Schedule'!$B:$FU,150,FALSE),""),CHAR(10)),2)),""))</f>
        <v>Clean and Brake</v>
      </c>
      <c r="P169" s="28">
        <f t="shared" si="17"/>
        <v>45810</v>
      </c>
      <c r="Q169" s="27" t="str" cm="1">
        <f t="array" ref="Q169">IF(A169="","",IFERROR(TRIM(INDEX(_xlfn.TEXTSPLIT(IFERROR(VLOOKUP(A169,'Production Schedule'!$B:$FU,150,FALSE),""),CHAR(10)),3)),""))</f>
        <v>Fab</v>
      </c>
      <c r="R169" s="28">
        <f t="shared" si="18"/>
        <v>45820</v>
      </c>
      <c r="S169" s="27" t="str" cm="1">
        <f t="array" ref="S169">IF(A169="","",IFERROR(TRIM(INDEX(_xlfn.TEXTSPLIT(IFERROR(VLOOKUP(A169,'Production Schedule'!$B:$FU,150,FALSE),""),CHAR(10)),4)),""))</f>
        <v/>
      </c>
      <c r="T169" s="28" t="str">
        <f t="shared" si="19"/>
        <v/>
      </c>
      <c r="U169" s="27" t="str" cm="1">
        <f t="array" ref="U169">IF(A169="","",IFERROR(TRIM(INDEX(_xlfn.TEXTSPLIT(IFERROR(VLOOKUP(A169,'Production Schedule'!$B:$FU,150,FALSE),""),CHAR(10)),5)),""))</f>
        <v/>
      </c>
      <c r="V169" s="28" t="str">
        <f t="shared" si="20"/>
        <v/>
      </c>
      <c r="W169" s="27" t="str" cm="1">
        <f t="array" ref="W169">IF(A169="","",IFERROR(TRIM(INDEX(_xlfn.TEXTSPLIT(IFERROR(VLOOKUP(A169,'Production Schedule'!$B:$FU,150,FALSE),""),CHAR(10)),6)),""))</f>
        <v/>
      </c>
      <c r="X169" s="28" t="str">
        <f t="shared" si="21"/>
        <v/>
      </c>
      <c r="Y169" s="30">
        <f t="shared" si="22"/>
        <v>45831</v>
      </c>
      <c r="Z169" s="31" t="str">
        <f>IF(A169="","",IF(IFERROR(VLOOKUP(A169,Notes!A:B,2,FALSE),"")=0,"",VLOOKUP(A169,Notes!A:B,2,FALSE)))</f>
        <v>04/16/2026…RTS Titans</v>
      </c>
      <c r="AA169" s="18">
        <f t="shared" si="23"/>
        <v>2</v>
      </c>
    </row>
    <row r="170" spans="1:27" x14ac:dyDescent="0.25">
      <c r="A170" s="20" t="str">
        <v>25016-MU101</v>
      </c>
      <c r="B170" s="20" t="str">
        <f>IF(A170="","",IFERROR(VLOOKUP(A170,'Production Schedule'!$B:$FU,3,FALSE),""))</f>
        <v>Rockdale CJAC</v>
      </c>
      <c r="C170" s="20" t="str">
        <f>IF(A170="","",IFERROR(VLOOKUP(A170,'Production Schedule'!$B:$FU,5,FALSE),""))</f>
        <v>Dillon Bowman</v>
      </c>
      <c r="D170" s="20">
        <f>IF(A170="","",IFERROR(VLOOKUP(A170,'Production Schedule'!$B:$FU,7,FALSE),""))</f>
        <v>400</v>
      </c>
      <c r="E170" s="20">
        <f>IF(A170="","",IFERROR(VLOOKUP(A170,'Production Schedule'!$B:$FU,17,FALSE),""))</f>
        <v>4</v>
      </c>
      <c r="F170" s="20">
        <f>IF(A170="","",IFERROR(VLOOKUP(A170,'Production Schedule'!$B:$FU,18,FALSE),""))</f>
        <v>5</v>
      </c>
      <c r="G170" s="20" t="str">
        <f>IF(A170="","",IFERROR(VLOOKUP(A170,'Production Schedule'!$B:$FU,25,FALSE),""))</f>
        <v>FR ACM</v>
      </c>
      <c r="H170" s="21">
        <f>IF(A170="","",IFERROR(VLOOKUP(A170,'Production Schedule'!$B:$FU,47,FALSE),""))</f>
        <v>45807.517716365743</v>
      </c>
      <c r="I170" s="21">
        <f>IF(A170="","",IFERROR(VLOOKUP(A170,'Production Schedule'!$B:$FU,54,FALSE),""))</f>
        <v>45839</v>
      </c>
      <c r="J170" s="32">
        <f>IF(A170="","",IFERROR(VLOOKUP(A170,'Production Schedule'!$B:$FU,135,FALSE),""))</f>
        <v>8</v>
      </c>
      <c r="K170" s="20" t="str">
        <f>IF(A170="","",IFERROR(VLOOKUP(A170,'Production Schedule'!$B:$FU,59,FALSE),""))</f>
        <v>YES</v>
      </c>
      <c r="L170" s="39" t="str">
        <f>IF(A170="","",IFERROR(VLOOKUP(A170,'Production Schedule'!$B:$FU,80,FALSE),""))</f>
        <v>Ready to Ship</v>
      </c>
      <c r="M170" s="33" t="str" cm="1">
        <f t="array" ref="M170">IF(A170="","",IFERROR(TRIM(INDEX(_xlfn.TEXTSPLIT(IFERROR(VLOOKUP(A170,'Production Schedule'!$B:$FU,150,FALSE),""),CHAR(10)),1)),""))</f>
        <v>AXYZ 34</v>
      </c>
      <c r="N170" s="34">
        <f t="shared" si="16"/>
        <v>45815</v>
      </c>
      <c r="O170" s="33" t="str" cm="1">
        <f t="array" ref="O170">IF(A170="","",IFERROR(TRIM(INDEX(_xlfn.TEXTSPLIT(IFERROR(VLOOKUP(A170,'Production Schedule'!$B:$FU,150,FALSE),""),CHAR(10)),2)),""))</f>
        <v>Clean and Brake</v>
      </c>
      <c r="P170" s="34">
        <f t="shared" si="17"/>
        <v>45815</v>
      </c>
      <c r="Q170" s="33" t="str" cm="1">
        <f t="array" ref="Q170">IF(A170="","",IFERROR(TRIM(INDEX(_xlfn.TEXTSPLIT(IFERROR(VLOOKUP(A170,'Production Schedule'!$B:$FU,150,FALSE),""),CHAR(10)),3)),""))</f>
        <v>Fab</v>
      </c>
      <c r="R170" s="34">
        <f t="shared" si="18"/>
        <v>45826</v>
      </c>
      <c r="S170" s="33" t="str" cm="1">
        <f t="array" ref="S170">IF(A170="","",IFERROR(TRIM(INDEX(_xlfn.TEXTSPLIT(IFERROR(VLOOKUP(A170,'Production Schedule'!$B:$FU,150,FALSE),""),CHAR(10)),4)),""))</f>
        <v/>
      </c>
      <c r="T170" s="34" t="str">
        <f t="shared" si="19"/>
        <v/>
      </c>
      <c r="U170" s="33" t="str" cm="1">
        <f t="array" ref="U170">IF(A170="","",IFERROR(TRIM(INDEX(_xlfn.TEXTSPLIT(IFERROR(VLOOKUP(A170,'Production Schedule'!$B:$FU,150,FALSE),""),CHAR(10)),5)),""))</f>
        <v/>
      </c>
      <c r="V170" s="34" t="str">
        <f t="shared" si="20"/>
        <v/>
      </c>
      <c r="W170" s="33" t="str" cm="1">
        <f t="array" ref="W170">IF(A170="","",IFERROR(TRIM(INDEX(_xlfn.TEXTSPLIT(IFERROR(VLOOKUP(A170,'Production Schedule'!$B:$FU,150,FALSE),""),CHAR(10)),6)),""))</f>
        <v/>
      </c>
      <c r="X170" s="34" t="str">
        <f t="shared" si="21"/>
        <v/>
      </c>
      <c r="Y170" s="36">
        <f t="shared" si="22"/>
        <v>45836</v>
      </c>
      <c r="Z170" s="37" t="str">
        <f>IF(A170="","",IF(IFERROR(VLOOKUP(A170,Notes!A:B,2,FALSE),"")=0,"",VLOOKUP(A170,Notes!A:B,2,FALSE)))</f>
        <v>04/16/2026…Ready to Ship</v>
      </c>
      <c r="AA170" s="20">
        <f t="shared" si="23"/>
        <v>2</v>
      </c>
    </row>
    <row r="171" spans="1:27" x14ac:dyDescent="0.25">
      <c r="A171" s="18" t="str">
        <v>25016-MU103</v>
      </c>
      <c r="B171" s="18" t="str">
        <f>IF(A171="","",IFERROR(VLOOKUP(A171,'Production Schedule'!$B:$FU,3,FALSE),""))</f>
        <v>Rockdale CJAC</v>
      </c>
      <c r="C171" s="18" t="str">
        <f>IF(A171="","",IFERROR(VLOOKUP(A171,'Production Schedule'!$B:$FU,5,FALSE),""))</f>
        <v>Dillon Bowman</v>
      </c>
      <c r="D171" s="18" t="str">
        <f>IF(A171="","",IFERROR(VLOOKUP(A171,'Production Schedule'!$B:$FU,7,FALSE),""))</f>
        <v>CUSTOM ARCH</v>
      </c>
      <c r="E171" s="18">
        <f>IF(A171="","",IFERROR(VLOOKUP(A171,'Production Schedule'!$B:$FU,17,FALSE),""))</f>
        <v>0</v>
      </c>
      <c r="F171" s="18">
        <f>IF(A171="","",IFERROR(VLOOKUP(A171,'Production Schedule'!$B:$FU,18,FALSE),""))</f>
        <v>8</v>
      </c>
      <c r="G171" s="18" t="str">
        <f>IF(A171="","",IFERROR(VLOOKUP(A171,'Production Schedule'!$B:$FU,25,FALSE),""))</f>
        <v>Alum Sheet</v>
      </c>
      <c r="H171" s="19">
        <f>IF(A171="","",IFERROR(VLOOKUP(A171,'Production Schedule'!$B:$FU,47,FALSE),""))</f>
        <v>45807.522862893522</v>
      </c>
      <c r="I171" s="19">
        <f>IF(A171="","",IFERROR(VLOOKUP(A171,'Production Schedule'!$B:$FU,54,FALSE),""))</f>
        <v>45839</v>
      </c>
      <c r="J171" s="26">
        <f>IF(A171="","",IFERROR(VLOOKUP(A171,'Production Schedule'!$B:$FU,135,FALSE),""))</f>
        <v>2</v>
      </c>
      <c r="K171" s="18" t="str">
        <f>IF(A171="","",IFERROR(VLOOKUP(A171,'Production Schedule'!$B:$FU,59,FALSE),""))</f>
        <v>YES</v>
      </c>
      <c r="L171" s="38" t="str">
        <f>IF(A171="","",IFERROR(VLOOKUP(A171,'Production Schedule'!$B:$FU,80,FALSE),""))</f>
        <v>Ready to Ship</v>
      </c>
      <c r="M171" s="27" t="str" cm="1">
        <f t="array" ref="M171">IF(A171="","",IFERROR(TRIM(INDEX(_xlfn.TEXTSPLIT(IFERROR(VLOOKUP(A171,'Production Schedule'!$B:$FU,150,FALSE),""),CHAR(10)),1)),""))</f>
        <v>Cidan</v>
      </c>
      <c r="N171" s="28">
        <f t="shared" si="16"/>
        <v>45813</v>
      </c>
      <c r="O171" s="27" t="str" cm="1">
        <f t="array" ref="O171">IF(A171="","",IFERROR(TRIM(INDEX(_xlfn.TEXTSPLIT(IFERROR(VLOOKUP(A171,'Production Schedule'!$B:$FU,150,FALSE),""),CHAR(10)),2)),""))</f>
        <v>Shear</v>
      </c>
      <c r="P171" s="28">
        <f t="shared" si="17"/>
        <v>45825</v>
      </c>
      <c r="Q171" s="27" t="str" cm="1">
        <f t="array" ref="Q171">IF(A171="","",IFERROR(TRIM(INDEX(_xlfn.TEXTSPLIT(IFERROR(VLOOKUP(A171,'Production Schedule'!$B:$FU,150,FALSE),""),CHAR(10)),3)),""))</f>
        <v/>
      </c>
      <c r="R171" s="28" t="str">
        <f t="shared" si="18"/>
        <v/>
      </c>
      <c r="S171" s="27" t="str" cm="1">
        <f t="array" ref="S171">IF(A171="","",IFERROR(TRIM(INDEX(_xlfn.TEXTSPLIT(IFERROR(VLOOKUP(A171,'Production Schedule'!$B:$FU,150,FALSE),""),CHAR(10)),4)),""))</f>
        <v/>
      </c>
      <c r="T171" s="28" t="str">
        <f t="shared" si="19"/>
        <v/>
      </c>
      <c r="U171" s="27" t="str" cm="1">
        <f t="array" ref="U171">IF(A171="","",IFERROR(TRIM(INDEX(_xlfn.TEXTSPLIT(IFERROR(VLOOKUP(A171,'Production Schedule'!$B:$FU,150,FALSE),""),CHAR(10)),5)),""))</f>
        <v/>
      </c>
      <c r="V171" s="28" t="str">
        <f t="shared" si="20"/>
        <v/>
      </c>
      <c r="W171" s="27" t="str" cm="1">
        <f t="array" ref="W171">IF(A171="","",IFERROR(TRIM(INDEX(_xlfn.TEXTSPLIT(IFERROR(VLOOKUP(A171,'Production Schedule'!$B:$FU,150,FALSE),""),CHAR(10)),6)),""))</f>
        <v/>
      </c>
      <c r="X171" s="28" t="str">
        <f t="shared" si="21"/>
        <v/>
      </c>
      <c r="Y171" s="30">
        <f t="shared" si="22"/>
        <v>45836</v>
      </c>
      <c r="Z171" s="31" t="str">
        <f>IF(A171="","",IF(IFERROR(VLOOKUP(A171,Notes!A:B,2,FALSE),"")=0,"",VLOOKUP(A171,Notes!A:B,2,FALSE)))</f>
        <v>04/16/2026…Ready to Ship</v>
      </c>
      <c r="AA171" s="18">
        <f t="shared" si="23"/>
        <v>2</v>
      </c>
    </row>
    <row r="172" spans="1:27" x14ac:dyDescent="0.25">
      <c r="A172" s="20" t="str">
        <v>25016-MU121</v>
      </c>
      <c r="B172" s="20" t="str">
        <f>IF(A172="","",IFERROR(VLOOKUP(A172,'Production Schedule'!$B:$FU,3,FALSE),""))</f>
        <v>Rockdale CJAC</v>
      </c>
      <c r="C172" s="20" t="str">
        <f>IF(A172="","",IFERROR(VLOOKUP(A172,'Production Schedule'!$B:$FU,5,FALSE),""))</f>
        <v>Dillon Bowman</v>
      </c>
      <c r="D172" s="20">
        <f>IF(A172="","",IFERROR(VLOOKUP(A172,'Production Schedule'!$B:$FU,7,FALSE),""))</f>
        <v>400</v>
      </c>
      <c r="E172" s="20">
        <f>IF(A172="","",IFERROR(VLOOKUP(A172,'Production Schedule'!$B:$FU,17,FALSE),""))</f>
        <v>1</v>
      </c>
      <c r="F172" s="20">
        <f>IF(A172="","",IFERROR(VLOOKUP(A172,'Production Schedule'!$B:$FU,18,FALSE),""))</f>
        <v>1</v>
      </c>
      <c r="G172" s="20" t="str">
        <f>IF(A172="","",IFERROR(VLOOKUP(A172,'Production Schedule'!$B:$FU,25,FALSE),""))</f>
        <v>FR ACM</v>
      </c>
      <c r="H172" s="21">
        <f>IF(A172="","",IFERROR(VLOOKUP(A172,'Production Schedule'!$B:$FU,47,FALSE),""))</f>
        <v>45807.52561459491</v>
      </c>
      <c r="I172" s="21">
        <f>IF(A172="","",IFERROR(VLOOKUP(A172,'Production Schedule'!$B:$FU,54,FALSE),""))</f>
        <v>45839</v>
      </c>
      <c r="J172" s="32">
        <f>IF(A172="","",IFERROR(VLOOKUP(A172,'Production Schedule'!$B:$FU,135,FALSE),""))</f>
        <v>2</v>
      </c>
      <c r="K172" s="20" t="str">
        <f>IF(A172="","",IFERROR(VLOOKUP(A172,'Production Schedule'!$B:$FU,59,FALSE),""))</f>
        <v>YES</v>
      </c>
      <c r="L172" s="39" t="str">
        <f>IF(A172="","",IFERROR(VLOOKUP(A172,'Production Schedule'!$B:$FU,80,FALSE),""))</f>
        <v>Ready to Ship</v>
      </c>
      <c r="M172" s="33" t="str" cm="1">
        <f t="array" ref="M172">IF(A172="","",IFERROR(TRIM(INDEX(_xlfn.TEXTSPLIT(IFERROR(VLOOKUP(A172,'Production Schedule'!$B:$FU,150,FALSE),""),CHAR(10)),1)),""))</f>
        <v>AXYZ Titans Line</v>
      </c>
      <c r="N172" s="34">
        <f t="shared" si="16"/>
        <v>45814</v>
      </c>
      <c r="O172" s="33" t="str" cm="1">
        <f t="array" ref="O172">IF(A172="","",IFERROR(TRIM(INDEX(_xlfn.TEXTSPLIT(IFERROR(VLOOKUP(A172,'Production Schedule'!$B:$FU,150,FALSE),""),CHAR(10)),2)),""))</f>
        <v>Clean and Brake</v>
      </c>
      <c r="P172" s="34">
        <f t="shared" si="17"/>
        <v>45815</v>
      </c>
      <c r="Q172" s="33" t="str" cm="1">
        <f t="array" ref="Q172">IF(A172="","",IFERROR(TRIM(INDEX(_xlfn.TEXTSPLIT(IFERROR(VLOOKUP(A172,'Production Schedule'!$B:$FU,150,FALSE),""),CHAR(10)),3)),""))</f>
        <v>Fab</v>
      </c>
      <c r="R172" s="34">
        <f t="shared" si="18"/>
        <v>45826</v>
      </c>
      <c r="S172" s="33" t="str" cm="1">
        <f t="array" ref="S172">IF(A172="","",IFERROR(TRIM(INDEX(_xlfn.TEXTSPLIT(IFERROR(VLOOKUP(A172,'Production Schedule'!$B:$FU,150,FALSE),""),CHAR(10)),4)),""))</f>
        <v/>
      </c>
      <c r="T172" s="34" t="str">
        <f t="shared" si="19"/>
        <v/>
      </c>
      <c r="U172" s="33" t="str" cm="1">
        <f t="array" ref="U172">IF(A172="","",IFERROR(TRIM(INDEX(_xlfn.TEXTSPLIT(IFERROR(VLOOKUP(A172,'Production Schedule'!$B:$FU,150,FALSE),""),CHAR(10)),5)),""))</f>
        <v/>
      </c>
      <c r="V172" s="34" t="str">
        <f t="shared" si="20"/>
        <v/>
      </c>
      <c r="W172" s="33" t="str" cm="1">
        <f t="array" ref="W172">IF(A172="","",IFERROR(TRIM(INDEX(_xlfn.TEXTSPLIT(IFERROR(VLOOKUP(A172,'Production Schedule'!$B:$FU,150,FALSE),""),CHAR(10)),6)),""))</f>
        <v/>
      </c>
      <c r="X172" s="34" t="str">
        <f t="shared" si="21"/>
        <v/>
      </c>
      <c r="Y172" s="36">
        <f t="shared" si="22"/>
        <v>45836</v>
      </c>
      <c r="Z172" s="37" t="str">
        <f>IF(A172="","",IF(IFERROR(VLOOKUP(A172,Notes!A:B,2,FALSE),"")=0,"",VLOOKUP(A172,Notes!A:B,2,FALSE)))</f>
        <v>04/16/2026…Ready to Ship</v>
      </c>
      <c r="AA172" s="20">
        <f t="shared" si="23"/>
        <v>2</v>
      </c>
    </row>
    <row r="173" spans="1:27" x14ac:dyDescent="0.25">
      <c r="A173" s="18" t="str">
        <v>25016-MU122</v>
      </c>
      <c r="B173" s="18" t="str">
        <f>IF(A173="","",IFERROR(VLOOKUP(A173,'Production Schedule'!$B:$FU,3,FALSE),""))</f>
        <v>Rockdale CJAC</v>
      </c>
      <c r="C173" s="18" t="str">
        <f>IF(A173="","",IFERROR(VLOOKUP(A173,'Production Schedule'!$B:$FU,5,FALSE),""))</f>
        <v>Dillon Bowman</v>
      </c>
      <c r="D173" s="18" t="str">
        <f>IF(A173="","",IFERROR(VLOOKUP(A173,'Production Schedule'!$B:$FU,7,FALSE),""))</f>
        <v>CUSTOM ARCH</v>
      </c>
      <c r="E173" s="18">
        <f>IF(A173="","",IFERROR(VLOOKUP(A173,'Production Schedule'!$B:$FU,17,FALSE),""))</f>
        <v>0</v>
      </c>
      <c r="F173" s="18">
        <f>IF(A173="","",IFERROR(VLOOKUP(A173,'Production Schedule'!$B:$FU,18,FALSE),""))</f>
        <v>2</v>
      </c>
      <c r="G173" s="18" t="str">
        <f>IF(A173="","",IFERROR(VLOOKUP(A173,'Production Schedule'!$B:$FU,25,FALSE),""))</f>
        <v>Galv Sheet</v>
      </c>
      <c r="H173" s="19">
        <f>IF(A173="","",IFERROR(VLOOKUP(A173,'Production Schedule'!$B:$FU,47,FALSE),""))</f>
        <v>45807.527501481483</v>
      </c>
      <c r="I173" s="19">
        <f>IF(A173="","",IFERROR(VLOOKUP(A173,'Production Schedule'!$B:$FU,54,FALSE),""))</f>
        <v>45839</v>
      </c>
      <c r="J173" s="26">
        <f>IF(A173="","",IFERROR(VLOOKUP(A173,'Production Schedule'!$B:$FU,135,FALSE),""))</f>
        <v>1</v>
      </c>
      <c r="K173" s="18" t="str">
        <f>IF(A173="","",IFERROR(VLOOKUP(A173,'Production Schedule'!$B:$FU,59,FALSE),""))</f>
        <v>YES</v>
      </c>
      <c r="L173" s="38" t="str">
        <f>IF(A173="","",IFERROR(VLOOKUP(A173,'Production Schedule'!$B:$FU,80,FALSE),""))</f>
        <v>Ready to Ship</v>
      </c>
      <c r="M173" s="27" t="str" cm="1">
        <f t="array" ref="M173">IF(A173="","",IFERROR(TRIM(INDEX(_xlfn.TEXTSPLIT(IFERROR(VLOOKUP(A173,'Production Schedule'!$B:$FU,150,FALSE),""),CHAR(10)),1)),""))</f>
        <v>Cidan</v>
      </c>
      <c r="N173" s="28">
        <f t="shared" si="16"/>
        <v>45813</v>
      </c>
      <c r="O173" s="27" t="str" cm="1">
        <f t="array" ref="O173">IF(A173="","",IFERROR(TRIM(INDEX(_xlfn.TEXTSPLIT(IFERROR(VLOOKUP(A173,'Production Schedule'!$B:$FU,150,FALSE),""),CHAR(10)),2)),""))</f>
        <v>Shear</v>
      </c>
      <c r="P173" s="28">
        <f t="shared" si="17"/>
        <v>45825</v>
      </c>
      <c r="Q173" s="27" t="str" cm="1">
        <f t="array" ref="Q173">IF(A173="","",IFERROR(TRIM(INDEX(_xlfn.TEXTSPLIT(IFERROR(VLOOKUP(A173,'Production Schedule'!$B:$FU,150,FALSE),""),CHAR(10)),3)),""))</f>
        <v/>
      </c>
      <c r="R173" s="28" t="str">
        <f t="shared" si="18"/>
        <v/>
      </c>
      <c r="S173" s="27" t="str" cm="1">
        <f t="array" ref="S173">IF(A173="","",IFERROR(TRIM(INDEX(_xlfn.TEXTSPLIT(IFERROR(VLOOKUP(A173,'Production Schedule'!$B:$FU,150,FALSE),""),CHAR(10)),4)),""))</f>
        <v/>
      </c>
      <c r="T173" s="28" t="str">
        <f t="shared" si="19"/>
        <v/>
      </c>
      <c r="U173" s="27" t="str" cm="1">
        <f t="array" ref="U173">IF(A173="","",IFERROR(TRIM(INDEX(_xlfn.TEXTSPLIT(IFERROR(VLOOKUP(A173,'Production Schedule'!$B:$FU,150,FALSE),""),CHAR(10)),5)),""))</f>
        <v/>
      </c>
      <c r="V173" s="28" t="str">
        <f t="shared" si="20"/>
        <v/>
      </c>
      <c r="W173" s="27" t="str" cm="1">
        <f t="array" ref="W173">IF(A173="","",IFERROR(TRIM(INDEX(_xlfn.TEXTSPLIT(IFERROR(VLOOKUP(A173,'Production Schedule'!$B:$FU,150,FALSE),""),CHAR(10)),6)),""))</f>
        <v/>
      </c>
      <c r="X173" s="28" t="str">
        <f t="shared" si="21"/>
        <v/>
      </c>
      <c r="Y173" s="30">
        <f t="shared" si="22"/>
        <v>45836</v>
      </c>
      <c r="Z173" s="31" t="str">
        <f>IF(A173="","",IF(IFERROR(VLOOKUP(A173,Notes!A:B,2,FALSE),"")=0,"",VLOOKUP(A173,Notes!A:B,2,FALSE)))</f>
        <v>04/16/2026…Ready to Ship</v>
      </c>
      <c r="AA173" s="18">
        <f t="shared" si="23"/>
        <v>2</v>
      </c>
    </row>
    <row r="174" spans="1:27" x14ac:dyDescent="0.25">
      <c r="A174" s="20" t="str">
        <v>25016-MU123</v>
      </c>
      <c r="B174" s="20" t="str">
        <f>IF(A174="","",IFERROR(VLOOKUP(A174,'Production Schedule'!$B:$FU,3,FALSE),""))</f>
        <v>Rockdale CJAC</v>
      </c>
      <c r="C174" s="20" t="str">
        <f>IF(A174="","",IFERROR(VLOOKUP(A174,'Production Schedule'!$B:$FU,5,FALSE),""))</f>
        <v>Dillon Bowman</v>
      </c>
      <c r="D174" s="20" t="str">
        <f>IF(A174="","",IFERROR(VLOOKUP(A174,'Production Schedule'!$B:$FU,7,FALSE),""))</f>
        <v>CUSTOM ARCH</v>
      </c>
      <c r="E174" s="20">
        <f>IF(A174="","",IFERROR(VLOOKUP(A174,'Production Schedule'!$B:$FU,17,FALSE),""))</f>
        <v>0</v>
      </c>
      <c r="F174" s="20">
        <f>IF(A174="","",IFERROR(VLOOKUP(A174,'Production Schedule'!$B:$FU,18,FALSE),""))</f>
        <v>2</v>
      </c>
      <c r="G174" s="20" t="str">
        <f>IF(A174="","",IFERROR(VLOOKUP(A174,'Production Schedule'!$B:$FU,25,FALSE),""))</f>
        <v>Alum Sheet</v>
      </c>
      <c r="H174" s="21">
        <f>IF(A174="","",IFERROR(VLOOKUP(A174,'Production Schedule'!$B:$FU,47,FALSE),""))</f>
        <v>45807.52907921296</v>
      </c>
      <c r="I174" s="21">
        <f>IF(A174="","",IFERROR(VLOOKUP(A174,'Production Schedule'!$B:$FU,54,FALSE),""))</f>
        <v>45839</v>
      </c>
      <c r="J174" s="32">
        <f>IF(A174="","",IFERROR(VLOOKUP(A174,'Production Schedule'!$B:$FU,135,FALSE),""))</f>
        <v>1</v>
      </c>
      <c r="K174" s="20" t="str">
        <f>IF(A174="","",IFERROR(VLOOKUP(A174,'Production Schedule'!$B:$FU,59,FALSE),""))</f>
        <v>YES</v>
      </c>
      <c r="L174" s="39" t="str">
        <f>IF(A174="","",IFERROR(VLOOKUP(A174,'Production Schedule'!$B:$FU,80,FALSE),""))</f>
        <v>Ready to Ship</v>
      </c>
      <c r="M174" s="33" t="str" cm="1">
        <f t="array" ref="M174">IF(A174="","",IFERROR(TRIM(INDEX(_xlfn.TEXTSPLIT(IFERROR(VLOOKUP(A174,'Production Schedule'!$B:$FU,150,FALSE),""),CHAR(10)),1)),""))</f>
        <v>Cidan</v>
      </c>
      <c r="N174" s="34">
        <f t="shared" si="16"/>
        <v>45813</v>
      </c>
      <c r="O174" s="33" t="str" cm="1">
        <f t="array" ref="O174">IF(A174="","",IFERROR(TRIM(INDEX(_xlfn.TEXTSPLIT(IFERROR(VLOOKUP(A174,'Production Schedule'!$B:$FU,150,FALSE),""),CHAR(10)),2)),""))</f>
        <v>Shear</v>
      </c>
      <c r="P174" s="34">
        <f t="shared" si="17"/>
        <v>45825</v>
      </c>
      <c r="Q174" s="33" t="str" cm="1">
        <f t="array" ref="Q174">IF(A174="","",IFERROR(TRIM(INDEX(_xlfn.TEXTSPLIT(IFERROR(VLOOKUP(A174,'Production Schedule'!$B:$FU,150,FALSE),""),CHAR(10)),3)),""))</f>
        <v/>
      </c>
      <c r="R174" s="34" t="str">
        <f t="shared" si="18"/>
        <v/>
      </c>
      <c r="S174" s="33" t="str" cm="1">
        <f t="array" ref="S174">IF(A174="","",IFERROR(TRIM(INDEX(_xlfn.TEXTSPLIT(IFERROR(VLOOKUP(A174,'Production Schedule'!$B:$FU,150,FALSE),""),CHAR(10)),4)),""))</f>
        <v/>
      </c>
      <c r="T174" s="34" t="str">
        <f t="shared" si="19"/>
        <v/>
      </c>
      <c r="U174" s="33" t="str" cm="1">
        <f t="array" ref="U174">IF(A174="","",IFERROR(TRIM(INDEX(_xlfn.TEXTSPLIT(IFERROR(VLOOKUP(A174,'Production Schedule'!$B:$FU,150,FALSE),""),CHAR(10)),5)),""))</f>
        <v/>
      </c>
      <c r="V174" s="34" t="str">
        <f t="shared" si="20"/>
        <v/>
      </c>
      <c r="W174" s="33" t="str" cm="1">
        <f t="array" ref="W174">IF(A174="","",IFERROR(TRIM(INDEX(_xlfn.TEXTSPLIT(IFERROR(VLOOKUP(A174,'Production Schedule'!$B:$FU,150,FALSE),""),CHAR(10)),6)),""))</f>
        <v/>
      </c>
      <c r="X174" s="34" t="str">
        <f t="shared" si="21"/>
        <v/>
      </c>
      <c r="Y174" s="36">
        <f t="shared" si="22"/>
        <v>45836</v>
      </c>
      <c r="Z174" s="37" t="str">
        <f>IF(A174="","",IF(IFERROR(VLOOKUP(A174,Notes!A:B,2,FALSE),"")=0,"",VLOOKUP(A174,Notes!A:B,2,FALSE)))</f>
        <v>04/16/2026…Ready to Ship</v>
      </c>
      <c r="AA174" s="20">
        <f t="shared" si="23"/>
        <v>2</v>
      </c>
    </row>
    <row r="175" spans="1:27" x14ac:dyDescent="0.25">
      <c r="A175" s="18" t="str">
        <v>24051-FS01C</v>
      </c>
      <c r="B175" s="18" t="str">
        <f>IF(A175="","",IFERROR(VLOOKUP(A175,'Production Schedule'!$B:$FU,3,FALSE),""))</f>
        <v>TN Titans Stadium</v>
      </c>
      <c r="C175" s="18" t="str">
        <f>IF(A175="","",IFERROR(VLOOKUP(A175,'Production Schedule'!$B:$FU,5,FALSE),""))</f>
        <v>Marc Ribar</v>
      </c>
      <c r="D175" s="18">
        <f>IF(A175="","",IFERROR(VLOOKUP(A175,'Production Schedule'!$B:$FU,7,FALSE),""))</f>
        <v>400</v>
      </c>
      <c r="E175" s="18">
        <f>IF(A175="","",IFERROR(VLOOKUP(A175,'Production Schedule'!$B:$FU,17,FALSE),""))</f>
        <v>160</v>
      </c>
      <c r="F175" s="18">
        <f>IF(A175="","",IFERROR(VLOOKUP(A175,'Production Schedule'!$B:$FU,18,FALSE),""))</f>
        <v>160</v>
      </c>
      <c r="G175" s="18" t="str">
        <f>IF(A175="","",IFERROR(VLOOKUP(A175,'Production Schedule'!$B:$FU,25,FALSE),""))</f>
        <v>FR ACM</v>
      </c>
      <c r="H175" s="19">
        <f>IF(A175="","",IFERROR(VLOOKUP(A175,'Production Schedule'!$B:$FU,47,FALSE),""))</f>
        <v>45781.397066898149</v>
      </c>
      <c r="I175" s="19">
        <f>IF(A175="","",IFERROR(VLOOKUP(A175,'Production Schedule'!$B:$FU,54,FALSE),""))</f>
        <v>45839</v>
      </c>
      <c r="J175" s="26">
        <f>IF(A175="","",IFERROR(VLOOKUP(A175,'Production Schedule'!$B:$FU,135,FALSE),""))</f>
        <v>200</v>
      </c>
      <c r="K175" s="18" t="str">
        <f>IF(A175="","",IFERROR(VLOOKUP(A175,'Production Schedule'!$B:$FU,59,FALSE),""))</f>
        <v>YES</v>
      </c>
      <c r="L175" s="38" t="str">
        <f>IF(A175="","",IFERROR(VLOOKUP(A175,'Production Schedule'!$B:$FU,80,FALSE),""))</f>
        <v>RTS Titans</v>
      </c>
      <c r="M175" s="27" t="str" cm="1">
        <f t="array" ref="M175">IF(A175="","",IFERROR(TRIM(INDEX(_xlfn.TEXTSPLIT(IFERROR(VLOOKUP(A175,'Production Schedule'!$B:$FU,150,FALSE),""),CHAR(10)),1)),""))</f>
        <v>AXYZ Titans Line</v>
      </c>
      <c r="N175" s="28">
        <f t="shared" si="16"/>
        <v>45812</v>
      </c>
      <c r="O175" s="27" t="str" cm="1">
        <f t="array" ref="O175">IF(A175="","",IFERROR(TRIM(INDEX(_xlfn.TEXTSPLIT(IFERROR(VLOOKUP(A175,'Production Schedule'!$B:$FU,150,FALSE),""),CHAR(10)),2)),""))</f>
        <v>Clean and Brake</v>
      </c>
      <c r="P175" s="28">
        <f t="shared" si="17"/>
        <v>45815</v>
      </c>
      <c r="Q175" s="27" t="str" cm="1">
        <f t="array" ref="Q175">IF(A175="","",IFERROR(TRIM(INDEX(_xlfn.TEXTSPLIT(IFERROR(VLOOKUP(A175,'Production Schedule'!$B:$FU,150,FALSE),""),CHAR(10)),3)),""))</f>
        <v>Fab</v>
      </c>
      <c r="R175" s="28">
        <f t="shared" si="18"/>
        <v>45826</v>
      </c>
      <c r="S175" s="27" t="str" cm="1">
        <f t="array" ref="S175">IF(A175="","",IFERROR(TRIM(INDEX(_xlfn.TEXTSPLIT(IFERROR(VLOOKUP(A175,'Production Schedule'!$B:$FU,150,FALSE),""),CHAR(10)),4)),""))</f>
        <v/>
      </c>
      <c r="T175" s="28" t="str">
        <f t="shared" si="19"/>
        <v/>
      </c>
      <c r="U175" s="27" t="str" cm="1">
        <f t="array" ref="U175">IF(A175="","",IFERROR(TRIM(INDEX(_xlfn.TEXTSPLIT(IFERROR(VLOOKUP(A175,'Production Schedule'!$B:$FU,150,FALSE),""),CHAR(10)),5)),""))</f>
        <v/>
      </c>
      <c r="V175" s="28" t="str">
        <f t="shared" si="20"/>
        <v/>
      </c>
      <c r="W175" s="27" t="str" cm="1">
        <f t="array" ref="W175">IF(A175="","",IFERROR(TRIM(INDEX(_xlfn.TEXTSPLIT(IFERROR(VLOOKUP(A175,'Production Schedule'!$B:$FU,150,FALSE),""),CHAR(10)),6)),""))</f>
        <v/>
      </c>
      <c r="X175" s="28" t="str">
        <f t="shared" si="21"/>
        <v/>
      </c>
      <c r="Y175" s="30">
        <f t="shared" si="22"/>
        <v>45836</v>
      </c>
      <c r="Z175" s="31" t="str">
        <f>IF(A175="","",IF(IFERROR(VLOOKUP(A175,Notes!A:B,2,FALSE),"")=0,"",VLOOKUP(A175,Notes!A:B,2,FALSE)))</f>
        <v>04/16/2026…RTS Titans</v>
      </c>
      <c r="AA175" s="18">
        <f t="shared" si="23"/>
        <v>2</v>
      </c>
    </row>
    <row r="176" spans="1:27" x14ac:dyDescent="0.25">
      <c r="A176" s="20" t="str">
        <v>24051-FS10C</v>
      </c>
      <c r="B176" s="20" t="str">
        <f>IF(A176="","",IFERROR(VLOOKUP(A176,'Production Schedule'!$B:$FU,3,FALSE),""))</f>
        <v>TN Titans Stadium</v>
      </c>
      <c r="C176" s="20" t="str">
        <f>IF(A176="","",IFERROR(VLOOKUP(A176,'Production Schedule'!$B:$FU,5,FALSE),""))</f>
        <v>Marc Ribar</v>
      </c>
      <c r="D176" s="20">
        <f>IF(A176="","",IFERROR(VLOOKUP(A176,'Production Schedule'!$B:$FU,7,FALSE),""))</f>
        <v>400</v>
      </c>
      <c r="E176" s="20">
        <f>IF(A176="","",IFERROR(VLOOKUP(A176,'Production Schedule'!$B:$FU,17,FALSE),""))</f>
        <v>160</v>
      </c>
      <c r="F176" s="20">
        <f>IF(A176="","",IFERROR(VLOOKUP(A176,'Production Schedule'!$B:$FU,18,FALSE),""))</f>
        <v>160</v>
      </c>
      <c r="G176" s="20" t="str">
        <f>IF(A176="","",IFERROR(VLOOKUP(A176,'Production Schedule'!$B:$FU,25,FALSE),""))</f>
        <v>FR ACM</v>
      </c>
      <c r="H176" s="21">
        <f>IF(A176="","",IFERROR(VLOOKUP(A176,'Production Schedule'!$B:$FU,47,FALSE),""))</f>
        <v>45782.37452420139</v>
      </c>
      <c r="I176" s="21">
        <f>IF(A176="","",IFERROR(VLOOKUP(A176,'Production Schedule'!$B:$FU,54,FALSE),""))</f>
        <v>45841</v>
      </c>
      <c r="J176" s="32">
        <f>IF(A176="","",IFERROR(VLOOKUP(A176,'Production Schedule'!$B:$FU,135,FALSE),""))</f>
        <v>200</v>
      </c>
      <c r="K176" s="20" t="str">
        <f>IF(A176="","",IFERROR(VLOOKUP(A176,'Production Schedule'!$B:$FU,59,FALSE),""))</f>
        <v>YES</v>
      </c>
      <c r="L176" s="39" t="str">
        <f>IF(A176="","",IFERROR(VLOOKUP(A176,'Production Schedule'!$B:$FU,80,FALSE),""))</f>
        <v>RTS Titans</v>
      </c>
      <c r="M176" s="33" t="str" cm="1">
        <f t="array" ref="M176">IF(A176="","",IFERROR(TRIM(INDEX(_xlfn.TEXTSPLIT(IFERROR(VLOOKUP(A176,'Production Schedule'!$B:$FU,150,FALSE),""),CHAR(10)),1)),""))</f>
        <v>AXYZ Titans Line</v>
      </c>
      <c r="N176" s="34">
        <f t="shared" si="16"/>
        <v>45814</v>
      </c>
      <c r="O176" s="33" t="str" cm="1">
        <f t="array" ref="O176">IF(A176="","",IFERROR(TRIM(INDEX(_xlfn.TEXTSPLIT(IFERROR(VLOOKUP(A176,'Production Schedule'!$B:$FU,150,FALSE),""),CHAR(10)),2)),""))</f>
        <v>Clean and Brake</v>
      </c>
      <c r="P176" s="34">
        <f t="shared" si="17"/>
        <v>45818</v>
      </c>
      <c r="Q176" s="33" t="str" cm="1">
        <f t="array" ref="Q176">IF(A176="","",IFERROR(TRIM(INDEX(_xlfn.TEXTSPLIT(IFERROR(VLOOKUP(A176,'Production Schedule'!$B:$FU,150,FALSE),""),CHAR(10)),3)),""))</f>
        <v>Fab</v>
      </c>
      <c r="R176" s="34">
        <f t="shared" si="18"/>
        <v>45828</v>
      </c>
      <c r="S176" s="33" t="str" cm="1">
        <f t="array" ref="S176">IF(A176="","",IFERROR(TRIM(INDEX(_xlfn.TEXTSPLIT(IFERROR(VLOOKUP(A176,'Production Schedule'!$B:$FU,150,FALSE),""),CHAR(10)),4)),""))</f>
        <v/>
      </c>
      <c r="T176" s="34" t="str">
        <f t="shared" si="19"/>
        <v/>
      </c>
      <c r="U176" s="33" t="str" cm="1">
        <f t="array" ref="U176">IF(A176="","",IFERROR(TRIM(INDEX(_xlfn.TEXTSPLIT(IFERROR(VLOOKUP(A176,'Production Schedule'!$B:$FU,150,FALSE),""),CHAR(10)),5)),""))</f>
        <v/>
      </c>
      <c r="V176" s="34" t="str">
        <f t="shared" si="20"/>
        <v/>
      </c>
      <c r="W176" s="33" t="str" cm="1">
        <f t="array" ref="W176">IF(A176="","",IFERROR(TRIM(INDEX(_xlfn.TEXTSPLIT(IFERROR(VLOOKUP(A176,'Production Schedule'!$B:$FU,150,FALSE),""),CHAR(10)),6)),""))</f>
        <v/>
      </c>
      <c r="X176" s="34" t="str">
        <f t="shared" si="21"/>
        <v/>
      </c>
      <c r="Y176" s="36">
        <f t="shared" si="22"/>
        <v>45839</v>
      </c>
      <c r="Z176" s="37" t="str">
        <f>IF(A176="","",IF(IFERROR(VLOOKUP(A176,Notes!A:B,2,FALSE),"")=0,"",VLOOKUP(A176,Notes!A:B,2,FALSE)))</f>
        <v>04/16/2026…RTS Titans</v>
      </c>
      <c r="AA176" s="20">
        <f t="shared" si="23"/>
        <v>2</v>
      </c>
    </row>
    <row r="177" spans="1:27" x14ac:dyDescent="0.25">
      <c r="A177" s="18" t="str">
        <v>24051-FS33C</v>
      </c>
      <c r="B177" s="18" t="str">
        <f>IF(A177="","",IFERROR(VLOOKUP(A177,'Production Schedule'!$B:$FU,3,FALSE),""))</f>
        <v>TN Titans Stadium</v>
      </c>
      <c r="C177" s="18" t="str">
        <f>IF(A177="","",IFERROR(VLOOKUP(A177,'Production Schedule'!$B:$FU,5,FALSE),""))</f>
        <v>Marc Ribar</v>
      </c>
      <c r="D177" s="18">
        <f>IF(A177="","",IFERROR(VLOOKUP(A177,'Production Schedule'!$B:$FU,7,FALSE),""))</f>
        <v>400</v>
      </c>
      <c r="E177" s="18">
        <f>IF(A177="","",IFERROR(VLOOKUP(A177,'Production Schedule'!$B:$FU,17,FALSE),""))</f>
        <v>161</v>
      </c>
      <c r="F177" s="18">
        <f>IF(A177="","",IFERROR(VLOOKUP(A177,'Production Schedule'!$B:$FU,18,FALSE),""))</f>
        <v>161</v>
      </c>
      <c r="G177" s="18" t="str">
        <f>IF(A177="","",IFERROR(VLOOKUP(A177,'Production Schedule'!$B:$FU,25,FALSE),""))</f>
        <v>FR ACM</v>
      </c>
      <c r="H177" s="19">
        <f>IF(A177="","",IFERROR(VLOOKUP(A177,'Production Schedule'!$B:$FU,47,FALSE),""))</f>
        <v>45782.390044386571</v>
      </c>
      <c r="I177" s="19">
        <f>IF(A177="","",IFERROR(VLOOKUP(A177,'Production Schedule'!$B:$FU,54,FALSE),""))</f>
        <v>45849</v>
      </c>
      <c r="J177" s="26">
        <f>IF(A177="","",IFERROR(VLOOKUP(A177,'Production Schedule'!$B:$FU,135,FALSE),""))</f>
        <v>200</v>
      </c>
      <c r="K177" s="18" t="str">
        <f>IF(A177="","",IFERROR(VLOOKUP(A177,'Production Schedule'!$B:$FU,59,FALSE),""))</f>
        <v>YES</v>
      </c>
      <c r="L177" s="38" t="str">
        <f>IF(A177="","",IFERROR(VLOOKUP(A177,'Production Schedule'!$B:$FU,80,FALSE),""))</f>
        <v>RTS Titans</v>
      </c>
      <c r="M177" s="27" t="str" cm="1">
        <f t="array" ref="M177">IF(A177="","",IFERROR(TRIM(INDEX(_xlfn.TEXTSPLIT(IFERROR(VLOOKUP(A177,'Production Schedule'!$B:$FU,150,FALSE),""),CHAR(10)),1)),""))</f>
        <v>AXYZ Titans Line</v>
      </c>
      <c r="N177" s="28">
        <f t="shared" si="16"/>
        <v>45822</v>
      </c>
      <c r="O177" s="27" t="str" cm="1">
        <f t="array" ref="O177">IF(A177="","",IFERROR(TRIM(INDEX(_xlfn.TEXTSPLIT(IFERROR(VLOOKUP(A177,'Production Schedule'!$B:$FU,150,FALSE),""),CHAR(10)),2)),""))</f>
        <v>Clean and Brake</v>
      </c>
      <c r="P177" s="28">
        <f t="shared" si="17"/>
        <v>45826</v>
      </c>
      <c r="Q177" s="27" t="str" cm="1">
        <f t="array" ref="Q177">IF(A177="","",IFERROR(TRIM(INDEX(_xlfn.TEXTSPLIT(IFERROR(VLOOKUP(A177,'Production Schedule'!$B:$FU,150,FALSE),""),CHAR(10)),3)),""))</f>
        <v>Fab</v>
      </c>
      <c r="R177" s="28">
        <f t="shared" si="18"/>
        <v>45836</v>
      </c>
      <c r="S177" s="27" t="str" cm="1">
        <f t="array" ref="S177">IF(A177="","",IFERROR(TRIM(INDEX(_xlfn.TEXTSPLIT(IFERROR(VLOOKUP(A177,'Production Schedule'!$B:$FU,150,FALSE),""),CHAR(10)),4)),""))</f>
        <v/>
      </c>
      <c r="T177" s="28" t="str">
        <f t="shared" si="19"/>
        <v/>
      </c>
      <c r="U177" s="27" t="str" cm="1">
        <f t="array" ref="U177">IF(A177="","",IFERROR(TRIM(INDEX(_xlfn.TEXTSPLIT(IFERROR(VLOOKUP(A177,'Production Schedule'!$B:$FU,150,FALSE),""),CHAR(10)),5)),""))</f>
        <v/>
      </c>
      <c r="V177" s="28" t="str">
        <f t="shared" si="20"/>
        <v/>
      </c>
      <c r="W177" s="27" t="str" cm="1">
        <f t="array" ref="W177">IF(A177="","",IFERROR(TRIM(INDEX(_xlfn.TEXTSPLIT(IFERROR(VLOOKUP(A177,'Production Schedule'!$B:$FU,150,FALSE),""),CHAR(10)),6)),""))</f>
        <v/>
      </c>
      <c r="X177" s="28" t="str">
        <f t="shared" si="21"/>
        <v/>
      </c>
      <c r="Y177" s="30">
        <f t="shared" si="22"/>
        <v>45847</v>
      </c>
      <c r="Z177" s="31" t="str">
        <f>IF(A177="","",IF(IFERROR(VLOOKUP(A177,Notes!A:B,2,FALSE),"")=0,"",VLOOKUP(A177,Notes!A:B,2,FALSE)))</f>
        <v>04/16/2026…RTS Titans</v>
      </c>
      <c r="AA177" s="18">
        <f t="shared" si="23"/>
        <v>2</v>
      </c>
    </row>
    <row r="178" spans="1:27" x14ac:dyDescent="0.25">
      <c r="A178" s="20" t="str">
        <v>24051-FS37</v>
      </c>
      <c r="B178" s="20" t="str">
        <f>IF(A178="","",IFERROR(VLOOKUP(A178,'Production Schedule'!$B:$FU,3,FALSE),""))</f>
        <v>TN Titans Stadium</v>
      </c>
      <c r="C178" s="20" t="str">
        <f>IF(A178="","",IFERROR(VLOOKUP(A178,'Production Schedule'!$B:$FU,5,FALSE),""))</f>
        <v>Marc Ribar</v>
      </c>
      <c r="D178" s="20">
        <f>IF(A178="","",IFERROR(VLOOKUP(A178,'Production Schedule'!$B:$FU,7,FALSE),""))</f>
        <v>400</v>
      </c>
      <c r="E178" s="20">
        <f>IF(A178="","",IFERROR(VLOOKUP(A178,'Production Schedule'!$B:$FU,17,FALSE),""))</f>
        <v>24</v>
      </c>
      <c r="F178" s="20">
        <f>IF(A178="","",IFERROR(VLOOKUP(A178,'Production Schedule'!$B:$FU,18,FALSE),""))</f>
        <v>24</v>
      </c>
      <c r="G178" s="20" t="str">
        <f>IF(A178="","",IFERROR(VLOOKUP(A178,'Production Schedule'!$B:$FU,25,FALSE),""))</f>
        <v>FR ACM</v>
      </c>
      <c r="H178" s="21">
        <f>IF(A178="","",IFERROR(VLOOKUP(A178,'Production Schedule'!$B:$FU,47,FALSE),""))</f>
        <v>45817.620398344909</v>
      </c>
      <c r="I178" s="21">
        <f>IF(A178="","",IFERROR(VLOOKUP(A178,'Production Schedule'!$B:$FU,54,FALSE),""))</f>
        <v>45852</v>
      </c>
      <c r="J178" s="32">
        <f>IF(A178="","",IFERROR(VLOOKUP(A178,'Production Schedule'!$B:$FU,135,FALSE),""))</f>
        <v>48</v>
      </c>
      <c r="K178" s="20" t="str">
        <f>IF(A178="","",IFERROR(VLOOKUP(A178,'Production Schedule'!$B:$FU,59,FALSE),""))</f>
        <v>YES</v>
      </c>
      <c r="L178" s="39" t="str">
        <f>IF(A178="","",IFERROR(VLOOKUP(A178,'Production Schedule'!$B:$FU,80,FALSE),""))</f>
        <v>RTS Titans</v>
      </c>
      <c r="M178" s="33" t="str" cm="1">
        <f t="array" ref="M178">IF(A178="","",IFERROR(TRIM(INDEX(_xlfn.TEXTSPLIT(IFERROR(VLOOKUP(A178,'Production Schedule'!$B:$FU,150,FALSE),""),CHAR(10)),1)),""))</f>
        <v>AXYZ Titans Line</v>
      </c>
      <c r="N178" s="34">
        <f t="shared" si="16"/>
        <v>45827</v>
      </c>
      <c r="O178" s="33" t="str" cm="1">
        <f t="array" ref="O178">IF(A178="","",IFERROR(TRIM(INDEX(_xlfn.TEXTSPLIT(IFERROR(VLOOKUP(A178,'Production Schedule'!$B:$FU,150,FALSE),""),CHAR(10)),2)),""))</f>
        <v>Clean and Brake</v>
      </c>
      <c r="P178" s="34">
        <f t="shared" si="17"/>
        <v>45828</v>
      </c>
      <c r="Q178" s="33" t="str" cm="1">
        <f t="array" ref="Q178">IF(A178="","",IFERROR(TRIM(INDEX(_xlfn.TEXTSPLIT(IFERROR(VLOOKUP(A178,'Production Schedule'!$B:$FU,150,FALSE),""),CHAR(10)),3)),""))</f>
        <v>Fab</v>
      </c>
      <c r="R178" s="34">
        <f t="shared" si="18"/>
        <v>45839</v>
      </c>
      <c r="S178" s="33" t="str" cm="1">
        <f t="array" ref="S178">IF(A178="","",IFERROR(TRIM(INDEX(_xlfn.TEXTSPLIT(IFERROR(VLOOKUP(A178,'Production Schedule'!$B:$FU,150,FALSE),""),CHAR(10)),4)),""))</f>
        <v/>
      </c>
      <c r="T178" s="34" t="str">
        <f t="shared" si="19"/>
        <v/>
      </c>
      <c r="U178" s="33" t="str" cm="1">
        <f t="array" ref="U178">IF(A178="","",IFERROR(TRIM(INDEX(_xlfn.TEXTSPLIT(IFERROR(VLOOKUP(A178,'Production Schedule'!$B:$FU,150,FALSE),""),CHAR(10)),5)),""))</f>
        <v/>
      </c>
      <c r="V178" s="34" t="str">
        <f t="shared" si="20"/>
        <v/>
      </c>
      <c r="W178" s="33" t="str" cm="1">
        <f t="array" ref="W178">IF(A178="","",IFERROR(TRIM(INDEX(_xlfn.TEXTSPLIT(IFERROR(VLOOKUP(A178,'Production Schedule'!$B:$FU,150,FALSE),""),CHAR(10)),6)),""))</f>
        <v/>
      </c>
      <c r="X178" s="34" t="str">
        <f t="shared" si="21"/>
        <v/>
      </c>
      <c r="Y178" s="36">
        <f t="shared" si="22"/>
        <v>45849</v>
      </c>
      <c r="Z178" s="37" t="str">
        <f>IF(A178="","",IF(IFERROR(VLOOKUP(A178,Notes!A:B,2,FALSE),"")=0,"",VLOOKUP(A178,Notes!A:B,2,FALSE)))</f>
        <v>04/16/2026…RTS Titans</v>
      </c>
      <c r="AA178" s="20">
        <f t="shared" si="23"/>
        <v>2</v>
      </c>
    </row>
    <row r="179" spans="1:27" x14ac:dyDescent="0.25">
      <c r="A179" s="18" t="str">
        <v>24051-FS38</v>
      </c>
      <c r="B179" s="18" t="str">
        <f>IF(A179="","",IFERROR(VLOOKUP(A179,'Production Schedule'!$B:$FU,3,FALSE),""))</f>
        <v>TN Titans Stadium</v>
      </c>
      <c r="C179" s="18" t="str">
        <f>IF(A179="","",IFERROR(VLOOKUP(A179,'Production Schedule'!$B:$FU,5,FALSE),""))</f>
        <v>Marc Ribar</v>
      </c>
      <c r="D179" s="18">
        <f>IF(A179="","",IFERROR(VLOOKUP(A179,'Production Schedule'!$B:$FU,7,FALSE),""))</f>
        <v>400</v>
      </c>
      <c r="E179" s="18">
        <f>IF(A179="","",IFERROR(VLOOKUP(A179,'Production Schedule'!$B:$FU,17,FALSE),""))</f>
        <v>90</v>
      </c>
      <c r="F179" s="18">
        <f>IF(A179="","",IFERROR(VLOOKUP(A179,'Production Schedule'!$B:$FU,18,FALSE),""))</f>
        <v>90</v>
      </c>
      <c r="G179" s="18" t="str">
        <f>IF(A179="","",IFERROR(VLOOKUP(A179,'Production Schedule'!$B:$FU,25,FALSE),""))</f>
        <v>FR ACM</v>
      </c>
      <c r="H179" s="19">
        <f>IF(A179="","",IFERROR(VLOOKUP(A179,'Production Schedule'!$B:$FU,47,FALSE),""))</f>
        <v>45817.622046400465</v>
      </c>
      <c r="I179" s="19">
        <f>IF(A179="","",IFERROR(VLOOKUP(A179,'Production Schedule'!$B:$FU,54,FALSE),""))</f>
        <v>45852</v>
      </c>
      <c r="J179" s="26">
        <f>IF(A179="","",IFERROR(VLOOKUP(A179,'Production Schedule'!$B:$FU,135,FALSE),""))</f>
        <v>125</v>
      </c>
      <c r="K179" s="18" t="str">
        <f>IF(A179="","",IFERROR(VLOOKUP(A179,'Production Schedule'!$B:$FU,59,FALSE),""))</f>
        <v>YES</v>
      </c>
      <c r="L179" s="38" t="str">
        <f>IF(A179="","",IFERROR(VLOOKUP(A179,'Production Schedule'!$B:$FU,80,FALSE),""))</f>
        <v>RTS Titans</v>
      </c>
      <c r="M179" s="27" t="str" cm="1">
        <f t="array" ref="M179">IF(A179="","",IFERROR(TRIM(INDEX(_xlfn.TEXTSPLIT(IFERROR(VLOOKUP(A179,'Production Schedule'!$B:$FU,150,FALSE),""),CHAR(10)),1)),""))</f>
        <v>AXYZ Titans Line</v>
      </c>
      <c r="N179" s="28">
        <f t="shared" si="16"/>
        <v>45826</v>
      </c>
      <c r="O179" s="27" t="str" cm="1">
        <f t="array" ref="O179">IF(A179="","",IFERROR(TRIM(INDEX(_xlfn.TEXTSPLIT(IFERROR(VLOOKUP(A179,'Production Schedule'!$B:$FU,150,FALSE),""),CHAR(10)),2)),""))</f>
        <v>Clean and Brake</v>
      </c>
      <c r="P179" s="28">
        <f t="shared" si="17"/>
        <v>45828</v>
      </c>
      <c r="Q179" s="27" t="str" cm="1">
        <f t="array" ref="Q179">IF(A179="","",IFERROR(TRIM(INDEX(_xlfn.TEXTSPLIT(IFERROR(VLOOKUP(A179,'Production Schedule'!$B:$FU,150,FALSE),""),CHAR(10)),3)),""))</f>
        <v>Fab</v>
      </c>
      <c r="R179" s="28">
        <f t="shared" si="18"/>
        <v>45839</v>
      </c>
      <c r="S179" s="27" t="str" cm="1">
        <f t="array" ref="S179">IF(A179="","",IFERROR(TRIM(INDEX(_xlfn.TEXTSPLIT(IFERROR(VLOOKUP(A179,'Production Schedule'!$B:$FU,150,FALSE),""),CHAR(10)),4)),""))</f>
        <v/>
      </c>
      <c r="T179" s="28" t="str">
        <f t="shared" si="19"/>
        <v/>
      </c>
      <c r="U179" s="27" t="str" cm="1">
        <f t="array" ref="U179">IF(A179="","",IFERROR(TRIM(INDEX(_xlfn.TEXTSPLIT(IFERROR(VLOOKUP(A179,'Production Schedule'!$B:$FU,150,FALSE),""),CHAR(10)),5)),""))</f>
        <v/>
      </c>
      <c r="V179" s="28" t="str">
        <f t="shared" si="20"/>
        <v/>
      </c>
      <c r="W179" s="27" t="str" cm="1">
        <f t="array" ref="W179">IF(A179="","",IFERROR(TRIM(INDEX(_xlfn.TEXTSPLIT(IFERROR(VLOOKUP(A179,'Production Schedule'!$B:$FU,150,FALSE),""),CHAR(10)),6)),""))</f>
        <v/>
      </c>
      <c r="X179" s="28" t="str">
        <f t="shared" si="21"/>
        <v/>
      </c>
      <c r="Y179" s="30">
        <f t="shared" si="22"/>
        <v>45849</v>
      </c>
      <c r="Z179" s="31" t="str">
        <f>IF(A179="","",IF(IFERROR(VLOOKUP(A179,Notes!A:B,2,FALSE),"")=0,"",VLOOKUP(A179,Notes!A:B,2,FALSE)))</f>
        <v>04/16/2026…RTS Titans</v>
      </c>
      <c r="AA179" s="18">
        <f t="shared" si="23"/>
        <v>2</v>
      </c>
    </row>
    <row r="180" spans="1:27" x14ac:dyDescent="0.25">
      <c r="A180" s="20" t="str">
        <v>24051-FS39</v>
      </c>
      <c r="B180" s="20" t="str">
        <f>IF(A180="","",IFERROR(VLOOKUP(A180,'Production Schedule'!$B:$FU,3,FALSE),""))</f>
        <v>TN Titans Stadium</v>
      </c>
      <c r="C180" s="20" t="str">
        <f>IF(A180="","",IFERROR(VLOOKUP(A180,'Production Schedule'!$B:$FU,5,FALSE),""))</f>
        <v>Marc Ribar</v>
      </c>
      <c r="D180" s="20">
        <f>IF(A180="","",IFERROR(VLOOKUP(A180,'Production Schedule'!$B:$FU,7,FALSE),""))</f>
        <v>400</v>
      </c>
      <c r="E180" s="20">
        <f>IF(A180="","",IFERROR(VLOOKUP(A180,'Production Schedule'!$B:$FU,17,FALSE),""))</f>
        <v>96</v>
      </c>
      <c r="F180" s="20">
        <f>IF(A180="","",IFERROR(VLOOKUP(A180,'Production Schedule'!$B:$FU,18,FALSE),""))</f>
        <v>96</v>
      </c>
      <c r="G180" s="20" t="str">
        <f>IF(A180="","",IFERROR(VLOOKUP(A180,'Production Schedule'!$B:$FU,25,FALSE),""))</f>
        <v>FR ACM</v>
      </c>
      <c r="H180" s="21">
        <f>IF(A180="","",IFERROR(VLOOKUP(A180,'Production Schedule'!$B:$FU,47,FALSE),""))</f>
        <v>45817.631419583333</v>
      </c>
      <c r="I180" s="21">
        <f>IF(A180="","",IFERROR(VLOOKUP(A180,'Production Schedule'!$B:$FU,54,FALSE),""))</f>
        <v>45852</v>
      </c>
      <c r="J180" s="32">
        <f>IF(A180="","",IFERROR(VLOOKUP(A180,'Production Schedule'!$B:$FU,135,FALSE),""))</f>
        <v>125</v>
      </c>
      <c r="K180" s="20" t="str">
        <f>IF(A180="","",IFERROR(VLOOKUP(A180,'Production Schedule'!$B:$FU,59,FALSE),""))</f>
        <v>YES</v>
      </c>
      <c r="L180" s="39" t="str">
        <f>IF(A180="","",IFERROR(VLOOKUP(A180,'Production Schedule'!$B:$FU,80,FALSE),""))</f>
        <v>RTS Titans</v>
      </c>
      <c r="M180" s="33" t="str" cm="1">
        <f t="array" ref="M180">IF(A180="","",IFERROR(TRIM(INDEX(_xlfn.TEXTSPLIT(IFERROR(VLOOKUP(A180,'Production Schedule'!$B:$FU,150,FALSE),""),CHAR(10)),1)),""))</f>
        <v>AXYZ Titans Line</v>
      </c>
      <c r="N180" s="34">
        <f t="shared" si="16"/>
        <v>45826</v>
      </c>
      <c r="O180" s="33" t="str" cm="1">
        <f t="array" ref="O180">IF(A180="","",IFERROR(TRIM(INDEX(_xlfn.TEXTSPLIT(IFERROR(VLOOKUP(A180,'Production Schedule'!$B:$FU,150,FALSE),""),CHAR(10)),2)),""))</f>
        <v>Clean and Brake</v>
      </c>
      <c r="P180" s="34">
        <f t="shared" si="17"/>
        <v>45828</v>
      </c>
      <c r="Q180" s="33" t="str" cm="1">
        <f t="array" ref="Q180">IF(A180="","",IFERROR(TRIM(INDEX(_xlfn.TEXTSPLIT(IFERROR(VLOOKUP(A180,'Production Schedule'!$B:$FU,150,FALSE),""),CHAR(10)),3)),""))</f>
        <v>Fab</v>
      </c>
      <c r="R180" s="34">
        <f t="shared" si="18"/>
        <v>45839</v>
      </c>
      <c r="S180" s="33" t="str" cm="1">
        <f t="array" ref="S180">IF(A180="","",IFERROR(TRIM(INDEX(_xlfn.TEXTSPLIT(IFERROR(VLOOKUP(A180,'Production Schedule'!$B:$FU,150,FALSE),""),CHAR(10)),4)),""))</f>
        <v/>
      </c>
      <c r="T180" s="34" t="str">
        <f t="shared" si="19"/>
        <v/>
      </c>
      <c r="U180" s="33" t="str" cm="1">
        <f t="array" ref="U180">IF(A180="","",IFERROR(TRIM(INDEX(_xlfn.TEXTSPLIT(IFERROR(VLOOKUP(A180,'Production Schedule'!$B:$FU,150,FALSE),""),CHAR(10)),5)),""))</f>
        <v/>
      </c>
      <c r="V180" s="34" t="str">
        <f t="shared" si="20"/>
        <v/>
      </c>
      <c r="W180" s="33" t="str" cm="1">
        <f t="array" ref="W180">IF(A180="","",IFERROR(TRIM(INDEX(_xlfn.TEXTSPLIT(IFERROR(VLOOKUP(A180,'Production Schedule'!$B:$FU,150,FALSE),""),CHAR(10)),6)),""))</f>
        <v/>
      </c>
      <c r="X180" s="34" t="str">
        <f t="shared" si="21"/>
        <v/>
      </c>
      <c r="Y180" s="36">
        <f t="shared" si="22"/>
        <v>45849</v>
      </c>
      <c r="Z180" s="37" t="str">
        <f>IF(A180="","",IF(IFERROR(VLOOKUP(A180,Notes!A:B,2,FALSE),"")=0,"",VLOOKUP(A180,Notes!A:B,2,FALSE)))</f>
        <v>04/16/2026…RTS Titans</v>
      </c>
      <c r="AA180" s="20">
        <f t="shared" si="23"/>
        <v>2</v>
      </c>
    </row>
    <row r="181" spans="1:27" x14ac:dyDescent="0.25">
      <c r="A181" s="18" t="str">
        <v>24051-FS40</v>
      </c>
      <c r="B181" s="18" t="str">
        <f>IF(A181="","",IFERROR(VLOOKUP(A181,'Production Schedule'!$B:$FU,3,FALSE),""))</f>
        <v>TN Titans Stadium</v>
      </c>
      <c r="C181" s="18" t="str">
        <f>IF(A181="","",IFERROR(VLOOKUP(A181,'Production Schedule'!$B:$FU,5,FALSE),""))</f>
        <v>Marc Ribar</v>
      </c>
      <c r="D181" s="18">
        <f>IF(A181="","",IFERROR(VLOOKUP(A181,'Production Schedule'!$B:$FU,7,FALSE),""))</f>
        <v>400</v>
      </c>
      <c r="E181" s="18">
        <f>IF(A181="","",IFERROR(VLOOKUP(A181,'Production Schedule'!$B:$FU,17,FALSE),""))</f>
        <v>96</v>
      </c>
      <c r="F181" s="18">
        <f>IF(A181="","",IFERROR(VLOOKUP(A181,'Production Schedule'!$B:$FU,18,FALSE),""))</f>
        <v>96</v>
      </c>
      <c r="G181" s="18" t="str">
        <f>IF(A181="","",IFERROR(VLOOKUP(A181,'Production Schedule'!$B:$FU,25,FALSE),""))</f>
        <v>FR ACM</v>
      </c>
      <c r="H181" s="19">
        <f>IF(A181="","",IFERROR(VLOOKUP(A181,'Production Schedule'!$B:$FU,47,FALSE),""))</f>
        <v>45817.634854768519</v>
      </c>
      <c r="I181" s="19">
        <f>IF(A181="","",IFERROR(VLOOKUP(A181,'Production Schedule'!$B:$FU,54,FALSE),""))</f>
        <v>45853</v>
      </c>
      <c r="J181" s="26">
        <f>IF(A181="","",IFERROR(VLOOKUP(A181,'Production Schedule'!$B:$FU,135,FALSE),""))</f>
        <v>125</v>
      </c>
      <c r="K181" s="18" t="str">
        <f>IF(A181="","",IFERROR(VLOOKUP(A181,'Production Schedule'!$B:$FU,59,FALSE),""))</f>
        <v>YES</v>
      </c>
      <c r="L181" s="38" t="str">
        <f>IF(A181="","",IFERROR(VLOOKUP(A181,'Production Schedule'!$B:$FU,80,FALSE),""))</f>
        <v>RTS Titans</v>
      </c>
      <c r="M181" s="27" t="str" cm="1">
        <f t="array" ref="M181">IF(A181="","",IFERROR(TRIM(INDEX(_xlfn.TEXTSPLIT(IFERROR(VLOOKUP(A181,'Production Schedule'!$B:$FU,150,FALSE),""),CHAR(10)),1)),""))</f>
        <v>AXYZ Titans Line</v>
      </c>
      <c r="N181" s="28">
        <f t="shared" si="16"/>
        <v>45827</v>
      </c>
      <c r="O181" s="27" t="str" cm="1">
        <f t="array" ref="O181">IF(A181="","",IFERROR(TRIM(INDEX(_xlfn.TEXTSPLIT(IFERROR(VLOOKUP(A181,'Production Schedule'!$B:$FU,150,FALSE),""),CHAR(10)),2)),""))</f>
        <v>Clean and Brake</v>
      </c>
      <c r="P181" s="28">
        <f t="shared" si="17"/>
        <v>45829</v>
      </c>
      <c r="Q181" s="27" t="str" cm="1">
        <f t="array" ref="Q181">IF(A181="","",IFERROR(TRIM(INDEX(_xlfn.TEXTSPLIT(IFERROR(VLOOKUP(A181,'Production Schedule'!$B:$FU,150,FALSE),""),CHAR(10)),3)),""))</f>
        <v>Fab</v>
      </c>
      <c r="R181" s="28">
        <f t="shared" si="18"/>
        <v>45840</v>
      </c>
      <c r="S181" s="27" t="str" cm="1">
        <f t="array" ref="S181">IF(A181="","",IFERROR(TRIM(INDEX(_xlfn.TEXTSPLIT(IFERROR(VLOOKUP(A181,'Production Schedule'!$B:$FU,150,FALSE),""),CHAR(10)),4)),""))</f>
        <v/>
      </c>
      <c r="T181" s="28" t="str">
        <f t="shared" si="19"/>
        <v/>
      </c>
      <c r="U181" s="27" t="str" cm="1">
        <f t="array" ref="U181">IF(A181="","",IFERROR(TRIM(INDEX(_xlfn.TEXTSPLIT(IFERROR(VLOOKUP(A181,'Production Schedule'!$B:$FU,150,FALSE),""),CHAR(10)),5)),""))</f>
        <v/>
      </c>
      <c r="V181" s="28" t="str">
        <f t="shared" si="20"/>
        <v/>
      </c>
      <c r="W181" s="27" t="str" cm="1">
        <f t="array" ref="W181">IF(A181="","",IFERROR(TRIM(INDEX(_xlfn.TEXTSPLIT(IFERROR(VLOOKUP(A181,'Production Schedule'!$B:$FU,150,FALSE),""),CHAR(10)),6)),""))</f>
        <v/>
      </c>
      <c r="X181" s="28" t="str">
        <f t="shared" si="21"/>
        <v/>
      </c>
      <c r="Y181" s="30">
        <f t="shared" si="22"/>
        <v>45850</v>
      </c>
      <c r="Z181" s="31" t="str">
        <f>IF(A181="","",IF(IFERROR(VLOOKUP(A181,Notes!A:B,2,FALSE),"")=0,"",VLOOKUP(A181,Notes!A:B,2,FALSE)))</f>
        <v>04/16/2026…RTS Titans</v>
      </c>
      <c r="AA181" s="18">
        <f t="shared" si="23"/>
        <v>2</v>
      </c>
    </row>
    <row r="182" spans="1:27" x14ac:dyDescent="0.25">
      <c r="A182" s="20" t="str">
        <v>24020-FL07</v>
      </c>
      <c r="B182" s="20" t="str">
        <f>IF(A182="","",IFERROR(VLOOKUP(A182,'Production Schedule'!$B:$FU,3,FALSE),""))</f>
        <v>QTS ATL2 DC2 Osgood</v>
      </c>
      <c r="C182" s="20" t="str">
        <f>IF(A182="","",IFERROR(VLOOKUP(A182,'Production Schedule'!$B:$FU,5,FALSE),""))</f>
        <v>Dillon Bowman</v>
      </c>
      <c r="D182" s="20" t="str">
        <f>IF(A182="","",IFERROR(VLOOKUP(A182,'Production Schedule'!$B:$FU,7,FALSE),""))</f>
        <v>---</v>
      </c>
      <c r="E182" s="20">
        <f>IF(A182="","",IFERROR(VLOOKUP(A182,'Production Schedule'!$B:$FU,17,FALSE),""))</f>
        <v>2</v>
      </c>
      <c r="F182" s="20">
        <f>IF(A182="","",IFERROR(VLOOKUP(A182,'Production Schedule'!$B:$FU,18,FALSE),""))</f>
        <v>2</v>
      </c>
      <c r="G182" s="20" t="str">
        <f>IF(A182="","",IFERROR(VLOOKUP(A182,'Production Schedule'!$B:$FU,25,FALSE),""))</f>
        <v>Galv Sheet</v>
      </c>
      <c r="H182" s="21">
        <f>IF(A182="","",IFERROR(VLOOKUP(A182,'Production Schedule'!$B:$FU,47,FALSE),""))</f>
        <v>45855.441696631948</v>
      </c>
      <c r="I182" s="21">
        <f>IF(A182="","",IFERROR(VLOOKUP(A182,'Production Schedule'!$B:$FU,54,FALSE),""))</f>
        <v>45856</v>
      </c>
      <c r="J182" s="32">
        <f>IF(A182="","",IFERROR(VLOOKUP(A182,'Production Schedule'!$B:$FU,135,FALSE),""))</f>
        <v>1</v>
      </c>
      <c r="K182" s="20" t="str">
        <f>IF(A182="","",IFERROR(VLOOKUP(A182,'Production Schedule'!$B:$FU,59,FALSE),""))</f>
        <v>YES</v>
      </c>
      <c r="L182" s="39" t="str">
        <f>IF(A182="","",IFERROR(VLOOKUP(A182,'Production Schedule'!$B:$FU,80,FALSE),""))</f>
        <v>Ready to Ship</v>
      </c>
      <c r="M182" s="33" t="str" cm="1">
        <f t="array" ref="M182">IF(A182="","",IFERROR(TRIM(INDEX(_xlfn.TEXTSPLIT(IFERROR(VLOOKUP(A182,'Production Schedule'!$B:$FU,150,FALSE),""),CHAR(10)),1)),""))</f>
        <v>Cidan</v>
      </c>
      <c r="N182" s="34">
        <f t="shared" si="16"/>
        <v>45831</v>
      </c>
      <c r="O182" s="33" t="str" cm="1">
        <f t="array" ref="O182">IF(A182="","",IFERROR(TRIM(INDEX(_xlfn.TEXTSPLIT(IFERROR(VLOOKUP(A182,'Production Schedule'!$B:$FU,150,FALSE),""),CHAR(10)),2)),""))</f>
        <v>Shear</v>
      </c>
      <c r="P182" s="34">
        <f t="shared" si="17"/>
        <v>45842</v>
      </c>
      <c r="Q182" s="33" t="str" cm="1">
        <f t="array" ref="Q182">IF(A182="","",IFERROR(TRIM(INDEX(_xlfn.TEXTSPLIT(IFERROR(VLOOKUP(A182,'Production Schedule'!$B:$FU,150,FALSE),""),CHAR(10)),3)),""))</f>
        <v/>
      </c>
      <c r="R182" s="34" t="str">
        <f t="shared" si="18"/>
        <v/>
      </c>
      <c r="S182" s="33" t="str" cm="1">
        <f t="array" ref="S182">IF(A182="","",IFERROR(TRIM(INDEX(_xlfn.TEXTSPLIT(IFERROR(VLOOKUP(A182,'Production Schedule'!$B:$FU,150,FALSE),""),CHAR(10)),4)),""))</f>
        <v/>
      </c>
      <c r="T182" s="34" t="str">
        <f t="shared" si="19"/>
        <v/>
      </c>
      <c r="U182" s="33" t="str" cm="1">
        <f t="array" ref="U182">IF(A182="","",IFERROR(TRIM(INDEX(_xlfn.TEXTSPLIT(IFERROR(VLOOKUP(A182,'Production Schedule'!$B:$FU,150,FALSE),""),CHAR(10)),5)),""))</f>
        <v/>
      </c>
      <c r="V182" s="34" t="str">
        <f t="shared" si="20"/>
        <v/>
      </c>
      <c r="W182" s="33" t="str" cm="1">
        <f t="array" ref="W182">IF(A182="","",IFERROR(TRIM(INDEX(_xlfn.TEXTSPLIT(IFERROR(VLOOKUP(A182,'Production Schedule'!$B:$FU,150,FALSE),""),CHAR(10)),6)),""))</f>
        <v/>
      </c>
      <c r="X182" s="34" t="str">
        <f t="shared" si="21"/>
        <v/>
      </c>
      <c r="Y182" s="36">
        <f t="shared" si="22"/>
        <v>45854</v>
      </c>
      <c r="Z182" s="37" t="str">
        <f>IF(A182="","",IF(IFERROR(VLOOKUP(A182,Notes!A:B,2,FALSE),"")=0,"",VLOOKUP(A182,Notes!A:B,2,FALSE)))</f>
        <v>04/16/2026…Ready to Ship</v>
      </c>
      <c r="AA182" s="20">
        <f t="shared" si="23"/>
        <v>2</v>
      </c>
    </row>
    <row r="183" spans="1:27" x14ac:dyDescent="0.25">
      <c r="A183" s="18" t="str">
        <v>24051-FS41</v>
      </c>
      <c r="B183" s="18" t="str">
        <f>IF(A183="","",IFERROR(VLOOKUP(A183,'Production Schedule'!$B:$FU,3,FALSE),""))</f>
        <v>TN Titans Stadium</v>
      </c>
      <c r="C183" s="18" t="str">
        <f>IF(A183="","",IFERROR(VLOOKUP(A183,'Production Schedule'!$B:$FU,5,FALSE),""))</f>
        <v>Marc Ribar</v>
      </c>
      <c r="D183" s="18">
        <f>IF(A183="","",IFERROR(VLOOKUP(A183,'Production Schedule'!$B:$FU,7,FALSE),""))</f>
        <v>400</v>
      </c>
      <c r="E183" s="18">
        <f>IF(A183="","",IFERROR(VLOOKUP(A183,'Production Schedule'!$B:$FU,17,FALSE),""))</f>
        <v>96</v>
      </c>
      <c r="F183" s="18">
        <f>IF(A183="","",IFERROR(VLOOKUP(A183,'Production Schedule'!$B:$FU,18,FALSE),""))</f>
        <v>96</v>
      </c>
      <c r="G183" s="18" t="str">
        <f>IF(A183="","",IFERROR(VLOOKUP(A183,'Production Schedule'!$B:$FU,25,FALSE),""))</f>
        <v>FR ACM</v>
      </c>
      <c r="H183" s="19">
        <f>IF(A183="","",IFERROR(VLOOKUP(A183,'Production Schedule'!$B:$FU,47,FALSE),""))</f>
        <v>45817.636230821758</v>
      </c>
      <c r="I183" s="19">
        <f>IF(A183="","",IFERROR(VLOOKUP(A183,'Production Schedule'!$B:$FU,54,FALSE),""))</f>
        <v>45860</v>
      </c>
      <c r="J183" s="26">
        <f>IF(A183="","",IFERROR(VLOOKUP(A183,'Production Schedule'!$B:$FU,135,FALSE),""))</f>
        <v>125</v>
      </c>
      <c r="K183" s="18" t="str">
        <f>IF(A183="","",IFERROR(VLOOKUP(A183,'Production Schedule'!$B:$FU,59,FALSE),""))</f>
        <v>YES</v>
      </c>
      <c r="L183" s="38" t="str">
        <f>IF(A183="","",IFERROR(VLOOKUP(A183,'Production Schedule'!$B:$FU,80,FALSE),""))</f>
        <v>RTS Titans</v>
      </c>
      <c r="M183" s="27" t="str" cm="1">
        <f t="array" ref="M183">IF(A183="","",IFERROR(TRIM(INDEX(_xlfn.TEXTSPLIT(IFERROR(VLOOKUP(A183,'Production Schedule'!$B:$FU,150,FALSE),""),CHAR(10)),1)),""))</f>
        <v>AXYZ Titans Line</v>
      </c>
      <c r="N183" s="28">
        <f t="shared" si="16"/>
        <v>45834</v>
      </c>
      <c r="O183" s="27" t="str" cm="1">
        <f t="array" ref="O183">IF(A183="","",IFERROR(TRIM(INDEX(_xlfn.TEXTSPLIT(IFERROR(VLOOKUP(A183,'Production Schedule'!$B:$FU,150,FALSE),""),CHAR(10)),2)),""))</f>
        <v>Clean and Brake</v>
      </c>
      <c r="P183" s="28">
        <f t="shared" si="17"/>
        <v>45836</v>
      </c>
      <c r="Q183" s="27" t="str" cm="1">
        <f t="array" ref="Q183">IF(A183="","",IFERROR(TRIM(INDEX(_xlfn.TEXTSPLIT(IFERROR(VLOOKUP(A183,'Production Schedule'!$B:$FU,150,FALSE),""),CHAR(10)),3)),""))</f>
        <v>Fab</v>
      </c>
      <c r="R183" s="28">
        <f t="shared" si="18"/>
        <v>45847</v>
      </c>
      <c r="S183" s="27" t="str" cm="1">
        <f t="array" ref="S183">IF(A183="","",IFERROR(TRIM(INDEX(_xlfn.TEXTSPLIT(IFERROR(VLOOKUP(A183,'Production Schedule'!$B:$FU,150,FALSE),""),CHAR(10)),4)),""))</f>
        <v/>
      </c>
      <c r="T183" s="28" t="str">
        <f t="shared" si="19"/>
        <v/>
      </c>
      <c r="U183" s="27" t="str" cm="1">
        <f t="array" ref="U183">IF(A183="","",IFERROR(TRIM(INDEX(_xlfn.TEXTSPLIT(IFERROR(VLOOKUP(A183,'Production Schedule'!$B:$FU,150,FALSE),""),CHAR(10)),5)),""))</f>
        <v/>
      </c>
      <c r="V183" s="28" t="str">
        <f t="shared" si="20"/>
        <v/>
      </c>
      <c r="W183" s="27" t="str" cm="1">
        <f t="array" ref="W183">IF(A183="","",IFERROR(TRIM(INDEX(_xlfn.TEXTSPLIT(IFERROR(VLOOKUP(A183,'Production Schedule'!$B:$FU,150,FALSE),""),CHAR(10)),6)),""))</f>
        <v/>
      </c>
      <c r="X183" s="28" t="str">
        <f t="shared" si="21"/>
        <v/>
      </c>
      <c r="Y183" s="30">
        <f t="shared" si="22"/>
        <v>45857</v>
      </c>
      <c r="Z183" s="31" t="str">
        <f>IF(A183="","",IF(IFERROR(VLOOKUP(A183,Notes!A:B,2,FALSE),"")=0,"",VLOOKUP(A183,Notes!A:B,2,FALSE)))</f>
        <v>04/16/2026…RTS Titans</v>
      </c>
      <c r="AA183" s="18">
        <f t="shared" si="23"/>
        <v>2</v>
      </c>
    </row>
    <row r="184" spans="1:27" x14ac:dyDescent="0.25">
      <c r="A184" s="20" t="str">
        <v>25028-FS01</v>
      </c>
      <c r="B184" s="20" t="str">
        <f>IF(A184="","",IFERROR(VLOOKUP(A184,'Production Schedule'!$B:$FU,3,FALSE),""))</f>
        <v>TN Soybean Council</v>
      </c>
      <c r="C184" s="20" t="str">
        <f>IF(A184="","",IFERROR(VLOOKUP(A184,'Production Schedule'!$B:$FU,5,FALSE),""))</f>
        <v>Cole Norona</v>
      </c>
      <c r="D184" s="20" t="str">
        <f>IF(A184="","",IFERROR(VLOOKUP(A184,'Production Schedule'!$B:$FU,7,FALSE),""))</f>
        <v>400 CAULK</v>
      </c>
      <c r="E184" s="20">
        <f>IF(A184="","",IFERROR(VLOOKUP(A184,'Production Schedule'!$B:$FU,17,FALSE),""))</f>
        <v>26</v>
      </c>
      <c r="F184" s="20">
        <f>IF(A184="","",IFERROR(VLOOKUP(A184,'Production Schedule'!$B:$FU,18,FALSE),""))</f>
        <v>26</v>
      </c>
      <c r="G184" s="20" t="str">
        <f>IF(A184="","",IFERROR(VLOOKUP(A184,'Production Schedule'!$B:$FU,25,FALSE),""))</f>
        <v>FR ACM</v>
      </c>
      <c r="H184" s="21">
        <f>IF(A184="","",IFERROR(VLOOKUP(A184,'Production Schedule'!$B:$FU,47,FALSE),""))</f>
        <v>45820.331728715275</v>
      </c>
      <c r="I184" s="21">
        <f>IF(A184="","",IFERROR(VLOOKUP(A184,'Production Schedule'!$B:$FU,54,FALSE),""))</f>
        <v>45861</v>
      </c>
      <c r="J184" s="32">
        <f>IF(A184="","",IFERROR(VLOOKUP(A184,'Production Schedule'!$B:$FU,135,FALSE),""))</f>
        <v>46</v>
      </c>
      <c r="K184" s="20" t="str">
        <f>IF(A184="","",IFERROR(VLOOKUP(A184,'Production Schedule'!$B:$FU,59,FALSE),""))</f>
        <v>YES</v>
      </c>
      <c r="L184" s="39" t="str">
        <f>IF(A184="","",IFERROR(VLOOKUP(A184,'Production Schedule'!$B:$FU,80,FALSE),""))</f>
        <v>Ready to Ship</v>
      </c>
      <c r="M184" s="33" t="str" cm="1">
        <f t="array" ref="M184">IF(A184="","",IFERROR(TRIM(INDEX(_xlfn.TEXTSPLIT(IFERROR(VLOOKUP(A184,'Production Schedule'!$B:$FU,150,FALSE),""),CHAR(10)),1)),""))</f>
        <v>AXYZ Titans Line</v>
      </c>
      <c r="N184" s="34">
        <f t="shared" si="16"/>
        <v>45836</v>
      </c>
      <c r="O184" s="33" t="str" cm="1">
        <f t="array" ref="O184">IF(A184="","",IFERROR(TRIM(INDEX(_xlfn.TEXTSPLIT(IFERROR(VLOOKUP(A184,'Production Schedule'!$B:$FU,150,FALSE),""),CHAR(10)),2)),""))</f>
        <v>Clean and Brake</v>
      </c>
      <c r="P184" s="34">
        <f t="shared" si="17"/>
        <v>45838</v>
      </c>
      <c r="Q184" s="33" t="str" cm="1">
        <f t="array" ref="Q184">IF(A184="","",IFERROR(TRIM(INDEX(_xlfn.TEXTSPLIT(IFERROR(VLOOKUP(A184,'Production Schedule'!$B:$FU,150,FALSE),""),CHAR(10)),3)),""))</f>
        <v>Fab</v>
      </c>
      <c r="R184" s="34">
        <f t="shared" si="18"/>
        <v>45848</v>
      </c>
      <c r="S184" s="33" t="str" cm="1">
        <f t="array" ref="S184">IF(A184="","",IFERROR(TRIM(INDEX(_xlfn.TEXTSPLIT(IFERROR(VLOOKUP(A184,'Production Schedule'!$B:$FU,150,FALSE),""),CHAR(10)),4)),""))</f>
        <v/>
      </c>
      <c r="T184" s="34" t="str">
        <f t="shared" si="19"/>
        <v/>
      </c>
      <c r="U184" s="33" t="str" cm="1">
        <f t="array" ref="U184">IF(A184="","",IFERROR(TRIM(INDEX(_xlfn.TEXTSPLIT(IFERROR(VLOOKUP(A184,'Production Schedule'!$B:$FU,150,FALSE),""),CHAR(10)),5)),""))</f>
        <v/>
      </c>
      <c r="V184" s="34" t="str">
        <f t="shared" si="20"/>
        <v/>
      </c>
      <c r="W184" s="33" t="str" cm="1">
        <f t="array" ref="W184">IF(A184="","",IFERROR(TRIM(INDEX(_xlfn.TEXTSPLIT(IFERROR(VLOOKUP(A184,'Production Schedule'!$B:$FU,150,FALSE),""),CHAR(10)),6)),""))</f>
        <v/>
      </c>
      <c r="X184" s="34" t="str">
        <f t="shared" si="21"/>
        <v/>
      </c>
      <c r="Y184" s="36">
        <f t="shared" si="22"/>
        <v>45859</v>
      </c>
      <c r="Z184" s="37" t="str">
        <f>IF(A184="","",IF(IFERROR(VLOOKUP(A184,Notes!A:B,2,FALSE),"")=0,"",VLOOKUP(A184,Notes!A:B,2,FALSE)))</f>
        <v>04/16/2026…Ready to Ship</v>
      </c>
      <c r="AA184" s="20">
        <f t="shared" si="23"/>
        <v>2</v>
      </c>
    </row>
    <row r="185" spans="1:27" x14ac:dyDescent="0.25">
      <c r="A185" s="18" t="str">
        <v>24051-FS36</v>
      </c>
      <c r="B185" s="18" t="str">
        <f>IF(A185="","",IFERROR(VLOOKUP(A185,'Production Schedule'!$B:$FU,3,FALSE),""))</f>
        <v>TN Titans Stadium</v>
      </c>
      <c r="C185" s="18" t="str">
        <f>IF(A185="","",IFERROR(VLOOKUP(A185,'Production Schedule'!$B:$FU,5,FALSE),""))</f>
        <v>Marc Ribar</v>
      </c>
      <c r="D185" s="18">
        <f>IF(A185="","",IFERROR(VLOOKUP(A185,'Production Schedule'!$B:$FU,7,FALSE),""))</f>
        <v>400</v>
      </c>
      <c r="E185" s="18">
        <f>IF(A185="","",IFERROR(VLOOKUP(A185,'Production Schedule'!$B:$FU,17,FALSE),""))</f>
        <v>84</v>
      </c>
      <c r="F185" s="18">
        <f>IF(A185="","",IFERROR(VLOOKUP(A185,'Production Schedule'!$B:$FU,18,FALSE),""))</f>
        <v>84</v>
      </c>
      <c r="G185" s="18" t="str">
        <f>IF(A185="","",IFERROR(VLOOKUP(A185,'Production Schedule'!$B:$FU,25,FALSE),""))</f>
        <v>FR ACM</v>
      </c>
      <c r="H185" s="19">
        <f>IF(A185="","",IFERROR(VLOOKUP(A185,'Production Schedule'!$B:$FU,47,FALSE),""))</f>
        <v>45812.437809502313</v>
      </c>
      <c r="I185" s="19">
        <f>IF(A185="","",IFERROR(VLOOKUP(A185,'Production Schedule'!$B:$FU,54,FALSE),""))</f>
        <v>45869</v>
      </c>
      <c r="J185" s="26">
        <f>IF(A185="","",IFERROR(VLOOKUP(A185,'Production Schedule'!$B:$FU,135,FALSE),""))</f>
        <v>40</v>
      </c>
      <c r="K185" s="18" t="str">
        <f>IF(A185="","",IFERROR(VLOOKUP(A185,'Production Schedule'!$B:$FU,59,FALSE),""))</f>
        <v>YES</v>
      </c>
      <c r="L185" s="38" t="str">
        <f>IF(A185="","",IFERROR(VLOOKUP(A185,'Production Schedule'!$B:$FU,80,FALSE),""))</f>
        <v>RTS Titans</v>
      </c>
      <c r="M185" s="27" t="str" cm="1">
        <f t="array" ref="M185">IF(A185="","",IFERROR(TRIM(INDEX(_xlfn.TEXTSPLIT(IFERROR(VLOOKUP(A185,'Production Schedule'!$B:$FU,150,FALSE),""),CHAR(10)),1)),""))</f>
        <v>AXYZ Titans Line</v>
      </c>
      <c r="N185" s="28">
        <f t="shared" si="16"/>
        <v>45843</v>
      </c>
      <c r="O185" s="27" t="str" cm="1">
        <f t="array" ref="O185">IF(A185="","",IFERROR(TRIM(INDEX(_xlfn.TEXTSPLIT(IFERROR(VLOOKUP(A185,'Production Schedule'!$B:$FU,150,FALSE),""),CHAR(10)),2)),""))</f>
        <v>Clean and Brake</v>
      </c>
      <c r="P185" s="28">
        <f t="shared" si="17"/>
        <v>45846</v>
      </c>
      <c r="Q185" s="27" t="str" cm="1">
        <f t="array" ref="Q185">IF(A185="","",IFERROR(TRIM(INDEX(_xlfn.TEXTSPLIT(IFERROR(VLOOKUP(A185,'Production Schedule'!$B:$FU,150,FALSE),""),CHAR(10)),3)),""))</f>
        <v>Fab</v>
      </c>
      <c r="R185" s="28">
        <f t="shared" si="18"/>
        <v>45856</v>
      </c>
      <c r="S185" s="27" t="str" cm="1">
        <f t="array" ref="S185">IF(A185="","",IFERROR(TRIM(INDEX(_xlfn.TEXTSPLIT(IFERROR(VLOOKUP(A185,'Production Schedule'!$B:$FU,150,FALSE),""),CHAR(10)),4)),""))</f>
        <v/>
      </c>
      <c r="T185" s="28" t="str">
        <f t="shared" si="19"/>
        <v/>
      </c>
      <c r="U185" s="27" t="str" cm="1">
        <f t="array" ref="U185">IF(A185="","",IFERROR(TRIM(INDEX(_xlfn.TEXTSPLIT(IFERROR(VLOOKUP(A185,'Production Schedule'!$B:$FU,150,FALSE),""),CHAR(10)),5)),""))</f>
        <v/>
      </c>
      <c r="V185" s="28" t="str">
        <f t="shared" si="20"/>
        <v/>
      </c>
      <c r="W185" s="27" t="str" cm="1">
        <f t="array" ref="W185">IF(A185="","",IFERROR(TRIM(INDEX(_xlfn.TEXTSPLIT(IFERROR(VLOOKUP(A185,'Production Schedule'!$B:$FU,150,FALSE),""),CHAR(10)),6)),""))</f>
        <v/>
      </c>
      <c r="X185" s="28" t="str">
        <f t="shared" si="21"/>
        <v/>
      </c>
      <c r="Y185" s="30">
        <f t="shared" si="22"/>
        <v>45867</v>
      </c>
      <c r="Z185" s="31" t="str">
        <f>IF(A185="","",IF(IFERROR(VLOOKUP(A185,Notes!A:B,2,FALSE),"")=0,"",VLOOKUP(A185,Notes!A:B,2,FALSE)))</f>
        <v>Next for Titans*04/16/2026…RTS Titans</v>
      </c>
      <c r="AA185" s="18">
        <f t="shared" si="23"/>
        <v>2</v>
      </c>
    </row>
    <row r="186" spans="1:27" x14ac:dyDescent="0.25">
      <c r="A186" s="20" t="str">
        <v>24051-FS215</v>
      </c>
      <c r="B186" s="20" t="str">
        <f>IF(A186="","",IFERROR(VLOOKUP(A186,'Production Schedule'!$B:$FU,3,FALSE),""))</f>
        <v>TN Titans Stadium</v>
      </c>
      <c r="C186" s="20" t="str">
        <f>IF(A186="","",IFERROR(VLOOKUP(A186,'Production Schedule'!$B:$FU,5,FALSE),""))</f>
        <v>Marc Ribar</v>
      </c>
      <c r="D186" s="20">
        <f>IF(A186="","",IFERROR(VLOOKUP(A186,'Production Schedule'!$B:$FU,7,FALSE),""))</f>
        <v>400</v>
      </c>
      <c r="E186" s="20">
        <f>IF(A186="","",IFERROR(VLOOKUP(A186,'Production Schedule'!$B:$FU,17,FALSE),""))</f>
        <v>14</v>
      </c>
      <c r="F186" s="20">
        <f>IF(A186="","",IFERROR(VLOOKUP(A186,'Production Schedule'!$B:$FU,18,FALSE),""))</f>
        <v>14</v>
      </c>
      <c r="G186" s="20" t="str">
        <f>IF(A186="","",IFERROR(VLOOKUP(A186,'Production Schedule'!$B:$FU,25,FALSE),""))</f>
        <v>FR ACM</v>
      </c>
      <c r="H186" s="21">
        <f>IF(A186="","",IFERROR(VLOOKUP(A186,'Production Schedule'!$B:$FU,47,FALSE),""))</f>
        <v>45812.435975902779</v>
      </c>
      <c r="I186" s="21">
        <f>IF(A186="","",IFERROR(VLOOKUP(A186,'Production Schedule'!$B:$FU,54,FALSE),""))</f>
        <v>45869</v>
      </c>
      <c r="J186" s="32">
        <f>IF(A186="","",IFERROR(VLOOKUP(A186,'Production Schedule'!$B:$FU,135,FALSE),""))</f>
        <v>40</v>
      </c>
      <c r="K186" s="20" t="str">
        <f>IF(A186="","",IFERROR(VLOOKUP(A186,'Production Schedule'!$B:$FU,59,FALSE),""))</f>
        <v>YES</v>
      </c>
      <c r="L186" s="39" t="str">
        <f>IF(A186="","",IFERROR(VLOOKUP(A186,'Production Schedule'!$B:$FU,80,FALSE),""))</f>
        <v>RTS Titans</v>
      </c>
      <c r="M186" s="33" t="str" cm="1">
        <f t="array" ref="M186">IF(A186="","",IFERROR(TRIM(INDEX(_xlfn.TEXTSPLIT(IFERROR(VLOOKUP(A186,'Production Schedule'!$B:$FU,150,FALSE),""),CHAR(10)),1)),""))</f>
        <v>AXYZ Titans Line</v>
      </c>
      <c r="N186" s="34">
        <f t="shared" si="16"/>
        <v>45845</v>
      </c>
      <c r="O186" s="33" t="str" cm="1">
        <f t="array" ref="O186">IF(A186="","",IFERROR(TRIM(INDEX(_xlfn.TEXTSPLIT(IFERROR(VLOOKUP(A186,'Production Schedule'!$B:$FU,150,FALSE),""),CHAR(10)),2)),""))</f>
        <v>Clean and Brake</v>
      </c>
      <c r="P186" s="34">
        <f t="shared" si="17"/>
        <v>45846</v>
      </c>
      <c r="Q186" s="33" t="str" cm="1">
        <f t="array" ref="Q186">IF(A186="","",IFERROR(TRIM(INDEX(_xlfn.TEXTSPLIT(IFERROR(VLOOKUP(A186,'Production Schedule'!$B:$FU,150,FALSE),""),CHAR(10)),3)),""))</f>
        <v>Fab</v>
      </c>
      <c r="R186" s="34">
        <f t="shared" si="18"/>
        <v>45856</v>
      </c>
      <c r="S186" s="33" t="str" cm="1">
        <f t="array" ref="S186">IF(A186="","",IFERROR(TRIM(INDEX(_xlfn.TEXTSPLIT(IFERROR(VLOOKUP(A186,'Production Schedule'!$B:$FU,150,FALSE),""),CHAR(10)),4)),""))</f>
        <v/>
      </c>
      <c r="T186" s="34" t="str">
        <f t="shared" si="19"/>
        <v/>
      </c>
      <c r="U186" s="33" t="str" cm="1">
        <f t="array" ref="U186">IF(A186="","",IFERROR(TRIM(INDEX(_xlfn.TEXTSPLIT(IFERROR(VLOOKUP(A186,'Production Schedule'!$B:$FU,150,FALSE),""),CHAR(10)),5)),""))</f>
        <v/>
      </c>
      <c r="V186" s="34" t="str">
        <f t="shared" si="20"/>
        <v/>
      </c>
      <c r="W186" s="33" t="str" cm="1">
        <f t="array" ref="W186">IF(A186="","",IFERROR(TRIM(INDEX(_xlfn.TEXTSPLIT(IFERROR(VLOOKUP(A186,'Production Schedule'!$B:$FU,150,FALSE),""),CHAR(10)),6)),""))</f>
        <v/>
      </c>
      <c r="X186" s="34" t="str">
        <f t="shared" si="21"/>
        <v/>
      </c>
      <c r="Y186" s="36">
        <f t="shared" si="22"/>
        <v>45867</v>
      </c>
      <c r="Z186" s="37" t="str">
        <f>IF(A186="","",IF(IFERROR(VLOOKUP(A186,Notes!A:B,2,FALSE),"")=0,"",VLOOKUP(A186,Notes!A:B,2,FALSE)))</f>
        <v>04/16/2026…RTS Titans</v>
      </c>
      <c r="AA186" s="20">
        <f t="shared" si="23"/>
        <v>2</v>
      </c>
    </row>
    <row r="187" spans="1:27" x14ac:dyDescent="0.25">
      <c r="A187" s="18" t="str">
        <v>24051-FS43</v>
      </c>
      <c r="B187" s="18" t="str">
        <f>IF(A187="","",IFERROR(VLOOKUP(A187,'Production Schedule'!$B:$FU,3,FALSE),""))</f>
        <v>TN Titans Stadium</v>
      </c>
      <c r="C187" s="18" t="str">
        <f>IF(A187="","",IFERROR(VLOOKUP(A187,'Production Schedule'!$B:$FU,5,FALSE),""))</f>
        <v>Marc Ribar</v>
      </c>
      <c r="D187" s="18">
        <f>IF(A187="","",IFERROR(VLOOKUP(A187,'Production Schedule'!$B:$FU,7,FALSE),""))</f>
        <v>400</v>
      </c>
      <c r="E187" s="18">
        <f>IF(A187="","",IFERROR(VLOOKUP(A187,'Production Schedule'!$B:$FU,17,FALSE),""))</f>
        <v>160</v>
      </c>
      <c r="F187" s="18">
        <f>IF(A187="","",IFERROR(VLOOKUP(A187,'Production Schedule'!$B:$FU,18,FALSE),""))</f>
        <v>160</v>
      </c>
      <c r="G187" s="18" t="str">
        <f>IF(A187="","",IFERROR(VLOOKUP(A187,'Production Schedule'!$B:$FU,25,FALSE),""))</f>
        <v>FR ACM</v>
      </c>
      <c r="H187" s="19">
        <f>IF(A187="","",IFERROR(VLOOKUP(A187,'Production Schedule'!$B:$FU,47,FALSE),""))</f>
        <v>45818.677039861112</v>
      </c>
      <c r="I187" s="19">
        <f>IF(A187="","",IFERROR(VLOOKUP(A187,'Production Schedule'!$B:$FU,54,FALSE),""))</f>
        <v>45873</v>
      </c>
      <c r="J187" s="26">
        <f>IF(A187="","",IFERROR(VLOOKUP(A187,'Production Schedule'!$B:$FU,135,FALSE),""))</f>
        <v>250</v>
      </c>
      <c r="K187" s="18" t="str">
        <f>IF(A187="","",IFERROR(VLOOKUP(A187,'Production Schedule'!$B:$FU,59,FALSE),""))</f>
        <v>YES</v>
      </c>
      <c r="L187" s="38" t="str">
        <f>IF(A187="","",IFERROR(VLOOKUP(A187,'Production Schedule'!$B:$FU,80,FALSE),""))</f>
        <v>RTS Titans</v>
      </c>
      <c r="M187" s="27" t="str" cm="1">
        <f t="array" ref="M187">IF(A187="","",IFERROR(TRIM(INDEX(_xlfn.TEXTSPLIT(IFERROR(VLOOKUP(A187,'Production Schedule'!$B:$FU,150,FALSE),""),CHAR(10)),1)),""))</f>
        <v>AXYZ Titans Line</v>
      </c>
      <c r="N187" s="28">
        <f t="shared" si="16"/>
        <v>45846</v>
      </c>
      <c r="O187" s="27" t="str" cm="1">
        <f t="array" ref="O187">IF(A187="","",IFERROR(TRIM(INDEX(_xlfn.TEXTSPLIT(IFERROR(VLOOKUP(A187,'Production Schedule'!$B:$FU,150,FALSE),""),CHAR(10)),2)),""))</f>
        <v>Clean and Brake</v>
      </c>
      <c r="P187" s="28">
        <f t="shared" si="17"/>
        <v>45849</v>
      </c>
      <c r="Q187" s="27" t="str" cm="1">
        <f t="array" ref="Q187">IF(A187="","",IFERROR(TRIM(INDEX(_xlfn.TEXTSPLIT(IFERROR(VLOOKUP(A187,'Production Schedule'!$B:$FU,150,FALSE),""),CHAR(10)),3)),""))</f>
        <v>Fab</v>
      </c>
      <c r="R187" s="28">
        <f t="shared" si="18"/>
        <v>45860</v>
      </c>
      <c r="S187" s="27" t="str" cm="1">
        <f t="array" ref="S187">IF(A187="","",IFERROR(TRIM(INDEX(_xlfn.TEXTSPLIT(IFERROR(VLOOKUP(A187,'Production Schedule'!$B:$FU,150,FALSE),""),CHAR(10)),4)),""))</f>
        <v/>
      </c>
      <c r="T187" s="28" t="str">
        <f t="shared" si="19"/>
        <v/>
      </c>
      <c r="U187" s="27" t="str" cm="1">
        <f t="array" ref="U187">IF(A187="","",IFERROR(TRIM(INDEX(_xlfn.TEXTSPLIT(IFERROR(VLOOKUP(A187,'Production Schedule'!$B:$FU,150,FALSE),""),CHAR(10)),5)),""))</f>
        <v/>
      </c>
      <c r="V187" s="28" t="str">
        <f t="shared" si="20"/>
        <v/>
      </c>
      <c r="W187" s="27" t="str" cm="1">
        <f t="array" ref="W187">IF(A187="","",IFERROR(TRIM(INDEX(_xlfn.TEXTSPLIT(IFERROR(VLOOKUP(A187,'Production Schedule'!$B:$FU,150,FALSE),""),CHAR(10)),6)),""))</f>
        <v/>
      </c>
      <c r="X187" s="28" t="str">
        <f t="shared" si="21"/>
        <v/>
      </c>
      <c r="Y187" s="30">
        <f t="shared" si="22"/>
        <v>45870</v>
      </c>
      <c r="Z187" s="31" t="str">
        <f>IF(A187="","",IF(IFERROR(VLOOKUP(A187,Notes!A:B,2,FALSE),"")=0,"",VLOOKUP(A187,Notes!A:B,2,FALSE)))</f>
        <v>04/16/2026…RTS Titans</v>
      </c>
      <c r="AA187" s="18">
        <f t="shared" si="23"/>
        <v>2</v>
      </c>
    </row>
    <row r="188" spans="1:27" x14ac:dyDescent="0.25">
      <c r="A188" s="20" t="str">
        <v>24057-BM10</v>
      </c>
      <c r="B188" s="20" t="str">
        <f>IF(A188="","",IFERROR(VLOOKUP(A188,'Production Schedule'!$B:$FU,3,FALSE),""))</f>
        <v>Rowan BWI 150</v>
      </c>
      <c r="C188" s="20" t="str">
        <f>IF(A188="","",IFERROR(VLOOKUP(A188,'Production Schedule'!$B:$FU,5,FALSE),""))</f>
        <v>Dillon Bowman</v>
      </c>
      <c r="D188" s="20">
        <f>IF(A188="","",IFERROR(VLOOKUP(A188,'Production Schedule'!$B:$FU,7,FALSE),""))</f>
        <v>0</v>
      </c>
      <c r="E188" s="20">
        <f>IF(A188="","",IFERROR(VLOOKUP(A188,'Production Schedule'!$B:$FU,17,FALSE),""))</f>
        <v>0</v>
      </c>
      <c r="F188" s="20">
        <f>IF(A188="","",IFERROR(VLOOKUP(A188,'Production Schedule'!$B:$FU,18,FALSE),""))</f>
        <v>11</v>
      </c>
      <c r="G188" s="20" t="str">
        <f>IF(A188="","",IFERROR(VLOOKUP(A188,'Production Schedule'!$B:$FU,25,FALSE),""))</f>
        <v>Galv Sheet</v>
      </c>
      <c r="H188" s="21">
        <f>IF(A188="","",IFERROR(VLOOKUP(A188,'Production Schedule'!$B:$FU,47,FALSE),""))</f>
        <v>45861.423795578703</v>
      </c>
      <c r="I188" s="21">
        <f>IF(A188="","",IFERROR(VLOOKUP(A188,'Production Schedule'!$B:$FU,54,FALSE),""))</f>
        <v>45875</v>
      </c>
      <c r="J188" s="32">
        <f>IF(A188="","",IFERROR(VLOOKUP(A188,'Production Schedule'!$B:$FU,135,FALSE),""))</f>
        <v>2</v>
      </c>
      <c r="K188" s="20" t="str">
        <f>IF(A188="","",IFERROR(VLOOKUP(A188,'Production Schedule'!$B:$FU,59,FALSE),""))</f>
        <v>YES</v>
      </c>
      <c r="L188" s="39" t="str">
        <f>IF(A188="","",IFERROR(VLOOKUP(A188,'Production Schedule'!$B:$FU,80,FALSE),""))</f>
        <v>Ready to Ship</v>
      </c>
      <c r="M188" s="33" t="str" cm="1">
        <f t="array" ref="M188">IF(A188="","",IFERROR(TRIM(INDEX(_xlfn.TEXTSPLIT(IFERROR(VLOOKUP(A188,'Production Schedule'!$B:$FU,150,FALSE),""),CHAR(10)),1)),""))</f>
        <v>Cidan</v>
      </c>
      <c r="N188" s="34">
        <f t="shared" si="16"/>
        <v>45849</v>
      </c>
      <c r="O188" s="33" t="str" cm="1">
        <f t="array" ref="O188">IF(A188="","",IFERROR(TRIM(INDEX(_xlfn.TEXTSPLIT(IFERROR(VLOOKUP(A188,'Production Schedule'!$B:$FU,150,FALSE),""),CHAR(10)),2)),""))</f>
        <v>Shear</v>
      </c>
      <c r="P188" s="34">
        <f t="shared" si="17"/>
        <v>45861</v>
      </c>
      <c r="Q188" s="33" t="str" cm="1">
        <f t="array" ref="Q188">IF(A188="","",IFERROR(TRIM(INDEX(_xlfn.TEXTSPLIT(IFERROR(VLOOKUP(A188,'Production Schedule'!$B:$FU,150,FALSE),""),CHAR(10)),3)),""))</f>
        <v/>
      </c>
      <c r="R188" s="34" t="str">
        <f t="shared" si="18"/>
        <v/>
      </c>
      <c r="S188" s="33" t="str" cm="1">
        <f t="array" ref="S188">IF(A188="","",IFERROR(TRIM(INDEX(_xlfn.TEXTSPLIT(IFERROR(VLOOKUP(A188,'Production Schedule'!$B:$FU,150,FALSE),""),CHAR(10)),4)),""))</f>
        <v/>
      </c>
      <c r="T188" s="34" t="str">
        <f t="shared" si="19"/>
        <v/>
      </c>
      <c r="U188" s="33" t="str" cm="1">
        <f t="array" ref="U188">IF(A188="","",IFERROR(TRIM(INDEX(_xlfn.TEXTSPLIT(IFERROR(VLOOKUP(A188,'Production Schedule'!$B:$FU,150,FALSE),""),CHAR(10)),5)),""))</f>
        <v/>
      </c>
      <c r="V188" s="34" t="str">
        <f t="shared" si="20"/>
        <v/>
      </c>
      <c r="W188" s="33" t="str" cm="1">
        <f t="array" ref="W188">IF(A188="","",IFERROR(TRIM(INDEX(_xlfn.TEXTSPLIT(IFERROR(VLOOKUP(A188,'Production Schedule'!$B:$FU,150,FALSE),""),CHAR(10)),6)),""))</f>
        <v/>
      </c>
      <c r="X188" s="34" t="str">
        <f t="shared" si="21"/>
        <v/>
      </c>
      <c r="Y188" s="36">
        <f t="shared" si="22"/>
        <v>45873</v>
      </c>
      <c r="Z188" s="37" t="str">
        <f>IF(A188="","",IF(IFERROR(VLOOKUP(A188,Notes!A:B,2,FALSE),"")=0,"",VLOOKUP(A188,Notes!A:B,2,FALSE)))</f>
        <v>04/16/2026…Ready to Ship</v>
      </c>
      <c r="AA188" s="20">
        <f t="shared" si="23"/>
        <v>2</v>
      </c>
    </row>
    <row r="189" spans="1:27" x14ac:dyDescent="0.25">
      <c r="A189" s="18" t="str">
        <v>24057-FL10</v>
      </c>
      <c r="B189" s="18" t="str">
        <f>IF(A189="","",IFERROR(VLOOKUP(A189,'Production Schedule'!$B:$FU,3,FALSE),""))</f>
        <v>Rowan BWI 150</v>
      </c>
      <c r="C189" s="18" t="str">
        <f>IF(A189="","",IFERROR(VLOOKUP(A189,'Production Schedule'!$B:$FU,5,FALSE),""))</f>
        <v>Dillon Bowman</v>
      </c>
      <c r="D189" s="18">
        <f>IF(A189="","",IFERROR(VLOOKUP(A189,'Production Schedule'!$B:$FU,7,FALSE),""))</f>
        <v>0</v>
      </c>
      <c r="E189" s="18">
        <f>IF(A189="","",IFERROR(VLOOKUP(A189,'Production Schedule'!$B:$FU,17,FALSE),""))</f>
        <v>0</v>
      </c>
      <c r="F189" s="18">
        <f>IF(A189="","",IFERROR(VLOOKUP(A189,'Production Schedule'!$B:$FU,18,FALSE),""))</f>
        <v>7</v>
      </c>
      <c r="G189" s="18" t="str">
        <f>IF(A189="","",IFERROR(VLOOKUP(A189,'Production Schedule'!$B:$FU,25,FALSE),""))</f>
        <v>Alum Sheet</v>
      </c>
      <c r="H189" s="19">
        <f>IF(A189="","",IFERROR(VLOOKUP(A189,'Production Schedule'!$B:$FU,47,FALSE),""))</f>
        <v>45861.380649432867</v>
      </c>
      <c r="I189" s="19">
        <f>IF(A189="","",IFERROR(VLOOKUP(A189,'Production Schedule'!$B:$FU,54,FALSE),""))</f>
        <v>45875</v>
      </c>
      <c r="J189" s="26">
        <f>IF(A189="","",IFERROR(VLOOKUP(A189,'Production Schedule'!$B:$FU,135,FALSE),""))</f>
        <v>2</v>
      </c>
      <c r="K189" s="18" t="str">
        <f>IF(A189="","",IFERROR(VLOOKUP(A189,'Production Schedule'!$B:$FU,59,FALSE),""))</f>
        <v>YES</v>
      </c>
      <c r="L189" s="38" t="str">
        <f>IF(A189="","",IFERROR(VLOOKUP(A189,'Production Schedule'!$B:$FU,80,FALSE),""))</f>
        <v>Ready to Ship</v>
      </c>
      <c r="M189" s="27" t="str" cm="1">
        <f t="array" ref="M189">IF(A189="","",IFERROR(TRIM(INDEX(_xlfn.TEXTSPLIT(IFERROR(VLOOKUP(A189,'Production Schedule'!$B:$FU,150,FALSE),""),CHAR(10)),1)),""))</f>
        <v>Cidan</v>
      </c>
      <c r="N189" s="28">
        <f t="shared" si="16"/>
        <v>45849</v>
      </c>
      <c r="O189" s="27" t="str" cm="1">
        <f t="array" ref="O189">IF(A189="","",IFERROR(TRIM(INDEX(_xlfn.TEXTSPLIT(IFERROR(VLOOKUP(A189,'Production Schedule'!$B:$FU,150,FALSE),""),CHAR(10)),2)),""))</f>
        <v>Shear</v>
      </c>
      <c r="P189" s="28">
        <f t="shared" si="17"/>
        <v>45861</v>
      </c>
      <c r="Q189" s="27" t="str" cm="1">
        <f t="array" ref="Q189">IF(A189="","",IFERROR(TRIM(INDEX(_xlfn.TEXTSPLIT(IFERROR(VLOOKUP(A189,'Production Schedule'!$B:$FU,150,FALSE),""),CHAR(10)),3)),""))</f>
        <v/>
      </c>
      <c r="R189" s="28" t="str">
        <f t="shared" si="18"/>
        <v/>
      </c>
      <c r="S189" s="27" t="str" cm="1">
        <f t="array" ref="S189">IF(A189="","",IFERROR(TRIM(INDEX(_xlfn.TEXTSPLIT(IFERROR(VLOOKUP(A189,'Production Schedule'!$B:$FU,150,FALSE),""),CHAR(10)),4)),""))</f>
        <v/>
      </c>
      <c r="T189" s="28" t="str">
        <f t="shared" si="19"/>
        <v/>
      </c>
      <c r="U189" s="27" t="str" cm="1">
        <f t="array" ref="U189">IF(A189="","",IFERROR(TRIM(INDEX(_xlfn.TEXTSPLIT(IFERROR(VLOOKUP(A189,'Production Schedule'!$B:$FU,150,FALSE),""),CHAR(10)),5)),""))</f>
        <v/>
      </c>
      <c r="V189" s="28" t="str">
        <f t="shared" si="20"/>
        <v/>
      </c>
      <c r="W189" s="27" t="str" cm="1">
        <f t="array" ref="W189">IF(A189="","",IFERROR(TRIM(INDEX(_xlfn.TEXTSPLIT(IFERROR(VLOOKUP(A189,'Production Schedule'!$B:$FU,150,FALSE),""),CHAR(10)),6)),""))</f>
        <v/>
      </c>
      <c r="X189" s="28" t="str">
        <f t="shared" si="21"/>
        <v/>
      </c>
      <c r="Y189" s="30">
        <f t="shared" si="22"/>
        <v>45873</v>
      </c>
      <c r="Z189" s="31" t="str">
        <f>IF(A189="","",IF(IFERROR(VLOOKUP(A189,Notes!A:B,2,FALSE),"")=0,"",VLOOKUP(A189,Notes!A:B,2,FALSE)))</f>
        <v>04/16/2026…Ready to Ship</v>
      </c>
      <c r="AA189" s="18">
        <f t="shared" si="23"/>
        <v>2</v>
      </c>
    </row>
    <row r="190" spans="1:27" x14ac:dyDescent="0.25">
      <c r="A190" s="20" t="str">
        <v>25028-FL02</v>
      </c>
      <c r="B190" s="20" t="str">
        <f>IF(A190="","",IFERROR(VLOOKUP(A190,'Production Schedule'!$B:$FU,3,FALSE),""))</f>
        <v>TN Soybean Council</v>
      </c>
      <c r="C190" s="20" t="str">
        <f>IF(A190="","",IFERROR(VLOOKUP(A190,'Production Schedule'!$B:$FU,5,FALSE),""))</f>
        <v>Cole Norona</v>
      </c>
      <c r="D190" s="20">
        <f>IF(A190="","",IFERROR(VLOOKUP(A190,'Production Schedule'!$B:$FU,7,FALSE),""))</f>
        <v>0</v>
      </c>
      <c r="E190" s="20">
        <f>IF(A190="","",IFERROR(VLOOKUP(A190,'Production Schedule'!$B:$FU,17,FALSE),""))</f>
        <v>0</v>
      </c>
      <c r="F190" s="20">
        <f>IF(A190="","",IFERROR(VLOOKUP(A190,'Production Schedule'!$B:$FU,18,FALSE),""))</f>
        <v>4</v>
      </c>
      <c r="G190" s="20" t="str">
        <f>IF(A190="","",IFERROR(VLOOKUP(A190,'Production Schedule'!$B:$FU,25,FALSE),""))</f>
        <v>Alum Sheet</v>
      </c>
      <c r="H190" s="21">
        <f>IF(A190="","",IFERROR(VLOOKUP(A190,'Production Schedule'!$B:$FU,47,FALSE),""))</f>
        <v>45876.56000972222</v>
      </c>
      <c r="I190" s="21">
        <f>IF(A190="","",IFERROR(VLOOKUP(A190,'Production Schedule'!$B:$FU,54,FALSE),""))</f>
        <v>45877</v>
      </c>
      <c r="J190" s="32">
        <f>IF(A190="","",IFERROR(VLOOKUP(A190,'Production Schedule'!$B:$FU,135,FALSE),""))</f>
        <v>1</v>
      </c>
      <c r="K190" s="20" t="str">
        <f>IF(A190="","",IFERROR(VLOOKUP(A190,'Production Schedule'!$B:$FU,59,FALSE),""))</f>
        <v>YES</v>
      </c>
      <c r="L190" s="39" t="str">
        <f>IF(A190="","",IFERROR(VLOOKUP(A190,'Production Schedule'!$B:$FU,80,FALSE),""))</f>
        <v>Ready to Ship</v>
      </c>
      <c r="M190" s="33" t="str" cm="1">
        <f t="array" ref="M190">IF(A190="","",IFERROR(TRIM(INDEX(_xlfn.TEXTSPLIT(IFERROR(VLOOKUP(A190,'Production Schedule'!$B:$FU,150,FALSE),""),CHAR(10)),1)),""))</f>
        <v>Cidan</v>
      </c>
      <c r="N190" s="34">
        <f t="shared" si="16"/>
        <v>45852</v>
      </c>
      <c r="O190" s="33" t="str" cm="1">
        <f t="array" ref="O190">IF(A190="","",IFERROR(TRIM(INDEX(_xlfn.TEXTSPLIT(IFERROR(VLOOKUP(A190,'Production Schedule'!$B:$FU,150,FALSE),""),CHAR(10)),2)),""))</f>
        <v>Shear</v>
      </c>
      <c r="P190" s="34">
        <f t="shared" si="17"/>
        <v>45863</v>
      </c>
      <c r="Q190" s="33" t="str" cm="1">
        <f t="array" ref="Q190">IF(A190="","",IFERROR(TRIM(INDEX(_xlfn.TEXTSPLIT(IFERROR(VLOOKUP(A190,'Production Schedule'!$B:$FU,150,FALSE),""),CHAR(10)),3)),""))</f>
        <v/>
      </c>
      <c r="R190" s="34" t="str">
        <f t="shared" si="18"/>
        <v/>
      </c>
      <c r="S190" s="33" t="str" cm="1">
        <f t="array" ref="S190">IF(A190="","",IFERROR(TRIM(INDEX(_xlfn.TEXTSPLIT(IFERROR(VLOOKUP(A190,'Production Schedule'!$B:$FU,150,FALSE),""),CHAR(10)),4)),""))</f>
        <v/>
      </c>
      <c r="T190" s="34" t="str">
        <f t="shared" si="19"/>
        <v/>
      </c>
      <c r="U190" s="33" t="str" cm="1">
        <f t="array" ref="U190">IF(A190="","",IFERROR(TRIM(INDEX(_xlfn.TEXTSPLIT(IFERROR(VLOOKUP(A190,'Production Schedule'!$B:$FU,150,FALSE),""),CHAR(10)),5)),""))</f>
        <v/>
      </c>
      <c r="V190" s="34" t="str">
        <f t="shared" si="20"/>
        <v/>
      </c>
      <c r="W190" s="33" t="str" cm="1">
        <f t="array" ref="W190">IF(A190="","",IFERROR(TRIM(INDEX(_xlfn.TEXTSPLIT(IFERROR(VLOOKUP(A190,'Production Schedule'!$B:$FU,150,FALSE),""),CHAR(10)),6)),""))</f>
        <v/>
      </c>
      <c r="X190" s="34" t="str">
        <f t="shared" si="21"/>
        <v/>
      </c>
      <c r="Y190" s="36">
        <f t="shared" si="22"/>
        <v>45875</v>
      </c>
      <c r="Z190" s="37" t="str">
        <f>IF(A190="","",IF(IFERROR(VLOOKUP(A190,Notes!A:B,2,FALSE),"")=0,"",VLOOKUP(A190,Notes!A:B,2,FALSE)))</f>
        <v>04/16/2026…Ready to Ship</v>
      </c>
      <c r="AA190" s="20">
        <f t="shared" si="23"/>
        <v>2</v>
      </c>
    </row>
    <row r="191" spans="1:27" x14ac:dyDescent="0.25">
      <c r="A191" s="18" t="str">
        <v>24051-FS42</v>
      </c>
      <c r="B191" s="18" t="str">
        <f>IF(A191="","",IFERROR(VLOOKUP(A191,'Production Schedule'!$B:$FU,3,FALSE),""))</f>
        <v>TN Titans Stadium</v>
      </c>
      <c r="C191" s="18" t="str">
        <f>IF(A191="","",IFERROR(VLOOKUP(A191,'Production Schedule'!$B:$FU,5,FALSE),""))</f>
        <v>Marc Ribar</v>
      </c>
      <c r="D191" s="18">
        <f>IF(A191="","",IFERROR(VLOOKUP(A191,'Production Schedule'!$B:$FU,7,FALSE),""))</f>
        <v>400</v>
      </c>
      <c r="E191" s="18">
        <f>IF(A191="","",IFERROR(VLOOKUP(A191,'Production Schedule'!$B:$FU,17,FALSE),""))</f>
        <v>120</v>
      </c>
      <c r="F191" s="18">
        <f>IF(A191="","",IFERROR(VLOOKUP(A191,'Production Schedule'!$B:$FU,18,FALSE),""))</f>
        <v>120</v>
      </c>
      <c r="G191" s="18" t="str">
        <f>IF(A191="","",IFERROR(VLOOKUP(A191,'Production Schedule'!$B:$FU,25,FALSE),""))</f>
        <v>FR ACM</v>
      </c>
      <c r="H191" s="19">
        <f>IF(A191="","",IFERROR(VLOOKUP(A191,'Production Schedule'!$B:$FU,47,FALSE),""))</f>
        <v>45817.656833275461</v>
      </c>
      <c r="I191" s="19">
        <f>IF(A191="","",IFERROR(VLOOKUP(A191,'Production Schedule'!$B:$FU,54,FALSE),""))</f>
        <v>45882</v>
      </c>
      <c r="J191" s="26">
        <f>IF(A191="","",IFERROR(VLOOKUP(A191,'Production Schedule'!$B:$FU,135,FALSE),""))</f>
        <v>200</v>
      </c>
      <c r="K191" s="18" t="str">
        <f>IF(A191="","",IFERROR(VLOOKUP(A191,'Production Schedule'!$B:$FU,59,FALSE),""))</f>
        <v>YES</v>
      </c>
      <c r="L191" s="38" t="str">
        <f>IF(A191="","",IFERROR(VLOOKUP(A191,'Production Schedule'!$B:$FU,80,FALSE),""))</f>
        <v>RTS Titans</v>
      </c>
      <c r="M191" s="27" t="str" cm="1">
        <f t="array" ref="M191">IF(A191="","",IFERROR(TRIM(INDEX(_xlfn.TEXTSPLIT(IFERROR(VLOOKUP(A191,'Production Schedule'!$B:$FU,150,FALSE),""),CHAR(10)),1)),""))</f>
        <v>AXYZ Titans Line</v>
      </c>
      <c r="N191" s="28">
        <f t="shared" si="16"/>
        <v>45855</v>
      </c>
      <c r="O191" s="27" t="str" cm="1">
        <f t="array" ref="O191">IF(A191="","",IFERROR(TRIM(INDEX(_xlfn.TEXTSPLIT(IFERROR(VLOOKUP(A191,'Production Schedule'!$B:$FU,150,FALSE),""),CHAR(10)),2)),""))</f>
        <v>Clean and Brake</v>
      </c>
      <c r="P191" s="28">
        <f t="shared" si="17"/>
        <v>45859</v>
      </c>
      <c r="Q191" s="27" t="str" cm="1">
        <f t="array" ref="Q191">IF(A191="","",IFERROR(TRIM(INDEX(_xlfn.TEXTSPLIT(IFERROR(VLOOKUP(A191,'Production Schedule'!$B:$FU,150,FALSE),""),CHAR(10)),3)),""))</f>
        <v>Fab</v>
      </c>
      <c r="R191" s="28">
        <f t="shared" si="18"/>
        <v>45869</v>
      </c>
      <c r="S191" s="27" t="str" cm="1">
        <f t="array" ref="S191">IF(A191="","",IFERROR(TRIM(INDEX(_xlfn.TEXTSPLIT(IFERROR(VLOOKUP(A191,'Production Schedule'!$B:$FU,150,FALSE),""),CHAR(10)),4)),""))</f>
        <v/>
      </c>
      <c r="T191" s="28" t="str">
        <f t="shared" si="19"/>
        <v/>
      </c>
      <c r="U191" s="27" t="str" cm="1">
        <f t="array" ref="U191">IF(A191="","",IFERROR(TRIM(INDEX(_xlfn.TEXTSPLIT(IFERROR(VLOOKUP(A191,'Production Schedule'!$B:$FU,150,FALSE),""),CHAR(10)),5)),""))</f>
        <v/>
      </c>
      <c r="V191" s="28" t="str">
        <f t="shared" si="20"/>
        <v/>
      </c>
      <c r="W191" s="27" t="str" cm="1">
        <f t="array" ref="W191">IF(A191="","",IFERROR(TRIM(INDEX(_xlfn.TEXTSPLIT(IFERROR(VLOOKUP(A191,'Production Schedule'!$B:$FU,150,FALSE),""),CHAR(10)),6)),""))</f>
        <v/>
      </c>
      <c r="X191" s="28" t="str">
        <f t="shared" si="21"/>
        <v/>
      </c>
      <c r="Y191" s="30">
        <f t="shared" si="22"/>
        <v>45880</v>
      </c>
      <c r="Z191" s="31" t="str">
        <f>IF(A191="","",IF(IFERROR(VLOOKUP(A191,Notes!A:B,2,FALSE),"")=0,"",VLOOKUP(A191,Notes!A:B,2,FALSE)))</f>
        <v>04/16/2026…RTS Titans</v>
      </c>
      <c r="AA191" s="18">
        <f t="shared" si="23"/>
        <v>2</v>
      </c>
    </row>
    <row r="192" spans="1:27" x14ac:dyDescent="0.25">
      <c r="A192" s="20" t="str">
        <v>24051-RP11</v>
      </c>
      <c r="B192" s="20" t="str">
        <f>IF(A192="","",IFERROR(VLOOKUP(A192,'Production Schedule'!$B:$FU,3,FALSE),""))</f>
        <v>TN Titans Stadium</v>
      </c>
      <c r="C192" s="20" t="str">
        <f>IF(A192="","",IFERROR(VLOOKUP(A192,'Production Schedule'!$B:$FU,5,FALSE),""))</f>
        <v>Marc Ribar</v>
      </c>
      <c r="D192" s="20">
        <f>IF(A192="","",IFERROR(VLOOKUP(A192,'Production Schedule'!$B:$FU,7,FALSE),""))</f>
        <v>0</v>
      </c>
      <c r="E192" s="20">
        <f>IF(A192="","",IFERROR(VLOOKUP(A192,'Production Schedule'!$B:$FU,17,FALSE),""))</f>
        <v>1</v>
      </c>
      <c r="F192" s="20">
        <f>IF(A192="","",IFERROR(VLOOKUP(A192,'Production Schedule'!$B:$FU,18,FALSE),""))</f>
        <v>1</v>
      </c>
      <c r="G192" s="20" t="str">
        <f>IF(A192="","",IFERROR(VLOOKUP(A192,'Production Schedule'!$B:$FU,25,FALSE),""))</f>
        <v>FR ACM</v>
      </c>
      <c r="H192" s="21">
        <f>IF(A192="","",IFERROR(VLOOKUP(A192,'Production Schedule'!$B:$FU,47,FALSE),""))</f>
        <v>45874.264194467592</v>
      </c>
      <c r="I192" s="21">
        <f>IF(A192="","",IFERROR(VLOOKUP(A192,'Production Schedule'!$B:$FU,54,FALSE),""))</f>
        <v>45883</v>
      </c>
      <c r="J192" s="32">
        <f>IF(A192="","",IFERROR(VLOOKUP(A192,'Production Schedule'!$B:$FU,135,FALSE),""))</f>
        <v>0</v>
      </c>
      <c r="K192" s="20" t="str">
        <f>IF(A192="","",IFERROR(VLOOKUP(A192,'Production Schedule'!$B:$FU,59,FALSE),""))</f>
        <v>YES</v>
      </c>
      <c r="L192" s="39" t="str">
        <f>IF(A192="","",IFERROR(VLOOKUP(A192,'Production Schedule'!$B:$FU,80,FALSE),""))</f>
        <v>RTS Titans</v>
      </c>
      <c r="M192" s="33" t="str" cm="1">
        <f t="array" ref="M192">IF(A192="","",IFERROR(TRIM(INDEX(_xlfn.TEXTSPLIT(IFERROR(VLOOKUP(A192,'Production Schedule'!$B:$FU,150,FALSE),""),CHAR(10)),1)),""))</f>
        <v>AXYZ Titans Line</v>
      </c>
      <c r="N192" s="34">
        <f t="shared" si="16"/>
        <v>45859</v>
      </c>
      <c r="O192" s="33" t="str" cm="1">
        <f t="array" ref="O192">IF(A192="","",IFERROR(TRIM(INDEX(_xlfn.TEXTSPLIT(IFERROR(VLOOKUP(A192,'Production Schedule'!$B:$FU,150,FALSE),""),CHAR(10)),2)),""))</f>
        <v>Clean and Brake</v>
      </c>
      <c r="P192" s="34">
        <f t="shared" si="17"/>
        <v>45860</v>
      </c>
      <c r="Q192" s="33" t="str" cm="1">
        <f t="array" ref="Q192">IF(A192="","",IFERROR(TRIM(INDEX(_xlfn.TEXTSPLIT(IFERROR(VLOOKUP(A192,'Production Schedule'!$B:$FU,150,FALSE),""),CHAR(10)),3)),""))</f>
        <v>Fab</v>
      </c>
      <c r="R192" s="34">
        <f t="shared" si="18"/>
        <v>45870</v>
      </c>
      <c r="S192" s="33" t="str" cm="1">
        <f t="array" ref="S192">IF(A192="","",IFERROR(TRIM(INDEX(_xlfn.TEXTSPLIT(IFERROR(VLOOKUP(A192,'Production Schedule'!$B:$FU,150,FALSE),""),CHAR(10)),4)),""))</f>
        <v/>
      </c>
      <c r="T192" s="34" t="str">
        <f t="shared" si="19"/>
        <v/>
      </c>
      <c r="U192" s="33" t="str" cm="1">
        <f t="array" ref="U192">IF(A192="","",IFERROR(TRIM(INDEX(_xlfn.TEXTSPLIT(IFERROR(VLOOKUP(A192,'Production Schedule'!$B:$FU,150,FALSE),""),CHAR(10)),5)),""))</f>
        <v/>
      </c>
      <c r="V192" s="34" t="str">
        <f t="shared" si="20"/>
        <v/>
      </c>
      <c r="W192" s="33" t="str" cm="1">
        <f t="array" ref="W192">IF(A192="","",IFERROR(TRIM(INDEX(_xlfn.TEXTSPLIT(IFERROR(VLOOKUP(A192,'Production Schedule'!$B:$FU,150,FALSE),""),CHAR(10)),6)),""))</f>
        <v/>
      </c>
      <c r="X192" s="34" t="str">
        <f t="shared" si="21"/>
        <v/>
      </c>
      <c r="Y192" s="36">
        <f t="shared" si="22"/>
        <v>45881</v>
      </c>
      <c r="Z192" s="37" t="str">
        <f>IF(A192="","",IF(IFERROR(VLOOKUP(A192,Notes!A:B,2,FALSE),"")=0,"",VLOOKUP(A192,Notes!A:B,2,FALSE)))</f>
        <v>04/16/2026…RTS Titans</v>
      </c>
      <c r="AA192" s="20">
        <f t="shared" si="23"/>
        <v>2</v>
      </c>
    </row>
    <row r="193" spans="1:27" x14ac:dyDescent="0.25">
      <c r="A193" s="18" t="str">
        <v>24051-FS44</v>
      </c>
      <c r="B193" s="18" t="str">
        <f>IF(A193="","",IFERROR(VLOOKUP(A193,'Production Schedule'!$B:$FU,3,FALSE),""))</f>
        <v>TN Titans Stadium</v>
      </c>
      <c r="C193" s="18" t="str">
        <f>IF(A193="","",IFERROR(VLOOKUP(A193,'Production Schedule'!$B:$FU,5,FALSE),""))</f>
        <v>Marc Ribar</v>
      </c>
      <c r="D193" s="18">
        <f>IF(A193="","",IFERROR(VLOOKUP(A193,'Production Schedule'!$B:$FU,7,FALSE),""))</f>
        <v>400</v>
      </c>
      <c r="E193" s="18">
        <f>IF(A193="","",IFERROR(VLOOKUP(A193,'Production Schedule'!$B:$FU,17,FALSE),""))</f>
        <v>120</v>
      </c>
      <c r="F193" s="18">
        <f>IF(A193="","",IFERROR(VLOOKUP(A193,'Production Schedule'!$B:$FU,18,FALSE),""))</f>
        <v>120</v>
      </c>
      <c r="G193" s="18" t="str">
        <f>IF(A193="","",IFERROR(VLOOKUP(A193,'Production Schedule'!$B:$FU,25,FALSE),""))</f>
        <v>FR ACM</v>
      </c>
      <c r="H193" s="19">
        <f>IF(A193="","",IFERROR(VLOOKUP(A193,'Production Schedule'!$B:$FU,47,FALSE),""))</f>
        <v>45818.684520601855</v>
      </c>
      <c r="I193" s="19">
        <f>IF(A193="","",IFERROR(VLOOKUP(A193,'Production Schedule'!$B:$FU,54,FALSE),""))</f>
        <v>45887</v>
      </c>
      <c r="J193" s="26">
        <f>IF(A193="","",IFERROR(VLOOKUP(A193,'Production Schedule'!$B:$FU,135,FALSE),""))</f>
        <v>200</v>
      </c>
      <c r="K193" s="18" t="str">
        <f>IF(A193="","",IFERROR(VLOOKUP(A193,'Production Schedule'!$B:$FU,59,FALSE),""))</f>
        <v>YES</v>
      </c>
      <c r="L193" s="38" t="str">
        <f>IF(A193="","",IFERROR(VLOOKUP(A193,'Production Schedule'!$B:$FU,80,FALSE),""))</f>
        <v>RTS Titans</v>
      </c>
      <c r="M193" s="27" t="str" cm="1">
        <f t="array" ref="M193">IF(A193="","",IFERROR(TRIM(INDEX(_xlfn.TEXTSPLIT(IFERROR(VLOOKUP(A193,'Production Schedule'!$B:$FU,150,FALSE),""),CHAR(10)),1)),""))</f>
        <v>AXYZ Titans Line</v>
      </c>
      <c r="N193" s="28">
        <f t="shared" si="16"/>
        <v>45860</v>
      </c>
      <c r="O193" s="27" t="str" cm="1">
        <f t="array" ref="O193">IF(A193="","",IFERROR(TRIM(INDEX(_xlfn.TEXTSPLIT(IFERROR(VLOOKUP(A193,'Production Schedule'!$B:$FU,150,FALSE),""),CHAR(10)),2)),""))</f>
        <v>Clean and Brake</v>
      </c>
      <c r="P193" s="28">
        <f t="shared" si="17"/>
        <v>45863</v>
      </c>
      <c r="Q193" s="27" t="str" cm="1">
        <f t="array" ref="Q193">IF(A193="","",IFERROR(TRIM(INDEX(_xlfn.TEXTSPLIT(IFERROR(VLOOKUP(A193,'Production Schedule'!$B:$FU,150,FALSE),""),CHAR(10)),3)),""))</f>
        <v>Fab</v>
      </c>
      <c r="R193" s="28">
        <f t="shared" si="18"/>
        <v>45874</v>
      </c>
      <c r="S193" s="27" t="str" cm="1">
        <f t="array" ref="S193">IF(A193="","",IFERROR(TRIM(INDEX(_xlfn.TEXTSPLIT(IFERROR(VLOOKUP(A193,'Production Schedule'!$B:$FU,150,FALSE),""),CHAR(10)),4)),""))</f>
        <v/>
      </c>
      <c r="T193" s="28" t="str">
        <f t="shared" si="19"/>
        <v/>
      </c>
      <c r="U193" s="27" t="str" cm="1">
        <f t="array" ref="U193">IF(A193="","",IFERROR(TRIM(INDEX(_xlfn.TEXTSPLIT(IFERROR(VLOOKUP(A193,'Production Schedule'!$B:$FU,150,FALSE),""),CHAR(10)),5)),""))</f>
        <v/>
      </c>
      <c r="V193" s="28" t="str">
        <f t="shared" si="20"/>
        <v/>
      </c>
      <c r="W193" s="27" t="str" cm="1">
        <f t="array" ref="W193">IF(A193="","",IFERROR(TRIM(INDEX(_xlfn.TEXTSPLIT(IFERROR(VLOOKUP(A193,'Production Schedule'!$B:$FU,150,FALSE),""),CHAR(10)),6)),""))</f>
        <v/>
      </c>
      <c r="X193" s="28" t="str">
        <f t="shared" si="21"/>
        <v/>
      </c>
      <c r="Y193" s="30">
        <f t="shared" si="22"/>
        <v>45884</v>
      </c>
      <c r="Z193" s="31" t="str">
        <f>IF(A193="","",IF(IFERROR(VLOOKUP(A193,Notes!A:B,2,FALSE),"")=0,"",VLOOKUP(A193,Notes!A:B,2,FALSE)))</f>
        <v>04/16/2026…RTS Titans</v>
      </c>
      <c r="AA193" s="18">
        <f t="shared" si="23"/>
        <v>2</v>
      </c>
    </row>
    <row r="194" spans="1:27" x14ac:dyDescent="0.25">
      <c r="A194" s="20" t="str">
        <v>24051-RP16</v>
      </c>
      <c r="B194" s="20" t="str">
        <f>IF(A194="","",IFERROR(VLOOKUP(A194,'Production Schedule'!$B:$FU,3,FALSE),""))</f>
        <v>TN Titans Stadium</v>
      </c>
      <c r="C194" s="20" t="str">
        <f>IF(A194="","",IFERROR(VLOOKUP(A194,'Production Schedule'!$B:$FU,5,FALSE),""))</f>
        <v>Marc Ribar</v>
      </c>
      <c r="D194" s="20">
        <f>IF(A194="","",IFERROR(VLOOKUP(A194,'Production Schedule'!$B:$FU,7,FALSE),""))</f>
        <v>0</v>
      </c>
      <c r="E194" s="20">
        <f>IF(A194="","",IFERROR(VLOOKUP(A194,'Production Schedule'!$B:$FU,17,FALSE),""))</f>
        <v>5</v>
      </c>
      <c r="F194" s="20">
        <f>IF(A194="","",IFERROR(VLOOKUP(A194,'Production Schedule'!$B:$FU,18,FALSE),""))</f>
        <v>5</v>
      </c>
      <c r="G194" s="20">
        <f>IF(A194="","",IFERROR(VLOOKUP(A194,'Production Schedule'!$B:$FU,25,FALSE),""))</f>
        <v>0</v>
      </c>
      <c r="H194" s="21">
        <f>IF(A194="","",IFERROR(VLOOKUP(A194,'Production Schedule'!$B:$FU,47,FALSE),""))</f>
        <v>45881.299147604164</v>
      </c>
      <c r="I194" s="21">
        <f>IF(A194="","",IFERROR(VLOOKUP(A194,'Production Schedule'!$B:$FU,54,FALSE),""))</f>
        <v>45894</v>
      </c>
      <c r="J194" s="32">
        <f>IF(A194="","",IFERROR(VLOOKUP(A194,'Production Schedule'!$B:$FU,135,FALSE),""))</f>
        <v>0</v>
      </c>
      <c r="K194" s="20">
        <f>IF(A194="","",IFERROR(VLOOKUP(A194,'Production Schedule'!$B:$FU,59,FALSE),""))</f>
        <v>0</v>
      </c>
      <c r="L194" s="39" t="str">
        <f>IF(A194="","",IFERROR(VLOOKUP(A194,'Production Schedule'!$B:$FU,80,FALSE),""))</f>
        <v>RTS Titans</v>
      </c>
      <c r="M194" s="33" t="str" cm="1">
        <f t="array" ref="M194">IF(A194="","",IFERROR(TRIM(INDEX(_xlfn.TEXTSPLIT(IFERROR(VLOOKUP(A194,'Production Schedule'!$B:$FU,150,FALSE),""),CHAR(10)),1)),""))</f>
        <v>AXYZ Titans Line</v>
      </c>
      <c r="N194" s="34">
        <f t="shared" si="16"/>
        <v>45869</v>
      </c>
      <c r="O194" s="33" t="str" cm="1">
        <f t="array" ref="O194">IF(A194="","",IFERROR(TRIM(INDEX(_xlfn.TEXTSPLIT(IFERROR(VLOOKUP(A194,'Production Schedule'!$B:$FU,150,FALSE),""),CHAR(10)),2)),""))</f>
        <v>Clean and Brake</v>
      </c>
      <c r="P194" s="34">
        <f t="shared" si="17"/>
        <v>45870</v>
      </c>
      <c r="Q194" s="33" t="str" cm="1">
        <f t="array" ref="Q194">IF(A194="","",IFERROR(TRIM(INDEX(_xlfn.TEXTSPLIT(IFERROR(VLOOKUP(A194,'Production Schedule'!$B:$FU,150,FALSE),""),CHAR(10)),3)),""))</f>
        <v>Fab</v>
      </c>
      <c r="R194" s="34">
        <f t="shared" si="18"/>
        <v>45881</v>
      </c>
      <c r="S194" s="33" t="str" cm="1">
        <f t="array" ref="S194">IF(A194="","",IFERROR(TRIM(INDEX(_xlfn.TEXTSPLIT(IFERROR(VLOOKUP(A194,'Production Schedule'!$B:$FU,150,FALSE),""),CHAR(10)),4)),""))</f>
        <v/>
      </c>
      <c r="T194" s="34" t="str">
        <f t="shared" si="19"/>
        <v/>
      </c>
      <c r="U194" s="33" t="str" cm="1">
        <f t="array" ref="U194">IF(A194="","",IFERROR(TRIM(INDEX(_xlfn.TEXTSPLIT(IFERROR(VLOOKUP(A194,'Production Schedule'!$B:$FU,150,FALSE),""),CHAR(10)),5)),""))</f>
        <v/>
      </c>
      <c r="V194" s="34" t="str">
        <f t="shared" si="20"/>
        <v/>
      </c>
      <c r="W194" s="33" t="str" cm="1">
        <f t="array" ref="W194">IF(A194="","",IFERROR(TRIM(INDEX(_xlfn.TEXTSPLIT(IFERROR(VLOOKUP(A194,'Production Schedule'!$B:$FU,150,FALSE),""),CHAR(10)),6)),""))</f>
        <v/>
      </c>
      <c r="X194" s="34" t="str">
        <f t="shared" si="21"/>
        <v/>
      </c>
      <c r="Y194" s="36">
        <f t="shared" si="22"/>
        <v>45891</v>
      </c>
      <c r="Z194" s="37" t="str">
        <f>IF(A194="","",IF(IFERROR(VLOOKUP(A194,Notes!A:B,2,FALSE),"")=0,"",VLOOKUP(A194,Notes!A:B,2,FALSE)))</f>
        <v>04/16/2026…RTS Titans</v>
      </c>
      <c r="AA194" s="20">
        <f t="shared" si="23"/>
        <v>2</v>
      </c>
    </row>
    <row r="195" spans="1:27" x14ac:dyDescent="0.25">
      <c r="A195" s="18" t="str">
        <v>24048-RM02</v>
      </c>
      <c r="B195" s="18" t="str">
        <f>IF(A195="","",IFERROR(VLOOKUP(A195,'Production Schedule'!$B:$FU,3,FALSE),""))</f>
        <v>QTS NAL2 DC1</v>
      </c>
      <c r="C195" s="18" t="str">
        <f>IF(A195="","",IFERROR(VLOOKUP(A195,'Production Schedule'!$B:$FU,5,FALSE),""))</f>
        <v>Joe Hoyle</v>
      </c>
      <c r="D195" s="18">
        <f>IF(A195="","",IFERROR(VLOOKUP(A195,'Production Schedule'!$B:$FU,7,FALSE),""))</f>
        <v>400</v>
      </c>
      <c r="E195" s="18">
        <f>IF(A195="","",IFERROR(VLOOKUP(A195,'Production Schedule'!$B:$FU,17,FALSE),""))</f>
        <v>3</v>
      </c>
      <c r="F195" s="18">
        <f>IF(A195="","",IFERROR(VLOOKUP(A195,'Production Schedule'!$B:$FU,18,FALSE),""))</f>
        <v>3</v>
      </c>
      <c r="G195" s="18" t="str">
        <f>IF(A195="","",IFERROR(VLOOKUP(A195,'Production Schedule'!$B:$FU,25,FALSE),""))</f>
        <v>FR ACM</v>
      </c>
      <c r="H195" s="19">
        <f>IF(A195="","",IFERROR(VLOOKUP(A195,'Production Schedule'!$B:$FU,47,FALSE),""))</f>
        <v>45894.272664374999</v>
      </c>
      <c r="I195" s="19">
        <f>IF(A195="","",IFERROR(VLOOKUP(A195,'Production Schedule'!$B:$FU,54,FALSE),""))</f>
        <v>45897</v>
      </c>
      <c r="J195" s="26">
        <f>IF(A195="","",IFERROR(VLOOKUP(A195,'Production Schedule'!$B:$FU,135,FALSE),""))</f>
        <v>4</v>
      </c>
      <c r="K195" s="18" t="str">
        <f>IF(A195="","",IFERROR(VLOOKUP(A195,'Production Schedule'!$B:$FU,59,FALSE),""))</f>
        <v>YES</v>
      </c>
      <c r="L195" s="38" t="str">
        <f>IF(A195="","",IFERROR(VLOOKUP(A195,'Production Schedule'!$B:$FU,80,FALSE),""))</f>
        <v>Ready to Ship</v>
      </c>
      <c r="M195" s="27" t="str" cm="1">
        <f t="array" ref="M195">IF(A195="","",IFERROR(TRIM(INDEX(_xlfn.TEXTSPLIT(IFERROR(VLOOKUP(A195,'Production Schedule'!$B:$FU,150,FALSE),""),CHAR(10)),1)),""))</f>
        <v>AXYZ Titans Line</v>
      </c>
      <c r="N195" s="28">
        <f t="shared" si="16"/>
        <v>45873</v>
      </c>
      <c r="O195" s="27" t="str" cm="1">
        <f t="array" ref="O195">IF(A195="","",IFERROR(TRIM(INDEX(_xlfn.TEXTSPLIT(IFERROR(VLOOKUP(A195,'Production Schedule'!$B:$FU,150,FALSE),""),CHAR(10)),2)),""))</f>
        <v>Clean and Brake</v>
      </c>
      <c r="P195" s="28">
        <f t="shared" si="17"/>
        <v>45874</v>
      </c>
      <c r="Q195" s="27" t="str" cm="1">
        <f t="array" ref="Q195">IF(A195="","",IFERROR(TRIM(INDEX(_xlfn.TEXTSPLIT(IFERROR(VLOOKUP(A195,'Production Schedule'!$B:$FU,150,FALSE),""),CHAR(10)),3)),""))</f>
        <v>Fab</v>
      </c>
      <c r="R195" s="28">
        <f t="shared" si="18"/>
        <v>45884</v>
      </c>
      <c r="S195" s="27" t="str" cm="1">
        <f t="array" ref="S195">IF(A195="","",IFERROR(TRIM(INDEX(_xlfn.TEXTSPLIT(IFERROR(VLOOKUP(A195,'Production Schedule'!$B:$FU,150,FALSE),""),CHAR(10)),4)),""))</f>
        <v/>
      </c>
      <c r="T195" s="28" t="str">
        <f t="shared" si="19"/>
        <v/>
      </c>
      <c r="U195" s="27" t="str" cm="1">
        <f t="array" ref="U195">IF(A195="","",IFERROR(TRIM(INDEX(_xlfn.TEXTSPLIT(IFERROR(VLOOKUP(A195,'Production Schedule'!$B:$FU,150,FALSE),""),CHAR(10)),5)),""))</f>
        <v/>
      </c>
      <c r="V195" s="28" t="str">
        <f t="shared" si="20"/>
        <v/>
      </c>
      <c r="W195" s="27" t="str" cm="1">
        <f t="array" ref="W195">IF(A195="","",IFERROR(TRIM(INDEX(_xlfn.TEXTSPLIT(IFERROR(VLOOKUP(A195,'Production Schedule'!$B:$FU,150,FALSE),""),CHAR(10)),6)),""))</f>
        <v/>
      </c>
      <c r="X195" s="28" t="str">
        <f t="shared" si="21"/>
        <v/>
      </c>
      <c r="Y195" s="30">
        <f t="shared" si="22"/>
        <v>45895</v>
      </c>
      <c r="Z195" s="31" t="str">
        <f>IF(A195="","",IF(IFERROR(VLOOKUP(A195,Notes!A:B,2,FALSE),"")=0,"",VLOOKUP(A195,Notes!A:B,2,FALSE)))</f>
        <v>04/16/2026…Ready to Ship</v>
      </c>
      <c r="AA195" s="18">
        <f t="shared" si="23"/>
        <v>2</v>
      </c>
    </row>
    <row r="196" spans="1:27" x14ac:dyDescent="0.25">
      <c r="A196" s="20" t="str">
        <v>25016-BM201</v>
      </c>
      <c r="B196" s="20" t="str">
        <f>IF(A196="","",IFERROR(VLOOKUP(A196,'Production Schedule'!$B:$FU,3,FALSE),""))</f>
        <v>Rockdale CJAC</v>
      </c>
      <c r="C196" s="20" t="str">
        <f>IF(A196="","",IFERROR(VLOOKUP(A196,'Production Schedule'!$B:$FU,5,FALSE),""))</f>
        <v>Dillon Bowman</v>
      </c>
      <c r="D196" s="20" t="str">
        <f>IF(A196="","",IFERROR(VLOOKUP(A196,'Production Schedule'!$B:$FU,7,FALSE),""))</f>
        <v>CUSTOM ARCH</v>
      </c>
      <c r="E196" s="20">
        <f>IF(A196="","",IFERROR(VLOOKUP(A196,'Production Schedule'!$B:$FU,17,FALSE),""))</f>
        <v>12</v>
      </c>
      <c r="F196" s="20">
        <f>IF(A196="","",IFERROR(VLOOKUP(A196,'Production Schedule'!$B:$FU,18,FALSE),""))</f>
        <v>12</v>
      </c>
      <c r="G196" s="20" t="str">
        <f>IF(A196="","",IFERROR(VLOOKUP(A196,'Production Schedule'!$B:$FU,25,FALSE),""))</f>
        <v>Galv Sheet</v>
      </c>
      <c r="H196" s="21">
        <f>IF(A196="","",IFERROR(VLOOKUP(A196,'Production Schedule'!$B:$FU,47,FALSE),""))</f>
        <v>45890.372673414349</v>
      </c>
      <c r="I196" s="21">
        <f>IF(A196="","",IFERROR(VLOOKUP(A196,'Production Schedule'!$B:$FU,54,FALSE),""))</f>
        <v>45908</v>
      </c>
      <c r="J196" s="32">
        <f>IF(A196="","",IFERROR(VLOOKUP(A196,'Production Schedule'!$B:$FU,135,FALSE),""))</f>
        <v>2</v>
      </c>
      <c r="K196" s="20" t="str">
        <f>IF(A196="","",IFERROR(VLOOKUP(A196,'Production Schedule'!$B:$FU,59,FALSE),""))</f>
        <v>YES</v>
      </c>
      <c r="L196" s="39" t="str">
        <f>IF(A196="","",IFERROR(VLOOKUP(A196,'Production Schedule'!$B:$FU,80,FALSE),""))</f>
        <v>Ready to Ship</v>
      </c>
      <c r="M196" s="33" t="str" cm="1">
        <f t="array" ref="M196">IF(A196="","",IFERROR(TRIM(INDEX(_xlfn.TEXTSPLIT(IFERROR(VLOOKUP(A196,'Production Schedule'!$B:$FU,150,FALSE),""),CHAR(10)),1)),""))</f>
        <v>Cidan</v>
      </c>
      <c r="N196" s="34">
        <f t="shared" si="16"/>
        <v>45882</v>
      </c>
      <c r="O196" s="33" t="str" cm="1">
        <f t="array" ref="O196">IF(A196="","",IFERROR(TRIM(INDEX(_xlfn.TEXTSPLIT(IFERROR(VLOOKUP(A196,'Production Schedule'!$B:$FU,150,FALSE),""),CHAR(10)),2)),""))</f>
        <v>Shear</v>
      </c>
      <c r="P196" s="34">
        <f t="shared" si="17"/>
        <v>45894</v>
      </c>
      <c r="Q196" s="33" t="str" cm="1">
        <f t="array" ref="Q196">IF(A196="","",IFERROR(TRIM(INDEX(_xlfn.TEXTSPLIT(IFERROR(VLOOKUP(A196,'Production Schedule'!$B:$FU,150,FALSE),""),CHAR(10)),3)),""))</f>
        <v/>
      </c>
      <c r="R196" s="34" t="str">
        <f t="shared" si="18"/>
        <v/>
      </c>
      <c r="S196" s="33" t="str" cm="1">
        <f t="array" ref="S196">IF(A196="","",IFERROR(TRIM(INDEX(_xlfn.TEXTSPLIT(IFERROR(VLOOKUP(A196,'Production Schedule'!$B:$FU,150,FALSE),""),CHAR(10)),4)),""))</f>
        <v/>
      </c>
      <c r="T196" s="34" t="str">
        <f t="shared" si="19"/>
        <v/>
      </c>
      <c r="U196" s="33" t="str" cm="1">
        <f t="array" ref="U196">IF(A196="","",IFERROR(TRIM(INDEX(_xlfn.TEXTSPLIT(IFERROR(VLOOKUP(A196,'Production Schedule'!$B:$FU,150,FALSE),""),CHAR(10)),5)),""))</f>
        <v/>
      </c>
      <c r="V196" s="34" t="str">
        <f t="shared" si="20"/>
        <v/>
      </c>
      <c r="W196" s="33" t="str" cm="1">
        <f t="array" ref="W196">IF(A196="","",IFERROR(TRIM(INDEX(_xlfn.TEXTSPLIT(IFERROR(VLOOKUP(A196,'Production Schedule'!$B:$FU,150,FALSE),""),CHAR(10)),6)),""))</f>
        <v/>
      </c>
      <c r="X196" s="34" t="str">
        <f t="shared" si="21"/>
        <v/>
      </c>
      <c r="Y196" s="36">
        <f t="shared" si="22"/>
        <v>45905</v>
      </c>
      <c r="Z196" s="37" t="str">
        <f>IF(A196="","",IF(IFERROR(VLOOKUP(A196,Notes!A:B,2,FALSE),"")=0,"",VLOOKUP(A196,Notes!A:B,2,FALSE)))</f>
        <v>04/16/2026…Ready to Ship</v>
      </c>
      <c r="AA196" s="20">
        <f t="shared" si="23"/>
        <v>2</v>
      </c>
    </row>
    <row r="197" spans="1:27" x14ac:dyDescent="0.25">
      <c r="A197" s="18" t="str">
        <v>25016-FL200</v>
      </c>
      <c r="B197" s="18" t="str">
        <f>IF(A197="","",IFERROR(VLOOKUP(A197,'Production Schedule'!$B:$FU,3,FALSE),""))</f>
        <v>Rockdale CJAC</v>
      </c>
      <c r="C197" s="18" t="str">
        <f>IF(A197="","",IFERROR(VLOOKUP(A197,'Production Schedule'!$B:$FU,5,FALSE),""))</f>
        <v>Dillon Bowman</v>
      </c>
      <c r="D197" s="18" t="str">
        <f>IF(A197="","",IFERROR(VLOOKUP(A197,'Production Schedule'!$B:$FU,7,FALSE),""))</f>
        <v>CUSTOM ARCH</v>
      </c>
      <c r="E197" s="18">
        <f>IF(A197="","",IFERROR(VLOOKUP(A197,'Production Schedule'!$B:$FU,17,FALSE),""))</f>
        <v>8</v>
      </c>
      <c r="F197" s="18">
        <f>IF(A197="","",IFERROR(VLOOKUP(A197,'Production Schedule'!$B:$FU,18,FALSE),""))</f>
        <v>8</v>
      </c>
      <c r="G197" s="18" t="str">
        <f>IF(A197="","",IFERROR(VLOOKUP(A197,'Production Schedule'!$B:$FU,25,FALSE),""))</f>
        <v>Alum Sheet</v>
      </c>
      <c r="H197" s="19">
        <f>IF(A197="","",IFERROR(VLOOKUP(A197,'Production Schedule'!$B:$FU,47,FALSE),""))</f>
        <v>45890.372402106485</v>
      </c>
      <c r="I197" s="19">
        <f>IF(A197="","",IFERROR(VLOOKUP(A197,'Production Schedule'!$B:$FU,54,FALSE),""))</f>
        <v>45908</v>
      </c>
      <c r="J197" s="26">
        <f>IF(A197="","",IFERROR(VLOOKUP(A197,'Production Schedule'!$B:$FU,135,FALSE),""))</f>
        <v>4</v>
      </c>
      <c r="K197" s="18" t="str">
        <f>IF(A197="","",IFERROR(VLOOKUP(A197,'Production Schedule'!$B:$FU,59,FALSE),""))</f>
        <v>YES</v>
      </c>
      <c r="L197" s="38" t="str">
        <f>IF(A197="","",IFERROR(VLOOKUP(A197,'Production Schedule'!$B:$FU,80,FALSE),""))</f>
        <v>Ready to Ship</v>
      </c>
      <c r="M197" s="27" t="str" cm="1">
        <f t="array" ref="M197">IF(A197="","",IFERROR(TRIM(INDEX(_xlfn.TEXTSPLIT(IFERROR(VLOOKUP(A197,'Production Schedule'!$B:$FU,150,FALSE),""),CHAR(10)),1)),""))</f>
        <v>Cidan</v>
      </c>
      <c r="N197" s="28">
        <f t="shared" ref="N197:N260" si="24">IF(AND(M197&lt;&gt;"",I197&lt;&gt;""),_xlfn.LET(_xlpm.hM,IF(OR(M197="AXYZ Titans Line",M197="AXYZ"),ROUND(E197/7,1),IF(OR(M197="Clean and Brake",M197="Clean and brake"),72,IF(OR(M197="Fab",M197="Fabrication"),72,IF(M197="Assembly",72,IF(M197="Tube Laser",72,IF(M197="7000 TruMatic",72,IF(M197="TruLaser 3040",72,IF(M197="Extrusion Saw",72,IF(M197="Powder Coat",192,IF(M197="Brake",72,IF(M197="Cidan",80,IF(M197="Shear",80,IF(M197="Weld",80,IF(M197="Flat Laser",24,IF(M197="Post Paint",24,IF(M197="TruPunch",24,IF(M197="Roller",72,0))))))))))))))))),_xlpm.hO,IF(OR(O197="AXYZ Titans Line",O197="AXYZ"),ROUND(E197/7,1),IF(OR(O197="Clean and Brake",O197="Clean and brake"),72,IF(OR(O197="Fab",O197="Fabrication"),72,IF(O197="Assembly",72,IF(O197="Tube Laser",72,IF(O197="7000 TruMatic",72,IF(O197="TruLaser 3040",72,IF(O197="Extrusion Saw",72,IF(O197="Powder Coat",192,IF(O197="Brake",72,IF(O197="Cidan",80,IF(O197="Shear",80,IF(O197="Weld",80,IF(O197="Flat Laser",24,IF(O197="Post Paint",24,IF(O197="TruPunch",24,IF(O197="Roller",72,0))))))))))))))))),_xlpm.hQ,IF(OR(Q197="AXYZ Titans Line",Q197="AXYZ"),ROUND(E197/7,1),IF(OR(Q197="Clean and Brake",Q197="Clean and brake"),72,IF(OR(Q197="Fab",Q197="Fabrication"),72,IF(Q197="Assembly",72,IF(Q197="Tube Laser",72,IF(Q197="7000 TruMatic",72,IF(Q197="TruLaser 3040",72,IF(Q197="Extrusion Saw",72,IF(Q197="Powder Coat",192,IF(Q197="Brake",72,IF(Q197="Cidan",80,IF(Q197="Shear",80,IF(Q197="Weld",80,IF(Q197="Flat Laser",24,IF(Q197="Post Paint",24,IF(Q197="TruPunch",24,IF(Q197="Roller",72,0))))))))))))))))),_xlpm.hS,IF(OR(S197="AXYZ Titans Line",S197="AXYZ"),ROUND(E197/7,1),IF(OR(S197="Clean and Brake",S197="Clean and brake"),72,IF(OR(S197="Fab",S197="Fabrication"),72,IF(S197="Assembly",72,IF(S197="Tube Laser",72,IF(S197="7000 TruMatic",72,IF(S197="TruLaser 3040",72,IF(S197="Extrusion Saw",72,IF(S197="Powder Coat",192,IF(S197="Brake",72,IF(S197="Cidan",80,IF(S197="Shear",80,IF(S197="Weld",80,IF(S197="Flat Laser",24,IF(S197="Post Paint",24,IF(S197="TruPunch",24,IF(S197="Roller",72,0))))))))))))))))),_xlpm.hU,IF(OR(U197="AXYZ Titans Line",U197="AXYZ"),ROUND(E197/7,1),IF(OR(U197="Clean and Brake",U197="Clean and brake"),72,IF(OR(U197="Fab",U197="Fabrication"),72,IF(U197="Assembly",72,IF(U197="Tube Laser",72,IF(U197="7000 TruMatic",72,IF(U197="TruLaser 3040",72,IF(U197="Extrusion Saw",72,IF(U197="Powder Coat",192,IF(U197="Brake",72,IF(U197="Cidan",80,IF(U197="Shear",80,IF(U197="Weld",80,IF(U197="Flat Laser",24,IF(U197="Post Paint",24,IF(U197="TruPunch",24,IF(U197="Roller",72,0))))))))))))))))),_xlpm.hW,IF(OR(W197="AXYZ Titans Line",W197="AXYZ"),ROUND(E197/7,1),IF(OR(W197="Clean and Brake",W197="Clean and brake"),72,IF(OR(W197="Fab",W197="Fabrication"),72,IF(W197="Assembly",72,IF(W197="Tube Laser",72,IF(W197="7000 TruMatic",72,IF(W197="TruLaser 3040",72,IF(W197="Extrusion Saw",72,IF(W197="Powder Coat",192,IF(W197="Brake",72,IF(W197="Cidan",80,IF(W197="Shear",80,IF(W197="Weld",80,IF(W197="Flat Laser",24,IF(W197="Post Paint",24,IF(W197="TruPunch",24,IF(W197="Roller",72,0))))))))))))))))),_xlpm.total,_xlpm.hM+_xlpm.hO+_xlpm.hQ+_xlpm.hS+_xlpm.hU+_xlpm.hW+16,WORKDAY.INTL(I197,-ROUNDUP(_xlpm.total/8,0),"0000001")),"")</f>
        <v>45882</v>
      </c>
      <c r="O197" s="27" t="str" cm="1">
        <f t="array" ref="O197">IF(A197="","",IFERROR(TRIM(INDEX(_xlfn.TEXTSPLIT(IFERROR(VLOOKUP(A197,'Production Schedule'!$B:$FU,150,FALSE),""),CHAR(10)),2)),""))</f>
        <v>Shear</v>
      </c>
      <c r="P197" s="28">
        <f t="shared" ref="P197:P260" si="25">IF(AND(O197&lt;&gt;"",I197&lt;&gt;""),_xlfn.LET(_xlpm.hO,IF(OR(O197="AXYZ Titans Line",O197="AXYZ"),ROUND(E197/7,1),IF(OR(O197="Clean and Brake",O197="Clean and brake"),72,IF(OR(O197="Fab",O197="Fabrication"),72,IF(O197="Assembly",72,IF(O197="Tube Laser",72,IF(O197="7000 TruMatic",72,IF(O197="TruLaser 3040",72,IF(O197="Extrusion Saw",72,IF(O197="Powder Coat",192,IF(O197="Brake",72,IF(O197="Cidan",80,IF(O197="Shear",80,IF(O197="Weld",80,IF(O197="Flat Laser",24,IF(O197="Post Paint",24,IF(O197="TruPunch",24,IF(O197="Roller",72,0))))))))))))))))),_xlpm.hQ,IF(OR(Q197="AXYZ Titans Line",Q197="AXYZ"),ROUND(E197/7,1),IF(OR(Q197="Clean and Brake",Q197="Clean and brake"),72,IF(OR(Q197="Fab",Q197="Fabrication"),72,IF(Q197="Assembly",72,IF(Q197="Tube Laser",72,IF(Q197="7000 TruMatic",72,IF(Q197="TruLaser 3040",72,IF(Q197="Extrusion Saw",72,IF(Q197="Powder Coat",192,IF(Q197="Brake",72,IF(Q197="Cidan",80,IF(Q197="Shear",80,IF(Q197="Weld",80,IF(Q197="Flat Laser",24,IF(Q197="Post Paint",24,IF(Q197="TruPunch",24,IF(Q197="Roller",72,0))))))))))))))))),_xlpm.hS,IF(OR(S197="AXYZ Titans Line",S197="AXYZ"),ROUND(E197/7,1),IF(OR(S197="Clean and Brake",S197="Clean and brake"),72,IF(OR(S197="Fab",S197="Fabrication"),72,IF(S197="Assembly",72,IF(S197="Tube Laser",72,IF(S197="7000 TruMatic",72,IF(S197="TruLaser 3040",72,IF(S197="Extrusion Saw",72,IF(S197="Powder Coat",192,IF(S197="Brake",72,IF(S197="Cidan",80,IF(S197="Shear",80,IF(S197="Weld",80,IF(S197="Flat Laser",24,IF(S197="Post Paint",24,IF(S197="TruPunch",24,IF(S197="Roller",72,0))))))))))))))))),_xlpm.hU,IF(OR(U197="AXYZ Titans Line",U197="AXYZ"),ROUND(E197/7,1),IF(OR(U197="Clean and Brake",U197="Clean and brake"),72,IF(OR(U197="Fab",U197="Fabrication"),72,IF(U197="Assembly",72,IF(U197="Tube Laser",72,IF(U197="7000 TruMatic",72,IF(U197="TruLaser 3040",72,IF(U197="Extrusion Saw",72,IF(U197="Powder Coat",192,IF(U197="Brake",72,IF(U197="Cidan",80,IF(U197="Shear",80,IF(U197="Weld",80,IF(U197="Flat Laser",24,IF(U197="Post Paint",24,IF(U197="TruPunch",24,IF(U197="Roller",72,0))))))))))))))))),_xlpm.hW,IF(OR(W197="AXYZ Titans Line",W197="AXYZ"),ROUND(E197/7,1),IF(OR(W197="Clean and Brake",W197="Clean and brake"),72,IF(OR(W197="Fab",W197="Fabrication"),72,IF(W197="Assembly",72,IF(W197="Tube Laser",72,IF(W197="7000 TruMatic",72,IF(W197="TruLaser 3040",72,IF(W197="Extrusion Saw",72,IF(W197="Powder Coat",192,IF(W197="Brake",72,IF(W197="Cidan",80,IF(W197="Shear",80,IF(W197="Weld",80,IF(W197="Flat Laser",24,IF(W197="Post Paint",24,IF(W197="TruPunch",24,IF(W197="Roller",72,0))))))))))))))))),_xlpm.total,_xlpm.hO+_xlpm.hQ+_xlpm.hS+_xlpm.hU+_xlpm.hW+16,WORKDAY.INTL(I197,-ROUNDUP(_xlpm.total/8,0),"0000001")),"")</f>
        <v>45894</v>
      </c>
      <c r="Q197" s="27" t="str" cm="1">
        <f t="array" ref="Q197">IF(A197="","",IFERROR(TRIM(INDEX(_xlfn.TEXTSPLIT(IFERROR(VLOOKUP(A197,'Production Schedule'!$B:$FU,150,FALSE),""),CHAR(10)),3)),""))</f>
        <v/>
      </c>
      <c r="R197" s="28" t="str">
        <f t="shared" ref="R197:R260" si="26">IF(AND(Q197&lt;&gt;"",I197&lt;&gt;""),_xlfn.LET(_xlpm.hQ,IF(OR(Q197="AXYZ Titans Line",Q197="AXYZ"),ROUND(E197/7,1),IF(OR(Q197="Clean and Brake",Q197="Clean and brake"),72,IF(OR(Q197="Fab",Q197="Fabrication"),72,IF(Q197="Assembly",72,IF(Q197="Tube Laser",72,IF(Q197="7000 TruMatic",72,IF(Q197="TruLaser 3040",72,IF(Q197="Extrusion Saw",72,IF(Q197="Powder Coat",192,IF(Q197="Brake",72,IF(Q197="Cidan",80,IF(Q197="Shear",80,IF(Q197="Weld",80,IF(Q197="Flat Laser",24,IF(Q197="Post Paint",24,IF(Q197="TruPunch",24,IF(Q197="Roller",72,0))))))))))))))))),_xlpm.hS,IF(OR(S197="AXYZ Titans Line",S197="AXYZ"),ROUND(E197/7,1),IF(OR(S197="Clean and Brake",S197="Clean and brake"),72,IF(OR(S197="Fab",S197="Fabrication"),72,IF(S197="Assembly",72,IF(S197="Tube Laser",72,IF(S197="7000 TruMatic",72,IF(S197="TruLaser 3040",72,IF(S197="Extrusion Saw",72,IF(S197="Powder Coat",192,IF(S197="Brake",72,IF(S197="Cidan",80,IF(S197="Shear",80,IF(S197="Weld",80,IF(S197="Flat Laser",24,IF(S197="Post Paint",24,IF(S197="TruPunch",24,IF(S197="Roller",72,0))))))))))))))))),_xlpm.hU,IF(OR(U197="AXYZ Titans Line",U197="AXYZ"),ROUND(E197/7,1),IF(OR(U197="Clean and Brake",U197="Clean and brake"),72,IF(OR(U197="Fab",U197="Fabrication"),72,IF(U197="Assembly",72,IF(U197="Tube Laser",72,IF(U197="7000 TruMatic",72,IF(U197="TruLaser 3040",72,IF(U197="Extrusion Saw",72,IF(U197="Powder Coat",192,IF(U197="Brake",72,IF(U197="Cidan",80,IF(U197="Shear",80,IF(U197="Weld",80,IF(U197="Flat Laser",24,IF(U197="Post Paint",24,IF(U197="TruPunch",24,IF(U197="Roller",72,0))))))))))))))))),_xlpm.hW,IF(OR(W197="AXYZ Titans Line",W197="AXYZ"),ROUND(E197/7,1),IF(OR(W197="Clean and Brake",W197="Clean and brake"),72,IF(OR(W197="Fab",W197="Fabrication"),72,IF(W197="Assembly",72,IF(W197="Tube Laser",72,IF(W197="7000 TruMatic",72,IF(W197="TruLaser 3040",72,IF(W197="Extrusion Saw",72,IF(W197="Powder Coat",192,IF(W197="Brake",72,IF(W197="Cidan",80,IF(W197="Shear",80,IF(W197="Weld",80,IF(W197="Flat Laser",24,IF(W197="Post Paint",24,IF(W197="TruPunch",24,IF(W197="Roller",72,0))))))))))))))))),_xlpm.total,_xlpm.hQ+_xlpm.hS+_xlpm.hU+_xlpm.hW+16,WORKDAY.INTL(I197,-ROUNDUP(_xlpm.total/8,0),"0000001")),"")</f>
        <v/>
      </c>
      <c r="S197" s="27" t="str" cm="1">
        <f t="array" ref="S197">IF(A197="","",IFERROR(TRIM(INDEX(_xlfn.TEXTSPLIT(IFERROR(VLOOKUP(A197,'Production Schedule'!$B:$FU,150,FALSE),""),CHAR(10)),4)),""))</f>
        <v/>
      </c>
      <c r="T197" s="28" t="str">
        <f t="shared" ref="T197:T260" si="27">IF(AND(S197&lt;&gt;"",I197&lt;&gt;""),_xlfn.LET(_xlpm.hS,IF(OR(S197="AXYZ Titans Line",S197="AXYZ"),ROUND(E197/7,1),IF(OR(S197="Clean and Brake",S197="Clean and brake"),72,IF(OR(S197="Fab",S197="Fabrication"),72,IF(S197="Assembly",72,IF(S197="Tube Laser",72,IF(S197="7000 TruMatic",72,IF(S197="TruLaser 3040",72,IF(S197="Extrusion Saw",72,IF(S197="Powder Coat",192,IF(S197="Brake",72,IF(S197="Cidan",80,IF(S197="Shear",80,IF(S197="Weld",80,IF(S197="Flat Laser",24,IF(S197="Post Paint",24,IF(S197="TruPunch",24,IF(S197="Roller",72,0))))))))))))))))),_xlpm.hU,IF(OR(U197="AXYZ Titans Line",U197="AXYZ"),ROUND(E197/7,1),IF(OR(U197="Clean and Brake",U197="Clean and brake"),72,IF(OR(U197="Fab",U197="Fabrication"),72,IF(U197="Assembly",72,IF(U197="Tube Laser",72,IF(U197="7000 TruMatic",72,IF(U197="TruLaser 3040",72,IF(U197="Extrusion Saw",72,IF(U197="Powder Coat",192,IF(U197="Brake",72,IF(U197="Cidan",80,IF(U197="Shear",80,IF(U197="Weld",80,IF(U197="Flat Laser",24,IF(U197="Post Paint",24,IF(U197="TruPunch",24,IF(U197="Roller",72,0))))))))))))))))),_xlpm.hW,IF(OR(W197="AXYZ Titans Line",W197="AXYZ"),ROUND(E197/7,1),IF(OR(W197="Clean and Brake",W197="Clean and brake"),72,IF(OR(W197="Fab",W197="Fabrication"),72,IF(W197="Assembly",72,IF(W197="Tube Laser",72,IF(W197="7000 TruMatic",72,IF(W197="TruLaser 3040",72,IF(W197="Extrusion Saw",72,IF(W197="Powder Coat",192,IF(W197="Brake",72,IF(W197="Cidan",80,IF(W197="Shear",80,IF(W197="Weld",80,IF(W197="Flat Laser",24,IF(W197="Post Paint",24,IF(W197="TruPunch",24,IF(W197="Roller",72,0))))))))))))))))),_xlpm.total,_xlpm.hS+_xlpm.hU+_xlpm.hW+16,WORKDAY.INTL(I197,-ROUNDUP(_xlpm.total/8,0),"0000001")),"")</f>
        <v/>
      </c>
      <c r="U197" s="27" t="str" cm="1">
        <f t="array" ref="U197">IF(A197="","",IFERROR(TRIM(INDEX(_xlfn.TEXTSPLIT(IFERROR(VLOOKUP(A197,'Production Schedule'!$B:$FU,150,FALSE),""),CHAR(10)),5)),""))</f>
        <v/>
      </c>
      <c r="V197" s="28" t="str">
        <f t="shared" ref="V197:V260" si="28">IF(AND(U197&lt;&gt;"",I197&lt;&gt;""),_xlfn.LET(_xlpm.hU,IF(OR(U197="AXYZ Titans Line",U197="AXYZ"),ROUND(E197/7,1),IF(OR(U197="Clean and Brake",U197="Clean and brake"),72,IF(OR(U197="Fab",U197="Fabrication"),72,IF(U197="Assembly",72,IF(U197="Tube Laser",72,IF(U197="7000 TruMatic",72,IF(U197="TruLaser 3040",72,IF(U197="Extrusion Saw",72,IF(U197="Powder Coat",192,IF(U197="Brake",72,IF(U197="Cidan",80,IF(U197="Shear",80,IF(U197="Weld",80,IF(U197="Flat Laser",24,IF(U197="Post Paint",24,IF(U197="TruPunch",24,IF(U197="Roller",72,0))))))))))))))))),_xlpm.hW,IF(OR(W197="AXYZ Titans Line",W197="AXYZ"),ROUND(E197/7,1),IF(OR(W197="Clean and Brake",W197="Clean and brake"),72,IF(OR(W197="Fab",W197="Fabrication"),72,IF(W197="Assembly",72,IF(W197="Tube Laser",72,IF(W197="7000 TruMatic",72,IF(W197="TruLaser 3040",72,IF(W197="Extrusion Saw",72,IF(W197="Powder Coat",192,IF(W197="Brake",72,IF(W197="Cidan",80,IF(W197="Shear",80,IF(W197="Weld",80,IF(W197="Flat Laser",24,IF(W197="Post Paint",24,IF(W197="TruPunch",24,IF(W197="Roller",72,0))))))))))))))))),_xlpm.total,_xlpm.hU+_xlpm.hW+16,WORKDAY.INTL(I197,-ROUNDUP(_xlpm.total/8,0),"0000001")),"")</f>
        <v/>
      </c>
      <c r="W197" s="27" t="str" cm="1">
        <f t="array" ref="W197">IF(A197="","",IFERROR(TRIM(INDEX(_xlfn.TEXTSPLIT(IFERROR(VLOOKUP(A197,'Production Schedule'!$B:$FU,150,FALSE),""),CHAR(10)),6)),""))</f>
        <v/>
      </c>
      <c r="X197" s="28" t="str">
        <f t="shared" ref="X197:X260" si="29">IF(AND(W197&lt;&gt;"",I197&lt;&gt;""),_xlfn.LET(_xlpm.hW,IF(OR(W197="AXYZ Titans Line",W197="AXYZ"),ROUND(E197/7,1),IF(OR(W197="Clean and Brake",W197="Clean and brake"),72,IF(OR(W197="Fab",W197="Fabrication"),72,IF(W197="Assembly",72,IF(W197="Tube Laser",72,IF(W197="7000 TruMatic",72,IF(W197="TruLaser 3040",72,IF(W197="Extrusion Saw",72,IF(W197="Powder Coat",192,IF(W197="Brake",72,IF(W197="Cidan",80,IF(W197="Shear",80,IF(W197="Weld",80,IF(W197="Flat Laser",24,IF(W197="Post Paint",24,IF(W197="TruPunch",24,IF(W197="Roller",72,0))))))))))))))))),_xlpm.total,_xlpm.hW+16,WORKDAY.INTL(I197,-ROUNDUP(_xlpm.total/8,0),"0000001")),"")</f>
        <v/>
      </c>
      <c r="Y197" s="30">
        <f t="shared" ref="Y197:Y260" si="30">IF(I197="","",WORKDAY.INTL(I197,-2,"0000001"))</f>
        <v>45905</v>
      </c>
      <c r="Z197" s="31" t="str">
        <f>IF(A197="","",IF(IFERROR(VLOOKUP(A197,Notes!A:B,2,FALSE),"")=0,"",VLOOKUP(A197,Notes!A:B,2,FALSE)))</f>
        <v>04/16/2026…Ready to Ship</v>
      </c>
      <c r="AA197" s="18">
        <f t="shared" ref="AA197:AA260" si="31">IF(OR(L197="Ready to Ship",L197="RTS Titans",L197="Shipped",L197="Shipped To Painter",L197="Partially Shipped",L197="QC",L197="Crating"),2,1)</f>
        <v>2</v>
      </c>
    </row>
    <row r="198" spans="1:27" x14ac:dyDescent="0.25">
      <c r="A198" s="20" t="str">
        <v>24046-FL12</v>
      </c>
      <c r="B198" s="20" t="str">
        <f>IF(A198="","",IFERROR(VLOOKUP(A198,'Production Schedule'!$B:$FU,3,FALSE),""))</f>
        <v>UAB Biomedical Research and Psycholgy</v>
      </c>
      <c r="C198" s="20" t="str">
        <f>IF(A198="","",IFERROR(VLOOKUP(A198,'Production Schedule'!$B:$FU,5,FALSE),""))</f>
        <v>Wylie McDougall</v>
      </c>
      <c r="D198" s="20">
        <f>IF(A198="","",IFERROR(VLOOKUP(A198,'Production Schedule'!$B:$FU,7,FALSE),""))</f>
        <v>0</v>
      </c>
      <c r="E198" s="20">
        <f>IF(A198="","",IFERROR(VLOOKUP(A198,'Production Schedule'!$B:$FU,17,FALSE),""))</f>
        <v>0</v>
      </c>
      <c r="F198" s="20">
        <f>IF(A198="","",IFERROR(VLOOKUP(A198,'Production Schedule'!$B:$FU,18,FALSE),""))</f>
        <v>119</v>
      </c>
      <c r="G198" s="20" t="str">
        <f>IF(A198="","",IFERROR(VLOOKUP(A198,'Production Schedule'!$B:$FU,25,FALSE),""))</f>
        <v>Alum Sheet</v>
      </c>
      <c r="H198" s="21">
        <f>IF(A198="","",IFERROR(VLOOKUP(A198,'Production Schedule'!$B:$FU,47,FALSE),""))</f>
        <v>45903.336461539351</v>
      </c>
      <c r="I198" s="21">
        <f>IF(A198="","",IFERROR(VLOOKUP(A198,'Production Schedule'!$B:$FU,54,FALSE),""))</f>
        <v>45916</v>
      </c>
      <c r="J198" s="32">
        <f>IF(A198="","",IFERROR(VLOOKUP(A198,'Production Schedule'!$B:$FU,135,FALSE),""))</f>
        <v>7</v>
      </c>
      <c r="K198" s="20" t="str">
        <f>IF(A198="","",IFERROR(VLOOKUP(A198,'Production Schedule'!$B:$FU,59,FALSE),""))</f>
        <v>YES</v>
      </c>
      <c r="L198" s="39" t="str">
        <f>IF(A198="","",IFERROR(VLOOKUP(A198,'Production Schedule'!$B:$FU,80,FALSE),""))</f>
        <v>Ready to Ship</v>
      </c>
      <c r="M198" s="33" t="str" cm="1">
        <f t="array" ref="M198">IF(A198="","",IFERROR(TRIM(INDEX(_xlfn.TEXTSPLIT(IFERROR(VLOOKUP(A198,'Production Schedule'!$B:$FU,150,FALSE),""),CHAR(10)),1)),""))</f>
        <v>Cidan</v>
      </c>
      <c r="N198" s="34">
        <f t="shared" si="24"/>
        <v>45890</v>
      </c>
      <c r="O198" s="33" t="str" cm="1">
        <f t="array" ref="O198">IF(A198="","",IFERROR(TRIM(INDEX(_xlfn.TEXTSPLIT(IFERROR(VLOOKUP(A198,'Production Schedule'!$B:$FU,150,FALSE),""),CHAR(10)),2)),""))</f>
        <v>Shear</v>
      </c>
      <c r="P198" s="34">
        <f t="shared" si="25"/>
        <v>45902</v>
      </c>
      <c r="Q198" s="33" t="str" cm="1">
        <f t="array" ref="Q198">IF(A198="","",IFERROR(TRIM(INDEX(_xlfn.TEXTSPLIT(IFERROR(VLOOKUP(A198,'Production Schedule'!$B:$FU,150,FALSE),""),CHAR(10)),3)),""))</f>
        <v/>
      </c>
      <c r="R198" s="34" t="str">
        <f t="shared" si="26"/>
        <v/>
      </c>
      <c r="S198" s="33" t="str" cm="1">
        <f t="array" ref="S198">IF(A198="","",IFERROR(TRIM(INDEX(_xlfn.TEXTSPLIT(IFERROR(VLOOKUP(A198,'Production Schedule'!$B:$FU,150,FALSE),""),CHAR(10)),4)),""))</f>
        <v/>
      </c>
      <c r="T198" s="34" t="str">
        <f t="shared" si="27"/>
        <v/>
      </c>
      <c r="U198" s="33" t="str" cm="1">
        <f t="array" ref="U198">IF(A198="","",IFERROR(TRIM(INDEX(_xlfn.TEXTSPLIT(IFERROR(VLOOKUP(A198,'Production Schedule'!$B:$FU,150,FALSE),""),CHAR(10)),5)),""))</f>
        <v/>
      </c>
      <c r="V198" s="34" t="str">
        <f t="shared" si="28"/>
        <v/>
      </c>
      <c r="W198" s="33" t="str" cm="1">
        <f t="array" ref="W198">IF(A198="","",IFERROR(TRIM(INDEX(_xlfn.TEXTSPLIT(IFERROR(VLOOKUP(A198,'Production Schedule'!$B:$FU,150,FALSE),""),CHAR(10)),6)),""))</f>
        <v/>
      </c>
      <c r="X198" s="34" t="str">
        <f t="shared" si="29"/>
        <v/>
      </c>
      <c r="Y198" s="36">
        <f t="shared" si="30"/>
        <v>45913</v>
      </c>
      <c r="Z198" s="37" t="str">
        <f>IF(A198="","",IF(IFERROR(VLOOKUP(A198,Notes!A:B,2,FALSE),"")=0,"",VLOOKUP(A198,Notes!A:B,2,FALSE)))</f>
        <v>04/16/2026…Ready to Ship</v>
      </c>
      <c r="AA198" s="20">
        <f t="shared" si="31"/>
        <v>2</v>
      </c>
    </row>
    <row r="199" spans="1:27" x14ac:dyDescent="0.25">
      <c r="A199" s="18" t="str">
        <v>24046-FL13</v>
      </c>
      <c r="B199" s="18" t="str">
        <f>IF(A199="","",IFERROR(VLOOKUP(A199,'Production Schedule'!$B:$FU,3,FALSE),""))</f>
        <v>UAB Biomedical Research and Psycholgy</v>
      </c>
      <c r="C199" s="18" t="str">
        <f>IF(A199="","",IFERROR(VLOOKUP(A199,'Production Schedule'!$B:$FU,5,FALSE),""))</f>
        <v>Wylie McDougall</v>
      </c>
      <c r="D199" s="18">
        <f>IF(A199="","",IFERROR(VLOOKUP(A199,'Production Schedule'!$B:$FU,7,FALSE),""))</f>
        <v>0</v>
      </c>
      <c r="E199" s="18">
        <f>IF(A199="","",IFERROR(VLOOKUP(A199,'Production Schedule'!$B:$FU,17,FALSE),""))</f>
        <v>0</v>
      </c>
      <c r="F199" s="18">
        <f>IF(A199="","",IFERROR(VLOOKUP(A199,'Production Schedule'!$B:$FU,18,FALSE),""))</f>
        <v>53</v>
      </c>
      <c r="G199" s="18" t="str">
        <f>IF(A199="","",IFERROR(VLOOKUP(A199,'Production Schedule'!$B:$FU,25,FALSE),""))</f>
        <v>Alum Sheet</v>
      </c>
      <c r="H199" s="19">
        <f>IF(A199="","",IFERROR(VLOOKUP(A199,'Production Schedule'!$B:$FU,47,FALSE),""))</f>
        <v>45903.338617928239</v>
      </c>
      <c r="I199" s="19">
        <f>IF(A199="","",IFERROR(VLOOKUP(A199,'Production Schedule'!$B:$FU,54,FALSE),""))</f>
        <v>45916</v>
      </c>
      <c r="J199" s="26">
        <f>IF(A199="","",IFERROR(VLOOKUP(A199,'Production Schedule'!$B:$FU,135,FALSE),""))</f>
        <v>7</v>
      </c>
      <c r="K199" s="18" t="str">
        <f>IF(A199="","",IFERROR(VLOOKUP(A199,'Production Schedule'!$B:$FU,59,FALSE),""))</f>
        <v>YES</v>
      </c>
      <c r="L199" s="38" t="str">
        <f>IF(A199="","",IFERROR(VLOOKUP(A199,'Production Schedule'!$B:$FU,80,FALSE),""))</f>
        <v>Ready to Ship</v>
      </c>
      <c r="M199" s="27" t="str" cm="1">
        <f t="array" ref="M199">IF(A199="","",IFERROR(TRIM(INDEX(_xlfn.TEXTSPLIT(IFERROR(VLOOKUP(A199,'Production Schedule'!$B:$FU,150,FALSE),""),CHAR(10)),1)),""))</f>
        <v>Cidan</v>
      </c>
      <c r="N199" s="28">
        <f t="shared" si="24"/>
        <v>45890</v>
      </c>
      <c r="O199" s="27" t="str" cm="1">
        <f t="array" ref="O199">IF(A199="","",IFERROR(TRIM(INDEX(_xlfn.TEXTSPLIT(IFERROR(VLOOKUP(A199,'Production Schedule'!$B:$FU,150,FALSE),""),CHAR(10)),2)),""))</f>
        <v>Shear</v>
      </c>
      <c r="P199" s="28">
        <f t="shared" si="25"/>
        <v>45902</v>
      </c>
      <c r="Q199" s="27" t="str" cm="1">
        <f t="array" ref="Q199">IF(A199="","",IFERROR(TRIM(INDEX(_xlfn.TEXTSPLIT(IFERROR(VLOOKUP(A199,'Production Schedule'!$B:$FU,150,FALSE),""),CHAR(10)),3)),""))</f>
        <v/>
      </c>
      <c r="R199" s="28" t="str">
        <f t="shared" si="26"/>
        <v/>
      </c>
      <c r="S199" s="27" t="str" cm="1">
        <f t="array" ref="S199">IF(A199="","",IFERROR(TRIM(INDEX(_xlfn.TEXTSPLIT(IFERROR(VLOOKUP(A199,'Production Schedule'!$B:$FU,150,FALSE),""),CHAR(10)),4)),""))</f>
        <v/>
      </c>
      <c r="T199" s="28" t="str">
        <f t="shared" si="27"/>
        <v/>
      </c>
      <c r="U199" s="27" t="str" cm="1">
        <f t="array" ref="U199">IF(A199="","",IFERROR(TRIM(INDEX(_xlfn.TEXTSPLIT(IFERROR(VLOOKUP(A199,'Production Schedule'!$B:$FU,150,FALSE),""),CHAR(10)),5)),""))</f>
        <v/>
      </c>
      <c r="V199" s="28" t="str">
        <f t="shared" si="28"/>
        <v/>
      </c>
      <c r="W199" s="27" t="str" cm="1">
        <f t="array" ref="W199">IF(A199="","",IFERROR(TRIM(INDEX(_xlfn.TEXTSPLIT(IFERROR(VLOOKUP(A199,'Production Schedule'!$B:$FU,150,FALSE),""),CHAR(10)),6)),""))</f>
        <v/>
      </c>
      <c r="X199" s="28" t="str">
        <f t="shared" si="29"/>
        <v/>
      </c>
      <c r="Y199" s="30">
        <f t="shared" si="30"/>
        <v>45913</v>
      </c>
      <c r="Z199" s="31" t="str">
        <f>IF(A199="","",IF(IFERROR(VLOOKUP(A199,Notes!A:B,2,FALSE),"")=0,"",VLOOKUP(A199,Notes!A:B,2,FALSE)))</f>
        <v>04/16/2026…Ready to Ship</v>
      </c>
      <c r="AA199" s="18">
        <f t="shared" si="31"/>
        <v>2</v>
      </c>
    </row>
    <row r="200" spans="1:27" x14ac:dyDescent="0.25">
      <c r="A200" s="20" t="str">
        <v>24051-RP20</v>
      </c>
      <c r="B200" s="20" t="str">
        <f>IF(A200="","",IFERROR(VLOOKUP(A200,'Production Schedule'!$B:$FU,3,FALSE),""))</f>
        <v>TN Titans Stadium</v>
      </c>
      <c r="C200" s="20" t="str">
        <f>IF(A200="","",IFERROR(VLOOKUP(A200,'Production Schedule'!$B:$FU,5,FALSE),""))</f>
        <v>Marc Ribar</v>
      </c>
      <c r="D200" s="20">
        <f>IF(A200="","",IFERROR(VLOOKUP(A200,'Production Schedule'!$B:$FU,7,FALSE),""))</f>
        <v>0</v>
      </c>
      <c r="E200" s="20">
        <f>IF(A200="","",IFERROR(VLOOKUP(A200,'Production Schedule'!$B:$FU,17,FALSE),""))</f>
        <v>46</v>
      </c>
      <c r="F200" s="20">
        <f>IF(A200="","",IFERROR(VLOOKUP(A200,'Production Schedule'!$B:$FU,18,FALSE),""))</f>
        <v>46</v>
      </c>
      <c r="G200" s="20">
        <f>IF(A200="","",IFERROR(VLOOKUP(A200,'Production Schedule'!$B:$FU,25,FALSE),""))</f>
        <v>0</v>
      </c>
      <c r="H200" s="21">
        <f>IF(A200="","",IFERROR(VLOOKUP(A200,'Production Schedule'!$B:$FU,47,FALSE),""))</f>
        <v>45922.363528611109</v>
      </c>
      <c r="I200" s="21">
        <f>IF(A200="","",IFERROR(VLOOKUP(A200,'Production Schedule'!$B:$FU,54,FALSE),""))</f>
        <v>45923</v>
      </c>
      <c r="J200" s="32">
        <f>IF(A200="","",IFERROR(VLOOKUP(A200,'Production Schedule'!$B:$FU,135,FALSE),""))</f>
        <v>0</v>
      </c>
      <c r="K200" s="20">
        <f>IF(A200="","",IFERROR(VLOOKUP(A200,'Production Schedule'!$B:$FU,59,FALSE),""))</f>
        <v>0</v>
      </c>
      <c r="L200" s="39" t="str">
        <f>IF(A200="","",IFERROR(VLOOKUP(A200,'Production Schedule'!$B:$FU,80,FALSE),""))</f>
        <v>RTS Titans</v>
      </c>
      <c r="M200" s="33" t="str" cm="1">
        <f t="array" ref="M200">IF(A200="","",IFERROR(TRIM(INDEX(_xlfn.TEXTSPLIT(IFERROR(VLOOKUP(A200,'Production Schedule'!$B:$FU,150,FALSE),""),CHAR(10)),1)),""))</f>
        <v>AXYZ Titans Line</v>
      </c>
      <c r="N200" s="34">
        <f t="shared" si="24"/>
        <v>45898</v>
      </c>
      <c r="O200" s="33" t="str" cm="1">
        <f t="array" ref="O200">IF(A200="","",IFERROR(TRIM(INDEX(_xlfn.TEXTSPLIT(IFERROR(VLOOKUP(A200,'Production Schedule'!$B:$FU,150,FALSE),""),CHAR(10)),2)),""))</f>
        <v>Clean and Brake</v>
      </c>
      <c r="P200" s="34">
        <f t="shared" si="25"/>
        <v>45899</v>
      </c>
      <c r="Q200" s="33" t="str" cm="1">
        <f t="array" ref="Q200">IF(A200="","",IFERROR(TRIM(INDEX(_xlfn.TEXTSPLIT(IFERROR(VLOOKUP(A200,'Production Schedule'!$B:$FU,150,FALSE),""),CHAR(10)),3)),""))</f>
        <v>Fab</v>
      </c>
      <c r="R200" s="34">
        <f t="shared" si="26"/>
        <v>45910</v>
      </c>
      <c r="S200" s="33" t="str" cm="1">
        <f t="array" ref="S200">IF(A200="","",IFERROR(TRIM(INDEX(_xlfn.TEXTSPLIT(IFERROR(VLOOKUP(A200,'Production Schedule'!$B:$FU,150,FALSE),""),CHAR(10)),4)),""))</f>
        <v/>
      </c>
      <c r="T200" s="34" t="str">
        <f t="shared" si="27"/>
        <v/>
      </c>
      <c r="U200" s="33" t="str" cm="1">
        <f t="array" ref="U200">IF(A200="","",IFERROR(TRIM(INDEX(_xlfn.TEXTSPLIT(IFERROR(VLOOKUP(A200,'Production Schedule'!$B:$FU,150,FALSE),""),CHAR(10)),5)),""))</f>
        <v/>
      </c>
      <c r="V200" s="34" t="str">
        <f t="shared" si="28"/>
        <v/>
      </c>
      <c r="W200" s="33" t="str" cm="1">
        <f t="array" ref="W200">IF(A200="","",IFERROR(TRIM(INDEX(_xlfn.TEXTSPLIT(IFERROR(VLOOKUP(A200,'Production Schedule'!$B:$FU,150,FALSE),""),CHAR(10)),6)),""))</f>
        <v/>
      </c>
      <c r="X200" s="34" t="str">
        <f t="shared" si="29"/>
        <v/>
      </c>
      <c r="Y200" s="36">
        <f t="shared" si="30"/>
        <v>45920</v>
      </c>
      <c r="Z200" s="37" t="str">
        <f>IF(A200="","",IF(IFERROR(VLOOKUP(A200,Notes!A:B,2,FALSE),"")=0,"",VLOOKUP(A200,Notes!A:B,2,FALSE)))</f>
        <v>04/16/2026…RTS Titans</v>
      </c>
      <c r="AA200" s="20">
        <f t="shared" si="31"/>
        <v>2</v>
      </c>
    </row>
    <row r="201" spans="1:27" x14ac:dyDescent="0.25">
      <c r="A201" s="18" t="str">
        <v>24051-FS45C</v>
      </c>
      <c r="B201" s="18" t="str">
        <f>IF(A201="","",IFERROR(VLOOKUP(A201,'Production Schedule'!$B:$FU,3,FALSE),""))</f>
        <v>TN Titans Stadium</v>
      </c>
      <c r="C201" s="18" t="str">
        <f>IF(A201="","",IFERROR(VLOOKUP(A201,'Production Schedule'!$B:$FU,5,FALSE),""))</f>
        <v>Marc Ribar</v>
      </c>
      <c r="D201" s="18">
        <f>IF(A201="","",IFERROR(VLOOKUP(A201,'Production Schedule'!$B:$FU,7,FALSE),""))</f>
        <v>400</v>
      </c>
      <c r="E201" s="18">
        <f>IF(A201="","",IFERROR(VLOOKUP(A201,'Production Schedule'!$B:$FU,17,FALSE),""))</f>
        <v>26</v>
      </c>
      <c r="F201" s="18">
        <f>IF(A201="","",IFERROR(VLOOKUP(A201,'Production Schedule'!$B:$FU,18,FALSE),""))</f>
        <v>26</v>
      </c>
      <c r="G201" s="18" t="str">
        <f>IF(A201="","",IFERROR(VLOOKUP(A201,'Production Schedule'!$B:$FU,25,FALSE),""))</f>
        <v>FR ACM</v>
      </c>
      <c r="H201" s="19">
        <f>IF(A201="","",IFERROR(VLOOKUP(A201,'Production Schedule'!$B:$FU,47,FALSE),""))</f>
        <v>45954.477494432867</v>
      </c>
      <c r="I201" s="19">
        <f>IF(A201="","",IFERROR(VLOOKUP(A201,'Production Schedule'!$B:$FU,54,FALSE),""))</f>
        <v>45978</v>
      </c>
      <c r="J201" s="26">
        <f>IF(A201="","",IFERROR(VLOOKUP(A201,'Production Schedule'!$B:$FU,135,FALSE),""))</f>
        <v>40</v>
      </c>
      <c r="K201" s="18" t="str">
        <f>IF(A201="","",IFERROR(VLOOKUP(A201,'Production Schedule'!$B:$FU,59,FALSE),""))</f>
        <v>YES</v>
      </c>
      <c r="L201" s="38" t="str">
        <f>IF(A201="","",IFERROR(VLOOKUP(A201,'Production Schedule'!$B:$FU,80,FALSE),""))</f>
        <v>RTS Titans</v>
      </c>
      <c r="M201" s="27" t="str" cm="1">
        <f t="array" ref="M201">IF(A201="","",IFERROR(TRIM(INDEX(_xlfn.TEXTSPLIT(IFERROR(VLOOKUP(A201,'Production Schedule'!$B:$FU,150,FALSE),""),CHAR(10)),1)),""))</f>
        <v>AXYZ Titans Line</v>
      </c>
      <c r="N201" s="28">
        <f t="shared" si="24"/>
        <v>45953</v>
      </c>
      <c r="O201" s="27" t="str" cm="1">
        <f t="array" ref="O201">IF(A201="","",IFERROR(TRIM(INDEX(_xlfn.TEXTSPLIT(IFERROR(VLOOKUP(A201,'Production Schedule'!$B:$FU,150,FALSE),""),CHAR(10)),2)),""))</f>
        <v>Clean and Brake</v>
      </c>
      <c r="P201" s="28">
        <f t="shared" si="25"/>
        <v>45954</v>
      </c>
      <c r="Q201" s="27" t="str" cm="1">
        <f t="array" ref="Q201">IF(A201="","",IFERROR(TRIM(INDEX(_xlfn.TEXTSPLIT(IFERROR(VLOOKUP(A201,'Production Schedule'!$B:$FU,150,FALSE),""),CHAR(10)),3)),""))</f>
        <v>Fab</v>
      </c>
      <c r="R201" s="28">
        <f t="shared" si="26"/>
        <v>45965</v>
      </c>
      <c r="S201" s="27" t="str" cm="1">
        <f t="array" ref="S201">IF(A201="","",IFERROR(TRIM(INDEX(_xlfn.TEXTSPLIT(IFERROR(VLOOKUP(A201,'Production Schedule'!$B:$FU,150,FALSE),""),CHAR(10)),4)),""))</f>
        <v/>
      </c>
      <c r="T201" s="28" t="str">
        <f t="shared" si="27"/>
        <v/>
      </c>
      <c r="U201" s="27" t="str" cm="1">
        <f t="array" ref="U201">IF(A201="","",IFERROR(TRIM(INDEX(_xlfn.TEXTSPLIT(IFERROR(VLOOKUP(A201,'Production Schedule'!$B:$FU,150,FALSE),""),CHAR(10)),5)),""))</f>
        <v/>
      </c>
      <c r="V201" s="28" t="str">
        <f t="shared" si="28"/>
        <v/>
      </c>
      <c r="W201" s="27" t="str" cm="1">
        <f t="array" ref="W201">IF(A201="","",IFERROR(TRIM(INDEX(_xlfn.TEXTSPLIT(IFERROR(VLOOKUP(A201,'Production Schedule'!$B:$FU,150,FALSE),""),CHAR(10)),6)),""))</f>
        <v/>
      </c>
      <c r="X201" s="28" t="str">
        <f t="shared" si="29"/>
        <v/>
      </c>
      <c r="Y201" s="30">
        <f t="shared" si="30"/>
        <v>45975</v>
      </c>
      <c r="Z201" s="31" t="str">
        <f>IF(A201="","",IF(IFERROR(VLOOKUP(A201,Notes!A:B,2,FALSE),"")=0,"",VLOOKUP(A201,Notes!A:B,2,FALSE)))</f>
        <v>04/16/2026…RTS Titans</v>
      </c>
      <c r="AA201" s="18">
        <f t="shared" si="31"/>
        <v>2</v>
      </c>
    </row>
    <row r="202" spans="1:27" x14ac:dyDescent="0.25">
      <c r="A202" s="20" t="str">
        <v>24051-FS201</v>
      </c>
      <c r="B202" s="20" t="str">
        <f>IF(A202="","",IFERROR(VLOOKUP(A202,'Production Schedule'!$B:$FU,3,FALSE),""))</f>
        <v>TN Titans Stadium</v>
      </c>
      <c r="C202" s="20" t="str">
        <f>IF(A202="","",IFERROR(VLOOKUP(A202,'Production Schedule'!$B:$FU,5,FALSE),""))</f>
        <v>Marc Ribar</v>
      </c>
      <c r="D202" s="20">
        <f>IF(A202="","",IFERROR(VLOOKUP(A202,'Production Schedule'!$B:$FU,7,FALSE),""))</f>
        <v>400</v>
      </c>
      <c r="E202" s="20">
        <f>IF(A202="","",IFERROR(VLOOKUP(A202,'Production Schedule'!$B:$FU,17,FALSE),""))</f>
        <v>109</v>
      </c>
      <c r="F202" s="20">
        <f>IF(A202="","",IFERROR(VLOOKUP(A202,'Production Schedule'!$B:$FU,18,FALSE),""))</f>
        <v>109</v>
      </c>
      <c r="G202" s="20" t="str">
        <f>IF(A202="","",IFERROR(VLOOKUP(A202,'Production Schedule'!$B:$FU,25,FALSE),""))</f>
        <v>FR ACM</v>
      </c>
      <c r="H202" s="21">
        <f>IF(A202="","",IFERROR(VLOOKUP(A202,'Production Schedule'!$B:$FU,47,FALSE),""))</f>
        <v>45726.377926354166</v>
      </c>
      <c r="I202" s="21">
        <f>IF(A202="","",IFERROR(VLOOKUP(A202,'Production Schedule'!$B:$FU,54,FALSE),""))</f>
        <v>45982</v>
      </c>
      <c r="J202" s="32">
        <f>IF(A202="","",IFERROR(VLOOKUP(A202,'Production Schedule'!$B:$FU,135,FALSE),""))</f>
        <v>200</v>
      </c>
      <c r="K202" s="20" t="str">
        <f>IF(A202="","",IFERROR(VLOOKUP(A202,'Production Schedule'!$B:$FU,59,FALSE),""))</f>
        <v>YES</v>
      </c>
      <c r="L202" s="39" t="str">
        <f>IF(A202="","",IFERROR(VLOOKUP(A202,'Production Schedule'!$B:$FU,80,FALSE),""))</f>
        <v>RTS Titans</v>
      </c>
      <c r="M202" s="33" t="str" cm="1">
        <f t="array" ref="M202">IF(A202="","",IFERROR(TRIM(INDEX(_xlfn.TEXTSPLIT(IFERROR(VLOOKUP(A202,'Production Schedule'!$B:$FU,150,FALSE),""),CHAR(10)),1)),""))</f>
        <v>AXYZ Titans Line</v>
      </c>
      <c r="N202" s="34">
        <f t="shared" si="24"/>
        <v>45957</v>
      </c>
      <c r="O202" s="33" t="str" cm="1">
        <f t="array" ref="O202">IF(A202="","",IFERROR(TRIM(INDEX(_xlfn.TEXTSPLIT(IFERROR(VLOOKUP(A202,'Production Schedule'!$B:$FU,150,FALSE),""),CHAR(10)),2)),""))</f>
        <v>Clean and Brake</v>
      </c>
      <c r="P202" s="34">
        <f t="shared" si="25"/>
        <v>45959</v>
      </c>
      <c r="Q202" s="33" t="str" cm="1">
        <f t="array" ref="Q202">IF(A202="","",IFERROR(TRIM(INDEX(_xlfn.TEXTSPLIT(IFERROR(VLOOKUP(A202,'Production Schedule'!$B:$FU,150,FALSE),""),CHAR(10)),3)),""))</f>
        <v>Fab</v>
      </c>
      <c r="R202" s="34">
        <f t="shared" si="26"/>
        <v>45969</v>
      </c>
      <c r="S202" s="33" t="str" cm="1">
        <f t="array" ref="S202">IF(A202="","",IFERROR(TRIM(INDEX(_xlfn.TEXTSPLIT(IFERROR(VLOOKUP(A202,'Production Schedule'!$B:$FU,150,FALSE),""),CHAR(10)),4)),""))</f>
        <v/>
      </c>
      <c r="T202" s="34" t="str">
        <f t="shared" si="27"/>
        <v/>
      </c>
      <c r="U202" s="33" t="str" cm="1">
        <f t="array" ref="U202">IF(A202="","",IFERROR(TRIM(INDEX(_xlfn.TEXTSPLIT(IFERROR(VLOOKUP(A202,'Production Schedule'!$B:$FU,150,FALSE),""),CHAR(10)),5)),""))</f>
        <v/>
      </c>
      <c r="V202" s="34" t="str">
        <f t="shared" si="28"/>
        <v/>
      </c>
      <c r="W202" s="33" t="str" cm="1">
        <f t="array" ref="W202">IF(A202="","",IFERROR(TRIM(INDEX(_xlfn.TEXTSPLIT(IFERROR(VLOOKUP(A202,'Production Schedule'!$B:$FU,150,FALSE),""),CHAR(10)),6)),""))</f>
        <v/>
      </c>
      <c r="X202" s="34" t="str">
        <f t="shared" si="29"/>
        <v/>
      </c>
      <c r="Y202" s="36">
        <f t="shared" si="30"/>
        <v>45980</v>
      </c>
      <c r="Z202" s="37" t="str">
        <f>IF(A202="","",IF(IFERROR(VLOOKUP(A202,Notes!A:B,2,FALSE),"")=0,"",VLOOKUP(A202,Notes!A:B,2,FALSE)))</f>
        <v>04/16/2026…RTS Titans</v>
      </c>
      <c r="AA202" s="20">
        <f t="shared" si="31"/>
        <v>2</v>
      </c>
    </row>
    <row r="203" spans="1:27" x14ac:dyDescent="0.25">
      <c r="A203" s="18" t="str">
        <v>24051-FS205</v>
      </c>
      <c r="B203" s="18" t="str">
        <f>IF(A203="","",IFERROR(VLOOKUP(A203,'Production Schedule'!$B:$FU,3,FALSE),""))</f>
        <v>TN Titans Stadium</v>
      </c>
      <c r="C203" s="18" t="str">
        <f>IF(A203="","",IFERROR(VLOOKUP(A203,'Production Schedule'!$B:$FU,5,FALSE),""))</f>
        <v>Marc Ribar</v>
      </c>
      <c r="D203" s="18">
        <f>IF(A203="","",IFERROR(VLOOKUP(A203,'Production Schedule'!$B:$FU,7,FALSE),""))</f>
        <v>400</v>
      </c>
      <c r="E203" s="18">
        <f>IF(A203="","",IFERROR(VLOOKUP(A203,'Production Schedule'!$B:$FU,17,FALSE),""))</f>
        <v>118</v>
      </c>
      <c r="F203" s="18">
        <f>IF(A203="","",IFERROR(VLOOKUP(A203,'Production Schedule'!$B:$FU,18,FALSE),""))</f>
        <v>118</v>
      </c>
      <c r="G203" s="18" t="str">
        <f>IF(A203="","",IFERROR(VLOOKUP(A203,'Production Schedule'!$B:$FU,25,FALSE),""))</f>
        <v>FR ACM</v>
      </c>
      <c r="H203" s="19">
        <f>IF(A203="","",IFERROR(VLOOKUP(A203,'Production Schedule'!$B:$FU,47,FALSE),""))</f>
        <v>45737.235908750001</v>
      </c>
      <c r="I203" s="19">
        <f>IF(A203="","",IFERROR(VLOOKUP(A203,'Production Schedule'!$B:$FU,54,FALSE),""))</f>
        <v>45982</v>
      </c>
      <c r="J203" s="26">
        <f>IF(A203="","",IFERROR(VLOOKUP(A203,'Production Schedule'!$B:$FU,135,FALSE),""))</f>
        <v>300</v>
      </c>
      <c r="K203" s="18" t="str">
        <f>IF(A203="","",IFERROR(VLOOKUP(A203,'Production Schedule'!$B:$FU,59,FALSE),""))</f>
        <v>YES</v>
      </c>
      <c r="L203" s="38" t="str">
        <f>IF(A203="","",IFERROR(VLOOKUP(A203,'Production Schedule'!$B:$FU,80,FALSE),""))</f>
        <v>RTS Titans</v>
      </c>
      <c r="M203" s="27" t="str" cm="1">
        <f t="array" ref="M203">IF(A203="","",IFERROR(TRIM(INDEX(_xlfn.TEXTSPLIT(IFERROR(VLOOKUP(A203,'Production Schedule'!$B:$FU,150,FALSE),""),CHAR(10)),1)),""))</f>
        <v>AXYZ Titans Line</v>
      </c>
      <c r="N203" s="28">
        <f t="shared" si="24"/>
        <v>45955</v>
      </c>
      <c r="O203" s="27" t="str" cm="1">
        <f t="array" ref="O203">IF(A203="","",IFERROR(TRIM(INDEX(_xlfn.TEXTSPLIT(IFERROR(VLOOKUP(A203,'Production Schedule'!$B:$FU,150,FALSE),""),CHAR(10)),2)),""))</f>
        <v>Clean and Brake</v>
      </c>
      <c r="P203" s="28">
        <f t="shared" si="25"/>
        <v>45959</v>
      </c>
      <c r="Q203" s="27" t="str" cm="1">
        <f t="array" ref="Q203">IF(A203="","",IFERROR(TRIM(INDEX(_xlfn.TEXTSPLIT(IFERROR(VLOOKUP(A203,'Production Schedule'!$B:$FU,150,FALSE),""),CHAR(10)),3)),""))</f>
        <v>Fab</v>
      </c>
      <c r="R203" s="28">
        <f t="shared" si="26"/>
        <v>45969</v>
      </c>
      <c r="S203" s="27" t="str" cm="1">
        <f t="array" ref="S203">IF(A203="","",IFERROR(TRIM(INDEX(_xlfn.TEXTSPLIT(IFERROR(VLOOKUP(A203,'Production Schedule'!$B:$FU,150,FALSE),""),CHAR(10)),4)),""))</f>
        <v/>
      </c>
      <c r="T203" s="28" t="str">
        <f t="shared" si="27"/>
        <v/>
      </c>
      <c r="U203" s="27" t="str" cm="1">
        <f t="array" ref="U203">IF(A203="","",IFERROR(TRIM(INDEX(_xlfn.TEXTSPLIT(IFERROR(VLOOKUP(A203,'Production Schedule'!$B:$FU,150,FALSE),""),CHAR(10)),5)),""))</f>
        <v/>
      </c>
      <c r="V203" s="28" t="str">
        <f t="shared" si="28"/>
        <v/>
      </c>
      <c r="W203" s="27" t="str" cm="1">
        <f t="array" ref="W203">IF(A203="","",IFERROR(TRIM(INDEX(_xlfn.TEXTSPLIT(IFERROR(VLOOKUP(A203,'Production Schedule'!$B:$FU,150,FALSE),""),CHAR(10)),6)),""))</f>
        <v/>
      </c>
      <c r="X203" s="28" t="str">
        <f t="shared" si="29"/>
        <v/>
      </c>
      <c r="Y203" s="30">
        <f t="shared" si="30"/>
        <v>45980</v>
      </c>
      <c r="Z203" s="31" t="str">
        <f>IF(A203="","",IF(IFERROR(VLOOKUP(A203,Notes!A:B,2,FALSE),"")=0,"",VLOOKUP(A203,Notes!A:B,2,FALSE)))</f>
        <v>04/16/2026…RTS Titans</v>
      </c>
      <c r="AA203" s="18">
        <f t="shared" si="31"/>
        <v>2</v>
      </c>
    </row>
    <row r="204" spans="1:27" x14ac:dyDescent="0.25">
      <c r="A204" s="20" t="str">
        <v>24051-FS213</v>
      </c>
      <c r="B204" s="20" t="str">
        <f>IF(A204="","",IFERROR(VLOOKUP(A204,'Production Schedule'!$B:$FU,3,FALSE),""))</f>
        <v>TN Titans Stadium</v>
      </c>
      <c r="C204" s="20" t="str">
        <f>IF(A204="","",IFERROR(VLOOKUP(A204,'Production Schedule'!$B:$FU,5,FALSE),""))</f>
        <v>Marc Ribar</v>
      </c>
      <c r="D204" s="20">
        <f>IF(A204="","",IFERROR(VLOOKUP(A204,'Production Schedule'!$B:$FU,7,FALSE),""))</f>
        <v>400</v>
      </c>
      <c r="E204" s="20">
        <f>IF(A204="","",IFERROR(VLOOKUP(A204,'Production Schedule'!$B:$FU,17,FALSE),""))</f>
        <v>138</v>
      </c>
      <c r="F204" s="20">
        <f>IF(A204="","",IFERROR(VLOOKUP(A204,'Production Schedule'!$B:$FU,18,FALSE),""))</f>
        <v>138</v>
      </c>
      <c r="G204" s="20" t="str">
        <f>IF(A204="","",IFERROR(VLOOKUP(A204,'Production Schedule'!$B:$FU,25,FALSE),""))</f>
        <v>FR ACM</v>
      </c>
      <c r="H204" s="21">
        <f>IF(A204="","",IFERROR(VLOOKUP(A204,'Production Schedule'!$B:$FU,47,FALSE),""))</f>
        <v>45754.681967789351</v>
      </c>
      <c r="I204" s="21">
        <f>IF(A204="","",IFERROR(VLOOKUP(A204,'Production Schedule'!$B:$FU,54,FALSE),""))</f>
        <v>45985</v>
      </c>
      <c r="J204" s="32">
        <f>IF(A204="","",IFERROR(VLOOKUP(A204,'Production Schedule'!$B:$FU,135,FALSE),""))</f>
        <v>300</v>
      </c>
      <c r="K204" s="20" t="str">
        <f>IF(A204="","",IFERROR(VLOOKUP(A204,'Production Schedule'!$B:$FU,59,FALSE),""))</f>
        <v>YES</v>
      </c>
      <c r="L204" s="39" t="str">
        <f>IF(A204="","",IFERROR(VLOOKUP(A204,'Production Schedule'!$B:$FU,80,FALSE),""))</f>
        <v>RTS Titans</v>
      </c>
      <c r="M204" s="33" t="str" cm="1">
        <f t="array" ref="M204">IF(A204="","",IFERROR(TRIM(INDEX(_xlfn.TEXTSPLIT(IFERROR(VLOOKUP(A204,'Production Schedule'!$B:$FU,150,FALSE),""),CHAR(10)),1)),""))</f>
        <v>AXYZ Titans Line</v>
      </c>
      <c r="N204" s="34">
        <f t="shared" si="24"/>
        <v>45958</v>
      </c>
      <c r="O204" s="33" t="str" cm="1">
        <f t="array" ref="O204">IF(A204="","",IFERROR(TRIM(INDEX(_xlfn.TEXTSPLIT(IFERROR(VLOOKUP(A204,'Production Schedule'!$B:$FU,150,FALSE),""),CHAR(10)),2)),""))</f>
        <v>Clean and Brake</v>
      </c>
      <c r="P204" s="34">
        <f t="shared" si="25"/>
        <v>45961</v>
      </c>
      <c r="Q204" s="33" t="str" cm="1">
        <f t="array" ref="Q204">IF(A204="","",IFERROR(TRIM(INDEX(_xlfn.TEXTSPLIT(IFERROR(VLOOKUP(A204,'Production Schedule'!$B:$FU,150,FALSE),""),CHAR(10)),3)),""))</f>
        <v>Fab</v>
      </c>
      <c r="R204" s="34">
        <f t="shared" si="26"/>
        <v>45972</v>
      </c>
      <c r="S204" s="33" t="str" cm="1">
        <f t="array" ref="S204">IF(A204="","",IFERROR(TRIM(INDEX(_xlfn.TEXTSPLIT(IFERROR(VLOOKUP(A204,'Production Schedule'!$B:$FU,150,FALSE),""),CHAR(10)),4)),""))</f>
        <v/>
      </c>
      <c r="T204" s="34" t="str">
        <f t="shared" si="27"/>
        <v/>
      </c>
      <c r="U204" s="33" t="str" cm="1">
        <f t="array" ref="U204">IF(A204="","",IFERROR(TRIM(INDEX(_xlfn.TEXTSPLIT(IFERROR(VLOOKUP(A204,'Production Schedule'!$B:$FU,150,FALSE),""),CHAR(10)),5)),""))</f>
        <v/>
      </c>
      <c r="V204" s="34" t="str">
        <f t="shared" si="28"/>
        <v/>
      </c>
      <c r="W204" s="33" t="str" cm="1">
        <f t="array" ref="W204">IF(A204="","",IFERROR(TRIM(INDEX(_xlfn.TEXTSPLIT(IFERROR(VLOOKUP(A204,'Production Schedule'!$B:$FU,150,FALSE),""),CHAR(10)),6)),""))</f>
        <v/>
      </c>
      <c r="X204" s="34" t="str">
        <f t="shared" si="29"/>
        <v/>
      </c>
      <c r="Y204" s="36">
        <f t="shared" si="30"/>
        <v>45982</v>
      </c>
      <c r="Z204" s="37" t="str">
        <f>IF(A204="","",IF(IFERROR(VLOOKUP(A204,Notes!A:B,2,FALSE),"")=0,"",VLOOKUP(A204,Notes!A:B,2,FALSE)))</f>
        <v>04/16/2026…RTS Titans</v>
      </c>
      <c r="AA204" s="20">
        <f t="shared" si="31"/>
        <v>2</v>
      </c>
    </row>
    <row r="205" spans="1:27" x14ac:dyDescent="0.25">
      <c r="A205" s="18" t="str">
        <v>24051-FS216</v>
      </c>
      <c r="B205" s="18" t="str">
        <f>IF(A205="","",IFERROR(VLOOKUP(A205,'Production Schedule'!$B:$FU,3,FALSE),""))</f>
        <v>TN Titans Stadium</v>
      </c>
      <c r="C205" s="18" t="str">
        <f>IF(A205="","",IFERROR(VLOOKUP(A205,'Production Schedule'!$B:$FU,5,FALSE),""))</f>
        <v>Marc Ribar</v>
      </c>
      <c r="D205" s="18">
        <f>IF(A205="","",IFERROR(VLOOKUP(A205,'Production Schedule'!$B:$FU,7,FALSE),""))</f>
        <v>400</v>
      </c>
      <c r="E205" s="18">
        <f>IF(A205="","",IFERROR(VLOOKUP(A205,'Production Schedule'!$B:$FU,17,FALSE),""))</f>
        <v>26</v>
      </c>
      <c r="F205" s="18">
        <f>IF(A205="","",IFERROR(VLOOKUP(A205,'Production Schedule'!$B:$FU,18,FALSE),""))</f>
        <v>26</v>
      </c>
      <c r="G205" s="18" t="str">
        <f>IF(A205="","",IFERROR(VLOOKUP(A205,'Production Schedule'!$B:$FU,25,FALSE),""))</f>
        <v>FR ACM</v>
      </c>
      <c r="H205" s="19">
        <f>IF(A205="","",IFERROR(VLOOKUP(A205,'Production Schedule'!$B:$FU,47,FALSE),""))</f>
        <v>45945.664150775461</v>
      </c>
      <c r="I205" s="19">
        <f>IF(A205="","",IFERROR(VLOOKUP(A205,'Production Schedule'!$B:$FU,54,FALSE),""))</f>
        <v>45985</v>
      </c>
      <c r="J205" s="26">
        <f>IF(A205="","",IFERROR(VLOOKUP(A205,'Production Schedule'!$B:$FU,135,FALSE),""))</f>
        <v>40</v>
      </c>
      <c r="K205" s="18" t="str">
        <f>IF(A205="","",IFERROR(VLOOKUP(A205,'Production Schedule'!$B:$FU,59,FALSE),""))</f>
        <v>YES</v>
      </c>
      <c r="L205" s="38" t="str">
        <f>IF(A205="","",IFERROR(VLOOKUP(A205,'Production Schedule'!$B:$FU,80,FALSE),""))</f>
        <v>RTS Titans</v>
      </c>
      <c r="M205" s="27" t="str" cm="1">
        <f t="array" ref="M205">IF(A205="","",IFERROR(TRIM(INDEX(_xlfn.TEXTSPLIT(IFERROR(VLOOKUP(A205,'Production Schedule'!$B:$FU,150,FALSE),""),CHAR(10)),1)),""))</f>
        <v>AXYZ Titans Line</v>
      </c>
      <c r="N205" s="28">
        <f t="shared" si="24"/>
        <v>45960</v>
      </c>
      <c r="O205" s="27" t="str" cm="1">
        <f t="array" ref="O205">IF(A205="","",IFERROR(TRIM(INDEX(_xlfn.TEXTSPLIT(IFERROR(VLOOKUP(A205,'Production Schedule'!$B:$FU,150,FALSE),""),CHAR(10)),2)),""))</f>
        <v>Clean and Brake</v>
      </c>
      <c r="P205" s="28">
        <f t="shared" si="25"/>
        <v>45961</v>
      </c>
      <c r="Q205" s="27" t="str" cm="1">
        <f t="array" ref="Q205">IF(A205="","",IFERROR(TRIM(INDEX(_xlfn.TEXTSPLIT(IFERROR(VLOOKUP(A205,'Production Schedule'!$B:$FU,150,FALSE),""),CHAR(10)),3)),""))</f>
        <v>Fab</v>
      </c>
      <c r="R205" s="28">
        <f t="shared" si="26"/>
        <v>45972</v>
      </c>
      <c r="S205" s="27" t="str" cm="1">
        <f t="array" ref="S205">IF(A205="","",IFERROR(TRIM(INDEX(_xlfn.TEXTSPLIT(IFERROR(VLOOKUP(A205,'Production Schedule'!$B:$FU,150,FALSE),""),CHAR(10)),4)),""))</f>
        <v/>
      </c>
      <c r="T205" s="28" t="str">
        <f t="shared" si="27"/>
        <v/>
      </c>
      <c r="U205" s="27" t="str" cm="1">
        <f t="array" ref="U205">IF(A205="","",IFERROR(TRIM(INDEX(_xlfn.TEXTSPLIT(IFERROR(VLOOKUP(A205,'Production Schedule'!$B:$FU,150,FALSE),""),CHAR(10)),5)),""))</f>
        <v/>
      </c>
      <c r="V205" s="28" t="str">
        <f t="shared" si="28"/>
        <v/>
      </c>
      <c r="W205" s="27" t="str" cm="1">
        <f t="array" ref="W205">IF(A205="","",IFERROR(TRIM(INDEX(_xlfn.TEXTSPLIT(IFERROR(VLOOKUP(A205,'Production Schedule'!$B:$FU,150,FALSE),""),CHAR(10)),6)),""))</f>
        <v/>
      </c>
      <c r="X205" s="28" t="str">
        <f t="shared" si="29"/>
        <v/>
      </c>
      <c r="Y205" s="30">
        <f t="shared" si="30"/>
        <v>45982</v>
      </c>
      <c r="Z205" s="31" t="str">
        <f>IF(A205="","",IF(IFERROR(VLOOKUP(A205,Notes!A:B,2,FALSE),"")=0,"",VLOOKUP(A205,Notes!A:B,2,FALSE)))</f>
        <v>04/16/2026…RTS Titans</v>
      </c>
      <c r="AA205" s="18">
        <f t="shared" si="31"/>
        <v>2</v>
      </c>
    </row>
    <row r="206" spans="1:27" x14ac:dyDescent="0.25">
      <c r="A206" s="20" t="str">
        <v>24051-FS45</v>
      </c>
      <c r="B206" s="20" t="str">
        <f>IF(A206="","",IFERROR(VLOOKUP(A206,'Production Schedule'!$B:$FU,3,FALSE),""))</f>
        <v>TN Titans Stadium</v>
      </c>
      <c r="C206" s="20" t="str">
        <f>IF(A206="","",IFERROR(VLOOKUP(A206,'Production Schedule'!$B:$FU,5,FALSE),""))</f>
        <v>Marc Ribar</v>
      </c>
      <c r="D206" s="20">
        <f>IF(A206="","",IFERROR(VLOOKUP(A206,'Production Schedule'!$B:$FU,7,FALSE),""))</f>
        <v>400</v>
      </c>
      <c r="E206" s="20">
        <f>IF(A206="","",IFERROR(VLOOKUP(A206,'Production Schedule'!$B:$FU,17,FALSE),""))</f>
        <v>78</v>
      </c>
      <c r="F206" s="20">
        <f>IF(A206="","",IFERROR(VLOOKUP(A206,'Production Schedule'!$B:$FU,18,FALSE),""))</f>
        <v>78</v>
      </c>
      <c r="G206" s="20" t="str">
        <f>IF(A206="","",IFERROR(VLOOKUP(A206,'Production Schedule'!$B:$FU,25,FALSE),""))</f>
        <v>FR ACM</v>
      </c>
      <c r="H206" s="21">
        <f>IF(A206="","",IFERROR(VLOOKUP(A206,'Production Schedule'!$B:$FU,47,FALSE),""))</f>
        <v>45945.676370763889</v>
      </c>
      <c r="I206" s="21">
        <f>IF(A206="","",IFERROR(VLOOKUP(A206,'Production Schedule'!$B:$FU,54,FALSE),""))</f>
        <v>45987</v>
      </c>
      <c r="J206" s="32">
        <f>IF(A206="","",IFERROR(VLOOKUP(A206,'Production Schedule'!$B:$FU,135,FALSE),""))</f>
        <v>140</v>
      </c>
      <c r="K206" s="20" t="str">
        <f>IF(A206="","",IFERROR(VLOOKUP(A206,'Production Schedule'!$B:$FU,59,FALSE),""))</f>
        <v>YES</v>
      </c>
      <c r="L206" s="39" t="str">
        <f>IF(A206="","",IFERROR(VLOOKUP(A206,'Production Schedule'!$B:$FU,80,FALSE),""))</f>
        <v>RTS Titans</v>
      </c>
      <c r="M206" s="33" t="str" cm="1">
        <f t="array" ref="M206">IF(A206="","",IFERROR(TRIM(INDEX(_xlfn.TEXTSPLIT(IFERROR(VLOOKUP(A206,'Production Schedule'!$B:$FU,150,FALSE),""),CHAR(10)),1)),""))</f>
        <v>AXYZ Titans Line</v>
      </c>
      <c r="N206" s="34">
        <f t="shared" si="24"/>
        <v>45961</v>
      </c>
      <c r="O206" s="33" t="str" cm="1">
        <f t="array" ref="O206">IF(A206="","",IFERROR(TRIM(INDEX(_xlfn.TEXTSPLIT(IFERROR(VLOOKUP(A206,'Production Schedule'!$B:$FU,150,FALSE),""),CHAR(10)),2)),""))</f>
        <v>Clean and Brake</v>
      </c>
      <c r="P206" s="34">
        <f t="shared" si="25"/>
        <v>45964</v>
      </c>
      <c r="Q206" s="33" t="str" cm="1">
        <f t="array" ref="Q206">IF(A206="","",IFERROR(TRIM(INDEX(_xlfn.TEXTSPLIT(IFERROR(VLOOKUP(A206,'Production Schedule'!$B:$FU,150,FALSE),""),CHAR(10)),3)),""))</f>
        <v>Fab</v>
      </c>
      <c r="R206" s="34">
        <f t="shared" si="26"/>
        <v>45974</v>
      </c>
      <c r="S206" s="33" t="str" cm="1">
        <f t="array" ref="S206">IF(A206="","",IFERROR(TRIM(INDEX(_xlfn.TEXTSPLIT(IFERROR(VLOOKUP(A206,'Production Schedule'!$B:$FU,150,FALSE),""),CHAR(10)),4)),""))</f>
        <v/>
      </c>
      <c r="T206" s="34" t="str">
        <f t="shared" si="27"/>
        <v/>
      </c>
      <c r="U206" s="33" t="str" cm="1">
        <f t="array" ref="U206">IF(A206="","",IFERROR(TRIM(INDEX(_xlfn.TEXTSPLIT(IFERROR(VLOOKUP(A206,'Production Schedule'!$B:$FU,150,FALSE),""),CHAR(10)),5)),""))</f>
        <v/>
      </c>
      <c r="V206" s="34" t="str">
        <f t="shared" si="28"/>
        <v/>
      </c>
      <c r="W206" s="33" t="str" cm="1">
        <f t="array" ref="W206">IF(A206="","",IFERROR(TRIM(INDEX(_xlfn.TEXTSPLIT(IFERROR(VLOOKUP(A206,'Production Schedule'!$B:$FU,150,FALSE),""),CHAR(10)),6)),""))</f>
        <v/>
      </c>
      <c r="X206" s="34" t="str">
        <f t="shared" si="29"/>
        <v/>
      </c>
      <c r="Y206" s="36">
        <f t="shared" si="30"/>
        <v>45985</v>
      </c>
      <c r="Z206" s="37" t="str">
        <f>IF(A206="","",IF(IFERROR(VLOOKUP(A206,Notes!A:B,2,FALSE),"")=0,"",VLOOKUP(A206,Notes!A:B,2,FALSE)))</f>
        <v>04/16/2026…RTS Titans</v>
      </c>
      <c r="AA206" s="20">
        <f t="shared" si="31"/>
        <v>2</v>
      </c>
    </row>
    <row r="207" spans="1:27" x14ac:dyDescent="0.25">
      <c r="A207" s="18" t="str">
        <v>24051-FS219</v>
      </c>
      <c r="B207" s="18" t="str">
        <f>IF(A207="","",IFERROR(VLOOKUP(A207,'Production Schedule'!$B:$FU,3,FALSE),""))</f>
        <v>TN Titans Stadium</v>
      </c>
      <c r="C207" s="18" t="str">
        <f>IF(A207="","",IFERROR(VLOOKUP(A207,'Production Schedule'!$B:$FU,5,FALSE),""))</f>
        <v>Marc Ribar</v>
      </c>
      <c r="D207" s="18">
        <f>IF(A207="","",IFERROR(VLOOKUP(A207,'Production Schedule'!$B:$FU,7,FALSE),""))</f>
        <v>400</v>
      </c>
      <c r="E207" s="18">
        <f>IF(A207="","",IFERROR(VLOOKUP(A207,'Production Schedule'!$B:$FU,17,FALSE),""))</f>
        <v>109</v>
      </c>
      <c r="F207" s="18">
        <f>IF(A207="","",IFERROR(VLOOKUP(A207,'Production Schedule'!$B:$FU,18,FALSE),""))</f>
        <v>109</v>
      </c>
      <c r="G207" s="18" t="str">
        <f>IF(A207="","",IFERROR(VLOOKUP(A207,'Production Schedule'!$B:$FU,25,FALSE),""))</f>
        <v>FR ACM</v>
      </c>
      <c r="H207" s="19">
        <f>IF(A207="","",IFERROR(VLOOKUP(A207,'Production Schedule'!$B:$FU,47,FALSE),""))</f>
        <v>45951.63553590278</v>
      </c>
      <c r="I207" s="19">
        <f>IF(A207="","",IFERROR(VLOOKUP(A207,'Production Schedule'!$B:$FU,54,FALSE),""))</f>
        <v>45994</v>
      </c>
      <c r="J207" s="26">
        <f>IF(A207="","",IFERROR(VLOOKUP(A207,'Production Schedule'!$B:$FU,135,FALSE),""))</f>
        <v>300</v>
      </c>
      <c r="K207" s="18" t="str">
        <f>IF(A207="","",IFERROR(VLOOKUP(A207,'Production Schedule'!$B:$FU,59,FALSE),""))</f>
        <v>YES</v>
      </c>
      <c r="L207" s="38" t="str">
        <f>IF(A207="","",IFERROR(VLOOKUP(A207,'Production Schedule'!$B:$FU,80,FALSE),""))</f>
        <v>RTS Titans</v>
      </c>
      <c r="M207" s="27" t="str" cm="1">
        <f t="array" ref="M207">IF(A207="","",IFERROR(TRIM(INDEX(_xlfn.TEXTSPLIT(IFERROR(VLOOKUP(A207,'Production Schedule'!$B:$FU,150,FALSE),""),CHAR(10)),1)),""))</f>
        <v>AXYZ Titans Line</v>
      </c>
      <c r="N207" s="28">
        <f t="shared" si="24"/>
        <v>45968</v>
      </c>
      <c r="O207" s="27" t="str" cm="1">
        <f t="array" ref="O207">IF(A207="","",IFERROR(TRIM(INDEX(_xlfn.TEXTSPLIT(IFERROR(VLOOKUP(A207,'Production Schedule'!$B:$FU,150,FALSE),""),CHAR(10)),2)),""))</f>
        <v>Clean and Brake</v>
      </c>
      <c r="P207" s="28">
        <f t="shared" si="25"/>
        <v>45971</v>
      </c>
      <c r="Q207" s="27" t="str" cm="1">
        <f t="array" ref="Q207">IF(A207="","",IFERROR(TRIM(INDEX(_xlfn.TEXTSPLIT(IFERROR(VLOOKUP(A207,'Production Schedule'!$B:$FU,150,FALSE),""),CHAR(10)),3)),""))</f>
        <v>Fab</v>
      </c>
      <c r="R207" s="28">
        <f t="shared" si="26"/>
        <v>45981</v>
      </c>
      <c r="S207" s="27" t="str" cm="1">
        <f t="array" ref="S207">IF(A207="","",IFERROR(TRIM(INDEX(_xlfn.TEXTSPLIT(IFERROR(VLOOKUP(A207,'Production Schedule'!$B:$FU,150,FALSE),""),CHAR(10)),4)),""))</f>
        <v/>
      </c>
      <c r="T207" s="28" t="str">
        <f t="shared" si="27"/>
        <v/>
      </c>
      <c r="U207" s="27" t="str" cm="1">
        <f t="array" ref="U207">IF(A207="","",IFERROR(TRIM(INDEX(_xlfn.TEXTSPLIT(IFERROR(VLOOKUP(A207,'Production Schedule'!$B:$FU,150,FALSE),""),CHAR(10)),5)),""))</f>
        <v/>
      </c>
      <c r="V207" s="28" t="str">
        <f t="shared" si="28"/>
        <v/>
      </c>
      <c r="W207" s="27" t="str" cm="1">
        <f t="array" ref="W207">IF(A207="","",IFERROR(TRIM(INDEX(_xlfn.TEXTSPLIT(IFERROR(VLOOKUP(A207,'Production Schedule'!$B:$FU,150,FALSE),""),CHAR(10)),6)),""))</f>
        <v/>
      </c>
      <c r="X207" s="28" t="str">
        <f t="shared" si="29"/>
        <v/>
      </c>
      <c r="Y207" s="30">
        <f t="shared" si="30"/>
        <v>45992</v>
      </c>
      <c r="Z207" s="31" t="str">
        <f>IF(A207="","",IF(IFERROR(VLOOKUP(A207,Notes!A:B,2,FALSE),"")=0,"",VLOOKUP(A207,Notes!A:B,2,FALSE)))</f>
        <v>04/16/2026…RTS Titans</v>
      </c>
      <c r="AA207" s="18">
        <f t="shared" si="31"/>
        <v>2</v>
      </c>
    </row>
    <row r="208" spans="1:27" x14ac:dyDescent="0.25">
      <c r="A208" s="20" t="str">
        <v>24051-FS217</v>
      </c>
      <c r="B208" s="20" t="str">
        <f>IF(A208="","",IFERROR(VLOOKUP(A208,'Production Schedule'!$B:$FU,3,FALSE),""))</f>
        <v>TN Titans Stadium</v>
      </c>
      <c r="C208" s="20" t="str">
        <f>IF(A208="","",IFERROR(VLOOKUP(A208,'Production Schedule'!$B:$FU,5,FALSE),""))</f>
        <v>Marc Ribar</v>
      </c>
      <c r="D208" s="20">
        <f>IF(A208="","",IFERROR(VLOOKUP(A208,'Production Schedule'!$B:$FU,7,FALSE),""))</f>
        <v>400</v>
      </c>
      <c r="E208" s="20">
        <f>IF(A208="","",IFERROR(VLOOKUP(A208,'Production Schedule'!$B:$FU,17,FALSE),""))</f>
        <v>12</v>
      </c>
      <c r="F208" s="20">
        <f>IF(A208="","",IFERROR(VLOOKUP(A208,'Production Schedule'!$B:$FU,18,FALSE),""))</f>
        <v>12</v>
      </c>
      <c r="G208" s="20" t="str">
        <f>IF(A208="","",IFERROR(VLOOKUP(A208,'Production Schedule'!$B:$FU,25,FALSE),""))</f>
        <v>FR ACM</v>
      </c>
      <c r="H208" s="21">
        <f>IF(A208="","",IFERROR(VLOOKUP(A208,'Production Schedule'!$B:$FU,47,FALSE),""))</f>
        <v>45946.602331932867</v>
      </c>
      <c r="I208" s="21">
        <f>IF(A208="","",IFERROR(VLOOKUP(A208,'Production Schedule'!$B:$FU,54,FALSE),""))</f>
        <v>45996</v>
      </c>
      <c r="J208" s="32">
        <f>IF(A208="","",IFERROR(VLOOKUP(A208,'Production Schedule'!$B:$FU,135,FALSE),""))</f>
        <v>16</v>
      </c>
      <c r="K208" s="20" t="str">
        <f>IF(A208="","",IFERROR(VLOOKUP(A208,'Production Schedule'!$B:$FU,59,FALSE),""))</f>
        <v>YES</v>
      </c>
      <c r="L208" s="39" t="str">
        <f>IF(A208="","",IFERROR(VLOOKUP(A208,'Production Schedule'!$B:$FU,80,FALSE),""))</f>
        <v>RTS Titans</v>
      </c>
      <c r="M208" s="33" t="str" cm="1">
        <f t="array" ref="M208">IF(A208="","",IFERROR(TRIM(INDEX(_xlfn.TEXTSPLIT(IFERROR(VLOOKUP(A208,'Production Schedule'!$B:$FU,150,FALSE),""),CHAR(10)),1)),""))</f>
        <v>AXYZ Titans Line</v>
      </c>
      <c r="N208" s="34">
        <f t="shared" si="24"/>
        <v>45972</v>
      </c>
      <c r="O208" s="33" t="str" cm="1">
        <f t="array" ref="O208">IF(A208="","",IFERROR(TRIM(INDEX(_xlfn.TEXTSPLIT(IFERROR(VLOOKUP(A208,'Production Schedule'!$B:$FU,150,FALSE),""),CHAR(10)),2)),""))</f>
        <v>Clean and Brake</v>
      </c>
      <c r="P208" s="34">
        <f t="shared" si="25"/>
        <v>45973</v>
      </c>
      <c r="Q208" s="33" t="str" cm="1">
        <f t="array" ref="Q208">IF(A208="","",IFERROR(TRIM(INDEX(_xlfn.TEXTSPLIT(IFERROR(VLOOKUP(A208,'Production Schedule'!$B:$FU,150,FALSE),""),CHAR(10)),3)),""))</f>
        <v>Fab</v>
      </c>
      <c r="R208" s="34">
        <f t="shared" si="26"/>
        <v>45983</v>
      </c>
      <c r="S208" s="33" t="str" cm="1">
        <f t="array" ref="S208">IF(A208="","",IFERROR(TRIM(INDEX(_xlfn.TEXTSPLIT(IFERROR(VLOOKUP(A208,'Production Schedule'!$B:$FU,150,FALSE),""),CHAR(10)),4)),""))</f>
        <v/>
      </c>
      <c r="T208" s="34" t="str">
        <f t="shared" si="27"/>
        <v/>
      </c>
      <c r="U208" s="33" t="str" cm="1">
        <f t="array" ref="U208">IF(A208="","",IFERROR(TRIM(INDEX(_xlfn.TEXTSPLIT(IFERROR(VLOOKUP(A208,'Production Schedule'!$B:$FU,150,FALSE),""),CHAR(10)),5)),""))</f>
        <v/>
      </c>
      <c r="V208" s="34" t="str">
        <f t="shared" si="28"/>
        <v/>
      </c>
      <c r="W208" s="33" t="str" cm="1">
        <f t="array" ref="W208">IF(A208="","",IFERROR(TRIM(INDEX(_xlfn.TEXTSPLIT(IFERROR(VLOOKUP(A208,'Production Schedule'!$B:$FU,150,FALSE),""),CHAR(10)),6)),""))</f>
        <v/>
      </c>
      <c r="X208" s="34" t="str">
        <f t="shared" si="29"/>
        <v/>
      </c>
      <c r="Y208" s="36">
        <f t="shared" si="30"/>
        <v>45994</v>
      </c>
      <c r="Z208" s="37" t="str">
        <f>IF(A208="","",IF(IFERROR(VLOOKUP(A208,Notes!A:B,2,FALSE),"")=0,"",VLOOKUP(A208,Notes!A:B,2,FALSE)))</f>
        <v>04/16/2026…RTS Titans</v>
      </c>
      <c r="AA208" s="20">
        <f t="shared" si="31"/>
        <v>2</v>
      </c>
    </row>
    <row r="209" spans="1:27" x14ac:dyDescent="0.25">
      <c r="A209" s="18" t="str">
        <v>24051-FS218</v>
      </c>
      <c r="B209" s="18" t="str">
        <f>IF(A209="","",IFERROR(VLOOKUP(A209,'Production Schedule'!$B:$FU,3,FALSE),""))</f>
        <v>TN Titans Stadium</v>
      </c>
      <c r="C209" s="18" t="str">
        <f>IF(A209="","",IFERROR(VLOOKUP(A209,'Production Schedule'!$B:$FU,5,FALSE),""))</f>
        <v>Marc Ribar</v>
      </c>
      <c r="D209" s="18">
        <f>IF(A209="","",IFERROR(VLOOKUP(A209,'Production Schedule'!$B:$FU,7,FALSE),""))</f>
        <v>400</v>
      </c>
      <c r="E209" s="18">
        <f>IF(A209="","",IFERROR(VLOOKUP(A209,'Production Schedule'!$B:$FU,17,FALSE),""))</f>
        <v>97</v>
      </c>
      <c r="F209" s="18">
        <f>IF(A209="","",IFERROR(VLOOKUP(A209,'Production Schedule'!$B:$FU,18,FALSE),""))</f>
        <v>97</v>
      </c>
      <c r="G209" s="18" t="str">
        <f>IF(A209="","",IFERROR(VLOOKUP(A209,'Production Schedule'!$B:$FU,25,FALSE),""))</f>
        <v>FR ACM</v>
      </c>
      <c r="H209" s="19">
        <f>IF(A209="","",IFERROR(VLOOKUP(A209,'Production Schedule'!$B:$FU,47,FALSE),""))</f>
        <v>45950.367060289354</v>
      </c>
      <c r="I209" s="19">
        <f>IF(A209="","",IFERROR(VLOOKUP(A209,'Production Schedule'!$B:$FU,54,FALSE),""))</f>
        <v>45996</v>
      </c>
      <c r="J209" s="26">
        <f>IF(A209="","",IFERROR(VLOOKUP(A209,'Production Schedule'!$B:$FU,135,FALSE),""))</f>
        <v>180</v>
      </c>
      <c r="K209" s="18" t="str">
        <f>IF(A209="","",IFERROR(VLOOKUP(A209,'Production Schedule'!$B:$FU,59,FALSE),""))</f>
        <v>YES</v>
      </c>
      <c r="L209" s="38" t="str">
        <f>IF(A209="","",IFERROR(VLOOKUP(A209,'Production Schedule'!$B:$FU,80,FALSE),""))</f>
        <v>RTS Titans</v>
      </c>
      <c r="M209" s="27" t="str" cm="1">
        <f t="array" ref="M209">IF(A209="","",IFERROR(TRIM(INDEX(_xlfn.TEXTSPLIT(IFERROR(VLOOKUP(A209,'Production Schedule'!$B:$FU,150,FALSE),""),CHAR(10)),1)),""))</f>
        <v>AXYZ Titans Line</v>
      </c>
      <c r="N209" s="28">
        <f t="shared" si="24"/>
        <v>45971</v>
      </c>
      <c r="O209" s="27" t="str" cm="1">
        <f t="array" ref="O209">IF(A209="","",IFERROR(TRIM(INDEX(_xlfn.TEXTSPLIT(IFERROR(VLOOKUP(A209,'Production Schedule'!$B:$FU,150,FALSE),""),CHAR(10)),2)),""))</f>
        <v>Clean and Brake</v>
      </c>
      <c r="P209" s="28">
        <f t="shared" si="25"/>
        <v>45973</v>
      </c>
      <c r="Q209" s="27" t="str" cm="1">
        <f t="array" ref="Q209">IF(A209="","",IFERROR(TRIM(INDEX(_xlfn.TEXTSPLIT(IFERROR(VLOOKUP(A209,'Production Schedule'!$B:$FU,150,FALSE),""),CHAR(10)),3)),""))</f>
        <v>Fab</v>
      </c>
      <c r="R209" s="28">
        <f t="shared" si="26"/>
        <v>45983</v>
      </c>
      <c r="S209" s="27" t="str" cm="1">
        <f t="array" ref="S209">IF(A209="","",IFERROR(TRIM(INDEX(_xlfn.TEXTSPLIT(IFERROR(VLOOKUP(A209,'Production Schedule'!$B:$FU,150,FALSE),""),CHAR(10)),4)),""))</f>
        <v/>
      </c>
      <c r="T209" s="28" t="str">
        <f t="shared" si="27"/>
        <v/>
      </c>
      <c r="U209" s="27" t="str" cm="1">
        <f t="array" ref="U209">IF(A209="","",IFERROR(TRIM(INDEX(_xlfn.TEXTSPLIT(IFERROR(VLOOKUP(A209,'Production Schedule'!$B:$FU,150,FALSE),""),CHAR(10)),5)),""))</f>
        <v/>
      </c>
      <c r="V209" s="28" t="str">
        <f t="shared" si="28"/>
        <v/>
      </c>
      <c r="W209" s="27" t="str" cm="1">
        <f t="array" ref="W209">IF(A209="","",IFERROR(TRIM(INDEX(_xlfn.TEXTSPLIT(IFERROR(VLOOKUP(A209,'Production Schedule'!$B:$FU,150,FALSE),""),CHAR(10)),6)),""))</f>
        <v/>
      </c>
      <c r="X209" s="28" t="str">
        <f t="shared" si="29"/>
        <v/>
      </c>
      <c r="Y209" s="30">
        <f t="shared" si="30"/>
        <v>45994</v>
      </c>
      <c r="Z209" s="31" t="str">
        <f>IF(A209="","",IF(IFERROR(VLOOKUP(A209,Notes!A:B,2,FALSE),"")=0,"",VLOOKUP(A209,Notes!A:B,2,FALSE)))</f>
        <v>04/16/2026…RTS Titans</v>
      </c>
      <c r="AA209" s="18">
        <f t="shared" si="31"/>
        <v>2</v>
      </c>
    </row>
    <row r="210" spans="1:27" x14ac:dyDescent="0.25">
      <c r="A210" s="20" t="str">
        <v>25014-11-ST01</v>
      </c>
      <c r="B210" s="20" t="str">
        <f>IF(A210="","",IFERROR(VLOOKUP(A210,'Production Schedule'!$B:$FU,3,FALSE),""))</f>
        <v>R&amp;D</v>
      </c>
      <c r="C210" s="20" t="str">
        <f>IF(A210="","",IFERROR(VLOOKUP(A210,'Production Schedule'!$B:$FU,5,FALSE),""))</f>
        <v>TBC</v>
      </c>
      <c r="D210" s="20" t="str">
        <f>IF(A210="","",IFERROR(VLOOKUP(A210,'Production Schedule'!$B:$FU,7,FALSE),""))</f>
        <v>---</v>
      </c>
      <c r="E210" s="20">
        <f>IF(A210="","",IFERROR(VLOOKUP(A210,'Production Schedule'!$B:$FU,17,FALSE),""))</f>
        <v>0</v>
      </c>
      <c r="F210" s="20">
        <f>IF(A210="","",IFERROR(VLOOKUP(A210,'Production Schedule'!$B:$FU,18,FALSE),""))</f>
        <v>1</v>
      </c>
      <c r="G210" s="20" t="str">
        <f>IF(A210="","",IFERROR(VLOOKUP(A210,'Production Schedule'!$B:$FU,25,FALSE),""))</f>
        <v>Steel Sheet</v>
      </c>
      <c r="H210" s="21">
        <f>IF(A210="","",IFERROR(VLOOKUP(A210,'Production Schedule'!$B:$FU,47,FALSE),""))</f>
        <v>45982.287503784719</v>
      </c>
      <c r="I210" s="21">
        <f>IF(A210="","",IFERROR(VLOOKUP(A210,'Production Schedule'!$B:$FU,54,FALSE),""))</f>
        <v>45997</v>
      </c>
      <c r="J210" s="32">
        <f>IF(A210="","",IFERROR(VLOOKUP(A210,'Production Schedule'!$B:$FU,135,FALSE),""))</f>
        <v>2</v>
      </c>
      <c r="K210" s="20" t="str">
        <f>IF(A210="","",IFERROR(VLOOKUP(A210,'Production Schedule'!$B:$FU,59,FALSE),""))</f>
        <v>YES</v>
      </c>
      <c r="L210" s="39" t="str">
        <f>IF(A210="","",IFERROR(VLOOKUP(A210,'Production Schedule'!$B:$FU,80,FALSE),""))</f>
        <v>Ready to Ship</v>
      </c>
      <c r="M210" s="33" t="str" cm="1">
        <f t="array" ref="M210">IF(A210="","",IFERROR(TRIM(INDEX(_xlfn.TEXTSPLIT(IFERROR(VLOOKUP(A210,'Production Schedule'!$B:$FU,150,FALSE),""),CHAR(10)),1)),""))</f>
        <v>TruLaser 3040</v>
      </c>
      <c r="N210" s="34">
        <f t="shared" si="24"/>
        <v>45985</v>
      </c>
      <c r="O210" s="33" t="str" cm="1">
        <f t="array" ref="O210">IF(A210="","",IFERROR(TRIM(INDEX(_xlfn.TEXTSPLIT(IFERROR(VLOOKUP(A210,'Production Schedule'!$B:$FU,150,FALSE),""),CHAR(10)),2)),""))</f>
        <v/>
      </c>
      <c r="P210" s="34" t="str">
        <f t="shared" si="25"/>
        <v/>
      </c>
      <c r="Q210" s="33" t="str" cm="1">
        <f t="array" ref="Q210">IF(A210="","",IFERROR(TRIM(INDEX(_xlfn.TEXTSPLIT(IFERROR(VLOOKUP(A210,'Production Schedule'!$B:$FU,150,FALSE),""),CHAR(10)),3)),""))</f>
        <v/>
      </c>
      <c r="R210" s="34" t="str">
        <f t="shared" si="26"/>
        <v/>
      </c>
      <c r="S210" s="33" t="str" cm="1">
        <f t="array" ref="S210">IF(A210="","",IFERROR(TRIM(INDEX(_xlfn.TEXTSPLIT(IFERROR(VLOOKUP(A210,'Production Schedule'!$B:$FU,150,FALSE),""),CHAR(10)),4)),""))</f>
        <v/>
      </c>
      <c r="T210" s="34" t="str">
        <f t="shared" si="27"/>
        <v/>
      </c>
      <c r="U210" s="33" t="str" cm="1">
        <f t="array" ref="U210">IF(A210="","",IFERROR(TRIM(INDEX(_xlfn.TEXTSPLIT(IFERROR(VLOOKUP(A210,'Production Schedule'!$B:$FU,150,FALSE),""),CHAR(10)),5)),""))</f>
        <v/>
      </c>
      <c r="V210" s="34" t="str">
        <f t="shared" si="28"/>
        <v/>
      </c>
      <c r="W210" s="33" t="str" cm="1">
        <f t="array" ref="W210">IF(A210="","",IFERROR(TRIM(INDEX(_xlfn.TEXTSPLIT(IFERROR(VLOOKUP(A210,'Production Schedule'!$B:$FU,150,FALSE),""),CHAR(10)),6)),""))</f>
        <v/>
      </c>
      <c r="X210" s="34" t="str">
        <f t="shared" si="29"/>
        <v/>
      </c>
      <c r="Y210" s="36">
        <f t="shared" si="30"/>
        <v>45995</v>
      </c>
      <c r="Z210" s="37" t="str">
        <f>IF(A210="","",IF(IFERROR(VLOOKUP(A210,Notes!A:B,2,FALSE),"")=0,"",VLOOKUP(A210,Notes!A:B,2,FALSE)))</f>
        <v>04/16/2026…Ready to Ship</v>
      </c>
      <c r="AA210" s="20">
        <f t="shared" si="31"/>
        <v>2</v>
      </c>
    </row>
    <row r="211" spans="1:27" x14ac:dyDescent="0.25">
      <c r="A211" s="18" t="str">
        <v>25014-11-ST02</v>
      </c>
      <c r="B211" s="18" t="str">
        <f>IF(A211="","",IFERROR(VLOOKUP(A211,'Production Schedule'!$B:$FU,3,FALSE),""))</f>
        <v>R&amp;D</v>
      </c>
      <c r="C211" s="18" t="str">
        <f>IF(A211="","",IFERROR(VLOOKUP(A211,'Production Schedule'!$B:$FU,5,FALSE),""))</f>
        <v>TBC</v>
      </c>
      <c r="D211" s="18" t="str">
        <f>IF(A211="","",IFERROR(VLOOKUP(A211,'Production Schedule'!$B:$FU,7,FALSE),""))</f>
        <v>---</v>
      </c>
      <c r="E211" s="18">
        <f>IF(A211="","",IFERROR(VLOOKUP(A211,'Production Schedule'!$B:$FU,17,FALSE),""))</f>
        <v>0</v>
      </c>
      <c r="F211" s="18">
        <f>IF(A211="","",IFERROR(VLOOKUP(A211,'Production Schedule'!$B:$FU,18,FALSE),""))</f>
        <v>232</v>
      </c>
      <c r="G211" s="18" t="str">
        <f>IF(A211="","",IFERROR(VLOOKUP(A211,'Production Schedule'!$B:$FU,25,FALSE),""))</f>
        <v>Alum Tube</v>
      </c>
      <c r="H211" s="19">
        <f>IF(A211="","",IFERROR(VLOOKUP(A211,'Production Schedule'!$B:$FU,47,FALSE),""))</f>
        <v>45982.292427002314</v>
      </c>
      <c r="I211" s="19">
        <f>IF(A211="","",IFERROR(VLOOKUP(A211,'Production Schedule'!$B:$FU,54,FALSE),""))</f>
        <v>45997</v>
      </c>
      <c r="J211" s="26">
        <f>IF(A211="","",IFERROR(VLOOKUP(A211,'Production Schedule'!$B:$FU,135,FALSE),""))</f>
        <v>2</v>
      </c>
      <c r="K211" s="18" t="str">
        <f>IF(A211="","",IFERROR(VLOOKUP(A211,'Production Schedule'!$B:$FU,59,FALSE),""))</f>
        <v>YES</v>
      </c>
      <c r="L211" s="38" t="str">
        <f>IF(A211="","",IFERROR(VLOOKUP(A211,'Production Schedule'!$B:$FU,80,FALSE),""))</f>
        <v>Ready to Ship</v>
      </c>
      <c r="M211" s="27" t="str" cm="1">
        <f t="array" ref="M211">IF(A211="","",IFERROR(TRIM(INDEX(_xlfn.TEXTSPLIT(IFERROR(VLOOKUP(A211,'Production Schedule'!$B:$FU,150,FALSE),""),CHAR(10)),1)),""))</f>
        <v>Tube Laser</v>
      </c>
      <c r="N211" s="28">
        <f t="shared" si="24"/>
        <v>45985</v>
      </c>
      <c r="O211" s="27" t="str" cm="1">
        <f t="array" ref="O211">IF(A211="","",IFERROR(TRIM(INDEX(_xlfn.TEXTSPLIT(IFERROR(VLOOKUP(A211,'Production Schedule'!$B:$FU,150,FALSE),""),CHAR(10)),2)),""))</f>
        <v/>
      </c>
      <c r="P211" s="28" t="str">
        <f t="shared" si="25"/>
        <v/>
      </c>
      <c r="Q211" s="27" t="str" cm="1">
        <f t="array" ref="Q211">IF(A211="","",IFERROR(TRIM(INDEX(_xlfn.TEXTSPLIT(IFERROR(VLOOKUP(A211,'Production Schedule'!$B:$FU,150,FALSE),""),CHAR(10)),3)),""))</f>
        <v/>
      </c>
      <c r="R211" s="28" t="str">
        <f t="shared" si="26"/>
        <v/>
      </c>
      <c r="S211" s="27" t="str" cm="1">
        <f t="array" ref="S211">IF(A211="","",IFERROR(TRIM(INDEX(_xlfn.TEXTSPLIT(IFERROR(VLOOKUP(A211,'Production Schedule'!$B:$FU,150,FALSE),""),CHAR(10)),4)),""))</f>
        <v/>
      </c>
      <c r="T211" s="28" t="str">
        <f t="shared" si="27"/>
        <v/>
      </c>
      <c r="U211" s="27" t="str" cm="1">
        <f t="array" ref="U211">IF(A211="","",IFERROR(TRIM(INDEX(_xlfn.TEXTSPLIT(IFERROR(VLOOKUP(A211,'Production Schedule'!$B:$FU,150,FALSE),""),CHAR(10)),5)),""))</f>
        <v/>
      </c>
      <c r="V211" s="28" t="str">
        <f t="shared" si="28"/>
        <v/>
      </c>
      <c r="W211" s="27" t="str" cm="1">
        <f t="array" ref="W211">IF(A211="","",IFERROR(TRIM(INDEX(_xlfn.TEXTSPLIT(IFERROR(VLOOKUP(A211,'Production Schedule'!$B:$FU,150,FALSE),""),CHAR(10)),6)),""))</f>
        <v/>
      </c>
      <c r="X211" s="28" t="str">
        <f t="shared" si="29"/>
        <v/>
      </c>
      <c r="Y211" s="30">
        <f t="shared" si="30"/>
        <v>45995</v>
      </c>
      <c r="Z211" s="31" t="str">
        <f>IF(A211="","",IF(IFERROR(VLOOKUP(A211,Notes!A:B,2,FALSE),"")=0,"",VLOOKUP(A211,Notes!A:B,2,FALSE)))</f>
        <v>04/16/2026…Ready to Ship</v>
      </c>
      <c r="AA211" s="18">
        <f t="shared" si="31"/>
        <v>2</v>
      </c>
    </row>
    <row r="212" spans="1:27" x14ac:dyDescent="0.25">
      <c r="A212" s="20" t="str">
        <v>24051-FS46C</v>
      </c>
      <c r="B212" s="20" t="str">
        <f>IF(A212="","",IFERROR(VLOOKUP(A212,'Production Schedule'!$B:$FU,3,FALSE),""))</f>
        <v>TN Titans Stadium</v>
      </c>
      <c r="C212" s="20" t="str">
        <f>IF(A212="","",IFERROR(VLOOKUP(A212,'Production Schedule'!$B:$FU,5,FALSE),""))</f>
        <v>Marc Ribar</v>
      </c>
      <c r="D212" s="20">
        <f>IF(A212="","",IFERROR(VLOOKUP(A212,'Production Schedule'!$B:$FU,7,FALSE),""))</f>
        <v>400</v>
      </c>
      <c r="E212" s="20">
        <f>IF(A212="","",IFERROR(VLOOKUP(A212,'Production Schedule'!$B:$FU,17,FALSE),""))</f>
        <v>25</v>
      </c>
      <c r="F212" s="20">
        <f>IF(A212="","",IFERROR(VLOOKUP(A212,'Production Schedule'!$B:$FU,18,FALSE),""))</f>
        <v>25</v>
      </c>
      <c r="G212" s="20" t="str">
        <f>IF(A212="","",IFERROR(VLOOKUP(A212,'Production Schedule'!$B:$FU,25,FALSE),""))</f>
        <v>FR ACM</v>
      </c>
      <c r="H212" s="21">
        <f>IF(A212="","",IFERROR(VLOOKUP(A212,'Production Schedule'!$B:$FU,47,FALSE),""))</f>
        <v>45946.438661423614</v>
      </c>
      <c r="I212" s="21">
        <f>IF(A212="","",IFERROR(VLOOKUP(A212,'Production Schedule'!$B:$FU,54,FALSE),""))</f>
        <v>45999</v>
      </c>
      <c r="J212" s="32">
        <f>IF(A212="","",IFERROR(VLOOKUP(A212,'Production Schedule'!$B:$FU,135,FALSE),""))</f>
        <v>8</v>
      </c>
      <c r="K212" s="20" t="str">
        <f>IF(A212="","",IFERROR(VLOOKUP(A212,'Production Schedule'!$B:$FU,59,FALSE),""))</f>
        <v>YES</v>
      </c>
      <c r="L212" s="39" t="str">
        <f>IF(A212="","",IFERROR(VLOOKUP(A212,'Production Schedule'!$B:$FU,80,FALSE),""))</f>
        <v>RTS Titans</v>
      </c>
      <c r="M212" s="33" t="str" cm="1">
        <f t="array" ref="M212">IF(A212="","",IFERROR(TRIM(INDEX(_xlfn.TEXTSPLIT(IFERROR(VLOOKUP(A212,'Production Schedule'!$B:$FU,150,FALSE),""),CHAR(10)),1)),""))</f>
        <v>AXYZ Titans Line</v>
      </c>
      <c r="N212" s="34">
        <f t="shared" si="24"/>
        <v>45974</v>
      </c>
      <c r="O212" s="33" t="str" cm="1">
        <f t="array" ref="O212">IF(A212="","",IFERROR(TRIM(INDEX(_xlfn.TEXTSPLIT(IFERROR(VLOOKUP(A212,'Production Schedule'!$B:$FU,150,FALSE),""),CHAR(10)),2)),""))</f>
        <v>Clean and Brake</v>
      </c>
      <c r="P212" s="34">
        <f t="shared" si="25"/>
        <v>45975</v>
      </c>
      <c r="Q212" s="33" t="str" cm="1">
        <f t="array" ref="Q212">IF(A212="","",IFERROR(TRIM(INDEX(_xlfn.TEXTSPLIT(IFERROR(VLOOKUP(A212,'Production Schedule'!$B:$FU,150,FALSE),""),CHAR(10)),3)),""))</f>
        <v>Fab</v>
      </c>
      <c r="R212" s="34">
        <f t="shared" si="26"/>
        <v>45986</v>
      </c>
      <c r="S212" s="33" t="str" cm="1">
        <f t="array" ref="S212">IF(A212="","",IFERROR(TRIM(INDEX(_xlfn.TEXTSPLIT(IFERROR(VLOOKUP(A212,'Production Schedule'!$B:$FU,150,FALSE),""),CHAR(10)),4)),""))</f>
        <v/>
      </c>
      <c r="T212" s="34" t="str">
        <f t="shared" si="27"/>
        <v/>
      </c>
      <c r="U212" s="33" t="str" cm="1">
        <f t="array" ref="U212">IF(A212="","",IFERROR(TRIM(INDEX(_xlfn.TEXTSPLIT(IFERROR(VLOOKUP(A212,'Production Schedule'!$B:$FU,150,FALSE),""),CHAR(10)),5)),""))</f>
        <v/>
      </c>
      <c r="V212" s="34" t="str">
        <f t="shared" si="28"/>
        <v/>
      </c>
      <c r="W212" s="33" t="str" cm="1">
        <f t="array" ref="W212">IF(A212="","",IFERROR(TRIM(INDEX(_xlfn.TEXTSPLIT(IFERROR(VLOOKUP(A212,'Production Schedule'!$B:$FU,150,FALSE),""),CHAR(10)),6)),""))</f>
        <v/>
      </c>
      <c r="X212" s="34" t="str">
        <f t="shared" si="29"/>
        <v/>
      </c>
      <c r="Y212" s="36">
        <f t="shared" si="30"/>
        <v>45996</v>
      </c>
      <c r="Z212" s="37" t="str">
        <f>IF(A212="","",IF(IFERROR(VLOOKUP(A212,Notes!A:B,2,FALSE),"")=0,"",VLOOKUP(A212,Notes!A:B,2,FALSE)))</f>
        <v>04/16/2026…RTS Titans</v>
      </c>
      <c r="AA212" s="20">
        <f t="shared" si="31"/>
        <v>2</v>
      </c>
    </row>
    <row r="213" spans="1:27" x14ac:dyDescent="0.25">
      <c r="A213" s="18" t="str">
        <v>24051-FS46</v>
      </c>
      <c r="B213" s="18" t="str">
        <f>IF(A213="","",IFERROR(VLOOKUP(A213,'Production Schedule'!$B:$FU,3,FALSE),""))</f>
        <v>TN Titans Stadium</v>
      </c>
      <c r="C213" s="18" t="str">
        <f>IF(A213="","",IFERROR(VLOOKUP(A213,'Production Schedule'!$B:$FU,5,FALSE),""))</f>
        <v>Marc Ribar</v>
      </c>
      <c r="D213" s="18">
        <f>IF(A213="","",IFERROR(VLOOKUP(A213,'Production Schedule'!$B:$FU,7,FALSE),""))</f>
        <v>400</v>
      </c>
      <c r="E213" s="18">
        <f>IF(A213="","",IFERROR(VLOOKUP(A213,'Production Schedule'!$B:$FU,17,FALSE),""))</f>
        <v>75</v>
      </c>
      <c r="F213" s="18">
        <f>IF(A213="","",IFERROR(VLOOKUP(A213,'Production Schedule'!$B:$FU,18,FALSE),""))</f>
        <v>75</v>
      </c>
      <c r="G213" s="18" t="str">
        <f>IF(A213="","",IFERROR(VLOOKUP(A213,'Production Schedule'!$B:$FU,25,FALSE),""))</f>
        <v>FR ACM</v>
      </c>
      <c r="H213" s="19">
        <f>IF(A213="","",IFERROR(VLOOKUP(A213,'Production Schedule'!$B:$FU,47,FALSE),""))</f>
        <v>45946.43497696759</v>
      </c>
      <c r="I213" s="19">
        <f>IF(A213="","",IFERROR(VLOOKUP(A213,'Production Schedule'!$B:$FU,54,FALSE),""))</f>
        <v>45999</v>
      </c>
      <c r="J213" s="26">
        <f>IF(A213="","",IFERROR(VLOOKUP(A213,'Production Schedule'!$B:$FU,135,FALSE),""))</f>
        <v>150</v>
      </c>
      <c r="K213" s="18" t="str">
        <f>IF(A213="","",IFERROR(VLOOKUP(A213,'Production Schedule'!$B:$FU,59,FALSE),""))</f>
        <v>YES</v>
      </c>
      <c r="L213" s="38" t="str">
        <f>IF(A213="","",IFERROR(VLOOKUP(A213,'Production Schedule'!$B:$FU,80,FALSE),""))</f>
        <v>RTS Titans</v>
      </c>
      <c r="M213" s="27" t="str" cm="1">
        <f t="array" ref="M213">IF(A213="","",IFERROR(TRIM(INDEX(_xlfn.TEXTSPLIT(IFERROR(VLOOKUP(A213,'Production Schedule'!$B:$FU,150,FALSE),""),CHAR(10)),1)),""))</f>
        <v>AXYZ Titans Line</v>
      </c>
      <c r="N213" s="28">
        <f t="shared" si="24"/>
        <v>45973</v>
      </c>
      <c r="O213" s="27" t="str" cm="1">
        <f t="array" ref="O213">IF(A213="","",IFERROR(TRIM(INDEX(_xlfn.TEXTSPLIT(IFERROR(VLOOKUP(A213,'Production Schedule'!$B:$FU,150,FALSE),""),CHAR(10)),2)),""))</f>
        <v>Clean and Brake</v>
      </c>
      <c r="P213" s="28">
        <f t="shared" si="25"/>
        <v>45975</v>
      </c>
      <c r="Q213" s="27" t="str" cm="1">
        <f t="array" ref="Q213">IF(A213="","",IFERROR(TRIM(INDEX(_xlfn.TEXTSPLIT(IFERROR(VLOOKUP(A213,'Production Schedule'!$B:$FU,150,FALSE),""),CHAR(10)),3)),""))</f>
        <v>Fab</v>
      </c>
      <c r="R213" s="28">
        <f t="shared" si="26"/>
        <v>45986</v>
      </c>
      <c r="S213" s="27" t="str" cm="1">
        <f t="array" ref="S213">IF(A213="","",IFERROR(TRIM(INDEX(_xlfn.TEXTSPLIT(IFERROR(VLOOKUP(A213,'Production Schedule'!$B:$FU,150,FALSE),""),CHAR(10)),4)),""))</f>
        <v/>
      </c>
      <c r="T213" s="28" t="str">
        <f t="shared" si="27"/>
        <v/>
      </c>
      <c r="U213" s="27" t="str" cm="1">
        <f t="array" ref="U213">IF(A213="","",IFERROR(TRIM(INDEX(_xlfn.TEXTSPLIT(IFERROR(VLOOKUP(A213,'Production Schedule'!$B:$FU,150,FALSE),""),CHAR(10)),5)),""))</f>
        <v/>
      </c>
      <c r="V213" s="28" t="str">
        <f t="shared" si="28"/>
        <v/>
      </c>
      <c r="W213" s="27" t="str" cm="1">
        <f t="array" ref="W213">IF(A213="","",IFERROR(TRIM(INDEX(_xlfn.TEXTSPLIT(IFERROR(VLOOKUP(A213,'Production Schedule'!$B:$FU,150,FALSE),""),CHAR(10)),6)),""))</f>
        <v/>
      </c>
      <c r="X213" s="28" t="str">
        <f t="shared" si="29"/>
        <v/>
      </c>
      <c r="Y213" s="30">
        <f t="shared" si="30"/>
        <v>45996</v>
      </c>
      <c r="Z213" s="31" t="str">
        <f>IF(A213="","",IF(IFERROR(VLOOKUP(A213,Notes!A:B,2,FALSE),"")=0,"",VLOOKUP(A213,Notes!A:B,2,FALSE)))</f>
        <v>04/16/2026…RTS Titans</v>
      </c>
      <c r="AA213" s="18">
        <f t="shared" si="31"/>
        <v>2</v>
      </c>
    </row>
    <row r="214" spans="1:27" x14ac:dyDescent="0.25">
      <c r="A214" s="20" t="str">
        <v>24051-FS47C</v>
      </c>
      <c r="B214" s="20" t="str">
        <f>IF(A214="","",IFERROR(VLOOKUP(A214,'Production Schedule'!$B:$FU,3,FALSE),""))</f>
        <v>TN Titans Stadium</v>
      </c>
      <c r="C214" s="20" t="str">
        <f>IF(A214="","",IFERROR(VLOOKUP(A214,'Production Schedule'!$B:$FU,5,FALSE),""))</f>
        <v>Marc Ribar</v>
      </c>
      <c r="D214" s="20">
        <f>IF(A214="","",IFERROR(VLOOKUP(A214,'Production Schedule'!$B:$FU,7,FALSE),""))</f>
        <v>400</v>
      </c>
      <c r="E214" s="20">
        <f>IF(A214="","",IFERROR(VLOOKUP(A214,'Production Schedule'!$B:$FU,17,FALSE),""))</f>
        <v>99</v>
      </c>
      <c r="F214" s="20">
        <f>IF(A214="","",IFERROR(VLOOKUP(A214,'Production Schedule'!$B:$FU,18,FALSE),""))</f>
        <v>99</v>
      </c>
      <c r="G214" s="20" t="str">
        <f>IF(A214="","",IFERROR(VLOOKUP(A214,'Production Schedule'!$B:$FU,25,FALSE),""))</f>
        <v>FR ACM</v>
      </c>
      <c r="H214" s="21">
        <f>IF(A214="","",IFERROR(VLOOKUP(A214,'Production Schedule'!$B:$FU,47,FALSE),""))</f>
        <v>45946.613716203705</v>
      </c>
      <c r="I214" s="21">
        <f>IF(A214="","",IFERROR(VLOOKUP(A214,'Production Schedule'!$B:$FU,54,FALSE),""))</f>
        <v>46003</v>
      </c>
      <c r="J214" s="32">
        <f>IF(A214="","",IFERROR(VLOOKUP(A214,'Production Schedule'!$B:$FU,135,FALSE),""))</f>
        <v>16</v>
      </c>
      <c r="K214" s="20" t="str">
        <f>IF(A214="","",IFERROR(VLOOKUP(A214,'Production Schedule'!$B:$FU,59,FALSE),""))</f>
        <v>YES</v>
      </c>
      <c r="L214" s="39" t="str">
        <f>IF(A214="","",IFERROR(VLOOKUP(A214,'Production Schedule'!$B:$FU,80,FALSE),""))</f>
        <v>RTS Titans</v>
      </c>
      <c r="M214" s="33" t="str" cm="1">
        <f t="array" ref="M214">IF(A214="","",IFERROR(TRIM(INDEX(_xlfn.TEXTSPLIT(IFERROR(VLOOKUP(A214,'Production Schedule'!$B:$FU,150,FALSE),""),CHAR(10)),1)),""))</f>
        <v>AXYZ Titans Line</v>
      </c>
      <c r="N214" s="34">
        <f t="shared" si="24"/>
        <v>45978</v>
      </c>
      <c r="O214" s="33" t="str" cm="1">
        <f t="array" ref="O214">IF(A214="","",IFERROR(TRIM(INDEX(_xlfn.TEXTSPLIT(IFERROR(VLOOKUP(A214,'Production Schedule'!$B:$FU,150,FALSE),""),CHAR(10)),2)),""))</f>
        <v>Clean and Brake</v>
      </c>
      <c r="P214" s="34">
        <f t="shared" si="25"/>
        <v>45980</v>
      </c>
      <c r="Q214" s="33" t="str" cm="1">
        <f t="array" ref="Q214">IF(A214="","",IFERROR(TRIM(INDEX(_xlfn.TEXTSPLIT(IFERROR(VLOOKUP(A214,'Production Schedule'!$B:$FU,150,FALSE),""),CHAR(10)),3)),""))</f>
        <v>Fab</v>
      </c>
      <c r="R214" s="34">
        <f t="shared" si="26"/>
        <v>45990</v>
      </c>
      <c r="S214" s="33" t="str" cm="1">
        <f t="array" ref="S214">IF(A214="","",IFERROR(TRIM(INDEX(_xlfn.TEXTSPLIT(IFERROR(VLOOKUP(A214,'Production Schedule'!$B:$FU,150,FALSE),""),CHAR(10)),4)),""))</f>
        <v/>
      </c>
      <c r="T214" s="34" t="str">
        <f t="shared" si="27"/>
        <v/>
      </c>
      <c r="U214" s="33" t="str" cm="1">
        <f t="array" ref="U214">IF(A214="","",IFERROR(TRIM(INDEX(_xlfn.TEXTSPLIT(IFERROR(VLOOKUP(A214,'Production Schedule'!$B:$FU,150,FALSE),""),CHAR(10)),5)),""))</f>
        <v/>
      </c>
      <c r="V214" s="34" t="str">
        <f t="shared" si="28"/>
        <v/>
      </c>
      <c r="W214" s="33" t="str" cm="1">
        <f t="array" ref="W214">IF(A214="","",IFERROR(TRIM(INDEX(_xlfn.TEXTSPLIT(IFERROR(VLOOKUP(A214,'Production Schedule'!$B:$FU,150,FALSE),""),CHAR(10)),6)),""))</f>
        <v/>
      </c>
      <c r="X214" s="34" t="str">
        <f t="shared" si="29"/>
        <v/>
      </c>
      <c r="Y214" s="36">
        <f t="shared" si="30"/>
        <v>46001</v>
      </c>
      <c r="Z214" s="37" t="str">
        <f>IF(A214="","",IF(IFERROR(VLOOKUP(A214,Notes!A:B,2,FALSE),"")=0,"",VLOOKUP(A214,Notes!A:B,2,FALSE)))</f>
        <v>04/16/2026…RTS Titans</v>
      </c>
      <c r="AA214" s="20">
        <f t="shared" si="31"/>
        <v>2</v>
      </c>
    </row>
    <row r="215" spans="1:27" x14ac:dyDescent="0.25">
      <c r="A215" s="18" t="str">
        <v>24051-FS48</v>
      </c>
      <c r="B215" s="18" t="str">
        <f>IF(A215="","",IFERROR(VLOOKUP(A215,'Production Schedule'!$B:$FU,3,FALSE),""))</f>
        <v>TN Titans Stadium</v>
      </c>
      <c r="C215" s="18" t="str">
        <f>IF(A215="","",IFERROR(VLOOKUP(A215,'Production Schedule'!$B:$FU,5,FALSE),""))</f>
        <v>Marc Ribar</v>
      </c>
      <c r="D215" s="18">
        <f>IF(A215="","",IFERROR(VLOOKUP(A215,'Production Schedule'!$B:$FU,7,FALSE),""))</f>
        <v>400</v>
      </c>
      <c r="E215" s="18">
        <f>IF(A215="","",IFERROR(VLOOKUP(A215,'Production Schedule'!$B:$FU,17,FALSE),""))</f>
        <v>124</v>
      </c>
      <c r="F215" s="18">
        <f>IF(A215="","",IFERROR(VLOOKUP(A215,'Production Schedule'!$B:$FU,18,FALSE),""))</f>
        <v>124</v>
      </c>
      <c r="G215" s="18" t="str">
        <f>IF(A215="","",IFERROR(VLOOKUP(A215,'Production Schedule'!$B:$FU,25,FALSE),""))</f>
        <v>FR ACM</v>
      </c>
      <c r="H215" s="19">
        <f>IF(A215="","",IFERROR(VLOOKUP(A215,'Production Schedule'!$B:$FU,47,FALSE),""))</f>
        <v>45946.650163298611</v>
      </c>
      <c r="I215" s="19">
        <f>IF(A215="","",IFERROR(VLOOKUP(A215,'Production Schedule'!$B:$FU,54,FALSE),""))</f>
        <v>46003</v>
      </c>
      <c r="J215" s="26">
        <f>IF(A215="","",IFERROR(VLOOKUP(A215,'Production Schedule'!$B:$FU,135,FALSE),""))</f>
        <v>200</v>
      </c>
      <c r="K215" s="18" t="str">
        <f>IF(A215="","",IFERROR(VLOOKUP(A215,'Production Schedule'!$B:$FU,59,FALSE),""))</f>
        <v>YES</v>
      </c>
      <c r="L215" s="38" t="str">
        <f>IF(A215="","",IFERROR(VLOOKUP(A215,'Production Schedule'!$B:$FU,80,FALSE),""))</f>
        <v>RTS Titans</v>
      </c>
      <c r="M215" s="27" t="str" cm="1">
        <f t="array" ref="M215">IF(A215="","",IFERROR(TRIM(INDEX(_xlfn.TEXTSPLIT(IFERROR(VLOOKUP(A215,'Production Schedule'!$B:$FU,150,FALSE),""),CHAR(10)),1)),""))</f>
        <v>AXYZ Titans Line</v>
      </c>
      <c r="N215" s="28">
        <f t="shared" si="24"/>
        <v>45976</v>
      </c>
      <c r="O215" s="27" t="str" cm="1">
        <f t="array" ref="O215">IF(A215="","",IFERROR(TRIM(INDEX(_xlfn.TEXTSPLIT(IFERROR(VLOOKUP(A215,'Production Schedule'!$B:$FU,150,FALSE),""),CHAR(10)),2)),""))</f>
        <v>Clean and Brake</v>
      </c>
      <c r="P215" s="28">
        <f t="shared" si="25"/>
        <v>45980</v>
      </c>
      <c r="Q215" s="27" t="str" cm="1">
        <f t="array" ref="Q215">IF(A215="","",IFERROR(TRIM(INDEX(_xlfn.TEXTSPLIT(IFERROR(VLOOKUP(A215,'Production Schedule'!$B:$FU,150,FALSE),""),CHAR(10)),3)),""))</f>
        <v>Fab</v>
      </c>
      <c r="R215" s="28">
        <f t="shared" si="26"/>
        <v>45990</v>
      </c>
      <c r="S215" s="27" t="str" cm="1">
        <f t="array" ref="S215">IF(A215="","",IFERROR(TRIM(INDEX(_xlfn.TEXTSPLIT(IFERROR(VLOOKUP(A215,'Production Schedule'!$B:$FU,150,FALSE),""),CHAR(10)),4)),""))</f>
        <v/>
      </c>
      <c r="T215" s="28" t="str">
        <f t="shared" si="27"/>
        <v/>
      </c>
      <c r="U215" s="27" t="str" cm="1">
        <f t="array" ref="U215">IF(A215="","",IFERROR(TRIM(INDEX(_xlfn.TEXTSPLIT(IFERROR(VLOOKUP(A215,'Production Schedule'!$B:$FU,150,FALSE),""),CHAR(10)),5)),""))</f>
        <v/>
      </c>
      <c r="V215" s="28" t="str">
        <f t="shared" si="28"/>
        <v/>
      </c>
      <c r="W215" s="27" t="str" cm="1">
        <f t="array" ref="W215">IF(A215="","",IFERROR(TRIM(INDEX(_xlfn.TEXTSPLIT(IFERROR(VLOOKUP(A215,'Production Schedule'!$B:$FU,150,FALSE),""),CHAR(10)),6)),""))</f>
        <v/>
      </c>
      <c r="X215" s="28" t="str">
        <f t="shared" si="29"/>
        <v/>
      </c>
      <c r="Y215" s="30">
        <f t="shared" si="30"/>
        <v>46001</v>
      </c>
      <c r="Z215" s="31" t="str">
        <f>IF(A215="","",IF(IFERROR(VLOOKUP(A215,Notes!A:B,2,FALSE),"")=0,"",VLOOKUP(A215,Notes!A:B,2,FALSE)))</f>
        <v>04/16/2026…RTS Titans</v>
      </c>
      <c r="AA215" s="18">
        <f t="shared" si="31"/>
        <v>2</v>
      </c>
    </row>
    <row r="216" spans="1:27" x14ac:dyDescent="0.25">
      <c r="A216" s="20" t="str">
        <v>24051-FS49</v>
      </c>
      <c r="B216" s="20" t="str">
        <f>IF(A216="","",IFERROR(VLOOKUP(A216,'Production Schedule'!$B:$FU,3,FALSE),""))</f>
        <v>TN Titans Stadium</v>
      </c>
      <c r="C216" s="20" t="str">
        <f>IF(A216="","",IFERROR(VLOOKUP(A216,'Production Schedule'!$B:$FU,5,FALSE),""))</f>
        <v>Marc Ribar</v>
      </c>
      <c r="D216" s="20">
        <f>IF(A216="","",IFERROR(VLOOKUP(A216,'Production Schedule'!$B:$FU,7,FALSE),""))</f>
        <v>400</v>
      </c>
      <c r="E216" s="20">
        <f>IF(A216="","",IFERROR(VLOOKUP(A216,'Production Schedule'!$B:$FU,17,FALSE),""))</f>
        <v>124</v>
      </c>
      <c r="F216" s="20">
        <f>IF(A216="","",IFERROR(VLOOKUP(A216,'Production Schedule'!$B:$FU,18,FALSE),""))</f>
        <v>124</v>
      </c>
      <c r="G216" s="20" t="str">
        <f>IF(A216="","",IFERROR(VLOOKUP(A216,'Production Schedule'!$B:$FU,25,FALSE),""))</f>
        <v>FR ACM</v>
      </c>
      <c r="H216" s="21">
        <f>IF(A216="","",IFERROR(VLOOKUP(A216,'Production Schedule'!$B:$FU,47,FALSE),""))</f>
        <v>45946.65772771991</v>
      </c>
      <c r="I216" s="21">
        <f>IF(A216="","",IFERROR(VLOOKUP(A216,'Production Schedule'!$B:$FU,54,FALSE),""))</f>
        <v>46006</v>
      </c>
      <c r="J216" s="32">
        <f>IF(A216="","",IFERROR(VLOOKUP(A216,'Production Schedule'!$B:$FU,135,FALSE),""))</f>
        <v>200</v>
      </c>
      <c r="K216" s="20" t="str">
        <f>IF(A216="","",IFERROR(VLOOKUP(A216,'Production Schedule'!$B:$FU,59,FALSE),""))</f>
        <v>YES</v>
      </c>
      <c r="L216" s="39" t="str">
        <f>IF(A216="","",IFERROR(VLOOKUP(A216,'Production Schedule'!$B:$FU,80,FALSE),""))</f>
        <v>RTS Titans</v>
      </c>
      <c r="M216" s="33" t="str" cm="1">
        <f t="array" ref="M216">IF(A216="","",IFERROR(TRIM(INDEX(_xlfn.TEXTSPLIT(IFERROR(VLOOKUP(A216,'Production Schedule'!$B:$FU,150,FALSE),""),CHAR(10)),1)),""))</f>
        <v>AXYZ Titans Line</v>
      </c>
      <c r="N216" s="34">
        <f t="shared" si="24"/>
        <v>45979</v>
      </c>
      <c r="O216" s="33" t="str" cm="1">
        <f t="array" ref="O216">IF(A216="","",IFERROR(TRIM(INDEX(_xlfn.TEXTSPLIT(IFERROR(VLOOKUP(A216,'Production Schedule'!$B:$FU,150,FALSE),""),CHAR(10)),2)),""))</f>
        <v>Clean and Brake</v>
      </c>
      <c r="P216" s="34">
        <f t="shared" si="25"/>
        <v>45982</v>
      </c>
      <c r="Q216" s="33" t="str" cm="1">
        <f t="array" ref="Q216">IF(A216="","",IFERROR(TRIM(INDEX(_xlfn.TEXTSPLIT(IFERROR(VLOOKUP(A216,'Production Schedule'!$B:$FU,150,FALSE),""),CHAR(10)),3)),""))</f>
        <v>Fab</v>
      </c>
      <c r="R216" s="34">
        <f t="shared" si="26"/>
        <v>45993</v>
      </c>
      <c r="S216" s="33" t="str" cm="1">
        <f t="array" ref="S216">IF(A216="","",IFERROR(TRIM(INDEX(_xlfn.TEXTSPLIT(IFERROR(VLOOKUP(A216,'Production Schedule'!$B:$FU,150,FALSE),""),CHAR(10)),4)),""))</f>
        <v/>
      </c>
      <c r="T216" s="34" t="str">
        <f t="shared" si="27"/>
        <v/>
      </c>
      <c r="U216" s="33" t="str" cm="1">
        <f t="array" ref="U216">IF(A216="","",IFERROR(TRIM(INDEX(_xlfn.TEXTSPLIT(IFERROR(VLOOKUP(A216,'Production Schedule'!$B:$FU,150,FALSE),""),CHAR(10)),5)),""))</f>
        <v/>
      </c>
      <c r="V216" s="34" t="str">
        <f t="shared" si="28"/>
        <v/>
      </c>
      <c r="W216" s="33" t="str" cm="1">
        <f t="array" ref="W216">IF(A216="","",IFERROR(TRIM(INDEX(_xlfn.TEXTSPLIT(IFERROR(VLOOKUP(A216,'Production Schedule'!$B:$FU,150,FALSE),""),CHAR(10)),6)),""))</f>
        <v/>
      </c>
      <c r="X216" s="34" t="str">
        <f t="shared" si="29"/>
        <v/>
      </c>
      <c r="Y216" s="36">
        <f t="shared" si="30"/>
        <v>46003</v>
      </c>
      <c r="Z216" s="37" t="str">
        <f>IF(A216="","",IF(IFERROR(VLOOKUP(A216,Notes!A:B,2,FALSE),"")=0,"",VLOOKUP(A216,Notes!A:B,2,FALSE)))</f>
        <v>04/16/2026…RTS Titans</v>
      </c>
      <c r="AA216" s="20">
        <f t="shared" si="31"/>
        <v>2</v>
      </c>
    </row>
    <row r="217" spans="1:27" x14ac:dyDescent="0.25">
      <c r="A217" s="18" t="str">
        <v>24051-FS50</v>
      </c>
      <c r="B217" s="18" t="str">
        <f>IF(A217="","",IFERROR(VLOOKUP(A217,'Production Schedule'!$B:$FU,3,FALSE),""))</f>
        <v>TN Titans Stadium</v>
      </c>
      <c r="C217" s="18" t="str">
        <f>IF(A217="","",IFERROR(VLOOKUP(A217,'Production Schedule'!$B:$FU,5,FALSE),""))</f>
        <v>Marc Ribar</v>
      </c>
      <c r="D217" s="18">
        <f>IF(A217="","",IFERROR(VLOOKUP(A217,'Production Schedule'!$B:$FU,7,FALSE),""))</f>
        <v>400</v>
      </c>
      <c r="E217" s="18">
        <f>IF(A217="","",IFERROR(VLOOKUP(A217,'Production Schedule'!$B:$FU,17,FALSE),""))</f>
        <v>124</v>
      </c>
      <c r="F217" s="18">
        <f>IF(A217="","",IFERROR(VLOOKUP(A217,'Production Schedule'!$B:$FU,18,FALSE),""))</f>
        <v>124</v>
      </c>
      <c r="G217" s="18" t="str">
        <f>IF(A217="","",IFERROR(VLOOKUP(A217,'Production Schedule'!$B:$FU,25,FALSE),""))</f>
        <v>FR ACM</v>
      </c>
      <c r="H217" s="19">
        <f>IF(A217="","",IFERROR(VLOOKUP(A217,'Production Schedule'!$B:$FU,47,FALSE),""))</f>
        <v>45946.661048726855</v>
      </c>
      <c r="I217" s="19">
        <f>IF(A217="","",IFERROR(VLOOKUP(A217,'Production Schedule'!$B:$FU,54,FALSE),""))</f>
        <v>46006</v>
      </c>
      <c r="J217" s="26">
        <f>IF(A217="","",IFERROR(VLOOKUP(A217,'Production Schedule'!$B:$FU,135,FALSE),""))</f>
        <v>200</v>
      </c>
      <c r="K217" s="18" t="str">
        <f>IF(A217="","",IFERROR(VLOOKUP(A217,'Production Schedule'!$B:$FU,59,FALSE),""))</f>
        <v>YES</v>
      </c>
      <c r="L217" s="38" t="str">
        <f>IF(A217="","",IFERROR(VLOOKUP(A217,'Production Schedule'!$B:$FU,80,FALSE),""))</f>
        <v>RTS Titans</v>
      </c>
      <c r="M217" s="27" t="str" cm="1">
        <f t="array" ref="M217">IF(A217="","",IFERROR(TRIM(INDEX(_xlfn.TEXTSPLIT(IFERROR(VLOOKUP(A217,'Production Schedule'!$B:$FU,150,FALSE),""),CHAR(10)),1)),""))</f>
        <v>AXYZ Titans Line</v>
      </c>
      <c r="N217" s="28">
        <f t="shared" si="24"/>
        <v>45979</v>
      </c>
      <c r="O217" s="27" t="str" cm="1">
        <f t="array" ref="O217">IF(A217="","",IFERROR(TRIM(INDEX(_xlfn.TEXTSPLIT(IFERROR(VLOOKUP(A217,'Production Schedule'!$B:$FU,150,FALSE),""),CHAR(10)),2)),""))</f>
        <v>Clean and Brake</v>
      </c>
      <c r="P217" s="28">
        <f t="shared" si="25"/>
        <v>45982</v>
      </c>
      <c r="Q217" s="27" t="str" cm="1">
        <f t="array" ref="Q217">IF(A217="","",IFERROR(TRIM(INDEX(_xlfn.TEXTSPLIT(IFERROR(VLOOKUP(A217,'Production Schedule'!$B:$FU,150,FALSE),""),CHAR(10)),3)),""))</f>
        <v>Fab</v>
      </c>
      <c r="R217" s="28">
        <f t="shared" si="26"/>
        <v>45993</v>
      </c>
      <c r="S217" s="27" t="str" cm="1">
        <f t="array" ref="S217">IF(A217="","",IFERROR(TRIM(INDEX(_xlfn.TEXTSPLIT(IFERROR(VLOOKUP(A217,'Production Schedule'!$B:$FU,150,FALSE),""),CHAR(10)),4)),""))</f>
        <v/>
      </c>
      <c r="T217" s="28" t="str">
        <f t="shared" si="27"/>
        <v/>
      </c>
      <c r="U217" s="27" t="str" cm="1">
        <f t="array" ref="U217">IF(A217="","",IFERROR(TRIM(INDEX(_xlfn.TEXTSPLIT(IFERROR(VLOOKUP(A217,'Production Schedule'!$B:$FU,150,FALSE),""),CHAR(10)),5)),""))</f>
        <v/>
      </c>
      <c r="V217" s="28" t="str">
        <f t="shared" si="28"/>
        <v/>
      </c>
      <c r="W217" s="27" t="str" cm="1">
        <f t="array" ref="W217">IF(A217="","",IFERROR(TRIM(INDEX(_xlfn.TEXTSPLIT(IFERROR(VLOOKUP(A217,'Production Schedule'!$B:$FU,150,FALSE),""),CHAR(10)),6)),""))</f>
        <v/>
      </c>
      <c r="X217" s="28" t="str">
        <f t="shared" si="29"/>
        <v/>
      </c>
      <c r="Y217" s="30">
        <f t="shared" si="30"/>
        <v>46003</v>
      </c>
      <c r="Z217" s="31" t="str">
        <f>IF(A217="","",IF(IFERROR(VLOOKUP(A217,Notes!A:B,2,FALSE),"")=0,"",VLOOKUP(A217,Notes!A:B,2,FALSE)))</f>
        <v>04/16/2026…RTS Titans</v>
      </c>
      <c r="AA217" s="18">
        <f t="shared" si="31"/>
        <v>2</v>
      </c>
    </row>
    <row r="218" spans="1:27" x14ac:dyDescent="0.25">
      <c r="A218" s="20" t="str">
        <v>24051-FS50C</v>
      </c>
      <c r="B218" s="20" t="str">
        <f>IF(A218="","",IFERROR(VLOOKUP(A218,'Production Schedule'!$B:$FU,3,FALSE),""))</f>
        <v>TN Titans Stadium</v>
      </c>
      <c r="C218" s="20" t="str">
        <f>IF(A218="","",IFERROR(VLOOKUP(A218,'Production Schedule'!$B:$FU,5,FALSE),""))</f>
        <v>Marc Ribar</v>
      </c>
      <c r="D218" s="20">
        <f>IF(A218="","",IFERROR(VLOOKUP(A218,'Production Schedule'!$B:$FU,7,FALSE),""))</f>
        <v>400</v>
      </c>
      <c r="E218" s="20">
        <f>IF(A218="","",IFERROR(VLOOKUP(A218,'Production Schedule'!$B:$FU,17,FALSE),""))</f>
        <v>24</v>
      </c>
      <c r="F218" s="20">
        <f>IF(A218="","",IFERROR(VLOOKUP(A218,'Production Schedule'!$B:$FU,18,FALSE),""))</f>
        <v>24</v>
      </c>
      <c r="G218" s="20" t="str">
        <f>IF(A218="","",IFERROR(VLOOKUP(A218,'Production Schedule'!$B:$FU,25,FALSE),""))</f>
        <v>FR ACM</v>
      </c>
      <c r="H218" s="21">
        <f>IF(A218="","",IFERROR(VLOOKUP(A218,'Production Schedule'!$B:$FU,47,FALSE),""))</f>
        <v>45946.667086759262</v>
      </c>
      <c r="I218" s="21">
        <f>IF(A218="","",IFERROR(VLOOKUP(A218,'Production Schedule'!$B:$FU,54,FALSE),""))</f>
        <v>46006</v>
      </c>
      <c r="J218" s="32">
        <f>IF(A218="","",IFERROR(VLOOKUP(A218,'Production Schedule'!$B:$FU,135,FALSE),""))</f>
        <v>40</v>
      </c>
      <c r="K218" s="20" t="str">
        <f>IF(A218="","",IFERROR(VLOOKUP(A218,'Production Schedule'!$B:$FU,59,FALSE),""))</f>
        <v>YES</v>
      </c>
      <c r="L218" s="39" t="str">
        <f>IF(A218="","",IFERROR(VLOOKUP(A218,'Production Schedule'!$B:$FU,80,FALSE),""))</f>
        <v>RTS Titans</v>
      </c>
      <c r="M218" s="33" t="str" cm="1">
        <f t="array" ref="M218">IF(A218="","",IFERROR(TRIM(INDEX(_xlfn.TEXTSPLIT(IFERROR(VLOOKUP(A218,'Production Schedule'!$B:$FU,150,FALSE),""),CHAR(10)),1)),""))</f>
        <v>AXYZ Titans Line</v>
      </c>
      <c r="N218" s="34">
        <f t="shared" si="24"/>
        <v>45981</v>
      </c>
      <c r="O218" s="33" t="str" cm="1">
        <f t="array" ref="O218">IF(A218="","",IFERROR(TRIM(INDEX(_xlfn.TEXTSPLIT(IFERROR(VLOOKUP(A218,'Production Schedule'!$B:$FU,150,FALSE),""),CHAR(10)),2)),""))</f>
        <v>Clean and Brake</v>
      </c>
      <c r="P218" s="34">
        <f t="shared" si="25"/>
        <v>45982</v>
      </c>
      <c r="Q218" s="33" t="str" cm="1">
        <f t="array" ref="Q218">IF(A218="","",IFERROR(TRIM(INDEX(_xlfn.TEXTSPLIT(IFERROR(VLOOKUP(A218,'Production Schedule'!$B:$FU,150,FALSE),""),CHAR(10)),3)),""))</f>
        <v>Fab</v>
      </c>
      <c r="R218" s="34">
        <f t="shared" si="26"/>
        <v>45993</v>
      </c>
      <c r="S218" s="33" t="str" cm="1">
        <f t="array" ref="S218">IF(A218="","",IFERROR(TRIM(INDEX(_xlfn.TEXTSPLIT(IFERROR(VLOOKUP(A218,'Production Schedule'!$B:$FU,150,FALSE),""),CHAR(10)),4)),""))</f>
        <v/>
      </c>
      <c r="T218" s="34" t="str">
        <f t="shared" si="27"/>
        <v/>
      </c>
      <c r="U218" s="33" t="str" cm="1">
        <f t="array" ref="U218">IF(A218="","",IFERROR(TRIM(INDEX(_xlfn.TEXTSPLIT(IFERROR(VLOOKUP(A218,'Production Schedule'!$B:$FU,150,FALSE),""),CHAR(10)),5)),""))</f>
        <v/>
      </c>
      <c r="V218" s="34" t="str">
        <f t="shared" si="28"/>
        <v/>
      </c>
      <c r="W218" s="33" t="str" cm="1">
        <f t="array" ref="W218">IF(A218="","",IFERROR(TRIM(INDEX(_xlfn.TEXTSPLIT(IFERROR(VLOOKUP(A218,'Production Schedule'!$B:$FU,150,FALSE),""),CHAR(10)),6)),""))</f>
        <v/>
      </c>
      <c r="X218" s="34" t="str">
        <f t="shared" si="29"/>
        <v/>
      </c>
      <c r="Y218" s="36">
        <f t="shared" si="30"/>
        <v>46003</v>
      </c>
      <c r="Z218" s="37" t="str">
        <f>IF(A218="","",IF(IFERROR(VLOOKUP(A218,Notes!A:B,2,FALSE),"")=0,"",VLOOKUP(A218,Notes!A:B,2,FALSE)))</f>
        <v>04/16/2026…RTS Titans</v>
      </c>
      <c r="AA218" s="20">
        <f t="shared" si="31"/>
        <v>2</v>
      </c>
    </row>
    <row r="219" spans="1:27" x14ac:dyDescent="0.25">
      <c r="A219" s="18" t="str">
        <v>25029-FL97</v>
      </c>
      <c r="B219" s="18" t="str">
        <f>IF(A219="","",IFERROR(VLOOKUP(A219,'Production Schedule'!$B:$FU,3,FALSE),""))</f>
        <v>Lourdes CC Phase 2</v>
      </c>
      <c r="C219" s="18" t="str">
        <f>IF(A219="","",IFERROR(VLOOKUP(A219,'Production Schedule'!$B:$FU,5,FALSE),""))</f>
        <v>Dillon Bowman</v>
      </c>
      <c r="D219" s="18">
        <f>IF(A219="","",IFERROR(VLOOKUP(A219,'Production Schedule'!$B:$FU,7,FALSE),""))</f>
        <v>0</v>
      </c>
      <c r="E219" s="18">
        <f>IF(A219="","",IFERROR(VLOOKUP(A219,'Production Schedule'!$B:$FU,17,FALSE),""))</f>
        <v>0</v>
      </c>
      <c r="F219" s="18">
        <f>IF(A219="","",IFERROR(VLOOKUP(A219,'Production Schedule'!$B:$FU,18,FALSE),""))</f>
        <v>1</v>
      </c>
      <c r="G219" s="18" t="str">
        <f>IF(A219="","",IFERROR(VLOOKUP(A219,'Production Schedule'!$B:$FU,25,FALSE),""))</f>
        <v>Alum Sheet</v>
      </c>
      <c r="H219" s="19">
        <f>IF(A219="","",IFERROR(VLOOKUP(A219,'Production Schedule'!$B:$FU,47,FALSE),""))</f>
        <v>46006.372030694445</v>
      </c>
      <c r="I219" s="19">
        <f>IF(A219="","",IFERROR(VLOOKUP(A219,'Production Schedule'!$B:$FU,54,FALSE),""))</f>
        <v>46008</v>
      </c>
      <c r="J219" s="26">
        <f>IF(A219="","",IFERROR(VLOOKUP(A219,'Production Schedule'!$B:$FU,135,FALSE),""))</f>
        <v>1</v>
      </c>
      <c r="K219" s="18" t="str">
        <f>IF(A219="","",IFERROR(VLOOKUP(A219,'Production Schedule'!$B:$FU,59,FALSE),""))</f>
        <v>YES</v>
      </c>
      <c r="L219" s="38" t="str">
        <f>IF(A219="","",IFERROR(VLOOKUP(A219,'Production Schedule'!$B:$FU,80,FALSE),""))</f>
        <v>Ready to Ship</v>
      </c>
      <c r="M219" s="27" t="str" cm="1">
        <f t="array" ref="M219">IF(A219="","",IFERROR(TRIM(INDEX(_xlfn.TEXTSPLIT(IFERROR(VLOOKUP(A219,'Production Schedule'!$B:$FU,150,FALSE),""),CHAR(10)),1)),""))</f>
        <v>Cidan</v>
      </c>
      <c r="N219" s="28">
        <f t="shared" si="24"/>
        <v>45982</v>
      </c>
      <c r="O219" s="27" t="str" cm="1">
        <f t="array" ref="O219">IF(A219="","",IFERROR(TRIM(INDEX(_xlfn.TEXTSPLIT(IFERROR(VLOOKUP(A219,'Production Schedule'!$B:$FU,150,FALSE),""),CHAR(10)),2)),""))</f>
        <v>Shear</v>
      </c>
      <c r="P219" s="28">
        <f t="shared" si="25"/>
        <v>45994</v>
      </c>
      <c r="Q219" s="27" t="str" cm="1">
        <f t="array" ref="Q219">IF(A219="","",IFERROR(TRIM(INDEX(_xlfn.TEXTSPLIT(IFERROR(VLOOKUP(A219,'Production Schedule'!$B:$FU,150,FALSE),""),CHAR(10)),3)),""))</f>
        <v/>
      </c>
      <c r="R219" s="28" t="str">
        <f t="shared" si="26"/>
        <v/>
      </c>
      <c r="S219" s="27" t="str" cm="1">
        <f t="array" ref="S219">IF(A219="","",IFERROR(TRIM(INDEX(_xlfn.TEXTSPLIT(IFERROR(VLOOKUP(A219,'Production Schedule'!$B:$FU,150,FALSE),""),CHAR(10)),4)),""))</f>
        <v/>
      </c>
      <c r="T219" s="28" t="str">
        <f t="shared" si="27"/>
        <v/>
      </c>
      <c r="U219" s="27" t="str" cm="1">
        <f t="array" ref="U219">IF(A219="","",IFERROR(TRIM(INDEX(_xlfn.TEXTSPLIT(IFERROR(VLOOKUP(A219,'Production Schedule'!$B:$FU,150,FALSE),""),CHAR(10)),5)),""))</f>
        <v/>
      </c>
      <c r="V219" s="28" t="str">
        <f t="shared" si="28"/>
        <v/>
      </c>
      <c r="W219" s="27" t="str" cm="1">
        <f t="array" ref="W219">IF(A219="","",IFERROR(TRIM(INDEX(_xlfn.TEXTSPLIT(IFERROR(VLOOKUP(A219,'Production Schedule'!$B:$FU,150,FALSE),""),CHAR(10)),6)),""))</f>
        <v/>
      </c>
      <c r="X219" s="28" t="str">
        <f t="shared" si="29"/>
        <v/>
      </c>
      <c r="Y219" s="30">
        <f t="shared" si="30"/>
        <v>46006</v>
      </c>
      <c r="Z219" s="31" t="str">
        <f>IF(A219="","",IF(IFERROR(VLOOKUP(A219,Notes!A:B,2,FALSE),"")=0,"",VLOOKUP(A219,Notes!A:B,2,FALSE)))</f>
        <v>04/16/2026…Ready to Ship</v>
      </c>
      <c r="AA219" s="18">
        <f t="shared" si="31"/>
        <v>2</v>
      </c>
    </row>
    <row r="220" spans="1:27" x14ac:dyDescent="0.25">
      <c r="A220" s="20" t="str">
        <v>25040-FL01</v>
      </c>
      <c r="B220" s="20" t="str">
        <f>IF(A220="","",IFERROR(VLOOKUP(A220,'Production Schedule'!$B:$FU,3,FALSE),""))</f>
        <v>Moses Lincoln Vitrine</v>
      </c>
      <c r="C220" s="20" t="str">
        <f>IF(A220="","",IFERROR(VLOOKUP(A220,'Production Schedule'!$B:$FU,5,FALSE),""))</f>
        <v>Laura Forero</v>
      </c>
      <c r="D220" s="20">
        <f>IF(A220="","",IFERROR(VLOOKUP(A220,'Production Schedule'!$B:$FU,7,FALSE),""))</f>
        <v>0</v>
      </c>
      <c r="E220" s="20">
        <f>IF(A220="","",IFERROR(VLOOKUP(A220,'Production Schedule'!$B:$FU,17,FALSE),""))</f>
        <v>0</v>
      </c>
      <c r="F220" s="20">
        <f>IF(A220="","",IFERROR(VLOOKUP(A220,'Production Schedule'!$B:$FU,18,FALSE),""))</f>
        <v>1</v>
      </c>
      <c r="G220" s="20" t="str">
        <f>IF(A220="","",IFERROR(VLOOKUP(A220,'Production Schedule'!$B:$FU,25,FALSE),""))</f>
        <v>Alum Sheet</v>
      </c>
      <c r="H220" s="21">
        <f>IF(A220="","",IFERROR(VLOOKUP(A220,'Production Schedule'!$B:$FU,47,FALSE),""))</f>
        <v>45993.619342951388</v>
      </c>
      <c r="I220" s="21">
        <f>IF(A220="","",IFERROR(VLOOKUP(A220,'Production Schedule'!$B:$FU,54,FALSE),""))</f>
        <v>46021</v>
      </c>
      <c r="J220" s="32">
        <f>IF(A220="","",IFERROR(VLOOKUP(A220,'Production Schedule'!$B:$FU,135,FALSE),""))</f>
        <v>1</v>
      </c>
      <c r="K220" s="20" t="str">
        <f>IF(A220="","",IFERROR(VLOOKUP(A220,'Production Schedule'!$B:$FU,59,FALSE),""))</f>
        <v>YES</v>
      </c>
      <c r="L220" s="39" t="str">
        <f>IF(A220="","",IFERROR(VLOOKUP(A220,'Production Schedule'!$B:$FU,80,FALSE),""))</f>
        <v>Ready to Ship</v>
      </c>
      <c r="M220" s="33" t="str" cm="1">
        <f t="array" ref="M220">IF(A220="","",IFERROR(TRIM(INDEX(_xlfn.TEXTSPLIT(IFERROR(VLOOKUP(A220,'Production Schedule'!$B:$FU,150,FALSE),""),CHAR(10)),1)),""))</f>
        <v>Cidan</v>
      </c>
      <c r="N220" s="34">
        <f t="shared" si="24"/>
        <v>45995</v>
      </c>
      <c r="O220" s="33" t="str" cm="1">
        <f t="array" ref="O220">IF(A220="","",IFERROR(TRIM(INDEX(_xlfn.TEXTSPLIT(IFERROR(VLOOKUP(A220,'Production Schedule'!$B:$FU,150,FALSE),""),CHAR(10)),2)),""))</f>
        <v>Shear</v>
      </c>
      <c r="P220" s="34">
        <f t="shared" si="25"/>
        <v>46007</v>
      </c>
      <c r="Q220" s="33" t="str" cm="1">
        <f t="array" ref="Q220">IF(A220="","",IFERROR(TRIM(INDEX(_xlfn.TEXTSPLIT(IFERROR(VLOOKUP(A220,'Production Schedule'!$B:$FU,150,FALSE),""),CHAR(10)),3)),""))</f>
        <v/>
      </c>
      <c r="R220" s="34" t="str">
        <f t="shared" si="26"/>
        <v/>
      </c>
      <c r="S220" s="33" t="str" cm="1">
        <f t="array" ref="S220">IF(A220="","",IFERROR(TRIM(INDEX(_xlfn.TEXTSPLIT(IFERROR(VLOOKUP(A220,'Production Schedule'!$B:$FU,150,FALSE),""),CHAR(10)),4)),""))</f>
        <v/>
      </c>
      <c r="T220" s="34" t="str">
        <f t="shared" si="27"/>
        <v/>
      </c>
      <c r="U220" s="33" t="str" cm="1">
        <f t="array" ref="U220">IF(A220="","",IFERROR(TRIM(INDEX(_xlfn.TEXTSPLIT(IFERROR(VLOOKUP(A220,'Production Schedule'!$B:$FU,150,FALSE),""),CHAR(10)),5)),""))</f>
        <v/>
      </c>
      <c r="V220" s="34" t="str">
        <f t="shared" si="28"/>
        <v/>
      </c>
      <c r="W220" s="33" t="str" cm="1">
        <f t="array" ref="W220">IF(A220="","",IFERROR(TRIM(INDEX(_xlfn.TEXTSPLIT(IFERROR(VLOOKUP(A220,'Production Schedule'!$B:$FU,150,FALSE),""),CHAR(10)),6)),""))</f>
        <v/>
      </c>
      <c r="X220" s="34" t="str">
        <f t="shared" si="29"/>
        <v/>
      </c>
      <c r="Y220" s="36">
        <f t="shared" si="30"/>
        <v>46018</v>
      </c>
      <c r="Z220" s="37" t="str">
        <f>IF(A220="","",IF(IFERROR(VLOOKUP(A220,Notes!A:B,2,FALSE),"")=0,"",VLOOKUP(A220,Notes!A:B,2,FALSE)))</f>
        <v>04/16/2026…Ready to Ship</v>
      </c>
      <c r="AA220" s="20">
        <f t="shared" si="31"/>
        <v>2</v>
      </c>
    </row>
    <row r="221" spans="1:27" x14ac:dyDescent="0.25">
      <c r="A221" s="18" t="str">
        <v>24051-FS59</v>
      </c>
      <c r="B221" s="18" t="str">
        <f>IF(A221="","",IFERROR(VLOOKUP(A221,'Production Schedule'!$B:$FU,3,FALSE),""))</f>
        <v>TN Titans Stadium</v>
      </c>
      <c r="C221" s="18" t="str">
        <f>IF(A221="","",IFERROR(VLOOKUP(A221,'Production Schedule'!$B:$FU,5,FALSE),""))</f>
        <v>Marc Ribar</v>
      </c>
      <c r="D221" s="18">
        <f>IF(A221="","",IFERROR(VLOOKUP(A221,'Production Schedule'!$B:$FU,7,FALSE),""))</f>
        <v>400</v>
      </c>
      <c r="E221" s="18">
        <f>IF(A221="","",IFERROR(VLOOKUP(A221,'Production Schedule'!$B:$FU,17,FALSE),""))</f>
        <v>158</v>
      </c>
      <c r="F221" s="18">
        <f>IF(A221="","",IFERROR(VLOOKUP(A221,'Production Schedule'!$B:$FU,18,FALSE),""))</f>
        <v>158</v>
      </c>
      <c r="G221" s="18" t="str">
        <f>IF(A221="","",IFERROR(VLOOKUP(A221,'Production Schedule'!$B:$FU,25,FALSE),""))</f>
        <v>FR ACM</v>
      </c>
      <c r="H221" s="19">
        <f>IF(A221="","",IFERROR(VLOOKUP(A221,'Production Schedule'!$B:$FU,47,FALSE),""))</f>
        <v>45952.446484918983</v>
      </c>
      <c r="I221" s="19">
        <f>IF(A221="","",IFERROR(VLOOKUP(A221,'Production Schedule'!$B:$FU,54,FALSE),""))</f>
        <v>46024</v>
      </c>
      <c r="J221" s="26">
        <f>IF(A221="","",IFERROR(VLOOKUP(A221,'Production Schedule'!$B:$FU,135,FALSE),""))</f>
        <v>300</v>
      </c>
      <c r="K221" s="18" t="str">
        <f>IF(A221="","",IFERROR(VLOOKUP(A221,'Production Schedule'!$B:$FU,59,FALSE),""))</f>
        <v>YES</v>
      </c>
      <c r="L221" s="38" t="str">
        <f>IF(A221="","",IFERROR(VLOOKUP(A221,'Production Schedule'!$B:$FU,80,FALSE),""))</f>
        <v>RTS Titans</v>
      </c>
      <c r="M221" s="27" t="str" cm="1">
        <f t="array" ref="M221">IF(A221="","",IFERROR(TRIM(INDEX(_xlfn.TEXTSPLIT(IFERROR(VLOOKUP(A221,'Production Schedule'!$B:$FU,150,FALSE),""),CHAR(10)),1)),""))</f>
        <v>AXYZ Titans Line</v>
      </c>
      <c r="N221" s="28">
        <f t="shared" si="24"/>
        <v>45997</v>
      </c>
      <c r="O221" s="27" t="str" cm="1">
        <f t="array" ref="O221">IF(A221="","",IFERROR(TRIM(INDEX(_xlfn.TEXTSPLIT(IFERROR(VLOOKUP(A221,'Production Schedule'!$B:$FU,150,FALSE),""),CHAR(10)),2)),""))</f>
        <v>Clean and Brake</v>
      </c>
      <c r="P221" s="28">
        <f t="shared" si="25"/>
        <v>46001</v>
      </c>
      <c r="Q221" s="27" t="str" cm="1">
        <f t="array" ref="Q221">IF(A221="","",IFERROR(TRIM(INDEX(_xlfn.TEXTSPLIT(IFERROR(VLOOKUP(A221,'Production Schedule'!$B:$FU,150,FALSE),""),CHAR(10)),3)),""))</f>
        <v>Fab</v>
      </c>
      <c r="R221" s="28">
        <f t="shared" si="26"/>
        <v>46011</v>
      </c>
      <c r="S221" s="27" t="str" cm="1">
        <f t="array" ref="S221">IF(A221="","",IFERROR(TRIM(INDEX(_xlfn.TEXTSPLIT(IFERROR(VLOOKUP(A221,'Production Schedule'!$B:$FU,150,FALSE),""),CHAR(10)),4)),""))</f>
        <v/>
      </c>
      <c r="T221" s="28" t="str">
        <f t="shared" si="27"/>
        <v/>
      </c>
      <c r="U221" s="27" t="str" cm="1">
        <f t="array" ref="U221">IF(A221="","",IFERROR(TRIM(INDEX(_xlfn.TEXTSPLIT(IFERROR(VLOOKUP(A221,'Production Schedule'!$B:$FU,150,FALSE),""),CHAR(10)),5)),""))</f>
        <v/>
      </c>
      <c r="V221" s="28" t="str">
        <f t="shared" si="28"/>
        <v/>
      </c>
      <c r="W221" s="27" t="str" cm="1">
        <f t="array" ref="W221">IF(A221="","",IFERROR(TRIM(INDEX(_xlfn.TEXTSPLIT(IFERROR(VLOOKUP(A221,'Production Schedule'!$B:$FU,150,FALSE),""),CHAR(10)),6)),""))</f>
        <v/>
      </c>
      <c r="X221" s="28" t="str">
        <f t="shared" si="29"/>
        <v/>
      </c>
      <c r="Y221" s="30">
        <f t="shared" si="30"/>
        <v>46022</v>
      </c>
      <c r="Z221" s="31" t="str">
        <f>IF(A221="","",IF(IFERROR(VLOOKUP(A221,Notes!A:B,2,FALSE),"")=0,"",VLOOKUP(A221,Notes!A:B,2,FALSE)))</f>
        <v>04/16/2026…RTS Titans</v>
      </c>
      <c r="AA221" s="18">
        <f t="shared" si="31"/>
        <v>2</v>
      </c>
    </row>
    <row r="222" spans="1:27" x14ac:dyDescent="0.25">
      <c r="A222" s="20" t="str">
        <v>25007-BM03</v>
      </c>
      <c r="B222" s="20" t="str">
        <f>IF(A222="","",IFERROR(VLOOKUP(A222,'Production Schedule'!$B:$FU,3,FALSE),""))</f>
        <v>QTS ATL2 DC10</v>
      </c>
      <c r="C222" s="20" t="str">
        <f>IF(A222="","",IFERROR(VLOOKUP(A222,'Production Schedule'!$B:$FU,5,FALSE),""))</f>
        <v>Nick Akins</v>
      </c>
      <c r="D222" s="20">
        <f>IF(A222="","",IFERROR(VLOOKUP(A222,'Production Schedule'!$B:$FU,7,FALSE),""))</f>
        <v>0</v>
      </c>
      <c r="E222" s="20">
        <f>IF(A222="","",IFERROR(VLOOKUP(A222,'Production Schedule'!$B:$FU,17,FALSE),""))</f>
        <v>0</v>
      </c>
      <c r="F222" s="20">
        <f>IF(A222="","",IFERROR(VLOOKUP(A222,'Production Schedule'!$B:$FU,18,FALSE),""))</f>
        <v>80</v>
      </c>
      <c r="G222" s="20" t="str">
        <f>IF(A222="","",IFERROR(VLOOKUP(A222,'Production Schedule'!$B:$FU,25,FALSE),""))</f>
        <v>Galv Sheet</v>
      </c>
      <c r="H222" s="21">
        <f>IF(A222="","",IFERROR(VLOOKUP(A222,'Production Schedule'!$B:$FU,47,FALSE),""))</f>
        <v>45971.684524641205</v>
      </c>
      <c r="I222" s="21">
        <f>IF(A222="","",IFERROR(VLOOKUP(A222,'Production Schedule'!$B:$FU,54,FALSE),""))</f>
        <v>46027</v>
      </c>
      <c r="J222" s="32">
        <f>IF(A222="","",IFERROR(VLOOKUP(A222,'Production Schedule'!$B:$FU,135,FALSE),""))</f>
        <v>4</v>
      </c>
      <c r="K222" s="20" t="str">
        <f>IF(A222="","",IFERROR(VLOOKUP(A222,'Production Schedule'!$B:$FU,59,FALSE),""))</f>
        <v>YES</v>
      </c>
      <c r="L222" s="39" t="str">
        <f>IF(A222="","",IFERROR(VLOOKUP(A222,'Production Schedule'!$B:$FU,80,FALSE),""))</f>
        <v>Ready to Ship</v>
      </c>
      <c r="M222" s="33" t="str" cm="1">
        <f t="array" ref="M222">IF(A222="","",IFERROR(TRIM(INDEX(_xlfn.TEXTSPLIT(IFERROR(VLOOKUP(A222,'Production Schedule'!$B:$FU,150,FALSE),""),CHAR(10)),1)),""))</f>
        <v>Cidan</v>
      </c>
      <c r="N222" s="34">
        <f t="shared" si="24"/>
        <v>46001</v>
      </c>
      <c r="O222" s="33" t="str" cm="1">
        <f t="array" ref="O222">IF(A222="","",IFERROR(TRIM(INDEX(_xlfn.TEXTSPLIT(IFERROR(VLOOKUP(A222,'Production Schedule'!$B:$FU,150,FALSE),""),CHAR(10)),2)),""))</f>
        <v>Shear</v>
      </c>
      <c r="P222" s="34">
        <f t="shared" si="25"/>
        <v>46013</v>
      </c>
      <c r="Q222" s="33" t="str" cm="1">
        <f t="array" ref="Q222">IF(A222="","",IFERROR(TRIM(INDEX(_xlfn.TEXTSPLIT(IFERROR(VLOOKUP(A222,'Production Schedule'!$B:$FU,150,FALSE),""),CHAR(10)),3)),""))</f>
        <v/>
      </c>
      <c r="R222" s="34" t="str">
        <f t="shared" si="26"/>
        <v/>
      </c>
      <c r="S222" s="33" t="str" cm="1">
        <f t="array" ref="S222">IF(A222="","",IFERROR(TRIM(INDEX(_xlfn.TEXTSPLIT(IFERROR(VLOOKUP(A222,'Production Schedule'!$B:$FU,150,FALSE),""),CHAR(10)),4)),""))</f>
        <v/>
      </c>
      <c r="T222" s="34" t="str">
        <f t="shared" si="27"/>
        <v/>
      </c>
      <c r="U222" s="33" t="str" cm="1">
        <f t="array" ref="U222">IF(A222="","",IFERROR(TRIM(INDEX(_xlfn.TEXTSPLIT(IFERROR(VLOOKUP(A222,'Production Schedule'!$B:$FU,150,FALSE),""),CHAR(10)),5)),""))</f>
        <v/>
      </c>
      <c r="V222" s="34" t="str">
        <f t="shared" si="28"/>
        <v/>
      </c>
      <c r="W222" s="33" t="str" cm="1">
        <f t="array" ref="W222">IF(A222="","",IFERROR(TRIM(INDEX(_xlfn.TEXTSPLIT(IFERROR(VLOOKUP(A222,'Production Schedule'!$B:$FU,150,FALSE),""),CHAR(10)),6)),""))</f>
        <v/>
      </c>
      <c r="X222" s="34" t="str">
        <f t="shared" si="29"/>
        <v/>
      </c>
      <c r="Y222" s="36">
        <f t="shared" si="30"/>
        <v>46024</v>
      </c>
      <c r="Z222" s="37" t="str">
        <f>IF(A222="","",IF(IFERROR(VLOOKUP(A222,Notes!A:B,2,FALSE),"")=0,"",VLOOKUP(A222,Notes!A:B,2,FALSE)))</f>
        <v>04/16/2026…Ready to Ship</v>
      </c>
      <c r="AA222" s="20">
        <f t="shared" si="31"/>
        <v>2</v>
      </c>
    </row>
    <row r="223" spans="1:27" x14ac:dyDescent="0.25">
      <c r="A223" s="18" t="str">
        <v>25052-BM01</v>
      </c>
      <c r="B223" s="18" t="str">
        <f>IF(A223="","",IFERROR(VLOOKUP(A223,'Production Schedule'!$B:$FU,3,FALSE),""))</f>
        <v>TEMA Warehouse</v>
      </c>
      <c r="C223" s="18" t="str">
        <f>IF(A223="","",IFERROR(VLOOKUP(A223,'Production Schedule'!$B:$FU,5,FALSE),""))</f>
        <v>Andre Van Der Merwe</v>
      </c>
      <c r="D223" s="18">
        <f>IF(A223="","",IFERROR(VLOOKUP(A223,'Production Schedule'!$B:$FU,7,FALSE),""))</f>
        <v>0</v>
      </c>
      <c r="E223" s="18">
        <f>IF(A223="","",IFERROR(VLOOKUP(A223,'Production Schedule'!$B:$FU,17,FALSE),""))</f>
        <v>0</v>
      </c>
      <c r="F223" s="18">
        <f>IF(A223="","",IFERROR(VLOOKUP(A223,'Production Schedule'!$B:$FU,18,FALSE),""))</f>
        <v>16</v>
      </c>
      <c r="G223" s="18" t="str">
        <f>IF(A223="","",IFERROR(VLOOKUP(A223,'Production Schedule'!$B:$FU,25,FALSE),""))</f>
        <v>Galv Sheet</v>
      </c>
      <c r="H223" s="19">
        <f>IF(A223="","",IFERROR(VLOOKUP(A223,'Production Schedule'!$B:$FU,47,FALSE),""))</f>
        <v>45971.65467689815</v>
      </c>
      <c r="I223" s="19">
        <f>IF(A223="","",IFERROR(VLOOKUP(A223,'Production Schedule'!$B:$FU,54,FALSE),""))</f>
        <v>46027</v>
      </c>
      <c r="J223" s="26">
        <f>IF(A223="","",IFERROR(VLOOKUP(A223,'Production Schedule'!$B:$FU,135,FALSE),""))</f>
        <v>5</v>
      </c>
      <c r="K223" s="18" t="str">
        <f>IF(A223="","",IFERROR(VLOOKUP(A223,'Production Schedule'!$B:$FU,59,FALSE),""))</f>
        <v>YES</v>
      </c>
      <c r="L223" s="38" t="str">
        <f>IF(A223="","",IFERROR(VLOOKUP(A223,'Production Schedule'!$B:$FU,80,FALSE),""))</f>
        <v>Ready to Ship</v>
      </c>
      <c r="M223" s="27" t="str" cm="1">
        <f t="array" ref="M223">IF(A223="","",IFERROR(TRIM(INDEX(_xlfn.TEXTSPLIT(IFERROR(VLOOKUP(A223,'Production Schedule'!$B:$FU,150,FALSE),""),CHAR(10)),1)),""))</f>
        <v>Cidan</v>
      </c>
      <c r="N223" s="28">
        <f t="shared" si="24"/>
        <v>46001</v>
      </c>
      <c r="O223" s="27" t="str" cm="1">
        <f t="array" ref="O223">IF(A223="","",IFERROR(TRIM(INDEX(_xlfn.TEXTSPLIT(IFERROR(VLOOKUP(A223,'Production Schedule'!$B:$FU,150,FALSE),""),CHAR(10)),2)),""))</f>
        <v>Shear</v>
      </c>
      <c r="P223" s="28">
        <f t="shared" si="25"/>
        <v>46013</v>
      </c>
      <c r="Q223" s="27" t="str" cm="1">
        <f t="array" ref="Q223">IF(A223="","",IFERROR(TRIM(INDEX(_xlfn.TEXTSPLIT(IFERROR(VLOOKUP(A223,'Production Schedule'!$B:$FU,150,FALSE),""),CHAR(10)),3)),""))</f>
        <v/>
      </c>
      <c r="R223" s="28" t="str">
        <f t="shared" si="26"/>
        <v/>
      </c>
      <c r="S223" s="27" t="str" cm="1">
        <f t="array" ref="S223">IF(A223="","",IFERROR(TRIM(INDEX(_xlfn.TEXTSPLIT(IFERROR(VLOOKUP(A223,'Production Schedule'!$B:$FU,150,FALSE),""),CHAR(10)),4)),""))</f>
        <v/>
      </c>
      <c r="T223" s="28" t="str">
        <f t="shared" si="27"/>
        <v/>
      </c>
      <c r="U223" s="27" t="str" cm="1">
        <f t="array" ref="U223">IF(A223="","",IFERROR(TRIM(INDEX(_xlfn.TEXTSPLIT(IFERROR(VLOOKUP(A223,'Production Schedule'!$B:$FU,150,FALSE),""),CHAR(10)),5)),""))</f>
        <v/>
      </c>
      <c r="V223" s="28" t="str">
        <f t="shared" si="28"/>
        <v/>
      </c>
      <c r="W223" s="27" t="str" cm="1">
        <f t="array" ref="W223">IF(A223="","",IFERROR(TRIM(INDEX(_xlfn.TEXTSPLIT(IFERROR(VLOOKUP(A223,'Production Schedule'!$B:$FU,150,FALSE),""),CHAR(10)),6)),""))</f>
        <v/>
      </c>
      <c r="X223" s="28" t="str">
        <f t="shared" si="29"/>
        <v/>
      </c>
      <c r="Y223" s="30">
        <f t="shared" si="30"/>
        <v>46024</v>
      </c>
      <c r="Z223" s="31" t="str">
        <f>IF(A223="","",IF(IFERROR(VLOOKUP(A223,Notes!A:B,2,FALSE),"")=0,"",VLOOKUP(A223,Notes!A:B,2,FALSE)))</f>
        <v>04/16/2026…Ready to Ship</v>
      </c>
      <c r="AA223" s="18">
        <f t="shared" si="31"/>
        <v>2</v>
      </c>
    </row>
    <row r="224" spans="1:27" x14ac:dyDescent="0.25">
      <c r="A224" s="20" t="str">
        <v>24051-FS51C</v>
      </c>
      <c r="B224" s="20" t="str">
        <f>IF(A224="","",IFERROR(VLOOKUP(A224,'Production Schedule'!$B:$FU,3,FALSE),""))</f>
        <v>TN Titans Stadium</v>
      </c>
      <c r="C224" s="20" t="str">
        <f>IF(A224="","",IFERROR(VLOOKUP(A224,'Production Schedule'!$B:$FU,5,FALSE),""))</f>
        <v>Marc Ribar</v>
      </c>
      <c r="D224" s="20">
        <f>IF(A224="","",IFERROR(VLOOKUP(A224,'Production Schedule'!$B:$FU,7,FALSE),""))</f>
        <v>400</v>
      </c>
      <c r="E224" s="20">
        <f>IF(A224="","",IFERROR(VLOOKUP(A224,'Production Schedule'!$B:$FU,17,FALSE),""))</f>
        <v>40</v>
      </c>
      <c r="F224" s="20">
        <f>IF(A224="","",IFERROR(VLOOKUP(A224,'Production Schedule'!$B:$FU,18,FALSE),""))</f>
        <v>40</v>
      </c>
      <c r="G224" s="20" t="str">
        <f>IF(A224="","",IFERROR(VLOOKUP(A224,'Production Schedule'!$B:$FU,25,FALSE),""))</f>
        <v>FR ACM</v>
      </c>
      <c r="H224" s="21">
        <f>IF(A224="","",IFERROR(VLOOKUP(A224,'Production Schedule'!$B:$FU,47,FALSE),""))</f>
        <v>45951.437009143519</v>
      </c>
      <c r="I224" s="21">
        <f>IF(A224="","",IFERROR(VLOOKUP(A224,'Production Schedule'!$B:$FU,54,FALSE),""))</f>
        <v>46028</v>
      </c>
      <c r="J224" s="32">
        <f>IF(A224="","",IFERROR(VLOOKUP(A224,'Production Schedule'!$B:$FU,135,FALSE),""))</f>
        <v>40</v>
      </c>
      <c r="K224" s="20" t="str">
        <f>IF(A224="","",IFERROR(VLOOKUP(A224,'Production Schedule'!$B:$FU,59,FALSE),""))</f>
        <v>YES</v>
      </c>
      <c r="L224" s="39" t="str">
        <f>IF(A224="","",IFERROR(VLOOKUP(A224,'Production Schedule'!$B:$FU,80,FALSE),""))</f>
        <v>RTS Titans</v>
      </c>
      <c r="M224" s="33" t="str" cm="1">
        <f t="array" ref="M224">IF(A224="","",IFERROR(TRIM(INDEX(_xlfn.TEXTSPLIT(IFERROR(VLOOKUP(A224,'Production Schedule'!$B:$FU,150,FALSE),""),CHAR(10)),1)),""))</f>
        <v>AXYZ Titans Line</v>
      </c>
      <c r="N224" s="34">
        <f t="shared" si="24"/>
        <v>46003</v>
      </c>
      <c r="O224" s="33" t="str" cm="1">
        <f t="array" ref="O224">IF(A224="","",IFERROR(TRIM(INDEX(_xlfn.TEXTSPLIT(IFERROR(VLOOKUP(A224,'Production Schedule'!$B:$FU,150,FALSE),""),CHAR(10)),2)),""))</f>
        <v>Clean and Brake</v>
      </c>
      <c r="P224" s="34">
        <f t="shared" si="25"/>
        <v>46004</v>
      </c>
      <c r="Q224" s="33" t="str" cm="1">
        <f t="array" ref="Q224">IF(A224="","",IFERROR(TRIM(INDEX(_xlfn.TEXTSPLIT(IFERROR(VLOOKUP(A224,'Production Schedule'!$B:$FU,150,FALSE),""),CHAR(10)),3)),""))</f>
        <v>Fab</v>
      </c>
      <c r="R224" s="34">
        <f t="shared" si="26"/>
        <v>46015</v>
      </c>
      <c r="S224" s="33" t="str" cm="1">
        <f t="array" ref="S224">IF(A224="","",IFERROR(TRIM(INDEX(_xlfn.TEXTSPLIT(IFERROR(VLOOKUP(A224,'Production Schedule'!$B:$FU,150,FALSE),""),CHAR(10)),4)),""))</f>
        <v/>
      </c>
      <c r="T224" s="34" t="str">
        <f t="shared" si="27"/>
        <v/>
      </c>
      <c r="U224" s="33" t="str" cm="1">
        <f t="array" ref="U224">IF(A224="","",IFERROR(TRIM(INDEX(_xlfn.TEXTSPLIT(IFERROR(VLOOKUP(A224,'Production Schedule'!$B:$FU,150,FALSE),""),CHAR(10)),5)),""))</f>
        <v/>
      </c>
      <c r="V224" s="34" t="str">
        <f t="shared" si="28"/>
        <v/>
      </c>
      <c r="W224" s="33" t="str" cm="1">
        <f t="array" ref="W224">IF(A224="","",IFERROR(TRIM(INDEX(_xlfn.TEXTSPLIT(IFERROR(VLOOKUP(A224,'Production Schedule'!$B:$FU,150,FALSE),""),CHAR(10)),6)),""))</f>
        <v/>
      </c>
      <c r="X224" s="34" t="str">
        <f t="shared" si="29"/>
        <v/>
      </c>
      <c r="Y224" s="36">
        <f t="shared" si="30"/>
        <v>46025</v>
      </c>
      <c r="Z224" s="37" t="str">
        <f>IF(A224="","",IF(IFERROR(VLOOKUP(A224,Notes!A:B,2,FALSE),"")=0,"",VLOOKUP(A224,Notes!A:B,2,FALSE)))</f>
        <v>04/16/2026…RTS Titans</v>
      </c>
      <c r="AA224" s="20">
        <f t="shared" si="31"/>
        <v>2</v>
      </c>
    </row>
    <row r="225" spans="1:27" x14ac:dyDescent="0.25">
      <c r="A225" s="18" t="str">
        <v>24051-FS51</v>
      </c>
      <c r="B225" s="18" t="str">
        <f>IF(A225="","",IFERROR(VLOOKUP(A225,'Production Schedule'!$B:$FU,3,FALSE),""))</f>
        <v>TN Titans Stadium</v>
      </c>
      <c r="C225" s="18" t="str">
        <f>IF(A225="","",IFERROR(VLOOKUP(A225,'Production Schedule'!$B:$FU,5,FALSE),""))</f>
        <v>Marc Ribar</v>
      </c>
      <c r="D225" s="18">
        <f>IF(A225="","",IFERROR(VLOOKUP(A225,'Production Schedule'!$B:$FU,7,FALSE),""))</f>
        <v>400</v>
      </c>
      <c r="E225" s="18">
        <f>IF(A225="","",IFERROR(VLOOKUP(A225,'Production Schedule'!$B:$FU,17,FALSE),""))</f>
        <v>120</v>
      </c>
      <c r="F225" s="18">
        <f>IF(A225="","",IFERROR(VLOOKUP(A225,'Production Schedule'!$B:$FU,18,FALSE),""))</f>
        <v>120</v>
      </c>
      <c r="G225" s="18" t="str">
        <f>IF(A225="","",IFERROR(VLOOKUP(A225,'Production Schedule'!$B:$FU,25,FALSE),""))</f>
        <v>FR ACM</v>
      </c>
      <c r="H225" s="19">
        <f>IF(A225="","",IFERROR(VLOOKUP(A225,'Production Schedule'!$B:$FU,47,FALSE),""))</f>
        <v>45951.434206979167</v>
      </c>
      <c r="I225" s="19">
        <f>IF(A225="","",IFERROR(VLOOKUP(A225,'Production Schedule'!$B:$FU,54,FALSE),""))</f>
        <v>46030</v>
      </c>
      <c r="J225" s="26">
        <f>IF(A225="","",IFERROR(VLOOKUP(A225,'Production Schedule'!$B:$FU,135,FALSE),""))</f>
        <v>200</v>
      </c>
      <c r="K225" s="18" t="str">
        <f>IF(A225="","",IFERROR(VLOOKUP(A225,'Production Schedule'!$B:$FU,59,FALSE),""))</f>
        <v>YES</v>
      </c>
      <c r="L225" s="38" t="str">
        <f>IF(A225="","",IFERROR(VLOOKUP(A225,'Production Schedule'!$B:$FU,80,FALSE),""))</f>
        <v>RTS Titans</v>
      </c>
      <c r="M225" s="27" t="str" cm="1">
        <f t="array" ref="M225">IF(A225="","",IFERROR(TRIM(INDEX(_xlfn.TEXTSPLIT(IFERROR(VLOOKUP(A225,'Production Schedule'!$B:$FU,150,FALSE),""),CHAR(10)),1)),""))</f>
        <v>AXYZ Titans Line</v>
      </c>
      <c r="N225" s="28">
        <f t="shared" si="24"/>
        <v>46003</v>
      </c>
      <c r="O225" s="27" t="str" cm="1">
        <f t="array" ref="O225">IF(A225="","",IFERROR(TRIM(INDEX(_xlfn.TEXTSPLIT(IFERROR(VLOOKUP(A225,'Production Schedule'!$B:$FU,150,FALSE),""),CHAR(10)),2)),""))</f>
        <v>Clean and Brake</v>
      </c>
      <c r="P225" s="28">
        <f t="shared" si="25"/>
        <v>46007</v>
      </c>
      <c r="Q225" s="27" t="str" cm="1">
        <f t="array" ref="Q225">IF(A225="","",IFERROR(TRIM(INDEX(_xlfn.TEXTSPLIT(IFERROR(VLOOKUP(A225,'Production Schedule'!$B:$FU,150,FALSE),""),CHAR(10)),3)),""))</f>
        <v>Fab</v>
      </c>
      <c r="R225" s="28">
        <f t="shared" si="26"/>
        <v>46017</v>
      </c>
      <c r="S225" s="27" t="str" cm="1">
        <f t="array" ref="S225">IF(A225="","",IFERROR(TRIM(INDEX(_xlfn.TEXTSPLIT(IFERROR(VLOOKUP(A225,'Production Schedule'!$B:$FU,150,FALSE),""),CHAR(10)),4)),""))</f>
        <v/>
      </c>
      <c r="T225" s="28" t="str">
        <f t="shared" si="27"/>
        <v/>
      </c>
      <c r="U225" s="27" t="str" cm="1">
        <f t="array" ref="U225">IF(A225="","",IFERROR(TRIM(INDEX(_xlfn.TEXTSPLIT(IFERROR(VLOOKUP(A225,'Production Schedule'!$B:$FU,150,FALSE),""),CHAR(10)),5)),""))</f>
        <v/>
      </c>
      <c r="V225" s="28" t="str">
        <f t="shared" si="28"/>
        <v/>
      </c>
      <c r="W225" s="27" t="str" cm="1">
        <f t="array" ref="W225">IF(A225="","",IFERROR(TRIM(INDEX(_xlfn.TEXTSPLIT(IFERROR(VLOOKUP(A225,'Production Schedule'!$B:$FU,150,FALSE),""),CHAR(10)),6)),""))</f>
        <v/>
      </c>
      <c r="X225" s="28" t="str">
        <f t="shared" si="29"/>
        <v/>
      </c>
      <c r="Y225" s="30">
        <f t="shared" si="30"/>
        <v>46028</v>
      </c>
      <c r="Z225" s="31" t="str">
        <f>IF(A225="","",IF(IFERROR(VLOOKUP(A225,Notes!A:B,2,FALSE),"")=0,"",VLOOKUP(A225,Notes!A:B,2,FALSE)))</f>
        <v>04/16/2026…RTS Titans</v>
      </c>
      <c r="AA225" s="18">
        <f t="shared" si="31"/>
        <v>2</v>
      </c>
    </row>
    <row r="226" spans="1:27" x14ac:dyDescent="0.25">
      <c r="A226" s="20" t="str">
        <v>24051-FS52C</v>
      </c>
      <c r="B226" s="20" t="str">
        <f>IF(A226="","",IFERROR(VLOOKUP(A226,'Production Schedule'!$B:$FU,3,FALSE),""))</f>
        <v>TN Titans Stadium</v>
      </c>
      <c r="C226" s="20" t="str">
        <f>IF(A226="","",IFERROR(VLOOKUP(A226,'Production Schedule'!$B:$FU,5,FALSE),""))</f>
        <v>Marc Ribar</v>
      </c>
      <c r="D226" s="20">
        <f>IF(A226="","",IFERROR(VLOOKUP(A226,'Production Schedule'!$B:$FU,7,FALSE),""))</f>
        <v>400</v>
      </c>
      <c r="E226" s="20">
        <f>IF(A226="","",IFERROR(VLOOKUP(A226,'Production Schedule'!$B:$FU,17,FALSE),""))</f>
        <v>70</v>
      </c>
      <c r="F226" s="20">
        <f>IF(A226="","",IFERROR(VLOOKUP(A226,'Production Schedule'!$B:$FU,18,FALSE),""))</f>
        <v>70</v>
      </c>
      <c r="G226" s="20" t="str">
        <f>IF(A226="","",IFERROR(VLOOKUP(A226,'Production Schedule'!$B:$FU,25,FALSE),""))</f>
        <v>FR ACM</v>
      </c>
      <c r="H226" s="21">
        <f>IF(A226="","",IFERROR(VLOOKUP(A226,'Production Schedule'!$B:$FU,47,FALSE),""))</f>
        <v>45951.46052015046</v>
      </c>
      <c r="I226" s="21">
        <f>IF(A226="","",IFERROR(VLOOKUP(A226,'Production Schedule'!$B:$FU,54,FALSE),""))</f>
        <v>46035</v>
      </c>
      <c r="J226" s="32">
        <f>IF(A226="","",IFERROR(VLOOKUP(A226,'Production Schedule'!$B:$FU,135,FALSE),""))</f>
        <v>140</v>
      </c>
      <c r="K226" s="20" t="str">
        <f>IF(A226="","",IFERROR(VLOOKUP(A226,'Production Schedule'!$B:$FU,59,FALSE),""))</f>
        <v>YES</v>
      </c>
      <c r="L226" s="39" t="str">
        <f>IF(A226="","",IFERROR(VLOOKUP(A226,'Production Schedule'!$B:$FU,80,FALSE),""))</f>
        <v>RTS Titans</v>
      </c>
      <c r="M226" s="33" t="str" cm="1">
        <f t="array" ref="M226">IF(A226="","",IFERROR(TRIM(INDEX(_xlfn.TEXTSPLIT(IFERROR(VLOOKUP(A226,'Production Schedule'!$B:$FU,150,FALSE),""),CHAR(10)),1)),""))</f>
        <v>AXYZ Titans Line</v>
      </c>
      <c r="N226" s="34">
        <f t="shared" si="24"/>
        <v>46009</v>
      </c>
      <c r="O226" s="33" t="str" cm="1">
        <f t="array" ref="O226">IF(A226="","",IFERROR(TRIM(INDEX(_xlfn.TEXTSPLIT(IFERROR(VLOOKUP(A226,'Production Schedule'!$B:$FU,150,FALSE),""),CHAR(10)),2)),""))</f>
        <v>Clean and Brake</v>
      </c>
      <c r="P226" s="34">
        <f t="shared" si="25"/>
        <v>46011</v>
      </c>
      <c r="Q226" s="33" t="str" cm="1">
        <f t="array" ref="Q226">IF(A226="","",IFERROR(TRIM(INDEX(_xlfn.TEXTSPLIT(IFERROR(VLOOKUP(A226,'Production Schedule'!$B:$FU,150,FALSE),""),CHAR(10)),3)),""))</f>
        <v>Fab</v>
      </c>
      <c r="R226" s="34">
        <f t="shared" si="26"/>
        <v>46022</v>
      </c>
      <c r="S226" s="33" t="str" cm="1">
        <f t="array" ref="S226">IF(A226="","",IFERROR(TRIM(INDEX(_xlfn.TEXTSPLIT(IFERROR(VLOOKUP(A226,'Production Schedule'!$B:$FU,150,FALSE),""),CHAR(10)),4)),""))</f>
        <v/>
      </c>
      <c r="T226" s="34" t="str">
        <f t="shared" si="27"/>
        <v/>
      </c>
      <c r="U226" s="33" t="str" cm="1">
        <f t="array" ref="U226">IF(A226="","",IFERROR(TRIM(INDEX(_xlfn.TEXTSPLIT(IFERROR(VLOOKUP(A226,'Production Schedule'!$B:$FU,150,FALSE),""),CHAR(10)),5)),""))</f>
        <v/>
      </c>
      <c r="V226" s="34" t="str">
        <f t="shared" si="28"/>
        <v/>
      </c>
      <c r="W226" s="33" t="str" cm="1">
        <f t="array" ref="W226">IF(A226="","",IFERROR(TRIM(INDEX(_xlfn.TEXTSPLIT(IFERROR(VLOOKUP(A226,'Production Schedule'!$B:$FU,150,FALSE),""),CHAR(10)),6)),""))</f>
        <v/>
      </c>
      <c r="X226" s="34" t="str">
        <f t="shared" si="29"/>
        <v/>
      </c>
      <c r="Y226" s="36">
        <f t="shared" si="30"/>
        <v>46032</v>
      </c>
      <c r="Z226" s="37" t="str">
        <f>IF(A226="","",IF(IFERROR(VLOOKUP(A226,Notes!A:B,2,FALSE),"")=0,"",VLOOKUP(A226,Notes!A:B,2,FALSE)))</f>
        <v>04/16/2026…RTS Titans</v>
      </c>
      <c r="AA226" s="20">
        <f t="shared" si="31"/>
        <v>2</v>
      </c>
    </row>
    <row r="227" spans="1:27" x14ac:dyDescent="0.25">
      <c r="A227" s="18" t="str">
        <v>24051-FS52</v>
      </c>
      <c r="B227" s="18" t="str">
        <f>IF(A227="","",IFERROR(VLOOKUP(A227,'Production Schedule'!$B:$FU,3,FALSE),""))</f>
        <v>TN Titans Stadium</v>
      </c>
      <c r="C227" s="18" t="str">
        <f>IF(A227="","",IFERROR(VLOOKUP(A227,'Production Schedule'!$B:$FU,5,FALSE),""))</f>
        <v>Marc Ribar</v>
      </c>
      <c r="D227" s="18">
        <f>IF(A227="","",IFERROR(VLOOKUP(A227,'Production Schedule'!$B:$FU,7,FALSE),""))</f>
        <v>400</v>
      </c>
      <c r="E227" s="18">
        <f>IF(A227="","",IFERROR(VLOOKUP(A227,'Production Schedule'!$B:$FU,17,FALSE),""))</f>
        <v>210</v>
      </c>
      <c r="F227" s="18">
        <f>IF(A227="","",IFERROR(VLOOKUP(A227,'Production Schedule'!$B:$FU,18,FALSE),""))</f>
        <v>210</v>
      </c>
      <c r="G227" s="18" t="str">
        <f>IF(A227="","",IFERROR(VLOOKUP(A227,'Production Schedule'!$B:$FU,25,FALSE),""))</f>
        <v>FR ACM</v>
      </c>
      <c r="H227" s="19">
        <f>IF(A227="","",IFERROR(VLOOKUP(A227,'Production Schedule'!$B:$FU,47,FALSE),""))</f>
        <v>45951.457170798611</v>
      </c>
      <c r="I227" s="19">
        <f>IF(A227="","",IFERROR(VLOOKUP(A227,'Production Schedule'!$B:$FU,54,FALSE),""))</f>
        <v>46035</v>
      </c>
      <c r="J227" s="26">
        <f>IF(A227="","",IFERROR(VLOOKUP(A227,'Production Schedule'!$B:$FU,135,FALSE),""))</f>
        <v>320</v>
      </c>
      <c r="K227" s="18" t="str">
        <f>IF(A227="","",IFERROR(VLOOKUP(A227,'Production Schedule'!$B:$FU,59,FALSE),""))</f>
        <v>YES</v>
      </c>
      <c r="L227" s="38" t="str">
        <f>IF(A227="","",IFERROR(VLOOKUP(A227,'Production Schedule'!$B:$FU,80,FALSE),""))</f>
        <v>RTS Titans</v>
      </c>
      <c r="M227" s="27" t="str" cm="1">
        <f t="array" ref="M227">IF(A227="","",IFERROR(TRIM(INDEX(_xlfn.TEXTSPLIT(IFERROR(VLOOKUP(A227,'Production Schedule'!$B:$FU,150,FALSE),""),CHAR(10)),1)),""))</f>
        <v>AXYZ Titans Line</v>
      </c>
      <c r="N227" s="28">
        <f t="shared" si="24"/>
        <v>46007</v>
      </c>
      <c r="O227" s="27" t="str" cm="1">
        <f t="array" ref="O227">IF(A227="","",IFERROR(TRIM(INDEX(_xlfn.TEXTSPLIT(IFERROR(VLOOKUP(A227,'Production Schedule'!$B:$FU,150,FALSE),""),CHAR(10)),2)),""))</f>
        <v>Clean and Brake</v>
      </c>
      <c r="P227" s="28">
        <f t="shared" si="25"/>
        <v>46011</v>
      </c>
      <c r="Q227" s="27" t="str" cm="1">
        <f t="array" ref="Q227">IF(A227="","",IFERROR(TRIM(INDEX(_xlfn.TEXTSPLIT(IFERROR(VLOOKUP(A227,'Production Schedule'!$B:$FU,150,FALSE),""),CHAR(10)),3)),""))</f>
        <v>Fab</v>
      </c>
      <c r="R227" s="28">
        <f t="shared" si="26"/>
        <v>46022</v>
      </c>
      <c r="S227" s="27" t="str" cm="1">
        <f t="array" ref="S227">IF(A227="","",IFERROR(TRIM(INDEX(_xlfn.TEXTSPLIT(IFERROR(VLOOKUP(A227,'Production Schedule'!$B:$FU,150,FALSE),""),CHAR(10)),4)),""))</f>
        <v/>
      </c>
      <c r="T227" s="28" t="str">
        <f t="shared" si="27"/>
        <v/>
      </c>
      <c r="U227" s="27" t="str" cm="1">
        <f t="array" ref="U227">IF(A227="","",IFERROR(TRIM(INDEX(_xlfn.TEXTSPLIT(IFERROR(VLOOKUP(A227,'Production Schedule'!$B:$FU,150,FALSE),""),CHAR(10)),5)),""))</f>
        <v/>
      </c>
      <c r="V227" s="28" t="str">
        <f t="shared" si="28"/>
        <v/>
      </c>
      <c r="W227" s="27" t="str" cm="1">
        <f t="array" ref="W227">IF(A227="","",IFERROR(TRIM(INDEX(_xlfn.TEXTSPLIT(IFERROR(VLOOKUP(A227,'Production Schedule'!$B:$FU,150,FALSE),""),CHAR(10)),6)),""))</f>
        <v/>
      </c>
      <c r="X227" s="28" t="str">
        <f t="shared" si="29"/>
        <v/>
      </c>
      <c r="Y227" s="30">
        <f t="shared" si="30"/>
        <v>46032</v>
      </c>
      <c r="Z227" s="31" t="str">
        <f>IF(A227="","",IF(IFERROR(VLOOKUP(A227,Notes!A:B,2,FALSE),"")=0,"",VLOOKUP(A227,Notes!A:B,2,FALSE)))</f>
        <v>04/16/2026…RTS Titans</v>
      </c>
      <c r="AA227" s="18">
        <f t="shared" si="31"/>
        <v>2</v>
      </c>
    </row>
    <row r="228" spans="1:27" x14ac:dyDescent="0.25">
      <c r="A228" s="20" t="str">
        <v>25017-FL99</v>
      </c>
      <c r="B228" s="20" t="str">
        <f>IF(A228="","",IFERROR(VLOOKUP(A228,'Production Schedule'!$B:$FU,3,FALSE),""))</f>
        <v>Nashville Yards Park</v>
      </c>
      <c r="C228" s="20" t="str">
        <f>IF(A228="","",IFERROR(VLOOKUP(A228,'Production Schedule'!$B:$FU,5,FALSE),""))</f>
        <v>Dillon Bowman</v>
      </c>
      <c r="D228" s="20">
        <f>IF(A228="","",IFERROR(VLOOKUP(A228,'Production Schedule'!$B:$FU,7,FALSE),""))</f>
        <v>0</v>
      </c>
      <c r="E228" s="20">
        <f>IF(A228="","",IFERROR(VLOOKUP(A228,'Production Schedule'!$B:$FU,17,FALSE),""))</f>
        <v>0</v>
      </c>
      <c r="F228" s="20">
        <f>IF(A228="","",IFERROR(VLOOKUP(A228,'Production Schedule'!$B:$FU,18,FALSE),""))</f>
        <v>2</v>
      </c>
      <c r="G228" s="20" t="str">
        <f>IF(A228="","",IFERROR(VLOOKUP(A228,'Production Schedule'!$B:$FU,25,FALSE),""))</f>
        <v>Alum Sheet</v>
      </c>
      <c r="H228" s="21">
        <f>IF(A228="","",IFERROR(VLOOKUP(A228,'Production Schedule'!$B:$FU,47,FALSE),""))</f>
        <v>46014.433136030093</v>
      </c>
      <c r="I228" s="21">
        <f>IF(A228="","",IFERROR(VLOOKUP(A228,'Production Schedule'!$B:$FU,54,FALSE),""))</f>
        <v>46036</v>
      </c>
      <c r="J228" s="32">
        <f>IF(A228="","",IFERROR(VLOOKUP(A228,'Production Schedule'!$B:$FU,135,FALSE),""))</f>
        <v>2</v>
      </c>
      <c r="K228" s="20" t="str">
        <f>IF(A228="","",IFERROR(VLOOKUP(A228,'Production Schedule'!$B:$FU,59,FALSE),""))</f>
        <v>YES</v>
      </c>
      <c r="L228" s="39" t="str">
        <f>IF(A228="","",IFERROR(VLOOKUP(A228,'Production Schedule'!$B:$FU,80,FALSE),""))</f>
        <v>Ready to Ship</v>
      </c>
      <c r="M228" s="33" t="str" cm="1">
        <f t="array" ref="M228">IF(A228="","",IFERROR(TRIM(INDEX(_xlfn.TEXTSPLIT(IFERROR(VLOOKUP(A228,'Production Schedule'!$B:$FU,150,FALSE),""),CHAR(10)),1)),""))</f>
        <v>Cidan</v>
      </c>
      <c r="N228" s="34">
        <f t="shared" si="24"/>
        <v>46010</v>
      </c>
      <c r="O228" s="33" t="str" cm="1">
        <f t="array" ref="O228">IF(A228="","",IFERROR(TRIM(INDEX(_xlfn.TEXTSPLIT(IFERROR(VLOOKUP(A228,'Production Schedule'!$B:$FU,150,FALSE),""),CHAR(10)),2)),""))</f>
        <v>Shear</v>
      </c>
      <c r="P228" s="34">
        <f t="shared" si="25"/>
        <v>46022</v>
      </c>
      <c r="Q228" s="33" t="str" cm="1">
        <f t="array" ref="Q228">IF(A228="","",IFERROR(TRIM(INDEX(_xlfn.TEXTSPLIT(IFERROR(VLOOKUP(A228,'Production Schedule'!$B:$FU,150,FALSE),""),CHAR(10)),3)),""))</f>
        <v/>
      </c>
      <c r="R228" s="34" t="str">
        <f t="shared" si="26"/>
        <v/>
      </c>
      <c r="S228" s="33" t="str" cm="1">
        <f t="array" ref="S228">IF(A228="","",IFERROR(TRIM(INDEX(_xlfn.TEXTSPLIT(IFERROR(VLOOKUP(A228,'Production Schedule'!$B:$FU,150,FALSE),""),CHAR(10)),4)),""))</f>
        <v/>
      </c>
      <c r="T228" s="34" t="str">
        <f t="shared" si="27"/>
        <v/>
      </c>
      <c r="U228" s="33" t="str" cm="1">
        <f t="array" ref="U228">IF(A228="","",IFERROR(TRIM(INDEX(_xlfn.TEXTSPLIT(IFERROR(VLOOKUP(A228,'Production Schedule'!$B:$FU,150,FALSE),""),CHAR(10)),5)),""))</f>
        <v/>
      </c>
      <c r="V228" s="34" t="str">
        <f t="shared" si="28"/>
        <v/>
      </c>
      <c r="W228" s="33" t="str" cm="1">
        <f t="array" ref="W228">IF(A228="","",IFERROR(TRIM(INDEX(_xlfn.TEXTSPLIT(IFERROR(VLOOKUP(A228,'Production Schedule'!$B:$FU,150,FALSE),""),CHAR(10)),6)),""))</f>
        <v/>
      </c>
      <c r="X228" s="34" t="str">
        <f t="shared" si="29"/>
        <v/>
      </c>
      <c r="Y228" s="36">
        <f t="shared" si="30"/>
        <v>46034</v>
      </c>
      <c r="Z228" s="37" t="str">
        <f>IF(A228="","",IF(IFERROR(VLOOKUP(A228,Notes!A:B,2,FALSE),"")=0,"",VLOOKUP(A228,Notes!A:B,2,FALSE)))</f>
        <v>04/16/2026…Ready to Ship</v>
      </c>
      <c r="AA228" s="20">
        <f t="shared" si="31"/>
        <v>2</v>
      </c>
    </row>
    <row r="229" spans="1:27" x14ac:dyDescent="0.25">
      <c r="A229" s="18" t="str">
        <v>25052-FL01</v>
      </c>
      <c r="B229" s="18" t="str">
        <f>IF(A229="","",IFERROR(VLOOKUP(A229,'Production Schedule'!$B:$FU,3,FALSE),""))</f>
        <v>TEMA Warehouse</v>
      </c>
      <c r="C229" s="18" t="str">
        <f>IF(A229="","",IFERROR(VLOOKUP(A229,'Production Schedule'!$B:$FU,5,FALSE),""))</f>
        <v>Andre Van Der Merwe</v>
      </c>
      <c r="D229" s="18">
        <f>IF(A229="","",IFERROR(VLOOKUP(A229,'Production Schedule'!$B:$FU,7,FALSE),""))</f>
        <v>0</v>
      </c>
      <c r="E229" s="18">
        <f>IF(A229="","",IFERROR(VLOOKUP(A229,'Production Schedule'!$B:$FU,17,FALSE),""))</f>
        <v>0</v>
      </c>
      <c r="F229" s="18">
        <f>IF(A229="","",IFERROR(VLOOKUP(A229,'Production Schedule'!$B:$FU,18,FALSE),""))</f>
        <v>10</v>
      </c>
      <c r="G229" s="18" t="str">
        <f>IF(A229="","",IFERROR(VLOOKUP(A229,'Production Schedule'!$B:$FU,25,FALSE),""))</f>
        <v>Alum Sheet</v>
      </c>
      <c r="H229" s="19">
        <f>IF(A229="","",IFERROR(VLOOKUP(A229,'Production Schedule'!$B:$FU,47,FALSE),""))</f>
        <v>45972.403048888889</v>
      </c>
      <c r="I229" s="19">
        <f>IF(A229="","",IFERROR(VLOOKUP(A229,'Production Schedule'!$B:$FU,54,FALSE),""))</f>
        <v>46037</v>
      </c>
      <c r="J229" s="26">
        <f>IF(A229="","",IFERROR(VLOOKUP(A229,'Production Schedule'!$B:$FU,135,FALSE),""))</f>
        <v>6</v>
      </c>
      <c r="K229" s="18" t="str">
        <f>IF(A229="","",IFERROR(VLOOKUP(A229,'Production Schedule'!$B:$FU,59,FALSE),""))</f>
        <v>YES</v>
      </c>
      <c r="L229" s="38" t="str">
        <f>IF(A229="","",IFERROR(VLOOKUP(A229,'Production Schedule'!$B:$FU,80,FALSE),""))</f>
        <v>Ready to Ship</v>
      </c>
      <c r="M229" s="27" t="str" cm="1">
        <f t="array" ref="M229">IF(A229="","",IFERROR(TRIM(INDEX(_xlfn.TEXTSPLIT(IFERROR(VLOOKUP(A229,'Production Schedule'!$B:$FU,150,FALSE),""),CHAR(10)),1)),""))</f>
        <v>Cidan</v>
      </c>
      <c r="N229" s="28">
        <f t="shared" si="24"/>
        <v>46011</v>
      </c>
      <c r="O229" s="27" t="str" cm="1">
        <f t="array" ref="O229">IF(A229="","",IFERROR(TRIM(INDEX(_xlfn.TEXTSPLIT(IFERROR(VLOOKUP(A229,'Production Schedule'!$B:$FU,150,FALSE),""),CHAR(10)),2)),""))</f>
        <v>Shear</v>
      </c>
      <c r="P229" s="28">
        <f t="shared" si="25"/>
        <v>46023</v>
      </c>
      <c r="Q229" s="27" t="str" cm="1">
        <f t="array" ref="Q229">IF(A229="","",IFERROR(TRIM(INDEX(_xlfn.TEXTSPLIT(IFERROR(VLOOKUP(A229,'Production Schedule'!$B:$FU,150,FALSE),""),CHAR(10)),3)),""))</f>
        <v/>
      </c>
      <c r="R229" s="28" t="str">
        <f t="shared" si="26"/>
        <v/>
      </c>
      <c r="S229" s="27" t="str" cm="1">
        <f t="array" ref="S229">IF(A229="","",IFERROR(TRIM(INDEX(_xlfn.TEXTSPLIT(IFERROR(VLOOKUP(A229,'Production Schedule'!$B:$FU,150,FALSE),""),CHAR(10)),4)),""))</f>
        <v/>
      </c>
      <c r="T229" s="28" t="str">
        <f t="shared" si="27"/>
        <v/>
      </c>
      <c r="U229" s="27" t="str" cm="1">
        <f t="array" ref="U229">IF(A229="","",IFERROR(TRIM(INDEX(_xlfn.TEXTSPLIT(IFERROR(VLOOKUP(A229,'Production Schedule'!$B:$FU,150,FALSE),""),CHAR(10)),5)),""))</f>
        <v/>
      </c>
      <c r="V229" s="28" t="str">
        <f t="shared" si="28"/>
        <v/>
      </c>
      <c r="W229" s="27" t="str" cm="1">
        <f t="array" ref="W229">IF(A229="","",IFERROR(TRIM(INDEX(_xlfn.TEXTSPLIT(IFERROR(VLOOKUP(A229,'Production Schedule'!$B:$FU,150,FALSE),""),CHAR(10)),6)),""))</f>
        <v/>
      </c>
      <c r="X229" s="28" t="str">
        <f t="shared" si="29"/>
        <v/>
      </c>
      <c r="Y229" s="30">
        <f t="shared" si="30"/>
        <v>46035</v>
      </c>
      <c r="Z229" s="31" t="str">
        <f>IF(A229="","",IF(IFERROR(VLOOKUP(A229,Notes!A:B,2,FALSE),"")=0,"",VLOOKUP(A229,Notes!A:B,2,FALSE)))</f>
        <v>04/16/2026…Ready to Ship</v>
      </c>
      <c r="AA229" s="18">
        <f t="shared" si="31"/>
        <v>2</v>
      </c>
    </row>
    <row r="230" spans="1:27" x14ac:dyDescent="0.25">
      <c r="A230" s="20" t="str">
        <v>23028-FS99</v>
      </c>
      <c r="B230" s="20" t="str">
        <f>IF(A230="","",IFERROR(VLOOKUP(A230,'Production Schedule'!$B:$FU,3,FALSE),""))</f>
        <v>1000 Church YMCA</v>
      </c>
      <c r="C230" s="20" t="str">
        <f>IF(A230="","",IFERROR(VLOOKUP(A230,'Production Schedule'!$B:$FU,5,FALSE),""))</f>
        <v>Dillon Bowman</v>
      </c>
      <c r="D230" s="20">
        <f>IF(A230="","",IFERROR(VLOOKUP(A230,'Production Schedule'!$B:$FU,7,FALSE),""))</f>
        <v>600</v>
      </c>
      <c r="E230" s="20">
        <f>IF(A230="","",IFERROR(VLOOKUP(A230,'Production Schedule'!$B:$FU,17,FALSE),""))</f>
        <v>1</v>
      </c>
      <c r="F230" s="20">
        <f>IF(A230="","",IFERROR(VLOOKUP(A230,'Production Schedule'!$B:$FU,18,FALSE),""))</f>
        <v>1</v>
      </c>
      <c r="G230" s="20" t="str">
        <f>IF(A230="","",IFERROR(VLOOKUP(A230,'Production Schedule'!$B:$FU,25,FALSE),""))</f>
        <v>FR ACM</v>
      </c>
      <c r="H230" s="21">
        <f>IF(A230="","",IFERROR(VLOOKUP(A230,'Production Schedule'!$B:$FU,47,FALSE),""))</f>
        <v>45999.565012025465</v>
      </c>
      <c r="I230" s="21">
        <f>IF(A230="","",IFERROR(VLOOKUP(A230,'Production Schedule'!$B:$FU,54,FALSE),""))</f>
        <v>46038</v>
      </c>
      <c r="J230" s="32">
        <f>IF(A230="","",IFERROR(VLOOKUP(A230,'Production Schedule'!$B:$FU,135,FALSE),""))</f>
        <v>2</v>
      </c>
      <c r="K230" s="20" t="str">
        <f>IF(A230="","",IFERROR(VLOOKUP(A230,'Production Schedule'!$B:$FU,59,FALSE),""))</f>
        <v>YES</v>
      </c>
      <c r="L230" s="39" t="str">
        <f>IF(A230="","",IFERROR(VLOOKUP(A230,'Production Schedule'!$B:$FU,80,FALSE),""))</f>
        <v>Ready to Ship</v>
      </c>
      <c r="M230" s="33" t="str" cm="1">
        <f t="array" ref="M230">IF(A230="","",IFERROR(TRIM(INDEX(_xlfn.TEXTSPLIT(IFERROR(VLOOKUP(A230,'Production Schedule'!$B:$FU,150,FALSE),""),CHAR(10)),1)),""))</f>
        <v>AXYZ Titans Line</v>
      </c>
      <c r="N230" s="34">
        <f t="shared" si="24"/>
        <v>46014</v>
      </c>
      <c r="O230" s="33" t="str" cm="1">
        <f t="array" ref="O230">IF(A230="","",IFERROR(TRIM(INDEX(_xlfn.TEXTSPLIT(IFERROR(VLOOKUP(A230,'Production Schedule'!$B:$FU,150,FALSE),""),CHAR(10)),2)),""))</f>
        <v>Clean and Brake</v>
      </c>
      <c r="P230" s="34">
        <f t="shared" si="25"/>
        <v>46015</v>
      </c>
      <c r="Q230" s="33" t="str" cm="1">
        <f t="array" ref="Q230">IF(A230="","",IFERROR(TRIM(INDEX(_xlfn.TEXTSPLIT(IFERROR(VLOOKUP(A230,'Production Schedule'!$B:$FU,150,FALSE),""),CHAR(10)),3)),""))</f>
        <v>Fab</v>
      </c>
      <c r="R230" s="34">
        <f t="shared" si="26"/>
        <v>46025</v>
      </c>
      <c r="S230" s="33" t="str" cm="1">
        <f t="array" ref="S230">IF(A230="","",IFERROR(TRIM(INDEX(_xlfn.TEXTSPLIT(IFERROR(VLOOKUP(A230,'Production Schedule'!$B:$FU,150,FALSE),""),CHAR(10)),4)),""))</f>
        <v/>
      </c>
      <c r="T230" s="34" t="str">
        <f t="shared" si="27"/>
        <v/>
      </c>
      <c r="U230" s="33" t="str" cm="1">
        <f t="array" ref="U230">IF(A230="","",IFERROR(TRIM(INDEX(_xlfn.TEXTSPLIT(IFERROR(VLOOKUP(A230,'Production Schedule'!$B:$FU,150,FALSE),""),CHAR(10)),5)),""))</f>
        <v/>
      </c>
      <c r="V230" s="34" t="str">
        <f t="shared" si="28"/>
        <v/>
      </c>
      <c r="W230" s="33" t="str" cm="1">
        <f t="array" ref="W230">IF(A230="","",IFERROR(TRIM(INDEX(_xlfn.TEXTSPLIT(IFERROR(VLOOKUP(A230,'Production Schedule'!$B:$FU,150,FALSE),""),CHAR(10)),6)),""))</f>
        <v/>
      </c>
      <c r="X230" s="34" t="str">
        <f t="shared" si="29"/>
        <v/>
      </c>
      <c r="Y230" s="36">
        <f t="shared" si="30"/>
        <v>46036</v>
      </c>
      <c r="Z230" s="37" t="str">
        <f>IF(A230="","",IF(IFERROR(VLOOKUP(A230,Notes!A:B,2,FALSE),"")=0,"",VLOOKUP(A230,Notes!A:B,2,FALSE)))</f>
        <v>04/16/2026…Ready to Ship</v>
      </c>
      <c r="AA230" s="20">
        <f t="shared" si="31"/>
        <v>2</v>
      </c>
    </row>
    <row r="231" spans="1:27" x14ac:dyDescent="0.25">
      <c r="A231" s="18" t="str">
        <v>24051-FS67</v>
      </c>
      <c r="B231" s="18" t="str">
        <f>IF(A231="","",IFERROR(VLOOKUP(A231,'Production Schedule'!$B:$FU,3,FALSE),""))</f>
        <v>TN Titans Stadium</v>
      </c>
      <c r="C231" s="18" t="str">
        <f>IF(A231="","",IFERROR(VLOOKUP(A231,'Production Schedule'!$B:$FU,5,FALSE),""))</f>
        <v>Marc Ribar</v>
      </c>
      <c r="D231" s="18">
        <f>IF(A231="","",IFERROR(VLOOKUP(A231,'Production Schedule'!$B:$FU,7,FALSE),""))</f>
        <v>400</v>
      </c>
      <c r="E231" s="18">
        <f>IF(A231="","",IFERROR(VLOOKUP(A231,'Production Schedule'!$B:$FU,17,FALSE),""))</f>
        <v>14</v>
      </c>
      <c r="F231" s="18">
        <f>IF(A231="","",IFERROR(VLOOKUP(A231,'Production Schedule'!$B:$FU,18,FALSE),""))</f>
        <v>14</v>
      </c>
      <c r="G231" s="18" t="str">
        <f>IF(A231="","",IFERROR(VLOOKUP(A231,'Production Schedule'!$B:$FU,25,FALSE),""))</f>
        <v>FR ACM</v>
      </c>
      <c r="H231" s="19">
        <f>IF(A231="","",IFERROR(VLOOKUP(A231,'Production Schedule'!$B:$FU,47,FALSE),""))</f>
        <v>46007.484495428238</v>
      </c>
      <c r="I231" s="19">
        <f>IF(A231="","",IFERROR(VLOOKUP(A231,'Production Schedule'!$B:$FU,54,FALSE),""))</f>
        <v>46041</v>
      </c>
      <c r="J231" s="26">
        <f>IF(A231="","",IFERROR(VLOOKUP(A231,'Production Schedule'!$B:$FU,135,FALSE),""))</f>
        <v>16</v>
      </c>
      <c r="K231" s="18" t="str">
        <f>IF(A231="","",IFERROR(VLOOKUP(A231,'Production Schedule'!$B:$FU,59,FALSE),""))</f>
        <v>YES</v>
      </c>
      <c r="L231" s="38" t="str">
        <f>IF(A231="","",IFERROR(VLOOKUP(A231,'Production Schedule'!$B:$FU,80,FALSE),""))</f>
        <v>RTS Titans</v>
      </c>
      <c r="M231" s="27" t="str" cm="1">
        <f t="array" ref="M231">IF(A231="","",IFERROR(TRIM(INDEX(_xlfn.TEXTSPLIT(IFERROR(VLOOKUP(A231,'Production Schedule'!$B:$FU,150,FALSE),""),CHAR(10)),1)),""))</f>
        <v>AXYZ Titans Line</v>
      </c>
      <c r="N231" s="28">
        <f t="shared" si="24"/>
        <v>46016</v>
      </c>
      <c r="O231" s="27" t="str" cm="1">
        <f t="array" ref="O231">IF(A231="","",IFERROR(TRIM(INDEX(_xlfn.TEXTSPLIT(IFERROR(VLOOKUP(A231,'Production Schedule'!$B:$FU,150,FALSE),""),CHAR(10)),2)),""))</f>
        <v>Clean and Brake</v>
      </c>
      <c r="P231" s="28">
        <f t="shared" si="25"/>
        <v>46017</v>
      </c>
      <c r="Q231" s="27" t="str" cm="1">
        <f t="array" ref="Q231">IF(A231="","",IFERROR(TRIM(INDEX(_xlfn.TEXTSPLIT(IFERROR(VLOOKUP(A231,'Production Schedule'!$B:$FU,150,FALSE),""),CHAR(10)),3)),""))</f>
        <v>Fab</v>
      </c>
      <c r="R231" s="28">
        <f t="shared" si="26"/>
        <v>46028</v>
      </c>
      <c r="S231" s="27" t="str" cm="1">
        <f t="array" ref="S231">IF(A231="","",IFERROR(TRIM(INDEX(_xlfn.TEXTSPLIT(IFERROR(VLOOKUP(A231,'Production Schedule'!$B:$FU,150,FALSE),""),CHAR(10)),4)),""))</f>
        <v/>
      </c>
      <c r="T231" s="28" t="str">
        <f t="shared" si="27"/>
        <v/>
      </c>
      <c r="U231" s="27" t="str" cm="1">
        <f t="array" ref="U231">IF(A231="","",IFERROR(TRIM(INDEX(_xlfn.TEXTSPLIT(IFERROR(VLOOKUP(A231,'Production Schedule'!$B:$FU,150,FALSE),""),CHAR(10)),5)),""))</f>
        <v/>
      </c>
      <c r="V231" s="28" t="str">
        <f t="shared" si="28"/>
        <v/>
      </c>
      <c r="W231" s="27" t="str" cm="1">
        <f t="array" ref="W231">IF(A231="","",IFERROR(TRIM(INDEX(_xlfn.TEXTSPLIT(IFERROR(VLOOKUP(A231,'Production Schedule'!$B:$FU,150,FALSE),""),CHAR(10)),6)),""))</f>
        <v/>
      </c>
      <c r="X231" s="28" t="str">
        <f t="shared" si="29"/>
        <v/>
      </c>
      <c r="Y231" s="30">
        <f t="shared" si="30"/>
        <v>46038</v>
      </c>
      <c r="Z231" s="31" t="str">
        <f>IF(A231="","",IF(IFERROR(VLOOKUP(A231,Notes!A:B,2,FALSE),"")=0,"",VLOOKUP(A231,Notes!A:B,2,FALSE)))</f>
        <v>04/16/2026…RTS Titans</v>
      </c>
      <c r="AA231" s="18">
        <f t="shared" si="31"/>
        <v>2</v>
      </c>
    </row>
    <row r="232" spans="1:27" x14ac:dyDescent="0.25">
      <c r="A232" s="20" t="str">
        <v>25017-ST02</v>
      </c>
      <c r="B232" s="20" t="str">
        <f>IF(A232="","",IFERROR(VLOOKUP(A232,'Production Schedule'!$B:$FU,3,FALSE),""))</f>
        <v>Nashville Yards Park</v>
      </c>
      <c r="C232" s="20" t="str">
        <f>IF(A232="","",IFERROR(VLOOKUP(A232,'Production Schedule'!$B:$FU,5,FALSE),""))</f>
        <v>Dillon Bowman</v>
      </c>
      <c r="D232" s="20" t="str">
        <f>IF(A232="","",IFERROR(VLOOKUP(A232,'Production Schedule'!$B:$FU,7,FALSE),""))</f>
        <v>CUSTOM ARCH</v>
      </c>
      <c r="E232" s="20">
        <f>IF(A232="","",IFERROR(VLOOKUP(A232,'Production Schedule'!$B:$FU,17,FALSE),""))</f>
        <v>0</v>
      </c>
      <c r="F232" s="20">
        <f>IF(A232="","",IFERROR(VLOOKUP(A232,'Production Schedule'!$B:$FU,18,FALSE),""))</f>
        <v>16</v>
      </c>
      <c r="G232" s="20" t="str">
        <f>IF(A232="","",IFERROR(VLOOKUP(A232,'Production Schedule'!$B:$FU,25,FALSE),""))</f>
        <v>SS Sheet</v>
      </c>
      <c r="H232" s="21">
        <f>IF(A232="","",IFERROR(VLOOKUP(A232,'Production Schedule'!$B:$FU,47,FALSE),""))</f>
        <v>46035.454500752312</v>
      </c>
      <c r="I232" s="21">
        <f>IF(A232="","",IFERROR(VLOOKUP(A232,'Production Schedule'!$B:$FU,54,FALSE),""))</f>
        <v>46042</v>
      </c>
      <c r="J232" s="32">
        <f>IF(A232="","",IFERROR(VLOOKUP(A232,'Production Schedule'!$B:$FU,135,FALSE),""))</f>
        <v>4</v>
      </c>
      <c r="K232" s="20" t="str">
        <f>IF(A232="","",IFERROR(VLOOKUP(A232,'Production Schedule'!$B:$FU,59,FALSE),""))</f>
        <v>YES</v>
      </c>
      <c r="L232" s="39" t="str">
        <f>IF(A232="","",IFERROR(VLOOKUP(A232,'Production Schedule'!$B:$FU,80,FALSE),""))</f>
        <v>QC</v>
      </c>
      <c r="M232" s="33" t="str" cm="1">
        <f t="array" ref="M232">IF(A232="","",IFERROR(TRIM(INDEX(_xlfn.TEXTSPLIT(IFERROR(VLOOKUP(A232,'Production Schedule'!$B:$FU,150,FALSE),""),CHAR(10)),1)),""))</f>
        <v>Brake</v>
      </c>
      <c r="N232" s="34">
        <f t="shared" si="24"/>
        <v>46018</v>
      </c>
      <c r="O232" s="33" t="str" cm="1">
        <f t="array" ref="O232">IF(A232="","",IFERROR(TRIM(INDEX(_xlfn.TEXTSPLIT(IFERROR(VLOOKUP(A232,'Production Schedule'!$B:$FU,150,FALSE),""),CHAR(10)),2)),""))</f>
        <v>TruLaser 3040</v>
      </c>
      <c r="P232" s="34">
        <f t="shared" si="25"/>
        <v>46029</v>
      </c>
      <c r="Q232" s="33" t="str" cm="1">
        <f t="array" ref="Q232">IF(A232="","",IFERROR(TRIM(INDEX(_xlfn.TEXTSPLIT(IFERROR(VLOOKUP(A232,'Production Schedule'!$B:$FU,150,FALSE),""),CHAR(10)),3)),""))</f>
        <v/>
      </c>
      <c r="R232" s="34" t="str">
        <f t="shared" si="26"/>
        <v/>
      </c>
      <c r="S232" s="33" t="str" cm="1">
        <f t="array" ref="S232">IF(A232="","",IFERROR(TRIM(INDEX(_xlfn.TEXTSPLIT(IFERROR(VLOOKUP(A232,'Production Schedule'!$B:$FU,150,FALSE),""),CHAR(10)),4)),""))</f>
        <v/>
      </c>
      <c r="T232" s="34" t="str">
        <f t="shared" si="27"/>
        <v/>
      </c>
      <c r="U232" s="33" t="str" cm="1">
        <f t="array" ref="U232">IF(A232="","",IFERROR(TRIM(INDEX(_xlfn.TEXTSPLIT(IFERROR(VLOOKUP(A232,'Production Schedule'!$B:$FU,150,FALSE),""),CHAR(10)),5)),""))</f>
        <v/>
      </c>
      <c r="V232" s="34" t="str">
        <f t="shared" si="28"/>
        <v/>
      </c>
      <c r="W232" s="33" t="str" cm="1">
        <f t="array" ref="W232">IF(A232="","",IFERROR(TRIM(INDEX(_xlfn.TEXTSPLIT(IFERROR(VLOOKUP(A232,'Production Schedule'!$B:$FU,150,FALSE),""),CHAR(10)),6)),""))</f>
        <v/>
      </c>
      <c r="X232" s="34" t="str">
        <f t="shared" si="29"/>
        <v/>
      </c>
      <c r="Y232" s="36">
        <f t="shared" si="30"/>
        <v>46039</v>
      </c>
      <c r="Z232" s="37" t="str">
        <f>IF(A232="","",IF(IFERROR(VLOOKUP(A232,Notes!A:B,2,FALSE),"")=0,"",VLOOKUP(A232,Notes!A:B,2,FALSE)))</f>
        <v>04/16/2026…QC</v>
      </c>
      <c r="AA232" s="20">
        <f t="shared" si="31"/>
        <v>2</v>
      </c>
    </row>
    <row r="233" spans="1:27" x14ac:dyDescent="0.25">
      <c r="A233" s="18" t="str">
        <v>24051-FS54</v>
      </c>
      <c r="B233" s="18" t="str">
        <f>IF(A233="","",IFERROR(VLOOKUP(A233,'Production Schedule'!$B:$FU,3,FALSE),""))</f>
        <v>TN Titans Stadium</v>
      </c>
      <c r="C233" s="18" t="str">
        <f>IF(A233="","",IFERROR(VLOOKUP(A233,'Production Schedule'!$B:$FU,5,FALSE),""))</f>
        <v>Marc Ribar</v>
      </c>
      <c r="D233" s="18">
        <f>IF(A233="","",IFERROR(VLOOKUP(A233,'Production Schedule'!$B:$FU,7,FALSE),""))</f>
        <v>400</v>
      </c>
      <c r="E233" s="18">
        <f>IF(A233="","",IFERROR(VLOOKUP(A233,'Production Schedule'!$B:$FU,17,FALSE),""))</f>
        <v>149</v>
      </c>
      <c r="F233" s="18">
        <f>IF(A233="","",IFERROR(VLOOKUP(A233,'Production Schedule'!$B:$FU,18,FALSE),""))</f>
        <v>149</v>
      </c>
      <c r="G233" s="18" t="str">
        <f>IF(A233="","",IFERROR(VLOOKUP(A233,'Production Schedule'!$B:$FU,25,FALSE),""))</f>
        <v>FR ACM</v>
      </c>
      <c r="H233" s="19">
        <f>IF(A233="","",IFERROR(VLOOKUP(A233,'Production Schedule'!$B:$FU,47,FALSE),""))</f>
        <v>45951.661353437499</v>
      </c>
      <c r="I233" s="19">
        <f>IF(A233="","",IFERROR(VLOOKUP(A233,'Production Schedule'!$B:$FU,54,FALSE),""))</f>
        <v>46043</v>
      </c>
      <c r="J233" s="26">
        <f>IF(A233="","",IFERROR(VLOOKUP(A233,'Production Schedule'!$B:$FU,135,FALSE),""))</f>
        <v>300</v>
      </c>
      <c r="K233" s="18" t="str">
        <f>IF(A233="","",IFERROR(VLOOKUP(A233,'Production Schedule'!$B:$FU,59,FALSE),""))</f>
        <v>YES</v>
      </c>
      <c r="L233" s="38" t="str">
        <f>IF(A233="","",IFERROR(VLOOKUP(A233,'Production Schedule'!$B:$FU,80,FALSE),""))</f>
        <v>RTS Titans</v>
      </c>
      <c r="M233" s="27" t="str" cm="1">
        <f t="array" ref="M233">IF(A233="","",IFERROR(TRIM(INDEX(_xlfn.TEXTSPLIT(IFERROR(VLOOKUP(A233,'Production Schedule'!$B:$FU,150,FALSE),""),CHAR(10)),1)),""))</f>
        <v>AXYZ Titans Line</v>
      </c>
      <c r="N233" s="28">
        <f t="shared" si="24"/>
        <v>46016</v>
      </c>
      <c r="O233" s="27" t="str" cm="1">
        <f t="array" ref="O233">IF(A233="","",IFERROR(TRIM(INDEX(_xlfn.TEXTSPLIT(IFERROR(VLOOKUP(A233,'Production Schedule'!$B:$FU,150,FALSE),""),CHAR(10)),2)),""))</f>
        <v>Clean and Brake</v>
      </c>
      <c r="P233" s="28">
        <f t="shared" si="25"/>
        <v>46020</v>
      </c>
      <c r="Q233" s="27" t="str" cm="1">
        <f t="array" ref="Q233">IF(A233="","",IFERROR(TRIM(INDEX(_xlfn.TEXTSPLIT(IFERROR(VLOOKUP(A233,'Production Schedule'!$B:$FU,150,FALSE),""),CHAR(10)),3)),""))</f>
        <v>Fab</v>
      </c>
      <c r="R233" s="28">
        <f t="shared" si="26"/>
        <v>46030</v>
      </c>
      <c r="S233" s="27" t="str" cm="1">
        <f t="array" ref="S233">IF(A233="","",IFERROR(TRIM(INDEX(_xlfn.TEXTSPLIT(IFERROR(VLOOKUP(A233,'Production Schedule'!$B:$FU,150,FALSE),""),CHAR(10)),4)),""))</f>
        <v/>
      </c>
      <c r="T233" s="28" t="str">
        <f t="shared" si="27"/>
        <v/>
      </c>
      <c r="U233" s="27" t="str" cm="1">
        <f t="array" ref="U233">IF(A233="","",IFERROR(TRIM(INDEX(_xlfn.TEXTSPLIT(IFERROR(VLOOKUP(A233,'Production Schedule'!$B:$FU,150,FALSE),""),CHAR(10)),5)),""))</f>
        <v/>
      </c>
      <c r="V233" s="28" t="str">
        <f t="shared" si="28"/>
        <v/>
      </c>
      <c r="W233" s="27" t="str" cm="1">
        <f t="array" ref="W233">IF(A233="","",IFERROR(TRIM(INDEX(_xlfn.TEXTSPLIT(IFERROR(VLOOKUP(A233,'Production Schedule'!$B:$FU,150,FALSE),""),CHAR(10)),6)),""))</f>
        <v/>
      </c>
      <c r="X233" s="28" t="str">
        <f t="shared" si="29"/>
        <v/>
      </c>
      <c r="Y233" s="30">
        <f t="shared" si="30"/>
        <v>46041</v>
      </c>
      <c r="Z233" s="31" t="str">
        <f>IF(A233="","",IF(IFERROR(VLOOKUP(A233,Notes!A:B,2,FALSE),"")=0,"",VLOOKUP(A233,Notes!A:B,2,FALSE)))</f>
        <v>04/16/2026…RTS Titans</v>
      </c>
      <c r="AA233" s="18">
        <f t="shared" si="31"/>
        <v>2</v>
      </c>
    </row>
    <row r="234" spans="1:27" x14ac:dyDescent="0.25">
      <c r="A234" s="20" t="str">
        <v>24051-FS53</v>
      </c>
      <c r="B234" s="20" t="str">
        <f>IF(A234="","",IFERROR(VLOOKUP(A234,'Production Schedule'!$B:$FU,3,FALSE),""))</f>
        <v>TN Titans Stadium</v>
      </c>
      <c r="C234" s="20" t="str">
        <f>IF(A234="","",IFERROR(VLOOKUP(A234,'Production Schedule'!$B:$FU,5,FALSE),""))</f>
        <v>Marc Ribar</v>
      </c>
      <c r="D234" s="20">
        <f>IF(A234="","",IFERROR(VLOOKUP(A234,'Production Schedule'!$B:$FU,7,FALSE),""))</f>
        <v>400</v>
      </c>
      <c r="E234" s="20">
        <f>IF(A234="","",IFERROR(VLOOKUP(A234,'Production Schedule'!$B:$FU,17,FALSE),""))</f>
        <v>48</v>
      </c>
      <c r="F234" s="20">
        <f>IF(A234="","",IFERROR(VLOOKUP(A234,'Production Schedule'!$B:$FU,18,FALSE),""))</f>
        <v>48</v>
      </c>
      <c r="G234" s="20" t="str">
        <f>IF(A234="","",IFERROR(VLOOKUP(A234,'Production Schedule'!$B:$FU,25,FALSE),""))</f>
        <v>FR ACM</v>
      </c>
      <c r="H234" s="21">
        <f>IF(A234="","",IFERROR(VLOOKUP(A234,'Production Schedule'!$B:$FU,47,FALSE),""))</f>
        <v>45951.612839583337</v>
      </c>
      <c r="I234" s="21">
        <f>IF(A234="","",IFERROR(VLOOKUP(A234,'Production Schedule'!$B:$FU,54,FALSE),""))</f>
        <v>46043</v>
      </c>
      <c r="J234" s="32">
        <f>IF(A234="","",IFERROR(VLOOKUP(A234,'Production Schedule'!$B:$FU,135,FALSE),""))</f>
        <v>80</v>
      </c>
      <c r="K234" s="20" t="str">
        <f>IF(A234="","",IFERROR(VLOOKUP(A234,'Production Schedule'!$B:$FU,59,FALSE),""))</f>
        <v>YES</v>
      </c>
      <c r="L234" s="39" t="str">
        <f>IF(A234="","",IFERROR(VLOOKUP(A234,'Production Schedule'!$B:$FU,80,FALSE),""))</f>
        <v>RTS Titans</v>
      </c>
      <c r="M234" s="33" t="str" cm="1">
        <f t="array" ref="M234">IF(A234="","",IFERROR(TRIM(INDEX(_xlfn.TEXTSPLIT(IFERROR(VLOOKUP(A234,'Production Schedule'!$B:$FU,150,FALSE),""),CHAR(10)),1)),""))</f>
        <v>AXYZ Titans Line</v>
      </c>
      <c r="N234" s="34">
        <f t="shared" si="24"/>
        <v>46018</v>
      </c>
      <c r="O234" s="33" t="str" cm="1">
        <f t="array" ref="O234">IF(A234="","",IFERROR(TRIM(INDEX(_xlfn.TEXTSPLIT(IFERROR(VLOOKUP(A234,'Production Schedule'!$B:$FU,150,FALSE),""),CHAR(10)),2)),""))</f>
        <v>Clean and Brake</v>
      </c>
      <c r="P234" s="34">
        <f t="shared" si="25"/>
        <v>46020</v>
      </c>
      <c r="Q234" s="33" t="str" cm="1">
        <f t="array" ref="Q234">IF(A234="","",IFERROR(TRIM(INDEX(_xlfn.TEXTSPLIT(IFERROR(VLOOKUP(A234,'Production Schedule'!$B:$FU,150,FALSE),""),CHAR(10)),3)),""))</f>
        <v>Fab</v>
      </c>
      <c r="R234" s="34">
        <f t="shared" si="26"/>
        <v>46030</v>
      </c>
      <c r="S234" s="33" t="str" cm="1">
        <f t="array" ref="S234">IF(A234="","",IFERROR(TRIM(INDEX(_xlfn.TEXTSPLIT(IFERROR(VLOOKUP(A234,'Production Schedule'!$B:$FU,150,FALSE),""),CHAR(10)),4)),""))</f>
        <v/>
      </c>
      <c r="T234" s="34" t="str">
        <f t="shared" si="27"/>
        <v/>
      </c>
      <c r="U234" s="33" t="str" cm="1">
        <f t="array" ref="U234">IF(A234="","",IFERROR(TRIM(INDEX(_xlfn.TEXTSPLIT(IFERROR(VLOOKUP(A234,'Production Schedule'!$B:$FU,150,FALSE),""),CHAR(10)),5)),""))</f>
        <v/>
      </c>
      <c r="V234" s="34" t="str">
        <f t="shared" si="28"/>
        <v/>
      </c>
      <c r="W234" s="33" t="str" cm="1">
        <f t="array" ref="W234">IF(A234="","",IFERROR(TRIM(INDEX(_xlfn.TEXTSPLIT(IFERROR(VLOOKUP(A234,'Production Schedule'!$B:$FU,150,FALSE),""),CHAR(10)),6)),""))</f>
        <v/>
      </c>
      <c r="X234" s="34" t="str">
        <f t="shared" si="29"/>
        <v/>
      </c>
      <c r="Y234" s="36">
        <f t="shared" si="30"/>
        <v>46041</v>
      </c>
      <c r="Z234" s="37" t="str">
        <f>IF(A234="","",IF(IFERROR(VLOOKUP(A234,Notes!A:B,2,FALSE),"")=0,"",VLOOKUP(A234,Notes!A:B,2,FALSE)))</f>
        <v>04/16/2026…RTS Titans</v>
      </c>
      <c r="AA234" s="20">
        <f t="shared" si="31"/>
        <v>2</v>
      </c>
    </row>
    <row r="235" spans="1:27" x14ac:dyDescent="0.25">
      <c r="A235" s="18" t="str">
        <v>24019-RO07</v>
      </c>
      <c r="B235" s="18" t="str">
        <f>IF(A235="","",IFERROR(VLOOKUP(A235,'Production Schedule'!$B:$FU,3,FALSE),""))</f>
        <v>QTS PJC1 DC1</v>
      </c>
      <c r="C235" s="18" t="str">
        <f>IF(A235="","",IFERROR(VLOOKUP(A235,'Production Schedule'!$B:$FU,5,FALSE),""))</f>
        <v>Dillon Bowman</v>
      </c>
      <c r="D235" s="18">
        <f>IF(A235="","",IFERROR(VLOOKUP(A235,'Production Schedule'!$B:$FU,7,FALSE),""))</f>
        <v>400</v>
      </c>
      <c r="E235" s="18">
        <f>IF(A235="","",IFERROR(VLOOKUP(A235,'Production Schedule'!$B:$FU,17,FALSE),""))</f>
        <v>4</v>
      </c>
      <c r="F235" s="18">
        <f>IF(A235="","",IFERROR(VLOOKUP(A235,'Production Schedule'!$B:$FU,18,FALSE),""))</f>
        <v>4</v>
      </c>
      <c r="G235" s="18" t="str">
        <f>IF(A235="","",IFERROR(VLOOKUP(A235,'Production Schedule'!$B:$FU,25,FALSE),""))</f>
        <v>FR ACM</v>
      </c>
      <c r="H235" s="19">
        <f>IF(A235="","",IFERROR(VLOOKUP(A235,'Production Schedule'!$B:$FU,47,FALSE),""))</f>
        <v>46036.247297164351</v>
      </c>
      <c r="I235" s="19">
        <f>IF(A235="","",IFERROR(VLOOKUP(A235,'Production Schedule'!$B:$FU,54,FALSE),""))</f>
        <v>46043</v>
      </c>
      <c r="J235" s="26">
        <f>IF(A235="","",IFERROR(VLOOKUP(A235,'Production Schedule'!$B:$FU,135,FALSE),""))</f>
        <v>3</v>
      </c>
      <c r="K235" s="18" t="str">
        <f>IF(A235="","",IFERROR(VLOOKUP(A235,'Production Schedule'!$B:$FU,59,FALSE),""))</f>
        <v>YES</v>
      </c>
      <c r="L235" s="38" t="str">
        <f>IF(A235="","",IFERROR(VLOOKUP(A235,'Production Schedule'!$B:$FU,80,FALSE),""))</f>
        <v>Ready to Ship</v>
      </c>
      <c r="M235" s="27" t="str" cm="1">
        <f t="array" ref="M235">IF(A235="","",IFERROR(TRIM(INDEX(_xlfn.TEXTSPLIT(IFERROR(VLOOKUP(A235,'Production Schedule'!$B:$FU,150,FALSE),""),CHAR(10)),1)),""))</f>
        <v>AXYZ</v>
      </c>
      <c r="N235" s="28">
        <f t="shared" si="24"/>
        <v>46029</v>
      </c>
      <c r="O235" s="27" t="str" cm="1">
        <f t="array" ref="O235">IF(A235="","",IFERROR(TRIM(INDEX(_xlfn.TEXTSPLIT(IFERROR(VLOOKUP(A235,'Production Schedule'!$B:$FU,150,FALSE),""),CHAR(10)),2)),""))</f>
        <v>Clean and Brake</v>
      </c>
      <c r="P235" s="28">
        <f t="shared" si="25"/>
        <v>46030</v>
      </c>
      <c r="Q235" s="27" t="str" cm="1">
        <f t="array" ref="Q235">IF(A235="","",IFERROR(TRIM(INDEX(_xlfn.TEXTSPLIT(IFERROR(VLOOKUP(A235,'Production Schedule'!$B:$FU,150,FALSE),""),CHAR(10)),3)),""))</f>
        <v/>
      </c>
      <c r="R235" s="28" t="str">
        <f t="shared" si="26"/>
        <v/>
      </c>
      <c r="S235" s="27" t="str" cm="1">
        <f t="array" ref="S235">IF(A235="","",IFERROR(TRIM(INDEX(_xlfn.TEXTSPLIT(IFERROR(VLOOKUP(A235,'Production Schedule'!$B:$FU,150,FALSE),""),CHAR(10)),4)),""))</f>
        <v/>
      </c>
      <c r="T235" s="28" t="str">
        <f t="shared" si="27"/>
        <v/>
      </c>
      <c r="U235" s="27" t="str" cm="1">
        <f t="array" ref="U235">IF(A235="","",IFERROR(TRIM(INDEX(_xlfn.TEXTSPLIT(IFERROR(VLOOKUP(A235,'Production Schedule'!$B:$FU,150,FALSE),""),CHAR(10)),5)),""))</f>
        <v/>
      </c>
      <c r="V235" s="28" t="str">
        <f t="shared" si="28"/>
        <v/>
      </c>
      <c r="W235" s="27" t="str" cm="1">
        <f t="array" ref="W235">IF(A235="","",IFERROR(TRIM(INDEX(_xlfn.TEXTSPLIT(IFERROR(VLOOKUP(A235,'Production Schedule'!$B:$FU,150,FALSE),""),CHAR(10)),6)),""))</f>
        <v/>
      </c>
      <c r="X235" s="28" t="str">
        <f t="shared" si="29"/>
        <v/>
      </c>
      <c r="Y235" s="30">
        <f t="shared" si="30"/>
        <v>46041</v>
      </c>
      <c r="Z235" s="31" t="str">
        <f>IF(A235="","",IF(IFERROR(VLOOKUP(A235,Notes!A:B,2,FALSE),"")=0,"",VLOOKUP(A235,Notes!A:B,2,FALSE)))</f>
        <v>04/16/2026…Ready to Ship</v>
      </c>
      <c r="AA235" s="18">
        <f t="shared" si="31"/>
        <v>2</v>
      </c>
    </row>
    <row r="236" spans="1:27" x14ac:dyDescent="0.25">
      <c r="A236" s="20" t="str">
        <v>26014-02-ST01</v>
      </c>
      <c r="B236" s="20" t="str">
        <f>IF(A236="","",IFERROR(VLOOKUP(A236,'Production Schedule'!$B:$FU,3,FALSE),""))</f>
        <v>2026 R &amp; D</v>
      </c>
      <c r="C236" s="20" t="str">
        <f>IF(A236="","",IFERROR(VLOOKUP(A236,'Production Schedule'!$B:$FU,5,FALSE),""))</f>
        <v>TBC</v>
      </c>
      <c r="D236" s="20" t="str">
        <f>IF(A236="","",IFERROR(VLOOKUP(A236,'Production Schedule'!$B:$FU,7,FALSE),""))</f>
        <v>---</v>
      </c>
      <c r="E236" s="20">
        <f>IF(A236="","",IFERROR(VLOOKUP(A236,'Production Schedule'!$B:$FU,17,FALSE),""))</f>
        <v>0</v>
      </c>
      <c r="F236" s="20">
        <f>IF(A236="","",IFERROR(VLOOKUP(A236,'Production Schedule'!$B:$FU,18,FALSE),""))</f>
        <v>10</v>
      </c>
      <c r="G236" s="20" t="str">
        <f>IF(A236="","",IFERROR(VLOOKUP(A236,'Production Schedule'!$B:$FU,25,FALSE),""))</f>
        <v>SS Sheet</v>
      </c>
      <c r="H236" s="21">
        <f>IF(A236="","",IFERROR(VLOOKUP(A236,'Production Schedule'!$B:$FU,47,FALSE),""))</f>
        <v>46035.641365416668</v>
      </c>
      <c r="I236" s="21">
        <f>IF(A236="","",IFERROR(VLOOKUP(A236,'Production Schedule'!$B:$FU,54,FALSE),""))</f>
        <v>46044</v>
      </c>
      <c r="J236" s="32">
        <f>IF(A236="","",IFERROR(VLOOKUP(A236,'Production Schedule'!$B:$FU,135,FALSE),""))</f>
        <v>2</v>
      </c>
      <c r="K236" s="20" t="str">
        <f>IF(A236="","",IFERROR(VLOOKUP(A236,'Production Schedule'!$B:$FU,59,FALSE),""))</f>
        <v>YES</v>
      </c>
      <c r="L236" s="39" t="str">
        <f>IF(A236="","",IFERROR(VLOOKUP(A236,'Production Schedule'!$B:$FU,80,FALSE),""))</f>
        <v>QC</v>
      </c>
      <c r="M236" s="33" t="str" cm="1">
        <f t="array" ref="M236">IF(A236="","",IFERROR(TRIM(INDEX(_xlfn.TEXTSPLIT(IFERROR(VLOOKUP(A236,'Production Schedule'!$B:$FU,150,FALSE),""),CHAR(10)),1)),""))</f>
        <v>Flat Laser</v>
      </c>
      <c r="N236" s="34">
        <f t="shared" si="24"/>
        <v>46010</v>
      </c>
      <c r="O236" s="33" t="str" cm="1">
        <f t="array" ref="O236">IF(A236="","",IFERROR(TRIM(INDEX(_xlfn.TEXTSPLIT(IFERROR(VLOOKUP(A236,'Production Schedule'!$B:$FU,150,FALSE),""),CHAR(10)),2)),""))</f>
        <v>Powder Coat</v>
      </c>
      <c r="P236" s="34">
        <f t="shared" si="25"/>
        <v>46014</v>
      </c>
      <c r="Q236" s="33" t="str" cm="1">
        <f t="array" ref="Q236">IF(A236="","",IFERROR(TRIM(INDEX(_xlfn.TEXTSPLIT(IFERROR(VLOOKUP(A236,'Production Schedule'!$B:$FU,150,FALSE),""),CHAR(10)),3)),""))</f>
        <v/>
      </c>
      <c r="R236" s="34" t="str">
        <f t="shared" si="26"/>
        <v/>
      </c>
      <c r="S236" s="33" t="str" cm="1">
        <f t="array" ref="S236">IF(A236="","",IFERROR(TRIM(INDEX(_xlfn.TEXTSPLIT(IFERROR(VLOOKUP(A236,'Production Schedule'!$B:$FU,150,FALSE),""),CHAR(10)),4)),""))</f>
        <v/>
      </c>
      <c r="T236" s="34" t="str">
        <f t="shared" si="27"/>
        <v/>
      </c>
      <c r="U236" s="33" t="str" cm="1">
        <f t="array" ref="U236">IF(A236="","",IFERROR(TRIM(INDEX(_xlfn.TEXTSPLIT(IFERROR(VLOOKUP(A236,'Production Schedule'!$B:$FU,150,FALSE),""),CHAR(10)),5)),""))</f>
        <v/>
      </c>
      <c r="V236" s="34" t="str">
        <f t="shared" si="28"/>
        <v/>
      </c>
      <c r="W236" s="33" t="str" cm="1">
        <f t="array" ref="W236">IF(A236="","",IFERROR(TRIM(INDEX(_xlfn.TEXTSPLIT(IFERROR(VLOOKUP(A236,'Production Schedule'!$B:$FU,150,FALSE),""),CHAR(10)),6)),""))</f>
        <v/>
      </c>
      <c r="X236" s="34" t="str">
        <f t="shared" si="29"/>
        <v/>
      </c>
      <c r="Y236" s="36">
        <f t="shared" si="30"/>
        <v>46042</v>
      </c>
      <c r="Z236" s="37" t="str">
        <f>IF(A236="","",IF(IFERROR(VLOOKUP(A236,Notes!A:B,2,FALSE),"")=0,"",VLOOKUP(A236,Notes!A:B,2,FALSE)))</f>
        <v>04/16/2026…QC</v>
      </c>
      <c r="AA236" s="20">
        <f t="shared" si="31"/>
        <v>2</v>
      </c>
    </row>
    <row r="237" spans="1:27" x14ac:dyDescent="0.25">
      <c r="A237" s="18" t="str">
        <v>24051-FS55</v>
      </c>
      <c r="B237" s="18" t="str">
        <f>IF(A237="","",IFERROR(VLOOKUP(A237,'Production Schedule'!$B:$FU,3,FALSE),""))</f>
        <v>TN Titans Stadium</v>
      </c>
      <c r="C237" s="18" t="str">
        <f>IF(A237="","",IFERROR(VLOOKUP(A237,'Production Schedule'!$B:$FU,5,FALSE),""))</f>
        <v>Marc Ribar</v>
      </c>
      <c r="D237" s="18">
        <f>IF(A237="","",IFERROR(VLOOKUP(A237,'Production Schedule'!$B:$FU,7,FALSE),""))</f>
        <v>400</v>
      </c>
      <c r="E237" s="18">
        <f>IF(A237="","",IFERROR(VLOOKUP(A237,'Production Schedule'!$B:$FU,17,FALSE),""))</f>
        <v>149</v>
      </c>
      <c r="F237" s="18">
        <f>IF(A237="","",IFERROR(VLOOKUP(A237,'Production Schedule'!$B:$FU,18,FALSE),""))</f>
        <v>149</v>
      </c>
      <c r="G237" s="18" t="str">
        <f>IF(A237="","",IFERROR(VLOOKUP(A237,'Production Schedule'!$B:$FU,25,FALSE),""))</f>
        <v>FR ACM</v>
      </c>
      <c r="H237" s="19">
        <f>IF(A237="","",IFERROR(VLOOKUP(A237,'Production Schedule'!$B:$FU,47,FALSE),""))</f>
        <v>45951.664744699076</v>
      </c>
      <c r="I237" s="19">
        <f>IF(A237="","",IFERROR(VLOOKUP(A237,'Production Schedule'!$B:$FU,54,FALSE),""))</f>
        <v>46044</v>
      </c>
      <c r="J237" s="26">
        <f>IF(A237="","",IFERROR(VLOOKUP(A237,'Production Schedule'!$B:$FU,135,FALSE),""))</f>
        <v>300</v>
      </c>
      <c r="K237" s="18" t="str">
        <f>IF(A237="","",IFERROR(VLOOKUP(A237,'Production Schedule'!$B:$FU,59,FALSE),""))</f>
        <v>YES</v>
      </c>
      <c r="L237" s="38" t="str">
        <f>IF(A237="","",IFERROR(VLOOKUP(A237,'Production Schedule'!$B:$FU,80,FALSE),""))</f>
        <v>RTS Titans</v>
      </c>
      <c r="M237" s="27" t="str" cm="1">
        <f t="array" ref="M237">IF(A237="","",IFERROR(TRIM(INDEX(_xlfn.TEXTSPLIT(IFERROR(VLOOKUP(A237,'Production Schedule'!$B:$FU,150,FALSE),""),CHAR(10)),1)),""))</f>
        <v>AXYZ Titans Line</v>
      </c>
      <c r="N237" s="28">
        <f t="shared" si="24"/>
        <v>46017</v>
      </c>
      <c r="O237" s="27" t="str" cm="1">
        <f t="array" ref="O237">IF(A237="","",IFERROR(TRIM(INDEX(_xlfn.TEXTSPLIT(IFERROR(VLOOKUP(A237,'Production Schedule'!$B:$FU,150,FALSE),""),CHAR(10)),2)),""))</f>
        <v>Clean and Brake</v>
      </c>
      <c r="P237" s="28">
        <f t="shared" si="25"/>
        <v>46021</v>
      </c>
      <c r="Q237" s="27" t="str" cm="1">
        <f t="array" ref="Q237">IF(A237="","",IFERROR(TRIM(INDEX(_xlfn.TEXTSPLIT(IFERROR(VLOOKUP(A237,'Production Schedule'!$B:$FU,150,FALSE),""),CHAR(10)),3)),""))</f>
        <v>Fab</v>
      </c>
      <c r="R237" s="28">
        <f t="shared" si="26"/>
        <v>46031</v>
      </c>
      <c r="S237" s="27" t="str" cm="1">
        <f t="array" ref="S237">IF(A237="","",IFERROR(TRIM(INDEX(_xlfn.TEXTSPLIT(IFERROR(VLOOKUP(A237,'Production Schedule'!$B:$FU,150,FALSE),""),CHAR(10)),4)),""))</f>
        <v/>
      </c>
      <c r="T237" s="28" t="str">
        <f t="shared" si="27"/>
        <v/>
      </c>
      <c r="U237" s="27" t="str" cm="1">
        <f t="array" ref="U237">IF(A237="","",IFERROR(TRIM(INDEX(_xlfn.TEXTSPLIT(IFERROR(VLOOKUP(A237,'Production Schedule'!$B:$FU,150,FALSE),""),CHAR(10)),5)),""))</f>
        <v/>
      </c>
      <c r="V237" s="28" t="str">
        <f t="shared" si="28"/>
        <v/>
      </c>
      <c r="W237" s="27" t="str" cm="1">
        <f t="array" ref="W237">IF(A237="","",IFERROR(TRIM(INDEX(_xlfn.TEXTSPLIT(IFERROR(VLOOKUP(A237,'Production Schedule'!$B:$FU,150,FALSE),""),CHAR(10)),6)),""))</f>
        <v/>
      </c>
      <c r="X237" s="28" t="str">
        <f t="shared" si="29"/>
        <v/>
      </c>
      <c r="Y237" s="30">
        <f t="shared" si="30"/>
        <v>46042</v>
      </c>
      <c r="Z237" s="31" t="str">
        <f>IF(A237="","",IF(IFERROR(VLOOKUP(A237,Notes!A:B,2,FALSE),"")=0,"",VLOOKUP(A237,Notes!A:B,2,FALSE)))</f>
        <v>04/16/2026…RTS Titans</v>
      </c>
      <c r="AA237" s="18">
        <f t="shared" si="31"/>
        <v>2</v>
      </c>
    </row>
    <row r="238" spans="1:27" x14ac:dyDescent="0.25">
      <c r="A238" s="20" t="str">
        <v>24071-FS10.R</v>
      </c>
      <c r="B238" s="20" t="str">
        <f>IF(A238="","",IFERROR(VLOOKUP(A238,'Production Schedule'!$B:$FU,3,FALSE),""))</f>
        <v>RS Gass State Lab</v>
      </c>
      <c r="C238" s="20" t="str">
        <f>IF(A238="","",IFERROR(VLOOKUP(A238,'Production Schedule'!$B:$FU,5,FALSE),""))</f>
        <v>Cole Norona</v>
      </c>
      <c r="D238" s="20">
        <f>IF(A238="","",IFERROR(VLOOKUP(A238,'Production Schedule'!$B:$FU,7,FALSE),""))</f>
        <v>400</v>
      </c>
      <c r="E238" s="20">
        <f>IF(A238="","",IFERROR(VLOOKUP(A238,'Production Schedule'!$B:$FU,17,FALSE),""))</f>
        <v>0</v>
      </c>
      <c r="F238" s="20">
        <f>IF(A238="","",IFERROR(VLOOKUP(A238,'Production Schedule'!$B:$FU,18,FALSE),""))</f>
        <v>0</v>
      </c>
      <c r="G238" s="20" t="str">
        <f>IF(A238="","",IFERROR(VLOOKUP(A238,'Production Schedule'!$B:$FU,25,FALSE),""))</f>
        <v>FR ACM</v>
      </c>
      <c r="H238" s="21">
        <f>IF(A238="","",IFERROR(VLOOKUP(A238,'Production Schedule'!$B:$FU,47,FALSE),""))</f>
        <v>46043.352666307874</v>
      </c>
      <c r="I238" s="21">
        <f>IF(A238="","",IFERROR(VLOOKUP(A238,'Production Schedule'!$B:$FU,54,FALSE),""))</f>
        <v>46048</v>
      </c>
      <c r="J238" s="32">
        <f>IF(A238="","",IFERROR(VLOOKUP(A238,'Production Schedule'!$B:$FU,135,FALSE),""))</f>
        <v>1</v>
      </c>
      <c r="K238" s="20" t="str">
        <f>IF(A238="","",IFERROR(VLOOKUP(A238,'Production Schedule'!$B:$FU,59,FALSE),""))</f>
        <v>YES</v>
      </c>
      <c r="L238" s="39" t="str">
        <f>IF(A238="","",IFERROR(VLOOKUP(A238,'Production Schedule'!$B:$FU,80,FALSE),""))</f>
        <v>Ready to Ship</v>
      </c>
      <c r="M238" s="33" t="str" cm="1">
        <f t="array" ref="M238">IF(A238="","",IFERROR(TRIM(INDEX(_xlfn.TEXTSPLIT(IFERROR(VLOOKUP(A238,'Production Schedule'!$B:$FU,150,FALSE),""),CHAR(10)),1)),""))</f>
        <v>Shear</v>
      </c>
      <c r="N238" s="34">
        <f t="shared" si="24"/>
        <v>46034</v>
      </c>
      <c r="O238" s="33" t="str" cm="1">
        <f t="array" ref="O238">IF(A238="","",IFERROR(TRIM(INDEX(_xlfn.TEXTSPLIT(IFERROR(VLOOKUP(A238,'Production Schedule'!$B:$FU,150,FALSE),""),CHAR(10)),2)),""))</f>
        <v/>
      </c>
      <c r="P238" s="34" t="str">
        <f t="shared" si="25"/>
        <v/>
      </c>
      <c r="Q238" s="33" t="str" cm="1">
        <f t="array" ref="Q238">IF(A238="","",IFERROR(TRIM(INDEX(_xlfn.TEXTSPLIT(IFERROR(VLOOKUP(A238,'Production Schedule'!$B:$FU,150,FALSE),""),CHAR(10)),3)),""))</f>
        <v/>
      </c>
      <c r="R238" s="34" t="str">
        <f t="shared" si="26"/>
        <v/>
      </c>
      <c r="S238" s="33" t="str" cm="1">
        <f t="array" ref="S238">IF(A238="","",IFERROR(TRIM(INDEX(_xlfn.TEXTSPLIT(IFERROR(VLOOKUP(A238,'Production Schedule'!$B:$FU,150,FALSE),""),CHAR(10)),4)),""))</f>
        <v/>
      </c>
      <c r="T238" s="34" t="str">
        <f t="shared" si="27"/>
        <v/>
      </c>
      <c r="U238" s="33" t="str" cm="1">
        <f t="array" ref="U238">IF(A238="","",IFERROR(TRIM(INDEX(_xlfn.TEXTSPLIT(IFERROR(VLOOKUP(A238,'Production Schedule'!$B:$FU,150,FALSE),""),CHAR(10)),5)),""))</f>
        <v/>
      </c>
      <c r="V238" s="34" t="str">
        <f t="shared" si="28"/>
        <v/>
      </c>
      <c r="W238" s="33" t="str" cm="1">
        <f t="array" ref="W238">IF(A238="","",IFERROR(TRIM(INDEX(_xlfn.TEXTSPLIT(IFERROR(VLOOKUP(A238,'Production Schedule'!$B:$FU,150,FALSE),""),CHAR(10)),6)),""))</f>
        <v/>
      </c>
      <c r="X238" s="34" t="str">
        <f t="shared" si="29"/>
        <v/>
      </c>
      <c r="Y238" s="36">
        <f t="shared" si="30"/>
        <v>46045</v>
      </c>
      <c r="Z238" s="37" t="str">
        <f>IF(A238="","",IF(IFERROR(VLOOKUP(A238,Notes!A:B,2,FALSE),"")=0,"",VLOOKUP(A238,Notes!A:B,2,FALSE)))</f>
        <v>04/16/2026…Ready to Ship</v>
      </c>
      <c r="AA238" s="20">
        <f t="shared" si="31"/>
        <v>2</v>
      </c>
    </row>
    <row r="239" spans="1:27" x14ac:dyDescent="0.25">
      <c r="A239" s="18" t="str">
        <v>24051-FS56</v>
      </c>
      <c r="B239" s="18" t="str">
        <f>IF(A239="","",IFERROR(VLOOKUP(A239,'Production Schedule'!$B:$FU,3,FALSE),""))</f>
        <v>TN Titans Stadium</v>
      </c>
      <c r="C239" s="18" t="str">
        <f>IF(A239="","",IFERROR(VLOOKUP(A239,'Production Schedule'!$B:$FU,5,FALSE),""))</f>
        <v>Marc Ribar</v>
      </c>
      <c r="D239" s="18">
        <f>IF(A239="","",IFERROR(VLOOKUP(A239,'Production Schedule'!$B:$FU,7,FALSE),""))</f>
        <v>400</v>
      </c>
      <c r="E239" s="18">
        <f>IF(A239="","",IFERROR(VLOOKUP(A239,'Production Schedule'!$B:$FU,17,FALSE),""))</f>
        <v>149</v>
      </c>
      <c r="F239" s="18">
        <f>IF(A239="","",IFERROR(VLOOKUP(A239,'Production Schedule'!$B:$FU,18,FALSE),""))</f>
        <v>149</v>
      </c>
      <c r="G239" s="18" t="str">
        <f>IF(A239="","",IFERROR(VLOOKUP(A239,'Production Schedule'!$B:$FU,25,FALSE),""))</f>
        <v>FR ACM</v>
      </c>
      <c r="H239" s="19">
        <f>IF(A239="","",IFERROR(VLOOKUP(A239,'Production Schedule'!$B:$FU,47,FALSE),""))</f>
        <v>45951.675784375002</v>
      </c>
      <c r="I239" s="19">
        <f>IF(A239="","",IFERROR(VLOOKUP(A239,'Production Schedule'!$B:$FU,54,FALSE),""))</f>
        <v>46052</v>
      </c>
      <c r="J239" s="26">
        <f>IF(A239="","",IFERROR(VLOOKUP(A239,'Production Schedule'!$B:$FU,135,FALSE),""))</f>
        <v>300</v>
      </c>
      <c r="K239" s="18" t="str">
        <f>IF(A239="","",IFERROR(VLOOKUP(A239,'Production Schedule'!$B:$FU,59,FALSE),""))</f>
        <v>YES</v>
      </c>
      <c r="L239" s="38" t="str">
        <f>IF(A239="","",IFERROR(VLOOKUP(A239,'Production Schedule'!$B:$FU,80,FALSE),""))</f>
        <v>RTS Titans</v>
      </c>
      <c r="M239" s="27" t="str" cm="1">
        <f t="array" ref="M239">IF(A239="","",IFERROR(TRIM(INDEX(_xlfn.TEXTSPLIT(IFERROR(VLOOKUP(A239,'Production Schedule'!$B:$FU,150,FALSE),""),CHAR(10)),1)),""))</f>
        <v>AXYZ Titans Line</v>
      </c>
      <c r="N239" s="28">
        <f t="shared" si="24"/>
        <v>46025</v>
      </c>
      <c r="O239" s="27" t="str" cm="1">
        <f t="array" ref="O239">IF(A239="","",IFERROR(TRIM(INDEX(_xlfn.TEXTSPLIT(IFERROR(VLOOKUP(A239,'Production Schedule'!$B:$FU,150,FALSE),""),CHAR(10)),2)),""))</f>
        <v>Clean and Brake</v>
      </c>
      <c r="P239" s="28">
        <f t="shared" si="25"/>
        <v>46029</v>
      </c>
      <c r="Q239" s="27" t="str" cm="1">
        <f t="array" ref="Q239">IF(A239="","",IFERROR(TRIM(INDEX(_xlfn.TEXTSPLIT(IFERROR(VLOOKUP(A239,'Production Schedule'!$B:$FU,150,FALSE),""),CHAR(10)),3)),""))</f>
        <v>Fab</v>
      </c>
      <c r="R239" s="28">
        <f t="shared" si="26"/>
        <v>46039</v>
      </c>
      <c r="S239" s="27" t="str" cm="1">
        <f t="array" ref="S239">IF(A239="","",IFERROR(TRIM(INDEX(_xlfn.TEXTSPLIT(IFERROR(VLOOKUP(A239,'Production Schedule'!$B:$FU,150,FALSE),""),CHAR(10)),4)),""))</f>
        <v/>
      </c>
      <c r="T239" s="28" t="str">
        <f t="shared" si="27"/>
        <v/>
      </c>
      <c r="U239" s="27" t="str" cm="1">
        <f t="array" ref="U239">IF(A239="","",IFERROR(TRIM(INDEX(_xlfn.TEXTSPLIT(IFERROR(VLOOKUP(A239,'Production Schedule'!$B:$FU,150,FALSE),""),CHAR(10)),5)),""))</f>
        <v/>
      </c>
      <c r="V239" s="28" t="str">
        <f t="shared" si="28"/>
        <v/>
      </c>
      <c r="W239" s="27" t="str" cm="1">
        <f t="array" ref="W239">IF(A239="","",IFERROR(TRIM(INDEX(_xlfn.TEXTSPLIT(IFERROR(VLOOKUP(A239,'Production Schedule'!$B:$FU,150,FALSE),""),CHAR(10)),6)),""))</f>
        <v/>
      </c>
      <c r="X239" s="28" t="str">
        <f t="shared" si="29"/>
        <v/>
      </c>
      <c r="Y239" s="30">
        <f t="shared" si="30"/>
        <v>46050</v>
      </c>
      <c r="Z239" s="31" t="str">
        <f>IF(A239="","",IF(IFERROR(VLOOKUP(A239,Notes!A:B,2,FALSE),"")=0,"",VLOOKUP(A239,Notes!A:B,2,FALSE)))</f>
        <v>04/16/2026…RTS Titans</v>
      </c>
      <c r="AA239" s="18">
        <f t="shared" si="31"/>
        <v>2</v>
      </c>
    </row>
    <row r="240" spans="1:27" x14ac:dyDescent="0.25">
      <c r="A240" s="20" t="str">
        <v>24030-FL02</v>
      </c>
      <c r="B240" s="20" t="str">
        <f>IF(A240="","",IFERROR(VLOOKUP(A240,'Production Schedule'!$B:$FU,3,FALSE),""))</f>
        <v>Vantage TX-21</v>
      </c>
      <c r="C240" s="20" t="str">
        <f>IF(A240="","",IFERROR(VLOOKUP(A240,'Production Schedule'!$B:$FU,5,FALSE),""))</f>
        <v>Chris Buttrey</v>
      </c>
      <c r="D240" s="20">
        <f>IF(A240="","",IFERROR(VLOOKUP(A240,'Production Schedule'!$B:$FU,7,FALSE),""))</f>
        <v>0</v>
      </c>
      <c r="E240" s="20">
        <f>IF(A240="","",IFERROR(VLOOKUP(A240,'Production Schedule'!$B:$FU,17,FALSE),""))</f>
        <v>0</v>
      </c>
      <c r="F240" s="20">
        <f>IF(A240="","",IFERROR(VLOOKUP(A240,'Production Schedule'!$B:$FU,18,FALSE),""))</f>
        <v>265</v>
      </c>
      <c r="G240" s="20" t="str">
        <f>IF(A240="","",IFERROR(VLOOKUP(A240,'Production Schedule'!$B:$FU,25,FALSE),""))</f>
        <v>Alum Sheet</v>
      </c>
      <c r="H240" s="21">
        <f>IF(A240="","",IFERROR(VLOOKUP(A240,'Production Schedule'!$B:$FU,47,FALSE),""))</f>
        <v>45964.625808217592</v>
      </c>
      <c r="I240" s="21">
        <f>IF(A240="","",IFERROR(VLOOKUP(A240,'Production Schedule'!$B:$FU,54,FALSE),""))</f>
        <v>46052</v>
      </c>
      <c r="J240" s="32">
        <f>IF(A240="","",IFERROR(VLOOKUP(A240,'Production Schedule'!$B:$FU,135,FALSE),""))</f>
        <v>32</v>
      </c>
      <c r="K240" s="20" t="str">
        <f>IF(A240="","",IFERROR(VLOOKUP(A240,'Production Schedule'!$B:$FU,59,FALSE),""))</f>
        <v>NO</v>
      </c>
      <c r="L240" s="39" t="str">
        <f>IF(A240="","",IFERROR(VLOOKUP(A240,'Production Schedule'!$B:$FU,80,FALSE),""))</f>
        <v>Partially Shipped</v>
      </c>
      <c r="M240" s="33" t="str" cm="1">
        <f t="array" ref="M240">IF(A240="","",IFERROR(TRIM(INDEX(_xlfn.TEXTSPLIT(IFERROR(VLOOKUP(A240,'Production Schedule'!$B:$FU,150,FALSE),""),CHAR(10)),1)),""))</f>
        <v>Cidan</v>
      </c>
      <c r="N240" s="34">
        <f t="shared" si="24"/>
        <v>46027</v>
      </c>
      <c r="O240" s="33" t="str" cm="1">
        <f t="array" ref="O240">IF(A240="","",IFERROR(TRIM(INDEX(_xlfn.TEXTSPLIT(IFERROR(VLOOKUP(A240,'Production Schedule'!$B:$FU,150,FALSE),""),CHAR(10)),2)),""))</f>
        <v>Shear</v>
      </c>
      <c r="P240" s="34">
        <f t="shared" si="25"/>
        <v>46038</v>
      </c>
      <c r="Q240" s="33" t="str" cm="1">
        <f t="array" ref="Q240">IF(A240="","",IFERROR(TRIM(INDEX(_xlfn.TEXTSPLIT(IFERROR(VLOOKUP(A240,'Production Schedule'!$B:$FU,150,FALSE),""),CHAR(10)),3)),""))</f>
        <v/>
      </c>
      <c r="R240" s="34" t="str">
        <f t="shared" si="26"/>
        <v/>
      </c>
      <c r="S240" s="33" t="str" cm="1">
        <f t="array" ref="S240">IF(A240="","",IFERROR(TRIM(INDEX(_xlfn.TEXTSPLIT(IFERROR(VLOOKUP(A240,'Production Schedule'!$B:$FU,150,FALSE),""),CHAR(10)),4)),""))</f>
        <v/>
      </c>
      <c r="T240" s="34" t="str">
        <f t="shared" si="27"/>
        <v/>
      </c>
      <c r="U240" s="33" t="str" cm="1">
        <f t="array" ref="U240">IF(A240="","",IFERROR(TRIM(INDEX(_xlfn.TEXTSPLIT(IFERROR(VLOOKUP(A240,'Production Schedule'!$B:$FU,150,FALSE),""),CHAR(10)),5)),""))</f>
        <v/>
      </c>
      <c r="V240" s="34" t="str">
        <f t="shared" si="28"/>
        <v/>
      </c>
      <c r="W240" s="33" t="str" cm="1">
        <f t="array" ref="W240">IF(A240="","",IFERROR(TRIM(INDEX(_xlfn.TEXTSPLIT(IFERROR(VLOOKUP(A240,'Production Schedule'!$B:$FU,150,FALSE),""),CHAR(10)),6)),""))</f>
        <v/>
      </c>
      <c r="X240" s="34" t="str">
        <f t="shared" si="29"/>
        <v/>
      </c>
      <c r="Y240" s="36">
        <f t="shared" si="30"/>
        <v>46050</v>
      </c>
      <c r="Z240" s="37" t="str">
        <f>IF(A240="","",IF(IFERROR(VLOOKUP(A240,Notes!A:B,2,FALSE),"")=0,"",VLOOKUP(A240,Notes!A:B,2,FALSE)))</f>
        <v>Chris putting in FL03 Monday 03/23 and needs to ship out 03/27.*03/24 Pushed off until 03/30.*03/30…Checking back in*04/16/2026…Partially Shipped</v>
      </c>
      <c r="AA240" s="20">
        <f t="shared" si="31"/>
        <v>2</v>
      </c>
    </row>
    <row r="241" spans="1:27" x14ac:dyDescent="0.25">
      <c r="A241" s="18" t="str">
        <v>24051-FS46.1</v>
      </c>
      <c r="B241" s="18" t="str">
        <f>IF(A241="","",IFERROR(VLOOKUP(A241,'Production Schedule'!$B:$FU,3,FALSE),""))</f>
        <v>TN Titans Stadium</v>
      </c>
      <c r="C241" s="18" t="str">
        <f>IF(A241="","",IFERROR(VLOOKUP(A241,'Production Schedule'!$B:$FU,5,FALSE),""))</f>
        <v>Marc Ribar</v>
      </c>
      <c r="D241" s="18">
        <f>IF(A241="","",IFERROR(VLOOKUP(A241,'Production Schedule'!$B:$FU,7,FALSE),""))</f>
        <v>400</v>
      </c>
      <c r="E241" s="18">
        <f>IF(A241="","",IFERROR(VLOOKUP(A241,'Production Schedule'!$B:$FU,17,FALSE),""))</f>
        <v>56</v>
      </c>
      <c r="F241" s="18">
        <f>IF(A241="","",IFERROR(VLOOKUP(A241,'Production Schedule'!$B:$FU,18,FALSE),""))</f>
        <v>56</v>
      </c>
      <c r="G241" s="18" t="str">
        <f>IF(A241="","",IFERROR(VLOOKUP(A241,'Production Schedule'!$B:$FU,25,FALSE),""))</f>
        <v>FR ACM</v>
      </c>
      <c r="H241" s="19">
        <f>IF(A241="","",IFERROR(VLOOKUP(A241,'Production Schedule'!$B:$FU,47,FALSE),""))</f>
        <v>46009.682707905093</v>
      </c>
      <c r="I241" s="19">
        <f>IF(A241="","",IFERROR(VLOOKUP(A241,'Production Schedule'!$B:$FU,54,FALSE),""))</f>
        <v>46055</v>
      </c>
      <c r="J241" s="26">
        <f>IF(A241="","",IFERROR(VLOOKUP(A241,'Production Schedule'!$B:$FU,135,FALSE),""))</f>
        <v>200</v>
      </c>
      <c r="K241" s="18" t="str">
        <f>IF(A241="","",IFERROR(VLOOKUP(A241,'Production Schedule'!$B:$FU,59,FALSE),""))</f>
        <v>YES</v>
      </c>
      <c r="L241" s="38" t="str">
        <f>IF(A241="","",IFERROR(VLOOKUP(A241,'Production Schedule'!$B:$FU,80,FALSE),""))</f>
        <v>RTS Titans</v>
      </c>
      <c r="M241" s="27" t="str" cm="1">
        <f t="array" ref="M241">IF(A241="","",IFERROR(TRIM(INDEX(_xlfn.TEXTSPLIT(IFERROR(VLOOKUP(A241,'Production Schedule'!$B:$FU,150,FALSE),""),CHAR(10)),1)),""))</f>
        <v>AXYZ</v>
      </c>
      <c r="N241" s="28">
        <f t="shared" si="24"/>
        <v>46030</v>
      </c>
      <c r="O241" s="27" t="str" cm="1">
        <f t="array" ref="O241">IF(A241="","",IFERROR(TRIM(INDEX(_xlfn.TEXTSPLIT(IFERROR(VLOOKUP(A241,'Production Schedule'!$B:$FU,150,FALSE),""),CHAR(10)),2)),""))</f>
        <v>Clean and Brake</v>
      </c>
      <c r="P241" s="28">
        <f t="shared" si="25"/>
        <v>46031</v>
      </c>
      <c r="Q241" s="27" t="str" cm="1">
        <f t="array" ref="Q241">IF(A241="","",IFERROR(TRIM(INDEX(_xlfn.TEXTSPLIT(IFERROR(VLOOKUP(A241,'Production Schedule'!$B:$FU,150,FALSE),""),CHAR(10)),3)),""))</f>
        <v>Fab</v>
      </c>
      <c r="R241" s="28">
        <f t="shared" si="26"/>
        <v>46042</v>
      </c>
      <c r="S241" s="27" t="str" cm="1">
        <f t="array" ref="S241">IF(A241="","",IFERROR(TRIM(INDEX(_xlfn.TEXTSPLIT(IFERROR(VLOOKUP(A241,'Production Schedule'!$B:$FU,150,FALSE),""),CHAR(10)),4)),""))</f>
        <v/>
      </c>
      <c r="T241" s="28" t="str">
        <f t="shared" si="27"/>
        <v/>
      </c>
      <c r="U241" s="27" t="str" cm="1">
        <f t="array" ref="U241">IF(A241="","",IFERROR(TRIM(INDEX(_xlfn.TEXTSPLIT(IFERROR(VLOOKUP(A241,'Production Schedule'!$B:$FU,150,FALSE),""),CHAR(10)),5)),""))</f>
        <v/>
      </c>
      <c r="V241" s="28" t="str">
        <f t="shared" si="28"/>
        <v/>
      </c>
      <c r="W241" s="27" t="str" cm="1">
        <f t="array" ref="W241">IF(A241="","",IFERROR(TRIM(INDEX(_xlfn.TEXTSPLIT(IFERROR(VLOOKUP(A241,'Production Schedule'!$B:$FU,150,FALSE),""),CHAR(10)),6)),""))</f>
        <v/>
      </c>
      <c r="X241" s="28" t="str">
        <f t="shared" si="29"/>
        <v/>
      </c>
      <c r="Y241" s="30">
        <f t="shared" si="30"/>
        <v>46052</v>
      </c>
      <c r="Z241" s="31" t="str">
        <f>IF(A241="","",IF(IFERROR(VLOOKUP(A241,Notes!A:B,2,FALSE),"")=0,"",VLOOKUP(A241,Notes!A:B,2,FALSE)))</f>
        <v>04/16/2026…RTS Titans</v>
      </c>
      <c r="AA241" s="18">
        <f t="shared" si="31"/>
        <v>2</v>
      </c>
    </row>
    <row r="242" spans="1:27" x14ac:dyDescent="0.25">
      <c r="A242" s="20" t="str">
        <v>24051-FS72</v>
      </c>
      <c r="B242" s="20" t="str">
        <f>IF(A242="","",IFERROR(VLOOKUP(A242,'Production Schedule'!$B:$FU,3,FALSE),""))</f>
        <v>TN Titans Stadium</v>
      </c>
      <c r="C242" s="20" t="str">
        <f>IF(A242="","",IFERROR(VLOOKUP(A242,'Production Schedule'!$B:$FU,5,FALSE),""))</f>
        <v>Marc Ribar</v>
      </c>
      <c r="D242" s="20">
        <f>IF(A242="","",IFERROR(VLOOKUP(A242,'Production Schedule'!$B:$FU,7,FALSE),""))</f>
        <v>400</v>
      </c>
      <c r="E242" s="20">
        <f>IF(A242="","",IFERROR(VLOOKUP(A242,'Production Schedule'!$B:$FU,17,FALSE),""))</f>
        <v>104</v>
      </c>
      <c r="F242" s="20">
        <f>IF(A242="","",IFERROR(VLOOKUP(A242,'Production Schedule'!$B:$FU,18,FALSE),""))</f>
        <v>104</v>
      </c>
      <c r="G242" s="20" t="str">
        <f>IF(A242="","",IFERROR(VLOOKUP(A242,'Production Schedule'!$B:$FU,25,FALSE),""))</f>
        <v>FR ACM</v>
      </c>
      <c r="H242" s="21">
        <f>IF(A242="","",IFERROR(VLOOKUP(A242,'Production Schedule'!$B:$FU,47,FALSE),""))</f>
        <v>46009.442769525464</v>
      </c>
      <c r="I242" s="21">
        <f>IF(A242="","",IFERROR(VLOOKUP(A242,'Production Schedule'!$B:$FU,54,FALSE),""))</f>
        <v>46055</v>
      </c>
      <c r="J242" s="32">
        <f>IF(A242="","",IFERROR(VLOOKUP(A242,'Production Schedule'!$B:$FU,135,FALSE),""))</f>
        <v>200</v>
      </c>
      <c r="K242" s="20" t="str">
        <f>IF(A242="","",IFERROR(VLOOKUP(A242,'Production Schedule'!$B:$FU,59,FALSE),""))</f>
        <v>YES</v>
      </c>
      <c r="L242" s="39" t="str">
        <f>IF(A242="","",IFERROR(VLOOKUP(A242,'Production Schedule'!$B:$FU,80,FALSE),""))</f>
        <v>RTS Titans</v>
      </c>
      <c r="M242" s="33" t="str" cm="1">
        <f t="array" ref="M242">IF(A242="","",IFERROR(TRIM(INDEX(_xlfn.TEXTSPLIT(IFERROR(VLOOKUP(A242,'Production Schedule'!$B:$FU,150,FALSE),""),CHAR(10)),1)),""))</f>
        <v>AXYZ</v>
      </c>
      <c r="N242" s="34">
        <f t="shared" si="24"/>
        <v>46029</v>
      </c>
      <c r="O242" s="33" t="str" cm="1">
        <f t="array" ref="O242">IF(A242="","",IFERROR(TRIM(INDEX(_xlfn.TEXTSPLIT(IFERROR(VLOOKUP(A242,'Production Schedule'!$B:$FU,150,FALSE),""),CHAR(10)),2)),""))</f>
        <v>Clean and Brake</v>
      </c>
      <c r="P242" s="34">
        <f t="shared" si="25"/>
        <v>46031</v>
      </c>
      <c r="Q242" s="33" t="str" cm="1">
        <f t="array" ref="Q242">IF(A242="","",IFERROR(TRIM(INDEX(_xlfn.TEXTSPLIT(IFERROR(VLOOKUP(A242,'Production Schedule'!$B:$FU,150,FALSE),""),CHAR(10)),3)),""))</f>
        <v>Fab</v>
      </c>
      <c r="R242" s="34">
        <f t="shared" si="26"/>
        <v>46042</v>
      </c>
      <c r="S242" s="33" t="str" cm="1">
        <f t="array" ref="S242">IF(A242="","",IFERROR(TRIM(INDEX(_xlfn.TEXTSPLIT(IFERROR(VLOOKUP(A242,'Production Schedule'!$B:$FU,150,FALSE),""),CHAR(10)),4)),""))</f>
        <v/>
      </c>
      <c r="T242" s="34" t="str">
        <f t="shared" si="27"/>
        <v/>
      </c>
      <c r="U242" s="33" t="str" cm="1">
        <f t="array" ref="U242">IF(A242="","",IFERROR(TRIM(INDEX(_xlfn.TEXTSPLIT(IFERROR(VLOOKUP(A242,'Production Schedule'!$B:$FU,150,FALSE),""),CHAR(10)),5)),""))</f>
        <v/>
      </c>
      <c r="V242" s="34" t="str">
        <f t="shared" si="28"/>
        <v/>
      </c>
      <c r="W242" s="33" t="str" cm="1">
        <f t="array" ref="W242">IF(A242="","",IFERROR(TRIM(INDEX(_xlfn.TEXTSPLIT(IFERROR(VLOOKUP(A242,'Production Schedule'!$B:$FU,150,FALSE),""),CHAR(10)),6)),""))</f>
        <v/>
      </c>
      <c r="X242" s="34" t="str">
        <f t="shared" si="29"/>
        <v/>
      </c>
      <c r="Y242" s="36">
        <f t="shared" si="30"/>
        <v>46052</v>
      </c>
      <c r="Z242" s="37" t="str">
        <f>IF(A242="","",IF(IFERROR(VLOOKUP(A242,Notes!A:B,2,FALSE),"")=0,"",VLOOKUP(A242,Notes!A:B,2,FALSE)))</f>
        <v>04/16/2026…RTS Titans</v>
      </c>
      <c r="AA242" s="20">
        <f t="shared" si="31"/>
        <v>2</v>
      </c>
    </row>
    <row r="243" spans="1:27" x14ac:dyDescent="0.25">
      <c r="A243" s="18" t="str">
        <v>24051-FS73</v>
      </c>
      <c r="B243" s="18" t="str">
        <f>IF(A243="","",IFERROR(VLOOKUP(A243,'Production Schedule'!$B:$FU,3,FALSE),""))</f>
        <v>TN Titans Stadium</v>
      </c>
      <c r="C243" s="18" t="str">
        <f>IF(A243="","",IFERROR(VLOOKUP(A243,'Production Schedule'!$B:$FU,5,FALSE),""))</f>
        <v>Marc Ribar</v>
      </c>
      <c r="D243" s="18">
        <f>IF(A243="","",IFERROR(VLOOKUP(A243,'Production Schedule'!$B:$FU,7,FALSE),""))</f>
        <v>400</v>
      </c>
      <c r="E243" s="18">
        <f>IF(A243="","",IFERROR(VLOOKUP(A243,'Production Schedule'!$B:$FU,17,FALSE),""))</f>
        <v>66</v>
      </c>
      <c r="F243" s="18">
        <f>IF(A243="","",IFERROR(VLOOKUP(A243,'Production Schedule'!$B:$FU,18,FALSE),""))</f>
        <v>66</v>
      </c>
      <c r="G243" s="18" t="str">
        <f>IF(A243="","",IFERROR(VLOOKUP(A243,'Production Schedule'!$B:$FU,25,FALSE),""))</f>
        <v>FR ACM</v>
      </c>
      <c r="H243" s="19">
        <f>IF(A243="","",IFERROR(VLOOKUP(A243,'Production Schedule'!$B:$FU,47,FALSE),""))</f>
        <v>46009.466376064818</v>
      </c>
      <c r="I243" s="19">
        <f>IF(A243="","",IFERROR(VLOOKUP(A243,'Production Schedule'!$B:$FU,54,FALSE),""))</f>
        <v>46055</v>
      </c>
      <c r="J243" s="26">
        <f>IF(A243="","",IFERROR(VLOOKUP(A243,'Production Schedule'!$B:$FU,135,FALSE),""))</f>
        <v>120</v>
      </c>
      <c r="K243" s="18" t="str">
        <f>IF(A243="","",IFERROR(VLOOKUP(A243,'Production Schedule'!$B:$FU,59,FALSE),""))</f>
        <v>YES</v>
      </c>
      <c r="L243" s="38" t="str">
        <f>IF(A243="","",IFERROR(VLOOKUP(A243,'Production Schedule'!$B:$FU,80,FALSE),""))</f>
        <v>RTS Titans</v>
      </c>
      <c r="M243" s="27" t="str" cm="1">
        <f t="array" ref="M243">IF(A243="","",IFERROR(TRIM(INDEX(_xlfn.TEXTSPLIT(IFERROR(VLOOKUP(A243,'Production Schedule'!$B:$FU,150,FALSE),""),CHAR(10)),1)),""))</f>
        <v>AXYZ</v>
      </c>
      <c r="N243" s="28">
        <f t="shared" si="24"/>
        <v>46029</v>
      </c>
      <c r="O243" s="27" t="str" cm="1">
        <f t="array" ref="O243">IF(A243="","",IFERROR(TRIM(INDEX(_xlfn.TEXTSPLIT(IFERROR(VLOOKUP(A243,'Production Schedule'!$B:$FU,150,FALSE),""),CHAR(10)),2)),""))</f>
        <v>Clean and Brake</v>
      </c>
      <c r="P243" s="28">
        <f t="shared" si="25"/>
        <v>46031</v>
      </c>
      <c r="Q243" s="27" t="str" cm="1">
        <f t="array" ref="Q243">IF(A243="","",IFERROR(TRIM(INDEX(_xlfn.TEXTSPLIT(IFERROR(VLOOKUP(A243,'Production Schedule'!$B:$FU,150,FALSE),""),CHAR(10)),3)),""))</f>
        <v>Fab</v>
      </c>
      <c r="R243" s="28">
        <f t="shared" si="26"/>
        <v>46042</v>
      </c>
      <c r="S243" s="27" t="str" cm="1">
        <f t="array" ref="S243">IF(A243="","",IFERROR(TRIM(INDEX(_xlfn.TEXTSPLIT(IFERROR(VLOOKUP(A243,'Production Schedule'!$B:$FU,150,FALSE),""),CHAR(10)),4)),""))</f>
        <v/>
      </c>
      <c r="T243" s="28" t="str">
        <f t="shared" si="27"/>
        <v/>
      </c>
      <c r="U243" s="27" t="str" cm="1">
        <f t="array" ref="U243">IF(A243="","",IFERROR(TRIM(INDEX(_xlfn.TEXTSPLIT(IFERROR(VLOOKUP(A243,'Production Schedule'!$B:$FU,150,FALSE),""),CHAR(10)),5)),""))</f>
        <v/>
      </c>
      <c r="V243" s="28" t="str">
        <f t="shared" si="28"/>
        <v/>
      </c>
      <c r="W243" s="27" t="str" cm="1">
        <f t="array" ref="W243">IF(A243="","",IFERROR(TRIM(INDEX(_xlfn.TEXTSPLIT(IFERROR(VLOOKUP(A243,'Production Schedule'!$B:$FU,150,FALSE),""),CHAR(10)),6)),""))</f>
        <v/>
      </c>
      <c r="X243" s="28" t="str">
        <f t="shared" si="29"/>
        <v/>
      </c>
      <c r="Y243" s="30">
        <f t="shared" si="30"/>
        <v>46052</v>
      </c>
      <c r="Z243" s="31" t="str">
        <f>IF(A243="","",IF(IFERROR(VLOOKUP(A243,Notes!A:B,2,FALSE),"")=0,"",VLOOKUP(A243,Notes!A:B,2,FALSE)))</f>
        <v>04/16/2026…RTS Titans</v>
      </c>
      <c r="AA243" s="18">
        <f t="shared" si="31"/>
        <v>2</v>
      </c>
    </row>
    <row r="244" spans="1:27" x14ac:dyDescent="0.25">
      <c r="A244" s="20" t="str">
        <v>24051-FS56C</v>
      </c>
      <c r="B244" s="20" t="str">
        <f>IF(A244="","",IFERROR(VLOOKUP(A244,'Production Schedule'!$B:$FU,3,FALSE),""))</f>
        <v>TN Titans Stadium</v>
      </c>
      <c r="C244" s="20" t="str">
        <f>IF(A244="","",IFERROR(VLOOKUP(A244,'Production Schedule'!$B:$FU,5,FALSE),""))</f>
        <v>Marc Ribar</v>
      </c>
      <c r="D244" s="20">
        <f>IF(A244="","",IFERROR(VLOOKUP(A244,'Production Schedule'!$B:$FU,7,FALSE),""))</f>
        <v>400</v>
      </c>
      <c r="E244" s="20">
        <f>IF(A244="","",IFERROR(VLOOKUP(A244,'Production Schedule'!$B:$FU,17,FALSE),""))</f>
        <v>149</v>
      </c>
      <c r="F244" s="20">
        <f>IF(A244="","",IFERROR(VLOOKUP(A244,'Production Schedule'!$B:$FU,18,FALSE),""))</f>
        <v>149</v>
      </c>
      <c r="G244" s="20" t="str">
        <f>IF(A244="","",IFERROR(VLOOKUP(A244,'Production Schedule'!$B:$FU,25,FALSE),""))</f>
        <v>FR ACM</v>
      </c>
      <c r="H244" s="21">
        <f>IF(A244="","",IFERROR(VLOOKUP(A244,'Production Schedule'!$B:$FU,47,FALSE),""))</f>
        <v>45952.366942824076</v>
      </c>
      <c r="I244" s="21">
        <f>IF(A244="","",IFERROR(VLOOKUP(A244,'Production Schedule'!$B:$FU,54,FALSE),""))</f>
        <v>46055</v>
      </c>
      <c r="J244" s="32">
        <f>IF(A244="","",IFERROR(VLOOKUP(A244,'Production Schedule'!$B:$FU,135,FALSE),""))</f>
        <v>300</v>
      </c>
      <c r="K244" s="20" t="str">
        <f>IF(A244="","",IFERROR(VLOOKUP(A244,'Production Schedule'!$B:$FU,59,FALSE),""))</f>
        <v>YES</v>
      </c>
      <c r="L244" s="39" t="str">
        <f>IF(A244="","",IFERROR(VLOOKUP(A244,'Production Schedule'!$B:$FU,80,FALSE),""))</f>
        <v>RTS Titans</v>
      </c>
      <c r="M244" s="33" t="str" cm="1">
        <f t="array" ref="M244">IF(A244="","",IFERROR(TRIM(INDEX(_xlfn.TEXTSPLIT(IFERROR(VLOOKUP(A244,'Production Schedule'!$B:$FU,150,FALSE),""),CHAR(10)),1)),""))</f>
        <v>AXYZ Titans Line</v>
      </c>
      <c r="N244" s="34">
        <f t="shared" si="24"/>
        <v>46028</v>
      </c>
      <c r="O244" s="33" t="str" cm="1">
        <f t="array" ref="O244">IF(A244="","",IFERROR(TRIM(INDEX(_xlfn.TEXTSPLIT(IFERROR(VLOOKUP(A244,'Production Schedule'!$B:$FU,150,FALSE),""),CHAR(10)),2)),""))</f>
        <v>Clean and Brake</v>
      </c>
      <c r="P244" s="34">
        <f t="shared" si="25"/>
        <v>46031</v>
      </c>
      <c r="Q244" s="33" t="str" cm="1">
        <f t="array" ref="Q244">IF(A244="","",IFERROR(TRIM(INDEX(_xlfn.TEXTSPLIT(IFERROR(VLOOKUP(A244,'Production Schedule'!$B:$FU,150,FALSE),""),CHAR(10)),3)),""))</f>
        <v>Fab</v>
      </c>
      <c r="R244" s="34">
        <f t="shared" si="26"/>
        <v>46042</v>
      </c>
      <c r="S244" s="33" t="str" cm="1">
        <f t="array" ref="S244">IF(A244="","",IFERROR(TRIM(INDEX(_xlfn.TEXTSPLIT(IFERROR(VLOOKUP(A244,'Production Schedule'!$B:$FU,150,FALSE),""),CHAR(10)),4)),""))</f>
        <v/>
      </c>
      <c r="T244" s="34" t="str">
        <f t="shared" si="27"/>
        <v/>
      </c>
      <c r="U244" s="33" t="str" cm="1">
        <f t="array" ref="U244">IF(A244="","",IFERROR(TRIM(INDEX(_xlfn.TEXTSPLIT(IFERROR(VLOOKUP(A244,'Production Schedule'!$B:$FU,150,FALSE),""),CHAR(10)),5)),""))</f>
        <v/>
      </c>
      <c r="V244" s="34" t="str">
        <f t="shared" si="28"/>
        <v/>
      </c>
      <c r="W244" s="33" t="str" cm="1">
        <f t="array" ref="W244">IF(A244="","",IFERROR(TRIM(INDEX(_xlfn.TEXTSPLIT(IFERROR(VLOOKUP(A244,'Production Schedule'!$B:$FU,150,FALSE),""),CHAR(10)),6)),""))</f>
        <v/>
      </c>
      <c r="X244" s="34" t="str">
        <f t="shared" si="29"/>
        <v/>
      </c>
      <c r="Y244" s="36">
        <f t="shared" si="30"/>
        <v>46052</v>
      </c>
      <c r="Z244" s="37" t="str">
        <f>IF(A244="","",IF(IFERROR(VLOOKUP(A244,Notes!A:B,2,FALSE),"")=0,"",VLOOKUP(A244,Notes!A:B,2,FALSE)))</f>
        <v>04/16/2026…RTS Titans</v>
      </c>
      <c r="AA244" s="20">
        <f t="shared" si="31"/>
        <v>2</v>
      </c>
    </row>
    <row r="245" spans="1:27" x14ac:dyDescent="0.25">
      <c r="A245" s="18" t="str">
        <v>24051-FS74</v>
      </c>
      <c r="B245" s="18" t="str">
        <f>IF(A245="","",IFERROR(VLOOKUP(A245,'Production Schedule'!$B:$FU,3,FALSE),""))</f>
        <v>TN Titans Stadium</v>
      </c>
      <c r="C245" s="18" t="str">
        <f>IF(A245="","",IFERROR(VLOOKUP(A245,'Production Schedule'!$B:$FU,5,FALSE),""))</f>
        <v>Marc Ribar</v>
      </c>
      <c r="D245" s="18">
        <f>IF(A245="","",IFERROR(VLOOKUP(A245,'Production Schedule'!$B:$FU,7,FALSE),""))</f>
        <v>400</v>
      </c>
      <c r="E245" s="18">
        <f>IF(A245="","",IFERROR(VLOOKUP(A245,'Production Schedule'!$B:$FU,17,FALSE),""))</f>
        <v>39</v>
      </c>
      <c r="F245" s="18">
        <f>IF(A245="","",IFERROR(VLOOKUP(A245,'Production Schedule'!$B:$FU,18,FALSE),""))</f>
        <v>39</v>
      </c>
      <c r="G245" s="18" t="str">
        <f>IF(A245="","",IFERROR(VLOOKUP(A245,'Production Schedule'!$B:$FU,25,FALSE),""))</f>
        <v>FR ACM</v>
      </c>
      <c r="H245" s="19">
        <f>IF(A245="","",IFERROR(VLOOKUP(A245,'Production Schedule'!$B:$FU,47,FALSE),""))</f>
        <v>46009.63290196759</v>
      </c>
      <c r="I245" s="19">
        <f>IF(A245="","",IFERROR(VLOOKUP(A245,'Production Schedule'!$B:$FU,54,FALSE),""))</f>
        <v>46055</v>
      </c>
      <c r="J245" s="26">
        <f>IF(A245="","",IFERROR(VLOOKUP(A245,'Production Schedule'!$B:$FU,135,FALSE),""))</f>
        <v>300</v>
      </c>
      <c r="K245" s="18" t="str">
        <f>IF(A245="","",IFERROR(VLOOKUP(A245,'Production Schedule'!$B:$FU,59,FALSE),""))</f>
        <v>YES</v>
      </c>
      <c r="L245" s="38" t="str">
        <f>IF(A245="","",IFERROR(VLOOKUP(A245,'Production Schedule'!$B:$FU,80,FALSE),""))</f>
        <v>RTS Titans</v>
      </c>
      <c r="M245" s="27" t="str" cm="1">
        <f t="array" ref="M245">IF(A245="","",IFERROR(TRIM(INDEX(_xlfn.TEXTSPLIT(IFERROR(VLOOKUP(A245,'Production Schedule'!$B:$FU,150,FALSE),""),CHAR(10)),1)),""))</f>
        <v>AXYZ</v>
      </c>
      <c r="N245" s="28">
        <f t="shared" si="24"/>
        <v>46030</v>
      </c>
      <c r="O245" s="27" t="str" cm="1">
        <f t="array" ref="O245">IF(A245="","",IFERROR(TRIM(INDEX(_xlfn.TEXTSPLIT(IFERROR(VLOOKUP(A245,'Production Schedule'!$B:$FU,150,FALSE),""),CHAR(10)),2)),""))</f>
        <v>Clean and Brake</v>
      </c>
      <c r="P245" s="28">
        <f t="shared" si="25"/>
        <v>46031</v>
      </c>
      <c r="Q245" s="27" t="str" cm="1">
        <f t="array" ref="Q245">IF(A245="","",IFERROR(TRIM(INDEX(_xlfn.TEXTSPLIT(IFERROR(VLOOKUP(A245,'Production Schedule'!$B:$FU,150,FALSE),""),CHAR(10)),3)),""))</f>
        <v>Fab</v>
      </c>
      <c r="R245" s="28">
        <f t="shared" si="26"/>
        <v>46042</v>
      </c>
      <c r="S245" s="27" t="str" cm="1">
        <f t="array" ref="S245">IF(A245="","",IFERROR(TRIM(INDEX(_xlfn.TEXTSPLIT(IFERROR(VLOOKUP(A245,'Production Schedule'!$B:$FU,150,FALSE),""),CHAR(10)),4)),""))</f>
        <v/>
      </c>
      <c r="T245" s="28" t="str">
        <f t="shared" si="27"/>
        <v/>
      </c>
      <c r="U245" s="27" t="str" cm="1">
        <f t="array" ref="U245">IF(A245="","",IFERROR(TRIM(INDEX(_xlfn.TEXTSPLIT(IFERROR(VLOOKUP(A245,'Production Schedule'!$B:$FU,150,FALSE),""),CHAR(10)),5)),""))</f>
        <v/>
      </c>
      <c r="V245" s="28" t="str">
        <f t="shared" si="28"/>
        <v/>
      </c>
      <c r="W245" s="27" t="str" cm="1">
        <f t="array" ref="W245">IF(A245="","",IFERROR(TRIM(INDEX(_xlfn.TEXTSPLIT(IFERROR(VLOOKUP(A245,'Production Schedule'!$B:$FU,150,FALSE),""),CHAR(10)),6)),""))</f>
        <v/>
      </c>
      <c r="X245" s="28" t="str">
        <f t="shared" si="29"/>
        <v/>
      </c>
      <c r="Y245" s="30">
        <f t="shared" si="30"/>
        <v>46052</v>
      </c>
      <c r="Z245" s="31" t="str">
        <f>IF(A245="","",IF(IFERROR(VLOOKUP(A245,Notes!A:B,2,FALSE),"")=0,"",VLOOKUP(A245,Notes!A:B,2,FALSE)))</f>
        <v>04/16/2026…RTS Titans</v>
      </c>
      <c r="AA245" s="18">
        <f t="shared" si="31"/>
        <v>2</v>
      </c>
    </row>
    <row r="246" spans="1:27" x14ac:dyDescent="0.25">
      <c r="A246" s="20" t="str">
        <v>24051-FS25.1 FM</v>
      </c>
      <c r="B246" s="20" t="str">
        <f>IF(A246="","",IFERROR(VLOOKUP(A246,'Production Schedule'!$B:$FU,3,FALSE),""))</f>
        <v>TN Titans Stadium</v>
      </c>
      <c r="C246" s="20" t="str">
        <f>IF(A246="","",IFERROR(VLOOKUP(A246,'Production Schedule'!$B:$FU,5,FALSE),""))</f>
        <v>Marc Ribar</v>
      </c>
      <c r="D246" s="20">
        <f>IF(A246="","",IFERROR(VLOOKUP(A246,'Production Schedule'!$B:$FU,7,FALSE),""))</f>
        <v>400</v>
      </c>
      <c r="E246" s="20">
        <f>IF(A246="","",IFERROR(VLOOKUP(A246,'Production Schedule'!$B:$FU,17,FALSE),""))</f>
        <v>2</v>
      </c>
      <c r="F246" s="20">
        <f>IF(A246="","",IFERROR(VLOOKUP(A246,'Production Schedule'!$B:$FU,18,FALSE),""))</f>
        <v>2</v>
      </c>
      <c r="G246" s="20" t="str">
        <f>IF(A246="","",IFERROR(VLOOKUP(A246,'Production Schedule'!$B:$FU,25,FALSE),""))</f>
        <v>FR ACM</v>
      </c>
      <c r="H246" s="21">
        <f>IF(A246="","",IFERROR(VLOOKUP(A246,'Production Schedule'!$B:$FU,47,FALSE),""))</f>
        <v>46009.477560833337</v>
      </c>
      <c r="I246" s="21">
        <f>IF(A246="","",IFERROR(VLOOKUP(A246,'Production Schedule'!$B:$FU,54,FALSE),""))</f>
        <v>46058</v>
      </c>
      <c r="J246" s="32">
        <f>IF(A246="","",IFERROR(VLOOKUP(A246,'Production Schedule'!$B:$FU,135,FALSE),""))</f>
        <v>1</v>
      </c>
      <c r="K246" s="20" t="str">
        <f>IF(A246="","",IFERROR(VLOOKUP(A246,'Production Schedule'!$B:$FU,59,FALSE),""))</f>
        <v>YES</v>
      </c>
      <c r="L246" s="39" t="str">
        <f>IF(A246="","",IFERROR(VLOOKUP(A246,'Production Schedule'!$B:$FU,80,FALSE),""))</f>
        <v>RTS Titans</v>
      </c>
      <c r="M246" s="33" t="str" cm="1">
        <f t="array" ref="M246">IF(A246="","",IFERROR(TRIM(INDEX(_xlfn.TEXTSPLIT(IFERROR(VLOOKUP(A246,'Production Schedule'!$B:$FU,150,FALSE),""),CHAR(10)),1)),""))</f>
        <v>AXYZ Titans Line</v>
      </c>
      <c r="N246" s="34">
        <f t="shared" si="24"/>
        <v>46034</v>
      </c>
      <c r="O246" s="33" t="str" cm="1">
        <f t="array" ref="O246">IF(A246="","",IFERROR(TRIM(INDEX(_xlfn.TEXTSPLIT(IFERROR(VLOOKUP(A246,'Production Schedule'!$B:$FU,150,FALSE),""),CHAR(10)),2)),""))</f>
        <v>Clean and Brake</v>
      </c>
      <c r="P246" s="34">
        <f t="shared" si="25"/>
        <v>46035</v>
      </c>
      <c r="Q246" s="33" t="str" cm="1">
        <f t="array" ref="Q246">IF(A246="","",IFERROR(TRIM(INDEX(_xlfn.TEXTSPLIT(IFERROR(VLOOKUP(A246,'Production Schedule'!$B:$FU,150,FALSE),""),CHAR(10)),3)),""))</f>
        <v>Fab</v>
      </c>
      <c r="R246" s="34">
        <f t="shared" si="26"/>
        <v>46045</v>
      </c>
      <c r="S246" s="33" t="str" cm="1">
        <f t="array" ref="S246">IF(A246="","",IFERROR(TRIM(INDEX(_xlfn.TEXTSPLIT(IFERROR(VLOOKUP(A246,'Production Schedule'!$B:$FU,150,FALSE),""),CHAR(10)),4)),""))</f>
        <v/>
      </c>
      <c r="T246" s="34" t="str">
        <f t="shared" si="27"/>
        <v/>
      </c>
      <c r="U246" s="33" t="str" cm="1">
        <f t="array" ref="U246">IF(A246="","",IFERROR(TRIM(INDEX(_xlfn.TEXTSPLIT(IFERROR(VLOOKUP(A246,'Production Schedule'!$B:$FU,150,FALSE),""),CHAR(10)),5)),""))</f>
        <v/>
      </c>
      <c r="V246" s="34" t="str">
        <f t="shared" si="28"/>
        <v/>
      </c>
      <c r="W246" s="33" t="str" cm="1">
        <f t="array" ref="W246">IF(A246="","",IFERROR(TRIM(INDEX(_xlfn.TEXTSPLIT(IFERROR(VLOOKUP(A246,'Production Schedule'!$B:$FU,150,FALSE),""),CHAR(10)),6)),""))</f>
        <v/>
      </c>
      <c r="X246" s="34" t="str">
        <f t="shared" si="29"/>
        <v/>
      </c>
      <c r="Y246" s="36">
        <f t="shared" si="30"/>
        <v>46056</v>
      </c>
      <c r="Z246" s="37" t="str">
        <f>IF(A246="","",IF(IFERROR(VLOOKUP(A246,Notes!A:B,2,FALSE),"")=0,"",VLOOKUP(A246,Notes!A:B,2,FALSE)))</f>
        <v>04/16/2026…RTS Titans</v>
      </c>
      <c r="AA246" s="20">
        <f t="shared" si="31"/>
        <v>2</v>
      </c>
    </row>
    <row r="247" spans="1:27" x14ac:dyDescent="0.25">
      <c r="A247" s="18" t="str">
        <v>24051-BM02</v>
      </c>
      <c r="B247" s="18" t="str">
        <f>IF(A247="","",IFERROR(VLOOKUP(A247,'Production Schedule'!$B:$FU,3,FALSE),""))</f>
        <v>TN Titans Stadium</v>
      </c>
      <c r="C247" s="18" t="str">
        <f>IF(A247="","",IFERROR(VLOOKUP(A247,'Production Schedule'!$B:$FU,5,FALSE),""))</f>
        <v>Marc Ribar</v>
      </c>
      <c r="D247" s="18">
        <f>IF(A247="","",IFERROR(VLOOKUP(A247,'Production Schedule'!$B:$FU,7,FALSE),""))</f>
        <v>0</v>
      </c>
      <c r="E247" s="18">
        <f>IF(A247="","",IFERROR(VLOOKUP(A247,'Production Schedule'!$B:$FU,17,FALSE),""))</f>
        <v>0</v>
      </c>
      <c r="F247" s="18">
        <f>IF(A247="","",IFERROR(VLOOKUP(A247,'Production Schedule'!$B:$FU,18,FALSE),""))</f>
        <v>141</v>
      </c>
      <c r="G247" s="18" t="str">
        <f>IF(A247="","",IFERROR(VLOOKUP(A247,'Production Schedule'!$B:$FU,25,FALSE),""))</f>
        <v>Alum Sheet</v>
      </c>
      <c r="H247" s="19">
        <f>IF(A247="","",IFERROR(VLOOKUP(A247,'Production Schedule'!$B:$FU,47,FALSE),""))</f>
        <v>46027.565188437497</v>
      </c>
      <c r="I247" s="19">
        <f>IF(A247="","",IFERROR(VLOOKUP(A247,'Production Schedule'!$B:$FU,54,FALSE),""))</f>
        <v>46059</v>
      </c>
      <c r="J247" s="26">
        <f>IF(A247="","",IFERROR(VLOOKUP(A247,'Production Schedule'!$B:$FU,135,FALSE),""))</f>
        <v>6</v>
      </c>
      <c r="K247" s="18" t="str">
        <f>IF(A247="","",IFERROR(VLOOKUP(A247,'Production Schedule'!$B:$FU,59,FALSE),""))</f>
        <v>YES</v>
      </c>
      <c r="L247" s="38" t="str">
        <f>IF(A247="","",IFERROR(VLOOKUP(A247,'Production Schedule'!$B:$FU,80,FALSE),""))</f>
        <v>RTS Titans</v>
      </c>
      <c r="M247" s="27" t="str" cm="1">
        <f t="array" ref="M247">IF(A247="","",IFERROR(TRIM(INDEX(_xlfn.TEXTSPLIT(IFERROR(VLOOKUP(A247,'Production Schedule'!$B:$FU,150,FALSE),""),CHAR(10)),1)),""))</f>
        <v>Cidan</v>
      </c>
      <c r="N247" s="28">
        <f t="shared" si="24"/>
        <v>46034</v>
      </c>
      <c r="O247" s="27" t="str" cm="1">
        <f t="array" ref="O247">IF(A247="","",IFERROR(TRIM(INDEX(_xlfn.TEXTSPLIT(IFERROR(VLOOKUP(A247,'Production Schedule'!$B:$FU,150,FALSE),""),CHAR(10)),2)),""))</f>
        <v>Shear</v>
      </c>
      <c r="P247" s="28">
        <f t="shared" si="25"/>
        <v>46045</v>
      </c>
      <c r="Q247" s="27" t="str" cm="1">
        <f t="array" ref="Q247">IF(A247="","",IFERROR(TRIM(INDEX(_xlfn.TEXTSPLIT(IFERROR(VLOOKUP(A247,'Production Schedule'!$B:$FU,150,FALSE),""),CHAR(10)),3)),""))</f>
        <v/>
      </c>
      <c r="R247" s="28" t="str">
        <f t="shared" si="26"/>
        <v/>
      </c>
      <c r="S247" s="27" t="str" cm="1">
        <f t="array" ref="S247">IF(A247="","",IFERROR(TRIM(INDEX(_xlfn.TEXTSPLIT(IFERROR(VLOOKUP(A247,'Production Schedule'!$B:$FU,150,FALSE),""),CHAR(10)),4)),""))</f>
        <v/>
      </c>
      <c r="T247" s="28" t="str">
        <f t="shared" si="27"/>
        <v/>
      </c>
      <c r="U247" s="27" t="str" cm="1">
        <f t="array" ref="U247">IF(A247="","",IFERROR(TRIM(INDEX(_xlfn.TEXTSPLIT(IFERROR(VLOOKUP(A247,'Production Schedule'!$B:$FU,150,FALSE),""),CHAR(10)),5)),""))</f>
        <v/>
      </c>
      <c r="V247" s="28" t="str">
        <f t="shared" si="28"/>
        <v/>
      </c>
      <c r="W247" s="27" t="str" cm="1">
        <f t="array" ref="W247">IF(A247="","",IFERROR(TRIM(INDEX(_xlfn.TEXTSPLIT(IFERROR(VLOOKUP(A247,'Production Schedule'!$B:$FU,150,FALSE),""),CHAR(10)),6)),""))</f>
        <v/>
      </c>
      <c r="X247" s="28" t="str">
        <f t="shared" si="29"/>
        <v/>
      </c>
      <c r="Y247" s="30">
        <f t="shared" si="30"/>
        <v>46057</v>
      </c>
      <c r="Z247" s="31" t="str">
        <f>IF(A247="","",IF(IFERROR(VLOOKUP(A247,Notes!A:B,2,FALSE),"")=0,"",VLOOKUP(A247,Notes!A:B,2,FALSE)))</f>
        <v>04/16/2026…RTS Titans</v>
      </c>
      <c r="AA247" s="18">
        <f t="shared" si="31"/>
        <v>2</v>
      </c>
    </row>
    <row r="248" spans="1:27" x14ac:dyDescent="0.25">
      <c r="A248" s="20" t="str">
        <v>24051-FS221</v>
      </c>
      <c r="B248" s="20" t="str">
        <f>IF(A248="","",IFERROR(VLOOKUP(A248,'Production Schedule'!$B:$FU,3,FALSE),""))</f>
        <v>TN Titans Stadium</v>
      </c>
      <c r="C248" s="20" t="str">
        <f>IF(A248="","",IFERROR(VLOOKUP(A248,'Production Schedule'!$B:$FU,5,FALSE),""))</f>
        <v>Marc Ribar</v>
      </c>
      <c r="D248" s="20">
        <f>IF(A248="","",IFERROR(VLOOKUP(A248,'Production Schedule'!$B:$FU,7,FALSE),""))</f>
        <v>400</v>
      </c>
      <c r="E248" s="20">
        <f>IF(A248="","",IFERROR(VLOOKUP(A248,'Production Schedule'!$B:$FU,17,FALSE),""))</f>
        <v>13</v>
      </c>
      <c r="F248" s="20">
        <f>IF(A248="","",IFERROR(VLOOKUP(A248,'Production Schedule'!$B:$FU,18,FALSE),""))</f>
        <v>13</v>
      </c>
      <c r="G248" s="20" t="str">
        <f>IF(A248="","",IFERROR(VLOOKUP(A248,'Production Schedule'!$B:$FU,25,FALSE),""))</f>
        <v>FR ACM</v>
      </c>
      <c r="H248" s="21">
        <f>IF(A248="","",IFERROR(VLOOKUP(A248,'Production Schedule'!$B:$FU,47,FALSE),""))</f>
        <v>46010.469971736115</v>
      </c>
      <c r="I248" s="21">
        <f>IF(A248="","",IFERROR(VLOOKUP(A248,'Production Schedule'!$B:$FU,54,FALSE),""))</f>
        <v>46062</v>
      </c>
      <c r="J248" s="32">
        <f>IF(A248="","",IFERROR(VLOOKUP(A248,'Production Schedule'!$B:$FU,135,FALSE),""))</f>
        <v>16</v>
      </c>
      <c r="K248" s="20" t="str">
        <f>IF(A248="","",IFERROR(VLOOKUP(A248,'Production Schedule'!$B:$FU,59,FALSE),""))</f>
        <v>YES</v>
      </c>
      <c r="L248" s="39" t="str">
        <f>IF(A248="","",IFERROR(VLOOKUP(A248,'Production Schedule'!$B:$FU,80,FALSE),""))</f>
        <v>RTS Titans</v>
      </c>
      <c r="M248" s="33" t="str" cm="1">
        <f t="array" ref="M248">IF(A248="","",IFERROR(TRIM(INDEX(_xlfn.TEXTSPLIT(IFERROR(VLOOKUP(A248,'Production Schedule'!$B:$FU,150,FALSE),""),CHAR(10)),1)),""))</f>
        <v>AXYZ Titans Line</v>
      </c>
      <c r="N248" s="34">
        <f t="shared" si="24"/>
        <v>46037</v>
      </c>
      <c r="O248" s="33" t="str" cm="1">
        <f t="array" ref="O248">IF(A248="","",IFERROR(TRIM(INDEX(_xlfn.TEXTSPLIT(IFERROR(VLOOKUP(A248,'Production Schedule'!$B:$FU,150,FALSE),""),CHAR(10)),2)),""))</f>
        <v>Clean and Brake</v>
      </c>
      <c r="P248" s="34">
        <f t="shared" si="25"/>
        <v>46038</v>
      </c>
      <c r="Q248" s="33" t="str" cm="1">
        <f t="array" ref="Q248">IF(A248="","",IFERROR(TRIM(INDEX(_xlfn.TEXTSPLIT(IFERROR(VLOOKUP(A248,'Production Schedule'!$B:$FU,150,FALSE),""),CHAR(10)),3)),""))</f>
        <v>Fab</v>
      </c>
      <c r="R248" s="34">
        <f t="shared" si="26"/>
        <v>46049</v>
      </c>
      <c r="S248" s="33" t="str" cm="1">
        <f t="array" ref="S248">IF(A248="","",IFERROR(TRIM(INDEX(_xlfn.TEXTSPLIT(IFERROR(VLOOKUP(A248,'Production Schedule'!$B:$FU,150,FALSE),""),CHAR(10)),4)),""))</f>
        <v/>
      </c>
      <c r="T248" s="34" t="str">
        <f t="shared" si="27"/>
        <v/>
      </c>
      <c r="U248" s="33" t="str" cm="1">
        <f t="array" ref="U248">IF(A248="","",IFERROR(TRIM(INDEX(_xlfn.TEXTSPLIT(IFERROR(VLOOKUP(A248,'Production Schedule'!$B:$FU,150,FALSE),""),CHAR(10)),5)),""))</f>
        <v/>
      </c>
      <c r="V248" s="34" t="str">
        <f t="shared" si="28"/>
        <v/>
      </c>
      <c r="W248" s="33" t="str" cm="1">
        <f t="array" ref="W248">IF(A248="","",IFERROR(TRIM(INDEX(_xlfn.TEXTSPLIT(IFERROR(VLOOKUP(A248,'Production Schedule'!$B:$FU,150,FALSE),""),CHAR(10)),6)),""))</f>
        <v/>
      </c>
      <c r="X248" s="34" t="str">
        <f t="shared" si="29"/>
        <v/>
      </c>
      <c r="Y248" s="36">
        <f t="shared" si="30"/>
        <v>46059</v>
      </c>
      <c r="Z248" s="37" t="str">
        <f>IF(A248="","",IF(IFERROR(VLOOKUP(A248,Notes!A:B,2,FALSE),"")=0,"",VLOOKUP(A248,Notes!A:B,2,FALSE)))</f>
        <v>04/16/2026…RTS Titans</v>
      </c>
      <c r="AA248" s="20">
        <f t="shared" si="31"/>
        <v>2</v>
      </c>
    </row>
    <row r="249" spans="1:27" x14ac:dyDescent="0.25">
      <c r="A249" s="18" t="str">
        <v>24051-FS43.1</v>
      </c>
      <c r="B249" s="18" t="str">
        <f>IF(A249="","",IFERROR(VLOOKUP(A249,'Production Schedule'!$B:$FU,3,FALSE),""))</f>
        <v>TN Titans Stadium</v>
      </c>
      <c r="C249" s="18" t="str">
        <f>IF(A249="","",IFERROR(VLOOKUP(A249,'Production Schedule'!$B:$FU,5,FALSE),""))</f>
        <v>Marc Ribar</v>
      </c>
      <c r="D249" s="18">
        <f>IF(A249="","",IFERROR(VLOOKUP(A249,'Production Schedule'!$B:$FU,7,FALSE),""))</f>
        <v>400</v>
      </c>
      <c r="E249" s="18">
        <f>IF(A249="","",IFERROR(VLOOKUP(A249,'Production Schedule'!$B:$FU,17,FALSE),""))</f>
        <v>30</v>
      </c>
      <c r="F249" s="18">
        <f>IF(A249="","",IFERROR(VLOOKUP(A249,'Production Schedule'!$B:$FU,18,FALSE),""))</f>
        <v>30</v>
      </c>
      <c r="G249" s="18" t="str">
        <f>IF(A249="","",IFERROR(VLOOKUP(A249,'Production Schedule'!$B:$FU,25,FALSE),""))</f>
        <v>FR ACM</v>
      </c>
      <c r="H249" s="19">
        <f>IF(A249="","",IFERROR(VLOOKUP(A249,'Production Schedule'!$B:$FU,47,FALSE),""))</f>
        <v>46010.391544409722</v>
      </c>
      <c r="I249" s="19">
        <f>IF(A249="","",IFERROR(VLOOKUP(A249,'Production Schedule'!$B:$FU,54,FALSE),""))</f>
        <v>46062</v>
      </c>
      <c r="J249" s="26">
        <f>IF(A249="","",IFERROR(VLOOKUP(A249,'Production Schedule'!$B:$FU,135,FALSE),""))</f>
        <v>80</v>
      </c>
      <c r="K249" s="18" t="str">
        <f>IF(A249="","",IFERROR(VLOOKUP(A249,'Production Schedule'!$B:$FU,59,FALSE),""))</f>
        <v>YES</v>
      </c>
      <c r="L249" s="38" t="str">
        <f>IF(A249="","",IFERROR(VLOOKUP(A249,'Production Schedule'!$B:$FU,80,FALSE),""))</f>
        <v>RTS Titans</v>
      </c>
      <c r="M249" s="27" t="str" cm="1">
        <f t="array" ref="M249">IF(A249="","",IFERROR(TRIM(INDEX(_xlfn.TEXTSPLIT(IFERROR(VLOOKUP(A249,'Production Schedule'!$B:$FU,150,FALSE),""),CHAR(10)),1)),""))</f>
        <v>AXYZ Titans Line</v>
      </c>
      <c r="N249" s="28">
        <f t="shared" si="24"/>
        <v>46037</v>
      </c>
      <c r="O249" s="27" t="str" cm="1">
        <f t="array" ref="O249">IF(A249="","",IFERROR(TRIM(INDEX(_xlfn.TEXTSPLIT(IFERROR(VLOOKUP(A249,'Production Schedule'!$B:$FU,150,FALSE),""),CHAR(10)),2)),""))</f>
        <v>Clean and Brake</v>
      </c>
      <c r="P249" s="28">
        <f t="shared" si="25"/>
        <v>46038</v>
      </c>
      <c r="Q249" s="27" t="str" cm="1">
        <f t="array" ref="Q249">IF(A249="","",IFERROR(TRIM(INDEX(_xlfn.TEXTSPLIT(IFERROR(VLOOKUP(A249,'Production Schedule'!$B:$FU,150,FALSE),""),CHAR(10)),3)),""))</f>
        <v>Fab</v>
      </c>
      <c r="R249" s="28">
        <f t="shared" si="26"/>
        <v>46049</v>
      </c>
      <c r="S249" s="27" t="str" cm="1">
        <f t="array" ref="S249">IF(A249="","",IFERROR(TRIM(INDEX(_xlfn.TEXTSPLIT(IFERROR(VLOOKUP(A249,'Production Schedule'!$B:$FU,150,FALSE),""),CHAR(10)),4)),""))</f>
        <v/>
      </c>
      <c r="T249" s="28" t="str">
        <f t="shared" si="27"/>
        <v/>
      </c>
      <c r="U249" s="27" t="str" cm="1">
        <f t="array" ref="U249">IF(A249="","",IFERROR(TRIM(INDEX(_xlfn.TEXTSPLIT(IFERROR(VLOOKUP(A249,'Production Schedule'!$B:$FU,150,FALSE),""),CHAR(10)),5)),""))</f>
        <v/>
      </c>
      <c r="V249" s="28" t="str">
        <f t="shared" si="28"/>
        <v/>
      </c>
      <c r="W249" s="27" t="str" cm="1">
        <f t="array" ref="W249">IF(A249="","",IFERROR(TRIM(INDEX(_xlfn.TEXTSPLIT(IFERROR(VLOOKUP(A249,'Production Schedule'!$B:$FU,150,FALSE),""),CHAR(10)),6)),""))</f>
        <v/>
      </c>
      <c r="X249" s="28" t="str">
        <f t="shared" si="29"/>
        <v/>
      </c>
      <c r="Y249" s="30">
        <f t="shared" si="30"/>
        <v>46059</v>
      </c>
      <c r="Z249" s="31" t="str">
        <f>IF(A249="","",IF(IFERROR(VLOOKUP(A249,Notes!A:B,2,FALSE),"")=0,"",VLOOKUP(A249,Notes!A:B,2,FALSE)))</f>
        <v>04/16/2026…RTS Titans</v>
      </c>
      <c r="AA249" s="18">
        <f t="shared" si="31"/>
        <v>2</v>
      </c>
    </row>
    <row r="250" spans="1:27" x14ac:dyDescent="0.25">
      <c r="A250" s="20" t="str">
        <v>24051-FS16C</v>
      </c>
      <c r="B250" s="20" t="str">
        <f>IF(A250="","",IFERROR(VLOOKUP(A250,'Production Schedule'!$B:$FU,3,FALSE),""))</f>
        <v>TN Titans Stadium</v>
      </c>
      <c r="C250" s="20" t="str">
        <f>IF(A250="","",IFERROR(VLOOKUP(A250,'Production Schedule'!$B:$FU,5,FALSE),""))</f>
        <v>Marc Ribar</v>
      </c>
      <c r="D250" s="20">
        <f>IF(A250="","",IFERROR(VLOOKUP(A250,'Production Schedule'!$B:$FU,7,FALSE),""))</f>
        <v>400</v>
      </c>
      <c r="E250" s="20">
        <f>IF(A250="","",IFERROR(VLOOKUP(A250,'Production Schedule'!$B:$FU,17,FALSE),""))</f>
        <v>27</v>
      </c>
      <c r="F250" s="20">
        <f>IF(A250="","",IFERROR(VLOOKUP(A250,'Production Schedule'!$B:$FU,18,FALSE),""))</f>
        <v>27</v>
      </c>
      <c r="G250" s="20" t="str">
        <f>IF(A250="","",IFERROR(VLOOKUP(A250,'Production Schedule'!$B:$FU,25,FALSE),""))</f>
        <v>FR ACM</v>
      </c>
      <c r="H250" s="21">
        <f>IF(A250="","",IFERROR(VLOOKUP(A250,'Production Schedule'!$B:$FU,47,FALSE),""))</f>
        <v>46009.652196342591</v>
      </c>
      <c r="I250" s="21">
        <f>IF(A250="","",IFERROR(VLOOKUP(A250,'Production Schedule'!$B:$FU,54,FALSE),""))</f>
        <v>46062</v>
      </c>
      <c r="J250" s="32">
        <f>IF(A250="","",IFERROR(VLOOKUP(A250,'Production Schedule'!$B:$FU,135,FALSE),""))</f>
        <v>40</v>
      </c>
      <c r="K250" s="20" t="str">
        <f>IF(A250="","",IFERROR(VLOOKUP(A250,'Production Schedule'!$B:$FU,59,FALSE),""))</f>
        <v>YES</v>
      </c>
      <c r="L250" s="39" t="str">
        <f>IF(A250="","",IFERROR(VLOOKUP(A250,'Production Schedule'!$B:$FU,80,FALSE),""))</f>
        <v>RTS Titans</v>
      </c>
      <c r="M250" s="33" t="str" cm="1">
        <f t="array" ref="M250">IF(A250="","",IFERROR(TRIM(INDEX(_xlfn.TEXTSPLIT(IFERROR(VLOOKUP(A250,'Production Schedule'!$B:$FU,150,FALSE),""),CHAR(10)),1)),""))</f>
        <v>AXYZ Titans Line</v>
      </c>
      <c r="N250" s="34">
        <f t="shared" si="24"/>
        <v>46037</v>
      </c>
      <c r="O250" s="33" t="str" cm="1">
        <f t="array" ref="O250">IF(A250="","",IFERROR(TRIM(INDEX(_xlfn.TEXTSPLIT(IFERROR(VLOOKUP(A250,'Production Schedule'!$B:$FU,150,FALSE),""),CHAR(10)),2)),""))</f>
        <v>Clean and Brake</v>
      </c>
      <c r="P250" s="34">
        <f t="shared" si="25"/>
        <v>46038</v>
      </c>
      <c r="Q250" s="33" t="str" cm="1">
        <f t="array" ref="Q250">IF(A250="","",IFERROR(TRIM(INDEX(_xlfn.TEXTSPLIT(IFERROR(VLOOKUP(A250,'Production Schedule'!$B:$FU,150,FALSE),""),CHAR(10)),3)),""))</f>
        <v>Fab</v>
      </c>
      <c r="R250" s="34">
        <f t="shared" si="26"/>
        <v>46049</v>
      </c>
      <c r="S250" s="33" t="str" cm="1">
        <f t="array" ref="S250">IF(A250="","",IFERROR(TRIM(INDEX(_xlfn.TEXTSPLIT(IFERROR(VLOOKUP(A250,'Production Schedule'!$B:$FU,150,FALSE),""),CHAR(10)),4)),""))</f>
        <v/>
      </c>
      <c r="T250" s="34" t="str">
        <f t="shared" si="27"/>
        <v/>
      </c>
      <c r="U250" s="33" t="str" cm="1">
        <f t="array" ref="U250">IF(A250="","",IFERROR(TRIM(INDEX(_xlfn.TEXTSPLIT(IFERROR(VLOOKUP(A250,'Production Schedule'!$B:$FU,150,FALSE),""),CHAR(10)),5)),""))</f>
        <v/>
      </c>
      <c r="V250" s="34" t="str">
        <f t="shared" si="28"/>
        <v/>
      </c>
      <c r="W250" s="33" t="str" cm="1">
        <f t="array" ref="W250">IF(A250="","",IFERROR(TRIM(INDEX(_xlfn.TEXTSPLIT(IFERROR(VLOOKUP(A250,'Production Schedule'!$B:$FU,150,FALSE),""),CHAR(10)),6)),""))</f>
        <v/>
      </c>
      <c r="X250" s="34" t="str">
        <f t="shared" si="29"/>
        <v/>
      </c>
      <c r="Y250" s="36">
        <f t="shared" si="30"/>
        <v>46059</v>
      </c>
      <c r="Z250" s="37" t="str">
        <f>IF(A250="","",IF(IFERROR(VLOOKUP(A250,Notes!A:B,2,FALSE),"")=0,"",VLOOKUP(A250,Notes!A:B,2,FALSE)))</f>
        <v>04/16/2026…RTS Titans</v>
      </c>
      <c r="AA250" s="20">
        <f t="shared" si="31"/>
        <v>2</v>
      </c>
    </row>
    <row r="251" spans="1:27" x14ac:dyDescent="0.25">
      <c r="A251" s="18" t="str">
        <v>24051-FS76</v>
      </c>
      <c r="B251" s="18" t="str">
        <f>IF(A251="","",IFERROR(VLOOKUP(A251,'Production Schedule'!$B:$FU,3,FALSE),""))</f>
        <v>TN Titans Stadium</v>
      </c>
      <c r="C251" s="18" t="str">
        <f>IF(A251="","",IFERROR(VLOOKUP(A251,'Production Schedule'!$B:$FU,5,FALSE),""))</f>
        <v>Marc Ribar</v>
      </c>
      <c r="D251" s="18">
        <f>IF(A251="","",IFERROR(VLOOKUP(A251,'Production Schedule'!$B:$FU,7,FALSE),""))</f>
        <v>400</v>
      </c>
      <c r="E251" s="18">
        <f>IF(A251="","",IFERROR(VLOOKUP(A251,'Production Schedule'!$B:$FU,17,FALSE),""))</f>
        <v>152</v>
      </c>
      <c r="F251" s="18">
        <f>IF(A251="","",IFERROR(VLOOKUP(A251,'Production Schedule'!$B:$FU,18,FALSE),""))</f>
        <v>152</v>
      </c>
      <c r="G251" s="18" t="str">
        <f>IF(A251="","",IFERROR(VLOOKUP(A251,'Production Schedule'!$B:$FU,25,FALSE),""))</f>
        <v>FR ACM</v>
      </c>
      <c r="H251" s="19">
        <f>IF(A251="","",IFERROR(VLOOKUP(A251,'Production Schedule'!$B:$FU,47,FALSE),""))</f>
        <v>46010.487901886576</v>
      </c>
      <c r="I251" s="19">
        <f>IF(A251="","",IFERROR(VLOOKUP(A251,'Production Schedule'!$B:$FU,54,FALSE),""))</f>
        <v>46062</v>
      </c>
      <c r="J251" s="26">
        <f>IF(A251="","",IFERROR(VLOOKUP(A251,'Production Schedule'!$B:$FU,135,FALSE),""))</f>
        <v>300</v>
      </c>
      <c r="K251" s="18" t="str">
        <f>IF(A251="","",IFERROR(VLOOKUP(A251,'Production Schedule'!$B:$FU,59,FALSE),""))</f>
        <v>YES</v>
      </c>
      <c r="L251" s="38" t="str">
        <f>IF(A251="","",IFERROR(VLOOKUP(A251,'Production Schedule'!$B:$FU,80,FALSE),""))</f>
        <v>RTS Titans</v>
      </c>
      <c r="M251" s="27" t="str" cm="1">
        <f t="array" ref="M251">IF(A251="","",IFERROR(TRIM(INDEX(_xlfn.TEXTSPLIT(IFERROR(VLOOKUP(A251,'Production Schedule'!$B:$FU,150,FALSE),""),CHAR(10)),1)),""))</f>
        <v>AXYZ</v>
      </c>
      <c r="N251" s="28">
        <f t="shared" si="24"/>
        <v>46035</v>
      </c>
      <c r="O251" s="27" t="str" cm="1">
        <f t="array" ref="O251">IF(A251="","",IFERROR(TRIM(INDEX(_xlfn.TEXTSPLIT(IFERROR(VLOOKUP(A251,'Production Schedule'!$B:$FU,150,FALSE),""),CHAR(10)),2)),""))</f>
        <v>Clean and Brake</v>
      </c>
      <c r="P251" s="28">
        <f t="shared" si="25"/>
        <v>46038</v>
      </c>
      <c r="Q251" s="27" t="str" cm="1">
        <f t="array" ref="Q251">IF(A251="","",IFERROR(TRIM(INDEX(_xlfn.TEXTSPLIT(IFERROR(VLOOKUP(A251,'Production Schedule'!$B:$FU,150,FALSE),""),CHAR(10)),3)),""))</f>
        <v>Fab</v>
      </c>
      <c r="R251" s="28">
        <f t="shared" si="26"/>
        <v>46049</v>
      </c>
      <c r="S251" s="27" t="str" cm="1">
        <f t="array" ref="S251">IF(A251="","",IFERROR(TRIM(INDEX(_xlfn.TEXTSPLIT(IFERROR(VLOOKUP(A251,'Production Schedule'!$B:$FU,150,FALSE),""),CHAR(10)),4)),""))</f>
        <v/>
      </c>
      <c r="T251" s="28" t="str">
        <f t="shared" si="27"/>
        <v/>
      </c>
      <c r="U251" s="27" t="str" cm="1">
        <f t="array" ref="U251">IF(A251="","",IFERROR(TRIM(INDEX(_xlfn.TEXTSPLIT(IFERROR(VLOOKUP(A251,'Production Schedule'!$B:$FU,150,FALSE),""),CHAR(10)),5)),""))</f>
        <v/>
      </c>
      <c r="V251" s="28" t="str">
        <f t="shared" si="28"/>
        <v/>
      </c>
      <c r="W251" s="27" t="str" cm="1">
        <f t="array" ref="W251">IF(A251="","",IFERROR(TRIM(INDEX(_xlfn.TEXTSPLIT(IFERROR(VLOOKUP(A251,'Production Schedule'!$B:$FU,150,FALSE),""),CHAR(10)),6)),""))</f>
        <v/>
      </c>
      <c r="X251" s="28" t="str">
        <f t="shared" si="29"/>
        <v/>
      </c>
      <c r="Y251" s="30">
        <f t="shared" si="30"/>
        <v>46059</v>
      </c>
      <c r="Z251" s="31" t="str">
        <f>IF(A251="","",IF(IFERROR(VLOOKUP(A251,Notes!A:B,2,FALSE),"")=0,"",VLOOKUP(A251,Notes!A:B,2,FALSE)))</f>
        <v>04/16/2026…RTS Titans</v>
      </c>
      <c r="AA251" s="18">
        <f t="shared" si="31"/>
        <v>2</v>
      </c>
    </row>
    <row r="252" spans="1:27" x14ac:dyDescent="0.25">
      <c r="A252" s="20" t="str">
        <v>24051-FS77</v>
      </c>
      <c r="B252" s="20" t="str">
        <f>IF(A252="","",IFERROR(VLOOKUP(A252,'Production Schedule'!$B:$FU,3,FALSE),""))</f>
        <v>TN Titans Stadium</v>
      </c>
      <c r="C252" s="20" t="str">
        <f>IF(A252="","",IFERROR(VLOOKUP(A252,'Production Schedule'!$B:$FU,5,FALSE),""))</f>
        <v>Marc Ribar</v>
      </c>
      <c r="D252" s="20">
        <f>IF(A252="","",IFERROR(VLOOKUP(A252,'Production Schedule'!$B:$FU,7,FALSE),""))</f>
        <v>400</v>
      </c>
      <c r="E252" s="20">
        <f>IF(A252="","",IFERROR(VLOOKUP(A252,'Production Schedule'!$B:$FU,17,FALSE),""))</f>
        <v>209</v>
      </c>
      <c r="F252" s="20">
        <f>IF(A252="","",IFERROR(VLOOKUP(A252,'Production Schedule'!$B:$FU,18,FALSE),""))</f>
        <v>209</v>
      </c>
      <c r="G252" s="20" t="str">
        <f>IF(A252="","",IFERROR(VLOOKUP(A252,'Production Schedule'!$B:$FU,25,FALSE),""))</f>
        <v>FR ACM</v>
      </c>
      <c r="H252" s="21">
        <f>IF(A252="","",IFERROR(VLOOKUP(A252,'Production Schedule'!$B:$FU,47,FALSE),""))</f>
        <v>46010.674014826393</v>
      </c>
      <c r="I252" s="21">
        <f>IF(A252="","",IFERROR(VLOOKUP(A252,'Production Schedule'!$B:$FU,54,FALSE),""))</f>
        <v>46062</v>
      </c>
      <c r="J252" s="32">
        <f>IF(A252="","",IFERROR(VLOOKUP(A252,'Production Schedule'!$B:$FU,135,FALSE),""))</f>
        <v>400</v>
      </c>
      <c r="K252" s="20" t="str">
        <f>IF(A252="","",IFERROR(VLOOKUP(A252,'Production Schedule'!$B:$FU,59,FALSE),""))</f>
        <v>YES</v>
      </c>
      <c r="L252" s="39" t="str">
        <f>IF(A252="","",IFERROR(VLOOKUP(A252,'Production Schedule'!$B:$FU,80,FALSE),""))</f>
        <v>RTS Titans</v>
      </c>
      <c r="M252" s="33" t="str" cm="1">
        <f t="array" ref="M252">IF(A252="","",IFERROR(TRIM(INDEX(_xlfn.TEXTSPLIT(IFERROR(VLOOKUP(A252,'Production Schedule'!$B:$FU,150,FALSE),""),CHAR(10)),1)),""))</f>
        <v>AXYZ</v>
      </c>
      <c r="N252" s="34">
        <f t="shared" si="24"/>
        <v>46034</v>
      </c>
      <c r="O252" s="33" t="str" cm="1">
        <f t="array" ref="O252">IF(A252="","",IFERROR(TRIM(INDEX(_xlfn.TEXTSPLIT(IFERROR(VLOOKUP(A252,'Production Schedule'!$B:$FU,150,FALSE),""),CHAR(10)),2)),""))</f>
        <v>Clean and Brake</v>
      </c>
      <c r="P252" s="34">
        <f t="shared" si="25"/>
        <v>46038</v>
      </c>
      <c r="Q252" s="33" t="str" cm="1">
        <f t="array" ref="Q252">IF(A252="","",IFERROR(TRIM(INDEX(_xlfn.TEXTSPLIT(IFERROR(VLOOKUP(A252,'Production Schedule'!$B:$FU,150,FALSE),""),CHAR(10)),3)),""))</f>
        <v>Fab</v>
      </c>
      <c r="R252" s="34">
        <f t="shared" si="26"/>
        <v>46049</v>
      </c>
      <c r="S252" s="33" t="str" cm="1">
        <f t="array" ref="S252">IF(A252="","",IFERROR(TRIM(INDEX(_xlfn.TEXTSPLIT(IFERROR(VLOOKUP(A252,'Production Schedule'!$B:$FU,150,FALSE),""),CHAR(10)),4)),""))</f>
        <v/>
      </c>
      <c r="T252" s="34" t="str">
        <f t="shared" si="27"/>
        <v/>
      </c>
      <c r="U252" s="33" t="str" cm="1">
        <f t="array" ref="U252">IF(A252="","",IFERROR(TRIM(INDEX(_xlfn.TEXTSPLIT(IFERROR(VLOOKUP(A252,'Production Schedule'!$B:$FU,150,FALSE),""),CHAR(10)),5)),""))</f>
        <v/>
      </c>
      <c r="V252" s="34" t="str">
        <f t="shared" si="28"/>
        <v/>
      </c>
      <c r="W252" s="33" t="str" cm="1">
        <f t="array" ref="W252">IF(A252="","",IFERROR(TRIM(INDEX(_xlfn.TEXTSPLIT(IFERROR(VLOOKUP(A252,'Production Schedule'!$B:$FU,150,FALSE),""),CHAR(10)),6)),""))</f>
        <v/>
      </c>
      <c r="X252" s="34" t="str">
        <f t="shared" si="29"/>
        <v/>
      </c>
      <c r="Y252" s="36">
        <f t="shared" si="30"/>
        <v>46059</v>
      </c>
      <c r="Z252" s="37" t="str">
        <f>IF(A252="","",IF(IFERROR(VLOOKUP(A252,Notes!A:B,2,FALSE),"")=0,"",VLOOKUP(A252,Notes!A:B,2,FALSE)))</f>
        <v>04/16/2026…RTS Titans</v>
      </c>
      <c r="AA252" s="20">
        <f t="shared" si="31"/>
        <v>2</v>
      </c>
    </row>
    <row r="253" spans="1:27" x14ac:dyDescent="0.25">
      <c r="A253" s="18" t="str">
        <v>24039-FS14</v>
      </c>
      <c r="B253" s="18" t="str">
        <f>IF(A253="","",IFERROR(VLOOKUP(A253,'Production Schedule'!$B:$FU,3,FALSE),""))</f>
        <v>The Visionary</v>
      </c>
      <c r="C253" s="18" t="str">
        <f>IF(A253="","",IFERROR(VLOOKUP(A253,'Production Schedule'!$B:$FU,5,FALSE),""))</f>
        <v>Carlos Silva</v>
      </c>
      <c r="D253" s="18" t="str">
        <f>IF(A253="","",IFERROR(VLOOKUP(A253,'Production Schedule'!$B:$FU,7,FALSE),""))</f>
        <v>PEX</v>
      </c>
      <c r="E253" s="18">
        <f>IF(A253="","",IFERROR(VLOOKUP(A253,'Production Schedule'!$B:$FU,17,FALSE),""))</f>
        <v>176</v>
      </c>
      <c r="F253" s="18">
        <f>IF(A253="","",IFERROR(VLOOKUP(A253,'Production Schedule'!$B:$FU,18,FALSE),""))</f>
        <v>197</v>
      </c>
      <c r="G253" s="18" t="str">
        <f>IF(A253="","",IFERROR(VLOOKUP(A253,'Production Schedule'!$B:$FU,25,FALSE),""))</f>
        <v>FR ACM</v>
      </c>
      <c r="H253" s="19">
        <f>IF(A253="","",IFERROR(VLOOKUP(A253,'Production Schedule'!$B:$FU,47,FALSE),""))</f>
        <v>45992.687907928237</v>
      </c>
      <c r="I253" s="19">
        <f>IF(A253="","",IFERROR(VLOOKUP(A253,'Production Schedule'!$B:$FU,54,FALSE),""))</f>
        <v>46063</v>
      </c>
      <c r="J253" s="26">
        <f>IF(A253="","",IFERROR(VLOOKUP(A253,'Production Schedule'!$B:$FU,135,FALSE),""))</f>
        <v>80</v>
      </c>
      <c r="K253" s="18" t="str">
        <f>IF(A253="","",IFERROR(VLOOKUP(A253,'Production Schedule'!$B:$FU,59,FALSE),""))</f>
        <v>YES</v>
      </c>
      <c r="L253" s="38" t="str">
        <f>IF(A253="","",IFERROR(VLOOKUP(A253,'Production Schedule'!$B:$FU,80,FALSE),""))</f>
        <v>Partially Shipped</v>
      </c>
      <c r="M253" s="27" t="str" cm="1">
        <f t="array" ref="M253">IF(A253="","",IFERROR(TRIM(INDEX(_xlfn.TEXTSPLIT(IFERROR(VLOOKUP(A253,'Production Schedule'!$B:$FU,150,FALSE),""),CHAR(10)),1)),""))</f>
        <v>AXYZ Titans Line</v>
      </c>
      <c r="N253" s="28">
        <f t="shared" si="24"/>
        <v>46035</v>
      </c>
      <c r="O253" s="27" t="str" cm="1">
        <f t="array" ref="O253">IF(A253="","",IFERROR(TRIM(INDEX(_xlfn.TEXTSPLIT(IFERROR(VLOOKUP(A253,'Production Schedule'!$B:$FU,150,FALSE),""),CHAR(10)),2)),""))</f>
        <v>Clean and Brake</v>
      </c>
      <c r="P253" s="28">
        <f t="shared" si="25"/>
        <v>46039</v>
      </c>
      <c r="Q253" s="27" t="str" cm="1">
        <f t="array" ref="Q253">IF(A253="","",IFERROR(TRIM(INDEX(_xlfn.TEXTSPLIT(IFERROR(VLOOKUP(A253,'Production Schedule'!$B:$FU,150,FALSE),""),CHAR(10)),3)),""))</f>
        <v>Fab</v>
      </c>
      <c r="R253" s="28">
        <f t="shared" si="26"/>
        <v>46050</v>
      </c>
      <c r="S253" s="27" t="str" cm="1">
        <f t="array" ref="S253">IF(A253="","",IFERROR(TRIM(INDEX(_xlfn.TEXTSPLIT(IFERROR(VLOOKUP(A253,'Production Schedule'!$B:$FU,150,FALSE),""),CHAR(10)),4)),""))</f>
        <v/>
      </c>
      <c r="T253" s="28" t="str">
        <f t="shared" si="27"/>
        <v/>
      </c>
      <c r="U253" s="27" t="str" cm="1">
        <f t="array" ref="U253">IF(A253="","",IFERROR(TRIM(INDEX(_xlfn.TEXTSPLIT(IFERROR(VLOOKUP(A253,'Production Schedule'!$B:$FU,150,FALSE),""),CHAR(10)),5)),""))</f>
        <v/>
      </c>
      <c r="V253" s="28" t="str">
        <f t="shared" si="28"/>
        <v/>
      </c>
      <c r="W253" s="27" t="str" cm="1">
        <f t="array" ref="W253">IF(A253="","",IFERROR(TRIM(INDEX(_xlfn.TEXTSPLIT(IFERROR(VLOOKUP(A253,'Production Schedule'!$B:$FU,150,FALSE),""),CHAR(10)),6)),""))</f>
        <v/>
      </c>
      <c r="X253" s="28" t="str">
        <f t="shared" si="29"/>
        <v/>
      </c>
      <c r="Y253" s="30">
        <f t="shared" si="30"/>
        <v>46060</v>
      </c>
      <c r="Z253" s="31" t="str">
        <f>IF(A253="","",IF(IFERROR(VLOOKUP(A253,Notes!A:B,2,FALSE),"")=0,"",VLOOKUP(A253,Notes!A:B,2,FALSE)))</f>
        <v>04/16/2026…Partially Shipped</v>
      </c>
      <c r="AA253" s="18">
        <f t="shared" si="31"/>
        <v>2</v>
      </c>
    </row>
    <row r="254" spans="1:27" x14ac:dyDescent="0.25">
      <c r="A254" s="20" t="str">
        <v>24051-FS58</v>
      </c>
      <c r="B254" s="20" t="str">
        <f>IF(A254="","",IFERROR(VLOOKUP(A254,'Production Schedule'!$B:$FU,3,FALSE),""))</f>
        <v>TN Titans Stadium</v>
      </c>
      <c r="C254" s="20" t="str">
        <f>IF(A254="","",IFERROR(VLOOKUP(A254,'Production Schedule'!$B:$FU,5,FALSE),""))</f>
        <v>Marc Ribar</v>
      </c>
      <c r="D254" s="20">
        <f>IF(A254="","",IFERROR(VLOOKUP(A254,'Production Schedule'!$B:$FU,7,FALSE),""))</f>
        <v>400</v>
      </c>
      <c r="E254" s="20">
        <f>IF(A254="","",IFERROR(VLOOKUP(A254,'Production Schedule'!$B:$FU,17,FALSE),""))</f>
        <v>158</v>
      </c>
      <c r="F254" s="20">
        <f>IF(A254="","",IFERROR(VLOOKUP(A254,'Production Schedule'!$B:$FU,18,FALSE),""))</f>
        <v>158</v>
      </c>
      <c r="G254" s="20" t="str">
        <f>IF(A254="","",IFERROR(VLOOKUP(A254,'Production Schedule'!$B:$FU,25,FALSE),""))</f>
        <v>FR ACM</v>
      </c>
      <c r="H254" s="21">
        <f>IF(A254="","",IFERROR(VLOOKUP(A254,'Production Schedule'!$B:$FU,47,FALSE),""))</f>
        <v>45952.438638078704</v>
      </c>
      <c r="I254" s="21">
        <f>IF(A254="","",IFERROR(VLOOKUP(A254,'Production Schedule'!$B:$FU,54,FALSE),""))</f>
        <v>46064</v>
      </c>
      <c r="J254" s="32">
        <f>IF(A254="","",IFERROR(VLOOKUP(A254,'Production Schedule'!$B:$FU,135,FALSE),""))</f>
        <v>300</v>
      </c>
      <c r="K254" s="20" t="str">
        <f>IF(A254="","",IFERROR(VLOOKUP(A254,'Production Schedule'!$B:$FU,59,FALSE),""))</f>
        <v>YES</v>
      </c>
      <c r="L254" s="39" t="str">
        <f>IF(A254="","",IFERROR(VLOOKUP(A254,'Production Schedule'!$B:$FU,80,FALSE),""))</f>
        <v>RTS Titans</v>
      </c>
      <c r="M254" s="33" t="str" cm="1">
        <f t="array" ref="M254">IF(A254="","",IFERROR(TRIM(INDEX(_xlfn.TEXTSPLIT(IFERROR(VLOOKUP(A254,'Production Schedule'!$B:$FU,150,FALSE),""),CHAR(10)),1)),""))</f>
        <v>AXYZ Titans Line</v>
      </c>
      <c r="N254" s="34">
        <f t="shared" si="24"/>
        <v>46037</v>
      </c>
      <c r="O254" s="33" t="str" cm="1">
        <f t="array" ref="O254">IF(A254="","",IFERROR(TRIM(INDEX(_xlfn.TEXTSPLIT(IFERROR(VLOOKUP(A254,'Production Schedule'!$B:$FU,150,FALSE),""),CHAR(10)),2)),""))</f>
        <v>Clean and Brake</v>
      </c>
      <c r="P254" s="34">
        <f t="shared" si="25"/>
        <v>46041</v>
      </c>
      <c r="Q254" s="33" t="str" cm="1">
        <f t="array" ref="Q254">IF(A254="","",IFERROR(TRIM(INDEX(_xlfn.TEXTSPLIT(IFERROR(VLOOKUP(A254,'Production Schedule'!$B:$FU,150,FALSE),""),CHAR(10)),3)),""))</f>
        <v>Fab</v>
      </c>
      <c r="R254" s="34">
        <f t="shared" si="26"/>
        <v>46051</v>
      </c>
      <c r="S254" s="33" t="str" cm="1">
        <f t="array" ref="S254">IF(A254="","",IFERROR(TRIM(INDEX(_xlfn.TEXTSPLIT(IFERROR(VLOOKUP(A254,'Production Schedule'!$B:$FU,150,FALSE),""),CHAR(10)),4)),""))</f>
        <v/>
      </c>
      <c r="T254" s="34" t="str">
        <f t="shared" si="27"/>
        <v/>
      </c>
      <c r="U254" s="33" t="str" cm="1">
        <f t="array" ref="U254">IF(A254="","",IFERROR(TRIM(INDEX(_xlfn.TEXTSPLIT(IFERROR(VLOOKUP(A254,'Production Schedule'!$B:$FU,150,FALSE),""),CHAR(10)),5)),""))</f>
        <v/>
      </c>
      <c r="V254" s="34" t="str">
        <f t="shared" si="28"/>
        <v/>
      </c>
      <c r="W254" s="33" t="str" cm="1">
        <f t="array" ref="W254">IF(A254="","",IFERROR(TRIM(INDEX(_xlfn.TEXTSPLIT(IFERROR(VLOOKUP(A254,'Production Schedule'!$B:$FU,150,FALSE),""),CHAR(10)),6)),""))</f>
        <v/>
      </c>
      <c r="X254" s="34" t="str">
        <f t="shared" si="29"/>
        <v/>
      </c>
      <c r="Y254" s="36">
        <f t="shared" si="30"/>
        <v>46062</v>
      </c>
      <c r="Z254" s="37" t="str">
        <f>IF(A254="","",IF(IFERROR(VLOOKUP(A254,Notes!A:B,2,FALSE),"")=0,"",VLOOKUP(A254,Notes!A:B,2,FALSE)))</f>
        <v>04/16/2026…RTS Titans</v>
      </c>
      <c r="AA254" s="20">
        <f t="shared" si="31"/>
        <v>2</v>
      </c>
    </row>
    <row r="255" spans="1:27" x14ac:dyDescent="0.25">
      <c r="A255" s="18" t="str">
        <v>24051-FS57</v>
      </c>
      <c r="B255" s="18" t="str">
        <f>IF(A255="","",IFERROR(VLOOKUP(A255,'Production Schedule'!$B:$FU,3,FALSE),""))</f>
        <v>TN Titans Stadium</v>
      </c>
      <c r="C255" s="18" t="str">
        <f>IF(A255="","",IFERROR(VLOOKUP(A255,'Production Schedule'!$B:$FU,5,FALSE),""))</f>
        <v>Marc Ribar</v>
      </c>
      <c r="D255" s="18">
        <f>IF(A255="","",IFERROR(VLOOKUP(A255,'Production Schedule'!$B:$FU,7,FALSE),""))</f>
        <v>400</v>
      </c>
      <c r="E255" s="18">
        <f>IF(A255="","",IFERROR(VLOOKUP(A255,'Production Schedule'!$B:$FU,17,FALSE),""))</f>
        <v>158</v>
      </c>
      <c r="F255" s="18">
        <f>IF(A255="","",IFERROR(VLOOKUP(A255,'Production Schedule'!$B:$FU,18,FALSE),""))</f>
        <v>158</v>
      </c>
      <c r="G255" s="18" t="str">
        <f>IF(A255="","",IFERROR(VLOOKUP(A255,'Production Schedule'!$B:$FU,25,FALSE),""))</f>
        <v>FR ACM</v>
      </c>
      <c r="H255" s="19">
        <f>IF(A255="","",IFERROR(VLOOKUP(A255,'Production Schedule'!$B:$FU,47,FALSE),""))</f>
        <v>45952.433139942128</v>
      </c>
      <c r="I255" s="19">
        <f>IF(A255="","",IFERROR(VLOOKUP(A255,'Production Schedule'!$B:$FU,54,FALSE),""))</f>
        <v>46065</v>
      </c>
      <c r="J255" s="26">
        <f>IF(A255="","",IFERROR(VLOOKUP(A255,'Production Schedule'!$B:$FU,135,FALSE),""))</f>
        <v>300</v>
      </c>
      <c r="K255" s="18" t="str">
        <f>IF(A255="","",IFERROR(VLOOKUP(A255,'Production Schedule'!$B:$FU,59,FALSE),""))</f>
        <v>YES</v>
      </c>
      <c r="L255" s="38" t="str">
        <f>IF(A255="","",IFERROR(VLOOKUP(A255,'Production Schedule'!$B:$FU,80,FALSE),""))</f>
        <v>RTS Titans</v>
      </c>
      <c r="M255" s="27" t="str" cm="1">
        <f t="array" ref="M255">IF(A255="","",IFERROR(TRIM(INDEX(_xlfn.TEXTSPLIT(IFERROR(VLOOKUP(A255,'Production Schedule'!$B:$FU,150,FALSE),""),CHAR(10)),1)),""))</f>
        <v>AXYZ Titans Line</v>
      </c>
      <c r="N255" s="28">
        <f t="shared" si="24"/>
        <v>46038</v>
      </c>
      <c r="O255" s="27" t="str" cm="1">
        <f t="array" ref="O255">IF(A255="","",IFERROR(TRIM(INDEX(_xlfn.TEXTSPLIT(IFERROR(VLOOKUP(A255,'Production Schedule'!$B:$FU,150,FALSE),""),CHAR(10)),2)),""))</f>
        <v>Clean and Brake</v>
      </c>
      <c r="P255" s="28">
        <f t="shared" si="25"/>
        <v>46042</v>
      </c>
      <c r="Q255" s="27" t="str" cm="1">
        <f t="array" ref="Q255">IF(A255="","",IFERROR(TRIM(INDEX(_xlfn.TEXTSPLIT(IFERROR(VLOOKUP(A255,'Production Schedule'!$B:$FU,150,FALSE),""),CHAR(10)),3)),""))</f>
        <v>Fab</v>
      </c>
      <c r="R255" s="28">
        <f t="shared" si="26"/>
        <v>46052</v>
      </c>
      <c r="S255" s="27" t="str" cm="1">
        <f t="array" ref="S255">IF(A255="","",IFERROR(TRIM(INDEX(_xlfn.TEXTSPLIT(IFERROR(VLOOKUP(A255,'Production Schedule'!$B:$FU,150,FALSE),""),CHAR(10)),4)),""))</f>
        <v/>
      </c>
      <c r="T255" s="28" t="str">
        <f t="shared" si="27"/>
        <v/>
      </c>
      <c r="U255" s="27" t="str" cm="1">
        <f t="array" ref="U255">IF(A255="","",IFERROR(TRIM(INDEX(_xlfn.TEXTSPLIT(IFERROR(VLOOKUP(A255,'Production Schedule'!$B:$FU,150,FALSE),""),CHAR(10)),5)),""))</f>
        <v/>
      </c>
      <c r="V255" s="28" t="str">
        <f t="shared" si="28"/>
        <v/>
      </c>
      <c r="W255" s="27" t="str" cm="1">
        <f t="array" ref="W255">IF(A255="","",IFERROR(TRIM(INDEX(_xlfn.TEXTSPLIT(IFERROR(VLOOKUP(A255,'Production Schedule'!$B:$FU,150,FALSE),""),CHAR(10)),6)),""))</f>
        <v/>
      </c>
      <c r="X255" s="28" t="str">
        <f t="shared" si="29"/>
        <v/>
      </c>
      <c r="Y255" s="30">
        <f t="shared" si="30"/>
        <v>46063</v>
      </c>
      <c r="Z255" s="31" t="str">
        <f>IF(A255="","",IF(IFERROR(VLOOKUP(A255,Notes!A:B,2,FALSE),"")=0,"",VLOOKUP(A255,Notes!A:B,2,FALSE)))</f>
        <v>04/16/2026…RTS Titans</v>
      </c>
      <c r="AA255" s="18">
        <f t="shared" si="31"/>
        <v>2</v>
      </c>
    </row>
    <row r="256" spans="1:27" x14ac:dyDescent="0.25">
      <c r="A256" s="20" t="str">
        <v>24039-FS15</v>
      </c>
      <c r="B256" s="20" t="str">
        <f>IF(A256="","",IFERROR(VLOOKUP(A256,'Production Schedule'!$B:$FU,3,FALSE),""))</f>
        <v>The Visionary</v>
      </c>
      <c r="C256" s="20" t="str">
        <f>IF(A256="","",IFERROR(VLOOKUP(A256,'Production Schedule'!$B:$FU,5,FALSE),""))</f>
        <v>Carlos Silva</v>
      </c>
      <c r="D256" s="20" t="str">
        <f>IF(A256="","",IFERROR(VLOOKUP(A256,'Production Schedule'!$B:$FU,7,FALSE),""))</f>
        <v>PEX</v>
      </c>
      <c r="E256" s="20">
        <f>IF(A256="","",IFERROR(VLOOKUP(A256,'Production Schedule'!$B:$FU,17,FALSE),""))</f>
        <v>73</v>
      </c>
      <c r="F256" s="20">
        <f>IF(A256="","",IFERROR(VLOOKUP(A256,'Production Schedule'!$B:$FU,18,FALSE),""))</f>
        <v>99</v>
      </c>
      <c r="G256" s="20" t="str">
        <f>IF(A256="","",IFERROR(VLOOKUP(A256,'Production Schedule'!$B:$FU,25,FALSE),""))</f>
        <v>FR ACM</v>
      </c>
      <c r="H256" s="21">
        <f>IF(A256="","",IFERROR(VLOOKUP(A256,'Production Schedule'!$B:$FU,47,FALSE),""))</f>
        <v>45993.379279803237</v>
      </c>
      <c r="I256" s="21">
        <f>IF(A256="","",IFERROR(VLOOKUP(A256,'Production Schedule'!$B:$FU,54,FALSE),""))</f>
        <v>46065</v>
      </c>
      <c r="J256" s="32">
        <f>IF(A256="","",IFERROR(VLOOKUP(A256,'Production Schedule'!$B:$FU,135,FALSE),""))</f>
        <v>80</v>
      </c>
      <c r="K256" s="20" t="str">
        <f>IF(A256="","",IFERROR(VLOOKUP(A256,'Production Schedule'!$B:$FU,59,FALSE),""))</f>
        <v>YES</v>
      </c>
      <c r="L256" s="39" t="str">
        <f>IF(A256="","",IFERROR(VLOOKUP(A256,'Production Schedule'!$B:$FU,80,FALSE),""))</f>
        <v>Partially Shipped</v>
      </c>
      <c r="M256" s="33" t="str" cm="1">
        <f t="array" ref="M256">IF(A256="","",IFERROR(TRIM(INDEX(_xlfn.TEXTSPLIT(IFERROR(VLOOKUP(A256,'Production Schedule'!$B:$FU,150,FALSE),""),CHAR(10)),1)),""))</f>
        <v>AXYZ</v>
      </c>
      <c r="N256" s="34">
        <f t="shared" si="24"/>
        <v>46039</v>
      </c>
      <c r="O256" s="33" t="str" cm="1">
        <f t="array" ref="O256">IF(A256="","",IFERROR(TRIM(INDEX(_xlfn.TEXTSPLIT(IFERROR(VLOOKUP(A256,'Production Schedule'!$B:$FU,150,FALSE),""),CHAR(10)),2)),""))</f>
        <v>Clean and Brake</v>
      </c>
      <c r="P256" s="34">
        <f t="shared" si="25"/>
        <v>46042</v>
      </c>
      <c r="Q256" s="33" t="str" cm="1">
        <f t="array" ref="Q256">IF(A256="","",IFERROR(TRIM(INDEX(_xlfn.TEXTSPLIT(IFERROR(VLOOKUP(A256,'Production Schedule'!$B:$FU,150,FALSE),""),CHAR(10)),3)),""))</f>
        <v>Fab</v>
      </c>
      <c r="R256" s="34">
        <f t="shared" si="26"/>
        <v>46052</v>
      </c>
      <c r="S256" s="33" t="str" cm="1">
        <f t="array" ref="S256">IF(A256="","",IFERROR(TRIM(INDEX(_xlfn.TEXTSPLIT(IFERROR(VLOOKUP(A256,'Production Schedule'!$B:$FU,150,FALSE),""),CHAR(10)),4)),""))</f>
        <v/>
      </c>
      <c r="T256" s="34" t="str">
        <f t="shared" si="27"/>
        <v/>
      </c>
      <c r="U256" s="33" t="str" cm="1">
        <f t="array" ref="U256">IF(A256="","",IFERROR(TRIM(INDEX(_xlfn.TEXTSPLIT(IFERROR(VLOOKUP(A256,'Production Schedule'!$B:$FU,150,FALSE),""),CHAR(10)),5)),""))</f>
        <v/>
      </c>
      <c r="V256" s="34" t="str">
        <f t="shared" si="28"/>
        <v/>
      </c>
      <c r="W256" s="33" t="str" cm="1">
        <f t="array" ref="W256">IF(A256="","",IFERROR(TRIM(INDEX(_xlfn.TEXTSPLIT(IFERROR(VLOOKUP(A256,'Production Schedule'!$B:$FU,150,FALSE),""),CHAR(10)),6)),""))</f>
        <v/>
      </c>
      <c r="X256" s="34" t="str">
        <f t="shared" si="29"/>
        <v/>
      </c>
      <c r="Y256" s="36">
        <f t="shared" si="30"/>
        <v>46063</v>
      </c>
      <c r="Z256" s="37" t="str">
        <f>IF(A256="","",IF(IFERROR(VLOOKUP(A256,Notes!A:B,2,FALSE),"")=0,"",VLOOKUP(A256,Notes!A:B,2,FALSE)))</f>
        <v>04/16/2026…Partially Shipped</v>
      </c>
      <c r="AA256" s="20">
        <f t="shared" si="31"/>
        <v>2</v>
      </c>
    </row>
    <row r="257" spans="1:27" x14ac:dyDescent="0.25">
      <c r="A257" s="18" t="str">
        <v>24051-FS42.1</v>
      </c>
      <c r="B257" s="18" t="str">
        <f>IF(A257="","",IFERROR(VLOOKUP(A257,'Production Schedule'!$B:$FU,3,FALSE),""))</f>
        <v>TN Titans Stadium</v>
      </c>
      <c r="C257" s="18" t="str">
        <f>IF(A257="","",IFERROR(VLOOKUP(A257,'Production Schedule'!$B:$FU,5,FALSE),""))</f>
        <v>Marc Ribar</v>
      </c>
      <c r="D257" s="18">
        <f>IF(A257="","",IFERROR(VLOOKUP(A257,'Production Schedule'!$B:$FU,7,FALSE),""))</f>
        <v>400</v>
      </c>
      <c r="E257" s="18">
        <f>IF(A257="","",IFERROR(VLOOKUP(A257,'Production Schedule'!$B:$FU,17,FALSE),""))</f>
        <v>98</v>
      </c>
      <c r="F257" s="18">
        <f>IF(A257="","",IFERROR(VLOOKUP(A257,'Production Schedule'!$B:$FU,18,FALSE),""))</f>
        <v>98</v>
      </c>
      <c r="G257" s="18" t="str">
        <f>IF(A257="","",IFERROR(VLOOKUP(A257,'Production Schedule'!$B:$FU,25,FALSE),""))</f>
        <v>FR ACM</v>
      </c>
      <c r="H257" s="19">
        <f>IF(A257="","",IFERROR(VLOOKUP(A257,'Production Schedule'!$B:$FU,47,FALSE),""))</f>
        <v>46011.24000283565</v>
      </c>
      <c r="I257" s="19">
        <f>IF(A257="","",IFERROR(VLOOKUP(A257,'Production Schedule'!$B:$FU,54,FALSE),""))</f>
        <v>46066</v>
      </c>
      <c r="J257" s="26">
        <f>IF(A257="","",IFERROR(VLOOKUP(A257,'Production Schedule'!$B:$FU,135,FALSE),""))</f>
        <v>200</v>
      </c>
      <c r="K257" s="18" t="str">
        <f>IF(A257="","",IFERROR(VLOOKUP(A257,'Production Schedule'!$B:$FU,59,FALSE),""))</f>
        <v>YES</v>
      </c>
      <c r="L257" s="38" t="str">
        <f>IF(A257="","",IFERROR(VLOOKUP(A257,'Production Schedule'!$B:$FU,80,FALSE),""))</f>
        <v>RTS Titans</v>
      </c>
      <c r="M257" s="27" t="str" cm="1">
        <f t="array" ref="M257">IF(A257="","",IFERROR(TRIM(INDEX(_xlfn.TEXTSPLIT(IFERROR(VLOOKUP(A257,'Production Schedule'!$B:$FU,150,FALSE),""),CHAR(10)),1)),""))</f>
        <v>AXYZ Titans Line</v>
      </c>
      <c r="N257" s="28">
        <f t="shared" si="24"/>
        <v>46041</v>
      </c>
      <c r="O257" s="27" t="str" cm="1">
        <f t="array" ref="O257">IF(A257="","",IFERROR(TRIM(INDEX(_xlfn.TEXTSPLIT(IFERROR(VLOOKUP(A257,'Production Schedule'!$B:$FU,150,FALSE),""),CHAR(10)),2)),""))</f>
        <v>Clean and Brake</v>
      </c>
      <c r="P257" s="28">
        <f t="shared" si="25"/>
        <v>46043</v>
      </c>
      <c r="Q257" s="27" t="str" cm="1">
        <f t="array" ref="Q257">IF(A257="","",IFERROR(TRIM(INDEX(_xlfn.TEXTSPLIT(IFERROR(VLOOKUP(A257,'Production Schedule'!$B:$FU,150,FALSE),""),CHAR(10)),3)),""))</f>
        <v>Fab</v>
      </c>
      <c r="R257" s="28">
        <f t="shared" si="26"/>
        <v>46053</v>
      </c>
      <c r="S257" s="27" t="str" cm="1">
        <f t="array" ref="S257">IF(A257="","",IFERROR(TRIM(INDEX(_xlfn.TEXTSPLIT(IFERROR(VLOOKUP(A257,'Production Schedule'!$B:$FU,150,FALSE),""),CHAR(10)),4)),""))</f>
        <v/>
      </c>
      <c r="T257" s="28" t="str">
        <f t="shared" si="27"/>
        <v/>
      </c>
      <c r="U257" s="27" t="str" cm="1">
        <f t="array" ref="U257">IF(A257="","",IFERROR(TRIM(INDEX(_xlfn.TEXTSPLIT(IFERROR(VLOOKUP(A257,'Production Schedule'!$B:$FU,150,FALSE),""),CHAR(10)),5)),""))</f>
        <v/>
      </c>
      <c r="V257" s="28" t="str">
        <f t="shared" si="28"/>
        <v/>
      </c>
      <c r="W257" s="27" t="str" cm="1">
        <f t="array" ref="W257">IF(A257="","",IFERROR(TRIM(INDEX(_xlfn.TEXTSPLIT(IFERROR(VLOOKUP(A257,'Production Schedule'!$B:$FU,150,FALSE),""),CHAR(10)),6)),""))</f>
        <v/>
      </c>
      <c r="X257" s="28" t="str">
        <f t="shared" si="29"/>
        <v/>
      </c>
      <c r="Y257" s="30">
        <f t="shared" si="30"/>
        <v>46064</v>
      </c>
      <c r="Z257" s="31" t="str">
        <f>IF(A257="","",IF(IFERROR(VLOOKUP(A257,Notes!A:B,2,FALSE),"")=0,"",VLOOKUP(A257,Notes!A:B,2,FALSE)))</f>
        <v>04/16/2026…RTS Titans</v>
      </c>
      <c r="AA257" s="18">
        <f t="shared" si="31"/>
        <v>2</v>
      </c>
    </row>
    <row r="258" spans="1:27" x14ac:dyDescent="0.25">
      <c r="A258" s="20" t="str">
        <v>24051-FS75</v>
      </c>
      <c r="B258" s="20" t="str">
        <f>IF(A258="","",IFERROR(VLOOKUP(A258,'Production Schedule'!$B:$FU,3,FALSE),""))</f>
        <v>TN Titans Stadium</v>
      </c>
      <c r="C258" s="20" t="str">
        <f>IF(A258="","",IFERROR(VLOOKUP(A258,'Production Schedule'!$B:$FU,5,FALSE),""))</f>
        <v>Marc Ribar</v>
      </c>
      <c r="D258" s="20">
        <f>IF(A258="","",IFERROR(VLOOKUP(A258,'Production Schedule'!$B:$FU,7,FALSE),""))</f>
        <v>400</v>
      </c>
      <c r="E258" s="20">
        <f>IF(A258="","",IFERROR(VLOOKUP(A258,'Production Schedule'!$B:$FU,17,FALSE),""))</f>
        <v>83</v>
      </c>
      <c r="F258" s="20">
        <f>IF(A258="","",IFERROR(VLOOKUP(A258,'Production Schedule'!$B:$FU,18,FALSE),""))</f>
        <v>83</v>
      </c>
      <c r="G258" s="20" t="str">
        <f>IF(A258="","",IFERROR(VLOOKUP(A258,'Production Schedule'!$B:$FU,25,FALSE),""))</f>
        <v>FR ACM</v>
      </c>
      <c r="H258" s="21">
        <f>IF(A258="","",IFERROR(VLOOKUP(A258,'Production Schedule'!$B:$FU,47,FALSE),""))</f>
        <v>46034.456947962964</v>
      </c>
      <c r="I258" s="21">
        <f>IF(A258="","",IFERROR(VLOOKUP(A258,'Production Schedule'!$B:$FU,54,FALSE),""))</f>
        <v>46066</v>
      </c>
      <c r="J258" s="32">
        <f>IF(A258="","",IFERROR(VLOOKUP(A258,'Production Schedule'!$B:$FU,135,FALSE),""))</f>
        <v>160</v>
      </c>
      <c r="K258" s="20" t="str">
        <f>IF(A258="","",IFERROR(VLOOKUP(A258,'Production Schedule'!$B:$FU,59,FALSE),""))</f>
        <v>YES</v>
      </c>
      <c r="L258" s="39" t="str">
        <f>IF(A258="","",IFERROR(VLOOKUP(A258,'Production Schedule'!$B:$FU,80,FALSE),""))</f>
        <v>RTS Titans</v>
      </c>
      <c r="M258" s="33" t="str" cm="1">
        <f t="array" ref="M258">IF(A258="","",IFERROR(TRIM(INDEX(_xlfn.TEXTSPLIT(IFERROR(VLOOKUP(A258,'Production Schedule'!$B:$FU,150,FALSE),""),CHAR(10)),1)),""))</f>
        <v>AXYZ</v>
      </c>
      <c r="N258" s="34">
        <f t="shared" si="24"/>
        <v>46041</v>
      </c>
      <c r="O258" s="33" t="str" cm="1">
        <f t="array" ref="O258">IF(A258="","",IFERROR(TRIM(INDEX(_xlfn.TEXTSPLIT(IFERROR(VLOOKUP(A258,'Production Schedule'!$B:$FU,150,FALSE),""),CHAR(10)),2)),""))</f>
        <v>Clean and Brake</v>
      </c>
      <c r="P258" s="34">
        <f t="shared" si="25"/>
        <v>46043</v>
      </c>
      <c r="Q258" s="33" t="str" cm="1">
        <f t="array" ref="Q258">IF(A258="","",IFERROR(TRIM(INDEX(_xlfn.TEXTSPLIT(IFERROR(VLOOKUP(A258,'Production Schedule'!$B:$FU,150,FALSE),""),CHAR(10)),3)),""))</f>
        <v>Fab</v>
      </c>
      <c r="R258" s="34">
        <f t="shared" si="26"/>
        <v>46053</v>
      </c>
      <c r="S258" s="33" t="str" cm="1">
        <f t="array" ref="S258">IF(A258="","",IFERROR(TRIM(INDEX(_xlfn.TEXTSPLIT(IFERROR(VLOOKUP(A258,'Production Schedule'!$B:$FU,150,FALSE),""),CHAR(10)),4)),""))</f>
        <v/>
      </c>
      <c r="T258" s="34" t="str">
        <f t="shared" si="27"/>
        <v/>
      </c>
      <c r="U258" s="33" t="str" cm="1">
        <f t="array" ref="U258">IF(A258="","",IFERROR(TRIM(INDEX(_xlfn.TEXTSPLIT(IFERROR(VLOOKUP(A258,'Production Schedule'!$B:$FU,150,FALSE),""),CHAR(10)),5)),""))</f>
        <v/>
      </c>
      <c r="V258" s="34" t="str">
        <f t="shared" si="28"/>
        <v/>
      </c>
      <c r="W258" s="33" t="str" cm="1">
        <f t="array" ref="W258">IF(A258="","",IFERROR(TRIM(INDEX(_xlfn.TEXTSPLIT(IFERROR(VLOOKUP(A258,'Production Schedule'!$B:$FU,150,FALSE),""),CHAR(10)),6)),""))</f>
        <v/>
      </c>
      <c r="X258" s="34" t="str">
        <f t="shared" si="29"/>
        <v/>
      </c>
      <c r="Y258" s="36">
        <f t="shared" si="30"/>
        <v>46064</v>
      </c>
      <c r="Z258" s="37" t="str">
        <f>IF(A258="","",IF(IFERROR(VLOOKUP(A258,Notes!A:B,2,FALSE),"")=0,"",VLOOKUP(A258,Notes!A:B,2,FALSE)))</f>
        <v>04/16/2026…RTS Titans</v>
      </c>
      <c r="AA258" s="20">
        <f t="shared" si="31"/>
        <v>2</v>
      </c>
    </row>
    <row r="259" spans="1:27" x14ac:dyDescent="0.25">
      <c r="A259" s="18" t="str">
        <v>24051-FS78</v>
      </c>
      <c r="B259" s="18" t="str">
        <f>IF(A259="","",IFERROR(VLOOKUP(A259,'Production Schedule'!$B:$FU,3,FALSE),""))</f>
        <v>TN Titans Stadium</v>
      </c>
      <c r="C259" s="18" t="str">
        <f>IF(A259="","",IFERROR(VLOOKUP(A259,'Production Schedule'!$B:$FU,5,FALSE),""))</f>
        <v>Marc Ribar</v>
      </c>
      <c r="D259" s="18">
        <f>IF(A259="","",IFERROR(VLOOKUP(A259,'Production Schedule'!$B:$FU,7,FALSE),""))</f>
        <v>400</v>
      </c>
      <c r="E259" s="18">
        <f>IF(A259="","",IFERROR(VLOOKUP(A259,'Production Schedule'!$B:$FU,17,FALSE),""))</f>
        <v>180</v>
      </c>
      <c r="F259" s="18">
        <f>IF(A259="","",IFERROR(VLOOKUP(A259,'Production Schedule'!$B:$FU,18,FALSE),""))</f>
        <v>180</v>
      </c>
      <c r="G259" s="18" t="str">
        <f>IF(A259="","",IFERROR(VLOOKUP(A259,'Production Schedule'!$B:$FU,25,FALSE),""))</f>
        <v>FR ACM</v>
      </c>
      <c r="H259" s="19">
        <f>IF(A259="","",IFERROR(VLOOKUP(A259,'Production Schedule'!$B:$FU,47,FALSE),""))</f>
        <v>46012.247181319442</v>
      </c>
      <c r="I259" s="19">
        <f>IF(A259="","",IFERROR(VLOOKUP(A259,'Production Schedule'!$B:$FU,54,FALSE),""))</f>
        <v>46066</v>
      </c>
      <c r="J259" s="26">
        <f>IF(A259="","",IFERROR(VLOOKUP(A259,'Production Schedule'!$B:$FU,135,FALSE),""))</f>
        <v>300</v>
      </c>
      <c r="K259" s="18" t="str">
        <f>IF(A259="","",IFERROR(VLOOKUP(A259,'Production Schedule'!$B:$FU,59,FALSE),""))</f>
        <v>YES</v>
      </c>
      <c r="L259" s="38" t="str">
        <f>IF(A259="","",IFERROR(VLOOKUP(A259,'Production Schedule'!$B:$FU,80,FALSE),""))</f>
        <v>RTS Titans</v>
      </c>
      <c r="M259" s="27" t="str" cm="1">
        <f t="array" ref="M259">IF(A259="","",IFERROR(TRIM(INDEX(_xlfn.TEXTSPLIT(IFERROR(VLOOKUP(A259,'Production Schedule'!$B:$FU,150,FALSE),""),CHAR(10)),1)),""))</f>
        <v/>
      </c>
      <c r="N259" s="28" t="str">
        <f t="shared" si="24"/>
        <v/>
      </c>
      <c r="O259" s="27" t="str" cm="1">
        <f t="array" ref="O259">IF(A259="","",IFERROR(TRIM(INDEX(_xlfn.TEXTSPLIT(IFERROR(VLOOKUP(A259,'Production Schedule'!$B:$FU,150,FALSE),""),CHAR(10)),2)),""))</f>
        <v/>
      </c>
      <c r="P259" s="28" t="str">
        <f t="shared" si="25"/>
        <v/>
      </c>
      <c r="Q259" s="27" t="str" cm="1">
        <f t="array" ref="Q259">IF(A259="","",IFERROR(TRIM(INDEX(_xlfn.TEXTSPLIT(IFERROR(VLOOKUP(A259,'Production Schedule'!$B:$FU,150,FALSE),""),CHAR(10)),3)),""))</f>
        <v/>
      </c>
      <c r="R259" s="28" t="str">
        <f t="shared" si="26"/>
        <v/>
      </c>
      <c r="S259" s="27" t="str" cm="1">
        <f t="array" ref="S259">IF(A259="","",IFERROR(TRIM(INDEX(_xlfn.TEXTSPLIT(IFERROR(VLOOKUP(A259,'Production Schedule'!$B:$FU,150,FALSE),""),CHAR(10)),4)),""))</f>
        <v/>
      </c>
      <c r="T259" s="28" t="str">
        <f t="shared" si="27"/>
        <v/>
      </c>
      <c r="U259" s="27" t="str" cm="1">
        <f t="array" ref="U259">IF(A259="","",IFERROR(TRIM(INDEX(_xlfn.TEXTSPLIT(IFERROR(VLOOKUP(A259,'Production Schedule'!$B:$FU,150,FALSE),""),CHAR(10)),5)),""))</f>
        <v/>
      </c>
      <c r="V259" s="28" t="str">
        <f t="shared" si="28"/>
        <v/>
      </c>
      <c r="W259" s="27" t="str" cm="1">
        <f t="array" ref="W259">IF(A259="","",IFERROR(TRIM(INDEX(_xlfn.TEXTSPLIT(IFERROR(VLOOKUP(A259,'Production Schedule'!$B:$FU,150,FALSE),""),CHAR(10)),6)),""))</f>
        <v/>
      </c>
      <c r="X259" s="28" t="str">
        <f t="shared" si="29"/>
        <v/>
      </c>
      <c r="Y259" s="30">
        <f t="shared" si="30"/>
        <v>46064</v>
      </c>
      <c r="Z259" s="31" t="str">
        <f>IF(A259="","",IF(IFERROR(VLOOKUP(A259,Notes!A:B,2,FALSE),"")=0,"",VLOOKUP(A259,Notes!A:B,2,FALSE)))</f>
        <v>04/16/2026…RTS Titans</v>
      </c>
      <c r="AA259" s="18">
        <f t="shared" si="31"/>
        <v>2</v>
      </c>
    </row>
    <row r="260" spans="1:27" x14ac:dyDescent="0.25">
      <c r="A260" s="20" t="str">
        <v>24051-FS78.1</v>
      </c>
      <c r="B260" s="20" t="str">
        <f>IF(A260="","",IFERROR(VLOOKUP(A260,'Production Schedule'!$B:$FU,3,FALSE),""))</f>
        <v>TN Titans Stadium</v>
      </c>
      <c r="C260" s="20" t="str">
        <f>IF(A260="","",IFERROR(VLOOKUP(A260,'Production Schedule'!$B:$FU,5,FALSE),""))</f>
        <v>Marc Ribar</v>
      </c>
      <c r="D260" s="20">
        <f>IF(A260="","",IFERROR(VLOOKUP(A260,'Production Schedule'!$B:$FU,7,FALSE),""))</f>
        <v>400</v>
      </c>
      <c r="E260" s="20">
        <f>IF(A260="","",IFERROR(VLOOKUP(A260,'Production Schedule'!$B:$FU,17,FALSE),""))</f>
        <v>168</v>
      </c>
      <c r="F260" s="20">
        <f>IF(A260="","",IFERROR(VLOOKUP(A260,'Production Schedule'!$B:$FU,18,FALSE),""))</f>
        <v>168</v>
      </c>
      <c r="G260" s="20" t="str">
        <f>IF(A260="","",IFERROR(VLOOKUP(A260,'Production Schedule'!$B:$FU,25,FALSE),""))</f>
        <v>FR ACM</v>
      </c>
      <c r="H260" s="21">
        <f>IF(A260="","",IFERROR(VLOOKUP(A260,'Production Schedule'!$B:$FU,47,FALSE),""))</f>
        <v>46012.255808252317</v>
      </c>
      <c r="I260" s="21">
        <f>IF(A260="","",IFERROR(VLOOKUP(A260,'Production Schedule'!$B:$FU,54,FALSE),""))</f>
        <v>46066</v>
      </c>
      <c r="J260" s="32">
        <f>IF(A260="","",IFERROR(VLOOKUP(A260,'Production Schedule'!$B:$FU,135,FALSE),""))</f>
        <v>300</v>
      </c>
      <c r="K260" s="20" t="str">
        <f>IF(A260="","",IFERROR(VLOOKUP(A260,'Production Schedule'!$B:$FU,59,FALSE),""))</f>
        <v>YES</v>
      </c>
      <c r="L260" s="39" t="str">
        <f>IF(A260="","",IFERROR(VLOOKUP(A260,'Production Schedule'!$B:$FU,80,FALSE),""))</f>
        <v>RTS Titans</v>
      </c>
      <c r="M260" s="33" t="str" cm="1">
        <f t="array" ref="M260">IF(A260="","",IFERROR(TRIM(INDEX(_xlfn.TEXTSPLIT(IFERROR(VLOOKUP(A260,'Production Schedule'!$B:$FU,150,FALSE),""),CHAR(10)),1)),""))</f>
        <v>AXYZ Titans Line</v>
      </c>
      <c r="N260" s="34">
        <f t="shared" si="24"/>
        <v>46039</v>
      </c>
      <c r="O260" s="33" t="str" cm="1">
        <f t="array" ref="O260">IF(A260="","",IFERROR(TRIM(INDEX(_xlfn.TEXTSPLIT(IFERROR(VLOOKUP(A260,'Production Schedule'!$B:$FU,150,FALSE),""),CHAR(10)),2)),""))</f>
        <v>Clean and Brake</v>
      </c>
      <c r="P260" s="34">
        <f t="shared" si="25"/>
        <v>46043</v>
      </c>
      <c r="Q260" s="33" t="str" cm="1">
        <f t="array" ref="Q260">IF(A260="","",IFERROR(TRIM(INDEX(_xlfn.TEXTSPLIT(IFERROR(VLOOKUP(A260,'Production Schedule'!$B:$FU,150,FALSE),""),CHAR(10)),3)),""))</f>
        <v>Fab</v>
      </c>
      <c r="R260" s="34">
        <f t="shared" si="26"/>
        <v>46053</v>
      </c>
      <c r="S260" s="33" t="str" cm="1">
        <f t="array" ref="S260">IF(A260="","",IFERROR(TRIM(INDEX(_xlfn.TEXTSPLIT(IFERROR(VLOOKUP(A260,'Production Schedule'!$B:$FU,150,FALSE),""),CHAR(10)),4)),""))</f>
        <v/>
      </c>
      <c r="T260" s="34" t="str">
        <f t="shared" si="27"/>
        <v/>
      </c>
      <c r="U260" s="33" t="str" cm="1">
        <f t="array" ref="U260">IF(A260="","",IFERROR(TRIM(INDEX(_xlfn.TEXTSPLIT(IFERROR(VLOOKUP(A260,'Production Schedule'!$B:$FU,150,FALSE),""),CHAR(10)),5)),""))</f>
        <v/>
      </c>
      <c r="V260" s="34" t="str">
        <f t="shared" si="28"/>
        <v/>
      </c>
      <c r="W260" s="33" t="str" cm="1">
        <f t="array" ref="W260">IF(A260="","",IFERROR(TRIM(INDEX(_xlfn.TEXTSPLIT(IFERROR(VLOOKUP(A260,'Production Schedule'!$B:$FU,150,FALSE),""),CHAR(10)),6)),""))</f>
        <v/>
      </c>
      <c r="X260" s="34" t="str">
        <f t="shared" si="29"/>
        <v/>
      </c>
      <c r="Y260" s="36">
        <f t="shared" si="30"/>
        <v>46064</v>
      </c>
      <c r="Z260" s="37" t="str">
        <f>IF(A260="","",IF(IFERROR(VLOOKUP(A260,Notes!A:B,2,FALSE),"")=0,"",VLOOKUP(A260,Notes!A:B,2,FALSE)))</f>
        <v>04/16/2026…RTS Titans</v>
      </c>
      <c r="AA260" s="20">
        <f t="shared" si="31"/>
        <v>2</v>
      </c>
    </row>
    <row r="261" spans="1:27" x14ac:dyDescent="0.25">
      <c r="A261" s="18" t="str">
        <v>24051-FS59C</v>
      </c>
      <c r="B261" s="18" t="str">
        <f>IF(A261="","",IFERROR(VLOOKUP(A261,'Production Schedule'!$B:$FU,3,FALSE),""))</f>
        <v>TN Titans Stadium</v>
      </c>
      <c r="C261" s="18" t="str">
        <f>IF(A261="","",IFERROR(VLOOKUP(A261,'Production Schedule'!$B:$FU,5,FALSE),""))</f>
        <v>Marc Ribar</v>
      </c>
      <c r="D261" s="18">
        <f>IF(A261="","",IFERROR(VLOOKUP(A261,'Production Schedule'!$B:$FU,7,FALSE),""))</f>
        <v>400</v>
      </c>
      <c r="E261" s="18">
        <f>IF(A261="","",IFERROR(VLOOKUP(A261,'Production Schedule'!$B:$FU,17,FALSE),""))</f>
        <v>158</v>
      </c>
      <c r="F261" s="18">
        <f>IF(A261="","",IFERROR(VLOOKUP(A261,'Production Schedule'!$B:$FU,18,FALSE),""))</f>
        <v>158</v>
      </c>
      <c r="G261" s="18" t="str">
        <f>IF(A261="","",IFERROR(VLOOKUP(A261,'Production Schedule'!$B:$FU,25,FALSE),""))</f>
        <v>FR ACM</v>
      </c>
      <c r="H261" s="19">
        <f>IF(A261="","",IFERROR(VLOOKUP(A261,'Production Schedule'!$B:$FU,47,FALSE),""))</f>
        <v>45952.457657858795</v>
      </c>
      <c r="I261" s="19">
        <f>IF(A261="","",IFERROR(VLOOKUP(A261,'Production Schedule'!$B:$FU,54,FALSE),""))</f>
        <v>46069</v>
      </c>
      <c r="J261" s="26">
        <f>IF(A261="","",IFERROR(VLOOKUP(A261,'Production Schedule'!$B:$FU,135,FALSE),""))</f>
        <v>300</v>
      </c>
      <c r="K261" s="18" t="str">
        <f>IF(A261="","",IFERROR(VLOOKUP(A261,'Production Schedule'!$B:$FU,59,FALSE),""))</f>
        <v>YES</v>
      </c>
      <c r="L261" s="38" t="str">
        <f>IF(A261="","",IFERROR(VLOOKUP(A261,'Production Schedule'!$B:$FU,80,FALSE),""))</f>
        <v>RTS Titans</v>
      </c>
      <c r="M261" s="27" t="str" cm="1">
        <f t="array" ref="M261">IF(A261="","",IFERROR(TRIM(INDEX(_xlfn.TEXTSPLIT(IFERROR(VLOOKUP(A261,'Production Schedule'!$B:$FU,150,FALSE),""),CHAR(10)),1)),""))</f>
        <v>AXYZ Titans Line</v>
      </c>
      <c r="N261" s="28">
        <f t="shared" ref="N261:N304" si="32">IF(AND(M261&lt;&gt;"",I261&lt;&gt;""),_xlfn.LET(_xlpm.hM,IF(OR(M261="AXYZ Titans Line",M261="AXYZ"),ROUND(E261/7,1),IF(OR(M261="Clean and Brake",M261="Clean and brake"),72,IF(OR(M261="Fab",M261="Fabrication"),72,IF(M261="Assembly",72,IF(M261="Tube Laser",72,IF(M261="7000 TruMatic",72,IF(M261="TruLaser 3040",72,IF(M261="Extrusion Saw",72,IF(M261="Powder Coat",192,IF(M261="Brake",72,IF(M261="Cidan",80,IF(M261="Shear",80,IF(M261="Weld",80,IF(M261="Flat Laser",24,IF(M261="Post Paint",24,IF(M261="TruPunch",24,IF(M261="Roller",72,0))))))))))))))))),_xlpm.hO,IF(OR(O261="AXYZ Titans Line",O261="AXYZ"),ROUND(E261/7,1),IF(OR(O261="Clean and Brake",O261="Clean and brake"),72,IF(OR(O261="Fab",O261="Fabrication"),72,IF(O261="Assembly",72,IF(O261="Tube Laser",72,IF(O261="7000 TruMatic",72,IF(O261="TruLaser 3040",72,IF(O261="Extrusion Saw",72,IF(O261="Powder Coat",192,IF(O261="Brake",72,IF(O261="Cidan",80,IF(O261="Shear",80,IF(O261="Weld",80,IF(O261="Flat Laser",24,IF(O261="Post Paint",24,IF(O261="TruPunch",24,IF(O261="Roller",72,0))))))))))))))))),_xlpm.hQ,IF(OR(Q261="AXYZ Titans Line",Q261="AXYZ"),ROUND(E261/7,1),IF(OR(Q261="Clean and Brake",Q261="Clean and brake"),72,IF(OR(Q261="Fab",Q261="Fabrication"),72,IF(Q261="Assembly",72,IF(Q261="Tube Laser",72,IF(Q261="7000 TruMatic",72,IF(Q261="TruLaser 3040",72,IF(Q261="Extrusion Saw",72,IF(Q261="Powder Coat",192,IF(Q261="Brake",72,IF(Q261="Cidan",80,IF(Q261="Shear",80,IF(Q261="Weld",80,IF(Q261="Flat Laser",24,IF(Q261="Post Paint",24,IF(Q261="TruPunch",24,IF(Q261="Roller",72,0))))))))))))))))),_xlpm.hS,IF(OR(S261="AXYZ Titans Line",S261="AXYZ"),ROUND(E261/7,1),IF(OR(S261="Clean and Brake",S261="Clean and brake"),72,IF(OR(S261="Fab",S261="Fabrication"),72,IF(S261="Assembly",72,IF(S261="Tube Laser",72,IF(S261="7000 TruMatic",72,IF(S261="TruLaser 3040",72,IF(S261="Extrusion Saw",72,IF(S261="Powder Coat",192,IF(S261="Brake",72,IF(S261="Cidan",80,IF(S261="Shear",80,IF(S261="Weld",80,IF(S261="Flat Laser",24,IF(S261="Post Paint",24,IF(S261="TruPunch",24,IF(S261="Roller",72,0))))))))))))))))),_xlpm.hU,IF(OR(U261="AXYZ Titans Line",U261="AXYZ"),ROUND(E261/7,1),IF(OR(U261="Clean and Brake",U261="Clean and brake"),72,IF(OR(U261="Fab",U261="Fabrication"),72,IF(U261="Assembly",72,IF(U261="Tube Laser",72,IF(U261="7000 TruMatic",72,IF(U261="TruLaser 3040",72,IF(U261="Extrusion Saw",72,IF(U261="Powder Coat",192,IF(U261="Brake",72,IF(U261="Cidan",80,IF(U261="Shear",80,IF(U261="Weld",80,IF(U261="Flat Laser",24,IF(U261="Post Paint",24,IF(U261="TruPunch",24,IF(U261="Roller",72,0))))))))))))))))),_xlpm.hW,IF(OR(W261="AXYZ Titans Line",W261="AXYZ"),ROUND(E261/7,1),IF(OR(W261="Clean and Brake",W261="Clean and brake"),72,IF(OR(W261="Fab",W261="Fabrication"),72,IF(W261="Assembly",72,IF(W261="Tube Laser",72,IF(W261="7000 TruMatic",72,IF(W261="TruLaser 3040",72,IF(W261="Extrusion Saw",72,IF(W261="Powder Coat",192,IF(W261="Brake",72,IF(W261="Cidan",80,IF(W261="Shear",80,IF(W261="Weld",80,IF(W261="Flat Laser",24,IF(W261="Post Paint",24,IF(W261="TruPunch",24,IF(W261="Roller",72,0))))))))))))))))),_xlpm.total,_xlpm.hM+_xlpm.hO+_xlpm.hQ+_xlpm.hS+_xlpm.hU+_xlpm.hW+16,WORKDAY.INTL(I261,-ROUNDUP(_xlpm.total/8,0),"0000001")),"")</f>
        <v>46042</v>
      </c>
      <c r="O261" s="27" t="str" cm="1">
        <f t="array" ref="O261">IF(A261="","",IFERROR(TRIM(INDEX(_xlfn.TEXTSPLIT(IFERROR(VLOOKUP(A261,'Production Schedule'!$B:$FU,150,FALSE),""),CHAR(10)),2)),""))</f>
        <v>Clean and Brake</v>
      </c>
      <c r="P261" s="28">
        <f t="shared" ref="P261:P304" si="33">IF(AND(O261&lt;&gt;"",I261&lt;&gt;""),_xlfn.LET(_xlpm.hO,IF(OR(O261="AXYZ Titans Line",O261="AXYZ"),ROUND(E261/7,1),IF(OR(O261="Clean and Brake",O261="Clean and brake"),72,IF(OR(O261="Fab",O261="Fabrication"),72,IF(O261="Assembly",72,IF(O261="Tube Laser",72,IF(O261="7000 TruMatic",72,IF(O261="TruLaser 3040",72,IF(O261="Extrusion Saw",72,IF(O261="Powder Coat",192,IF(O261="Brake",72,IF(O261="Cidan",80,IF(O261="Shear",80,IF(O261="Weld",80,IF(O261="Flat Laser",24,IF(O261="Post Paint",24,IF(O261="TruPunch",24,IF(O261="Roller",72,0))))))))))))))))),_xlpm.hQ,IF(OR(Q261="AXYZ Titans Line",Q261="AXYZ"),ROUND(E261/7,1),IF(OR(Q261="Clean and Brake",Q261="Clean and brake"),72,IF(OR(Q261="Fab",Q261="Fabrication"),72,IF(Q261="Assembly",72,IF(Q261="Tube Laser",72,IF(Q261="7000 TruMatic",72,IF(Q261="TruLaser 3040",72,IF(Q261="Extrusion Saw",72,IF(Q261="Powder Coat",192,IF(Q261="Brake",72,IF(Q261="Cidan",80,IF(Q261="Shear",80,IF(Q261="Weld",80,IF(Q261="Flat Laser",24,IF(Q261="Post Paint",24,IF(Q261="TruPunch",24,IF(Q261="Roller",72,0))))))))))))))))),_xlpm.hS,IF(OR(S261="AXYZ Titans Line",S261="AXYZ"),ROUND(E261/7,1),IF(OR(S261="Clean and Brake",S261="Clean and brake"),72,IF(OR(S261="Fab",S261="Fabrication"),72,IF(S261="Assembly",72,IF(S261="Tube Laser",72,IF(S261="7000 TruMatic",72,IF(S261="TruLaser 3040",72,IF(S261="Extrusion Saw",72,IF(S261="Powder Coat",192,IF(S261="Brake",72,IF(S261="Cidan",80,IF(S261="Shear",80,IF(S261="Weld",80,IF(S261="Flat Laser",24,IF(S261="Post Paint",24,IF(S261="TruPunch",24,IF(S261="Roller",72,0))))))))))))))))),_xlpm.hU,IF(OR(U261="AXYZ Titans Line",U261="AXYZ"),ROUND(E261/7,1),IF(OR(U261="Clean and Brake",U261="Clean and brake"),72,IF(OR(U261="Fab",U261="Fabrication"),72,IF(U261="Assembly",72,IF(U261="Tube Laser",72,IF(U261="7000 TruMatic",72,IF(U261="TruLaser 3040",72,IF(U261="Extrusion Saw",72,IF(U261="Powder Coat",192,IF(U261="Brake",72,IF(U261="Cidan",80,IF(U261="Shear",80,IF(U261="Weld",80,IF(U261="Flat Laser",24,IF(U261="Post Paint",24,IF(U261="TruPunch",24,IF(U261="Roller",72,0))))))))))))))))),_xlpm.hW,IF(OR(W261="AXYZ Titans Line",W261="AXYZ"),ROUND(E261/7,1),IF(OR(W261="Clean and Brake",W261="Clean and brake"),72,IF(OR(W261="Fab",W261="Fabrication"),72,IF(W261="Assembly",72,IF(W261="Tube Laser",72,IF(W261="7000 TruMatic",72,IF(W261="TruLaser 3040",72,IF(W261="Extrusion Saw",72,IF(W261="Powder Coat",192,IF(W261="Brake",72,IF(W261="Cidan",80,IF(W261="Shear",80,IF(W261="Weld",80,IF(W261="Flat Laser",24,IF(W261="Post Paint",24,IF(W261="TruPunch",24,IF(W261="Roller",72,0))))))))))))))))),_xlpm.total,_xlpm.hO+_xlpm.hQ+_xlpm.hS+_xlpm.hU+_xlpm.hW+16,WORKDAY.INTL(I261,-ROUNDUP(_xlpm.total/8,0),"0000001")),"")</f>
        <v>46045</v>
      </c>
      <c r="Q261" s="27" t="str" cm="1">
        <f t="array" ref="Q261">IF(A261="","",IFERROR(TRIM(INDEX(_xlfn.TEXTSPLIT(IFERROR(VLOOKUP(A261,'Production Schedule'!$B:$FU,150,FALSE),""),CHAR(10)),3)),""))</f>
        <v>Fab</v>
      </c>
      <c r="R261" s="28">
        <f t="shared" ref="R261:R304" si="34">IF(AND(Q261&lt;&gt;"",I261&lt;&gt;""),_xlfn.LET(_xlpm.hQ,IF(OR(Q261="AXYZ Titans Line",Q261="AXYZ"),ROUND(E261/7,1),IF(OR(Q261="Clean and Brake",Q261="Clean and brake"),72,IF(OR(Q261="Fab",Q261="Fabrication"),72,IF(Q261="Assembly",72,IF(Q261="Tube Laser",72,IF(Q261="7000 TruMatic",72,IF(Q261="TruLaser 3040",72,IF(Q261="Extrusion Saw",72,IF(Q261="Powder Coat",192,IF(Q261="Brake",72,IF(Q261="Cidan",80,IF(Q261="Shear",80,IF(Q261="Weld",80,IF(Q261="Flat Laser",24,IF(Q261="Post Paint",24,IF(Q261="TruPunch",24,IF(Q261="Roller",72,0))))))))))))))))),_xlpm.hS,IF(OR(S261="AXYZ Titans Line",S261="AXYZ"),ROUND(E261/7,1),IF(OR(S261="Clean and Brake",S261="Clean and brake"),72,IF(OR(S261="Fab",S261="Fabrication"),72,IF(S261="Assembly",72,IF(S261="Tube Laser",72,IF(S261="7000 TruMatic",72,IF(S261="TruLaser 3040",72,IF(S261="Extrusion Saw",72,IF(S261="Powder Coat",192,IF(S261="Brake",72,IF(S261="Cidan",80,IF(S261="Shear",80,IF(S261="Weld",80,IF(S261="Flat Laser",24,IF(S261="Post Paint",24,IF(S261="TruPunch",24,IF(S261="Roller",72,0))))))))))))))))),_xlpm.hU,IF(OR(U261="AXYZ Titans Line",U261="AXYZ"),ROUND(E261/7,1),IF(OR(U261="Clean and Brake",U261="Clean and brake"),72,IF(OR(U261="Fab",U261="Fabrication"),72,IF(U261="Assembly",72,IF(U261="Tube Laser",72,IF(U261="7000 TruMatic",72,IF(U261="TruLaser 3040",72,IF(U261="Extrusion Saw",72,IF(U261="Powder Coat",192,IF(U261="Brake",72,IF(U261="Cidan",80,IF(U261="Shear",80,IF(U261="Weld",80,IF(U261="Flat Laser",24,IF(U261="Post Paint",24,IF(U261="TruPunch",24,IF(U261="Roller",72,0))))))))))))))))),_xlpm.hW,IF(OR(W261="AXYZ Titans Line",W261="AXYZ"),ROUND(E261/7,1),IF(OR(W261="Clean and Brake",W261="Clean and brake"),72,IF(OR(W261="Fab",W261="Fabrication"),72,IF(W261="Assembly",72,IF(W261="Tube Laser",72,IF(W261="7000 TruMatic",72,IF(W261="TruLaser 3040",72,IF(W261="Extrusion Saw",72,IF(W261="Powder Coat",192,IF(W261="Brake",72,IF(W261="Cidan",80,IF(W261="Shear",80,IF(W261="Weld",80,IF(W261="Flat Laser",24,IF(W261="Post Paint",24,IF(W261="TruPunch",24,IF(W261="Roller",72,0))))))))))))))))),_xlpm.total,_xlpm.hQ+_xlpm.hS+_xlpm.hU+_xlpm.hW+16,WORKDAY.INTL(I261,-ROUNDUP(_xlpm.total/8,0),"0000001")),"")</f>
        <v>46056</v>
      </c>
      <c r="S261" s="27" t="str" cm="1">
        <f t="array" ref="S261">IF(A261="","",IFERROR(TRIM(INDEX(_xlfn.TEXTSPLIT(IFERROR(VLOOKUP(A261,'Production Schedule'!$B:$FU,150,FALSE),""),CHAR(10)),4)),""))</f>
        <v/>
      </c>
      <c r="T261" s="28" t="str">
        <f t="shared" ref="T261:T304" si="35">IF(AND(S261&lt;&gt;"",I261&lt;&gt;""),_xlfn.LET(_xlpm.hS,IF(OR(S261="AXYZ Titans Line",S261="AXYZ"),ROUND(E261/7,1),IF(OR(S261="Clean and Brake",S261="Clean and brake"),72,IF(OR(S261="Fab",S261="Fabrication"),72,IF(S261="Assembly",72,IF(S261="Tube Laser",72,IF(S261="7000 TruMatic",72,IF(S261="TruLaser 3040",72,IF(S261="Extrusion Saw",72,IF(S261="Powder Coat",192,IF(S261="Brake",72,IF(S261="Cidan",80,IF(S261="Shear",80,IF(S261="Weld",80,IF(S261="Flat Laser",24,IF(S261="Post Paint",24,IF(S261="TruPunch",24,IF(S261="Roller",72,0))))))))))))))))),_xlpm.hU,IF(OR(U261="AXYZ Titans Line",U261="AXYZ"),ROUND(E261/7,1),IF(OR(U261="Clean and Brake",U261="Clean and brake"),72,IF(OR(U261="Fab",U261="Fabrication"),72,IF(U261="Assembly",72,IF(U261="Tube Laser",72,IF(U261="7000 TruMatic",72,IF(U261="TruLaser 3040",72,IF(U261="Extrusion Saw",72,IF(U261="Powder Coat",192,IF(U261="Brake",72,IF(U261="Cidan",80,IF(U261="Shear",80,IF(U261="Weld",80,IF(U261="Flat Laser",24,IF(U261="Post Paint",24,IF(U261="TruPunch",24,IF(U261="Roller",72,0))))))))))))))))),_xlpm.hW,IF(OR(W261="AXYZ Titans Line",W261="AXYZ"),ROUND(E261/7,1),IF(OR(W261="Clean and Brake",W261="Clean and brake"),72,IF(OR(W261="Fab",W261="Fabrication"),72,IF(W261="Assembly",72,IF(W261="Tube Laser",72,IF(W261="7000 TruMatic",72,IF(W261="TruLaser 3040",72,IF(W261="Extrusion Saw",72,IF(W261="Powder Coat",192,IF(W261="Brake",72,IF(W261="Cidan",80,IF(W261="Shear",80,IF(W261="Weld",80,IF(W261="Flat Laser",24,IF(W261="Post Paint",24,IF(W261="TruPunch",24,IF(W261="Roller",72,0))))))))))))))))),_xlpm.total,_xlpm.hS+_xlpm.hU+_xlpm.hW+16,WORKDAY.INTL(I261,-ROUNDUP(_xlpm.total/8,0),"0000001")),"")</f>
        <v/>
      </c>
      <c r="U261" s="27" t="str" cm="1">
        <f t="array" ref="U261">IF(A261="","",IFERROR(TRIM(INDEX(_xlfn.TEXTSPLIT(IFERROR(VLOOKUP(A261,'Production Schedule'!$B:$FU,150,FALSE),""),CHAR(10)),5)),""))</f>
        <v/>
      </c>
      <c r="V261" s="28" t="str">
        <f t="shared" ref="V261:V304" si="36">IF(AND(U261&lt;&gt;"",I261&lt;&gt;""),_xlfn.LET(_xlpm.hU,IF(OR(U261="AXYZ Titans Line",U261="AXYZ"),ROUND(E261/7,1),IF(OR(U261="Clean and Brake",U261="Clean and brake"),72,IF(OR(U261="Fab",U261="Fabrication"),72,IF(U261="Assembly",72,IF(U261="Tube Laser",72,IF(U261="7000 TruMatic",72,IF(U261="TruLaser 3040",72,IF(U261="Extrusion Saw",72,IF(U261="Powder Coat",192,IF(U261="Brake",72,IF(U261="Cidan",80,IF(U261="Shear",80,IF(U261="Weld",80,IF(U261="Flat Laser",24,IF(U261="Post Paint",24,IF(U261="TruPunch",24,IF(U261="Roller",72,0))))))))))))))))),_xlpm.hW,IF(OR(W261="AXYZ Titans Line",W261="AXYZ"),ROUND(E261/7,1),IF(OR(W261="Clean and Brake",W261="Clean and brake"),72,IF(OR(W261="Fab",W261="Fabrication"),72,IF(W261="Assembly",72,IF(W261="Tube Laser",72,IF(W261="7000 TruMatic",72,IF(W261="TruLaser 3040",72,IF(W261="Extrusion Saw",72,IF(W261="Powder Coat",192,IF(W261="Brake",72,IF(W261="Cidan",80,IF(W261="Shear",80,IF(W261="Weld",80,IF(W261="Flat Laser",24,IF(W261="Post Paint",24,IF(W261="TruPunch",24,IF(W261="Roller",72,0))))))))))))))))),_xlpm.total,_xlpm.hU+_xlpm.hW+16,WORKDAY.INTL(I261,-ROUNDUP(_xlpm.total/8,0),"0000001")),"")</f>
        <v/>
      </c>
      <c r="W261" s="27" t="str" cm="1">
        <f t="array" ref="W261">IF(A261="","",IFERROR(TRIM(INDEX(_xlfn.TEXTSPLIT(IFERROR(VLOOKUP(A261,'Production Schedule'!$B:$FU,150,FALSE),""),CHAR(10)),6)),""))</f>
        <v/>
      </c>
      <c r="X261" s="28" t="str">
        <f t="shared" ref="X261:X304" si="37">IF(AND(W261&lt;&gt;"",I261&lt;&gt;""),_xlfn.LET(_xlpm.hW,IF(OR(W261="AXYZ Titans Line",W261="AXYZ"),ROUND(E261/7,1),IF(OR(W261="Clean and Brake",W261="Clean and brake"),72,IF(OR(W261="Fab",W261="Fabrication"),72,IF(W261="Assembly",72,IF(W261="Tube Laser",72,IF(W261="7000 TruMatic",72,IF(W261="TruLaser 3040",72,IF(W261="Extrusion Saw",72,IF(W261="Powder Coat",192,IF(W261="Brake",72,IF(W261="Cidan",80,IF(W261="Shear",80,IF(W261="Weld",80,IF(W261="Flat Laser",24,IF(W261="Post Paint",24,IF(W261="TruPunch",24,IF(W261="Roller",72,0))))))))))))))))),_xlpm.total,_xlpm.hW+16,WORKDAY.INTL(I261,-ROUNDUP(_xlpm.total/8,0),"0000001")),"")</f>
        <v/>
      </c>
      <c r="Y261" s="30">
        <f t="shared" ref="Y261:Y284" si="38">IF(I261="","",WORKDAY.INTL(I261,-2,"0000001"))</f>
        <v>46066</v>
      </c>
      <c r="Z261" s="31" t="str">
        <f>IF(A261="","",IF(IFERROR(VLOOKUP(A261,Notes!A:B,2,FALSE),"")=0,"",VLOOKUP(A261,Notes!A:B,2,FALSE)))</f>
        <v>04/16/2026…RTS Titans</v>
      </c>
      <c r="AA261" s="18">
        <f t="shared" ref="AA261:AA284" si="39">IF(OR(L261="Ready to Ship",L261="RTS Titans",L261="Shipped",L261="Shipped To Painter",L261="Partially Shipped",L261="QC",L261="Crating"),2,1)</f>
        <v>2</v>
      </c>
    </row>
    <row r="262" spans="1:27" x14ac:dyDescent="0.25">
      <c r="A262" s="20" t="str">
        <v>24026-BM01</v>
      </c>
      <c r="B262" s="20" t="str">
        <f>IF(A262="","",IFERROR(VLOOKUP(A262,'Production Schedule'!$B:$FU,3,FALSE),""))</f>
        <v>1740 Division</v>
      </c>
      <c r="C262" s="20" t="str">
        <f>IF(A262="","",IFERROR(VLOOKUP(A262,'Production Schedule'!$B:$FU,5,FALSE),""))</f>
        <v>Chris Buttrey</v>
      </c>
      <c r="D262" s="20">
        <f>IF(A262="","",IFERROR(VLOOKUP(A262,'Production Schedule'!$B:$FU,7,FALSE),""))</f>
        <v>0</v>
      </c>
      <c r="E262" s="20">
        <f>IF(A262="","",IFERROR(VLOOKUP(A262,'Production Schedule'!$B:$FU,17,FALSE),""))</f>
        <v>0</v>
      </c>
      <c r="F262" s="20">
        <f>IF(A262="","",IFERROR(VLOOKUP(A262,'Production Schedule'!$B:$FU,18,FALSE),""))</f>
        <v>200</v>
      </c>
      <c r="G262" s="20" t="str">
        <f>IF(A262="","",IFERROR(VLOOKUP(A262,'Production Schedule'!$B:$FU,25,FALSE),""))</f>
        <v>Galv Sheet</v>
      </c>
      <c r="H262" s="21">
        <f>IF(A262="","",IFERROR(VLOOKUP(A262,'Production Schedule'!$B:$FU,47,FALSE),""))</f>
        <v>45947.627544675925</v>
      </c>
      <c r="I262" s="21">
        <f>IF(A262="","",IFERROR(VLOOKUP(A262,'Production Schedule'!$B:$FU,54,FALSE),""))</f>
        <v>46069</v>
      </c>
      <c r="J262" s="32">
        <f>IF(A262="","",IFERROR(VLOOKUP(A262,'Production Schedule'!$B:$FU,135,FALSE),""))</f>
        <v>16</v>
      </c>
      <c r="K262" s="20" t="str">
        <f>IF(A262="","",IFERROR(VLOOKUP(A262,'Production Schedule'!$B:$FU,59,FALSE),""))</f>
        <v>YES</v>
      </c>
      <c r="L262" s="39" t="str">
        <f>IF(A262="","",IFERROR(VLOOKUP(A262,'Production Schedule'!$B:$FU,80,FALSE),""))</f>
        <v>Ready to Ship</v>
      </c>
      <c r="M262" s="33" t="str" cm="1">
        <f t="array" ref="M262">IF(A262="","",IFERROR(TRIM(INDEX(_xlfn.TEXTSPLIT(IFERROR(VLOOKUP(A262,'Production Schedule'!$B:$FU,150,FALSE),""),CHAR(10)),1)),""))</f>
        <v>Cidan</v>
      </c>
      <c r="N262" s="34">
        <f t="shared" si="32"/>
        <v>46043</v>
      </c>
      <c r="O262" s="33" t="str" cm="1">
        <f t="array" ref="O262">IF(A262="","",IFERROR(TRIM(INDEX(_xlfn.TEXTSPLIT(IFERROR(VLOOKUP(A262,'Production Schedule'!$B:$FU,150,FALSE),""),CHAR(10)),2)),""))</f>
        <v>Shear</v>
      </c>
      <c r="P262" s="34">
        <f t="shared" si="33"/>
        <v>46055</v>
      </c>
      <c r="Q262" s="33" t="str" cm="1">
        <f t="array" ref="Q262">IF(A262="","",IFERROR(TRIM(INDEX(_xlfn.TEXTSPLIT(IFERROR(VLOOKUP(A262,'Production Schedule'!$B:$FU,150,FALSE),""),CHAR(10)),3)),""))</f>
        <v/>
      </c>
      <c r="R262" s="34" t="str">
        <f t="shared" si="34"/>
        <v/>
      </c>
      <c r="S262" s="33" t="str" cm="1">
        <f t="array" ref="S262">IF(A262="","",IFERROR(TRIM(INDEX(_xlfn.TEXTSPLIT(IFERROR(VLOOKUP(A262,'Production Schedule'!$B:$FU,150,FALSE),""),CHAR(10)),4)),""))</f>
        <v/>
      </c>
      <c r="T262" s="34" t="str">
        <f t="shared" si="35"/>
        <v/>
      </c>
      <c r="U262" s="33" t="str" cm="1">
        <f t="array" ref="U262">IF(A262="","",IFERROR(TRIM(INDEX(_xlfn.TEXTSPLIT(IFERROR(VLOOKUP(A262,'Production Schedule'!$B:$FU,150,FALSE),""),CHAR(10)),5)),""))</f>
        <v/>
      </c>
      <c r="V262" s="34" t="str">
        <f t="shared" si="36"/>
        <v/>
      </c>
      <c r="W262" s="33" t="str" cm="1">
        <f t="array" ref="W262">IF(A262="","",IFERROR(TRIM(INDEX(_xlfn.TEXTSPLIT(IFERROR(VLOOKUP(A262,'Production Schedule'!$B:$FU,150,FALSE),""),CHAR(10)),6)),""))</f>
        <v/>
      </c>
      <c r="X262" s="34" t="str">
        <f t="shared" si="37"/>
        <v/>
      </c>
      <c r="Y262" s="36">
        <f t="shared" si="38"/>
        <v>46066</v>
      </c>
      <c r="Z262" s="37" t="str">
        <f>IF(A262="","",IF(IFERROR(VLOOKUP(A262,Notes!A:B,2,FALSE),"")=0,"",VLOOKUP(A262,Notes!A:B,2,FALSE)))</f>
        <v>04/16/2026…Ready to Ship</v>
      </c>
      <c r="AA262" s="20">
        <f t="shared" si="39"/>
        <v>2</v>
      </c>
    </row>
    <row r="263" spans="1:27" x14ac:dyDescent="0.25">
      <c r="A263" s="18" t="str">
        <v>25008-FS05</v>
      </c>
      <c r="B263" s="18" t="str">
        <f>IF(A263="","",IFERROR(VLOOKUP(A263,'Production Schedule'!$B:$FU,3,FALSE),""))</f>
        <v>Columbia State Tech Center</v>
      </c>
      <c r="C263" s="18" t="str">
        <f>IF(A263="","",IFERROR(VLOOKUP(A263,'Production Schedule'!$B:$FU,5,FALSE),""))</f>
        <v>Laura Forero</v>
      </c>
      <c r="D263" s="18" t="str">
        <f>IF(A263="","",IFERROR(VLOOKUP(A263,'Production Schedule'!$B:$FU,7,FALSE),""))</f>
        <v>400 CAULK</v>
      </c>
      <c r="E263" s="18">
        <f>IF(A263="","",IFERROR(VLOOKUP(A263,'Production Schedule'!$B:$FU,17,FALSE),""))</f>
        <v>101</v>
      </c>
      <c r="F263" s="18">
        <f>IF(A263="","",IFERROR(VLOOKUP(A263,'Production Schedule'!$B:$FU,18,FALSE),""))</f>
        <v>101</v>
      </c>
      <c r="G263" s="18" t="str">
        <f>IF(A263="","",IFERROR(VLOOKUP(A263,'Production Schedule'!$B:$FU,25,FALSE),""))</f>
        <v>FR ACM</v>
      </c>
      <c r="H263" s="19">
        <f>IF(A263="","",IFERROR(VLOOKUP(A263,'Production Schedule'!$B:$FU,47,FALSE),""))</f>
        <v>46003.562658796298</v>
      </c>
      <c r="I263" s="19">
        <f>IF(A263="","",IFERROR(VLOOKUP(A263,'Production Schedule'!$B:$FU,54,FALSE),""))</f>
        <v>46071</v>
      </c>
      <c r="J263" s="26">
        <f>IF(A263="","",IFERROR(VLOOKUP(A263,'Production Schedule'!$B:$FU,135,FALSE),""))</f>
        <v>130</v>
      </c>
      <c r="K263" s="18" t="str">
        <f>IF(A263="","",IFERROR(VLOOKUP(A263,'Production Schedule'!$B:$FU,59,FALSE),""))</f>
        <v>YES</v>
      </c>
      <c r="L263" s="38" t="str">
        <f>IF(A263="","",IFERROR(VLOOKUP(A263,'Production Schedule'!$B:$FU,80,FALSE),""))</f>
        <v>Shipped To Painter</v>
      </c>
      <c r="M263" s="27" t="str" cm="1">
        <f t="array" ref="M263">IF(A263="","",IFERROR(TRIM(INDEX(_xlfn.TEXTSPLIT(IFERROR(VLOOKUP(A263,'Production Schedule'!$B:$FU,150,FALSE),""),CHAR(10)),1)),""))</f>
        <v>AXYZ Titans Line</v>
      </c>
      <c r="N263" s="28">
        <f t="shared" si="32"/>
        <v>46045</v>
      </c>
      <c r="O263" s="27" t="str" cm="1">
        <f t="array" ref="O263">IF(A263="","",IFERROR(TRIM(INDEX(_xlfn.TEXTSPLIT(IFERROR(VLOOKUP(A263,'Production Schedule'!$B:$FU,150,FALSE),""),CHAR(10)),2)),""))</f>
        <v>Clean and Brake</v>
      </c>
      <c r="P263" s="28">
        <f t="shared" si="33"/>
        <v>46048</v>
      </c>
      <c r="Q263" s="27" t="str" cm="1">
        <f t="array" ref="Q263">IF(A263="","",IFERROR(TRIM(INDEX(_xlfn.TEXTSPLIT(IFERROR(VLOOKUP(A263,'Production Schedule'!$B:$FU,150,FALSE),""),CHAR(10)),3)),""))</f>
        <v>Fab</v>
      </c>
      <c r="R263" s="28">
        <f t="shared" si="34"/>
        <v>46058</v>
      </c>
      <c r="S263" s="27" t="str" cm="1">
        <f t="array" ref="S263">IF(A263="","",IFERROR(TRIM(INDEX(_xlfn.TEXTSPLIT(IFERROR(VLOOKUP(A263,'Production Schedule'!$B:$FU,150,FALSE),""),CHAR(10)),4)),""))</f>
        <v/>
      </c>
      <c r="T263" s="28" t="str">
        <f t="shared" si="35"/>
        <v/>
      </c>
      <c r="U263" s="27" t="str" cm="1">
        <f t="array" ref="U263">IF(A263="","",IFERROR(TRIM(INDEX(_xlfn.TEXTSPLIT(IFERROR(VLOOKUP(A263,'Production Schedule'!$B:$FU,150,FALSE),""),CHAR(10)),5)),""))</f>
        <v/>
      </c>
      <c r="V263" s="28" t="str">
        <f t="shared" si="36"/>
        <v/>
      </c>
      <c r="W263" s="27" t="str" cm="1">
        <f t="array" ref="W263">IF(A263="","",IFERROR(TRIM(INDEX(_xlfn.TEXTSPLIT(IFERROR(VLOOKUP(A263,'Production Schedule'!$B:$FU,150,FALSE),""),CHAR(10)),6)),""))</f>
        <v/>
      </c>
      <c r="X263" s="28" t="str">
        <f t="shared" si="37"/>
        <v/>
      </c>
      <c r="Y263" s="30">
        <f t="shared" si="38"/>
        <v>46069</v>
      </c>
      <c r="Z263" s="31" t="str">
        <f>IF(A263="","",IF(IFERROR(VLOOKUP(A263,Notes!A:B,2,FALSE),"")=0,"",VLOOKUP(A263,Notes!A:B,2,FALSE)))</f>
        <v>04/16/2026…Shipped To Painter</v>
      </c>
      <c r="AA263" s="18">
        <f t="shared" si="39"/>
        <v>2</v>
      </c>
    </row>
    <row r="264" spans="1:27" x14ac:dyDescent="0.25">
      <c r="A264" s="20" t="str">
        <v>24079-FL07</v>
      </c>
      <c r="B264" s="20" t="str">
        <f>IF(A264="","",IFERROR(VLOOKUP(A264,'Production Schedule'!$B:$FU,3,FALSE),""))</f>
        <v>Nashville Youth Campus</v>
      </c>
      <c r="C264" s="20" t="str">
        <f>IF(A264="","",IFERROR(VLOOKUP(A264,'Production Schedule'!$B:$FU,5,FALSE),""))</f>
        <v>Joe Hoyle</v>
      </c>
      <c r="D264" s="20">
        <f>IF(A264="","",IFERROR(VLOOKUP(A264,'Production Schedule'!$B:$FU,7,FALSE),""))</f>
        <v>0</v>
      </c>
      <c r="E264" s="20">
        <f>IF(A264="","",IFERROR(VLOOKUP(A264,'Production Schedule'!$B:$FU,17,FALSE),""))</f>
        <v>0</v>
      </c>
      <c r="F264" s="20">
        <f>IF(A264="","",IFERROR(VLOOKUP(A264,'Production Schedule'!$B:$FU,18,FALSE),""))</f>
        <v>220</v>
      </c>
      <c r="G264" s="20" t="str">
        <f>IF(A264="","",IFERROR(VLOOKUP(A264,'Production Schedule'!$B:$FU,25,FALSE),""))</f>
        <v>Alum Sheet</v>
      </c>
      <c r="H264" s="21">
        <f>IF(A264="","",IFERROR(VLOOKUP(A264,'Production Schedule'!$B:$FU,47,FALSE),""))</f>
        <v>46051.628356168978</v>
      </c>
      <c r="I264" s="21">
        <f>IF(A264="","",IFERROR(VLOOKUP(A264,'Production Schedule'!$B:$FU,54,FALSE),""))</f>
        <v>46072</v>
      </c>
      <c r="J264" s="32">
        <f>IF(A264="","",IFERROR(VLOOKUP(A264,'Production Schedule'!$B:$FU,135,FALSE),""))</f>
        <v>6</v>
      </c>
      <c r="K264" s="20" t="str">
        <f>IF(A264="","",IFERROR(VLOOKUP(A264,'Production Schedule'!$B:$FU,59,FALSE),""))</f>
        <v>YES</v>
      </c>
      <c r="L264" s="39" t="str">
        <f>IF(A264="","",IFERROR(VLOOKUP(A264,'Production Schedule'!$B:$FU,80,FALSE),""))</f>
        <v>Ready to Ship</v>
      </c>
      <c r="M264" s="33" t="str" cm="1">
        <f t="array" ref="M264">IF(A264="","",IFERROR(TRIM(INDEX(_xlfn.TEXTSPLIT(IFERROR(VLOOKUP(A264,'Production Schedule'!$B:$FU,150,FALSE),""),CHAR(10)),1)),""))</f>
        <v>Cidan</v>
      </c>
      <c r="N264" s="34">
        <f t="shared" si="32"/>
        <v>46046</v>
      </c>
      <c r="O264" s="33" t="str" cm="1">
        <f t="array" ref="O264">IF(A264="","",IFERROR(TRIM(INDEX(_xlfn.TEXTSPLIT(IFERROR(VLOOKUP(A264,'Production Schedule'!$B:$FU,150,FALSE),""),CHAR(10)),2)),""))</f>
        <v>Shear</v>
      </c>
      <c r="P264" s="34">
        <f t="shared" si="33"/>
        <v>46058</v>
      </c>
      <c r="Q264" s="33" t="str" cm="1">
        <f t="array" ref="Q264">IF(A264="","",IFERROR(TRIM(INDEX(_xlfn.TEXTSPLIT(IFERROR(VLOOKUP(A264,'Production Schedule'!$B:$FU,150,FALSE),""),CHAR(10)),3)),""))</f>
        <v/>
      </c>
      <c r="R264" s="34" t="str">
        <f t="shared" si="34"/>
        <v/>
      </c>
      <c r="S264" s="33" t="str" cm="1">
        <f t="array" ref="S264">IF(A264="","",IFERROR(TRIM(INDEX(_xlfn.TEXTSPLIT(IFERROR(VLOOKUP(A264,'Production Schedule'!$B:$FU,150,FALSE),""),CHAR(10)),4)),""))</f>
        <v/>
      </c>
      <c r="T264" s="34" t="str">
        <f t="shared" si="35"/>
        <v/>
      </c>
      <c r="U264" s="33" t="str" cm="1">
        <f t="array" ref="U264">IF(A264="","",IFERROR(TRIM(INDEX(_xlfn.TEXTSPLIT(IFERROR(VLOOKUP(A264,'Production Schedule'!$B:$FU,150,FALSE),""),CHAR(10)),5)),""))</f>
        <v/>
      </c>
      <c r="V264" s="34" t="str">
        <f t="shared" si="36"/>
        <v/>
      </c>
      <c r="W264" s="33" t="str" cm="1">
        <f t="array" ref="W264">IF(A264="","",IFERROR(TRIM(INDEX(_xlfn.TEXTSPLIT(IFERROR(VLOOKUP(A264,'Production Schedule'!$B:$FU,150,FALSE),""),CHAR(10)),6)),""))</f>
        <v/>
      </c>
      <c r="X264" s="34" t="str">
        <f t="shared" si="37"/>
        <v/>
      </c>
      <c r="Y264" s="36">
        <f t="shared" si="38"/>
        <v>46070</v>
      </c>
      <c r="Z264" s="37" t="str">
        <f>IF(A264="","",IF(IFERROR(VLOOKUP(A264,Notes!A:B,2,FALSE),"")=0,"",VLOOKUP(A264,Notes!A:B,2,FALSE)))</f>
        <v>04/16/2026…Ready to Ship</v>
      </c>
      <c r="AA264" s="20">
        <f t="shared" si="39"/>
        <v>2</v>
      </c>
    </row>
    <row r="265" spans="1:27" x14ac:dyDescent="0.25">
      <c r="A265" s="18" t="str">
        <v>24079-FL08</v>
      </c>
      <c r="B265" s="18" t="str">
        <f>IF(A265="","",IFERROR(VLOOKUP(A265,'Production Schedule'!$B:$FU,3,FALSE),""))</f>
        <v>Nashville Youth Campus</v>
      </c>
      <c r="C265" s="18" t="str">
        <f>IF(A265="","",IFERROR(VLOOKUP(A265,'Production Schedule'!$B:$FU,5,FALSE),""))</f>
        <v>Joe Hoyle</v>
      </c>
      <c r="D265" s="18">
        <f>IF(A265="","",IFERROR(VLOOKUP(A265,'Production Schedule'!$B:$FU,7,FALSE),""))</f>
        <v>0</v>
      </c>
      <c r="E265" s="18">
        <f>IF(A265="","",IFERROR(VLOOKUP(A265,'Production Schedule'!$B:$FU,17,FALSE),""))</f>
        <v>0</v>
      </c>
      <c r="F265" s="18">
        <f>IF(A265="","",IFERROR(VLOOKUP(A265,'Production Schedule'!$B:$FU,18,FALSE),""))</f>
        <v>160</v>
      </c>
      <c r="G265" s="18" t="str">
        <f>IF(A265="","",IFERROR(VLOOKUP(A265,'Production Schedule'!$B:$FU,25,FALSE),""))</f>
        <v>Alum Sheet</v>
      </c>
      <c r="H265" s="19">
        <f>IF(A265="","",IFERROR(VLOOKUP(A265,'Production Schedule'!$B:$FU,47,FALSE),""))</f>
        <v>46051.636705555553</v>
      </c>
      <c r="I265" s="19">
        <f>IF(A265="","",IFERROR(VLOOKUP(A265,'Production Schedule'!$B:$FU,54,FALSE),""))</f>
        <v>46072</v>
      </c>
      <c r="J265" s="26">
        <f>IF(A265="","",IFERROR(VLOOKUP(A265,'Production Schedule'!$B:$FU,135,FALSE),""))</f>
        <v>6</v>
      </c>
      <c r="K265" s="18" t="str">
        <f>IF(A265="","",IFERROR(VLOOKUP(A265,'Production Schedule'!$B:$FU,59,FALSE),""))</f>
        <v>YES</v>
      </c>
      <c r="L265" s="38" t="str">
        <f>IF(A265="","",IFERROR(VLOOKUP(A265,'Production Schedule'!$B:$FU,80,FALSE),""))</f>
        <v>Ready to Ship</v>
      </c>
      <c r="M265" s="27" t="str" cm="1">
        <f t="array" ref="M265">IF(A265="","",IFERROR(TRIM(INDEX(_xlfn.TEXTSPLIT(IFERROR(VLOOKUP(A265,'Production Schedule'!$B:$FU,150,FALSE),""),CHAR(10)),1)),""))</f>
        <v>Cidan</v>
      </c>
      <c r="N265" s="28">
        <f t="shared" si="32"/>
        <v>46046</v>
      </c>
      <c r="O265" s="27" t="str" cm="1">
        <f t="array" ref="O265">IF(A265="","",IFERROR(TRIM(INDEX(_xlfn.TEXTSPLIT(IFERROR(VLOOKUP(A265,'Production Schedule'!$B:$FU,150,FALSE),""),CHAR(10)),2)),""))</f>
        <v>Shear</v>
      </c>
      <c r="P265" s="28">
        <f t="shared" si="33"/>
        <v>46058</v>
      </c>
      <c r="Q265" s="27" t="str" cm="1">
        <f t="array" ref="Q265">IF(A265="","",IFERROR(TRIM(INDEX(_xlfn.TEXTSPLIT(IFERROR(VLOOKUP(A265,'Production Schedule'!$B:$FU,150,FALSE),""),CHAR(10)),3)),""))</f>
        <v/>
      </c>
      <c r="R265" s="28" t="str">
        <f t="shared" si="34"/>
        <v/>
      </c>
      <c r="S265" s="27" t="str" cm="1">
        <f t="array" ref="S265">IF(A265="","",IFERROR(TRIM(INDEX(_xlfn.TEXTSPLIT(IFERROR(VLOOKUP(A265,'Production Schedule'!$B:$FU,150,FALSE),""),CHAR(10)),4)),""))</f>
        <v/>
      </c>
      <c r="T265" s="28" t="str">
        <f t="shared" si="35"/>
        <v/>
      </c>
      <c r="U265" s="27" t="str" cm="1">
        <f t="array" ref="U265">IF(A265="","",IFERROR(TRIM(INDEX(_xlfn.TEXTSPLIT(IFERROR(VLOOKUP(A265,'Production Schedule'!$B:$FU,150,FALSE),""),CHAR(10)),5)),""))</f>
        <v/>
      </c>
      <c r="V265" s="28" t="str">
        <f t="shared" si="36"/>
        <v/>
      </c>
      <c r="W265" s="27" t="str" cm="1">
        <f t="array" ref="W265">IF(A265="","",IFERROR(TRIM(INDEX(_xlfn.TEXTSPLIT(IFERROR(VLOOKUP(A265,'Production Schedule'!$B:$FU,150,FALSE),""),CHAR(10)),6)),""))</f>
        <v/>
      </c>
      <c r="X265" s="28" t="str">
        <f t="shared" si="37"/>
        <v/>
      </c>
      <c r="Y265" s="30">
        <f t="shared" si="38"/>
        <v>46070</v>
      </c>
      <c r="Z265" s="31" t="str">
        <f>IF(A265="","",IF(IFERROR(VLOOKUP(A265,Notes!A:B,2,FALSE),"")=0,"",VLOOKUP(A265,Notes!A:B,2,FALSE)))</f>
        <v>04/16/2026…Ready to Ship</v>
      </c>
      <c r="AA265" s="18">
        <f t="shared" si="39"/>
        <v>2</v>
      </c>
    </row>
    <row r="266" spans="1:27" x14ac:dyDescent="0.25">
      <c r="A266" s="20" t="str">
        <v>24079-FL09</v>
      </c>
      <c r="B266" s="20" t="str">
        <f>IF(A266="","",IFERROR(VLOOKUP(A266,'Production Schedule'!$B:$FU,3,FALSE),""))</f>
        <v>Nashville Youth Campus</v>
      </c>
      <c r="C266" s="20" t="str">
        <f>IF(A266="","",IFERROR(VLOOKUP(A266,'Production Schedule'!$B:$FU,5,FALSE),""))</f>
        <v>Joe Hoyle</v>
      </c>
      <c r="D266" s="20">
        <f>IF(A266="","",IFERROR(VLOOKUP(A266,'Production Schedule'!$B:$FU,7,FALSE),""))</f>
        <v>0</v>
      </c>
      <c r="E266" s="20">
        <f>IF(A266="","",IFERROR(VLOOKUP(A266,'Production Schedule'!$B:$FU,17,FALSE),""))</f>
        <v>0</v>
      </c>
      <c r="F266" s="20">
        <f>IF(A266="","",IFERROR(VLOOKUP(A266,'Production Schedule'!$B:$FU,18,FALSE),""))</f>
        <v>295</v>
      </c>
      <c r="G266" s="20" t="str">
        <f>IF(A266="","",IFERROR(VLOOKUP(A266,'Production Schedule'!$B:$FU,25,FALSE),""))</f>
        <v>Alum Sheet</v>
      </c>
      <c r="H266" s="21">
        <f>IF(A266="","",IFERROR(VLOOKUP(A266,'Production Schedule'!$B:$FU,47,FALSE),""))</f>
        <v>46051.64644384259</v>
      </c>
      <c r="I266" s="21">
        <f>IF(A266="","",IFERROR(VLOOKUP(A266,'Production Schedule'!$B:$FU,54,FALSE),""))</f>
        <v>46072</v>
      </c>
      <c r="J266" s="32">
        <f>IF(A266="","",IFERROR(VLOOKUP(A266,'Production Schedule'!$B:$FU,135,FALSE),""))</f>
        <v>8</v>
      </c>
      <c r="K266" s="20" t="str">
        <f>IF(A266="","",IFERROR(VLOOKUP(A266,'Production Schedule'!$B:$FU,59,FALSE),""))</f>
        <v>YES</v>
      </c>
      <c r="L266" s="39" t="str">
        <f>IF(A266="","",IFERROR(VLOOKUP(A266,'Production Schedule'!$B:$FU,80,FALSE),""))</f>
        <v>Ready to Ship</v>
      </c>
      <c r="M266" s="33" t="str" cm="1">
        <f t="array" ref="M266">IF(A266="","",IFERROR(TRIM(INDEX(_xlfn.TEXTSPLIT(IFERROR(VLOOKUP(A266,'Production Schedule'!$B:$FU,150,FALSE),""),CHAR(10)),1)),""))</f>
        <v>Cidan</v>
      </c>
      <c r="N266" s="34">
        <f t="shared" si="32"/>
        <v>46046</v>
      </c>
      <c r="O266" s="33" t="str" cm="1">
        <f t="array" ref="O266">IF(A266="","",IFERROR(TRIM(INDEX(_xlfn.TEXTSPLIT(IFERROR(VLOOKUP(A266,'Production Schedule'!$B:$FU,150,FALSE),""),CHAR(10)),2)),""))</f>
        <v>Shear</v>
      </c>
      <c r="P266" s="34">
        <f t="shared" si="33"/>
        <v>46058</v>
      </c>
      <c r="Q266" s="33" t="str" cm="1">
        <f t="array" ref="Q266">IF(A266="","",IFERROR(TRIM(INDEX(_xlfn.TEXTSPLIT(IFERROR(VLOOKUP(A266,'Production Schedule'!$B:$FU,150,FALSE),""),CHAR(10)),3)),""))</f>
        <v/>
      </c>
      <c r="R266" s="34" t="str">
        <f t="shared" si="34"/>
        <v/>
      </c>
      <c r="S266" s="33" t="str" cm="1">
        <f t="array" ref="S266">IF(A266="","",IFERROR(TRIM(INDEX(_xlfn.TEXTSPLIT(IFERROR(VLOOKUP(A266,'Production Schedule'!$B:$FU,150,FALSE),""),CHAR(10)),4)),""))</f>
        <v/>
      </c>
      <c r="T266" s="34" t="str">
        <f t="shared" si="35"/>
        <v/>
      </c>
      <c r="U266" s="33" t="str" cm="1">
        <f t="array" ref="U266">IF(A266="","",IFERROR(TRIM(INDEX(_xlfn.TEXTSPLIT(IFERROR(VLOOKUP(A266,'Production Schedule'!$B:$FU,150,FALSE),""),CHAR(10)),5)),""))</f>
        <v/>
      </c>
      <c r="V266" s="34" t="str">
        <f t="shared" si="36"/>
        <v/>
      </c>
      <c r="W266" s="33" t="str" cm="1">
        <f t="array" ref="W266">IF(A266="","",IFERROR(TRIM(INDEX(_xlfn.TEXTSPLIT(IFERROR(VLOOKUP(A266,'Production Schedule'!$B:$FU,150,FALSE),""),CHAR(10)),6)),""))</f>
        <v/>
      </c>
      <c r="X266" s="34" t="str">
        <f t="shared" si="37"/>
        <v/>
      </c>
      <c r="Y266" s="36">
        <f t="shared" si="38"/>
        <v>46070</v>
      </c>
      <c r="Z266" s="37" t="str">
        <f>IF(A266="","",IF(IFERROR(VLOOKUP(A266,Notes!A:B,2,FALSE),"")=0,"",VLOOKUP(A266,Notes!A:B,2,FALSE)))</f>
        <v>04/16/2026…Ready to Ship</v>
      </c>
      <c r="AA266" s="20">
        <f t="shared" si="39"/>
        <v>2</v>
      </c>
    </row>
    <row r="267" spans="1:27" x14ac:dyDescent="0.25">
      <c r="A267" s="18" t="str">
        <v>24081-FS01</v>
      </c>
      <c r="B267" s="18" t="str">
        <f>IF(A267="","",IFERROR(VLOOKUP(A267,'Production Schedule'!$B:$FU,3,FALSE),""))</f>
        <v>DLR DFW37</v>
      </c>
      <c r="C267" s="18" t="str">
        <f>IF(A267="","",IFERROR(VLOOKUP(A267,'Production Schedule'!$B:$FU,5,FALSE),""))</f>
        <v>Cole Norona</v>
      </c>
      <c r="D267" s="18">
        <f>IF(A267="","",IFERROR(VLOOKUP(A267,'Production Schedule'!$B:$FU,7,FALSE),""))</f>
        <v>400</v>
      </c>
      <c r="E267" s="18">
        <f>IF(A267="","",IFERROR(VLOOKUP(A267,'Production Schedule'!$B:$FU,17,FALSE),""))</f>
        <v>109</v>
      </c>
      <c r="F267" s="18">
        <f>IF(A267="","",IFERROR(VLOOKUP(A267,'Production Schedule'!$B:$FU,18,FALSE),""))</f>
        <v>308</v>
      </c>
      <c r="G267" s="18" t="str">
        <f>IF(A267="","",IFERROR(VLOOKUP(A267,'Production Schedule'!$B:$FU,25,FALSE),""))</f>
        <v>Alum Sheet</v>
      </c>
      <c r="H267" s="19">
        <f>IF(A267="","",IFERROR(VLOOKUP(A267,'Production Schedule'!$B:$FU,47,FALSE),""))</f>
        <v>46029.648788125</v>
      </c>
      <c r="I267" s="19">
        <f>IF(A267="","",IFERROR(VLOOKUP(A267,'Production Schedule'!$B:$FU,54,FALSE),""))</f>
        <v>46073</v>
      </c>
      <c r="J267" s="26">
        <f>IF(A267="","",IFERROR(VLOOKUP(A267,'Production Schedule'!$B:$FU,135,FALSE),""))</f>
        <v>170</v>
      </c>
      <c r="K267" s="18" t="str">
        <f>IF(A267="","",IFERROR(VLOOKUP(A267,'Production Schedule'!$B:$FU,59,FALSE),""))</f>
        <v>YES</v>
      </c>
      <c r="L267" s="38" t="str">
        <f>IF(A267="","",IFERROR(VLOOKUP(A267,'Production Schedule'!$B:$FU,80,FALSE),""))</f>
        <v>Shipped To Painter</v>
      </c>
      <c r="M267" s="27" t="str" cm="1">
        <f t="array" ref="M267">IF(A267="","",IFERROR(TRIM(INDEX(_xlfn.TEXTSPLIT(IFERROR(VLOOKUP(A267,'Production Schedule'!$B:$FU,150,FALSE),""),CHAR(10)),1)),""))</f>
        <v>7000 TruMatic</v>
      </c>
      <c r="N267" s="28">
        <f t="shared" si="32"/>
        <v>46015</v>
      </c>
      <c r="O267" s="27" t="str" cm="1">
        <f t="array" ref="O267">IF(A267="","",IFERROR(TRIM(INDEX(_xlfn.TEXTSPLIT(IFERROR(VLOOKUP(A267,'Production Schedule'!$B:$FU,150,FALSE),""),CHAR(10)),2)),""))</f>
        <v>Brake</v>
      </c>
      <c r="P267" s="28">
        <f t="shared" si="33"/>
        <v>46025</v>
      </c>
      <c r="Q267" s="27" t="str" cm="1">
        <f t="array" ref="Q267">IF(A267="","",IFERROR(TRIM(INDEX(_xlfn.TEXTSPLIT(IFERROR(VLOOKUP(A267,'Production Schedule'!$B:$FU,150,FALSE),""),CHAR(10)),3)),""))</f>
        <v>Clean and Brake</v>
      </c>
      <c r="R267" s="28">
        <f t="shared" si="34"/>
        <v>46036</v>
      </c>
      <c r="S267" s="27" t="str" cm="1">
        <f t="array" ref="S267">IF(A267="","",IFERROR(TRIM(INDEX(_xlfn.TEXTSPLIT(IFERROR(VLOOKUP(A267,'Production Schedule'!$B:$FU,150,FALSE),""),CHAR(10)),4)),""))</f>
        <v>Extrusion Saw</v>
      </c>
      <c r="T267" s="28">
        <f t="shared" si="35"/>
        <v>46046</v>
      </c>
      <c r="U267" s="27" t="str" cm="1">
        <f t="array" ref="U267">IF(A267="","",IFERROR(TRIM(INDEX(_xlfn.TEXTSPLIT(IFERROR(VLOOKUP(A267,'Production Schedule'!$B:$FU,150,FALSE),""),CHAR(10)),5)),""))</f>
        <v>Fab</v>
      </c>
      <c r="V267" s="28">
        <f t="shared" si="36"/>
        <v>46057</v>
      </c>
      <c r="W267" s="27" t="str" cm="1">
        <f t="array" ref="W267">IF(A267="","",IFERROR(TRIM(INDEX(_xlfn.TEXTSPLIT(IFERROR(VLOOKUP(A267,'Production Schedule'!$B:$FU,150,FALSE),""),CHAR(10)),6)),""))</f>
        <v>Post Paint</v>
      </c>
      <c r="X267" s="28">
        <f t="shared" si="37"/>
        <v>46067</v>
      </c>
      <c r="Y267" s="30">
        <f t="shared" si="38"/>
        <v>46071</v>
      </c>
      <c r="Z267" s="31" t="str">
        <f>IF(A267="","",IF(IFERROR(VLOOKUP(A267,Notes!A:B,2,FALSE),"")=0,"",VLOOKUP(A267,Notes!A:B,2,FALSE)))</f>
        <v>04/16/2026…Shipped To Painter</v>
      </c>
      <c r="AA267" s="18">
        <f t="shared" si="39"/>
        <v>2</v>
      </c>
    </row>
    <row r="268" spans="1:27" x14ac:dyDescent="0.25">
      <c r="A268" s="20" t="str">
        <v>24081-FS02</v>
      </c>
      <c r="B268" s="20" t="str">
        <f>IF(A268="","",IFERROR(VLOOKUP(A268,'Production Schedule'!$B:$FU,3,FALSE),""))</f>
        <v>DLR DFW37</v>
      </c>
      <c r="C268" s="20" t="str">
        <f>IF(A268="","",IFERROR(VLOOKUP(A268,'Production Schedule'!$B:$FU,5,FALSE),""))</f>
        <v>Cole Norona</v>
      </c>
      <c r="D268" s="20">
        <f>IF(A268="","",IFERROR(VLOOKUP(A268,'Production Schedule'!$B:$FU,7,FALSE),""))</f>
        <v>400</v>
      </c>
      <c r="E268" s="20">
        <f>IF(A268="","",IFERROR(VLOOKUP(A268,'Production Schedule'!$B:$FU,17,FALSE),""))</f>
        <v>123</v>
      </c>
      <c r="F268" s="20">
        <f>IF(A268="","",IFERROR(VLOOKUP(A268,'Production Schedule'!$B:$FU,18,FALSE),""))</f>
        <v>349</v>
      </c>
      <c r="G268" s="20" t="str">
        <f>IF(A268="","",IFERROR(VLOOKUP(A268,'Production Schedule'!$B:$FU,25,FALSE),""))</f>
        <v>Alum Sheet</v>
      </c>
      <c r="H268" s="21">
        <f>IF(A268="","",IFERROR(VLOOKUP(A268,'Production Schedule'!$B:$FU,47,FALSE),""))</f>
        <v>46029.657161331015</v>
      </c>
      <c r="I268" s="21">
        <f>IF(A268="","",IFERROR(VLOOKUP(A268,'Production Schedule'!$B:$FU,54,FALSE),""))</f>
        <v>46073</v>
      </c>
      <c r="J268" s="32">
        <f>IF(A268="","",IFERROR(VLOOKUP(A268,'Production Schedule'!$B:$FU,135,FALSE),""))</f>
        <v>195</v>
      </c>
      <c r="K268" s="20" t="str">
        <f>IF(A268="","",IFERROR(VLOOKUP(A268,'Production Schedule'!$B:$FU,59,FALSE),""))</f>
        <v>YES</v>
      </c>
      <c r="L268" s="39" t="str">
        <f>IF(A268="","",IFERROR(VLOOKUP(A268,'Production Schedule'!$B:$FU,80,FALSE),""))</f>
        <v>Shipped To Painter</v>
      </c>
      <c r="M268" s="33" t="str" cm="1">
        <f t="array" ref="M268">IF(A268="","",IFERROR(TRIM(INDEX(_xlfn.TEXTSPLIT(IFERROR(VLOOKUP(A268,'Production Schedule'!$B:$FU,150,FALSE),""),CHAR(10)),1)),""))</f>
        <v>7000 TruMatic</v>
      </c>
      <c r="N268" s="34">
        <f t="shared" si="32"/>
        <v>46025</v>
      </c>
      <c r="O268" s="33" t="str" cm="1">
        <f t="array" ref="O268">IF(A268="","",IFERROR(TRIM(INDEX(_xlfn.TEXTSPLIT(IFERROR(VLOOKUP(A268,'Production Schedule'!$B:$FU,150,FALSE),""),CHAR(10)),2)),""))</f>
        <v>Brake</v>
      </c>
      <c r="P268" s="34">
        <f t="shared" si="33"/>
        <v>46036</v>
      </c>
      <c r="Q268" s="33" t="str" cm="1">
        <f t="array" ref="Q268">IF(A268="","",IFERROR(TRIM(INDEX(_xlfn.TEXTSPLIT(IFERROR(VLOOKUP(A268,'Production Schedule'!$B:$FU,150,FALSE),""),CHAR(10)),3)),""))</f>
        <v>Extrusion Saw</v>
      </c>
      <c r="R268" s="34">
        <f t="shared" si="34"/>
        <v>46046</v>
      </c>
      <c r="S268" s="33" t="str" cm="1">
        <f t="array" ref="S268">IF(A268="","",IFERROR(TRIM(INDEX(_xlfn.TEXTSPLIT(IFERROR(VLOOKUP(A268,'Production Schedule'!$B:$FU,150,FALSE),""),CHAR(10)),4)),""))</f>
        <v>Fab</v>
      </c>
      <c r="T268" s="34">
        <f t="shared" si="35"/>
        <v>46057</v>
      </c>
      <c r="U268" s="33" t="str" cm="1">
        <f t="array" ref="U268">IF(A268="","",IFERROR(TRIM(INDEX(_xlfn.TEXTSPLIT(IFERROR(VLOOKUP(A268,'Production Schedule'!$B:$FU,150,FALSE),""),CHAR(10)),5)),""))</f>
        <v>Post Paint</v>
      </c>
      <c r="V268" s="34">
        <f t="shared" si="36"/>
        <v>46067</v>
      </c>
      <c r="W268" s="33" t="str" cm="1">
        <f t="array" ref="W268">IF(A268="","",IFERROR(TRIM(INDEX(_xlfn.TEXTSPLIT(IFERROR(VLOOKUP(A268,'Production Schedule'!$B:$FU,150,FALSE),""),CHAR(10)),6)),""))</f>
        <v/>
      </c>
      <c r="X268" s="34" t="str">
        <f t="shared" si="37"/>
        <v/>
      </c>
      <c r="Y268" s="36">
        <f t="shared" si="38"/>
        <v>46071</v>
      </c>
      <c r="Z268" s="37" t="str">
        <f>IF(A268="","",IF(IFERROR(VLOOKUP(A268,Notes!A:B,2,FALSE),"")=0,"",VLOOKUP(A268,Notes!A:B,2,FALSE)))</f>
        <v>04/16/2026…Shipped To Painter</v>
      </c>
      <c r="AA268" s="20">
        <f t="shared" si="39"/>
        <v>2</v>
      </c>
    </row>
    <row r="269" spans="1:27" x14ac:dyDescent="0.25">
      <c r="A269" s="18" t="str">
        <v>24081-FS03</v>
      </c>
      <c r="B269" s="18" t="str">
        <f>IF(A269="","",IFERROR(VLOOKUP(A269,'Production Schedule'!$B:$FU,3,FALSE),""))</f>
        <v>DLR DFW37</v>
      </c>
      <c r="C269" s="18" t="str">
        <f>IF(A269="","",IFERROR(VLOOKUP(A269,'Production Schedule'!$B:$FU,5,FALSE),""))</f>
        <v>Cole Norona</v>
      </c>
      <c r="D269" s="18">
        <f>IF(A269="","",IFERROR(VLOOKUP(A269,'Production Schedule'!$B:$FU,7,FALSE),""))</f>
        <v>400</v>
      </c>
      <c r="E269" s="18">
        <f>IF(A269="","",IFERROR(VLOOKUP(A269,'Production Schedule'!$B:$FU,17,FALSE),""))</f>
        <v>24</v>
      </c>
      <c r="F269" s="18">
        <f>IF(A269="","",IFERROR(VLOOKUP(A269,'Production Schedule'!$B:$FU,18,FALSE),""))</f>
        <v>88</v>
      </c>
      <c r="G269" s="18" t="str">
        <f>IF(A269="","",IFERROR(VLOOKUP(A269,'Production Schedule'!$B:$FU,25,FALSE),""))</f>
        <v>Alum Sheet</v>
      </c>
      <c r="H269" s="19">
        <f>IF(A269="","",IFERROR(VLOOKUP(A269,'Production Schedule'!$B:$FU,47,FALSE),""))</f>
        <v>46029.6621915625</v>
      </c>
      <c r="I269" s="19">
        <f>IF(A269="","",IFERROR(VLOOKUP(A269,'Production Schedule'!$B:$FU,54,FALSE),""))</f>
        <v>46073</v>
      </c>
      <c r="J269" s="26">
        <f>IF(A269="","",IFERROR(VLOOKUP(A269,'Production Schedule'!$B:$FU,135,FALSE),""))</f>
        <v>40</v>
      </c>
      <c r="K269" s="18" t="str">
        <f>IF(A269="","",IFERROR(VLOOKUP(A269,'Production Schedule'!$B:$FU,59,FALSE),""))</f>
        <v>YES</v>
      </c>
      <c r="L269" s="38" t="str">
        <f>IF(A269="","",IFERROR(VLOOKUP(A269,'Production Schedule'!$B:$FU,80,FALSE),""))</f>
        <v>Shipped To Painter</v>
      </c>
      <c r="M269" s="27" t="str" cm="1">
        <f t="array" ref="M269">IF(A269="","",IFERROR(TRIM(INDEX(_xlfn.TEXTSPLIT(IFERROR(VLOOKUP(A269,'Production Schedule'!$B:$FU,150,FALSE),""),CHAR(10)),1)),""))</f>
        <v>7000 TruMatic</v>
      </c>
      <c r="N269" s="28">
        <f t="shared" si="32"/>
        <v>46025</v>
      </c>
      <c r="O269" s="27" t="str" cm="1">
        <f t="array" ref="O269">IF(A269="","",IFERROR(TRIM(INDEX(_xlfn.TEXTSPLIT(IFERROR(VLOOKUP(A269,'Production Schedule'!$B:$FU,150,FALSE),""),CHAR(10)),2)),""))</f>
        <v>Clean and Brake</v>
      </c>
      <c r="P269" s="28">
        <f t="shared" si="33"/>
        <v>46036</v>
      </c>
      <c r="Q269" s="27" t="str" cm="1">
        <f t="array" ref="Q269">IF(A269="","",IFERROR(TRIM(INDEX(_xlfn.TEXTSPLIT(IFERROR(VLOOKUP(A269,'Production Schedule'!$B:$FU,150,FALSE),""),CHAR(10)),3)),""))</f>
        <v>Extrusion Saw</v>
      </c>
      <c r="R269" s="28">
        <f t="shared" si="34"/>
        <v>46046</v>
      </c>
      <c r="S269" s="27" t="str" cm="1">
        <f t="array" ref="S269">IF(A269="","",IFERROR(TRIM(INDEX(_xlfn.TEXTSPLIT(IFERROR(VLOOKUP(A269,'Production Schedule'!$B:$FU,150,FALSE),""),CHAR(10)),4)),""))</f>
        <v>Fab</v>
      </c>
      <c r="T269" s="28">
        <f t="shared" si="35"/>
        <v>46057</v>
      </c>
      <c r="U269" s="27" t="str" cm="1">
        <f t="array" ref="U269">IF(A269="","",IFERROR(TRIM(INDEX(_xlfn.TEXTSPLIT(IFERROR(VLOOKUP(A269,'Production Schedule'!$B:$FU,150,FALSE),""),CHAR(10)),5)),""))</f>
        <v>Post Paint</v>
      </c>
      <c r="V269" s="28">
        <f t="shared" si="36"/>
        <v>46067</v>
      </c>
      <c r="W269" s="27" t="str" cm="1">
        <f t="array" ref="W269">IF(A269="","",IFERROR(TRIM(INDEX(_xlfn.TEXTSPLIT(IFERROR(VLOOKUP(A269,'Production Schedule'!$B:$FU,150,FALSE),""),CHAR(10)),6)),""))</f>
        <v/>
      </c>
      <c r="X269" s="28" t="str">
        <f t="shared" si="37"/>
        <v/>
      </c>
      <c r="Y269" s="30">
        <f t="shared" si="38"/>
        <v>46071</v>
      </c>
      <c r="Z269" s="31" t="str">
        <f>IF(A269="","",IF(IFERROR(VLOOKUP(A269,Notes!A:B,2,FALSE),"")=0,"",VLOOKUP(A269,Notes!A:B,2,FALSE)))</f>
        <v>04/16/2026…Shipped To Painter</v>
      </c>
      <c r="AA269" s="18">
        <f t="shared" si="39"/>
        <v>2</v>
      </c>
    </row>
    <row r="270" spans="1:27" x14ac:dyDescent="0.25">
      <c r="A270" s="20" t="str">
        <v>24081-FS04</v>
      </c>
      <c r="B270" s="20" t="str">
        <f>IF(A270="","",IFERROR(VLOOKUP(A270,'Production Schedule'!$B:$FU,3,FALSE),""))</f>
        <v>DLR DFW37</v>
      </c>
      <c r="C270" s="20" t="str">
        <f>IF(A270="","",IFERROR(VLOOKUP(A270,'Production Schedule'!$B:$FU,5,FALSE),""))</f>
        <v>Cole Norona</v>
      </c>
      <c r="D270" s="20">
        <f>IF(A270="","",IFERROR(VLOOKUP(A270,'Production Schedule'!$B:$FU,7,FALSE),""))</f>
        <v>400</v>
      </c>
      <c r="E270" s="20">
        <f>IF(A270="","",IFERROR(VLOOKUP(A270,'Production Schedule'!$B:$FU,17,FALSE),""))</f>
        <v>94</v>
      </c>
      <c r="F270" s="20">
        <f>IF(A270="","",IFERROR(VLOOKUP(A270,'Production Schedule'!$B:$FU,18,FALSE),""))</f>
        <v>243</v>
      </c>
      <c r="G270" s="20" t="str">
        <f>IF(A270="","",IFERROR(VLOOKUP(A270,'Production Schedule'!$B:$FU,25,FALSE),""))</f>
        <v>Alum Sheet</v>
      </c>
      <c r="H270" s="21">
        <f>IF(A270="","",IFERROR(VLOOKUP(A270,'Production Schedule'!$B:$FU,47,FALSE),""))</f>
        <v>46029.664981215275</v>
      </c>
      <c r="I270" s="21">
        <f>IF(A270="","",IFERROR(VLOOKUP(A270,'Production Schedule'!$B:$FU,54,FALSE),""))</f>
        <v>46073</v>
      </c>
      <c r="J270" s="32">
        <f>IF(A270="","",IFERROR(VLOOKUP(A270,'Production Schedule'!$B:$FU,135,FALSE),""))</f>
        <v>150</v>
      </c>
      <c r="K270" s="20" t="str">
        <f>IF(A270="","",IFERROR(VLOOKUP(A270,'Production Schedule'!$B:$FU,59,FALSE),""))</f>
        <v>YES</v>
      </c>
      <c r="L270" s="39" t="str">
        <f>IF(A270="","",IFERROR(VLOOKUP(A270,'Production Schedule'!$B:$FU,80,FALSE),""))</f>
        <v>Shipped To Painter</v>
      </c>
      <c r="M270" s="33" t="str" cm="1">
        <f t="array" ref="M270">IF(A270="","",IFERROR(TRIM(INDEX(_xlfn.TEXTSPLIT(IFERROR(VLOOKUP(A270,'Production Schedule'!$B:$FU,150,FALSE),""),CHAR(10)),1)),""))</f>
        <v>7000 TruMatic</v>
      </c>
      <c r="N270" s="34">
        <f t="shared" si="32"/>
        <v>46015</v>
      </c>
      <c r="O270" s="33" t="str" cm="1">
        <f t="array" ref="O270">IF(A270="","",IFERROR(TRIM(INDEX(_xlfn.TEXTSPLIT(IFERROR(VLOOKUP(A270,'Production Schedule'!$B:$FU,150,FALSE),""),CHAR(10)),2)),""))</f>
        <v>Brake</v>
      </c>
      <c r="P270" s="34">
        <f t="shared" si="33"/>
        <v>46025</v>
      </c>
      <c r="Q270" s="33" t="str" cm="1">
        <f t="array" ref="Q270">IF(A270="","",IFERROR(TRIM(INDEX(_xlfn.TEXTSPLIT(IFERROR(VLOOKUP(A270,'Production Schedule'!$B:$FU,150,FALSE),""),CHAR(10)),3)),""))</f>
        <v>Clean and Brake</v>
      </c>
      <c r="R270" s="34">
        <f t="shared" si="34"/>
        <v>46036</v>
      </c>
      <c r="S270" s="33" t="str" cm="1">
        <f t="array" ref="S270">IF(A270="","",IFERROR(TRIM(INDEX(_xlfn.TEXTSPLIT(IFERROR(VLOOKUP(A270,'Production Schedule'!$B:$FU,150,FALSE),""),CHAR(10)),4)),""))</f>
        <v>Extrusion Saw</v>
      </c>
      <c r="T270" s="34">
        <f t="shared" si="35"/>
        <v>46046</v>
      </c>
      <c r="U270" s="33" t="str" cm="1">
        <f t="array" ref="U270">IF(A270="","",IFERROR(TRIM(INDEX(_xlfn.TEXTSPLIT(IFERROR(VLOOKUP(A270,'Production Schedule'!$B:$FU,150,FALSE),""),CHAR(10)),5)),""))</f>
        <v>Fab</v>
      </c>
      <c r="V270" s="34">
        <f t="shared" si="36"/>
        <v>46057</v>
      </c>
      <c r="W270" s="33" t="str" cm="1">
        <f t="array" ref="W270">IF(A270="","",IFERROR(TRIM(INDEX(_xlfn.TEXTSPLIT(IFERROR(VLOOKUP(A270,'Production Schedule'!$B:$FU,150,FALSE),""),CHAR(10)),6)),""))</f>
        <v>Post Paint</v>
      </c>
      <c r="X270" s="34">
        <f t="shared" si="37"/>
        <v>46067</v>
      </c>
      <c r="Y270" s="36">
        <f t="shared" si="38"/>
        <v>46071</v>
      </c>
      <c r="Z270" s="37" t="str">
        <f>IF(A270="","",IF(IFERROR(VLOOKUP(A270,Notes!A:B,2,FALSE),"")=0,"",VLOOKUP(A270,Notes!A:B,2,FALSE)))</f>
        <v>04/16/2026…Shipped To Painter</v>
      </c>
      <c r="AA270" s="20">
        <f t="shared" si="39"/>
        <v>2</v>
      </c>
    </row>
    <row r="271" spans="1:27" x14ac:dyDescent="0.25">
      <c r="A271" s="18" t="str">
        <v>24081-FS05</v>
      </c>
      <c r="B271" s="18" t="str">
        <f>IF(A271="","",IFERROR(VLOOKUP(A271,'Production Schedule'!$B:$FU,3,FALSE),""))</f>
        <v>DLR DFW37</v>
      </c>
      <c r="C271" s="18" t="str">
        <f>IF(A271="","",IFERROR(VLOOKUP(A271,'Production Schedule'!$B:$FU,5,FALSE),""))</f>
        <v>Cole Norona</v>
      </c>
      <c r="D271" s="18">
        <f>IF(A271="","",IFERROR(VLOOKUP(A271,'Production Schedule'!$B:$FU,7,FALSE),""))</f>
        <v>400</v>
      </c>
      <c r="E271" s="18">
        <f>IF(A271="","",IFERROR(VLOOKUP(A271,'Production Schedule'!$B:$FU,17,FALSE),""))</f>
        <v>111</v>
      </c>
      <c r="F271" s="18">
        <f>IF(A271="","",IFERROR(VLOOKUP(A271,'Production Schedule'!$B:$FU,18,FALSE),""))</f>
        <v>345</v>
      </c>
      <c r="G271" s="18" t="str">
        <f>IF(A271="","",IFERROR(VLOOKUP(A271,'Production Schedule'!$B:$FU,25,FALSE),""))</f>
        <v>Alum Sheet</v>
      </c>
      <c r="H271" s="19">
        <f>IF(A271="","",IFERROR(VLOOKUP(A271,'Production Schedule'!$B:$FU,47,FALSE),""))</f>
        <v>46031.410235567128</v>
      </c>
      <c r="I271" s="19">
        <f>IF(A271="","",IFERROR(VLOOKUP(A271,'Production Schedule'!$B:$FU,54,FALSE),""))</f>
        <v>46073</v>
      </c>
      <c r="J271" s="26">
        <f>IF(A271="","",IFERROR(VLOOKUP(A271,'Production Schedule'!$B:$FU,135,FALSE),""))</f>
        <v>180</v>
      </c>
      <c r="K271" s="18" t="str">
        <f>IF(A271="","",IFERROR(VLOOKUP(A271,'Production Schedule'!$B:$FU,59,FALSE),""))</f>
        <v>YES</v>
      </c>
      <c r="L271" s="38" t="str">
        <f>IF(A271="","",IFERROR(VLOOKUP(A271,'Production Schedule'!$B:$FU,80,FALSE),""))</f>
        <v>Shipped To Painter</v>
      </c>
      <c r="M271" s="27" t="str" cm="1">
        <f t="array" ref="M271">IF(A271="","",IFERROR(TRIM(INDEX(_xlfn.TEXTSPLIT(IFERROR(VLOOKUP(A271,'Production Schedule'!$B:$FU,150,FALSE),""),CHAR(10)),1)),""))</f>
        <v>7000 TruMatic</v>
      </c>
      <c r="N271" s="28">
        <f t="shared" si="32"/>
        <v>46046</v>
      </c>
      <c r="O271" s="27" t="str" cm="1">
        <f t="array" ref="O271">IF(A271="","",IFERROR(TRIM(INDEX(_xlfn.TEXTSPLIT(IFERROR(VLOOKUP(A271,'Production Schedule'!$B:$FU,150,FALSE),""),CHAR(10)),2)),""))</f>
        <v>Brake</v>
      </c>
      <c r="P271" s="28">
        <f t="shared" si="33"/>
        <v>46057</v>
      </c>
      <c r="Q271" s="27" t="str" cm="1">
        <f t="array" ref="Q271">IF(A271="","",IFERROR(TRIM(INDEX(_xlfn.TEXTSPLIT(IFERROR(VLOOKUP(A271,'Production Schedule'!$B:$FU,150,FALSE),""),CHAR(10)),3)),""))</f>
        <v>Post Paint</v>
      </c>
      <c r="R271" s="28">
        <f t="shared" si="34"/>
        <v>46067</v>
      </c>
      <c r="S271" s="27" t="str" cm="1">
        <f t="array" ref="S271">IF(A271="","",IFERROR(TRIM(INDEX(_xlfn.TEXTSPLIT(IFERROR(VLOOKUP(A271,'Production Schedule'!$B:$FU,150,FALSE),""),CHAR(10)),4)),""))</f>
        <v/>
      </c>
      <c r="T271" s="28" t="str">
        <f t="shared" si="35"/>
        <v/>
      </c>
      <c r="U271" s="27" t="str" cm="1">
        <f t="array" ref="U271">IF(A271="","",IFERROR(TRIM(INDEX(_xlfn.TEXTSPLIT(IFERROR(VLOOKUP(A271,'Production Schedule'!$B:$FU,150,FALSE),""),CHAR(10)),5)),""))</f>
        <v/>
      </c>
      <c r="V271" s="28" t="str">
        <f t="shared" si="36"/>
        <v/>
      </c>
      <c r="W271" s="27" t="str" cm="1">
        <f t="array" ref="W271">IF(A271="","",IFERROR(TRIM(INDEX(_xlfn.TEXTSPLIT(IFERROR(VLOOKUP(A271,'Production Schedule'!$B:$FU,150,FALSE),""),CHAR(10)),6)),""))</f>
        <v/>
      </c>
      <c r="X271" s="28" t="str">
        <f t="shared" si="37"/>
        <v/>
      </c>
      <c r="Y271" s="30">
        <f t="shared" si="38"/>
        <v>46071</v>
      </c>
      <c r="Z271" s="31" t="str">
        <f>IF(A271="","",IF(IFERROR(VLOOKUP(A271,Notes!A:B,2,FALSE),"")=0,"",VLOOKUP(A271,Notes!A:B,2,FALSE)))</f>
        <v>04/16/2026…Shipped To Painter</v>
      </c>
      <c r="AA271" s="18">
        <f t="shared" si="39"/>
        <v>2</v>
      </c>
    </row>
    <row r="272" spans="1:27" x14ac:dyDescent="0.25">
      <c r="A272" s="20" t="str">
        <v>24081-FL01</v>
      </c>
      <c r="B272" s="20" t="str">
        <f>IF(A272="","",IFERROR(VLOOKUP(A272,'Production Schedule'!$B:$FU,3,FALSE),""))</f>
        <v>DLR DFW37</v>
      </c>
      <c r="C272" s="20" t="str">
        <f>IF(A272="","",IFERROR(VLOOKUP(A272,'Production Schedule'!$B:$FU,5,FALSE),""))</f>
        <v>Cole Norona</v>
      </c>
      <c r="D272" s="20">
        <f>IF(A272="","",IFERROR(VLOOKUP(A272,'Production Schedule'!$B:$FU,7,FALSE),""))</f>
        <v>0</v>
      </c>
      <c r="E272" s="20">
        <f>IF(A272="","",IFERROR(VLOOKUP(A272,'Production Schedule'!$B:$FU,17,FALSE),""))</f>
        <v>0</v>
      </c>
      <c r="F272" s="20">
        <f>IF(A272="","",IFERROR(VLOOKUP(A272,'Production Schedule'!$B:$FU,18,FALSE),""))</f>
        <v>118</v>
      </c>
      <c r="G272" s="20" t="str">
        <f>IF(A272="","",IFERROR(VLOOKUP(A272,'Production Schedule'!$B:$FU,25,FALSE),""))</f>
        <v>Alum Sheet</v>
      </c>
      <c r="H272" s="21">
        <f>IF(A272="","",IFERROR(VLOOKUP(A272,'Production Schedule'!$B:$FU,47,FALSE),""))</f>
        <v>46052.349386041664</v>
      </c>
      <c r="I272" s="21">
        <f>IF(A272="","",IFERROR(VLOOKUP(A272,'Production Schedule'!$B:$FU,54,FALSE),""))</f>
        <v>46073</v>
      </c>
      <c r="J272" s="32">
        <f>IF(A272="","",IFERROR(VLOOKUP(A272,'Production Schedule'!$B:$FU,135,FALSE),""))</f>
        <v>25</v>
      </c>
      <c r="K272" s="20" t="str">
        <f>IF(A272="","",IFERROR(VLOOKUP(A272,'Production Schedule'!$B:$FU,59,FALSE),""))</f>
        <v>YES</v>
      </c>
      <c r="L272" s="39" t="str">
        <f>IF(A272="","",IFERROR(VLOOKUP(A272,'Production Schedule'!$B:$FU,80,FALSE),""))</f>
        <v>Shipped To Painter</v>
      </c>
      <c r="M272" s="33" t="str" cm="1">
        <f t="array" ref="M272">IF(A272="","",IFERROR(TRIM(INDEX(_xlfn.TEXTSPLIT(IFERROR(VLOOKUP(A272,'Production Schedule'!$B:$FU,150,FALSE),""),CHAR(10)),1)),""))</f>
        <v>Brake</v>
      </c>
      <c r="N272" s="34">
        <f t="shared" si="32"/>
        <v>46045</v>
      </c>
      <c r="O272" s="33" t="str" cm="1">
        <f t="array" ref="O272">IF(A272="","",IFERROR(TRIM(INDEX(_xlfn.TEXTSPLIT(IFERROR(VLOOKUP(A272,'Production Schedule'!$B:$FU,150,FALSE),""),CHAR(10)),2)),""))</f>
        <v>Post Paint</v>
      </c>
      <c r="P272" s="34">
        <f t="shared" si="33"/>
        <v>46056</v>
      </c>
      <c r="Q272" s="33" t="str" cm="1">
        <f t="array" ref="Q272">IF(A272="","",IFERROR(TRIM(INDEX(_xlfn.TEXTSPLIT(IFERROR(VLOOKUP(A272,'Production Schedule'!$B:$FU,150,FALSE),""),CHAR(10)),3)),""))</f>
        <v>Shear</v>
      </c>
      <c r="R272" s="34">
        <f t="shared" si="34"/>
        <v>46059</v>
      </c>
      <c r="S272" s="33" t="str" cm="1">
        <f t="array" ref="S272">IF(A272="","",IFERROR(TRIM(INDEX(_xlfn.TEXTSPLIT(IFERROR(VLOOKUP(A272,'Production Schedule'!$B:$FU,150,FALSE),""),CHAR(10)),4)),""))</f>
        <v/>
      </c>
      <c r="T272" s="34" t="str">
        <f t="shared" si="35"/>
        <v/>
      </c>
      <c r="U272" s="33" t="str" cm="1">
        <f t="array" ref="U272">IF(A272="","",IFERROR(TRIM(INDEX(_xlfn.TEXTSPLIT(IFERROR(VLOOKUP(A272,'Production Schedule'!$B:$FU,150,FALSE),""),CHAR(10)),5)),""))</f>
        <v/>
      </c>
      <c r="V272" s="34" t="str">
        <f t="shared" si="36"/>
        <v/>
      </c>
      <c r="W272" s="33" t="str" cm="1">
        <f t="array" ref="W272">IF(A272="","",IFERROR(TRIM(INDEX(_xlfn.TEXTSPLIT(IFERROR(VLOOKUP(A272,'Production Schedule'!$B:$FU,150,FALSE),""),CHAR(10)),6)),""))</f>
        <v/>
      </c>
      <c r="X272" s="34" t="str">
        <f t="shared" si="37"/>
        <v/>
      </c>
      <c r="Y272" s="36">
        <f t="shared" si="38"/>
        <v>46071</v>
      </c>
      <c r="Z272" s="37" t="str">
        <f>IF(A272="","",IF(IFERROR(VLOOKUP(A272,Notes!A:B,2,FALSE),"")=0,"",VLOOKUP(A272,Notes!A:B,2,FALSE)))</f>
        <v>04/16/2026…Shipped To Painter</v>
      </c>
      <c r="AA272" s="20">
        <f t="shared" si="39"/>
        <v>2</v>
      </c>
    </row>
    <row r="273" spans="1:27" x14ac:dyDescent="0.25">
      <c r="A273" s="18" t="str">
        <v>24051-FS78.2</v>
      </c>
      <c r="B273" s="18" t="str">
        <f>IF(A273="","",IFERROR(VLOOKUP(A273,'Production Schedule'!$B:$FU,3,FALSE),""))</f>
        <v>TN Titans Stadium</v>
      </c>
      <c r="C273" s="18" t="str">
        <f>IF(A273="","",IFERROR(VLOOKUP(A273,'Production Schedule'!$B:$FU,5,FALSE),""))</f>
        <v>Marc Ribar</v>
      </c>
      <c r="D273" s="18">
        <f>IF(A273="","",IFERROR(VLOOKUP(A273,'Production Schedule'!$B:$FU,7,FALSE),""))</f>
        <v>400</v>
      </c>
      <c r="E273" s="18">
        <f>IF(A273="","",IFERROR(VLOOKUP(A273,'Production Schedule'!$B:$FU,17,FALSE),""))</f>
        <v>348</v>
      </c>
      <c r="F273" s="18">
        <f>IF(A273="","",IFERROR(VLOOKUP(A273,'Production Schedule'!$B:$FU,18,FALSE),""))</f>
        <v>348</v>
      </c>
      <c r="G273" s="18" t="str">
        <f>IF(A273="","",IFERROR(VLOOKUP(A273,'Production Schedule'!$B:$FU,25,FALSE),""))</f>
        <v>FR ACM</v>
      </c>
      <c r="H273" s="19">
        <f>IF(A273="","",IFERROR(VLOOKUP(A273,'Production Schedule'!$B:$FU,47,FALSE),""))</f>
        <v>46012.262536261573</v>
      </c>
      <c r="I273" s="19">
        <f>IF(A273="","",IFERROR(VLOOKUP(A273,'Production Schedule'!$B:$FU,54,FALSE),""))</f>
        <v>46073</v>
      </c>
      <c r="J273" s="26">
        <f>IF(A273="","",IFERROR(VLOOKUP(A273,'Production Schedule'!$B:$FU,135,FALSE),""))</f>
        <v>600</v>
      </c>
      <c r="K273" s="18" t="str">
        <f>IF(A273="","",IFERROR(VLOOKUP(A273,'Production Schedule'!$B:$FU,59,FALSE),""))</f>
        <v>YES</v>
      </c>
      <c r="L273" s="38" t="str">
        <f>IF(A273="","",IFERROR(VLOOKUP(A273,'Production Schedule'!$B:$FU,80,FALSE),""))</f>
        <v>RTS Titans</v>
      </c>
      <c r="M273" s="27" t="str" cm="1">
        <f t="array" ref="M273">IF(A273="","",IFERROR(TRIM(INDEX(_xlfn.TEXTSPLIT(IFERROR(VLOOKUP(A273,'Production Schedule'!$B:$FU,150,FALSE),""),CHAR(10)),1)),""))</f>
        <v>AXYZ</v>
      </c>
      <c r="N273" s="28">
        <f t="shared" si="32"/>
        <v>46042</v>
      </c>
      <c r="O273" s="27" t="str" cm="1">
        <f t="array" ref="O273">IF(A273="","",IFERROR(TRIM(INDEX(_xlfn.TEXTSPLIT(IFERROR(VLOOKUP(A273,'Production Schedule'!$B:$FU,150,FALSE),""),CHAR(10)),2)),""))</f>
        <v>Clean and Brake</v>
      </c>
      <c r="P273" s="28">
        <f t="shared" si="33"/>
        <v>46050</v>
      </c>
      <c r="Q273" s="27" t="str" cm="1">
        <f t="array" ref="Q273">IF(A273="","",IFERROR(TRIM(INDEX(_xlfn.TEXTSPLIT(IFERROR(VLOOKUP(A273,'Production Schedule'!$B:$FU,150,FALSE),""),CHAR(10)),3)),""))</f>
        <v>Fab</v>
      </c>
      <c r="R273" s="28">
        <f t="shared" si="34"/>
        <v>46060</v>
      </c>
      <c r="S273" s="27" t="str" cm="1">
        <f t="array" ref="S273">IF(A273="","",IFERROR(TRIM(INDEX(_xlfn.TEXTSPLIT(IFERROR(VLOOKUP(A273,'Production Schedule'!$B:$FU,150,FALSE),""),CHAR(10)),4)),""))</f>
        <v/>
      </c>
      <c r="T273" s="28" t="str">
        <f t="shared" si="35"/>
        <v/>
      </c>
      <c r="U273" s="27" t="str" cm="1">
        <f t="array" ref="U273">IF(A273="","",IFERROR(TRIM(INDEX(_xlfn.TEXTSPLIT(IFERROR(VLOOKUP(A273,'Production Schedule'!$B:$FU,150,FALSE),""),CHAR(10)),5)),""))</f>
        <v/>
      </c>
      <c r="V273" s="28" t="str">
        <f t="shared" si="36"/>
        <v/>
      </c>
      <c r="W273" s="27" t="str" cm="1">
        <f t="array" ref="W273">IF(A273="","",IFERROR(TRIM(INDEX(_xlfn.TEXTSPLIT(IFERROR(VLOOKUP(A273,'Production Schedule'!$B:$FU,150,FALSE),""),CHAR(10)),6)),""))</f>
        <v/>
      </c>
      <c r="X273" s="28" t="str">
        <f t="shared" si="37"/>
        <v/>
      </c>
      <c r="Y273" s="30">
        <f t="shared" si="38"/>
        <v>46071</v>
      </c>
      <c r="Z273" s="31" t="str">
        <f>IF(A273="","",IF(IFERROR(VLOOKUP(A273,Notes!A:B,2,FALSE),"")=0,"",VLOOKUP(A273,Notes!A:B,2,FALSE)))</f>
        <v>04/16/2026…RTS Titans</v>
      </c>
      <c r="AA273" s="18">
        <f t="shared" si="39"/>
        <v>2</v>
      </c>
    </row>
    <row r="274" spans="1:27" x14ac:dyDescent="0.25">
      <c r="A274" s="20" t="str">
        <v>24079-FS101</v>
      </c>
      <c r="B274" s="20" t="str">
        <f>IF(A274="","",IFERROR(VLOOKUP(A274,'Production Schedule'!$B:$FU,3,FALSE),""))</f>
        <v>Nashville Youth Campus</v>
      </c>
      <c r="C274" s="20" t="str">
        <f>IF(A274="","",IFERROR(VLOOKUP(A274,'Production Schedule'!$B:$FU,5,FALSE),""))</f>
        <v>Joe Hoyle</v>
      </c>
      <c r="D274" s="20">
        <f>IF(A274="","",IFERROR(VLOOKUP(A274,'Production Schedule'!$B:$FU,7,FALSE),""))</f>
        <v>400</v>
      </c>
      <c r="E274" s="20">
        <f>IF(A274="","",IFERROR(VLOOKUP(A274,'Production Schedule'!$B:$FU,17,FALSE),""))</f>
        <v>173</v>
      </c>
      <c r="F274" s="20">
        <f>IF(A274="","",IFERROR(VLOOKUP(A274,'Production Schedule'!$B:$FU,18,FALSE),""))</f>
        <v>176</v>
      </c>
      <c r="G274" s="20" t="str">
        <f>IF(A274="","",IFERROR(VLOOKUP(A274,'Production Schedule'!$B:$FU,25,FALSE),""))</f>
        <v>FR ACM</v>
      </c>
      <c r="H274" s="21">
        <f>IF(A274="","",IFERROR(VLOOKUP(A274,'Production Schedule'!$B:$FU,47,FALSE),""))</f>
        <v>46007.318003287037</v>
      </c>
      <c r="I274" s="21">
        <f>IF(A274="","",IFERROR(VLOOKUP(A274,'Production Schedule'!$B:$FU,54,FALSE),""))</f>
        <v>46076</v>
      </c>
      <c r="J274" s="32">
        <f>IF(A274="","",IFERROR(VLOOKUP(A274,'Production Schedule'!$B:$FU,135,FALSE),""))</f>
        <v>200</v>
      </c>
      <c r="K274" s="20" t="str">
        <f>IF(A274="","",IFERROR(VLOOKUP(A274,'Production Schedule'!$B:$FU,59,FALSE),""))</f>
        <v>YES</v>
      </c>
      <c r="L274" s="39" t="str">
        <f>IF(A274="","",IFERROR(VLOOKUP(A274,'Production Schedule'!$B:$FU,80,FALSE),""))</f>
        <v>Ready to Ship</v>
      </c>
      <c r="M274" s="33" t="str" cm="1">
        <f t="array" ref="M274">IF(A274="","",IFERROR(TRIM(INDEX(_xlfn.TEXTSPLIT(IFERROR(VLOOKUP(A274,'Production Schedule'!$B:$FU,150,FALSE),""),CHAR(10)),1)),""))</f>
        <v>AXYZ Titans Line</v>
      </c>
      <c r="N274" s="34">
        <f t="shared" si="32"/>
        <v>46048</v>
      </c>
      <c r="O274" s="33" t="str" cm="1">
        <f t="array" ref="O274">IF(A274="","",IFERROR(TRIM(INDEX(_xlfn.TEXTSPLIT(IFERROR(VLOOKUP(A274,'Production Schedule'!$B:$FU,150,FALSE),""),CHAR(10)),2)),""))</f>
        <v>Clean and Brake</v>
      </c>
      <c r="P274" s="34">
        <f t="shared" si="33"/>
        <v>46052</v>
      </c>
      <c r="Q274" s="33" t="str" cm="1">
        <f t="array" ref="Q274">IF(A274="","",IFERROR(TRIM(INDEX(_xlfn.TEXTSPLIT(IFERROR(VLOOKUP(A274,'Production Schedule'!$B:$FU,150,FALSE),""),CHAR(10)),3)),""))</f>
        <v>Fab</v>
      </c>
      <c r="R274" s="34">
        <f t="shared" si="34"/>
        <v>46063</v>
      </c>
      <c r="S274" s="33" t="str" cm="1">
        <f t="array" ref="S274">IF(A274="","",IFERROR(TRIM(INDEX(_xlfn.TEXTSPLIT(IFERROR(VLOOKUP(A274,'Production Schedule'!$B:$FU,150,FALSE),""),CHAR(10)),4)),""))</f>
        <v/>
      </c>
      <c r="T274" s="34" t="str">
        <f t="shared" si="35"/>
        <v/>
      </c>
      <c r="U274" s="33" t="str" cm="1">
        <f t="array" ref="U274">IF(A274="","",IFERROR(TRIM(INDEX(_xlfn.TEXTSPLIT(IFERROR(VLOOKUP(A274,'Production Schedule'!$B:$FU,150,FALSE),""),CHAR(10)),5)),""))</f>
        <v/>
      </c>
      <c r="V274" s="34" t="str">
        <f t="shared" si="36"/>
        <v/>
      </c>
      <c r="W274" s="33" t="str" cm="1">
        <f t="array" ref="W274">IF(A274="","",IFERROR(TRIM(INDEX(_xlfn.TEXTSPLIT(IFERROR(VLOOKUP(A274,'Production Schedule'!$B:$FU,150,FALSE),""),CHAR(10)),6)),""))</f>
        <v/>
      </c>
      <c r="X274" s="34" t="str">
        <f t="shared" si="37"/>
        <v/>
      </c>
      <c r="Y274" s="36">
        <f t="shared" si="38"/>
        <v>46073</v>
      </c>
      <c r="Z274" s="37" t="str">
        <f>IF(A274="","",IF(IFERROR(VLOOKUP(A274,Notes!A:B,2,FALSE),"")=0,"",VLOOKUP(A274,Notes!A:B,2,FALSE)))</f>
        <v>04/16/2026…Ready to Ship</v>
      </c>
      <c r="AA274" s="20">
        <f t="shared" si="39"/>
        <v>2</v>
      </c>
    </row>
    <row r="275" spans="1:27" x14ac:dyDescent="0.25">
      <c r="A275" s="18" t="str">
        <v>24079-FS101.1</v>
      </c>
      <c r="B275" s="18" t="str">
        <f>IF(A275="","",IFERROR(VLOOKUP(A275,'Production Schedule'!$B:$FU,3,FALSE),""))</f>
        <v>Nashville Youth Campus</v>
      </c>
      <c r="C275" s="18" t="str">
        <f>IF(A275="","",IFERROR(VLOOKUP(A275,'Production Schedule'!$B:$FU,5,FALSE),""))</f>
        <v>Joe Hoyle</v>
      </c>
      <c r="D275" s="18">
        <f>IF(A275="","",IFERROR(VLOOKUP(A275,'Production Schedule'!$B:$FU,7,FALSE),""))</f>
        <v>400</v>
      </c>
      <c r="E275" s="18">
        <f>IF(A275="","",IFERROR(VLOOKUP(A275,'Production Schedule'!$B:$FU,17,FALSE),""))</f>
        <v>163</v>
      </c>
      <c r="F275" s="18">
        <f>IF(A275="","",IFERROR(VLOOKUP(A275,'Production Schedule'!$B:$FU,18,FALSE),""))</f>
        <v>189</v>
      </c>
      <c r="G275" s="18" t="str">
        <f>IF(A275="","",IFERROR(VLOOKUP(A275,'Production Schedule'!$B:$FU,25,FALSE),""))</f>
        <v>FR ACM</v>
      </c>
      <c r="H275" s="19">
        <f>IF(A275="","",IFERROR(VLOOKUP(A275,'Production Schedule'!$B:$FU,47,FALSE),""))</f>
        <v>46105.370497685188</v>
      </c>
      <c r="I275" s="19">
        <f>IF(A275="","",IFERROR(VLOOKUP(A275,'Production Schedule'!$B:$FU,54,FALSE),""))</f>
        <v>46076</v>
      </c>
      <c r="J275" s="26">
        <f>IF(A275="","",IFERROR(VLOOKUP(A275,'Production Schedule'!$B:$FU,135,FALSE),""))</f>
        <v>200</v>
      </c>
      <c r="K275" s="18" t="str">
        <f>IF(A275="","",IFERROR(VLOOKUP(A275,'Production Schedule'!$B:$FU,59,FALSE),""))</f>
        <v>YES</v>
      </c>
      <c r="L275" s="38" t="str">
        <f>IF(A275="","",IFERROR(VLOOKUP(A275,'Production Schedule'!$B:$FU,80,FALSE),""))</f>
        <v>Ready to Ship</v>
      </c>
      <c r="M275" s="27" t="str" cm="1">
        <f t="array" ref="M275">IF(A275="","",IFERROR(TRIM(INDEX(_xlfn.TEXTSPLIT(IFERROR(VLOOKUP(A275,'Production Schedule'!$B:$FU,150,FALSE),""),CHAR(10)),1)),""))</f>
        <v>AXYZ Titans Line</v>
      </c>
      <c r="N275" s="28">
        <f t="shared" si="32"/>
        <v>46049</v>
      </c>
      <c r="O275" s="27" t="str" cm="1">
        <f t="array" ref="O275">IF(A275="","",IFERROR(TRIM(INDEX(_xlfn.TEXTSPLIT(IFERROR(VLOOKUP(A275,'Production Schedule'!$B:$FU,150,FALSE),""),CHAR(10)),2)),""))</f>
        <v>Clean and Brake</v>
      </c>
      <c r="P275" s="28">
        <f t="shared" si="33"/>
        <v>46052</v>
      </c>
      <c r="Q275" s="27" t="str" cm="1">
        <f t="array" ref="Q275">IF(A275="","",IFERROR(TRIM(INDEX(_xlfn.TEXTSPLIT(IFERROR(VLOOKUP(A275,'Production Schedule'!$B:$FU,150,FALSE),""),CHAR(10)),3)),""))</f>
        <v>Fab</v>
      </c>
      <c r="R275" s="28">
        <f t="shared" si="34"/>
        <v>46063</v>
      </c>
      <c r="S275" s="27" t="str" cm="1">
        <f t="array" ref="S275">IF(A275="","",IFERROR(TRIM(INDEX(_xlfn.TEXTSPLIT(IFERROR(VLOOKUP(A275,'Production Schedule'!$B:$FU,150,FALSE),""),CHAR(10)),4)),""))</f>
        <v/>
      </c>
      <c r="T275" s="28" t="str">
        <f t="shared" si="35"/>
        <v/>
      </c>
      <c r="U275" s="27" t="str" cm="1">
        <f t="array" ref="U275">IF(A275="","",IFERROR(TRIM(INDEX(_xlfn.TEXTSPLIT(IFERROR(VLOOKUP(A275,'Production Schedule'!$B:$FU,150,FALSE),""),CHAR(10)),5)),""))</f>
        <v/>
      </c>
      <c r="V275" s="28" t="str">
        <f t="shared" si="36"/>
        <v/>
      </c>
      <c r="W275" s="27" t="str" cm="1">
        <f t="array" ref="W275">IF(A275="","",IFERROR(TRIM(INDEX(_xlfn.TEXTSPLIT(IFERROR(VLOOKUP(A275,'Production Schedule'!$B:$FU,150,FALSE),""),CHAR(10)),6)),""))</f>
        <v/>
      </c>
      <c r="X275" s="28" t="str">
        <f t="shared" si="37"/>
        <v/>
      </c>
      <c r="Y275" s="30">
        <f t="shared" si="38"/>
        <v>46073</v>
      </c>
      <c r="Z275" s="31" t="str">
        <f>IF(A275="","",IF(IFERROR(VLOOKUP(A275,Notes!A:B,2,FALSE),"")=0,"",VLOOKUP(A275,Notes!A:B,2,FALSE)))</f>
        <v>04/16/2026…Ready to Ship</v>
      </c>
      <c r="AA275" s="18">
        <f t="shared" si="39"/>
        <v>2</v>
      </c>
    </row>
    <row r="276" spans="1:27" x14ac:dyDescent="0.25">
      <c r="A276" s="20" t="str">
        <v>25025-BM100</v>
      </c>
      <c r="B276" s="20" t="str">
        <f>IF(A276="","",IFERROR(VLOOKUP(A276,'Production Schedule'!$B:$FU,3,FALSE),""))</f>
        <v>QTS MAN1 DC6</v>
      </c>
      <c r="C276" s="20" t="str">
        <f>IF(A276="","",IFERROR(VLOOKUP(A276,'Production Schedule'!$B:$FU,5,FALSE),""))</f>
        <v>Dillon Bowman</v>
      </c>
      <c r="D276" s="20">
        <f>IF(A276="","",IFERROR(VLOOKUP(A276,'Production Schedule'!$B:$FU,7,FALSE),""))</f>
        <v>0</v>
      </c>
      <c r="E276" s="20">
        <f>IF(A276="","",IFERROR(VLOOKUP(A276,'Production Schedule'!$B:$FU,17,FALSE),""))</f>
        <v>0</v>
      </c>
      <c r="F276" s="20">
        <f>IF(A276="","",IFERROR(VLOOKUP(A276,'Production Schedule'!$B:$FU,18,FALSE),""))</f>
        <v>870</v>
      </c>
      <c r="G276" s="20" t="str">
        <f>IF(A276="","",IFERROR(VLOOKUP(A276,'Production Schedule'!$B:$FU,25,FALSE),""))</f>
        <v>Galv Sheet</v>
      </c>
      <c r="H276" s="21">
        <f>IF(A276="","",IFERROR(VLOOKUP(A276,'Production Schedule'!$B:$FU,47,FALSE),""))</f>
        <v>46064.032034525466</v>
      </c>
      <c r="I276" s="21">
        <f>IF(A276="","",IFERROR(VLOOKUP(A276,'Production Schedule'!$B:$FU,54,FALSE),""))</f>
        <v>46078</v>
      </c>
      <c r="J276" s="32">
        <f>IF(A276="","",IFERROR(VLOOKUP(A276,'Production Schedule'!$B:$FU,135,FALSE),""))</f>
        <v>60</v>
      </c>
      <c r="K276" s="20" t="str">
        <f>IF(A276="","",IFERROR(VLOOKUP(A276,'Production Schedule'!$B:$FU,59,FALSE),""))</f>
        <v>YES</v>
      </c>
      <c r="L276" s="39" t="str">
        <f>IF(A276="","",IFERROR(VLOOKUP(A276,'Production Schedule'!$B:$FU,80,FALSE),""))</f>
        <v>Shipped</v>
      </c>
      <c r="M276" s="33" t="str" cm="1">
        <f t="array" ref="M276">IF(A276="","",IFERROR(TRIM(INDEX(_xlfn.TEXTSPLIT(IFERROR(VLOOKUP(A276,'Production Schedule'!$B:$FU,150,FALSE),""),CHAR(10)),1)),""))</f>
        <v>Brake</v>
      </c>
      <c r="N276" s="34">
        <f t="shared" si="32"/>
        <v>46053</v>
      </c>
      <c r="O276" s="33" t="str" cm="1">
        <f t="array" ref="O276">IF(A276="","",IFERROR(TRIM(INDEX(_xlfn.TEXTSPLIT(IFERROR(VLOOKUP(A276,'Production Schedule'!$B:$FU,150,FALSE),""),CHAR(10)),2)),""))</f>
        <v>Shear</v>
      </c>
      <c r="P276" s="34">
        <f t="shared" si="33"/>
        <v>46064</v>
      </c>
      <c r="Q276" s="33" t="str" cm="1">
        <f t="array" ref="Q276">IF(A276="","",IFERROR(TRIM(INDEX(_xlfn.TEXTSPLIT(IFERROR(VLOOKUP(A276,'Production Schedule'!$B:$FU,150,FALSE),""),CHAR(10)),3)),""))</f>
        <v/>
      </c>
      <c r="R276" s="34" t="str">
        <f t="shared" si="34"/>
        <v/>
      </c>
      <c r="S276" s="33" t="str" cm="1">
        <f t="array" ref="S276">IF(A276="","",IFERROR(TRIM(INDEX(_xlfn.TEXTSPLIT(IFERROR(VLOOKUP(A276,'Production Schedule'!$B:$FU,150,FALSE),""),CHAR(10)),4)),""))</f>
        <v/>
      </c>
      <c r="T276" s="34" t="str">
        <f t="shared" si="35"/>
        <v/>
      </c>
      <c r="U276" s="33" t="str" cm="1">
        <f t="array" ref="U276">IF(A276="","",IFERROR(TRIM(INDEX(_xlfn.TEXTSPLIT(IFERROR(VLOOKUP(A276,'Production Schedule'!$B:$FU,150,FALSE),""),CHAR(10)),5)),""))</f>
        <v/>
      </c>
      <c r="V276" s="34" t="str">
        <f t="shared" si="36"/>
        <v/>
      </c>
      <c r="W276" s="33" t="str" cm="1">
        <f t="array" ref="W276">IF(A276="","",IFERROR(TRIM(INDEX(_xlfn.TEXTSPLIT(IFERROR(VLOOKUP(A276,'Production Schedule'!$B:$FU,150,FALSE),""),CHAR(10)),6)),""))</f>
        <v/>
      </c>
      <c r="X276" s="34" t="str">
        <f t="shared" si="37"/>
        <v/>
      </c>
      <c r="Y276" s="36">
        <f t="shared" si="38"/>
        <v>46076</v>
      </c>
      <c r="Z276" s="37" t="str">
        <f>IF(A276="","",IF(IFERROR(VLOOKUP(A276,Notes!A:B,2,FALSE),"")=0,"",VLOOKUP(A276,Notes!A:B,2,FALSE)))</f>
        <v>04/16/2026…Shipped</v>
      </c>
      <c r="AA276" s="20">
        <f t="shared" si="39"/>
        <v>2</v>
      </c>
    </row>
    <row r="277" spans="1:27" x14ac:dyDescent="0.25">
      <c r="A277" s="18" t="str">
        <v>25035-FS02.1</v>
      </c>
      <c r="B277" s="18" t="str">
        <f>IF(A277="","",IFERROR(VLOOKUP(A277,'Production Schedule'!$B:$FU,3,FALSE),""))</f>
        <v>Titans Jabez</v>
      </c>
      <c r="C277" s="18" t="str">
        <f>IF(A277="","",IFERROR(VLOOKUP(A277,'Production Schedule'!$B:$FU,5,FALSE),""))</f>
        <v>Marc Ribar</v>
      </c>
      <c r="D277" s="18">
        <f>IF(A277="","",IFERROR(VLOOKUP(A277,'Production Schedule'!$B:$FU,7,FALSE),""))</f>
        <v>400</v>
      </c>
      <c r="E277" s="18">
        <f>IF(A277="","",IFERROR(VLOOKUP(A277,'Production Schedule'!$B:$FU,17,FALSE),""))</f>
        <v>0</v>
      </c>
      <c r="F277" s="18">
        <f>IF(A277="","",IFERROR(VLOOKUP(A277,'Production Schedule'!$B:$FU,18,FALSE),""))</f>
        <v>27</v>
      </c>
      <c r="G277" s="18" t="str">
        <f>IF(A277="","",IFERROR(VLOOKUP(A277,'Production Schedule'!$B:$FU,25,FALSE),""))</f>
        <v>FR ACM</v>
      </c>
      <c r="H277" s="19">
        <f>IF(A277="","",IFERROR(VLOOKUP(A277,'Production Schedule'!$B:$FU,47,FALSE),""))</f>
        <v>46038.357870370368</v>
      </c>
      <c r="I277" s="19">
        <f>IF(A277="","",IFERROR(VLOOKUP(A277,'Production Schedule'!$B:$FU,54,FALSE),""))</f>
        <v>46079</v>
      </c>
      <c r="J277" s="26">
        <f>IF(A277="","",IFERROR(VLOOKUP(A277,'Production Schedule'!$B:$FU,135,FALSE),""))</f>
        <v>600</v>
      </c>
      <c r="K277" s="18" t="str">
        <f>IF(A277="","",IFERROR(VLOOKUP(A277,'Production Schedule'!$B:$FU,59,FALSE),""))</f>
        <v>YES</v>
      </c>
      <c r="L277" s="38" t="str">
        <f>IF(A277="","",IFERROR(VLOOKUP(A277,'Production Schedule'!$B:$FU,80,FALSE),""))</f>
        <v>RTS Titans</v>
      </c>
      <c r="M277" s="27" t="str" cm="1">
        <f t="array" ref="M277">IF(A277="","",IFERROR(TRIM(INDEX(_xlfn.TEXTSPLIT(IFERROR(VLOOKUP(A277,'Production Schedule'!$B:$FU,150,FALSE),""),CHAR(10)),1)),""))</f>
        <v>AXYZ</v>
      </c>
      <c r="N277" s="28">
        <f t="shared" si="32"/>
        <v>46055</v>
      </c>
      <c r="O277" s="27" t="str" cm="1">
        <f t="array" ref="O277">IF(A277="","",IFERROR(TRIM(INDEX(_xlfn.TEXTSPLIT(IFERROR(VLOOKUP(A277,'Production Schedule'!$B:$FU,150,FALSE),""),CHAR(10)),2)),""))</f>
        <v>Clean and Brake</v>
      </c>
      <c r="P277" s="28">
        <f t="shared" si="33"/>
        <v>46055</v>
      </c>
      <c r="Q277" s="27" t="str" cm="1">
        <f t="array" ref="Q277">IF(A277="","",IFERROR(TRIM(INDEX(_xlfn.TEXTSPLIT(IFERROR(VLOOKUP(A277,'Production Schedule'!$B:$FU,150,FALSE),""),CHAR(10)),3)),""))</f>
        <v>Shear</v>
      </c>
      <c r="R277" s="28">
        <f t="shared" si="34"/>
        <v>46065</v>
      </c>
      <c r="S277" s="27" t="str" cm="1">
        <f t="array" ref="S277">IF(A277="","",IFERROR(TRIM(INDEX(_xlfn.TEXTSPLIT(IFERROR(VLOOKUP(A277,'Production Schedule'!$B:$FU,150,FALSE),""),CHAR(10)),4)),""))</f>
        <v/>
      </c>
      <c r="T277" s="28" t="str">
        <f t="shared" si="35"/>
        <v/>
      </c>
      <c r="U277" s="27" t="str" cm="1">
        <f t="array" ref="U277">IF(A277="","",IFERROR(TRIM(INDEX(_xlfn.TEXTSPLIT(IFERROR(VLOOKUP(A277,'Production Schedule'!$B:$FU,150,FALSE),""),CHAR(10)),5)),""))</f>
        <v/>
      </c>
      <c r="V277" s="28" t="str">
        <f t="shared" si="36"/>
        <v/>
      </c>
      <c r="W277" s="27" t="str" cm="1">
        <f t="array" ref="W277">IF(A277="","",IFERROR(TRIM(INDEX(_xlfn.TEXTSPLIT(IFERROR(VLOOKUP(A277,'Production Schedule'!$B:$FU,150,FALSE),""),CHAR(10)),6)),""))</f>
        <v/>
      </c>
      <c r="X277" s="28" t="str">
        <f t="shared" si="37"/>
        <v/>
      </c>
      <c r="Y277" s="30">
        <f t="shared" si="38"/>
        <v>46077</v>
      </c>
      <c r="Z277" s="31" t="str">
        <f>IF(A277="","",IF(IFERROR(VLOOKUP(A277,Notes!A:B,2,FALSE),"")=0,"",VLOOKUP(A277,Notes!A:B,2,FALSE)))</f>
        <v>04/16/2026…RTS Titans</v>
      </c>
      <c r="AA277" s="18">
        <f t="shared" si="39"/>
        <v>2</v>
      </c>
    </row>
    <row r="278" spans="1:27" x14ac:dyDescent="0.25">
      <c r="A278" s="20" t="str">
        <v>25035-FS02</v>
      </c>
      <c r="B278" s="20" t="str">
        <f>IF(A278="","",IFERROR(VLOOKUP(A278,'Production Schedule'!$B:$FU,3,FALSE),""))</f>
        <v>Titans Jabez</v>
      </c>
      <c r="C278" s="20" t="str">
        <f>IF(A278="","",IFERROR(VLOOKUP(A278,'Production Schedule'!$B:$FU,5,FALSE),""))</f>
        <v>Marc Ribar</v>
      </c>
      <c r="D278" s="20" t="str">
        <f>IF(A278="","",IFERROR(VLOOKUP(A278,'Production Schedule'!$B:$FU,7,FALSE),""))</f>
        <v>CUSTOM ARCH</v>
      </c>
      <c r="E278" s="20">
        <f>IF(A278="","",IFERROR(VLOOKUP(A278,'Production Schedule'!$B:$FU,17,FALSE),""))</f>
        <v>109</v>
      </c>
      <c r="F278" s="20">
        <f>IF(A278="","",IFERROR(VLOOKUP(A278,'Production Schedule'!$B:$FU,18,FALSE),""))</f>
        <v>600</v>
      </c>
      <c r="G278" s="20" t="str">
        <f>IF(A278="","",IFERROR(VLOOKUP(A278,'Production Schedule'!$B:$FU,25,FALSE),""))</f>
        <v>Alum Sheet</v>
      </c>
      <c r="H278" s="21">
        <f>IF(A278="","",IFERROR(VLOOKUP(A278,'Production Schedule'!$B:$FU,47,FALSE),""))</f>
        <v>46027.458674050926</v>
      </c>
      <c r="I278" s="21">
        <f>IF(A278="","",IFERROR(VLOOKUP(A278,'Production Schedule'!$B:$FU,54,FALSE),""))</f>
        <v>46080</v>
      </c>
      <c r="J278" s="32">
        <f>IF(A278="","",IFERROR(VLOOKUP(A278,'Production Schedule'!$B:$FU,135,FALSE),""))</f>
        <v>250</v>
      </c>
      <c r="K278" s="20" t="str">
        <f>IF(A278="","",IFERROR(VLOOKUP(A278,'Production Schedule'!$B:$FU,59,FALSE),""))</f>
        <v>YES</v>
      </c>
      <c r="L278" s="39" t="str">
        <f>IF(A278="","",IFERROR(VLOOKUP(A278,'Production Schedule'!$B:$FU,80,FALSE),""))</f>
        <v>Shipped To Painter</v>
      </c>
      <c r="M278" s="33" t="str" cm="1">
        <f t="array" ref="M278">IF(A278="","",IFERROR(TRIM(INDEX(_xlfn.TEXTSPLIT(IFERROR(VLOOKUP(A278,'Production Schedule'!$B:$FU,150,FALSE),""),CHAR(10)),1)),""))</f>
        <v>7000 TruMatic</v>
      </c>
      <c r="N278" s="34">
        <f t="shared" si="32"/>
        <v>46032</v>
      </c>
      <c r="O278" s="33" t="str" cm="1">
        <f t="array" ref="O278">IF(A278="","",IFERROR(TRIM(INDEX(_xlfn.TEXTSPLIT(IFERROR(VLOOKUP(A278,'Production Schedule'!$B:$FU,150,FALSE),""),CHAR(10)),2)),""))</f>
        <v>Brake</v>
      </c>
      <c r="P278" s="34">
        <f t="shared" si="33"/>
        <v>46043</v>
      </c>
      <c r="Q278" s="33" t="str" cm="1">
        <f t="array" ref="Q278">IF(A278="","",IFERROR(TRIM(INDEX(_xlfn.TEXTSPLIT(IFERROR(VLOOKUP(A278,'Production Schedule'!$B:$FU,150,FALSE),""),CHAR(10)),3)),""))</f>
        <v>Clean and Brake</v>
      </c>
      <c r="R278" s="34">
        <f t="shared" si="34"/>
        <v>46053</v>
      </c>
      <c r="S278" s="33" t="str" cm="1">
        <f t="array" ref="S278">IF(A278="","",IFERROR(TRIM(INDEX(_xlfn.TEXTSPLIT(IFERROR(VLOOKUP(A278,'Production Schedule'!$B:$FU,150,FALSE),""),CHAR(10)),4)),""))</f>
        <v>Fab</v>
      </c>
      <c r="T278" s="34">
        <f t="shared" si="35"/>
        <v>46064</v>
      </c>
      <c r="U278" s="33" t="str" cm="1">
        <f t="array" ref="U278">IF(A278="","",IFERROR(TRIM(INDEX(_xlfn.TEXTSPLIT(IFERROR(VLOOKUP(A278,'Production Schedule'!$B:$FU,150,FALSE),""),CHAR(10)),5)),""))</f>
        <v>Post Paint</v>
      </c>
      <c r="V278" s="34">
        <f t="shared" si="36"/>
        <v>46074</v>
      </c>
      <c r="W278" s="33" t="str" cm="1">
        <f t="array" ref="W278">IF(A278="","",IFERROR(TRIM(INDEX(_xlfn.TEXTSPLIT(IFERROR(VLOOKUP(A278,'Production Schedule'!$B:$FU,150,FALSE),""),CHAR(10)),6)),""))</f>
        <v/>
      </c>
      <c r="X278" s="34" t="str">
        <f t="shared" si="37"/>
        <v/>
      </c>
      <c r="Y278" s="36">
        <f t="shared" si="38"/>
        <v>46078</v>
      </c>
      <c r="Z278" s="37" t="str">
        <f>IF(A278="","",IF(IFERROR(VLOOKUP(A278,Notes!A:B,2,FALSE),"")=0,"",VLOOKUP(A278,Notes!A:B,2,FALSE)))</f>
        <v>04/16/2026…Shipped To Painter</v>
      </c>
      <c r="AA278" s="20">
        <f t="shared" si="39"/>
        <v>2</v>
      </c>
    </row>
    <row r="279" spans="1:27" x14ac:dyDescent="0.25">
      <c r="A279" s="18" t="str">
        <v>24081-FL02</v>
      </c>
      <c r="B279" s="18" t="str">
        <f>IF(A279="","",IFERROR(VLOOKUP(A279,'Production Schedule'!$B:$FU,3,FALSE),""))</f>
        <v>DLR DFW37</v>
      </c>
      <c r="C279" s="18" t="str">
        <f>IF(A279="","",IFERROR(VLOOKUP(A279,'Production Schedule'!$B:$FU,5,FALSE),""))</f>
        <v>Cole Norona</v>
      </c>
      <c r="D279" s="18">
        <f>IF(A279="","",IFERROR(VLOOKUP(A279,'Production Schedule'!$B:$FU,7,FALSE),""))</f>
        <v>0</v>
      </c>
      <c r="E279" s="18">
        <f>IF(A279="","",IFERROR(VLOOKUP(A279,'Production Schedule'!$B:$FU,17,FALSE),""))</f>
        <v>0</v>
      </c>
      <c r="F279" s="18">
        <f>IF(A279="","",IFERROR(VLOOKUP(A279,'Production Schedule'!$B:$FU,18,FALSE),""))</f>
        <v>78</v>
      </c>
      <c r="G279" s="18" t="str">
        <f>IF(A279="","",IFERROR(VLOOKUP(A279,'Production Schedule'!$B:$FU,25,FALSE),""))</f>
        <v>Alum Sheet</v>
      </c>
      <c r="H279" s="19">
        <f>IF(A279="","",IFERROR(VLOOKUP(A279,'Production Schedule'!$B:$FU,47,FALSE),""))</f>
        <v>46065.33003701389</v>
      </c>
      <c r="I279" s="19">
        <f>IF(A279="","",IFERROR(VLOOKUP(A279,'Production Schedule'!$B:$FU,54,FALSE),""))</f>
        <v>46080</v>
      </c>
      <c r="J279" s="26">
        <f>IF(A279="","",IFERROR(VLOOKUP(A279,'Production Schedule'!$B:$FU,135,FALSE),""))</f>
        <v>2</v>
      </c>
      <c r="K279" s="18" t="str">
        <f>IF(A279="","",IFERROR(VLOOKUP(A279,'Production Schedule'!$B:$FU,59,FALSE),""))</f>
        <v>YES</v>
      </c>
      <c r="L279" s="38" t="str">
        <f>IF(A279="","",IFERROR(VLOOKUP(A279,'Production Schedule'!$B:$FU,80,FALSE),""))</f>
        <v>Shipped To Painter</v>
      </c>
      <c r="M279" s="27" t="str" cm="1">
        <f t="array" ref="M279">IF(A279="","",IFERROR(TRIM(INDEX(_xlfn.TEXTSPLIT(IFERROR(VLOOKUP(A279,'Production Schedule'!$B:$FU,150,FALSE),""),CHAR(10)),1)),""))</f>
        <v>Brake</v>
      </c>
      <c r="N279" s="28">
        <f t="shared" si="32"/>
        <v>46053</v>
      </c>
      <c r="O279" s="27" t="str" cm="1">
        <f t="array" ref="O279">IF(A279="","",IFERROR(TRIM(INDEX(_xlfn.TEXTSPLIT(IFERROR(VLOOKUP(A279,'Production Schedule'!$B:$FU,150,FALSE),""),CHAR(10)),2)),""))</f>
        <v>Post Paint</v>
      </c>
      <c r="P279" s="28">
        <f t="shared" si="33"/>
        <v>46064</v>
      </c>
      <c r="Q279" s="27" t="str" cm="1">
        <f t="array" ref="Q279">IF(A279="","",IFERROR(TRIM(INDEX(_xlfn.TEXTSPLIT(IFERROR(VLOOKUP(A279,'Production Schedule'!$B:$FU,150,FALSE),""),CHAR(10)),3)),""))</f>
        <v>TruLaser 3040</v>
      </c>
      <c r="R279" s="28">
        <f t="shared" si="34"/>
        <v>46067</v>
      </c>
      <c r="S279" s="27" t="str" cm="1">
        <f t="array" ref="S279">IF(A279="","",IFERROR(TRIM(INDEX(_xlfn.TEXTSPLIT(IFERROR(VLOOKUP(A279,'Production Schedule'!$B:$FU,150,FALSE),""),CHAR(10)),4)),""))</f>
        <v/>
      </c>
      <c r="T279" s="28" t="str">
        <f t="shared" si="35"/>
        <v/>
      </c>
      <c r="U279" s="27" t="str" cm="1">
        <f t="array" ref="U279">IF(A279="","",IFERROR(TRIM(INDEX(_xlfn.TEXTSPLIT(IFERROR(VLOOKUP(A279,'Production Schedule'!$B:$FU,150,FALSE),""),CHAR(10)),5)),""))</f>
        <v/>
      </c>
      <c r="V279" s="28" t="str">
        <f t="shared" si="36"/>
        <v/>
      </c>
      <c r="W279" s="27" t="str" cm="1">
        <f t="array" ref="W279">IF(A279="","",IFERROR(TRIM(INDEX(_xlfn.TEXTSPLIT(IFERROR(VLOOKUP(A279,'Production Schedule'!$B:$FU,150,FALSE),""),CHAR(10)),6)),""))</f>
        <v/>
      </c>
      <c r="X279" s="28" t="str">
        <f t="shared" si="37"/>
        <v/>
      </c>
      <c r="Y279" s="30">
        <f t="shared" si="38"/>
        <v>46078</v>
      </c>
      <c r="Z279" s="31" t="str">
        <f>IF(A279="","",IF(IFERROR(VLOOKUP(A279,Notes!A:B,2,FALSE),"")=0,"",VLOOKUP(A279,Notes!A:B,2,FALSE)))</f>
        <v>04/16/2026…Shipped To Painter</v>
      </c>
      <c r="AA279" s="18">
        <f t="shared" si="39"/>
        <v>2</v>
      </c>
    </row>
    <row r="280" spans="1:27" x14ac:dyDescent="0.25">
      <c r="A280" s="20" t="str">
        <v>24051-FS209.1</v>
      </c>
      <c r="B280" s="20" t="str">
        <f>IF(A280="","",IFERROR(VLOOKUP(A280,'Production Schedule'!$B:$FU,3,FALSE),""))</f>
        <v>TN Titans Stadium</v>
      </c>
      <c r="C280" s="20" t="str">
        <f>IF(A280="","",IFERROR(VLOOKUP(A280,'Production Schedule'!$B:$FU,5,FALSE),""))</f>
        <v>Marc Ribar</v>
      </c>
      <c r="D280" s="20">
        <f>IF(A280="","",IFERROR(VLOOKUP(A280,'Production Schedule'!$B:$FU,7,FALSE),""))</f>
        <v>400</v>
      </c>
      <c r="E280" s="20">
        <f>IF(A280="","",IFERROR(VLOOKUP(A280,'Production Schedule'!$B:$FU,17,FALSE),""))</f>
        <v>36</v>
      </c>
      <c r="F280" s="20">
        <f>IF(A280="","",IFERROR(VLOOKUP(A280,'Production Schedule'!$B:$FU,18,FALSE),""))</f>
        <v>76</v>
      </c>
      <c r="G280" s="20" t="str">
        <f>IF(A280="","",IFERROR(VLOOKUP(A280,'Production Schedule'!$B:$FU,25,FALSE),""))</f>
        <v>FR ACM</v>
      </c>
      <c r="H280" s="21">
        <f>IF(A280="","",IFERROR(VLOOKUP(A280,'Production Schedule'!$B:$FU,47,FALSE),""))</f>
        <v>46031.65669427083</v>
      </c>
      <c r="I280" s="21">
        <f>IF(A280="","",IFERROR(VLOOKUP(A280,'Production Schedule'!$B:$FU,54,FALSE),""))</f>
        <v>46083</v>
      </c>
      <c r="J280" s="32">
        <f>IF(A280="","",IFERROR(VLOOKUP(A280,'Production Schedule'!$B:$FU,135,FALSE),""))</f>
        <v>40</v>
      </c>
      <c r="K280" s="20" t="str">
        <f>IF(A280="","",IFERROR(VLOOKUP(A280,'Production Schedule'!$B:$FU,59,FALSE),""))</f>
        <v>YES</v>
      </c>
      <c r="L280" s="39" t="str">
        <f>IF(A280="","",IFERROR(VLOOKUP(A280,'Production Schedule'!$B:$FU,80,FALSE),""))</f>
        <v>RTS Titans</v>
      </c>
      <c r="M280" s="33" t="str" cm="1">
        <f t="array" ref="M280">IF(A280="","",IFERROR(TRIM(INDEX(_xlfn.TEXTSPLIT(IFERROR(VLOOKUP(A280,'Production Schedule'!$B:$FU,150,FALSE),""),CHAR(10)),1)),""))</f>
        <v>AXYZ Titans Line</v>
      </c>
      <c r="N280" s="34">
        <f t="shared" si="32"/>
        <v>46058</v>
      </c>
      <c r="O280" s="33" t="str" cm="1">
        <f t="array" ref="O280">IF(A280="","",IFERROR(TRIM(INDEX(_xlfn.TEXTSPLIT(IFERROR(VLOOKUP(A280,'Production Schedule'!$B:$FU,150,FALSE),""),CHAR(10)),2)),""))</f>
        <v>Clean and Brake</v>
      </c>
      <c r="P280" s="34">
        <f t="shared" si="33"/>
        <v>46059</v>
      </c>
      <c r="Q280" s="33" t="str" cm="1">
        <f t="array" ref="Q280">IF(A280="","",IFERROR(TRIM(INDEX(_xlfn.TEXTSPLIT(IFERROR(VLOOKUP(A280,'Production Schedule'!$B:$FU,150,FALSE),""),CHAR(10)),3)),""))</f>
        <v>Fab</v>
      </c>
      <c r="R280" s="34">
        <f t="shared" si="34"/>
        <v>46070</v>
      </c>
      <c r="S280" s="33" t="str" cm="1">
        <f t="array" ref="S280">IF(A280="","",IFERROR(TRIM(INDEX(_xlfn.TEXTSPLIT(IFERROR(VLOOKUP(A280,'Production Schedule'!$B:$FU,150,FALSE),""),CHAR(10)),4)),""))</f>
        <v/>
      </c>
      <c r="T280" s="34" t="str">
        <f t="shared" si="35"/>
        <v/>
      </c>
      <c r="U280" s="33" t="str" cm="1">
        <f t="array" ref="U280">IF(A280="","",IFERROR(TRIM(INDEX(_xlfn.TEXTSPLIT(IFERROR(VLOOKUP(A280,'Production Schedule'!$B:$FU,150,FALSE),""),CHAR(10)),5)),""))</f>
        <v/>
      </c>
      <c r="V280" s="34" t="str">
        <f t="shared" si="36"/>
        <v/>
      </c>
      <c r="W280" s="33" t="str" cm="1">
        <f t="array" ref="W280">IF(A280="","",IFERROR(TRIM(INDEX(_xlfn.TEXTSPLIT(IFERROR(VLOOKUP(A280,'Production Schedule'!$B:$FU,150,FALSE),""),CHAR(10)),6)),""))</f>
        <v/>
      </c>
      <c r="X280" s="34" t="str">
        <f t="shared" si="37"/>
        <v/>
      </c>
      <c r="Y280" s="36">
        <f t="shared" si="38"/>
        <v>46080</v>
      </c>
      <c r="Z280" s="37" t="str">
        <f>IF(A280="","",IF(IFERROR(VLOOKUP(A280,Notes!A:B,2,FALSE),"")=0,"",VLOOKUP(A280,Notes!A:B,2,FALSE)))</f>
        <v>Need 4 Pcs rolled**Look for RP's**03/23 Fab-Need done ASAP*03/26…RTS*04/16/2026…RTS Titans</v>
      </c>
      <c r="AA280" s="20">
        <f t="shared" si="39"/>
        <v>2</v>
      </c>
    </row>
    <row r="281" spans="1:27" x14ac:dyDescent="0.25">
      <c r="A281" s="18" t="str">
        <v>24051-FS86</v>
      </c>
      <c r="B281" s="18" t="str">
        <f>IF(A281="","",IFERROR(VLOOKUP(A281,'Production Schedule'!$B:$FU,3,FALSE),""))</f>
        <v>TN Titans Stadium</v>
      </c>
      <c r="C281" s="18" t="str">
        <f>IF(A281="","",IFERROR(VLOOKUP(A281,'Production Schedule'!$B:$FU,5,FALSE),""))</f>
        <v>Marc Ribar</v>
      </c>
      <c r="D281" s="18">
        <f>IF(A281="","",IFERROR(VLOOKUP(A281,'Production Schedule'!$B:$FU,7,FALSE),""))</f>
        <v>400</v>
      </c>
      <c r="E281" s="18">
        <f>IF(A281="","",IFERROR(VLOOKUP(A281,'Production Schedule'!$B:$FU,17,FALSE),""))</f>
        <v>38</v>
      </c>
      <c r="F281" s="18">
        <f>IF(A281="","",IFERROR(VLOOKUP(A281,'Production Schedule'!$B:$FU,18,FALSE),""))</f>
        <v>38</v>
      </c>
      <c r="G281" s="18" t="str">
        <f>IF(A281="","",IFERROR(VLOOKUP(A281,'Production Schedule'!$B:$FU,25,FALSE),""))</f>
        <v>FR ACM</v>
      </c>
      <c r="H281" s="19">
        <f>IF(A281="","",IFERROR(VLOOKUP(A281,'Production Schedule'!$B:$FU,47,FALSE),""))</f>
        <v>46066.645746493057</v>
      </c>
      <c r="I281" s="19">
        <f>IF(A281="","",IFERROR(VLOOKUP(A281,'Production Schedule'!$B:$FU,54,FALSE),""))</f>
        <v>46085</v>
      </c>
      <c r="J281" s="26">
        <f>IF(A281="","",IFERROR(VLOOKUP(A281,'Production Schedule'!$B:$FU,135,FALSE),""))</f>
        <v>40</v>
      </c>
      <c r="K281" s="18" t="str">
        <f>IF(A281="","",IFERROR(VLOOKUP(A281,'Production Schedule'!$B:$FU,59,FALSE),""))</f>
        <v>YES</v>
      </c>
      <c r="L281" s="38" t="str">
        <f>IF(A281="","",IFERROR(VLOOKUP(A281,'Production Schedule'!$B:$FU,80,FALSE),""))</f>
        <v>RTS Titans</v>
      </c>
      <c r="M281" s="27" t="str" cm="1">
        <f t="array" ref="M281">IF(A281="","",IFERROR(TRIM(INDEX(_xlfn.TEXTSPLIT(IFERROR(VLOOKUP(A281,'Production Schedule'!$B:$FU,150,FALSE),""),CHAR(10)),1)),""))</f>
        <v>AXYZ Titans Line</v>
      </c>
      <c r="N281" s="28">
        <f t="shared" si="32"/>
        <v>46060</v>
      </c>
      <c r="O281" s="27" t="str" cm="1">
        <f t="array" ref="O281">IF(A281="","",IFERROR(TRIM(INDEX(_xlfn.TEXTSPLIT(IFERROR(VLOOKUP(A281,'Production Schedule'!$B:$FU,150,FALSE),""),CHAR(10)),2)),""))</f>
        <v>Clean and Brake</v>
      </c>
      <c r="P281" s="28">
        <f t="shared" si="33"/>
        <v>46062</v>
      </c>
      <c r="Q281" s="27" t="str" cm="1">
        <f t="array" ref="Q281">IF(A281="","",IFERROR(TRIM(INDEX(_xlfn.TEXTSPLIT(IFERROR(VLOOKUP(A281,'Production Schedule'!$B:$FU,150,FALSE),""),CHAR(10)),3)),""))</f>
        <v>Fab</v>
      </c>
      <c r="R281" s="28">
        <f t="shared" si="34"/>
        <v>46072</v>
      </c>
      <c r="S281" s="27" t="str" cm="1">
        <f t="array" ref="S281">IF(A281="","",IFERROR(TRIM(INDEX(_xlfn.TEXTSPLIT(IFERROR(VLOOKUP(A281,'Production Schedule'!$B:$FU,150,FALSE),""),CHAR(10)),4)),""))</f>
        <v/>
      </c>
      <c r="T281" s="28" t="str">
        <f t="shared" si="35"/>
        <v/>
      </c>
      <c r="U281" s="27" t="str" cm="1">
        <f t="array" ref="U281">IF(A281="","",IFERROR(TRIM(INDEX(_xlfn.TEXTSPLIT(IFERROR(VLOOKUP(A281,'Production Schedule'!$B:$FU,150,FALSE),""),CHAR(10)),5)),""))</f>
        <v/>
      </c>
      <c r="V281" s="28" t="str">
        <f t="shared" si="36"/>
        <v/>
      </c>
      <c r="W281" s="27" t="str" cm="1">
        <f t="array" ref="W281">IF(A281="","",IFERROR(TRIM(INDEX(_xlfn.TEXTSPLIT(IFERROR(VLOOKUP(A281,'Production Schedule'!$B:$FU,150,FALSE),""),CHAR(10)),6)),""))</f>
        <v/>
      </c>
      <c r="X281" s="28" t="str">
        <f t="shared" si="37"/>
        <v/>
      </c>
      <c r="Y281" s="30">
        <f t="shared" si="38"/>
        <v>46083</v>
      </c>
      <c r="Z281" s="31" t="str">
        <f>IF(A281="","",IF(IFERROR(VLOOKUP(A281,Notes!A:B,2,FALSE),"")=0,"",VLOOKUP(A281,Notes!A:B,2,FALSE)))</f>
        <v>04/16/2026…RTS Titans</v>
      </c>
      <c r="AA281" s="18">
        <f t="shared" si="39"/>
        <v>2</v>
      </c>
    </row>
    <row r="282" spans="1:27" x14ac:dyDescent="0.25">
      <c r="A282" s="20" t="str">
        <v>25002-BM06</v>
      </c>
      <c r="B282" s="20" t="str">
        <f>IF(A282="","",IFERROR(VLOOKUP(A282,'Production Schedule'!$B:$FU,3,FALSE),""))</f>
        <v>Med Center Health</v>
      </c>
      <c r="C282" s="20" t="str">
        <f>IF(A282="","",IFERROR(VLOOKUP(A282,'Production Schedule'!$B:$FU,5,FALSE),""))</f>
        <v>Carlos Silva</v>
      </c>
      <c r="D282" s="20">
        <f>IF(A282="","",IFERROR(VLOOKUP(A282,'Production Schedule'!$B:$FU,7,FALSE),""))</f>
        <v>0</v>
      </c>
      <c r="E282" s="20">
        <f>IF(A282="","",IFERROR(VLOOKUP(A282,'Production Schedule'!$B:$FU,17,FALSE),""))</f>
        <v>0</v>
      </c>
      <c r="F282" s="20">
        <f>IF(A282="","",IFERROR(VLOOKUP(A282,'Production Schedule'!$B:$FU,18,FALSE),""))</f>
        <v>29</v>
      </c>
      <c r="G282" s="20" t="str">
        <f>IF(A282="","",IFERROR(VLOOKUP(A282,'Production Schedule'!$B:$FU,25,FALSE),""))</f>
        <v>Steel Sheet</v>
      </c>
      <c r="H282" s="21">
        <f>IF(A282="","",IFERROR(VLOOKUP(A282,'Production Schedule'!$B:$FU,47,FALSE),""))</f>
        <v>46071.463510555557</v>
      </c>
      <c r="I282" s="21">
        <f>IF(A282="","",IFERROR(VLOOKUP(A282,'Production Schedule'!$B:$FU,54,FALSE),""))</f>
        <v>46085</v>
      </c>
      <c r="J282" s="32">
        <f>IF(A282="","",IFERROR(VLOOKUP(A282,'Production Schedule'!$B:$FU,135,FALSE),""))</f>
        <v>4</v>
      </c>
      <c r="K282" s="20" t="str">
        <f>IF(A282="","",IFERROR(VLOOKUP(A282,'Production Schedule'!$B:$FU,59,FALSE),""))</f>
        <v>YES</v>
      </c>
      <c r="L282" s="39" t="str">
        <f>IF(A282="","",IFERROR(VLOOKUP(A282,'Production Schedule'!$B:$FU,80,FALSE),""))</f>
        <v>Shipped To Painter</v>
      </c>
      <c r="M282" s="33" t="str" cm="1">
        <f t="array" ref="M282">IF(A282="","",IFERROR(TRIM(INDEX(_xlfn.TEXTSPLIT(IFERROR(VLOOKUP(A282,'Production Schedule'!$B:$FU,150,FALSE),""),CHAR(10)),1)),""))</f>
        <v>Powder Coat</v>
      </c>
      <c r="N282" s="34">
        <f t="shared" si="32"/>
        <v>46044</v>
      </c>
      <c r="O282" s="33" t="str" cm="1">
        <f t="array" ref="O282">IF(A282="","",IFERROR(TRIM(INDEX(_xlfn.TEXTSPLIT(IFERROR(VLOOKUP(A282,'Production Schedule'!$B:$FU,150,FALSE),""),CHAR(10)),2)),""))</f>
        <v>TruLaser 3040</v>
      </c>
      <c r="P282" s="34">
        <f t="shared" si="33"/>
        <v>46072</v>
      </c>
      <c r="Q282" s="33" t="str" cm="1">
        <f t="array" ref="Q282">IF(A282="","",IFERROR(TRIM(INDEX(_xlfn.TEXTSPLIT(IFERROR(VLOOKUP(A282,'Production Schedule'!$B:$FU,150,FALSE),""),CHAR(10)),3)),""))</f>
        <v/>
      </c>
      <c r="R282" s="34" t="str">
        <f t="shared" si="34"/>
        <v/>
      </c>
      <c r="S282" s="33" t="str" cm="1">
        <f t="array" ref="S282">IF(A282="","",IFERROR(TRIM(INDEX(_xlfn.TEXTSPLIT(IFERROR(VLOOKUP(A282,'Production Schedule'!$B:$FU,150,FALSE),""),CHAR(10)),4)),""))</f>
        <v/>
      </c>
      <c r="T282" s="34" t="str">
        <f t="shared" si="35"/>
        <v/>
      </c>
      <c r="U282" s="33" t="str" cm="1">
        <f t="array" ref="U282">IF(A282="","",IFERROR(TRIM(INDEX(_xlfn.TEXTSPLIT(IFERROR(VLOOKUP(A282,'Production Schedule'!$B:$FU,150,FALSE),""),CHAR(10)),5)),""))</f>
        <v/>
      </c>
      <c r="V282" s="34" t="str">
        <f t="shared" si="36"/>
        <v/>
      </c>
      <c r="W282" s="33" t="str" cm="1">
        <f t="array" ref="W282">IF(A282="","",IFERROR(TRIM(INDEX(_xlfn.TEXTSPLIT(IFERROR(VLOOKUP(A282,'Production Schedule'!$B:$FU,150,FALSE),""),CHAR(10)),6)),""))</f>
        <v/>
      </c>
      <c r="X282" s="34" t="str">
        <f t="shared" si="37"/>
        <v/>
      </c>
      <c r="Y282" s="36">
        <f t="shared" si="38"/>
        <v>46083</v>
      </c>
      <c r="Z282" s="37" t="str">
        <f>IF(A282="","",IF(IFERROR(VLOOKUP(A282,Notes!A:B,2,FALSE),"")=0,"",VLOOKUP(A282,Notes!A:B,2,FALSE)))</f>
        <v>04/16/2026…Shipped To Painter</v>
      </c>
      <c r="AA282" s="20">
        <f t="shared" si="39"/>
        <v>2</v>
      </c>
    </row>
    <row r="283" spans="1:27" x14ac:dyDescent="0.25">
      <c r="A283" s="18" t="str">
        <v>25035-FS03</v>
      </c>
      <c r="B283" s="18" t="str">
        <f>IF(A283="","",IFERROR(VLOOKUP(A283,'Production Schedule'!$B:$FU,3,FALSE),""))</f>
        <v>Titans Jabez</v>
      </c>
      <c r="C283" s="18" t="str">
        <f>IF(A283="","",IFERROR(VLOOKUP(A283,'Production Schedule'!$B:$FU,5,FALSE),""))</f>
        <v>Marc Ribar</v>
      </c>
      <c r="D283" s="18" t="str">
        <f>IF(A283="","",IFERROR(VLOOKUP(A283,'Production Schedule'!$B:$FU,7,FALSE),""))</f>
        <v>CUSTOM ARCH</v>
      </c>
      <c r="E283" s="18">
        <f>IF(A283="","",IFERROR(VLOOKUP(A283,'Production Schedule'!$B:$FU,17,FALSE),""))</f>
        <v>160</v>
      </c>
      <c r="F283" s="18">
        <f>IF(A283="","",IFERROR(VLOOKUP(A283,'Production Schedule'!$B:$FU,18,FALSE),""))</f>
        <v>320</v>
      </c>
      <c r="G283" s="18" t="str">
        <f>IF(A283="","",IFERROR(VLOOKUP(A283,'Production Schedule'!$B:$FU,25,FALSE),""))</f>
        <v>Alum Sheet</v>
      </c>
      <c r="H283" s="19">
        <f>IF(A283="","",IFERROR(VLOOKUP(A283,'Production Schedule'!$B:$FU,47,FALSE),""))</f>
        <v>46027.46737859954</v>
      </c>
      <c r="I283" s="19">
        <f>IF(A283="","",IFERROR(VLOOKUP(A283,'Production Schedule'!$B:$FU,54,FALSE),""))</f>
        <v>46087</v>
      </c>
      <c r="J283" s="26">
        <f>IF(A283="","",IFERROR(VLOOKUP(A283,'Production Schedule'!$B:$FU,135,FALSE),""))</f>
        <v>240</v>
      </c>
      <c r="K283" s="18" t="str">
        <f>IF(A283="","",IFERROR(VLOOKUP(A283,'Production Schedule'!$B:$FU,59,FALSE),""))</f>
        <v>YES</v>
      </c>
      <c r="L283" s="38" t="str">
        <f>IF(A283="","",IFERROR(VLOOKUP(A283,'Production Schedule'!$B:$FU,80,FALSE),""))</f>
        <v>Shipped To Painter</v>
      </c>
      <c r="M283" s="27" t="str" cm="1">
        <f t="array" ref="M283">IF(A283="","",IFERROR(TRIM(INDEX(_xlfn.TEXTSPLIT(IFERROR(VLOOKUP(A283,'Production Schedule'!$B:$FU,150,FALSE),""),CHAR(10)),1)),""))</f>
        <v>7000 TruMatic</v>
      </c>
      <c r="N283" s="28">
        <f t="shared" si="32"/>
        <v>46015</v>
      </c>
      <c r="O283" s="27" t="str" cm="1">
        <f t="array" ref="O283">IF(A283="","",IFERROR(TRIM(INDEX(_xlfn.TEXTSPLIT(IFERROR(VLOOKUP(A283,'Production Schedule'!$B:$FU,150,FALSE),""),CHAR(10)),2)),""))</f>
        <v>Brake</v>
      </c>
      <c r="P283" s="28">
        <f t="shared" si="33"/>
        <v>46025</v>
      </c>
      <c r="Q283" s="27" t="str" cm="1">
        <f t="array" ref="Q283">IF(A283="","",IFERROR(TRIM(INDEX(_xlfn.TEXTSPLIT(IFERROR(VLOOKUP(A283,'Production Schedule'!$B:$FU,150,FALSE),""),CHAR(10)),3)),""))</f>
        <v>Clean and Brake</v>
      </c>
      <c r="R283" s="28">
        <f t="shared" si="34"/>
        <v>46036</v>
      </c>
      <c r="S283" s="27" t="str" cm="1">
        <f t="array" ref="S283">IF(A283="","",IFERROR(TRIM(INDEX(_xlfn.TEXTSPLIT(IFERROR(VLOOKUP(A283,'Production Schedule'!$B:$FU,150,FALSE),""),CHAR(10)),4)),""))</f>
        <v>Fab</v>
      </c>
      <c r="T283" s="28">
        <f t="shared" si="35"/>
        <v>46046</v>
      </c>
      <c r="U283" s="27" t="str" cm="1">
        <f t="array" ref="U283">IF(A283="","",IFERROR(TRIM(INDEX(_xlfn.TEXTSPLIT(IFERROR(VLOOKUP(A283,'Production Schedule'!$B:$FU,150,FALSE),""),CHAR(10)),5)),""))</f>
        <v>Powder Coat</v>
      </c>
      <c r="V283" s="28">
        <f t="shared" si="36"/>
        <v>46057</v>
      </c>
      <c r="W283" s="27" t="str" cm="1">
        <f t="array" ref="W283">IF(A283="","",IFERROR(TRIM(INDEX(_xlfn.TEXTSPLIT(IFERROR(VLOOKUP(A283,'Production Schedule'!$B:$FU,150,FALSE),""),CHAR(10)),6)),""))</f>
        <v/>
      </c>
      <c r="X283" s="28" t="str">
        <f t="shared" si="37"/>
        <v/>
      </c>
      <c r="Y283" s="30">
        <f t="shared" si="38"/>
        <v>46085</v>
      </c>
      <c r="Z283" s="31" t="str">
        <f>IF(A283="","",IF(IFERROR(VLOOKUP(A283,Notes!A:B,2,FALSE),"")=0,"",VLOOKUP(A283,Notes!A:B,2,FALSE)))</f>
        <v>04/16/2026…Shipped To Painter</v>
      </c>
      <c r="AA283" s="18">
        <f t="shared" si="39"/>
        <v>2</v>
      </c>
    </row>
    <row r="284" spans="1:27" x14ac:dyDescent="0.25">
      <c r="A284" s="22" t="str">
        <v>23028-FL205</v>
      </c>
      <c r="B284" s="22" t="str">
        <f>IF(A284="","",IFERROR(VLOOKUP(A284,'Production Schedule'!$B:$FU,3,FALSE),""))</f>
        <v>1000 Church YMCA</v>
      </c>
      <c r="C284" s="22" t="str">
        <f>IF(A284="","",IFERROR(VLOOKUP(A284,'Production Schedule'!$B:$FU,5,FALSE),""))</f>
        <v>Dillon Bowman</v>
      </c>
      <c r="D284" s="22">
        <f>IF(A284="","",IFERROR(VLOOKUP(A284,'Production Schedule'!$B:$FU,7,FALSE),""))</f>
        <v>0</v>
      </c>
      <c r="E284" s="22">
        <f>IF(A284="","",IFERROR(VLOOKUP(A284,'Production Schedule'!$B:$FU,17,FALSE),""))</f>
        <v>0</v>
      </c>
      <c r="F284" s="22">
        <f>IF(A284="","",IFERROR(VLOOKUP(A284,'Production Schedule'!$B:$FU,18,FALSE),""))</f>
        <v>4</v>
      </c>
      <c r="G284" s="22" t="str">
        <f>IF(A284="","",IFERROR(VLOOKUP(A284,'Production Schedule'!$B:$FU,25,FALSE),""))</f>
        <v>Alum Sheet</v>
      </c>
      <c r="H284" s="23">
        <f>IF(A284="","",IFERROR(VLOOKUP(A284,'Production Schedule'!$B:$FU,47,FALSE),""))</f>
        <v>46083.52386144676</v>
      </c>
      <c r="I284" s="23">
        <f>IF(A284="","",IFERROR(VLOOKUP(A284,'Production Schedule'!$B:$FU,54,FALSE),""))</f>
        <v>46087</v>
      </c>
      <c r="J284" s="40">
        <f>IF(A284="","",IFERROR(VLOOKUP(A284,'Production Schedule'!$B:$FU,135,FALSE),""))</f>
        <v>2</v>
      </c>
      <c r="K284" s="22" t="str">
        <f>IF(A284="","",IFERROR(VLOOKUP(A284,'Production Schedule'!$B:$FU,59,FALSE),""))</f>
        <v>YES</v>
      </c>
      <c r="L284" s="41" t="str">
        <f>IF(A284="","",IFERROR(VLOOKUP(A284,'Production Schedule'!$B:$FU,80,FALSE),""))</f>
        <v>Ready to Ship</v>
      </c>
      <c r="M284" s="42" t="str" cm="1">
        <f t="array" ref="M284">IF(A284="","",IFERROR(TRIM(INDEX(_xlfn.TEXTSPLIT(IFERROR(VLOOKUP(A284,'Production Schedule'!$B:$FU,150,FALSE),""),CHAR(10)),1)),""))</f>
        <v>Cidan</v>
      </c>
      <c r="N284" s="43">
        <f t="shared" si="32"/>
        <v>46062</v>
      </c>
      <c r="O284" s="42" t="str" cm="1">
        <f t="array" ref="O284">IF(A284="","",IFERROR(TRIM(INDEX(_xlfn.TEXTSPLIT(IFERROR(VLOOKUP(A284,'Production Schedule'!$B:$FU,150,FALSE),""),CHAR(10)),2)),""))</f>
        <v>Shear</v>
      </c>
      <c r="P284" s="43">
        <f t="shared" si="33"/>
        <v>46073</v>
      </c>
      <c r="Q284" s="42" t="str" cm="1">
        <f t="array" ref="Q284">IF(A284="","",IFERROR(TRIM(INDEX(_xlfn.TEXTSPLIT(IFERROR(VLOOKUP(A284,'Production Schedule'!$B:$FU,150,FALSE),""),CHAR(10)),3)),""))</f>
        <v/>
      </c>
      <c r="R284" s="43" t="str">
        <f t="shared" si="34"/>
        <v/>
      </c>
      <c r="S284" s="42" t="str" cm="1">
        <f t="array" ref="S284">IF(A284="","",IFERROR(TRIM(INDEX(_xlfn.TEXTSPLIT(IFERROR(VLOOKUP(A284,'Production Schedule'!$B:$FU,150,FALSE),""),CHAR(10)),4)),""))</f>
        <v/>
      </c>
      <c r="T284" s="43" t="str">
        <f t="shared" si="35"/>
        <v/>
      </c>
      <c r="U284" s="42" t="str" cm="1">
        <f t="array" ref="U284">IF(A284="","",IFERROR(TRIM(INDEX(_xlfn.TEXTSPLIT(IFERROR(VLOOKUP(A284,'Production Schedule'!$B:$FU,150,FALSE),""),CHAR(10)),5)),""))</f>
        <v/>
      </c>
      <c r="V284" s="43" t="str">
        <f t="shared" si="36"/>
        <v/>
      </c>
      <c r="W284" s="42" t="str" cm="1">
        <f t="array" ref="W284">IF(A284="","",IFERROR(TRIM(INDEX(_xlfn.TEXTSPLIT(IFERROR(VLOOKUP(A284,'Production Schedule'!$B:$FU,150,FALSE),""),CHAR(10)),6)),""))</f>
        <v/>
      </c>
      <c r="X284" s="43" t="str">
        <f t="shared" si="37"/>
        <v/>
      </c>
      <c r="Y284" s="44">
        <f t="shared" si="38"/>
        <v>46085</v>
      </c>
      <c r="Z284" s="45" t="str">
        <f>IF(A284="","",IF(IFERROR(VLOOKUP(A284,Notes!A:B,2,FALSE),"")=0,"",VLOOKUP(A284,Notes!A:B,2,FALSE)))</f>
        <v>04/16/2026…Ready to Ship</v>
      </c>
      <c r="AA284" s="22">
        <f t="shared" si="39"/>
        <v>2</v>
      </c>
    </row>
    <row r="285" spans="1:27" x14ac:dyDescent="0.25">
      <c r="A285" t="str">
        <v>24051-FS71.1</v>
      </c>
      <c r="B285" t="str">
        <f>IF(A285="","",IFERROR(VLOOKUP(A285,'Production Schedule'!$B:$FU,3,FALSE),""))</f>
        <v>TN Titans Stadium</v>
      </c>
      <c r="C285" t="str">
        <f>IF(A285="","",IFERROR(VLOOKUP(A285,'Production Schedule'!$B:$FU,5,FALSE),""))</f>
        <v>Marc Ribar</v>
      </c>
      <c r="D285">
        <f>IF(A285="","",IFERROR(VLOOKUP(A285,'Production Schedule'!$B:$FU,7,FALSE),""))</f>
        <v>400</v>
      </c>
      <c r="E285">
        <f>IF(A285="","",IFERROR(VLOOKUP(A285,'Production Schedule'!$B:$FU,17,FALSE),""))</f>
        <v>0</v>
      </c>
      <c r="F285">
        <f>IF(A285="","",IFERROR(VLOOKUP(A285,'Production Schedule'!$B:$FU,18,FALSE),""))</f>
        <v>0</v>
      </c>
      <c r="G285" t="str">
        <f>IF(A285="","",IFERROR(VLOOKUP(A285,'Production Schedule'!$B:$FU,25,FALSE),""))</f>
        <v>Alum Structural Shape</v>
      </c>
      <c r="H285" s="1">
        <f>IF(A285="","",IFERROR(VLOOKUP(A285,'Production Schedule'!$B:$FU,47,FALSE),""))</f>
        <v>46092.674674525464</v>
      </c>
      <c r="I285" s="1">
        <f>IF(A285="","",IFERROR(VLOOKUP(A285,'Production Schedule'!$B:$FU,54,FALSE),""))</f>
        <v>46093</v>
      </c>
      <c r="J285">
        <f>IF(A285="","",IFERROR(VLOOKUP(A285,'Production Schedule'!$B:$FU,135,FALSE),""))</f>
        <v>4</v>
      </c>
      <c r="K285" t="str">
        <f>IF(A285="","",IFERROR(VLOOKUP(A285,'Production Schedule'!$B:$FU,59,FALSE),""))</f>
        <v>YES</v>
      </c>
      <c r="L285" t="str">
        <f>IF(A285="","",IFERROR(VLOOKUP(A285,'Production Schedule'!$B:$FU,80,FALSE),""))</f>
        <v>RTS Titans</v>
      </c>
      <c r="M285" s="3" t="str" cm="1">
        <f t="array" ref="M285">IF(A285="","",IFERROR(TRIM(INDEX(_xlfn.TEXTSPLIT(IFERROR(VLOOKUP(A285,'Production Schedule'!$B:$FU,150,FALSE),""),CHAR(10)),1)),""))</f>
        <v>Extrusion Saw</v>
      </c>
      <c r="N285" s="5">
        <f t="shared" si="32"/>
        <v>46080</v>
      </c>
      <c r="O285" s="3" t="str" cm="1">
        <f t="array" ref="O285">IF(A285="","",IFERROR(TRIM(INDEX(_xlfn.TEXTSPLIT(IFERROR(VLOOKUP(A285,'Production Schedule'!$B:$FU,150,FALSE),""),CHAR(10)),2)),""))</f>
        <v/>
      </c>
      <c r="P285" s="5" t="str">
        <f t="shared" si="33"/>
        <v/>
      </c>
      <c r="Q285" s="3" t="str" cm="1">
        <f t="array" ref="Q285">IF(A285="","",IFERROR(TRIM(INDEX(_xlfn.TEXTSPLIT(IFERROR(VLOOKUP(A285,'Production Schedule'!$B:$FU,150,FALSE),""),CHAR(10)),3)),""))</f>
        <v/>
      </c>
      <c r="R285" s="5" t="str">
        <f t="shared" si="34"/>
        <v/>
      </c>
      <c r="S285" s="3" t="str" cm="1">
        <f t="array" ref="S285">IF(A285="","",IFERROR(TRIM(INDEX(_xlfn.TEXTSPLIT(IFERROR(VLOOKUP(A285,'Production Schedule'!$B:$FU,150,FALSE),""),CHAR(10)),4)),""))</f>
        <v/>
      </c>
      <c r="T285" s="5" t="str">
        <f t="shared" si="35"/>
        <v/>
      </c>
      <c r="U285" s="3" t="str" cm="1">
        <f t="array" ref="U285">IF(A285="","",IFERROR(TRIM(INDEX(_xlfn.TEXTSPLIT(IFERROR(VLOOKUP(A285,'Production Schedule'!$B:$FU,150,FALSE),""),CHAR(10)),5)),""))</f>
        <v/>
      </c>
      <c r="V285" s="5" t="str">
        <f t="shared" si="36"/>
        <v/>
      </c>
      <c r="W285" s="3" t="str" cm="1">
        <f t="array" ref="W285">IF(A285="","",IFERROR(TRIM(INDEX(_xlfn.TEXTSPLIT(IFERROR(VLOOKUP(A285,'Production Schedule'!$B:$FU,150,FALSE),""),CHAR(10)),6)),""))</f>
        <v/>
      </c>
      <c r="X285" s="5" t="str">
        <f t="shared" si="37"/>
        <v/>
      </c>
      <c r="Y285" s="6">
        <f t="shared" ref="Y285:Y304" si="40">IF(I285="","",WORKDAY.INTL(I285,-2,"0000001"))</f>
        <v>46091</v>
      </c>
      <c r="Z285" s="7" t="str">
        <f>IF(A285="","",IF(IFERROR(VLOOKUP(A285,Notes!A:B,2,FALSE),"")=0,"",VLOOKUP(A285,Notes!A:B,2,FALSE)))</f>
        <v>04/16/2026…RTS Titans</v>
      </c>
      <c r="AA285">
        <f t="shared" ref="AA285:AA304" si="41">IF(OR(L285="Ready to Ship",L285="RTS Titans",L285="Shipped",L285="Shipped To Painter",L285="Partially Shipped",L285="QC",L285="Crating"),2,1)</f>
        <v>2</v>
      </c>
    </row>
    <row r="286" spans="1:27" x14ac:dyDescent="0.25">
      <c r="A286" t="str">
        <v>24051-FS224</v>
      </c>
      <c r="B286" t="str">
        <f>IF(A286="","",IFERROR(VLOOKUP(A286,'Production Schedule'!$B:$FU,3,FALSE),""))</f>
        <v>TN Titans Stadium</v>
      </c>
      <c r="C286" t="str">
        <f>IF(A286="","",IFERROR(VLOOKUP(A286,'Production Schedule'!$B:$FU,5,FALSE),""))</f>
        <v>Marc Ribar</v>
      </c>
      <c r="D286">
        <f>IF(A286="","",IFERROR(VLOOKUP(A286,'Production Schedule'!$B:$FU,7,FALSE),""))</f>
        <v>400</v>
      </c>
      <c r="E286">
        <f>IF(A286="","",IFERROR(VLOOKUP(A286,'Production Schedule'!$B:$FU,17,FALSE),""))</f>
        <v>2</v>
      </c>
      <c r="F286">
        <f>IF(A286="","",IFERROR(VLOOKUP(A286,'Production Schedule'!$B:$FU,18,FALSE),""))</f>
        <v>2</v>
      </c>
      <c r="G286" t="str">
        <f>IF(A286="","",IFERROR(VLOOKUP(A286,'Production Schedule'!$B:$FU,25,FALSE),""))</f>
        <v>FR ACM</v>
      </c>
      <c r="H286" s="1">
        <f>IF(A286="","",IFERROR(VLOOKUP(A286,'Production Schedule'!$B:$FU,47,FALSE),""))</f>
        <v>46058.479872708333</v>
      </c>
      <c r="I286" s="1">
        <f>IF(A286="","",IFERROR(VLOOKUP(A286,'Production Schedule'!$B:$FU,54,FALSE),""))</f>
        <v>46097</v>
      </c>
      <c r="J286">
        <f>IF(A286="","",IFERROR(VLOOKUP(A286,'Production Schedule'!$B:$FU,135,FALSE),""))</f>
        <v>4</v>
      </c>
      <c r="K286" t="str">
        <f>IF(A286="","",IFERROR(VLOOKUP(A286,'Production Schedule'!$B:$FU,59,FALSE),""))</f>
        <v>YES</v>
      </c>
      <c r="L286" t="str">
        <f>IF(A286="","",IFERROR(VLOOKUP(A286,'Production Schedule'!$B:$FU,80,FALSE),""))</f>
        <v>RTS Titans</v>
      </c>
      <c r="M286" s="3" t="str" cm="1">
        <f t="array" ref="M286">IF(A286="","",IFERROR(TRIM(INDEX(_xlfn.TEXTSPLIT(IFERROR(VLOOKUP(A286,'Production Schedule'!$B:$FU,150,FALSE),""),CHAR(10)),1)),""))</f>
        <v>AXYZ Titans Line</v>
      </c>
      <c r="N286" s="5">
        <f t="shared" si="32"/>
        <v>46072</v>
      </c>
      <c r="O286" s="3" t="str" cm="1">
        <f t="array" ref="O286">IF(A286="","",IFERROR(TRIM(INDEX(_xlfn.TEXTSPLIT(IFERROR(VLOOKUP(A286,'Production Schedule'!$B:$FU,150,FALSE),""),CHAR(10)),2)),""))</f>
        <v>Clean and Brake</v>
      </c>
      <c r="P286" s="5">
        <f t="shared" si="33"/>
        <v>46073</v>
      </c>
      <c r="Q286" s="3" t="str" cm="1">
        <f t="array" ref="Q286">IF(A286="","",IFERROR(TRIM(INDEX(_xlfn.TEXTSPLIT(IFERROR(VLOOKUP(A286,'Production Schedule'!$B:$FU,150,FALSE),""),CHAR(10)),3)),""))</f>
        <v>Fab</v>
      </c>
      <c r="R286" s="5">
        <f t="shared" si="34"/>
        <v>46084</v>
      </c>
      <c r="S286" s="3" t="str" cm="1">
        <f t="array" ref="S286">IF(A286="","",IFERROR(TRIM(INDEX(_xlfn.TEXTSPLIT(IFERROR(VLOOKUP(A286,'Production Schedule'!$B:$FU,150,FALSE),""),CHAR(10)),4)),""))</f>
        <v/>
      </c>
      <c r="T286" s="5" t="str">
        <f t="shared" si="35"/>
        <v/>
      </c>
      <c r="U286" s="3" t="str" cm="1">
        <f t="array" ref="U286">IF(A286="","",IFERROR(TRIM(INDEX(_xlfn.TEXTSPLIT(IFERROR(VLOOKUP(A286,'Production Schedule'!$B:$FU,150,FALSE),""),CHAR(10)),5)),""))</f>
        <v/>
      </c>
      <c r="V286" s="5" t="str">
        <f t="shared" si="36"/>
        <v/>
      </c>
      <c r="W286" s="3" t="str" cm="1">
        <f t="array" ref="W286">IF(A286="","",IFERROR(TRIM(INDEX(_xlfn.TEXTSPLIT(IFERROR(VLOOKUP(A286,'Production Schedule'!$B:$FU,150,FALSE),""),CHAR(10)),6)),""))</f>
        <v/>
      </c>
      <c r="X286" s="5" t="str">
        <f t="shared" si="37"/>
        <v/>
      </c>
      <c r="Y286" s="6">
        <f t="shared" si="40"/>
        <v>46094</v>
      </c>
      <c r="Z286" s="7" t="str">
        <f>IF(A286="","",IF(IFERROR(VLOOKUP(A286,Notes!A:B,2,FALSE),"")=0,"",VLOOKUP(A286,Notes!A:B,2,FALSE)))</f>
        <v>03/23...Next for Titans--1 of 3 still late*03/24 Corrections*03/26…Titans Line*03/30…Crating*03/31…Crating*04/16/2026…RTS Titans</v>
      </c>
      <c r="AA286">
        <f t="shared" si="41"/>
        <v>2</v>
      </c>
    </row>
    <row r="287" spans="1:27" x14ac:dyDescent="0.25">
      <c r="A287" t="str">
        <v>24051-FS29C</v>
      </c>
      <c r="B287" t="str">
        <f>IF(A287="","",IFERROR(VLOOKUP(A287,'Production Schedule'!$B:$FU,3,FALSE),""))</f>
        <v>TN Titans Stadium</v>
      </c>
      <c r="C287" t="str">
        <f>IF(A287="","",IFERROR(VLOOKUP(A287,'Production Schedule'!$B:$FU,5,FALSE),""))</f>
        <v>Marc Ribar</v>
      </c>
      <c r="D287">
        <f>IF(A287="","",IFERROR(VLOOKUP(A287,'Production Schedule'!$B:$FU,7,FALSE),""))</f>
        <v>400</v>
      </c>
      <c r="E287">
        <f>IF(A287="","",IFERROR(VLOOKUP(A287,'Production Schedule'!$B:$FU,17,FALSE),""))</f>
        <v>26</v>
      </c>
      <c r="F287">
        <f>IF(A287="","",IFERROR(VLOOKUP(A287,'Production Schedule'!$B:$FU,18,FALSE),""))</f>
        <v>26</v>
      </c>
      <c r="G287" t="str">
        <f>IF(A287="","",IFERROR(VLOOKUP(A287,'Production Schedule'!$B:$FU,25,FALSE),""))</f>
        <v>FR ACM</v>
      </c>
      <c r="H287" s="1">
        <f>IF(A287="","",IFERROR(VLOOKUP(A287,'Production Schedule'!$B:$FU,47,FALSE),""))</f>
        <v>46055.404163067127</v>
      </c>
      <c r="I287" s="1">
        <f>IF(A287="","",IFERROR(VLOOKUP(A287,'Production Schedule'!$B:$FU,54,FALSE),""))</f>
        <v>46097</v>
      </c>
      <c r="J287">
        <f>IF(A287="","",IFERROR(VLOOKUP(A287,'Production Schedule'!$B:$FU,135,FALSE),""))</f>
        <v>40</v>
      </c>
      <c r="K287" t="str">
        <f>IF(A287="","",IFERROR(VLOOKUP(A287,'Production Schedule'!$B:$FU,59,FALSE),""))</f>
        <v>YES</v>
      </c>
      <c r="L287" t="str">
        <f>IF(A287="","",IFERROR(VLOOKUP(A287,'Production Schedule'!$B:$FU,80,FALSE),""))</f>
        <v>RTS Titans</v>
      </c>
      <c r="M287" s="3" t="str" cm="1">
        <f t="array" ref="M287">IF(A287="","",IFERROR(TRIM(INDEX(_xlfn.TEXTSPLIT(IFERROR(VLOOKUP(A287,'Production Schedule'!$B:$FU,150,FALSE),""),CHAR(10)),1)),""))</f>
        <v>AXYZ Titans Line</v>
      </c>
      <c r="N287" s="5">
        <f t="shared" si="32"/>
        <v>46072</v>
      </c>
      <c r="O287" s="3" t="str" cm="1">
        <f t="array" ref="O287">IF(A287="","",IFERROR(TRIM(INDEX(_xlfn.TEXTSPLIT(IFERROR(VLOOKUP(A287,'Production Schedule'!$B:$FU,150,FALSE),""),CHAR(10)),2)),""))</f>
        <v>Clean and Brake</v>
      </c>
      <c r="P287" s="5">
        <f t="shared" si="33"/>
        <v>46073</v>
      </c>
      <c r="Q287" s="3" t="str" cm="1">
        <f t="array" ref="Q287">IF(A287="","",IFERROR(TRIM(INDEX(_xlfn.TEXTSPLIT(IFERROR(VLOOKUP(A287,'Production Schedule'!$B:$FU,150,FALSE),""),CHAR(10)),3)),""))</f>
        <v>Fab</v>
      </c>
      <c r="R287" s="5">
        <f t="shared" si="34"/>
        <v>46084</v>
      </c>
      <c r="S287" s="3" t="str" cm="1">
        <f t="array" ref="S287">IF(A287="","",IFERROR(TRIM(INDEX(_xlfn.TEXTSPLIT(IFERROR(VLOOKUP(A287,'Production Schedule'!$B:$FU,150,FALSE),""),CHAR(10)),4)),""))</f>
        <v/>
      </c>
      <c r="T287" s="5" t="str">
        <f t="shared" si="35"/>
        <v/>
      </c>
      <c r="U287" s="3" t="str" cm="1">
        <f t="array" ref="U287">IF(A287="","",IFERROR(TRIM(INDEX(_xlfn.TEXTSPLIT(IFERROR(VLOOKUP(A287,'Production Schedule'!$B:$FU,150,FALSE),""),CHAR(10)),5)),""))</f>
        <v/>
      </c>
      <c r="V287" s="5" t="str">
        <f t="shared" si="36"/>
        <v/>
      </c>
      <c r="W287" s="3" t="str" cm="1">
        <f t="array" ref="W287">IF(A287="","",IFERROR(TRIM(INDEX(_xlfn.TEXTSPLIT(IFERROR(VLOOKUP(A287,'Production Schedule'!$B:$FU,150,FALSE),""),CHAR(10)),6)),""))</f>
        <v/>
      </c>
      <c r="X287" s="5" t="str">
        <f t="shared" si="37"/>
        <v/>
      </c>
      <c r="Y287" s="6">
        <f t="shared" si="40"/>
        <v>46094</v>
      </c>
      <c r="Z287" s="7" t="str">
        <f>IF(A287="","",IF(IFERROR(VLOOKUP(A287,Notes!A:B,2,FALSE),"")=0,"",VLOOKUP(A287,Notes!A:B,2,FALSE)))</f>
        <v>04/16/2026…RTS Titans</v>
      </c>
      <c r="AA287">
        <f t="shared" si="41"/>
        <v>2</v>
      </c>
    </row>
    <row r="288" spans="1:27" x14ac:dyDescent="0.25">
      <c r="A288" t="str">
        <v>24051-FS82</v>
      </c>
      <c r="B288" t="str">
        <f>IF(A288="","",IFERROR(VLOOKUP(A288,'Production Schedule'!$B:$FU,3,FALSE),""))</f>
        <v>TN Titans Stadium</v>
      </c>
      <c r="C288" t="str">
        <f>IF(A288="","",IFERROR(VLOOKUP(A288,'Production Schedule'!$B:$FU,5,FALSE),""))</f>
        <v>Marc Ribar</v>
      </c>
      <c r="D288">
        <f>IF(A288="","",IFERROR(VLOOKUP(A288,'Production Schedule'!$B:$FU,7,FALSE),""))</f>
        <v>400</v>
      </c>
      <c r="E288">
        <f>IF(A288="","",IFERROR(VLOOKUP(A288,'Production Schedule'!$B:$FU,17,FALSE),""))</f>
        <v>4</v>
      </c>
      <c r="F288">
        <f>IF(A288="","",IFERROR(VLOOKUP(A288,'Production Schedule'!$B:$FU,18,FALSE),""))</f>
        <v>4</v>
      </c>
      <c r="G288" t="str">
        <f>IF(A288="","",IFERROR(VLOOKUP(A288,'Production Schedule'!$B:$FU,25,FALSE),""))</f>
        <v>FR ACM</v>
      </c>
      <c r="H288" s="1">
        <f>IF(A288="","",IFERROR(VLOOKUP(A288,'Production Schedule'!$B:$FU,47,FALSE),""))</f>
        <v>46055.558022939818</v>
      </c>
      <c r="I288" s="1">
        <f>IF(A288="","",IFERROR(VLOOKUP(A288,'Production Schedule'!$B:$FU,54,FALSE),""))</f>
        <v>46097</v>
      </c>
      <c r="J288">
        <f>IF(A288="","",IFERROR(VLOOKUP(A288,'Production Schedule'!$B:$FU,135,FALSE),""))</f>
        <v>8</v>
      </c>
      <c r="K288" t="str">
        <f>IF(A288="","",IFERROR(VLOOKUP(A288,'Production Schedule'!$B:$FU,59,FALSE),""))</f>
        <v>YES</v>
      </c>
      <c r="L288" t="str">
        <f>IF(A288="","",IFERROR(VLOOKUP(A288,'Production Schedule'!$B:$FU,80,FALSE),""))</f>
        <v>RTS Titans</v>
      </c>
      <c r="M288" s="3" t="str" cm="1">
        <f t="array" ref="M288">IF(A288="","",IFERROR(TRIM(INDEX(_xlfn.TEXTSPLIT(IFERROR(VLOOKUP(A288,'Production Schedule'!$B:$FU,150,FALSE),""),CHAR(10)),1)),""))</f>
        <v>AXYZ Titans Line</v>
      </c>
      <c r="N288" s="5">
        <f t="shared" si="32"/>
        <v>46072</v>
      </c>
      <c r="O288" s="3" t="str" cm="1">
        <f t="array" ref="O288">IF(A288="","",IFERROR(TRIM(INDEX(_xlfn.TEXTSPLIT(IFERROR(VLOOKUP(A288,'Production Schedule'!$B:$FU,150,FALSE),""),CHAR(10)),2)),""))</f>
        <v>Clean and Brake</v>
      </c>
      <c r="P288" s="5">
        <f t="shared" si="33"/>
        <v>46073</v>
      </c>
      <c r="Q288" s="3" t="str" cm="1">
        <f t="array" ref="Q288">IF(A288="","",IFERROR(TRIM(INDEX(_xlfn.TEXTSPLIT(IFERROR(VLOOKUP(A288,'Production Schedule'!$B:$FU,150,FALSE),""),CHAR(10)),3)),""))</f>
        <v>Fab</v>
      </c>
      <c r="R288" s="5">
        <f t="shared" si="34"/>
        <v>46084</v>
      </c>
      <c r="S288" s="3" t="str" cm="1">
        <f t="array" ref="S288">IF(A288="","",IFERROR(TRIM(INDEX(_xlfn.TEXTSPLIT(IFERROR(VLOOKUP(A288,'Production Schedule'!$B:$FU,150,FALSE),""),CHAR(10)),4)),""))</f>
        <v/>
      </c>
      <c r="T288" s="5" t="str">
        <f t="shared" si="35"/>
        <v/>
      </c>
      <c r="U288" s="3" t="str" cm="1">
        <f t="array" ref="U288">IF(A288="","",IFERROR(TRIM(INDEX(_xlfn.TEXTSPLIT(IFERROR(VLOOKUP(A288,'Production Schedule'!$B:$FU,150,FALSE),""),CHAR(10)),5)),""))</f>
        <v/>
      </c>
      <c r="V288" s="5" t="str">
        <f t="shared" si="36"/>
        <v/>
      </c>
      <c r="W288" s="3" t="str" cm="1">
        <f t="array" ref="W288">IF(A288="","",IFERROR(TRIM(INDEX(_xlfn.TEXTSPLIT(IFERROR(VLOOKUP(A288,'Production Schedule'!$B:$FU,150,FALSE),""),CHAR(10)),6)),""))</f>
        <v/>
      </c>
      <c r="X288" s="5" t="str">
        <f t="shared" si="37"/>
        <v/>
      </c>
      <c r="Y288" s="6">
        <f t="shared" si="40"/>
        <v>46094</v>
      </c>
      <c r="Z288" s="7" t="str">
        <f>IF(A288="","",IF(IFERROR(VLOOKUP(A288,Notes!A:B,2,FALSE),"")=0,"",VLOOKUP(A288,Notes!A:B,2,FALSE)))</f>
        <v>04/16/2026…RTS Titans</v>
      </c>
      <c r="AA288">
        <f t="shared" si="41"/>
        <v>2</v>
      </c>
    </row>
    <row r="289" spans="1:27" x14ac:dyDescent="0.25">
      <c r="A289" t="str">
        <v>24051-FS83</v>
      </c>
      <c r="B289" t="str">
        <f>IF(A289="","",IFERROR(VLOOKUP(A289,'Production Schedule'!$B:$FU,3,FALSE),""))</f>
        <v>TN Titans Stadium</v>
      </c>
      <c r="C289" t="str">
        <f>IF(A289="","",IFERROR(VLOOKUP(A289,'Production Schedule'!$B:$FU,5,FALSE),""))</f>
        <v>Marc Ribar</v>
      </c>
      <c r="D289">
        <f>IF(A289="","",IFERROR(VLOOKUP(A289,'Production Schedule'!$B:$FU,7,FALSE),""))</f>
        <v>400</v>
      </c>
      <c r="E289">
        <f>IF(A289="","",IFERROR(VLOOKUP(A289,'Production Schedule'!$B:$FU,17,FALSE),""))</f>
        <v>4</v>
      </c>
      <c r="F289">
        <f>IF(A289="","",IFERROR(VLOOKUP(A289,'Production Schedule'!$B:$FU,18,FALSE),""))</f>
        <v>4</v>
      </c>
      <c r="G289" t="str">
        <f>IF(A289="","",IFERROR(VLOOKUP(A289,'Production Schedule'!$B:$FU,25,FALSE),""))</f>
        <v>FR ACM</v>
      </c>
      <c r="H289" s="1">
        <f>IF(A289="","",IFERROR(VLOOKUP(A289,'Production Schedule'!$B:$FU,47,FALSE),""))</f>
        <v>46055.559497048613</v>
      </c>
      <c r="I289" s="1">
        <f>IF(A289="","",IFERROR(VLOOKUP(A289,'Production Schedule'!$B:$FU,54,FALSE),""))</f>
        <v>46097</v>
      </c>
      <c r="J289">
        <f>IF(A289="","",IFERROR(VLOOKUP(A289,'Production Schedule'!$B:$FU,135,FALSE),""))</f>
        <v>8</v>
      </c>
      <c r="K289" t="str">
        <f>IF(A289="","",IFERROR(VLOOKUP(A289,'Production Schedule'!$B:$FU,59,FALSE),""))</f>
        <v>YES</v>
      </c>
      <c r="L289" t="str">
        <f>IF(A289="","",IFERROR(VLOOKUP(A289,'Production Schedule'!$B:$FU,80,FALSE),""))</f>
        <v>RTS Titans</v>
      </c>
      <c r="M289" s="3" t="str" cm="1">
        <f t="array" ref="M289">IF(A289="","",IFERROR(TRIM(INDEX(_xlfn.TEXTSPLIT(IFERROR(VLOOKUP(A289,'Production Schedule'!$B:$FU,150,FALSE),""),CHAR(10)),1)),""))</f>
        <v>AXYZ Titans Line</v>
      </c>
      <c r="N289" s="5">
        <f t="shared" si="32"/>
        <v>46072</v>
      </c>
      <c r="O289" s="3" t="str" cm="1">
        <f t="array" ref="O289">IF(A289="","",IFERROR(TRIM(INDEX(_xlfn.TEXTSPLIT(IFERROR(VLOOKUP(A289,'Production Schedule'!$B:$FU,150,FALSE),""),CHAR(10)),2)),""))</f>
        <v>Clean and Brake</v>
      </c>
      <c r="P289" s="5">
        <f t="shared" si="33"/>
        <v>46073</v>
      </c>
      <c r="Q289" s="3" t="str" cm="1">
        <f t="array" ref="Q289">IF(A289="","",IFERROR(TRIM(INDEX(_xlfn.TEXTSPLIT(IFERROR(VLOOKUP(A289,'Production Schedule'!$B:$FU,150,FALSE),""),CHAR(10)),3)),""))</f>
        <v>Fab</v>
      </c>
      <c r="R289" s="5">
        <f t="shared" si="34"/>
        <v>46084</v>
      </c>
      <c r="S289" s="3" t="str" cm="1">
        <f t="array" ref="S289">IF(A289="","",IFERROR(TRIM(INDEX(_xlfn.TEXTSPLIT(IFERROR(VLOOKUP(A289,'Production Schedule'!$B:$FU,150,FALSE),""),CHAR(10)),4)),""))</f>
        <v/>
      </c>
      <c r="T289" s="5" t="str">
        <f t="shared" si="35"/>
        <v/>
      </c>
      <c r="U289" s="3" t="str" cm="1">
        <f t="array" ref="U289">IF(A289="","",IFERROR(TRIM(INDEX(_xlfn.TEXTSPLIT(IFERROR(VLOOKUP(A289,'Production Schedule'!$B:$FU,150,FALSE),""),CHAR(10)),5)),""))</f>
        <v/>
      </c>
      <c r="V289" s="5" t="str">
        <f t="shared" si="36"/>
        <v/>
      </c>
      <c r="W289" s="3" t="str" cm="1">
        <f t="array" ref="W289">IF(A289="","",IFERROR(TRIM(INDEX(_xlfn.TEXTSPLIT(IFERROR(VLOOKUP(A289,'Production Schedule'!$B:$FU,150,FALSE),""),CHAR(10)),6)),""))</f>
        <v/>
      </c>
      <c r="X289" s="5" t="str">
        <f t="shared" si="37"/>
        <v/>
      </c>
      <c r="Y289" s="6">
        <f t="shared" si="40"/>
        <v>46094</v>
      </c>
      <c r="Z289" s="7" t="str">
        <f>IF(A289="","",IF(IFERROR(VLOOKUP(A289,Notes!A:B,2,FALSE),"")=0,"",VLOOKUP(A289,Notes!A:B,2,FALSE)))</f>
        <v>04/16/2026…RTS Titans</v>
      </c>
      <c r="AA289">
        <f t="shared" si="41"/>
        <v>2</v>
      </c>
    </row>
    <row r="290" spans="1:27" x14ac:dyDescent="0.25">
      <c r="A290" t="str">
        <v>24051-FS84</v>
      </c>
      <c r="B290" t="str">
        <f>IF(A290="","",IFERROR(VLOOKUP(A290,'Production Schedule'!$B:$FU,3,FALSE),""))</f>
        <v>TN Titans Stadium</v>
      </c>
      <c r="C290" t="str">
        <f>IF(A290="","",IFERROR(VLOOKUP(A290,'Production Schedule'!$B:$FU,5,FALSE),""))</f>
        <v>Marc Ribar</v>
      </c>
      <c r="D290">
        <f>IF(A290="","",IFERROR(VLOOKUP(A290,'Production Schedule'!$B:$FU,7,FALSE),""))</f>
        <v>400</v>
      </c>
      <c r="E290">
        <f>IF(A290="","",IFERROR(VLOOKUP(A290,'Production Schedule'!$B:$FU,17,FALSE),""))</f>
        <v>24</v>
      </c>
      <c r="F290">
        <f>IF(A290="","",IFERROR(VLOOKUP(A290,'Production Schedule'!$B:$FU,18,FALSE),""))</f>
        <v>24</v>
      </c>
      <c r="G290" t="str">
        <f>IF(A290="","",IFERROR(VLOOKUP(A290,'Production Schedule'!$B:$FU,25,FALSE),""))</f>
        <v>FR ACM</v>
      </c>
      <c r="H290" s="1">
        <f>IF(A290="","",IFERROR(VLOOKUP(A290,'Production Schedule'!$B:$FU,47,FALSE),""))</f>
        <v>46055.582964965281</v>
      </c>
      <c r="I290" s="1">
        <f>IF(A290="","",IFERROR(VLOOKUP(A290,'Production Schedule'!$B:$FU,54,FALSE),""))</f>
        <v>46097</v>
      </c>
      <c r="J290">
        <f>IF(A290="","",IFERROR(VLOOKUP(A290,'Production Schedule'!$B:$FU,135,FALSE),""))</f>
        <v>40</v>
      </c>
      <c r="K290" t="str">
        <f>IF(A290="","",IFERROR(VLOOKUP(A290,'Production Schedule'!$B:$FU,59,FALSE),""))</f>
        <v>YES</v>
      </c>
      <c r="L290" t="str">
        <f>IF(A290="","",IFERROR(VLOOKUP(A290,'Production Schedule'!$B:$FU,80,FALSE),""))</f>
        <v>RTS Titans</v>
      </c>
      <c r="M290" s="3" t="str" cm="1">
        <f t="array" ref="M290">IF(A290="","",IFERROR(TRIM(INDEX(_xlfn.TEXTSPLIT(IFERROR(VLOOKUP(A290,'Production Schedule'!$B:$FU,150,FALSE),""),CHAR(10)),1)),""))</f>
        <v>AXYZ Titans Line</v>
      </c>
      <c r="N290" s="5">
        <f t="shared" si="32"/>
        <v>46072</v>
      </c>
      <c r="O290" s="3" t="str" cm="1">
        <f t="array" ref="O290">IF(A290="","",IFERROR(TRIM(INDEX(_xlfn.TEXTSPLIT(IFERROR(VLOOKUP(A290,'Production Schedule'!$B:$FU,150,FALSE),""),CHAR(10)),2)),""))</f>
        <v>Clean and Brake</v>
      </c>
      <c r="P290" s="5">
        <f t="shared" si="33"/>
        <v>46073</v>
      </c>
      <c r="Q290" s="3" t="str" cm="1">
        <f t="array" ref="Q290">IF(A290="","",IFERROR(TRIM(INDEX(_xlfn.TEXTSPLIT(IFERROR(VLOOKUP(A290,'Production Schedule'!$B:$FU,150,FALSE),""),CHAR(10)),3)),""))</f>
        <v>Fab</v>
      </c>
      <c r="R290" s="5">
        <f t="shared" si="34"/>
        <v>46084</v>
      </c>
      <c r="S290" s="3" t="str" cm="1">
        <f t="array" ref="S290">IF(A290="","",IFERROR(TRIM(INDEX(_xlfn.TEXTSPLIT(IFERROR(VLOOKUP(A290,'Production Schedule'!$B:$FU,150,FALSE),""),CHAR(10)),4)),""))</f>
        <v/>
      </c>
      <c r="T290" s="5" t="str">
        <f t="shared" si="35"/>
        <v/>
      </c>
      <c r="U290" s="3" t="str" cm="1">
        <f t="array" ref="U290">IF(A290="","",IFERROR(TRIM(INDEX(_xlfn.TEXTSPLIT(IFERROR(VLOOKUP(A290,'Production Schedule'!$B:$FU,150,FALSE),""),CHAR(10)),5)),""))</f>
        <v/>
      </c>
      <c r="V290" s="5" t="str">
        <f t="shared" si="36"/>
        <v/>
      </c>
      <c r="W290" s="3" t="str" cm="1">
        <f t="array" ref="W290">IF(A290="","",IFERROR(TRIM(INDEX(_xlfn.TEXTSPLIT(IFERROR(VLOOKUP(A290,'Production Schedule'!$B:$FU,150,FALSE),""),CHAR(10)),6)),""))</f>
        <v/>
      </c>
      <c r="X290" s="5" t="str">
        <f t="shared" si="37"/>
        <v/>
      </c>
      <c r="Y290" s="6">
        <f t="shared" si="40"/>
        <v>46094</v>
      </c>
      <c r="Z290" s="7" t="str">
        <f>IF(A290="","",IF(IFERROR(VLOOKUP(A290,Notes!A:B,2,FALSE),"")=0,"",VLOOKUP(A290,Notes!A:B,2,FALSE)))</f>
        <v>04/16/2026…RTS Titans</v>
      </c>
      <c r="AA290">
        <f t="shared" si="41"/>
        <v>2</v>
      </c>
    </row>
    <row r="291" spans="1:27" x14ac:dyDescent="0.25">
      <c r="A291" t="str">
        <v>24051-FS85</v>
      </c>
      <c r="B291" t="str">
        <f>IF(A291="","",IFERROR(VLOOKUP(A291,'Production Schedule'!$B:$FU,3,FALSE),""))</f>
        <v>TN Titans Stadium</v>
      </c>
      <c r="C291" t="str">
        <f>IF(A291="","",IFERROR(VLOOKUP(A291,'Production Schedule'!$B:$FU,5,FALSE),""))</f>
        <v>Marc Ribar</v>
      </c>
      <c r="D291">
        <f>IF(A291="","",IFERROR(VLOOKUP(A291,'Production Schedule'!$B:$FU,7,FALSE),""))</f>
        <v>400</v>
      </c>
      <c r="E291">
        <f>IF(A291="","",IFERROR(VLOOKUP(A291,'Production Schedule'!$B:$FU,17,FALSE),""))</f>
        <v>4</v>
      </c>
      <c r="F291">
        <f>IF(A291="","",IFERROR(VLOOKUP(A291,'Production Schedule'!$B:$FU,18,FALSE),""))</f>
        <v>4</v>
      </c>
      <c r="G291" t="str">
        <f>IF(A291="","",IFERROR(VLOOKUP(A291,'Production Schedule'!$B:$FU,25,FALSE),""))</f>
        <v>FR ACM</v>
      </c>
      <c r="H291" s="1">
        <f>IF(A291="","",IFERROR(VLOOKUP(A291,'Production Schedule'!$B:$FU,47,FALSE),""))</f>
        <v>46055.618752824077</v>
      </c>
      <c r="I291" s="1">
        <f>IF(A291="","",IFERROR(VLOOKUP(A291,'Production Schedule'!$B:$FU,54,FALSE),""))</f>
        <v>46097</v>
      </c>
      <c r="J291">
        <f>IF(A291="","",IFERROR(VLOOKUP(A291,'Production Schedule'!$B:$FU,135,FALSE),""))</f>
        <v>8</v>
      </c>
      <c r="K291" t="str">
        <f>IF(A291="","",IFERROR(VLOOKUP(A291,'Production Schedule'!$B:$FU,59,FALSE),""))</f>
        <v>YES</v>
      </c>
      <c r="L291" t="str">
        <f>IF(A291="","",IFERROR(VLOOKUP(A291,'Production Schedule'!$B:$FU,80,FALSE),""))</f>
        <v>RTS Titans</v>
      </c>
      <c r="M291" s="3" t="str" cm="1">
        <f t="array" ref="M291">IF(A291="","",IFERROR(TRIM(INDEX(_xlfn.TEXTSPLIT(IFERROR(VLOOKUP(A291,'Production Schedule'!$B:$FU,150,FALSE),""),CHAR(10)),1)),""))</f>
        <v>AXYZ Titans Line</v>
      </c>
      <c r="N291" s="5">
        <f t="shared" si="32"/>
        <v>46072</v>
      </c>
      <c r="O291" s="3" t="str" cm="1">
        <f t="array" ref="O291">IF(A291="","",IFERROR(TRIM(INDEX(_xlfn.TEXTSPLIT(IFERROR(VLOOKUP(A291,'Production Schedule'!$B:$FU,150,FALSE),""),CHAR(10)),2)),""))</f>
        <v>Clean and Brake</v>
      </c>
      <c r="P291" s="5">
        <f t="shared" si="33"/>
        <v>46073</v>
      </c>
      <c r="Q291" s="3" t="str" cm="1">
        <f t="array" ref="Q291">IF(A291="","",IFERROR(TRIM(INDEX(_xlfn.TEXTSPLIT(IFERROR(VLOOKUP(A291,'Production Schedule'!$B:$FU,150,FALSE),""),CHAR(10)),3)),""))</f>
        <v>Fab</v>
      </c>
      <c r="R291" s="5">
        <f t="shared" si="34"/>
        <v>46084</v>
      </c>
      <c r="S291" s="3" t="str" cm="1">
        <f t="array" ref="S291">IF(A291="","",IFERROR(TRIM(INDEX(_xlfn.TEXTSPLIT(IFERROR(VLOOKUP(A291,'Production Schedule'!$B:$FU,150,FALSE),""),CHAR(10)),4)),""))</f>
        <v/>
      </c>
      <c r="T291" s="5" t="str">
        <f t="shared" si="35"/>
        <v/>
      </c>
      <c r="U291" s="3" t="str" cm="1">
        <f t="array" ref="U291">IF(A291="","",IFERROR(TRIM(INDEX(_xlfn.TEXTSPLIT(IFERROR(VLOOKUP(A291,'Production Schedule'!$B:$FU,150,FALSE),""),CHAR(10)),5)),""))</f>
        <v/>
      </c>
      <c r="V291" s="5" t="str">
        <f t="shared" si="36"/>
        <v/>
      </c>
      <c r="W291" s="3" t="str" cm="1">
        <f t="array" ref="W291">IF(A291="","",IFERROR(TRIM(INDEX(_xlfn.TEXTSPLIT(IFERROR(VLOOKUP(A291,'Production Schedule'!$B:$FU,150,FALSE),""),CHAR(10)),6)),""))</f>
        <v/>
      </c>
      <c r="X291" s="5" t="str">
        <f t="shared" si="37"/>
        <v/>
      </c>
      <c r="Y291" s="6">
        <f t="shared" si="40"/>
        <v>46094</v>
      </c>
      <c r="Z291" s="7" t="str">
        <f>IF(A291="","",IF(IFERROR(VLOOKUP(A291,Notes!A:B,2,FALSE),"")=0,"",VLOOKUP(A291,Notes!A:B,2,FALSE)))</f>
        <v>04/16/2026…RTS Titans</v>
      </c>
      <c r="AA291">
        <f t="shared" si="41"/>
        <v>2</v>
      </c>
    </row>
    <row r="292" spans="1:27" x14ac:dyDescent="0.25">
      <c r="A292" t="str">
        <v>24051-FS26C</v>
      </c>
      <c r="B292" t="str">
        <f>IF(A292="","",IFERROR(VLOOKUP(A292,'Production Schedule'!$B:$FU,3,FALSE),""))</f>
        <v>TN Titans Stadium</v>
      </c>
      <c r="C292" t="str">
        <f>IF(A292="","",IFERROR(VLOOKUP(A292,'Production Schedule'!$B:$FU,5,FALSE),""))</f>
        <v>Marc Ribar</v>
      </c>
      <c r="D292">
        <f>IF(A292="","",IFERROR(VLOOKUP(A292,'Production Schedule'!$B:$FU,7,FALSE),""))</f>
        <v>400</v>
      </c>
      <c r="E292">
        <f>IF(A292="","",IFERROR(VLOOKUP(A292,'Production Schedule'!$B:$FU,17,FALSE),""))</f>
        <v>26</v>
      </c>
      <c r="F292">
        <f>IF(A292="","",IFERROR(VLOOKUP(A292,'Production Schedule'!$B:$FU,18,FALSE),""))</f>
        <v>26</v>
      </c>
      <c r="G292" t="str">
        <f>IF(A292="","",IFERROR(VLOOKUP(A292,'Production Schedule'!$B:$FU,25,FALSE),""))</f>
        <v>FR ACM</v>
      </c>
      <c r="H292" s="1">
        <f>IF(A292="","",IFERROR(VLOOKUP(A292,'Production Schedule'!$B:$FU,47,FALSE),""))</f>
        <v>46055.390477337962</v>
      </c>
      <c r="I292" s="1">
        <f>IF(A292="","",IFERROR(VLOOKUP(A292,'Production Schedule'!$B:$FU,54,FALSE),""))</f>
        <v>46097</v>
      </c>
      <c r="J292">
        <f>IF(A292="","",IFERROR(VLOOKUP(A292,'Production Schedule'!$B:$FU,135,FALSE),""))</f>
        <v>40</v>
      </c>
      <c r="K292" t="str">
        <f>IF(A292="","",IFERROR(VLOOKUP(A292,'Production Schedule'!$B:$FU,59,FALSE),""))</f>
        <v>YES</v>
      </c>
      <c r="L292" t="str">
        <f>IF(A292="","",IFERROR(VLOOKUP(A292,'Production Schedule'!$B:$FU,80,FALSE),""))</f>
        <v>RTS Titans</v>
      </c>
      <c r="M292" s="3" t="str" cm="1">
        <f t="array" ref="M292">IF(A292="","",IFERROR(TRIM(INDEX(_xlfn.TEXTSPLIT(IFERROR(VLOOKUP(A292,'Production Schedule'!$B:$FU,150,FALSE),""),CHAR(10)),1)),""))</f>
        <v>AXYZ Titans Line</v>
      </c>
      <c r="N292" s="5">
        <f t="shared" si="32"/>
        <v>46072</v>
      </c>
      <c r="O292" s="3" t="str" cm="1">
        <f t="array" ref="O292">IF(A292="","",IFERROR(TRIM(INDEX(_xlfn.TEXTSPLIT(IFERROR(VLOOKUP(A292,'Production Schedule'!$B:$FU,150,FALSE),""),CHAR(10)),2)),""))</f>
        <v>Clean and Brake</v>
      </c>
      <c r="P292" s="5">
        <f t="shared" si="33"/>
        <v>46073</v>
      </c>
      <c r="Q292" s="3" t="str" cm="1">
        <f t="array" ref="Q292">IF(A292="","",IFERROR(TRIM(INDEX(_xlfn.TEXTSPLIT(IFERROR(VLOOKUP(A292,'Production Schedule'!$B:$FU,150,FALSE),""),CHAR(10)),3)),""))</f>
        <v>Fab</v>
      </c>
      <c r="R292" s="5">
        <f t="shared" si="34"/>
        <v>46084</v>
      </c>
      <c r="S292" s="3" t="str" cm="1">
        <f t="array" ref="S292">IF(A292="","",IFERROR(TRIM(INDEX(_xlfn.TEXTSPLIT(IFERROR(VLOOKUP(A292,'Production Schedule'!$B:$FU,150,FALSE),""),CHAR(10)),4)),""))</f>
        <v/>
      </c>
      <c r="T292" s="5" t="str">
        <f t="shared" si="35"/>
        <v/>
      </c>
      <c r="U292" s="3" t="str" cm="1">
        <f t="array" ref="U292">IF(A292="","",IFERROR(TRIM(INDEX(_xlfn.TEXTSPLIT(IFERROR(VLOOKUP(A292,'Production Schedule'!$B:$FU,150,FALSE),""),CHAR(10)),5)),""))</f>
        <v/>
      </c>
      <c r="V292" s="5" t="str">
        <f t="shared" si="36"/>
        <v/>
      </c>
      <c r="W292" s="3" t="str" cm="1">
        <f t="array" ref="W292">IF(A292="","",IFERROR(TRIM(INDEX(_xlfn.TEXTSPLIT(IFERROR(VLOOKUP(A292,'Production Schedule'!$B:$FU,150,FALSE),""),CHAR(10)),6)),""))</f>
        <v/>
      </c>
      <c r="X292" s="5" t="str">
        <f t="shared" si="37"/>
        <v/>
      </c>
      <c r="Y292" s="6">
        <f t="shared" si="40"/>
        <v>46094</v>
      </c>
      <c r="Z292" s="7" t="str">
        <f>IF(A292="","",IF(IFERROR(VLOOKUP(A292,Notes!A:B,2,FALSE),"")=0,"",VLOOKUP(A292,Notes!A:B,2,FALSE)))</f>
        <v>04/16/2026…RTS Titans</v>
      </c>
      <c r="AA292">
        <f t="shared" si="41"/>
        <v>2</v>
      </c>
    </row>
    <row r="293" spans="1:27" x14ac:dyDescent="0.25">
      <c r="A293" t="str">
        <v>25017-RO01</v>
      </c>
      <c r="B293" t="str">
        <f>IF(A293="","",IFERROR(VLOOKUP(A293,'Production Schedule'!$B:$FU,3,FALSE),""))</f>
        <v>Nashville Yards Park</v>
      </c>
      <c r="C293" t="str">
        <f>IF(A293="","",IFERROR(VLOOKUP(A293,'Production Schedule'!$B:$FU,5,FALSE),""))</f>
        <v>Dillon Bowman</v>
      </c>
      <c r="D293">
        <f>IF(A293="","",IFERROR(VLOOKUP(A293,'Production Schedule'!$B:$FU,7,FALSE),""))</f>
        <v>400</v>
      </c>
      <c r="E293">
        <f>IF(A293="","",IFERROR(VLOOKUP(A293,'Production Schedule'!$B:$FU,17,FALSE),""))</f>
        <v>1</v>
      </c>
      <c r="F293">
        <f>IF(A293="","",IFERROR(VLOOKUP(A293,'Production Schedule'!$B:$FU,18,FALSE),""))</f>
        <v>3</v>
      </c>
      <c r="G293" t="str">
        <f>IF(A293="","",IFERROR(VLOOKUP(A293,'Production Schedule'!$B:$FU,25,FALSE),""))</f>
        <v>FR ACM</v>
      </c>
      <c r="H293" s="1">
        <f>IF(A293="","",IFERROR(VLOOKUP(A293,'Production Schedule'!$B:$FU,47,FALSE),""))</f>
        <v>46083.664247025466</v>
      </c>
      <c r="I293" s="1">
        <f>IF(A293="","",IFERROR(VLOOKUP(A293,'Production Schedule'!$B:$FU,54,FALSE),""))</f>
        <v>46097</v>
      </c>
      <c r="J293">
        <f>IF(A293="","",IFERROR(VLOOKUP(A293,'Production Schedule'!$B:$FU,135,FALSE),""))</f>
        <v>3</v>
      </c>
      <c r="K293" t="str">
        <f>IF(A293="","",IFERROR(VLOOKUP(A293,'Production Schedule'!$B:$FU,59,FALSE),""))</f>
        <v>NO</v>
      </c>
      <c r="L293" t="str">
        <f>IF(A293="","",IFERROR(VLOOKUP(A293,'Production Schedule'!$B:$FU,80,FALSE),""))</f>
        <v>Ready to Ship</v>
      </c>
      <c r="M293" s="3" t="str" cm="1">
        <f t="array" ref="M293">IF(A293="","",IFERROR(TRIM(INDEX(_xlfn.TEXTSPLIT(IFERROR(VLOOKUP(A293,'Production Schedule'!$B:$FU,150,FALSE),""),CHAR(10)),1)),""))</f>
        <v>AXYZ Titans Line</v>
      </c>
      <c r="N293" s="5">
        <f t="shared" si="32"/>
        <v>46072</v>
      </c>
      <c r="O293" s="3" t="str" cm="1">
        <f t="array" ref="O293">IF(A293="","",IFERROR(TRIM(INDEX(_xlfn.TEXTSPLIT(IFERROR(VLOOKUP(A293,'Production Schedule'!$B:$FU,150,FALSE),""),CHAR(10)),2)),""))</f>
        <v>Clean and Brake</v>
      </c>
      <c r="P293" s="5">
        <f t="shared" si="33"/>
        <v>46073</v>
      </c>
      <c r="Q293" s="3" t="str" cm="1">
        <f t="array" ref="Q293">IF(A293="","",IFERROR(TRIM(INDEX(_xlfn.TEXTSPLIT(IFERROR(VLOOKUP(A293,'Production Schedule'!$B:$FU,150,FALSE),""),CHAR(10)),3)),""))</f>
        <v>Fab</v>
      </c>
      <c r="R293" s="5">
        <f t="shared" si="34"/>
        <v>46084</v>
      </c>
      <c r="S293" s="3" t="str" cm="1">
        <f t="array" ref="S293">IF(A293="","",IFERROR(TRIM(INDEX(_xlfn.TEXTSPLIT(IFERROR(VLOOKUP(A293,'Production Schedule'!$B:$FU,150,FALSE),""),CHAR(10)),4)),""))</f>
        <v/>
      </c>
      <c r="T293" s="5" t="str">
        <f t="shared" si="35"/>
        <v/>
      </c>
      <c r="U293" s="3" t="str" cm="1">
        <f t="array" ref="U293">IF(A293="","",IFERROR(TRIM(INDEX(_xlfn.TEXTSPLIT(IFERROR(VLOOKUP(A293,'Production Schedule'!$B:$FU,150,FALSE),""),CHAR(10)),5)),""))</f>
        <v/>
      </c>
      <c r="V293" s="5" t="str">
        <f t="shared" si="36"/>
        <v/>
      </c>
      <c r="W293" s="3" t="str" cm="1">
        <f t="array" ref="W293">IF(A293="","",IFERROR(TRIM(INDEX(_xlfn.TEXTSPLIT(IFERROR(VLOOKUP(A293,'Production Schedule'!$B:$FU,150,FALSE),""),CHAR(10)),6)),""))</f>
        <v/>
      </c>
      <c r="X293" s="5" t="str">
        <f t="shared" si="37"/>
        <v/>
      </c>
      <c r="Y293" s="6">
        <f t="shared" si="40"/>
        <v>46094</v>
      </c>
      <c r="Z293" s="7" t="str">
        <f>IF(A293="","",IF(IFERROR(VLOOKUP(A293,Notes!A:B,2,FALSE),"")=0,"",VLOOKUP(A293,Notes!A:B,2,FALSE)))</f>
        <v>04/16/2026…Ready to Ship</v>
      </c>
      <c r="AA293">
        <f t="shared" si="41"/>
        <v>2</v>
      </c>
    </row>
    <row r="294" spans="1:27" x14ac:dyDescent="0.25">
      <c r="A294" t="str">
        <v>24051-FS13C</v>
      </c>
      <c r="B294" t="str">
        <f>IF(A294="","",IFERROR(VLOOKUP(A294,'Production Schedule'!$B:$FU,3,FALSE),""))</f>
        <v>TN Titans Stadium</v>
      </c>
      <c r="C294" t="str">
        <f>IF(A294="","",IFERROR(VLOOKUP(A294,'Production Schedule'!$B:$FU,5,FALSE),""))</f>
        <v>Marc Ribar</v>
      </c>
      <c r="D294">
        <f>IF(A294="","",IFERROR(VLOOKUP(A294,'Production Schedule'!$B:$FU,7,FALSE),""))</f>
        <v>400</v>
      </c>
      <c r="E294">
        <f>IF(A294="","",IFERROR(VLOOKUP(A294,'Production Schedule'!$B:$FU,17,FALSE),""))</f>
        <v>106</v>
      </c>
      <c r="F294">
        <f>IF(A294="","",IFERROR(VLOOKUP(A294,'Production Schedule'!$B:$FU,18,FALSE),""))</f>
        <v>106</v>
      </c>
      <c r="G294" t="str">
        <f>IF(A294="","",IFERROR(VLOOKUP(A294,'Production Schedule'!$B:$FU,25,FALSE),""))</f>
        <v>FR ACM</v>
      </c>
      <c r="H294" s="1">
        <f>IF(A294="","",IFERROR(VLOOKUP(A294,'Production Schedule'!$B:$FU,47,FALSE),""))</f>
        <v>46058.475767233795</v>
      </c>
      <c r="I294" s="1">
        <f>IF(A294="","",IFERROR(VLOOKUP(A294,'Production Schedule'!$B:$FU,54,FALSE),""))</f>
        <v>46101</v>
      </c>
      <c r="J294">
        <f>IF(A294="","",IFERROR(VLOOKUP(A294,'Production Schedule'!$B:$FU,135,FALSE),""))</f>
        <v>200</v>
      </c>
      <c r="K294" t="str">
        <f>IF(A294="","",IFERROR(VLOOKUP(A294,'Production Schedule'!$B:$FU,59,FALSE),""))</f>
        <v>YES</v>
      </c>
      <c r="L294" t="str">
        <f>IF(A294="","",IFERROR(VLOOKUP(A294,'Production Schedule'!$B:$FU,80,FALSE),""))</f>
        <v>RTS Titans</v>
      </c>
      <c r="M294" s="3" t="str" cm="1">
        <f t="array" ref="M294">IF(A294="","",IFERROR(TRIM(INDEX(_xlfn.TEXTSPLIT(IFERROR(VLOOKUP(A294,'Production Schedule'!$B:$FU,150,FALSE),""),CHAR(10)),1)),""))</f>
        <v>AXYZ Titans Line</v>
      </c>
      <c r="N294" s="5">
        <f t="shared" si="32"/>
        <v>46076</v>
      </c>
      <c r="O294" s="3" t="str" cm="1">
        <f t="array" ref="O294">IF(A294="","",IFERROR(TRIM(INDEX(_xlfn.TEXTSPLIT(IFERROR(VLOOKUP(A294,'Production Schedule'!$B:$FU,150,FALSE),""),CHAR(10)),2)),""))</f>
        <v>Clean and Brake</v>
      </c>
      <c r="P294" s="5">
        <f t="shared" si="33"/>
        <v>46078</v>
      </c>
      <c r="Q294" s="3" t="str" cm="1">
        <f t="array" ref="Q294">IF(A294="","",IFERROR(TRIM(INDEX(_xlfn.TEXTSPLIT(IFERROR(VLOOKUP(A294,'Production Schedule'!$B:$FU,150,FALSE),""),CHAR(10)),3)),""))</f>
        <v>Fab</v>
      </c>
      <c r="R294" s="5">
        <f t="shared" si="34"/>
        <v>46088</v>
      </c>
      <c r="S294" s="3" t="str" cm="1">
        <f t="array" ref="S294">IF(A294="","",IFERROR(TRIM(INDEX(_xlfn.TEXTSPLIT(IFERROR(VLOOKUP(A294,'Production Schedule'!$B:$FU,150,FALSE),""),CHAR(10)),4)),""))</f>
        <v/>
      </c>
      <c r="T294" s="5" t="str">
        <f t="shared" si="35"/>
        <v/>
      </c>
      <c r="U294" s="3" t="str" cm="1">
        <f t="array" ref="U294">IF(A294="","",IFERROR(TRIM(INDEX(_xlfn.TEXTSPLIT(IFERROR(VLOOKUP(A294,'Production Schedule'!$B:$FU,150,FALSE),""),CHAR(10)),5)),""))</f>
        <v/>
      </c>
      <c r="V294" s="5" t="str">
        <f t="shared" si="36"/>
        <v/>
      </c>
      <c r="W294" s="3" t="str" cm="1">
        <f t="array" ref="W294">IF(A294="","",IFERROR(TRIM(INDEX(_xlfn.TEXTSPLIT(IFERROR(VLOOKUP(A294,'Production Schedule'!$B:$FU,150,FALSE),""),CHAR(10)),6)),""))</f>
        <v/>
      </c>
      <c r="X294" s="5" t="str">
        <f t="shared" si="37"/>
        <v/>
      </c>
      <c r="Y294" s="6">
        <f t="shared" si="40"/>
        <v>46099</v>
      </c>
      <c r="Z294" s="7" t="str">
        <f>IF(A294="","",IF(IFERROR(VLOOKUP(A294,Notes!A:B,2,FALSE),"")=0,"",VLOOKUP(A294,Notes!A:B,2,FALSE)))</f>
        <v>04/16/2026…RTS Titans</v>
      </c>
      <c r="AA294">
        <f t="shared" si="41"/>
        <v>2</v>
      </c>
    </row>
    <row r="295" spans="1:27" x14ac:dyDescent="0.25">
      <c r="A295" t="str">
        <v>1040-30791-ST08</v>
      </c>
      <c r="B295" t="str">
        <f>IF(A295="","",IFERROR(VLOOKUP(A295,'Production Schedule'!$B:$FU,3,FALSE),""))</f>
        <v>AFI - YANCEY</v>
      </c>
      <c r="C295" t="str">
        <f>IF(A295="","",IFERROR(VLOOKUP(A295,'Production Schedule'!$B:$FU,5,FALSE),""))</f>
        <v>Hannah Sadloski, Lisa Ellison</v>
      </c>
      <c r="D295" t="str">
        <f>IF(A295="","",IFERROR(VLOOKUP(A295,'Production Schedule'!$B:$FU,7,FALSE),""))</f>
        <v>---</v>
      </c>
      <c r="E295">
        <f>IF(A295="","",IFERROR(VLOOKUP(A295,'Production Schedule'!$B:$FU,17,FALSE),""))</f>
        <v>0</v>
      </c>
      <c r="F295">
        <f>IF(A295="","",IFERROR(VLOOKUP(A295,'Production Schedule'!$B:$FU,18,FALSE),""))</f>
        <v>120</v>
      </c>
      <c r="G295" t="str">
        <f>IF(A295="","",IFERROR(VLOOKUP(A295,'Production Schedule'!$B:$FU,25,FALSE),""))</f>
        <v>Alum Tube</v>
      </c>
      <c r="H295" s="1">
        <f>IF(A295="","",IFERROR(VLOOKUP(A295,'Production Schedule'!$B:$FU,47,FALSE),""))</f>
        <v>46072.340058310183</v>
      </c>
      <c r="I295" s="1">
        <f>IF(A295="","",IFERROR(VLOOKUP(A295,'Production Schedule'!$B:$FU,54,FALSE),""))</f>
        <v>46101</v>
      </c>
      <c r="J295">
        <f>IF(A295="","",IFERROR(VLOOKUP(A295,'Production Schedule'!$B:$FU,135,FALSE),""))</f>
        <v>0</v>
      </c>
      <c r="K295" t="str">
        <f>IF(A295="","",IFERROR(VLOOKUP(A295,'Production Schedule'!$B:$FU,59,FALSE),""))</f>
        <v>YES</v>
      </c>
      <c r="L295" t="str">
        <f>IF(A295="","",IFERROR(VLOOKUP(A295,'Production Schedule'!$B:$FU,80,FALSE),""))</f>
        <v>Ready to Ship</v>
      </c>
      <c r="M295" s="3" t="str" cm="1">
        <f t="array" ref="M295">IF(A295="","",IFERROR(TRIM(INDEX(_xlfn.TEXTSPLIT(IFERROR(VLOOKUP(A295,'Production Schedule'!$B:$FU,150,FALSE),""),CHAR(10)),1)),""))</f>
        <v>Assembly</v>
      </c>
      <c r="N295" s="5">
        <f t="shared" si="32"/>
        <v>46078</v>
      </c>
      <c r="O295" s="3" t="str" cm="1">
        <f t="array" ref="O295">IF(A295="","",IFERROR(TRIM(INDEX(_xlfn.TEXTSPLIT(IFERROR(VLOOKUP(A295,'Production Schedule'!$B:$FU,150,FALSE),""),CHAR(10)),2)),""))</f>
        <v>Extrusion Saw</v>
      </c>
      <c r="P295" s="5">
        <f t="shared" si="33"/>
        <v>46088</v>
      </c>
      <c r="Q295" s="3" t="str" cm="1">
        <f t="array" ref="Q295">IF(A295="","",IFERROR(TRIM(INDEX(_xlfn.TEXTSPLIT(IFERROR(VLOOKUP(A295,'Production Schedule'!$B:$FU,150,FALSE),""),CHAR(10)),3)),""))</f>
        <v/>
      </c>
      <c r="R295" s="5" t="str">
        <f t="shared" si="34"/>
        <v/>
      </c>
      <c r="S295" s="3" t="str" cm="1">
        <f t="array" ref="S295">IF(A295="","",IFERROR(TRIM(INDEX(_xlfn.TEXTSPLIT(IFERROR(VLOOKUP(A295,'Production Schedule'!$B:$FU,150,FALSE),""),CHAR(10)),4)),""))</f>
        <v/>
      </c>
      <c r="T295" s="5" t="str">
        <f t="shared" si="35"/>
        <v/>
      </c>
      <c r="U295" s="3" t="str" cm="1">
        <f t="array" ref="U295">IF(A295="","",IFERROR(TRIM(INDEX(_xlfn.TEXTSPLIT(IFERROR(VLOOKUP(A295,'Production Schedule'!$B:$FU,150,FALSE),""),CHAR(10)),5)),""))</f>
        <v/>
      </c>
      <c r="V295" s="5" t="str">
        <f t="shared" si="36"/>
        <v/>
      </c>
      <c r="W295" s="3" t="str" cm="1">
        <f t="array" ref="W295">IF(A295="","",IFERROR(TRIM(INDEX(_xlfn.TEXTSPLIT(IFERROR(VLOOKUP(A295,'Production Schedule'!$B:$FU,150,FALSE),""),CHAR(10)),6)),""))</f>
        <v/>
      </c>
      <c r="X295" s="5" t="str">
        <f t="shared" si="37"/>
        <v/>
      </c>
      <c r="Y295" s="6">
        <f t="shared" si="40"/>
        <v>46099</v>
      </c>
      <c r="Z295" s="7" t="str">
        <f>IF(A295="","",IF(IFERROR(VLOOKUP(A295,Notes!A:B,2,FALSE),"")=0,"",VLOOKUP(A295,Notes!A:B,2,FALSE)))</f>
        <v>04/16/2026…Ready to Ship</v>
      </c>
      <c r="AA295">
        <f t="shared" si="41"/>
        <v>2</v>
      </c>
    </row>
    <row r="296" spans="1:27" x14ac:dyDescent="0.25">
      <c r="A296" t="str">
        <v>24051-FS76.1</v>
      </c>
      <c r="B296" t="str">
        <f>IF(A296="","",IFERROR(VLOOKUP(A296,'Production Schedule'!$B:$FU,3,FALSE),""))</f>
        <v>TN Titans Stadium</v>
      </c>
      <c r="C296" t="str">
        <f>IF(A296="","",IFERROR(VLOOKUP(A296,'Production Schedule'!$B:$FU,5,FALSE),""))</f>
        <v>Marc Ribar</v>
      </c>
      <c r="D296">
        <f>IF(A296="","",IFERROR(VLOOKUP(A296,'Production Schedule'!$B:$FU,7,FALSE),""))</f>
        <v>400</v>
      </c>
      <c r="E296">
        <f>IF(A296="","",IFERROR(VLOOKUP(A296,'Production Schedule'!$B:$FU,17,FALSE),""))</f>
        <v>74</v>
      </c>
      <c r="F296">
        <f>IF(A296="","",IFERROR(VLOOKUP(A296,'Production Schedule'!$B:$FU,18,FALSE),""))</f>
        <v>74</v>
      </c>
      <c r="G296" t="str">
        <f>IF(A296="","",IFERROR(VLOOKUP(A296,'Production Schedule'!$B:$FU,25,FALSE),""))</f>
        <v>FR ACM</v>
      </c>
      <c r="H296" s="1">
        <f>IF(A296="","",IFERROR(VLOOKUP(A296,'Production Schedule'!$B:$FU,47,FALSE),""))</f>
        <v>46065.580765196763</v>
      </c>
      <c r="I296" s="1">
        <f>IF(A296="","",IFERROR(VLOOKUP(A296,'Production Schedule'!$B:$FU,54,FALSE),""))</f>
        <v>46107</v>
      </c>
      <c r="J296">
        <f>IF(A296="","",IFERROR(VLOOKUP(A296,'Production Schedule'!$B:$FU,135,FALSE),""))</f>
        <v>200</v>
      </c>
      <c r="K296" t="str">
        <f>IF(A296="","",IFERROR(VLOOKUP(A296,'Production Schedule'!$B:$FU,59,FALSE),""))</f>
        <v>YES</v>
      </c>
      <c r="L296" t="str">
        <f>IF(A296="","",IFERROR(VLOOKUP(A296,'Production Schedule'!$B:$FU,80,FALSE),""))</f>
        <v>RTS Titans</v>
      </c>
      <c r="M296" s="3" t="str" cm="1">
        <f t="array" ref="M296">IF(A296="","",IFERROR(TRIM(INDEX(_xlfn.TEXTSPLIT(IFERROR(VLOOKUP(A296,'Production Schedule'!$B:$FU,150,FALSE),""),CHAR(10)),1)),""))</f>
        <v>AXYZ Titans Line</v>
      </c>
      <c r="N296" s="5">
        <f t="shared" si="32"/>
        <v>46081</v>
      </c>
      <c r="O296" s="3" t="str" cm="1">
        <f t="array" ref="O296">IF(A296="","",IFERROR(TRIM(INDEX(_xlfn.TEXTSPLIT(IFERROR(VLOOKUP(A296,'Production Schedule'!$B:$FU,150,FALSE),""),CHAR(10)),2)),""))</f>
        <v>Clean and Brake</v>
      </c>
      <c r="P296" s="5">
        <f t="shared" si="33"/>
        <v>46084</v>
      </c>
      <c r="Q296" s="3" t="str" cm="1">
        <f t="array" ref="Q296">IF(A296="","",IFERROR(TRIM(INDEX(_xlfn.TEXTSPLIT(IFERROR(VLOOKUP(A296,'Production Schedule'!$B:$FU,150,FALSE),""),CHAR(10)),3)),""))</f>
        <v>Fab</v>
      </c>
      <c r="R296" s="5">
        <f t="shared" si="34"/>
        <v>46094</v>
      </c>
      <c r="S296" s="3" t="str" cm="1">
        <f t="array" ref="S296">IF(A296="","",IFERROR(TRIM(INDEX(_xlfn.TEXTSPLIT(IFERROR(VLOOKUP(A296,'Production Schedule'!$B:$FU,150,FALSE),""),CHAR(10)),4)),""))</f>
        <v/>
      </c>
      <c r="T296" s="5" t="str">
        <f t="shared" si="35"/>
        <v/>
      </c>
      <c r="U296" s="3" t="str" cm="1">
        <f t="array" ref="U296">IF(A296="","",IFERROR(TRIM(INDEX(_xlfn.TEXTSPLIT(IFERROR(VLOOKUP(A296,'Production Schedule'!$B:$FU,150,FALSE),""),CHAR(10)),5)),""))</f>
        <v/>
      </c>
      <c r="V296" s="5" t="str">
        <f t="shared" si="36"/>
        <v/>
      </c>
      <c r="W296" s="3" t="str" cm="1">
        <f t="array" ref="W296">IF(A296="","",IFERROR(TRIM(INDEX(_xlfn.TEXTSPLIT(IFERROR(VLOOKUP(A296,'Production Schedule'!$B:$FU,150,FALSE),""),CHAR(10)),6)),""))</f>
        <v/>
      </c>
      <c r="X296" s="5" t="str">
        <f t="shared" si="37"/>
        <v/>
      </c>
      <c r="Y296" s="6">
        <f t="shared" si="40"/>
        <v>46105</v>
      </c>
      <c r="Z296" s="7" t="str">
        <f>IF(A296="","",IF(IFERROR(VLOOKUP(A296,Notes!A:B,2,FALSE),"")=0,"",VLOOKUP(A296,Notes!A:B,2,FALSE)))</f>
        <v>04/16/2026…RTS Titans</v>
      </c>
      <c r="AA296">
        <f t="shared" si="41"/>
        <v>2</v>
      </c>
    </row>
    <row r="297" spans="1:27" x14ac:dyDescent="0.25">
      <c r="A297" t="str">
        <v>24081-RO01</v>
      </c>
      <c r="B297" t="str">
        <f>IF(A297="","",IFERROR(VLOOKUP(A297,'Production Schedule'!$B:$FU,3,FALSE),""))</f>
        <v>DLR DFW37</v>
      </c>
      <c r="C297" t="str">
        <f>IF(A297="","",IFERROR(VLOOKUP(A297,'Production Schedule'!$B:$FU,5,FALSE),""))</f>
        <v>Cole Norona</v>
      </c>
      <c r="D297">
        <f>IF(A297="","",IFERROR(VLOOKUP(A297,'Production Schedule'!$B:$FU,7,FALSE),""))</f>
        <v>400</v>
      </c>
      <c r="E297">
        <f>IF(A297="","",IFERROR(VLOOKUP(A297,'Production Schedule'!$B:$FU,17,FALSE),""))</f>
        <v>1</v>
      </c>
      <c r="F297">
        <f>IF(A297="","",IFERROR(VLOOKUP(A297,'Production Schedule'!$B:$FU,18,FALSE),""))</f>
        <v>1</v>
      </c>
      <c r="G297" t="str">
        <f>IF(A297="","",IFERROR(VLOOKUP(A297,'Production Schedule'!$B:$FU,25,FALSE),""))</f>
        <v>Alum Sheet</v>
      </c>
      <c r="H297" s="1">
        <f>IF(A297="","",IFERROR(VLOOKUP(A297,'Production Schedule'!$B:$FU,47,FALSE),""))</f>
        <v>46104.372510787034</v>
      </c>
      <c r="I297" s="1">
        <f>IF(A297="","",IFERROR(VLOOKUP(A297,'Production Schedule'!$B:$FU,54,FALSE),""))</f>
        <v>46107</v>
      </c>
      <c r="J297">
        <f>IF(A297="","",IFERROR(VLOOKUP(A297,'Production Schedule'!$B:$FU,135,FALSE),""))</f>
        <v>2</v>
      </c>
      <c r="K297" t="str">
        <f>IF(A297="","",IFERROR(VLOOKUP(A297,'Production Schedule'!$B:$FU,59,FALSE),""))</f>
        <v>YES</v>
      </c>
      <c r="L297" t="str">
        <f>IF(A297="","",IFERROR(VLOOKUP(A297,'Production Schedule'!$B:$FU,80,FALSE),""))</f>
        <v>Shipped To Painter</v>
      </c>
      <c r="M297" s="3" t="str" cm="1">
        <f t="array" ref="M297">IF(A297="","",IFERROR(TRIM(INDEX(_xlfn.TEXTSPLIT(IFERROR(VLOOKUP(A297,'Production Schedule'!$B:$FU,150,FALSE),""),CHAR(10)),1)),""))</f>
        <v>7000 TruMatic</v>
      </c>
      <c r="N297" s="5">
        <f t="shared" si="32"/>
        <v>46070</v>
      </c>
      <c r="O297" s="3" t="str" cm="1">
        <f t="array" ref="O297">IF(A297="","",IFERROR(TRIM(INDEX(_xlfn.TEXTSPLIT(IFERROR(VLOOKUP(A297,'Production Schedule'!$B:$FU,150,FALSE),""),CHAR(10)),2)),""))</f>
        <v>Brake</v>
      </c>
      <c r="P297" s="5">
        <f t="shared" si="33"/>
        <v>46080</v>
      </c>
      <c r="Q297" s="3" t="str" cm="1">
        <f t="array" ref="Q297">IF(A297="","",IFERROR(TRIM(INDEX(_xlfn.TEXTSPLIT(IFERROR(VLOOKUP(A297,'Production Schedule'!$B:$FU,150,FALSE),""),CHAR(10)),3)),""))</f>
        <v>Fab</v>
      </c>
      <c r="R297" s="5">
        <f t="shared" si="34"/>
        <v>46091</v>
      </c>
      <c r="S297" s="3" t="str" cm="1">
        <f t="array" ref="S297">IF(A297="","",IFERROR(TRIM(INDEX(_xlfn.TEXTSPLIT(IFERROR(VLOOKUP(A297,'Production Schedule'!$B:$FU,150,FALSE),""),CHAR(10)),4)),""))</f>
        <v>Post Paint</v>
      </c>
      <c r="T297" s="5">
        <f t="shared" si="35"/>
        <v>46101</v>
      </c>
      <c r="U297" s="3" t="str" cm="1">
        <f t="array" ref="U297">IF(A297="","",IFERROR(TRIM(INDEX(_xlfn.TEXTSPLIT(IFERROR(VLOOKUP(A297,'Production Schedule'!$B:$FU,150,FALSE),""),CHAR(10)),5)),""))</f>
        <v/>
      </c>
      <c r="V297" s="5" t="str">
        <f t="shared" si="36"/>
        <v/>
      </c>
      <c r="W297" s="3" t="str" cm="1">
        <f t="array" ref="W297">IF(A297="","",IFERROR(TRIM(INDEX(_xlfn.TEXTSPLIT(IFERROR(VLOOKUP(A297,'Production Schedule'!$B:$FU,150,FALSE),""),CHAR(10)),6)),""))</f>
        <v/>
      </c>
      <c r="X297" s="5" t="str">
        <f t="shared" si="37"/>
        <v/>
      </c>
      <c r="Y297" s="6">
        <f t="shared" si="40"/>
        <v>46105</v>
      </c>
      <c r="Z297" s="7" t="str">
        <f>IF(A297="","",IF(IFERROR(VLOOKUP(A297,Notes!A:B,2,FALSE),"")=0,"",VLOOKUP(A297,Notes!A:B,2,FALSE)))</f>
        <v>04/16/2026…Shipped To Painter</v>
      </c>
      <c r="AA297">
        <f t="shared" si="41"/>
        <v>2</v>
      </c>
    </row>
    <row r="298" spans="1:27" x14ac:dyDescent="0.25">
      <c r="A298" t="str">
        <v>24069-RM04</v>
      </c>
      <c r="B298" t="str">
        <f>IF(A298="","",IFERROR(VLOOKUP(A298,'Production Schedule'!$B:$FU,3,FALSE),""))</f>
        <v>TCAT Pulaski</v>
      </c>
      <c r="C298" t="str">
        <f>IF(A298="","",IFERROR(VLOOKUP(A298,'Production Schedule'!$B:$FU,5,FALSE),""))</f>
        <v>Chris Buttrey</v>
      </c>
      <c r="D298" t="str">
        <f>IF(A298="","",IFERROR(VLOOKUP(A298,'Production Schedule'!$B:$FU,7,FALSE),""))</f>
        <v>GENESIS</v>
      </c>
      <c r="E298">
        <f>IF(A298="","",IFERROR(VLOOKUP(A298,'Production Schedule'!$B:$FU,17,FALSE),""))</f>
        <v>1</v>
      </c>
      <c r="F298">
        <f>IF(A298="","",IFERROR(VLOOKUP(A298,'Production Schedule'!$B:$FU,18,FALSE),""))</f>
        <v>1</v>
      </c>
      <c r="G298" t="str">
        <f>IF(A298="","",IFERROR(VLOOKUP(A298,'Production Schedule'!$B:$FU,25,FALSE),""))</f>
        <v>Alum Sheet</v>
      </c>
      <c r="H298" s="1">
        <f>IF(A298="","",IFERROR(VLOOKUP(A298,'Production Schedule'!$B:$FU,47,FALSE),""))</f>
        <v>46083.32382946759</v>
      </c>
      <c r="I298" s="1">
        <f>IF(A298="","",IFERROR(VLOOKUP(A298,'Production Schedule'!$B:$FU,54,FALSE),""))</f>
        <v>46111</v>
      </c>
      <c r="J298">
        <f>IF(A298="","",IFERROR(VLOOKUP(A298,'Production Schedule'!$B:$FU,135,FALSE),""))</f>
        <v>4</v>
      </c>
      <c r="K298" t="str">
        <f>IF(A298="","",IFERROR(VLOOKUP(A298,'Production Schedule'!$B:$FU,59,FALSE),""))</f>
        <v>YES</v>
      </c>
      <c r="L298" t="str">
        <f>IF(A298="","",IFERROR(VLOOKUP(A298,'Production Schedule'!$B:$FU,80,FALSE),""))</f>
        <v>Shipped To Painter</v>
      </c>
      <c r="M298" s="3" t="str" cm="1">
        <f t="array" ref="M298">IF(A298="","",IFERROR(TRIM(INDEX(_xlfn.TEXTSPLIT(IFERROR(VLOOKUP(A298,'Production Schedule'!$B:$FU,150,FALSE),""),CHAR(10)),1)),""))</f>
        <v>7000 TruMatic</v>
      </c>
      <c r="N298" s="5">
        <f t="shared" si="32"/>
        <v>46084</v>
      </c>
      <c r="O298" s="3" t="str" cm="1">
        <f t="array" ref="O298">IF(A298="","",IFERROR(TRIM(INDEX(_xlfn.TEXTSPLIT(IFERROR(VLOOKUP(A298,'Production Schedule'!$B:$FU,150,FALSE),""),CHAR(10)),2)),""))</f>
        <v>Brake</v>
      </c>
      <c r="P298" s="5">
        <f t="shared" si="33"/>
        <v>46094</v>
      </c>
      <c r="Q298" s="3" t="str" cm="1">
        <f t="array" ref="Q298">IF(A298="","",IFERROR(TRIM(INDEX(_xlfn.TEXTSPLIT(IFERROR(VLOOKUP(A298,'Production Schedule'!$B:$FU,150,FALSE),""),CHAR(10)),3)),""))</f>
        <v>Post Paint</v>
      </c>
      <c r="R298" s="5">
        <f t="shared" si="34"/>
        <v>46105</v>
      </c>
      <c r="S298" s="3" t="str" cm="1">
        <f t="array" ref="S298">IF(A298="","",IFERROR(TRIM(INDEX(_xlfn.TEXTSPLIT(IFERROR(VLOOKUP(A298,'Production Schedule'!$B:$FU,150,FALSE),""),CHAR(10)),4)),""))</f>
        <v/>
      </c>
      <c r="T298" s="5" t="str">
        <f t="shared" si="35"/>
        <v/>
      </c>
      <c r="U298" s="3" t="str" cm="1">
        <f t="array" ref="U298">IF(A298="","",IFERROR(TRIM(INDEX(_xlfn.TEXTSPLIT(IFERROR(VLOOKUP(A298,'Production Schedule'!$B:$FU,150,FALSE),""),CHAR(10)),5)),""))</f>
        <v/>
      </c>
      <c r="V298" s="5" t="str">
        <f t="shared" si="36"/>
        <v/>
      </c>
      <c r="W298" s="3" t="str" cm="1">
        <f t="array" ref="W298">IF(A298="","",IFERROR(TRIM(INDEX(_xlfn.TEXTSPLIT(IFERROR(VLOOKUP(A298,'Production Schedule'!$B:$FU,150,FALSE),""),CHAR(10)),6)),""))</f>
        <v/>
      </c>
      <c r="X298" s="5" t="str">
        <f t="shared" si="37"/>
        <v/>
      </c>
      <c r="Y298" s="6">
        <f t="shared" si="40"/>
        <v>46108</v>
      </c>
      <c r="Z298" s="7" t="str">
        <f>IF(A298="","",IF(IFERROR(VLOOKUP(A298,Notes!A:B,2,FALSE),"")=0,"",VLOOKUP(A298,Notes!A:B,2,FALSE)))</f>
        <v>04/16/2026…Shipped To Painter</v>
      </c>
      <c r="AA298">
        <f t="shared" si="41"/>
        <v>2</v>
      </c>
    </row>
    <row r="299" spans="1:27" x14ac:dyDescent="0.25">
      <c r="A299" t="str">
        <v>25022-FS11</v>
      </c>
      <c r="B299" t="str">
        <f>IF(A299="","",IFERROR(VLOOKUP(A299,'Production Schedule'!$B:$FU,3,FALSE),""))</f>
        <v>Vantage VA15</v>
      </c>
      <c r="C299" t="str">
        <f>IF(A299="","",IFERROR(VLOOKUP(A299,'Production Schedule'!$B:$FU,5,FALSE),""))</f>
        <v>Thomas Mooers</v>
      </c>
      <c r="D299">
        <f>IF(A299="","",IFERROR(VLOOKUP(A299,'Production Schedule'!$B:$FU,7,FALSE),""))</f>
        <v>400</v>
      </c>
      <c r="E299">
        <f>IF(A299="","",IFERROR(VLOOKUP(A299,'Production Schedule'!$B:$FU,17,FALSE),""))</f>
        <v>72</v>
      </c>
      <c r="F299">
        <f>IF(A299="","",IFERROR(VLOOKUP(A299,'Production Schedule'!$B:$FU,18,FALSE),""))</f>
        <v>72</v>
      </c>
      <c r="G299" t="str">
        <f>IF(A299="","",IFERROR(VLOOKUP(A299,'Production Schedule'!$B:$FU,25,FALSE),""))</f>
        <v>FR ACM</v>
      </c>
      <c r="H299" s="1">
        <f>IF(A299="","",IFERROR(VLOOKUP(A299,'Production Schedule'!$B:$FU,47,FALSE),""))</f>
        <v>46087.672272731485</v>
      </c>
      <c r="I299" s="1">
        <f>IF(A299="","",IFERROR(VLOOKUP(A299,'Production Schedule'!$B:$FU,54,FALSE),""))</f>
        <v>46118</v>
      </c>
      <c r="J299">
        <f>IF(A299="","",IFERROR(VLOOKUP(A299,'Production Schedule'!$B:$FU,135,FALSE),""))</f>
        <v>8</v>
      </c>
      <c r="K299" t="str">
        <f>IF(A299="","",IFERROR(VLOOKUP(A299,'Production Schedule'!$B:$FU,59,FALSE),""))</f>
        <v>YES</v>
      </c>
      <c r="L299" t="str">
        <f>IF(A299="","",IFERROR(VLOOKUP(A299,'Production Schedule'!$B:$FU,80,FALSE),""))</f>
        <v>Ready to Ship</v>
      </c>
      <c r="M299" s="3" t="str" cm="1">
        <f t="array" ref="M299">IF(A299="","",IFERROR(TRIM(INDEX(_xlfn.TEXTSPLIT(IFERROR(VLOOKUP(A299,'Production Schedule'!$B:$FU,150,FALSE),""),CHAR(10)),1)),""))</f>
        <v>AXYZ Titans Line</v>
      </c>
      <c r="N299" s="5">
        <f t="shared" si="32"/>
        <v>46092</v>
      </c>
      <c r="O299" s="3" t="str" cm="1">
        <f t="array" ref="O299">IF(A299="","",IFERROR(TRIM(INDEX(_xlfn.TEXTSPLIT(IFERROR(VLOOKUP(A299,'Production Schedule'!$B:$FU,150,FALSE),""),CHAR(10)),2)),""))</f>
        <v>Clean and Brake</v>
      </c>
      <c r="P299" s="5">
        <f t="shared" si="33"/>
        <v>46094</v>
      </c>
      <c r="Q299" s="3" t="str" cm="1">
        <f t="array" ref="Q299">IF(A299="","",IFERROR(TRIM(INDEX(_xlfn.TEXTSPLIT(IFERROR(VLOOKUP(A299,'Production Schedule'!$B:$FU,150,FALSE),""),CHAR(10)),3)),""))</f>
        <v>Fab</v>
      </c>
      <c r="R299" s="5">
        <f t="shared" si="34"/>
        <v>46105</v>
      </c>
      <c r="S299" s="3" t="str" cm="1">
        <f t="array" ref="S299">IF(A299="","",IFERROR(TRIM(INDEX(_xlfn.TEXTSPLIT(IFERROR(VLOOKUP(A299,'Production Schedule'!$B:$FU,150,FALSE),""),CHAR(10)),4)),""))</f>
        <v/>
      </c>
      <c r="T299" s="5" t="str">
        <f t="shared" si="35"/>
        <v/>
      </c>
      <c r="U299" s="3" t="str" cm="1">
        <f t="array" ref="U299">IF(A299="","",IFERROR(TRIM(INDEX(_xlfn.TEXTSPLIT(IFERROR(VLOOKUP(A299,'Production Schedule'!$B:$FU,150,FALSE),""),CHAR(10)),5)),""))</f>
        <v/>
      </c>
      <c r="V299" s="5" t="str">
        <f t="shared" si="36"/>
        <v/>
      </c>
      <c r="W299" s="3" t="str" cm="1">
        <f t="array" ref="W299">IF(A299="","",IFERROR(TRIM(INDEX(_xlfn.TEXTSPLIT(IFERROR(VLOOKUP(A299,'Production Schedule'!$B:$FU,150,FALSE),""),CHAR(10)),6)),""))</f>
        <v/>
      </c>
      <c r="X299" s="5" t="str">
        <f t="shared" si="37"/>
        <v/>
      </c>
      <c r="Y299" s="6">
        <f t="shared" si="40"/>
        <v>46115</v>
      </c>
      <c r="Z299" s="7" t="str">
        <f>IF(A299="","",IF(IFERROR(VLOOKUP(A299,Notes!A:B,2,FALSE),"")=0,"",VLOOKUP(A299,Notes!A:B,2,FALSE)))</f>
        <v>04/16/2026…Ready to Ship</v>
      </c>
      <c r="AA299">
        <f t="shared" si="41"/>
        <v>2</v>
      </c>
    </row>
    <row r="300" spans="1:27" x14ac:dyDescent="0.25">
      <c r="A300" t="str">
        <v>25022-FS07</v>
      </c>
      <c r="B300" t="str">
        <f>IF(A300="","",IFERROR(VLOOKUP(A300,'Production Schedule'!$B:$FU,3,FALSE),""))</f>
        <v>Vantage VA15</v>
      </c>
      <c r="C300" t="str">
        <f>IF(A300="","",IFERROR(VLOOKUP(A300,'Production Schedule'!$B:$FU,5,FALSE),""))</f>
        <v>Thomas Mooers</v>
      </c>
      <c r="D300">
        <f>IF(A300="","",IFERROR(VLOOKUP(A300,'Production Schedule'!$B:$FU,7,FALSE),""))</f>
        <v>400</v>
      </c>
      <c r="E300">
        <f>IF(A300="","",IFERROR(VLOOKUP(A300,'Production Schedule'!$B:$FU,17,FALSE),""))</f>
        <v>52</v>
      </c>
      <c r="F300">
        <f>IF(A300="","",IFERROR(VLOOKUP(A300,'Production Schedule'!$B:$FU,18,FALSE),""))</f>
        <v>0</v>
      </c>
      <c r="G300" t="str">
        <f>IF(A300="","",IFERROR(VLOOKUP(A300,'Production Schedule'!$B:$FU,25,FALSE),""))</f>
        <v>FR ACM</v>
      </c>
      <c r="H300" s="1">
        <f>IF(A300="","",IFERROR(VLOOKUP(A300,'Production Schedule'!$B:$FU,47,FALSE),""))</f>
        <v>46077.445264490743</v>
      </c>
      <c r="I300" s="1">
        <f>IF(A300="","",IFERROR(VLOOKUP(A300,'Production Schedule'!$B:$FU,54,FALSE),""))</f>
        <v>46119</v>
      </c>
      <c r="J300">
        <f>IF(A300="","",IFERROR(VLOOKUP(A300,'Production Schedule'!$B:$FU,135,FALSE),""))</f>
        <v>8</v>
      </c>
      <c r="K300" t="str">
        <f>IF(A300="","",IFERROR(VLOOKUP(A300,'Production Schedule'!$B:$FU,59,FALSE),""))</f>
        <v>YES</v>
      </c>
      <c r="L300" t="str">
        <f>IF(A300="","",IFERROR(VLOOKUP(A300,'Production Schedule'!$B:$FU,80,FALSE),""))</f>
        <v>Ready to Ship</v>
      </c>
      <c r="M300" s="3" t="str" cm="1">
        <f t="array" ref="M300">IF(A300="","",IFERROR(TRIM(INDEX(_xlfn.TEXTSPLIT(IFERROR(VLOOKUP(A300,'Production Schedule'!$B:$FU,150,FALSE),""),CHAR(10)),1)),""))</f>
        <v>AXYZ Titans Line</v>
      </c>
      <c r="N300" s="5">
        <f t="shared" si="32"/>
        <v>46094</v>
      </c>
      <c r="O300" s="3" t="str" cm="1">
        <f t="array" ref="O300">IF(A300="","",IFERROR(TRIM(INDEX(_xlfn.TEXTSPLIT(IFERROR(VLOOKUP(A300,'Production Schedule'!$B:$FU,150,FALSE),""),CHAR(10)),2)),""))</f>
        <v>Clean and Brake</v>
      </c>
      <c r="P300" s="5">
        <f t="shared" si="33"/>
        <v>46095</v>
      </c>
      <c r="Q300" s="3" t="str" cm="1">
        <f t="array" ref="Q300">IF(A300="","",IFERROR(TRIM(INDEX(_xlfn.TEXTSPLIT(IFERROR(VLOOKUP(A300,'Production Schedule'!$B:$FU,150,FALSE),""),CHAR(10)),3)),""))</f>
        <v>Fab</v>
      </c>
      <c r="R300" s="5">
        <f t="shared" si="34"/>
        <v>46106</v>
      </c>
      <c r="S300" s="3" t="str" cm="1">
        <f t="array" ref="S300">IF(A300="","",IFERROR(TRIM(INDEX(_xlfn.TEXTSPLIT(IFERROR(VLOOKUP(A300,'Production Schedule'!$B:$FU,150,FALSE),""),CHAR(10)),4)),""))</f>
        <v/>
      </c>
      <c r="T300" s="5" t="str">
        <f t="shared" si="35"/>
        <v/>
      </c>
      <c r="U300" s="3" t="str" cm="1">
        <f t="array" ref="U300">IF(A300="","",IFERROR(TRIM(INDEX(_xlfn.TEXTSPLIT(IFERROR(VLOOKUP(A300,'Production Schedule'!$B:$FU,150,FALSE),""),CHAR(10)),5)),""))</f>
        <v/>
      </c>
      <c r="V300" s="5" t="str">
        <f t="shared" si="36"/>
        <v/>
      </c>
      <c r="W300" s="3" t="str" cm="1">
        <f t="array" ref="W300">IF(A300="","",IFERROR(TRIM(INDEX(_xlfn.TEXTSPLIT(IFERROR(VLOOKUP(A300,'Production Schedule'!$B:$FU,150,FALSE),""),CHAR(10)),6)),""))</f>
        <v/>
      </c>
      <c r="X300" s="5" t="str">
        <f t="shared" si="37"/>
        <v/>
      </c>
      <c r="Y300" s="6">
        <f t="shared" si="40"/>
        <v>46116</v>
      </c>
      <c r="Z300" s="7" t="str">
        <f>IF(A300="","",IF(IFERROR(VLOOKUP(A300,Notes!A:B,2,FALSE),"")=0,"",VLOOKUP(A300,Notes!A:B,2,FALSE)))</f>
        <v>04/16/2026…Ready to Ship</v>
      </c>
      <c r="AA300">
        <f t="shared" si="41"/>
        <v>2</v>
      </c>
    </row>
    <row r="301" spans="1:27" x14ac:dyDescent="0.25">
      <c r="A301" t="str">
        <v>25022-FS10</v>
      </c>
      <c r="B301" t="str">
        <f>IF(A301="","",IFERROR(VLOOKUP(A301,'Production Schedule'!$B:$FU,3,FALSE),""))</f>
        <v>Vantage VA15</v>
      </c>
      <c r="C301" t="str">
        <f>IF(A301="","",IFERROR(VLOOKUP(A301,'Production Schedule'!$B:$FU,5,FALSE),""))</f>
        <v>Thomas Mooers</v>
      </c>
      <c r="D301">
        <f>IF(A301="","",IFERROR(VLOOKUP(A301,'Production Schedule'!$B:$FU,7,FALSE),""))</f>
        <v>400</v>
      </c>
      <c r="E301">
        <f>IF(A301="","",IFERROR(VLOOKUP(A301,'Production Schedule'!$B:$FU,17,FALSE),""))</f>
        <v>200</v>
      </c>
      <c r="F301">
        <f>IF(A301="","",IFERROR(VLOOKUP(A301,'Production Schedule'!$B:$FU,18,FALSE),""))</f>
        <v>200</v>
      </c>
      <c r="G301" t="str">
        <f>IF(A301="","",IFERROR(VLOOKUP(A301,'Production Schedule'!$B:$FU,25,FALSE),""))</f>
        <v>FR ACM</v>
      </c>
      <c r="H301" s="1">
        <f>IF(A301="","",IFERROR(VLOOKUP(A301,'Production Schedule'!$B:$FU,47,FALSE),""))</f>
        <v>46087.665652858799</v>
      </c>
      <c r="I301" s="1">
        <f>IF(A301="","",IFERROR(VLOOKUP(A301,'Production Schedule'!$B:$FU,54,FALSE),""))</f>
        <v>46119</v>
      </c>
      <c r="J301">
        <f>IF(A301="","",IFERROR(VLOOKUP(A301,'Production Schedule'!$B:$FU,135,FALSE),""))</f>
        <v>16</v>
      </c>
      <c r="K301" t="str">
        <f>IF(A301="","",IFERROR(VLOOKUP(A301,'Production Schedule'!$B:$FU,59,FALSE),""))</f>
        <v>YES</v>
      </c>
      <c r="L301" t="str">
        <f>IF(A301="","",IFERROR(VLOOKUP(A301,'Production Schedule'!$B:$FU,80,FALSE),""))</f>
        <v>Ready to Ship</v>
      </c>
      <c r="M301" s="3" t="str" cm="1">
        <f t="array" ref="M301">IF(A301="","",IFERROR(TRIM(INDEX(_xlfn.TEXTSPLIT(IFERROR(VLOOKUP(A301,'Production Schedule'!$B:$FU,150,FALSE),""),CHAR(10)),1)),""))</f>
        <v>AXYZ Titans Line</v>
      </c>
      <c r="N301" s="5">
        <f t="shared" si="32"/>
        <v>46091</v>
      </c>
      <c r="O301" s="3" t="str" cm="1">
        <f t="array" ref="O301">IF(A301="","",IFERROR(TRIM(INDEX(_xlfn.TEXTSPLIT(IFERROR(VLOOKUP(A301,'Production Schedule'!$B:$FU,150,FALSE),""),CHAR(10)),2)),""))</f>
        <v>Clean and Brake</v>
      </c>
      <c r="P301" s="5">
        <f t="shared" si="33"/>
        <v>46095</v>
      </c>
      <c r="Q301" s="3" t="str" cm="1">
        <f t="array" ref="Q301">IF(A301="","",IFERROR(TRIM(INDEX(_xlfn.TEXTSPLIT(IFERROR(VLOOKUP(A301,'Production Schedule'!$B:$FU,150,FALSE),""),CHAR(10)),3)),""))</f>
        <v>Fab</v>
      </c>
      <c r="R301" s="5">
        <f t="shared" si="34"/>
        <v>46106</v>
      </c>
      <c r="S301" s="3" t="str" cm="1">
        <f t="array" ref="S301">IF(A301="","",IFERROR(TRIM(INDEX(_xlfn.TEXTSPLIT(IFERROR(VLOOKUP(A301,'Production Schedule'!$B:$FU,150,FALSE),""),CHAR(10)),4)),""))</f>
        <v/>
      </c>
      <c r="T301" s="5" t="str">
        <f t="shared" si="35"/>
        <v/>
      </c>
      <c r="U301" s="3" t="str" cm="1">
        <f t="array" ref="U301">IF(A301="","",IFERROR(TRIM(INDEX(_xlfn.TEXTSPLIT(IFERROR(VLOOKUP(A301,'Production Schedule'!$B:$FU,150,FALSE),""),CHAR(10)),5)),""))</f>
        <v/>
      </c>
      <c r="V301" s="5" t="str">
        <f t="shared" si="36"/>
        <v/>
      </c>
      <c r="W301" s="3" t="str" cm="1">
        <f t="array" ref="W301">IF(A301="","",IFERROR(TRIM(INDEX(_xlfn.TEXTSPLIT(IFERROR(VLOOKUP(A301,'Production Schedule'!$B:$FU,150,FALSE),""),CHAR(10)),6)),""))</f>
        <v/>
      </c>
      <c r="X301" s="5" t="str">
        <f t="shared" si="37"/>
        <v/>
      </c>
      <c r="Y301" s="6">
        <f t="shared" si="40"/>
        <v>46116</v>
      </c>
      <c r="Z301" s="7" t="str">
        <f>IF(A301="","",IF(IFERROR(VLOOKUP(A301,Notes!A:B,2,FALSE),"")=0,"",VLOOKUP(A301,Notes!A:B,2,FALSE)))</f>
        <v>04/16/2026…Ready to Ship</v>
      </c>
      <c r="AA301">
        <f t="shared" si="41"/>
        <v>2</v>
      </c>
    </row>
    <row r="302" spans="1:27" x14ac:dyDescent="0.25">
      <c r="A302" t="str">
        <v>25031-FL06</v>
      </c>
      <c r="B302" t="str">
        <f>IF(A302="","",IFERROR(VLOOKUP(A302,'Production Schedule'!$B:$FU,3,FALSE),""))</f>
        <v>LLU Mars US Warehouse</v>
      </c>
      <c r="C302" t="str">
        <f>IF(A302="","",IFERROR(VLOOKUP(A302,'Production Schedule'!$B:$FU,5,FALSE),""))</f>
        <v>Laura Forero</v>
      </c>
      <c r="D302" t="str">
        <f>IF(A302="","",IFERROR(VLOOKUP(A302,'Production Schedule'!$B:$FU,7,FALSE),""))</f>
        <v>---</v>
      </c>
      <c r="E302">
        <f>IF(A302="","",IFERROR(VLOOKUP(A302,'Production Schedule'!$B:$FU,17,FALSE),""))</f>
        <v>0</v>
      </c>
      <c r="F302">
        <f>IF(A302="","",IFERROR(VLOOKUP(A302,'Production Schedule'!$B:$FU,18,FALSE),""))</f>
        <v>2</v>
      </c>
      <c r="G302" t="str">
        <f>IF(A302="","",IFERROR(VLOOKUP(A302,'Production Schedule'!$B:$FU,25,FALSE),""))</f>
        <v>Alum Sheet</v>
      </c>
      <c r="H302" s="1">
        <f>IF(A302="","",IFERROR(VLOOKUP(A302,'Production Schedule'!$B:$FU,47,FALSE),""))</f>
        <v>46118.62446673611</v>
      </c>
      <c r="I302" s="1">
        <f>IF(A302="","",IFERROR(VLOOKUP(A302,'Production Schedule'!$B:$FU,54,FALSE),""))</f>
        <v>46119</v>
      </c>
      <c r="J302">
        <f>IF(A302="","",IFERROR(VLOOKUP(A302,'Production Schedule'!$B:$FU,135,FALSE),""))</f>
        <v>1</v>
      </c>
      <c r="K302" t="str">
        <f>IF(A302="","",IFERROR(VLOOKUP(A302,'Production Schedule'!$B:$FU,59,FALSE),""))</f>
        <v>YES</v>
      </c>
      <c r="L302" t="str">
        <f>IF(A302="","",IFERROR(VLOOKUP(A302,'Production Schedule'!$B:$FU,80,FALSE),""))</f>
        <v>Shipped</v>
      </c>
      <c r="M302" s="3" t="str" cm="1">
        <f t="array" ref="M302">IF(A302="","",IFERROR(TRIM(INDEX(_xlfn.TEXTSPLIT(IFERROR(VLOOKUP(A302,'Production Schedule'!$B:$FU,150,FALSE),""),CHAR(10)),1)),""))</f>
        <v>Cidan</v>
      </c>
      <c r="N302" s="5">
        <f t="shared" si="32"/>
        <v>46093</v>
      </c>
      <c r="O302" s="3" t="str" cm="1">
        <f t="array" ref="O302">IF(A302="","",IFERROR(TRIM(INDEX(_xlfn.TEXTSPLIT(IFERROR(VLOOKUP(A302,'Production Schedule'!$B:$FU,150,FALSE),""),CHAR(10)),2)),""))</f>
        <v>Shear</v>
      </c>
      <c r="P302" s="5">
        <f t="shared" si="33"/>
        <v>46105</v>
      </c>
      <c r="Q302" s="3" t="str" cm="1">
        <f t="array" ref="Q302">IF(A302="","",IFERROR(TRIM(INDEX(_xlfn.TEXTSPLIT(IFERROR(VLOOKUP(A302,'Production Schedule'!$B:$FU,150,FALSE),""),CHAR(10)),3)),""))</f>
        <v/>
      </c>
      <c r="R302" s="5" t="str">
        <f t="shared" si="34"/>
        <v/>
      </c>
      <c r="S302" s="3" t="str" cm="1">
        <f t="array" ref="S302">IF(A302="","",IFERROR(TRIM(INDEX(_xlfn.TEXTSPLIT(IFERROR(VLOOKUP(A302,'Production Schedule'!$B:$FU,150,FALSE),""),CHAR(10)),4)),""))</f>
        <v/>
      </c>
      <c r="T302" s="5" t="str">
        <f t="shared" si="35"/>
        <v/>
      </c>
      <c r="U302" s="3" t="str" cm="1">
        <f t="array" ref="U302">IF(A302="","",IFERROR(TRIM(INDEX(_xlfn.TEXTSPLIT(IFERROR(VLOOKUP(A302,'Production Schedule'!$B:$FU,150,FALSE),""),CHAR(10)),5)),""))</f>
        <v/>
      </c>
      <c r="V302" s="5" t="str">
        <f t="shared" si="36"/>
        <v/>
      </c>
      <c r="W302" s="3" t="str" cm="1">
        <f t="array" ref="W302">IF(A302="","",IFERROR(TRIM(INDEX(_xlfn.TEXTSPLIT(IFERROR(VLOOKUP(A302,'Production Schedule'!$B:$FU,150,FALSE),""),CHAR(10)),6)),""))</f>
        <v/>
      </c>
      <c r="X302" s="5" t="str">
        <f t="shared" si="37"/>
        <v/>
      </c>
      <c r="Y302" s="6">
        <f t="shared" si="40"/>
        <v>46116</v>
      </c>
      <c r="Z302" s="7" t="str">
        <f>IF(A302="","",IF(IFERROR(VLOOKUP(A302,Notes!A:B,2,FALSE),"")=0,"",VLOOKUP(A302,Notes!A:B,2,FALSE)))</f>
        <v>04/16/2026…Shipped</v>
      </c>
      <c r="AA302">
        <f t="shared" si="41"/>
        <v>2</v>
      </c>
    </row>
    <row r="303" spans="1:27" x14ac:dyDescent="0.25">
      <c r="A303" t="str">
        <v>25022-FS08</v>
      </c>
      <c r="B303" t="str">
        <f>IF(A303="","",IFERROR(VLOOKUP(A303,'Production Schedule'!$B:$FU,3,FALSE),""))</f>
        <v>Vantage VA15</v>
      </c>
      <c r="C303" t="str">
        <f>IF(A303="","",IFERROR(VLOOKUP(A303,'Production Schedule'!$B:$FU,5,FALSE),""))</f>
        <v>Thomas Mooers</v>
      </c>
      <c r="D303">
        <f>IF(A303="","",IFERROR(VLOOKUP(A303,'Production Schedule'!$B:$FU,7,FALSE),""))</f>
        <v>400</v>
      </c>
      <c r="E303">
        <f>IF(A303="","",IFERROR(VLOOKUP(A303,'Production Schedule'!$B:$FU,17,FALSE),""))</f>
        <v>60</v>
      </c>
      <c r="F303">
        <f>IF(A303="","",IFERROR(VLOOKUP(A303,'Production Schedule'!$B:$FU,18,FALSE),""))</f>
        <v>60</v>
      </c>
      <c r="G303" t="str">
        <f>IF(A303="","",IFERROR(VLOOKUP(A303,'Production Schedule'!$B:$FU,25,FALSE),""))</f>
        <v>FR ACM</v>
      </c>
      <c r="H303" s="1">
        <f>IF(A303="","",IFERROR(VLOOKUP(A303,'Production Schedule'!$B:$FU,47,FALSE),""))</f>
        <v>46078.666493935183</v>
      </c>
      <c r="I303" s="1">
        <f>IF(A303="","",IFERROR(VLOOKUP(A303,'Production Schedule'!$B:$FU,54,FALSE),""))</f>
        <v>46120</v>
      </c>
      <c r="J303">
        <f>IF(A303="","",IFERROR(VLOOKUP(A303,'Production Schedule'!$B:$FU,135,FALSE),""))</f>
        <v>8</v>
      </c>
      <c r="K303" t="str">
        <f>IF(A303="","",IFERROR(VLOOKUP(A303,'Production Schedule'!$B:$FU,59,FALSE),""))</f>
        <v>YES</v>
      </c>
      <c r="L303" t="str">
        <f>IF(A303="","",IFERROR(VLOOKUP(A303,'Production Schedule'!$B:$FU,80,FALSE),""))</f>
        <v>Ready to Ship</v>
      </c>
      <c r="M303" s="3" t="str" cm="1">
        <f t="array" ref="M303">IF(A303="","",IFERROR(TRIM(INDEX(_xlfn.TEXTSPLIT(IFERROR(VLOOKUP(A303,'Production Schedule'!$B:$FU,150,FALSE),""),CHAR(10)),1)),""))</f>
        <v>AXYZ Titans Line</v>
      </c>
      <c r="N303" s="5">
        <f t="shared" si="32"/>
        <v>46094</v>
      </c>
      <c r="O303" s="3" t="str" cm="1">
        <f t="array" ref="O303">IF(A303="","",IFERROR(TRIM(INDEX(_xlfn.TEXTSPLIT(IFERROR(VLOOKUP(A303,'Production Schedule'!$B:$FU,150,FALSE),""),CHAR(10)),2)),""))</f>
        <v>Clean and Brake</v>
      </c>
      <c r="P303" s="5">
        <f t="shared" si="33"/>
        <v>46097</v>
      </c>
      <c r="Q303" s="3" t="str" cm="1">
        <f t="array" ref="Q303">IF(A303="","",IFERROR(TRIM(INDEX(_xlfn.TEXTSPLIT(IFERROR(VLOOKUP(A303,'Production Schedule'!$B:$FU,150,FALSE),""),CHAR(10)),3)),""))</f>
        <v>Fab</v>
      </c>
      <c r="R303" s="5">
        <f t="shared" si="34"/>
        <v>46107</v>
      </c>
      <c r="S303" s="3" t="str" cm="1">
        <f t="array" ref="S303">IF(A303="","",IFERROR(TRIM(INDEX(_xlfn.TEXTSPLIT(IFERROR(VLOOKUP(A303,'Production Schedule'!$B:$FU,150,FALSE),""),CHAR(10)),4)),""))</f>
        <v/>
      </c>
      <c r="T303" s="5" t="str">
        <f t="shared" si="35"/>
        <v/>
      </c>
      <c r="U303" s="3" t="str" cm="1">
        <f t="array" ref="U303">IF(A303="","",IFERROR(TRIM(INDEX(_xlfn.TEXTSPLIT(IFERROR(VLOOKUP(A303,'Production Schedule'!$B:$FU,150,FALSE),""),CHAR(10)),5)),""))</f>
        <v/>
      </c>
      <c r="V303" s="5" t="str">
        <f t="shared" si="36"/>
        <v/>
      </c>
      <c r="W303" s="3" t="str" cm="1">
        <f t="array" ref="W303">IF(A303="","",IFERROR(TRIM(INDEX(_xlfn.TEXTSPLIT(IFERROR(VLOOKUP(A303,'Production Schedule'!$B:$FU,150,FALSE),""),CHAR(10)),6)),""))</f>
        <v/>
      </c>
      <c r="X303" s="5" t="str">
        <f t="shared" si="37"/>
        <v/>
      </c>
      <c r="Y303" s="6">
        <f t="shared" si="40"/>
        <v>46118</v>
      </c>
      <c r="Z303" s="7" t="str">
        <f>IF(A303="","",IF(IFERROR(VLOOKUP(A303,Notes!A:B,2,FALSE),"")=0,"",VLOOKUP(A303,Notes!A:B,2,FALSE)))</f>
        <v>04/16/2026…Ready to Ship</v>
      </c>
      <c r="AA303">
        <f t="shared" si="41"/>
        <v>2</v>
      </c>
    </row>
    <row r="304" spans="1:27" x14ac:dyDescent="0.25">
      <c r="A304" t="str">
        <v>24079-FL13</v>
      </c>
      <c r="B304" t="str">
        <f>IF(A304="","",IFERROR(VLOOKUP(A304,'Production Schedule'!$B:$FU,3,FALSE),""))</f>
        <v>Nashville Youth Campus</v>
      </c>
      <c r="C304" t="str">
        <f>IF(A304="","",IFERROR(VLOOKUP(A304,'Production Schedule'!$B:$FU,5,FALSE),""))</f>
        <v>Joe Hoyle</v>
      </c>
      <c r="D304">
        <f>IF(A304="","",IFERROR(VLOOKUP(A304,'Production Schedule'!$B:$FU,7,FALSE),""))</f>
        <v>0</v>
      </c>
      <c r="E304">
        <f>IF(A304="","",IFERROR(VLOOKUP(A304,'Production Schedule'!$B:$FU,17,FALSE),""))</f>
        <v>0</v>
      </c>
      <c r="F304">
        <f>IF(A304="","",IFERROR(VLOOKUP(A304,'Production Schedule'!$B:$FU,18,FALSE),""))</f>
        <v>146</v>
      </c>
      <c r="G304" t="str">
        <f>IF(A304="","",IFERROR(VLOOKUP(A304,'Production Schedule'!$B:$FU,25,FALSE),""))</f>
        <v>Alum Sheet</v>
      </c>
      <c r="H304" s="1">
        <f>IF(A304="","",IFERROR(VLOOKUP(A304,'Production Schedule'!$B:$FU,47,FALSE),""))</f>
        <v>46105.602359548611</v>
      </c>
      <c r="I304" s="1">
        <f>IF(A304="","",IFERROR(VLOOKUP(A304,'Production Schedule'!$B:$FU,54,FALSE),""))</f>
        <v>46122</v>
      </c>
      <c r="J304">
        <f>IF(A304="","",IFERROR(VLOOKUP(A304,'Production Schedule'!$B:$FU,135,FALSE),""))</f>
        <v>6</v>
      </c>
      <c r="K304" t="str">
        <f>IF(A304="","",IFERROR(VLOOKUP(A304,'Production Schedule'!$B:$FU,59,FALSE),""))</f>
        <v>YES</v>
      </c>
      <c r="L304" t="str">
        <f>IF(A304="","",IFERROR(VLOOKUP(A304,'Production Schedule'!$B:$FU,80,FALSE),""))</f>
        <v>Ready to Ship</v>
      </c>
      <c r="M304" s="3" t="str" cm="1">
        <f t="array" ref="M304">IF(A304="","",IFERROR(TRIM(INDEX(_xlfn.TEXTSPLIT(IFERROR(VLOOKUP(A304,'Production Schedule'!$B:$FU,150,FALSE),""),CHAR(10)),1)),""))</f>
        <v>Cidan</v>
      </c>
      <c r="N304" s="5">
        <f t="shared" si="32"/>
        <v>46097</v>
      </c>
      <c r="O304" s="3" t="str" cm="1">
        <f t="array" ref="O304">IF(A304="","",IFERROR(TRIM(INDEX(_xlfn.TEXTSPLIT(IFERROR(VLOOKUP(A304,'Production Schedule'!$B:$FU,150,FALSE),""),CHAR(10)),2)),""))</f>
        <v>Shear</v>
      </c>
      <c r="P304" s="5">
        <f t="shared" si="33"/>
        <v>46108</v>
      </c>
      <c r="Q304" s="3" t="str" cm="1">
        <f t="array" ref="Q304">IF(A304="","",IFERROR(TRIM(INDEX(_xlfn.TEXTSPLIT(IFERROR(VLOOKUP(A304,'Production Schedule'!$B:$FU,150,FALSE),""),CHAR(10)),3)),""))</f>
        <v/>
      </c>
      <c r="R304" s="5" t="str">
        <f t="shared" si="34"/>
        <v/>
      </c>
      <c r="S304" s="3" t="str" cm="1">
        <f t="array" ref="S304">IF(A304="","",IFERROR(TRIM(INDEX(_xlfn.TEXTSPLIT(IFERROR(VLOOKUP(A304,'Production Schedule'!$B:$FU,150,FALSE),""),CHAR(10)),4)),""))</f>
        <v/>
      </c>
      <c r="T304" s="5" t="str">
        <f t="shared" si="35"/>
        <v/>
      </c>
      <c r="U304" s="3" t="str" cm="1">
        <f t="array" ref="U304">IF(A304="","",IFERROR(TRIM(INDEX(_xlfn.TEXTSPLIT(IFERROR(VLOOKUP(A304,'Production Schedule'!$B:$FU,150,FALSE),""),CHAR(10)),5)),""))</f>
        <v/>
      </c>
      <c r="V304" s="5" t="str">
        <f t="shared" si="36"/>
        <v/>
      </c>
      <c r="W304" s="3" t="str" cm="1">
        <f t="array" ref="W304">IF(A304="","",IFERROR(TRIM(INDEX(_xlfn.TEXTSPLIT(IFERROR(VLOOKUP(A304,'Production Schedule'!$B:$FU,150,FALSE),""),CHAR(10)),6)),""))</f>
        <v/>
      </c>
      <c r="X304" s="5" t="str">
        <f t="shared" si="37"/>
        <v/>
      </c>
      <c r="Y304" s="6">
        <f t="shared" si="40"/>
        <v>46120</v>
      </c>
      <c r="Z304" s="7" t="str">
        <f>IF(A304="","",IF(IFERROR(VLOOKUP(A304,Notes!A:B,2,FALSE),"")=0,"",VLOOKUP(A304,Notes!A:B,2,FALSE)))</f>
        <v>04/16/2026…Ready to Ship</v>
      </c>
      <c r="AA304">
        <f t="shared" si="41"/>
        <v>2</v>
      </c>
    </row>
    <row r="305" spans="1:1" x14ac:dyDescent="0.25">
      <c r="A305" t="str">
        <v>26014-05-FS01</v>
      </c>
    </row>
    <row r="306" spans="1:1" x14ac:dyDescent="0.25">
      <c r="A306" t="str">
        <v>24071-FS11</v>
      </c>
    </row>
    <row r="307" spans="1:1" x14ac:dyDescent="0.25">
      <c r="A307" t="str">
        <v>24051-FS88</v>
      </c>
    </row>
    <row r="308" spans="1:1" x14ac:dyDescent="0.25">
      <c r="A308" t="str">
        <v>24074-FS06</v>
      </c>
    </row>
    <row r="309" spans="1:1" x14ac:dyDescent="0.25">
      <c r="A309" t="str">
        <v>25075-FS01</v>
      </c>
    </row>
    <row r="310" spans="1:1" x14ac:dyDescent="0.25">
      <c r="A310" t="str">
        <v>24069-RM05</v>
      </c>
    </row>
    <row r="311" spans="1:1" x14ac:dyDescent="0.25">
      <c r="A311" t="str">
        <v>25007-RM01</v>
      </c>
    </row>
    <row r="312" spans="1:1" x14ac:dyDescent="0.25">
      <c r="A312" t="str">
        <v>25061-BM01</v>
      </c>
    </row>
    <row r="313" spans="1:1" x14ac:dyDescent="0.25">
      <c r="A313" t="str">
        <v>25025-FL11</v>
      </c>
    </row>
    <row r="314" spans="1:1" x14ac:dyDescent="0.25">
      <c r="A314" t="str">
        <v>25025-RO02</v>
      </c>
    </row>
    <row r="315" spans="1:1" x14ac:dyDescent="0.25">
      <c r="A315" t="str">
        <v>24039-FL35</v>
      </c>
    </row>
    <row r="316" spans="1:1" x14ac:dyDescent="0.25">
      <c r="A316" t="str">
        <v>24039-BM18</v>
      </c>
    </row>
    <row r="317" spans="1:1" x14ac:dyDescent="0.25">
      <c r="A317" t="str">
        <v>25061-FS01</v>
      </c>
    </row>
    <row r="318" spans="1:1" x14ac:dyDescent="0.25">
      <c r="A318" t="str">
        <v>25022-FS12</v>
      </c>
    </row>
    <row r="319" spans="1:1" x14ac:dyDescent="0.25">
      <c r="A319" t="str">
        <v>24051-RP13</v>
      </c>
    </row>
    <row r="320" spans="1:1" x14ac:dyDescent="0.25">
      <c r="A320" t="str">
        <v>24051-RP14</v>
      </c>
    </row>
    <row r="321" spans="1:1" x14ac:dyDescent="0.25">
      <c r="A321" t="str">
        <v>24051-RP15</v>
      </c>
    </row>
    <row r="322" spans="1:1" x14ac:dyDescent="0.25">
      <c r="A322" t="str">
        <v>24051-RP17</v>
      </c>
    </row>
    <row r="323" spans="1:1" x14ac:dyDescent="0.25">
      <c r="A323" t="str">
        <v>24079-RP03</v>
      </c>
    </row>
    <row r="324" spans="1:1" x14ac:dyDescent="0.25">
      <c r="A324" t="str">
        <v>24071-RP14</v>
      </c>
    </row>
  </sheetData>
  <conditionalFormatting sqref="A5:AA304">
    <cfRule type="expression" dxfId="9" priority="25">
      <formula>AND($D$1&lt;&gt;"",$A5=$D$1)</formula>
    </cfRule>
    <cfRule type="expression" dxfId="8" priority="27">
      <formula>AND($A5&lt;&gt;"",$Y5&lt;&gt;"",$Y5&lt;TODAY())</formula>
    </cfRule>
  </conditionalFormatting>
  <conditionalFormatting sqref="C1">
    <cfRule type="containsText" dxfId="7" priority="22" operator="containsText" text="LATE">
      <formula>NOT(ISERROR(SEARCH("LATE",C1)))</formula>
    </cfRule>
    <cfRule type="containsText" dxfId="6" priority="23" operator="containsText" text="ON TIME">
      <formula>NOT(ISERROR(SEARCH("ON TIME",C1)))</formula>
    </cfRule>
  </conditionalFormatting>
  <conditionalFormatting sqref="E1">
    <cfRule type="containsText" priority="14" operator="containsText" text="Text">
      <formula>NOT(ISERROR(SEARCH("Text",E1)))</formula>
    </cfRule>
    <cfRule type="expression" priority="16"/>
    <cfRule type="expression" dxfId="5" priority="28">
      <formula>E1="🔴 LATE"</formula>
    </cfRule>
    <cfRule type="expression" dxfId="4" priority="29">
      <formula>E1="🟢 ON TIME"</formula>
    </cfRule>
  </conditionalFormatting>
  <dataValidations count="1">
    <dataValidation type="list" errorStyle="warning" allowBlank="1" showInputMessage="1" showErrorMessage="1" errorTitle="Job ID" error="ID not found. Continue?" sqref="D1" xr:uid="{20D1EC34-9D75-4712-8D28-C03EB3836508}">
      <formula1>AllJobIDs</formula1>
    </dataValidation>
  </dataValidation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08080"/>
  </sheetPr>
  <dimension ref="A1:D1518"/>
  <sheetViews>
    <sheetView workbookViewId="0"/>
  </sheetViews>
  <sheetFormatPr defaultRowHeight="15" x14ac:dyDescent="0.25"/>
  <cols>
    <col min="1" max="1" width="10" customWidth="1"/>
    <col min="2" max="2" width="60" customWidth="1"/>
    <col min="3" max="3" width="30" customWidth="1"/>
    <col min="4" max="4" width="20" customWidth="1"/>
  </cols>
  <sheetData>
    <row r="1" spans="1:4" x14ac:dyDescent="0.25">
      <c r="A1" t="s">
        <v>2814</v>
      </c>
      <c r="B1" t="s">
        <v>2815</v>
      </c>
      <c r="C1" t="s">
        <v>239</v>
      </c>
      <c r="D1" t="s">
        <v>2816</v>
      </c>
    </row>
    <row r="4" spans="1:4" x14ac:dyDescent="0.25">
      <c r="A4" t="s">
        <v>2814</v>
      </c>
      <c r="B4" t="s">
        <v>2817</v>
      </c>
      <c r="C4" t="s">
        <v>191</v>
      </c>
      <c r="D4" t="s">
        <v>2818</v>
      </c>
    </row>
    <row r="7" spans="1:4" x14ac:dyDescent="0.25">
      <c r="A7" t="s">
        <v>2814</v>
      </c>
      <c r="B7" t="s">
        <v>2819</v>
      </c>
      <c r="C7" t="s">
        <v>191</v>
      </c>
      <c r="D7" t="s">
        <v>2820</v>
      </c>
    </row>
    <row r="10" spans="1:4" x14ac:dyDescent="0.25">
      <c r="A10" t="s">
        <v>2821</v>
      </c>
      <c r="B10" t="s">
        <v>2822</v>
      </c>
      <c r="C10" t="s">
        <v>789</v>
      </c>
      <c r="D10" t="s">
        <v>2823</v>
      </c>
    </row>
    <row r="13" spans="1:4" x14ac:dyDescent="0.25">
      <c r="A13" t="s">
        <v>2821</v>
      </c>
      <c r="B13" t="s">
        <v>2824</v>
      </c>
      <c r="C13" t="s">
        <v>191</v>
      </c>
      <c r="D13" t="s">
        <v>2825</v>
      </c>
    </row>
    <row r="16" spans="1:4" x14ac:dyDescent="0.25">
      <c r="A16" t="s">
        <v>2821</v>
      </c>
      <c r="B16" t="s">
        <v>2826</v>
      </c>
      <c r="C16" t="s">
        <v>230</v>
      </c>
      <c r="D16" t="s">
        <v>2827</v>
      </c>
    </row>
    <row r="19" spans="1:4" x14ac:dyDescent="0.25">
      <c r="A19" t="s">
        <v>2821</v>
      </c>
      <c r="B19" t="s">
        <v>2819</v>
      </c>
      <c r="C19" t="s">
        <v>191</v>
      </c>
      <c r="D19" t="s">
        <v>2828</v>
      </c>
    </row>
    <row r="22" spans="1:4" x14ac:dyDescent="0.25">
      <c r="A22" t="s">
        <v>2829</v>
      </c>
      <c r="B22" t="s">
        <v>2822</v>
      </c>
      <c r="C22" t="s">
        <v>789</v>
      </c>
      <c r="D22" t="s">
        <v>2830</v>
      </c>
    </row>
    <row r="25" spans="1:4" x14ac:dyDescent="0.25">
      <c r="A25" t="s">
        <v>2829</v>
      </c>
      <c r="B25" t="s">
        <v>2824</v>
      </c>
      <c r="C25" t="s">
        <v>191</v>
      </c>
      <c r="D25" t="s">
        <v>2831</v>
      </c>
    </row>
    <row r="28" spans="1:4" x14ac:dyDescent="0.25">
      <c r="A28" t="s">
        <v>2829</v>
      </c>
      <c r="B28" t="s">
        <v>2832</v>
      </c>
      <c r="C28" t="s">
        <v>230</v>
      </c>
      <c r="D28" t="s">
        <v>2833</v>
      </c>
    </row>
    <row r="31" spans="1:4" x14ac:dyDescent="0.25">
      <c r="A31" t="s">
        <v>2829</v>
      </c>
      <c r="B31" t="s">
        <v>2819</v>
      </c>
      <c r="C31" t="s">
        <v>191</v>
      </c>
      <c r="D31" t="s">
        <v>2834</v>
      </c>
    </row>
    <row r="34" spans="1:4" x14ac:dyDescent="0.25">
      <c r="A34" t="s">
        <v>2835</v>
      </c>
      <c r="B34" t="s">
        <v>2815</v>
      </c>
      <c r="C34" t="s">
        <v>239</v>
      </c>
      <c r="D34" t="s">
        <v>2836</v>
      </c>
    </row>
    <row r="37" spans="1:4" x14ac:dyDescent="0.25">
      <c r="A37" t="s">
        <v>2837</v>
      </c>
      <c r="B37" t="s">
        <v>2838</v>
      </c>
      <c r="C37" t="s">
        <v>789</v>
      </c>
      <c r="D37" t="s">
        <v>2839</v>
      </c>
    </row>
    <row r="40" spans="1:4" x14ac:dyDescent="0.25">
      <c r="A40" t="s">
        <v>2837</v>
      </c>
      <c r="B40" t="s">
        <v>2840</v>
      </c>
      <c r="C40" t="s">
        <v>191</v>
      </c>
      <c r="D40" t="s">
        <v>2841</v>
      </c>
    </row>
    <row r="43" spans="1:4" x14ac:dyDescent="0.25">
      <c r="A43" t="s">
        <v>2842</v>
      </c>
      <c r="B43" t="s">
        <v>2815</v>
      </c>
      <c r="C43" t="s">
        <v>239</v>
      </c>
      <c r="D43" t="s">
        <v>2843</v>
      </c>
    </row>
    <row r="46" spans="1:4" x14ac:dyDescent="0.25">
      <c r="A46" t="s">
        <v>2844</v>
      </c>
      <c r="B46" t="s">
        <v>2845</v>
      </c>
      <c r="C46" t="s">
        <v>810</v>
      </c>
      <c r="D46" t="s">
        <v>2846</v>
      </c>
    </row>
    <row r="49" spans="1:4" x14ac:dyDescent="0.25">
      <c r="A49" t="s">
        <v>2844</v>
      </c>
      <c r="B49" t="s">
        <v>2847</v>
      </c>
      <c r="C49" t="s">
        <v>239</v>
      </c>
      <c r="D49" t="s">
        <v>2848</v>
      </c>
    </row>
    <row r="52" spans="1:4" x14ac:dyDescent="0.25">
      <c r="A52" t="s">
        <v>2844</v>
      </c>
      <c r="B52" t="s">
        <v>2849</v>
      </c>
      <c r="C52" t="s">
        <v>239</v>
      </c>
      <c r="D52" t="s">
        <v>2850</v>
      </c>
    </row>
    <row r="55" spans="1:4" x14ac:dyDescent="0.25">
      <c r="A55" t="s">
        <v>2844</v>
      </c>
      <c r="B55" t="s">
        <v>2851</v>
      </c>
      <c r="C55" t="s">
        <v>191</v>
      </c>
      <c r="D55" t="s">
        <v>2852</v>
      </c>
    </row>
    <row r="58" spans="1:4" x14ac:dyDescent="0.25">
      <c r="A58" t="s">
        <v>2844</v>
      </c>
      <c r="B58" t="s">
        <v>2853</v>
      </c>
      <c r="C58" t="s">
        <v>2854</v>
      </c>
      <c r="D58" t="s">
        <v>2855</v>
      </c>
    </row>
    <row r="59" spans="1:4" x14ac:dyDescent="0.25">
      <c r="B59" t="s">
        <v>2856</v>
      </c>
      <c r="C59" t="s">
        <v>191</v>
      </c>
      <c r="D59" t="s">
        <v>2857</v>
      </c>
    </row>
    <row r="62" spans="1:4" x14ac:dyDescent="0.25">
      <c r="A62" t="s">
        <v>2844</v>
      </c>
      <c r="B62" t="s">
        <v>2858</v>
      </c>
      <c r="C62" t="s">
        <v>191</v>
      </c>
      <c r="D62" t="s">
        <v>2859</v>
      </c>
    </row>
    <row r="65" spans="1:4" x14ac:dyDescent="0.25">
      <c r="A65" t="s">
        <v>2844</v>
      </c>
      <c r="B65" t="s">
        <v>2860</v>
      </c>
      <c r="C65" t="s">
        <v>239</v>
      </c>
      <c r="D65" t="s">
        <v>2861</v>
      </c>
    </row>
    <row r="68" spans="1:4" x14ac:dyDescent="0.25">
      <c r="A68" t="s">
        <v>2844</v>
      </c>
      <c r="B68" t="s">
        <v>2862</v>
      </c>
      <c r="C68" t="s">
        <v>191</v>
      </c>
      <c r="D68" t="s">
        <v>2863</v>
      </c>
    </row>
    <row r="71" spans="1:4" x14ac:dyDescent="0.25">
      <c r="A71" t="s">
        <v>2844</v>
      </c>
      <c r="B71" t="s">
        <v>2864</v>
      </c>
      <c r="C71" t="s">
        <v>306</v>
      </c>
      <c r="D71" t="s">
        <v>2865</v>
      </c>
    </row>
    <row r="72" spans="1:4" x14ac:dyDescent="0.25">
      <c r="B72" t="s">
        <v>2866</v>
      </c>
      <c r="C72" t="s">
        <v>191</v>
      </c>
      <c r="D72" t="s">
        <v>2867</v>
      </c>
    </row>
    <row r="73" spans="1:4" x14ac:dyDescent="0.25">
      <c r="B73" t="s">
        <v>2868</v>
      </c>
      <c r="C73" t="s">
        <v>191</v>
      </c>
      <c r="D73" t="s">
        <v>2869</v>
      </c>
    </row>
    <row r="74" spans="1:4" x14ac:dyDescent="0.25">
      <c r="B74" t="s">
        <v>2870</v>
      </c>
      <c r="C74" t="s">
        <v>306</v>
      </c>
      <c r="D74" t="s">
        <v>2871</v>
      </c>
    </row>
    <row r="77" spans="1:4" x14ac:dyDescent="0.25">
      <c r="A77" t="s">
        <v>2844</v>
      </c>
      <c r="B77" t="s">
        <v>2872</v>
      </c>
      <c r="C77" t="s">
        <v>191</v>
      </c>
      <c r="D77" t="s">
        <v>2873</v>
      </c>
    </row>
    <row r="80" spans="1:4" x14ac:dyDescent="0.25">
      <c r="A80" t="s">
        <v>2874</v>
      </c>
      <c r="B80" t="s">
        <v>2875</v>
      </c>
      <c r="C80" t="s">
        <v>191</v>
      </c>
      <c r="D80" t="s">
        <v>2876</v>
      </c>
    </row>
    <row r="83" spans="1:4" x14ac:dyDescent="0.25">
      <c r="A83" t="s">
        <v>2874</v>
      </c>
      <c r="B83" t="s">
        <v>2877</v>
      </c>
      <c r="C83" t="s">
        <v>316</v>
      </c>
      <c r="D83" t="s">
        <v>2878</v>
      </c>
    </row>
    <row r="86" spans="1:4" x14ac:dyDescent="0.25">
      <c r="A86" t="s">
        <v>2874</v>
      </c>
      <c r="B86" t="s">
        <v>2879</v>
      </c>
      <c r="C86" t="s">
        <v>191</v>
      </c>
      <c r="D86" t="s">
        <v>2880</v>
      </c>
    </row>
    <row r="89" spans="1:4" x14ac:dyDescent="0.25">
      <c r="A89" t="s">
        <v>2881</v>
      </c>
      <c r="B89" t="s">
        <v>2882</v>
      </c>
      <c r="C89" t="s">
        <v>239</v>
      </c>
      <c r="D89" t="s">
        <v>2883</v>
      </c>
    </row>
    <row r="92" spans="1:4" x14ac:dyDescent="0.25">
      <c r="A92" t="s">
        <v>2881</v>
      </c>
      <c r="B92" t="s">
        <v>2884</v>
      </c>
      <c r="C92" t="s">
        <v>191</v>
      </c>
      <c r="D92" t="s">
        <v>2885</v>
      </c>
    </row>
    <row r="95" spans="1:4" x14ac:dyDescent="0.25">
      <c r="A95" t="s">
        <v>2881</v>
      </c>
      <c r="B95" t="s">
        <v>2886</v>
      </c>
      <c r="C95" t="s">
        <v>795</v>
      </c>
      <c r="D95" t="s">
        <v>2887</v>
      </c>
    </row>
    <row r="98" spans="1:4" x14ac:dyDescent="0.25">
      <c r="A98" t="s">
        <v>2881</v>
      </c>
      <c r="B98" t="s">
        <v>2888</v>
      </c>
      <c r="C98" t="s">
        <v>191</v>
      </c>
      <c r="D98" t="s">
        <v>2889</v>
      </c>
    </row>
    <row r="101" spans="1:4" x14ac:dyDescent="0.25">
      <c r="A101" t="s">
        <v>2890</v>
      </c>
      <c r="B101" t="s">
        <v>2891</v>
      </c>
      <c r="C101" t="s">
        <v>789</v>
      </c>
      <c r="D101" t="s">
        <v>2892</v>
      </c>
    </row>
    <row r="102" spans="1:4" x14ac:dyDescent="0.25">
      <c r="B102" t="s">
        <v>2893</v>
      </c>
      <c r="C102" t="s">
        <v>789</v>
      </c>
      <c r="D102" t="s">
        <v>2892</v>
      </c>
    </row>
    <row r="105" spans="1:4" x14ac:dyDescent="0.25">
      <c r="A105" t="s">
        <v>2890</v>
      </c>
      <c r="B105" t="s">
        <v>2894</v>
      </c>
      <c r="C105" t="s">
        <v>789</v>
      </c>
      <c r="D105" t="s">
        <v>2895</v>
      </c>
    </row>
    <row r="108" spans="1:4" x14ac:dyDescent="0.25">
      <c r="A108" t="s">
        <v>2896</v>
      </c>
      <c r="B108" t="s">
        <v>2822</v>
      </c>
      <c r="C108" t="s">
        <v>789</v>
      </c>
      <c r="D108" t="s">
        <v>2897</v>
      </c>
    </row>
    <row r="111" spans="1:4" x14ac:dyDescent="0.25">
      <c r="A111" t="s">
        <v>2896</v>
      </c>
      <c r="B111" t="s">
        <v>2824</v>
      </c>
      <c r="C111" t="s">
        <v>191</v>
      </c>
      <c r="D111" t="s">
        <v>2898</v>
      </c>
    </row>
    <row r="114" spans="1:4" x14ac:dyDescent="0.25">
      <c r="A114" t="s">
        <v>2899</v>
      </c>
      <c r="B114" t="s">
        <v>2822</v>
      </c>
      <c r="C114" t="s">
        <v>789</v>
      </c>
      <c r="D114" t="s">
        <v>2900</v>
      </c>
    </row>
    <row r="117" spans="1:4" x14ac:dyDescent="0.25">
      <c r="A117" t="s">
        <v>2899</v>
      </c>
      <c r="B117" t="s">
        <v>2824</v>
      </c>
      <c r="C117" t="s">
        <v>191</v>
      </c>
      <c r="D117" t="s">
        <v>2901</v>
      </c>
    </row>
    <row r="120" spans="1:4" x14ac:dyDescent="0.25">
      <c r="A120" t="s">
        <v>2899</v>
      </c>
      <c r="B120" t="s">
        <v>2902</v>
      </c>
      <c r="C120" t="s">
        <v>230</v>
      </c>
      <c r="D120" t="s">
        <v>2903</v>
      </c>
    </row>
    <row r="121" spans="1:4" x14ac:dyDescent="0.25">
      <c r="B121" t="s">
        <v>2904</v>
      </c>
      <c r="C121" t="s">
        <v>191</v>
      </c>
      <c r="D121" t="s">
        <v>2905</v>
      </c>
    </row>
    <row r="122" spans="1:4" x14ac:dyDescent="0.25">
      <c r="B122" t="s">
        <v>2906</v>
      </c>
      <c r="C122" t="s">
        <v>230</v>
      </c>
      <c r="D122" t="s">
        <v>2907</v>
      </c>
    </row>
    <row r="125" spans="1:4" x14ac:dyDescent="0.25">
      <c r="A125" t="s">
        <v>2908</v>
      </c>
      <c r="B125" t="s">
        <v>2822</v>
      </c>
      <c r="C125" t="s">
        <v>239</v>
      </c>
      <c r="D125" t="s">
        <v>2909</v>
      </c>
    </row>
    <row r="128" spans="1:4" x14ac:dyDescent="0.25">
      <c r="A128" t="s">
        <v>2908</v>
      </c>
      <c r="B128" t="s">
        <v>2910</v>
      </c>
      <c r="C128" t="s">
        <v>191</v>
      </c>
      <c r="D128" t="s">
        <v>2911</v>
      </c>
    </row>
    <row r="131" spans="1:4" x14ac:dyDescent="0.25">
      <c r="A131" t="s">
        <v>2912</v>
      </c>
      <c r="B131" t="s">
        <v>2822</v>
      </c>
      <c r="C131" t="s">
        <v>239</v>
      </c>
      <c r="D131" t="s">
        <v>2913</v>
      </c>
    </row>
    <row r="134" spans="1:4" x14ac:dyDescent="0.25">
      <c r="A134" t="s">
        <v>2912</v>
      </c>
      <c r="B134" t="s">
        <v>2910</v>
      </c>
      <c r="C134" t="s">
        <v>191</v>
      </c>
      <c r="D134" t="s">
        <v>2911</v>
      </c>
    </row>
    <row r="137" spans="1:4" x14ac:dyDescent="0.25">
      <c r="A137" t="s">
        <v>2914</v>
      </c>
      <c r="B137" t="s">
        <v>2822</v>
      </c>
      <c r="C137" t="s">
        <v>239</v>
      </c>
      <c r="D137" t="s">
        <v>2915</v>
      </c>
    </row>
    <row r="140" spans="1:4" x14ac:dyDescent="0.25">
      <c r="A140" t="s">
        <v>2914</v>
      </c>
      <c r="B140" t="s">
        <v>2916</v>
      </c>
      <c r="C140" t="s">
        <v>191</v>
      </c>
      <c r="D140" t="s">
        <v>2911</v>
      </c>
    </row>
    <row r="143" spans="1:4" x14ac:dyDescent="0.25">
      <c r="A143" t="s">
        <v>2917</v>
      </c>
      <c r="B143" t="s">
        <v>2822</v>
      </c>
      <c r="C143" t="s">
        <v>239</v>
      </c>
      <c r="D143" t="s">
        <v>2918</v>
      </c>
    </row>
    <row r="146" spans="1:4" x14ac:dyDescent="0.25">
      <c r="A146" t="s">
        <v>2917</v>
      </c>
      <c r="B146" t="s">
        <v>2910</v>
      </c>
      <c r="C146" t="s">
        <v>191</v>
      </c>
      <c r="D146" t="s">
        <v>2911</v>
      </c>
    </row>
    <row r="149" spans="1:4" x14ac:dyDescent="0.25">
      <c r="A149" t="s">
        <v>2919</v>
      </c>
      <c r="B149" t="s">
        <v>2822</v>
      </c>
      <c r="C149" t="s">
        <v>239</v>
      </c>
      <c r="D149" t="s">
        <v>2920</v>
      </c>
    </row>
    <row r="152" spans="1:4" x14ac:dyDescent="0.25">
      <c r="A152" t="s">
        <v>2919</v>
      </c>
      <c r="B152" t="s">
        <v>2910</v>
      </c>
      <c r="C152" t="s">
        <v>191</v>
      </c>
      <c r="D152" t="s">
        <v>2911</v>
      </c>
    </row>
    <row r="155" spans="1:4" x14ac:dyDescent="0.25">
      <c r="A155" t="s">
        <v>2921</v>
      </c>
      <c r="B155" t="s">
        <v>2922</v>
      </c>
      <c r="C155" t="s">
        <v>239</v>
      </c>
      <c r="D155" t="s">
        <v>2923</v>
      </c>
    </row>
    <row r="158" spans="1:4" x14ac:dyDescent="0.25">
      <c r="A158" t="s">
        <v>2921</v>
      </c>
      <c r="B158" t="s">
        <v>2910</v>
      </c>
      <c r="C158" t="s">
        <v>191</v>
      </c>
      <c r="D158" t="s">
        <v>2924</v>
      </c>
    </row>
    <row r="161" spans="1:4" x14ac:dyDescent="0.25">
      <c r="A161" t="s">
        <v>2925</v>
      </c>
      <c r="B161" t="s">
        <v>2922</v>
      </c>
      <c r="C161" t="s">
        <v>239</v>
      </c>
      <c r="D161" t="s">
        <v>2926</v>
      </c>
    </row>
    <row r="164" spans="1:4" x14ac:dyDescent="0.25">
      <c r="A164" t="s">
        <v>2925</v>
      </c>
      <c r="B164" t="s">
        <v>2927</v>
      </c>
      <c r="C164" t="s">
        <v>191</v>
      </c>
      <c r="D164" t="s">
        <v>2928</v>
      </c>
    </row>
    <row r="167" spans="1:4" x14ac:dyDescent="0.25">
      <c r="A167" t="s">
        <v>2929</v>
      </c>
      <c r="B167" t="s">
        <v>2822</v>
      </c>
      <c r="C167" t="s">
        <v>239</v>
      </c>
      <c r="D167" t="s">
        <v>2930</v>
      </c>
    </row>
    <row r="170" spans="1:4" x14ac:dyDescent="0.25">
      <c r="A170" t="s">
        <v>2929</v>
      </c>
      <c r="B170" t="s">
        <v>2927</v>
      </c>
      <c r="C170" t="s">
        <v>191</v>
      </c>
      <c r="D170" t="s">
        <v>2931</v>
      </c>
    </row>
    <row r="173" spans="1:4" x14ac:dyDescent="0.25">
      <c r="A173" t="s">
        <v>2932</v>
      </c>
      <c r="B173" t="s">
        <v>2822</v>
      </c>
      <c r="C173" t="s">
        <v>239</v>
      </c>
      <c r="D173" t="s">
        <v>2933</v>
      </c>
    </row>
    <row r="176" spans="1:4" x14ac:dyDescent="0.25">
      <c r="A176" t="s">
        <v>2932</v>
      </c>
      <c r="B176" t="s">
        <v>2824</v>
      </c>
      <c r="C176" t="s">
        <v>191</v>
      </c>
      <c r="D176" t="s">
        <v>2934</v>
      </c>
    </row>
    <row r="179" spans="1:4" x14ac:dyDescent="0.25">
      <c r="A179" t="s">
        <v>2935</v>
      </c>
      <c r="B179" t="s">
        <v>2936</v>
      </c>
      <c r="C179" t="s">
        <v>239</v>
      </c>
      <c r="D179" t="s">
        <v>2937</v>
      </c>
    </row>
    <row r="182" spans="1:4" x14ac:dyDescent="0.25">
      <c r="A182" t="s">
        <v>2938</v>
      </c>
      <c r="B182" t="s">
        <v>2939</v>
      </c>
      <c r="C182" t="s">
        <v>239</v>
      </c>
      <c r="D182" t="s">
        <v>2940</v>
      </c>
    </row>
    <row r="185" spans="1:4" x14ac:dyDescent="0.25">
      <c r="A185" t="s">
        <v>2941</v>
      </c>
      <c r="B185" t="s">
        <v>2882</v>
      </c>
      <c r="C185" t="s">
        <v>789</v>
      </c>
      <c r="D185" t="s">
        <v>2942</v>
      </c>
    </row>
    <row r="188" spans="1:4" x14ac:dyDescent="0.25">
      <c r="A188" t="s">
        <v>2943</v>
      </c>
      <c r="B188" t="s">
        <v>2882</v>
      </c>
      <c r="C188" t="s">
        <v>789</v>
      </c>
      <c r="D188" t="s">
        <v>2944</v>
      </c>
    </row>
    <row r="191" spans="1:4" x14ac:dyDescent="0.25">
      <c r="A191" t="s">
        <v>2943</v>
      </c>
      <c r="B191" t="s">
        <v>2945</v>
      </c>
      <c r="C191" t="s">
        <v>191</v>
      </c>
      <c r="D191" t="s">
        <v>2946</v>
      </c>
    </row>
    <row r="194" spans="1:4" x14ac:dyDescent="0.25">
      <c r="A194" t="s">
        <v>2947</v>
      </c>
      <c r="B194" t="s">
        <v>2882</v>
      </c>
      <c r="C194" t="s">
        <v>789</v>
      </c>
      <c r="D194" t="s">
        <v>2948</v>
      </c>
    </row>
    <row r="197" spans="1:4" x14ac:dyDescent="0.25">
      <c r="A197" t="s">
        <v>2949</v>
      </c>
      <c r="B197" t="s">
        <v>2950</v>
      </c>
      <c r="C197" t="s">
        <v>239</v>
      </c>
      <c r="D197" t="s">
        <v>2951</v>
      </c>
    </row>
    <row r="200" spans="1:4" x14ac:dyDescent="0.25">
      <c r="A200" t="s">
        <v>2952</v>
      </c>
      <c r="B200" t="s">
        <v>2822</v>
      </c>
      <c r="C200" t="s">
        <v>789</v>
      </c>
      <c r="D200" t="s">
        <v>2953</v>
      </c>
    </row>
    <row r="203" spans="1:4" x14ac:dyDescent="0.25">
      <c r="A203" t="s">
        <v>2952</v>
      </c>
      <c r="B203" t="s">
        <v>2954</v>
      </c>
      <c r="C203" t="s">
        <v>191</v>
      </c>
      <c r="D203" t="s">
        <v>2955</v>
      </c>
    </row>
    <row r="206" spans="1:4" x14ac:dyDescent="0.25">
      <c r="A206" t="s">
        <v>2956</v>
      </c>
      <c r="B206" t="s">
        <v>2822</v>
      </c>
      <c r="C206" t="s">
        <v>789</v>
      </c>
      <c r="D206" t="s">
        <v>2957</v>
      </c>
    </row>
    <row r="209" spans="1:4" x14ac:dyDescent="0.25">
      <c r="A209" t="s">
        <v>2956</v>
      </c>
      <c r="B209" t="s">
        <v>2954</v>
      </c>
      <c r="C209" t="s">
        <v>191</v>
      </c>
      <c r="D209" t="s">
        <v>2958</v>
      </c>
    </row>
    <row r="212" spans="1:4" x14ac:dyDescent="0.25">
      <c r="A212" t="s">
        <v>2959</v>
      </c>
      <c r="B212" t="s">
        <v>2822</v>
      </c>
      <c r="C212" t="s">
        <v>789</v>
      </c>
      <c r="D212" t="s">
        <v>2960</v>
      </c>
    </row>
    <row r="215" spans="1:4" x14ac:dyDescent="0.25">
      <c r="A215" t="s">
        <v>2959</v>
      </c>
      <c r="B215" t="s">
        <v>2927</v>
      </c>
      <c r="C215" t="s">
        <v>191</v>
      </c>
      <c r="D215" t="s">
        <v>2961</v>
      </c>
    </row>
    <row r="218" spans="1:4" x14ac:dyDescent="0.25">
      <c r="A218" t="s">
        <v>2962</v>
      </c>
      <c r="B218" t="s">
        <v>2822</v>
      </c>
      <c r="C218" t="s">
        <v>239</v>
      </c>
      <c r="D218" t="s">
        <v>2963</v>
      </c>
    </row>
    <row r="221" spans="1:4" x14ac:dyDescent="0.25">
      <c r="A221" t="s">
        <v>2962</v>
      </c>
      <c r="B221" t="s">
        <v>2927</v>
      </c>
      <c r="C221" t="s">
        <v>191</v>
      </c>
      <c r="D221" t="s">
        <v>2964</v>
      </c>
    </row>
    <row r="224" spans="1:4" x14ac:dyDescent="0.25">
      <c r="A224" t="s">
        <v>2965</v>
      </c>
      <c r="B224" t="s">
        <v>2822</v>
      </c>
      <c r="C224" t="s">
        <v>239</v>
      </c>
      <c r="D224" t="s">
        <v>2966</v>
      </c>
    </row>
    <row r="227" spans="1:4" x14ac:dyDescent="0.25">
      <c r="A227" t="s">
        <v>2965</v>
      </c>
      <c r="B227" t="s">
        <v>2927</v>
      </c>
      <c r="C227" t="s">
        <v>191</v>
      </c>
      <c r="D227" t="s">
        <v>2967</v>
      </c>
    </row>
    <row r="230" spans="1:4" x14ac:dyDescent="0.25">
      <c r="A230" t="s">
        <v>2968</v>
      </c>
      <c r="B230" t="s">
        <v>2822</v>
      </c>
      <c r="C230" t="s">
        <v>239</v>
      </c>
      <c r="D230" t="s">
        <v>2969</v>
      </c>
    </row>
    <row r="233" spans="1:4" x14ac:dyDescent="0.25">
      <c r="A233" t="s">
        <v>2968</v>
      </c>
      <c r="B233" t="s">
        <v>2970</v>
      </c>
      <c r="C233" t="s">
        <v>191</v>
      </c>
      <c r="D233" t="s">
        <v>2971</v>
      </c>
    </row>
    <row r="236" spans="1:4" x14ac:dyDescent="0.25">
      <c r="A236" t="s">
        <v>2972</v>
      </c>
      <c r="B236" t="s">
        <v>2822</v>
      </c>
      <c r="C236" t="s">
        <v>239</v>
      </c>
      <c r="D236" t="s">
        <v>2973</v>
      </c>
    </row>
    <row r="239" spans="1:4" x14ac:dyDescent="0.25">
      <c r="A239" t="s">
        <v>2972</v>
      </c>
      <c r="B239" t="s">
        <v>2974</v>
      </c>
      <c r="C239" t="s">
        <v>191</v>
      </c>
      <c r="D239" t="s">
        <v>2975</v>
      </c>
    </row>
    <row r="242" spans="1:4" x14ac:dyDescent="0.25">
      <c r="A242" t="s">
        <v>2976</v>
      </c>
      <c r="B242" t="s">
        <v>2822</v>
      </c>
      <c r="C242" t="s">
        <v>239</v>
      </c>
      <c r="D242" t="s">
        <v>2977</v>
      </c>
    </row>
    <row r="245" spans="1:4" x14ac:dyDescent="0.25">
      <c r="A245" t="s">
        <v>2976</v>
      </c>
      <c r="B245" t="s">
        <v>2978</v>
      </c>
      <c r="C245" t="s">
        <v>191</v>
      </c>
      <c r="D245" t="s">
        <v>2979</v>
      </c>
    </row>
    <row r="248" spans="1:4" x14ac:dyDescent="0.25">
      <c r="A248" t="s">
        <v>2980</v>
      </c>
      <c r="B248" t="s">
        <v>2822</v>
      </c>
      <c r="C248" t="s">
        <v>239</v>
      </c>
      <c r="D248" t="s">
        <v>2981</v>
      </c>
    </row>
    <row r="251" spans="1:4" x14ac:dyDescent="0.25">
      <c r="A251" t="s">
        <v>2980</v>
      </c>
      <c r="B251" t="s">
        <v>2824</v>
      </c>
      <c r="C251" t="s">
        <v>191</v>
      </c>
      <c r="D251" t="s">
        <v>2982</v>
      </c>
    </row>
    <row r="254" spans="1:4" x14ac:dyDescent="0.25">
      <c r="A254" t="s">
        <v>2983</v>
      </c>
      <c r="B254" t="s">
        <v>2822</v>
      </c>
      <c r="C254" t="s">
        <v>789</v>
      </c>
      <c r="D254" t="s">
        <v>2984</v>
      </c>
    </row>
    <row r="257" spans="1:4" x14ac:dyDescent="0.25">
      <c r="A257" t="s">
        <v>2983</v>
      </c>
      <c r="B257" t="s">
        <v>2974</v>
      </c>
      <c r="C257" t="s">
        <v>191</v>
      </c>
      <c r="D257" t="s">
        <v>2985</v>
      </c>
    </row>
    <row r="260" spans="1:4" x14ac:dyDescent="0.25">
      <c r="A260" t="s">
        <v>2986</v>
      </c>
      <c r="B260" t="s">
        <v>2987</v>
      </c>
      <c r="C260" t="s">
        <v>795</v>
      </c>
      <c r="D260" t="s">
        <v>2988</v>
      </c>
    </row>
    <row r="263" spans="1:4" x14ac:dyDescent="0.25">
      <c r="A263" t="s">
        <v>2986</v>
      </c>
      <c r="B263" t="s">
        <v>2989</v>
      </c>
      <c r="C263" t="s">
        <v>795</v>
      </c>
      <c r="D263" t="s">
        <v>2990</v>
      </c>
    </row>
    <row r="266" spans="1:4" x14ac:dyDescent="0.25">
      <c r="A266" t="s">
        <v>2986</v>
      </c>
      <c r="B266" t="s">
        <v>2991</v>
      </c>
      <c r="C266" t="s">
        <v>191</v>
      </c>
      <c r="D266" t="s">
        <v>2992</v>
      </c>
    </row>
    <row r="267" spans="1:4" x14ac:dyDescent="0.25">
      <c r="B267" t="s">
        <v>2993</v>
      </c>
      <c r="C267" t="s">
        <v>795</v>
      </c>
      <c r="D267" t="s">
        <v>2994</v>
      </c>
    </row>
    <row r="270" spans="1:4" x14ac:dyDescent="0.25">
      <c r="A270" t="s">
        <v>2986</v>
      </c>
      <c r="B270" t="s">
        <v>2995</v>
      </c>
      <c r="C270" t="s">
        <v>191</v>
      </c>
      <c r="D270" t="s">
        <v>2996</v>
      </c>
    </row>
    <row r="273" spans="1:4" x14ac:dyDescent="0.25">
      <c r="A273" t="s">
        <v>2986</v>
      </c>
      <c r="B273" t="s">
        <v>2997</v>
      </c>
      <c r="C273" t="s">
        <v>191</v>
      </c>
      <c r="D273" t="s">
        <v>2998</v>
      </c>
    </row>
    <row r="276" spans="1:4" x14ac:dyDescent="0.25">
      <c r="A276" t="s">
        <v>2999</v>
      </c>
      <c r="B276" t="s">
        <v>2815</v>
      </c>
      <c r="C276" t="s">
        <v>239</v>
      </c>
      <c r="D276" t="s">
        <v>3000</v>
      </c>
    </row>
    <row r="279" spans="1:4" x14ac:dyDescent="0.25">
      <c r="A279" t="s">
        <v>3001</v>
      </c>
      <c r="B279" t="s">
        <v>2838</v>
      </c>
      <c r="C279" t="s">
        <v>789</v>
      </c>
      <c r="D279" t="s">
        <v>3002</v>
      </c>
    </row>
    <row r="282" spans="1:4" x14ac:dyDescent="0.25">
      <c r="A282" t="s">
        <v>3001</v>
      </c>
      <c r="B282" t="s">
        <v>3003</v>
      </c>
      <c r="C282" t="s">
        <v>191</v>
      </c>
      <c r="D282" t="s">
        <v>3004</v>
      </c>
    </row>
    <row r="285" spans="1:4" x14ac:dyDescent="0.25">
      <c r="A285" t="s">
        <v>3005</v>
      </c>
      <c r="B285" t="s">
        <v>2815</v>
      </c>
      <c r="C285" t="s">
        <v>239</v>
      </c>
      <c r="D285" t="s">
        <v>3006</v>
      </c>
    </row>
    <row r="288" spans="1:4" x14ac:dyDescent="0.25">
      <c r="A288" t="s">
        <v>3007</v>
      </c>
      <c r="B288" t="s">
        <v>2815</v>
      </c>
      <c r="C288" t="s">
        <v>239</v>
      </c>
      <c r="D288" t="s">
        <v>3008</v>
      </c>
    </row>
    <row r="291" spans="1:4" x14ac:dyDescent="0.25">
      <c r="A291" t="s">
        <v>3009</v>
      </c>
      <c r="B291" t="s">
        <v>2815</v>
      </c>
      <c r="C291" t="s">
        <v>239</v>
      </c>
      <c r="D291" t="s">
        <v>3010</v>
      </c>
    </row>
    <row r="294" spans="1:4" x14ac:dyDescent="0.25">
      <c r="A294" t="s">
        <v>3011</v>
      </c>
      <c r="B294" t="s">
        <v>2815</v>
      </c>
      <c r="C294" t="s">
        <v>239</v>
      </c>
      <c r="D294" t="s">
        <v>3012</v>
      </c>
    </row>
    <row r="297" spans="1:4" x14ac:dyDescent="0.25">
      <c r="A297" t="s">
        <v>3013</v>
      </c>
      <c r="B297" t="s">
        <v>3014</v>
      </c>
      <c r="C297" t="s">
        <v>239</v>
      </c>
      <c r="D297" t="s">
        <v>3015</v>
      </c>
    </row>
    <row r="300" spans="1:4" x14ac:dyDescent="0.25">
      <c r="A300" t="s">
        <v>3016</v>
      </c>
      <c r="B300" t="s">
        <v>2815</v>
      </c>
      <c r="C300" t="s">
        <v>239</v>
      </c>
      <c r="D300" t="s">
        <v>3017</v>
      </c>
    </row>
    <row r="303" spans="1:4" x14ac:dyDescent="0.25">
      <c r="A303" t="s">
        <v>3018</v>
      </c>
      <c r="B303" t="s">
        <v>2815</v>
      </c>
      <c r="C303" t="s">
        <v>239</v>
      </c>
      <c r="D303" t="s">
        <v>3019</v>
      </c>
    </row>
    <row r="306" spans="1:4" x14ac:dyDescent="0.25">
      <c r="A306" t="s">
        <v>3020</v>
      </c>
      <c r="B306" t="s">
        <v>3021</v>
      </c>
      <c r="C306" t="s">
        <v>239</v>
      </c>
      <c r="D306" t="s">
        <v>3022</v>
      </c>
    </row>
    <row r="309" spans="1:4" x14ac:dyDescent="0.25">
      <c r="A309" t="s">
        <v>3020</v>
      </c>
      <c r="B309" t="s">
        <v>3023</v>
      </c>
      <c r="C309" t="s">
        <v>191</v>
      </c>
      <c r="D309" t="s">
        <v>3024</v>
      </c>
    </row>
    <row r="312" spans="1:4" x14ac:dyDescent="0.25">
      <c r="A312" t="s">
        <v>3025</v>
      </c>
      <c r="B312" t="s">
        <v>3026</v>
      </c>
      <c r="C312" t="s">
        <v>2854</v>
      </c>
      <c r="D312" t="s">
        <v>3027</v>
      </c>
    </row>
    <row r="313" spans="1:4" x14ac:dyDescent="0.25">
      <c r="B313" t="s">
        <v>3028</v>
      </c>
      <c r="C313" t="s">
        <v>610</v>
      </c>
      <c r="D313" t="s">
        <v>3029</v>
      </c>
    </row>
    <row r="316" spans="1:4" x14ac:dyDescent="0.25">
      <c r="A316" t="s">
        <v>3030</v>
      </c>
      <c r="B316" t="s">
        <v>3031</v>
      </c>
      <c r="C316" t="s">
        <v>2160</v>
      </c>
      <c r="D316" t="s">
        <v>3032</v>
      </c>
    </row>
    <row r="317" spans="1:4" x14ac:dyDescent="0.25">
      <c r="B317" t="s">
        <v>3033</v>
      </c>
      <c r="C317" t="s">
        <v>3034</v>
      </c>
      <c r="D317" t="s">
        <v>3035</v>
      </c>
    </row>
    <row r="320" spans="1:4" x14ac:dyDescent="0.25">
      <c r="A320" t="s">
        <v>3030</v>
      </c>
      <c r="B320" t="s">
        <v>2822</v>
      </c>
      <c r="C320" t="s">
        <v>789</v>
      </c>
      <c r="D320" t="s">
        <v>3036</v>
      </c>
    </row>
    <row r="323" spans="1:4" x14ac:dyDescent="0.25">
      <c r="A323" t="s">
        <v>3037</v>
      </c>
      <c r="B323" t="s">
        <v>3038</v>
      </c>
      <c r="C323" t="s">
        <v>239</v>
      </c>
      <c r="D323" t="s">
        <v>3039</v>
      </c>
    </row>
    <row r="326" spans="1:4" x14ac:dyDescent="0.25">
      <c r="A326" t="s">
        <v>3037</v>
      </c>
      <c r="B326" t="s">
        <v>3040</v>
      </c>
      <c r="C326" t="s">
        <v>191</v>
      </c>
      <c r="D326" t="s">
        <v>3041</v>
      </c>
    </row>
    <row r="329" spans="1:4" x14ac:dyDescent="0.25">
      <c r="A329" t="s">
        <v>3037</v>
      </c>
      <c r="B329" t="s">
        <v>3042</v>
      </c>
      <c r="C329" t="s">
        <v>192</v>
      </c>
      <c r="D329" t="s">
        <v>3043</v>
      </c>
    </row>
    <row r="332" spans="1:4" x14ac:dyDescent="0.25">
      <c r="A332" t="s">
        <v>3044</v>
      </c>
      <c r="B332" t="s">
        <v>3038</v>
      </c>
      <c r="C332" t="s">
        <v>239</v>
      </c>
      <c r="D332" t="s">
        <v>3045</v>
      </c>
    </row>
    <row r="335" spans="1:4" x14ac:dyDescent="0.25">
      <c r="A335" t="s">
        <v>3044</v>
      </c>
      <c r="B335" t="s">
        <v>3046</v>
      </c>
      <c r="C335" t="s">
        <v>191</v>
      </c>
      <c r="D335" t="s">
        <v>3047</v>
      </c>
    </row>
    <row r="338" spans="1:4" x14ac:dyDescent="0.25">
      <c r="A338" t="s">
        <v>3048</v>
      </c>
      <c r="B338" t="s">
        <v>2838</v>
      </c>
      <c r="C338" t="s">
        <v>789</v>
      </c>
      <c r="D338" t="s">
        <v>3049</v>
      </c>
    </row>
    <row r="341" spans="1:4" x14ac:dyDescent="0.25">
      <c r="A341" t="s">
        <v>3048</v>
      </c>
      <c r="B341" t="s">
        <v>3050</v>
      </c>
      <c r="C341" t="s">
        <v>191</v>
      </c>
      <c r="D341" t="s">
        <v>3051</v>
      </c>
    </row>
    <row r="344" spans="1:4" x14ac:dyDescent="0.25">
      <c r="A344" t="s">
        <v>3052</v>
      </c>
      <c r="B344" t="s">
        <v>2838</v>
      </c>
      <c r="C344" t="s">
        <v>789</v>
      </c>
      <c r="D344" t="s">
        <v>3053</v>
      </c>
    </row>
    <row r="347" spans="1:4" x14ac:dyDescent="0.25">
      <c r="A347" t="s">
        <v>3052</v>
      </c>
      <c r="B347" t="s">
        <v>3054</v>
      </c>
      <c r="C347" t="s">
        <v>191</v>
      </c>
      <c r="D347" t="s">
        <v>3055</v>
      </c>
    </row>
    <row r="350" spans="1:4" x14ac:dyDescent="0.25">
      <c r="A350" t="s">
        <v>3056</v>
      </c>
      <c r="B350" t="s">
        <v>3057</v>
      </c>
      <c r="C350" t="s">
        <v>239</v>
      </c>
      <c r="D350" t="s">
        <v>3058</v>
      </c>
    </row>
    <row r="353" spans="1:4" x14ac:dyDescent="0.25">
      <c r="A353" t="s">
        <v>3059</v>
      </c>
      <c r="B353" t="s">
        <v>3060</v>
      </c>
      <c r="C353" t="s">
        <v>239</v>
      </c>
      <c r="D353" t="s">
        <v>3061</v>
      </c>
    </row>
    <row r="356" spans="1:4" x14ac:dyDescent="0.25">
      <c r="A356" t="s">
        <v>3062</v>
      </c>
      <c r="B356" t="s">
        <v>3063</v>
      </c>
      <c r="C356" t="s">
        <v>239</v>
      </c>
      <c r="D356" t="s">
        <v>3064</v>
      </c>
    </row>
    <row r="359" spans="1:4" x14ac:dyDescent="0.25">
      <c r="A359" t="s">
        <v>3065</v>
      </c>
      <c r="B359" t="s">
        <v>3060</v>
      </c>
      <c r="C359" t="s">
        <v>239</v>
      </c>
      <c r="D359" t="s">
        <v>3066</v>
      </c>
    </row>
    <row r="362" spans="1:4" x14ac:dyDescent="0.25">
      <c r="A362" t="s">
        <v>3067</v>
      </c>
      <c r="B362" t="s">
        <v>3057</v>
      </c>
      <c r="C362" t="s">
        <v>239</v>
      </c>
      <c r="D362" t="s">
        <v>3068</v>
      </c>
    </row>
    <row r="365" spans="1:4" x14ac:dyDescent="0.25">
      <c r="A365" t="s">
        <v>3069</v>
      </c>
      <c r="B365" t="s">
        <v>3070</v>
      </c>
      <c r="C365" t="s">
        <v>789</v>
      </c>
      <c r="D365" t="s">
        <v>3071</v>
      </c>
    </row>
    <row r="368" spans="1:4" x14ac:dyDescent="0.25">
      <c r="A368" t="s">
        <v>3072</v>
      </c>
      <c r="B368" t="s">
        <v>3073</v>
      </c>
      <c r="C368" t="s">
        <v>230</v>
      </c>
      <c r="D368" t="s">
        <v>3074</v>
      </c>
    </row>
    <row r="371" spans="1:4" x14ac:dyDescent="0.25">
      <c r="A371" t="s">
        <v>3072</v>
      </c>
      <c r="B371" t="s">
        <v>3075</v>
      </c>
      <c r="C371" t="s">
        <v>334</v>
      </c>
      <c r="D371" t="s">
        <v>3076</v>
      </c>
    </row>
    <row r="374" spans="1:4" x14ac:dyDescent="0.25">
      <c r="A374" t="s">
        <v>3072</v>
      </c>
      <c r="B374" t="s">
        <v>3077</v>
      </c>
      <c r="C374" t="s">
        <v>741</v>
      </c>
      <c r="D374" t="s">
        <v>3078</v>
      </c>
    </row>
    <row r="377" spans="1:4" x14ac:dyDescent="0.25">
      <c r="A377" t="s">
        <v>3079</v>
      </c>
      <c r="B377" t="s">
        <v>3080</v>
      </c>
      <c r="C377" t="s">
        <v>334</v>
      </c>
      <c r="D377" t="s">
        <v>3081</v>
      </c>
    </row>
    <row r="380" spans="1:4" x14ac:dyDescent="0.25">
      <c r="A380" t="s">
        <v>3079</v>
      </c>
      <c r="B380" t="s">
        <v>3082</v>
      </c>
      <c r="C380" t="s">
        <v>202</v>
      </c>
      <c r="D380" t="s">
        <v>3083</v>
      </c>
    </row>
    <row r="383" spans="1:4" x14ac:dyDescent="0.25">
      <c r="A383" t="s">
        <v>3084</v>
      </c>
      <c r="B383" t="s">
        <v>3085</v>
      </c>
      <c r="C383" t="s">
        <v>239</v>
      </c>
      <c r="D383" t="s">
        <v>3086</v>
      </c>
    </row>
    <row r="386" spans="1:4" x14ac:dyDescent="0.25">
      <c r="A386" t="s">
        <v>3084</v>
      </c>
      <c r="B386" t="s">
        <v>3087</v>
      </c>
      <c r="C386" t="s">
        <v>202</v>
      </c>
      <c r="D386" t="s">
        <v>3088</v>
      </c>
    </row>
    <row r="389" spans="1:4" x14ac:dyDescent="0.25">
      <c r="A389" t="s">
        <v>3089</v>
      </c>
      <c r="B389" t="s">
        <v>3090</v>
      </c>
      <c r="C389" t="s">
        <v>795</v>
      </c>
      <c r="D389" t="s">
        <v>3091</v>
      </c>
    </row>
    <row r="392" spans="1:4" x14ac:dyDescent="0.25">
      <c r="A392" t="s">
        <v>3089</v>
      </c>
      <c r="B392" t="s">
        <v>3092</v>
      </c>
      <c r="C392" t="s">
        <v>795</v>
      </c>
      <c r="D392" t="s">
        <v>3093</v>
      </c>
    </row>
    <row r="395" spans="1:4" x14ac:dyDescent="0.25">
      <c r="A395" t="s">
        <v>3094</v>
      </c>
      <c r="B395" t="s">
        <v>3095</v>
      </c>
      <c r="C395" t="s">
        <v>2160</v>
      </c>
      <c r="D395" t="s">
        <v>3096</v>
      </c>
    </row>
    <row r="396" spans="1:4" x14ac:dyDescent="0.25">
      <c r="B396" t="s">
        <v>3097</v>
      </c>
      <c r="C396" t="s">
        <v>191</v>
      </c>
      <c r="D396" t="s">
        <v>3098</v>
      </c>
    </row>
    <row r="399" spans="1:4" x14ac:dyDescent="0.25">
      <c r="A399" t="s">
        <v>3094</v>
      </c>
      <c r="B399" t="s">
        <v>3099</v>
      </c>
      <c r="C399" t="s">
        <v>810</v>
      </c>
      <c r="D399" t="s">
        <v>3100</v>
      </c>
    </row>
    <row r="400" spans="1:4" x14ac:dyDescent="0.25">
      <c r="B400" t="s">
        <v>3101</v>
      </c>
      <c r="C400" t="s">
        <v>795</v>
      </c>
      <c r="D400" t="s">
        <v>3102</v>
      </c>
    </row>
    <row r="403" spans="1:4" x14ac:dyDescent="0.25">
      <c r="A403" t="s">
        <v>3094</v>
      </c>
      <c r="B403" t="s">
        <v>3103</v>
      </c>
      <c r="C403" t="s">
        <v>191</v>
      </c>
      <c r="D403" t="s">
        <v>3104</v>
      </c>
    </row>
    <row r="406" spans="1:4" x14ac:dyDescent="0.25">
      <c r="A406" t="s">
        <v>3105</v>
      </c>
      <c r="B406" t="s">
        <v>2882</v>
      </c>
      <c r="C406" t="s">
        <v>789</v>
      </c>
      <c r="D406" t="s">
        <v>3106</v>
      </c>
    </row>
    <row r="409" spans="1:4" x14ac:dyDescent="0.25">
      <c r="A409" t="s">
        <v>3105</v>
      </c>
      <c r="B409" t="s">
        <v>3107</v>
      </c>
      <c r="C409" t="s">
        <v>191</v>
      </c>
      <c r="D409" t="s">
        <v>3108</v>
      </c>
    </row>
    <row r="412" spans="1:4" x14ac:dyDescent="0.25">
      <c r="A412" t="s">
        <v>3109</v>
      </c>
      <c r="B412" t="s">
        <v>3110</v>
      </c>
      <c r="C412" t="s">
        <v>795</v>
      </c>
      <c r="D412" t="s">
        <v>3111</v>
      </c>
    </row>
    <row r="413" spans="1:4" x14ac:dyDescent="0.25">
      <c r="B413" t="s">
        <v>3112</v>
      </c>
      <c r="C413" t="s">
        <v>191</v>
      </c>
      <c r="D413" t="s">
        <v>3113</v>
      </c>
    </row>
    <row r="416" spans="1:4" x14ac:dyDescent="0.25">
      <c r="A416" t="s">
        <v>3109</v>
      </c>
      <c r="B416" t="s">
        <v>3114</v>
      </c>
      <c r="C416" t="s">
        <v>353</v>
      </c>
      <c r="D416" t="s">
        <v>3115</v>
      </c>
    </row>
    <row r="417" spans="1:4" x14ac:dyDescent="0.25">
      <c r="B417" t="s">
        <v>3116</v>
      </c>
      <c r="C417" t="s">
        <v>795</v>
      </c>
      <c r="D417" t="s">
        <v>3117</v>
      </c>
    </row>
    <row r="418" spans="1:4" x14ac:dyDescent="0.25">
      <c r="B418" t="s">
        <v>3118</v>
      </c>
      <c r="C418" t="s">
        <v>191</v>
      </c>
      <c r="D418" t="s">
        <v>3119</v>
      </c>
    </row>
    <row r="421" spans="1:4" x14ac:dyDescent="0.25">
      <c r="A421" t="s">
        <v>3109</v>
      </c>
      <c r="B421" t="s">
        <v>2882</v>
      </c>
      <c r="C421" t="s">
        <v>789</v>
      </c>
      <c r="D421" t="s">
        <v>3120</v>
      </c>
    </row>
    <row r="424" spans="1:4" x14ac:dyDescent="0.25">
      <c r="A424" t="s">
        <v>3109</v>
      </c>
      <c r="B424" t="s">
        <v>3121</v>
      </c>
      <c r="C424" t="s">
        <v>191</v>
      </c>
      <c r="D424" t="s">
        <v>3122</v>
      </c>
    </row>
    <row r="425" spans="1:4" x14ac:dyDescent="0.25">
      <c r="B425" t="s">
        <v>3123</v>
      </c>
      <c r="C425" t="s">
        <v>191</v>
      </c>
      <c r="D425" t="s">
        <v>3124</v>
      </c>
    </row>
    <row r="426" spans="1:4" x14ac:dyDescent="0.25">
      <c r="B426" t="s">
        <v>3125</v>
      </c>
      <c r="C426" t="s">
        <v>795</v>
      </c>
      <c r="D426" t="s">
        <v>3126</v>
      </c>
    </row>
    <row r="429" spans="1:4" x14ac:dyDescent="0.25">
      <c r="A429" t="s">
        <v>3127</v>
      </c>
      <c r="B429" t="s">
        <v>3128</v>
      </c>
      <c r="C429" t="s">
        <v>239</v>
      </c>
      <c r="D429" t="s">
        <v>3129</v>
      </c>
    </row>
    <row r="432" spans="1:4" x14ac:dyDescent="0.25">
      <c r="A432" t="s">
        <v>3127</v>
      </c>
      <c r="B432" t="s">
        <v>3130</v>
      </c>
      <c r="C432" t="s">
        <v>471</v>
      </c>
      <c r="D432" t="s">
        <v>3131</v>
      </c>
    </row>
    <row r="435" spans="1:4" x14ac:dyDescent="0.25">
      <c r="A435" t="s">
        <v>3132</v>
      </c>
      <c r="B435" t="s">
        <v>3133</v>
      </c>
      <c r="C435" t="s">
        <v>674</v>
      </c>
      <c r="D435" t="s">
        <v>3134</v>
      </c>
    </row>
    <row r="438" spans="1:4" x14ac:dyDescent="0.25">
      <c r="A438" t="s">
        <v>3135</v>
      </c>
      <c r="B438" t="s">
        <v>3128</v>
      </c>
      <c r="C438" t="s">
        <v>239</v>
      </c>
      <c r="D438" t="s">
        <v>3136</v>
      </c>
    </row>
    <row r="441" spans="1:4" x14ac:dyDescent="0.25">
      <c r="A441" t="s">
        <v>3135</v>
      </c>
      <c r="B441" t="s">
        <v>3137</v>
      </c>
      <c r="C441" t="s">
        <v>471</v>
      </c>
      <c r="D441" t="s">
        <v>3138</v>
      </c>
    </row>
    <row r="444" spans="1:4" x14ac:dyDescent="0.25">
      <c r="A444" t="s">
        <v>3139</v>
      </c>
      <c r="B444" t="s">
        <v>3140</v>
      </c>
      <c r="C444" t="s">
        <v>674</v>
      </c>
      <c r="D444" t="s">
        <v>3141</v>
      </c>
    </row>
    <row r="447" spans="1:4" x14ac:dyDescent="0.25">
      <c r="A447" t="s">
        <v>3142</v>
      </c>
      <c r="B447" t="s">
        <v>3143</v>
      </c>
      <c r="C447" t="s">
        <v>674</v>
      </c>
      <c r="D447" t="s">
        <v>3144</v>
      </c>
    </row>
    <row r="448" spans="1:4" x14ac:dyDescent="0.25">
      <c r="B448" t="s">
        <v>3145</v>
      </c>
      <c r="C448" t="s">
        <v>3146</v>
      </c>
      <c r="D448" t="s">
        <v>3147</v>
      </c>
    </row>
    <row r="451" spans="1:4" x14ac:dyDescent="0.25">
      <c r="A451" t="s">
        <v>3148</v>
      </c>
      <c r="B451" t="s">
        <v>3149</v>
      </c>
      <c r="C451" t="s">
        <v>2160</v>
      </c>
      <c r="D451" t="s">
        <v>3150</v>
      </c>
    </row>
    <row r="454" spans="1:4" x14ac:dyDescent="0.25">
      <c r="A454" t="s">
        <v>3151</v>
      </c>
      <c r="B454" t="s">
        <v>3152</v>
      </c>
      <c r="C454" t="s">
        <v>239</v>
      </c>
      <c r="D454" t="s">
        <v>3153</v>
      </c>
    </row>
    <row r="457" spans="1:4" x14ac:dyDescent="0.25">
      <c r="A457" t="s">
        <v>3154</v>
      </c>
      <c r="B457" t="s">
        <v>3152</v>
      </c>
      <c r="C457" t="s">
        <v>239</v>
      </c>
      <c r="D457" t="s">
        <v>3155</v>
      </c>
    </row>
    <row r="460" spans="1:4" x14ac:dyDescent="0.25">
      <c r="A460" t="s">
        <v>3154</v>
      </c>
      <c r="B460" t="s">
        <v>3156</v>
      </c>
      <c r="C460" t="s">
        <v>191</v>
      </c>
      <c r="D460" t="s">
        <v>3157</v>
      </c>
    </row>
    <row r="463" spans="1:4" x14ac:dyDescent="0.25">
      <c r="A463" t="s">
        <v>3158</v>
      </c>
      <c r="B463" t="s">
        <v>3152</v>
      </c>
      <c r="C463" t="s">
        <v>239</v>
      </c>
      <c r="D463" t="s">
        <v>3159</v>
      </c>
    </row>
    <row r="466" spans="1:4" x14ac:dyDescent="0.25">
      <c r="A466" t="s">
        <v>3158</v>
      </c>
      <c r="B466" t="s">
        <v>3023</v>
      </c>
      <c r="C466" t="s">
        <v>191</v>
      </c>
      <c r="D466" t="s">
        <v>3160</v>
      </c>
    </row>
    <row r="469" spans="1:4" x14ac:dyDescent="0.25">
      <c r="A469" t="s">
        <v>3161</v>
      </c>
      <c r="B469" t="s">
        <v>3152</v>
      </c>
      <c r="C469" t="s">
        <v>239</v>
      </c>
      <c r="D469" t="s">
        <v>3162</v>
      </c>
    </row>
    <row r="472" spans="1:4" x14ac:dyDescent="0.25">
      <c r="A472" t="s">
        <v>3163</v>
      </c>
      <c r="B472" t="s">
        <v>3152</v>
      </c>
      <c r="C472" t="s">
        <v>239</v>
      </c>
      <c r="D472" t="s">
        <v>3164</v>
      </c>
    </row>
    <row r="475" spans="1:4" x14ac:dyDescent="0.25">
      <c r="A475" t="s">
        <v>3165</v>
      </c>
      <c r="B475" t="s">
        <v>3152</v>
      </c>
      <c r="C475" t="s">
        <v>239</v>
      </c>
      <c r="D475" t="s">
        <v>3166</v>
      </c>
    </row>
    <row r="478" spans="1:4" x14ac:dyDescent="0.25">
      <c r="A478" t="s">
        <v>3167</v>
      </c>
      <c r="B478" t="s">
        <v>3087</v>
      </c>
      <c r="C478" t="s">
        <v>202</v>
      </c>
      <c r="D478" t="s">
        <v>3168</v>
      </c>
    </row>
    <row r="481" spans="1:4" x14ac:dyDescent="0.25">
      <c r="A481" t="s">
        <v>3169</v>
      </c>
      <c r="B481" t="s">
        <v>3170</v>
      </c>
      <c r="C481" t="s">
        <v>3034</v>
      </c>
      <c r="D481" t="s">
        <v>3171</v>
      </c>
    </row>
    <row r="484" spans="1:4" x14ac:dyDescent="0.25">
      <c r="A484" t="s">
        <v>3169</v>
      </c>
      <c r="B484" t="s">
        <v>2815</v>
      </c>
      <c r="C484" t="s">
        <v>239</v>
      </c>
      <c r="D484" t="s">
        <v>3172</v>
      </c>
    </row>
    <row r="487" spans="1:4" x14ac:dyDescent="0.25">
      <c r="A487" t="s">
        <v>3173</v>
      </c>
      <c r="B487" t="s">
        <v>3174</v>
      </c>
      <c r="C487" t="s">
        <v>3034</v>
      </c>
      <c r="D487" t="s">
        <v>3175</v>
      </c>
    </row>
    <row r="490" spans="1:4" x14ac:dyDescent="0.25">
      <c r="A490" t="s">
        <v>3173</v>
      </c>
      <c r="B490" t="s">
        <v>3176</v>
      </c>
      <c r="C490" t="s">
        <v>239</v>
      </c>
      <c r="D490" t="s">
        <v>3177</v>
      </c>
    </row>
    <row r="493" spans="1:4" x14ac:dyDescent="0.25">
      <c r="A493" t="s">
        <v>3178</v>
      </c>
      <c r="B493" t="s">
        <v>2838</v>
      </c>
      <c r="C493" t="s">
        <v>789</v>
      </c>
      <c r="D493" t="s">
        <v>3179</v>
      </c>
    </row>
    <row r="496" spans="1:4" x14ac:dyDescent="0.25">
      <c r="A496" t="s">
        <v>3178</v>
      </c>
      <c r="B496" t="s">
        <v>3180</v>
      </c>
      <c r="C496" t="s">
        <v>191</v>
      </c>
      <c r="D496" t="s">
        <v>3181</v>
      </c>
    </row>
    <row r="499" spans="1:4" x14ac:dyDescent="0.25">
      <c r="A499" t="s">
        <v>3182</v>
      </c>
      <c r="B499" t="s">
        <v>3174</v>
      </c>
      <c r="C499" t="s">
        <v>3034</v>
      </c>
      <c r="D499" t="s">
        <v>3183</v>
      </c>
    </row>
    <row r="502" spans="1:4" x14ac:dyDescent="0.25">
      <c r="A502" t="s">
        <v>3182</v>
      </c>
      <c r="B502" t="s">
        <v>3176</v>
      </c>
      <c r="C502" t="s">
        <v>239</v>
      </c>
      <c r="D502" t="s">
        <v>3184</v>
      </c>
    </row>
    <row r="505" spans="1:4" x14ac:dyDescent="0.25">
      <c r="A505" t="s">
        <v>3185</v>
      </c>
      <c r="B505" t="s">
        <v>3186</v>
      </c>
      <c r="C505" t="s">
        <v>3034</v>
      </c>
      <c r="D505" t="s">
        <v>3187</v>
      </c>
    </row>
    <row r="508" spans="1:4" x14ac:dyDescent="0.25">
      <c r="A508" t="s">
        <v>3185</v>
      </c>
      <c r="B508" t="s">
        <v>3176</v>
      </c>
      <c r="C508" t="s">
        <v>239</v>
      </c>
      <c r="D508" t="s">
        <v>3188</v>
      </c>
    </row>
    <row r="511" spans="1:4" x14ac:dyDescent="0.25">
      <c r="A511" t="s">
        <v>3189</v>
      </c>
      <c r="B511" t="s">
        <v>3190</v>
      </c>
      <c r="C511" t="s">
        <v>3034</v>
      </c>
      <c r="D511" t="s">
        <v>3191</v>
      </c>
    </row>
    <row r="514" spans="1:4" x14ac:dyDescent="0.25">
      <c r="A514" t="s">
        <v>3189</v>
      </c>
      <c r="B514" t="s">
        <v>3176</v>
      </c>
      <c r="C514" t="s">
        <v>239</v>
      </c>
      <c r="D514" t="s">
        <v>3192</v>
      </c>
    </row>
    <row r="517" spans="1:4" x14ac:dyDescent="0.25">
      <c r="A517" t="s">
        <v>3193</v>
      </c>
      <c r="B517" t="s">
        <v>3194</v>
      </c>
      <c r="C517" t="s">
        <v>239</v>
      </c>
      <c r="D517" t="s">
        <v>3195</v>
      </c>
    </row>
    <row r="520" spans="1:4" x14ac:dyDescent="0.25">
      <c r="A520" t="s">
        <v>3196</v>
      </c>
      <c r="B520" t="s">
        <v>3152</v>
      </c>
      <c r="C520" t="s">
        <v>239</v>
      </c>
      <c r="D520" t="s">
        <v>3197</v>
      </c>
    </row>
    <row r="523" spans="1:4" x14ac:dyDescent="0.25">
      <c r="A523" t="s">
        <v>3198</v>
      </c>
      <c r="B523" t="s">
        <v>2882</v>
      </c>
      <c r="C523" t="s">
        <v>239</v>
      </c>
      <c r="D523" t="s">
        <v>3199</v>
      </c>
    </row>
    <row r="526" spans="1:4" x14ac:dyDescent="0.25">
      <c r="A526" t="s">
        <v>3200</v>
      </c>
      <c r="B526" t="s">
        <v>3152</v>
      </c>
      <c r="C526" t="s">
        <v>239</v>
      </c>
      <c r="D526" t="s">
        <v>3201</v>
      </c>
    </row>
    <row r="529" spans="1:4" x14ac:dyDescent="0.25">
      <c r="A529" t="s">
        <v>3202</v>
      </c>
      <c r="B529" t="s">
        <v>3203</v>
      </c>
      <c r="C529" t="s">
        <v>789</v>
      </c>
      <c r="D529" t="s">
        <v>3204</v>
      </c>
    </row>
    <row r="532" spans="1:4" x14ac:dyDescent="0.25">
      <c r="A532" t="s">
        <v>3205</v>
      </c>
      <c r="B532" t="s">
        <v>3206</v>
      </c>
      <c r="C532" t="s">
        <v>789</v>
      </c>
      <c r="D532" t="s">
        <v>3207</v>
      </c>
    </row>
    <row r="535" spans="1:4" x14ac:dyDescent="0.25">
      <c r="A535" t="s">
        <v>3205</v>
      </c>
      <c r="B535" t="s">
        <v>3103</v>
      </c>
      <c r="C535" t="s">
        <v>191</v>
      </c>
      <c r="D535" t="s">
        <v>3208</v>
      </c>
    </row>
    <row r="538" spans="1:4" x14ac:dyDescent="0.25">
      <c r="A538" t="s">
        <v>3209</v>
      </c>
      <c r="B538" t="s">
        <v>3210</v>
      </c>
      <c r="C538" t="s">
        <v>674</v>
      </c>
      <c r="D538" t="s">
        <v>3211</v>
      </c>
    </row>
    <row r="541" spans="1:4" x14ac:dyDescent="0.25">
      <c r="A541" t="s">
        <v>3212</v>
      </c>
      <c r="B541" t="s">
        <v>3213</v>
      </c>
      <c r="C541" t="s">
        <v>3034</v>
      </c>
      <c r="D541" t="s">
        <v>3214</v>
      </c>
    </row>
    <row r="542" spans="1:4" x14ac:dyDescent="0.25">
      <c r="B542" t="s">
        <v>3215</v>
      </c>
      <c r="C542" t="s">
        <v>191</v>
      </c>
      <c r="D542" t="s">
        <v>3216</v>
      </c>
    </row>
    <row r="545" spans="1:4" x14ac:dyDescent="0.25">
      <c r="A545" t="s">
        <v>3217</v>
      </c>
      <c r="B545" t="s">
        <v>3218</v>
      </c>
      <c r="C545" t="s">
        <v>191</v>
      </c>
      <c r="D545" t="s">
        <v>3219</v>
      </c>
    </row>
    <row r="548" spans="1:4" x14ac:dyDescent="0.25">
      <c r="A548" t="s">
        <v>3220</v>
      </c>
      <c r="B548" t="s">
        <v>3221</v>
      </c>
      <c r="C548" t="s">
        <v>334</v>
      </c>
      <c r="D548" t="s">
        <v>3222</v>
      </c>
    </row>
    <row r="551" spans="1:4" x14ac:dyDescent="0.25">
      <c r="A551" t="s">
        <v>3220</v>
      </c>
      <c r="B551" t="s">
        <v>3223</v>
      </c>
      <c r="C551" t="s">
        <v>741</v>
      </c>
      <c r="D551" t="s">
        <v>3224</v>
      </c>
    </row>
    <row r="554" spans="1:4" x14ac:dyDescent="0.25">
      <c r="A554" t="s">
        <v>3220</v>
      </c>
      <c r="B554" t="s">
        <v>3087</v>
      </c>
      <c r="C554" t="s">
        <v>202</v>
      </c>
      <c r="D554" t="s">
        <v>3225</v>
      </c>
    </row>
    <row r="557" spans="1:4" x14ac:dyDescent="0.25">
      <c r="A557" t="s">
        <v>3226</v>
      </c>
      <c r="B557" t="s">
        <v>3221</v>
      </c>
      <c r="C557" t="s">
        <v>334</v>
      </c>
      <c r="D557" t="s">
        <v>3227</v>
      </c>
    </row>
    <row r="560" spans="1:4" x14ac:dyDescent="0.25">
      <c r="A560" t="s">
        <v>3226</v>
      </c>
      <c r="B560" t="s">
        <v>3228</v>
      </c>
      <c r="C560" t="s">
        <v>741</v>
      </c>
      <c r="D560" t="s">
        <v>3229</v>
      </c>
    </row>
    <row r="563" spans="1:4" x14ac:dyDescent="0.25">
      <c r="A563" t="s">
        <v>3226</v>
      </c>
      <c r="B563" t="s">
        <v>3230</v>
      </c>
      <c r="C563" t="s">
        <v>202</v>
      </c>
      <c r="D563" t="s">
        <v>3231</v>
      </c>
    </row>
    <row r="566" spans="1:4" x14ac:dyDescent="0.25">
      <c r="A566" t="s">
        <v>3232</v>
      </c>
      <c r="B566" t="s">
        <v>3233</v>
      </c>
      <c r="C566" t="s">
        <v>334</v>
      </c>
      <c r="D566" t="s">
        <v>3234</v>
      </c>
    </row>
    <row r="569" spans="1:4" x14ac:dyDescent="0.25">
      <c r="A569" t="s">
        <v>3232</v>
      </c>
      <c r="B569" t="s">
        <v>3235</v>
      </c>
      <c r="C569" t="s">
        <v>741</v>
      </c>
      <c r="D569" t="s">
        <v>3236</v>
      </c>
    </row>
    <row r="572" spans="1:4" x14ac:dyDescent="0.25">
      <c r="A572" t="s">
        <v>3232</v>
      </c>
      <c r="B572" t="s">
        <v>3087</v>
      </c>
      <c r="C572" t="s">
        <v>202</v>
      </c>
      <c r="D572" t="s">
        <v>3237</v>
      </c>
    </row>
    <row r="575" spans="1:4" x14ac:dyDescent="0.25">
      <c r="A575" t="s">
        <v>3238</v>
      </c>
      <c r="B575" t="s">
        <v>3239</v>
      </c>
      <c r="C575" t="s">
        <v>334</v>
      </c>
      <c r="D575" t="s">
        <v>3240</v>
      </c>
    </row>
    <row r="578" spans="1:4" x14ac:dyDescent="0.25">
      <c r="A578" t="s">
        <v>3238</v>
      </c>
      <c r="B578" t="s">
        <v>3077</v>
      </c>
      <c r="C578" t="s">
        <v>741</v>
      </c>
      <c r="D578" t="s">
        <v>3241</v>
      </c>
    </row>
    <row r="581" spans="1:4" x14ac:dyDescent="0.25">
      <c r="A581" t="s">
        <v>3238</v>
      </c>
      <c r="B581" t="s">
        <v>3087</v>
      </c>
      <c r="C581" t="s">
        <v>202</v>
      </c>
      <c r="D581" t="s">
        <v>3242</v>
      </c>
    </row>
    <row r="584" spans="1:4" x14ac:dyDescent="0.25">
      <c r="A584" t="s">
        <v>3243</v>
      </c>
      <c r="B584" t="s">
        <v>3221</v>
      </c>
      <c r="C584" t="s">
        <v>334</v>
      </c>
      <c r="D584" t="s">
        <v>3244</v>
      </c>
    </row>
    <row r="585" spans="1:4" x14ac:dyDescent="0.25">
      <c r="B585" t="s">
        <v>3245</v>
      </c>
      <c r="C585" t="s">
        <v>742</v>
      </c>
      <c r="D585" t="s">
        <v>3246</v>
      </c>
    </row>
    <row r="588" spans="1:4" x14ac:dyDescent="0.25">
      <c r="A588" t="s">
        <v>3243</v>
      </c>
      <c r="B588" t="s">
        <v>3077</v>
      </c>
      <c r="C588" t="s">
        <v>741</v>
      </c>
      <c r="D588" t="s">
        <v>3247</v>
      </c>
    </row>
    <row r="591" spans="1:4" x14ac:dyDescent="0.25">
      <c r="A591" t="s">
        <v>3243</v>
      </c>
      <c r="B591" t="s">
        <v>3087</v>
      </c>
      <c r="C591" t="s">
        <v>202</v>
      </c>
      <c r="D591" t="s">
        <v>3248</v>
      </c>
    </row>
    <row r="594" spans="1:4" x14ac:dyDescent="0.25">
      <c r="A594" t="s">
        <v>3249</v>
      </c>
      <c r="B594" t="s">
        <v>2950</v>
      </c>
      <c r="C594" t="s">
        <v>239</v>
      </c>
      <c r="D594" t="s">
        <v>3250</v>
      </c>
    </row>
    <row r="597" spans="1:4" x14ac:dyDescent="0.25">
      <c r="A597" t="s">
        <v>3249</v>
      </c>
      <c r="B597" t="s">
        <v>3251</v>
      </c>
      <c r="C597" t="s">
        <v>471</v>
      </c>
      <c r="D597" t="s">
        <v>3252</v>
      </c>
    </row>
    <row r="598" spans="1:4" x14ac:dyDescent="0.25">
      <c r="B598" t="s">
        <v>3253</v>
      </c>
      <c r="C598" t="s">
        <v>191</v>
      </c>
      <c r="D598" t="s">
        <v>3254</v>
      </c>
    </row>
    <row r="601" spans="1:4" x14ac:dyDescent="0.25">
      <c r="A601" t="s">
        <v>3249</v>
      </c>
      <c r="B601" t="s">
        <v>3255</v>
      </c>
      <c r="C601" t="s">
        <v>795</v>
      </c>
      <c r="D601" t="s">
        <v>3256</v>
      </c>
    </row>
    <row r="604" spans="1:4" x14ac:dyDescent="0.25">
      <c r="A604" t="s">
        <v>3257</v>
      </c>
      <c r="B604" t="s">
        <v>3258</v>
      </c>
      <c r="C604" t="s">
        <v>353</v>
      </c>
      <c r="D604" t="s">
        <v>3259</v>
      </c>
    </row>
    <row r="607" spans="1:4" x14ac:dyDescent="0.25">
      <c r="A607" t="s">
        <v>3257</v>
      </c>
      <c r="B607" t="s">
        <v>2894</v>
      </c>
      <c r="C607" t="s">
        <v>239</v>
      </c>
      <c r="D607" t="s">
        <v>3260</v>
      </c>
    </row>
    <row r="610" spans="1:4" x14ac:dyDescent="0.25">
      <c r="A610" t="s">
        <v>3257</v>
      </c>
      <c r="B610" t="s">
        <v>3261</v>
      </c>
      <c r="C610" t="s">
        <v>239</v>
      </c>
      <c r="D610" t="s">
        <v>3262</v>
      </c>
    </row>
    <row r="613" spans="1:4" x14ac:dyDescent="0.25">
      <c r="A613" t="s">
        <v>3257</v>
      </c>
      <c r="B613" t="s">
        <v>3263</v>
      </c>
      <c r="C613" t="s">
        <v>353</v>
      </c>
      <c r="D613" t="s">
        <v>3264</v>
      </c>
    </row>
    <row r="616" spans="1:4" x14ac:dyDescent="0.25">
      <c r="A616" t="s">
        <v>3257</v>
      </c>
      <c r="B616" t="s">
        <v>3265</v>
      </c>
      <c r="C616" t="s">
        <v>239</v>
      </c>
      <c r="D616" t="s">
        <v>3266</v>
      </c>
    </row>
    <row r="619" spans="1:4" x14ac:dyDescent="0.25">
      <c r="A619" t="s">
        <v>3257</v>
      </c>
      <c r="B619" t="s">
        <v>2884</v>
      </c>
      <c r="C619" t="s">
        <v>191</v>
      </c>
      <c r="D619" t="s">
        <v>3267</v>
      </c>
    </row>
    <row r="622" spans="1:4" x14ac:dyDescent="0.25">
      <c r="A622" t="s">
        <v>3257</v>
      </c>
      <c r="B622" t="s">
        <v>3268</v>
      </c>
      <c r="C622" t="s">
        <v>3269</v>
      </c>
      <c r="D622" t="s">
        <v>3270</v>
      </c>
    </row>
    <row r="625" spans="1:4" x14ac:dyDescent="0.25">
      <c r="A625" t="s">
        <v>3271</v>
      </c>
      <c r="B625" t="s">
        <v>2950</v>
      </c>
      <c r="C625" t="s">
        <v>239</v>
      </c>
      <c r="D625" t="s">
        <v>3272</v>
      </c>
    </row>
    <row r="628" spans="1:4" x14ac:dyDescent="0.25">
      <c r="A628" t="s">
        <v>3271</v>
      </c>
      <c r="B628" t="s">
        <v>3273</v>
      </c>
      <c r="C628" t="s">
        <v>471</v>
      </c>
      <c r="D628" t="s">
        <v>3274</v>
      </c>
    </row>
    <row r="629" spans="1:4" x14ac:dyDescent="0.25">
      <c r="B629" t="s">
        <v>3275</v>
      </c>
      <c r="C629" t="s">
        <v>191</v>
      </c>
      <c r="D629" t="s">
        <v>3276</v>
      </c>
    </row>
    <row r="632" spans="1:4" x14ac:dyDescent="0.25">
      <c r="A632" t="s">
        <v>3271</v>
      </c>
      <c r="B632" t="s">
        <v>3277</v>
      </c>
      <c r="C632" t="s">
        <v>1146</v>
      </c>
      <c r="D632" t="s">
        <v>3278</v>
      </c>
    </row>
    <row r="635" spans="1:4" x14ac:dyDescent="0.25">
      <c r="A635" t="s">
        <v>3271</v>
      </c>
      <c r="B635" t="s">
        <v>3279</v>
      </c>
      <c r="C635" t="s">
        <v>1146</v>
      </c>
      <c r="D635" t="s">
        <v>3280</v>
      </c>
    </row>
    <row r="638" spans="1:4" x14ac:dyDescent="0.25">
      <c r="A638" t="s">
        <v>3281</v>
      </c>
      <c r="B638" t="s">
        <v>3282</v>
      </c>
      <c r="C638" t="s">
        <v>180</v>
      </c>
      <c r="D638" t="s">
        <v>3283</v>
      </c>
    </row>
    <row r="641" spans="1:4" x14ac:dyDescent="0.25">
      <c r="A641" t="s">
        <v>3281</v>
      </c>
      <c r="B641" t="s">
        <v>2950</v>
      </c>
      <c r="C641" t="s">
        <v>789</v>
      </c>
      <c r="D641" t="s">
        <v>3284</v>
      </c>
    </row>
    <row r="644" spans="1:4" x14ac:dyDescent="0.25">
      <c r="A644" t="s">
        <v>3281</v>
      </c>
      <c r="B644" t="s">
        <v>3285</v>
      </c>
      <c r="C644" t="s">
        <v>471</v>
      </c>
      <c r="D644" t="s">
        <v>3286</v>
      </c>
    </row>
    <row r="645" spans="1:4" x14ac:dyDescent="0.25">
      <c r="B645" t="s">
        <v>3287</v>
      </c>
      <c r="C645" t="s">
        <v>191</v>
      </c>
      <c r="D645" t="s">
        <v>3288</v>
      </c>
    </row>
    <row r="648" spans="1:4" x14ac:dyDescent="0.25">
      <c r="A648" t="s">
        <v>3281</v>
      </c>
      <c r="B648" t="s">
        <v>3289</v>
      </c>
      <c r="C648" t="s">
        <v>741</v>
      </c>
      <c r="D648" t="s">
        <v>3290</v>
      </c>
    </row>
    <row r="651" spans="1:4" x14ac:dyDescent="0.25">
      <c r="A651" t="s">
        <v>3291</v>
      </c>
      <c r="B651" t="s">
        <v>3292</v>
      </c>
      <c r="C651" t="s">
        <v>239</v>
      </c>
      <c r="D651" t="s">
        <v>3293</v>
      </c>
    </row>
    <row r="654" spans="1:4" x14ac:dyDescent="0.25">
      <c r="A654" t="s">
        <v>3291</v>
      </c>
      <c r="B654" t="s">
        <v>3294</v>
      </c>
      <c r="C654" t="s">
        <v>471</v>
      </c>
      <c r="D654" t="s">
        <v>3295</v>
      </c>
    </row>
    <row r="657" spans="1:4" x14ac:dyDescent="0.25">
      <c r="A657" t="s">
        <v>3296</v>
      </c>
      <c r="B657" t="s">
        <v>3174</v>
      </c>
      <c r="C657" t="s">
        <v>3034</v>
      </c>
      <c r="D657" t="s">
        <v>3175</v>
      </c>
    </row>
    <row r="660" spans="1:4" x14ac:dyDescent="0.25">
      <c r="A660" t="s">
        <v>3296</v>
      </c>
      <c r="B660" t="s">
        <v>3176</v>
      </c>
      <c r="C660" t="s">
        <v>239</v>
      </c>
      <c r="D660" t="s">
        <v>3297</v>
      </c>
    </row>
    <row r="663" spans="1:4" x14ac:dyDescent="0.25">
      <c r="A663" t="s">
        <v>3298</v>
      </c>
      <c r="B663" t="s">
        <v>3299</v>
      </c>
      <c r="C663" t="s">
        <v>239</v>
      </c>
      <c r="D663" t="s">
        <v>3300</v>
      </c>
    </row>
    <row r="666" spans="1:4" x14ac:dyDescent="0.25">
      <c r="A666" t="s">
        <v>3298</v>
      </c>
      <c r="B666" t="s">
        <v>3301</v>
      </c>
      <c r="C666" t="s">
        <v>230</v>
      </c>
      <c r="D666" t="s">
        <v>3302</v>
      </c>
    </row>
    <row r="667" spans="1:4" x14ac:dyDescent="0.25">
      <c r="B667" t="s">
        <v>3303</v>
      </c>
      <c r="C667" t="s">
        <v>191</v>
      </c>
      <c r="D667" t="s">
        <v>3304</v>
      </c>
    </row>
    <row r="668" spans="1:4" x14ac:dyDescent="0.25">
      <c r="B668" t="s">
        <v>3305</v>
      </c>
      <c r="C668" t="s">
        <v>230</v>
      </c>
      <c r="D668" t="s">
        <v>3306</v>
      </c>
    </row>
    <row r="671" spans="1:4" x14ac:dyDescent="0.25">
      <c r="A671" t="s">
        <v>3307</v>
      </c>
      <c r="B671" t="s">
        <v>3174</v>
      </c>
      <c r="C671" t="s">
        <v>3034</v>
      </c>
      <c r="D671" t="s">
        <v>3175</v>
      </c>
    </row>
    <row r="674" spans="1:4" x14ac:dyDescent="0.25">
      <c r="A674" t="s">
        <v>3307</v>
      </c>
      <c r="B674" t="s">
        <v>3176</v>
      </c>
      <c r="C674" t="s">
        <v>239</v>
      </c>
      <c r="D674" t="s">
        <v>3308</v>
      </c>
    </row>
    <row r="677" spans="1:4" x14ac:dyDescent="0.25">
      <c r="A677" t="s">
        <v>3309</v>
      </c>
      <c r="B677" t="s">
        <v>3174</v>
      </c>
      <c r="C677" t="s">
        <v>3034</v>
      </c>
      <c r="D677" t="s">
        <v>3175</v>
      </c>
    </row>
    <row r="680" spans="1:4" x14ac:dyDescent="0.25">
      <c r="A680" t="s">
        <v>3309</v>
      </c>
      <c r="B680" t="s">
        <v>3310</v>
      </c>
      <c r="C680" t="s">
        <v>191</v>
      </c>
      <c r="D680" t="s">
        <v>3311</v>
      </c>
    </row>
    <row r="681" spans="1:4" x14ac:dyDescent="0.25">
      <c r="B681" t="s">
        <v>3312</v>
      </c>
      <c r="C681" t="s">
        <v>191</v>
      </c>
      <c r="D681" t="s">
        <v>3313</v>
      </c>
    </row>
    <row r="684" spans="1:4" x14ac:dyDescent="0.25">
      <c r="A684" t="s">
        <v>3309</v>
      </c>
      <c r="B684" t="s">
        <v>3176</v>
      </c>
      <c r="C684" t="s">
        <v>239</v>
      </c>
      <c r="D684" t="s">
        <v>3314</v>
      </c>
    </row>
    <row r="687" spans="1:4" x14ac:dyDescent="0.25">
      <c r="A687" t="s">
        <v>3315</v>
      </c>
      <c r="B687" t="s">
        <v>3316</v>
      </c>
      <c r="C687" t="s">
        <v>2160</v>
      </c>
      <c r="D687" t="s">
        <v>3317</v>
      </c>
    </row>
    <row r="690" spans="1:4" x14ac:dyDescent="0.25">
      <c r="A690" t="s">
        <v>3315</v>
      </c>
      <c r="B690" t="s">
        <v>3318</v>
      </c>
      <c r="C690" t="s">
        <v>191</v>
      </c>
      <c r="D690" t="s">
        <v>3319</v>
      </c>
    </row>
    <row r="693" spans="1:4" x14ac:dyDescent="0.25">
      <c r="A693" t="s">
        <v>3320</v>
      </c>
      <c r="B693" t="s">
        <v>3057</v>
      </c>
      <c r="C693" t="s">
        <v>239</v>
      </c>
      <c r="D693" t="s">
        <v>3321</v>
      </c>
    </row>
    <row r="696" spans="1:4" x14ac:dyDescent="0.25">
      <c r="A696" t="s">
        <v>3322</v>
      </c>
      <c r="B696" t="s">
        <v>3057</v>
      </c>
      <c r="C696" t="s">
        <v>239</v>
      </c>
      <c r="D696" t="s">
        <v>3323</v>
      </c>
    </row>
    <row r="699" spans="1:4" x14ac:dyDescent="0.25">
      <c r="A699" t="s">
        <v>3324</v>
      </c>
      <c r="B699" t="s">
        <v>3325</v>
      </c>
      <c r="C699" t="s">
        <v>789</v>
      </c>
      <c r="D699" t="s">
        <v>3326</v>
      </c>
    </row>
    <row r="702" spans="1:4" x14ac:dyDescent="0.25">
      <c r="A702" t="s">
        <v>3327</v>
      </c>
      <c r="B702" t="s">
        <v>2822</v>
      </c>
      <c r="C702" t="s">
        <v>239</v>
      </c>
      <c r="D702" t="s">
        <v>3328</v>
      </c>
    </row>
    <row r="705" spans="1:4" x14ac:dyDescent="0.25">
      <c r="A705" t="s">
        <v>3327</v>
      </c>
      <c r="B705" t="s">
        <v>3329</v>
      </c>
      <c r="C705" t="s">
        <v>230</v>
      </c>
      <c r="D705" t="s">
        <v>3330</v>
      </c>
    </row>
    <row r="708" spans="1:4" x14ac:dyDescent="0.25">
      <c r="A708" t="s">
        <v>3331</v>
      </c>
      <c r="B708" t="s">
        <v>3152</v>
      </c>
      <c r="C708" t="s">
        <v>239</v>
      </c>
      <c r="D708" t="s">
        <v>3332</v>
      </c>
    </row>
    <row r="711" spans="1:4" x14ac:dyDescent="0.25">
      <c r="A711" t="s">
        <v>3331</v>
      </c>
      <c r="B711" t="s">
        <v>3333</v>
      </c>
      <c r="C711" t="s">
        <v>674</v>
      </c>
      <c r="D711" t="s">
        <v>3334</v>
      </c>
    </row>
    <row r="714" spans="1:4" x14ac:dyDescent="0.25">
      <c r="A714" t="s">
        <v>3331</v>
      </c>
      <c r="B714" t="s">
        <v>3023</v>
      </c>
      <c r="C714" t="s">
        <v>191</v>
      </c>
      <c r="D714" t="s">
        <v>3335</v>
      </c>
    </row>
    <row r="717" spans="1:4" x14ac:dyDescent="0.25">
      <c r="A717" t="s">
        <v>3336</v>
      </c>
      <c r="B717" t="s">
        <v>3021</v>
      </c>
      <c r="C717" t="s">
        <v>239</v>
      </c>
      <c r="D717" t="s">
        <v>3337</v>
      </c>
    </row>
    <row r="720" spans="1:4" x14ac:dyDescent="0.25">
      <c r="A720" t="s">
        <v>3336</v>
      </c>
      <c r="B720" t="s">
        <v>3023</v>
      </c>
      <c r="C720" t="s">
        <v>191</v>
      </c>
      <c r="D720" t="s">
        <v>3335</v>
      </c>
    </row>
    <row r="723" spans="1:4" x14ac:dyDescent="0.25">
      <c r="A723" t="s">
        <v>3338</v>
      </c>
      <c r="B723" t="s">
        <v>3339</v>
      </c>
      <c r="C723" t="s">
        <v>2160</v>
      </c>
      <c r="D723" t="s">
        <v>3340</v>
      </c>
    </row>
    <row r="726" spans="1:4" x14ac:dyDescent="0.25">
      <c r="A726" t="s">
        <v>3341</v>
      </c>
      <c r="B726" t="s">
        <v>3342</v>
      </c>
      <c r="C726" t="s">
        <v>316</v>
      </c>
      <c r="D726" t="s">
        <v>3343</v>
      </c>
    </row>
    <row r="729" spans="1:4" x14ac:dyDescent="0.25">
      <c r="A729" t="s">
        <v>3341</v>
      </c>
      <c r="B729" t="s">
        <v>3344</v>
      </c>
      <c r="C729" t="s">
        <v>1572</v>
      </c>
      <c r="D729" t="s">
        <v>3345</v>
      </c>
    </row>
    <row r="730" spans="1:4" x14ac:dyDescent="0.25">
      <c r="B730" t="s">
        <v>3346</v>
      </c>
      <c r="C730" t="s">
        <v>191</v>
      </c>
      <c r="D730" t="s">
        <v>3347</v>
      </c>
    </row>
    <row r="733" spans="1:4" x14ac:dyDescent="0.25">
      <c r="A733" t="s">
        <v>3348</v>
      </c>
      <c r="B733" t="s">
        <v>3349</v>
      </c>
      <c r="C733" t="s">
        <v>239</v>
      </c>
      <c r="D733" t="s">
        <v>3350</v>
      </c>
    </row>
    <row r="736" spans="1:4" x14ac:dyDescent="0.25">
      <c r="A736" t="s">
        <v>3348</v>
      </c>
      <c r="B736" t="s">
        <v>3351</v>
      </c>
      <c r="C736" t="s">
        <v>191</v>
      </c>
      <c r="D736" t="s">
        <v>3352</v>
      </c>
    </row>
    <row r="739" spans="1:4" x14ac:dyDescent="0.25">
      <c r="A739" t="s">
        <v>3348</v>
      </c>
      <c r="B739" t="s">
        <v>3353</v>
      </c>
      <c r="C739" t="s">
        <v>180</v>
      </c>
      <c r="D739" t="s">
        <v>3354</v>
      </c>
    </row>
    <row r="742" spans="1:4" x14ac:dyDescent="0.25">
      <c r="A742" t="s">
        <v>3355</v>
      </c>
      <c r="B742" t="s">
        <v>3356</v>
      </c>
      <c r="C742" t="s">
        <v>2160</v>
      </c>
      <c r="D742" t="s">
        <v>3357</v>
      </c>
    </row>
    <row r="745" spans="1:4" x14ac:dyDescent="0.25">
      <c r="A745" t="s">
        <v>3355</v>
      </c>
      <c r="B745" t="s">
        <v>3358</v>
      </c>
      <c r="C745" t="s">
        <v>191</v>
      </c>
      <c r="D745" t="s">
        <v>3359</v>
      </c>
    </row>
    <row r="746" spans="1:4" x14ac:dyDescent="0.25">
      <c r="B746" t="s">
        <v>3360</v>
      </c>
      <c r="C746" t="s">
        <v>795</v>
      </c>
      <c r="D746" t="s">
        <v>3361</v>
      </c>
    </row>
    <row r="747" spans="1:4" x14ac:dyDescent="0.25">
      <c r="B747" t="s">
        <v>3362</v>
      </c>
      <c r="C747" t="s">
        <v>191</v>
      </c>
      <c r="D747" t="s">
        <v>3363</v>
      </c>
    </row>
    <row r="748" spans="1:4" x14ac:dyDescent="0.25">
      <c r="B748" t="s">
        <v>3364</v>
      </c>
      <c r="C748" t="s">
        <v>191</v>
      </c>
      <c r="D748" t="s">
        <v>3365</v>
      </c>
    </row>
    <row r="751" spans="1:4" x14ac:dyDescent="0.25">
      <c r="A751" t="s">
        <v>3366</v>
      </c>
      <c r="B751" t="s">
        <v>3367</v>
      </c>
      <c r="C751" t="s">
        <v>795</v>
      </c>
      <c r="D751" t="s">
        <v>3368</v>
      </c>
    </row>
    <row r="754" spans="1:4" x14ac:dyDescent="0.25">
      <c r="A754" t="s">
        <v>3366</v>
      </c>
      <c r="B754" t="s">
        <v>3369</v>
      </c>
      <c r="C754" t="s">
        <v>795</v>
      </c>
      <c r="D754" t="s">
        <v>3370</v>
      </c>
    </row>
    <row r="757" spans="1:4" x14ac:dyDescent="0.25">
      <c r="A757" t="s">
        <v>3371</v>
      </c>
      <c r="B757" t="s">
        <v>3372</v>
      </c>
      <c r="C757" t="s">
        <v>3034</v>
      </c>
      <c r="D757" t="s">
        <v>3373</v>
      </c>
    </row>
    <row r="760" spans="1:4" x14ac:dyDescent="0.25">
      <c r="A760" t="s">
        <v>3371</v>
      </c>
      <c r="B760" t="s">
        <v>3374</v>
      </c>
      <c r="C760" t="s">
        <v>795</v>
      </c>
      <c r="D760" t="s">
        <v>3375</v>
      </c>
    </row>
    <row r="763" spans="1:4" x14ac:dyDescent="0.25">
      <c r="A763" t="s">
        <v>3376</v>
      </c>
      <c r="B763" t="s">
        <v>3377</v>
      </c>
      <c r="C763" t="s">
        <v>810</v>
      </c>
      <c r="D763" t="s">
        <v>3378</v>
      </c>
    </row>
    <row r="766" spans="1:4" x14ac:dyDescent="0.25">
      <c r="A766" t="s">
        <v>3376</v>
      </c>
      <c r="B766" t="s">
        <v>3206</v>
      </c>
      <c r="C766" t="s">
        <v>789</v>
      </c>
      <c r="D766" t="s">
        <v>3379</v>
      </c>
    </row>
    <row r="769" spans="1:4" x14ac:dyDescent="0.25">
      <c r="A769" t="s">
        <v>3376</v>
      </c>
      <c r="B769" t="s">
        <v>3380</v>
      </c>
      <c r="C769" t="s">
        <v>191</v>
      </c>
      <c r="D769" t="s">
        <v>3381</v>
      </c>
    </row>
    <row r="772" spans="1:4" x14ac:dyDescent="0.25">
      <c r="A772" t="s">
        <v>3376</v>
      </c>
      <c r="B772" t="s">
        <v>3382</v>
      </c>
      <c r="C772" t="s">
        <v>795</v>
      </c>
      <c r="D772" t="s">
        <v>3383</v>
      </c>
    </row>
    <row r="775" spans="1:4" x14ac:dyDescent="0.25">
      <c r="A775" t="s">
        <v>3384</v>
      </c>
      <c r="B775" t="s">
        <v>3385</v>
      </c>
      <c r="C775" t="s">
        <v>810</v>
      </c>
      <c r="D775" t="s">
        <v>3386</v>
      </c>
    </row>
    <row r="778" spans="1:4" x14ac:dyDescent="0.25">
      <c r="A778" t="s">
        <v>3384</v>
      </c>
      <c r="B778" t="s">
        <v>3206</v>
      </c>
      <c r="C778" t="s">
        <v>789</v>
      </c>
      <c r="D778" t="s">
        <v>3387</v>
      </c>
    </row>
    <row r="781" spans="1:4" x14ac:dyDescent="0.25">
      <c r="A781" t="s">
        <v>3384</v>
      </c>
      <c r="B781" t="s">
        <v>2862</v>
      </c>
      <c r="C781" t="s">
        <v>191</v>
      </c>
      <c r="D781" t="s">
        <v>3388</v>
      </c>
    </row>
    <row r="784" spans="1:4" x14ac:dyDescent="0.25">
      <c r="A784" t="s">
        <v>3384</v>
      </c>
      <c r="B784" t="s">
        <v>3389</v>
      </c>
      <c r="C784" t="s">
        <v>795</v>
      </c>
      <c r="D784" t="s">
        <v>3390</v>
      </c>
    </row>
    <row r="787" spans="1:4" x14ac:dyDescent="0.25">
      <c r="A787" t="s">
        <v>3391</v>
      </c>
      <c r="B787" t="s">
        <v>3392</v>
      </c>
      <c r="C787" t="s">
        <v>191</v>
      </c>
      <c r="D787" t="s">
        <v>3393</v>
      </c>
    </row>
    <row r="790" spans="1:4" x14ac:dyDescent="0.25">
      <c r="A790" t="s">
        <v>3391</v>
      </c>
      <c r="B790" t="s">
        <v>3394</v>
      </c>
      <c r="C790" t="s">
        <v>795</v>
      </c>
      <c r="D790" t="s">
        <v>3395</v>
      </c>
    </row>
    <row r="793" spans="1:4" x14ac:dyDescent="0.25">
      <c r="A793" t="s">
        <v>3391</v>
      </c>
      <c r="B793" t="s">
        <v>3396</v>
      </c>
      <c r="C793" t="s">
        <v>191</v>
      </c>
      <c r="D793" t="s">
        <v>3397</v>
      </c>
    </row>
    <row r="796" spans="1:4" x14ac:dyDescent="0.25">
      <c r="A796" t="s">
        <v>3391</v>
      </c>
      <c r="B796" t="s">
        <v>3398</v>
      </c>
      <c r="C796" t="s">
        <v>795</v>
      </c>
      <c r="D796" t="s">
        <v>3399</v>
      </c>
    </row>
    <row r="799" spans="1:4" x14ac:dyDescent="0.25">
      <c r="A799" t="s">
        <v>3400</v>
      </c>
      <c r="B799" t="s">
        <v>3401</v>
      </c>
      <c r="C799" t="s">
        <v>795</v>
      </c>
      <c r="D799" t="s">
        <v>3402</v>
      </c>
    </row>
    <row r="802" spans="1:4" x14ac:dyDescent="0.25">
      <c r="A802" t="s">
        <v>3400</v>
      </c>
      <c r="B802" t="s">
        <v>2847</v>
      </c>
      <c r="C802" t="s">
        <v>239</v>
      </c>
      <c r="D802" t="s">
        <v>3403</v>
      </c>
    </row>
    <row r="805" spans="1:4" x14ac:dyDescent="0.25">
      <c r="A805" t="s">
        <v>3400</v>
      </c>
      <c r="B805" t="s">
        <v>2862</v>
      </c>
      <c r="C805" t="s">
        <v>191</v>
      </c>
      <c r="D805" t="s">
        <v>3404</v>
      </c>
    </row>
    <row r="808" spans="1:4" x14ac:dyDescent="0.25">
      <c r="A808" t="s">
        <v>3400</v>
      </c>
      <c r="B808" t="s">
        <v>3405</v>
      </c>
      <c r="C808" t="s">
        <v>191</v>
      </c>
      <c r="D808" t="s">
        <v>3406</v>
      </c>
    </row>
    <row r="811" spans="1:4" x14ac:dyDescent="0.25">
      <c r="A811" t="s">
        <v>3407</v>
      </c>
      <c r="B811" t="s">
        <v>3408</v>
      </c>
      <c r="C811" t="s">
        <v>795</v>
      </c>
      <c r="D811" t="s">
        <v>3409</v>
      </c>
    </row>
    <row r="814" spans="1:4" x14ac:dyDescent="0.25">
      <c r="A814" t="s">
        <v>3410</v>
      </c>
      <c r="B814" t="s">
        <v>3411</v>
      </c>
      <c r="C814" t="s">
        <v>795</v>
      </c>
      <c r="D814" t="s">
        <v>3412</v>
      </c>
    </row>
    <row r="817" spans="1:4" x14ac:dyDescent="0.25">
      <c r="A817" t="s">
        <v>3410</v>
      </c>
      <c r="B817" t="s">
        <v>3413</v>
      </c>
      <c r="C817" t="s">
        <v>795</v>
      </c>
      <c r="D817" t="s">
        <v>3414</v>
      </c>
    </row>
    <row r="820" spans="1:4" x14ac:dyDescent="0.25">
      <c r="A820" t="s">
        <v>3410</v>
      </c>
      <c r="B820" t="s">
        <v>3415</v>
      </c>
      <c r="C820" t="s">
        <v>795</v>
      </c>
      <c r="D820" t="s">
        <v>3416</v>
      </c>
    </row>
    <row r="823" spans="1:4" x14ac:dyDescent="0.25">
      <c r="A823" t="s">
        <v>3417</v>
      </c>
      <c r="B823" t="s">
        <v>2950</v>
      </c>
      <c r="C823" t="s">
        <v>239</v>
      </c>
      <c r="D823" t="s">
        <v>3418</v>
      </c>
    </row>
    <row r="826" spans="1:4" x14ac:dyDescent="0.25">
      <c r="A826" t="s">
        <v>3417</v>
      </c>
      <c r="B826" t="s">
        <v>3419</v>
      </c>
      <c r="C826" t="s">
        <v>627</v>
      </c>
      <c r="D826" t="s">
        <v>3420</v>
      </c>
    </row>
    <row r="827" spans="1:4" x14ac:dyDescent="0.25">
      <c r="B827" t="s">
        <v>3421</v>
      </c>
      <c r="C827" t="s">
        <v>191</v>
      </c>
      <c r="D827" t="s">
        <v>3422</v>
      </c>
    </row>
    <row r="830" spans="1:4" x14ac:dyDescent="0.25">
      <c r="A830" t="s">
        <v>3423</v>
      </c>
      <c r="B830" t="s">
        <v>2950</v>
      </c>
      <c r="C830" t="s">
        <v>789</v>
      </c>
      <c r="D830" t="s">
        <v>3424</v>
      </c>
    </row>
    <row r="833" spans="1:4" x14ac:dyDescent="0.25">
      <c r="A833" t="s">
        <v>3423</v>
      </c>
      <c r="B833" t="s">
        <v>3419</v>
      </c>
      <c r="C833" t="s">
        <v>627</v>
      </c>
      <c r="D833" t="s">
        <v>3425</v>
      </c>
    </row>
    <row r="834" spans="1:4" x14ac:dyDescent="0.25">
      <c r="B834" t="s">
        <v>3426</v>
      </c>
      <c r="C834" t="s">
        <v>191</v>
      </c>
      <c r="D834" t="s">
        <v>3427</v>
      </c>
    </row>
    <row r="837" spans="1:4" x14ac:dyDescent="0.25">
      <c r="A837" t="s">
        <v>3428</v>
      </c>
      <c r="B837" t="s">
        <v>2882</v>
      </c>
      <c r="C837" t="s">
        <v>239</v>
      </c>
      <c r="D837" t="s">
        <v>3429</v>
      </c>
    </row>
    <row r="840" spans="1:4" x14ac:dyDescent="0.25">
      <c r="A840" t="s">
        <v>3430</v>
      </c>
      <c r="B840" t="s">
        <v>3431</v>
      </c>
      <c r="C840" t="s">
        <v>334</v>
      </c>
      <c r="D840" t="s">
        <v>3432</v>
      </c>
    </row>
    <row r="843" spans="1:4" x14ac:dyDescent="0.25">
      <c r="A843" t="s">
        <v>3430</v>
      </c>
      <c r="B843" t="s">
        <v>3433</v>
      </c>
      <c r="C843" t="s">
        <v>742</v>
      </c>
      <c r="D843" t="s">
        <v>3434</v>
      </c>
    </row>
    <row r="846" spans="1:4" x14ac:dyDescent="0.25">
      <c r="A846" t="s">
        <v>3430</v>
      </c>
      <c r="B846" t="s">
        <v>3230</v>
      </c>
      <c r="C846" t="s">
        <v>202</v>
      </c>
      <c r="D846" t="s">
        <v>3435</v>
      </c>
    </row>
    <row r="849" spans="1:4" x14ac:dyDescent="0.25">
      <c r="A849" t="s">
        <v>3430</v>
      </c>
      <c r="B849" t="s">
        <v>3436</v>
      </c>
      <c r="C849" t="s">
        <v>902</v>
      </c>
      <c r="D849" t="s">
        <v>3437</v>
      </c>
    </row>
    <row r="852" spans="1:4" x14ac:dyDescent="0.25">
      <c r="A852" t="s">
        <v>3430</v>
      </c>
      <c r="B852" t="s">
        <v>3438</v>
      </c>
      <c r="C852" t="s">
        <v>742</v>
      </c>
      <c r="D852" t="s">
        <v>3439</v>
      </c>
    </row>
    <row r="855" spans="1:4" x14ac:dyDescent="0.25">
      <c r="A855" t="s">
        <v>3430</v>
      </c>
      <c r="B855" t="s">
        <v>3440</v>
      </c>
      <c r="C855" t="s">
        <v>742</v>
      </c>
      <c r="D855" t="s">
        <v>3441</v>
      </c>
    </row>
    <row r="856" spans="1:4" x14ac:dyDescent="0.25">
      <c r="B856" t="s">
        <v>3442</v>
      </c>
      <c r="C856" t="s">
        <v>902</v>
      </c>
      <c r="D856" t="s">
        <v>3443</v>
      </c>
    </row>
    <row r="859" spans="1:4" x14ac:dyDescent="0.25">
      <c r="A859" t="s">
        <v>3430</v>
      </c>
      <c r="B859" t="s">
        <v>3444</v>
      </c>
      <c r="C859" t="s">
        <v>202</v>
      </c>
      <c r="D859" t="s">
        <v>3445</v>
      </c>
    </row>
    <row r="860" spans="1:4" x14ac:dyDescent="0.25">
      <c r="B860" t="s">
        <v>3446</v>
      </c>
      <c r="C860" t="s">
        <v>902</v>
      </c>
      <c r="D860" t="s">
        <v>3447</v>
      </c>
    </row>
    <row r="863" spans="1:4" x14ac:dyDescent="0.25">
      <c r="A863" t="s">
        <v>3430</v>
      </c>
      <c r="B863" t="s">
        <v>3448</v>
      </c>
      <c r="C863" t="s">
        <v>202</v>
      </c>
      <c r="D863" t="s">
        <v>3449</v>
      </c>
    </row>
    <row r="866" spans="1:4" x14ac:dyDescent="0.25">
      <c r="A866" t="s">
        <v>3450</v>
      </c>
      <c r="B866" t="s">
        <v>3087</v>
      </c>
      <c r="C866" t="s">
        <v>202</v>
      </c>
      <c r="D866" t="s">
        <v>3451</v>
      </c>
    </row>
    <row r="869" spans="1:4" x14ac:dyDescent="0.25">
      <c r="A869" t="s">
        <v>3450</v>
      </c>
      <c r="B869" t="s">
        <v>3452</v>
      </c>
      <c r="C869" t="s">
        <v>202</v>
      </c>
      <c r="D869" t="s">
        <v>3453</v>
      </c>
    </row>
    <row r="870" spans="1:4" x14ac:dyDescent="0.25">
      <c r="B870" t="s">
        <v>3454</v>
      </c>
      <c r="C870" t="s">
        <v>180</v>
      </c>
      <c r="D870" t="s">
        <v>3455</v>
      </c>
    </row>
    <row r="873" spans="1:4" x14ac:dyDescent="0.25">
      <c r="A873" t="s">
        <v>3456</v>
      </c>
      <c r="B873" t="s">
        <v>3457</v>
      </c>
      <c r="C873" t="s">
        <v>334</v>
      </c>
      <c r="D873" t="s">
        <v>3458</v>
      </c>
    </row>
    <row r="876" spans="1:4" x14ac:dyDescent="0.25">
      <c r="A876" t="s">
        <v>3456</v>
      </c>
      <c r="B876" t="s">
        <v>3459</v>
      </c>
      <c r="C876" t="s">
        <v>202</v>
      </c>
      <c r="D876" t="s">
        <v>3460</v>
      </c>
    </row>
    <row r="879" spans="1:4" x14ac:dyDescent="0.25">
      <c r="A879" t="s">
        <v>3456</v>
      </c>
      <c r="B879" t="s">
        <v>3461</v>
      </c>
      <c r="C879" t="s">
        <v>795</v>
      </c>
      <c r="D879" t="s">
        <v>3462</v>
      </c>
    </row>
    <row r="882" spans="1:4" x14ac:dyDescent="0.25">
      <c r="A882" t="s">
        <v>3456</v>
      </c>
      <c r="B882" t="s">
        <v>3463</v>
      </c>
      <c r="C882" t="s">
        <v>202</v>
      </c>
      <c r="D882" t="s">
        <v>3464</v>
      </c>
    </row>
    <row r="885" spans="1:4" x14ac:dyDescent="0.25">
      <c r="A885" t="s">
        <v>3465</v>
      </c>
      <c r="B885" t="s">
        <v>2815</v>
      </c>
      <c r="C885" t="s">
        <v>239</v>
      </c>
      <c r="D885" t="s">
        <v>3466</v>
      </c>
    </row>
    <row r="888" spans="1:4" x14ac:dyDescent="0.25">
      <c r="A888" t="s">
        <v>3467</v>
      </c>
      <c r="B888" t="s">
        <v>3468</v>
      </c>
      <c r="C888" t="s">
        <v>191</v>
      </c>
      <c r="D888" t="s">
        <v>3469</v>
      </c>
    </row>
    <row r="891" spans="1:4" x14ac:dyDescent="0.25">
      <c r="A891" t="s">
        <v>3467</v>
      </c>
      <c r="B891" t="s">
        <v>3206</v>
      </c>
      <c r="C891" t="s">
        <v>789</v>
      </c>
      <c r="D891" t="s">
        <v>3470</v>
      </c>
    </row>
    <row r="894" spans="1:4" x14ac:dyDescent="0.25">
      <c r="A894" t="s">
        <v>3467</v>
      </c>
      <c r="B894" t="s">
        <v>2862</v>
      </c>
      <c r="C894" t="s">
        <v>191</v>
      </c>
      <c r="D894" t="s">
        <v>3471</v>
      </c>
    </row>
    <row r="897" spans="1:4" x14ac:dyDescent="0.25">
      <c r="A897" t="s">
        <v>3472</v>
      </c>
      <c r="B897" t="s">
        <v>3473</v>
      </c>
      <c r="C897" t="s">
        <v>191</v>
      </c>
      <c r="D897" t="s">
        <v>3474</v>
      </c>
    </row>
    <row r="900" spans="1:4" x14ac:dyDescent="0.25">
      <c r="A900" t="s">
        <v>3472</v>
      </c>
      <c r="B900" t="s">
        <v>3475</v>
      </c>
      <c r="C900" t="s">
        <v>180</v>
      </c>
      <c r="D900" t="s">
        <v>3476</v>
      </c>
    </row>
    <row r="901" spans="1:4" x14ac:dyDescent="0.25">
      <c r="B901" t="s">
        <v>3477</v>
      </c>
      <c r="C901" t="s">
        <v>191</v>
      </c>
      <c r="D901" t="s">
        <v>3478</v>
      </c>
    </row>
    <row r="902" spans="1:4" x14ac:dyDescent="0.25">
      <c r="B902" t="s">
        <v>3479</v>
      </c>
      <c r="C902" t="s">
        <v>180</v>
      </c>
      <c r="D902" t="s">
        <v>3480</v>
      </c>
    </row>
    <row r="905" spans="1:4" x14ac:dyDescent="0.25">
      <c r="A905" t="s">
        <v>3481</v>
      </c>
      <c r="B905" t="s">
        <v>3482</v>
      </c>
      <c r="C905" t="s">
        <v>239</v>
      </c>
      <c r="D905" t="s">
        <v>3483</v>
      </c>
    </row>
    <row r="908" spans="1:4" x14ac:dyDescent="0.25">
      <c r="A908" t="s">
        <v>3484</v>
      </c>
      <c r="B908" t="s">
        <v>3485</v>
      </c>
      <c r="C908" t="s">
        <v>3034</v>
      </c>
      <c r="D908" t="s">
        <v>3191</v>
      </c>
    </row>
    <row r="911" spans="1:4" x14ac:dyDescent="0.25">
      <c r="A911" t="s">
        <v>3484</v>
      </c>
      <c r="B911" t="s">
        <v>3176</v>
      </c>
      <c r="C911" t="s">
        <v>239</v>
      </c>
      <c r="D911" t="s">
        <v>3486</v>
      </c>
    </row>
    <row r="914" spans="1:4" x14ac:dyDescent="0.25">
      <c r="A914" t="s">
        <v>3487</v>
      </c>
      <c r="B914" t="s">
        <v>3485</v>
      </c>
      <c r="C914" t="s">
        <v>3034</v>
      </c>
      <c r="D914" t="s">
        <v>3191</v>
      </c>
    </row>
    <row r="917" spans="1:4" x14ac:dyDescent="0.25">
      <c r="A917" t="s">
        <v>3487</v>
      </c>
      <c r="B917" t="s">
        <v>3176</v>
      </c>
      <c r="C917" t="s">
        <v>239</v>
      </c>
      <c r="D917" t="s">
        <v>3488</v>
      </c>
    </row>
    <row r="920" spans="1:4" x14ac:dyDescent="0.25">
      <c r="A920" t="s">
        <v>3489</v>
      </c>
      <c r="B920" t="s">
        <v>3170</v>
      </c>
      <c r="C920" t="s">
        <v>3034</v>
      </c>
      <c r="D920" t="s">
        <v>3171</v>
      </c>
    </row>
    <row r="923" spans="1:4" x14ac:dyDescent="0.25">
      <c r="A923" t="s">
        <v>3489</v>
      </c>
      <c r="B923" t="s">
        <v>3176</v>
      </c>
      <c r="C923" t="s">
        <v>239</v>
      </c>
      <c r="D923" t="s">
        <v>3490</v>
      </c>
    </row>
    <row r="926" spans="1:4" x14ac:dyDescent="0.25">
      <c r="A926" t="s">
        <v>3491</v>
      </c>
      <c r="B926" t="s">
        <v>3038</v>
      </c>
      <c r="C926" t="s">
        <v>239</v>
      </c>
      <c r="D926" t="s">
        <v>3492</v>
      </c>
    </row>
    <row r="929" spans="1:4" x14ac:dyDescent="0.25">
      <c r="A929" t="s">
        <v>3491</v>
      </c>
      <c r="B929" t="s">
        <v>3493</v>
      </c>
      <c r="C929" t="s">
        <v>191</v>
      </c>
      <c r="D929" t="s">
        <v>3494</v>
      </c>
    </row>
    <row r="932" spans="1:4" x14ac:dyDescent="0.25">
      <c r="A932" t="s">
        <v>3495</v>
      </c>
      <c r="B932" t="s">
        <v>3496</v>
      </c>
      <c r="C932" t="s">
        <v>1572</v>
      </c>
      <c r="D932" t="s">
        <v>3497</v>
      </c>
    </row>
    <row r="935" spans="1:4" x14ac:dyDescent="0.25">
      <c r="A935" t="s">
        <v>3495</v>
      </c>
      <c r="B935" t="s">
        <v>3498</v>
      </c>
      <c r="C935" t="s">
        <v>789</v>
      </c>
      <c r="D935" t="s">
        <v>3499</v>
      </c>
    </row>
    <row r="938" spans="1:4" x14ac:dyDescent="0.25">
      <c r="A938" t="s">
        <v>3495</v>
      </c>
      <c r="B938" t="s">
        <v>3500</v>
      </c>
      <c r="C938" t="s">
        <v>191</v>
      </c>
      <c r="D938" t="s">
        <v>3501</v>
      </c>
    </row>
    <row r="941" spans="1:4" x14ac:dyDescent="0.25">
      <c r="A941" t="s">
        <v>3495</v>
      </c>
      <c r="B941" t="s">
        <v>3502</v>
      </c>
      <c r="C941" t="s">
        <v>1572</v>
      </c>
      <c r="D941" t="s">
        <v>3503</v>
      </c>
    </row>
    <row r="944" spans="1:4" x14ac:dyDescent="0.25">
      <c r="A944" t="s">
        <v>3504</v>
      </c>
      <c r="B944" t="s">
        <v>2822</v>
      </c>
      <c r="C944" t="s">
        <v>789</v>
      </c>
      <c r="D944" t="s">
        <v>3505</v>
      </c>
    </row>
    <row r="947" spans="1:4" x14ac:dyDescent="0.25">
      <c r="A947" t="s">
        <v>3506</v>
      </c>
      <c r="B947" t="s">
        <v>2822</v>
      </c>
      <c r="C947" t="s">
        <v>789</v>
      </c>
      <c r="D947" t="s">
        <v>3507</v>
      </c>
    </row>
    <row r="950" spans="1:4" x14ac:dyDescent="0.25">
      <c r="A950" t="s">
        <v>3506</v>
      </c>
      <c r="B950" t="s">
        <v>2824</v>
      </c>
      <c r="C950" t="s">
        <v>191</v>
      </c>
      <c r="D950" t="s">
        <v>3508</v>
      </c>
    </row>
    <row r="953" spans="1:4" x14ac:dyDescent="0.25">
      <c r="A953" t="s">
        <v>3509</v>
      </c>
      <c r="B953" t="s">
        <v>2822</v>
      </c>
      <c r="C953" t="s">
        <v>789</v>
      </c>
      <c r="D953" t="s">
        <v>3510</v>
      </c>
    </row>
    <row r="956" spans="1:4" x14ac:dyDescent="0.25">
      <c r="A956" t="s">
        <v>3509</v>
      </c>
      <c r="B956" t="s">
        <v>2824</v>
      </c>
      <c r="C956" t="s">
        <v>191</v>
      </c>
      <c r="D956" t="s">
        <v>3508</v>
      </c>
    </row>
    <row r="959" spans="1:4" x14ac:dyDescent="0.25">
      <c r="A959" t="s">
        <v>3511</v>
      </c>
      <c r="B959" t="s">
        <v>2822</v>
      </c>
      <c r="C959" t="s">
        <v>789</v>
      </c>
      <c r="D959" t="s">
        <v>3512</v>
      </c>
    </row>
    <row r="962" spans="1:4" x14ac:dyDescent="0.25">
      <c r="A962" t="s">
        <v>3511</v>
      </c>
      <c r="B962" t="s">
        <v>2927</v>
      </c>
      <c r="C962" t="s">
        <v>191</v>
      </c>
      <c r="D962" t="s">
        <v>3513</v>
      </c>
    </row>
    <row r="965" spans="1:4" x14ac:dyDescent="0.25">
      <c r="A965" t="s">
        <v>3514</v>
      </c>
      <c r="B965" t="s">
        <v>2822</v>
      </c>
      <c r="C965" t="s">
        <v>239</v>
      </c>
      <c r="D965" t="s">
        <v>3515</v>
      </c>
    </row>
    <row r="968" spans="1:4" x14ac:dyDescent="0.25">
      <c r="A968" t="s">
        <v>3514</v>
      </c>
      <c r="B968" t="s">
        <v>2927</v>
      </c>
      <c r="C968" t="s">
        <v>191</v>
      </c>
      <c r="D968" t="s">
        <v>3516</v>
      </c>
    </row>
    <row r="971" spans="1:4" x14ac:dyDescent="0.25">
      <c r="A971" t="s">
        <v>3517</v>
      </c>
      <c r="B971" t="s">
        <v>2822</v>
      </c>
      <c r="C971" t="s">
        <v>789</v>
      </c>
      <c r="D971" t="s">
        <v>3518</v>
      </c>
    </row>
    <row r="974" spans="1:4" x14ac:dyDescent="0.25">
      <c r="A974" t="s">
        <v>3517</v>
      </c>
      <c r="B974" t="s">
        <v>2927</v>
      </c>
      <c r="C974" t="s">
        <v>191</v>
      </c>
      <c r="D974" t="s">
        <v>3519</v>
      </c>
    </row>
    <row r="977" spans="1:4" x14ac:dyDescent="0.25">
      <c r="A977" t="s">
        <v>3520</v>
      </c>
      <c r="B977" t="s">
        <v>3521</v>
      </c>
      <c r="C977" t="s">
        <v>471</v>
      </c>
      <c r="D977" t="s">
        <v>3522</v>
      </c>
    </row>
    <row r="980" spans="1:4" x14ac:dyDescent="0.25">
      <c r="A980" t="s">
        <v>3523</v>
      </c>
      <c r="B980" t="s">
        <v>2822</v>
      </c>
      <c r="C980" t="s">
        <v>239</v>
      </c>
      <c r="D980" t="s">
        <v>3524</v>
      </c>
    </row>
    <row r="983" spans="1:4" x14ac:dyDescent="0.25">
      <c r="A983" t="s">
        <v>3523</v>
      </c>
      <c r="B983" t="s">
        <v>2927</v>
      </c>
      <c r="C983" t="s">
        <v>191</v>
      </c>
      <c r="D983" t="s">
        <v>3525</v>
      </c>
    </row>
    <row r="986" spans="1:4" x14ac:dyDescent="0.25">
      <c r="A986" t="s">
        <v>3526</v>
      </c>
      <c r="B986" t="s">
        <v>3527</v>
      </c>
      <c r="C986" t="s">
        <v>2160</v>
      </c>
      <c r="D986" t="s">
        <v>3528</v>
      </c>
    </row>
    <row r="989" spans="1:4" x14ac:dyDescent="0.25">
      <c r="A989" t="s">
        <v>3526</v>
      </c>
      <c r="B989" t="s">
        <v>3529</v>
      </c>
      <c r="C989" t="s">
        <v>610</v>
      </c>
      <c r="D989" t="s">
        <v>3530</v>
      </c>
    </row>
    <row r="992" spans="1:4" x14ac:dyDescent="0.25">
      <c r="A992" t="s">
        <v>3526</v>
      </c>
      <c r="B992" t="s">
        <v>3531</v>
      </c>
      <c r="C992" t="s">
        <v>3034</v>
      </c>
      <c r="D992" t="s">
        <v>3532</v>
      </c>
    </row>
    <row r="993" spans="1:4" x14ac:dyDescent="0.25">
      <c r="B993" t="s">
        <v>3533</v>
      </c>
      <c r="C993" t="s">
        <v>191</v>
      </c>
      <c r="D993" t="s">
        <v>3534</v>
      </c>
    </row>
    <row r="996" spans="1:4" x14ac:dyDescent="0.25">
      <c r="A996" t="s">
        <v>3526</v>
      </c>
      <c r="B996" t="s">
        <v>3535</v>
      </c>
      <c r="C996" t="s">
        <v>610</v>
      </c>
      <c r="D996" t="s">
        <v>3536</v>
      </c>
    </row>
    <row r="999" spans="1:4" x14ac:dyDescent="0.25">
      <c r="A999" t="s">
        <v>3526</v>
      </c>
      <c r="B999" t="s">
        <v>3537</v>
      </c>
      <c r="C999" t="s">
        <v>191</v>
      </c>
      <c r="D999" t="s">
        <v>3538</v>
      </c>
    </row>
    <row r="1002" spans="1:4" x14ac:dyDescent="0.25">
      <c r="A1002" t="s">
        <v>3526</v>
      </c>
      <c r="B1002" t="s">
        <v>3539</v>
      </c>
      <c r="C1002" t="s">
        <v>610</v>
      </c>
      <c r="D1002" t="s">
        <v>3540</v>
      </c>
    </row>
    <row r="1005" spans="1:4" x14ac:dyDescent="0.25">
      <c r="A1005" t="s">
        <v>3541</v>
      </c>
      <c r="B1005" t="s">
        <v>2882</v>
      </c>
      <c r="C1005" t="s">
        <v>239</v>
      </c>
      <c r="D1005" t="s">
        <v>3542</v>
      </c>
    </row>
    <row r="1008" spans="1:4" x14ac:dyDescent="0.25">
      <c r="A1008" t="s">
        <v>3543</v>
      </c>
      <c r="B1008" t="s">
        <v>3544</v>
      </c>
      <c r="C1008" t="s">
        <v>230</v>
      </c>
      <c r="D1008" t="s">
        <v>3545</v>
      </c>
    </row>
    <row r="1011" spans="1:4" x14ac:dyDescent="0.25">
      <c r="A1011" t="s">
        <v>3543</v>
      </c>
      <c r="B1011" t="s">
        <v>2815</v>
      </c>
      <c r="C1011" t="s">
        <v>239</v>
      </c>
      <c r="D1011" t="s">
        <v>3546</v>
      </c>
    </row>
    <row r="1014" spans="1:4" x14ac:dyDescent="0.25">
      <c r="A1014" t="s">
        <v>3547</v>
      </c>
      <c r="B1014" t="s">
        <v>3038</v>
      </c>
      <c r="C1014" t="s">
        <v>239</v>
      </c>
      <c r="D1014" t="s">
        <v>3548</v>
      </c>
    </row>
    <row r="1017" spans="1:4" x14ac:dyDescent="0.25">
      <c r="A1017" t="s">
        <v>3547</v>
      </c>
      <c r="B1017" t="s">
        <v>3549</v>
      </c>
      <c r="C1017" t="s">
        <v>191</v>
      </c>
      <c r="D1017" t="s">
        <v>3550</v>
      </c>
    </row>
    <row r="1018" spans="1:4" x14ac:dyDescent="0.25">
      <c r="B1018" t="s">
        <v>3551</v>
      </c>
      <c r="C1018" t="s">
        <v>192</v>
      </c>
      <c r="D1018" t="s">
        <v>3552</v>
      </c>
    </row>
    <row r="1021" spans="1:4" x14ac:dyDescent="0.25">
      <c r="A1021" t="s">
        <v>3547</v>
      </c>
      <c r="B1021" t="s">
        <v>3553</v>
      </c>
      <c r="C1021" t="s">
        <v>191</v>
      </c>
      <c r="D1021" t="s">
        <v>3554</v>
      </c>
    </row>
    <row r="1024" spans="1:4" x14ac:dyDescent="0.25">
      <c r="A1024" t="s">
        <v>3555</v>
      </c>
      <c r="B1024" t="s">
        <v>2822</v>
      </c>
      <c r="C1024" t="s">
        <v>239</v>
      </c>
      <c r="D1024" t="s">
        <v>3556</v>
      </c>
    </row>
    <row r="1027" spans="1:4" x14ac:dyDescent="0.25">
      <c r="A1027" t="s">
        <v>3555</v>
      </c>
      <c r="B1027" t="s">
        <v>2824</v>
      </c>
      <c r="C1027" t="s">
        <v>191</v>
      </c>
      <c r="D1027" t="s">
        <v>3557</v>
      </c>
    </row>
    <row r="1030" spans="1:4" x14ac:dyDescent="0.25">
      <c r="A1030" t="s">
        <v>3558</v>
      </c>
      <c r="B1030" t="s">
        <v>2822</v>
      </c>
      <c r="C1030" t="s">
        <v>789</v>
      </c>
      <c r="D1030" t="s">
        <v>3559</v>
      </c>
    </row>
    <row r="1033" spans="1:4" x14ac:dyDescent="0.25">
      <c r="A1033" t="s">
        <v>3560</v>
      </c>
      <c r="B1033" t="s">
        <v>3561</v>
      </c>
      <c r="C1033" t="s">
        <v>789</v>
      </c>
      <c r="D1033" t="s">
        <v>3562</v>
      </c>
    </row>
    <row r="1036" spans="1:4" x14ac:dyDescent="0.25">
      <c r="A1036" t="s">
        <v>3560</v>
      </c>
      <c r="B1036" t="s">
        <v>2954</v>
      </c>
      <c r="C1036" t="s">
        <v>191</v>
      </c>
      <c r="D1036" t="s">
        <v>3563</v>
      </c>
    </row>
    <row r="1039" spans="1:4" x14ac:dyDescent="0.25">
      <c r="A1039" t="s">
        <v>3564</v>
      </c>
      <c r="B1039" t="s">
        <v>3565</v>
      </c>
      <c r="C1039" t="s">
        <v>2854</v>
      </c>
      <c r="D1039" t="s">
        <v>3566</v>
      </c>
    </row>
    <row r="1042" spans="1:4" x14ac:dyDescent="0.25">
      <c r="A1042" t="s">
        <v>3564</v>
      </c>
      <c r="B1042" t="s">
        <v>3567</v>
      </c>
      <c r="C1042" t="s">
        <v>306</v>
      </c>
      <c r="D1042" t="s">
        <v>3568</v>
      </c>
    </row>
    <row r="1045" spans="1:4" x14ac:dyDescent="0.25">
      <c r="A1045" t="s">
        <v>3564</v>
      </c>
      <c r="B1045" t="s">
        <v>2950</v>
      </c>
      <c r="C1045" t="s">
        <v>789</v>
      </c>
      <c r="D1045" t="s">
        <v>3569</v>
      </c>
    </row>
    <row r="1048" spans="1:4" x14ac:dyDescent="0.25">
      <c r="A1048" t="s">
        <v>3564</v>
      </c>
      <c r="B1048" t="s">
        <v>3570</v>
      </c>
      <c r="C1048" t="s">
        <v>627</v>
      </c>
      <c r="D1048" t="s">
        <v>3571</v>
      </c>
    </row>
    <row r="1049" spans="1:4" x14ac:dyDescent="0.25">
      <c r="B1049" t="s">
        <v>3275</v>
      </c>
      <c r="C1049" t="s">
        <v>191</v>
      </c>
      <c r="D1049" t="s">
        <v>3572</v>
      </c>
    </row>
    <row r="1052" spans="1:4" x14ac:dyDescent="0.25">
      <c r="A1052" t="s">
        <v>3564</v>
      </c>
      <c r="B1052" t="s">
        <v>3573</v>
      </c>
      <c r="C1052" t="s">
        <v>191</v>
      </c>
      <c r="D1052" t="s">
        <v>3574</v>
      </c>
    </row>
    <row r="1055" spans="1:4" x14ac:dyDescent="0.25">
      <c r="A1055" t="s">
        <v>3564</v>
      </c>
      <c r="B1055" t="s">
        <v>3575</v>
      </c>
      <c r="C1055" t="s">
        <v>191</v>
      </c>
      <c r="D1055" t="s">
        <v>3576</v>
      </c>
    </row>
    <row r="1058" spans="1:4" x14ac:dyDescent="0.25">
      <c r="A1058" t="s">
        <v>3577</v>
      </c>
      <c r="B1058" t="s">
        <v>2950</v>
      </c>
      <c r="C1058" t="s">
        <v>789</v>
      </c>
      <c r="D1058" t="s">
        <v>3578</v>
      </c>
    </row>
    <row r="1061" spans="1:4" x14ac:dyDescent="0.25">
      <c r="A1061" t="s">
        <v>3577</v>
      </c>
      <c r="B1061" t="s">
        <v>3570</v>
      </c>
      <c r="C1061" t="s">
        <v>627</v>
      </c>
      <c r="D1061" t="s">
        <v>3579</v>
      </c>
    </row>
    <row r="1062" spans="1:4" x14ac:dyDescent="0.25">
      <c r="B1062" t="s">
        <v>3580</v>
      </c>
      <c r="C1062" t="s">
        <v>191</v>
      </c>
      <c r="D1062" t="s">
        <v>3581</v>
      </c>
    </row>
    <row r="1065" spans="1:4" x14ac:dyDescent="0.25">
      <c r="A1065" t="s">
        <v>3577</v>
      </c>
      <c r="B1065" t="s">
        <v>3582</v>
      </c>
      <c r="C1065" t="s">
        <v>191</v>
      </c>
      <c r="D1065" t="s">
        <v>3583</v>
      </c>
    </row>
    <row r="1068" spans="1:4" x14ac:dyDescent="0.25">
      <c r="A1068" t="s">
        <v>3584</v>
      </c>
      <c r="B1068" t="s">
        <v>3419</v>
      </c>
      <c r="C1068" t="s">
        <v>627</v>
      </c>
      <c r="D1068" t="s">
        <v>3585</v>
      </c>
    </row>
    <row r="1069" spans="1:4" x14ac:dyDescent="0.25">
      <c r="B1069" t="s">
        <v>3586</v>
      </c>
      <c r="C1069" t="s">
        <v>191</v>
      </c>
      <c r="D1069" t="s">
        <v>3587</v>
      </c>
    </row>
    <row r="1072" spans="1:4" x14ac:dyDescent="0.25">
      <c r="A1072" t="s">
        <v>3584</v>
      </c>
      <c r="B1072" t="s">
        <v>3582</v>
      </c>
      <c r="C1072" t="s">
        <v>191</v>
      </c>
      <c r="D1072" t="s">
        <v>3588</v>
      </c>
    </row>
    <row r="1075" spans="1:4" x14ac:dyDescent="0.25">
      <c r="A1075" t="s">
        <v>3589</v>
      </c>
      <c r="B1075" t="s">
        <v>3590</v>
      </c>
      <c r="C1075" t="s">
        <v>191</v>
      </c>
      <c r="D1075" t="s">
        <v>3591</v>
      </c>
    </row>
    <row r="1078" spans="1:4" x14ac:dyDescent="0.25">
      <c r="A1078" t="s">
        <v>3589</v>
      </c>
      <c r="B1078" t="s">
        <v>3592</v>
      </c>
      <c r="C1078" t="s">
        <v>191</v>
      </c>
      <c r="D1078" t="s">
        <v>3593</v>
      </c>
    </row>
    <row r="1081" spans="1:4" x14ac:dyDescent="0.25">
      <c r="A1081" t="s">
        <v>3594</v>
      </c>
      <c r="B1081" t="s">
        <v>3595</v>
      </c>
      <c r="C1081" t="s">
        <v>626</v>
      </c>
      <c r="D1081" t="s">
        <v>3596</v>
      </c>
    </row>
    <row r="1084" spans="1:4" x14ac:dyDescent="0.25">
      <c r="A1084" t="s">
        <v>3594</v>
      </c>
      <c r="B1084" t="s">
        <v>2950</v>
      </c>
      <c r="C1084" t="s">
        <v>789</v>
      </c>
      <c r="D1084" t="s">
        <v>3597</v>
      </c>
    </row>
    <row r="1087" spans="1:4" x14ac:dyDescent="0.25">
      <c r="A1087" t="s">
        <v>3594</v>
      </c>
      <c r="B1087" t="s">
        <v>3598</v>
      </c>
      <c r="C1087" t="s">
        <v>627</v>
      </c>
      <c r="D1087" t="s">
        <v>3599</v>
      </c>
    </row>
    <row r="1090" spans="1:4" x14ac:dyDescent="0.25">
      <c r="A1090" t="s">
        <v>3594</v>
      </c>
      <c r="B1090" t="s">
        <v>3600</v>
      </c>
      <c r="C1090" t="s">
        <v>627</v>
      </c>
      <c r="D1090" t="s">
        <v>3601</v>
      </c>
    </row>
    <row r="1091" spans="1:4" x14ac:dyDescent="0.25">
      <c r="B1091" t="s">
        <v>3602</v>
      </c>
      <c r="C1091" t="s">
        <v>191</v>
      </c>
      <c r="D1091" t="s">
        <v>3603</v>
      </c>
    </row>
    <row r="1094" spans="1:4" x14ac:dyDescent="0.25">
      <c r="A1094" t="s">
        <v>3594</v>
      </c>
      <c r="B1094" t="s">
        <v>3419</v>
      </c>
      <c r="C1094" t="s">
        <v>627</v>
      </c>
      <c r="D1094" t="s">
        <v>3604</v>
      </c>
    </row>
    <row r="1095" spans="1:4" x14ac:dyDescent="0.25">
      <c r="B1095" t="s">
        <v>3605</v>
      </c>
      <c r="C1095" t="s">
        <v>191</v>
      </c>
      <c r="D1095" t="s">
        <v>3606</v>
      </c>
    </row>
    <row r="1098" spans="1:4" x14ac:dyDescent="0.25">
      <c r="A1098" t="s">
        <v>3594</v>
      </c>
      <c r="B1098" t="s">
        <v>3582</v>
      </c>
      <c r="C1098" t="s">
        <v>191</v>
      </c>
      <c r="D1098" t="s">
        <v>3607</v>
      </c>
    </row>
    <row r="1101" spans="1:4" x14ac:dyDescent="0.25">
      <c r="A1101" t="s">
        <v>3608</v>
      </c>
      <c r="B1101" t="s">
        <v>2950</v>
      </c>
      <c r="C1101" t="s">
        <v>789</v>
      </c>
      <c r="D1101" t="s">
        <v>3609</v>
      </c>
    </row>
    <row r="1104" spans="1:4" x14ac:dyDescent="0.25">
      <c r="A1104" t="s">
        <v>3610</v>
      </c>
      <c r="B1104" t="s">
        <v>3611</v>
      </c>
      <c r="C1104" t="s">
        <v>2160</v>
      </c>
      <c r="D1104" t="s">
        <v>3612</v>
      </c>
    </row>
    <row r="1107" spans="1:4" x14ac:dyDescent="0.25">
      <c r="A1107" t="s">
        <v>3610</v>
      </c>
      <c r="B1107" t="s">
        <v>3613</v>
      </c>
      <c r="C1107" t="s">
        <v>795</v>
      </c>
      <c r="D1107" t="s">
        <v>3614</v>
      </c>
    </row>
    <row r="1108" spans="1:4" x14ac:dyDescent="0.25">
      <c r="B1108" t="s">
        <v>3615</v>
      </c>
      <c r="C1108" t="s">
        <v>191</v>
      </c>
      <c r="D1108" t="s">
        <v>3616</v>
      </c>
    </row>
    <row r="1109" spans="1:4" x14ac:dyDescent="0.25">
      <c r="B1109" t="s">
        <v>3617</v>
      </c>
      <c r="C1109" t="s">
        <v>795</v>
      </c>
      <c r="D1109" t="s">
        <v>3618</v>
      </c>
    </row>
    <row r="1112" spans="1:4" x14ac:dyDescent="0.25">
      <c r="A1112" t="s">
        <v>3610</v>
      </c>
      <c r="B1112" t="s">
        <v>3619</v>
      </c>
      <c r="C1112" t="s">
        <v>795</v>
      </c>
      <c r="D1112" t="s">
        <v>3620</v>
      </c>
    </row>
    <row r="1115" spans="1:4" x14ac:dyDescent="0.25">
      <c r="A1115" t="s">
        <v>3610</v>
      </c>
      <c r="B1115" t="s">
        <v>3621</v>
      </c>
      <c r="C1115" t="s">
        <v>795</v>
      </c>
      <c r="D1115" t="s">
        <v>3620</v>
      </c>
    </row>
    <row r="1118" spans="1:4" x14ac:dyDescent="0.25">
      <c r="A1118" t="s">
        <v>3610</v>
      </c>
      <c r="B1118" t="s">
        <v>3622</v>
      </c>
      <c r="C1118" t="s">
        <v>191</v>
      </c>
      <c r="D1118" t="s">
        <v>3623</v>
      </c>
    </row>
    <row r="1119" spans="1:4" x14ac:dyDescent="0.25">
      <c r="B1119" t="s">
        <v>3624</v>
      </c>
      <c r="C1119" t="s">
        <v>795</v>
      </c>
      <c r="D1119" t="s">
        <v>3625</v>
      </c>
    </row>
    <row r="1120" spans="1:4" x14ac:dyDescent="0.25">
      <c r="B1120" t="s">
        <v>3626</v>
      </c>
      <c r="C1120" t="s">
        <v>191</v>
      </c>
      <c r="D1120" t="s">
        <v>3627</v>
      </c>
    </row>
    <row r="1123" spans="1:4" x14ac:dyDescent="0.25">
      <c r="A1123" t="s">
        <v>3628</v>
      </c>
      <c r="B1123" t="s">
        <v>3170</v>
      </c>
      <c r="C1123" t="s">
        <v>3034</v>
      </c>
      <c r="D1123" t="s">
        <v>3629</v>
      </c>
    </row>
    <row r="1126" spans="1:4" x14ac:dyDescent="0.25">
      <c r="A1126" t="s">
        <v>3628</v>
      </c>
      <c r="B1126" t="s">
        <v>3176</v>
      </c>
      <c r="C1126" t="s">
        <v>239</v>
      </c>
      <c r="D1126" t="s">
        <v>3630</v>
      </c>
    </row>
    <row r="1129" spans="1:4" x14ac:dyDescent="0.25">
      <c r="A1129" t="s">
        <v>3631</v>
      </c>
      <c r="B1129" t="s">
        <v>3170</v>
      </c>
      <c r="C1129" t="s">
        <v>3034</v>
      </c>
      <c r="D1129" t="s">
        <v>3629</v>
      </c>
    </row>
    <row r="1132" spans="1:4" x14ac:dyDescent="0.25">
      <c r="A1132" t="s">
        <v>3631</v>
      </c>
      <c r="B1132" t="s">
        <v>3176</v>
      </c>
      <c r="C1132" t="s">
        <v>239</v>
      </c>
      <c r="D1132" t="s">
        <v>3632</v>
      </c>
    </row>
    <row r="1135" spans="1:4" x14ac:dyDescent="0.25">
      <c r="A1135" t="s">
        <v>3633</v>
      </c>
      <c r="B1135" t="s">
        <v>3038</v>
      </c>
      <c r="C1135" t="s">
        <v>239</v>
      </c>
      <c r="D1135" t="s">
        <v>3634</v>
      </c>
    </row>
    <row r="1138" spans="1:4" x14ac:dyDescent="0.25">
      <c r="A1138" t="s">
        <v>3633</v>
      </c>
      <c r="B1138" t="s">
        <v>3635</v>
      </c>
      <c r="C1138" t="s">
        <v>191</v>
      </c>
      <c r="D1138" t="s">
        <v>3636</v>
      </c>
    </row>
    <row r="1141" spans="1:4" x14ac:dyDescent="0.25">
      <c r="A1141" t="s">
        <v>3633</v>
      </c>
      <c r="B1141" t="s">
        <v>3637</v>
      </c>
      <c r="C1141" t="s">
        <v>192</v>
      </c>
      <c r="D1141" t="s">
        <v>3638</v>
      </c>
    </row>
    <row r="1142" spans="1:4" x14ac:dyDescent="0.25">
      <c r="B1142" t="s">
        <v>3639</v>
      </c>
      <c r="C1142" t="s">
        <v>191</v>
      </c>
      <c r="D1142" t="s">
        <v>3640</v>
      </c>
    </row>
    <row r="1145" spans="1:4" x14ac:dyDescent="0.25">
      <c r="A1145" t="s">
        <v>3641</v>
      </c>
      <c r="B1145" t="s">
        <v>3642</v>
      </c>
      <c r="C1145" t="s">
        <v>2854</v>
      </c>
      <c r="D1145" t="s">
        <v>3643</v>
      </c>
    </row>
    <row r="1148" spans="1:4" x14ac:dyDescent="0.25">
      <c r="A1148" t="s">
        <v>3641</v>
      </c>
      <c r="B1148" t="s">
        <v>3644</v>
      </c>
      <c r="C1148" t="s">
        <v>2854</v>
      </c>
      <c r="D1148" t="s">
        <v>3645</v>
      </c>
    </row>
    <row r="1151" spans="1:4" x14ac:dyDescent="0.25">
      <c r="A1151" t="s">
        <v>3641</v>
      </c>
      <c r="B1151" t="s">
        <v>3646</v>
      </c>
      <c r="C1151" t="s">
        <v>239</v>
      </c>
      <c r="D1151" t="s">
        <v>3647</v>
      </c>
    </row>
    <row r="1154" spans="1:4" x14ac:dyDescent="0.25">
      <c r="A1154" t="s">
        <v>3641</v>
      </c>
      <c r="B1154" t="s">
        <v>3648</v>
      </c>
      <c r="C1154" t="s">
        <v>1258</v>
      </c>
      <c r="D1154" t="s">
        <v>3649</v>
      </c>
    </row>
    <row r="1157" spans="1:4" x14ac:dyDescent="0.25">
      <c r="A1157" t="s">
        <v>3641</v>
      </c>
      <c r="B1157" t="s">
        <v>3498</v>
      </c>
      <c r="C1157" t="s">
        <v>789</v>
      </c>
      <c r="D1157" t="s">
        <v>3650</v>
      </c>
    </row>
    <row r="1160" spans="1:4" x14ac:dyDescent="0.25">
      <c r="A1160" t="s">
        <v>3641</v>
      </c>
      <c r="B1160" t="s">
        <v>3651</v>
      </c>
      <c r="C1160" t="s">
        <v>191</v>
      </c>
      <c r="D1160" t="s">
        <v>3652</v>
      </c>
    </row>
    <row r="1163" spans="1:4" x14ac:dyDescent="0.25">
      <c r="A1163" t="s">
        <v>3641</v>
      </c>
      <c r="B1163" t="s">
        <v>3502</v>
      </c>
      <c r="C1163" t="s">
        <v>1572</v>
      </c>
      <c r="D1163" t="s">
        <v>3503</v>
      </c>
    </row>
    <row r="1166" spans="1:4" x14ac:dyDescent="0.25">
      <c r="A1166" t="s">
        <v>3641</v>
      </c>
      <c r="B1166" t="s">
        <v>3653</v>
      </c>
      <c r="C1166" t="s">
        <v>1572</v>
      </c>
      <c r="D1166" t="s">
        <v>3654</v>
      </c>
    </row>
    <row r="1169" spans="1:4" x14ac:dyDescent="0.25">
      <c r="A1169" t="s">
        <v>3641</v>
      </c>
      <c r="B1169" t="s">
        <v>3655</v>
      </c>
      <c r="C1169" t="s">
        <v>1572</v>
      </c>
      <c r="D1169" t="s">
        <v>3656</v>
      </c>
    </row>
    <row r="1172" spans="1:4" x14ac:dyDescent="0.25">
      <c r="A1172" t="s">
        <v>3641</v>
      </c>
      <c r="B1172" t="s">
        <v>3657</v>
      </c>
      <c r="C1172" t="s">
        <v>191</v>
      </c>
      <c r="D1172" t="s">
        <v>3658</v>
      </c>
    </row>
    <row r="1175" spans="1:4" x14ac:dyDescent="0.25">
      <c r="A1175" t="s">
        <v>3659</v>
      </c>
      <c r="B1175" t="s">
        <v>2838</v>
      </c>
      <c r="C1175" t="s">
        <v>789</v>
      </c>
      <c r="D1175" t="s">
        <v>3660</v>
      </c>
    </row>
    <row r="1178" spans="1:4" x14ac:dyDescent="0.25">
      <c r="A1178" t="s">
        <v>3659</v>
      </c>
      <c r="B1178" t="s">
        <v>3661</v>
      </c>
      <c r="C1178" t="s">
        <v>191</v>
      </c>
      <c r="D1178" t="s">
        <v>3662</v>
      </c>
    </row>
    <row r="1181" spans="1:4" x14ac:dyDescent="0.25">
      <c r="A1181" t="s">
        <v>3659</v>
      </c>
      <c r="B1181" t="s">
        <v>3663</v>
      </c>
      <c r="C1181" t="s">
        <v>192</v>
      </c>
      <c r="D1181" t="s">
        <v>3664</v>
      </c>
    </row>
    <row r="1184" spans="1:4" x14ac:dyDescent="0.25">
      <c r="A1184" t="s">
        <v>3659</v>
      </c>
      <c r="B1184" t="s">
        <v>3665</v>
      </c>
      <c r="C1184" t="s">
        <v>191</v>
      </c>
      <c r="D1184" t="s">
        <v>3666</v>
      </c>
    </row>
    <row r="1187" spans="1:4" x14ac:dyDescent="0.25">
      <c r="A1187" t="s">
        <v>3659</v>
      </c>
      <c r="B1187" t="s">
        <v>3667</v>
      </c>
      <c r="C1187" t="s">
        <v>230</v>
      </c>
      <c r="D1187" t="s">
        <v>3668</v>
      </c>
    </row>
    <row r="1190" spans="1:4" x14ac:dyDescent="0.25">
      <c r="A1190" t="s">
        <v>3669</v>
      </c>
      <c r="B1190" t="s">
        <v>2822</v>
      </c>
      <c r="C1190" t="s">
        <v>789</v>
      </c>
      <c r="D1190" t="s">
        <v>3670</v>
      </c>
    </row>
    <row r="1193" spans="1:4" x14ac:dyDescent="0.25">
      <c r="A1193" t="s">
        <v>3669</v>
      </c>
      <c r="B1193" t="s">
        <v>2954</v>
      </c>
      <c r="C1193" t="s">
        <v>191</v>
      </c>
      <c r="D1193" t="s">
        <v>3671</v>
      </c>
    </row>
    <row r="1196" spans="1:4" x14ac:dyDescent="0.25">
      <c r="A1196" t="s">
        <v>3672</v>
      </c>
      <c r="B1196" t="s">
        <v>3038</v>
      </c>
      <c r="C1196" t="s">
        <v>239</v>
      </c>
      <c r="D1196" t="s">
        <v>3673</v>
      </c>
    </row>
    <row r="1199" spans="1:4" x14ac:dyDescent="0.25">
      <c r="A1199" t="s">
        <v>3672</v>
      </c>
      <c r="B1199" t="s">
        <v>3674</v>
      </c>
      <c r="C1199" t="s">
        <v>191</v>
      </c>
      <c r="D1199" t="s">
        <v>3675</v>
      </c>
    </row>
    <row r="1202" spans="1:4" x14ac:dyDescent="0.25">
      <c r="A1202" t="s">
        <v>3676</v>
      </c>
      <c r="B1202" t="s">
        <v>3038</v>
      </c>
      <c r="C1202" t="s">
        <v>239</v>
      </c>
      <c r="D1202" t="s">
        <v>3677</v>
      </c>
    </row>
    <row r="1205" spans="1:4" x14ac:dyDescent="0.25">
      <c r="A1205" t="s">
        <v>3676</v>
      </c>
      <c r="B1205" t="s">
        <v>3678</v>
      </c>
      <c r="C1205" t="s">
        <v>191</v>
      </c>
      <c r="D1205" t="s">
        <v>3679</v>
      </c>
    </row>
    <row r="1208" spans="1:4" x14ac:dyDescent="0.25">
      <c r="A1208" t="s">
        <v>3680</v>
      </c>
      <c r="B1208" t="s">
        <v>3681</v>
      </c>
      <c r="C1208" t="s">
        <v>789</v>
      </c>
      <c r="D1208" t="s">
        <v>3682</v>
      </c>
    </row>
    <row r="1211" spans="1:4" x14ac:dyDescent="0.25">
      <c r="A1211" t="s">
        <v>3680</v>
      </c>
      <c r="B1211" t="s">
        <v>2838</v>
      </c>
      <c r="C1211" t="s">
        <v>789</v>
      </c>
      <c r="D1211" t="s">
        <v>3683</v>
      </c>
    </row>
    <row r="1214" spans="1:4" x14ac:dyDescent="0.25">
      <c r="A1214" t="s">
        <v>3680</v>
      </c>
      <c r="B1214" t="s">
        <v>3684</v>
      </c>
      <c r="C1214" t="s">
        <v>191</v>
      </c>
      <c r="D1214" t="s">
        <v>3685</v>
      </c>
    </row>
    <row r="1217" spans="1:4" x14ac:dyDescent="0.25">
      <c r="A1217" t="s">
        <v>3686</v>
      </c>
      <c r="B1217" t="s">
        <v>2822</v>
      </c>
      <c r="C1217" t="s">
        <v>239</v>
      </c>
      <c r="D1217" t="s">
        <v>3687</v>
      </c>
    </row>
    <row r="1220" spans="1:4" x14ac:dyDescent="0.25">
      <c r="A1220" t="s">
        <v>3686</v>
      </c>
      <c r="B1220" t="s">
        <v>3688</v>
      </c>
      <c r="C1220" t="s">
        <v>674</v>
      </c>
      <c r="D1220" t="s">
        <v>3689</v>
      </c>
    </row>
    <row r="1223" spans="1:4" x14ac:dyDescent="0.25">
      <c r="A1223" t="s">
        <v>3686</v>
      </c>
      <c r="B1223" t="s">
        <v>2824</v>
      </c>
      <c r="C1223" t="s">
        <v>191</v>
      </c>
      <c r="D1223" t="s">
        <v>3690</v>
      </c>
    </row>
    <row r="1226" spans="1:4" x14ac:dyDescent="0.25">
      <c r="A1226" t="s">
        <v>3686</v>
      </c>
      <c r="B1226" t="s">
        <v>3691</v>
      </c>
      <c r="C1226" t="s">
        <v>306</v>
      </c>
      <c r="D1226" t="s">
        <v>3692</v>
      </c>
    </row>
    <row r="1227" spans="1:4" x14ac:dyDescent="0.25">
      <c r="B1227" t="s">
        <v>3693</v>
      </c>
      <c r="C1227" t="s">
        <v>191</v>
      </c>
      <c r="D1227" t="s">
        <v>3694</v>
      </c>
    </row>
    <row r="1230" spans="1:4" x14ac:dyDescent="0.25">
      <c r="A1230" t="s">
        <v>3686</v>
      </c>
      <c r="B1230" t="s">
        <v>3695</v>
      </c>
      <c r="C1230" t="s">
        <v>1125</v>
      </c>
      <c r="D1230" t="s">
        <v>3696</v>
      </c>
    </row>
    <row r="1231" spans="1:4" x14ac:dyDescent="0.25">
      <c r="B1231" t="s">
        <v>189</v>
      </c>
      <c r="C1231" t="s">
        <v>191</v>
      </c>
      <c r="D1231" t="s">
        <v>3697</v>
      </c>
    </row>
    <row r="1234" spans="1:4" x14ac:dyDescent="0.25">
      <c r="A1234" t="s">
        <v>3686</v>
      </c>
      <c r="B1234" t="s">
        <v>3698</v>
      </c>
      <c r="C1234" t="s">
        <v>1125</v>
      </c>
      <c r="D1234" t="s">
        <v>3699</v>
      </c>
    </row>
    <row r="1237" spans="1:4" x14ac:dyDescent="0.25">
      <c r="A1237" t="s">
        <v>3700</v>
      </c>
      <c r="B1237" t="s">
        <v>3701</v>
      </c>
      <c r="C1237" t="s">
        <v>306</v>
      </c>
      <c r="D1237" t="s">
        <v>3702</v>
      </c>
    </row>
    <row r="1240" spans="1:4" x14ac:dyDescent="0.25">
      <c r="A1240" t="s">
        <v>3700</v>
      </c>
      <c r="B1240" t="s">
        <v>2822</v>
      </c>
      <c r="C1240" t="s">
        <v>789</v>
      </c>
      <c r="D1240" t="s">
        <v>3703</v>
      </c>
    </row>
    <row r="1243" spans="1:4" x14ac:dyDescent="0.25">
      <c r="A1243" t="s">
        <v>3704</v>
      </c>
      <c r="B1243" t="s">
        <v>3705</v>
      </c>
      <c r="C1243" t="s">
        <v>202</v>
      </c>
      <c r="D1243" t="s">
        <v>3706</v>
      </c>
    </row>
    <row r="1246" spans="1:4" x14ac:dyDescent="0.25">
      <c r="A1246" t="s">
        <v>3704</v>
      </c>
      <c r="B1246" t="s">
        <v>3707</v>
      </c>
      <c r="C1246" t="s">
        <v>334</v>
      </c>
      <c r="D1246" t="s">
        <v>3708</v>
      </c>
    </row>
    <row r="1249" spans="1:4" x14ac:dyDescent="0.25">
      <c r="A1249" t="s">
        <v>3704</v>
      </c>
      <c r="B1249" t="s">
        <v>3709</v>
      </c>
      <c r="C1249" t="s">
        <v>741</v>
      </c>
      <c r="D1249" t="s">
        <v>3710</v>
      </c>
    </row>
    <row r="1252" spans="1:4" x14ac:dyDescent="0.25">
      <c r="A1252" t="s">
        <v>3704</v>
      </c>
      <c r="B1252" t="s">
        <v>3087</v>
      </c>
      <c r="C1252" t="s">
        <v>202</v>
      </c>
      <c r="D1252" t="s">
        <v>3711</v>
      </c>
    </row>
    <row r="1255" spans="1:4" x14ac:dyDescent="0.25">
      <c r="A1255" t="s">
        <v>3712</v>
      </c>
      <c r="B1255" t="s">
        <v>3713</v>
      </c>
      <c r="C1255" t="s">
        <v>2456</v>
      </c>
      <c r="D1255" t="s">
        <v>3714</v>
      </c>
    </row>
    <row r="1258" spans="1:4" x14ac:dyDescent="0.25">
      <c r="A1258" t="s">
        <v>3712</v>
      </c>
      <c r="B1258" t="s">
        <v>3715</v>
      </c>
      <c r="C1258" t="s">
        <v>810</v>
      </c>
      <c r="D1258" t="s">
        <v>3716</v>
      </c>
    </row>
    <row r="1261" spans="1:4" x14ac:dyDescent="0.25">
      <c r="A1261" t="s">
        <v>3712</v>
      </c>
      <c r="B1261" t="s">
        <v>3206</v>
      </c>
      <c r="C1261" t="s">
        <v>239</v>
      </c>
      <c r="D1261" t="s">
        <v>3435</v>
      </c>
    </row>
    <row r="1264" spans="1:4" x14ac:dyDescent="0.25">
      <c r="A1264" t="s">
        <v>3712</v>
      </c>
      <c r="B1264" t="s">
        <v>2862</v>
      </c>
      <c r="C1264" t="s">
        <v>191</v>
      </c>
      <c r="D1264" t="s">
        <v>3717</v>
      </c>
    </row>
    <row r="1267" spans="1:4" x14ac:dyDescent="0.25">
      <c r="A1267" t="s">
        <v>3718</v>
      </c>
      <c r="B1267" t="s">
        <v>3080</v>
      </c>
      <c r="C1267" t="s">
        <v>334</v>
      </c>
      <c r="D1267" t="s">
        <v>3719</v>
      </c>
    </row>
    <row r="1270" spans="1:4" x14ac:dyDescent="0.25">
      <c r="A1270" t="s">
        <v>3718</v>
      </c>
      <c r="B1270" t="s">
        <v>3077</v>
      </c>
      <c r="C1270" t="s">
        <v>741</v>
      </c>
      <c r="D1270" t="s">
        <v>3720</v>
      </c>
    </row>
    <row r="1273" spans="1:4" x14ac:dyDescent="0.25">
      <c r="A1273" t="s">
        <v>3721</v>
      </c>
      <c r="B1273" t="s">
        <v>3038</v>
      </c>
      <c r="C1273" t="s">
        <v>239</v>
      </c>
      <c r="D1273" t="s">
        <v>3722</v>
      </c>
    </row>
    <row r="1276" spans="1:4" x14ac:dyDescent="0.25">
      <c r="A1276" t="s">
        <v>3721</v>
      </c>
      <c r="B1276" t="s">
        <v>3723</v>
      </c>
      <c r="C1276" t="s">
        <v>191</v>
      </c>
      <c r="D1276" t="s">
        <v>3724</v>
      </c>
    </row>
    <row r="1279" spans="1:4" x14ac:dyDescent="0.25">
      <c r="A1279" t="s">
        <v>3725</v>
      </c>
      <c r="B1279" t="s">
        <v>3726</v>
      </c>
      <c r="C1279" t="s">
        <v>202</v>
      </c>
      <c r="D1279" t="s">
        <v>3727</v>
      </c>
    </row>
    <row r="1282" spans="1:4" x14ac:dyDescent="0.25">
      <c r="A1282" t="s">
        <v>3728</v>
      </c>
      <c r="B1282" t="s">
        <v>3729</v>
      </c>
      <c r="C1282" t="s">
        <v>334</v>
      </c>
      <c r="D1282" t="s">
        <v>3730</v>
      </c>
    </row>
    <row r="1285" spans="1:4" x14ac:dyDescent="0.25">
      <c r="A1285" t="s">
        <v>3731</v>
      </c>
      <c r="B1285" t="s">
        <v>3732</v>
      </c>
      <c r="C1285" t="s">
        <v>789</v>
      </c>
      <c r="D1285" t="s">
        <v>3733</v>
      </c>
    </row>
    <row r="1288" spans="1:4" x14ac:dyDescent="0.25">
      <c r="A1288" t="s">
        <v>3734</v>
      </c>
      <c r="B1288" t="s">
        <v>3732</v>
      </c>
      <c r="C1288" t="s">
        <v>789</v>
      </c>
      <c r="D1288" t="s">
        <v>3735</v>
      </c>
    </row>
    <row r="1291" spans="1:4" x14ac:dyDescent="0.25">
      <c r="A1291" t="s">
        <v>3736</v>
      </c>
      <c r="B1291" t="s">
        <v>3729</v>
      </c>
      <c r="C1291" t="s">
        <v>334</v>
      </c>
      <c r="D1291" t="s">
        <v>3737</v>
      </c>
    </row>
    <row r="1294" spans="1:4" x14ac:dyDescent="0.25">
      <c r="A1294" t="s">
        <v>3738</v>
      </c>
      <c r="B1294" t="s">
        <v>2950</v>
      </c>
      <c r="C1294" t="s">
        <v>789</v>
      </c>
      <c r="D1294" t="s">
        <v>3739</v>
      </c>
    </row>
    <row r="1297" spans="1:4" x14ac:dyDescent="0.25">
      <c r="A1297" t="s">
        <v>3740</v>
      </c>
      <c r="B1297" t="s">
        <v>3741</v>
      </c>
      <c r="C1297" t="s">
        <v>306</v>
      </c>
      <c r="D1297" t="s">
        <v>3494</v>
      </c>
    </row>
    <row r="1300" spans="1:4" x14ac:dyDescent="0.25">
      <c r="A1300" t="s">
        <v>3740</v>
      </c>
      <c r="B1300" t="s">
        <v>3742</v>
      </c>
      <c r="C1300" t="s">
        <v>334</v>
      </c>
      <c r="D1300" t="s">
        <v>3743</v>
      </c>
    </row>
    <row r="1303" spans="1:4" x14ac:dyDescent="0.25">
      <c r="A1303" t="s">
        <v>3740</v>
      </c>
      <c r="B1303" t="s">
        <v>3744</v>
      </c>
      <c r="C1303" t="s">
        <v>741</v>
      </c>
      <c r="D1303" t="s">
        <v>3745</v>
      </c>
    </row>
    <row r="1306" spans="1:4" x14ac:dyDescent="0.25">
      <c r="A1306" t="s">
        <v>3740</v>
      </c>
      <c r="B1306" t="s">
        <v>3080</v>
      </c>
      <c r="C1306" t="s">
        <v>334</v>
      </c>
      <c r="D1306" t="s">
        <v>3746</v>
      </c>
    </row>
    <row r="1309" spans="1:4" x14ac:dyDescent="0.25">
      <c r="A1309" t="s">
        <v>3740</v>
      </c>
      <c r="B1309" t="s">
        <v>3077</v>
      </c>
      <c r="C1309" t="s">
        <v>741</v>
      </c>
      <c r="D1309" t="s">
        <v>3747</v>
      </c>
    </row>
    <row r="1312" spans="1:4" x14ac:dyDescent="0.25">
      <c r="A1312" t="s">
        <v>3740</v>
      </c>
      <c r="B1312" t="s">
        <v>3087</v>
      </c>
      <c r="C1312" t="s">
        <v>202</v>
      </c>
      <c r="D1312" t="s">
        <v>3748</v>
      </c>
    </row>
    <row r="1315" spans="1:4" x14ac:dyDescent="0.25">
      <c r="A1315" t="s">
        <v>3740</v>
      </c>
      <c r="B1315" t="s">
        <v>3749</v>
      </c>
      <c r="C1315" t="s">
        <v>741</v>
      </c>
      <c r="D1315" t="s">
        <v>3750</v>
      </c>
    </row>
    <row r="1318" spans="1:4" x14ac:dyDescent="0.25">
      <c r="A1318" t="s">
        <v>3740</v>
      </c>
      <c r="B1318" t="s">
        <v>3751</v>
      </c>
      <c r="C1318" t="s">
        <v>202</v>
      </c>
      <c r="D1318" t="s">
        <v>3752</v>
      </c>
    </row>
    <row r="1321" spans="1:4" x14ac:dyDescent="0.25">
      <c r="A1321" t="s">
        <v>3753</v>
      </c>
      <c r="B1321" t="s">
        <v>3754</v>
      </c>
      <c r="C1321" t="s">
        <v>1146</v>
      </c>
      <c r="D1321" t="s">
        <v>3755</v>
      </c>
    </row>
    <row r="1324" spans="1:4" x14ac:dyDescent="0.25">
      <c r="A1324" t="s">
        <v>3756</v>
      </c>
      <c r="B1324" t="s">
        <v>3757</v>
      </c>
      <c r="C1324" t="s">
        <v>3034</v>
      </c>
      <c r="D1324" t="s">
        <v>3758</v>
      </c>
    </row>
    <row r="1327" spans="1:4" x14ac:dyDescent="0.25">
      <c r="A1327" t="s">
        <v>3759</v>
      </c>
      <c r="B1327" t="s">
        <v>3760</v>
      </c>
      <c r="C1327" t="s">
        <v>239</v>
      </c>
      <c r="D1327" t="s">
        <v>3761</v>
      </c>
    </row>
    <row r="1330" spans="1:4" x14ac:dyDescent="0.25">
      <c r="A1330" t="s">
        <v>3759</v>
      </c>
      <c r="B1330" t="s">
        <v>3762</v>
      </c>
      <c r="C1330" t="s">
        <v>191</v>
      </c>
      <c r="D1330" t="s">
        <v>3763</v>
      </c>
    </row>
    <row r="1331" spans="1:4" x14ac:dyDescent="0.25">
      <c r="B1331" t="s">
        <v>3764</v>
      </c>
      <c r="C1331" t="s">
        <v>471</v>
      </c>
      <c r="D1331" t="s">
        <v>3765</v>
      </c>
    </row>
    <row r="1334" spans="1:4" x14ac:dyDescent="0.25">
      <c r="A1334" t="s">
        <v>3766</v>
      </c>
      <c r="B1334" t="s">
        <v>3760</v>
      </c>
      <c r="C1334" t="s">
        <v>239</v>
      </c>
      <c r="D1334" t="s">
        <v>3767</v>
      </c>
    </row>
    <row r="1337" spans="1:4" x14ac:dyDescent="0.25">
      <c r="A1337" t="s">
        <v>3766</v>
      </c>
      <c r="B1337" t="s">
        <v>3419</v>
      </c>
      <c r="C1337" t="s">
        <v>627</v>
      </c>
      <c r="D1337" t="s">
        <v>3768</v>
      </c>
    </row>
    <row r="1338" spans="1:4" x14ac:dyDescent="0.25">
      <c r="B1338" t="s">
        <v>3769</v>
      </c>
      <c r="C1338" t="s">
        <v>191</v>
      </c>
      <c r="D1338" t="s">
        <v>3770</v>
      </c>
    </row>
    <row r="1341" spans="1:4" x14ac:dyDescent="0.25">
      <c r="A1341" t="s">
        <v>3771</v>
      </c>
      <c r="B1341" t="s">
        <v>3772</v>
      </c>
      <c r="C1341" t="s">
        <v>610</v>
      </c>
      <c r="D1341" t="s">
        <v>3476</v>
      </c>
    </row>
    <row r="1342" spans="1:4" x14ac:dyDescent="0.25">
      <c r="B1342" t="s">
        <v>3773</v>
      </c>
      <c r="C1342" t="s">
        <v>2160</v>
      </c>
      <c r="D1342" t="s">
        <v>3774</v>
      </c>
    </row>
    <row r="1345" spans="1:4" x14ac:dyDescent="0.25">
      <c r="A1345" t="s">
        <v>3771</v>
      </c>
      <c r="B1345" t="s">
        <v>3080</v>
      </c>
      <c r="C1345" t="s">
        <v>334</v>
      </c>
      <c r="D1345" t="s">
        <v>3775</v>
      </c>
    </row>
    <row r="1348" spans="1:4" x14ac:dyDescent="0.25">
      <c r="A1348" t="s">
        <v>3771</v>
      </c>
      <c r="B1348" t="s">
        <v>3077</v>
      </c>
      <c r="C1348" t="s">
        <v>741</v>
      </c>
      <c r="D1348" t="s">
        <v>3776</v>
      </c>
    </row>
    <row r="1351" spans="1:4" x14ac:dyDescent="0.25">
      <c r="A1351" t="s">
        <v>3777</v>
      </c>
      <c r="B1351" t="s">
        <v>2950</v>
      </c>
      <c r="C1351" t="s">
        <v>789</v>
      </c>
      <c r="D1351" t="s">
        <v>3778</v>
      </c>
    </row>
    <row r="1354" spans="1:4" x14ac:dyDescent="0.25">
      <c r="A1354" t="s">
        <v>3779</v>
      </c>
      <c r="B1354" t="s">
        <v>2838</v>
      </c>
      <c r="C1354" t="s">
        <v>239</v>
      </c>
      <c r="D1354" t="s">
        <v>3780</v>
      </c>
    </row>
    <row r="1357" spans="1:4" x14ac:dyDescent="0.25">
      <c r="A1357" t="s">
        <v>3779</v>
      </c>
      <c r="B1357" t="s">
        <v>3781</v>
      </c>
      <c r="C1357" t="s">
        <v>316</v>
      </c>
      <c r="D1357" t="s">
        <v>3782</v>
      </c>
    </row>
    <row r="1358" spans="1:4" x14ac:dyDescent="0.25">
      <c r="B1358" t="s">
        <v>3783</v>
      </c>
      <c r="C1358" t="s">
        <v>191</v>
      </c>
      <c r="D1358" t="s">
        <v>3784</v>
      </c>
    </row>
    <row r="1361" spans="1:4" x14ac:dyDescent="0.25">
      <c r="A1361" t="s">
        <v>3785</v>
      </c>
      <c r="B1361" t="s">
        <v>2838</v>
      </c>
      <c r="C1361" t="s">
        <v>789</v>
      </c>
      <c r="D1361" t="s">
        <v>3786</v>
      </c>
    </row>
    <row r="1364" spans="1:4" x14ac:dyDescent="0.25">
      <c r="A1364" t="s">
        <v>3785</v>
      </c>
      <c r="B1364" t="s">
        <v>3787</v>
      </c>
      <c r="C1364" t="s">
        <v>316</v>
      </c>
      <c r="D1364" t="s">
        <v>3788</v>
      </c>
    </row>
    <row r="1365" spans="1:4" x14ac:dyDescent="0.25">
      <c r="B1365" t="s">
        <v>3789</v>
      </c>
      <c r="C1365" t="s">
        <v>191</v>
      </c>
      <c r="D1365" t="s">
        <v>3790</v>
      </c>
    </row>
    <row r="1368" spans="1:4" x14ac:dyDescent="0.25">
      <c r="A1368" t="s">
        <v>3791</v>
      </c>
      <c r="B1368" t="s">
        <v>3792</v>
      </c>
      <c r="C1368" t="s">
        <v>795</v>
      </c>
      <c r="D1368" t="s">
        <v>3793</v>
      </c>
    </row>
    <row r="1371" spans="1:4" x14ac:dyDescent="0.25">
      <c r="A1371" t="s">
        <v>3791</v>
      </c>
      <c r="B1371" t="s">
        <v>3794</v>
      </c>
      <c r="C1371" t="s">
        <v>742</v>
      </c>
      <c r="D1371" t="s">
        <v>3795</v>
      </c>
    </row>
    <row r="1374" spans="1:4" x14ac:dyDescent="0.25">
      <c r="A1374" t="s">
        <v>3791</v>
      </c>
      <c r="B1374" t="s">
        <v>3796</v>
      </c>
      <c r="C1374" t="s">
        <v>334</v>
      </c>
      <c r="D1374" t="s">
        <v>3797</v>
      </c>
    </row>
    <row r="1375" spans="1:4" x14ac:dyDescent="0.25">
      <c r="B1375" t="s">
        <v>3245</v>
      </c>
      <c r="C1375" t="s">
        <v>742</v>
      </c>
      <c r="D1375" t="s">
        <v>3798</v>
      </c>
    </row>
    <row r="1378" spans="1:4" x14ac:dyDescent="0.25">
      <c r="A1378" t="s">
        <v>3791</v>
      </c>
      <c r="B1378" t="s">
        <v>3799</v>
      </c>
      <c r="C1378" t="s">
        <v>741</v>
      </c>
      <c r="D1378" t="s">
        <v>3800</v>
      </c>
    </row>
    <row r="1381" spans="1:4" x14ac:dyDescent="0.25">
      <c r="A1381" t="s">
        <v>3791</v>
      </c>
      <c r="B1381" t="s">
        <v>3801</v>
      </c>
      <c r="C1381" t="s">
        <v>742</v>
      </c>
      <c r="D1381" t="s">
        <v>3802</v>
      </c>
    </row>
    <row r="1384" spans="1:4" x14ac:dyDescent="0.25">
      <c r="A1384" t="s">
        <v>3791</v>
      </c>
      <c r="B1384" t="s">
        <v>3803</v>
      </c>
      <c r="C1384" t="s">
        <v>795</v>
      </c>
      <c r="D1384" t="s">
        <v>3804</v>
      </c>
    </row>
    <row r="1387" spans="1:4" x14ac:dyDescent="0.25">
      <c r="A1387" t="s">
        <v>3805</v>
      </c>
      <c r="B1387" t="s">
        <v>3806</v>
      </c>
      <c r="C1387" t="s">
        <v>230</v>
      </c>
      <c r="D1387" t="s">
        <v>3807</v>
      </c>
    </row>
    <row r="1390" spans="1:4" x14ac:dyDescent="0.25">
      <c r="A1390" t="s">
        <v>3808</v>
      </c>
      <c r="B1390" t="s">
        <v>3760</v>
      </c>
      <c r="C1390" t="s">
        <v>239</v>
      </c>
      <c r="D1390" t="s">
        <v>3809</v>
      </c>
    </row>
    <row r="1393" spans="1:4" x14ac:dyDescent="0.25">
      <c r="A1393" t="s">
        <v>3810</v>
      </c>
      <c r="B1393" t="s">
        <v>3080</v>
      </c>
      <c r="C1393" t="s">
        <v>334</v>
      </c>
      <c r="D1393" t="s">
        <v>3811</v>
      </c>
    </row>
    <row r="1396" spans="1:4" x14ac:dyDescent="0.25">
      <c r="A1396" t="s">
        <v>3810</v>
      </c>
      <c r="B1396" t="s">
        <v>3077</v>
      </c>
      <c r="C1396" t="s">
        <v>741</v>
      </c>
      <c r="D1396" t="s">
        <v>3812</v>
      </c>
    </row>
    <row r="1399" spans="1:4" x14ac:dyDescent="0.25">
      <c r="A1399" t="s">
        <v>3810</v>
      </c>
      <c r="B1399" t="s">
        <v>3813</v>
      </c>
      <c r="C1399" t="s">
        <v>674</v>
      </c>
      <c r="D1399" t="s">
        <v>3814</v>
      </c>
    </row>
    <row r="1402" spans="1:4" x14ac:dyDescent="0.25">
      <c r="A1402" t="s">
        <v>3815</v>
      </c>
      <c r="B1402" t="s">
        <v>3816</v>
      </c>
      <c r="C1402" t="s">
        <v>334</v>
      </c>
      <c r="D1402" t="s">
        <v>3817</v>
      </c>
    </row>
    <row r="1405" spans="1:4" x14ac:dyDescent="0.25">
      <c r="A1405" t="s">
        <v>3815</v>
      </c>
      <c r="B1405" t="s">
        <v>3077</v>
      </c>
      <c r="C1405" t="s">
        <v>741</v>
      </c>
      <c r="D1405" t="s">
        <v>3818</v>
      </c>
    </row>
    <row r="1408" spans="1:4" x14ac:dyDescent="0.25">
      <c r="A1408" t="s">
        <v>3815</v>
      </c>
      <c r="B1408" t="s">
        <v>3819</v>
      </c>
      <c r="C1408" t="s">
        <v>741</v>
      </c>
      <c r="D1408" t="s">
        <v>3820</v>
      </c>
    </row>
    <row r="1411" spans="1:4" x14ac:dyDescent="0.25">
      <c r="A1411" t="s">
        <v>3821</v>
      </c>
      <c r="B1411" t="s">
        <v>3822</v>
      </c>
      <c r="C1411" t="s">
        <v>334</v>
      </c>
      <c r="D1411" t="s">
        <v>3823</v>
      </c>
    </row>
    <row r="1412" spans="1:4" x14ac:dyDescent="0.25">
      <c r="B1412" t="s">
        <v>3245</v>
      </c>
      <c r="C1412" t="s">
        <v>742</v>
      </c>
      <c r="D1412" t="s">
        <v>3824</v>
      </c>
    </row>
    <row r="1415" spans="1:4" x14ac:dyDescent="0.25">
      <c r="A1415" t="s">
        <v>3821</v>
      </c>
      <c r="B1415" t="s">
        <v>3825</v>
      </c>
      <c r="C1415" t="s">
        <v>674</v>
      </c>
      <c r="D1415" t="s">
        <v>3826</v>
      </c>
    </row>
    <row r="1418" spans="1:4" x14ac:dyDescent="0.25">
      <c r="A1418" t="s">
        <v>3821</v>
      </c>
      <c r="B1418" t="s">
        <v>3827</v>
      </c>
      <c r="C1418" t="s">
        <v>742</v>
      </c>
      <c r="D1418" t="s">
        <v>3828</v>
      </c>
    </row>
    <row r="1421" spans="1:4" x14ac:dyDescent="0.25">
      <c r="A1421" t="s">
        <v>3821</v>
      </c>
      <c r="B1421" t="s">
        <v>3829</v>
      </c>
      <c r="C1421" t="s">
        <v>742</v>
      </c>
      <c r="D1421" t="s">
        <v>3814</v>
      </c>
    </row>
    <row r="1424" spans="1:4" x14ac:dyDescent="0.25">
      <c r="A1424" t="s">
        <v>3821</v>
      </c>
      <c r="B1424" t="s">
        <v>3830</v>
      </c>
      <c r="C1424" t="s">
        <v>674</v>
      </c>
      <c r="D1424" t="s">
        <v>3831</v>
      </c>
    </row>
    <row r="1425" spans="1:4" x14ac:dyDescent="0.25">
      <c r="B1425" t="s">
        <v>3832</v>
      </c>
      <c r="C1425" t="s">
        <v>795</v>
      </c>
      <c r="D1425" t="s">
        <v>3833</v>
      </c>
    </row>
    <row r="1428" spans="1:4" x14ac:dyDescent="0.25">
      <c r="A1428" t="s">
        <v>3834</v>
      </c>
      <c r="B1428" t="s">
        <v>3835</v>
      </c>
      <c r="C1428" t="s">
        <v>674</v>
      </c>
      <c r="D1428" t="s">
        <v>3836</v>
      </c>
    </row>
    <row r="1431" spans="1:4" x14ac:dyDescent="0.25">
      <c r="A1431" t="s">
        <v>3837</v>
      </c>
      <c r="B1431" t="s">
        <v>3838</v>
      </c>
      <c r="C1431" t="s">
        <v>239</v>
      </c>
      <c r="D1431" t="s">
        <v>3839</v>
      </c>
    </row>
    <row r="1434" spans="1:4" x14ac:dyDescent="0.25">
      <c r="A1434" t="s">
        <v>3837</v>
      </c>
      <c r="B1434" t="s">
        <v>3840</v>
      </c>
      <c r="C1434" t="s">
        <v>191</v>
      </c>
      <c r="D1434" t="s">
        <v>3841</v>
      </c>
    </row>
    <row r="1435" spans="1:4" x14ac:dyDescent="0.25">
      <c r="B1435" t="s">
        <v>3842</v>
      </c>
      <c r="C1435" t="s">
        <v>1780</v>
      </c>
      <c r="D1435" t="s">
        <v>3843</v>
      </c>
    </row>
    <row r="1438" spans="1:4" x14ac:dyDescent="0.25">
      <c r="A1438" t="s">
        <v>3844</v>
      </c>
      <c r="B1438" t="s">
        <v>3845</v>
      </c>
      <c r="C1438" t="s">
        <v>2456</v>
      </c>
      <c r="D1438" t="s">
        <v>3846</v>
      </c>
    </row>
    <row r="1439" spans="1:4" x14ac:dyDescent="0.25">
      <c r="B1439" t="s">
        <v>3847</v>
      </c>
      <c r="C1439" t="s">
        <v>180</v>
      </c>
      <c r="D1439" t="s">
        <v>3848</v>
      </c>
    </row>
    <row r="1442" spans="1:4" x14ac:dyDescent="0.25">
      <c r="A1442" t="s">
        <v>3844</v>
      </c>
      <c r="B1442" t="s">
        <v>3206</v>
      </c>
      <c r="C1442" t="s">
        <v>789</v>
      </c>
      <c r="D1442" t="s">
        <v>3849</v>
      </c>
    </row>
    <row r="1445" spans="1:4" x14ac:dyDescent="0.25">
      <c r="A1445" t="s">
        <v>3850</v>
      </c>
      <c r="B1445" t="s">
        <v>3057</v>
      </c>
      <c r="C1445" t="s">
        <v>789</v>
      </c>
      <c r="D1445" t="s">
        <v>3851</v>
      </c>
    </row>
    <row r="1448" spans="1:4" x14ac:dyDescent="0.25">
      <c r="A1448" t="s">
        <v>3852</v>
      </c>
      <c r="B1448" t="s">
        <v>3853</v>
      </c>
      <c r="C1448" t="s">
        <v>795</v>
      </c>
      <c r="D1448" t="s">
        <v>3854</v>
      </c>
    </row>
    <row r="1451" spans="1:4" x14ac:dyDescent="0.25">
      <c r="A1451" t="s">
        <v>3852</v>
      </c>
      <c r="B1451" t="s">
        <v>3855</v>
      </c>
      <c r="C1451" t="s">
        <v>191</v>
      </c>
      <c r="D1451" t="s">
        <v>3856</v>
      </c>
    </row>
    <row r="1454" spans="1:4" x14ac:dyDescent="0.25">
      <c r="A1454" t="s">
        <v>3857</v>
      </c>
      <c r="B1454" t="s">
        <v>3858</v>
      </c>
      <c r="C1454" t="s">
        <v>239</v>
      </c>
      <c r="D1454" t="s">
        <v>3859</v>
      </c>
    </row>
    <row r="1457" spans="1:4" x14ac:dyDescent="0.25">
      <c r="A1457" t="s">
        <v>3857</v>
      </c>
      <c r="B1457" t="s">
        <v>3860</v>
      </c>
      <c r="C1457" t="s">
        <v>810</v>
      </c>
      <c r="D1457" t="s">
        <v>3861</v>
      </c>
    </row>
    <row r="1460" spans="1:4" x14ac:dyDescent="0.25">
      <c r="A1460" t="s">
        <v>3857</v>
      </c>
      <c r="B1460" t="s">
        <v>3862</v>
      </c>
      <c r="C1460" t="s">
        <v>789</v>
      </c>
      <c r="D1460" t="s">
        <v>3863</v>
      </c>
    </row>
    <row r="1463" spans="1:4" x14ac:dyDescent="0.25">
      <c r="A1463" t="s">
        <v>3864</v>
      </c>
      <c r="B1463" t="s">
        <v>3796</v>
      </c>
      <c r="C1463" t="s">
        <v>334</v>
      </c>
      <c r="D1463" t="s">
        <v>3865</v>
      </c>
    </row>
    <row r="1466" spans="1:4" x14ac:dyDescent="0.25">
      <c r="A1466" t="s">
        <v>3864</v>
      </c>
      <c r="B1466" t="s">
        <v>3866</v>
      </c>
      <c r="C1466" t="s">
        <v>202</v>
      </c>
      <c r="D1466" t="s">
        <v>3867</v>
      </c>
    </row>
    <row r="1469" spans="1:4" x14ac:dyDescent="0.25">
      <c r="A1469" t="s">
        <v>3868</v>
      </c>
      <c r="B1469" t="s">
        <v>3869</v>
      </c>
      <c r="C1469" t="s">
        <v>795</v>
      </c>
      <c r="D1469" t="s">
        <v>3870</v>
      </c>
    </row>
    <row r="1472" spans="1:4" x14ac:dyDescent="0.25">
      <c r="A1472" t="s">
        <v>3868</v>
      </c>
      <c r="B1472" t="s">
        <v>3871</v>
      </c>
      <c r="C1472" t="s">
        <v>674</v>
      </c>
      <c r="D1472" t="s">
        <v>3872</v>
      </c>
    </row>
    <row r="1475" spans="1:4" x14ac:dyDescent="0.25">
      <c r="A1475" t="s">
        <v>3868</v>
      </c>
      <c r="B1475" t="s">
        <v>3873</v>
      </c>
      <c r="C1475" t="s">
        <v>2456</v>
      </c>
      <c r="D1475" t="s">
        <v>3874</v>
      </c>
    </row>
    <row r="1478" spans="1:4" x14ac:dyDescent="0.25">
      <c r="A1478" t="s">
        <v>3868</v>
      </c>
      <c r="B1478" t="s">
        <v>3875</v>
      </c>
      <c r="C1478" t="s">
        <v>795</v>
      </c>
      <c r="D1478" t="s">
        <v>3876</v>
      </c>
    </row>
    <row r="1481" spans="1:4" x14ac:dyDescent="0.25">
      <c r="A1481" t="s">
        <v>3868</v>
      </c>
      <c r="B1481" t="s">
        <v>3877</v>
      </c>
      <c r="C1481" t="s">
        <v>674</v>
      </c>
      <c r="D1481" t="s">
        <v>3878</v>
      </c>
    </row>
    <row r="1484" spans="1:4" x14ac:dyDescent="0.25">
      <c r="A1484" t="s">
        <v>3868</v>
      </c>
      <c r="B1484" t="s">
        <v>3879</v>
      </c>
      <c r="C1484" t="s">
        <v>2160</v>
      </c>
      <c r="D1484" t="s">
        <v>3880</v>
      </c>
    </row>
    <row r="1487" spans="1:4" x14ac:dyDescent="0.25">
      <c r="A1487" t="s">
        <v>3868</v>
      </c>
      <c r="B1487" t="s">
        <v>3881</v>
      </c>
      <c r="C1487" t="s">
        <v>2456</v>
      </c>
      <c r="D1487" t="s">
        <v>3882</v>
      </c>
    </row>
    <row r="1488" spans="1:4" x14ac:dyDescent="0.25">
      <c r="B1488" t="s">
        <v>3883</v>
      </c>
      <c r="C1488" t="s">
        <v>610</v>
      </c>
      <c r="D1488" t="s">
        <v>3884</v>
      </c>
    </row>
    <row r="1491" spans="1:4" x14ac:dyDescent="0.25">
      <c r="A1491" t="s">
        <v>3868</v>
      </c>
      <c r="B1491" t="s">
        <v>3885</v>
      </c>
      <c r="C1491" t="s">
        <v>1146</v>
      </c>
      <c r="D1491" t="s">
        <v>3886</v>
      </c>
    </row>
    <row r="1494" spans="1:4" x14ac:dyDescent="0.25">
      <c r="A1494" t="s">
        <v>3868</v>
      </c>
      <c r="B1494" t="s">
        <v>3887</v>
      </c>
      <c r="C1494" t="s">
        <v>2456</v>
      </c>
      <c r="D1494" t="s">
        <v>3888</v>
      </c>
    </row>
    <row r="1497" spans="1:4" x14ac:dyDescent="0.25">
      <c r="A1497" t="s">
        <v>3868</v>
      </c>
      <c r="B1497" t="s">
        <v>3889</v>
      </c>
      <c r="C1497" t="s">
        <v>3890</v>
      </c>
      <c r="D1497" t="s">
        <v>3891</v>
      </c>
    </row>
    <row r="1500" spans="1:4" x14ac:dyDescent="0.25">
      <c r="A1500" t="s">
        <v>3868</v>
      </c>
      <c r="B1500" t="s">
        <v>3892</v>
      </c>
      <c r="C1500" t="s">
        <v>3893</v>
      </c>
      <c r="D1500" t="s">
        <v>3894</v>
      </c>
    </row>
    <row r="1503" spans="1:4" x14ac:dyDescent="0.25">
      <c r="A1503" t="s">
        <v>3868</v>
      </c>
      <c r="B1503" t="s">
        <v>3895</v>
      </c>
      <c r="C1503" t="s">
        <v>2160</v>
      </c>
      <c r="D1503" t="s">
        <v>3896</v>
      </c>
    </row>
    <row r="1506" spans="1:4" x14ac:dyDescent="0.25">
      <c r="A1506" t="s">
        <v>3868</v>
      </c>
      <c r="B1506" t="s">
        <v>3897</v>
      </c>
      <c r="C1506" t="s">
        <v>1027</v>
      </c>
      <c r="D1506" t="s">
        <v>3898</v>
      </c>
    </row>
    <row r="1509" spans="1:4" x14ac:dyDescent="0.25">
      <c r="A1509" t="s">
        <v>3868</v>
      </c>
      <c r="B1509" t="s">
        <v>3899</v>
      </c>
      <c r="C1509" t="s">
        <v>3900</v>
      </c>
      <c r="D1509" t="s">
        <v>3901</v>
      </c>
    </row>
    <row r="1512" spans="1:4" x14ac:dyDescent="0.25">
      <c r="A1512" t="s">
        <v>3868</v>
      </c>
      <c r="B1512" t="s">
        <v>3902</v>
      </c>
      <c r="C1512" t="s">
        <v>3900</v>
      </c>
      <c r="D1512" t="s">
        <v>3903</v>
      </c>
    </row>
    <row r="1515" spans="1:4" x14ac:dyDescent="0.25">
      <c r="A1515" t="s">
        <v>3868</v>
      </c>
      <c r="B1515" t="s">
        <v>3904</v>
      </c>
      <c r="C1515" t="s">
        <v>3905</v>
      </c>
      <c r="D1515" t="s">
        <v>3906</v>
      </c>
    </row>
    <row r="1518" spans="1:4" x14ac:dyDescent="0.25">
      <c r="A1518" t="s">
        <v>3868</v>
      </c>
      <c r="B1518" t="s">
        <v>3907</v>
      </c>
      <c r="C1518" t="s">
        <v>3908</v>
      </c>
      <c r="D1518" t="s">
        <v>3909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816ED-7C38-4CD9-8438-9A277182AA30}">
  <sheetPr>
    <tabColor rgb="FF1B2A4A"/>
  </sheetPr>
  <dimension ref="A1:C301"/>
  <sheetViews>
    <sheetView workbookViewId="0"/>
  </sheetViews>
  <sheetFormatPr defaultRowHeight="15" x14ac:dyDescent="0.25"/>
  <sheetData>
    <row r="1" spans="1:3" x14ac:dyDescent="0.25">
      <c r="A1" s="14" t="s">
        <v>3910</v>
      </c>
      <c r="B1" s="14" t="s">
        <v>3911</v>
      </c>
      <c r="C1" s="14" t="s">
        <v>3912</v>
      </c>
    </row>
    <row r="2" spans="1:3" x14ac:dyDescent="0.25">
      <c r="A2" t="str" cm="1">
        <f t="array" ref="A2:A301">IFERROR(_xlfn._xlws.FILTER('Job Operations'!A5:A304, 'Job Operations'!A5:A304&lt;&gt;""), "")</f>
        <v>24079-BM04C</v>
      </c>
      <c r="B2">
        <f>'Job Operations'!B1</f>
        <v>0</v>
      </c>
      <c r="C2" t="str" cm="1">
        <f t="array" ref="C2:C270">IFERROR(_xlfn._xlws.SORT(_xlfn._xlws.FILTER(A2:A270, ISNUMBER(SEARCH(B2, A2:A270))), 1, 1), "No match")</f>
        <v>1040-30791-ST09</v>
      </c>
    </row>
    <row r="3" spans="1:3" x14ac:dyDescent="0.25">
      <c r="A3" t="str">
        <v>26014-03-ST01</v>
      </c>
      <c r="C3" t="str">
        <v>1040-30791-ST10</v>
      </c>
    </row>
    <row r="4" spans="1:3" x14ac:dyDescent="0.25">
      <c r="A4" t="str">
        <v>26014-03-ST02</v>
      </c>
      <c r="C4" t="str">
        <v>23028-FS99</v>
      </c>
    </row>
    <row r="5" spans="1:3" x14ac:dyDescent="0.25">
      <c r="A5" t="str">
        <v>26014-03-ST02.1</v>
      </c>
      <c r="C5" t="str">
        <v>24001-BM14</v>
      </c>
    </row>
    <row r="6" spans="1:3" x14ac:dyDescent="0.25">
      <c r="A6" t="str">
        <v>26014-03-ST03</v>
      </c>
      <c r="C6" t="str">
        <v>24019-RO07</v>
      </c>
    </row>
    <row r="7" spans="1:3" x14ac:dyDescent="0.25">
      <c r="A7" t="str">
        <v>26014-03-ST03.1</v>
      </c>
      <c r="C7" t="str">
        <v>24020-FL07</v>
      </c>
    </row>
    <row r="8" spans="1:3" x14ac:dyDescent="0.25">
      <c r="A8" t="str">
        <v>25002-FS11.1</v>
      </c>
      <c r="C8" t="str">
        <v>24026-BM01</v>
      </c>
    </row>
    <row r="9" spans="1:3" x14ac:dyDescent="0.25">
      <c r="A9" t="str">
        <v>25029-MU02</v>
      </c>
      <c r="C9" t="str">
        <v>24026-FS01</v>
      </c>
    </row>
    <row r="10" spans="1:3" x14ac:dyDescent="0.25">
      <c r="A10" t="str">
        <v>25029-MU03</v>
      </c>
      <c r="C10" t="str">
        <v>24030-FL02</v>
      </c>
    </row>
    <row r="11" spans="1:3" x14ac:dyDescent="0.25">
      <c r="A11" t="str">
        <v>24051-FS223</v>
      </c>
      <c r="C11" t="str">
        <v>24039-BM19</v>
      </c>
    </row>
    <row r="12" spans="1:3" x14ac:dyDescent="0.25">
      <c r="A12" t="str">
        <v>24079-FS03</v>
      </c>
      <c r="C12" t="str">
        <v>24039-FL36</v>
      </c>
    </row>
    <row r="13" spans="1:3" x14ac:dyDescent="0.25">
      <c r="A13" t="str">
        <v>24079-FS102</v>
      </c>
      <c r="C13" t="str">
        <v>24039-FL37</v>
      </c>
    </row>
    <row r="14" spans="1:3" x14ac:dyDescent="0.25">
      <c r="A14" t="str">
        <v>24051-FS225</v>
      </c>
      <c r="C14" t="str">
        <v>24039-FS14</v>
      </c>
    </row>
    <row r="15" spans="1:3" x14ac:dyDescent="0.25">
      <c r="A15" t="str">
        <v>24079-FS102.1</v>
      </c>
      <c r="C15" t="str">
        <v>24039-FS15</v>
      </c>
    </row>
    <row r="16" spans="1:3" x14ac:dyDescent="0.25">
      <c r="A16" t="str">
        <v>25035-FS04</v>
      </c>
      <c r="C16" t="str">
        <v>24046-FL12</v>
      </c>
    </row>
    <row r="17" spans="1:3" x14ac:dyDescent="0.25">
      <c r="A17" t="str">
        <v>26011-ST01</v>
      </c>
      <c r="C17" t="str">
        <v>24046-FL13</v>
      </c>
    </row>
    <row r="18" spans="1:3" x14ac:dyDescent="0.25">
      <c r="A18" t="str">
        <v>26011-ST1.1</v>
      </c>
      <c r="C18" t="str">
        <v>24046-RO06</v>
      </c>
    </row>
    <row r="19" spans="1:3" x14ac:dyDescent="0.25">
      <c r="A19" t="str">
        <v>25032-FL01</v>
      </c>
      <c r="C19" t="str">
        <v>24048-RM02</v>
      </c>
    </row>
    <row r="20" spans="1:3" x14ac:dyDescent="0.25">
      <c r="A20" t="str">
        <v>25029-MU10</v>
      </c>
      <c r="C20" t="str">
        <v>24051-BM01</v>
      </c>
    </row>
    <row r="21" spans="1:3" x14ac:dyDescent="0.25">
      <c r="A21" t="str">
        <v>24079-FS04</v>
      </c>
      <c r="C21" t="str">
        <v>24051-BM02</v>
      </c>
    </row>
    <row r="22" spans="1:3" x14ac:dyDescent="0.25">
      <c r="A22" t="str">
        <v>26014-04-ST01</v>
      </c>
      <c r="C22" t="str">
        <v>24051-FL01</v>
      </c>
    </row>
    <row r="23" spans="1:3" x14ac:dyDescent="0.25">
      <c r="A23" t="str">
        <v>26014-04-FS01</v>
      </c>
      <c r="C23" t="str">
        <v>24051-FS01</v>
      </c>
    </row>
    <row r="24" spans="1:3" x14ac:dyDescent="0.25">
      <c r="A24" t="str">
        <v>1040-30791-ST09</v>
      </c>
      <c r="C24" t="str">
        <v>24051-FS01C</v>
      </c>
    </row>
    <row r="25" spans="1:3" x14ac:dyDescent="0.25">
      <c r="A25" t="str">
        <v>24079-BM04D</v>
      </c>
      <c r="C25" t="str">
        <v>24051-FS02</v>
      </c>
    </row>
    <row r="26" spans="1:3" x14ac:dyDescent="0.25">
      <c r="A26" t="str">
        <v>25005-ST02</v>
      </c>
      <c r="C26" t="str">
        <v>24051-FS03</v>
      </c>
    </row>
    <row r="27" spans="1:3" x14ac:dyDescent="0.25">
      <c r="A27" t="str">
        <v>25012-MU07</v>
      </c>
      <c r="C27" t="str">
        <v>24051-FS04</v>
      </c>
    </row>
    <row r="28" spans="1:3" x14ac:dyDescent="0.25">
      <c r="A28" t="str">
        <v>24051-FS87</v>
      </c>
      <c r="C28" t="str">
        <v>24051-FS05</v>
      </c>
    </row>
    <row r="29" spans="1:3" x14ac:dyDescent="0.25">
      <c r="A29" t="str">
        <v>24051-FS89</v>
      </c>
      <c r="C29" t="str">
        <v>24051-FS06</v>
      </c>
    </row>
    <row r="30" spans="1:3" x14ac:dyDescent="0.25">
      <c r="A30" t="str">
        <v>24051-FS36.2</v>
      </c>
      <c r="C30" t="str">
        <v>24051-FS10</v>
      </c>
    </row>
    <row r="31" spans="1:3" x14ac:dyDescent="0.25">
      <c r="A31" t="str">
        <v>24051-FS226</v>
      </c>
      <c r="C31" t="str">
        <v>24051-FS10C</v>
      </c>
    </row>
    <row r="32" spans="1:3" x14ac:dyDescent="0.25">
      <c r="A32" t="str">
        <v>24079-BM01B</v>
      </c>
      <c r="C32" t="str">
        <v>24051-FS11</v>
      </c>
    </row>
    <row r="33" spans="1:3" x14ac:dyDescent="0.25">
      <c r="A33" t="str">
        <v>25017-RO02</v>
      </c>
      <c r="C33" t="str">
        <v>24051-FS12</v>
      </c>
    </row>
    <row r="34" spans="1:3" x14ac:dyDescent="0.25">
      <c r="A34" t="str">
        <v>25010-RO06</v>
      </c>
      <c r="C34" t="str">
        <v>24051-FS13</v>
      </c>
    </row>
    <row r="35" spans="1:3" x14ac:dyDescent="0.25">
      <c r="A35" t="str">
        <v>25010-RO07</v>
      </c>
      <c r="C35" t="str">
        <v>24051-FS14</v>
      </c>
    </row>
    <row r="36" spans="1:3" x14ac:dyDescent="0.25">
      <c r="A36" t="str">
        <v>25029-ST73</v>
      </c>
      <c r="C36" t="str">
        <v>24051-FS15</v>
      </c>
    </row>
    <row r="37" spans="1:3" x14ac:dyDescent="0.25">
      <c r="A37" t="str">
        <v>26014-04-ST02</v>
      </c>
      <c r="C37" t="str">
        <v>24051-FS16C</v>
      </c>
    </row>
    <row r="38" spans="1:3" x14ac:dyDescent="0.25">
      <c r="A38" t="str">
        <v>25002-FS13</v>
      </c>
      <c r="C38" t="str">
        <v>24051-FS200</v>
      </c>
    </row>
    <row r="39" spans="1:3" x14ac:dyDescent="0.25">
      <c r="A39" t="str">
        <v>26014-06-ST01</v>
      </c>
      <c r="C39" t="str">
        <v>24051-FS201</v>
      </c>
    </row>
    <row r="40" spans="1:3" x14ac:dyDescent="0.25">
      <c r="A40" t="str">
        <v>25061-FL01</v>
      </c>
      <c r="C40" t="str">
        <v>24051-FS205</v>
      </c>
    </row>
    <row r="41" spans="1:3" x14ac:dyDescent="0.25">
      <c r="A41" t="str">
        <v>25036-FL22</v>
      </c>
      <c r="C41" t="str">
        <v>24051-FS206</v>
      </c>
    </row>
    <row r="42" spans="1:3" x14ac:dyDescent="0.25">
      <c r="A42" t="str">
        <v>24074-FS07</v>
      </c>
      <c r="C42" t="str">
        <v>24051-FS212</v>
      </c>
    </row>
    <row r="43" spans="1:3" x14ac:dyDescent="0.25">
      <c r="A43" t="str">
        <v>26009-FS01</v>
      </c>
      <c r="C43" t="str">
        <v>24051-FS213</v>
      </c>
    </row>
    <row r="44" spans="1:3" x14ac:dyDescent="0.25">
      <c r="A44" t="str">
        <v>24046-RO06</v>
      </c>
      <c r="C44" t="str">
        <v>24051-FS215</v>
      </c>
    </row>
    <row r="45" spans="1:3" x14ac:dyDescent="0.25">
      <c r="A45" t="str">
        <v>24039-FL36</v>
      </c>
      <c r="C45" t="str">
        <v>24051-FS216</v>
      </c>
    </row>
    <row r="46" spans="1:3" x14ac:dyDescent="0.25">
      <c r="A46" t="str">
        <v>24039-FL37</v>
      </c>
      <c r="C46" t="str">
        <v>24051-FS217</v>
      </c>
    </row>
    <row r="47" spans="1:3" x14ac:dyDescent="0.25">
      <c r="A47" t="str">
        <v>24039-BM19</v>
      </c>
      <c r="C47" t="str">
        <v>24051-FS218</v>
      </c>
    </row>
    <row r="48" spans="1:3" x14ac:dyDescent="0.25">
      <c r="A48" t="str">
        <v>25022-BM06</v>
      </c>
      <c r="C48" t="str">
        <v>24051-FS219</v>
      </c>
    </row>
    <row r="49" spans="1:3" x14ac:dyDescent="0.25">
      <c r="A49" t="str">
        <v>25031-RO01</v>
      </c>
      <c r="C49" t="str">
        <v>24051-FS221</v>
      </c>
    </row>
    <row r="50" spans="1:3" x14ac:dyDescent="0.25">
      <c r="A50" t="str">
        <v>25031-FL08</v>
      </c>
      <c r="C50" t="str">
        <v>24051-FS223</v>
      </c>
    </row>
    <row r="51" spans="1:3" x14ac:dyDescent="0.25">
      <c r="A51" t="str">
        <v>25022-RM01</v>
      </c>
      <c r="C51" t="str">
        <v>24051-FS225</v>
      </c>
    </row>
    <row r="52" spans="1:3" x14ac:dyDescent="0.25">
      <c r="A52" t="str">
        <v>25022-RM02</v>
      </c>
      <c r="C52" t="str">
        <v>24051-FS226</v>
      </c>
    </row>
    <row r="53" spans="1:3" x14ac:dyDescent="0.25">
      <c r="A53" t="str">
        <v>25067-FL02</v>
      </c>
      <c r="C53" t="str">
        <v>24051-FS227</v>
      </c>
    </row>
    <row r="54" spans="1:3" x14ac:dyDescent="0.25">
      <c r="A54" t="str">
        <v>25059-RM05</v>
      </c>
      <c r="C54" t="str">
        <v>24051-FS228</v>
      </c>
    </row>
    <row r="55" spans="1:3" x14ac:dyDescent="0.25">
      <c r="A55" t="str">
        <v>25030-FS01</v>
      </c>
      <c r="C55" t="str">
        <v>24051-FS229</v>
      </c>
    </row>
    <row r="56" spans="1:3" x14ac:dyDescent="0.25">
      <c r="A56" t="str">
        <v>25030-FS02</v>
      </c>
      <c r="C56" t="str">
        <v>24051-FS230</v>
      </c>
    </row>
    <row r="57" spans="1:3" x14ac:dyDescent="0.25">
      <c r="A57" t="str">
        <v>24051-FS90</v>
      </c>
      <c r="C57" t="str">
        <v>24051-FS231</v>
      </c>
    </row>
    <row r="58" spans="1:3" x14ac:dyDescent="0.25">
      <c r="A58" t="str">
        <v>24051-FS91</v>
      </c>
      <c r="C58" t="str">
        <v>24051-FS25</v>
      </c>
    </row>
    <row r="59" spans="1:3" x14ac:dyDescent="0.25">
      <c r="A59" t="str">
        <v>24051-FS227</v>
      </c>
      <c r="C59" t="str">
        <v>24051-FS25.1 FM</v>
      </c>
    </row>
    <row r="60" spans="1:3" x14ac:dyDescent="0.25">
      <c r="A60" t="str">
        <v>24051-FL01</v>
      </c>
      <c r="C60" t="str">
        <v>24051-FS26</v>
      </c>
    </row>
    <row r="61" spans="1:3" x14ac:dyDescent="0.25">
      <c r="A61" t="str">
        <v>1040-30791-ST10</v>
      </c>
      <c r="C61" t="str">
        <v>24051-FS29</v>
      </c>
    </row>
    <row r="62" spans="1:3" x14ac:dyDescent="0.25">
      <c r="A62" t="str">
        <v>24079-RM01</v>
      </c>
      <c r="C62" t="str">
        <v>24051-FS30</v>
      </c>
    </row>
    <row r="63" spans="1:3" x14ac:dyDescent="0.25">
      <c r="A63" t="str">
        <v>24026-FS01</v>
      </c>
      <c r="C63" t="str">
        <v>24051-FS31</v>
      </c>
    </row>
    <row r="64" spans="1:3" x14ac:dyDescent="0.25">
      <c r="A64" t="str">
        <v>25022-RO03</v>
      </c>
      <c r="C64" t="str">
        <v>24051-FS32</v>
      </c>
    </row>
    <row r="65" spans="1:3" x14ac:dyDescent="0.25">
      <c r="A65" t="str">
        <v>24051-FS93</v>
      </c>
      <c r="C65" t="str">
        <v>24051-FS33</v>
      </c>
    </row>
    <row r="66" spans="1:3" x14ac:dyDescent="0.25">
      <c r="A66" t="str">
        <v>24051-FS94</v>
      </c>
      <c r="C66" t="str">
        <v>24051-FS33C</v>
      </c>
    </row>
    <row r="67" spans="1:3" x14ac:dyDescent="0.25">
      <c r="A67" t="str">
        <v>24051-FS95</v>
      </c>
      <c r="C67" t="str">
        <v>24051-FS34</v>
      </c>
    </row>
    <row r="68" spans="1:3" x14ac:dyDescent="0.25">
      <c r="A68" t="str">
        <v>24051-FS228</v>
      </c>
      <c r="C68" t="str">
        <v>24051-FS35</v>
      </c>
    </row>
    <row r="69" spans="1:3" x14ac:dyDescent="0.25">
      <c r="A69" t="str">
        <v>25002-BM07</v>
      </c>
      <c r="C69" t="str">
        <v>24051-FS36</v>
      </c>
    </row>
    <row r="70" spans="1:3" x14ac:dyDescent="0.25">
      <c r="A70" t="str">
        <v>25067-FS02</v>
      </c>
      <c r="C70" t="str">
        <v>24051-FS36.2</v>
      </c>
    </row>
    <row r="71" spans="1:3" x14ac:dyDescent="0.25">
      <c r="A71" t="str">
        <v>24051-FS92</v>
      </c>
      <c r="C71" t="str">
        <v>24051-FS37</v>
      </c>
    </row>
    <row r="72" spans="1:3" x14ac:dyDescent="0.25">
      <c r="A72" t="str">
        <v>24051-FS96</v>
      </c>
      <c r="C72" t="str">
        <v>24051-FS38</v>
      </c>
    </row>
    <row r="73" spans="1:3" x14ac:dyDescent="0.25">
      <c r="A73" t="str">
        <v>24051-FS229</v>
      </c>
      <c r="C73" t="str">
        <v>24051-FS39</v>
      </c>
    </row>
    <row r="74" spans="1:3" x14ac:dyDescent="0.25">
      <c r="A74" t="str">
        <v>24051-FS230</v>
      </c>
      <c r="C74" t="str">
        <v>24051-FS40</v>
      </c>
    </row>
    <row r="75" spans="1:3" x14ac:dyDescent="0.25">
      <c r="A75" t="str">
        <v>24051-FS231</v>
      </c>
      <c r="C75" t="str">
        <v>24051-FS41</v>
      </c>
    </row>
    <row r="76" spans="1:3" x14ac:dyDescent="0.25">
      <c r="A76" t="str">
        <v>25002-FS14</v>
      </c>
      <c r="C76" t="str">
        <v>24051-FS42</v>
      </c>
    </row>
    <row r="77" spans="1:3" x14ac:dyDescent="0.25">
      <c r="A77" t="str">
        <v>25006-FS03</v>
      </c>
      <c r="C77" t="str">
        <v>24051-FS42.1</v>
      </c>
    </row>
    <row r="78" spans="1:3" x14ac:dyDescent="0.25">
      <c r="A78" t="str">
        <v>25002-FS16</v>
      </c>
      <c r="C78" t="str">
        <v>24051-FS43</v>
      </c>
    </row>
    <row r="79" spans="1:3" x14ac:dyDescent="0.25">
      <c r="A79" t="str">
        <v>24074-FS08</v>
      </c>
      <c r="C79" t="str">
        <v>24051-FS43.1</v>
      </c>
    </row>
    <row r="80" spans="1:3" x14ac:dyDescent="0.25">
      <c r="A80" t="str">
        <v>25006-FS05</v>
      </c>
      <c r="C80" t="str">
        <v>24051-FS44</v>
      </c>
    </row>
    <row r="81" spans="1:3" x14ac:dyDescent="0.25">
      <c r="A81" t="str">
        <v>24079-FS103</v>
      </c>
      <c r="C81" t="str">
        <v>24051-FS45</v>
      </c>
    </row>
    <row r="82" spans="1:3" x14ac:dyDescent="0.25">
      <c r="A82" t="str">
        <v>25010-FS09</v>
      </c>
      <c r="C82" t="str">
        <v>24051-FS45C</v>
      </c>
    </row>
    <row r="83" spans="1:3" x14ac:dyDescent="0.25">
      <c r="A83" t="str">
        <v>25029-FS50</v>
      </c>
      <c r="C83" t="str">
        <v>24051-FS46</v>
      </c>
    </row>
    <row r="84" spans="1:3" x14ac:dyDescent="0.25">
      <c r="A84" t="str">
        <v>25002-FS15</v>
      </c>
      <c r="C84" t="str">
        <v>24051-FS46.1</v>
      </c>
    </row>
    <row r="85" spans="1:3" x14ac:dyDescent="0.25">
      <c r="A85" t="str">
        <v>24074-FS09</v>
      </c>
      <c r="C85" t="str">
        <v>24051-FS46C</v>
      </c>
    </row>
    <row r="86" spans="1:3" x14ac:dyDescent="0.25">
      <c r="A86" t="str">
        <v>24079-FL14</v>
      </c>
      <c r="C86" t="str">
        <v>24051-FS47C</v>
      </c>
    </row>
    <row r="87" spans="1:3" x14ac:dyDescent="0.25">
      <c r="A87" t="str">
        <v>25006-FS04</v>
      </c>
      <c r="C87" t="str">
        <v>24051-FS48</v>
      </c>
    </row>
    <row r="88" spans="1:3" x14ac:dyDescent="0.25">
      <c r="A88" t="str">
        <v>25029-ST52</v>
      </c>
      <c r="C88" t="str">
        <v>24051-FS49</v>
      </c>
    </row>
    <row r="89" spans="1:3" x14ac:dyDescent="0.25">
      <c r="A89" t="str">
        <v>25029-ST70</v>
      </c>
      <c r="C89" t="str">
        <v>24051-FS50</v>
      </c>
    </row>
    <row r="90" spans="1:3" x14ac:dyDescent="0.25">
      <c r="A90" t="str">
        <v>25029-ST71</v>
      </c>
      <c r="C90" t="str">
        <v>24051-FS50C</v>
      </c>
    </row>
    <row r="91" spans="1:3" x14ac:dyDescent="0.25">
      <c r="A91" t="str">
        <v>25029-ST72</v>
      </c>
      <c r="C91" t="str">
        <v>24051-FS51</v>
      </c>
    </row>
    <row r="92" spans="1:3" x14ac:dyDescent="0.25">
      <c r="A92" t="str">
        <v>25029-ST51</v>
      </c>
      <c r="C92" t="str">
        <v>24051-FS51C</v>
      </c>
    </row>
    <row r="93" spans="1:3" x14ac:dyDescent="0.25">
      <c r="A93" t="str">
        <v>24079-FS201</v>
      </c>
      <c r="C93" t="str">
        <v>24051-FS52</v>
      </c>
    </row>
    <row r="94" spans="1:3" x14ac:dyDescent="0.25">
      <c r="A94" t="str">
        <v>24079-FS302</v>
      </c>
      <c r="C94" t="str">
        <v>24051-FS52C</v>
      </c>
    </row>
    <row r="95" spans="1:3" x14ac:dyDescent="0.25">
      <c r="A95" t="str">
        <v>25008-FS07</v>
      </c>
      <c r="C95" t="str">
        <v>24051-FS53</v>
      </c>
    </row>
    <row r="96" spans="1:3" x14ac:dyDescent="0.25">
      <c r="A96" t="str">
        <v>24074-FS10</v>
      </c>
      <c r="C96" t="str">
        <v>24051-FS54</v>
      </c>
    </row>
    <row r="97" spans="1:3" x14ac:dyDescent="0.25">
      <c r="A97" t="str">
        <v>24073-FS01</v>
      </c>
      <c r="C97" t="str">
        <v>24051-FS55</v>
      </c>
    </row>
    <row r="98" spans="1:3" x14ac:dyDescent="0.25">
      <c r="A98" t="str">
        <v>25044-FS01</v>
      </c>
      <c r="C98" t="str">
        <v>24051-FS56</v>
      </c>
    </row>
    <row r="99" spans="1:3" x14ac:dyDescent="0.25">
      <c r="A99" t="str">
        <v>25044-FS01.1</v>
      </c>
      <c r="C99" t="str">
        <v>24051-FS56C</v>
      </c>
    </row>
    <row r="100" spans="1:3" x14ac:dyDescent="0.25">
      <c r="A100" t="str">
        <v>25065-MU01</v>
      </c>
      <c r="C100" t="str">
        <v>24051-FS57</v>
      </c>
    </row>
    <row r="101" spans="1:3" x14ac:dyDescent="0.25">
      <c r="A101" t="str">
        <v>25006-FS06</v>
      </c>
      <c r="C101" t="str">
        <v>24051-FS58</v>
      </c>
    </row>
    <row r="102" spans="1:3" x14ac:dyDescent="0.25">
      <c r="A102" t="str">
        <v>25037-FS01</v>
      </c>
      <c r="C102" t="str">
        <v>24051-FS59</v>
      </c>
    </row>
    <row r="103" spans="1:3" x14ac:dyDescent="0.25">
      <c r="A103" t="str">
        <v>24079-FS301</v>
      </c>
      <c r="C103" t="str">
        <v>24051-FS59C</v>
      </c>
    </row>
    <row r="104" spans="1:3" x14ac:dyDescent="0.25">
      <c r="A104" t="str">
        <v>24079-FS303</v>
      </c>
      <c r="C104" t="str">
        <v>24051-FS67</v>
      </c>
    </row>
    <row r="105" spans="1:3" x14ac:dyDescent="0.25">
      <c r="A105" t="str">
        <v>25041-FS02</v>
      </c>
      <c r="C105" t="str">
        <v>24051-FS72</v>
      </c>
    </row>
    <row r="106" spans="1:3" x14ac:dyDescent="0.25">
      <c r="A106" t="str">
        <v>25065-MU02</v>
      </c>
      <c r="C106" t="str">
        <v>24051-FS73</v>
      </c>
    </row>
    <row r="107" spans="1:3" x14ac:dyDescent="0.25">
      <c r="A107" t="str">
        <v>25065-MU03</v>
      </c>
      <c r="C107" t="str">
        <v>24051-FS74</v>
      </c>
    </row>
    <row r="108" spans="1:3" x14ac:dyDescent="0.25">
      <c r="A108" t="str">
        <v>25065-MU04</v>
      </c>
      <c r="C108" t="str">
        <v>24051-FS75</v>
      </c>
    </row>
    <row r="109" spans="1:3" x14ac:dyDescent="0.25">
      <c r="A109" t="str">
        <v>25065-MU05</v>
      </c>
      <c r="C109" t="str">
        <v>24051-FS76</v>
      </c>
    </row>
    <row r="110" spans="1:3" x14ac:dyDescent="0.25">
      <c r="A110" t="str">
        <v>25065-MU11</v>
      </c>
      <c r="C110" t="str">
        <v>24051-FS77</v>
      </c>
    </row>
    <row r="111" spans="1:3" x14ac:dyDescent="0.25">
      <c r="A111" t="str">
        <v>25065-MU12</v>
      </c>
      <c r="C111" t="str">
        <v>24051-FS78</v>
      </c>
    </row>
    <row r="112" spans="1:3" x14ac:dyDescent="0.25">
      <c r="A112" t="str">
        <v>25065-MU13</v>
      </c>
      <c r="C112" t="str">
        <v>24051-FS78.1</v>
      </c>
    </row>
    <row r="113" spans="1:3" x14ac:dyDescent="0.25">
      <c r="A113" t="str">
        <v>25065-MU14</v>
      </c>
      <c r="C113" t="str">
        <v>24051-FS78.2</v>
      </c>
    </row>
    <row r="114" spans="1:3" x14ac:dyDescent="0.25">
      <c r="A114" t="str">
        <v>25065-MU15</v>
      </c>
      <c r="C114" t="str">
        <v>24051-FS87</v>
      </c>
    </row>
    <row r="115" spans="1:3" x14ac:dyDescent="0.25">
      <c r="A115" t="str">
        <v>25065-MU20</v>
      </c>
      <c r="C115" t="str">
        <v>24051-FS89</v>
      </c>
    </row>
    <row r="116" spans="1:3" x14ac:dyDescent="0.25">
      <c r="A116" t="str">
        <v>25044-FS02</v>
      </c>
      <c r="C116" t="str">
        <v>24051-FS90</v>
      </c>
    </row>
    <row r="117" spans="1:3" x14ac:dyDescent="0.25">
      <c r="A117" t="str">
        <v>25006-FS07</v>
      </c>
      <c r="C117" t="str">
        <v>24051-FS91</v>
      </c>
    </row>
    <row r="118" spans="1:3" x14ac:dyDescent="0.25">
      <c r="A118" t="str">
        <v>25037-FS02</v>
      </c>
      <c r="C118" t="str">
        <v>24051-FS92</v>
      </c>
    </row>
    <row r="119" spans="1:3" x14ac:dyDescent="0.25">
      <c r="A119" t="str">
        <v>25044-FS03</v>
      </c>
      <c r="C119" t="str">
        <v>24051-FS93</v>
      </c>
    </row>
    <row r="120" spans="1:3" x14ac:dyDescent="0.25">
      <c r="A120" t="str">
        <v>25006-FS08</v>
      </c>
      <c r="C120" t="str">
        <v>24051-FS94</v>
      </c>
    </row>
    <row r="121" spans="1:3" x14ac:dyDescent="0.25">
      <c r="A121" t="str">
        <v>25012-FS02</v>
      </c>
      <c r="C121" t="str">
        <v>24051-FS95</v>
      </c>
    </row>
    <row r="122" spans="1:3" x14ac:dyDescent="0.25">
      <c r="A122" t="str">
        <v>25044-FS04</v>
      </c>
      <c r="C122" t="str">
        <v>24051-FS96</v>
      </c>
    </row>
    <row r="123" spans="1:3" x14ac:dyDescent="0.25">
      <c r="A123" t="str">
        <v>25006-FS09</v>
      </c>
      <c r="C123" t="str">
        <v>24051-RP11</v>
      </c>
    </row>
    <row r="124" spans="1:3" x14ac:dyDescent="0.25">
      <c r="A124" t="str">
        <v>25044-FS05</v>
      </c>
      <c r="C124" t="str">
        <v>24051-RP16</v>
      </c>
    </row>
    <row r="125" spans="1:3" x14ac:dyDescent="0.25">
      <c r="A125" t="str">
        <v>25006-FS10</v>
      </c>
      <c r="C125" t="str">
        <v>24051-RP20</v>
      </c>
    </row>
    <row r="126" spans="1:3" x14ac:dyDescent="0.25">
      <c r="A126" t="str">
        <v>25044-FS06</v>
      </c>
      <c r="C126" t="str">
        <v>24051-RP58</v>
      </c>
    </row>
    <row r="127" spans="1:3" x14ac:dyDescent="0.25">
      <c r="A127" t="str">
        <v>25044-FS07</v>
      </c>
      <c r="C127" t="str">
        <v>24057-BM10</v>
      </c>
    </row>
    <row r="128" spans="1:3" x14ac:dyDescent="0.25">
      <c r="A128" t="str">
        <v>25006-FS11</v>
      </c>
      <c r="C128" t="str">
        <v>24057-FL10</v>
      </c>
    </row>
    <row r="129" spans="1:3" x14ac:dyDescent="0.25">
      <c r="A129" t="str">
        <v>25044-FS08</v>
      </c>
      <c r="C129" t="str">
        <v>24060-BM01</v>
      </c>
    </row>
    <row r="130" spans="1:3" x14ac:dyDescent="0.25">
      <c r="A130" t="str">
        <v>25006-FS12</v>
      </c>
      <c r="C130" t="str">
        <v>24071-FS10.R</v>
      </c>
    </row>
    <row r="131" spans="1:3" x14ac:dyDescent="0.25">
      <c r="A131" t="str">
        <v>25044-FS09</v>
      </c>
      <c r="C131" t="str">
        <v>24071-RP15</v>
      </c>
    </row>
    <row r="132" spans="1:3" x14ac:dyDescent="0.25">
      <c r="A132" t="str">
        <v>25044-FS01.2</v>
      </c>
      <c r="C132" t="str">
        <v>24073-FS01</v>
      </c>
    </row>
    <row r="133" spans="1:3" x14ac:dyDescent="0.25">
      <c r="A133" t="str">
        <v>25006-FS13</v>
      </c>
      <c r="C133" t="str">
        <v>24074-FS07</v>
      </c>
    </row>
    <row r="134" spans="1:3" x14ac:dyDescent="0.25">
      <c r="A134" t="str">
        <v>25044-FS10</v>
      </c>
      <c r="C134" t="str">
        <v>24074-FS08</v>
      </c>
    </row>
    <row r="135" spans="1:3" x14ac:dyDescent="0.25">
      <c r="A135" t="str">
        <v>25044-FS11</v>
      </c>
      <c r="C135" t="str">
        <v>24074-FS09</v>
      </c>
    </row>
    <row r="136" spans="1:3" x14ac:dyDescent="0.25">
      <c r="A136" t="str">
        <v>25075-RP01</v>
      </c>
      <c r="C136" t="str">
        <v>24074-FS10</v>
      </c>
    </row>
    <row r="137" spans="1:3" x14ac:dyDescent="0.25">
      <c r="A137" t="str">
        <v>24051-RP58</v>
      </c>
      <c r="C137" t="str">
        <v>24079-BM01B</v>
      </c>
    </row>
    <row r="138" spans="1:3" x14ac:dyDescent="0.25">
      <c r="A138" t="str">
        <v>24071-RP15</v>
      </c>
      <c r="C138" t="str">
        <v>24079-BM04C</v>
      </c>
    </row>
    <row r="139" spans="1:3" x14ac:dyDescent="0.25">
      <c r="A139" t="str">
        <v>24060-BM01</v>
      </c>
      <c r="C139" t="str">
        <v>24079-BM04D</v>
      </c>
    </row>
    <row r="140" spans="1:3" x14ac:dyDescent="0.25">
      <c r="A140" t="str">
        <v>24001-BM14</v>
      </c>
      <c r="C140" t="str">
        <v>24079-FL07</v>
      </c>
    </row>
    <row r="141" spans="1:3" x14ac:dyDescent="0.25">
      <c r="A141" t="str">
        <v>24051-FS01</v>
      </c>
      <c r="C141" t="str">
        <v>24079-FL08</v>
      </c>
    </row>
    <row r="142" spans="1:3" x14ac:dyDescent="0.25">
      <c r="A142" t="str">
        <v>24051-FS02</v>
      </c>
      <c r="C142" t="str">
        <v>24079-FL09</v>
      </c>
    </row>
    <row r="143" spans="1:3" x14ac:dyDescent="0.25">
      <c r="A143" t="str">
        <v>24051-FS03</v>
      </c>
      <c r="C143" t="str">
        <v>24079-FL14</v>
      </c>
    </row>
    <row r="144" spans="1:3" x14ac:dyDescent="0.25">
      <c r="A144" t="str">
        <v>24051-FS04</v>
      </c>
      <c r="C144" t="str">
        <v>24079-FS03</v>
      </c>
    </row>
    <row r="145" spans="1:3" x14ac:dyDescent="0.25">
      <c r="A145" t="str">
        <v>24051-FS05</v>
      </c>
      <c r="C145" t="str">
        <v>24079-FS04</v>
      </c>
    </row>
    <row r="146" spans="1:3" x14ac:dyDescent="0.25">
      <c r="A146" t="str">
        <v>24051-FS06</v>
      </c>
      <c r="C146" t="str">
        <v>24079-FS102</v>
      </c>
    </row>
    <row r="147" spans="1:3" x14ac:dyDescent="0.25">
      <c r="A147" t="str">
        <v>24051-FS10</v>
      </c>
      <c r="C147" t="str">
        <v>24079-FS102.1</v>
      </c>
    </row>
    <row r="148" spans="1:3" x14ac:dyDescent="0.25">
      <c r="A148" t="str">
        <v>24051-FS11</v>
      </c>
      <c r="C148" t="str">
        <v>24079-FS103</v>
      </c>
    </row>
    <row r="149" spans="1:3" x14ac:dyDescent="0.25">
      <c r="A149" t="str">
        <v>24051-FS12</v>
      </c>
      <c r="C149" t="str">
        <v>24079-FS201</v>
      </c>
    </row>
    <row r="150" spans="1:3" x14ac:dyDescent="0.25">
      <c r="A150" t="str">
        <v>24051-FS13</v>
      </c>
      <c r="C150" t="str">
        <v>24079-FS301</v>
      </c>
    </row>
    <row r="151" spans="1:3" x14ac:dyDescent="0.25">
      <c r="A151" t="str">
        <v>24051-FS14</v>
      </c>
      <c r="C151" t="str">
        <v>24079-FS302</v>
      </c>
    </row>
    <row r="152" spans="1:3" x14ac:dyDescent="0.25">
      <c r="A152" t="str">
        <v>24051-FS15</v>
      </c>
      <c r="C152" t="str">
        <v>24079-FS303</v>
      </c>
    </row>
    <row r="153" spans="1:3" x14ac:dyDescent="0.25">
      <c r="A153" t="str">
        <v>24051-FS25</v>
      </c>
      <c r="C153" t="str">
        <v>24079-RM01</v>
      </c>
    </row>
    <row r="154" spans="1:3" x14ac:dyDescent="0.25">
      <c r="A154" t="str">
        <v>24051-FS26</v>
      </c>
      <c r="C154" t="str">
        <v>24081-FL01</v>
      </c>
    </row>
    <row r="155" spans="1:3" x14ac:dyDescent="0.25">
      <c r="A155" t="str">
        <v>24051-FS212</v>
      </c>
      <c r="C155" t="str">
        <v>24081-FS01</v>
      </c>
    </row>
    <row r="156" spans="1:3" x14ac:dyDescent="0.25">
      <c r="A156" t="str">
        <v>24051-FS29</v>
      </c>
      <c r="C156" t="str">
        <v>24081-FS02</v>
      </c>
    </row>
    <row r="157" spans="1:3" x14ac:dyDescent="0.25">
      <c r="A157" t="str">
        <v>24051-FS30</v>
      </c>
      <c r="C157" t="str">
        <v>24081-FS03</v>
      </c>
    </row>
    <row r="158" spans="1:3" x14ac:dyDescent="0.25">
      <c r="A158" t="str">
        <v>24051-FS31</v>
      </c>
      <c r="C158" t="str">
        <v>24081-FS04</v>
      </c>
    </row>
    <row r="159" spans="1:3" x14ac:dyDescent="0.25">
      <c r="A159" t="str">
        <v>24051-FS32</v>
      </c>
      <c r="C159" t="str">
        <v>24081-FS05</v>
      </c>
    </row>
    <row r="160" spans="1:3" x14ac:dyDescent="0.25">
      <c r="A160" t="str">
        <v>24082-FL03</v>
      </c>
      <c r="C160" t="str">
        <v>24082-FL03</v>
      </c>
    </row>
    <row r="161" spans="1:3" x14ac:dyDescent="0.25">
      <c r="A161" t="str">
        <v>24051-FS33</v>
      </c>
      <c r="C161" t="str">
        <v>25002-BM07</v>
      </c>
    </row>
    <row r="162" spans="1:3" x14ac:dyDescent="0.25">
      <c r="A162" t="str">
        <v>24051-BM01</v>
      </c>
      <c r="C162" t="str">
        <v>25002-FS11.1</v>
      </c>
    </row>
    <row r="163" spans="1:3" x14ac:dyDescent="0.25">
      <c r="A163" t="str">
        <v>24051-FS200</v>
      </c>
      <c r="C163" t="str">
        <v>25002-FS13</v>
      </c>
    </row>
    <row r="164" spans="1:3" x14ac:dyDescent="0.25">
      <c r="A164" t="str">
        <v>24051-FS34</v>
      </c>
      <c r="C164" t="str">
        <v>25002-FS14</v>
      </c>
    </row>
    <row r="165" spans="1:3" x14ac:dyDescent="0.25">
      <c r="A165" t="str">
        <v>24051-FS35</v>
      </c>
      <c r="C165" t="str">
        <v>25002-FS15</v>
      </c>
    </row>
    <row r="166" spans="1:3" x14ac:dyDescent="0.25">
      <c r="A166" t="str">
        <v>24051-FS206</v>
      </c>
      <c r="C166" t="str">
        <v>25002-FS16</v>
      </c>
    </row>
    <row r="167" spans="1:3" x14ac:dyDescent="0.25">
      <c r="A167" t="str">
        <v>25016-MU101</v>
      </c>
      <c r="C167" t="str">
        <v>25005-ST02</v>
      </c>
    </row>
    <row r="168" spans="1:3" x14ac:dyDescent="0.25">
      <c r="A168" t="str">
        <v>25016-MU103</v>
      </c>
      <c r="C168" t="str">
        <v>25006-FS03</v>
      </c>
    </row>
    <row r="169" spans="1:3" x14ac:dyDescent="0.25">
      <c r="A169" t="str">
        <v>25016-MU121</v>
      </c>
      <c r="C169" t="str">
        <v>25006-FS04</v>
      </c>
    </row>
    <row r="170" spans="1:3" x14ac:dyDescent="0.25">
      <c r="A170" t="str">
        <v>25016-MU122</v>
      </c>
      <c r="C170" t="str">
        <v>25006-FS05</v>
      </c>
    </row>
    <row r="171" spans="1:3" x14ac:dyDescent="0.25">
      <c r="A171" t="str">
        <v>25016-MU123</v>
      </c>
      <c r="C171" t="str">
        <v>25006-FS06</v>
      </c>
    </row>
    <row r="172" spans="1:3" x14ac:dyDescent="0.25">
      <c r="A172" t="str">
        <v>24051-FS01C</v>
      </c>
      <c r="C172" t="str">
        <v>25006-FS07</v>
      </c>
    </row>
    <row r="173" spans="1:3" x14ac:dyDescent="0.25">
      <c r="A173" t="str">
        <v>24051-FS10C</v>
      </c>
      <c r="C173" t="str">
        <v>25006-FS08</v>
      </c>
    </row>
    <row r="174" spans="1:3" x14ac:dyDescent="0.25">
      <c r="A174" t="str">
        <v>24051-FS33C</v>
      </c>
      <c r="C174" t="str">
        <v>25006-FS09</v>
      </c>
    </row>
    <row r="175" spans="1:3" x14ac:dyDescent="0.25">
      <c r="A175" t="str">
        <v>24051-FS37</v>
      </c>
      <c r="C175" t="str">
        <v>25006-FS10</v>
      </c>
    </row>
    <row r="176" spans="1:3" x14ac:dyDescent="0.25">
      <c r="A176" t="str">
        <v>24051-FS38</v>
      </c>
      <c r="C176" t="str">
        <v>25006-FS11</v>
      </c>
    </row>
    <row r="177" spans="1:3" x14ac:dyDescent="0.25">
      <c r="A177" t="str">
        <v>24051-FS39</v>
      </c>
      <c r="C177" t="str">
        <v>25006-FS12</v>
      </c>
    </row>
    <row r="178" spans="1:3" x14ac:dyDescent="0.25">
      <c r="A178" t="str">
        <v>24051-FS40</v>
      </c>
      <c r="C178" t="str">
        <v>25006-FS13</v>
      </c>
    </row>
    <row r="179" spans="1:3" x14ac:dyDescent="0.25">
      <c r="A179" t="str">
        <v>24020-FL07</v>
      </c>
      <c r="C179" t="str">
        <v>25007-BM03</v>
      </c>
    </row>
    <row r="180" spans="1:3" x14ac:dyDescent="0.25">
      <c r="A180" t="str">
        <v>24051-FS41</v>
      </c>
      <c r="C180" t="str">
        <v>25008-FS05</v>
      </c>
    </row>
    <row r="181" spans="1:3" x14ac:dyDescent="0.25">
      <c r="A181" t="str">
        <v>25028-FS01</v>
      </c>
      <c r="C181" t="str">
        <v>25008-FS07</v>
      </c>
    </row>
    <row r="182" spans="1:3" x14ac:dyDescent="0.25">
      <c r="A182" t="str">
        <v>24051-FS36</v>
      </c>
      <c r="C182" t="str">
        <v>25010-FS09</v>
      </c>
    </row>
    <row r="183" spans="1:3" x14ac:dyDescent="0.25">
      <c r="A183" t="str">
        <v>24051-FS215</v>
      </c>
      <c r="C183" t="str">
        <v>25010-RO06</v>
      </c>
    </row>
    <row r="184" spans="1:3" x14ac:dyDescent="0.25">
      <c r="A184" t="str">
        <v>24051-FS43</v>
      </c>
      <c r="C184" t="str">
        <v>25010-RO07</v>
      </c>
    </row>
    <row r="185" spans="1:3" x14ac:dyDescent="0.25">
      <c r="A185" t="str">
        <v>24057-BM10</v>
      </c>
      <c r="C185" t="str">
        <v>25012-FS02</v>
      </c>
    </row>
    <row r="186" spans="1:3" x14ac:dyDescent="0.25">
      <c r="A186" t="str">
        <v>24057-FL10</v>
      </c>
      <c r="C186" t="str">
        <v>25012-MU07</v>
      </c>
    </row>
    <row r="187" spans="1:3" x14ac:dyDescent="0.25">
      <c r="A187" t="str">
        <v>25028-FL02</v>
      </c>
      <c r="C187" t="str">
        <v>25014-11-ST01</v>
      </c>
    </row>
    <row r="188" spans="1:3" x14ac:dyDescent="0.25">
      <c r="A188" t="str">
        <v>24051-FS42</v>
      </c>
      <c r="C188" t="str">
        <v>25014-11-ST02</v>
      </c>
    </row>
    <row r="189" spans="1:3" x14ac:dyDescent="0.25">
      <c r="A189" t="str">
        <v>24051-RP11</v>
      </c>
      <c r="C189" t="str">
        <v>25016-BM201</v>
      </c>
    </row>
    <row r="190" spans="1:3" x14ac:dyDescent="0.25">
      <c r="A190" t="str">
        <v>24051-FS44</v>
      </c>
      <c r="C190" t="str">
        <v>25016-FL200</v>
      </c>
    </row>
    <row r="191" spans="1:3" x14ac:dyDescent="0.25">
      <c r="A191" t="str">
        <v>24051-RP16</v>
      </c>
      <c r="C191" t="str">
        <v>25016-MU101</v>
      </c>
    </row>
    <row r="192" spans="1:3" x14ac:dyDescent="0.25">
      <c r="A192" t="str">
        <v>24048-RM02</v>
      </c>
      <c r="C192" t="str">
        <v>25016-MU103</v>
      </c>
    </row>
    <row r="193" spans="1:3" x14ac:dyDescent="0.25">
      <c r="A193" t="str">
        <v>25016-BM201</v>
      </c>
      <c r="C193" t="str">
        <v>25016-MU121</v>
      </c>
    </row>
    <row r="194" spans="1:3" x14ac:dyDescent="0.25">
      <c r="A194" t="str">
        <v>25016-FL200</v>
      </c>
      <c r="C194" t="str">
        <v>25016-MU122</v>
      </c>
    </row>
    <row r="195" spans="1:3" x14ac:dyDescent="0.25">
      <c r="A195" t="str">
        <v>24046-FL12</v>
      </c>
      <c r="C195" t="str">
        <v>25016-MU123</v>
      </c>
    </row>
    <row r="196" spans="1:3" x14ac:dyDescent="0.25">
      <c r="A196" t="str">
        <v>24046-FL13</v>
      </c>
      <c r="C196" t="str">
        <v>25017-FL99</v>
      </c>
    </row>
    <row r="197" spans="1:3" x14ac:dyDescent="0.25">
      <c r="A197" t="str">
        <v>24051-RP20</v>
      </c>
      <c r="C197" t="str">
        <v>25017-RO02</v>
      </c>
    </row>
    <row r="198" spans="1:3" x14ac:dyDescent="0.25">
      <c r="A198" t="str">
        <v>24051-FS45C</v>
      </c>
      <c r="C198" t="str">
        <v>25017-ST02</v>
      </c>
    </row>
    <row r="199" spans="1:3" x14ac:dyDescent="0.25">
      <c r="A199" t="str">
        <v>24051-FS201</v>
      </c>
      <c r="C199" t="str">
        <v>25022-BM06</v>
      </c>
    </row>
    <row r="200" spans="1:3" x14ac:dyDescent="0.25">
      <c r="A200" t="str">
        <v>24051-FS205</v>
      </c>
      <c r="C200" t="str">
        <v>25022-RM01</v>
      </c>
    </row>
    <row r="201" spans="1:3" x14ac:dyDescent="0.25">
      <c r="A201" t="str">
        <v>24051-FS213</v>
      </c>
      <c r="C201" t="str">
        <v>25022-RM02</v>
      </c>
    </row>
    <row r="202" spans="1:3" x14ac:dyDescent="0.25">
      <c r="A202" t="str">
        <v>24051-FS216</v>
      </c>
      <c r="C202" t="str">
        <v>25022-RO03</v>
      </c>
    </row>
    <row r="203" spans="1:3" x14ac:dyDescent="0.25">
      <c r="A203" t="str">
        <v>24051-FS45</v>
      </c>
      <c r="C203" t="str">
        <v>25028-FL02</v>
      </c>
    </row>
    <row r="204" spans="1:3" x14ac:dyDescent="0.25">
      <c r="A204" t="str">
        <v>24051-FS219</v>
      </c>
      <c r="C204" t="str">
        <v>25028-FS01</v>
      </c>
    </row>
    <row r="205" spans="1:3" x14ac:dyDescent="0.25">
      <c r="A205" t="str">
        <v>24051-FS217</v>
      </c>
      <c r="C205" t="str">
        <v>25029-FL97</v>
      </c>
    </row>
    <row r="206" spans="1:3" x14ac:dyDescent="0.25">
      <c r="A206" t="str">
        <v>24051-FS218</v>
      </c>
      <c r="C206" t="str">
        <v>25029-FS50</v>
      </c>
    </row>
    <row r="207" spans="1:3" x14ac:dyDescent="0.25">
      <c r="A207" t="str">
        <v>25014-11-ST01</v>
      </c>
      <c r="C207" t="str">
        <v>25029-MU02</v>
      </c>
    </row>
    <row r="208" spans="1:3" x14ac:dyDescent="0.25">
      <c r="A208" t="str">
        <v>25014-11-ST02</v>
      </c>
      <c r="C208" t="str">
        <v>25029-MU03</v>
      </c>
    </row>
    <row r="209" spans="1:3" x14ac:dyDescent="0.25">
      <c r="A209" t="str">
        <v>24051-FS46C</v>
      </c>
      <c r="C209" t="str">
        <v>25029-MU10</v>
      </c>
    </row>
    <row r="210" spans="1:3" x14ac:dyDescent="0.25">
      <c r="A210" t="str">
        <v>24051-FS46</v>
      </c>
      <c r="C210" t="str">
        <v>25029-ST51</v>
      </c>
    </row>
    <row r="211" spans="1:3" x14ac:dyDescent="0.25">
      <c r="A211" t="str">
        <v>24051-FS47C</v>
      </c>
      <c r="C211" t="str">
        <v>25029-ST52</v>
      </c>
    </row>
    <row r="212" spans="1:3" x14ac:dyDescent="0.25">
      <c r="A212" t="str">
        <v>24051-FS48</v>
      </c>
      <c r="C212" t="str">
        <v>25029-ST70</v>
      </c>
    </row>
    <row r="213" spans="1:3" x14ac:dyDescent="0.25">
      <c r="A213" t="str">
        <v>24051-FS49</v>
      </c>
      <c r="C213" t="str">
        <v>25029-ST71</v>
      </c>
    </row>
    <row r="214" spans="1:3" x14ac:dyDescent="0.25">
      <c r="A214" t="str">
        <v>24051-FS50</v>
      </c>
      <c r="C214" t="str">
        <v>25029-ST72</v>
      </c>
    </row>
    <row r="215" spans="1:3" x14ac:dyDescent="0.25">
      <c r="A215" t="str">
        <v>24051-FS50C</v>
      </c>
      <c r="C215" t="str">
        <v>25029-ST73</v>
      </c>
    </row>
    <row r="216" spans="1:3" x14ac:dyDescent="0.25">
      <c r="A216" t="str">
        <v>25029-FL97</v>
      </c>
      <c r="C216" t="str">
        <v>25030-FS01</v>
      </c>
    </row>
    <row r="217" spans="1:3" x14ac:dyDescent="0.25">
      <c r="A217" t="str">
        <v>25040-FL01</v>
      </c>
      <c r="C217" t="str">
        <v>25030-FS02</v>
      </c>
    </row>
    <row r="218" spans="1:3" x14ac:dyDescent="0.25">
      <c r="A218" t="str">
        <v>24051-FS59</v>
      </c>
      <c r="C218" t="str">
        <v>25031-FL08</v>
      </c>
    </row>
    <row r="219" spans="1:3" x14ac:dyDescent="0.25">
      <c r="A219" t="str">
        <v>25007-BM03</v>
      </c>
      <c r="C219" t="str">
        <v>25031-RO01</v>
      </c>
    </row>
    <row r="220" spans="1:3" x14ac:dyDescent="0.25">
      <c r="A220" t="str">
        <v>25052-BM01</v>
      </c>
      <c r="C220" t="str">
        <v>25032-FL01</v>
      </c>
    </row>
    <row r="221" spans="1:3" x14ac:dyDescent="0.25">
      <c r="A221" t="str">
        <v>24051-FS51C</v>
      </c>
      <c r="C221" t="str">
        <v>25035-FS04</v>
      </c>
    </row>
    <row r="222" spans="1:3" x14ac:dyDescent="0.25">
      <c r="A222" t="str">
        <v>24051-FS51</v>
      </c>
      <c r="C222" t="str">
        <v>25036-FL22</v>
      </c>
    </row>
    <row r="223" spans="1:3" x14ac:dyDescent="0.25">
      <c r="A223" t="str">
        <v>24051-FS52C</v>
      </c>
      <c r="C223" t="str">
        <v>25037-FS01</v>
      </c>
    </row>
    <row r="224" spans="1:3" x14ac:dyDescent="0.25">
      <c r="A224" t="str">
        <v>24051-FS52</v>
      </c>
      <c r="C224" t="str">
        <v>25037-FS02</v>
      </c>
    </row>
    <row r="225" spans="1:3" x14ac:dyDescent="0.25">
      <c r="A225" t="str">
        <v>25017-FL99</v>
      </c>
      <c r="C225" t="str">
        <v>25040-FL01</v>
      </c>
    </row>
    <row r="226" spans="1:3" x14ac:dyDescent="0.25">
      <c r="A226" t="str">
        <v>25052-FL01</v>
      </c>
      <c r="C226" t="str">
        <v>25041-FS02</v>
      </c>
    </row>
    <row r="227" spans="1:3" x14ac:dyDescent="0.25">
      <c r="A227" t="str">
        <v>23028-FS99</v>
      </c>
      <c r="C227" t="str">
        <v>25044-FS01</v>
      </c>
    </row>
    <row r="228" spans="1:3" x14ac:dyDescent="0.25">
      <c r="A228" t="str">
        <v>24051-FS67</v>
      </c>
      <c r="C228" t="str">
        <v>25044-FS01.1</v>
      </c>
    </row>
    <row r="229" spans="1:3" x14ac:dyDescent="0.25">
      <c r="A229" t="str">
        <v>25017-ST02</v>
      </c>
      <c r="C229" t="str">
        <v>25044-FS01.2</v>
      </c>
    </row>
    <row r="230" spans="1:3" x14ac:dyDescent="0.25">
      <c r="A230" t="str">
        <v>24051-FS54</v>
      </c>
      <c r="C230" t="str">
        <v>25044-FS02</v>
      </c>
    </row>
    <row r="231" spans="1:3" x14ac:dyDescent="0.25">
      <c r="A231" t="str">
        <v>24051-FS53</v>
      </c>
      <c r="C231" t="str">
        <v>25044-FS03</v>
      </c>
    </row>
    <row r="232" spans="1:3" x14ac:dyDescent="0.25">
      <c r="A232" t="str">
        <v>24019-RO07</v>
      </c>
      <c r="C232" t="str">
        <v>25044-FS04</v>
      </c>
    </row>
    <row r="233" spans="1:3" x14ac:dyDescent="0.25">
      <c r="A233" t="str">
        <v>26014-02-ST01</v>
      </c>
      <c r="C233" t="str">
        <v>25044-FS05</v>
      </c>
    </row>
    <row r="234" spans="1:3" x14ac:dyDescent="0.25">
      <c r="A234" t="str">
        <v>24051-FS55</v>
      </c>
      <c r="C234" t="str">
        <v>25044-FS06</v>
      </c>
    </row>
    <row r="235" spans="1:3" x14ac:dyDescent="0.25">
      <c r="A235" t="str">
        <v>24071-FS10.R</v>
      </c>
      <c r="C235" t="str">
        <v>25044-FS07</v>
      </c>
    </row>
    <row r="236" spans="1:3" x14ac:dyDescent="0.25">
      <c r="A236" t="str">
        <v>24051-FS56</v>
      </c>
      <c r="C236" t="str">
        <v>25044-FS08</v>
      </c>
    </row>
    <row r="237" spans="1:3" x14ac:dyDescent="0.25">
      <c r="A237" t="str">
        <v>24030-FL02</v>
      </c>
      <c r="C237" t="str">
        <v>25044-FS09</v>
      </c>
    </row>
    <row r="238" spans="1:3" x14ac:dyDescent="0.25">
      <c r="A238" t="str">
        <v>24051-FS46.1</v>
      </c>
      <c r="C238" t="str">
        <v>25044-FS10</v>
      </c>
    </row>
    <row r="239" spans="1:3" x14ac:dyDescent="0.25">
      <c r="A239" t="str">
        <v>24051-FS72</v>
      </c>
      <c r="C239" t="str">
        <v>25044-FS11</v>
      </c>
    </row>
    <row r="240" spans="1:3" x14ac:dyDescent="0.25">
      <c r="A240" t="str">
        <v>24051-FS73</v>
      </c>
      <c r="C240" t="str">
        <v>25052-BM01</v>
      </c>
    </row>
    <row r="241" spans="1:3" x14ac:dyDescent="0.25">
      <c r="A241" t="str">
        <v>24051-FS56C</v>
      </c>
      <c r="C241" t="str">
        <v>25052-FL01</v>
      </c>
    </row>
    <row r="242" spans="1:3" x14ac:dyDescent="0.25">
      <c r="A242" t="str">
        <v>24051-FS74</v>
      </c>
      <c r="C242" t="str">
        <v>25059-RM05</v>
      </c>
    </row>
    <row r="243" spans="1:3" x14ac:dyDescent="0.25">
      <c r="A243" t="str">
        <v>24051-FS25.1 FM</v>
      </c>
      <c r="C243" t="str">
        <v>25061-FL01</v>
      </c>
    </row>
    <row r="244" spans="1:3" x14ac:dyDescent="0.25">
      <c r="A244" t="str">
        <v>24051-BM02</v>
      </c>
      <c r="C244" t="str">
        <v>25065-MU01</v>
      </c>
    </row>
    <row r="245" spans="1:3" x14ac:dyDescent="0.25">
      <c r="A245" t="str">
        <v>24051-FS221</v>
      </c>
      <c r="C245" t="str">
        <v>25065-MU02</v>
      </c>
    </row>
    <row r="246" spans="1:3" x14ac:dyDescent="0.25">
      <c r="A246" t="str">
        <v>24051-FS43.1</v>
      </c>
      <c r="C246" t="str">
        <v>25065-MU03</v>
      </c>
    </row>
    <row r="247" spans="1:3" x14ac:dyDescent="0.25">
      <c r="A247" t="str">
        <v>24051-FS16C</v>
      </c>
      <c r="C247" t="str">
        <v>25065-MU04</v>
      </c>
    </row>
    <row r="248" spans="1:3" x14ac:dyDescent="0.25">
      <c r="A248" t="str">
        <v>24051-FS76</v>
      </c>
      <c r="C248" t="str">
        <v>25065-MU05</v>
      </c>
    </row>
    <row r="249" spans="1:3" x14ac:dyDescent="0.25">
      <c r="A249" t="str">
        <v>24051-FS77</v>
      </c>
      <c r="C249" t="str">
        <v>25065-MU11</v>
      </c>
    </row>
    <row r="250" spans="1:3" x14ac:dyDescent="0.25">
      <c r="A250" t="str">
        <v>24039-FS14</v>
      </c>
      <c r="C250" t="str">
        <v>25065-MU12</v>
      </c>
    </row>
    <row r="251" spans="1:3" x14ac:dyDescent="0.25">
      <c r="A251" t="str">
        <v>24051-FS58</v>
      </c>
      <c r="C251" t="str">
        <v>25065-MU13</v>
      </c>
    </row>
    <row r="252" spans="1:3" x14ac:dyDescent="0.25">
      <c r="A252" t="str">
        <v>24051-FS57</v>
      </c>
      <c r="C252" t="str">
        <v>25065-MU14</v>
      </c>
    </row>
    <row r="253" spans="1:3" x14ac:dyDescent="0.25">
      <c r="A253" t="str">
        <v>24039-FS15</v>
      </c>
      <c r="C253" t="str">
        <v>25065-MU15</v>
      </c>
    </row>
    <row r="254" spans="1:3" x14ac:dyDescent="0.25">
      <c r="A254" t="str">
        <v>24051-FS42.1</v>
      </c>
      <c r="C254" t="str">
        <v>25065-MU20</v>
      </c>
    </row>
    <row r="255" spans="1:3" x14ac:dyDescent="0.25">
      <c r="A255" t="str">
        <v>24051-FS75</v>
      </c>
      <c r="C255" t="str">
        <v>25067-FL02</v>
      </c>
    </row>
    <row r="256" spans="1:3" x14ac:dyDescent="0.25">
      <c r="A256" t="str">
        <v>24051-FS78</v>
      </c>
      <c r="C256" t="str">
        <v>25067-FS02</v>
      </c>
    </row>
    <row r="257" spans="1:3" x14ac:dyDescent="0.25">
      <c r="A257" t="str">
        <v>24051-FS78.1</v>
      </c>
      <c r="C257" t="str">
        <v>25075-RP01</v>
      </c>
    </row>
    <row r="258" spans="1:3" x14ac:dyDescent="0.25">
      <c r="A258" t="str">
        <v>24051-FS59C</v>
      </c>
      <c r="C258" t="str">
        <v>26009-FS01</v>
      </c>
    </row>
    <row r="259" spans="1:3" x14ac:dyDescent="0.25">
      <c r="A259" t="str">
        <v>24026-BM01</v>
      </c>
      <c r="C259" t="str">
        <v>26011-ST01</v>
      </c>
    </row>
    <row r="260" spans="1:3" x14ac:dyDescent="0.25">
      <c r="A260" t="str">
        <v>25008-FS05</v>
      </c>
      <c r="C260" t="str">
        <v>26011-ST1.1</v>
      </c>
    </row>
    <row r="261" spans="1:3" x14ac:dyDescent="0.25">
      <c r="A261" t="str">
        <v>24079-FL07</v>
      </c>
      <c r="C261" t="str">
        <v>26014-02-ST01</v>
      </c>
    </row>
    <row r="262" spans="1:3" x14ac:dyDescent="0.25">
      <c r="A262" t="str">
        <v>24079-FL08</v>
      </c>
      <c r="C262" t="str">
        <v>26014-03-ST01</v>
      </c>
    </row>
    <row r="263" spans="1:3" x14ac:dyDescent="0.25">
      <c r="A263" t="str">
        <v>24079-FL09</v>
      </c>
      <c r="C263" t="str">
        <v>26014-03-ST02</v>
      </c>
    </row>
    <row r="264" spans="1:3" x14ac:dyDescent="0.25">
      <c r="A264" t="str">
        <v>24081-FS01</v>
      </c>
      <c r="C264" t="str">
        <v>26014-03-ST02.1</v>
      </c>
    </row>
    <row r="265" spans="1:3" x14ac:dyDescent="0.25">
      <c r="A265" t="str">
        <v>24081-FS02</v>
      </c>
      <c r="C265" t="str">
        <v>26014-03-ST03</v>
      </c>
    </row>
    <row r="266" spans="1:3" x14ac:dyDescent="0.25">
      <c r="A266" t="str">
        <v>24081-FS03</v>
      </c>
      <c r="C266" t="str">
        <v>26014-03-ST03.1</v>
      </c>
    </row>
    <row r="267" spans="1:3" x14ac:dyDescent="0.25">
      <c r="A267" t="str">
        <v>24081-FS04</v>
      </c>
      <c r="C267" t="str">
        <v>26014-04-FS01</v>
      </c>
    </row>
    <row r="268" spans="1:3" x14ac:dyDescent="0.25">
      <c r="A268" t="str">
        <v>24081-FS05</v>
      </c>
      <c r="C268" t="str">
        <v>26014-04-ST01</v>
      </c>
    </row>
    <row r="269" spans="1:3" x14ac:dyDescent="0.25">
      <c r="A269" t="str">
        <v>24081-FL01</v>
      </c>
      <c r="C269" t="str">
        <v>26014-04-ST02</v>
      </c>
    </row>
    <row r="270" spans="1:3" x14ac:dyDescent="0.25">
      <c r="A270" t="str">
        <v>24051-FS78.2</v>
      </c>
      <c r="C270" t="str">
        <v>26014-06-ST01</v>
      </c>
    </row>
    <row r="271" spans="1:3" x14ac:dyDescent="0.25">
      <c r="A271" t="str">
        <v>24079-FS101</v>
      </c>
    </row>
    <row r="272" spans="1:3" x14ac:dyDescent="0.25">
      <c r="A272" t="str">
        <v>24079-FS101.1</v>
      </c>
    </row>
    <row r="273" spans="1:1" x14ac:dyDescent="0.25">
      <c r="A273" t="str">
        <v>25025-BM100</v>
      </c>
    </row>
    <row r="274" spans="1:1" x14ac:dyDescent="0.25">
      <c r="A274" t="str">
        <v>25035-FS02.1</v>
      </c>
    </row>
    <row r="275" spans="1:1" x14ac:dyDescent="0.25">
      <c r="A275" t="str">
        <v>25035-FS02</v>
      </c>
    </row>
    <row r="276" spans="1:1" x14ac:dyDescent="0.25">
      <c r="A276" t="str">
        <v>24081-FL02</v>
      </c>
    </row>
    <row r="277" spans="1:1" x14ac:dyDescent="0.25">
      <c r="A277" t="str">
        <v>24051-FS209.1</v>
      </c>
    </row>
    <row r="278" spans="1:1" x14ac:dyDescent="0.25">
      <c r="A278" t="str">
        <v>24051-FS86</v>
      </c>
    </row>
    <row r="279" spans="1:1" x14ac:dyDescent="0.25">
      <c r="A279" t="str">
        <v>25002-BM06</v>
      </c>
    </row>
    <row r="280" spans="1:1" x14ac:dyDescent="0.25">
      <c r="A280" t="str">
        <v>25035-FS03</v>
      </c>
    </row>
    <row r="281" spans="1:1" x14ac:dyDescent="0.25">
      <c r="A281" t="str">
        <v>23028-FL205</v>
      </c>
    </row>
    <row r="282" spans="1:1" x14ac:dyDescent="0.25">
      <c r="A282" t="str">
        <v>24051-FS71.1</v>
      </c>
    </row>
    <row r="283" spans="1:1" x14ac:dyDescent="0.25">
      <c r="A283" t="str">
        <v>24051-FS224</v>
      </c>
    </row>
    <row r="284" spans="1:1" x14ac:dyDescent="0.25">
      <c r="A284" t="str">
        <v>24051-FS29C</v>
      </c>
    </row>
    <row r="285" spans="1:1" x14ac:dyDescent="0.25">
      <c r="A285" t="str">
        <v>24051-FS82</v>
      </c>
    </row>
    <row r="286" spans="1:1" x14ac:dyDescent="0.25">
      <c r="A286" t="str">
        <v>24051-FS83</v>
      </c>
    </row>
    <row r="287" spans="1:1" x14ac:dyDescent="0.25">
      <c r="A287" t="str">
        <v>24051-FS84</v>
      </c>
    </row>
    <row r="288" spans="1:1" x14ac:dyDescent="0.25">
      <c r="A288" t="str">
        <v>24051-FS85</v>
      </c>
    </row>
    <row r="289" spans="1:1" x14ac:dyDescent="0.25">
      <c r="A289" t="str">
        <v>24051-FS26C</v>
      </c>
    </row>
    <row r="290" spans="1:1" x14ac:dyDescent="0.25">
      <c r="A290" t="str">
        <v>25017-RO01</v>
      </c>
    </row>
    <row r="291" spans="1:1" x14ac:dyDescent="0.25">
      <c r="A291" t="str">
        <v>24051-FS13C</v>
      </c>
    </row>
    <row r="292" spans="1:1" x14ac:dyDescent="0.25">
      <c r="A292" t="str">
        <v>1040-30791-ST08</v>
      </c>
    </row>
    <row r="293" spans="1:1" x14ac:dyDescent="0.25">
      <c r="A293" t="str">
        <v>24051-FS76.1</v>
      </c>
    </row>
    <row r="294" spans="1:1" x14ac:dyDescent="0.25">
      <c r="A294" t="str">
        <v>24081-RO01</v>
      </c>
    </row>
    <row r="295" spans="1:1" x14ac:dyDescent="0.25">
      <c r="A295" t="str">
        <v>24069-RM04</v>
      </c>
    </row>
    <row r="296" spans="1:1" x14ac:dyDescent="0.25">
      <c r="A296" t="str">
        <v>25022-FS11</v>
      </c>
    </row>
    <row r="297" spans="1:1" x14ac:dyDescent="0.25">
      <c r="A297" t="str">
        <v>25022-FS07</v>
      </c>
    </row>
    <row r="298" spans="1:1" x14ac:dyDescent="0.25">
      <c r="A298" t="str">
        <v>25022-FS10</v>
      </c>
    </row>
    <row r="299" spans="1:1" x14ac:dyDescent="0.25">
      <c r="A299" t="str">
        <v>25031-FL06</v>
      </c>
    </row>
    <row r="300" spans="1:1" x14ac:dyDescent="0.25">
      <c r="A300" t="str">
        <v>25022-FS08</v>
      </c>
    </row>
    <row r="301" spans="1:1" x14ac:dyDescent="0.25">
      <c r="A301" t="str">
        <v>24079-FL13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91E1F-73CF-4FD1-8577-A4F88D76FB67}">
  <dimension ref="A1:V23"/>
  <sheetViews>
    <sheetView workbookViewId="0">
      <selection activeCell="I33" sqref="I33"/>
    </sheetView>
  </sheetViews>
  <sheetFormatPr defaultRowHeight="15" x14ac:dyDescent="0.25"/>
  <cols>
    <col min="1" max="1" width="9.42578125" bestFit="1" customWidth="1"/>
    <col min="2" max="2" width="13.140625" customWidth="1"/>
    <col min="3" max="3" width="20.28515625" bestFit="1" customWidth="1"/>
  </cols>
  <sheetData>
    <row r="1" spans="1:22" x14ac:dyDescent="0.25">
      <c r="A1" s="203">
        <v>46106</v>
      </c>
    </row>
    <row r="2" spans="1:22" x14ac:dyDescent="0.25">
      <c r="A2" s="202" t="s">
        <v>5</v>
      </c>
      <c r="B2" t="s">
        <v>3913</v>
      </c>
      <c r="C2" t="s">
        <v>3914</v>
      </c>
      <c r="D2" t="s">
        <v>3915</v>
      </c>
      <c r="E2" t="s">
        <v>3916</v>
      </c>
    </row>
    <row r="3" spans="1:22" x14ac:dyDescent="0.25">
      <c r="A3" t="s">
        <v>3917</v>
      </c>
      <c r="B3" s="196" t="s">
        <v>1156</v>
      </c>
      <c r="C3" t="s">
        <v>3918</v>
      </c>
      <c r="D3">
        <v>58</v>
      </c>
      <c r="E3" t="s">
        <v>3919</v>
      </c>
    </row>
    <row r="4" spans="1:22" x14ac:dyDescent="0.25">
      <c r="A4" t="s">
        <v>3917</v>
      </c>
      <c r="B4" s="196" t="s">
        <v>2239</v>
      </c>
      <c r="C4" t="s">
        <v>3920</v>
      </c>
      <c r="D4">
        <v>218</v>
      </c>
      <c r="E4" t="s">
        <v>3921</v>
      </c>
    </row>
    <row r="5" spans="1:22" x14ac:dyDescent="0.25">
      <c r="A5" t="s">
        <v>3917</v>
      </c>
      <c r="B5" s="196" t="s">
        <v>2249</v>
      </c>
      <c r="C5" t="s">
        <v>3920</v>
      </c>
      <c r="D5">
        <v>204</v>
      </c>
      <c r="E5" t="s">
        <v>3922</v>
      </c>
    </row>
    <row r="6" spans="1:22" x14ac:dyDescent="0.25">
      <c r="A6" t="s">
        <v>3917</v>
      </c>
      <c r="B6" s="196" t="s">
        <v>3923</v>
      </c>
      <c r="C6" t="s">
        <v>3924</v>
      </c>
      <c r="D6">
        <v>210</v>
      </c>
      <c r="E6" t="s">
        <v>3925</v>
      </c>
    </row>
    <row r="7" spans="1:22" x14ac:dyDescent="0.25">
      <c r="B7" s="196"/>
    </row>
    <row r="8" spans="1:22" x14ac:dyDescent="0.25">
      <c r="B8" s="197" t="s">
        <v>3926</v>
      </c>
    </row>
    <row r="9" spans="1:22" x14ac:dyDescent="0.25">
      <c r="B9" s="197"/>
    </row>
    <row r="14" spans="1:22" x14ac:dyDescent="0.25">
      <c r="B14" s="200">
        <v>25006</v>
      </c>
      <c r="C14" s="200" t="s">
        <v>3927</v>
      </c>
      <c r="D14" s="200"/>
      <c r="E14" s="201">
        <v>600</v>
      </c>
      <c r="F14" s="200" t="s">
        <v>3928</v>
      </c>
      <c r="G14" s="200"/>
      <c r="H14" s="200"/>
      <c r="I14" s="200"/>
      <c r="J14" s="200"/>
      <c r="K14" s="200"/>
      <c r="L14" s="200"/>
      <c r="M14" s="200"/>
      <c r="N14" s="200"/>
      <c r="O14" s="200"/>
      <c r="P14" s="200"/>
      <c r="Q14" s="200"/>
      <c r="R14" s="200"/>
      <c r="S14" s="200"/>
      <c r="T14" s="200"/>
      <c r="U14" s="200"/>
      <c r="V14" s="200"/>
    </row>
    <row r="15" spans="1:22" x14ac:dyDescent="0.25">
      <c r="B15" s="200">
        <v>25051</v>
      </c>
      <c r="C15" s="200" t="s">
        <v>3929</v>
      </c>
      <c r="D15" s="200"/>
      <c r="E15" s="201">
        <v>182</v>
      </c>
      <c r="F15" s="200" t="s">
        <v>3928</v>
      </c>
      <c r="G15" s="200"/>
      <c r="H15" s="200"/>
      <c r="I15" s="200"/>
      <c r="J15" s="200"/>
      <c r="K15" s="200"/>
      <c r="L15" s="200"/>
      <c r="M15" s="200"/>
      <c r="N15" s="200"/>
      <c r="O15" s="200"/>
      <c r="P15" s="200"/>
      <c r="Q15" s="200"/>
      <c r="R15" s="200"/>
      <c r="S15" s="200"/>
      <c r="T15" s="200"/>
      <c r="U15" s="200"/>
      <c r="V15" s="200"/>
    </row>
    <row r="16" spans="1:22" x14ac:dyDescent="0.25">
      <c r="B16" s="200">
        <v>25060</v>
      </c>
      <c r="C16" s="200" t="s">
        <v>3930</v>
      </c>
      <c r="D16" s="200"/>
      <c r="E16" s="201">
        <v>300</v>
      </c>
      <c r="F16" s="200" t="s">
        <v>3928</v>
      </c>
      <c r="G16" s="200"/>
      <c r="H16" s="200"/>
      <c r="I16" s="200"/>
      <c r="J16" s="200"/>
      <c r="K16" s="200"/>
      <c r="L16" s="200"/>
      <c r="M16" s="200"/>
      <c r="N16" s="200"/>
      <c r="O16" s="200"/>
      <c r="P16" s="200"/>
      <c r="Q16" s="200"/>
      <c r="R16" s="200"/>
      <c r="S16" s="200"/>
      <c r="T16" s="200"/>
      <c r="U16" s="200"/>
      <c r="V16" s="200"/>
    </row>
    <row r="17" spans="2:22" x14ac:dyDescent="0.25">
      <c r="B17" s="201">
        <v>25037</v>
      </c>
      <c r="C17" s="201" t="s">
        <v>3931</v>
      </c>
      <c r="D17" s="201"/>
      <c r="E17" s="201">
        <v>169</v>
      </c>
      <c r="F17" s="201" t="s">
        <v>3928</v>
      </c>
      <c r="G17" s="200"/>
      <c r="H17" s="200"/>
      <c r="I17" s="200"/>
      <c r="J17" s="200"/>
      <c r="K17" s="200"/>
      <c r="L17" s="200"/>
      <c r="M17" s="200"/>
      <c r="N17" s="200"/>
      <c r="O17" s="200"/>
      <c r="P17" s="200"/>
      <c r="Q17" s="200"/>
      <c r="R17" s="200"/>
      <c r="S17" s="200"/>
      <c r="T17" s="200"/>
      <c r="U17" s="200"/>
      <c r="V17" s="200"/>
    </row>
    <row r="18" spans="2:22" x14ac:dyDescent="0.25">
      <c r="B18" s="201">
        <v>25038</v>
      </c>
      <c r="C18" s="201" t="s">
        <v>3931</v>
      </c>
      <c r="D18" s="201"/>
      <c r="E18" s="201">
        <v>210</v>
      </c>
      <c r="F18" s="201" t="s">
        <v>3928</v>
      </c>
      <c r="G18" s="200"/>
      <c r="H18" s="200"/>
      <c r="I18" s="200"/>
      <c r="J18" s="200"/>
      <c r="K18" s="200"/>
      <c r="L18" s="200"/>
      <c r="M18" s="200"/>
      <c r="N18" s="200"/>
      <c r="O18" s="200"/>
      <c r="P18" s="200"/>
      <c r="Q18" s="200"/>
      <c r="R18" s="200"/>
      <c r="S18" s="200"/>
      <c r="T18" s="200"/>
      <c r="U18" s="200"/>
      <c r="V18" s="200"/>
    </row>
    <row r="19" spans="2:22" x14ac:dyDescent="0.25">
      <c r="B19" s="204" t="s">
        <v>1156</v>
      </c>
      <c r="C19" s="200" t="s">
        <v>3918</v>
      </c>
      <c r="D19" s="200"/>
      <c r="E19" s="200">
        <v>58</v>
      </c>
      <c r="F19" s="205">
        <v>46160</v>
      </c>
      <c r="G19" s="200"/>
      <c r="H19" s="200"/>
      <c r="I19" s="200"/>
      <c r="J19" s="200"/>
      <c r="K19" s="200"/>
      <c r="L19" s="200"/>
      <c r="M19" s="200"/>
      <c r="N19" s="200"/>
      <c r="O19" s="200"/>
      <c r="P19" s="200"/>
      <c r="Q19" s="200"/>
      <c r="R19" s="200"/>
      <c r="S19" s="200"/>
      <c r="T19" s="200"/>
      <c r="U19" s="200"/>
      <c r="V19" s="200"/>
    </row>
    <row r="20" spans="2:22" x14ac:dyDescent="0.25">
      <c r="B20" s="206" t="s">
        <v>2239</v>
      </c>
      <c r="C20" s="207" t="s">
        <v>3920</v>
      </c>
      <c r="D20" s="207"/>
      <c r="E20" s="207">
        <v>218</v>
      </c>
      <c r="F20" s="208">
        <v>46167</v>
      </c>
      <c r="G20" s="200"/>
      <c r="H20" s="200"/>
      <c r="I20" s="200"/>
      <c r="J20" s="200"/>
      <c r="K20" s="200"/>
      <c r="L20" s="200"/>
      <c r="M20" s="200"/>
      <c r="N20" s="200"/>
      <c r="O20" s="200"/>
      <c r="P20" s="200"/>
      <c r="Q20" s="200"/>
      <c r="R20" s="200"/>
      <c r="S20" s="200"/>
      <c r="T20" s="200"/>
      <c r="U20" s="200"/>
      <c r="V20" s="200"/>
    </row>
    <row r="21" spans="2:22" x14ac:dyDescent="0.25">
      <c r="B21" s="206" t="s">
        <v>2249</v>
      </c>
      <c r="C21" s="207" t="s">
        <v>3920</v>
      </c>
      <c r="D21" s="207"/>
      <c r="E21" s="207">
        <v>204</v>
      </c>
      <c r="F21" s="208">
        <v>46181</v>
      </c>
      <c r="G21" s="200"/>
      <c r="H21" s="200"/>
      <c r="I21" s="200"/>
      <c r="J21" s="200"/>
      <c r="K21" s="200"/>
      <c r="L21" s="200"/>
      <c r="M21" s="200"/>
      <c r="N21" s="200"/>
      <c r="O21" s="200"/>
      <c r="P21" s="200"/>
      <c r="Q21" s="200"/>
      <c r="R21" s="200"/>
      <c r="S21" s="200"/>
      <c r="T21" s="200"/>
      <c r="U21" s="200"/>
      <c r="V21" s="200"/>
    </row>
    <row r="22" spans="2:22" x14ac:dyDescent="0.25">
      <c r="B22" s="204" t="s">
        <v>3923</v>
      </c>
      <c r="C22" s="200" t="s">
        <v>3924</v>
      </c>
      <c r="D22" s="200"/>
      <c r="E22" s="200">
        <v>210</v>
      </c>
      <c r="F22" s="205">
        <v>46188</v>
      </c>
      <c r="G22" s="200"/>
      <c r="H22" s="200"/>
      <c r="I22" s="200"/>
      <c r="J22" s="200"/>
      <c r="K22" s="200"/>
      <c r="L22" s="200"/>
      <c r="M22" s="200"/>
      <c r="N22" s="200"/>
      <c r="O22" s="200"/>
      <c r="P22" s="200"/>
      <c r="Q22" s="200"/>
      <c r="R22" s="200"/>
      <c r="S22" s="200"/>
      <c r="T22" s="200"/>
      <c r="U22" s="200"/>
      <c r="V22" s="200"/>
    </row>
    <row r="23" spans="2:22" x14ac:dyDescent="0.25">
      <c r="B23" s="200">
        <v>27074</v>
      </c>
      <c r="C23" s="200" t="s">
        <v>1305</v>
      </c>
      <c r="D23" s="200"/>
      <c r="E23" s="201">
        <v>436</v>
      </c>
      <c r="F23" s="200"/>
      <c r="G23" s="200"/>
      <c r="H23" s="200"/>
      <c r="I23" s="200"/>
      <c r="J23" s="200"/>
      <c r="K23" s="200"/>
      <c r="L23" s="200"/>
      <c r="M23" s="200"/>
      <c r="N23" s="200"/>
      <c r="O23" s="200"/>
      <c r="P23" s="200"/>
      <c r="Q23" s="200"/>
      <c r="R23" s="200"/>
      <c r="S23" s="200"/>
      <c r="T23" s="200"/>
      <c r="U23" s="200"/>
      <c r="V23" s="200"/>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E1F64-D37C-4742-AAD0-F386D4C786E9}">
  <dimension ref="A1:AH40"/>
  <sheetViews>
    <sheetView topLeftCell="E6" workbookViewId="0">
      <selection activeCell="H29" sqref="H29"/>
    </sheetView>
  </sheetViews>
  <sheetFormatPr defaultRowHeight="15" x14ac:dyDescent="0.25"/>
  <cols>
    <col min="4" max="4" width="51.42578125" customWidth="1"/>
    <col min="5" max="5" width="14" bestFit="1" customWidth="1"/>
    <col min="6" max="6" width="10.28515625" bestFit="1" customWidth="1"/>
    <col min="7" max="7" width="20.28515625" bestFit="1" customWidth="1"/>
    <col min="8" max="8" width="15.42578125" bestFit="1" customWidth="1"/>
    <col min="10" max="10" width="14" bestFit="1" customWidth="1"/>
    <col min="11" max="11" width="15.28515625" bestFit="1" customWidth="1"/>
    <col min="12" max="12" width="8" bestFit="1" customWidth="1"/>
    <col min="13" max="13" width="11.28515625" bestFit="1" customWidth="1"/>
    <col min="14" max="14" width="7.42578125" bestFit="1" customWidth="1"/>
    <col min="15" max="15" width="20.28515625" bestFit="1" customWidth="1"/>
    <col min="16" max="16" width="19" customWidth="1"/>
    <col min="17" max="17" width="20.28515625" bestFit="1" customWidth="1"/>
    <col min="18" max="18" width="24.7109375" customWidth="1"/>
    <col min="19" max="19" width="9.5703125" customWidth="1"/>
    <col min="30" max="30" width="11.5703125" bestFit="1" customWidth="1"/>
    <col min="32" max="32" width="23.140625" bestFit="1" customWidth="1"/>
    <col min="33" max="33" width="19.85546875" bestFit="1" customWidth="1"/>
  </cols>
  <sheetData>
    <row r="1" spans="1:34" x14ac:dyDescent="0.25">
      <c r="A1" t="s">
        <v>3932</v>
      </c>
      <c r="B1" t="s">
        <v>3933</v>
      </c>
      <c r="C1" t="s">
        <v>3934</v>
      </c>
      <c r="D1" t="s">
        <v>3935</v>
      </c>
      <c r="E1" t="s">
        <v>3936</v>
      </c>
      <c r="F1" t="s">
        <v>3937</v>
      </c>
      <c r="G1" s="174" t="s">
        <v>2738</v>
      </c>
      <c r="H1" s="174" t="s">
        <v>3938</v>
      </c>
      <c r="J1" s="313" t="s">
        <v>3939</v>
      </c>
      <c r="K1" s="314"/>
      <c r="N1" s="203"/>
    </row>
    <row r="2" spans="1:34" x14ac:dyDescent="0.25">
      <c r="A2" s="215" t="s">
        <v>1855</v>
      </c>
      <c r="B2" s="215" t="s">
        <v>3940</v>
      </c>
      <c r="C2" s="215">
        <v>88</v>
      </c>
      <c r="D2" s="215" t="s">
        <v>3941</v>
      </c>
      <c r="E2" s="216">
        <v>46044</v>
      </c>
      <c r="F2" s="216">
        <v>46104</v>
      </c>
      <c r="G2" s="215" t="str">
        <f>IFERROR(IF(VLOOKUP("25006-"&amp;A2,'Job Operations'!A:L,12,FALSE)=0,"In System - No Station",IF(VLOOKUP("25006-"&amp;A2,'Job Operations'!A:L,12,FALSE)="","In System - No Station",VLOOKUP("25006-"&amp;A2,'Job Operations'!A:L,12,FALSE))),"Not in System")</f>
        <v>Not in System</v>
      </c>
      <c r="H2" s="215" t="s">
        <v>3942</v>
      </c>
      <c r="J2" s="219" t="s">
        <v>3943</v>
      </c>
      <c r="K2" s="219" t="s">
        <v>3944</v>
      </c>
      <c r="N2" s="202"/>
    </row>
    <row r="3" spans="1:34" x14ac:dyDescent="0.25">
      <c r="A3" s="215" t="s">
        <v>2130</v>
      </c>
      <c r="B3" s="215" t="s">
        <v>3945</v>
      </c>
      <c r="C3" s="215">
        <v>4</v>
      </c>
      <c r="D3" s="215" t="s">
        <v>3941</v>
      </c>
      <c r="E3" s="216">
        <v>46044</v>
      </c>
      <c r="F3" s="216">
        <v>46104</v>
      </c>
      <c r="G3" s="215" t="str">
        <f>IFERROR(IF(VLOOKUP("25006-"&amp;A3,'Job Operations'!A:L,12,FALSE)=0,"In System - No Station",IF(VLOOKUP("25006-"&amp;A3,'Job Operations'!A:L,12,FALSE)="","In System - No Station",VLOOKUP("25006-"&amp;A3,'Job Operations'!A:L,12,FALSE))),"Not in System")</f>
        <v>Not in System</v>
      </c>
      <c r="H3" s="215" t="s">
        <v>3946</v>
      </c>
      <c r="J3" s="200" t="s">
        <v>3947</v>
      </c>
      <c r="K3" s="221">
        <f>SUMIFS(C:C,F:F,"&gt;="&amp;DATE(2026,3,1),F:F,"&lt;"&amp;DATE(2026,4,1))</f>
        <v>92</v>
      </c>
      <c r="O3" s="196"/>
    </row>
    <row r="4" spans="1:34" ht="21" x14ac:dyDescent="0.35">
      <c r="A4" s="215" t="s">
        <v>3948</v>
      </c>
      <c r="B4" s="215" t="s">
        <v>3940</v>
      </c>
      <c r="C4" s="215">
        <v>216</v>
      </c>
      <c r="D4" s="215" t="s">
        <v>3949</v>
      </c>
      <c r="E4" s="216">
        <v>46092</v>
      </c>
      <c r="F4" s="216">
        <v>46147</v>
      </c>
      <c r="G4" s="215" t="str">
        <f>IFERROR(IF(VLOOKUP("25006-"&amp;A4,'Job Operations'!A:L,12,FALSE)=0,"In System - No Station",IF(VLOOKUP("25006-"&amp;A4,'Job Operations'!A:L,12,FALSE)="","In System - No Station",VLOOKUP("25006-"&amp;A4,'Job Operations'!A:L,12,FALSE))),"Not in System")</f>
        <v>Correction</v>
      </c>
      <c r="H4" s="215" t="s">
        <v>3950</v>
      </c>
      <c r="J4" s="200" t="s">
        <v>3951</v>
      </c>
      <c r="K4" s="221">
        <f>SUMIFS(C:C,F:F,"&gt;="&amp;DATE(2026,4,1),F:F,"&lt;"&amp;DATE(2026,5,1))</f>
        <v>0</v>
      </c>
      <c r="M4" t="s">
        <v>3952</v>
      </c>
      <c r="O4" s="196"/>
      <c r="AC4" s="316" t="s">
        <v>3953</v>
      </c>
      <c r="AD4" s="316"/>
      <c r="AE4" s="316"/>
      <c r="AF4" s="316"/>
      <c r="AG4" s="316"/>
      <c r="AH4" s="316"/>
    </row>
    <row r="5" spans="1:34" ht="21" x14ac:dyDescent="0.35">
      <c r="A5" s="215" t="s">
        <v>1833</v>
      </c>
      <c r="B5" s="215" t="s">
        <v>3945</v>
      </c>
      <c r="C5" s="215">
        <v>18</v>
      </c>
      <c r="D5" s="215" t="s">
        <v>3954</v>
      </c>
      <c r="E5" s="216">
        <v>46092</v>
      </c>
      <c r="F5" s="216">
        <v>46153</v>
      </c>
      <c r="G5" s="215" t="str">
        <f>IFERROR(IF(VLOOKUP("25006-"&amp;A5,'Job Operations'!A:L,12,FALSE)=0,"In System - No Station",IF(VLOOKUP("25006-"&amp;A5,'Job Operations'!A:L,12,FALSE)="","In System - No Station",VLOOKUP("25006-"&amp;A5,'Job Operations'!A:L,12,FALSE))),"Not in System")</f>
        <v>LO Check</v>
      </c>
      <c r="H5" s="215" t="s">
        <v>3955</v>
      </c>
      <c r="J5" s="200" t="s">
        <v>3928</v>
      </c>
      <c r="K5" s="221">
        <f>SUMIFS(C:C,F:F,"&gt;="&amp;DATE(2026,5,1),F:F,"&lt;"&amp;DATE(2026,6,1))</f>
        <v>1006</v>
      </c>
      <c r="M5" s="200">
        <v>25006</v>
      </c>
      <c r="N5" s="200" t="s">
        <v>3927</v>
      </c>
      <c r="O5" s="200"/>
      <c r="P5" s="201">
        <v>600</v>
      </c>
      <c r="Q5" s="200" t="s">
        <v>3928</v>
      </c>
      <c r="X5" s="274" t="s">
        <v>3956</v>
      </c>
      <c r="Y5" s="274"/>
      <c r="Z5" s="274"/>
      <c r="AC5" s="229" t="s">
        <v>3932</v>
      </c>
      <c r="AD5" t="s">
        <v>3933</v>
      </c>
      <c r="AE5" s="229" t="s">
        <v>3934</v>
      </c>
      <c r="AF5" s="229" t="s">
        <v>3935</v>
      </c>
      <c r="AG5" s="229" t="s">
        <v>3936</v>
      </c>
      <c r="AH5" s="230" t="s">
        <v>3957</v>
      </c>
    </row>
    <row r="6" spans="1:34" x14ac:dyDescent="0.25">
      <c r="A6" s="215" t="s">
        <v>2627</v>
      </c>
      <c r="B6" s="215" t="s">
        <v>3940</v>
      </c>
      <c r="C6" s="215">
        <v>232</v>
      </c>
      <c r="D6" s="215" t="s">
        <v>3958</v>
      </c>
      <c r="E6" s="216">
        <v>46092</v>
      </c>
      <c r="F6" s="216">
        <v>46157</v>
      </c>
      <c r="G6" s="215" t="str">
        <f>IFERROR(IF(VLOOKUP("25006-"&amp;A6,'Job Operations'!A:L,12,FALSE)=0,"In System - No Station",IF(VLOOKUP("25006-"&amp;A6,'Job Operations'!A:L,12,FALSE)="","In System - No Station",VLOOKUP("25006-"&amp;A6,'Job Operations'!A:L,12,FALSE))),"Not in System")</f>
        <v>LO Check</v>
      </c>
      <c r="H6" s="215" t="s">
        <v>3959</v>
      </c>
      <c r="J6" s="200" t="s">
        <v>3960</v>
      </c>
      <c r="K6" s="221">
        <f>SUMIFS(C:C,F:F,"&gt;="&amp;DATE(2026,6,1),F:F,"&lt;"&amp;DATE(2026,7,1))</f>
        <v>647</v>
      </c>
      <c r="O6" s="196"/>
      <c r="U6" s="229" t="s">
        <v>3932</v>
      </c>
      <c r="V6" t="s">
        <v>3933</v>
      </c>
      <c r="W6" s="229" t="s">
        <v>3934</v>
      </c>
      <c r="X6" s="229" t="s">
        <v>3935</v>
      </c>
      <c r="Y6" s="229" t="s">
        <v>3936</v>
      </c>
      <c r="Z6" t="s">
        <v>3957</v>
      </c>
      <c r="AC6" s="233" t="s">
        <v>1855</v>
      </c>
      <c r="AD6" s="234" t="s">
        <v>3940</v>
      </c>
      <c r="AE6" s="233">
        <v>125</v>
      </c>
      <c r="AF6" s="235" t="s">
        <v>3961</v>
      </c>
      <c r="AG6" s="236">
        <v>46111</v>
      </c>
      <c r="AH6" s="237">
        <v>46164</v>
      </c>
    </row>
    <row r="7" spans="1:34" x14ac:dyDescent="0.25">
      <c r="A7" s="227" t="s">
        <v>1855</v>
      </c>
      <c r="B7" s="227" t="s">
        <v>3940</v>
      </c>
      <c r="C7" s="227">
        <v>125</v>
      </c>
      <c r="D7" s="227" t="s">
        <v>3961</v>
      </c>
      <c r="E7" s="228">
        <v>46110</v>
      </c>
      <c r="F7" s="228">
        <v>46163</v>
      </c>
      <c r="G7" s="227" t="str">
        <f>IFERROR(IF(VLOOKUP("25006-"&amp;A7,'Job Operations'!A:L,12,FALSE)=0,"In System - No Station",IF(VLOOKUP("25006-"&amp;A7,'Job Operations'!A:L,12,FALSE)="","In System - No Station",VLOOKUP("25006-"&amp;A7,'Job Operations'!A:L,12,FALSE))),"Not in System")</f>
        <v>Not in System</v>
      </c>
      <c r="H7" s="227" t="s">
        <v>3962</v>
      </c>
      <c r="J7" s="200" t="s">
        <v>3963</v>
      </c>
      <c r="K7" s="221">
        <f>SUMIFS(C:C,F:F,"&gt;="&amp;DATE(2026,7,1),F:F,"&lt;"&amp;DATE(2026,8,1))</f>
        <v>805</v>
      </c>
      <c r="O7" s="196"/>
      <c r="U7" s="241" t="s">
        <v>3964</v>
      </c>
      <c r="V7" s="242" t="s">
        <v>3940</v>
      </c>
      <c r="W7" s="241">
        <v>88</v>
      </c>
      <c r="X7" s="241" t="s">
        <v>3941</v>
      </c>
      <c r="Y7" s="243">
        <v>46044</v>
      </c>
      <c r="Z7" s="244">
        <v>46104</v>
      </c>
      <c r="AC7" s="233" t="s">
        <v>3965</v>
      </c>
      <c r="AD7" s="234" t="s">
        <v>3945</v>
      </c>
      <c r="AE7" s="233">
        <v>34</v>
      </c>
      <c r="AF7" s="238" t="s">
        <v>3966</v>
      </c>
      <c r="AG7" s="236">
        <v>46111</v>
      </c>
      <c r="AH7" s="237">
        <v>46164</v>
      </c>
    </row>
    <row r="8" spans="1:34" x14ac:dyDescent="0.25">
      <c r="A8" s="214" t="s">
        <v>3965</v>
      </c>
      <c r="B8" s="214" t="s">
        <v>3945</v>
      </c>
      <c r="C8" s="214">
        <v>34</v>
      </c>
      <c r="D8" s="214" t="s">
        <v>3967</v>
      </c>
      <c r="E8" s="217">
        <v>46110</v>
      </c>
      <c r="F8" s="217">
        <v>46163</v>
      </c>
      <c r="G8" s="214" t="str">
        <f>IFERROR(IF(VLOOKUP("25006-"&amp;A8,'Job Operations'!A:L,12,FALSE)=0,"In System - No Station",IF(VLOOKUP("25006-"&amp;A8,'Job Operations'!A:L,12,FALSE)="","In System - No Station",VLOOKUP("25006-"&amp;A8,'Job Operations'!A:L,12,FALSE))),"Not in System")</f>
        <v>Not in System</v>
      </c>
      <c r="H8" s="214" t="s">
        <v>3968</v>
      </c>
      <c r="J8" s="200" t="s">
        <v>3969</v>
      </c>
      <c r="K8" s="221">
        <f>SUMIFS(C:C,F:F,"&gt;="&amp;DATE(2026,8,1),F:F,"&lt;"&amp;DATE(2026,9,1))</f>
        <v>370</v>
      </c>
      <c r="O8" s="197"/>
      <c r="U8" s="241" t="s">
        <v>3970</v>
      </c>
      <c r="V8" s="242" t="s">
        <v>3945</v>
      </c>
      <c r="W8" s="241">
        <v>4</v>
      </c>
      <c r="X8" s="241" t="s">
        <v>3941</v>
      </c>
      <c r="Y8" s="243">
        <v>46044</v>
      </c>
      <c r="Z8" s="244">
        <v>46104</v>
      </c>
      <c r="AC8" s="233" t="s">
        <v>2130</v>
      </c>
      <c r="AD8" s="234" t="s">
        <v>3940</v>
      </c>
      <c r="AE8" s="233">
        <v>135</v>
      </c>
      <c r="AF8" s="235" t="s">
        <v>3971</v>
      </c>
      <c r="AG8" s="236">
        <v>46111</v>
      </c>
      <c r="AH8" s="237">
        <v>46173</v>
      </c>
    </row>
    <row r="9" spans="1:34" x14ac:dyDescent="0.25">
      <c r="A9" s="215" t="s">
        <v>3972</v>
      </c>
      <c r="B9" s="215" t="s">
        <v>3940</v>
      </c>
      <c r="C9" s="215">
        <v>246</v>
      </c>
      <c r="D9" s="215" t="s">
        <v>3973</v>
      </c>
      <c r="E9" s="216">
        <v>46092</v>
      </c>
      <c r="F9" s="216">
        <v>46167</v>
      </c>
      <c r="G9" s="215" t="str">
        <f>IFERROR(IF(VLOOKUP("25006-"&amp;A9,'Job Operations'!A:L,12,FALSE)=0,"In System - No Station",IF(VLOOKUP("25006-"&amp;A9,'Job Operations'!A:L,12,FALSE)="","In System - No Station",VLOOKUP("25006-"&amp;A9,'Job Operations'!A:L,12,FALSE))),"Not in System")</f>
        <v>LO Check</v>
      </c>
      <c r="H9" s="215" t="s">
        <v>3974</v>
      </c>
      <c r="J9" s="220" t="s">
        <v>3975</v>
      </c>
      <c r="K9" s="222">
        <f>SUM(K3:K8)</f>
        <v>2920</v>
      </c>
      <c r="O9" s="197"/>
      <c r="U9" s="241" t="s">
        <v>3976</v>
      </c>
      <c r="V9" s="242" t="s">
        <v>3940</v>
      </c>
      <c r="W9" s="241">
        <v>216</v>
      </c>
      <c r="X9" s="241" t="s">
        <v>3977</v>
      </c>
      <c r="Y9" s="243">
        <v>46092</v>
      </c>
      <c r="Z9" s="244">
        <v>46147</v>
      </c>
      <c r="AC9" s="233" t="s">
        <v>3948</v>
      </c>
      <c r="AD9" s="234" t="s">
        <v>3940</v>
      </c>
      <c r="AE9" s="233">
        <v>150</v>
      </c>
      <c r="AF9" s="235" t="s">
        <v>3978</v>
      </c>
      <c r="AG9" s="236">
        <v>46111</v>
      </c>
      <c r="AH9" s="237">
        <v>46183</v>
      </c>
    </row>
    <row r="10" spans="1:34" x14ac:dyDescent="0.25">
      <c r="A10" s="214" t="s">
        <v>2130</v>
      </c>
      <c r="B10" s="214" t="s">
        <v>3940</v>
      </c>
      <c r="C10" s="214">
        <v>135</v>
      </c>
      <c r="D10" s="214" t="s">
        <v>3971</v>
      </c>
      <c r="E10" s="217">
        <v>46110</v>
      </c>
      <c r="F10" s="217">
        <v>46172</v>
      </c>
      <c r="G10" s="214" t="str">
        <f>IFERROR(IF(VLOOKUP("25006-"&amp;A10,'Job Operations'!A:L,12,FALSE)=0,"In System - No Station",IF(VLOOKUP("25006-"&amp;A10,'Job Operations'!A:L,12,FALSE)="","In System - No Station",VLOOKUP("25006-"&amp;A10,'Job Operations'!A:L,12,FALSE))),"Not in System")</f>
        <v>Not in System</v>
      </c>
      <c r="H10" s="214" t="s">
        <v>3979</v>
      </c>
      <c r="U10" s="241" t="s">
        <v>3980</v>
      </c>
      <c r="V10" s="242" t="s">
        <v>3945</v>
      </c>
      <c r="W10" s="241">
        <v>18</v>
      </c>
      <c r="X10" s="241" t="s">
        <v>3954</v>
      </c>
      <c r="Y10" s="243">
        <v>46092</v>
      </c>
      <c r="Z10" s="244">
        <v>46153</v>
      </c>
      <c r="AC10" s="233" t="s">
        <v>2627</v>
      </c>
      <c r="AD10" s="234" t="s">
        <v>3940</v>
      </c>
      <c r="AE10" s="233">
        <v>113</v>
      </c>
      <c r="AF10" s="235" t="s">
        <v>3981</v>
      </c>
      <c r="AG10" s="236">
        <v>46111</v>
      </c>
      <c r="AH10" s="237">
        <v>46192</v>
      </c>
    </row>
    <row r="11" spans="1:34" ht="18.75" x14ac:dyDescent="0.3">
      <c r="A11" s="215" t="s">
        <v>2643</v>
      </c>
      <c r="B11" s="215" t="s">
        <v>3940</v>
      </c>
      <c r="C11" s="215">
        <v>190</v>
      </c>
      <c r="D11" s="215" t="s">
        <v>3982</v>
      </c>
      <c r="E11" s="216">
        <v>46113</v>
      </c>
      <c r="F11" s="216">
        <v>46176</v>
      </c>
      <c r="G11" s="215" t="str">
        <f>IFERROR(IF(VLOOKUP("25006-"&amp;A11,'Job Operations'!A:L,12,FALSE)=0,"In System - No Station",IF(VLOOKUP("25006-"&amp;A11,'Job Operations'!A:L,12,FALSE)="","In System - No Station",VLOOKUP("25006-"&amp;A11,'Job Operations'!A:L,12,FALSE))),"Not in System")</f>
        <v>LO Check</v>
      </c>
      <c r="H11" s="215" t="s">
        <v>3983</v>
      </c>
      <c r="J11" s="315" t="s">
        <v>3984</v>
      </c>
      <c r="K11" s="314"/>
      <c r="L11" s="314"/>
      <c r="M11" s="314"/>
      <c r="N11" s="314"/>
      <c r="O11" s="314"/>
      <c r="P11" s="195" t="s">
        <v>3985</v>
      </c>
      <c r="R11" s="174" t="s">
        <v>3986</v>
      </c>
      <c r="U11" s="241" t="s">
        <v>3987</v>
      </c>
      <c r="V11" s="242" t="s">
        <v>3940</v>
      </c>
      <c r="W11" s="241">
        <v>232</v>
      </c>
      <c r="X11" s="241" t="s">
        <v>3988</v>
      </c>
      <c r="Y11" s="243">
        <v>46092</v>
      </c>
      <c r="Z11" s="244">
        <v>46157</v>
      </c>
      <c r="AC11" s="233" t="s">
        <v>1833</v>
      </c>
      <c r="AD11" s="234" t="s">
        <v>3940</v>
      </c>
      <c r="AE11" s="233">
        <v>111</v>
      </c>
      <c r="AF11" s="235" t="s">
        <v>3989</v>
      </c>
      <c r="AG11" s="236">
        <v>46111</v>
      </c>
      <c r="AH11" s="237">
        <v>46199</v>
      </c>
    </row>
    <row r="12" spans="1:34" x14ac:dyDescent="0.25">
      <c r="A12" s="214" t="s">
        <v>3948</v>
      </c>
      <c r="B12" s="214" t="s">
        <v>3940</v>
      </c>
      <c r="C12" s="214">
        <v>150</v>
      </c>
      <c r="D12" s="214" t="s">
        <v>3978</v>
      </c>
      <c r="E12" s="217">
        <v>46110</v>
      </c>
      <c r="F12" s="217">
        <v>46182</v>
      </c>
      <c r="G12" s="214" t="str">
        <f>IFERROR(IF(VLOOKUP("25006-"&amp;A12,'Job Operations'!A:L,12,FALSE)=0,"In System - No Station",IF(VLOOKUP("25006-"&amp;A12,'Job Operations'!A:L,12,FALSE)="","In System - No Station",VLOOKUP("25006-"&amp;A12,'Job Operations'!A:L,12,FALSE))),"Not in System")</f>
        <v>Correction</v>
      </c>
      <c r="H12" s="214" t="s">
        <v>3990</v>
      </c>
      <c r="J12" s="212" t="s">
        <v>2785</v>
      </c>
      <c r="K12" s="212" t="s">
        <v>2786</v>
      </c>
      <c r="L12" s="212" t="s">
        <v>3932</v>
      </c>
      <c r="M12" s="212" t="s">
        <v>3933</v>
      </c>
      <c r="N12" s="212" t="s">
        <v>3934</v>
      </c>
      <c r="O12" s="212" t="s">
        <v>80</v>
      </c>
      <c r="P12" s="275" t="s">
        <v>3991</v>
      </c>
      <c r="Q12" s="275" t="s">
        <v>3992</v>
      </c>
      <c r="R12" s="220" t="s">
        <v>3993</v>
      </c>
      <c r="S12" s="279" t="s">
        <v>3994</v>
      </c>
      <c r="U12" s="241" t="s">
        <v>3995</v>
      </c>
      <c r="V12" s="242" t="s">
        <v>3940</v>
      </c>
      <c r="W12" s="241">
        <v>246</v>
      </c>
      <c r="X12" s="241" t="s">
        <v>3996</v>
      </c>
      <c r="Y12" s="243">
        <v>46092</v>
      </c>
      <c r="Z12" s="244">
        <v>46167</v>
      </c>
      <c r="AC12" s="233" t="s">
        <v>3972</v>
      </c>
      <c r="AD12" s="234" t="s">
        <v>3940</v>
      </c>
      <c r="AE12" s="233">
        <v>203</v>
      </c>
      <c r="AF12" s="238" t="s">
        <v>3997</v>
      </c>
      <c r="AG12" s="236">
        <v>46111</v>
      </c>
      <c r="AH12" s="237">
        <v>46209</v>
      </c>
    </row>
    <row r="13" spans="1:34" x14ac:dyDescent="0.25">
      <c r="A13" s="215" t="s">
        <v>2152</v>
      </c>
      <c r="B13" s="215" t="s">
        <v>3940</v>
      </c>
      <c r="C13" s="215">
        <v>83</v>
      </c>
      <c r="D13" s="215" t="s">
        <v>3998</v>
      </c>
      <c r="E13" s="216">
        <v>46113</v>
      </c>
      <c r="F13" s="216">
        <v>46185</v>
      </c>
      <c r="G13" s="215" t="str">
        <f>IFERROR(IF(VLOOKUP("25006-"&amp;A13,'Job Operations'!A:L,12,FALSE)=0,"In System - No Station",IF(VLOOKUP("25006-"&amp;A13,'Job Operations'!A:L,12,FALSE)="","In System - No Station",VLOOKUP("25006-"&amp;A13,'Job Operations'!A:L,12,FALSE))),"Not in System")</f>
        <v>LO Check</v>
      </c>
      <c r="H13" s="215" t="s">
        <v>3999</v>
      </c>
      <c r="J13" s="283">
        <v>46104</v>
      </c>
      <c r="K13" s="284" t="s">
        <v>3942</v>
      </c>
      <c r="L13" s="284" t="s">
        <v>1855</v>
      </c>
      <c r="M13" s="284" t="s">
        <v>3940</v>
      </c>
      <c r="N13" s="284">
        <v>88</v>
      </c>
      <c r="O13" s="284" t="str">
        <f>IFERROR(VLOOKUP(LEFT(K13,LEN(K13)-3),'Production Schedule'!$B:$CC,80,FALSE),"Not in System")</f>
        <v>Not in System</v>
      </c>
      <c r="P13" s="285">
        <f t="shared" ref="P13:P33" si="0">IF(J13="","",WORKDAY.INTL(J13,-21,"0000001"))</f>
        <v>46079</v>
      </c>
      <c r="Q13" s="286" t="s">
        <v>1293</v>
      </c>
      <c r="R13" s="276" t="s">
        <v>4000</v>
      </c>
      <c r="S13" s="280">
        <v>7</v>
      </c>
      <c r="U13" s="241" t="s">
        <v>4001</v>
      </c>
      <c r="V13" s="242" t="s">
        <v>3940</v>
      </c>
      <c r="W13" s="241">
        <v>190</v>
      </c>
      <c r="X13" s="241" t="s">
        <v>3982</v>
      </c>
      <c r="Y13" s="243">
        <v>46113</v>
      </c>
      <c r="Z13" s="244">
        <v>46176</v>
      </c>
      <c r="AC13" s="233" t="s">
        <v>2643</v>
      </c>
      <c r="AD13" s="234" t="s">
        <v>3940</v>
      </c>
      <c r="AE13" s="233">
        <v>160</v>
      </c>
      <c r="AF13" s="238" t="s">
        <v>4002</v>
      </c>
      <c r="AG13" s="236">
        <v>46111</v>
      </c>
      <c r="AH13" s="237">
        <v>46218</v>
      </c>
    </row>
    <row r="14" spans="1:34" x14ac:dyDescent="0.25">
      <c r="A14" s="214" t="s">
        <v>2627</v>
      </c>
      <c r="B14" s="214" t="s">
        <v>3940</v>
      </c>
      <c r="C14" s="214">
        <v>113</v>
      </c>
      <c r="D14" s="214" t="s">
        <v>3981</v>
      </c>
      <c r="E14" s="217">
        <v>46110</v>
      </c>
      <c r="F14" s="217">
        <v>46191</v>
      </c>
      <c r="G14" s="214" t="str">
        <f>IFERROR(IF(VLOOKUP("25006-"&amp;A14,'Job Operations'!A:L,12,FALSE)=0,"In System - No Station",IF(VLOOKUP("25006-"&amp;A14,'Job Operations'!A:L,12,FALSE)="","In System - No Station",VLOOKUP("25006-"&amp;A14,'Job Operations'!A:L,12,FALSE))),"Not in System")</f>
        <v>LO Check</v>
      </c>
      <c r="H14" s="214" t="s">
        <v>4003</v>
      </c>
      <c r="J14" s="283">
        <v>46104</v>
      </c>
      <c r="K14" s="284" t="s">
        <v>3946</v>
      </c>
      <c r="L14" s="284" t="s">
        <v>2130</v>
      </c>
      <c r="M14" s="284" t="s">
        <v>3945</v>
      </c>
      <c r="N14" s="284">
        <v>4</v>
      </c>
      <c r="O14" s="284" t="str">
        <f>IFERROR(VLOOKUP(LEFT(K14,LEN(K14)-3),'Production Schedule'!$B:$CC,80,FALSE),"Not in System")</f>
        <v>Not in System</v>
      </c>
      <c r="P14" s="285">
        <f t="shared" si="0"/>
        <v>46079</v>
      </c>
      <c r="Q14" s="286" t="s">
        <v>1293</v>
      </c>
      <c r="R14" s="276" t="s">
        <v>1890</v>
      </c>
      <c r="S14" s="280">
        <v>2</v>
      </c>
      <c r="U14" s="241" t="s">
        <v>4004</v>
      </c>
      <c r="V14" s="242" t="s">
        <v>3940</v>
      </c>
      <c r="W14" s="241">
        <v>83</v>
      </c>
      <c r="X14" s="241" t="s">
        <v>3998</v>
      </c>
      <c r="Y14" s="243">
        <v>46113</v>
      </c>
      <c r="Z14" s="244">
        <v>46185</v>
      </c>
      <c r="AC14" s="233" t="s">
        <v>2152</v>
      </c>
      <c r="AD14" s="234" t="s">
        <v>3940</v>
      </c>
      <c r="AE14" s="233">
        <v>163</v>
      </c>
      <c r="AF14" s="238" t="s">
        <v>4005</v>
      </c>
      <c r="AG14" s="236">
        <v>46111</v>
      </c>
      <c r="AH14" s="237">
        <v>46225</v>
      </c>
    </row>
    <row r="15" spans="1:34" ht="45" x14ac:dyDescent="0.25">
      <c r="A15" s="214" t="s">
        <v>1833</v>
      </c>
      <c r="B15" s="214" t="s">
        <v>3940</v>
      </c>
      <c r="C15" s="214">
        <v>111</v>
      </c>
      <c r="D15" s="214" t="s">
        <v>4006</v>
      </c>
      <c r="E15" s="217">
        <v>46110</v>
      </c>
      <c r="F15" s="217">
        <v>46198</v>
      </c>
      <c r="G15" s="214" t="str">
        <f>IFERROR(IF(VLOOKUP("25006-"&amp;A15,'Job Operations'!A:L,12,FALSE)=0,"In System - No Station",IF(VLOOKUP("25006-"&amp;A15,'Job Operations'!A:L,12,FALSE)="","In System - No Station",VLOOKUP("25006-"&amp;A15,'Job Operations'!A:L,12,FALSE))),"Not in System")</f>
        <v>LO Check</v>
      </c>
      <c r="H15" s="214" t="s">
        <v>4007</v>
      </c>
      <c r="J15" s="224">
        <v>46147</v>
      </c>
      <c r="K15" s="223" t="s">
        <v>3950</v>
      </c>
      <c r="L15" s="223" t="s">
        <v>3948</v>
      </c>
      <c r="M15" s="223" t="s">
        <v>3940</v>
      </c>
      <c r="N15" s="223">
        <v>216</v>
      </c>
      <c r="O15" s="223" t="str">
        <f>IFERROR(VLOOKUP(LEFT(K15,LEN(K15)-3),'Production Schedule'!$B:$CC,80,FALSE),"Not in System")</f>
        <v>Correction</v>
      </c>
      <c r="P15" s="282">
        <f t="shared" si="0"/>
        <v>46122</v>
      </c>
      <c r="Q15" s="280" t="str">
        <f t="shared" ref="Q15:Q33" ca="1" si="1">IF(J15="","",IF(O15="Not in System",IF(P15&lt;TODAY(),"⚠️ PAST DUE","✅ On Track"),O15))</f>
        <v>Correction</v>
      </c>
      <c r="R15" s="276" t="s">
        <v>4008</v>
      </c>
      <c r="S15" s="277">
        <v>3</v>
      </c>
      <c r="U15" s="229"/>
      <c r="W15" s="229"/>
      <c r="X15" s="229"/>
      <c r="Y15" s="229"/>
      <c r="Z15" s="202"/>
      <c r="AC15" s="233" t="s">
        <v>4009</v>
      </c>
      <c r="AD15" s="233" t="s">
        <v>4010</v>
      </c>
      <c r="AE15" s="233">
        <v>193</v>
      </c>
      <c r="AF15" s="239" t="s">
        <v>4011</v>
      </c>
      <c r="AG15" s="236">
        <v>46111</v>
      </c>
      <c r="AH15" s="240">
        <v>46232</v>
      </c>
    </row>
    <row r="16" spans="1:34" x14ac:dyDescent="0.25">
      <c r="A16" s="214" t="s">
        <v>3972</v>
      </c>
      <c r="B16" s="214" t="s">
        <v>3940</v>
      </c>
      <c r="C16" s="214">
        <v>203</v>
      </c>
      <c r="D16" s="214" t="s">
        <v>3997</v>
      </c>
      <c r="E16" s="217">
        <v>46110</v>
      </c>
      <c r="F16" s="217">
        <v>46208</v>
      </c>
      <c r="G16" s="214" t="str">
        <f>IFERROR(IF(VLOOKUP("25006-"&amp;A16,'Job Operations'!A:L,12,FALSE)=0,"In System - No Station",IF(VLOOKUP("25006-"&amp;A16,'Job Operations'!A:L,12,FALSE)="","In System - No Station",VLOOKUP("25006-"&amp;A16,'Job Operations'!A:L,12,FALSE))),"Not in System")</f>
        <v>LO Check</v>
      </c>
      <c r="H16" s="214" t="s">
        <v>4012</v>
      </c>
      <c r="J16" s="225">
        <v>46153</v>
      </c>
      <c r="K16" s="200" t="s">
        <v>3955</v>
      </c>
      <c r="L16" s="200" t="s">
        <v>1833</v>
      </c>
      <c r="M16" s="200" t="s">
        <v>3945</v>
      </c>
      <c r="N16" s="200">
        <v>18</v>
      </c>
      <c r="O16" s="200" t="str">
        <f>IFERROR(VLOOKUP(LEFT(K16,LEN(K16)-3),'Production Schedule'!$B:$CC,80,FALSE),"Not in System")</f>
        <v>LO Check</v>
      </c>
      <c r="P16" s="282">
        <f t="shared" si="0"/>
        <v>46128</v>
      </c>
      <c r="Q16" s="280" t="str">
        <f t="shared" ca="1" si="1"/>
        <v>LO Check</v>
      </c>
      <c r="R16" s="276" t="s">
        <v>4013</v>
      </c>
      <c r="S16" s="277">
        <v>3</v>
      </c>
      <c r="U16" s="229"/>
      <c r="V16" s="229"/>
      <c r="W16" s="229"/>
      <c r="AC16" s="233" t="s">
        <v>2620</v>
      </c>
      <c r="AD16" s="234" t="s">
        <v>3940</v>
      </c>
      <c r="AE16" s="233">
        <v>86</v>
      </c>
      <c r="AF16" s="238" t="s">
        <v>4014</v>
      </c>
      <c r="AG16" s="236">
        <v>46111</v>
      </c>
      <c r="AH16" s="237">
        <v>46232</v>
      </c>
    </row>
    <row r="17" spans="1:34" x14ac:dyDescent="0.25">
      <c r="A17" s="214" t="s">
        <v>2643</v>
      </c>
      <c r="B17" s="214" t="s">
        <v>3940</v>
      </c>
      <c r="C17" s="214">
        <v>160</v>
      </c>
      <c r="D17" s="214" t="s">
        <v>4002</v>
      </c>
      <c r="E17" s="217">
        <v>46110</v>
      </c>
      <c r="F17" s="217">
        <v>46217</v>
      </c>
      <c r="G17" s="214" t="str">
        <f>IFERROR(IF(VLOOKUP("25006-"&amp;A17,'Job Operations'!A:L,12,FALSE)=0,"In System - No Station",IF(VLOOKUP("25006-"&amp;A17,'Job Operations'!A:L,12,FALSE)="","In System - No Station",VLOOKUP("25006-"&amp;A17,'Job Operations'!A:L,12,FALSE))),"Not in System")</f>
        <v>LO Check</v>
      </c>
      <c r="H17" s="214" t="s">
        <v>4015</v>
      </c>
      <c r="J17" s="224">
        <v>46157</v>
      </c>
      <c r="K17" s="223" t="s">
        <v>3959</v>
      </c>
      <c r="L17" s="223" t="s">
        <v>2627</v>
      </c>
      <c r="M17" s="223" t="s">
        <v>3940</v>
      </c>
      <c r="N17" s="223">
        <v>232</v>
      </c>
      <c r="O17" s="223" t="str">
        <f>IFERROR(VLOOKUP(LEFT(K17,LEN(K17)-3),'Production Schedule'!$B:$CC,80,FALSE),"Not in System")</f>
        <v>LO Check</v>
      </c>
      <c r="P17" s="282">
        <f t="shared" si="0"/>
        <v>46133</v>
      </c>
      <c r="Q17" s="280" t="str">
        <f t="shared" ca="1" si="1"/>
        <v>LO Check</v>
      </c>
      <c r="R17" s="276" t="s">
        <v>106</v>
      </c>
      <c r="S17" s="277">
        <v>3</v>
      </c>
      <c r="U17" s="229"/>
      <c r="V17" s="229"/>
      <c r="W17" s="229"/>
      <c r="AC17" s="233" t="s">
        <v>4016</v>
      </c>
      <c r="AD17" s="234" t="s">
        <v>3940</v>
      </c>
      <c r="AE17" s="233">
        <v>185</v>
      </c>
      <c r="AF17" s="238" t="s">
        <v>4017</v>
      </c>
      <c r="AG17" s="236">
        <v>46111</v>
      </c>
      <c r="AH17" s="237">
        <v>46241</v>
      </c>
    </row>
    <row r="18" spans="1:34" x14ac:dyDescent="0.25">
      <c r="A18" s="214" t="s">
        <v>2152</v>
      </c>
      <c r="B18" s="214" t="s">
        <v>3940</v>
      </c>
      <c r="C18" s="214">
        <v>163</v>
      </c>
      <c r="D18" s="214" t="s">
        <v>4005</v>
      </c>
      <c r="E18" s="217">
        <v>46110</v>
      </c>
      <c r="F18" s="217">
        <v>46224</v>
      </c>
      <c r="G18" s="214" t="str">
        <f>IFERROR(IF(VLOOKUP("25006-"&amp;A18,'Job Operations'!A:L,12,FALSE)=0,"In System - No Station",IF(VLOOKUP("25006-"&amp;A18,'Job Operations'!A:L,12,FALSE)="","In System - No Station",VLOOKUP("25006-"&amp;A18,'Job Operations'!A:L,12,FALSE))),"Not in System")</f>
        <v>LO Check</v>
      </c>
      <c r="H18" s="214" t="s">
        <v>4018</v>
      </c>
      <c r="J18" s="225">
        <v>46167</v>
      </c>
      <c r="K18" s="200" t="s">
        <v>3974</v>
      </c>
      <c r="L18" s="200" t="s">
        <v>3972</v>
      </c>
      <c r="M18" s="200" t="s">
        <v>3940</v>
      </c>
      <c r="N18" s="200">
        <v>246</v>
      </c>
      <c r="O18" s="200" t="str">
        <f>IFERROR(VLOOKUP(LEFT(K18,LEN(K18)-3),'Production Schedule'!$B:$CC,80,FALSE),"Not in System")</f>
        <v>LO Check</v>
      </c>
      <c r="P18" s="282">
        <f t="shared" si="0"/>
        <v>46142</v>
      </c>
      <c r="Q18" s="280" t="str">
        <f t="shared" ca="1" si="1"/>
        <v>LO Check</v>
      </c>
      <c r="R18" s="276" t="s">
        <v>4019</v>
      </c>
      <c r="S18" s="277">
        <v>3</v>
      </c>
      <c r="U18" s="229"/>
      <c r="V18" s="229"/>
      <c r="W18" s="229"/>
      <c r="AC18" s="233" t="s">
        <v>2641</v>
      </c>
      <c r="AD18" s="234" t="s">
        <v>3940</v>
      </c>
      <c r="AE18" s="233">
        <v>185</v>
      </c>
      <c r="AF18" s="238" t="s">
        <v>4020</v>
      </c>
      <c r="AG18" s="236">
        <v>46111</v>
      </c>
      <c r="AH18" s="237">
        <v>46251</v>
      </c>
    </row>
    <row r="19" spans="1:34" x14ac:dyDescent="0.25">
      <c r="A19" s="214" t="s">
        <v>4009</v>
      </c>
      <c r="B19" s="214" t="s">
        <v>4010</v>
      </c>
      <c r="C19" s="214">
        <v>193</v>
      </c>
      <c r="D19" s="214" t="s">
        <v>4021</v>
      </c>
      <c r="E19" s="217">
        <v>46110</v>
      </c>
      <c r="F19" s="217">
        <v>46231</v>
      </c>
      <c r="G19" s="214" t="str">
        <f>IFERROR(IF(VLOOKUP("25006-"&amp;A19,'Job Operations'!A:L,12,FALSE)=0,"In System - No Station",IF(VLOOKUP("25006-"&amp;A19,'Job Operations'!A:L,12,FALSE)="","In System - No Station",VLOOKUP("25006-"&amp;A19,'Job Operations'!A:L,12,FALSE))),"Not in System")</f>
        <v>Not in System</v>
      </c>
      <c r="H19" s="214" t="s">
        <v>4022</v>
      </c>
      <c r="J19" s="224">
        <v>46176</v>
      </c>
      <c r="K19" s="223" t="s">
        <v>3983</v>
      </c>
      <c r="L19" s="223" t="s">
        <v>2643</v>
      </c>
      <c r="M19" s="223" t="s">
        <v>3940</v>
      </c>
      <c r="N19" s="223">
        <v>190</v>
      </c>
      <c r="O19" s="226" t="str">
        <f>IFERROR(VLOOKUP(LEFT(K19,LEN(K19)-3),'Production Schedule'!$B:$CC,80,FALSE),"Not in System")</f>
        <v>LO Check</v>
      </c>
      <c r="P19" s="282">
        <f t="shared" si="0"/>
        <v>46151</v>
      </c>
      <c r="Q19" s="280" t="str">
        <f t="shared" ca="1" si="1"/>
        <v>LO Check</v>
      </c>
      <c r="R19" s="281" t="s">
        <v>4023</v>
      </c>
      <c r="S19" s="278">
        <v>21</v>
      </c>
      <c r="U19" s="229"/>
      <c r="V19" s="229"/>
      <c r="W19" s="229"/>
      <c r="AC19" s="229"/>
      <c r="AE19" s="229">
        <f>SUBTOTAL(109,Table13[Qty])</f>
        <v>1843</v>
      </c>
      <c r="AF19" s="232"/>
      <c r="AG19" s="232"/>
      <c r="AH19" s="231"/>
    </row>
    <row r="20" spans="1:34" x14ac:dyDescent="0.25">
      <c r="A20" s="214" t="s">
        <v>2620</v>
      </c>
      <c r="B20" s="214" t="s">
        <v>3940</v>
      </c>
      <c r="C20" s="214">
        <v>86</v>
      </c>
      <c r="D20" s="214" t="s">
        <v>4014</v>
      </c>
      <c r="E20" s="217">
        <v>46110</v>
      </c>
      <c r="F20" s="217">
        <v>46231</v>
      </c>
      <c r="G20" s="214" t="str">
        <f>IFERROR(IF(VLOOKUP("25006-"&amp;A20,'Job Operations'!A:L,12,FALSE)=0,"In System - No Station",IF(VLOOKUP("25006-"&amp;A20,'Job Operations'!A:L,12,FALSE)="","In System - No Station",VLOOKUP("25006-"&amp;A20,'Job Operations'!A:L,12,FALSE))),"Not in System")</f>
        <v>LO</v>
      </c>
      <c r="H20" s="214" t="s">
        <v>4024</v>
      </c>
      <c r="J20" s="225">
        <v>46185</v>
      </c>
      <c r="K20" s="200" t="s">
        <v>3999</v>
      </c>
      <c r="L20" s="200" t="s">
        <v>2152</v>
      </c>
      <c r="M20" s="200" t="s">
        <v>3940</v>
      </c>
      <c r="N20" s="200">
        <v>83</v>
      </c>
      <c r="O20" s="204" t="str">
        <f>IFERROR(VLOOKUP(LEFT(K20,LEN(K20)-3),'Production Schedule'!$B:$CC,80,FALSE),"Not in System")</f>
        <v>LO Check</v>
      </c>
      <c r="P20" s="282">
        <f t="shared" si="0"/>
        <v>46161</v>
      </c>
      <c r="Q20" s="280" t="str">
        <f t="shared" ca="1" si="1"/>
        <v>LO Check</v>
      </c>
      <c r="S20" s="229"/>
      <c r="U20" s="229"/>
      <c r="V20" s="229"/>
      <c r="W20" s="229"/>
    </row>
    <row r="21" spans="1:34" x14ac:dyDescent="0.25">
      <c r="A21" s="214" t="s">
        <v>4016</v>
      </c>
      <c r="B21" s="214" t="s">
        <v>3940</v>
      </c>
      <c r="C21" s="214">
        <v>185</v>
      </c>
      <c r="D21" s="214" t="s">
        <v>4017</v>
      </c>
      <c r="E21" s="217">
        <v>46110</v>
      </c>
      <c r="F21" s="217">
        <v>46240</v>
      </c>
      <c r="G21" s="214" t="str">
        <f>IFERROR(IF(VLOOKUP("25006-"&amp;A21,'Job Operations'!A:L,12,FALSE)=0,"In System - No Station",IF(VLOOKUP("25006-"&amp;A21,'Job Operations'!A:L,12,FALSE)="","In System - No Station",VLOOKUP("25006-"&amp;A21,'Job Operations'!A:L,12,FALSE))),"Not in System")</f>
        <v>LO</v>
      </c>
      <c r="H21" s="214" t="s">
        <v>4025</v>
      </c>
      <c r="J21" s="224">
        <v>46164</v>
      </c>
      <c r="K21" s="223" t="s">
        <v>3962</v>
      </c>
      <c r="L21" s="223" t="s">
        <v>1855</v>
      </c>
      <c r="M21" s="223" t="s">
        <v>3940</v>
      </c>
      <c r="N21" s="223">
        <v>125</v>
      </c>
      <c r="O21" s="226" t="str">
        <f>IFERROR(VLOOKUP(LEFT(K21,LEN(K21)-3),'Production Schedule'!$B:$CC,80,FALSE),"Not in System")</f>
        <v>Not in System</v>
      </c>
      <c r="P21" s="282">
        <f t="shared" si="0"/>
        <v>46140</v>
      </c>
      <c r="Q21" s="280" t="str">
        <f t="shared" ca="1" si="1"/>
        <v>✅ On Track</v>
      </c>
      <c r="S21" s="202"/>
    </row>
    <row r="22" spans="1:34" x14ac:dyDescent="0.25">
      <c r="A22" s="214" t="s">
        <v>2641</v>
      </c>
      <c r="B22" s="214" t="s">
        <v>3940</v>
      </c>
      <c r="C22" s="214">
        <v>185</v>
      </c>
      <c r="D22" s="214" t="s">
        <v>4020</v>
      </c>
      <c r="E22" s="217">
        <v>46110</v>
      </c>
      <c r="F22" s="217">
        <v>46250</v>
      </c>
      <c r="G22" s="214" t="str">
        <f>IFERROR(IF(VLOOKUP("25006-"&amp;A22,'Job Operations'!A:L,12,FALSE)=0,"In System - No Station",IF(VLOOKUP("25006-"&amp;A22,'Job Operations'!A:L,12,FALSE)="","In System - No Station",VLOOKUP("25006-"&amp;A22,'Job Operations'!A:L,12,FALSE))),"Not in System")</f>
        <v>LO</v>
      </c>
      <c r="H22" s="214" t="s">
        <v>4026</v>
      </c>
      <c r="J22" s="225">
        <v>46164</v>
      </c>
      <c r="K22" s="200" t="s">
        <v>3968</v>
      </c>
      <c r="L22" s="200" t="s">
        <v>3965</v>
      </c>
      <c r="M22" s="200" t="s">
        <v>3945</v>
      </c>
      <c r="N22" s="200">
        <v>34</v>
      </c>
      <c r="O22" s="204" t="str">
        <f>IFERROR(VLOOKUP(LEFT(K22,LEN(K22)-3),'Production Schedule'!$B:$CC,80,FALSE),"Not in System")</f>
        <v>Not in System</v>
      </c>
      <c r="P22" s="282">
        <f t="shared" si="0"/>
        <v>46140</v>
      </c>
      <c r="Q22" s="280" t="str">
        <f t="shared" ca="1" si="1"/>
        <v>✅ On Track</v>
      </c>
      <c r="S22" s="202"/>
    </row>
    <row r="23" spans="1:34" x14ac:dyDescent="0.25">
      <c r="J23" s="224">
        <v>46172</v>
      </c>
      <c r="K23" s="223" t="s">
        <v>3979</v>
      </c>
      <c r="L23" s="223" t="s">
        <v>2130</v>
      </c>
      <c r="M23" s="223" t="s">
        <v>3940</v>
      </c>
      <c r="N23" s="223">
        <v>135</v>
      </c>
      <c r="O23" s="223" t="str">
        <f>IFERROR(VLOOKUP(LEFT(K23,LEN(K23)-3),'Production Schedule'!$B:$CC,80,FALSE),"Not in System")</f>
        <v>Not in System</v>
      </c>
      <c r="P23" s="282">
        <f t="shared" si="0"/>
        <v>46148</v>
      </c>
      <c r="Q23" s="280" t="str">
        <f t="shared" ca="1" si="1"/>
        <v>✅ On Track</v>
      </c>
    </row>
    <row r="24" spans="1:34" x14ac:dyDescent="0.25">
      <c r="J24" s="225">
        <v>46182</v>
      </c>
      <c r="K24" s="200" t="s">
        <v>3990</v>
      </c>
      <c r="L24" s="200" t="s">
        <v>3948</v>
      </c>
      <c r="M24" s="200" t="s">
        <v>3940</v>
      </c>
      <c r="N24" s="200">
        <v>150</v>
      </c>
      <c r="O24" s="200" t="str">
        <f>IFERROR(VLOOKUP(LEFT(K24,LEN(K24)-3),'Production Schedule'!$B:$CC,80,FALSE),"Not in System")</f>
        <v>Correction</v>
      </c>
      <c r="P24" s="282">
        <f t="shared" si="0"/>
        <v>46157</v>
      </c>
      <c r="Q24" s="280" t="str">
        <f t="shared" ca="1" si="1"/>
        <v>Correction</v>
      </c>
    </row>
    <row r="25" spans="1:34" x14ac:dyDescent="0.25">
      <c r="J25" s="224">
        <v>46191</v>
      </c>
      <c r="K25" s="223" t="s">
        <v>4003</v>
      </c>
      <c r="L25" s="223" t="s">
        <v>2627</v>
      </c>
      <c r="M25" s="223" t="s">
        <v>3940</v>
      </c>
      <c r="N25" s="223">
        <v>113</v>
      </c>
      <c r="O25" s="223" t="str">
        <f>IFERROR(VLOOKUP(LEFT(K25,LEN(K25)-3),'Production Schedule'!$B:$CC,80,FALSE),"Not in System")</f>
        <v>LO Check</v>
      </c>
      <c r="P25" s="282">
        <f t="shared" si="0"/>
        <v>46167</v>
      </c>
      <c r="Q25" s="280" t="str">
        <f t="shared" ca="1" si="1"/>
        <v>LO Check</v>
      </c>
    </row>
    <row r="26" spans="1:34" x14ac:dyDescent="0.25">
      <c r="J26" s="225">
        <v>46198</v>
      </c>
      <c r="K26" s="200" t="s">
        <v>4007</v>
      </c>
      <c r="L26" s="200" t="s">
        <v>1833</v>
      </c>
      <c r="M26" s="200" t="s">
        <v>3940</v>
      </c>
      <c r="N26" s="200">
        <v>111</v>
      </c>
      <c r="O26" s="200" t="str">
        <f>IFERROR(VLOOKUP(LEFT(K26,LEN(K26)-3),'Production Schedule'!$B:$CC,80,FALSE),"Not in System")</f>
        <v>LO Check</v>
      </c>
      <c r="P26" s="282">
        <f t="shared" si="0"/>
        <v>46174</v>
      </c>
      <c r="Q26" s="280" t="str">
        <f t="shared" ca="1" si="1"/>
        <v>LO Check</v>
      </c>
    </row>
    <row r="27" spans="1:34" x14ac:dyDescent="0.25">
      <c r="A27" t="s">
        <v>4027</v>
      </c>
      <c r="B27" t="s">
        <v>4028</v>
      </c>
      <c r="J27" s="224">
        <v>46208</v>
      </c>
      <c r="K27" s="223" t="s">
        <v>4012</v>
      </c>
      <c r="L27" s="223" t="s">
        <v>3972</v>
      </c>
      <c r="M27" s="223" t="s">
        <v>3940</v>
      </c>
      <c r="N27" s="223">
        <v>203</v>
      </c>
      <c r="O27" s="223" t="str">
        <f>IFERROR(VLOOKUP(LEFT(K27,LEN(K27)-3),'Production Schedule'!$B:$CC,80,FALSE),"Not in System")</f>
        <v>LO Check</v>
      </c>
      <c r="P27" s="282">
        <f t="shared" si="0"/>
        <v>46184</v>
      </c>
      <c r="Q27" s="280" t="str">
        <f t="shared" ca="1" si="1"/>
        <v>LO Check</v>
      </c>
    </row>
    <row r="28" spans="1:34" x14ac:dyDescent="0.25">
      <c r="A28" t="s">
        <v>4029</v>
      </c>
      <c r="B28" t="s">
        <v>4030</v>
      </c>
      <c r="J28" s="225">
        <v>46217</v>
      </c>
      <c r="K28" s="200" t="s">
        <v>4015</v>
      </c>
      <c r="L28" s="200" t="s">
        <v>2643</v>
      </c>
      <c r="M28" s="200" t="s">
        <v>3940</v>
      </c>
      <c r="N28" s="200">
        <v>160</v>
      </c>
      <c r="O28" s="200" t="str">
        <f>IFERROR(VLOOKUP(LEFT(K28,LEN(K28)-3),'Production Schedule'!$B:$CC,80,FALSE),"Not in System")</f>
        <v>LO Check</v>
      </c>
      <c r="P28" s="282">
        <f t="shared" si="0"/>
        <v>46192</v>
      </c>
      <c r="Q28" s="280" t="str">
        <f t="shared" ca="1" si="1"/>
        <v>LO Check</v>
      </c>
    </row>
    <row r="29" spans="1:34" x14ac:dyDescent="0.25">
      <c r="J29" s="224">
        <v>46224</v>
      </c>
      <c r="K29" s="223" t="s">
        <v>4018</v>
      </c>
      <c r="L29" s="223" t="s">
        <v>2152</v>
      </c>
      <c r="M29" s="223" t="s">
        <v>3940</v>
      </c>
      <c r="N29" s="223">
        <v>163</v>
      </c>
      <c r="O29" s="223" t="str">
        <f>IFERROR(VLOOKUP(LEFT(K29,LEN(K29)-3),'Production Schedule'!$B:$CC,80,FALSE),"Not in System")</f>
        <v>LO Check</v>
      </c>
      <c r="P29" s="282">
        <f t="shared" si="0"/>
        <v>46199</v>
      </c>
      <c r="Q29" s="280" t="str">
        <f t="shared" ca="1" si="1"/>
        <v>LO Check</v>
      </c>
    </row>
    <row r="30" spans="1:34" x14ac:dyDescent="0.25">
      <c r="J30" s="225">
        <v>46231</v>
      </c>
      <c r="K30" s="200" t="s">
        <v>4022</v>
      </c>
      <c r="L30" s="200" t="s">
        <v>4009</v>
      </c>
      <c r="M30" s="200" t="s">
        <v>4010</v>
      </c>
      <c r="N30" s="200">
        <v>193</v>
      </c>
      <c r="O30" s="200" t="str">
        <f>IFERROR(VLOOKUP(LEFT(K30,LEN(K30)-3),'Production Schedule'!$B:$CC,80,FALSE),"Not in System")</f>
        <v>Not in System</v>
      </c>
      <c r="P30" s="282">
        <f t="shared" si="0"/>
        <v>46206</v>
      </c>
      <c r="Q30" s="280" t="str">
        <f t="shared" ca="1" si="1"/>
        <v>✅ On Track</v>
      </c>
    </row>
    <row r="31" spans="1:34" x14ac:dyDescent="0.25">
      <c r="J31" s="224">
        <v>46231</v>
      </c>
      <c r="K31" s="223" t="s">
        <v>4024</v>
      </c>
      <c r="L31" s="223" t="s">
        <v>2620</v>
      </c>
      <c r="M31" s="223" t="s">
        <v>3940</v>
      </c>
      <c r="N31" s="223">
        <v>86</v>
      </c>
      <c r="O31" s="223" t="str">
        <f>IFERROR(IF(VLOOKUP(LEFT(K31,LEN(K31)-3),'Production Schedule'!$B:$CC,80,FALSE)="","In System - No Station",VLOOKUP(LEFT(K31,LEN(K31)-3),'Production Schedule'!$B:$CC,80,FALSE)),"Not in System")</f>
        <v>LO</v>
      </c>
      <c r="P31" s="282">
        <f t="shared" si="0"/>
        <v>46206</v>
      </c>
      <c r="Q31" s="280" t="str">
        <f t="shared" ca="1" si="1"/>
        <v>LO</v>
      </c>
    </row>
    <row r="32" spans="1:34" x14ac:dyDescent="0.25">
      <c r="J32" s="225">
        <v>46240</v>
      </c>
      <c r="K32" s="200" t="s">
        <v>4025</v>
      </c>
      <c r="L32" s="200" t="s">
        <v>4016</v>
      </c>
      <c r="M32" s="200" t="s">
        <v>3940</v>
      </c>
      <c r="N32" s="200">
        <v>185</v>
      </c>
      <c r="O32" s="200" t="str">
        <f>IFERROR(IF(VLOOKUP(LEFT(K32,LEN(K32)-3),'Production Schedule'!$B:$CC,80,FALSE)="","In System - No Station",VLOOKUP(LEFT(K32,LEN(K32)-3),'Production Schedule'!$B:$CC,80,FALSE)),"Not in System")</f>
        <v>LO</v>
      </c>
      <c r="P32" s="282">
        <f t="shared" si="0"/>
        <v>46216</v>
      </c>
      <c r="Q32" s="280" t="str">
        <f t="shared" ca="1" si="1"/>
        <v>LO</v>
      </c>
    </row>
    <row r="33" spans="10:17" x14ac:dyDescent="0.25">
      <c r="J33" s="224">
        <v>46250</v>
      </c>
      <c r="K33" s="223" t="s">
        <v>4026</v>
      </c>
      <c r="L33" s="223" t="s">
        <v>2641</v>
      </c>
      <c r="M33" s="223" t="s">
        <v>3940</v>
      </c>
      <c r="N33" s="223">
        <v>185</v>
      </c>
      <c r="O33" s="223" t="str">
        <f>IFERROR(IF(VLOOKUP(LEFT(K33,LEN(K33)-3),'Production Schedule'!$B:$CC,80,FALSE)="","In System - No Station",VLOOKUP(LEFT(K33,LEN(K33)-3),'Production Schedule'!$B:$CC,80,FALSE)),"Not in System")</f>
        <v>LO</v>
      </c>
      <c r="P33" s="282">
        <f t="shared" si="0"/>
        <v>46226</v>
      </c>
      <c r="Q33" s="280" t="str">
        <f t="shared" ca="1" si="1"/>
        <v>LO</v>
      </c>
    </row>
    <row r="36" spans="10:17" x14ac:dyDescent="0.25">
      <c r="J36" s="218" t="s">
        <v>4031</v>
      </c>
    </row>
    <row r="37" spans="10:17" x14ac:dyDescent="0.25">
      <c r="J37" t="s">
        <v>4032</v>
      </c>
      <c r="K37">
        <v>21</v>
      </c>
    </row>
    <row r="38" spans="10:17" x14ac:dyDescent="0.25">
      <c r="J38" t="s">
        <v>4033</v>
      </c>
      <c r="K38">
        <f>SUM(N13:N33)</f>
        <v>2920</v>
      </c>
    </row>
    <row r="39" spans="10:17" x14ac:dyDescent="0.25">
      <c r="J39" t="s">
        <v>4034</v>
      </c>
      <c r="K39">
        <v>8</v>
      </c>
    </row>
    <row r="40" spans="10:17" x14ac:dyDescent="0.25">
      <c r="J40" t="s">
        <v>4035</v>
      </c>
      <c r="K40">
        <v>13</v>
      </c>
    </row>
  </sheetData>
  <mergeCells count="3">
    <mergeCell ref="J1:K1"/>
    <mergeCell ref="J11:O11"/>
    <mergeCell ref="AC4:AH4"/>
  </mergeCells>
  <phoneticPr fontId="32" type="noConversion"/>
  <conditionalFormatting sqref="P13:P33">
    <cfRule type="cellIs" dxfId="3" priority="1" operator="lessThan">
      <formula>TODAY()</formula>
    </cfRule>
  </conditionalFormatting>
  <conditionalFormatting sqref="Q13:Q33">
    <cfRule type="containsText" dxfId="2" priority="2" operator="containsText" text="PAST DUE">
      <formula>NOT(ISERROR(SEARCH("PAST DUE",Q13)))</formula>
    </cfRule>
    <cfRule type="containsText" dxfId="1" priority="3" operator="containsText" text="On Track">
      <formula>NOT(ISERROR(SEARCH("On Track",Q13)))</formula>
    </cfRule>
    <cfRule type="containsText" dxfId="0" priority="4" operator="containsText" text="LO">
      <formula>NOT(ISERROR(SEARCH("LO",Q13)))</formula>
    </cfRule>
  </conditionalFormatting>
  <pageMargins left="0.7" right="0.7" top="0.75" bottom="0.75" header="0.3" footer="0.3"/>
  <pageSetup orientation="portrait" r:id="rId1"/>
  <drawing r:id="rId2"/>
  <tableParts count="1">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382D4-3CCF-469A-B4D3-9B67ABCB5EAF}">
  <dimension ref="B2:V37"/>
  <sheetViews>
    <sheetView topLeftCell="A2" workbookViewId="0">
      <selection activeCell="E8" sqref="E8"/>
    </sheetView>
  </sheetViews>
  <sheetFormatPr defaultRowHeight="15" x14ac:dyDescent="0.25"/>
  <cols>
    <col min="2" max="2" width="16.140625" customWidth="1"/>
    <col min="3" max="3" width="25.85546875" customWidth="1"/>
    <col min="4" max="5" width="11.42578125" customWidth="1"/>
    <col min="7" max="13" width="12.140625" customWidth="1"/>
    <col min="21" max="21" width="10.7109375" customWidth="1"/>
  </cols>
  <sheetData>
    <row r="2" spans="2:22" x14ac:dyDescent="0.25">
      <c r="C2" s="198" t="s">
        <v>4036</v>
      </c>
    </row>
    <row r="4" spans="2:22" s="198" customFormat="1" x14ac:dyDescent="0.25">
      <c r="B4" s="199" t="s">
        <v>4037</v>
      </c>
      <c r="C4" s="199" t="s">
        <v>4038</v>
      </c>
      <c r="D4" s="199" t="s">
        <v>4039</v>
      </c>
      <c r="E4" s="199" t="s">
        <v>3928</v>
      </c>
      <c r="F4" s="199" t="s">
        <v>4040</v>
      </c>
      <c r="G4" s="199" t="s">
        <v>4041</v>
      </c>
      <c r="H4" s="199" t="s">
        <v>3969</v>
      </c>
      <c r="I4" s="199" t="s">
        <v>4042</v>
      </c>
      <c r="J4" s="199" t="s">
        <v>4043</v>
      </c>
      <c r="K4" s="199" t="s">
        <v>4044</v>
      </c>
      <c r="L4" s="199" t="s">
        <v>4045</v>
      </c>
      <c r="M4" s="199" t="s">
        <v>4046</v>
      </c>
      <c r="N4" s="199" t="s">
        <v>4047</v>
      </c>
      <c r="O4" s="199" t="s">
        <v>3947</v>
      </c>
      <c r="P4" s="199" t="s">
        <v>3951</v>
      </c>
      <c r="Q4" s="199" t="s">
        <v>3928</v>
      </c>
      <c r="R4" s="199" t="s">
        <v>3960</v>
      </c>
      <c r="S4" s="199" t="s">
        <v>3963</v>
      </c>
      <c r="T4" s="199" t="s">
        <v>3969</v>
      </c>
      <c r="U4" s="199" t="s">
        <v>4042</v>
      </c>
      <c r="V4" s="199" t="s">
        <v>4043</v>
      </c>
    </row>
    <row r="5" spans="2:22" x14ac:dyDescent="0.25">
      <c r="B5" s="200">
        <v>26010</v>
      </c>
      <c r="C5" s="200" t="s">
        <v>4048</v>
      </c>
      <c r="D5" s="200"/>
      <c r="E5" s="200"/>
      <c r="F5" s="200"/>
      <c r="G5" s="200"/>
      <c r="H5" s="200">
        <v>674</v>
      </c>
      <c r="I5" s="200"/>
      <c r="J5" s="200"/>
      <c r="K5" s="200"/>
      <c r="L5" s="200"/>
      <c r="M5" s="200"/>
      <c r="N5" s="200"/>
      <c r="O5" s="200"/>
      <c r="P5" s="200"/>
      <c r="Q5" s="200"/>
      <c r="R5" s="200"/>
      <c r="S5" s="200"/>
      <c r="T5" s="200"/>
      <c r="U5" s="200"/>
      <c r="V5" s="200"/>
    </row>
    <row r="6" spans="2:22" x14ac:dyDescent="0.25">
      <c r="B6" s="200">
        <v>26015</v>
      </c>
      <c r="C6" s="200" t="s">
        <v>4049</v>
      </c>
      <c r="D6" s="200"/>
      <c r="E6" s="200"/>
      <c r="F6" s="200">
        <v>225</v>
      </c>
      <c r="G6" s="200"/>
      <c r="H6" s="200"/>
      <c r="I6" s="200"/>
      <c r="J6" s="200"/>
      <c r="K6" s="200"/>
      <c r="L6" s="200"/>
      <c r="M6" s="200"/>
      <c r="N6" s="200"/>
      <c r="O6" s="200"/>
      <c r="P6" s="200"/>
      <c r="Q6" s="200"/>
      <c r="R6" s="200"/>
      <c r="S6" s="200"/>
      <c r="T6" s="200"/>
      <c r="U6" s="200"/>
      <c r="V6" s="200"/>
    </row>
    <row r="7" spans="2:22" x14ac:dyDescent="0.25">
      <c r="B7" s="200">
        <v>25065</v>
      </c>
      <c r="C7" s="200" t="s">
        <v>4050</v>
      </c>
      <c r="D7" s="200"/>
      <c r="E7" s="200"/>
      <c r="F7" s="200"/>
      <c r="G7" s="200">
        <v>40</v>
      </c>
      <c r="H7" s="200">
        <v>750</v>
      </c>
      <c r="I7" s="200"/>
      <c r="J7" s="200"/>
      <c r="K7" s="200">
        <v>1000</v>
      </c>
      <c r="L7" s="200">
        <v>1000</v>
      </c>
      <c r="M7" s="200">
        <v>1800</v>
      </c>
      <c r="N7" s="200">
        <v>1500</v>
      </c>
      <c r="O7" s="200">
        <v>1600</v>
      </c>
      <c r="P7" s="200">
        <v>1600</v>
      </c>
      <c r="Q7" s="200"/>
      <c r="R7" s="200"/>
      <c r="S7" s="200"/>
      <c r="T7" s="200"/>
      <c r="U7" s="200"/>
      <c r="V7" s="200"/>
    </row>
    <row r="8" spans="2:22" x14ac:dyDescent="0.25">
      <c r="B8" s="200">
        <v>24051</v>
      </c>
      <c r="C8" s="200" t="s">
        <v>4051</v>
      </c>
      <c r="D8" s="200">
        <v>300</v>
      </c>
      <c r="E8" s="200">
        <v>1500</v>
      </c>
      <c r="F8" s="200">
        <v>1500</v>
      </c>
      <c r="G8" s="200">
        <v>1215</v>
      </c>
      <c r="H8" s="200">
        <v>300</v>
      </c>
      <c r="I8" s="200">
        <v>300</v>
      </c>
      <c r="J8" s="200">
        <v>300</v>
      </c>
      <c r="K8" s="200"/>
      <c r="L8" s="200"/>
      <c r="M8" s="200"/>
      <c r="N8" s="200"/>
      <c r="O8" s="200"/>
      <c r="P8" s="200"/>
      <c r="Q8" s="200"/>
      <c r="R8" s="200"/>
      <c r="S8" s="200"/>
      <c r="T8" s="200"/>
      <c r="U8" s="200"/>
      <c r="V8" s="200"/>
    </row>
    <row r="9" spans="2:22" x14ac:dyDescent="0.25">
      <c r="B9" s="200">
        <v>25035</v>
      </c>
      <c r="C9" s="200" t="s">
        <v>718</v>
      </c>
      <c r="D9" s="200">
        <v>325</v>
      </c>
      <c r="E9" s="200"/>
      <c r="F9" s="200"/>
      <c r="G9" s="200"/>
      <c r="H9" s="200"/>
      <c r="I9" s="200"/>
      <c r="J9" s="200"/>
      <c r="K9" s="200"/>
      <c r="L9" s="200"/>
      <c r="M9" s="200"/>
      <c r="N9" s="200"/>
      <c r="O9" s="200"/>
      <c r="P9" s="200"/>
      <c r="Q9" s="200"/>
      <c r="R9" s="200"/>
      <c r="S9" s="200"/>
      <c r="T9" s="200"/>
      <c r="U9" s="200"/>
      <c r="V9" s="200"/>
    </row>
    <row r="10" spans="2:22" x14ac:dyDescent="0.25">
      <c r="B10" s="200">
        <v>25033</v>
      </c>
      <c r="C10" s="200" t="s">
        <v>4052</v>
      </c>
      <c r="D10" s="200"/>
      <c r="E10" s="200"/>
      <c r="F10" s="200"/>
      <c r="G10" s="200">
        <v>400</v>
      </c>
      <c r="H10" s="200"/>
      <c r="I10" s="200"/>
      <c r="J10" s="200"/>
      <c r="K10" s="200"/>
      <c r="L10" s="200"/>
      <c r="M10" s="200"/>
      <c r="N10" s="200"/>
      <c r="O10" s="200"/>
      <c r="P10" s="200"/>
      <c r="Q10" s="200"/>
      <c r="R10" s="200"/>
      <c r="S10" s="200"/>
      <c r="T10" s="200"/>
      <c r="U10" s="200"/>
      <c r="V10" s="200"/>
    </row>
    <row r="11" spans="2:22" x14ac:dyDescent="0.25">
      <c r="B11" s="200">
        <v>24026</v>
      </c>
      <c r="C11" s="200" t="s">
        <v>4053</v>
      </c>
      <c r="D11" s="200"/>
      <c r="E11" s="200"/>
      <c r="F11" s="200"/>
      <c r="G11" s="200">
        <v>12</v>
      </c>
      <c r="H11" s="200"/>
      <c r="I11" s="200"/>
      <c r="J11" s="200"/>
      <c r="K11" s="200"/>
      <c r="L11" s="200"/>
      <c r="M11" s="200"/>
      <c r="N11" s="200"/>
      <c r="O11" s="200"/>
      <c r="P11" s="200"/>
      <c r="Q11" s="200"/>
      <c r="R11" s="200"/>
      <c r="S11" s="200"/>
      <c r="T11" s="200"/>
      <c r="U11" s="200"/>
      <c r="V11" s="200"/>
    </row>
    <row r="12" spans="2:22" x14ac:dyDescent="0.25">
      <c r="B12" s="200">
        <v>25061</v>
      </c>
      <c r="C12" s="200" t="s">
        <v>4054</v>
      </c>
      <c r="D12" s="200"/>
      <c r="E12" s="200"/>
      <c r="F12" s="200"/>
      <c r="G12" s="200"/>
      <c r="H12" s="200">
        <v>100</v>
      </c>
      <c r="I12" s="200">
        <v>1000</v>
      </c>
      <c r="J12" s="200">
        <v>1000</v>
      </c>
      <c r="K12" s="200"/>
      <c r="L12" s="200"/>
      <c r="M12" s="200"/>
      <c r="N12" s="200"/>
      <c r="O12" s="200"/>
      <c r="P12" s="200"/>
      <c r="Q12" s="200"/>
      <c r="R12" s="200"/>
      <c r="S12" s="200"/>
      <c r="T12" s="200"/>
      <c r="U12" s="200"/>
      <c r="V12" s="200"/>
    </row>
    <row r="13" spans="2:22" x14ac:dyDescent="0.25">
      <c r="B13" s="200">
        <v>25075</v>
      </c>
      <c r="C13" s="200" t="s">
        <v>4055</v>
      </c>
      <c r="D13" s="200">
        <v>82</v>
      </c>
      <c r="E13" s="200"/>
      <c r="F13" s="200"/>
      <c r="G13" s="200"/>
      <c r="H13" s="200"/>
      <c r="I13" s="200"/>
      <c r="J13" s="200"/>
      <c r="K13" s="200"/>
      <c r="L13" s="200"/>
      <c r="M13" s="200"/>
      <c r="N13" s="200"/>
      <c r="O13" s="200"/>
      <c r="P13" s="200"/>
      <c r="Q13" s="200"/>
      <c r="R13" s="200"/>
      <c r="S13" s="200"/>
      <c r="T13" s="200"/>
      <c r="U13" s="200"/>
      <c r="V13" s="200"/>
    </row>
    <row r="14" spans="2:22" x14ac:dyDescent="0.25">
      <c r="B14" s="200">
        <v>26001</v>
      </c>
      <c r="C14" s="200" t="s">
        <v>4056</v>
      </c>
      <c r="D14" s="200"/>
      <c r="E14" s="200"/>
      <c r="F14" s="200"/>
      <c r="G14" s="200"/>
      <c r="H14" s="200"/>
      <c r="I14" s="200"/>
      <c r="J14" s="200"/>
      <c r="K14" s="200">
        <v>461</v>
      </c>
      <c r="L14" s="200"/>
      <c r="M14" s="200"/>
      <c r="N14" s="200"/>
      <c r="O14" s="200"/>
      <c r="P14" s="200"/>
      <c r="Q14" s="200"/>
      <c r="R14" s="200"/>
      <c r="S14" s="200"/>
      <c r="T14" s="200"/>
      <c r="U14" s="200"/>
      <c r="V14" s="200"/>
    </row>
    <row r="15" spans="2:22" x14ac:dyDescent="0.25">
      <c r="B15" s="200">
        <v>26001</v>
      </c>
      <c r="C15" s="200" t="s">
        <v>4057</v>
      </c>
      <c r="D15" s="200"/>
      <c r="E15" s="200"/>
      <c r="F15" s="200"/>
      <c r="G15" s="200"/>
      <c r="H15" s="200"/>
      <c r="I15" s="200"/>
      <c r="J15" s="200">
        <v>200</v>
      </c>
      <c r="K15" s="200">
        <v>320</v>
      </c>
      <c r="L15" s="200">
        <v>200</v>
      </c>
      <c r="M15" s="200"/>
      <c r="N15" s="200"/>
      <c r="O15" s="200"/>
      <c r="P15" s="200"/>
      <c r="Q15" s="200"/>
      <c r="R15" s="200"/>
      <c r="S15" s="200"/>
      <c r="T15" s="200"/>
      <c r="U15" s="200"/>
      <c r="V15" s="200"/>
    </row>
    <row r="16" spans="2:22" x14ac:dyDescent="0.25">
      <c r="B16" s="200">
        <v>24079</v>
      </c>
      <c r="C16" s="200" t="s">
        <v>4058</v>
      </c>
      <c r="D16" s="200">
        <v>300</v>
      </c>
      <c r="E16" s="200">
        <v>600</v>
      </c>
      <c r="F16" s="200">
        <v>400</v>
      </c>
      <c r="G16" s="200">
        <v>400</v>
      </c>
      <c r="H16" s="200">
        <v>300</v>
      </c>
      <c r="I16" s="200">
        <v>200</v>
      </c>
      <c r="J16" s="200"/>
      <c r="K16" s="200"/>
      <c r="L16" s="200"/>
      <c r="M16" s="200"/>
      <c r="N16" s="200"/>
      <c r="O16" s="200"/>
      <c r="P16" s="200"/>
      <c r="Q16" s="200"/>
      <c r="R16" s="200"/>
      <c r="S16" s="200"/>
      <c r="T16" s="200"/>
      <c r="U16" s="200"/>
      <c r="V16" s="200"/>
    </row>
    <row r="17" spans="2:22" x14ac:dyDescent="0.25">
      <c r="B17" s="200">
        <v>24022</v>
      </c>
      <c r="C17" s="200" t="s">
        <v>4059</v>
      </c>
      <c r="D17" s="200"/>
      <c r="E17" s="200">
        <v>109</v>
      </c>
      <c r="F17" s="200"/>
      <c r="G17" s="200"/>
      <c r="H17" s="200"/>
      <c r="I17" s="200"/>
      <c r="J17" s="200"/>
      <c r="K17" s="200"/>
      <c r="L17" s="200"/>
      <c r="M17" s="200"/>
      <c r="N17" s="200"/>
      <c r="O17" s="200"/>
      <c r="P17" s="200"/>
      <c r="Q17" s="200"/>
      <c r="R17" s="200"/>
      <c r="S17" s="200"/>
      <c r="T17" s="200"/>
      <c r="U17" s="200"/>
      <c r="V17" s="200"/>
    </row>
    <row r="18" spans="2:22" x14ac:dyDescent="0.25">
      <c r="B18" s="200">
        <v>25006</v>
      </c>
      <c r="C18" s="200" t="s">
        <v>3927</v>
      </c>
      <c r="D18" s="200"/>
      <c r="E18" s="201">
        <v>600</v>
      </c>
      <c r="F18" s="200"/>
      <c r="G18" s="200"/>
      <c r="H18" s="200"/>
      <c r="I18" s="200"/>
      <c r="J18" s="200"/>
      <c r="K18" s="200"/>
      <c r="L18" s="200"/>
      <c r="M18" s="200"/>
      <c r="N18" s="200"/>
      <c r="O18" s="200"/>
      <c r="P18" s="200"/>
      <c r="Q18" s="200"/>
      <c r="R18" s="200"/>
      <c r="S18" s="200"/>
      <c r="T18" s="200"/>
      <c r="U18" s="200"/>
      <c r="V18" s="200"/>
    </row>
    <row r="19" spans="2:22" x14ac:dyDescent="0.25">
      <c r="B19" s="200">
        <v>25051</v>
      </c>
      <c r="C19" s="200" t="s">
        <v>3929</v>
      </c>
      <c r="D19" s="200"/>
      <c r="E19" s="201">
        <v>182</v>
      </c>
      <c r="F19" s="200"/>
      <c r="G19" s="200"/>
      <c r="H19" s="200"/>
      <c r="I19" s="200"/>
      <c r="J19" s="200"/>
      <c r="K19" s="200"/>
      <c r="L19" s="200"/>
      <c r="M19" s="200"/>
      <c r="N19" s="200"/>
      <c r="O19" s="200"/>
      <c r="P19" s="200"/>
      <c r="Q19" s="200"/>
      <c r="R19" s="200"/>
      <c r="S19" s="200"/>
      <c r="T19" s="200"/>
      <c r="U19" s="200"/>
      <c r="V19" s="200"/>
    </row>
    <row r="20" spans="2:22" x14ac:dyDescent="0.25">
      <c r="B20" s="200">
        <v>25060</v>
      </c>
      <c r="C20" s="200" t="s">
        <v>3930</v>
      </c>
      <c r="D20" s="200"/>
      <c r="E20" s="201">
        <v>300</v>
      </c>
      <c r="F20" s="200">
        <v>338</v>
      </c>
      <c r="G20" s="200"/>
      <c r="H20" s="200"/>
      <c r="I20" s="200"/>
      <c r="J20" s="200"/>
      <c r="K20" s="200"/>
      <c r="L20" s="200"/>
      <c r="M20" s="200"/>
      <c r="N20" s="200"/>
      <c r="O20" s="200"/>
      <c r="P20" s="200"/>
      <c r="Q20" s="200"/>
      <c r="R20" s="200"/>
      <c r="S20" s="200"/>
      <c r="T20" s="200"/>
      <c r="U20" s="200"/>
      <c r="V20" s="200"/>
    </row>
    <row r="21" spans="2:22" x14ac:dyDescent="0.25">
      <c r="B21" s="200">
        <v>24086</v>
      </c>
      <c r="C21" s="200" t="s">
        <v>4060</v>
      </c>
      <c r="D21" s="200"/>
      <c r="E21" s="200"/>
      <c r="F21" s="200">
        <v>200</v>
      </c>
      <c r="G21" s="200"/>
      <c r="H21" s="200"/>
      <c r="I21" s="200"/>
      <c r="J21" s="200"/>
      <c r="K21" s="200"/>
      <c r="L21" s="200"/>
      <c r="M21" s="200">
        <v>2000</v>
      </c>
      <c r="N21" s="200"/>
      <c r="O21" s="200"/>
      <c r="P21" s="200">
        <v>1500</v>
      </c>
      <c r="Q21" s="200"/>
      <c r="R21" s="200"/>
      <c r="S21" s="200"/>
      <c r="T21" s="200"/>
      <c r="U21" s="200">
        <v>600</v>
      </c>
      <c r="V21" s="200">
        <v>600</v>
      </c>
    </row>
    <row r="22" spans="2:22" x14ac:dyDescent="0.25">
      <c r="B22" s="200">
        <v>25077</v>
      </c>
      <c r="C22" s="200" t="s">
        <v>4061</v>
      </c>
      <c r="D22" s="200"/>
      <c r="F22" s="200">
        <v>420</v>
      </c>
      <c r="G22" s="200">
        <v>425</v>
      </c>
      <c r="H22" s="200"/>
      <c r="I22" s="200"/>
      <c r="J22" s="200"/>
      <c r="K22" s="200"/>
      <c r="L22" s="200"/>
      <c r="M22" s="200"/>
      <c r="N22" s="200"/>
      <c r="O22" s="200"/>
      <c r="P22" s="200"/>
      <c r="Q22" s="200"/>
      <c r="R22" s="200"/>
      <c r="S22" s="200"/>
      <c r="T22" s="200"/>
      <c r="U22" s="200"/>
      <c r="V22" s="200"/>
    </row>
    <row r="23" spans="2:22" x14ac:dyDescent="0.25">
      <c r="B23" s="200">
        <v>25043</v>
      </c>
      <c r="C23" s="200" t="s">
        <v>4062</v>
      </c>
      <c r="D23" s="200"/>
      <c r="E23" s="200"/>
      <c r="F23" s="200"/>
      <c r="G23" s="200"/>
      <c r="H23" s="200"/>
      <c r="I23" s="200"/>
      <c r="J23" s="200"/>
      <c r="K23" s="200"/>
      <c r="L23" s="200"/>
      <c r="M23" s="200">
        <v>630</v>
      </c>
      <c r="N23" s="200">
        <v>630</v>
      </c>
      <c r="O23" s="200">
        <v>630</v>
      </c>
      <c r="P23" s="200">
        <v>171</v>
      </c>
      <c r="Q23" s="200"/>
      <c r="R23" s="200"/>
      <c r="S23" s="200"/>
      <c r="T23" s="200"/>
      <c r="U23" s="200"/>
      <c r="V23" s="200"/>
    </row>
    <row r="24" spans="2:22" x14ac:dyDescent="0.25">
      <c r="B24" s="200">
        <v>25007</v>
      </c>
      <c r="C24" s="200" t="s">
        <v>1134</v>
      </c>
      <c r="D24" s="200">
        <v>65</v>
      </c>
      <c r="E24" s="200"/>
      <c r="F24" s="200"/>
      <c r="G24" s="200"/>
      <c r="H24" s="200"/>
      <c r="I24" s="200"/>
      <c r="J24" s="200"/>
      <c r="K24" s="200"/>
      <c r="L24" s="200"/>
      <c r="M24" s="200"/>
      <c r="N24" s="200"/>
      <c r="O24" s="200"/>
      <c r="P24" s="200"/>
      <c r="Q24" s="200"/>
      <c r="R24" s="200"/>
      <c r="S24" s="200"/>
      <c r="T24" s="200"/>
      <c r="U24" s="200"/>
      <c r="V24" s="200"/>
    </row>
    <row r="25" spans="2:22" x14ac:dyDescent="0.25">
      <c r="B25" s="200">
        <v>25037</v>
      </c>
      <c r="C25" s="200" t="s">
        <v>3931</v>
      </c>
      <c r="D25" s="200">
        <v>338</v>
      </c>
      <c r="E25" s="201">
        <v>169</v>
      </c>
      <c r="F25" s="200">
        <v>169</v>
      </c>
      <c r="G25" s="200"/>
      <c r="H25" s="200"/>
      <c r="I25" s="200"/>
      <c r="J25" s="200"/>
      <c r="K25" s="200"/>
      <c r="L25" s="200"/>
      <c r="M25" s="200"/>
      <c r="N25" s="200"/>
      <c r="O25" s="200"/>
      <c r="P25" s="200"/>
      <c r="Q25" s="200"/>
      <c r="R25" s="200"/>
      <c r="S25" s="200"/>
      <c r="T25" s="200"/>
      <c r="U25" s="200"/>
      <c r="V25" s="200"/>
    </row>
    <row r="26" spans="2:22" x14ac:dyDescent="0.25">
      <c r="B26" s="200">
        <v>25038</v>
      </c>
      <c r="C26" s="200" t="s">
        <v>3931</v>
      </c>
      <c r="D26" s="200"/>
      <c r="E26" s="201">
        <v>210</v>
      </c>
      <c r="F26" s="200"/>
      <c r="G26" s="200"/>
      <c r="H26" s="200"/>
      <c r="I26" s="200"/>
      <c r="J26" s="200"/>
      <c r="K26" s="200"/>
      <c r="L26" s="200"/>
      <c r="M26" s="200"/>
      <c r="N26" s="200"/>
      <c r="O26" s="200"/>
      <c r="P26" s="200"/>
      <c r="Q26" s="200"/>
      <c r="R26" s="200"/>
      <c r="S26" s="200"/>
      <c r="T26" s="200"/>
      <c r="U26" s="200"/>
      <c r="V26" s="200"/>
    </row>
    <row r="27" spans="2:22" x14ac:dyDescent="0.25">
      <c r="B27" s="200">
        <v>25058</v>
      </c>
      <c r="C27" s="200" t="s">
        <v>4063</v>
      </c>
      <c r="D27" s="200"/>
      <c r="E27" s="200">
        <v>6</v>
      </c>
      <c r="F27" s="200"/>
      <c r="G27" s="200"/>
      <c r="H27" s="200"/>
      <c r="I27" s="200"/>
      <c r="J27" s="200"/>
      <c r="K27" s="200"/>
      <c r="L27" s="200"/>
      <c r="M27" s="200"/>
      <c r="N27" s="200"/>
      <c r="O27" s="200"/>
      <c r="P27" s="200"/>
      <c r="Q27" s="200"/>
      <c r="R27" s="200"/>
      <c r="S27" s="200"/>
      <c r="T27" s="200"/>
      <c r="U27" s="200"/>
      <c r="V27" s="200"/>
    </row>
    <row r="28" spans="2:22" x14ac:dyDescent="0.25">
      <c r="B28" s="200">
        <v>25062</v>
      </c>
      <c r="C28" s="200" t="s">
        <v>4064</v>
      </c>
      <c r="D28" s="200">
        <v>20</v>
      </c>
      <c r="E28" s="200"/>
      <c r="F28" s="200"/>
      <c r="G28" s="200"/>
      <c r="H28" s="200"/>
      <c r="I28" s="200"/>
      <c r="J28" s="200"/>
      <c r="K28" s="200"/>
      <c r="L28" s="200"/>
      <c r="M28" s="200"/>
      <c r="N28" s="200"/>
      <c r="O28" s="200"/>
      <c r="P28" s="200"/>
      <c r="Q28" s="200"/>
      <c r="R28" s="200"/>
      <c r="S28" s="200"/>
      <c r="T28" s="200"/>
      <c r="U28" s="200"/>
      <c r="V28" s="200"/>
    </row>
    <row r="29" spans="2:22" x14ac:dyDescent="0.25">
      <c r="B29" s="200">
        <v>25076</v>
      </c>
      <c r="C29" s="200" t="s">
        <v>4065</v>
      </c>
      <c r="D29" s="200"/>
      <c r="E29" s="200"/>
      <c r="F29" s="200"/>
      <c r="G29" s="200">
        <v>194</v>
      </c>
      <c r="H29" s="200"/>
      <c r="I29" s="200"/>
      <c r="J29" s="200"/>
      <c r="K29" s="200"/>
      <c r="L29" s="200"/>
      <c r="M29" s="200"/>
      <c r="N29" s="200"/>
      <c r="O29" s="200"/>
      <c r="P29" s="200"/>
      <c r="Q29" s="200"/>
      <c r="R29" s="200"/>
      <c r="S29" s="200"/>
      <c r="T29" s="200"/>
      <c r="U29" s="200"/>
      <c r="V29" s="200"/>
    </row>
    <row r="30" spans="2:22" x14ac:dyDescent="0.25">
      <c r="B30" s="200">
        <v>26002</v>
      </c>
      <c r="C30" s="200" t="s">
        <v>4066</v>
      </c>
      <c r="D30" s="200"/>
      <c r="E30" s="200"/>
      <c r="F30" s="200"/>
      <c r="G30" s="200">
        <v>100</v>
      </c>
      <c r="H30" s="200">
        <v>100</v>
      </c>
      <c r="I30" s="200">
        <v>119</v>
      </c>
      <c r="J30" s="200"/>
      <c r="K30" s="200"/>
      <c r="L30" s="200"/>
      <c r="M30" s="200"/>
      <c r="N30" s="200"/>
      <c r="O30" s="200"/>
      <c r="P30" s="200"/>
      <c r="Q30" s="200"/>
      <c r="R30" s="200"/>
      <c r="S30" s="200"/>
      <c r="T30" s="200"/>
      <c r="U30" s="200"/>
      <c r="V30" s="200"/>
    </row>
    <row r="31" spans="2:22" x14ac:dyDescent="0.25">
      <c r="B31" s="200">
        <v>26005</v>
      </c>
      <c r="C31" s="200" t="s">
        <v>4067</v>
      </c>
      <c r="D31" s="200"/>
      <c r="E31" s="200"/>
      <c r="F31" s="200"/>
      <c r="G31" s="200"/>
      <c r="H31" s="200"/>
      <c r="I31" s="200"/>
      <c r="J31" s="200"/>
      <c r="K31" s="200"/>
      <c r="L31" s="200"/>
      <c r="M31" s="200">
        <v>423</v>
      </c>
      <c r="N31" s="200"/>
      <c r="O31" s="200"/>
      <c r="P31" s="200"/>
      <c r="Q31" s="200"/>
      <c r="R31" s="200"/>
      <c r="S31" s="200"/>
      <c r="T31" s="200"/>
      <c r="U31" s="200"/>
      <c r="V31" s="200"/>
    </row>
    <row r="32" spans="2:22" x14ac:dyDescent="0.25">
      <c r="B32" s="200">
        <v>25029</v>
      </c>
      <c r="C32" s="200" t="s">
        <v>4068</v>
      </c>
      <c r="D32" s="200"/>
      <c r="E32" s="200">
        <v>15</v>
      </c>
      <c r="F32" s="200"/>
      <c r="G32" s="200"/>
      <c r="H32" s="200"/>
      <c r="I32" s="200"/>
      <c r="J32" s="200"/>
      <c r="K32" s="200"/>
      <c r="L32" s="200"/>
      <c r="M32" s="200"/>
      <c r="N32" s="200"/>
      <c r="O32" s="200"/>
      <c r="P32" s="200"/>
      <c r="Q32" s="200"/>
      <c r="R32" s="200"/>
      <c r="S32" s="200"/>
      <c r="T32" s="200"/>
      <c r="U32" s="200"/>
      <c r="V32" s="200"/>
    </row>
    <row r="33" spans="2:22" x14ac:dyDescent="0.25">
      <c r="B33" s="200">
        <v>25012</v>
      </c>
      <c r="C33" s="200" t="s">
        <v>4069</v>
      </c>
      <c r="D33" s="200">
        <v>157</v>
      </c>
      <c r="E33" s="200"/>
      <c r="F33" s="200"/>
      <c r="G33" s="200">
        <v>45</v>
      </c>
      <c r="H33" s="200">
        <v>71</v>
      </c>
      <c r="I33" s="200">
        <v>207</v>
      </c>
      <c r="J33" s="200">
        <v>130</v>
      </c>
      <c r="K33" s="200"/>
      <c r="L33" s="200"/>
      <c r="M33" s="200"/>
      <c r="N33" s="200"/>
      <c r="O33" s="200"/>
      <c r="P33" s="200"/>
      <c r="Q33" s="200"/>
      <c r="R33" s="200"/>
      <c r="S33" s="200"/>
      <c r="T33" s="200"/>
      <c r="U33" s="200"/>
      <c r="V33" s="200"/>
    </row>
    <row r="34" spans="2:22" x14ac:dyDescent="0.25">
      <c r="B34" s="200">
        <v>27074</v>
      </c>
      <c r="C34" s="200" t="s">
        <v>1305</v>
      </c>
      <c r="D34" s="200">
        <v>404</v>
      </c>
      <c r="E34" s="201">
        <v>436</v>
      </c>
      <c r="F34" s="200"/>
      <c r="G34" s="200"/>
      <c r="H34" s="200"/>
      <c r="I34" s="200"/>
      <c r="J34" s="200"/>
      <c r="K34" s="200"/>
      <c r="L34" s="200"/>
      <c r="M34" s="200"/>
      <c r="N34" s="200"/>
      <c r="O34" s="200"/>
      <c r="P34" s="200"/>
      <c r="Q34" s="200"/>
      <c r="R34" s="200"/>
      <c r="S34" s="200"/>
      <c r="T34" s="200"/>
      <c r="U34" s="200"/>
      <c r="V34" s="200"/>
    </row>
    <row r="35" spans="2:22" x14ac:dyDescent="0.25">
      <c r="B35" s="200">
        <v>25041</v>
      </c>
      <c r="C35" s="200" t="s">
        <v>4070</v>
      </c>
      <c r="D35" s="200"/>
      <c r="E35" s="200">
        <v>29</v>
      </c>
      <c r="F35" s="200"/>
      <c r="G35" s="200"/>
      <c r="H35" s="200"/>
      <c r="I35" s="200"/>
      <c r="J35" s="200"/>
      <c r="K35" s="200"/>
      <c r="L35" s="200"/>
      <c r="M35" s="200"/>
      <c r="N35" s="200"/>
      <c r="O35" s="200"/>
      <c r="P35" s="200"/>
      <c r="Q35" s="200"/>
      <c r="R35" s="200"/>
      <c r="S35" s="200"/>
      <c r="T35" s="200"/>
      <c r="U35" s="200"/>
      <c r="V35" s="200"/>
    </row>
    <row r="36" spans="2:22" x14ac:dyDescent="0.25">
      <c r="B36" s="200">
        <v>25048</v>
      </c>
      <c r="C36" s="200" t="s">
        <v>4071</v>
      </c>
      <c r="D36" s="200"/>
      <c r="E36" s="200"/>
      <c r="F36" s="200"/>
      <c r="G36" s="200"/>
      <c r="H36" s="200"/>
      <c r="I36" s="200"/>
      <c r="J36" s="200"/>
      <c r="K36" s="200"/>
      <c r="L36" s="200"/>
      <c r="M36" s="200"/>
      <c r="N36" s="200"/>
      <c r="O36" s="200"/>
      <c r="P36" s="200"/>
      <c r="Q36" s="200"/>
      <c r="R36" s="200"/>
      <c r="S36" s="200"/>
      <c r="T36" s="200"/>
      <c r="U36" s="200"/>
      <c r="V36" s="200"/>
    </row>
    <row r="37" spans="2:22" s="198" customFormat="1" x14ac:dyDescent="0.25">
      <c r="C37" s="198" t="s">
        <v>4072</v>
      </c>
      <c r="D37" s="198">
        <f>SUM(D5:D36)</f>
        <v>1991</v>
      </c>
      <c r="E37" s="198">
        <f t="shared" ref="E37:V37" si="0">SUM(E5:E36)</f>
        <v>4156</v>
      </c>
      <c r="F37" s="198">
        <f t="shared" si="0"/>
        <v>3252</v>
      </c>
      <c r="G37" s="198">
        <f t="shared" si="0"/>
        <v>2831</v>
      </c>
      <c r="H37" s="198">
        <f t="shared" si="0"/>
        <v>2295</v>
      </c>
      <c r="I37" s="198">
        <f t="shared" si="0"/>
        <v>1826</v>
      </c>
      <c r="J37" s="198">
        <f t="shared" si="0"/>
        <v>1630</v>
      </c>
      <c r="K37" s="198">
        <f t="shared" si="0"/>
        <v>1781</v>
      </c>
      <c r="L37" s="198">
        <f t="shared" si="0"/>
        <v>1200</v>
      </c>
      <c r="M37" s="198">
        <f t="shared" si="0"/>
        <v>4853</v>
      </c>
      <c r="N37" s="198">
        <f t="shared" si="0"/>
        <v>2130</v>
      </c>
      <c r="O37" s="198">
        <f t="shared" si="0"/>
        <v>2230</v>
      </c>
      <c r="P37" s="198">
        <f t="shared" si="0"/>
        <v>3271</v>
      </c>
      <c r="Q37" s="198">
        <f t="shared" si="0"/>
        <v>0</v>
      </c>
      <c r="R37" s="198">
        <f t="shared" si="0"/>
        <v>0</v>
      </c>
      <c r="S37" s="198">
        <f t="shared" si="0"/>
        <v>0</v>
      </c>
      <c r="T37" s="198">
        <f t="shared" si="0"/>
        <v>0</v>
      </c>
      <c r="U37" s="198">
        <f t="shared" si="0"/>
        <v>600</v>
      </c>
      <c r="V37" s="198">
        <f t="shared" si="0"/>
        <v>600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F7361-075A-4529-B35A-B1D02584F991}">
  <sheetPr>
    <tabColor rgb="FFFF6600"/>
  </sheetPr>
  <dimension ref="A1:N42"/>
  <sheetViews>
    <sheetView workbookViewId="0">
      <pane ySplit="3" topLeftCell="A4" activePane="bottomLeft" state="frozen"/>
      <selection pane="bottomLeft" activeCell="A2" sqref="A2"/>
    </sheetView>
  </sheetViews>
  <sheetFormatPr defaultRowHeight="15" x14ac:dyDescent="0.25"/>
  <cols>
    <col min="1" max="1" width="22.85546875" customWidth="1"/>
    <col min="2" max="2" width="19" customWidth="1"/>
    <col min="3" max="3" width="22.85546875" customWidth="1"/>
    <col min="4" max="4" width="19" customWidth="1"/>
    <col min="5" max="5" width="22.85546875" customWidth="1"/>
    <col min="6" max="6" width="19" customWidth="1"/>
    <col min="7" max="7" width="22.85546875" customWidth="1"/>
    <col min="8" max="8" width="38.140625" customWidth="1"/>
    <col min="9" max="14" width="16.140625" customWidth="1"/>
  </cols>
  <sheetData>
    <row r="1" spans="1:9" ht="24" x14ac:dyDescent="0.4">
      <c r="A1" s="268" t="s">
        <v>4073</v>
      </c>
    </row>
    <row r="2" spans="1:9" x14ac:dyDescent="0.25">
      <c r="A2" s="269" t="str">
        <f ca="1">"Auto-updates from Production Schedule | Today: "&amp;TEXT(I2,"m/d/yyyy")</f>
        <v>Auto-updates from Production Schedule | Today: 4/16/2026</v>
      </c>
      <c r="H2" t="s">
        <v>4074</v>
      </c>
      <c r="I2" s="1">
        <f ca="1">TODAY()</f>
        <v>46128</v>
      </c>
    </row>
    <row r="4" spans="1:9" ht="18.75" x14ac:dyDescent="0.3">
      <c r="A4" s="319" t="s">
        <v>4075</v>
      </c>
      <c r="B4" s="319"/>
      <c r="C4" s="319"/>
      <c r="D4" s="319"/>
      <c r="E4" s="319"/>
      <c r="F4" s="319"/>
    </row>
    <row r="5" spans="1:9" x14ac:dyDescent="0.25">
      <c r="A5" s="212" t="s">
        <v>2786</v>
      </c>
      <c r="B5" s="212" t="s">
        <v>3</v>
      </c>
      <c r="C5" s="212" t="s">
        <v>5</v>
      </c>
      <c r="D5" s="212" t="s">
        <v>17</v>
      </c>
      <c r="E5" s="212" t="s">
        <v>18</v>
      </c>
      <c r="F5" s="212" t="s">
        <v>2738</v>
      </c>
    </row>
    <row r="6" spans="1:9" x14ac:dyDescent="0.25">
      <c r="A6" t="str" cm="1">
        <f t="array" aca="1" ref="A6:F7" ca="1">IFERROR(_xlfn._xlws.FILTER(_xlfn.CHOOSECOLS('Production Schedule'!$B$2:$CC$298,1,3,5,17,18,80),'Production Schedule'!$BC$2:$BC$298=TODAY(),"No jobs shipping today"),"No jobs shipping today")</f>
        <v>24074-FS06</v>
      </c>
      <c r="B6" t="str">
        <f ca="1"/>
        <v>DIDD ACM</v>
      </c>
      <c r="C6" t="str">
        <f ca="1"/>
        <v>Dillon Bowman</v>
      </c>
      <c r="D6">
        <f ca="1"/>
        <v>40</v>
      </c>
      <c r="E6">
        <f ca="1"/>
        <v>40</v>
      </c>
      <c r="F6" t="str">
        <f ca="1"/>
        <v>Ready to Ship</v>
      </c>
    </row>
    <row r="7" spans="1:9" x14ac:dyDescent="0.25">
      <c r="A7" t="str">
        <f ca="1"/>
        <v>26014-04-ST02</v>
      </c>
      <c r="B7" t="str">
        <f ca="1"/>
        <v>2026 R &amp; D</v>
      </c>
      <c r="C7" t="str">
        <f ca="1"/>
        <v>TBC</v>
      </c>
      <c r="D7">
        <f ca="1"/>
        <v>0</v>
      </c>
      <c r="E7">
        <f ca="1"/>
        <v>15</v>
      </c>
      <c r="F7" t="str">
        <f ca="1"/>
        <v>TruLaser 3040</v>
      </c>
    </row>
    <row r="16" spans="1:9" ht="15.75" x14ac:dyDescent="0.25">
      <c r="A16" s="318" t="s">
        <v>4076</v>
      </c>
      <c r="B16" s="318"/>
      <c r="C16" s="318"/>
      <c r="D16" s="318"/>
      <c r="E16" s="318"/>
      <c r="F16" s="318"/>
      <c r="G16" s="318"/>
      <c r="H16" s="318"/>
    </row>
    <row r="17" spans="1:14" x14ac:dyDescent="0.25">
      <c r="A17" s="212" t="s">
        <v>2786</v>
      </c>
      <c r="B17" s="212" t="s">
        <v>3</v>
      </c>
      <c r="C17" s="212" t="s">
        <v>5</v>
      </c>
      <c r="D17" s="212" t="s">
        <v>17</v>
      </c>
      <c r="E17" s="212" t="s">
        <v>18</v>
      </c>
      <c r="F17" s="212" t="s">
        <v>4077</v>
      </c>
      <c r="G17" s="212" t="s">
        <v>2738</v>
      </c>
      <c r="H17" s="212" t="s">
        <v>2742</v>
      </c>
    </row>
    <row r="18" spans="1:14" x14ac:dyDescent="0.25">
      <c r="A18" t="str" cm="1">
        <f t="array" aca="1" ref="A18:G21" ca="1">IFERROR(_xlfn._xlws.FILTER(_xlfn.CHOOSECOLS('Production Schedule'!$B$2:$CC$298,1,3,5,17,18,50,80),'Production Schedule'!$AY$2:$AY$298&gt;=TODAY()-1,"None released in last 24 hours"),"None released in last 24 hours")</f>
        <v>24051-FS89</v>
      </c>
      <c r="B18" t="str">
        <f ca="1"/>
        <v>TN Titans Stadium</v>
      </c>
      <c r="C18" t="str">
        <f ca="1"/>
        <v>Marc Ribar</v>
      </c>
      <c r="D18">
        <f ca="1"/>
        <v>40</v>
      </c>
      <c r="E18">
        <f ca="1"/>
        <v>40</v>
      </c>
      <c r="F18" s="1">
        <f ca="1"/>
        <v>46127</v>
      </c>
      <c r="G18" t="str">
        <f ca="1"/>
        <v>AXYZ 34</v>
      </c>
      <c r="H18" s="131" t="str">
        <f ca="1">IFERROR(IF(VLOOKUP(A18,Notes!$A:$B,2,FALSE)=0,"",VLOOKUP(A18,Notes!$A:$B,2,FALSE)),"")</f>
        <v>04/14...Next Titans Requesting//Scheduled to be released to the shop 04/16.*04/16/2026…AXYZ 34</v>
      </c>
    </row>
    <row r="19" spans="1:14" x14ac:dyDescent="0.25">
      <c r="A19" t="str">
        <f ca="1"/>
        <v>25012-FS02</v>
      </c>
      <c r="B19" t="str">
        <f ca="1"/>
        <v>St Jude Hospital</v>
      </c>
      <c r="C19" t="str">
        <f ca="1"/>
        <v>Wylie McDougall</v>
      </c>
      <c r="D19">
        <f ca="1"/>
        <v>60</v>
      </c>
      <c r="E19">
        <f ca="1"/>
        <v>60</v>
      </c>
      <c r="F19" s="1">
        <f ca="1"/>
        <v>46127</v>
      </c>
      <c r="G19" t="str">
        <f ca="1"/>
        <v>AXYZ 34</v>
      </c>
      <c r="H19" s="131" t="str">
        <f ca="1">IFERROR(IF(VLOOKUP(A19,Notes!$A:$B,2,FALSE)=0,"",VLOOKUP(A19,Notes!$A:$B,2,FALSE)),"")</f>
        <v>04/16/2026…AXYZ 34</v>
      </c>
    </row>
    <row r="20" spans="1:14" x14ac:dyDescent="0.25">
      <c r="A20" t="str">
        <f ca="1"/>
        <v>24051-FL01</v>
      </c>
      <c r="B20" t="str">
        <f ca="1"/>
        <v>TN Titans Stadium</v>
      </c>
      <c r="C20" t="str">
        <f ca="1"/>
        <v>Marc Ribar</v>
      </c>
      <c r="D20">
        <f ca="1"/>
        <v>0</v>
      </c>
      <c r="E20">
        <f ca="1"/>
        <v>25</v>
      </c>
      <c r="F20" s="1">
        <f ca="1"/>
        <v>46128</v>
      </c>
      <c r="G20" t="str">
        <f ca="1"/>
        <v>Release to Shop</v>
      </c>
      <c r="H20" s="131" t="str">
        <f ca="1">IFERROR(IF(VLOOKUP(A20,Notes!$A:$B,2,FALSE)=0,"",VLOOKUP(A20,Notes!$A:$B,2,FALSE)),"")</f>
        <v>04/16/2026…Release to Shop</v>
      </c>
    </row>
    <row r="21" spans="1:14" x14ac:dyDescent="0.25">
      <c r="A21" t="str">
        <f ca="1"/>
        <v>25022-RM01</v>
      </c>
      <c r="B21" t="str">
        <f ca="1"/>
        <v>Vantage VA15</v>
      </c>
      <c r="C21" t="str">
        <f ca="1"/>
        <v>Thomas Mooers</v>
      </c>
      <c r="D21">
        <f ca="1"/>
        <v>4</v>
      </c>
      <c r="E21">
        <f ca="1"/>
        <v>4</v>
      </c>
      <c r="F21" s="1">
        <f ca="1"/>
        <v>46127</v>
      </c>
      <c r="G21" t="str">
        <f ca="1"/>
        <v>AXYZ 34</v>
      </c>
      <c r="H21" s="131" t="str">
        <f ca="1">IFERROR(IF(VLOOKUP(A21,Notes!$A:$B,2,FALSE)=0,"",VLOOKUP(A21,Notes!$A:$B,2,FALSE)),"")</f>
        <v>04/16/2026…AXYZ 34</v>
      </c>
    </row>
    <row r="22" spans="1:14" x14ac:dyDescent="0.25">
      <c r="F22" s="1"/>
      <c r="H22" s="131" t="str">
        <f>IFERROR(IF(VLOOKUP(A22,Notes!$A:$B,2,FALSE)=0,"",VLOOKUP(A22,Notes!$A:$B,2,FALSE)),"")</f>
        <v/>
      </c>
    </row>
    <row r="23" spans="1:14" x14ac:dyDescent="0.25">
      <c r="F23" s="1"/>
      <c r="H23" s="131" t="str">
        <f>IFERROR(IF(VLOOKUP(A23,Notes!$A:$B,2,FALSE)=0,"",VLOOKUP(A23,Notes!$A:$B,2,FALSE)),"")</f>
        <v/>
      </c>
    </row>
    <row r="24" spans="1:14" x14ac:dyDescent="0.25">
      <c r="F24" s="1"/>
      <c r="H24" s="131" t="str">
        <f>IFERROR(IF(VLOOKUP(A24,Notes!$A:$B,2,FALSE)=0,"",VLOOKUP(A24,Notes!$A:$B,2,FALSE)),"")</f>
        <v/>
      </c>
    </row>
    <row r="25" spans="1:14" x14ac:dyDescent="0.25">
      <c r="F25" s="1"/>
      <c r="H25" s="131" t="str">
        <f>IFERROR(IF(VLOOKUP(A25,Notes!$A:$B,2,FALSE)=0,"",VLOOKUP(A25,Notes!$A:$B,2,FALSE)),"")</f>
        <v/>
      </c>
    </row>
    <row r="26" spans="1:14" x14ac:dyDescent="0.25">
      <c r="F26" s="1"/>
      <c r="H26" s="131" t="str">
        <f>IFERROR(IF(VLOOKUP(A26,Notes!$A:$B,2,FALSE)=0,"",VLOOKUP(A26,Notes!$A:$B,2,FALSE)),"")</f>
        <v/>
      </c>
    </row>
    <row r="27" spans="1:14" x14ac:dyDescent="0.25">
      <c r="F27" s="1"/>
    </row>
    <row r="28" spans="1:14" ht="18.75" x14ac:dyDescent="0.3">
      <c r="A28" s="320" t="s">
        <v>4078</v>
      </c>
      <c r="B28" s="320"/>
      <c r="C28" s="320"/>
      <c r="D28" s="320"/>
      <c r="E28" s="320"/>
      <c r="F28" s="320"/>
      <c r="G28" s="320"/>
      <c r="H28" s="320"/>
      <c r="I28" s="320"/>
      <c r="J28" s="320"/>
      <c r="K28" s="320"/>
      <c r="L28" s="320"/>
      <c r="M28" s="320"/>
      <c r="N28" s="320"/>
    </row>
    <row r="29" spans="1:14" x14ac:dyDescent="0.25">
      <c r="A29" s="321" t="s">
        <v>242</v>
      </c>
      <c r="B29" s="321"/>
      <c r="C29" s="321" t="s">
        <v>820</v>
      </c>
      <c r="D29" s="321"/>
      <c r="E29" s="321" t="s">
        <v>319</v>
      </c>
      <c r="F29" s="321"/>
      <c r="G29" s="321" t="s">
        <v>106</v>
      </c>
      <c r="H29" s="321"/>
      <c r="I29" s="321" t="s">
        <v>92</v>
      </c>
      <c r="J29" s="321"/>
      <c r="K29" s="321" t="s">
        <v>93</v>
      </c>
      <c r="L29" s="321"/>
      <c r="M29" s="321" t="s">
        <v>89</v>
      </c>
      <c r="N29" s="321"/>
    </row>
    <row r="30" spans="1:14" x14ac:dyDescent="0.25">
      <c r="A30" s="271" t="s">
        <v>2786</v>
      </c>
      <c r="B30" s="271" t="s">
        <v>2785</v>
      </c>
      <c r="C30" s="271" t="s">
        <v>2786</v>
      </c>
      <c r="D30" s="271" t="s">
        <v>2785</v>
      </c>
      <c r="E30" s="271" t="s">
        <v>2786</v>
      </c>
      <c r="F30" s="271" t="s">
        <v>2785</v>
      </c>
      <c r="G30" s="271" t="s">
        <v>2786</v>
      </c>
      <c r="H30" s="271" t="s">
        <v>2785</v>
      </c>
      <c r="I30" s="271" t="s">
        <v>2786</v>
      </c>
      <c r="J30" s="271" t="s">
        <v>2785</v>
      </c>
      <c r="K30" s="271" t="s">
        <v>2786</v>
      </c>
      <c r="L30" s="271" t="s">
        <v>2785</v>
      </c>
      <c r="M30" s="271" t="s">
        <v>2786</v>
      </c>
      <c r="N30" s="271" t="s">
        <v>2785</v>
      </c>
    </row>
    <row r="31" spans="1:14" x14ac:dyDescent="0.25">
      <c r="A31" s="272" t="str" cm="1">
        <f t="array" ref="A31">IFERROR(INDEX(_xlfn._xlws.FILTER('Production Schedule'!$B$2:$B$298,'Production Schedule'!$CC$2:$CC$298="AXYZ Titans Line"),1),"-")</f>
        <v>-</v>
      </c>
      <c r="B31" s="273" t="str" cm="1">
        <f t="array" ref="B31">IFERROR(INDEX(_xlfn._xlws.FILTER('Production Schedule'!$BC$2:$BC$298,'Production Schedule'!$CC$2:$CC$298="AXYZ Titans Line"),1),"-")</f>
        <v>-</v>
      </c>
      <c r="C31" s="272" t="str" cm="1">
        <f t="array" ref="C31">IFERROR(INDEX(_xlfn._xlws.FILTER('Production Schedule'!$B$2:$B$298,'Production Schedule'!$CC$2:$CC$298="AXYZ 34"),1),"-")</f>
        <v>24026-FS01</v>
      </c>
      <c r="D31" s="273" cm="1">
        <f t="array" ref="D31">IFERROR(INDEX(_xlfn._xlws.FILTER('Production Schedule'!$BC$2:$BC$298,'Production Schedule'!$CC$2:$CC$298="AXYZ 34"),1),"-")</f>
        <v>46139</v>
      </c>
      <c r="E31" s="272" t="str" cm="1">
        <f t="array" ref="E31">IFERROR(INDEX(_xlfn._xlws.FILTER('Production Schedule'!$B$2:$B$298,'Production Schedule'!$CC$2:$CC$298="Clean and Brake"),1),"-")</f>
        <v>25002-FS11.1</v>
      </c>
      <c r="F31" s="273" cm="1">
        <f t="array" ref="F31">IFERROR(INDEX(_xlfn._xlws.FILTER('Production Schedule'!$BC$2:$BC$298,'Production Schedule'!$CC$2:$CC$298="Clean and Brake"),1),"-")</f>
        <v>46083</v>
      </c>
      <c r="G31" s="272" t="str" cm="1">
        <f t="array" ref="G31">IFERROR(INDEX(_xlfn._xlws.FILTER('Production Schedule'!$B$2:$B$298,'Production Schedule'!$CC$2:$CC$298="Fab"),1),"-")</f>
        <v>-</v>
      </c>
      <c r="H31" s="273" t="str" cm="1">
        <f t="array" ref="H31">IFERROR(INDEX(_xlfn._xlws.FILTER('Production Schedule'!$BC$2:$BC$298,'Production Schedule'!$CC$2:$CC$298="Fab"),1),"-")</f>
        <v>-</v>
      </c>
      <c r="I31" s="272" t="str" cm="1">
        <f t="array" ref="I31">IFERROR(INDEX(_xlfn._xlws.FILTER('Production Schedule'!$B$2:$B$298,'Production Schedule'!$CC$2:$CC$298="Shear"),1),"-")</f>
        <v>25032-FL01</v>
      </c>
      <c r="J31" s="273" cm="1">
        <f t="array" ref="J31">IFERROR(INDEX(_xlfn._xlws.FILTER('Production Schedule'!$BC$2:$BC$298,'Production Schedule'!$CC$2:$CC$298="Shear"),1),"-")</f>
        <v>46108</v>
      </c>
      <c r="K31" s="272" t="str" cm="1">
        <f t="array" ref="K31">IFERROR(INDEX(_xlfn._xlws.FILTER('Production Schedule'!$B$2:$B$298,'Production Schedule'!$CC$2:$CC$298="Cidan"),1),"-")</f>
        <v>25061-FL01</v>
      </c>
      <c r="L31" s="273" cm="1">
        <f t="array" ref="L31">IFERROR(INDEX(_xlfn._xlws.FILTER('Production Schedule'!$BC$2:$BC$298,'Production Schedule'!$CC$2:$CC$298="Cidan"),1),"-")</f>
        <v>46129</v>
      </c>
      <c r="M31" s="272" t="str" cm="1">
        <f t="array" ref="M31">IFERROR(INDEX(_xlfn._xlws.FILTER('Production Schedule'!$B$2:$B$298,OR('Production Schedule'!$CC$2:$CC$298="TruPunch 5000",'Production Schedule'!$CC$2:$CC$298="Punch")),1),"-")</f>
        <v>24060-BM01</v>
      </c>
      <c r="N31" s="273" cm="1">
        <f t="array" ref="N31">IFERROR(INDEX(_xlfn._xlws.FILTER('Production Schedule'!$BC$2:$BC$298,OR('Production Schedule'!$CC$2:$CC$298="TruPunch 5000",'Production Schedule'!$CC$2:$CC$298="Punch")),1),"-")</f>
        <v>45709</v>
      </c>
    </row>
    <row r="32" spans="1:14" x14ac:dyDescent="0.25">
      <c r="A32" s="200" t="str" cm="1">
        <f t="array" ref="A32">IFERROR(INDEX(_xlfn._xlws.FILTER('Production Schedule'!$B$2:$B$298,'Production Schedule'!$CC$2:$CC$298="AXYZ Titans Line"),2),"-")</f>
        <v>-</v>
      </c>
      <c r="B32" s="225" t="str" cm="1">
        <f t="array" ref="B32">IFERROR(INDEX(_xlfn._xlws.FILTER('Production Schedule'!$BC$2:$BC$298,'Production Schedule'!$CC$2:$CC$298="AXYZ Titans Line"),2),"-")</f>
        <v>-</v>
      </c>
      <c r="C32" s="200" t="str" cm="1">
        <f t="array" ref="C32">IFERROR(INDEX(_xlfn._xlws.FILTER('Production Schedule'!$B$2:$B$298,'Production Schedule'!$CC$2:$CC$298="AXYZ 34"),2),"-")</f>
        <v>25067-FS02</v>
      </c>
      <c r="D32" s="225" cm="1">
        <f t="array" ref="D32">IFERROR(INDEX(_xlfn._xlws.FILTER('Production Schedule'!$BC$2:$BC$298,'Production Schedule'!$CC$2:$CC$298="AXYZ 34"),2),"-")</f>
        <v>46142</v>
      </c>
      <c r="E32" s="200" t="str" cm="1">
        <f t="array" ref="E32">IFERROR(INDEX(_xlfn._xlws.FILTER('Production Schedule'!$B$2:$B$298,'Production Schedule'!$CC$2:$CC$298="Clean and Brake"),2),"-")</f>
        <v>24051-FS223</v>
      </c>
      <c r="F32" s="225" cm="1">
        <f t="array" ref="F32">IFERROR(INDEX(_xlfn._xlws.FILTER('Production Schedule'!$BC$2:$BC$298,'Production Schedule'!$CC$2:$CC$298="Clean and Brake"),2),"-")</f>
        <v>46097</v>
      </c>
      <c r="G32" s="200" t="str" cm="1">
        <f t="array" ref="G32">IFERROR(INDEX(_xlfn._xlws.FILTER('Production Schedule'!$B$2:$B$298,'Production Schedule'!$CC$2:$CC$298="Fab"),2),"-")</f>
        <v>-</v>
      </c>
      <c r="H32" s="225" t="str" cm="1">
        <f t="array" ref="H32">IFERROR(INDEX(_xlfn._xlws.FILTER('Production Schedule'!$BC$2:$BC$298,'Production Schedule'!$CC$2:$CC$298="Fab"),2),"-")</f>
        <v>-</v>
      </c>
      <c r="I32" s="200" t="str" cm="1">
        <f t="array" ref="I32">IFERROR(INDEX(_xlfn._xlws.FILTER('Production Schedule'!$B$2:$B$298,'Production Schedule'!$CC$2:$CC$298="Shear"),2),"-")</f>
        <v>24079-BM04C</v>
      </c>
      <c r="J32" s="225" cm="1">
        <f t="array" ref="J32">IFERROR(INDEX(_xlfn._xlws.FILTER('Production Schedule'!$BC$2:$BC$298,'Production Schedule'!$CC$2:$CC$298="Shear"),2),"-")</f>
        <v>46072</v>
      </c>
      <c r="K32" s="200" t="str" cm="1">
        <f t="array" ref="K32">IFERROR(INDEX(_xlfn._xlws.FILTER('Production Schedule'!$B$2:$B$298,'Production Schedule'!$CC$2:$CC$298="Cidan"),2),"-")</f>
        <v>-</v>
      </c>
      <c r="L32" s="225" t="str" cm="1">
        <f t="array" ref="L32">IFERROR(INDEX(_xlfn._xlws.FILTER('Production Schedule'!$BC$2:$BC$298,'Production Schedule'!$CC$2:$CC$298="Cidan"),2),"-")</f>
        <v>-</v>
      </c>
      <c r="M32" s="200" t="str" cm="1">
        <f t="array" ref="M32">IFERROR(INDEX(_xlfn._xlws.FILTER('Production Schedule'!$B$2:$B$298,OR('Production Schedule'!$CC$2:$CC$298="TruPunch 5000",'Production Schedule'!$CC$2:$CC$298="Punch")),2),"-")</f>
        <v>24071-FS10.R</v>
      </c>
      <c r="N32" s="225" cm="1">
        <f t="array" ref="N32">IFERROR(INDEX(_xlfn._xlws.FILTER('Production Schedule'!$BC$2:$BC$298,OR('Production Schedule'!$CC$2:$CC$298="TruPunch 5000",'Production Schedule'!$CC$2:$CC$298="Punch")),2),"-")</f>
        <v>46048</v>
      </c>
    </row>
    <row r="33" spans="1:14" x14ac:dyDescent="0.25">
      <c r="A33" s="272" t="str" cm="1">
        <f t="array" ref="A33">IFERROR(INDEX(_xlfn._xlws.FILTER('Production Schedule'!$B$2:$B$298,'Production Schedule'!$CC$2:$CC$298="AXYZ Titans Line"),3),"-")</f>
        <v>-</v>
      </c>
      <c r="B33" s="273" t="str" cm="1">
        <f t="array" ref="B33">IFERROR(INDEX(_xlfn._xlws.FILTER('Production Schedule'!$BC$2:$BC$298,'Production Schedule'!$CC$2:$CC$298="AXYZ Titans Line"),3),"-")</f>
        <v>-</v>
      </c>
      <c r="C33" s="272" t="str" cm="1">
        <f t="array" ref="C33">IFERROR(INDEX(_xlfn._xlws.FILTER('Production Schedule'!$B$2:$B$298,'Production Schedule'!$CC$2:$CC$298="AXYZ 34"),3),"-")</f>
        <v>24051-FS89</v>
      </c>
      <c r="D33" s="273" cm="1">
        <f t="array" ref="D33">IFERROR(INDEX(_xlfn._xlws.FILTER('Production Schedule'!$BC$2:$BC$298,'Production Schedule'!$CC$2:$CC$298="AXYZ 34"),3),"-")</f>
        <v>46127</v>
      </c>
      <c r="E33" s="272" t="str" cm="1">
        <f t="array" ref="E33">IFERROR(INDEX(_xlfn._xlws.FILTER('Production Schedule'!$B$2:$B$298,'Production Schedule'!$CC$2:$CC$298="Clean and Brake"),3),"-")</f>
        <v>24051-FS87</v>
      </c>
      <c r="F33" s="273" cm="1">
        <f t="array" ref="F33">IFERROR(INDEX(_xlfn._xlws.FILTER('Production Schedule'!$BC$2:$BC$298,'Production Schedule'!$CC$2:$CC$298="Clean and Brake"),3),"-")</f>
        <v>46127</v>
      </c>
      <c r="G33" s="272" t="str" cm="1">
        <f t="array" ref="G33">IFERROR(INDEX(_xlfn._xlws.FILTER('Production Schedule'!$B$2:$B$298,'Production Schedule'!$CC$2:$CC$298="Fab"),3),"-")</f>
        <v>-</v>
      </c>
      <c r="H33" s="273" t="str" cm="1">
        <f t="array" ref="H33">IFERROR(INDEX(_xlfn._xlws.FILTER('Production Schedule'!$BC$2:$BC$298,'Production Schedule'!$CC$2:$CC$298="Fab"),3),"-")</f>
        <v>-</v>
      </c>
      <c r="I33" s="272" t="str" cm="1">
        <f t="array" ref="I33">IFERROR(INDEX(_xlfn._xlws.FILTER('Production Schedule'!$B$2:$B$298,'Production Schedule'!$CC$2:$CC$298="Shear"),3),"-")</f>
        <v>24079-BM01B</v>
      </c>
      <c r="J33" s="273" cm="1">
        <f t="array" ref="J33">IFERROR(INDEX(_xlfn._xlws.FILTER('Production Schedule'!$BC$2:$BC$298,'Production Schedule'!$CC$2:$CC$298="Shear"),3),"-")</f>
        <v>46127</v>
      </c>
      <c r="K33" s="272" t="str" cm="1">
        <f t="array" ref="K33">IFERROR(INDEX(_xlfn._xlws.FILTER('Production Schedule'!$B$2:$B$298,'Production Schedule'!$CC$2:$CC$298="Cidan"),3),"-")</f>
        <v>-</v>
      </c>
      <c r="L33" s="273" t="str" cm="1">
        <f t="array" ref="L33">IFERROR(INDEX(_xlfn._xlws.FILTER('Production Schedule'!$BC$2:$BC$298,'Production Schedule'!$CC$2:$CC$298="Cidan"),3),"-")</f>
        <v>-</v>
      </c>
      <c r="M33" s="272" t="str" cm="1">
        <f t="array" ref="M33">IFERROR(INDEX(_xlfn._xlws.FILTER('Production Schedule'!$B$2:$B$298,OR('Production Schedule'!$CC$2:$CC$298="TruPunch 5000",'Production Schedule'!$CC$2:$CC$298="Punch")),3),"-")</f>
        <v>24051-FS200</v>
      </c>
      <c r="N33" s="273" cm="1">
        <f t="array" ref="N33">IFERROR(INDEX(_xlfn._xlws.FILTER('Production Schedule'!$BC$2:$BC$298,OR('Production Schedule'!$CC$2:$CC$298="TruPunch 5000",'Production Schedule'!$CC$2:$CC$298="Punch")),3),"-")</f>
        <v>45827</v>
      </c>
    </row>
    <row r="35" spans="1:14" x14ac:dyDescent="0.25">
      <c r="A35" s="174" t="s">
        <v>4079</v>
      </c>
      <c r="C35" s="174" t="s">
        <v>4080</v>
      </c>
      <c r="D35" t="str" cm="1">
        <f t="array" ref="D35">IFERROR(INDEX(_xlfn._xlws.FILTER('Production Schedule'!$B$2:$B$298,'Production Schedule'!$CC$2:$CC$298="Extrusion Saw"),1),"-")</f>
        <v>-</v>
      </c>
      <c r="F35" s="174" t="s">
        <v>4081</v>
      </c>
      <c r="G35" t="str" cm="1">
        <f t="array" ref="G35">IFERROR(INDEX(_xlfn._xlws.FILTER('Production Schedule'!$B$2:$B$298,'Production Schedule'!$CC$2:$CC$298="Roller"),1),"-")</f>
        <v>-</v>
      </c>
      <c r="I35" s="174" t="s">
        <v>4082</v>
      </c>
      <c r="J35" t="str" cm="1">
        <f t="array" ref="J35">IFERROR(INDEX(_xlfn._xlws.FILTER('Production Schedule'!$B$2:$B$298,'Production Schedule'!$CC$2:$CC$298="TruLaser 3040"),1),"-")</f>
        <v>26014-03-ST02</v>
      </c>
    </row>
    <row r="36" spans="1:14" ht="18.75" x14ac:dyDescent="0.3">
      <c r="A36" s="317" t="s">
        <v>4083</v>
      </c>
      <c r="B36" s="317"/>
      <c r="C36" s="317"/>
      <c r="D36" s="317"/>
      <c r="E36" s="317"/>
      <c r="F36" s="317"/>
    </row>
    <row r="37" spans="1:14" x14ac:dyDescent="0.25">
      <c r="A37" s="174" t="s">
        <v>4084</v>
      </c>
      <c r="B37" s="270">
        <f>COUNTA('Production Schedule'!$B$2:$B$298)</f>
        <v>297</v>
      </c>
    </row>
    <row r="38" spans="1:14" x14ac:dyDescent="0.25">
      <c r="A38" s="174" t="s">
        <v>4085</v>
      </c>
      <c r="B38" s="270">
        <f ca="1">COUNTIF('Production Schedule'!$BC$2:$BC$298,TODAY())</f>
        <v>2</v>
      </c>
    </row>
    <row r="39" spans="1:14" x14ac:dyDescent="0.25">
      <c r="A39" s="174" t="s">
        <v>4086</v>
      </c>
      <c r="B39" s="270">
        <f ca="1">COUNTIF('Production Schedule'!$BC$2:$BC$298,"&lt;"&amp;TODAY())</f>
        <v>200</v>
      </c>
    </row>
    <row r="40" spans="1:14" x14ac:dyDescent="0.25">
      <c r="A40" s="174" t="s">
        <v>4087</v>
      </c>
      <c r="B40" s="270">
        <f>COUNTIF('Production Schedule'!$CC$2:$CC$298,"AXYZ Titans Line")</f>
        <v>0</v>
      </c>
    </row>
    <row r="41" spans="1:14" x14ac:dyDescent="0.25">
      <c r="A41" s="174" t="s">
        <v>4088</v>
      </c>
      <c r="B41" s="270">
        <f>COUNTIF('Production Schedule'!$CC$2:$CC$298,"Clean and Brake")</f>
        <v>5</v>
      </c>
    </row>
    <row r="42" spans="1:14" x14ac:dyDescent="0.25">
      <c r="A42" s="174" t="s">
        <v>4089</v>
      </c>
      <c r="B42" s="270">
        <f>COUNTIF('Production Schedule'!$CC$2:$CC$298,"Fab")</f>
        <v>0</v>
      </c>
    </row>
  </sheetData>
  <mergeCells count="11">
    <mergeCell ref="A36:F36"/>
    <mergeCell ref="A16:H16"/>
    <mergeCell ref="A4:F4"/>
    <mergeCell ref="A28:N28"/>
    <mergeCell ref="A29:B29"/>
    <mergeCell ref="C29:D29"/>
    <mergeCell ref="E29:F29"/>
    <mergeCell ref="G29:H29"/>
    <mergeCell ref="I29:J29"/>
    <mergeCell ref="K29:L29"/>
    <mergeCell ref="M29:N2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Production Schedule</vt:lpstr>
      <vt:lpstr>Pre-Release</vt:lpstr>
      <vt:lpstr>AXYZ Titans CNC Schedule</vt:lpstr>
      <vt:lpstr>AXYZ CNC Schedule</vt:lpstr>
      <vt:lpstr>Clean and Brake Schedule</vt:lpstr>
      <vt:lpstr>Fab Schedule</vt:lpstr>
      <vt:lpstr>Shear Schedule</vt:lpstr>
      <vt:lpstr>Cidan Schedule</vt:lpstr>
      <vt:lpstr>Extrusion Saw Schedule</vt:lpstr>
      <vt:lpstr>Punch Schedule</vt:lpstr>
      <vt:lpstr>Roller Schedule</vt:lpstr>
      <vt:lpstr>Ship Schedule</vt:lpstr>
      <vt:lpstr>Notes</vt:lpstr>
      <vt:lpstr>Job Operations</vt:lpstr>
      <vt:lpstr>Comments</vt:lpstr>
      <vt:lpstr>Lookup</vt:lpstr>
      <vt:lpstr>Future Notes</vt:lpstr>
      <vt:lpstr>Meleta Schedule</vt:lpstr>
      <vt:lpstr>Forcast</vt:lpstr>
      <vt:lpstr>Summary 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Andrew Adams</cp:lastModifiedBy>
  <cp:revision/>
  <dcterms:created xsi:type="dcterms:W3CDTF">2026-03-11T19:46:29Z</dcterms:created>
  <dcterms:modified xsi:type="dcterms:W3CDTF">2026-04-16T19:20:49Z</dcterms:modified>
  <cp:category/>
  <cp:contentStatus/>
</cp:coreProperties>
</file>